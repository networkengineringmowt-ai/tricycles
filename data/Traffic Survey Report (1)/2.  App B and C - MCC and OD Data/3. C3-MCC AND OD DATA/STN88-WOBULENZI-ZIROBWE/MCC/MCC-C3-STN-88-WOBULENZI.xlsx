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3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drawings/drawing4.xml" ContentType="application/vnd.openxmlformats-officedocument.drawing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5.xml" ContentType="application/vnd.openxmlformats-officedocument.drawing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drawings/drawing7.xml" ContentType="application/vnd.openxmlformats-officedocument.drawing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drawings/drawing8.xml" ContentType="application/vnd.openxmlformats-officedocument.drawing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drawings/drawing9.xml" ContentType="application/vnd.openxmlformats-officedocument.drawing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drawings/drawing10.xml" ContentType="application/vnd.openxmlformats-officedocument.drawing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drawings/drawing11.xml" ContentType="application/vnd.openxmlformats-officedocument.drawing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drawings/drawing12.xml" ContentType="application/vnd.openxmlformats-officedocument.drawing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drawings/drawing13.xml" ContentType="application/vnd.openxmlformats-officedocument.drawing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\Desktop\C-3 Analysis Complete-Steve\STN88-WOBULENZI-ZIROBWE\MCC\"/>
    </mc:Choice>
  </mc:AlternateContent>
  <bookViews>
    <workbookView xWindow="-120" yWindow="-120" windowWidth="20730" windowHeight="11160" tabRatio="865" firstSheet="15" activeTab="16"/>
  </bookViews>
  <sheets>
    <sheet name="17.10 WOBULENZI-ZIROBWE" sheetId="103" r:id="rId1"/>
    <sheet name="17.10 ZIROBWE-WOBULENZI" sheetId="104" r:id="rId2"/>
    <sheet name="18.10 WOBULENZI-ZIROBWE" sheetId="99" r:id="rId3"/>
    <sheet name="18.10 ZIROBWE-WOBULENZI" sheetId="100" r:id="rId4"/>
    <sheet name="19.10 WOBULENZI-ZIROBWE-24h" sheetId="105" r:id="rId5"/>
    <sheet name="19.10 ZIROBWE-WOBULENZI-24h" sheetId="110" r:id="rId6"/>
    <sheet name="20.10 WOBULENZI-ZIROBWE" sheetId="97" r:id="rId7"/>
    <sheet name="20.10 ZIROBWE-WOBULENZI" sheetId="98" r:id="rId8"/>
    <sheet name="21.10 WOBULENZI-ZIROBWE-24h" sheetId="101" r:id="rId9"/>
    <sheet name="21.10 ZIROBWE-WOBULENZI-24h" sheetId="109" r:id="rId10"/>
    <sheet name="22.10 WOBULENZI-ZIROBWE" sheetId="95" r:id="rId11"/>
    <sheet name="22.10 ZIROBWE-WOBULENZI" sheetId="96" r:id="rId12"/>
    <sheet name="23.10 WOBULENZI-ZIROBWE" sheetId="93" r:id="rId13"/>
    <sheet name="23.10 ZIROBWE-WOBULENZI" sheetId="94" r:id="rId14"/>
    <sheet name="Avg Week WOBULENZI-ZIROBWE" sheetId="107" r:id="rId15"/>
    <sheet name="Avg Week ZIROBWE-WOBULENZI" sheetId="108" r:id="rId16"/>
    <sheet name="Avg Week WOBULENZI-ZIROBWE-2Dir" sheetId="111" r:id="rId17"/>
  </sheets>
  <definedNames>
    <definedName name="_xlnm.Print_Area" localSheetId="0">'17.10 WOBULENZI-ZIROBWE'!$A$1:$AF$60</definedName>
    <definedName name="_xlnm.Print_Area" localSheetId="1">'17.10 ZIROBWE-WOBULENZI'!$A$1:$AF$60</definedName>
    <definedName name="_xlnm.Print_Area" localSheetId="2">'18.10 WOBULENZI-ZIROBWE'!$A$1:$AF$60</definedName>
    <definedName name="_xlnm.Print_Area" localSheetId="3">'18.10 ZIROBWE-WOBULENZI'!$A$1:$AF$60</definedName>
    <definedName name="_xlnm.Print_Area" localSheetId="4">'19.10 WOBULENZI-ZIROBWE-24h'!$A$1:$AF$108</definedName>
    <definedName name="_xlnm.Print_Area" localSheetId="5">'19.10 ZIROBWE-WOBULENZI-24h'!$A$1:$AF$108</definedName>
    <definedName name="_xlnm.Print_Area" localSheetId="6">'20.10 WOBULENZI-ZIROBWE'!$A$1:$AF$60</definedName>
    <definedName name="_xlnm.Print_Area" localSheetId="7">'20.10 ZIROBWE-WOBULENZI'!$A$1:$AF$60</definedName>
    <definedName name="_xlnm.Print_Area" localSheetId="8">'21.10 WOBULENZI-ZIROBWE-24h'!$A$1:$AF$108</definedName>
    <definedName name="_xlnm.Print_Area" localSheetId="9">'21.10 ZIROBWE-WOBULENZI-24h'!$A$1:$AF$108</definedName>
    <definedName name="_xlnm.Print_Area" localSheetId="10">'22.10 WOBULENZI-ZIROBWE'!$A$1:$AF$60</definedName>
    <definedName name="_xlnm.Print_Area" localSheetId="11">'22.10 ZIROBWE-WOBULENZI'!$A$1:$AF$60</definedName>
    <definedName name="_xlnm.Print_Area" localSheetId="12">'23.10 WOBULENZI-ZIROBWE'!$A$1:$AF$60</definedName>
    <definedName name="_xlnm.Print_Area" localSheetId="13">'23.10 ZIROBWE-WOBULENZI'!$A$1:$AF$60</definedName>
    <definedName name="_xlnm.Print_Area" localSheetId="14">'Avg Week WOBULENZI-ZIROBWE'!$A$1:$AF$108</definedName>
    <definedName name="_xlnm.Print_Area" localSheetId="16">'Avg Week WOBULENZI-ZIROBWE-2Dir'!$A$1:$AF$108</definedName>
    <definedName name="_xlnm.Print_Area" localSheetId="15">'Avg Week ZIROBWE-WOBULENZI'!$A$1:$AF$108</definedName>
    <definedName name="_xlnm.Print_Titles" localSheetId="0">'17.10 WOBULENZI-ZIROBWE'!$1:$8</definedName>
    <definedName name="_xlnm.Print_Titles" localSheetId="1">'17.10 ZIROBWE-WOBULENZI'!$1:$8</definedName>
    <definedName name="_xlnm.Print_Titles" localSheetId="2">'18.10 WOBULENZI-ZIROBWE'!$1:$8</definedName>
    <definedName name="_xlnm.Print_Titles" localSheetId="3">'18.10 ZIROBWE-WOBULENZI'!$1:$8</definedName>
    <definedName name="_xlnm.Print_Titles" localSheetId="4">'19.10 WOBULENZI-ZIROBWE-24h'!$1:$8</definedName>
    <definedName name="_xlnm.Print_Titles" localSheetId="5">'19.10 ZIROBWE-WOBULENZI-24h'!$1:$8</definedName>
    <definedName name="_xlnm.Print_Titles" localSheetId="6">'20.10 WOBULENZI-ZIROBWE'!$1:$8</definedName>
    <definedName name="_xlnm.Print_Titles" localSheetId="7">'20.10 ZIROBWE-WOBULENZI'!$1:$8</definedName>
    <definedName name="_xlnm.Print_Titles" localSheetId="8">'21.10 WOBULENZI-ZIROBWE-24h'!$1:$8</definedName>
    <definedName name="_xlnm.Print_Titles" localSheetId="9">'21.10 ZIROBWE-WOBULENZI-24h'!$1:$8</definedName>
    <definedName name="_xlnm.Print_Titles" localSheetId="10">'22.10 WOBULENZI-ZIROBWE'!$1:$8</definedName>
    <definedName name="_xlnm.Print_Titles" localSheetId="11">'22.10 ZIROBWE-WOBULENZI'!$1:$8</definedName>
    <definedName name="_xlnm.Print_Titles" localSheetId="12">'23.10 WOBULENZI-ZIROBWE'!$1:$8</definedName>
    <definedName name="_xlnm.Print_Titles" localSheetId="13">'23.10 ZIROBWE-WOBULENZI'!$1:$8</definedName>
    <definedName name="_xlnm.Print_Titles" localSheetId="14">'Avg Week WOBULENZI-ZIROBWE'!$1:$8</definedName>
    <definedName name="_xlnm.Print_Titles" localSheetId="16">'Avg Week WOBULENZI-ZIROBWE-2Dir'!$1:$8</definedName>
    <definedName name="_xlnm.Print_Titles" localSheetId="15">'Avg Week ZIROBWE-WOBULENZI'!$1:$8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106" i="108" l="1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D106" i="11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P58" i="111" l="1"/>
  <c r="P59" i="111"/>
  <c r="P60" i="111"/>
  <c r="AF22" i="111" s="1"/>
  <c r="P61" i="111"/>
  <c r="P62" i="111"/>
  <c r="P63" i="111"/>
  <c r="P64" i="111"/>
  <c r="P65" i="111"/>
  <c r="AF23" i="111" s="1"/>
  <c r="P66" i="111"/>
  <c r="P67" i="111"/>
  <c r="P68" i="111"/>
  <c r="AF24" i="111" s="1"/>
  <c r="P69" i="111"/>
  <c r="P70" i="111"/>
  <c r="P71" i="111"/>
  <c r="P72" i="111"/>
  <c r="P73" i="111"/>
  <c r="P74" i="111"/>
  <c r="P75" i="111"/>
  <c r="P76" i="111"/>
  <c r="P77" i="111"/>
  <c r="AF26" i="111" s="1"/>
  <c r="P78" i="111"/>
  <c r="P79" i="111"/>
  <c r="P80" i="111"/>
  <c r="AF27" i="111" s="1"/>
  <c r="P81" i="111"/>
  <c r="P82" i="111"/>
  <c r="P83" i="111"/>
  <c r="P84" i="111"/>
  <c r="P85" i="111"/>
  <c r="AF28" i="111" s="1"/>
  <c r="P86" i="111"/>
  <c r="P87" i="111"/>
  <c r="P88" i="111"/>
  <c r="AF29" i="111" s="1"/>
  <c r="P89" i="111"/>
  <c r="P90" i="111"/>
  <c r="P91" i="111"/>
  <c r="P92" i="111"/>
  <c r="P93" i="111"/>
  <c r="AF30" i="111" s="1"/>
  <c r="P94" i="111"/>
  <c r="P95" i="111"/>
  <c r="P96" i="111"/>
  <c r="AF31" i="111" s="1"/>
  <c r="P97" i="111"/>
  <c r="P98" i="111"/>
  <c r="P99" i="111"/>
  <c r="P100" i="111"/>
  <c r="AF32" i="111" s="1"/>
  <c r="P101" i="111"/>
  <c r="P102" i="111"/>
  <c r="P103" i="111"/>
  <c r="P104" i="111"/>
  <c r="P105" i="111"/>
  <c r="O58" i="111"/>
  <c r="O59" i="111"/>
  <c r="O60" i="111"/>
  <c r="O61" i="111"/>
  <c r="O62" i="111"/>
  <c r="O63" i="111"/>
  <c r="O64" i="111"/>
  <c r="O65" i="111"/>
  <c r="O66" i="111"/>
  <c r="O67" i="111"/>
  <c r="O68" i="111"/>
  <c r="AE24" i="111" s="1"/>
  <c r="O69" i="111"/>
  <c r="O70" i="111"/>
  <c r="O71" i="111"/>
  <c r="O72" i="111"/>
  <c r="O73" i="111"/>
  <c r="AE25" i="111" s="1"/>
  <c r="O74" i="111"/>
  <c r="O75" i="111"/>
  <c r="AE26" i="111" s="1"/>
  <c r="O76" i="111"/>
  <c r="O77" i="111"/>
  <c r="O78" i="111"/>
  <c r="O79" i="111"/>
  <c r="O80" i="111"/>
  <c r="AE27" i="111" s="1"/>
  <c r="O81" i="111"/>
  <c r="O82" i="111"/>
  <c r="O83" i="111"/>
  <c r="O84" i="111"/>
  <c r="O85" i="111"/>
  <c r="O86" i="111"/>
  <c r="O87" i="111"/>
  <c r="AE29" i="111" s="1"/>
  <c r="O88" i="111"/>
  <c r="O89" i="111"/>
  <c r="O90" i="111"/>
  <c r="O91" i="111"/>
  <c r="O92" i="111"/>
  <c r="AE30" i="111" s="1"/>
  <c r="O93" i="111"/>
  <c r="O94" i="111"/>
  <c r="O95" i="111"/>
  <c r="O96" i="111"/>
  <c r="O97" i="111"/>
  <c r="AE31" i="111" s="1"/>
  <c r="O98" i="111"/>
  <c r="O99" i="111"/>
  <c r="O100" i="111"/>
  <c r="O101" i="111"/>
  <c r="O102" i="111"/>
  <c r="O103" i="111"/>
  <c r="AE33" i="111" s="1"/>
  <c r="O104" i="111"/>
  <c r="O105" i="111"/>
  <c r="C59" i="111"/>
  <c r="D59" i="111"/>
  <c r="E59" i="111"/>
  <c r="U22" i="111" s="1"/>
  <c r="F59" i="111"/>
  <c r="V22" i="111" s="1"/>
  <c r="G59" i="111"/>
  <c r="H59" i="111"/>
  <c r="I59" i="111"/>
  <c r="J59" i="111"/>
  <c r="Z22" i="111" s="1"/>
  <c r="K59" i="111"/>
  <c r="L59" i="111"/>
  <c r="M59" i="111"/>
  <c r="N59" i="111"/>
  <c r="AD22" i="111" s="1"/>
  <c r="C60" i="111"/>
  <c r="D60" i="111"/>
  <c r="E60" i="111"/>
  <c r="F60" i="111"/>
  <c r="G60" i="111"/>
  <c r="H60" i="111"/>
  <c r="I60" i="111"/>
  <c r="J60" i="111"/>
  <c r="K60" i="111"/>
  <c r="L60" i="111"/>
  <c r="M60" i="111"/>
  <c r="N60" i="111"/>
  <c r="C61" i="111"/>
  <c r="D61" i="111"/>
  <c r="E61" i="111"/>
  <c r="F61" i="111"/>
  <c r="G61" i="111"/>
  <c r="H61" i="111"/>
  <c r="I61" i="111"/>
  <c r="J61" i="111"/>
  <c r="K61" i="111"/>
  <c r="L61" i="111"/>
  <c r="M61" i="111"/>
  <c r="N61" i="111"/>
  <c r="C62" i="111"/>
  <c r="D62" i="111"/>
  <c r="E62" i="111"/>
  <c r="F62" i="111"/>
  <c r="V23" i="111" s="1"/>
  <c r="G62" i="111"/>
  <c r="H62" i="111"/>
  <c r="I62" i="111"/>
  <c r="J62" i="111"/>
  <c r="Z23" i="111" s="1"/>
  <c r="K62" i="111"/>
  <c r="L62" i="111"/>
  <c r="M62" i="111"/>
  <c r="N62" i="111"/>
  <c r="AD23" i="111" s="1"/>
  <c r="C63" i="111"/>
  <c r="D63" i="111"/>
  <c r="E63" i="111"/>
  <c r="F63" i="111"/>
  <c r="G63" i="111"/>
  <c r="H63" i="111"/>
  <c r="I63" i="111"/>
  <c r="J63" i="111"/>
  <c r="K63" i="111"/>
  <c r="L63" i="111"/>
  <c r="M63" i="111"/>
  <c r="N63" i="111"/>
  <c r="C64" i="111"/>
  <c r="D64" i="111"/>
  <c r="E64" i="111"/>
  <c r="F64" i="111"/>
  <c r="G64" i="111"/>
  <c r="H64" i="111"/>
  <c r="I64" i="111"/>
  <c r="J64" i="111"/>
  <c r="K64" i="111"/>
  <c r="L64" i="111"/>
  <c r="M64" i="111"/>
  <c r="N64" i="111"/>
  <c r="C65" i="111"/>
  <c r="D65" i="111"/>
  <c r="E65" i="111"/>
  <c r="F65" i="111"/>
  <c r="G65" i="111"/>
  <c r="H65" i="111"/>
  <c r="I65" i="111"/>
  <c r="J65" i="111"/>
  <c r="K65" i="111"/>
  <c r="L65" i="111"/>
  <c r="M65" i="111"/>
  <c r="N65" i="111"/>
  <c r="C66" i="111"/>
  <c r="D66" i="111"/>
  <c r="E66" i="111"/>
  <c r="F66" i="111"/>
  <c r="G66" i="111"/>
  <c r="H66" i="111"/>
  <c r="I66" i="111"/>
  <c r="J66" i="111"/>
  <c r="K66" i="111"/>
  <c r="L66" i="111"/>
  <c r="M66" i="111"/>
  <c r="N66" i="111"/>
  <c r="C67" i="111"/>
  <c r="D67" i="111"/>
  <c r="E67" i="111"/>
  <c r="F67" i="111"/>
  <c r="G67" i="111"/>
  <c r="H67" i="111"/>
  <c r="I67" i="111"/>
  <c r="J67" i="111"/>
  <c r="K67" i="111"/>
  <c r="L67" i="111"/>
  <c r="M67" i="111"/>
  <c r="N67" i="111"/>
  <c r="C68" i="111"/>
  <c r="D68" i="111"/>
  <c r="E68" i="111"/>
  <c r="F68" i="111"/>
  <c r="G68" i="111"/>
  <c r="H68" i="111"/>
  <c r="I68" i="111"/>
  <c r="J68" i="111"/>
  <c r="K68" i="111"/>
  <c r="L68" i="111"/>
  <c r="M68" i="111"/>
  <c r="N68" i="111"/>
  <c r="C69" i="111"/>
  <c r="D69" i="111"/>
  <c r="E69" i="111"/>
  <c r="F69" i="111"/>
  <c r="G69" i="111"/>
  <c r="H69" i="111"/>
  <c r="I69" i="111"/>
  <c r="J69" i="111"/>
  <c r="K69" i="111"/>
  <c r="L69" i="111"/>
  <c r="M69" i="111"/>
  <c r="N69" i="111"/>
  <c r="C70" i="111"/>
  <c r="D70" i="111"/>
  <c r="E70" i="111"/>
  <c r="F70" i="111"/>
  <c r="V25" i="111" s="1"/>
  <c r="G70" i="111"/>
  <c r="H70" i="111"/>
  <c r="I70" i="111"/>
  <c r="J70" i="111"/>
  <c r="Z25" i="111" s="1"/>
  <c r="K70" i="111"/>
  <c r="L70" i="111"/>
  <c r="M70" i="111"/>
  <c r="N70" i="111"/>
  <c r="AD25" i="111" s="1"/>
  <c r="C71" i="111"/>
  <c r="D71" i="111"/>
  <c r="E71" i="111"/>
  <c r="F71" i="111"/>
  <c r="G71" i="111"/>
  <c r="H71" i="111"/>
  <c r="I71" i="111"/>
  <c r="J71" i="111"/>
  <c r="K71" i="111"/>
  <c r="L71" i="111"/>
  <c r="M71" i="111"/>
  <c r="N71" i="111"/>
  <c r="C72" i="111"/>
  <c r="D72" i="111"/>
  <c r="E72" i="111"/>
  <c r="F72" i="111"/>
  <c r="G72" i="111"/>
  <c r="H72" i="111"/>
  <c r="I72" i="111"/>
  <c r="J72" i="111"/>
  <c r="K72" i="111"/>
  <c r="L72" i="111"/>
  <c r="M72" i="111"/>
  <c r="N72" i="111"/>
  <c r="C73" i="111"/>
  <c r="D73" i="111"/>
  <c r="E73" i="111"/>
  <c r="F73" i="111"/>
  <c r="G73" i="111"/>
  <c r="H73" i="111"/>
  <c r="I73" i="111"/>
  <c r="J73" i="111"/>
  <c r="K73" i="111"/>
  <c r="L73" i="111"/>
  <c r="M73" i="111"/>
  <c r="N73" i="111"/>
  <c r="C74" i="111"/>
  <c r="D74" i="111"/>
  <c r="E74" i="111"/>
  <c r="F74" i="111"/>
  <c r="G74" i="111"/>
  <c r="H74" i="111"/>
  <c r="I74" i="111"/>
  <c r="J74" i="111"/>
  <c r="K74" i="111"/>
  <c r="L74" i="111"/>
  <c r="M74" i="111"/>
  <c r="N74" i="111"/>
  <c r="C75" i="111"/>
  <c r="D75" i="111"/>
  <c r="E75" i="111"/>
  <c r="F75" i="111"/>
  <c r="G75" i="111"/>
  <c r="H75" i="111"/>
  <c r="I75" i="111"/>
  <c r="J75" i="111"/>
  <c r="K75" i="111"/>
  <c r="L75" i="111"/>
  <c r="M75" i="111"/>
  <c r="N75" i="111"/>
  <c r="C76" i="111"/>
  <c r="D76" i="111"/>
  <c r="E76" i="111"/>
  <c r="F76" i="111"/>
  <c r="G76" i="111"/>
  <c r="H76" i="111"/>
  <c r="I76" i="111"/>
  <c r="J76" i="111"/>
  <c r="K76" i="111"/>
  <c r="L76" i="111"/>
  <c r="M76" i="111"/>
  <c r="N76" i="111"/>
  <c r="C77" i="111"/>
  <c r="D77" i="111"/>
  <c r="E77" i="111"/>
  <c r="F77" i="111"/>
  <c r="G77" i="111"/>
  <c r="H77" i="111"/>
  <c r="I77" i="111"/>
  <c r="J77" i="111"/>
  <c r="K77" i="111"/>
  <c r="L77" i="111"/>
  <c r="M77" i="111"/>
  <c r="N77" i="111"/>
  <c r="C78" i="111"/>
  <c r="D78" i="111"/>
  <c r="E78" i="111"/>
  <c r="F78" i="111"/>
  <c r="V27" i="111" s="1"/>
  <c r="G78" i="111"/>
  <c r="H78" i="111"/>
  <c r="I78" i="111"/>
  <c r="J78" i="111"/>
  <c r="Z27" i="111" s="1"/>
  <c r="K78" i="111"/>
  <c r="L78" i="111"/>
  <c r="M78" i="111"/>
  <c r="N78" i="111"/>
  <c r="AD27" i="111" s="1"/>
  <c r="C79" i="111"/>
  <c r="D79" i="111"/>
  <c r="E79" i="111"/>
  <c r="F79" i="111"/>
  <c r="G79" i="111"/>
  <c r="H79" i="111"/>
  <c r="I79" i="111"/>
  <c r="J79" i="111"/>
  <c r="K79" i="111"/>
  <c r="L79" i="111"/>
  <c r="M79" i="111"/>
  <c r="N79" i="111"/>
  <c r="C80" i="111"/>
  <c r="D80" i="111"/>
  <c r="E80" i="111"/>
  <c r="F80" i="111"/>
  <c r="G80" i="111"/>
  <c r="H80" i="111"/>
  <c r="I80" i="111"/>
  <c r="J80" i="111"/>
  <c r="K80" i="111"/>
  <c r="L80" i="111"/>
  <c r="M80" i="111"/>
  <c r="N80" i="111"/>
  <c r="C81" i="111"/>
  <c r="D81" i="111"/>
  <c r="E81" i="111"/>
  <c r="F81" i="111"/>
  <c r="G81" i="111"/>
  <c r="H81" i="111"/>
  <c r="I81" i="111"/>
  <c r="J81" i="111"/>
  <c r="K81" i="111"/>
  <c r="L81" i="111"/>
  <c r="M81" i="111"/>
  <c r="N81" i="111"/>
  <c r="C82" i="111"/>
  <c r="D82" i="111"/>
  <c r="E82" i="111"/>
  <c r="F82" i="111"/>
  <c r="G82" i="111"/>
  <c r="H82" i="111"/>
  <c r="I82" i="111"/>
  <c r="J82" i="111"/>
  <c r="K82" i="111"/>
  <c r="L82" i="111"/>
  <c r="M82" i="111"/>
  <c r="N82" i="111"/>
  <c r="C83" i="111"/>
  <c r="D83" i="111"/>
  <c r="E83" i="111"/>
  <c r="F83" i="111"/>
  <c r="G83" i="111"/>
  <c r="H83" i="111"/>
  <c r="I83" i="111"/>
  <c r="J83" i="111"/>
  <c r="K83" i="111"/>
  <c r="L83" i="111"/>
  <c r="M83" i="111"/>
  <c r="N83" i="111"/>
  <c r="C84" i="111"/>
  <c r="D84" i="111"/>
  <c r="E84" i="111"/>
  <c r="F84" i="111"/>
  <c r="G84" i="111"/>
  <c r="H84" i="111"/>
  <c r="I84" i="111"/>
  <c r="J84" i="111"/>
  <c r="K84" i="111"/>
  <c r="L84" i="111"/>
  <c r="M84" i="111"/>
  <c r="N84" i="111"/>
  <c r="C85" i="111"/>
  <c r="D85" i="111"/>
  <c r="E85" i="111"/>
  <c r="F85" i="111"/>
  <c r="G85" i="111"/>
  <c r="H85" i="111"/>
  <c r="I85" i="111"/>
  <c r="J85" i="111"/>
  <c r="K85" i="111"/>
  <c r="L85" i="111"/>
  <c r="M85" i="111"/>
  <c r="N85" i="111"/>
  <c r="C86" i="111"/>
  <c r="D86" i="111"/>
  <c r="E86" i="111"/>
  <c r="F86" i="111"/>
  <c r="V29" i="111" s="1"/>
  <c r="G86" i="111"/>
  <c r="H86" i="111"/>
  <c r="I86" i="111"/>
  <c r="J86" i="111"/>
  <c r="Z29" i="111" s="1"/>
  <c r="K86" i="111"/>
  <c r="L86" i="111"/>
  <c r="M86" i="111"/>
  <c r="N86" i="111"/>
  <c r="AD29" i="111" s="1"/>
  <c r="C87" i="111"/>
  <c r="D87" i="111"/>
  <c r="E87" i="111"/>
  <c r="F87" i="111"/>
  <c r="G87" i="111"/>
  <c r="H87" i="111"/>
  <c r="I87" i="111"/>
  <c r="J87" i="111"/>
  <c r="K87" i="111"/>
  <c r="L87" i="111"/>
  <c r="M87" i="111"/>
  <c r="N87" i="111"/>
  <c r="C88" i="111"/>
  <c r="D88" i="111"/>
  <c r="E88" i="111"/>
  <c r="F88" i="111"/>
  <c r="G88" i="111"/>
  <c r="H88" i="111"/>
  <c r="I88" i="111"/>
  <c r="J88" i="111"/>
  <c r="K88" i="111"/>
  <c r="L88" i="111"/>
  <c r="M88" i="111"/>
  <c r="N88" i="111"/>
  <c r="C89" i="111"/>
  <c r="D89" i="111"/>
  <c r="E89" i="111"/>
  <c r="F89" i="111"/>
  <c r="G89" i="111"/>
  <c r="H89" i="111"/>
  <c r="I89" i="111"/>
  <c r="J89" i="111"/>
  <c r="K89" i="111"/>
  <c r="L89" i="111"/>
  <c r="M89" i="111"/>
  <c r="N89" i="111"/>
  <c r="C90" i="111"/>
  <c r="D90" i="111"/>
  <c r="E90" i="111"/>
  <c r="U30" i="111" s="1"/>
  <c r="F90" i="111"/>
  <c r="G90" i="111"/>
  <c r="H90" i="111"/>
  <c r="I90" i="111"/>
  <c r="Y30" i="111" s="1"/>
  <c r="J90" i="111"/>
  <c r="K90" i="111"/>
  <c r="L90" i="111"/>
  <c r="M90" i="111"/>
  <c r="AC30" i="111" s="1"/>
  <c r="N90" i="111"/>
  <c r="C91" i="111"/>
  <c r="D91" i="111"/>
  <c r="E91" i="111"/>
  <c r="F91" i="111"/>
  <c r="G91" i="111"/>
  <c r="H91" i="111"/>
  <c r="I91" i="111"/>
  <c r="J91" i="111"/>
  <c r="K91" i="111"/>
  <c r="L91" i="111"/>
  <c r="M91" i="111"/>
  <c r="N91" i="111"/>
  <c r="C92" i="111"/>
  <c r="D92" i="111"/>
  <c r="E92" i="111"/>
  <c r="F92" i="111"/>
  <c r="G92" i="111"/>
  <c r="H92" i="111"/>
  <c r="I92" i="111"/>
  <c r="J92" i="111"/>
  <c r="K92" i="111"/>
  <c r="L92" i="111"/>
  <c r="M92" i="111"/>
  <c r="N92" i="111"/>
  <c r="C93" i="111"/>
  <c r="D93" i="111"/>
  <c r="E93" i="111"/>
  <c r="F93" i="111"/>
  <c r="G93" i="111"/>
  <c r="H93" i="111"/>
  <c r="I93" i="111"/>
  <c r="J93" i="111"/>
  <c r="K93" i="111"/>
  <c r="L93" i="111"/>
  <c r="M93" i="111"/>
  <c r="N93" i="111"/>
  <c r="C94" i="111"/>
  <c r="D94" i="111"/>
  <c r="E94" i="111"/>
  <c r="F94" i="111"/>
  <c r="V31" i="111" s="1"/>
  <c r="G94" i="111"/>
  <c r="H94" i="111"/>
  <c r="I94" i="111"/>
  <c r="J94" i="111"/>
  <c r="Z31" i="111" s="1"/>
  <c r="K94" i="111"/>
  <c r="L94" i="111"/>
  <c r="M94" i="111"/>
  <c r="N94" i="111"/>
  <c r="AD31" i="111" s="1"/>
  <c r="C95" i="111"/>
  <c r="D95" i="111"/>
  <c r="E95" i="111"/>
  <c r="F95" i="111"/>
  <c r="G95" i="111"/>
  <c r="H95" i="111"/>
  <c r="I95" i="111"/>
  <c r="J95" i="111"/>
  <c r="K95" i="111"/>
  <c r="L95" i="111"/>
  <c r="M95" i="111"/>
  <c r="N95" i="111"/>
  <c r="C96" i="111"/>
  <c r="D96" i="111"/>
  <c r="E96" i="111"/>
  <c r="F96" i="111"/>
  <c r="G96" i="111"/>
  <c r="H96" i="111"/>
  <c r="I96" i="111"/>
  <c r="J96" i="111"/>
  <c r="K96" i="111"/>
  <c r="L96" i="111"/>
  <c r="M96" i="111"/>
  <c r="N96" i="111"/>
  <c r="C97" i="111"/>
  <c r="D97" i="111"/>
  <c r="E97" i="111"/>
  <c r="F97" i="111"/>
  <c r="G97" i="111"/>
  <c r="H97" i="111"/>
  <c r="I97" i="111"/>
  <c r="J97" i="111"/>
  <c r="K97" i="111"/>
  <c r="L97" i="111"/>
  <c r="M97" i="111"/>
  <c r="N97" i="111"/>
  <c r="C98" i="111"/>
  <c r="D98" i="111"/>
  <c r="E98" i="111"/>
  <c r="U32" i="111" s="1"/>
  <c r="F98" i="111"/>
  <c r="G98" i="111"/>
  <c r="H98" i="111"/>
  <c r="I98" i="111"/>
  <c r="Y32" i="111" s="1"/>
  <c r="J98" i="111"/>
  <c r="K98" i="111"/>
  <c r="L98" i="111"/>
  <c r="M98" i="111"/>
  <c r="AC32" i="111" s="1"/>
  <c r="N98" i="111"/>
  <c r="C99" i="111"/>
  <c r="D99" i="111"/>
  <c r="E99" i="111"/>
  <c r="F99" i="111"/>
  <c r="G99" i="111"/>
  <c r="H99" i="111"/>
  <c r="I99" i="111"/>
  <c r="J99" i="111"/>
  <c r="K99" i="111"/>
  <c r="L99" i="111"/>
  <c r="M99" i="111"/>
  <c r="N99" i="111"/>
  <c r="C100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C101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C102" i="111"/>
  <c r="D102" i="111"/>
  <c r="E102" i="111"/>
  <c r="F102" i="111"/>
  <c r="V33" i="111" s="1"/>
  <c r="G102" i="111"/>
  <c r="H102" i="111"/>
  <c r="I102" i="111"/>
  <c r="J102" i="111"/>
  <c r="Z33" i="111" s="1"/>
  <c r="K102" i="111"/>
  <c r="L102" i="111"/>
  <c r="M102" i="111"/>
  <c r="N102" i="111"/>
  <c r="AD33" i="111" s="1"/>
  <c r="C103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C104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C105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D58" i="111"/>
  <c r="E58" i="111"/>
  <c r="F58" i="111"/>
  <c r="G58" i="111"/>
  <c r="W22" i="111" s="1"/>
  <c r="H58" i="111"/>
  <c r="I58" i="111"/>
  <c r="J58" i="111"/>
  <c r="K58" i="111"/>
  <c r="AA22" i="111" s="1"/>
  <c r="L58" i="111"/>
  <c r="M58" i="111"/>
  <c r="N58" i="111"/>
  <c r="AE22" i="111"/>
  <c r="C58" i="111"/>
  <c r="P58" i="108"/>
  <c r="P59" i="108"/>
  <c r="P60" i="108"/>
  <c r="P61" i="108"/>
  <c r="AF22" i="108" s="1"/>
  <c r="P62" i="108"/>
  <c r="P63" i="108"/>
  <c r="P64" i="108"/>
  <c r="P65" i="108"/>
  <c r="AF23" i="108" s="1"/>
  <c r="P66" i="108"/>
  <c r="P67" i="108"/>
  <c r="P68" i="108"/>
  <c r="P69" i="108"/>
  <c r="P70" i="108"/>
  <c r="P71" i="108"/>
  <c r="P72" i="108"/>
  <c r="P73" i="108"/>
  <c r="AF25" i="108" s="1"/>
  <c r="P74" i="108"/>
  <c r="P75" i="108"/>
  <c r="P76" i="108"/>
  <c r="P77" i="108"/>
  <c r="AF26" i="108" s="1"/>
  <c r="P78" i="108"/>
  <c r="P79" i="108"/>
  <c r="P80" i="108"/>
  <c r="P81" i="108"/>
  <c r="AF27" i="108" s="1"/>
  <c r="P82" i="108"/>
  <c r="P83" i="108"/>
  <c r="P84" i="108"/>
  <c r="AF28" i="108" s="1"/>
  <c r="P85" i="108"/>
  <c r="P86" i="108"/>
  <c r="P87" i="108"/>
  <c r="P88" i="108"/>
  <c r="P89" i="108"/>
  <c r="AF29" i="108" s="1"/>
  <c r="P90" i="108"/>
  <c r="P91" i="108"/>
  <c r="P92" i="108"/>
  <c r="P93" i="108"/>
  <c r="AF30" i="108" s="1"/>
  <c r="P94" i="108"/>
  <c r="P95" i="108"/>
  <c r="P96" i="108"/>
  <c r="AF31" i="108" s="1"/>
  <c r="P97" i="108"/>
  <c r="P98" i="108"/>
  <c r="P99" i="108"/>
  <c r="P100" i="108"/>
  <c r="P101" i="108"/>
  <c r="AF32" i="108" s="1"/>
  <c r="P102" i="108"/>
  <c r="P103" i="108"/>
  <c r="P104" i="108"/>
  <c r="P105" i="108"/>
  <c r="AF33" i="108" s="1"/>
  <c r="O58" i="108"/>
  <c r="O59" i="108"/>
  <c r="O60" i="108"/>
  <c r="AE22" i="108" s="1"/>
  <c r="O61" i="108"/>
  <c r="O62" i="108"/>
  <c r="O63" i="108"/>
  <c r="O64" i="108"/>
  <c r="AE23" i="108" s="1"/>
  <c r="O65" i="108"/>
  <c r="O66" i="108"/>
  <c r="O67" i="108"/>
  <c r="O68" i="108"/>
  <c r="O69" i="108"/>
  <c r="AE24" i="108" s="1"/>
  <c r="O70" i="108"/>
  <c r="O71" i="108"/>
  <c r="O72" i="108"/>
  <c r="AE25" i="108" s="1"/>
  <c r="O73" i="108"/>
  <c r="O74" i="108"/>
  <c r="O75" i="108"/>
  <c r="O76" i="108"/>
  <c r="AE26" i="108" s="1"/>
  <c r="O77" i="108"/>
  <c r="O78" i="108"/>
  <c r="O79" i="108"/>
  <c r="O80" i="108"/>
  <c r="O81" i="108"/>
  <c r="O82" i="108"/>
  <c r="O83" i="108"/>
  <c r="O84" i="108"/>
  <c r="AE28" i="108" s="1"/>
  <c r="O85" i="108"/>
  <c r="O86" i="108"/>
  <c r="O87" i="108"/>
  <c r="O88" i="108"/>
  <c r="AE29" i="108" s="1"/>
  <c r="O89" i="108"/>
  <c r="O90" i="108"/>
  <c r="O91" i="108"/>
  <c r="O92" i="108"/>
  <c r="O93" i="108"/>
  <c r="AE30" i="108" s="1"/>
  <c r="O94" i="108"/>
  <c r="O95" i="108"/>
  <c r="O96" i="108"/>
  <c r="O97" i="108"/>
  <c r="AE31" i="108" s="1"/>
  <c r="O98" i="108"/>
  <c r="O99" i="108"/>
  <c r="O100" i="108"/>
  <c r="O101" i="108"/>
  <c r="O102" i="108"/>
  <c r="O103" i="108"/>
  <c r="O104" i="108"/>
  <c r="O105" i="108"/>
  <c r="C59" i="108"/>
  <c r="D59" i="108"/>
  <c r="E59" i="108"/>
  <c r="F59" i="108"/>
  <c r="V22" i="108" s="1"/>
  <c r="G59" i="108"/>
  <c r="H59" i="108"/>
  <c r="I59" i="108"/>
  <c r="J59" i="108"/>
  <c r="Z22" i="108" s="1"/>
  <c r="K59" i="108"/>
  <c r="L59" i="108"/>
  <c r="M59" i="108"/>
  <c r="N59" i="108"/>
  <c r="AD22" i="108" s="1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V24" i="108" s="1"/>
  <c r="G66" i="108"/>
  <c r="H66" i="108"/>
  <c r="I66" i="108"/>
  <c r="J66" i="108"/>
  <c r="Z24" i="108" s="1"/>
  <c r="K66" i="108"/>
  <c r="L66" i="108"/>
  <c r="M66" i="108"/>
  <c r="N66" i="108"/>
  <c r="AD24" i="108" s="1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V25" i="108" s="1"/>
  <c r="G70" i="108"/>
  <c r="H70" i="108"/>
  <c r="I70" i="108"/>
  <c r="J70" i="108"/>
  <c r="Z25" i="108" s="1"/>
  <c r="K70" i="108"/>
  <c r="L70" i="108"/>
  <c r="M70" i="108"/>
  <c r="N70" i="108"/>
  <c r="AD25" i="108" s="1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V26" i="108" s="1"/>
  <c r="G74" i="108"/>
  <c r="H74" i="108"/>
  <c r="I74" i="108"/>
  <c r="J74" i="108"/>
  <c r="Z26" i="108" s="1"/>
  <c r="K74" i="108"/>
  <c r="L74" i="108"/>
  <c r="M74" i="108"/>
  <c r="N74" i="108"/>
  <c r="AD26" i="108" s="1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AC26" i="108" s="1"/>
  <c r="N76" i="108"/>
  <c r="C77" i="108"/>
  <c r="D77" i="108"/>
  <c r="E77" i="108"/>
  <c r="U26" i="108" s="1"/>
  <c r="F77" i="108"/>
  <c r="G77" i="108"/>
  <c r="H77" i="108"/>
  <c r="I77" i="108"/>
  <c r="Y26" i="108" s="1"/>
  <c r="J77" i="108"/>
  <c r="K77" i="108"/>
  <c r="L77" i="108"/>
  <c r="M77" i="108"/>
  <c r="N77" i="108"/>
  <c r="C78" i="108"/>
  <c r="D78" i="108"/>
  <c r="E78" i="108"/>
  <c r="U27" i="108" s="1"/>
  <c r="F78" i="108"/>
  <c r="G78" i="108"/>
  <c r="H78" i="108"/>
  <c r="I78" i="108"/>
  <c r="Y27" i="108" s="1"/>
  <c r="J78" i="108"/>
  <c r="K78" i="108"/>
  <c r="L78" i="108"/>
  <c r="M78" i="108"/>
  <c r="AC27" i="108" s="1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V28" i="108" s="1"/>
  <c r="G82" i="108"/>
  <c r="H82" i="108"/>
  <c r="I82" i="108"/>
  <c r="J82" i="108"/>
  <c r="Z28" i="108" s="1"/>
  <c r="K82" i="108"/>
  <c r="L82" i="108"/>
  <c r="M82" i="108"/>
  <c r="N82" i="108"/>
  <c r="AD28" i="108" s="1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U29" i="108" s="1"/>
  <c r="F86" i="108"/>
  <c r="V29" i="108" s="1"/>
  <c r="G86" i="108"/>
  <c r="H86" i="108"/>
  <c r="I86" i="108"/>
  <c r="Y29" i="108" s="1"/>
  <c r="J86" i="108"/>
  <c r="Z29" i="108" s="1"/>
  <c r="K86" i="108"/>
  <c r="L86" i="108"/>
  <c r="M86" i="108"/>
  <c r="AC29" i="108" s="1"/>
  <c r="N86" i="108"/>
  <c r="AD29" i="108" s="1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V30" i="108" s="1"/>
  <c r="G90" i="108"/>
  <c r="H90" i="108"/>
  <c r="I90" i="108"/>
  <c r="J90" i="108"/>
  <c r="Z30" i="108" s="1"/>
  <c r="K90" i="108"/>
  <c r="L90" i="108"/>
  <c r="M90" i="108"/>
  <c r="N90" i="108"/>
  <c r="AD30" i="108" s="1"/>
  <c r="C91" i="108"/>
  <c r="D91" i="108"/>
  <c r="E91" i="108"/>
  <c r="F91" i="108"/>
  <c r="G91" i="108"/>
  <c r="H91" i="108"/>
  <c r="I91" i="108"/>
  <c r="J91" i="108"/>
  <c r="K91" i="108"/>
  <c r="L91" i="108"/>
  <c r="M91" i="108"/>
  <c r="N91" i="108"/>
  <c r="C92" i="108"/>
  <c r="D92" i="108"/>
  <c r="E92" i="108"/>
  <c r="F92" i="108"/>
  <c r="G92" i="108"/>
  <c r="H92" i="108"/>
  <c r="I92" i="108"/>
  <c r="J92" i="108"/>
  <c r="K92" i="108"/>
  <c r="L92" i="108"/>
  <c r="M92" i="108"/>
  <c r="N92" i="108"/>
  <c r="C93" i="108"/>
  <c r="D93" i="108"/>
  <c r="E93" i="108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U31" i="108" s="1"/>
  <c r="F94" i="108"/>
  <c r="V31" i="108" s="1"/>
  <c r="G94" i="108"/>
  <c r="H94" i="108"/>
  <c r="I94" i="108"/>
  <c r="Y31" i="108" s="1"/>
  <c r="J94" i="108"/>
  <c r="Z31" i="108" s="1"/>
  <c r="K94" i="108"/>
  <c r="L94" i="108"/>
  <c r="M94" i="108"/>
  <c r="AC31" i="108" s="1"/>
  <c r="N94" i="108"/>
  <c r="AD31" i="108" s="1"/>
  <c r="C95" i="108"/>
  <c r="D95" i="108"/>
  <c r="E95" i="108"/>
  <c r="F95" i="108"/>
  <c r="G95" i="108"/>
  <c r="H95" i="108"/>
  <c r="I95" i="108"/>
  <c r="J95" i="108"/>
  <c r="K95" i="108"/>
  <c r="L95" i="108"/>
  <c r="M95" i="108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F98" i="108"/>
  <c r="V32" i="108" s="1"/>
  <c r="G98" i="108"/>
  <c r="H98" i="108"/>
  <c r="I98" i="108"/>
  <c r="J98" i="108"/>
  <c r="Z32" i="108" s="1"/>
  <c r="K98" i="108"/>
  <c r="L98" i="108"/>
  <c r="M98" i="108"/>
  <c r="N98" i="108"/>
  <c r="AD32" i="108" s="1"/>
  <c r="C99" i="108"/>
  <c r="D99" i="108"/>
  <c r="E99" i="108"/>
  <c r="F99" i="108"/>
  <c r="G99" i="108"/>
  <c r="H99" i="108"/>
  <c r="I99" i="108"/>
  <c r="J99" i="108"/>
  <c r="K99" i="108"/>
  <c r="L99" i="108"/>
  <c r="M99" i="108"/>
  <c r="N99" i="108"/>
  <c r="C100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C101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C102" i="108"/>
  <c r="D102" i="108"/>
  <c r="E102" i="108"/>
  <c r="U33" i="108" s="1"/>
  <c r="F102" i="108"/>
  <c r="V33" i="108" s="1"/>
  <c r="G102" i="108"/>
  <c r="H102" i="108"/>
  <c r="I102" i="108"/>
  <c r="Y33" i="108" s="1"/>
  <c r="J102" i="108"/>
  <c r="Z33" i="108" s="1"/>
  <c r="K102" i="108"/>
  <c r="L102" i="108"/>
  <c r="M102" i="108"/>
  <c r="AC33" i="108" s="1"/>
  <c r="N102" i="108"/>
  <c r="AD33" i="108" s="1"/>
  <c r="C103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H58" i="108"/>
  <c r="I58" i="108"/>
  <c r="J58" i="108"/>
  <c r="K58" i="108"/>
  <c r="L58" i="108"/>
  <c r="M58" i="108"/>
  <c r="N58" i="108"/>
  <c r="C58" i="108"/>
  <c r="S22" i="108" s="1"/>
  <c r="S23" i="108"/>
  <c r="S24" i="108"/>
  <c r="S25" i="108"/>
  <c r="S26" i="108"/>
  <c r="S27" i="108"/>
  <c r="S28" i="108"/>
  <c r="P58" i="107"/>
  <c r="P59" i="107"/>
  <c r="P60" i="107"/>
  <c r="AF22" i="107" s="1"/>
  <c r="P61" i="107"/>
  <c r="P62" i="107"/>
  <c r="P63" i="107"/>
  <c r="P64" i="107"/>
  <c r="P65" i="107"/>
  <c r="P66" i="107"/>
  <c r="P67" i="107"/>
  <c r="AF24" i="107" s="1"/>
  <c r="P68" i="107"/>
  <c r="P69" i="107"/>
  <c r="P70" i="107"/>
  <c r="P71" i="107"/>
  <c r="P72" i="107"/>
  <c r="P73" i="107"/>
  <c r="AF25" i="107" s="1"/>
  <c r="P74" i="107"/>
  <c r="P75" i="107"/>
  <c r="P76" i="107"/>
  <c r="P77" i="107"/>
  <c r="P78" i="107"/>
  <c r="P79" i="107"/>
  <c r="P80" i="107"/>
  <c r="AF27" i="107" s="1"/>
  <c r="P81" i="107"/>
  <c r="P82" i="107"/>
  <c r="P83" i="107"/>
  <c r="P84" i="107"/>
  <c r="P85" i="107"/>
  <c r="AF28" i="107" s="1"/>
  <c r="P86" i="107"/>
  <c r="P87" i="107"/>
  <c r="P88" i="107"/>
  <c r="P89" i="107"/>
  <c r="P90" i="107"/>
  <c r="P91" i="107"/>
  <c r="P92" i="107"/>
  <c r="P93" i="107"/>
  <c r="P94" i="107"/>
  <c r="P95" i="107"/>
  <c r="P96" i="107"/>
  <c r="AF31" i="107" s="1"/>
  <c r="P97" i="107"/>
  <c r="P98" i="107"/>
  <c r="P99" i="107"/>
  <c r="P100" i="107"/>
  <c r="P101" i="107"/>
  <c r="AF32" i="107" s="1"/>
  <c r="P102" i="107"/>
  <c r="P103" i="107"/>
  <c r="AF33" i="107" s="1"/>
  <c r="P104" i="107"/>
  <c r="P105" i="107"/>
  <c r="O58" i="107"/>
  <c r="O59" i="107"/>
  <c r="O60" i="107"/>
  <c r="O61" i="107"/>
  <c r="O62" i="107"/>
  <c r="O63" i="107"/>
  <c r="O64" i="107"/>
  <c r="AE23" i="107" s="1"/>
  <c r="O65" i="107"/>
  <c r="O66" i="107"/>
  <c r="O67" i="107"/>
  <c r="O68" i="107"/>
  <c r="AE24" i="107" s="1"/>
  <c r="O69" i="107"/>
  <c r="O70" i="107"/>
  <c r="O71" i="107"/>
  <c r="O72" i="107"/>
  <c r="AE25" i="107" s="1"/>
  <c r="O73" i="107"/>
  <c r="O74" i="107"/>
  <c r="O75" i="107"/>
  <c r="O76" i="107"/>
  <c r="AE26" i="107" s="1"/>
  <c r="O77" i="107"/>
  <c r="O78" i="107"/>
  <c r="O79" i="107"/>
  <c r="O80" i="107"/>
  <c r="O81" i="107"/>
  <c r="AE27" i="107" s="1"/>
  <c r="O82" i="107"/>
  <c r="O83" i="107"/>
  <c r="O84" i="107"/>
  <c r="O85" i="107"/>
  <c r="AE28" i="107" s="1"/>
  <c r="O86" i="107"/>
  <c r="O87" i="107"/>
  <c r="O88" i="107"/>
  <c r="O89" i="107"/>
  <c r="O90" i="107"/>
  <c r="O91" i="107"/>
  <c r="O92" i="107"/>
  <c r="O93" i="107"/>
  <c r="O94" i="107"/>
  <c r="O95" i="107"/>
  <c r="O96" i="107"/>
  <c r="AE31" i="107" s="1"/>
  <c r="O97" i="107"/>
  <c r="O98" i="107"/>
  <c r="O99" i="107"/>
  <c r="O100" i="107"/>
  <c r="AE32" i="107" s="1"/>
  <c r="O101" i="107"/>
  <c r="O102" i="107"/>
  <c r="O103" i="107"/>
  <c r="O104" i="107"/>
  <c r="AE33" i="107" s="1"/>
  <c r="O105" i="107"/>
  <c r="C59" i="107"/>
  <c r="D59" i="107"/>
  <c r="E59" i="107"/>
  <c r="U22" i="107" s="1"/>
  <c r="F59" i="107"/>
  <c r="V22" i="107" s="1"/>
  <c r="G59" i="107"/>
  <c r="H59" i="107"/>
  <c r="I59" i="107"/>
  <c r="Y22" i="107" s="1"/>
  <c r="J59" i="107"/>
  <c r="Z22" i="107" s="1"/>
  <c r="K59" i="107"/>
  <c r="L59" i="107"/>
  <c r="M59" i="107"/>
  <c r="AC22" i="107" s="1"/>
  <c r="N59" i="107"/>
  <c r="AD22" i="107" s="1"/>
  <c r="C60" i="107"/>
  <c r="D60" i="107"/>
  <c r="E60" i="107"/>
  <c r="F60" i="107"/>
  <c r="G60" i="107"/>
  <c r="H60" i="107"/>
  <c r="I60" i="107"/>
  <c r="J60" i="107"/>
  <c r="K60" i="107"/>
  <c r="L60" i="107"/>
  <c r="M60" i="107"/>
  <c r="N60" i="107"/>
  <c r="C61" i="107"/>
  <c r="D61" i="107"/>
  <c r="E61" i="107"/>
  <c r="F61" i="107"/>
  <c r="G61" i="107"/>
  <c r="H61" i="107"/>
  <c r="I61" i="107"/>
  <c r="J61" i="107"/>
  <c r="K61" i="107"/>
  <c r="L61" i="107"/>
  <c r="M61" i="107"/>
  <c r="N61" i="107"/>
  <c r="C62" i="107"/>
  <c r="D62" i="107"/>
  <c r="E62" i="107"/>
  <c r="F62" i="107"/>
  <c r="V23" i="107" s="1"/>
  <c r="G62" i="107"/>
  <c r="H62" i="107"/>
  <c r="I62" i="107"/>
  <c r="J62" i="107"/>
  <c r="Z23" i="107" s="1"/>
  <c r="K62" i="107"/>
  <c r="L62" i="107"/>
  <c r="M62" i="107"/>
  <c r="N62" i="107"/>
  <c r="AD23" i="107" s="1"/>
  <c r="C63" i="107"/>
  <c r="D63" i="107"/>
  <c r="E63" i="107"/>
  <c r="F63" i="107"/>
  <c r="G63" i="107"/>
  <c r="H63" i="107"/>
  <c r="I63" i="107"/>
  <c r="J63" i="107"/>
  <c r="K63" i="107"/>
  <c r="L63" i="107"/>
  <c r="M63" i="107"/>
  <c r="N63" i="107"/>
  <c r="C64" i="107"/>
  <c r="D64" i="107"/>
  <c r="E64" i="107"/>
  <c r="F64" i="107"/>
  <c r="G64" i="107"/>
  <c r="H64" i="107"/>
  <c r="I64" i="107"/>
  <c r="J64" i="107"/>
  <c r="K64" i="107"/>
  <c r="L64" i="107"/>
  <c r="M64" i="107"/>
  <c r="N64" i="107"/>
  <c r="C65" i="107"/>
  <c r="D65" i="107"/>
  <c r="E65" i="107"/>
  <c r="F65" i="107"/>
  <c r="G65" i="107"/>
  <c r="H65" i="107"/>
  <c r="I65" i="107"/>
  <c r="J65" i="107"/>
  <c r="K65" i="107"/>
  <c r="L65" i="107"/>
  <c r="M65" i="107"/>
  <c r="N65" i="107"/>
  <c r="C66" i="107"/>
  <c r="D66" i="107"/>
  <c r="E66" i="107"/>
  <c r="U24" i="107" s="1"/>
  <c r="F66" i="107"/>
  <c r="V24" i="107" s="1"/>
  <c r="G66" i="107"/>
  <c r="H66" i="107"/>
  <c r="I66" i="107"/>
  <c r="Y24" i="107" s="1"/>
  <c r="J66" i="107"/>
  <c r="Z24" i="107" s="1"/>
  <c r="K66" i="107"/>
  <c r="L66" i="107"/>
  <c r="M66" i="107"/>
  <c r="AC24" i="107" s="1"/>
  <c r="N66" i="107"/>
  <c r="AD24" i="107" s="1"/>
  <c r="C67" i="107"/>
  <c r="D67" i="107"/>
  <c r="E67" i="107"/>
  <c r="F67" i="107"/>
  <c r="G67" i="107"/>
  <c r="H67" i="107"/>
  <c r="I67" i="107"/>
  <c r="J67" i="107"/>
  <c r="K67" i="107"/>
  <c r="L67" i="107"/>
  <c r="M67" i="107"/>
  <c r="N67" i="107"/>
  <c r="C68" i="107"/>
  <c r="D68" i="107"/>
  <c r="E68" i="107"/>
  <c r="F68" i="107"/>
  <c r="G68" i="107"/>
  <c r="H68" i="107"/>
  <c r="I68" i="107"/>
  <c r="J68" i="107"/>
  <c r="K68" i="107"/>
  <c r="L68" i="107"/>
  <c r="M68" i="107"/>
  <c r="N68" i="107"/>
  <c r="C69" i="107"/>
  <c r="D69" i="107"/>
  <c r="E69" i="107"/>
  <c r="F69" i="107"/>
  <c r="G69" i="107"/>
  <c r="H69" i="107"/>
  <c r="I69" i="107"/>
  <c r="J69" i="107"/>
  <c r="K69" i="107"/>
  <c r="L69" i="107"/>
  <c r="M69" i="107"/>
  <c r="N69" i="107"/>
  <c r="C70" i="107"/>
  <c r="D70" i="107"/>
  <c r="E70" i="107"/>
  <c r="F70" i="107"/>
  <c r="V25" i="107" s="1"/>
  <c r="G70" i="107"/>
  <c r="H70" i="107"/>
  <c r="I70" i="107"/>
  <c r="J70" i="107"/>
  <c r="Z25" i="107" s="1"/>
  <c r="K70" i="107"/>
  <c r="L70" i="107"/>
  <c r="M70" i="107"/>
  <c r="N70" i="107"/>
  <c r="AD25" i="107" s="1"/>
  <c r="C71" i="107"/>
  <c r="D71" i="107"/>
  <c r="E71" i="107"/>
  <c r="F71" i="107"/>
  <c r="G71" i="107"/>
  <c r="H71" i="107"/>
  <c r="I71" i="107"/>
  <c r="J71" i="107"/>
  <c r="K71" i="107"/>
  <c r="L71" i="107"/>
  <c r="M71" i="107"/>
  <c r="N71" i="107"/>
  <c r="C72" i="107"/>
  <c r="D72" i="107"/>
  <c r="E72" i="107"/>
  <c r="F72" i="107"/>
  <c r="G72" i="107"/>
  <c r="H72" i="107"/>
  <c r="I72" i="107"/>
  <c r="J72" i="107"/>
  <c r="K72" i="107"/>
  <c r="L72" i="107"/>
  <c r="M72" i="107"/>
  <c r="N72" i="107"/>
  <c r="C73" i="107"/>
  <c r="D73" i="107"/>
  <c r="E73" i="107"/>
  <c r="F73" i="107"/>
  <c r="G73" i="107"/>
  <c r="H73" i="107"/>
  <c r="I73" i="107"/>
  <c r="J73" i="107"/>
  <c r="K73" i="107"/>
  <c r="L73" i="107"/>
  <c r="M73" i="107"/>
  <c r="N73" i="107"/>
  <c r="C74" i="107"/>
  <c r="D74" i="107"/>
  <c r="E74" i="107"/>
  <c r="U26" i="107" s="1"/>
  <c r="F74" i="107"/>
  <c r="V26" i="107" s="1"/>
  <c r="G74" i="107"/>
  <c r="H74" i="107"/>
  <c r="I74" i="107"/>
  <c r="Y26" i="107" s="1"/>
  <c r="J74" i="107"/>
  <c r="Z26" i="107" s="1"/>
  <c r="K74" i="107"/>
  <c r="L74" i="107"/>
  <c r="M74" i="107"/>
  <c r="AC26" i="107" s="1"/>
  <c r="N74" i="107"/>
  <c r="AD26" i="107" s="1"/>
  <c r="C75" i="107"/>
  <c r="D75" i="107"/>
  <c r="E75" i="107"/>
  <c r="F75" i="107"/>
  <c r="G75" i="107"/>
  <c r="H75" i="107"/>
  <c r="I75" i="107"/>
  <c r="J75" i="107"/>
  <c r="K75" i="107"/>
  <c r="L75" i="107"/>
  <c r="M75" i="107"/>
  <c r="N75" i="107"/>
  <c r="C76" i="107"/>
  <c r="D76" i="107"/>
  <c r="E76" i="107"/>
  <c r="F76" i="107"/>
  <c r="G76" i="107"/>
  <c r="H76" i="107"/>
  <c r="I76" i="107"/>
  <c r="J76" i="107"/>
  <c r="K76" i="107"/>
  <c r="L76" i="107"/>
  <c r="M76" i="107"/>
  <c r="N76" i="107"/>
  <c r="C77" i="107"/>
  <c r="D77" i="107"/>
  <c r="E77" i="107"/>
  <c r="F77" i="107"/>
  <c r="G77" i="107"/>
  <c r="H77" i="107"/>
  <c r="I77" i="107"/>
  <c r="J77" i="107"/>
  <c r="K77" i="107"/>
  <c r="L77" i="107"/>
  <c r="M77" i="107"/>
  <c r="N77" i="107"/>
  <c r="C78" i="107"/>
  <c r="D78" i="107"/>
  <c r="E78" i="107"/>
  <c r="F78" i="107"/>
  <c r="V27" i="107" s="1"/>
  <c r="G78" i="107"/>
  <c r="H78" i="107"/>
  <c r="I78" i="107"/>
  <c r="J78" i="107"/>
  <c r="Z27" i="107" s="1"/>
  <c r="K78" i="107"/>
  <c r="L78" i="107"/>
  <c r="M78" i="107"/>
  <c r="N78" i="107"/>
  <c r="AD27" i="107" s="1"/>
  <c r="C79" i="107"/>
  <c r="D79" i="107"/>
  <c r="E79" i="107"/>
  <c r="F79" i="107"/>
  <c r="G79" i="107"/>
  <c r="H79" i="107"/>
  <c r="I79" i="107"/>
  <c r="J79" i="107"/>
  <c r="K79" i="107"/>
  <c r="L79" i="107"/>
  <c r="M79" i="107"/>
  <c r="N79" i="107"/>
  <c r="C80" i="107"/>
  <c r="D80" i="107"/>
  <c r="E80" i="107"/>
  <c r="F80" i="107"/>
  <c r="G80" i="107"/>
  <c r="H80" i="107"/>
  <c r="I80" i="107"/>
  <c r="J80" i="107"/>
  <c r="K80" i="107"/>
  <c r="L80" i="107"/>
  <c r="M80" i="107"/>
  <c r="N80" i="107"/>
  <c r="C81" i="107"/>
  <c r="D81" i="107"/>
  <c r="E81" i="107"/>
  <c r="F81" i="107"/>
  <c r="G81" i="107"/>
  <c r="H81" i="107"/>
  <c r="I81" i="107"/>
  <c r="J81" i="107"/>
  <c r="K81" i="107"/>
  <c r="L81" i="107"/>
  <c r="M81" i="107"/>
  <c r="N81" i="107"/>
  <c r="C82" i="107"/>
  <c r="D82" i="107"/>
  <c r="E82" i="107"/>
  <c r="U28" i="107" s="1"/>
  <c r="F82" i="107"/>
  <c r="V28" i="107" s="1"/>
  <c r="G82" i="107"/>
  <c r="H82" i="107"/>
  <c r="I82" i="107"/>
  <c r="Y28" i="107" s="1"/>
  <c r="J82" i="107"/>
  <c r="Z28" i="107" s="1"/>
  <c r="K82" i="107"/>
  <c r="L82" i="107"/>
  <c r="M82" i="107"/>
  <c r="AC28" i="107" s="1"/>
  <c r="N82" i="107"/>
  <c r="AD28" i="107" s="1"/>
  <c r="C83" i="107"/>
  <c r="D83" i="107"/>
  <c r="E83" i="107"/>
  <c r="F83" i="107"/>
  <c r="G83" i="107"/>
  <c r="H83" i="107"/>
  <c r="I83" i="107"/>
  <c r="J83" i="107"/>
  <c r="K83" i="107"/>
  <c r="L83" i="107"/>
  <c r="M83" i="107"/>
  <c r="N83" i="107"/>
  <c r="C84" i="107"/>
  <c r="D84" i="107"/>
  <c r="E84" i="107"/>
  <c r="F84" i="107"/>
  <c r="G84" i="107"/>
  <c r="H84" i="107"/>
  <c r="I84" i="107"/>
  <c r="J84" i="107"/>
  <c r="K84" i="107"/>
  <c r="L84" i="107"/>
  <c r="M84" i="107"/>
  <c r="N84" i="107"/>
  <c r="C85" i="107"/>
  <c r="D85" i="107"/>
  <c r="E85" i="107"/>
  <c r="F85" i="107"/>
  <c r="G85" i="107"/>
  <c r="H85" i="107"/>
  <c r="I85" i="107"/>
  <c r="J85" i="107"/>
  <c r="K85" i="107"/>
  <c r="L85" i="107"/>
  <c r="M85" i="107"/>
  <c r="N85" i="107"/>
  <c r="C86" i="107"/>
  <c r="D86" i="107"/>
  <c r="E86" i="107"/>
  <c r="F86" i="107"/>
  <c r="V29" i="107" s="1"/>
  <c r="G86" i="107"/>
  <c r="H86" i="107"/>
  <c r="I86" i="107"/>
  <c r="J86" i="107"/>
  <c r="Z29" i="107" s="1"/>
  <c r="K86" i="107"/>
  <c r="L86" i="107"/>
  <c r="M86" i="107"/>
  <c r="N86" i="107"/>
  <c r="AD29" i="107" s="1"/>
  <c r="C87" i="107"/>
  <c r="D87" i="107"/>
  <c r="E87" i="107"/>
  <c r="F87" i="107"/>
  <c r="G87" i="107"/>
  <c r="H87" i="107"/>
  <c r="I87" i="107"/>
  <c r="J87" i="107"/>
  <c r="K87" i="107"/>
  <c r="L87" i="107"/>
  <c r="M87" i="107"/>
  <c r="N87" i="107"/>
  <c r="C88" i="107"/>
  <c r="D88" i="107"/>
  <c r="E88" i="107"/>
  <c r="F88" i="107"/>
  <c r="G88" i="107"/>
  <c r="H88" i="107"/>
  <c r="I88" i="107"/>
  <c r="J88" i="107"/>
  <c r="K88" i="107"/>
  <c r="L88" i="107"/>
  <c r="M88" i="107"/>
  <c r="N88" i="107"/>
  <c r="C89" i="107"/>
  <c r="D89" i="107"/>
  <c r="E89" i="107"/>
  <c r="F89" i="107"/>
  <c r="G89" i="107"/>
  <c r="H89" i="107"/>
  <c r="I89" i="107"/>
  <c r="J89" i="107"/>
  <c r="K89" i="107"/>
  <c r="L89" i="107"/>
  <c r="M89" i="107"/>
  <c r="N89" i="107"/>
  <c r="C90" i="107"/>
  <c r="D90" i="107"/>
  <c r="E90" i="107"/>
  <c r="U30" i="107" s="1"/>
  <c r="F90" i="107"/>
  <c r="V30" i="107" s="1"/>
  <c r="G90" i="107"/>
  <c r="H90" i="107"/>
  <c r="I90" i="107"/>
  <c r="Y30" i="107" s="1"/>
  <c r="J90" i="107"/>
  <c r="Z30" i="107" s="1"/>
  <c r="K90" i="107"/>
  <c r="L90" i="107"/>
  <c r="M90" i="107"/>
  <c r="AC30" i="107" s="1"/>
  <c r="N90" i="107"/>
  <c r="AD30" i="107" s="1"/>
  <c r="C91" i="107"/>
  <c r="D91" i="107"/>
  <c r="E91" i="107"/>
  <c r="F91" i="107"/>
  <c r="G91" i="107"/>
  <c r="H91" i="107"/>
  <c r="I91" i="107"/>
  <c r="J91" i="107"/>
  <c r="K91" i="107"/>
  <c r="L91" i="107"/>
  <c r="M91" i="107"/>
  <c r="N91" i="107"/>
  <c r="C92" i="107"/>
  <c r="D92" i="107"/>
  <c r="E92" i="107"/>
  <c r="F92" i="107"/>
  <c r="G92" i="107"/>
  <c r="H92" i="107"/>
  <c r="I92" i="107"/>
  <c r="J92" i="107"/>
  <c r="K92" i="107"/>
  <c r="L92" i="107"/>
  <c r="M92" i="107"/>
  <c r="N92" i="107"/>
  <c r="C93" i="107"/>
  <c r="D93" i="107"/>
  <c r="E93" i="107"/>
  <c r="F93" i="107"/>
  <c r="G93" i="107"/>
  <c r="H93" i="107"/>
  <c r="I93" i="107"/>
  <c r="J93" i="107"/>
  <c r="K93" i="107"/>
  <c r="L93" i="107"/>
  <c r="M93" i="107"/>
  <c r="N93" i="107"/>
  <c r="C94" i="107"/>
  <c r="D94" i="107"/>
  <c r="E94" i="107"/>
  <c r="F94" i="107"/>
  <c r="V31" i="107" s="1"/>
  <c r="G94" i="107"/>
  <c r="H94" i="107"/>
  <c r="I94" i="107"/>
  <c r="J94" i="107"/>
  <c r="Z31" i="107" s="1"/>
  <c r="K94" i="107"/>
  <c r="L94" i="107"/>
  <c r="M94" i="107"/>
  <c r="N94" i="107"/>
  <c r="AD31" i="107" s="1"/>
  <c r="C95" i="107"/>
  <c r="D95" i="107"/>
  <c r="E95" i="107"/>
  <c r="F95" i="107"/>
  <c r="G95" i="107"/>
  <c r="H95" i="107"/>
  <c r="I95" i="107"/>
  <c r="J95" i="107"/>
  <c r="K95" i="107"/>
  <c r="L95" i="107"/>
  <c r="M95" i="107"/>
  <c r="N95" i="107"/>
  <c r="C96" i="107"/>
  <c r="D96" i="107"/>
  <c r="E96" i="107"/>
  <c r="F96" i="107"/>
  <c r="G96" i="107"/>
  <c r="H96" i="107"/>
  <c r="I96" i="107"/>
  <c r="J96" i="107"/>
  <c r="K96" i="107"/>
  <c r="L96" i="107"/>
  <c r="M96" i="107"/>
  <c r="N96" i="107"/>
  <c r="C97" i="107"/>
  <c r="D97" i="107"/>
  <c r="E97" i="107"/>
  <c r="F97" i="107"/>
  <c r="G97" i="107"/>
  <c r="H97" i="107"/>
  <c r="I97" i="107"/>
  <c r="J97" i="107"/>
  <c r="K97" i="107"/>
  <c r="L97" i="107"/>
  <c r="M97" i="107"/>
  <c r="N97" i="107"/>
  <c r="C98" i="107"/>
  <c r="D98" i="107"/>
  <c r="E98" i="107"/>
  <c r="U32" i="107" s="1"/>
  <c r="F98" i="107"/>
  <c r="V32" i="107" s="1"/>
  <c r="G98" i="107"/>
  <c r="H98" i="107"/>
  <c r="I98" i="107"/>
  <c r="Y32" i="107" s="1"/>
  <c r="J98" i="107"/>
  <c r="Z32" i="107" s="1"/>
  <c r="K98" i="107"/>
  <c r="L98" i="107"/>
  <c r="M98" i="107"/>
  <c r="AC32" i="107" s="1"/>
  <c r="N98" i="107"/>
  <c r="AD32" i="107" s="1"/>
  <c r="C99" i="107"/>
  <c r="D99" i="107"/>
  <c r="E99" i="107"/>
  <c r="F99" i="107"/>
  <c r="G99" i="107"/>
  <c r="H99" i="107"/>
  <c r="I99" i="107"/>
  <c r="J99" i="107"/>
  <c r="K99" i="107"/>
  <c r="L99" i="107"/>
  <c r="M99" i="107"/>
  <c r="N99" i="107"/>
  <c r="C100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C101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C102" i="107"/>
  <c r="D102" i="107"/>
  <c r="E102" i="107"/>
  <c r="F102" i="107"/>
  <c r="V33" i="107" s="1"/>
  <c r="G102" i="107"/>
  <c r="H102" i="107"/>
  <c r="I102" i="107"/>
  <c r="J102" i="107"/>
  <c r="Z33" i="107" s="1"/>
  <c r="K102" i="107"/>
  <c r="L102" i="107"/>
  <c r="M102" i="107"/>
  <c r="N102" i="107"/>
  <c r="AD33" i="107" s="1"/>
  <c r="C103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C104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C105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D58" i="107"/>
  <c r="E58" i="107"/>
  <c r="F58" i="107"/>
  <c r="G58" i="107"/>
  <c r="H58" i="107"/>
  <c r="I58" i="107"/>
  <c r="J58" i="107"/>
  <c r="K58" i="107"/>
  <c r="L58" i="107"/>
  <c r="M58" i="107"/>
  <c r="N58" i="107"/>
  <c r="C58" i="107"/>
  <c r="AF33" i="111"/>
  <c r="AC33" i="111"/>
  <c r="AB33" i="111"/>
  <c r="AA33" i="111"/>
  <c r="Y33" i="111"/>
  <c r="X33" i="111"/>
  <c r="W33" i="111"/>
  <c r="U33" i="111"/>
  <c r="T33" i="111"/>
  <c r="S33" i="111"/>
  <c r="AE32" i="111"/>
  <c r="AD32" i="111"/>
  <c r="AB32" i="111"/>
  <c r="AA32" i="111"/>
  <c r="Z32" i="111"/>
  <c r="X32" i="111"/>
  <c r="W32" i="111"/>
  <c r="V32" i="111"/>
  <c r="T32" i="111"/>
  <c r="S32" i="111"/>
  <c r="AC31" i="111"/>
  <c r="AB31" i="111"/>
  <c r="AA31" i="111"/>
  <c r="Y31" i="111"/>
  <c r="X31" i="111"/>
  <c r="W31" i="111"/>
  <c r="U31" i="111"/>
  <c r="T31" i="111"/>
  <c r="S31" i="111"/>
  <c r="AD30" i="111"/>
  <c r="AB30" i="111"/>
  <c r="AA30" i="111"/>
  <c r="Z30" i="111"/>
  <c r="X30" i="111"/>
  <c r="W30" i="111"/>
  <c r="V30" i="111"/>
  <c r="T30" i="111"/>
  <c r="S30" i="111"/>
  <c r="AC29" i="111"/>
  <c r="AB29" i="111"/>
  <c r="AA29" i="111"/>
  <c r="Y29" i="111"/>
  <c r="X29" i="111"/>
  <c r="W29" i="111"/>
  <c r="U29" i="111"/>
  <c r="T29" i="111"/>
  <c r="S29" i="111"/>
  <c r="AE28" i="111"/>
  <c r="AD28" i="111"/>
  <c r="AC28" i="111"/>
  <c r="AB28" i="111"/>
  <c r="AA28" i="111"/>
  <c r="Z28" i="111"/>
  <c r="Y28" i="111"/>
  <c r="X28" i="111"/>
  <c r="W28" i="111"/>
  <c r="V28" i="111"/>
  <c r="U28" i="111"/>
  <c r="T28" i="111"/>
  <c r="S28" i="111"/>
  <c r="AC27" i="111"/>
  <c r="AB27" i="111"/>
  <c r="AA27" i="111"/>
  <c r="Y27" i="111"/>
  <c r="X27" i="111"/>
  <c r="W27" i="111"/>
  <c r="U27" i="111"/>
  <c r="T27" i="111"/>
  <c r="S27" i="111"/>
  <c r="AD26" i="111"/>
  <c r="AC26" i="111"/>
  <c r="AB26" i="111"/>
  <c r="AA26" i="111"/>
  <c r="Z26" i="111"/>
  <c r="Y26" i="111"/>
  <c r="X26" i="111"/>
  <c r="W26" i="111"/>
  <c r="V26" i="111"/>
  <c r="U26" i="111"/>
  <c r="T26" i="111"/>
  <c r="S26" i="111"/>
  <c r="AF25" i="111"/>
  <c r="AC25" i="111"/>
  <c r="AB25" i="111"/>
  <c r="AA25" i="111"/>
  <c r="Y25" i="111"/>
  <c r="X25" i="111"/>
  <c r="W25" i="111"/>
  <c r="U25" i="111"/>
  <c r="T25" i="111"/>
  <c r="S25" i="111"/>
  <c r="AD24" i="111"/>
  <c r="AC24" i="111"/>
  <c r="AB24" i="111"/>
  <c r="AA24" i="111"/>
  <c r="Z24" i="111"/>
  <c r="Y24" i="111"/>
  <c r="X24" i="111"/>
  <c r="W24" i="111"/>
  <c r="V24" i="111"/>
  <c r="U24" i="111"/>
  <c r="T24" i="111"/>
  <c r="S24" i="111"/>
  <c r="AE23" i="111"/>
  <c r="AC23" i="111"/>
  <c r="AB23" i="111"/>
  <c r="AA23" i="111"/>
  <c r="Y23" i="111"/>
  <c r="X23" i="111"/>
  <c r="W23" i="111"/>
  <c r="U23" i="111"/>
  <c r="T23" i="111"/>
  <c r="S23" i="111"/>
  <c r="AC22" i="111"/>
  <c r="AB22" i="111"/>
  <c r="Y22" i="111"/>
  <c r="X22" i="111"/>
  <c r="T22" i="111"/>
  <c r="S22" i="111"/>
  <c r="AF21" i="111"/>
  <c r="AE21" i="111"/>
  <c r="AD21" i="111"/>
  <c r="AC21" i="111"/>
  <c r="AB21" i="111"/>
  <c r="AA21" i="111"/>
  <c r="Z21" i="111"/>
  <c r="Y21" i="111"/>
  <c r="X21" i="111"/>
  <c r="W21" i="111"/>
  <c r="V21" i="111"/>
  <c r="U21" i="111"/>
  <c r="T21" i="111"/>
  <c r="S21" i="111"/>
  <c r="AF20" i="111"/>
  <c r="AE20" i="111"/>
  <c r="AD20" i="111"/>
  <c r="AC20" i="111"/>
  <c r="AC36" i="111" s="1"/>
  <c r="AB20" i="111"/>
  <c r="AA20" i="111"/>
  <c r="Z20" i="111"/>
  <c r="Y20" i="111"/>
  <c r="Y36" i="111" s="1"/>
  <c r="X20" i="111"/>
  <c r="W20" i="111"/>
  <c r="V20" i="111"/>
  <c r="U20" i="111"/>
  <c r="U36" i="111" s="1"/>
  <c r="T20" i="111"/>
  <c r="S20" i="111"/>
  <c r="AF19" i="111"/>
  <c r="AF36" i="111" s="1"/>
  <c r="AE19" i="111"/>
  <c r="AE36" i="111" s="1"/>
  <c r="AD19" i="111"/>
  <c r="AD39" i="111" s="1"/>
  <c r="AC19" i="111"/>
  <c r="AC39" i="111" s="1"/>
  <c r="AB19" i="111"/>
  <c r="AB36" i="111" s="1"/>
  <c r="AA19" i="111"/>
  <c r="AA36" i="111" s="1"/>
  <c r="Z19" i="111"/>
  <c r="Z39" i="111" s="1"/>
  <c r="Y19" i="111"/>
  <c r="Y39" i="111" s="1"/>
  <c r="X19" i="111"/>
  <c r="X36" i="111" s="1"/>
  <c r="W19" i="111"/>
  <c r="W39" i="111" s="1"/>
  <c r="V19" i="111"/>
  <c r="V39" i="111" s="1"/>
  <c r="U19" i="111"/>
  <c r="U39" i="111" s="1"/>
  <c r="T19" i="111"/>
  <c r="T36" i="111" s="1"/>
  <c r="S19" i="111"/>
  <c r="S36" i="111" s="1"/>
  <c r="AF18" i="111"/>
  <c r="AE18" i="111"/>
  <c r="AD18" i="111"/>
  <c r="AC18" i="111"/>
  <c r="AB18" i="111"/>
  <c r="AA18" i="111"/>
  <c r="Z18" i="111"/>
  <c r="Y18" i="111"/>
  <c r="X18" i="111"/>
  <c r="W18" i="111"/>
  <c r="V18" i="111"/>
  <c r="U18" i="111"/>
  <c r="T18" i="111"/>
  <c r="S18" i="111"/>
  <c r="AF17" i="111"/>
  <c r="AE17" i="111"/>
  <c r="AD17" i="111"/>
  <c r="AC17" i="111"/>
  <c r="AB17" i="111"/>
  <c r="AA17" i="111"/>
  <c r="Z17" i="111"/>
  <c r="Y17" i="111"/>
  <c r="X17" i="111"/>
  <c r="W17" i="111"/>
  <c r="V17" i="111"/>
  <c r="U17" i="111"/>
  <c r="T17" i="111"/>
  <c r="S17" i="111"/>
  <c r="AF16" i="111"/>
  <c r="AE16" i="111"/>
  <c r="AD16" i="111"/>
  <c r="AC16" i="111"/>
  <c r="AB16" i="111"/>
  <c r="AA16" i="111"/>
  <c r="Z16" i="111"/>
  <c r="Y16" i="111"/>
  <c r="X16" i="111"/>
  <c r="W16" i="111"/>
  <c r="V16" i="111"/>
  <c r="U16" i="111"/>
  <c r="T16" i="111"/>
  <c r="S16" i="111"/>
  <c r="AF15" i="111"/>
  <c r="AE15" i="111"/>
  <c r="AD15" i="111"/>
  <c r="AC15" i="111"/>
  <c r="AB15" i="111"/>
  <c r="AA15" i="111"/>
  <c r="Z15" i="111"/>
  <c r="Y15" i="111"/>
  <c r="X15" i="111"/>
  <c r="W15" i="111"/>
  <c r="V15" i="111"/>
  <c r="U15" i="111"/>
  <c r="T15" i="111"/>
  <c r="S15" i="111"/>
  <c r="AF14" i="111"/>
  <c r="AE14" i="111"/>
  <c r="AD14" i="111"/>
  <c r="AC14" i="111"/>
  <c r="AC38" i="111" s="1"/>
  <c r="AB14" i="111"/>
  <c r="AA14" i="111"/>
  <c r="Z14" i="111"/>
  <c r="Y14" i="111"/>
  <c r="Y38" i="111" s="1"/>
  <c r="X14" i="111"/>
  <c r="W14" i="111"/>
  <c r="V14" i="111"/>
  <c r="U14" i="111"/>
  <c r="U38" i="111" s="1"/>
  <c r="T14" i="111"/>
  <c r="S14" i="111"/>
  <c r="AF13" i="111"/>
  <c r="AF38" i="111" s="1"/>
  <c r="AE13" i="111"/>
  <c r="AE35" i="111" s="1"/>
  <c r="AD13" i="111"/>
  <c r="AD35" i="111" s="1"/>
  <c r="AC13" i="111"/>
  <c r="AC35" i="111" s="1"/>
  <c r="AB13" i="111"/>
  <c r="AB38" i="111" s="1"/>
  <c r="AA13" i="111"/>
  <c r="AA38" i="111" s="1"/>
  <c r="Z13" i="111"/>
  <c r="Z35" i="111" s="1"/>
  <c r="Y13" i="111"/>
  <c r="Y35" i="111" s="1"/>
  <c r="X13" i="111"/>
  <c r="X38" i="111" s="1"/>
  <c r="W13" i="111"/>
  <c r="W38" i="111" s="1"/>
  <c r="V13" i="111"/>
  <c r="V35" i="111" s="1"/>
  <c r="U13" i="111"/>
  <c r="U35" i="111" s="1"/>
  <c r="T13" i="111"/>
  <c r="T38" i="111" s="1"/>
  <c r="S13" i="111"/>
  <c r="S38" i="111" s="1"/>
  <c r="AF12" i="111"/>
  <c r="AE12" i="111"/>
  <c r="AD12" i="111"/>
  <c r="AC12" i="111"/>
  <c r="AB12" i="111"/>
  <c r="AA12" i="111"/>
  <c r="Z12" i="111"/>
  <c r="Y12" i="111"/>
  <c r="X12" i="111"/>
  <c r="W12" i="111"/>
  <c r="V12" i="111"/>
  <c r="U12" i="111"/>
  <c r="T12" i="111"/>
  <c r="S12" i="111"/>
  <c r="AF11" i="111"/>
  <c r="AE11" i="111"/>
  <c r="AD11" i="111"/>
  <c r="AC11" i="111"/>
  <c r="AB11" i="111"/>
  <c r="AA11" i="111"/>
  <c r="AA37" i="111" s="1"/>
  <c r="Z11" i="111"/>
  <c r="Y11" i="111"/>
  <c r="X11" i="111"/>
  <c r="W11" i="111"/>
  <c r="V11" i="111"/>
  <c r="U11" i="111"/>
  <c r="T11" i="111"/>
  <c r="S11" i="111"/>
  <c r="AF10" i="111"/>
  <c r="AF40" i="111" s="1"/>
  <c r="AE10" i="111"/>
  <c r="AE40" i="111" s="1"/>
  <c r="AD10" i="111"/>
  <c r="AC10" i="111"/>
  <c r="AC34" i="111" s="1"/>
  <c r="AB10" i="111"/>
  <c r="AB40" i="111" s="1"/>
  <c r="AA10" i="111"/>
  <c r="AA40" i="111" s="1"/>
  <c r="Z10" i="111"/>
  <c r="Y10" i="111"/>
  <c r="X10" i="111"/>
  <c r="X40" i="111" s="1"/>
  <c r="W10" i="111"/>
  <c r="W40" i="111" s="1"/>
  <c r="V10" i="111"/>
  <c r="U10" i="111"/>
  <c r="U40" i="111" s="1"/>
  <c r="T10" i="111"/>
  <c r="T40" i="111" s="1"/>
  <c r="S10" i="111"/>
  <c r="S40" i="111" s="1"/>
  <c r="AE33" i="108"/>
  <c r="AB33" i="108"/>
  <c r="AA33" i="108"/>
  <c r="X33" i="108"/>
  <c r="W33" i="108"/>
  <c r="T33" i="108"/>
  <c r="S33" i="108"/>
  <c r="AE32" i="108"/>
  <c r="AC32" i="108"/>
  <c r="AB32" i="108"/>
  <c r="AA32" i="108"/>
  <c r="Y32" i="108"/>
  <c r="X32" i="108"/>
  <c r="W32" i="108"/>
  <c r="U32" i="108"/>
  <c r="T32" i="108"/>
  <c r="S32" i="108"/>
  <c r="AB31" i="108"/>
  <c r="AA31" i="108"/>
  <c r="X31" i="108"/>
  <c r="W31" i="108"/>
  <c r="T31" i="108"/>
  <c r="S31" i="108"/>
  <c r="AC30" i="108"/>
  <c r="AB30" i="108"/>
  <c r="AA30" i="108"/>
  <c r="Y30" i="108"/>
  <c r="X30" i="108"/>
  <c r="W30" i="108"/>
  <c r="U30" i="108"/>
  <c r="T30" i="108"/>
  <c r="S30" i="108"/>
  <c r="AB29" i="108"/>
  <c r="AA29" i="108"/>
  <c r="X29" i="108"/>
  <c r="W29" i="108"/>
  <c r="T29" i="108"/>
  <c r="S29" i="108"/>
  <c r="AC28" i="108"/>
  <c r="AB28" i="108"/>
  <c r="AA28" i="108"/>
  <c r="Y28" i="108"/>
  <c r="X28" i="108"/>
  <c r="W28" i="108"/>
  <c r="U28" i="108"/>
  <c r="T28" i="108"/>
  <c r="AE27" i="108"/>
  <c r="AD27" i="108"/>
  <c r="AB27" i="108"/>
  <c r="AA27" i="108"/>
  <c r="Z27" i="108"/>
  <c r="X27" i="108"/>
  <c r="W27" i="108"/>
  <c r="V27" i="108"/>
  <c r="T27" i="108"/>
  <c r="AB26" i="108"/>
  <c r="AA26" i="108"/>
  <c r="X26" i="108"/>
  <c r="W26" i="108"/>
  <c r="T26" i="108"/>
  <c r="AC25" i="108"/>
  <c r="AB25" i="108"/>
  <c r="AA25" i="108"/>
  <c r="Y25" i="108"/>
  <c r="X25" i="108"/>
  <c r="W25" i="108"/>
  <c r="U25" i="108"/>
  <c r="T25" i="108"/>
  <c r="AF24" i="108"/>
  <c r="AC24" i="108"/>
  <c r="AB24" i="108"/>
  <c r="AA24" i="108"/>
  <c r="Y24" i="108"/>
  <c r="X24" i="108"/>
  <c r="W24" i="108"/>
  <c r="U24" i="108"/>
  <c r="T24" i="108"/>
  <c r="AD23" i="108"/>
  <c r="AC23" i="108"/>
  <c r="AB23" i="108"/>
  <c r="AA23" i="108"/>
  <c r="Z23" i="108"/>
  <c r="Y23" i="108"/>
  <c r="X23" i="108"/>
  <c r="W23" i="108"/>
  <c r="V23" i="108"/>
  <c r="U23" i="108"/>
  <c r="T23" i="108"/>
  <c r="AC22" i="108"/>
  <c r="AB22" i="108"/>
  <c r="AA22" i="108"/>
  <c r="Y22" i="108"/>
  <c r="X22" i="108"/>
  <c r="W22" i="108"/>
  <c r="U22" i="108"/>
  <c r="T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B20" i="108"/>
  <c r="AA20" i="108"/>
  <c r="Z20" i="108"/>
  <c r="Y20" i="108"/>
  <c r="X20" i="108"/>
  <c r="W20" i="108"/>
  <c r="V20" i="108"/>
  <c r="U20" i="108"/>
  <c r="T20" i="108"/>
  <c r="S20" i="108"/>
  <c r="AF19" i="108"/>
  <c r="AF36" i="108" s="1"/>
  <c r="AE19" i="108"/>
  <c r="AE36" i="108" s="1"/>
  <c r="AD19" i="108"/>
  <c r="AD39" i="108" s="1"/>
  <c r="AC19" i="108"/>
  <c r="AC39" i="108" s="1"/>
  <c r="AB19" i="108"/>
  <c r="AB36" i="108" s="1"/>
  <c r="AA19" i="108"/>
  <c r="AA36" i="108" s="1"/>
  <c r="Z19" i="108"/>
  <c r="Z39" i="108" s="1"/>
  <c r="Y19" i="108"/>
  <c r="Y39" i="108" s="1"/>
  <c r="X19" i="108"/>
  <c r="X36" i="108" s="1"/>
  <c r="W19" i="108"/>
  <c r="W36" i="108" s="1"/>
  <c r="V19" i="108"/>
  <c r="V39" i="108" s="1"/>
  <c r="U19" i="108"/>
  <c r="U39" i="108" s="1"/>
  <c r="T19" i="108"/>
  <c r="T36" i="108" s="1"/>
  <c r="S19" i="108"/>
  <c r="S36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Z15" i="108"/>
  <c r="Y15" i="108"/>
  <c r="X15" i="108"/>
  <c r="W15" i="108"/>
  <c r="V15" i="108"/>
  <c r="U15" i="108"/>
  <c r="T15" i="108"/>
  <c r="S15" i="108"/>
  <c r="AF14" i="108"/>
  <c r="AE14" i="108"/>
  <c r="AD14" i="108"/>
  <c r="AC14" i="108"/>
  <c r="AB14" i="108"/>
  <c r="AA14" i="108"/>
  <c r="Z14" i="108"/>
  <c r="Y14" i="108"/>
  <c r="X14" i="108"/>
  <c r="W14" i="108"/>
  <c r="V14" i="108"/>
  <c r="U14" i="108"/>
  <c r="T14" i="108"/>
  <c r="S14" i="108"/>
  <c r="AF13" i="108"/>
  <c r="AF38" i="108" s="1"/>
  <c r="AE13" i="108"/>
  <c r="AE38" i="108" s="1"/>
  <c r="AD13" i="108"/>
  <c r="AD35" i="108" s="1"/>
  <c r="AC13" i="108"/>
  <c r="AC35" i="108" s="1"/>
  <c r="AB13" i="108"/>
  <c r="AB38" i="108" s="1"/>
  <c r="AA13" i="108"/>
  <c r="AA38" i="108" s="1"/>
  <c r="Z13" i="108"/>
  <c r="Z35" i="108" s="1"/>
  <c r="Y13" i="108"/>
  <c r="Y35" i="108" s="1"/>
  <c r="X13" i="108"/>
  <c r="X38" i="108" s="1"/>
  <c r="W13" i="108"/>
  <c r="W38" i="108" s="1"/>
  <c r="V13" i="108"/>
  <c r="V35" i="108" s="1"/>
  <c r="U13" i="108"/>
  <c r="U35" i="108" s="1"/>
  <c r="T13" i="108"/>
  <c r="T38" i="108" s="1"/>
  <c r="S13" i="108"/>
  <c r="S38" i="108" s="1"/>
  <c r="AF12" i="108"/>
  <c r="AE12" i="108"/>
  <c r="AD12" i="108"/>
  <c r="AC12" i="108"/>
  <c r="AB12" i="108"/>
  <c r="AA12" i="108"/>
  <c r="Z12" i="108"/>
  <c r="Y12" i="108"/>
  <c r="X12" i="108"/>
  <c r="W12" i="108"/>
  <c r="V12" i="108"/>
  <c r="U12" i="108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40" i="108" s="1"/>
  <c r="AE10" i="108"/>
  <c r="AE40" i="108" s="1"/>
  <c r="AD10" i="108"/>
  <c r="AC10" i="108"/>
  <c r="AB10" i="108"/>
  <c r="AB40" i="108" s="1"/>
  <c r="AA10" i="108"/>
  <c r="AA40" i="108" s="1"/>
  <c r="Z10" i="108"/>
  <c r="Y10" i="108"/>
  <c r="X10" i="108"/>
  <c r="X40" i="108" s="1"/>
  <c r="W10" i="108"/>
  <c r="W40" i="108" s="1"/>
  <c r="V10" i="108"/>
  <c r="U10" i="108"/>
  <c r="T10" i="108"/>
  <c r="T40" i="108" s="1"/>
  <c r="S10" i="108"/>
  <c r="S40" i="108" s="1"/>
  <c r="AC33" i="107"/>
  <c r="AB33" i="107"/>
  <c r="AA33" i="107"/>
  <c r="Y33" i="107"/>
  <c r="X33" i="107"/>
  <c r="W33" i="107"/>
  <c r="U33" i="107"/>
  <c r="T33" i="107"/>
  <c r="S33" i="107"/>
  <c r="AB32" i="107"/>
  <c r="AA32" i="107"/>
  <c r="X32" i="107"/>
  <c r="W32" i="107"/>
  <c r="T32" i="107"/>
  <c r="S32" i="107"/>
  <c r="AC31" i="107"/>
  <c r="AB31" i="107"/>
  <c r="AA31" i="107"/>
  <c r="Y31" i="107"/>
  <c r="X31" i="107"/>
  <c r="W31" i="107"/>
  <c r="U31" i="107"/>
  <c r="T31" i="107"/>
  <c r="S31" i="107"/>
  <c r="AF30" i="107"/>
  <c r="AE30" i="107"/>
  <c r="AB30" i="107"/>
  <c r="AA30" i="107"/>
  <c r="X30" i="107"/>
  <c r="W30" i="107"/>
  <c r="T30" i="107"/>
  <c r="S30" i="107"/>
  <c r="AF29" i="107"/>
  <c r="AE29" i="107"/>
  <c r="AC29" i="107"/>
  <c r="AB29" i="107"/>
  <c r="AA29" i="107"/>
  <c r="Y29" i="107"/>
  <c r="X29" i="107"/>
  <c r="W29" i="107"/>
  <c r="U29" i="107"/>
  <c r="T29" i="107"/>
  <c r="S29" i="107"/>
  <c r="AB28" i="107"/>
  <c r="AA28" i="107"/>
  <c r="X28" i="107"/>
  <c r="W28" i="107"/>
  <c r="T28" i="107"/>
  <c r="S28" i="107"/>
  <c r="AC27" i="107"/>
  <c r="AB27" i="107"/>
  <c r="AA27" i="107"/>
  <c r="Y27" i="107"/>
  <c r="X27" i="107"/>
  <c r="W27" i="107"/>
  <c r="U27" i="107"/>
  <c r="T27" i="107"/>
  <c r="S27" i="107"/>
  <c r="AF26" i="107"/>
  <c r="AB26" i="107"/>
  <c r="AA26" i="107"/>
  <c r="X26" i="107"/>
  <c r="W26" i="107"/>
  <c r="T26" i="107"/>
  <c r="S26" i="107"/>
  <c r="AC25" i="107"/>
  <c r="AB25" i="107"/>
  <c r="AA25" i="107"/>
  <c r="Y25" i="107"/>
  <c r="X25" i="107"/>
  <c r="W25" i="107"/>
  <c r="U25" i="107"/>
  <c r="T25" i="107"/>
  <c r="S25" i="107"/>
  <c r="AB24" i="107"/>
  <c r="AA24" i="107"/>
  <c r="X24" i="107"/>
  <c r="W24" i="107"/>
  <c r="T24" i="107"/>
  <c r="S24" i="107"/>
  <c r="AF23" i="107"/>
  <c r="AC23" i="107"/>
  <c r="AB23" i="107"/>
  <c r="AA23" i="107"/>
  <c r="Y23" i="107"/>
  <c r="X23" i="107"/>
  <c r="W23" i="107"/>
  <c r="U23" i="107"/>
  <c r="T23" i="107"/>
  <c r="S23" i="107"/>
  <c r="AE22" i="107"/>
  <c r="AB22" i="107"/>
  <c r="AA22" i="107"/>
  <c r="X22" i="107"/>
  <c r="W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C36" i="107" s="1"/>
  <c r="AB20" i="107"/>
  <c r="AA20" i="107"/>
  <c r="Z20" i="107"/>
  <c r="Y20" i="107"/>
  <c r="Y36" i="107" s="1"/>
  <c r="X20" i="107"/>
  <c r="W20" i="107"/>
  <c r="V20" i="107"/>
  <c r="U20" i="107"/>
  <c r="U36" i="107" s="1"/>
  <c r="T20" i="107"/>
  <c r="S20" i="107"/>
  <c r="AF19" i="107"/>
  <c r="AF36" i="107" s="1"/>
  <c r="AE19" i="107"/>
  <c r="AE36" i="107" s="1"/>
  <c r="AD19" i="107"/>
  <c r="AD39" i="107" s="1"/>
  <c r="AC19" i="107"/>
  <c r="AC39" i="107" s="1"/>
  <c r="AB19" i="107"/>
  <c r="AB36" i="107" s="1"/>
  <c r="AA19" i="107"/>
  <c r="AA39" i="107" s="1"/>
  <c r="Z19" i="107"/>
  <c r="Z39" i="107" s="1"/>
  <c r="Y19" i="107"/>
  <c r="Y39" i="107" s="1"/>
  <c r="X19" i="107"/>
  <c r="X36" i="107" s="1"/>
  <c r="W19" i="107"/>
  <c r="W36" i="107" s="1"/>
  <c r="V19" i="107"/>
  <c r="V39" i="107" s="1"/>
  <c r="U19" i="107"/>
  <c r="U39" i="107" s="1"/>
  <c r="T19" i="107"/>
  <c r="T36" i="107" s="1"/>
  <c r="S19" i="107"/>
  <c r="S36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Z15" i="107"/>
  <c r="Y15" i="107"/>
  <c r="X15" i="107"/>
  <c r="W15" i="107"/>
  <c r="V15" i="107"/>
  <c r="U15" i="107"/>
  <c r="T15" i="107"/>
  <c r="S15" i="107"/>
  <c r="AF14" i="107"/>
  <c r="AE14" i="107"/>
  <c r="AD14" i="107"/>
  <c r="AC14" i="107"/>
  <c r="AC38" i="107" s="1"/>
  <c r="AB14" i="107"/>
  <c r="AA14" i="107"/>
  <c r="Z14" i="107"/>
  <c r="Y14" i="107"/>
  <c r="Y38" i="107" s="1"/>
  <c r="X14" i="107"/>
  <c r="W14" i="107"/>
  <c r="V14" i="107"/>
  <c r="U14" i="107"/>
  <c r="U38" i="107" s="1"/>
  <c r="T14" i="107"/>
  <c r="S14" i="107"/>
  <c r="AF13" i="107"/>
  <c r="AF38" i="107" s="1"/>
  <c r="AE13" i="107"/>
  <c r="AE38" i="107" s="1"/>
  <c r="AD13" i="107"/>
  <c r="AD35" i="107" s="1"/>
  <c r="AC13" i="107"/>
  <c r="AC35" i="107" s="1"/>
  <c r="AB13" i="107"/>
  <c r="AB38" i="107" s="1"/>
  <c r="AA13" i="107"/>
  <c r="AA38" i="107" s="1"/>
  <c r="Z13" i="107"/>
  <c r="Z35" i="107" s="1"/>
  <c r="Y13" i="107"/>
  <c r="Y35" i="107" s="1"/>
  <c r="X13" i="107"/>
  <c r="X38" i="107" s="1"/>
  <c r="W13" i="107"/>
  <c r="W35" i="107" s="1"/>
  <c r="V13" i="107"/>
  <c r="V35" i="107" s="1"/>
  <c r="U13" i="107"/>
  <c r="U35" i="107" s="1"/>
  <c r="T13" i="107"/>
  <c r="T38" i="107" s="1"/>
  <c r="S13" i="107"/>
  <c r="S38" i="107" s="1"/>
  <c r="AF12" i="107"/>
  <c r="AE12" i="107"/>
  <c r="AD12" i="107"/>
  <c r="AC12" i="107"/>
  <c r="AB12" i="107"/>
  <c r="AA12" i="107"/>
  <c r="Z12" i="107"/>
  <c r="Y12" i="107"/>
  <c r="X12" i="107"/>
  <c r="W12" i="107"/>
  <c r="V12" i="107"/>
  <c r="U12" i="107"/>
  <c r="T12" i="107"/>
  <c r="S12" i="107"/>
  <c r="AF11" i="107"/>
  <c r="AE11" i="107"/>
  <c r="AE37" i="107" s="1"/>
  <c r="AD11" i="107"/>
  <c r="AC11" i="107"/>
  <c r="AB11" i="107"/>
  <c r="AA11" i="107"/>
  <c r="Z11" i="107"/>
  <c r="Y11" i="107"/>
  <c r="X11" i="107"/>
  <c r="W11" i="107"/>
  <c r="V11" i="107"/>
  <c r="U11" i="107"/>
  <c r="T11" i="107"/>
  <c r="S11" i="107"/>
  <c r="S37" i="107" s="1"/>
  <c r="AF10" i="107"/>
  <c r="AF40" i="107" s="1"/>
  <c r="AE10" i="107"/>
  <c r="AE40" i="107" s="1"/>
  <c r="AD10" i="107"/>
  <c r="AC10" i="107"/>
  <c r="AB10" i="107"/>
  <c r="AB40" i="107" s="1"/>
  <c r="AA10" i="107"/>
  <c r="AA40" i="107" s="1"/>
  <c r="Z10" i="107"/>
  <c r="Y10" i="107"/>
  <c r="Y40" i="107" s="1"/>
  <c r="X10" i="107"/>
  <c r="X40" i="107" s="1"/>
  <c r="W10" i="107"/>
  <c r="W40" i="107" s="1"/>
  <c r="V10" i="107"/>
  <c r="U10" i="107"/>
  <c r="T10" i="107"/>
  <c r="T40" i="107" s="1"/>
  <c r="S10" i="107"/>
  <c r="S40" i="107" s="1"/>
  <c r="Y41" i="111" l="1"/>
  <c r="S41" i="111"/>
  <c r="V41" i="111"/>
  <c r="AD41" i="111"/>
  <c r="Z41" i="111"/>
  <c r="W41" i="111"/>
  <c r="AE41" i="111"/>
  <c r="Z41" i="108"/>
  <c r="AD41" i="108"/>
  <c r="V41" i="108"/>
  <c r="U41" i="108"/>
  <c r="Y41" i="108"/>
  <c r="AC41" i="108"/>
  <c r="U41" i="107"/>
  <c r="AC41" i="107"/>
  <c r="V41" i="107"/>
  <c r="Z41" i="107"/>
  <c r="AD41" i="107"/>
  <c r="AA41" i="107"/>
  <c r="W41" i="107"/>
  <c r="S42" i="111"/>
  <c r="W42" i="111"/>
  <c r="AE42" i="111"/>
  <c r="Y34" i="111"/>
  <c r="W35" i="111"/>
  <c r="W37" i="111"/>
  <c r="S39" i="111"/>
  <c r="AE39" i="111"/>
  <c r="AC40" i="111"/>
  <c r="V34" i="111"/>
  <c r="Z34" i="111"/>
  <c r="AD34" i="111"/>
  <c r="T35" i="111"/>
  <c r="X35" i="111"/>
  <c r="AB35" i="111"/>
  <c r="AF35" i="111"/>
  <c r="V36" i="111"/>
  <c r="Z36" i="111"/>
  <c r="AD36" i="111"/>
  <c r="T37" i="111"/>
  <c r="X37" i="111"/>
  <c r="AB37" i="111"/>
  <c r="AF37" i="111"/>
  <c r="V38" i="111"/>
  <c r="Z38" i="111"/>
  <c r="AD38" i="111"/>
  <c r="T39" i="111"/>
  <c r="X39" i="111"/>
  <c r="AB39" i="111"/>
  <c r="AF39" i="111"/>
  <c r="V40" i="111"/>
  <c r="V42" i="111" s="1"/>
  <c r="Z40" i="111"/>
  <c r="Z42" i="111" s="1"/>
  <c r="AD40" i="111"/>
  <c r="T41" i="111"/>
  <c r="T42" i="111" s="1"/>
  <c r="X41" i="111"/>
  <c r="X42" i="111" s="1"/>
  <c r="AB41" i="111"/>
  <c r="AB42" i="111" s="1"/>
  <c r="AF41" i="111"/>
  <c r="AF42" i="111" s="1"/>
  <c r="U34" i="111"/>
  <c r="S35" i="111"/>
  <c r="AA35" i="111"/>
  <c r="S37" i="111"/>
  <c r="AE37" i="111"/>
  <c r="AA39" i="111"/>
  <c r="Y40" i="111"/>
  <c r="Y42" i="111" s="1"/>
  <c r="AA41" i="111"/>
  <c r="AA42" i="111" s="1"/>
  <c r="S34" i="111"/>
  <c r="W34" i="111"/>
  <c r="AA34" i="111"/>
  <c r="AE34" i="111"/>
  <c r="W36" i="111"/>
  <c r="U37" i="111"/>
  <c r="Y37" i="111"/>
  <c r="AC37" i="111"/>
  <c r="AE38" i="111"/>
  <c r="U41" i="111"/>
  <c r="U42" i="111" s="1"/>
  <c r="AC41" i="111"/>
  <c r="AC42" i="111" s="1"/>
  <c r="T34" i="111"/>
  <c r="X34" i="111"/>
  <c r="AB34" i="111"/>
  <c r="AF34" i="111"/>
  <c r="V37" i="111"/>
  <c r="Z37" i="111"/>
  <c r="AD37" i="111"/>
  <c r="U34" i="108"/>
  <c r="Y34" i="108"/>
  <c r="AC34" i="108"/>
  <c r="S35" i="108"/>
  <c r="W35" i="108"/>
  <c r="AA35" i="108"/>
  <c r="AE35" i="108"/>
  <c r="U36" i="108"/>
  <c r="Y36" i="108"/>
  <c r="AC36" i="108"/>
  <c r="S37" i="108"/>
  <c r="W37" i="108"/>
  <c r="AA37" i="108"/>
  <c r="AE37" i="108"/>
  <c r="U38" i="108"/>
  <c r="Y38" i="108"/>
  <c r="AC38" i="108"/>
  <c r="S39" i="108"/>
  <c r="W39" i="108"/>
  <c r="AA39" i="108"/>
  <c r="AE39" i="108"/>
  <c r="U40" i="108"/>
  <c r="Y40" i="108"/>
  <c r="Y42" i="108" s="1"/>
  <c r="AC40" i="108"/>
  <c r="AC42" i="108" s="1"/>
  <c r="S41" i="108"/>
  <c r="S42" i="108" s="1"/>
  <c r="W41" i="108"/>
  <c r="W42" i="108" s="1"/>
  <c r="AA41" i="108"/>
  <c r="AA42" i="108" s="1"/>
  <c r="AE41" i="108"/>
  <c r="AE42" i="108" s="1"/>
  <c r="V34" i="108"/>
  <c r="Z34" i="108"/>
  <c r="AD34" i="108"/>
  <c r="T35" i="108"/>
  <c r="X35" i="108"/>
  <c r="AB35" i="108"/>
  <c r="AF35" i="108"/>
  <c r="V36" i="108"/>
  <c r="Z36" i="108"/>
  <c r="AD36" i="108"/>
  <c r="T37" i="108"/>
  <c r="X37" i="108"/>
  <c r="AB37" i="108"/>
  <c r="AF37" i="108"/>
  <c r="V38" i="108"/>
  <c r="Z38" i="108"/>
  <c r="AD38" i="108"/>
  <c r="T39" i="108"/>
  <c r="X39" i="108"/>
  <c r="AB39" i="108"/>
  <c r="AF39" i="108"/>
  <c r="V40" i="108"/>
  <c r="Z40" i="108"/>
  <c r="Z42" i="108" s="1"/>
  <c r="AD40" i="108"/>
  <c r="AD42" i="108" s="1"/>
  <c r="T41" i="108"/>
  <c r="T42" i="108" s="1"/>
  <c r="X41" i="108"/>
  <c r="X42" i="108" s="1"/>
  <c r="AB41" i="108"/>
  <c r="AB42" i="108" s="1"/>
  <c r="AF41" i="108"/>
  <c r="AF42" i="108" s="1"/>
  <c r="S34" i="108"/>
  <c r="W34" i="108"/>
  <c r="AA34" i="108"/>
  <c r="AE34" i="108"/>
  <c r="U37" i="108"/>
  <c r="Y37" i="108"/>
  <c r="AC37" i="108"/>
  <c r="T34" i="108"/>
  <c r="X34" i="108"/>
  <c r="AB34" i="108"/>
  <c r="AF34" i="108"/>
  <c r="V37" i="108"/>
  <c r="Z37" i="108"/>
  <c r="AD37" i="108"/>
  <c r="W42" i="107"/>
  <c r="AA42" i="107"/>
  <c r="AC42" i="107"/>
  <c r="AC34" i="107"/>
  <c r="AA35" i="107"/>
  <c r="W37" i="107"/>
  <c r="S39" i="107"/>
  <c r="AE39" i="107"/>
  <c r="AC40" i="107"/>
  <c r="AE41" i="107"/>
  <c r="AE42" i="107" s="1"/>
  <c r="V34" i="107"/>
  <c r="Z34" i="107"/>
  <c r="AD34" i="107"/>
  <c r="T35" i="107"/>
  <c r="X35" i="107"/>
  <c r="AB35" i="107"/>
  <c r="AF35" i="107"/>
  <c r="V36" i="107"/>
  <c r="Z36" i="107"/>
  <c r="AD36" i="107"/>
  <c r="T37" i="107"/>
  <c r="X37" i="107"/>
  <c r="AB37" i="107"/>
  <c r="AF37" i="107"/>
  <c r="V38" i="107"/>
  <c r="Z38" i="107"/>
  <c r="AD38" i="107"/>
  <c r="T39" i="107"/>
  <c r="X39" i="107"/>
  <c r="AB39" i="107"/>
  <c r="AF39" i="107"/>
  <c r="V40" i="107"/>
  <c r="V42" i="107" s="1"/>
  <c r="Z40" i="107"/>
  <c r="AD40" i="107"/>
  <c r="AD42" i="107" s="1"/>
  <c r="T41" i="107"/>
  <c r="T42" i="107" s="1"/>
  <c r="X41" i="107"/>
  <c r="X42" i="107" s="1"/>
  <c r="AB41" i="107"/>
  <c r="AB42" i="107" s="1"/>
  <c r="AF41" i="107"/>
  <c r="AF42" i="107" s="1"/>
  <c r="U34" i="107"/>
  <c r="S35" i="107"/>
  <c r="AE35" i="107"/>
  <c r="AA37" i="107"/>
  <c r="W39" i="107"/>
  <c r="U40" i="107"/>
  <c r="U42" i="107" s="1"/>
  <c r="S41" i="107"/>
  <c r="S42" i="107" s="1"/>
  <c r="S34" i="107"/>
  <c r="W34" i="107"/>
  <c r="AA34" i="107"/>
  <c r="AE34" i="107"/>
  <c r="AA36" i="107"/>
  <c r="U37" i="107"/>
  <c r="Y37" i="107"/>
  <c r="AC37" i="107"/>
  <c r="W38" i="107"/>
  <c r="Y41" i="107"/>
  <c r="Y42" i="107" s="1"/>
  <c r="Y34" i="107"/>
  <c r="T34" i="107"/>
  <c r="X34" i="107"/>
  <c r="AB34" i="107"/>
  <c r="AF34" i="107"/>
  <c r="V37" i="107"/>
  <c r="Z37" i="107"/>
  <c r="AD37" i="107"/>
  <c r="AD42" i="111" l="1"/>
  <c r="V42" i="108"/>
  <c r="U42" i="108"/>
  <c r="Z42" i="107"/>
  <c r="C11" i="108" l="1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G10" i="108"/>
  <c r="H10" i="108"/>
  <c r="I10" i="108"/>
  <c r="J10" i="108"/>
  <c r="K10" i="108"/>
  <c r="L10" i="108"/>
  <c r="M10" i="108"/>
  <c r="N10" i="108"/>
  <c r="C10" i="108"/>
  <c r="C11" i="107"/>
  <c r="C11" i="111" s="1"/>
  <c r="D11" i="107"/>
  <c r="D11" i="111" s="1"/>
  <c r="E11" i="107"/>
  <c r="E11" i="111" s="1"/>
  <c r="F11" i="107"/>
  <c r="F11" i="111" s="1"/>
  <c r="G11" i="107"/>
  <c r="G11" i="111" s="1"/>
  <c r="H11" i="107"/>
  <c r="H11" i="111" s="1"/>
  <c r="I11" i="107"/>
  <c r="I11" i="111" s="1"/>
  <c r="J11" i="107"/>
  <c r="J11" i="111" s="1"/>
  <c r="K11" i="107"/>
  <c r="K11" i="111" s="1"/>
  <c r="L11" i="107"/>
  <c r="L11" i="111" s="1"/>
  <c r="M11" i="107"/>
  <c r="M11" i="111" s="1"/>
  <c r="N11" i="107"/>
  <c r="N11" i="111" s="1"/>
  <c r="C12" i="107"/>
  <c r="C12" i="111" s="1"/>
  <c r="D12" i="107"/>
  <c r="D12" i="111" s="1"/>
  <c r="E12" i="107"/>
  <c r="E12" i="111" s="1"/>
  <c r="F12" i="107"/>
  <c r="F12" i="111" s="1"/>
  <c r="G12" i="107"/>
  <c r="G12" i="111" s="1"/>
  <c r="H12" i="107"/>
  <c r="H12" i="111" s="1"/>
  <c r="I12" i="107"/>
  <c r="I12" i="111" s="1"/>
  <c r="J12" i="107"/>
  <c r="J12" i="111" s="1"/>
  <c r="K12" i="107"/>
  <c r="K12" i="111" s="1"/>
  <c r="L12" i="107"/>
  <c r="L12" i="111" s="1"/>
  <c r="M12" i="107"/>
  <c r="M12" i="111" s="1"/>
  <c r="N12" i="107"/>
  <c r="N12" i="111" s="1"/>
  <c r="C13" i="107"/>
  <c r="C13" i="111" s="1"/>
  <c r="D13" i="107"/>
  <c r="D13" i="111" s="1"/>
  <c r="E13" i="107"/>
  <c r="E13" i="111" s="1"/>
  <c r="F13" i="107"/>
  <c r="F13" i="111" s="1"/>
  <c r="G13" i="107"/>
  <c r="G13" i="111" s="1"/>
  <c r="H13" i="107"/>
  <c r="H13" i="111" s="1"/>
  <c r="I13" i="107"/>
  <c r="I13" i="111" s="1"/>
  <c r="J13" i="107"/>
  <c r="J13" i="111" s="1"/>
  <c r="K13" i="107"/>
  <c r="K13" i="111" s="1"/>
  <c r="L13" i="107"/>
  <c r="L13" i="111" s="1"/>
  <c r="M13" i="107"/>
  <c r="M13" i="111" s="1"/>
  <c r="N13" i="107"/>
  <c r="N13" i="111" s="1"/>
  <c r="C14" i="107"/>
  <c r="C14" i="111" s="1"/>
  <c r="D14" i="107"/>
  <c r="D14" i="111" s="1"/>
  <c r="E14" i="107"/>
  <c r="E14" i="111" s="1"/>
  <c r="F14" i="107"/>
  <c r="F14" i="111" s="1"/>
  <c r="G14" i="107"/>
  <c r="G14" i="111" s="1"/>
  <c r="H14" i="107"/>
  <c r="H14" i="111" s="1"/>
  <c r="I14" i="107"/>
  <c r="I14" i="111" s="1"/>
  <c r="J14" i="107"/>
  <c r="J14" i="111" s="1"/>
  <c r="K14" i="107"/>
  <c r="K14" i="111" s="1"/>
  <c r="L14" i="107"/>
  <c r="L14" i="111" s="1"/>
  <c r="M14" i="107"/>
  <c r="M14" i="111" s="1"/>
  <c r="N14" i="107"/>
  <c r="N14" i="111" s="1"/>
  <c r="C15" i="107"/>
  <c r="C15" i="111" s="1"/>
  <c r="D15" i="107"/>
  <c r="D15" i="111" s="1"/>
  <c r="E15" i="107"/>
  <c r="E15" i="111" s="1"/>
  <c r="F15" i="107"/>
  <c r="F15" i="111" s="1"/>
  <c r="G15" i="107"/>
  <c r="G15" i="111" s="1"/>
  <c r="H15" i="107"/>
  <c r="H15" i="111" s="1"/>
  <c r="I15" i="107"/>
  <c r="I15" i="111" s="1"/>
  <c r="J15" i="107"/>
  <c r="J15" i="111" s="1"/>
  <c r="K15" i="107"/>
  <c r="K15" i="111" s="1"/>
  <c r="L15" i="107"/>
  <c r="L15" i="111" s="1"/>
  <c r="M15" i="107"/>
  <c r="M15" i="111" s="1"/>
  <c r="N15" i="107"/>
  <c r="N15" i="111" s="1"/>
  <c r="C16" i="107"/>
  <c r="C16" i="111" s="1"/>
  <c r="D16" i="107"/>
  <c r="D16" i="111" s="1"/>
  <c r="E16" i="107"/>
  <c r="E16" i="111" s="1"/>
  <c r="F16" i="107"/>
  <c r="F16" i="111" s="1"/>
  <c r="G16" i="107"/>
  <c r="G16" i="111" s="1"/>
  <c r="H16" i="107"/>
  <c r="H16" i="111" s="1"/>
  <c r="I16" i="107"/>
  <c r="I16" i="111" s="1"/>
  <c r="J16" i="107"/>
  <c r="J16" i="111" s="1"/>
  <c r="K16" i="107"/>
  <c r="K16" i="111" s="1"/>
  <c r="L16" i="107"/>
  <c r="L16" i="111" s="1"/>
  <c r="M16" i="107"/>
  <c r="M16" i="111" s="1"/>
  <c r="N16" i="107"/>
  <c r="N16" i="111" s="1"/>
  <c r="C17" i="107"/>
  <c r="C17" i="111" s="1"/>
  <c r="D17" i="107"/>
  <c r="D17" i="111" s="1"/>
  <c r="E17" i="107"/>
  <c r="E17" i="111" s="1"/>
  <c r="F17" i="107"/>
  <c r="F17" i="111" s="1"/>
  <c r="G17" i="107"/>
  <c r="G17" i="111" s="1"/>
  <c r="H17" i="107"/>
  <c r="H17" i="111" s="1"/>
  <c r="I17" i="107"/>
  <c r="I17" i="111" s="1"/>
  <c r="J17" i="107"/>
  <c r="J17" i="111" s="1"/>
  <c r="K17" i="107"/>
  <c r="K17" i="111" s="1"/>
  <c r="L17" i="107"/>
  <c r="L17" i="111" s="1"/>
  <c r="M17" i="107"/>
  <c r="M17" i="111" s="1"/>
  <c r="N17" i="107"/>
  <c r="N17" i="111" s="1"/>
  <c r="C18" i="107"/>
  <c r="C18" i="111" s="1"/>
  <c r="D18" i="107"/>
  <c r="D18" i="111" s="1"/>
  <c r="E18" i="107"/>
  <c r="E18" i="111" s="1"/>
  <c r="F18" i="107"/>
  <c r="F18" i="111" s="1"/>
  <c r="G18" i="107"/>
  <c r="G18" i="111" s="1"/>
  <c r="H18" i="107"/>
  <c r="H18" i="111" s="1"/>
  <c r="I18" i="107"/>
  <c r="I18" i="111" s="1"/>
  <c r="J18" i="107"/>
  <c r="J18" i="111" s="1"/>
  <c r="K18" i="107"/>
  <c r="K18" i="111" s="1"/>
  <c r="L18" i="107"/>
  <c r="L18" i="111" s="1"/>
  <c r="M18" i="107"/>
  <c r="M18" i="111" s="1"/>
  <c r="N18" i="107"/>
  <c r="N18" i="111" s="1"/>
  <c r="C19" i="107"/>
  <c r="C19" i="111" s="1"/>
  <c r="D19" i="107"/>
  <c r="D19" i="111" s="1"/>
  <c r="E19" i="107"/>
  <c r="E19" i="111" s="1"/>
  <c r="F19" i="107"/>
  <c r="F19" i="111" s="1"/>
  <c r="G19" i="107"/>
  <c r="G19" i="111" s="1"/>
  <c r="H19" i="107"/>
  <c r="H19" i="111" s="1"/>
  <c r="I19" i="107"/>
  <c r="I19" i="111" s="1"/>
  <c r="J19" i="107"/>
  <c r="J19" i="111" s="1"/>
  <c r="K19" i="107"/>
  <c r="K19" i="111" s="1"/>
  <c r="L19" i="107"/>
  <c r="L19" i="111" s="1"/>
  <c r="M19" i="107"/>
  <c r="M19" i="111" s="1"/>
  <c r="N19" i="107"/>
  <c r="N19" i="111" s="1"/>
  <c r="C20" i="107"/>
  <c r="C20" i="111" s="1"/>
  <c r="D20" i="107"/>
  <c r="D20" i="111" s="1"/>
  <c r="E20" i="107"/>
  <c r="E20" i="111" s="1"/>
  <c r="F20" i="107"/>
  <c r="F20" i="111" s="1"/>
  <c r="G20" i="107"/>
  <c r="G20" i="111" s="1"/>
  <c r="H20" i="107"/>
  <c r="H20" i="111" s="1"/>
  <c r="I20" i="107"/>
  <c r="I20" i="111" s="1"/>
  <c r="J20" i="107"/>
  <c r="J20" i="111" s="1"/>
  <c r="K20" i="107"/>
  <c r="K20" i="111" s="1"/>
  <c r="L20" i="107"/>
  <c r="L20" i="111" s="1"/>
  <c r="M20" i="107"/>
  <c r="M20" i="111" s="1"/>
  <c r="N20" i="107"/>
  <c r="N20" i="111" s="1"/>
  <c r="C21" i="107"/>
  <c r="C21" i="111" s="1"/>
  <c r="D21" i="107"/>
  <c r="D21" i="111" s="1"/>
  <c r="E21" i="107"/>
  <c r="E21" i="111" s="1"/>
  <c r="F21" i="107"/>
  <c r="F21" i="111" s="1"/>
  <c r="G21" i="107"/>
  <c r="G21" i="111" s="1"/>
  <c r="H21" i="107"/>
  <c r="H21" i="111" s="1"/>
  <c r="I21" i="107"/>
  <c r="I21" i="111" s="1"/>
  <c r="J21" i="107"/>
  <c r="J21" i="111" s="1"/>
  <c r="K21" i="107"/>
  <c r="K21" i="111" s="1"/>
  <c r="L21" i="107"/>
  <c r="L21" i="111" s="1"/>
  <c r="M21" i="107"/>
  <c r="M21" i="111" s="1"/>
  <c r="N21" i="107"/>
  <c r="N21" i="111" s="1"/>
  <c r="C22" i="107"/>
  <c r="C22" i="111" s="1"/>
  <c r="D22" i="107"/>
  <c r="D22" i="111" s="1"/>
  <c r="E22" i="107"/>
  <c r="E22" i="111" s="1"/>
  <c r="F22" i="107"/>
  <c r="F22" i="111" s="1"/>
  <c r="G22" i="107"/>
  <c r="G22" i="111" s="1"/>
  <c r="H22" i="107"/>
  <c r="H22" i="111" s="1"/>
  <c r="I22" i="107"/>
  <c r="I22" i="111" s="1"/>
  <c r="J22" i="107"/>
  <c r="J22" i="111" s="1"/>
  <c r="K22" i="107"/>
  <c r="K22" i="111" s="1"/>
  <c r="L22" i="107"/>
  <c r="L22" i="111" s="1"/>
  <c r="M22" i="107"/>
  <c r="M22" i="111" s="1"/>
  <c r="N22" i="107"/>
  <c r="N22" i="111" s="1"/>
  <c r="C23" i="107"/>
  <c r="C23" i="111" s="1"/>
  <c r="D23" i="107"/>
  <c r="D23" i="111" s="1"/>
  <c r="E23" i="107"/>
  <c r="E23" i="111" s="1"/>
  <c r="F23" i="107"/>
  <c r="F23" i="111" s="1"/>
  <c r="G23" i="107"/>
  <c r="G23" i="111" s="1"/>
  <c r="H23" i="107"/>
  <c r="H23" i="111" s="1"/>
  <c r="I23" i="107"/>
  <c r="I23" i="111" s="1"/>
  <c r="J23" i="107"/>
  <c r="J23" i="111" s="1"/>
  <c r="K23" i="107"/>
  <c r="K23" i="111" s="1"/>
  <c r="L23" i="107"/>
  <c r="L23" i="111" s="1"/>
  <c r="M23" i="107"/>
  <c r="M23" i="111" s="1"/>
  <c r="N23" i="107"/>
  <c r="N23" i="111" s="1"/>
  <c r="C24" i="107"/>
  <c r="C24" i="111" s="1"/>
  <c r="D24" i="107"/>
  <c r="D24" i="111" s="1"/>
  <c r="E24" i="107"/>
  <c r="E24" i="111" s="1"/>
  <c r="F24" i="107"/>
  <c r="F24" i="111" s="1"/>
  <c r="G24" i="107"/>
  <c r="G24" i="111" s="1"/>
  <c r="H24" i="107"/>
  <c r="H24" i="111" s="1"/>
  <c r="I24" i="107"/>
  <c r="I24" i="111" s="1"/>
  <c r="J24" i="107"/>
  <c r="J24" i="111" s="1"/>
  <c r="K24" i="107"/>
  <c r="K24" i="111" s="1"/>
  <c r="L24" i="107"/>
  <c r="L24" i="111" s="1"/>
  <c r="M24" i="107"/>
  <c r="M24" i="111" s="1"/>
  <c r="N24" i="107"/>
  <c r="N24" i="111" s="1"/>
  <c r="C25" i="107"/>
  <c r="C25" i="111" s="1"/>
  <c r="D25" i="107"/>
  <c r="D25" i="111" s="1"/>
  <c r="E25" i="107"/>
  <c r="E25" i="111" s="1"/>
  <c r="F25" i="107"/>
  <c r="F25" i="111" s="1"/>
  <c r="G25" i="107"/>
  <c r="G25" i="111" s="1"/>
  <c r="H25" i="107"/>
  <c r="H25" i="111" s="1"/>
  <c r="I25" i="107"/>
  <c r="I25" i="111" s="1"/>
  <c r="J25" i="107"/>
  <c r="J25" i="111" s="1"/>
  <c r="K25" i="107"/>
  <c r="K25" i="111" s="1"/>
  <c r="L25" i="107"/>
  <c r="L25" i="111" s="1"/>
  <c r="M25" i="107"/>
  <c r="M25" i="111" s="1"/>
  <c r="N25" i="107"/>
  <c r="N25" i="111" s="1"/>
  <c r="C26" i="107"/>
  <c r="C26" i="111" s="1"/>
  <c r="D26" i="107"/>
  <c r="D26" i="111" s="1"/>
  <c r="E26" i="107"/>
  <c r="E26" i="111" s="1"/>
  <c r="F26" i="107"/>
  <c r="F26" i="111" s="1"/>
  <c r="G26" i="107"/>
  <c r="G26" i="111" s="1"/>
  <c r="H26" i="107"/>
  <c r="H26" i="111" s="1"/>
  <c r="I26" i="107"/>
  <c r="I26" i="111" s="1"/>
  <c r="J26" i="107"/>
  <c r="J26" i="111" s="1"/>
  <c r="K26" i="107"/>
  <c r="K26" i="111" s="1"/>
  <c r="L26" i="107"/>
  <c r="L26" i="111" s="1"/>
  <c r="M26" i="107"/>
  <c r="M26" i="111" s="1"/>
  <c r="N26" i="107"/>
  <c r="N26" i="111" s="1"/>
  <c r="C27" i="107"/>
  <c r="C27" i="111" s="1"/>
  <c r="D27" i="107"/>
  <c r="D27" i="111" s="1"/>
  <c r="E27" i="107"/>
  <c r="E27" i="111" s="1"/>
  <c r="F27" i="107"/>
  <c r="F27" i="111" s="1"/>
  <c r="G27" i="107"/>
  <c r="G27" i="111" s="1"/>
  <c r="H27" i="107"/>
  <c r="H27" i="111" s="1"/>
  <c r="I27" i="107"/>
  <c r="I27" i="111" s="1"/>
  <c r="J27" i="107"/>
  <c r="J27" i="111" s="1"/>
  <c r="K27" i="107"/>
  <c r="K27" i="111" s="1"/>
  <c r="L27" i="107"/>
  <c r="L27" i="111" s="1"/>
  <c r="M27" i="107"/>
  <c r="M27" i="111" s="1"/>
  <c r="N27" i="107"/>
  <c r="N27" i="111" s="1"/>
  <c r="C28" i="107"/>
  <c r="C28" i="111" s="1"/>
  <c r="D28" i="107"/>
  <c r="D28" i="111" s="1"/>
  <c r="E28" i="107"/>
  <c r="E28" i="111" s="1"/>
  <c r="F28" i="107"/>
  <c r="F28" i="111" s="1"/>
  <c r="G28" i="107"/>
  <c r="G28" i="111" s="1"/>
  <c r="H28" i="107"/>
  <c r="H28" i="111" s="1"/>
  <c r="I28" i="107"/>
  <c r="I28" i="111" s="1"/>
  <c r="J28" i="107"/>
  <c r="J28" i="111" s="1"/>
  <c r="K28" i="107"/>
  <c r="K28" i="111" s="1"/>
  <c r="L28" i="107"/>
  <c r="L28" i="111" s="1"/>
  <c r="M28" i="107"/>
  <c r="M28" i="111" s="1"/>
  <c r="N28" i="107"/>
  <c r="N28" i="111" s="1"/>
  <c r="C29" i="107"/>
  <c r="C29" i="111" s="1"/>
  <c r="D29" i="107"/>
  <c r="D29" i="111" s="1"/>
  <c r="E29" i="107"/>
  <c r="E29" i="111" s="1"/>
  <c r="F29" i="107"/>
  <c r="F29" i="111" s="1"/>
  <c r="G29" i="107"/>
  <c r="G29" i="111" s="1"/>
  <c r="H29" i="107"/>
  <c r="H29" i="111" s="1"/>
  <c r="I29" i="107"/>
  <c r="I29" i="111" s="1"/>
  <c r="J29" i="107"/>
  <c r="J29" i="111" s="1"/>
  <c r="K29" i="107"/>
  <c r="K29" i="111" s="1"/>
  <c r="L29" i="107"/>
  <c r="L29" i="111" s="1"/>
  <c r="M29" i="107"/>
  <c r="M29" i="111" s="1"/>
  <c r="N29" i="107"/>
  <c r="N29" i="111" s="1"/>
  <c r="C30" i="107"/>
  <c r="C30" i="111" s="1"/>
  <c r="D30" i="107"/>
  <c r="D30" i="111" s="1"/>
  <c r="E30" i="107"/>
  <c r="E30" i="111" s="1"/>
  <c r="F30" i="107"/>
  <c r="F30" i="111" s="1"/>
  <c r="G30" i="107"/>
  <c r="G30" i="111" s="1"/>
  <c r="H30" i="107"/>
  <c r="H30" i="111" s="1"/>
  <c r="I30" i="107"/>
  <c r="I30" i="111" s="1"/>
  <c r="J30" i="107"/>
  <c r="J30" i="111" s="1"/>
  <c r="K30" i="107"/>
  <c r="K30" i="111" s="1"/>
  <c r="L30" i="107"/>
  <c r="L30" i="111" s="1"/>
  <c r="M30" i="107"/>
  <c r="M30" i="111" s="1"/>
  <c r="N30" i="107"/>
  <c r="N30" i="111" s="1"/>
  <c r="C31" i="107"/>
  <c r="C31" i="111" s="1"/>
  <c r="D31" i="107"/>
  <c r="D31" i="111" s="1"/>
  <c r="E31" i="107"/>
  <c r="E31" i="111" s="1"/>
  <c r="F31" i="107"/>
  <c r="F31" i="111" s="1"/>
  <c r="G31" i="107"/>
  <c r="G31" i="111" s="1"/>
  <c r="H31" i="107"/>
  <c r="H31" i="111" s="1"/>
  <c r="I31" i="107"/>
  <c r="I31" i="111" s="1"/>
  <c r="J31" i="107"/>
  <c r="J31" i="111" s="1"/>
  <c r="K31" i="107"/>
  <c r="K31" i="111" s="1"/>
  <c r="L31" i="107"/>
  <c r="L31" i="111" s="1"/>
  <c r="M31" i="107"/>
  <c r="M31" i="111" s="1"/>
  <c r="N31" i="107"/>
  <c r="N31" i="111" s="1"/>
  <c r="C32" i="107"/>
  <c r="C32" i="111" s="1"/>
  <c r="D32" i="107"/>
  <c r="D32" i="111" s="1"/>
  <c r="E32" i="107"/>
  <c r="E32" i="111" s="1"/>
  <c r="F32" i="107"/>
  <c r="F32" i="111" s="1"/>
  <c r="G32" i="107"/>
  <c r="G32" i="111" s="1"/>
  <c r="H32" i="107"/>
  <c r="H32" i="111" s="1"/>
  <c r="I32" i="107"/>
  <c r="I32" i="111" s="1"/>
  <c r="J32" i="107"/>
  <c r="J32" i="111" s="1"/>
  <c r="K32" i="107"/>
  <c r="K32" i="111" s="1"/>
  <c r="L32" i="107"/>
  <c r="L32" i="111" s="1"/>
  <c r="M32" i="107"/>
  <c r="M32" i="111" s="1"/>
  <c r="N32" i="107"/>
  <c r="N32" i="111" s="1"/>
  <c r="C33" i="107"/>
  <c r="C33" i="111" s="1"/>
  <c r="D33" i="107"/>
  <c r="D33" i="111" s="1"/>
  <c r="E33" i="107"/>
  <c r="E33" i="111" s="1"/>
  <c r="F33" i="107"/>
  <c r="F33" i="111" s="1"/>
  <c r="G33" i="107"/>
  <c r="G33" i="111" s="1"/>
  <c r="H33" i="107"/>
  <c r="H33" i="111" s="1"/>
  <c r="I33" i="107"/>
  <c r="I33" i="111" s="1"/>
  <c r="J33" i="107"/>
  <c r="J33" i="111" s="1"/>
  <c r="K33" i="107"/>
  <c r="K33" i="111" s="1"/>
  <c r="L33" i="107"/>
  <c r="L33" i="111" s="1"/>
  <c r="M33" i="107"/>
  <c r="M33" i="111" s="1"/>
  <c r="N33" i="107"/>
  <c r="N33" i="111" s="1"/>
  <c r="C34" i="107"/>
  <c r="C34" i="111" s="1"/>
  <c r="D34" i="107"/>
  <c r="D34" i="111" s="1"/>
  <c r="E34" i="107"/>
  <c r="E34" i="111" s="1"/>
  <c r="F34" i="107"/>
  <c r="F34" i="111" s="1"/>
  <c r="G34" i="107"/>
  <c r="G34" i="111" s="1"/>
  <c r="H34" i="107"/>
  <c r="H34" i="111" s="1"/>
  <c r="I34" i="107"/>
  <c r="I34" i="111" s="1"/>
  <c r="J34" i="107"/>
  <c r="J34" i="111" s="1"/>
  <c r="K34" i="107"/>
  <c r="K34" i="111" s="1"/>
  <c r="L34" i="107"/>
  <c r="L34" i="111" s="1"/>
  <c r="M34" i="107"/>
  <c r="M34" i="111" s="1"/>
  <c r="N34" i="107"/>
  <c r="N34" i="111" s="1"/>
  <c r="C35" i="107"/>
  <c r="C35" i="111" s="1"/>
  <c r="D35" i="107"/>
  <c r="D35" i="111" s="1"/>
  <c r="E35" i="107"/>
  <c r="E35" i="111" s="1"/>
  <c r="F35" i="107"/>
  <c r="F35" i="111" s="1"/>
  <c r="G35" i="107"/>
  <c r="G35" i="111" s="1"/>
  <c r="H35" i="107"/>
  <c r="H35" i="111" s="1"/>
  <c r="I35" i="107"/>
  <c r="I35" i="111" s="1"/>
  <c r="J35" i="107"/>
  <c r="J35" i="111" s="1"/>
  <c r="K35" i="107"/>
  <c r="K35" i="111" s="1"/>
  <c r="L35" i="107"/>
  <c r="L35" i="111" s="1"/>
  <c r="M35" i="107"/>
  <c r="M35" i="111" s="1"/>
  <c r="N35" i="107"/>
  <c r="N35" i="111" s="1"/>
  <c r="C36" i="107"/>
  <c r="C36" i="111" s="1"/>
  <c r="D36" i="107"/>
  <c r="D36" i="111" s="1"/>
  <c r="E36" i="107"/>
  <c r="E36" i="111" s="1"/>
  <c r="F36" i="107"/>
  <c r="F36" i="111" s="1"/>
  <c r="G36" i="107"/>
  <c r="G36" i="111" s="1"/>
  <c r="H36" i="107"/>
  <c r="H36" i="111" s="1"/>
  <c r="I36" i="107"/>
  <c r="I36" i="111" s="1"/>
  <c r="J36" i="107"/>
  <c r="J36" i="111" s="1"/>
  <c r="K36" i="107"/>
  <c r="K36" i="111" s="1"/>
  <c r="L36" i="107"/>
  <c r="L36" i="111" s="1"/>
  <c r="M36" i="107"/>
  <c r="M36" i="111" s="1"/>
  <c r="N36" i="107"/>
  <c r="N36" i="111" s="1"/>
  <c r="C37" i="107"/>
  <c r="C37" i="111" s="1"/>
  <c r="D37" i="107"/>
  <c r="D37" i="111" s="1"/>
  <c r="E37" i="107"/>
  <c r="E37" i="111" s="1"/>
  <c r="F37" i="107"/>
  <c r="F37" i="111" s="1"/>
  <c r="G37" i="107"/>
  <c r="G37" i="111" s="1"/>
  <c r="H37" i="107"/>
  <c r="H37" i="111" s="1"/>
  <c r="I37" i="107"/>
  <c r="I37" i="111" s="1"/>
  <c r="J37" i="107"/>
  <c r="J37" i="111" s="1"/>
  <c r="K37" i="107"/>
  <c r="K37" i="111" s="1"/>
  <c r="L37" i="107"/>
  <c r="L37" i="111" s="1"/>
  <c r="M37" i="107"/>
  <c r="M37" i="111" s="1"/>
  <c r="N37" i="107"/>
  <c r="N37" i="111" s="1"/>
  <c r="C38" i="107"/>
  <c r="C38" i="111" s="1"/>
  <c r="D38" i="107"/>
  <c r="D38" i="111" s="1"/>
  <c r="E38" i="107"/>
  <c r="E38" i="111" s="1"/>
  <c r="F38" i="107"/>
  <c r="F38" i="111" s="1"/>
  <c r="G38" i="107"/>
  <c r="G38" i="111" s="1"/>
  <c r="H38" i="107"/>
  <c r="H38" i="111" s="1"/>
  <c r="I38" i="107"/>
  <c r="I38" i="111" s="1"/>
  <c r="J38" i="107"/>
  <c r="J38" i="111" s="1"/>
  <c r="K38" i="107"/>
  <c r="K38" i="111" s="1"/>
  <c r="L38" i="107"/>
  <c r="L38" i="111" s="1"/>
  <c r="M38" i="107"/>
  <c r="M38" i="111" s="1"/>
  <c r="N38" i="107"/>
  <c r="N38" i="111" s="1"/>
  <c r="C39" i="107"/>
  <c r="C39" i="111" s="1"/>
  <c r="D39" i="107"/>
  <c r="D39" i="111" s="1"/>
  <c r="E39" i="107"/>
  <c r="E39" i="111" s="1"/>
  <c r="F39" i="107"/>
  <c r="F39" i="111" s="1"/>
  <c r="G39" i="107"/>
  <c r="G39" i="111" s="1"/>
  <c r="H39" i="107"/>
  <c r="H39" i="111" s="1"/>
  <c r="I39" i="107"/>
  <c r="I39" i="111" s="1"/>
  <c r="J39" i="107"/>
  <c r="J39" i="111" s="1"/>
  <c r="K39" i="107"/>
  <c r="K39" i="111" s="1"/>
  <c r="L39" i="107"/>
  <c r="L39" i="111" s="1"/>
  <c r="M39" i="107"/>
  <c r="M39" i="111" s="1"/>
  <c r="N39" i="107"/>
  <c r="N39" i="111" s="1"/>
  <c r="C40" i="107"/>
  <c r="C40" i="111" s="1"/>
  <c r="D40" i="107"/>
  <c r="D40" i="111" s="1"/>
  <c r="E40" i="107"/>
  <c r="E40" i="111" s="1"/>
  <c r="F40" i="107"/>
  <c r="F40" i="111" s="1"/>
  <c r="G40" i="107"/>
  <c r="G40" i="111" s="1"/>
  <c r="H40" i="107"/>
  <c r="H40" i="111" s="1"/>
  <c r="I40" i="107"/>
  <c r="I40" i="111" s="1"/>
  <c r="J40" i="107"/>
  <c r="J40" i="111" s="1"/>
  <c r="K40" i="107"/>
  <c r="K40" i="111" s="1"/>
  <c r="L40" i="107"/>
  <c r="L40" i="111" s="1"/>
  <c r="M40" i="107"/>
  <c r="M40" i="111" s="1"/>
  <c r="N40" i="107"/>
  <c r="N40" i="111" s="1"/>
  <c r="C41" i="107"/>
  <c r="C41" i="111" s="1"/>
  <c r="D41" i="107"/>
  <c r="D41" i="111" s="1"/>
  <c r="E41" i="107"/>
  <c r="E41" i="111" s="1"/>
  <c r="F41" i="107"/>
  <c r="F41" i="111" s="1"/>
  <c r="G41" i="107"/>
  <c r="G41" i="111" s="1"/>
  <c r="H41" i="107"/>
  <c r="H41" i="111" s="1"/>
  <c r="I41" i="107"/>
  <c r="I41" i="111" s="1"/>
  <c r="J41" i="107"/>
  <c r="J41" i="111" s="1"/>
  <c r="K41" i="107"/>
  <c r="K41" i="111" s="1"/>
  <c r="L41" i="107"/>
  <c r="L41" i="111" s="1"/>
  <c r="M41" i="107"/>
  <c r="M41" i="111" s="1"/>
  <c r="N41" i="107"/>
  <c r="N41" i="111" s="1"/>
  <c r="C42" i="107"/>
  <c r="C42" i="111" s="1"/>
  <c r="D42" i="107"/>
  <c r="D42" i="111" s="1"/>
  <c r="E42" i="107"/>
  <c r="E42" i="111" s="1"/>
  <c r="F42" i="107"/>
  <c r="F42" i="111" s="1"/>
  <c r="G42" i="107"/>
  <c r="G42" i="111" s="1"/>
  <c r="H42" i="107"/>
  <c r="H42" i="111" s="1"/>
  <c r="I42" i="107"/>
  <c r="I42" i="111" s="1"/>
  <c r="J42" i="107"/>
  <c r="J42" i="111" s="1"/>
  <c r="K42" i="107"/>
  <c r="K42" i="111" s="1"/>
  <c r="L42" i="107"/>
  <c r="L42" i="111" s="1"/>
  <c r="M42" i="107"/>
  <c r="M42" i="111" s="1"/>
  <c r="N42" i="107"/>
  <c r="N42" i="111" s="1"/>
  <c r="C43" i="107"/>
  <c r="C43" i="111" s="1"/>
  <c r="D43" i="107"/>
  <c r="D43" i="111" s="1"/>
  <c r="E43" i="107"/>
  <c r="E43" i="111" s="1"/>
  <c r="F43" i="107"/>
  <c r="F43" i="111" s="1"/>
  <c r="G43" i="107"/>
  <c r="G43" i="111" s="1"/>
  <c r="H43" i="107"/>
  <c r="H43" i="111" s="1"/>
  <c r="I43" i="107"/>
  <c r="I43" i="111" s="1"/>
  <c r="J43" i="107"/>
  <c r="J43" i="111" s="1"/>
  <c r="K43" i="107"/>
  <c r="K43" i="111" s="1"/>
  <c r="L43" i="107"/>
  <c r="L43" i="111" s="1"/>
  <c r="M43" i="107"/>
  <c r="M43" i="111" s="1"/>
  <c r="N43" i="107"/>
  <c r="N43" i="111" s="1"/>
  <c r="C44" i="107"/>
  <c r="C44" i="111" s="1"/>
  <c r="D44" i="107"/>
  <c r="D44" i="111" s="1"/>
  <c r="E44" i="107"/>
  <c r="E44" i="111" s="1"/>
  <c r="F44" i="107"/>
  <c r="F44" i="111" s="1"/>
  <c r="G44" i="107"/>
  <c r="G44" i="111" s="1"/>
  <c r="H44" i="107"/>
  <c r="H44" i="111" s="1"/>
  <c r="I44" i="107"/>
  <c r="I44" i="111" s="1"/>
  <c r="J44" i="107"/>
  <c r="J44" i="111" s="1"/>
  <c r="K44" i="107"/>
  <c r="K44" i="111" s="1"/>
  <c r="L44" i="107"/>
  <c r="L44" i="111" s="1"/>
  <c r="M44" i="107"/>
  <c r="M44" i="111" s="1"/>
  <c r="N44" i="107"/>
  <c r="N44" i="111" s="1"/>
  <c r="C45" i="107"/>
  <c r="C45" i="111" s="1"/>
  <c r="D45" i="107"/>
  <c r="D45" i="111" s="1"/>
  <c r="E45" i="107"/>
  <c r="E45" i="111" s="1"/>
  <c r="F45" i="107"/>
  <c r="F45" i="111" s="1"/>
  <c r="G45" i="107"/>
  <c r="G45" i="111" s="1"/>
  <c r="H45" i="107"/>
  <c r="H45" i="111" s="1"/>
  <c r="I45" i="107"/>
  <c r="I45" i="111" s="1"/>
  <c r="J45" i="107"/>
  <c r="J45" i="111" s="1"/>
  <c r="K45" i="107"/>
  <c r="K45" i="111" s="1"/>
  <c r="L45" i="107"/>
  <c r="L45" i="111" s="1"/>
  <c r="M45" i="107"/>
  <c r="M45" i="111" s="1"/>
  <c r="N45" i="107"/>
  <c r="N45" i="111" s="1"/>
  <c r="C46" i="107"/>
  <c r="C46" i="111" s="1"/>
  <c r="D46" i="107"/>
  <c r="D46" i="111" s="1"/>
  <c r="E46" i="107"/>
  <c r="E46" i="111" s="1"/>
  <c r="F46" i="107"/>
  <c r="F46" i="111" s="1"/>
  <c r="G46" i="107"/>
  <c r="G46" i="111" s="1"/>
  <c r="H46" i="107"/>
  <c r="H46" i="111" s="1"/>
  <c r="I46" i="107"/>
  <c r="I46" i="111" s="1"/>
  <c r="J46" i="107"/>
  <c r="J46" i="111" s="1"/>
  <c r="K46" i="107"/>
  <c r="K46" i="111" s="1"/>
  <c r="L46" i="107"/>
  <c r="L46" i="111" s="1"/>
  <c r="M46" i="107"/>
  <c r="M46" i="111" s="1"/>
  <c r="N46" i="107"/>
  <c r="N46" i="111" s="1"/>
  <c r="C47" i="107"/>
  <c r="C47" i="111" s="1"/>
  <c r="D47" i="107"/>
  <c r="D47" i="111" s="1"/>
  <c r="E47" i="107"/>
  <c r="E47" i="111" s="1"/>
  <c r="F47" i="107"/>
  <c r="F47" i="111" s="1"/>
  <c r="G47" i="107"/>
  <c r="G47" i="111" s="1"/>
  <c r="H47" i="107"/>
  <c r="H47" i="111" s="1"/>
  <c r="I47" i="107"/>
  <c r="I47" i="111" s="1"/>
  <c r="J47" i="107"/>
  <c r="J47" i="111" s="1"/>
  <c r="K47" i="107"/>
  <c r="K47" i="111" s="1"/>
  <c r="L47" i="107"/>
  <c r="L47" i="111" s="1"/>
  <c r="M47" i="107"/>
  <c r="M47" i="111" s="1"/>
  <c r="N47" i="107"/>
  <c r="N47" i="111" s="1"/>
  <c r="C48" i="107"/>
  <c r="C48" i="111" s="1"/>
  <c r="D48" i="107"/>
  <c r="D48" i="111" s="1"/>
  <c r="E48" i="107"/>
  <c r="E48" i="111" s="1"/>
  <c r="F48" i="107"/>
  <c r="F48" i="111" s="1"/>
  <c r="G48" i="107"/>
  <c r="G48" i="111" s="1"/>
  <c r="H48" i="107"/>
  <c r="H48" i="111" s="1"/>
  <c r="I48" i="107"/>
  <c r="I48" i="111" s="1"/>
  <c r="J48" i="107"/>
  <c r="J48" i="111" s="1"/>
  <c r="K48" i="107"/>
  <c r="K48" i="111" s="1"/>
  <c r="L48" i="107"/>
  <c r="L48" i="111" s="1"/>
  <c r="M48" i="107"/>
  <c r="M48" i="111" s="1"/>
  <c r="N48" i="107"/>
  <c r="N48" i="111" s="1"/>
  <c r="C49" i="107"/>
  <c r="C49" i="111" s="1"/>
  <c r="D49" i="107"/>
  <c r="D49" i="111" s="1"/>
  <c r="E49" i="107"/>
  <c r="E49" i="111" s="1"/>
  <c r="F49" i="107"/>
  <c r="F49" i="111" s="1"/>
  <c r="G49" i="107"/>
  <c r="G49" i="111" s="1"/>
  <c r="H49" i="107"/>
  <c r="H49" i="111" s="1"/>
  <c r="I49" i="107"/>
  <c r="I49" i="111" s="1"/>
  <c r="J49" i="107"/>
  <c r="J49" i="111" s="1"/>
  <c r="K49" i="107"/>
  <c r="K49" i="111" s="1"/>
  <c r="L49" i="107"/>
  <c r="L49" i="111" s="1"/>
  <c r="M49" i="107"/>
  <c r="M49" i="111" s="1"/>
  <c r="N49" i="107"/>
  <c r="N49" i="111" s="1"/>
  <c r="C50" i="107"/>
  <c r="C50" i="111" s="1"/>
  <c r="D50" i="107"/>
  <c r="D50" i="111" s="1"/>
  <c r="E50" i="107"/>
  <c r="E50" i="111" s="1"/>
  <c r="F50" i="107"/>
  <c r="F50" i="111" s="1"/>
  <c r="G50" i="107"/>
  <c r="G50" i="111" s="1"/>
  <c r="H50" i="107"/>
  <c r="H50" i="111" s="1"/>
  <c r="I50" i="107"/>
  <c r="I50" i="111" s="1"/>
  <c r="J50" i="107"/>
  <c r="J50" i="111" s="1"/>
  <c r="K50" i="107"/>
  <c r="K50" i="111" s="1"/>
  <c r="L50" i="107"/>
  <c r="L50" i="111" s="1"/>
  <c r="M50" i="107"/>
  <c r="M50" i="111" s="1"/>
  <c r="N50" i="107"/>
  <c r="N50" i="111" s="1"/>
  <c r="C51" i="107"/>
  <c r="C51" i="111" s="1"/>
  <c r="D51" i="107"/>
  <c r="D51" i="111" s="1"/>
  <c r="E51" i="107"/>
  <c r="E51" i="111" s="1"/>
  <c r="F51" i="107"/>
  <c r="F51" i="111" s="1"/>
  <c r="G51" i="107"/>
  <c r="G51" i="111" s="1"/>
  <c r="H51" i="107"/>
  <c r="H51" i="111" s="1"/>
  <c r="I51" i="107"/>
  <c r="I51" i="111" s="1"/>
  <c r="J51" i="107"/>
  <c r="J51" i="111" s="1"/>
  <c r="K51" i="107"/>
  <c r="K51" i="111" s="1"/>
  <c r="L51" i="107"/>
  <c r="L51" i="111" s="1"/>
  <c r="M51" i="107"/>
  <c r="M51" i="111" s="1"/>
  <c r="N51" i="107"/>
  <c r="N51" i="111" s="1"/>
  <c r="C52" i="107"/>
  <c r="C52" i="111" s="1"/>
  <c r="D52" i="107"/>
  <c r="D52" i="111" s="1"/>
  <c r="E52" i="107"/>
  <c r="E52" i="111" s="1"/>
  <c r="F52" i="107"/>
  <c r="F52" i="111" s="1"/>
  <c r="G52" i="107"/>
  <c r="G52" i="111" s="1"/>
  <c r="H52" i="107"/>
  <c r="H52" i="111" s="1"/>
  <c r="I52" i="107"/>
  <c r="I52" i="111" s="1"/>
  <c r="J52" i="107"/>
  <c r="J52" i="111" s="1"/>
  <c r="K52" i="107"/>
  <c r="K52" i="111" s="1"/>
  <c r="L52" i="107"/>
  <c r="L52" i="111" s="1"/>
  <c r="M52" i="107"/>
  <c r="M52" i="111" s="1"/>
  <c r="N52" i="107"/>
  <c r="N52" i="111" s="1"/>
  <c r="C53" i="107"/>
  <c r="C53" i="111" s="1"/>
  <c r="D53" i="107"/>
  <c r="D53" i="111" s="1"/>
  <c r="E53" i="107"/>
  <c r="E53" i="111" s="1"/>
  <c r="F53" i="107"/>
  <c r="F53" i="111" s="1"/>
  <c r="G53" i="107"/>
  <c r="G53" i="111" s="1"/>
  <c r="H53" i="107"/>
  <c r="H53" i="111" s="1"/>
  <c r="I53" i="107"/>
  <c r="I53" i="111" s="1"/>
  <c r="J53" i="107"/>
  <c r="J53" i="111" s="1"/>
  <c r="K53" i="107"/>
  <c r="K53" i="111" s="1"/>
  <c r="L53" i="107"/>
  <c r="L53" i="111" s="1"/>
  <c r="M53" i="107"/>
  <c r="M53" i="111" s="1"/>
  <c r="N53" i="107"/>
  <c r="N53" i="111" s="1"/>
  <c r="C54" i="107"/>
  <c r="C54" i="111" s="1"/>
  <c r="D54" i="107"/>
  <c r="D54" i="111" s="1"/>
  <c r="E54" i="107"/>
  <c r="E54" i="111" s="1"/>
  <c r="F54" i="107"/>
  <c r="F54" i="111" s="1"/>
  <c r="G54" i="107"/>
  <c r="G54" i="111" s="1"/>
  <c r="H54" i="107"/>
  <c r="H54" i="111" s="1"/>
  <c r="I54" i="107"/>
  <c r="I54" i="111" s="1"/>
  <c r="J54" i="107"/>
  <c r="J54" i="111" s="1"/>
  <c r="K54" i="107"/>
  <c r="K54" i="111" s="1"/>
  <c r="L54" i="107"/>
  <c r="L54" i="111" s="1"/>
  <c r="M54" i="107"/>
  <c r="M54" i="111" s="1"/>
  <c r="N54" i="107"/>
  <c r="N54" i="111" s="1"/>
  <c r="C55" i="107"/>
  <c r="C55" i="111" s="1"/>
  <c r="D55" i="107"/>
  <c r="D55" i="111" s="1"/>
  <c r="E55" i="107"/>
  <c r="E55" i="111" s="1"/>
  <c r="F55" i="107"/>
  <c r="F55" i="111" s="1"/>
  <c r="G55" i="107"/>
  <c r="G55" i="111" s="1"/>
  <c r="H55" i="107"/>
  <c r="H55" i="111" s="1"/>
  <c r="I55" i="107"/>
  <c r="I55" i="111" s="1"/>
  <c r="J55" i="107"/>
  <c r="J55" i="111" s="1"/>
  <c r="K55" i="107"/>
  <c r="K55" i="111" s="1"/>
  <c r="L55" i="107"/>
  <c r="L55" i="111" s="1"/>
  <c r="M55" i="107"/>
  <c r="M55" i="111" s="1"/>
  <c r="N55" i="107"/>
  <c r="N55" i="111" s="1"/>
  <c r="C56" i="107"/>
  <c r="C56" i="111" s="1"/>
  <c r="D56" i="107"/>
  <c r="D56" i="111" s="1"/>
  <c r="E56" i="107"/>
  <c r="E56" i="111" s="1"/>
  <c r="F56" i="107"/>
  <c r="F56" i="111" s="1"/>
  <c r="G56" i="107"/>
  <c r="G56" i="111" s="1"/>
  <c r="H56" i="107"/>
  <c r="H56" i="111" s="1"/>
  <c r="I56" i="107"/>
  <c r="I56" i="111" s="1"/>
  <c r="J56" i="107"/>
  <c r="J56" i="111" s="1"/>
  <c r="K56" i="107"/>
  <c r="K56" i="111" s="1"/>
  <c r="L56" i="107"/>
  <c r="L56" i="111" s="1"/>
  <c r="M56" i="107"/>
  <c r="M56" i="111" s="1"/>
  <c r="N56" i="107"/>
  <c r="N56" i="111" s="1"/>
  <c r="C57" i="107"/>
  <c r="C57" i="111" s="1"/>
  <c r="D57" i="107"/>
  <c r="D57" i="111" s="1"/>
  <c r="E57" i="107"/>
  <c r="E57" i="111" s="1"/>
  <c r="F57" i="107"/>
  <c r="F57" i="111" s="1"/>
  <c r="G57" i="107"/>
  <c r="G57" i="111" s="1"/>
  <c r="H57" i="107"/>
  <c r="H57" i="111" s="1"/>
  <c r="I57" i="107"/>
  <c r="I57" i="111" s="1"/>
  <c r="J57" i="107"/>
  <c r="J57" i="111" s="1"/>
  <c r="K57" i="107"/>
  <c r="K57" i="111" s="1"/>
  <c r="L57" i="107"/>
  <c r="L57" i="111" s="1"/>
  <c r="M57" i="107"/>
  <c r="M57" i="111" s="1"/>
  <c r="N57" i="107"/>
  <c r="N57" i="111" s="1"/>
  <c r="D10" i="107"/>
  <c r="D10" i="111" s="1"/>
  <c r="E10" i="107"/>
  <c r="E10" i="111" s="1"/>
  <c r="F10" i="107"/>
  <c r="F10" i="111" s="1"/>
  <c r="G10" i="107"/>
  <c r="G10" i="111" s="1"/>
  <c r="H10" i="107"/>
  <c r="H10" i="111" s="1"/>
  <c r="I10" i="107"/>
  <c r="I10" i="111" s="1"/>
  <c r="J10" i="107"/>
  <c r="J10" i="111" s="1"/>
  <c r="K10" i="107"/>
  <c r="K10" i="111" s="1"/>
  <c r="L10" i="107"/>
  <c r="L10" i="111" s="1"/>
  <c r="M10" i="107"/>
  <c r="M10" i="111" s="1"/>
  <c r="N10" i="107"/>
  <c r="N10" i="111" s="1"/>
  <c r="C10" i="107"/>
  <c r="C10" i="111" s="1"/>
  <c r="C3" i="94" l="1"/>
  <c r="C3" i="104" s="1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9"/>
  <c r="G5" i="100" s="1"/>
  <c r="G5" i="101" s="1"/>
  <c r="G5" i="105" s="1"/>
  <c r="G5" i="110" s="1"/>
  <c r="G5" i="103" s="1"/>
  <c r="K6" i="97"/>
  <c r="K5" i="97"/>
  <c r="K6" i="96"/>
  <c r="K5" i="96"/>
  <c r="K6" i="95"/>
  <c r="K5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04" l="1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Y19" i="105"/>
  <c r="X19" i="105"/>
  <c r="X39" i="105" s="1"/>
  <c r="W19" i="105"/>
  <c r="W39" i="105" s="1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AA27" i="99" s="1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V39" i="105" l="1"/>
  <c r="Z39" i="105"/>
  <c r="U39" i="109"/>
  <c r="AC39" i="109"/>
  <c r="X26" i="98"/>
  <c r="AA26" i="95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AB15" i="95"/>
  <c r="U17" i="97"/>
  <c r="U26" i="97" s="1"/>
  <c r="P23" i="110"/>
  <c r="S13" i="110"/>
  <c r="S38" i="110" s="1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Z13" i="109"/>
  <c r="P12" i="110"/>
  <c r="D106" i="110"/>
  <c r="L106" i="110"/>
  <c r="P27" i="110"/>
  <c r="S14" i="110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U38" i="109" s="1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39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Y38" i="105" s="1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Z26" i="95" l="1"/>
  <c r="T36" i="105"/>
  <c r="AB26" i="98"/>
  <c r="S35" i="110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S24" i="94"/>
  <c r="W27" i="95"/>
  <c r="W24" i="95"/>
  <c r="AB24" i="98"/>
  <c r="W26" i="96"/>
  <c r="AC26" i="97"/>
  <c r="AC23" i="97"/>
  <c r="AC24" i="94"/>
  <c r="Y24" i="94"/>
  <c r="S27" i="94"/>
  <c r="AA38" i="110"/>
  <c r="W24" i="94"/>
  <c r="W27" i="94"/>
  <c r="S26" i="94"/>
  <c r="U23" i="97"/>
  <c r="AA27" i="94"/>
  <c r="U27" i="95"/>
  <c r="U24" i="95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X42" i="109" s="1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24" i="98" s="1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O47" i="111" l="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O33" i="111"/>
  <c r="P34" i="111"/>
  <c r="P35" i="111"/>
  <c r="O36" i="111"/>
  <c r="P37" i="111"/>
  <c r="O38" i="111"/>
  <c r="O41" i="111"/>
  <c r="P42" i="111"/>
  <c r="P45" i="111"/>
  <c r="O46" i="111"/>
  <c r="O48" i="111"/>
  <c r="O50" i="111"/>
  <c r="O51" i="111"/>
  <c r="O53" i="111"/>
  <c r="P55" i="111"/>
  <c r="O56" i="111"/>
  <c r="P57" i="111"/>
  <c r="P14" i="111"/>
  <c r="P16" i="111"/>
  <c r="O18" i="11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K108" i="111" l="1"/>
  <c r="N107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K107" i="111" l="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</calcChain>
</file>

<file path=xl/sharedStrings.xml><?xml version="1.0" encoding="utf-8"?>
<sst xmlns="http://schemas.openxmlformats.org/spreadsheetml/2006/main" count="2331" uniqueCount="181">
  <si>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</si>
  <si>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</si>
  <si>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</si>
  <si>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</si>
  <si>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</si>
  <si>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</si>
  <si>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</si>
  <si>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</si>
  <si>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</si>
  <si>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</si>
  <si>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</si>
  <si>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</si>
  <si>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</si>
  <si>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</si>
  <si>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</si>
  <si>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</si>
  <si>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</si>
  <si>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</si>
  <si>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</si>
  <si>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</si>
  <si>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</si>
  <si>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</si>
  <si>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</si>
  <si>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</si>
  <si>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</si>
  <si>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</si>
  <si>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</si>
  <si>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</si>
  <si>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</si>
  <si>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</si>
  <si>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</si>
  <si>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</si>
  <si>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</si>
  <si>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</si>
  <si>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</si>
  <si>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</si>
  <si>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</si>
  <si>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</si>
  <si>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</si>
  <si>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</si>
  <si>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</si>
  <si>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</si>
  <si>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</si>
  <si>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</si>
  <si>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</si>
  <si>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</si>
  <si>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</si>
  <si>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</si>
  <si>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</si>
  <si>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</si>
  <si>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</si>
  <si>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</si>
  <si>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</si>
  <si>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</si>
  <si>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</si>
  <si>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</si>
  <si>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</si>
  <si>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</si>
  <si>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</si>
  <si>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</si>
  <si>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</si>
  <si>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</si>
  <si>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</si>
  <si>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</si>
  <si>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</si>
  <si>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</si>
  <si>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</si>
  <si>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</si>
  <si>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</si>
  <si>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</si>
  <si>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</si>
  <si>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</si>
  <si>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</si>
  <si>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</si>
  <si>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</si>
  <si>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</si>
  <si>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</si>
  <si>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</si>
  <si>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</si>
  <si>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</si>
  <si>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</si>
  <si>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</si>
  <si>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</si>
  <si>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</si>
  <si>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</si>
  <si>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</si>
  <si>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</si>
  <si>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</si>
  <si>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</si>
  <si>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</si>
  <si>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</si>
  <si>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</si>
  <si>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</si>
  <si>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</si>
  <si>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</si>
  <si>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</si>
  <si>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</si>
  <si>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</si>
  <si>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</si>
  <si>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</si>
  <si>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</si>
  <si>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</si>
  <si>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</si>
  <si>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</si>
  <si>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</si>
  <si>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</si>
  <si>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</si>
  <si>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</si>
  <si>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</si>
  <si>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</si>
  <si>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</si>
  <si>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</si>
  <si>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</si>
  <si>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</si>
  <si>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</si>
  <si>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</si>
  <si>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</si>
  <si>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</si>
  <si>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</si>
  <si>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</si>
  <si>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</si>
  <si>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</si>
  <si>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</si>
  <si>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</si>
  <si>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</si>
  <si>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</si>
  <si>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</si>
  <si>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</si>
  <si>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</si>
  <si>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</si>
  <si>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</si>
  <si>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</si>
  <si>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</si>
  <si>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</si>
  <si>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</si>
  <si>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</si>
  <si>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</si>
  <si>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</si>
  <si>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</si>
  <si>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</si>
  <si>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</si>
  <si>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</si>
  <si>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</si>
  <si>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</si>
  <si>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</si>
  <si>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</si>
  <si>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</si>
  <si>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</si>
  <si>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</si>
  <si>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</si>
  <si>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</si>
  <si>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</si>
  <si>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</si>
  <si>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</si>
  <si>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</si>
  <si>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</si>
  <si>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</si>
  <si>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</si>
  <si>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</si>
  <si>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</si>
  <si>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</si>
  <si>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</si>
  <si>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xxx</t>
  </si>
  <si>
    <t>AVERAGE WEEK</t>
  </si>
  <si>
    <t>WOBULENZI</t>
  </si>
  <si>
    <t>ZIROBWE</t>
  </si>
  <si>
    <t>COMFORT</t>
  </si>
  <si>
    <t>BELLA</t>
  </si>
  <si>
    <t>23.10.19</t>
  </si>
  <si>
    <t>JOVANA BELLA</t>
  </si>
  <si>
    <t>22.10.19</t>
  </si>
  <si>
    <t>STATION 88</t>
  </si>
  <si>
    <t>21.10.19</t>
  </si>
  <si>
    <t>20.10.19</t>
  </si>
  <si>
    <t>19.10.19</t>
  </si>
  <si>
    <t>18.10.19</t>
  </si>
  <si>
    <t>17.10.19</t>
  </si>
  <si>
    <t>MMC-C3-WOBULENZI-ZIROBWE ROAD</t>
  </si>
  <si>
    <t>XXXXX</t>
  </si>
  <si>
    <t>XXXX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</si>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</sst>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1" formatCode="_(* #,##0_);_(* \(#,##0\);_(* &quot;-&quot;_);_(@_)"/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1" fontId="3" fillId="0" borderId="0" applyFont="0" applyFill="0" applyBorder="0" applyAlignment="0" applyProtection="0"/>
  </cellStyleXfs>
  <cellXfs count="70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2" borderId="4" xfId="0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/>
    </xf>
    <xf numFmtId="1" fontId="1" fillId="2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2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0" fontId="0" fillId="0" borderId="4" xfId="0" applyFill="1" applyBorder="1"/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41" fontId="1" fillId="0" borderId="8" xfId="2" applyFont="1" applyBorder="1" applyAlignment="1">
      <alignment horizontal="center"/>
    </xf>
    <xf numFmtId="41" fontId="1" fillId="0" borderId="1" xfId="2" applyFont="1" applyBorder="1" applyAlignment="1">
      <alignment horizontal="center"/>
    </xf>
    <xf numFmtId="41" fontId="1" fillId="2" borderId="1" xfId="2" applyFont="1" applyFill="1" applyBorder="1" applyAlignment="1">
      <alignment horizontal="center"/>
    </xf>
    <xf numFmtId="165" fontId="1" fillId="2" borderId="1" xfId="0" applyNumberFormat="1" applyFont="1" applyFill="1" applyBorder="1" applyAlignment="1">
      <alignment horizontal="center"/>
    </xf>
    <xf numFmtId="0" fontId="10" fillId="0" borderId="6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WOBULENZI-ZIROBWE'!$AE$9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WOBULENZI-ZIROBWE'!$AE$10:$AE$21</c:f>
              <c:numCache>
                <c:formatCode>0</c:formatCode>
                <c:ptCount val="12"/>
                <c:pt idx="0">
                  <c:v>5</c:v>
                </c:pt>
                <c:pt idx="1">
                  <c:v>9</c:v>
                </c:pt>
                <c:pt idx="2">
                  <c:v>6</c:v>
                </c:pt>
                <c:pt idx="3">
                  <c:v>6</c:v>
                </c:pt>
                <c:pt idx="4">
                  <c:v>17</c:v>
                </c:pt>
                <c:pt idx="5">
                  <c:v>11</c:v>
                </c:pt>
                <c:pt idx="6">
                  <c:v>21</c:v>
                </c:pt>
                <c:pt idx="7">
                  <c:v>20</c:v>
                </c:pt>
                <c:pt idx="8">
                  <c:v>13</c:v>
                </c:pt>
                <c:pt idx="9">
                  <c:v>13</c:v>
                </c:pt>
                <c:pt idx="10">
                  <c:v>15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'17.10 WOBULENZI-ZIROBWE'!$AF$9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WOBULENZI-ZIROBWE'!$AF$10:$AF$21</c:f>
              <c:numCache>
                <c:formatCode>0</c:formatCode>
                <c:ptCount val="12"/>
                <c:pt idx="0">
                  <c:v>60</c:v>
                </c:pt>
                <c:pt idx="1">
                  <c:v>74</c:v>
                </c:pt>
                <c:pt idx="2">
                  <c:v>65</c:v>
                </c:pt>
                <c:pt idx="3">
                  <c:v>62</c:v>
                </c:pt>
                <c:pt idx="4">
                  <c:v>77</c:v>
                </c:pt>
                <c:pt idx="5">
                  <c:v>85</c:v>
                </c:pt>
                <c:pt idx="6">
                  <c:v>96</c:v>
                </c:pt>
                <c:pt idx="7">
                  <c:v>83</c:v>
                </c:pt>
                <c:pt idx="8">
                  <c:v>83</c:v>
                </c:pt>
                <c:pt idx="9">
                  <c:v>82</c:v>
                </c:pt>
                <c:pt idx="10">
                  <c:v>81</c:v>
                </c:pt>
                <c:pt idx="11">
                  <c:v>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530096"/>
        <c:axId val="216530488"/>
      </c:lineChart>
      <c:catAx>
        <c:axId val="2165300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530488"/>
        <c:crosses val="autoZero"/>
        <c:auto val="1"/>
        <c:lblAlgn val="ctr"/>
        <c:lblOffset val="100"/>
        <c:noMultiLvlLbl val="0"/>
      </c:catAx>
      <c:valAx>
        <c:axId val="216530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53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WOBULENZI-ZIROBWE'!$C$59:$N$59</c:f>
              <c:numCache>
                <c:formatCode>0.0%</c:formatCode>
                <c:ptCount val="12"/>
                <c:pt idx="0">
                  <c:v>3.8461538461538464E-2</c:v>
                </c:pt>
                <c:pt idx="1">
                  <c:v>9.6153846153846159E-3</c:v>
                </c:pt>
                <c:pt idx="2">
                  <c:v>1.3888888888888888E-2</c:v>
                </c:pt>
                <c:pt idx="3">
                  <c:v>1.9230769230769232E-2</c:v>
                </c:pt>
                <c:pt idx="4">
                  <c:v>3.205128205128205E-3</c:v>
                </c:pt>
                <c:pt idx="5">
                  <c:v>0</c:v>
                </c:pt>
                <c:pt idx="6">
                  <c:v>2.2435897435897436E-2</c:v>
                </c:pt>
                <c:pt idx="7">
                  <c:v>4.4871794871794872E-2</c:v>
                </c:pt>
                <c:pt idx="8">
                  <c:v>7.478632478632479E-3</c:v>
                </c:pt>
                <c:pt idx="9">
                  <c:v>0</c:v>
                </c:pt>
                <c:pt idx="10">
                  <c:v>0.83974358974358976</c:v>
                </c:pt>
                <c:pt idx="11">
                  <c:v>1.0683760683760685E-3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WOBULENZI-ZIROBWE'!$S$9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WOBULENZI-ZIROBWE'!$S$10:$S$21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0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8</c:v>
                </c:pt>
                <c:pt idx="7">
                  <c:v>2</c:v>
                </c:pt>
                <c:pt idx="8">
                  <c:v>4</c:v>
                </c:pt>
                <c:pt idx="9">
                  <c:v>1</c:v>
                </c:pt>
                <c:pt idx="10">
                  <c:v>4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'17.10 WOBULENZI-ZIROBWE'!$T$9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WOBULENZI-ZIROBWE'!$T$10:$T$21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'17.10 WOBULENZI-ZIROBWE'!$U$9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3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'17.10 WOBULENZI-ZIROBWE'!$V$9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3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'17.10 WOBULENZI-ZIROBWE'!$W$9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'17.10 WOBULENZI-ZIROBWE'!$X$9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'17.10 WOBULENZI-ZIROBWE'!$Y$9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5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'17.10 WOBULENZI-ZIROBWE'!$Z$9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6</c:v>
                </c:pt>
                <c:pt idx="5">
                  <c:v>4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4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'17.10 WOBULENZI-ZIROBWE'!$AA$9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'17.10 WOBULENZI-ZIROBWE'!$AB$9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'17.10 WOBULENZI-ZIROBWE'!$AC$9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WOBULENZI-ZIROBWE'!$AC$10:$AC$21</c:f>
              <c:numCache>
                <c:formatCode>0</c:formatCode>
                <c:ptCount val="12"/>
                <c:pt idx="0">
                  <c:v>55</c:v>
                </c:pt>
                <c:pt idx="1">
                  <c:v>65</c:v>
                </c:pt>
                <c:pt idx="2">
                  <c:v>59</c:v>
                </c:pt>
                <c:pt idx="3">
                  <c:v>56</c:v>
                </c:pt>
                <c:pt idx="4">
                  <c:v>60</c:v>
                </c:pt>
                <c:pt idx="5">
                  <c:v>74</c:v>
                </c:pt>
                <c:pt idx="6">
                  <c:v>75</c:v>
                </c:pt>
                <c:pt idx="7">
                  <c:v>63</c:v>
                </c:pt>
                <c:pt idx="8">
                  <c:v>70</c:v>
                </c:pt>
                <c:pt idx="9">
                  <c:v>69</c:v>
                </c:pt>
                <c:pt idx="10">
                  <c:v>66</c:v>
                </c:pt>
                <c:pt idx="11">
                  <c:v>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'17.10 WOBULENZI-ZIROBWE'!$AD$9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WOBULENZI-ZIROBWE'!$AD$10:$AD$21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7288880"/>
        <c:axId val="217289272"/>
      </c:lineChart>
      <c:catAx>
        <c:axId val="217288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7289272"/>
        <c:crosses val="autoZero"/>
        <c:auto val="1"/>
        <c:lblAlgn val="ctr"/>
        <c:lblOffset val="100"/>
        <c:noMultiLvlLbl val="0"/>
      </c:catAx>
      <c:valAx>
        <c:axId val="217289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728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WOBULENZI-ZIROBWE'!$C$60:$N$60</c:f>
              <c:numCache>
                <c:formatCode>0.00%</c:formatCode>
                <c:ptCount val="12"/>
                <c:pt idx="0">
                  <c:v>0.24</c:v>
                </c:pt>
                <c:pt idx="1">
                  <c:v>0.06</c:v>
                </c:pt>
                <c:pt idx="2">
                  <c:v>8.666666666666667E-2</c:v>
                </c:pt>
                <c:pt idx="3">
                  <c:v>0.12</c:v>
                </c:pt>
                <c:pt idx="4">
                  <c:v>0.02</c:v>
                </c:pt>
                <c:pt idx="5">
                  <c:v>0</c:v>
                </c:pt>
                <c:pt idx="6">
                  <c:v>0.14000000000000001</c:v>
                </c:pt>
                <c:pt idx="7">
                  <c:v>0.28000000000000003</c:v>
                </c:pt>
                <c:pt idx="8">
                  <c:v>4.6666666666666669E-2</c:v>
                </c:pt>
                <c:pt idx="9">
                  <c:v>0</c:v>
                </c:pt>
                <c:pt idx="11">
                  <c:v>6.6666666666666671E-3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ZIROBWE-WOBULENZI'!$AE$9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ZIROBWE-WOBULENZI'!$AE$10:$AE$21</c:f>
              <c:numCache>
                <c:formatCode>0</c:formatCode>
                <c:ptCount val="12"/>
                <c:pt idx="0">
                  <c:v>4</c:v>
                </c:pt>
                <c:pt idx="1">
                  <c:v>11</c:v>
                </c:pt>
                <c:pt idx="2">
                  <c:v>7</c:v>
                </c:pt>
                <c:pt idx="3">
                  <c:v>21</c:v>
                </c:pt>
                <c:pt idx="4">
                  <c:v>13</c:v>
                </c:pt>
                <c:pt idx="5">
                  <c:v>14</c:v>
                </c:pt>
                <c:pt idx="6">
                  <c:v>18</c:v>
                </c:pt>
                <c:pt idx="7">
                  <c:v>13</c:v>
                </c:pt>
                <c:pt idx="8">
                  <c:v>23</c:v>
                </c:pt>
                <c:pt idx="9">
                  <c:v>22</c:v>
                </c:pt>
                <c:pt idx="10">
                  <c:v>8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'17.10 ZIROBWE-WOBULENZI'!$AF$9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ZIROBWE-WOBULENZI'!$AF$10:$AF$21</c:f>
              <c:numCache>
                <c:formatCode>0</c:formatCode>
                <c:ptCount val="12"/>
                <c:pt idx="0">
                  <c:v>52</c:v>
                </c:pt>
                <c:pt idx="1">
                  <c:v>70</c:v>
                </c:pt>
                <c:pt idx="2">
                  <c:v>56</c:v>
                </c:pt>
                <c:pt idx="3">
                  <c:v>91</c:v>
                </c:pt>
                <c:pt idx="4">
                  <c:v>62</c:v>
                </c:pt>
                <c:pt idx="5">
                  <c:v>76</c:v>
                </c:pt>
                <c:pt idx="6">
                  <c:v>81</c:v>
                </c:pt>
                <c:pt idx="7">
                  <c:v>77</c:v>
                </c:pt>
                <c:pt idx="8">
                  <c:v>95</c:v>
                </c:pt>
                <c:pt idx="9">
                  <c:v>82</c:v>
                </c:pt>
                <c:pt idx="10">
                  <c:v>68</c:v>
                </c:pt>
                <c:pt idx="11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318352"/>
        <c:axId val="219323448"/>
      </c:lineChart>
      <c:catAx>
        <c:axId val="2193183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323448"/>
        <c:crosses val="autoZero"/>
        <c:auto val="1"/>
        <c:lblAlgn val="ctr"/>
        <c:lblOffset val="100"/>
        <c:noMultiLvlLbl val="0"/>
      </c:catAx>
      <c:valAx>
        <c:axId val="2193234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3183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ZIROBWE-WOBULENZI'!$C$59:$N$59</c:f>
              <c:numCache>
                <c:formatCode>0.0%</c:formatCode>
                <c:ptCount val="12"/>
                <c:pt idx="0">
                  <c:v>4.4994375703037118E-2</c:v>
                </c:pt>
                <c:pt idx="1">
                  <c:v>1.1248593925759279E-2</c:v>
                </c:pt>
                <c:pt idx="2">
                  <c:v>2.0247469066366704E-2</c:v>
                </c:pt>
                <c:pt idx="3">
                  <c:v>2.5871766029246346E-2</c:v>
                </c:pt>
                <c:pt idx="4">
                  <c:v>1.1248593925759281E-3</c:v>
                </c:pt>
                <c:pt idx="5">
                  <c:v>2.2497187851518562E-3</c:v>
                </c:pt>
                <c:pt idx="6">
                  <c:v>2.1372328458942633E-2</c:v>
                </c:pt>
                <c:pt idx="7">
                  <c:v>5.8492688413948259E-2</c:v>
                </c:pt>
                <c:pt idx="8">
                  <c:v>0</c:v>
                </c:pt>
                <c:pt idx="9">
                  <c:v>0</c:v>
                </c:pt>
                <c:pt idx="10">
                  <c:v>0.813273340832396</c:v>
                </c:pt>
                <c:pt idx="11">
                  <c:v>1.1248593925759281E-3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ZIROBWE-WOBULENZI'!$S$9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ZIROBWE-WOBULENZI'!$S$10:$S$21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0</c:v>
                </c:pt>
                <c:pt idx="3">
                  <c:v>6</c:v>
                </c:pt>
                <c:pt idx="4">
                  <c:v>1</c:v>
                </c:pt>
                <c:pt idx="5">
                  <c:v>2</c:v>
                </c:pt>
                <c:pt idx="6">
                  <c:v>7</c:v>
                </c:pt>
                <c:pt idx="7">
                  <c:v>2</c:v>
                </c:pt>
                <c:pt idx="8">
                  <c:v>5</c:v>
                </c:pt>
                <c:pt idx="9">
                  <c:v>7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'17.10 ZIROBWE-WOBULENZI'!$T$9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ZIROBWE-WOBULENZI'!$T$10:$T$21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'17.10 ZIROBWE-WOBULENZI'!$U$9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ZIROBWE-WOBULENZI'!$U$10:$U$21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'17.10 ZIROBWE-WOBULENZI'!$V$9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ZIROBWE-WOBULENZI'!$V$10:$V$21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5</c:v>
                </c:pt>
                <c:pt idx="9">
                  <c:v>2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'17.10 ZIROBWE-WOBULENZI'!$W$9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'17.10 ZIROBWE-WOBULENZI'!$X$9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'17.10 ZIROBWE-WOBULENZI'!$Y$9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3</c:v>
                </c:pt>
                <c:pt idx="7">
                  <c:v>4</c:v>
                </c:pt>
                <c:pt idx="8">
                  <c:v>3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'17.10 ZIROBWE-WOBULENZI'!$Z$9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10</c:v>
                </c:pt>
                <c:pt idx="4">
                  <c:v>4</c:v>
                </c:pt>
                <c:pt idx="5">
                  <c:v>6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  <c:pt idx="9">
                  <c:v>7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'17.10 ZIROBWE-WOBULENZI'!$AA$9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'17.10 ZIROBWE-WOBULENZI'!$AB$9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'17.10 ZIROBWE-WOBULENZI'!$AC$9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ZIROBWE-WOBULENZI'!$AC$10:$AC$21</c:f>
              <c:numCache>
                <c:formatCode>0</c:formatCode>
                <c:ptCount val="12"/>
                <c:pt idx="0">
                  <c:v>48</c:v>
                </c:pt>
                <c:pt idx="1">
                  <c:v>59</c:v>
                </c:pt>
                <c:pt idx="2">
                  <c:v>49</c:v>
                </c:pt>
                <c:pt idx="3">
                  <c:v>70</c:v>
                </c:pt>
                <c:pt idx="4">
                  <c:v>49</c:v>
                </c:pt>
                <c:pt idx="5">
                  <c:v>62</c:v>
                </c:pt>
                <c:pt idx="6">
                  <c:v>63</c:v>
                </c:pt>
                <c:pt idx="7">
                  <c:v>64</c:v>
                </c:pt>
                <c:pt idx="8">
                  <c:v>72</c:v>
                </c:pt>
                <c:pt idx="9">
                  <c:v>60</c:v>
                </c:pt>
                <c:pt idx="10">
                  <c:v>60</c:v>
                </c:pt>
                <c:pt idx="1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'17.10 ZIROBWE-WOBULENZI'!$AD$9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ZIROBWE-WOBULENZI'!$AD$10:$AD$21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9319136"/>
        <c:axId val="219323056"/>
      </c:lineChart>
      <c:catAx>
        <c:axId val="219319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323056"/>
        <c:crosses val="autoZero"/>
        <c:auto val="1"/>
        <c:lblAlgn val="ctr"/>
        <c:lblOffset val="100"/>
        <c:noMultiLvlLbl val="0"/>
      </c:catAx>
      <c:valAx>
        <c:axId val="2193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31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ZIROBWE-WOBULENZI'!$C$60:$N$60</c:f>
              <c:numCache>
                <c:formatCode>0.00%</c:formatCode>
                <c:ptCount val="12"/>
                <c:pt idx="0">
                  <c:v>0.24096385542168675</c:v>
                </c:pt>
                <c:pt idx="1">
                  <c:v>6.0240963855421686E-2</c:v>
                </c:pt>
                <c:pt idx="2">
                  <c:v>0.10843373493975904</c:v>
                </c:pt>
                <c:pt idx="3">
                  <c:v>0.13855421686746988</c:v>
                </c:pt>
                <c:pt idx="4">
                  <c:v>6.024096385542169E-3</c:v>
                </c:pt>
                <c:pt idx="5">
                  <c:v>1.2048192771084338E-2</c:v>
                </c:pt>
                <c:pt idx="6">
                  <c:v>0.1144578313253012</c:v>
                </c:pt>
                <c:pt idx="7">
                  <c:v>0.31325301204819278</c:v>
                </c:pt>
                <c:pt idx="8">
                  <c:v>0</c:v>
                </c:pt>
                <c:pt idx="9">
                  <c:v>0</c:v>
                </c:pt>
                <c:pt idx="11">
                  <c:v>6.024096385542169E-3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WOBULENZI-ZIROBWE'!$AE$9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WOBULENZI-ZIROBWE'!$AE$10:$AE$21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7</c:v>
                </c:pt>
                <c:pt idx="3">
                  <c:v>4</c:v>
                </c:pt>
                <c:pt idx="4">
                  <c:v>20</c:v>
                </c:pt>
                <c:pt idx="5">
                  <c:v>12</c:v>
                </c:pt>
                <c:pt idx="6">
                  <c:v>16</c:v>
                </c:pt>
                <c:pt idx="7">
                  <c:v>9</c:v>
                </c:pt>
                <c:pt idx="8">
                  <c:v>10</c:v>
                </c:pt>
                <c:pt idx="9">
                  <c:v>19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'18.10 WOBULENZI-ZIROBWE'!$AF$9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WOBULENZI-ZIROBWE'!$AF$10:$AF$21</c:f>
              <c:numCache>
                <c:formatCode>0</c:formatCode>
                <c:ptCount val="12"/>
                <c:pt idx="0">
                  <c:v>66</c:v>
                </c:pt>
                <c:pt idx="1">
                  <c:v>60</c:v>
                </c:pt>
                <c:pt idx="2">
                  <c:v>33</c:v>
                </c:pt>
                <c:pt idx="3">
                  <c:v>51</c:v>
                </c:pt>
                <c:pt idx="4">
                  <c:v>83</c:v>
                </c:pt>
                <c:pt idx="5">
                  <c:v>82</c:v>
                </c:pt>
                <c:pt idx="6">
                  <c:v>94</c:v>
                </c:pt>
                <c:pt idx="7">
                  <c:v>74</c:v>
                </c:pt>
                <c:pt idx="8">
                  <c:v>81</c:v>
                </c:pt>
                <c:pt idx="9">
                  <c:v>91</c:v>
                </c:pt>
                <c:pt idx="10">
                  <c:v>87</c:v>
                </c:pt>
                <c:pt idx="11">
                  <c:v>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592952"/>
        <c:axId val="215593344"/>
      </c:lineChart>
      <c:catAx>
        <c:axId val="21559295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593344"/>
        <c:crosses val="autoZero"/>
        <c:auto val="1"/>
        <c:lblAlgn val="ctr"/>
        <c:lblOffset val="100"/>
        <c:noMultiLvlLbl val="0"/>
      </c:catAx>
      <c:valAx>
        <c:axId val="2155933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592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WOBULENZI-ZIROBWE'!$C$59:$N$59</c:f>
              <c:numCache>
                <c:formatCode>0.0%</c:formatCode>
                <c:ptCount val="12"/>
                <c:pt idx="0">
                  <c:v>3.6954087346024636E-2</c:v>
                </c:pt>
                <c:pt idx="1">
                  <c:v>8.9585666293393058E-3</c:v>
                </c:pt>
                <c:pt idx="2">
                  <c:v>1.3437849944008958E-2</c:v>
                </c:pt>
                <c:pt idx="3">
                  <c:v>1.5677491601343786E-2</c:v>
                </c:pt>
                <c:pt idx="4">
                  <c:v>3.3594624860022394E-3</c:v>
                </c:pt>
                <c:pt idx="5">
                  <c:v>0</c:v>
                </c:pt>
                <c:pt idx="6">
                  <c:v>2.0156774916013438E-2</c:v>
                </c:pt>
                <c:pt idx="7">
                  <c:v>4.9272116461366179E-2</c:v>
                </c:pt>
                <c:pt idx="8">
                  <c:v>0</c:v>
                </c:pt>
                <c:pt idx="9">
                  <c:v>2.2396416573348264E-3</c:v>
                </c:pt>
                <c:pt idx="10">
                  <c:v>0.84994400895856659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WOBULENZI-ZIROBWE'!$S$9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'18.10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WOBULENZI-ZIROBWE'!$S$10:$S$21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0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1</c:v>
                </c:pt>
                <c:pt idx="9">
                  <c:v>4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'18.10 WOBULENZI-ZIROBWE'!$T$9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'18.10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WOBULENZI-ZIROBWE'!$T$10:$T$21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3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'18.10 WOBULENZI-ZIROBWE'!$U$9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'18.10 WOBULENZI-ZIROBWE'!$V$9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WOBULENZI-ZIROBWE'!$V$10:$V$21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3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'18.10 WOBULENZI-ZIROBWE'!$W$9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'18.10 WOBULENZI-ZIROBWE'!$X$9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'18.10 WOBULENZI-ZIROBWE'!$Y$9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WOBULENZI-ZIROBWE'!$Y$10:$Y$21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3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'18.10 WOBULENZI-ZIROBWE'!$Z$9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11</c:v>
                </c:pt>
                <c:pt idx="5">
                  <c:v>5</c:v>
                </c:pt>
                <c:pt idx="6">
                  <c:v>7</c:v>
                </c:pt>
                <c:pt idx="7">
                  <c:v>2</c:v>
                </c:pt>
                <c:pt idx="8">
                  <c:v>4</c:v>
                </c:pt>
                <c:pt idx="9">
                  <c:v>6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'18.10 WOBULENZI-ZIROBWE'!$AA$9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'18.10 WOBULENZI-ZIROBWE'!$AB$9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'18.10 WOBULENZI-ZIROBWE'!$AC$9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WOBULENZI-ZIROBWE'!$AC$10:$AC$21</c:f>
              <c:numCache>
                <c:formatCode>0</c:formatCode>
                <c:ptCount val="12"/>
                <c:pt idx="0">
                  <c:v>64</c:v>
                </c:pt>
                <c:pt idx="1">
                  <c:v>52</c:v>
                </c:pt>
                <c:pt idx="2">
                  <c:v>26</c:v>
                </c:pt>
                <c:pt idx="3">
                  <c:v>47</c:v>
                </c:pt>
                <c:pt idx="4">
                  <c:v>63</c:v>
                </c:pt>
                <c:pt idx="5">
                  <c:v>70</c:v>
                </c:pt>
                <c:pt idx="6">
                  <c:v>78</c:v>
                </c:pt>
                <c:pt idx="7">
                  <c:v>65</c:v>
                </c:pt>
                <c:pt idx="8">
                  <c:v>71</c:v>
                </c:pt>
                <c:pt idx="9">
                  <c:v>72</c:v>
                </c:pt>
                <c:pt idx="10">
                  <c:v>73</c:v>
                </c:pt>
                <c:pt idx="11">
                  <c:v>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'18.10 WOBULENZI-ZIROBWE'!$AD$9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WOBULENZI-ZIROBWE'!$AD$10:$AD$21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5597264"/>
        <c:axId val="215591384"/>
      </c:lineChart>
      <c:catAx>
        <c:axId val="2155972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591384"/>
        <c:crosses val="autoZero"/>
        <c:auto val="1"/>
        <c:lblAlgn val="ctr"/>
        <c:lblOffset val="100"/>
        <c:noMultiLvlLbl val="0"/>
      </c:catAx>
      <c:valAx>
        <c:axId val="215591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597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WOBULENZI-ZIROBWE'!$C$60:$N$60</c:f>
              <c:numCache>
                <c:formatCode>0.00%</c:formatCode>
                <c:ptCount val="12"/>
                <c:pt idx="0">
                  <c:v>0.2462686567164179</c:v>
                </c:pt>
                <c:pt idx="1">
                  <c:v>5.9701492537313432E-2</c:v>
                </c:pt>
                <c:pt idx="2">
                  <c:v>8.9552238805970144E-2</c:v>
                </c:pt>
                <c:pt idx="3">
                  <c:v>0.1044776119402985</c:v>
                </c:pt>
                <c:pt idx="4">
                  <c:v>2.2388059701492536E-2</c:v>
                </c:pt>
                <c:pt idx="5">
                  <c:v>0</c:v>
                </c:pt>
                <c:pt idx="6">
                  <c:v>0.13432835820895522</c:v>
                </c:pt>
                <c:pt idx="7">
                  <c:v>0.32835820895522388</c:v>
                </c:pt>
                <c:pt idx="8">
                  <c:v>0</c:v>
                </c:pt>
                <c:pt idx="9">
                  <c:v>1.4925373134328358E-2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ZIROBWE-WOBULENZI'!$AE$9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ZIROBWE-WOBULENZI'!$AE$10:$AE$21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12</c:v>
                </c:pt>
                <c:pt idx="3">
                  <c:v>22</c:v>
                </c:pt>
                <c:pt idx="4">
                  <c:v>21</c:v>
                </c:pt>
                <c:pt idx="5">
                  <c:v>12</c:v>
                </c:pt>
                <c:pt idx="6">
                  <c:v>10</c:v>
                </c:pt>
                <c:pt idx="7">
                  <c:v>16</c:v>
                </c:pt>
                <c:pt idx="8">
                  <c:v>17</c:v>
                </c:pt>
                <c:pt idx="9">
                  <c:v>14</c:v>
                </c:pt>
                <c:pt idx="10">
                  <c:v>14</c:v>
                </c:pt>
                <c:pt idx="11">
                  <c:v>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'18.10 ZIROBWE-WOBULENZI'!$AF$9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ZIROBWE-WOBULENZI'!$AF$10:$AF$21</c:f>
              <c:numCache>
                <c:formatCode>0</c:formatCode>
                <c:ptCount val="12"/>
                <c:pt idx="0">
                  <c:v>53</c:v>
                </c:pt>
                <c:pt idx="1">
                  <c:v>48</c:v>
                </c:pt>
                <c:pt idx="2">
                  <c:v>35</c:v>
                </c:pt>
                <c:pt idx="3">
                  <c:v>72</c:v>
                </c:pt>
                <c:pt idx="4">
                  <c:v>73</c:v>
                </c:pt>
                <c:pt idx="5">
                  <c:v>82</c:v>
                </c:pt>
                <c:pt idx="6">
                  <c:v>69</c:v>
                </c:pt>
                <c:pt idx="7">
                  <c:v>75</c:v>
                </c:pt>
                <c:pt idx="8">
                  <c:v>84</c:v>
                </c:pt>
                <c:pt idx="9">
                  <c:v>97</c:v>
                </c:pt>
                <c:pt idx="10">
                  <c:v>88</c:v>
                </c:pt>
                <c:pt idx="11">
                  <c:v>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5592168"/>
        <c:axId val="215595304"/>
      </c:lineChart>
      <c:catAx>
        <c:axId val="215592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595304"/>
        <c:crosses val="autoZero"/>
        <c:auto val="1"/>
        <c:lblAlgn val="ctr"/>
        <c:lblOffset val="100"/>
        <c:noMultiLvlLbl val="0"/>
      </c:catAx>
      <c:valAx>
        <c:axId val="21559530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592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ZIROBWE-WOBULENZI'!$C$59:$N$59</c:f>
              <c:numCache>
                <c:formatCode>0.0%</c:formatCode>
                <c:ptCount val="12"/>
                <c:pt idx="0">
                  <c:v>5.2023121387283239E-2</c:v>
                </c:pt>
                <c:pt idx="1">
                  <c:v>8.0924855491329474E-3</c:v>
                </c:pt>
                <c:pt idx="2">
                  <c:v>1.7341040462427744E-2</c:v>
                </c:pt>
                <c:pt idx="3">
                  <c:v>2.7745664739884393E-2</c:v>
                </c:pt>
                <c:pt idx="4">
                  <c:v>1.1560693641618498E-3</c:v>
                </c:pt>
                <c:pt idx="5">
                  <c:v>0</c:v>
                </c:pt>
                <c:pt idx="6">
                  <c:v>2.6589595375722544E-2</c:v>
                </c:pt>
                <c:pt idx="7">
                  <c:v>6.1271676300578032E-2</c:v>
                </c:pt>
                <c:pt idx="8">
                  <c:v>0</c:v>
                </c:pt>
                <c:pt idx="9">
                  <c:v>2.3121387283236996E-3</c:v>
                </c:pt>
                <c:pt idx="10">
                  <c:v>0.80231213872832374</c:v>
                </c:pt>
                <c:pt idx="11">
                  <c:v>1.1560693641618498E-3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ZIROBWE-WOBULENZI'!$S$9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'18.10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ZIROBWE-WOBULENZI'!$S$10:$S$21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  <c:pt idx="5">
                  <c:v>6</c:v>
                </c:pt>
                <c:pt idx="6">
                  <c:v>5</c:v>
                </c:pt>
                <c:pt idx="7">
                  <c:v>1</c:v>
                </c:pt>
                <c:pt idx="8">
                  <c:v>2</c:v>
                </c:pt>
                <c:pt idx="9">
                  <c:v>5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'18.10 ZIROBWE-WOBULENZI'!$T$9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'18.10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ZIROBWE-WOBULENZI'!$T$10:$T$21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'18.10 ZIROBWE-WOBULENZI'!$U$9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'18.10 ZIROBWE-WOBULENZI'!$V$9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ZIROBWE-WOBULENZI'!$V$10:$V$21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3</c:v>
                </c:pt>
                <c:pt idx="9">
                  <c:v>2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'18.10 ZIROBWE-WOBULENZI'!$W$9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'18.10 ZIROBWE-WOBULENZI'!$X$9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'18.10 ZIROBWE-WOBULENZI'!$Y$9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ZIROBWE-WOBULENZI'!$Y$10:$Y$21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3</c:v>
                </c:pt>
                <c:pt idx="5">
                  <c:v>5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'18.10 ZIROBWE-WOBULENZI'!$Z$9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ZIROBWE-WOBULENZI'!$Z$10:$Z$21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4</c:v>
                </c:pt>
                <c:pt idx="3">
                  <c:v>11</c:v>
                </c:pt>
                <c:pt idx="4">
                  <c:v>12</c:v>
                </c:pt>
                <c:pt idx="5">
                  <c:v>0</c:v>
                </c:pt>
                <c:pt idx="6">
                  <c:v>3</c:v>
                </c:pt>
                <c:pt idx="7">
                  <c:v>5</c:v>
                </c:pt>
                <c:pt idx="8">
                  <c:v>7</c:v>
                </c:pt>
                <c:pt idx="9">
                  <c:v>4</c:v>
                </c:pt>
                <c:pt idx="10">
                  <c:v>1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'18.10 ZIROBWE-WOBULENZI'!$AA$9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'18.10 ZIROBWE-WOBULENZI'!$AB$9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'18.10 ZIROBWE-WOBULENZI'!$AC$9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ZIROBWE-WOBULENZI'!$AC$10:$AC$21</c:f>
              <c:numCache>
                <c:formatCode>0</c:formatCode>
                <c:ptCount val="12"/>
                <c:pt idx="0">
                  <c:v>47</c:v>
                </c:pt>
                <c:pt idx="1">
                  <c:v>40</c:v>
                </c:pt>
                <c:pt idx="2">
                  <c:v>23</c:v>
                </c:pt>
                <c:pt idx="3">
                  <c:v>50</c:v>
                </c:pt>
                <c:pt idx="4">
                  <c:v>52</c:v>
                </c:pt>
                <c:pt idx="5">
                  <c:v>70</c:v>
                </c:pt>
                <c:pt idx="6">
                  <c:v>59</c:v>
                </c:pt>
                <c:pt idx="7">
                  <c:v>59</c:v>
                </c:pt>
                <c:pt idx="8">
                  <c:v>67</c:v>
                </c:pt>
                <c:pt idx="9">
                  <c:v>83</c:v>
                </c:pt>
                <c:pt idx="10">
                  <c:v>74</c:v>
                </c:pt>
                <c:pt idx="11">
                  <c:v>70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'18.10 ZIROBWE-WOBULENZI'!$AD$9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ZIROBWE-WOBULENZI'!$AD$10:$AD$21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5596088"/>
        <c:axId val="215598048"/>
      </c:lineChart>
      <c:catAx>
        <c:axId val="2155960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598048"/>
        <c:crosses val="autoZero"/>
        <c:auto val="1"/>
        <c:lblAlgn val="ctr"/>
        <c:lblOffset val="100"/>
        <c:noMultiLvlLbl val="0"/>
      </c:catAx>
      <c:valAx>
        <c:axId val="215598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5596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ZIROBWE-WOBULENZI'!$C$60:$N$60</c:f>
              <c:numCache>
                <c:formatCode>0.00%</c:formatCode>
                <c:ptCount val="12"/>
                <c:pt idx="0">
                  <c:v>0.26315789473684209</c:v>
                </c:pt>
                <c:pt idx="1">
                  <c:v>4.0935672514619881E-2</c:v>
                </c:pt>
                <c:pt idx="2">
                  <c:v>8.771929824561403E-2</c:v>
                </c:pt>
                <c:pt idx="3">
                  <c:v>0.14035087719298245</c:v>
                </c:pt>
                <c:pt idx="4">
                  <c:v>5.8479532163742687E-3</c:v>
                </c:pt>
                <c:pt idx="5">
                  <c:v>0</c:v>
                </c:pt>
                <c:pt idx="6">
                  <c:v>0.13450292397660818</c:v>
                </c:pt>
                <c:pt idx="7">
                  <c:v>0.30994152046783624</c:v>
                </c:pt>
                <c:pt idx="8">
                  <c:v>0</c:v>
                </c:pt>
                <c:pt idx="9">
                  <c:v>1.1695906432748537E-2</c:v>
                </c:pt>
                <c:pt idx="11">
                  <c:v>5.8479532163742687E-3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WOBULENZI-ZIROBWE-24h'!$AE$9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WOBULENZI-ZIROBWE-24h'!$R$10:$R$33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WOBULENZI-ZIROBWE-24h'!$AE$10:$AE$33</c:f>
              <c:numCache>
                <c:formatCode>0</c:formatCode>
                <c:ptCount val="24"/>
                <c:pt idx="0">
                  <c:v>3</c:v>
                </c:pt>
                <c:pt idx="1">
                  <c:v>13</c:v>
                </c:pt>
                <c:pt idx="2">
                  <c:v>11</c:v>
                </c:pt>
                <c:pt idx="3">
                  <c:v>7</c:v>
                </c:pt>
                <c:pt idx="4">
                  <c:v>25</c:v>
                </c:pt>
                <c:pt idx="5">
                  <c:v>10</c:v>
                </c:pt>
                <c:pt idx="6">
                  <c:v>18</c:v>
                </c:pt>
                <c:pt idx="7">
                  <c:v>22</c:v>
                </c:pt>
                <c:pt idx="8">
                  <c:v>26</c:v>
                </c:pt>
                <c:pt idx="9">
                  <c:v>24</c:v>
                </c:pt>
                <c:pt idx="10">
                  <c:v>16</c:v>
                </c:pt>
                <c:pt idx="11">
                  <c:v>16</c:v>
                </c:pt>
                <c:pt idx="12">
                  <c:v>10</c:v>
                </c:pt>
                <c:pt idx="13">
                  <c:v>6</c:v>
                </c:pt>
                <c:pt idx="14">
                  <c:v>6</c:v>
                </c:pt>
                <c:pt idx="15">
                  <c:v>2</c:v>
                </c:pt>
                <c:pt idx="16">
                  <c:v>1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5</c:v>
                </c:pt>
                <c:pt idx="22">
                  <c:v>6</c:v>
                </c:pt>
                <c:pt idx="2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'19.10 WOBULENZI-ZIROBWE-24h'!$AF$9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WOBULENZI-ZIROBWE-24h'!$R$10:$R$33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WOBULENZI-ZIROBWE-24h'!$AF$10:$AF$33</c:f>
              <c:numCache>
                <c:formatCode>0</c:formatCode>
                <c:ptCount val="24"/>
                <c:pt idx="0">
                  <c:v>62</c:v>
                </c:pt>
                <c:pt idx="1">
                  <c:v>54</c:v>
                </c:pt>
                <c:pt idx="2">
                  <c:v>75</c:v>
                </c:pt>
                <c:pt idx="3">
                  <c:v>96</c:v>
                </c:pt>
                <c:pt idx="4">
                  <c:v>138</c:v>
                </c:pt>
                <c:pt idx="5">
                  <c:v>121</c:v>
                </c:pt>
                <c:pt idx="6">
                  <c:v>108</c:v>
                </c:pt>
                <c:pt idx="7">
                  <c:v>95</c:v>
                </c:pt>
                <c:pt idx="8">
                  <c:v>102</c:v>
                </c:pt>
                <c:pt idx="9">
                  <c:v>133</c:v>
                </c:pt>
                <c:pt idx="10">
                  <c:v>102</c:v>
                </c:pt>
                <c:pt idx="11">
                  <c:v>129</c:v>
                </c:pt>
                <c:pt idx="12">
                  <c:v>121</c:v>
                </c:pt>
                <c:pt idx="13">
                  <c:v>83</c:v>
                </c:pt>
                <c:pt idx="14">
                  <c:v>45</c:v>
                </c:pt>
                <c:pt idx="15">
                  <c:v>19</c:v>
                </c:pt>
                <c:pt idx="16">
                  <c:v>8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</c:v>
                </c:pt>
                <c:pt idx="21">
                  <c:v>8</c:v>
                </c:pt>
                <c:pt idx="22">
                  <c:v>15</c:v>
                </c:pt>
                <c:pt idx="23">
                  <c:v>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525392"/>
        <c:axId val="216525000"/>
      </c:lineChart>
      <c:catAx>
        <c:axId val="2165253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525000"/>
        <c:crosses val="autoZero"/>
        <c:auto val="1"/>
        <c:lblAlgn val="ctr"/>
        <c:lblOffset val="100"/>
        <c:noMultiLvlLbl val="0"/>
      </c:catAx>
      <c:valAx>
        <c:axId val="2165250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525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WOBULENZI-ZIROBWE-24h'!$C$9:$N$9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WOBULENZI-ZIROBWE-24h'!$C$107:$N$107</c:f>
              <c:numCache>
                <c:formatCode>0.0%</c:formatCode>
                <c:ptCount val="12"/>
                <c:pt idx="0">
                  <c:v>3.0381383322559793E-2</c:v>
                </c:pt>
                <c:pt idx="1">
                  <c:v>2.8442146089204912E-2</c:v>
                </c:pt>
                <c:pt idx="2">
                  <c:v>6.4641241111829343E-3</c:v>
                </c:pt>
                <c:pt idx="3">
                  <c:v>2.4563671622495151E-2</c:v>
                </c:pt>
                <c:pt idx="4">
                  <c:v>0</c:v>
                </c:pt>
                <c:pt idx="5">
                  <c:v>6.4641241111829345E-4</c:v>
                </c:pt>
                <c:pt idx="6">
                  <c:v>2.9088558500323207E-2</c:v>
                </c:pt>
                <c:pt idx="7">
                  <c:v>2.9088558500323207E-2</c:v>
                </c:pt>
                <c:pt idx="8">
                  <c:v>0</c:v>
                </c:pt>
                <c:pt idx="9">
                  <c:v>1.2928248222365869E-3</c:v>
                </c:pt>
                <c:pt idx="10">
                  <c:v>0.84873949579831931</c:v>
                </c:pt>
                <c:pt idx="11">
                  <c:v>1.2928248222365869E-3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WOBULENZI-ZIROBWE-24h'!$C$9:$N$9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WOBULENZI-ZIROBWE-24h'!$C$108:$N$108</c:f>
              <c:numCache>
                <c:formatCode>0.00%</c:formatCode>
                <c:ptCount val="12"/>
                <c:pt idx="0">
                  <c:v>0.20085470085470086</c:v>
                </c:pt>
                <c:pt idx="1">
                  <c:v>0.18803418803418803</c:v>
                </c:pt>
                <c:pt idx="2">
                  <c:v>4.2735042735042736E-2</c:v>
                </c:pt>
                <c:pt idx="3">
                  <c:v>0.1623931623931624</c:v>
                </c:pt>
                <c:pt idx="4">
                  <c:v>0</c:v>
                </c:pt>
                <c:pt idx="5">
                  <c:v>4.2735042735042739E-3</c:v>
                </c:pt>
                <c:pt idx="6">
                  <c:v>0.19230769230769232</c:v>
                </c:pt>
                <c:pt idx="7">
                  <c:v>0.19230769230769232</c:v>
                </c:pt>
                <c:pt idx="8">
                  <c:v>0</c:v>
                </c:pt>
                <c:pt idx="9">
                  <c:v>8.5470085470085479E-3</c:v>
                </c:pt>
                <c:pt idx="11">
                  <c:v>8.5470085470085479E-3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ZIROBWE-WOBULENZI-24h'!$AE$9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ZIROBWE-WOBULENZI-24h'!$R$10:$R$33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ZIROBWE-WOBULENZI-24h'!$AE$10:$AE$33</c:f>
              <c:numCache>
                <c:formatCode>0</c:formatCode>
                <c:ptCount val="24"/>
                <c:pt idx="0">
                  <c:v>5</c:v>
                </c:pt>
                <c:pt idx="1">
                  <c:v>15</c:v>
                </c:pt>
                <c:pt idx="2">
                  <c:v>20</c:v>
                </c:pt>
                <c:pt idx="3">
                  <c:v>16</c:v>
                </c:pt>
                <c:pt idx="4">
                  <c:v>13</c:v>
                </c:pt>
                <c:pt idx="5">
                  <c:v>24</c:v>
                </c:pt>
                <c:pt idx="6">
                  <c:v>23</c:v>
                </c:pt>
                <c:pt idx="7">
                  <c:v>26</c:v>
                </c:pt>
                <c:pt idx="8">
                  <c:v>20</c:v>
                </c:pt>
                <c:pt idx="9">
                  <c:v>19</c:v>
                </c:pt>
                <c:pt idx="10">
                  <c:v>17</c:v>
                </c:pt>
                <c:pt idx="11">
                  <c:v>13</c:v>
                </c:pt>
                <c:pt idx="12">
                  <c:v>14</c:v>
                </c:pt>
                <c:pt idx="13">
                  <c:v>16</c:v>
                </c:pt>
                <c:pt idx="14">
                  <c:v>16</c:v>
                </c:pt>
                <c:pt idx="15">
                  <c:v>9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3</c:v>
                </c:pt>
                <c:pt idx="21">
                  <c:v>1</c:v>
                </c:pt>
                <c:pt idx="22">
                  <c:v>2</c:v>
                </c:pt>
                <c:pt idx="23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'19.10 ZIROBWE-WOBULENZI-24h'!$AF$9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ZIROBWE-WOBULENZI-24h'!$R$10:$R$33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ZIROBWE-WOBULENZI-24h'!$AF$10:$AF$33</c:f>
              <c:numCache>
                <c:formatCode>0</c:formatCode>
                <c:ptCount val="24"/>
                <c:pt idx="0">
                  <c:v>57</c:v>
                </c:pt>
                <c:pt idx="1">
                  <c:v>43</c:v>
                </c:pt>
                <c:pt idx="2">
                  <c:v>84</c:v>
                </c:pt>
                <c:pt idx="3">
                  <c:v>97</c:v>
                </c:pt>
                <c:pt idx="4">
                  <c:v>99</c:v>
                </c:pt>
                <c:pt idx="5">
                  <c:v>121</c:v>
                </c:pt>
                <c:pt idx="6">
                  <c:v>114</c:v>
                </c:pt>
                <c:pt idx="7">
                  <c:v>93</c:v>
                </c:pt>
                <c:pt idx="8">
                  <c:v>111</c:v>
                </c:pt>
                <c:pt idx="9">
                  <c:v>98</c:v>
                </c:pt>
                <c:pt idx="10">
                  <c:v>129</c:v>
                </c:pt>
                <c:pt idx="11">
                  <c:v>141</c:v>
                </c:pt>
                <c:pt idx="12">
                  <c:v>141</c:v>
                </c:pt>
                <c:pt idx="13">
                  <c:v>118</c:v>
                </c:pt>
                <c:pt idx="14">
                  <c:v>96</c:v>
                </c:pt>
                <c:pt idx="15">
                  <c:v>48</c:v>
                </c:pt>
                <c:pt idx="16">
                  <c:v>9</c:v>
                </c:pt>
                <c:pt idx="17">
                  <c:v>2</c:v>
                </c:pt>
                <c:pt idx="18">
                  <c:v>1</c:v>
                </c:pt>
                <c:pt idx="19">
                  <c:v>0</c:v>
                </c:pt>
                <c:pt idx="20">
                  <c:v>5</c:v>
                </c:pt>
                <c:pt idx="21">
                  <c:v>1</c:v>
                </c:pt>
                <c:pt idx="22">
                  <c:v>4</c:v>
                </c:pt>
                <c:pt idx="23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6529704"/>
        <c:axId val="216526568"/>
      </c:lineChart>
      <c:catAx>
        <c:axId val="216529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526568"/>
        <c:crosses val="autoZero"/>
        <c:auto val="1"/>
        <c:lblAlgn val="ctr"/>
        <c:lblOffset val="100"/>
        <c:noMultiLvlLbl val="0"/>
      </c:catAx>
      <c:valAx>
        <c:axId val="216526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6529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ZIROBWE-WOBULENZI-24h'!$C$9:$N$9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ZIROBWE-WOBULENZI-24h'!$C$107:$N$107</c:f>
              <c:numCache>
                <c:formatCode>0.0%</c:formatCode>
                <c:ptCount val="12"/>
                <c:pt idx="0">
                  <c:v>3.9408866995073892E-2</c:v>
                </c:pt>
                <c:pt idx="1">
                  <c:v>2.4014778325123151E-2</c:v>
                </c:pt>
                <c:pt idx="2">
                  <c:v>1.2315270935960592E-2</c:v>
                </c:pt>
                <c:pt idx="3">
                  <c:v>1.6625615763546799E-2</c:v>
                </c:pt>
                <c:pt idx="4">
                  <c:v>1.2315270935960591E-3</c:v>
                </c:pt>
                <c:pt idx="5">
                  <c:v>0</c:v>
                </c:pt>
                <c:pt idx="6">
                  <c:v>3.2019704433497539E-2</c:v>
                </c:pt>
                <c:pt idx="7">
                  <c:v>3.9408866995073892E-2</c:v>
                </c:pt>
                <c:pt idx="8">
                  <c:v>2.4630541871921183E-3</c:v>
                </c:pt>
                <c:pt idx="9">
                  <c:v>6.1576354679802956E-4</c:v>
                </c:pt>
                <c:pt idx="10">
                  <c:v>0.83066502463054193</c:v>
                </c:pt>
                <c:pt idx="11">
                  <c:v>1.2315270935960591E-3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ZIROBWE-WOBULENZI-24h'!$C$9:$N$9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ZIROBWE-WOBULENZI-24h'!$C$108:$N$108</c:f>
              <c:numCache>
                <c:formatCode>0.00%</c:formatCode>
                <c:ptCount val="12"/>
                <c:pt idx="0">
                  <c:v>0.23272727272727273</c:v>
                </c:pt>
                <c:pt idx="1">
                  <c:v>0.14181818181818182</c:v>
                </c:pt>
                <c:pt idx="2">
                  <c:v>7.2727272727272724E-2</c:v>
                </c:pt>
                <c:pt idx="3">
                  <c:v>9.8181818181818176E-2</c:v>
                </c:pt>
                <c:pt idx="4">
                  <c:v>7.2727272727272727E-3</c:v>
                </c:pt>
                <c:pt idx="5">
                  <c:v>0</c:v>
                </c:pt>
                <c:pt idx="6">
                  <c:v>0.18909090909090909</c:v>
                </c:pt>
                <c:pt idx="7">
                  <c:v>0.23272727272727273</c:v>
                </c:pt>
                <c:pt idx="8">
                  <c:v>1.4545454545454545E-2</c:v>
                </c:pt>
                <c:pt idx="9">
                  <c:v>3.6363636363636364E-3</c:v>
                </c:pt>
                <c:pt idx="11">
                  <c:v>7.2727272727272727E-3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WOBULENZI-ZIROBWE'!$AE$9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WOBULENZI-ZIROBWE'!$AE$10:$AE$21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9</c:v>
                </c:pt>
                <c:pt idx="3">
                  <c:v>15</c:v>
                </c:pt>
                <c:pt idx="4">
                  <c:v>13</c:v>
                </c:pt>
                <c:pt idx="5">
                  <c:v>11</c:v>
                </c:pt>
                <c:pt idx="6">
                  <c:v>15</c:v>
                </c:pt>
                <c:pt idx="7">
                  <c:v>20</c:v>
                </c:pt>
                <c:pt idx="8">
                  <c:v>15</c:v>
                </c:pt>
                <c:pt idx="9">
                  <c:v>15</c:v>
                </c:pt>
                <c:pt idx="10">
                  <c:v>22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'20.10 WOBULENZI-ZIROBWE'!$AF$9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WOBULENZI-ZIROBWE'!$AF$10:$AF$21</c:f>
              <c:numCache>
                <c:formatCode>0</c:formatCode>
                <c:ptCount val="12"/>
                <c:pt idx="0">
                  <c:v>34</c:v>
                </c:pt>
                <c:pt idx="1">
                  <c:v>42</c:v>
                </c:pt>
                <c:pt idx="2">
                  <c:v>60</c:v>
                </c:pt>
                <c:pt idx="3">
                  <c:v>105</c:v>
                </c:pt>
                <c:pt idx="4">
                  <c:v>88</c:v>
                </c:pt>
                <c:pt idx="5">
                  <c:v>79</c:v>
                </c:pt>
                <c:pt idx="6">
                  <c:v>86</c:v>
                </c:pt>
                <c:pt idx="7">
                  <c:v>69</c:v>
                </c:pt>
                <c:pt idx="8">
                  <c:v>39</c:v>
                </c:pt>
                <c:pt idx="9">
                  <c:v>60</c:v>
                </c:pt>
                <c:pt idx="10">
                  <c:v>118</c:v>
                </c:pt>
                <c:pt idx="11">
                  <c:v>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450600"/>
        <c:axId val="207447856"/>
      </c:lineChart>
      <c:catAx>
        <c:axId val="207450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7447856"/>
        <c:crosses val="autoZero"/>
        <c:auto val="1"/>
        <c:lblAlgn val="ctr"/>
        <c:lblOffset val="100"/>
        <c:noMultiLvlLbl val="0"/>
      </c:catAx>
      <c:valAx>
        <c:axId val="2074478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7450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WOBULENZI-ZIROBWE'!$C$59:$N$59</c:f>
              <c:numCache>
                <c:formatCode>0.0%</c:formatCode>
                <c:ptCount val="12"/>
                <c:pt idx="0">
                  <c:v>5.2095130237825596E-2</c:v>
                </c:pt>
                <c:pt idx="1">
                  <c:v>1.0192525481313703E-2</c:v>
                </c:pt>
                <c:pt idx="2">
                  <c:v>1.5855039637599093E-2</c:v>
                </c:pt>
                <c:pt idx="3">
                  <c:v>1.9252548131370329E-2</c:v>
                </c:pt>
                <c:pt idx="4">
                  <c:v>2.2650056625141564E-3</c:v>
                </c:pt>
                <c:pt idx="5">
                  <c:v>0</c:v>
                </c:pt>
                <c:pt idx="6">
                  <c:v>3.1710079275198186E-2</c:v>
                </c:pt>
                <c:pt idx="7">
                  <c:v>3.2842582106455263E-2</c:v>
                </c:pt>
                <c:pt idx="8">
                  <c:v>1.1325028312570782E-3</c:v>
                </c:pt>
                <c:pt idx="9">
                  <c:v>0</c:v>
                </c:pt>
                <c:pt idx="10">
                  <c:v>0.82446206115515286</c:v>
                </c:pt>
                <c:pt idx="11">
                  <c:v>1.0192525481313703E-2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WOBULENZI-ZIROBWE'!$S$9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WOBULENZI-ZIROBWE'!$S$10:$S$21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6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4</c:v>
                </c:pt>
                <c:pt idx="8">
                  <c:v>4</c:v>
                </c:pt>
                <c:pt idx="9">
                  <c:v>4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'20.10 WOBULENZI-ZIROBWE'!$T$9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WOBULENZI-ZIROBWE'!$T$10:$T$21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'20.10 WOBULENZI-ZIROBWE'!$U$9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0</c:v>
                </c:pt>
                <c:pt idx="5">
                  <c:v>3</c:v>
                </c:pt>
                <c:pt idx="6">
                  <c:v>2</c:v>
                </c:pt>
                <c:pt idx="7">
                  <c:v>1</c:v>
                </c:pt>
                <c:pt idx="8">
                  <c:v>0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'20.10 WOBULENZI-ZIROBWE'!$V$9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WOBULENZI-ZIROBWE'!$V$10:$V$21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'20.10 WOBULENZI-ZIROBWE'!$W$9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'20.10 WOBULENZI-ZIROBWE'!$X$9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'20.10 WOBULENZI-ZIROBWE'!$Y$9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WOBULENZI-ZIROBWE'!$Y$10:$Y$21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1</c:v>
                </c:pt>
                <c:pt idx="10">
                  <c:v>3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'20.10 WOBULENZI-ZIROBWE'!$Z$9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  <c:pt idx="6">
                  <c:v>2</c:v>
                </c:pt>
                <c:pt idx="7">
                  <c:v>2</c:v>
                </c:pt>
                <c:pt idx="8">
                  <c:v>6</c:v>
                </c:pt>
                <c:pt idx="9">
                  <c:v>5</c:v>
                </c:pt>
                <c:pt idx="10">
                  <c:v>5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'20.10 WOBULENZI-ZIROBWE'!$AA$9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'20.10 WOBULENZI-ZIROBWE'!$AB$9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'20.10 WOBULENZI-ZIROBWE'!$AC$9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WOBULENZI-ZIROBWE'!$AC$10:$AC$21</c:f>
              <c:numCache>
                <c:formatCode>0</c:formatCode>
                <c:ptCount val="12"/>
                <c:pt idx="0">
                  <c:v>31</c:v>
                </c:pt>
                <c:pt idx="1">
                  <c:v>39</c:v>
                </c:pt>
                <c:pt idx="2">
                  <c:v>51</c:v>
                </c:pt>
                <c:pt idx="3">
                  <c:v>90</c:v>
                </c:pt>
                <c:pt idx="4">
                  <c:v>75</c:v>
                </c:pt>
                <c:pt idx="5">
                  <c:v>68</c:v>
                </c:pt>
                <c:pt idx="6">
                  <c:v>71</c:v>
                </c:pt>
                <c:pt idx="7">
                  <c:v>49</c:v>
                </c:pt>
                <c:pt idx="8">
                  <c:v>24</c:v>
                </c:pt>
                <c:pt idx="9">
                  <c:v>45</c:v>
                </c:pt>
                <c:pt idx="10">
                  <c:v>96</c:v>
                </c:pt>
                <c:pt idx="11">
                  <c:v>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'20.10 WOBULENZI-ZIROBWE'!$AD$9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WOBULENZI-ZIROBWE'!$AD$10:$AD$21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767624"/>
        <c:axId val="205772720"/>
      </c:lineChart>
      <c:catAx>
        <c:axId val="205767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772720"/>
        <c:crosses val="autoZero"/>
        <c:auto val="1"/>
        <c:lblAlgn val="ctr"/>
        <c:lblOffset val="100"/>
        <c:noMultiLvlLbl val="0"/>
      </c:catAx>
      <c:valAx>
        <c:axId val="205772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767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WOBULENZI-ZIROBWE'!$C$60:$N$60</c:f>
              <c:numCache>
                <c:formatCode>0.00%</c:formatCode>
                <c:ptCount val="12"/>
                <c:pt idx="0">
                  <c:v>0.29677419354838708</c:v>
                </c:pt>
                <c:pt idx="1">
                  <c:v>5.8064516129032261E-2</c:v>
                </c:pt>
                <c:pt idx="2">
                  <c:v>9.0322580645161285E-2</c:v>
                </c:pt>
                <c:pt idx="3">
                  <c:v>0.10967741935483871</c:v>
                </c:pt>
                <c:pt idx="4">
                  <c:v>1.2903225806451613E-2</c:v>
                </c:pt>
                <c:pt idx="5">
                  <c:v>0</c:v>
                </c:pt>
                <c:pt idx="6">
                  <c:v>0.18064516129032257</c:v>
                </c:pt>
                <c:pt idx="7">
                  <c:v>0.18709677419354839</c:v>
                </c:pt>
                <c:pt idx="8">
                  <c:v>6.4516129032258064E-3</c:v>
                </c:pt>
                <c:pt idx="9">
                  <c:v>0</c:v>
                </c:pt>
                <c:pt idx="11">
                  <c:v>5.8064516129032261E-2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ZIROBWE-WOBULENZI'!$AE$9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ZIROBWE-WOBULENZI'!$AE$10:$AE$21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16</c:v>
                </c:pt>
                <c:pt idx="3">
                  <c:v>9</c:v>
                </c:pt>
                <c:pt idx="4">
                  <c:v>13</c:v>
                </c:pt>
                <c:pt idx="5">
                  <c:v>13</c:v>
                </c:pt>
                <c:pt idx="6">
                  <c:v>15</c:v>
                </c:pt>
                <c:pt idx="7">
                  <c:v>19</c:v>
                </c:pt>
                <c:pt idx="8">
                  <c:v>16</c:v>
                </c:pt>
                <c:pt idx="9">
                  <c:v>10</c:v>
                </c:pt>
                <c:pt idx="10">
                  <c:v>14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'20.10 ZIROBWE-WOBULENZI'!$AF$9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ZIROBWE-WOBULENZI'!$AF$10:$AF$21</c:f>
              <c:numCache>
                <c:formatCode>0</c:formatCode>
                <c:ptCount val="12"/>
                <c:pt idx="0">
                  <c:v>35</c:v>
                </c:pt>
                <c:pt idx="1">
                  <c:v>61</c:v>
                </c:pt>
                <c:pt idx="2">
                  <c:v>73</c:v>
                </c:pt>
                <c:pt idx="3">
                  <c:v>79</c:v>
                </c:pt>
                <c:pt idx="4">
                  <c:v>83</c:v>
                </c:pt>
                <c:pt idx="5">
                  <c:v>84</c:v>
                </c:pt>
                <c:pt idx="6">
                  <c:v>71</c:v>
                </c:pt>
                <c:pt idx="7">
                  <c:v>79</c:v>
                </c:pt>
                <c:pt idx="8">
                  <c:v>61</c:v>
                </c:pt>
                <c:pt idx="9">
                  <c:v>58</c:v>
                </c:pt>
                <c:pt idx="10">
                  <c:v>112</c:v>
                </c:pt>
                <c:pt idx="11">
                  <c:v>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769976"/>
        <c:axId val="169950320"/>
      </c:lineChart>
      <c:catAx>
        <c:axId val="205769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9950320"/>
        <c:crosses val="autoZero"/>
        <c:auto val="1"/>
        <c:lblAlgn val="ctr"/>
        <c:lblOffset val="100"/>
        <c:noMultiLvlLbl val="0"/>
      </c:catAx>
      <c:valAx>
        <c:axId val="1699503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769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ZIROBWE-WOBULENZI'!$C$59:$N$59</c:f>
              <c:numCache>
                <c:formatCode>0.0%</c:formatCode>
                <c:ptCount val="12"/>
                <c:pt idx="0">
                  <c:v>5.6353591160220998E-2</c:v>
                </c:pt>
                <c:pt idx="1">
                  <c:v>1.3259668508287293E-2</c:v>
                </c:pt>
                <c:pt idx="2">
                  <c:v>1.4364640883977901E-2</c:v>
                </c:pt>
                <c:pt idx="3">
                  <c:v>1.8784530386740331E-2</c:v>
                </c:pt>
                <c:pt idx="4">
                  <c:v>2.2099447513812156E-3</c:v>
                </c:pt>
                <c:pt idx="5">
                  <c:v>0</c:v>
                </c:pt>
                <c:pt idx="6">
                  <c:v>2.9834254143646408E-2</c:v>
                </c:pt>
                <c:pt idx="7">
                  <c:v>3.4254143646408837E-2</c:v>
                </c:pt>
                <c:pt idx="8">
                  <c:v>0</c:v>
                </c:pt>
                <c:pt idx="9">
                  <c:v>0</c:v>
                </c:pt>
                <c:pt idx="10">
                  <c:v>0.83093922651933705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ZIROBWE-WOBULENZI'!$C$60:$N$60</c:f>
              <c:numCache>
                <c:formatCode>0.00%</c:formatCode>
                <c:ptCount val="12"/>
                <c:pt idx="0">
                  <c:v>0.33333333333333331</c:v>
                </c:pt>
                <c:pt idx="1">
                  <c:v>7.8431372549019607E-2</c:v>
                </c:pt>
                <c:pt idx="2">
                  <c:v>8.4967320261437912E-2</c:v>
                </c:pt>
                <c:pt idx="3">
                  <c:v>0.1111111111111111</c:v>
                </c:pt>
                <c:pt idx="4">
                  <c:v>1.3071895424836602E-2</c:v>
                </c:pt>
                <c:pt idx="5">
                  <c:v>0</c:v>
                </c:pt>
                <c:pt idx="6">
                  <c:v>0.17647058823529413</c:v>
                </c:pt>
                <c:pt idx="7">
                  <c:v>0.20261437908496732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WOBULENZI-ZIROBWE-24h'!$AE$9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WOBULENZI-ZIROBWE-24h'!$R$10:$R$33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WOBULENZI-ZIROBWE-24h'!$AE$10:$AE$33</c:f>
              <c:numCache>
                <c:formatCode>0</c:formatCode>
                <c:ptCount val="24"/>
                <c:pt idx="0">
                  <c:v>2</c:v>
                </c:pt>
                <c:pt idx="1">
                  <c:v>12</c:v>
                </c:pt>
                <c:pt idx="2">
                  <c:v>6</c:v>
                </c:pt>
                <c:pt idx="3">
                  <c:v>7</c:v>
                </c:pt>
                <c:pt idx="4">
                  <c:v>14</c:v>
                </c:pt>
                <c:pt idx="5">
                  <c:v>13</c:v>
                </c:pt>
                <c:pt idx="6">
                  <c:v>10</c:v>
                </c:pt>
                <c:pt idx="7">
                  <c:v>13</c:v>
                </c:pt>
                <c:pt idx="8">
                  <c:v>20</c:v>
                </c:pt>
                <c:pt idx="9">
                  <c:v>17</c:v>
                </c:pt>
                <c:pt idx="10">
                  <c:v>21</c:v>
                </c:pt>
                <c:pt idx="11">
                  <c:v>20</c:v>
                </c:pt>
                <c:pt idx="12">
                  <c:v>11</c:v>
                </c:pt>
                <c:pt idx="13">
                  <c:v>2</c:v>
                </c:pt>
                <c:pt idx="14">
                  <c:v>5</c:v>
                </c:pt>
                <c:pt idx="15">
                  <c:v>4</c:v>
                </c:pt>
                <c:pt idx="16">
                  <c:v>3</c:v>
                </c:pt>
                <c:pt idx="17">
                  <c:v>5</c:v>
                </c:pt>
                <c:pt idx="18">
                  <c:v>2</c:v>
                </c:pt>
                <c:pt idx="19">
                  <c:v>4</c:v>
                </c:pt>
                <c:pt idx="20">
                  <c:v>2</c:v>
                </c:pt>
                <c:pt idx="21">
                  <c:v>4</c:v>
                </c:pt>
                <c:pt idx="22">
                  <c:v>10</c:v>
                </c:pt>
                <c:pt idx="23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'21.10 WOBULENZI-ZIROBWE-24h'!$AF$9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WOBULENZI-ZIROBWE-24h'!$R$10:$R$33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WOBULENZI-ZIROBWE-24h'!$AF$10:$AF$33</c:f>
              <c:numCache>
                <c:formatCode>0</c:formatCode>
                <c:ptCount val="24"/>
                <c:pt idx="0">
                  <c:v>23</c:v>
                </c:pt>
                <c:pt idx="1">
                  <c:v>54</c:v>
                </c:pt>
                <c:pt idx="2">
                  <c:v>48</c:v>
                </c:pt>
                <c:pt idx="3">
                  <c:v>96</c:v>
                </c:pt>
                <c:pt idx="4">
                  <c:v>79</c:v>
                </c:pt>
                <c:pt idx="5">
                  <c:v>101</c:v>
                </c:pt>
                <c:pt idx="6">
                  <c:v>102</c:v>
                </c:pt>
                <c:pt idx="7">
                  <c:v>132</c:v>
                </c:pt>
                <c:pt idx="8">
                  <c:v>127</c:v>
                </c:pt>
                <c:pt idx="9">
                  <c:v>110</c:v>
                </c:pt>
                <c:pt idx="10">
                  <c:v>126</c:v>
                </c:pt>
                <c:pt idx="11">
                  <c:v>112</c:v>
                </c:pt>
                <c:pt idx="12">
                  <c:v>93</c:v>
                </c:pt>
                <c:pt idx="13">
                  <c:v>83</c:v>
                </c:pt>
                <c:pt idx="14">
                  <c:v>36</c:v>
                </c:pt>
                <c:pt idx="15">
                  <c:v>22</c:v>
                </c:pt>
                <c:pt idx="16">
                  <c:v>12</c:v>
                </c:pt>
                <c:pt idx="17">
                  <c:v>7</c:v>
                </c:pt>
                <c:pt idx="18">
                  <c:v>3</c:v>
                </c:pt>
                <c:pt idx="19">
                  <c:v>4</c:v>
                </c:pt>
                <c:pt idx="20">
                  <c:v>2</c:v>
                </c:pt>
                <c:pt idx="21">
                  <c:v>8</c:v>
                </c:pt>
                <c:pt idx="22">
                  <c:v>19</c:v>
                </c:pt>
                <c:pt idx="23">
                  <c:v>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7285744"/>
        <c:axId val="217287312"/>
      </c:lineChart>
      <c:catAx>
        <c:axId val="217285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7287312"/>
        <c:crosses val="autoZero"/>
        <c:auto val="1"/>
        <c:lblAlgn val="ctr"/>
        <c:lblOffset val="100"/>
        <c:noMultiLvlLbl val="0"/>
      </c:catAx>
      <c:valAx>
        <c:axId val="2172873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728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WOBULENZI-ZIROBWE-24h'!$C$9:$N$9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WOBULENZI-ZIROBWE-24h'!$C$107:$N$107</c:f>
              <c:numCache>
                <c:formatCode>0.0%</c:formatCode>
                <c:ptCount val="12"/>
                <c:pt idx="0">
                  <c:v>3.3333333333333333E-2</c:v>
                </c:pt>
                <c:pt idx="1">
                  <c:v>1.4583333333333334E-2</c:v>
                </c:pt>
                <c:pt idx="2">
                  <c:v>1.1111111111111112E-2</c:v>
                </c:pt>
                <c:pt idx="3">
                  <c:v>2.4305555555555556E-2</c:v>
                </c:pt>
                <c:pt idx="4">
                  <c:v>6.9444444444444447E-4</c:v>
                </c:pt>
                <c:pt idx="5">
                  <c:v>6.9444444444444447E-4</c:v>
                </c:pt>
                <c:pt idx="6">
                  <c:v>2.2916666666666665E-2</c:v>
                </c:pt>
                <c:pt idx="7">
                  <c:v>3.8194444444444448E-2</c:v>
                </c:pt>
                <c:pt idx="8">
                  <c:v>2.7777777777777779E-3</c:v>
                </c:pt>
                <c:pt idx="9">
                  <c:v>0</c:v>
                </c:pt>
                <c:pt idx="10">
                  <c:v>0.85138888888888886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WOBULENZI-ZIROBWE-24h'!$C$9:$N$9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WOBULENZI-ZIROBWE-24h'!$C$108:$N$108</c:f>
              <c:numCache>
                <c:formatCode>0.00%</c:formatCode>
                <c:ptCount val="12"/>
                <c:pt idx="0">
                  <c:v>0.22429906542056074</c:v>
                </c:pt>
                <c:pt idx="1">
                  <c:v>9.8130841121495324E-2</c:v>
                </c:pt>
                <c:pt idx="2">
                  <c:v>7.476635514018691E-2</c:v>
                </c:pt>
                <c:pt idx="3">
                  <c:v>0.16355140186915887</c:v>
                </c:pt>
                <c:pt idx="4">
                  <c:v>4.6728971962616819E-3</c:v>
                </c:pt>
                <c:pt idx="5">
                  <c:v>4.6728971962616819E-3</c:v>
                </c:pt>
                <c:pt idx="6">
                  <c:v>0.1542056074766355</c:v>
                </c:pt>
                <c:pt idx="7">
                  <c:v>0.2570093457943925</c:v>
                </c:pt>
                <c:pt idx="8">
                  <c:v>1.8691588785046728E-2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ZIROBWE-WOBULENZI-24h'!$AE$9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ZIROBWE-WOBULENZI-24h'!$R$10:$R$33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ZIROBWE-WOBULENZI-24h'!$AE$10:$AE$33</c:f>
              <c:numCache>
                <c:formatCode>0</c:formatCode>
                <c:ptCount val="24"/>
                <c:pt idx="0">
                  <c:v>6</c:v>
                </c:pt>
                <c:pt idx="1">
                  <c:v>7</c:v>
                </c:pt>
                <c:pt idx="2">
                  <c:v>11</c:v>
                </c:pt>
                <c:pt idx="3">
                  <c:v>10</c:v>
                </c:pt>
                <c:pt idx="4">
                  <c:v>19</c:v>
                </c:pt>
                <c:pt idx="5">
                  <c:v>11</c:v>
                </c:pt>
                <c:pt idx="6">
                  <c:v>21</c:v>
                </c:pt>
                <c:pt idx="7">
                  <c:v>17</c:v>
                </c:pt>
                <c:pt idx="8">
                  <c:v>25</c:v>
                </c:pt>
                <c:pt idx="9">
                  <c:v>12</c:v>
                </c:pt>
                <c:pt idx="10">
                  <c:v>13</c:v>
                </c:pt>
                <c:pt idx="11">
                  <c:v>5</c:v>
                </c:pt>
                <c:pt idx="12">
                  <c:v>10</c:v>
                </c:pt>
                <c:pt idx="13">
                  <c:v>11</c:v>
                </c:pt>
                <c:pt idx="14">
                  <c:v>8</c:v>
                </c:pt>
                <c:pt idx="15">
                  <c:v>5</c:v>
                </c:pt>
                <c:pt idx="16">
                  <c:v>4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0</c:v>
                </c:pt>
                <c:pt idx="23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'21.10 ZIROBWE-WOBULENZI-24h'!$AF$9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ZIROBWE-WOBULENZI-24h'!$R$10:$R$33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ZIROBWE-WOBULENZI-24h'!$AF$10:$AF$33</c:f>
              <c:numCache>
                <c:formatCode>0</c:formatCode>
                <c:ptCount val="24"/>
                <c:pt idx="0">
                  <c:v>22</c:v>
                </c:pt>
                <c:pt idx="1">
                  <c:v>35</c:v>
                </c:pt>
                <c:pt idx="2">
                  <c:v>39</c:v>
                </c:pt>
                <c:pt idx="3">
                  <c:v>93</c:v>
                </c:pt>
                <c:pt idx="4">
                  <c:v>110</c:v>
                </c:pt>
                <c:pt idx="5">
                  <c:v>97</c:v>
                </c:pt>
                <c:pt idx="6">
                  <c:v>132</c:v>
                </c:pt>
                <c:pt idx="7">
                  <c:v>121</c:v>
                </c:pt>
                <c:pt idx="8">
                  <c:v>131</c:v>
                </c:pt>
                <c:pt idx="9">
                  <c:v>116</c:v>
                </c:pt>
                <c:pt idx="10">
                  <c:v>106</c:v>
                </c:pt>
                <c:pt idx="11">
                  <c:v>118</c:v>
                </c:pt>
                <c:pt idx="12">
                  <c:v>100</c:v>
                </c:pt>
                <c:pt idx="13">
                  <c:v>82</c:v>
                </c:pt>
                <c:pt idx="14">
                  <c:v>71</c:v>
                </c:pt>
                <c:pt idx="15">
                  <c:v>35</c:v>
                </c:pt>
                <c:pt idx="16">
                  <c:v>15</c:v>
                </c:pt>
                <c:pt idx="17">
                  <c:v>6</c:v>
                </c:pt>
                <c:pt idx="18">
                  <c:v>2</c:v>
                </c:pt>
                <c:pt idx="19">
                  <c:v>0</c:v>
                </c:pt>
                <c:pt idx="20">
                  <c:v>1</c:v>
                </c:pt>
                <c:pt idx="21">
                  <c:v>2</c:v>
                </c:pt>
                <c:pt idx="22">
                  <c:v>3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7291232"/>
        <c:axId val="217284960"/>
      </c:lineChart>
      <c:catAx>
        <c:axId val="21729123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7284960"/>
        <c:crosses val="autoZero"/>
        <c:auto val="1"/>
        <c:lblAlgn val="ctr"/>
        <c:lblOffset val="100"/>
        <c:noMultiLvlLbl val="0"/>
      </c:catAx>
      <c:valAx>
        <c:axId val="217284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729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ZIROBWE-WOBULENZI-24h'!$C$9:$N$9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ZIROBWE-WOBULENZI-24h'!$C$107:$N$107</c:f>
              <c:numCache>
                <c:formatCode>0.0%</c:formatCode>
                <c:ptCount val="12"/>
                <c:pt idx="0">
                  <c:v>2.667578659370725E-2</c:v>
                </c:pt>
                <c:pt idx="1">
                  <c:v>1.5047879616963064E-2</c:v>
                </c:pt>
                <c:pt idx="2">
                  <c:v>1.2995896032831737E-2</c:v>
                </c:pt>
                <c:pt idx="3">
                  <c:v>2.188782489740082E-2</c:v>
                </c:pt>
                <c:pt idx="4">
                  <c:v>2.0519835841313269E-3</c:v>
                </c:pt>
                <c:pt idx="5">
                  <c:v>6.8399452804377564E-4</c:v>
                </c:pt>
                <c:pt idx="6">
                  <c:v>1.8467852257181942E-2</c:v>
                </c:pt>
                <c:pt idx="7">
                  <c:v>3.8987688098495211E-2</c:v>
                </c:pt>
                <c:pt idx="8">
                  <c:v>6.8399452804377564E-4</c:v>
                </c:pt>
                <c:pt idx="9">
                  <c:v>0</c:v>
                </c:pt>
                <c:pt idx="10">
                  <c:v>0.86251709986320113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ZIROBWE-WOBULENZI-24h'!$C$9:$N$9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ZIROBWE-WOBULENZI-24h'!$C$108:$N$108</c:f>
              <c:numCache>
                <c:formatCode>0.00%</c:formatCode>
                <c:ptCount val="12"/>
                <c:pt idx="0">
                  <c:v>0.19402985074626866</c:v>
                </c:pt>
                <c:pt idx="1">
                  <c:v>0.10945273631840796</c:v>
                </c:pt>
                <c:pt idx="2">
                  <c:v>9.4527363184079602E-2</c:v>
                </c:pt>
                <c:pt idx="3">
                  <c:v>0.15920398009950248</c:v>
                </c:pt>
                <c:pt idx="4">
                  <c:v>1.4925373134328358E-2</c:v>
                </c:pt>
                <c:pt idx="5">
                  <c:v>4.9751243781094526E-3</c:v>
                </c:pt>
                <c:pt idx="6">
                  <c:v>0.13432835820895522</c:v>
                </c:pt>
                <c:pt idx="7">
                  <c:v>0.28358208955223879</c:v>
                </c:pt>
                <c:pt idx="8">
                  <c:v>4.9751243781094526E-3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WOBULENZI-ZIROBWE'!$AE$9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WOBULENZI-ZIROBWE'!$AE$10:$AE$21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9</c:v>
                </c:pt>
                <c:pt idx="3">
                  <c:v>12</c:v>
                </c:pt>
                <c:pt idx="4">
                  <c:v>8</c:v>
                </c:pt>
                <c:pt idx="5">
                  <c:v>16</c:v>
                </c:pt>
                <c:pt idx="6">
                  <c:v>12</c:v>
                </c:pt>
                <c:pt idx="7">
                  <c:v>17</c:v>
                </c:pt>
                <c:pt idx="8">
                  <c:v>11</c:v>
                </c:pt>
                <c:pt idx="9">
                  <c:v>11</c:v>
                </c:pt>
                <c:pt idx="10">
                  <c:v>10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'22.10 WOBULENZI-ZIROBWE'!$AF$9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WOBULENZI-ZIROBWE'!$AF$10:$AF$21</c:f>
              <c:numCache>
                <c:formatCode>0</c:formatCode>
                <c:ptCount val="12"/>
                <c:pt idx="0">
                  <c:v>90</c:v>
                </c:pt>
                <c:pt idx="1">
                  <c:v>84</c:v>
                </c:pt>
                <c:pt idx="2">
                  <c:v>51</c:v>
                </c:pt>
                <c:pt idx="3">
                  <c:v>56</c:v>
                </c:pt>
                <c:pt idx="4">
                  <c:v>46</c:v>
                </c:pt>
                <c:pt idx="5">
                  <c:v>56</c:v>
                </c:pt>
                <c:pt idx="6">
                  <c:v>72</c:v>
                </c:pt>
                <c:pt idx="7">
                  <c:v>77</c:v>
                </c:pt>
                <c:pt idx="8">
                  <c:v>65</c:v>
                </c:pt>
                <c:pt idx="9">
                  <c:v>70</c:v>
                </c:pt>
                <c:pt idx="10">
                  <c:v>75</c:v>
                </c:pt>
                <c:pt idx="11">
                  <c:v>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766840"/>
        <c:axId val="205771544"/>
      </c:lineChart>
      <c:catAx>
        <c:axId val="2057668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771544"/>
        <c:crosses val="autoZero"/>
        <c:auto val="1"/>
        <c:lblAlgn val="ctr"/>
        <c:lblOffset val="100"/>
        <c:noMultiLvlLbl val="0"/>
      </c:catAx>
      <c:valAx>
        <c:axId val="2057715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766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WOBULENZI-ZIROBWE'!$C$59:$N$59</c:f>
              <c:numCache>
                <c:formatCode>0.0%</c:formatCode>
                <c:ptCount val="12"/>
                <c:pt idx="0">
                  <c:v>4.6971569839307788E-2</c:v>
                </c:pt>
                <c:pt idx="1">
                  <c:v>1.2360939431396786E-2</c:v>
                </c:pt>
                <c:pt idx="2">
                  <c:v>1.4833127317676144E-2</c:v>
                </c:pt>
                <c:pt idx="3">
                  <c:v>1.4833127317676144E-2</c:v>
                </c:pt>
                <c:pt idx="4">
                  <c:v>2.472187886279357E-3</c:v>
                </c:pt>
                <c:pt idx="5">
                  <c:v>0</c:v>
                </c:pt>
                <c:pt idx="6">
                  <c:v>2.595797280593325E-2</c:v>
                </c:pt>
                <c:pt idx="7">
                  <c:v>4.3263288009888753E-2</c:v>
                </c:pt>
                <c:pt idx="8">
                  <c:v>0</c:v>
                </c:pt>
                <c:pt idx="9">
                  <c:v>0</c:v>
                </c:pt>
                <c:pt idx="10">
                  <c:v>0.83930778739184175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WOBULENZI-ZIROBWE'!$S$9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WOBULENZI-ZIROBWE'!$S$10:$S$21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5</c:v>
                </c:pt>
                <c:pt idx="6">
                  <c:v>6</c:v>
                </c:pt>
                <c:pt idx="7">
                  <c:v>5</c:v>
                </c:pt>
                <c:pt idx="8">
                  <c:v>3</c:v>
                </c:pt>
                <c:pt idx="9">
                  <c:v>3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'22.10 WOBULENZI-ZIROBWE'!$T$9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WOBULENZI-ZIROBWE'!$T$10:$T$21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'22.10 WOBULENZI-ZIROBWE'!$U$9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WOBULENZI-ZIROBWE'!$U$10:$U$21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4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'22.10 WOBULENZI-ZIROBWE'!$V$9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WOBULENZI-ZIROBWE'!$V$10:$V$21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3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'22.10 WOBULENZI-ZIROBWE'!$W$9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'22.10 WOBULENZI-ZIROBWE'!$X$9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'22.10 WOBULENZI-ZIROBWE'!$Y$9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WOBULENZI-ZIROBWE'!$Y$10:$Y$21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3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4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'22.10 WOBULENZI-ZIROBWE'!$Z$9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3</c:v>
                </c:pt>
                <c:pt idx="7">
                  <c:v>1</c:v>
                </c:pt>
                <c:pt idx="8">
                  <c:v>2</c:v>
                </c:pt>
                <c:pt idx="9">
                  <c:v>2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'22.10 WOBULENZI-ZIROBWE'!$AA$9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'22.10 WOBULENZI-ZIROBWE'!$AB$9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'22.10 WOBULENZI-ZIROBWE'!$AC$9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WOBULENZI-ZIROBWE'!$AC$10:$AC$21</c:f>
              <c:numCache>
                <c:formatCode>0</c:formatCode>
                <c:ptCount val="12"/>
                <c:pt idx="0">
                  <c:v>86</c:v>
                </c:pt>
                <c:pt idx="1">
                  <c:v>77</c:v>
                </c:pt>
                <c:pt idx="2">
                  <c:v>42</c:v>
                </c:pt>
                <c:pt idx="3">
                  <c:v>44</c:v>
                </c:pt>
                <c:pt idx="4">
                  <c:v>38</c:v>
                </c:pt>
                <c:pt idx="5">
                  <c:v>40</c:v>
                </c:pt>
                <c:pt idx="6">
                  <c:v>60</c:v>
                </c:pt>
                <c:pt idx="7">
                  <c:v>60</c:v>
                </c:pt>
                <c:pt idx="8">
                  <c:v>54</c:v>
                </c:pt>
                <c:pt idx="9">
                  <c:v>59</c:v>
                </c:pt>
                <c:pt idx="10">
                  <c:v>65</c:v>
                </c:pt>
                <c:pt idx="11">
                  <c:v>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'22.10 WOBULENZI-ZIROBWE'!$AD$9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WOBULENZI-ZIROBWE'!$AD$10:$AD$21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448248"/>
        <c:axId val="207453344"/>
      </c:lineChart>
      <c:catAx>
        <c:axId val="2074482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7453344"/>
        <c:crosses val="autoZero"/>
        <c:auto val="1"/>
        <c:lblAlgn val="ctr"/>
        <c:lblOffset val="100"/>
        <c:noMultiLvlLbl val="0"/>
      </c:catAx>
      <c:valAx>
        <c:axId val="207453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7448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WOBULENZI-ZIROBWE'!$C$60:$N$60</c:f>
              <c:numCache>
                <c:formatCode>0.00%</c:formatCode>
                <c:ptCount val="12"/>
                <c:pt idx="0">
                  <c:v>0.29230769230769232</c:v>
                </c:pt>
                <c:pt idx="1">
                  <c:v>7.6923076923076927E-2</c:v>
                </c:pt>
                <c:pt idx="2">
                  <c:v>9.2307692307692313E-2</c:v>
                </c:pt>
                <c:pt idx="3">
                  <c:v>9.2307692307692313E-2</c:v>
                </c:pt>
                <c:pt idx="4">
                  <c:v>1.5384615384615385E-2</c:v>
                </c:pt>
                <c:pt idx="5">
                  <c:v>0</c:v>
                </c:pt>
                <c:pt idx="6">
                  <c:v>0.16153846153846155</c:v>
                </c:pt>
                <c:pt idx="7">
                  <c:v>0.26923076923076922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ZIROBWE-WOBULENZI'!$AE$9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ZIROBWE-WOBULENZI'!$AE$10:$AE$21</c:f>
              <c:numCache>
                <c:formatCode>0</c:formatCode>
                <c:ptCount val="12"/>
                <c:pt idx="0">
                  <c:v>8</c:v>
                </c:pt>
                <c:pt idx="1">
                  <c:v>14</c:v>
                </c:pt>
                <c:pt idx="2">
                  <c:v>16</c:v>
                </c:pt>
                <c:pt idx="3">
                  <c:v>18</c:v>
                </c:pt>
                <c:pt idx="4">
                  <c:v>20</c:v>
                </c:pt>
                <c:pt idx="5">
                  <c:v>10</c:v>
                </c:pt>
                <c:pt idx="6">
                  <c:v>8</c:v>
                </c:pt>
                <c:pt idx="7">
                  <c:v>7</c:v>
                </c:pt>
                <c:pt idx="8">
                  <c:v>12</c:v>
                </c:pt>
                <c:pt idx="9">
                  <c:v>18</c:v>
                </c:pt>
                <c:pt idx="10">
                  <c:v>13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'22.10 ZIROBWE-WOBULENZI'!$AF$9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ZIROBWE-WOBULENZI'!$AF$10:$AF$21</c:f>
              <c:numCache>
                <c:formatCode>0</c:formatCode>
                <c:ptCount val="12"/>
                <c:pt idx="0">
                  <c:v>74</c:v>
                </c:pt>
                <c:pt idx="1">
                  <c:v>73</c:v>
                </c:pt>
                <c:pt idx="2">
                  <c:v>68</c:v>
                </c:pt>
                <c:pt idx="3">
                  <c:v>69</c:v>
                </c:pt>
                <c:pt idx="4">
                  <c:v>80</c:v>
                </c:pt>
                <c:pt idx="5">
                  <c:v>72</c:v>
                </c:pt>
                <c:pt idx="6">
                  <c:v>66</c:v>
                </c:pt>
                <c:pt idx="7">
                  <c:v>62</c:v>
                </c:pt>
                <c:pt idx="8">
                  <c:v>71</c:v>
                </c:pt>
                <c:pt idx="9">
                  <c:v>103</c:v>
                </c:pt>
                <c:pt idx="10">
                  <c:v>81</c:v>
                </c:pt>
                <c:pt idx="11">
                  <c:v>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7452168"/>
        <c:axId val="207446680"/>
      </c:lineChart>
      <c:catAx>
        <c:axId val="2074521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7446680"/>
        <c:crosses val="autoZero"/>
        <c:auto val="1"/>
        <c:lblAlgn val="ctr"/>
        <c:lblOffset val="100"/>
        <c:noMultiLvlLbl val="0"/>
      </c:catAx>
      <c:valAx>
        <c:axId val="2074466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7452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ZIROBWE-WOBULENZI'!$C$59:$N$59</c:f>
              <c:numCache>
                <c:formatCode>0.0%</c:formatCode>
                <c:ptCount val="12"/>
                <c:pt idx="0">
                  <c:v>4.5657015590200446E-2</c:v>
                </c:pt>
                <c:pt idx="1">
                  <c:v>8.9086859688195987E-3</c:v>
                </c:pt>
                <c:pt idx="2">
                  <c:v>1.5590200445434299E-2</c:v>
                </c:pt>
                <c:pt idx="3">
                  <c:v>1.7817371937639197E-2</c:v>
                </c:pt>
                <c:pt idx="4">
                  <c:v>2.2271714922048997E-3</c:v>
                </c:pt>
                <c:pt idx="5">
                  <c:v>0</c:v>
                </c:pt>
                <c:pt idx="6">
                  <c:v>3.34075723830735E-2</c:v>
                </c:pt>
                <c:pt idx="7">
                  <c:v>5.2338530066815145E-2</c:v>
                </c:pt>
                <c:pt idx="8">
                  <c:v>0</c:v>
                </c:pt>
                <c:pt idx="9">
                  <c:v>0</c:v>
                </c:pt>
                <c:pt idx="10">
                  <c:v>0.82405345211581293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ZIROBWE-WOBULENZI'!$S$9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ZIROBWE-WOBULENZI'!$S$10:$S$21</c:f>
              <c:numCache>
                <c:formatCode>0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7</c:v>
                </c:pt>
                <c:pt idx="5">
                  <c:v>0</c:v>
                </c:pt>
                <c:pt idx="6">
                  <c:v>4</c:v>
                </c:pt>
                <c:pt idx="7">
                  <c:v>1</c:v>
                </c:pt>
                <c:pt idx="8">
                  <c:v>3</c:v>
                </c:pt>
                <c:pt idx="9">
                  <c:v>6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'22.10 ZIROBWE-WOBULENZI'!$T$9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ZIROBWE-WOBULENZI'!$T$10:$T$21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'22.10 ZIROBWE-WOBULENZI'!$U$9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2</c:v>
                </c:pt>
                <c:pt idx="5">
                  <c:v>4</c:v>
                </c:pt>
                <c:pt idx="6">
                  <c:v>1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'22.10 ZIROBWE-WOBULENZI'!$V$9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ZIROBWE-WOBULENZI'!$V$10:$V$21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2</c:v>
                </c:pt>
                <c:pt idx="10">
                  <c:v>4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'22.10 ZIROBWE-WOBULENZI'!$W$9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'22.10 ZIROBWE-WOBULENZI'!$X$9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'22.10 ZIROBWE-WOBULENZI'!$Y$9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ZIROBWE-WOBULENZI'!$Y$10:$Y$21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3</c:v>
                </c:pt>
                <c:pt idx="9">
                  <c:v>2</c:v>
                </c:pt>
                <c:pt idx="10">
                  <c:v>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'22.10 ZIROBWE-WOBULENZI'!$Z$9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ZIROBWE-WOBULENZI'!$Z$10:$Z$21</c:f>
              <c:numCache>
                <c:formatCode>0</c:formatCode>
                <c:ptCount val="12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9</c:v>
                </c:pt>
                <c:pt idx="4">
                  <c:v>7</c:v>
                </c:pt>
                <c:pt idx="5">
                  <c:v>2</c:v>
                </c:pt>
                <c:pt idx="6">
                  <c:v>1</c:v>
                </c:pt>
                <c:pt idx="7">
                  <c:v>3</c:v>
                </c:pt>
                <c:pt idx="8">
                  <c:v>2</c:v>
                </c:pt>
                <c:pt idx="9">
                  <c:v>7</c:v>
                </c:pt>
                <c:pt idx="10">
                  <c:v>1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'22.10 ZIROBWE-WOBULENZI'!$AA$9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'22.10 ZIROBWE-WOBULENZI'!$AB$9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'22.10 ZIROBWE-WOBULENZI'!$AC$9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ZIROBWE-WOBULENZI'!$AC$10:$AC$21</c:f>
              <c:numCache>
                <c:formatCode>0</c:formatCode>
                <c:ptCount val="12"/>
                <c:pt idx="0">
                  <c:v>66</c:v>
                </c:pt>
                <c:pt idx="1">
                  <c:v>59</c:v>
                </c:pt>
                <c:pt idx="2">
                  <c:v>52</c:v>
                </c:pt>
                <c:pt idx="3">
                  <c:v>51</c:v>
                </c:pt>
                <c:pt idx="4">
                  <c:v>60</c:v>
                </c:pt>
                <c:pt idx="5">
                  <c:v>62</c:v>
                </c:pt>
                <c:pt idx="6">
                  <c:v>58</c:v>
                </c:pt>
                <c:pt idx="7">
                  <c:v>55</c:v>
                </c:pt>
                <c:pt idx="8">
                  <c:v>59</c:v>
                </c:pt>
                <c:pt idx="9">
                  <c:v>85</c:v>
                </c:pt>
                <c:pt idx="10">
                  <c:v>68</c:v>
                </c:pt>
                <c:pt idx="11">
                  <c:v>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'22.10 ZIROBWE-WOBULENZI'!$AD$9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ZIROBWE-WOBULENZI'!$AD$10:$AD$21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7448640"/>
        <c:axId val="207450992"/>
      </c:lineChart>
      <c:catAx>
        <c:axId val="2074486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7450992"/>
        <c:crosses val="autoZero"/>
        <c:auto val="1"/>
        <c:lblAlgn val="ctr"/>
        <c:lblOffset val="100"/>
        <c:noMultiLvlLbl val="0"/>
      </c:catAx>
      <c:valAx>
        <c:axId val="20745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7448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ZIROBWE-WOBULENZI'!$C$60:$N$60</c:f>
              <c:numCache>
                <c:formatCode>0.00%</c:formatCode>
                <c:ptCount val="12"/>
                <c:pt idx="0">
                  <c:v>0.25949367088607594</c:v>
                </c:pt>
                <c:pt idx="1">
                  <c:v>5.0632911392405063E-2</c:v>
                </c:pt>
                <c:pt idx="2">
                  <c:v>8.8607594936708861E-2</c:v>
                </c:pt>
                <c:pt idx="3">
                  <c:v>0.10126582278481013</c:v>
                </c:pt>
                <c:pt idx="4">
                  <c:v>1.2658227848101266E-2</c:v>
                </c:pt>
                <c:pt idx="5">
                  <c:v>0</c:v>
                </c:pt>
                <c:pt idx="6">
                  <c:v>0.189873417721519</c:v>
                </c:pt>
                <c:pt idx="7">
                  <c:v>0.29746835443037972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WOBULENZI-ZIROBWE'!$AE$9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WOBULENZI-ZIROBWE'!$AE$10:$AE$21</c:f>
              <c:numCache>
                <c:formatCode>0</c:formatCode>
                <c:ptCount val="12"/>
                <c:pt idx="0">
                  <c:v>5</c:v>
                </c:pt>
                <c:pt idx="1">
                  <c:v>10</c:v>
                </c:pt>
                <c:pt idx="2">
                  <c:v>8</c:v>
                </c:pt>
                <c:pt idx="3">
                  <c:v>8</c:v>
                </c:pt>
                <c:pt idx="4">
                  <c:v>20</c:v>
                </c:pt>
                <c:pt idx="5">
                  <c:v>12</c:v>
                </c:pt>
                <c:pt idx="6">
                  <c:v>19</c:v>
                </c:pt>
                <c:pt idx="7">
                  <c:v>9</c:v>
                </c:pt>
                <c:pt idx="8">
                  <c:v>55</c:v>
                </c:pt>
                <c:pt idx="9">
                  <c:v>29</c:v>
                </c:pt>
                <c:pt idx="10">
                  <c:v>24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'23.10 WOBULENZI-ZIROBWE'!$AF$9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WOBULENZI-ZIROBWE'!$R$10:$R$21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WOBULENZI-ZIROBWE'!$AF$10:$AF$21</c:f>
              <c:numCache>
                <c:formatCode>0</c:formatCode>
                <c:ptCount val="12"/>
                <c:pt idx="0">
                  <c:v>69</c:v>
                </c:pt>
                <c:pt idx="1">
                  <c:v>64</c:v>
                </c:pt>
                <c:pt idx="2">
                  <c:v>66</c:v>
                </c:pt>
                <c:pt idx="3">
                  <c:v>62</c:v>
                </c:pt>
                <c:pt idx="4">
                  <c:v>83</c:v>
                </c:pt>
                <c:pt idx="5">
                  <c:v>64</c:v>
                </c:pt>
                <c:pt idx="6">
                  <c:v>85</c:v>
                </c:pt>
                <c:pt idx="7">
                  <c:v>73</c:v>
                </c:pt>
                <c:pt idx="8">
                  <c:v>149</c:v>
                </c:pt>
                <c:pt idx="9">
                  <c:v>73</c:v>
                </c:pt>
                <c:pt idx="10">
                  <c:v>30</c:v>
                </c:pt>
                <c:pt idx="11">
                  <c:v>105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149800"/>
        <c:axId val="169947184"/>
      </c:lineChart>
      <c:catAx>
        <c:axId val="2061498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9947184"/>
        <c:crosses val="autoZero"/>
        <c:auto val="1"/>
        <c:lblAlgn val="ctr"/>
        <c:lblOffset val="100"/>
        <c:noMultiLvlLbl val="0"/>
      </c:catAx>
      <c:valAx>
        <c:axId val="16994718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6149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WOBULENZI-ZIROBWE'!$C$59:$N$59</c:f>
              <c:numCache>
                <c:formatCode>0.0%</c:formatCode>
                <c:ptCount val="12"/>
                <c:pt idx="0">
                  <c:v>7.4756229685807155E-2</c:v>
                </c:pt>
                <c:pt idx="1">
                  <c:v>3.5752979414951244E-2</c:v>
                </c:pt>
                <c:pt idx="2">
                  <c:v>1.3001083423618635E-2</c:v>
                </c:pt>
                <c:pt idx="3">
                  <c:v>3.4669555796316358E-2</c:v>
                </c:pt>
                <c:pt idx="4">
                  <c:v>8.6673889490790895E-3</c:v>
                </c:pt>
                <c:pt idx="5">
                  <c:v>0</c:v>
                </c:pt>
                <c:pt idx="6">
                  <c:v>1.9501625135427952E-2</c:v>
                </c:pt>
                <c:pt idx="7">
                  <c:v>5.0920910075839654E-2</c:v>
                </c:pt>
                <c:pt idx="8">
                  <c:v>0</c:v>
                </c:pt>
                <c:pt idx="9">
                  <c:v>0</c:v>
                </c:pt>
                <c:pt idx="10">
                  <c:v>0.76273022751895991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WOBULENZI-ZIROBWE'!$C$60:$N$60</c:f>
              <c:numCache>
                <c:formatCode>0.00%</c:formatCode>
                <c:ptCount val="12"/>
                <c:pt idx="0">
                  <c:v>0.31506849315068491</c:v>
                </c:pt>
                <c:pt idx="1">
                  <c:v>0.15068493150684931</c:v>
                </c:pt>
                <c:pt idx="2">
                  <c:v>5.4794520547945202E-2</c:v>
                </c:pt>
                <c:pt idx="3">
                  <c:v>0.14611872146118721</c:v>
                </c:pt>
                <c:pt idx="4">
                  <c:v>3.6529680365296802E-2</c:v>
                </c:pt>
                <c:pt idx="5">
                  <c:v>0</c:v>
                </c:pt>
                <c:pt idx="6">
                  <c:v>8.2191780821917804E-2</c:v>
                </c:pt>
                <c:pt idx="7">
                  <c:v>0.21461187214611871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ZIROBWE-WOBULENZI'!$AE$9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ZIROBWE-WOBULENZI'!$AE$10:$AE$21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11</c:v>
                </c:pt>
                <c:pt idx="3">
                  <c:v>21</c:v>
                </c:pt>
                <c:pt idx="4">
                  <c:v>17</c:v>
                </c:pt>
                <c:pt idx="5">
                  <c:v>21</c:v>
                </c:pt>
                <c:pt idx="6">
                  <c:v>36</c:v>
                </c:pt>
                <c:pt idx="7">
                  <c:v>35</c:v>
                </c:pt>
                <c:pt idx="8">
                  <c:v>19</c:v>
                </c:pt>
                <c:pt idx="9">
                  <c:v>15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'23.10 ZIROBWE-WOBULENZI'!$AF$9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ZIROBWE-WOBULENZI'!$AF$10:$AF$21</c:f>
              <c:numCache>
                <c:formatCode>0</c:formatCode>
                <c:ptCount val="12"/>
                <c:pt idx="0">
                  <c:v>61</c:v>
                </c:pt>
                <c:pt idx="1">
                  <c:v>71</c:v>
                </c:pt>
                <c:pt idx="2">
                  <c:v>65</c:v>
                </c:pt>
                <c:pt idx="3">
                  <c:v>88</c:v>
                </c:pt>
                <c:pt idx="4">
                  <c:v>84</c:v>
                </c:pt>
                <c:pt idx="5">
                  <c:v>87</c:v>
                </c:pt>
                <c:pt idx="6">
                  <c:v>108</c:v>
                </c:pt>
                <c:pt idx="7">
                  <c:v>91</c:v>
                </c:pt>
                <c:pt idx="8">
                  <c:v>75</c:v>
                </c:pt>
                <c:pt idx="9">
                  <c:v>68</c:v>
                </c:pt>
                <c:pt idx="10">
                  <c:v>28</c:v>
                </c:pt>
                <c:pt idx="11">
                  <c:v>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5770368"/>
        <c:axId val="205767232"/>
      </c:lineChart>
      <c:catAx>
        <c:axId val="205770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767232"/>
        <c:crosses val="autoZero"/>
        <c:auto val="1"/>
        <c:lblAlgn val="ctr"/>
        <c:lblOffset val="100"/>
        <c:noMultiLvlLbl val="0"/>
      </c:catAx>
      <c:valAx>
        <c:axId val="2057672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770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ZIROBWE-WOBULENZI'!$C$59:$N$59</c:f>
              <c:numCache>
                <c:formatCode>0.0%</c:formatCode>
                <c:ptCount val="12"/>
                <c:pt idx="0">
                  <c:v>7.0437566702241189E-2</c:v>
                </c:pt>
                <c:pt idx="1">
                  <c:v>2.0277481323372464E-2</c:v>
                </c:pt>
                <c:pt idx="2">
                  <c:v>1.6008537886872998E-2</c:v>
                </c:pt>
                <c:pt idx="3">
                  <c:v>2.8815368196371399E-2</c:v>
                </c:pt>
                <c:pt idx="4">
                  <c:v>1.1739594450373533E-2</c:v>
                </c:pt>
                <c:pt idx="5">
                  <c:v>0</c:v>
                </c:pt>
                <c:pt idx="6">
                  <c:v>2.1344717182497332E-2</c:v>
                </c:pt>
                <c:pt idx="7">
                  <c:v>5.5496264674493062E-2</c:v>
                </c:pt>
                <c:pt idx="8">
                  <c:v>0</c:v>
                </c:pt>
                <c:pt idx="9">
                  <c:v>0</c:v>
                </c:pt>
                <c:pt idx="10">
                  <c:v>0.77588046958377799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ZIROBWE-WOBULENZI'!$S$9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ZIROBWE-WOBULENZI'!$S$10:$S$21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2</c:v>
                </c:pt>
                <c:pt idx="3">
                  <c:v>7</c:v>
                </c:pt>
                <c:pt idx="4">
                  <c:v>3</c:v>
                </c:pt>
                <c:pt idx="5">
                  <c:v>5</c:v>
                </c:pt>
                <c:pt idx="6">
                  <c:v>12</c:v>
                </c:pt>
                <c:pt idx="7">
                  <c:v>17</c:v>
                </c:pt>
                <c:pt idx="8">
                  <c:v>7</c:v>
                </c:pt>
                <c:pt idx="9">
                  <c:v>6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'23.10 ZIROBWE-WOBULENZI'!$T$9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ZIROBWE-WOBULENZI'!$R$10:$R$21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ZIROBWE-WOBULENZI'!$T$10:$T$21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6</c:v>
                </c:pt>
                <c:pt idx="6">
                  <c:v>5</c:v>
                </c:pt>
                <c:pt idx="7">
                  <c:v>3</c:v>
                </c:pt>
                <c:pt idx="8">
                  <c:v>2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'23.10 ZIROBWE-WOBULENZI'!$U$9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ZIROBWE-WOBULENZI'!$U$10:$U$21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2</c:v>
                </c:pt>
                <c:pt idx="10">
                  <c:v>1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'23.10 ZIROBWE-WOBULENZI'!$V$9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ZIROBWE-WOBULENZI'!$V$10:$V$21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6</c:v>
                </c:pt>
                <c:pt idx="6">
                  <c:v>5</c:v>
                </c:pt>
                <c:pt idx="7">
                  <c:v>6</c:v>
                </c:pt>
                <c:pt idx="8">
                  <c:v>3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'23.10 ZIROBWE-WOBULENZI'!$W$9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5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'23.10 ZIROBWE-WOBULENZI'!$X$9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'23.10 ZIROBWE-WOBULENZI'!$Y$9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'23.10 ZIROBWE-WOBULENZI'!$Z$9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ZIROBWE-WOBULENZI'!$Z$10:$Z$21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6</c:v>
                </c:pt>
                <c:pt idx="3">
                  <c:v>11</c:v>
                </c:pt>
                <c:pt idx="4">
                  <c:v>8</c:v>
                </c:pt>
                <c:pt idx="5">
                  <c:v>3</c:v>
                </c:pt>
                <c:pt idx="6">
                  <c:v>6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4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'23.10 ZIROBWE-WOBULENZI'!$AA$9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'23.10 ZIROBWE-WOBULENZI'!$AB$9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'23.10 ZIROBWE-WOBULENZI'!$AC$9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ZIROBWE-WOBULENZI'!$AC$10:$AC$21</c:f>
              <c:numCache>
                <c:formatCode>0</c:formatCode>
                <c:ptCount val="12"/>
                <c:pt idx="0">
                  <c:v>55</c:v>
                </c:pt>
                <c:pt idx="1">
                  <c:v>63</c:v>
                </c:pt>
                <c:pt idx="2">
                  <c:v>54</c:v>
                </c:pt>
                <c:pt idx="3">
                  <c:v>67</c:v>
                </c:pt>
                <c:pt idx="4">
                  <c:v>67</c:v>
                </c:pt>
                <c:pt idx="5">
                  <c:v>66</c:v>
                </c:pt>
                <c:pt idx="6">
                  <c:v>72</c:v>
                </c:pt>
                <c:pt idx="7">
                  <c:v>56</c:v>
                </c:pt>
                <c:pt idx="8">
                  <c:v>56</c:v>
                </c:pt>
                <c:pt idx="9">
                  <c:v>53</c:v>
                </c:pt>
                <c:pt idx="10">
                  <c:v>20</c:v>
                </c:pt>
                <c:pt idx="11">
                  <c:v>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'23.10 ZIROBWE-WOBULENZI'!$AD$9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ZIROBWE-WOBULENZI'!$AD$10:$AD$21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5770760"/>
        <c:axId val="205766448"/>
      </c:lineChart>
      <c:catAx>
        <c:axId val="205770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766448"/>
        <c:crosses val="autoZero"/>
        <c:auto val="1"/>
        <c:lblAlgn val="ctr"/>
        <c:lblOffset val="100"/>
        <c:noMultiLvlLbl val="0"/>
      </c:catAx>
      <c:valAx>
        <c:axId val="20576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05770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ZIROBWE-WOBULENZI'!$C$60:$N$60</c:f>
              <c:numCache>
                <c:formatCode>0.00%</c:formatCode>
                <c:ptCount val="12"/>
                <c:pt idx="0">
                  <c:v>0.31428571428571428</c:v>
                </c:pt>
                <c:pt idx="1">
                  <c:v>9.0476190476190474E-2</c:v>
                </c:pt>
                <c:pt idx="2">
                  <c:v>7.1428571428571425E-2</c:v>
                </c:pt>
                <c:pt idx="3">
                  <c:v>0.12857142857142856</c:v>
                </c:pt>
                <c:pt idx="4">
                  <c:v>5.2380952380952382E-2</c:v>
                </c:pt>
                <c:pt idx="5">
                  <c:v>0</c:v>
                </c:pt>
                <c:pt idx="6">
                  <c:v>9.5238095238095233E-2</c:v>
                </c:pt>
                <c:pt idx="7">
                  <c:v>0.24761904761904763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WOBULENZI-ZIROBWE'!$AE$9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WOBULENZI-ZIROBWE'!$R$10:$R$33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WOBULENZI-ZIROBWE'!$AE$10:$AE$33</c:f>
              <c:numCache>
                <c:formatCode>0</c:formatCode>
                <c:ptCount val="24"/>
                <c:pt idx="0">
                  <c:v>3.4285714285714279</c:v>
                </c:pt>
                <c:pt idx="1">
                  <c:v>8.8571428571428559</c:v>
                </c:pt>
                <c:pt idx="2">
                  <c:v>7.9999999999999991</c:v>
                </c:pt>
                <c:pt idx="3">
                  <c:v>8.428571428571427</c:v>
                </c:pt>
                <c:pt idx="4">
                  <c:v>16.714285714285715</c:v>
                </c:pt>
                <c:pt idx="5">
                  <c:v>12.142857142857142</c:v>
                </c:pt>
                <c:pt idx="6">
                  <c:v>15.857142857142858</c:v>
                </c:pt>
                <c:pt idx="7">
                  <c:v>15.714285714285714</c:v>
                </c:pt>
                <c:pt idx="8">
                  <c:v>21.428571428571427</c:v>
                </c:pt>
                <c:pt idx="9">
                  <c:v>18.285714285714285</c:v>
                </c:pt>
                <c:pt idx="10">
                  <c:v>17.428571428571427</c:v>
                </c:pt>
                <c:pt idx="11">
                  <c:v>15.714285714285715</c:v>
                </c:pt>
                <c:pt idx="12">
                  <c:v>10.5</c:v>
                </c:pt>
                <c:pt idx="13">
                  <c:v>4</c:v>
                </c:pt>
                <c:pt idx="14">
                  <c:v>5.5</c:v>
                </c:pt>
                <c:pt idx="15">
                  <c:v>3</c:v>
                </c:pt>
                <c:pt idx="16">
                  <c:v>2</c:v>
                </c:pt>
                <c:pt idx="17">
                  <c:v>2.5</c:v>
                </c:pt>
                <c:pt idx="18">
                  <c:v>1</c:v>
                </c:pt>
                <c:pt idx="19">
                  <c:v>2</c:v>
                </c:pt>
                <c:pt idx="20">
                  <c:v>1.5</c:v>
                </c:pt>
                <c:pt idx="21">
                  <c:v>4.5</c:v>
                </c:pt>
                <c:pt idx="22">
                  <c:v>8</c:v>
                </c:pt>
                <c:pt idx="23">
                  <c:v>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WOBULENZI-ZIROBWE'!$AF$9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WOBULENZI-ZIROBWE'!$R$10:$R$33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WOBULENZI-ZIROBWE'!$AF$10:$AF$33</c:f>
              <c:numCache>
                <c:formatCode>0</c:formatCode>
                <c:ptCount val="24"/>
                <c:pt idx="0">
                  <c:v>57.714285714285715</c:v>
                </c:pt>
                <c:pt idx="1">
                  <c:v>61.714285714285708</c:v>
                </c:pt>
                <c:pt idx="2">
                  <c:v>56.857142857142854</c:v>
                </c:pt>
                <c:pt idx="3">
                  <c:v>75.428571428571431</c:v>
                </c:pt>
                <c:pt idx="4">
                  <c:v>84.857142857142861</c:v>
                </c:pt>
                <c:pt idx="5">
                  <c:v>84</c:v>
                </c:pt>
                <c:pt idx="6">
                  <c:v>91.857142857142861</c:v>
                </c:pt>
                <c:pt idx="7">
                  <c:v>86.142857142857139</c:v>
                </c:pt>
                <c:pt idx="8">
                  <c:v>92.285714285714278</c:v>
                </c:pt>
                <c:pt idx="9">
                  <c:v>88.428571428571431</c:v>
                </c:pt>
                <c:pt idx="10">
                  <c:v>88.428571428571416</c:v>
                </c:pt>
                <c:pt idx="11">
                  <c:v>99.285714285714278</c:v>
                </c:pt>
                <c:pt idx="12">
                  <c:v>107</c:v>
                </c:pt>
                <c:pt idx="13">
                  <c:v>83</c:v>
                </c:pt>
                <c:pt idx="14">
                  <c:v>40.5</c:v>
                </c:pt>
                <c:pt idx="15">
                  <c:v>20.5</c:v>
                </c:pt>
                <c:pt idx="16">
                  <c:v>10</c:v>
                </c:pt>
                <c:pt idx="17">
                  <c:v>3.5</c:v>
                </c:pt>
                <c:pt idx="18">
                  <c:v>1.5</c:v>
                </c:pt>
                <c:pt idx="19">
                  <c:v>2</c:v>
                </c:pt>
                <c:pt idx="20">
                  <c:v>3</c:v>
                </c:pt>
                <c:pt idx="21">
                  <c:v>8</c:v>
                </c:pt>
                <c:pt idx="22">
                  <c:v>17</c:v>
                </c:pt>
                <c:pt idx="23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9320704"/>
        <c:axId val="219324232"/>
      </c:lineChart>
      <c:catAx>
        <c:axId val="2193207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324232"/>
        <c:crosses val="autoZero"/>
        <c:auto val="1"/>
        <c:lblAlgn val="ctr"/>
        <c:lblOffset val="100"/>
        <c:noMultiLvlLbl val="0"/>
      </c:catAx>
      <c:valAx>
        <c:axId val="2193242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93207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WOBULENZI-ZIROBWE'!$C$107:$N$107</c:f>
              <c:numCache>
                <c:formatCode>0.0%</c:formatCode>
                <c:ptCount val="12"/>
                <c:pt idx="0">
                  <c:v>4.2317851639885537E-2</c:v>
                </c:pt>
                <c:pt idx="1">
                  <c:v>1.749944970283953E-2</c:v>
                </c:pt>
                <c:pt idx="2">
                  <c:v>1.0895883777239712E-2</c:v>
                </c:pt>
                <c:pt idx="3">
                  <c:v>2.7074620294959276E-2</c:v>
                </c:pt>
                <c:pt idx="4">
                  <c:v>2.0911292097732775E-3</c:v>
                </c:pt>
                <c:pt idx="5">
                  <c:v>2.2011886418666079E-4</c:v>
                </c:pt>
                <c:pt idx="6">
                  <c:v>2.2176975566806065E-2</c:v>
                </c:pt>
                <c:pt idx="7">
                  <c:v>3.8740920096852302E-2</c:v>
                </c:pt>
                <c:pt idx="8">
                  <c:v>1.3207131851199648E-3</c:v>
                </c:pt>
                <c:pt idx="9">
                  <c:v>4.4023772837332157E-4</c:v>
                </c:pt>
                <c:pt idx="10">
                  <c:v>0.8359013867488444</c:v>
                </c:pt>
                <c:pt idx="11">
                  <c:v>1.320713185119965E-3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WOBULENZI-ZIROBWE'!$C$9:$N$9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WOBULENZI-ZIROBWE'!$C$108:$N$108</c:f>
              <c:numCache>
                <c:formatCode>0.00%</c:formatCode>
                <c:ptCount val="12"/>
                <c:pt idx="0">
                  <c:v>0.2578806170355466</c:v>
                </c:pt>
                <c:pt idx="1">
                  <c:v>0.10663983903420521</c:v>
                </c:pt>
                <c:pt idx="2">
                  <c:v>6.6398390342052332E-2</c:v>
                </c:pt>
                <c:pt idx="3">
                  <c:v>0.16498993963782693</c:v>
                </c:pt>
                <c:pt idx="4">
                  <c:v>1.2743125419181756E-2</c:v>
                </c:pt>
                <c:pt idx="5">
                  <c:v>1.3413816230717639E-3</c:v>
                </c:pt>
                <c:pt idx="6">
                  <c:v>0.13514419852448015</c:v>
                </c:pt>
                <c:pt idx="7">
                  <c:v>0.23608316566063045</c:v>
                </c:pt>
                <c:pt idx="8">
                  <c:v>8.0482897384305824E-3</c:v>
                </c:pt>
                <c:pt idx="9">
                  <c:v>2.6827632461435278E-3</c:v>
                </c:pt>
                <c:pt idx="11">
                  <c:v>8.0482897384305842E-3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ZIROBWE-WOBULENZI'!$AE$9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ZIROBWE-WOBULENZI'!$R$10:$R$33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ZIROBWE-WOBULENZI'!$AE$10:$AE$33</c:f>
              <c:numCache>
                <c:formatCode>0</c:formatCode>
                <c:ptCount val="24"/>
                <c:pt idx="0">
                  <c:v>5.4285714285714279</c:v>
                </c:pt>
                <c:pt idx="1">
                  <c:v>10.285714285714285</c:v>
                </c:pt>
                <c:pt idx="2">
                  <c:v>13.285714285714285</c:v>
                </c:pt>
                <c:pt idx="3">
                  <c:v>16.714285714285715</c:v>
                </c:pt>
                <c:pt idx="4">
                  <c:v>16.571428571428569</c:v>
                </c:pt>
                <c:pt idx="5">
                  <c:v>15</c:v>
                </c:pt>
                <c:pt idx="6">
                  <c:v>18.714285714285712</c:v>
                </c:pt>
                <c:pt idx="7">
                  <c:v>19</c:v>
                </c:pt>
                <c:pt idx="8">
                  <c:v>18.857142857142858</c:v>
                </c:pt>
                <c:pt idx="9">
                  <c:v>15.714285714285714</c:v>
                </c:pt>
                <c:pt idx="10">
                  <c:v>12.428571428571427</c:v>
                </c:pt>
                <c:pt idx="11">
                  <c:v>13.142857142857142</c:v>
                </c:pt>
                <c:pt idx="12">
                  <c:v>12</c:v>
                </c:pt>
                <c:pt idx="13">
                  <c:v>13.5</c:v>
                </c:pt>
                <c:pt idx="14">
                  <c:v>12</c:v>
                </c:pt>
                <c:pt idx="15">
                  <c:v>7</c:v>
                </c:pt>
                <c:pt idx="16">
                  <c:v>2.5</c:v>
                </c:pt>
                <c:pt idx="17">
                  <c:v>1</c:v>
                </c:pt>
                <c:pt idx="18">
                  <c:v>0.5</c:v>
                </c:pt>
                <c:pt idx="19">
                  <c:v>0</c:v>
                </c:pt>
                <c:pt idx="20">
                  <c:v>2</c:v>
                </c:pt>
                <c:pt idx="21">
                  <c:v>1.5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ZIROBWE-WOBULENZI'!$AF$9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ZIROBWE-WOBULENZI'!$R$10:$R$33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ZIROBWE-WOBULENZI'!$AF$10:$AF$33</c:f>
              <c:numCache>
                <c:formatCode>0</c:formatCode>
                <c:ptCount val="24"/>
                <c:pt idx="0">
                  <c:v>50.571428571428569</c:v>
                </c:pt>
                <c:pt idx="1">
                  <c:v>57.285714285714285</c:v>
                </c:pt>
                <c:pt idx="2">
                  <c:v>60</c:v>
                </c:pt>
                <c:pt idx="3">
                  <c:v>84.142857142857153</c:v>
                </c:pt>
                <c:pt idx="4">
                  <c:v>84.428571428571416</c:v>
                </c:pt>
                <c:pt idx="5">
                  <c:v>88.428571428571416</c:v>
                </c:pt>
                <c:pt idx="6">
                  <c:v>91.571428571428569</c:v>
                </c:pt>
                <c:pt idx="7">
                  <c:v>85.428571428571431</c:v>
                </c:pt>
                <c:pt idx="8">
                  <c:v>89.714285714285722</c:v>
                </c:pt>
                <c:pt idx="9">
                  <c:v>88.857142857142847</c:v>
                </c:pt>
                <c:pt idx="10">
                  <c:v>87.428571428571445</c:v>
                </c:pt>
                <c:pt idx="11">
                  <c:v>103.71428571428572</c:v>
                </c:pt>
                <c:pt idx="12">
                  <c:v>120.5</c:v>
                </c:pt>
                <c:pt idx="13">
                  <c:v>100</c:v>
                </c:pt>
                <c:pt idx="14">
                  <c:v>83.5</c:v>
                </c:pt>
                <c:pt idx="15">
                  <c:v>41.5</c:v>
                </c:pt>
                <c:pt idx="16">
                  <c:v>12</c:v>
                </c:pt>
                <c:pt idx="17">
                  <c:v>4</c:v>
                </c:pt>
                <c:pt idx="18">
                  <c:v>1.5</c:v>
                </c:pt>
                <c:pt idx="19">
                  <c:v>0</c:v>
                </c:pt>
                <c:pt idx="20">
                  <c:v>3</c:v>
                </c:pt>
                <c:pt idx="21">
                  <c:v>1.5</c:v>
                </c:pt>
                <c:pt idx="22">
                  <c:v>3.5</c:v>
                </c:pt>
                <c:pt idx="23">
                  <c:v>18.5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17954464"/>
        <c:axId val="217947408"/>
      </c:lineChart>
      <c:catAx>
        <c:axId val="21795446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7947408"/>
        <c:crosses val="autoZero"/>
        <c:auto val="1"/>
        <c:lblAlgn val="ctr"/>
        <c:lblOffset val="100"/>
        <c:noMultiLvlLbl val="0"/>
      </c:catAx>
      <c:valAx>
        <c:axId val="2179474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21795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ZIROBWE-WOBULENZI'!$C$107:$N$107</c:f>
              <c:numCache>
                <c:formatCode>0.0%</c:formatCode>
                <c:ptCount val="12"/>
                <c:pt idx="0">
                  <c:v>4.2351088953030705E-2</c:v>
                </c:pt>
                <c:pt idx="1">
                  <c:v>1.306743636840724E-2</c:v>
                </c:pt>
                <c:pt idx="2">
                  <c:v>1.5376541590133826E-2</c:v>
                </c:pt>
                <c:pt idx="3">
                  <c:v>2.4770401469430593E-2</c:v>
                </c:pt>
                <c:pt idx="4">
                  <c:v>2.3091052217265808E-3</c:v>
                </c:pt>
                <c:pt idx="5">
                  <c:v>3.1487798478089743E-4</c:v>
                </c:pt>
                <c:pt idx="6">
                  <c:v>2.4980320125951191E-2</c:v>
                </c:pt>
                <c:pt idx="7">
                  <c:v>4.2875885594332204E-2</c:v>
                </c:pt>
                <c:pt idx="8">
                  <c:v>1.574389923904487E-3</c:v>
                </c:pt>
                <c:pt idx="9">
                  <c:v>3.1487798478089743E-4</c:v>
                </c:pt>
                <c:pt idx="10">
                  <c:v>0.83164523747048025</c:v>
                </c:pt>
                <c:pt idx="11">
                  <c:v>4.1983731304119653E-4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ZIROBWE-WOBULENZI'!$C$9:$N$9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ZIROBWE-WOBULENZI'!$C$108:$N$108</c:f>
              <c:numCache>
                <c:formatCode>0.00%</c:formatCode>
                <c:ptCount val="12"/>
                <c:pt idx="0">
                  <c:v>0.25155860349127179</c:v>
                </c:pt>
                <c:pt idx="1">
                  <c:v>7.7618453865336626E-2</c:v>
                </c:pt>
                <c:pt idx="2">
                  <c:v>9.133416458852868E-2</c:v>
                </c:pt>
                <c:pt idx="3">
                  <c:v>0.14713216957605982</c:v>
                </c:pt>
                <c:pt idx="4">
                  <c:v>1.3715710723192016E-2</c:v>
                </c:pt>
                <c:pt idx="5">
                  <c:v>1.8703241895261843E-3</c:v>
                </c:pt>
                <c:pt idx="6">
                  <c:v>0.14837905236907725</c:v>
                </c:pt>
                <c:pt idx="7">
                  <c:v>0.25467581047381543</c:v>
                </c:pt>
                <c:pt idx="8">
                  <c:v>9.3516209476309214E-3</c:v>
                </c:pt>
                <c:pt idx="9">
                  <c:v>1.8703241895261843E-3</c:v>
                </c:pt>
                <c:pt idx="11">
                  <c:v>2.4937655860349122E-3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WOBULENZI-ZIROBWE-2Dir'!$C$9:$N$9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WOBULENZI-ZIROBWE-2Dir'!$C$107:$N$107</c:f>
              <c:numCache>
                <c:formatCode>0.0%</c:formatCode>
                <c:ptCount val="12"/>
                <c:pt idx="0">
                  <c:v>4.2334864480081662E-2</c:v>
                </c:pt>
                <c:pt idx="1">
                  <c:v>1.5230880812313644E-2</c:v>
                </c:pt>
                <c:pt idx="2">
                  <c:v>1.3189351814543207E-2</c:v>
                </c:pt>
                <c:pt idx="3">
                  <c:v>2.5895183603298677E-2</c:v>
                </c:pt>
                <c:pt idx="4">
                  <c:v>2.2027023396996807E-3</c:v>
                </c:pt>
                <c:pt idx="5">
                  <c:v>2.6862223654874147E-4</c:v>
                </c:pt>
                <c:pt idx="6">
                  <c:v>2.3611894592634377E-2</c:v>
                </c:pt>
                <c:pt idx="7">
                  <c:v>4.0857442179063584E-2</c:v>
                </c:pt>
                <c:pt idx="8">
                  <c:v>1.450560077363204E-3</c:v>
                </c:pt>
                <c:pt idx="9">
                  <c:v>3.7607113116823807E-4</c:v>
                </c:pt>
                <c:pt idx="10">
                  <c:v>0.83372283557632909</c:v>
                </c:pt>
                <c:pt idx="11">
                  <c:v>8.5959115695597279E-4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WOBULENZI-ZIROBWE-2Dir'!$C$9:$N$9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WOBULENZI-ZIROBWE-2Dir'!$C$108:$N$108</c:f>
              <c:numCache>
                <c:formatCode>0.00%</c:formatCode>
                <c:ptCount val="12"/>
                <c:pt idx="0">
                  <c:v>0.25460420032310171</c:v>
                </c:pt>
                <c:pt idx="1">
                  <c:v>9.1599353796445862E-2</c:v>
                </c:pt>
                <c:pt idx="2">
                  <c:v>7.9321486268174451E-2</c:v>
                </c:pt>
                <c:pt idx="3">
                  <c:v>0.15573505654281095</c:v>
                </c:pt>
                <c:pt idx="4">
                  <c:v>1.3247172859450726E-2</c:v>
                </c:pt>
                <c:pt idx="5">
                  <c:v>1.6155088852988686E-3</c:v>
                </c:pt>
                <c:pt idx="6">
                  <c:v>0.14200323101777054</c:v>
                </c:pt>
                <c:pt idx="7">
                  <c:v>0.24571890145395794</c:v>
                </c:pt>
                <c:pt idx="8">
                  <c:v>8.7237479806138909E-3</c:v>
                </c:pt>
                <c:pt idx="9">
                  <c:v>2.2617124394184161E-3</c:v>
                </c:pt>
                <c:pt idx="11">
                  <c:v>5.1696284329563798E-3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WOBULENZI-ZIROBWE-2Dir'!$AE$9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WOBULENZI-ZIROBWE-2Dir'!$R$10:$R$33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WOBULENZI-ZIROBWE-2Dir'!$AE$10:$AE$33</c:f>
              <c:numCache>
                <c:formatCode>0</c:formatCode>
                <c:ptCount val="24"/>
                <c:pt idx="0">
                  <c:v>8.8571428571428559</c:v>
                </c:pt>
                <c:pt idx="1">
                  <c:v>19.142857142857142</c:v>
                </c:pt>
                <c:pt idx="2">
                  <c:v>21.285714285714285</c:v>
                </c:pt>
                <c:pt idx="3">
                  <c:v>25.142857142857146</c:v>
                </c:pt>
                <c:pt idx="4">
                  <c:v>33.285714285714285</c:v>
                </c:pt>
                <c:pt idx="5">
                  <c:v>27.142857142857139</c:v>
                </c:pt>
                <c:pt idx="6">
                  <c:v>34.571428571428569</c:v>
                </c:pt>
                <c:pt idx="7">
                  <c:v>34.714285714285715</c:v>
                </c:pt>
                <c:pt idx="8">
                  <c:v>40.285714285714285</c:v>
                </c:pt>
                <c:pt idx="9">
                  <c:v>34</c:v>
                </c:pt>
                <c:pt idx="10">
                  <c:v>29.857142857142861</c:v>
                </c:pt>
                <c:pt idx="11">
                  <c:v>28.857142857142854</c:v>
                </c:pt>
                <c:pt idx="12">
                  <c:v>22.5</c:v>
                </c:pt>
                <c:pt idx="13">
                  <c:v>17.5</c:v>
                </c:pt>
                <c:pt idx="14">
                  <c:v>17.5</c:v>
                </c:pt>
                <c:pt idx="15">
                  <c:v>10</c:v>
                </c:pt>
                <c:pt idx="16">
                  <c:v>4.5</c:v>
                </c:pt>
                <c:pt idx="17">
                  <c:v>3.5</c:v>
                </c:pt>
                <c:pt idx="18">
                  <c:v>1.5</c:v>
                </c:pt>
                <c:pt idx="19">
                  <c:v>2</c:v>
                </c:pt>
                <c:pt idx="20">
                  <c:v>3.5</c:v>
                </c:pt>
                <c:pt idx="21">
                  <c:v>6</c:v>
                </c:pt>
                <c:pt idx="22">
                  <c:v>9</c:v>
                </c:pt>
                <c:pt idx="23">
                  <c:v>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0F0-4C29-8CAF-7D3E11695D3F}"/>
            </c:ext>
          </c:extLst>
        </c:ser>
        <c:ser>
          <c:idx val="1"/>
          <c:order val="1"/>
          <c:tx>
            <c:strRef>
              <c:f>'Avg Week WOBULENZI-ZIROBWE-2Dir'!$AF$9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WOBULENZI-ZIROBWE-2Dir'!$R$10:$R$33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WOBULENZI-ZIROBWE-2Dir'!$AF$10:$AF$33</c:f>
              <c:numCache>
                <c:formatCode>0</c:formatCode>
                <c:ptCount val="24"/>
                <c:pt idx="0">
                  <c:v>108.28571428571429</c:v>
                </c:pt>
                <c:pt idx="1">
                  <c:v>119</c:v>
                </c:pt>
                <c:pt idx="2">
                  <c:v>116.85714285714286</c:v>
                </c:pt>
                <c:pt idx="3">
                  <c:v>159.57142857142858</c:v>
                </c:pt>
                <c:pt idx="4">
                  <c:v>169.28571428571428</c:v>
                </c:pt>
                <c:pt idx="5">
                  <c:v>172.42857142857144</c:v>
                </c:pt>
                <c:pt idx="6">
                  <c:v>183.42857142857144</c:v>
                </c:pt>
                <c:pt idx="7">
                  <c:v>171.57142857142856</c:v>
                </c:pt>
                <c:pt idx="8">
                  <c:v>182</c:v>
                </c:pt>
                <c:pt idx="9">
                  <c:v>177.28571428571428</c:v>
                </c:pt>
                <c:pt idx="10">
                  <c:v>175.85714285714283</c:v>
                </c:pt>
                <c:pt idx="11">
                  <c:v>203</c:v>
                </c:pt>
                <c:pt idx="12">
                  <c:v>227.5</c:v>
                </c:pt>
                <c:pt idx="13">
                  <c:v>183</c:v>
                </c:pt>
                <c:pt idx="14">
                  <c:v>124</c:v>
                </c:pt>
                <c:pt idx="15">
                  <c:v>62</c:v>
                </c:pt>
                <c:pt idx="16">
                  <c:v>22</c:v>
                </c:pt>
                <c:pt idx="17">
                  <c:v>7.5</c:v>
                </c:pt>
                <c:pt idx="18">
                  <c:v>3</c:v>
                </c:pt>
                <c:pt idx="19">
                  <c:v>2</c:v>
                </c:pt>
                <c:pt idx="20">
                  <c:v>6</c:v>
                </c:pt>
                <c:pt idx="21">
                  <c:v>9.5</c:v>
                </c:pt>
                <c:pt idx="22">
                  <c:v>20.5</c:v>
                </c:pt>
                <c:pt idx="23">
                  <c:v>53.5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0F0-4C29-8CAF-7D3E11695D3F}"/>
            </c:ext>
          </c:extLst>
        </c:ser>
        <c:ser>
          <c:idx val="2"/>
          <c:order val="2"/>
          <c:tx>
            <c:strRef>
              <c:f>'Avg Week WOBULENZI-ZIROBWE-2Dir'!$AC$9</c:f>
              <c:strCache>
                <c:ptCount val="1"/>
                <c:pt idx="0">
                  <c:v>11. Motorcycles</c:v>
                </c:pt>
              </c:strCache>
            </c:strRef>
          </c:tx>
          <c:val>
            <c:numRef>
              <c:f>'Avg Week WOBULENZI-ZIROBWE-2Dir'!$AC$10:$AC$33</c:f>
              <c:numCache>
                <c:formatCode>0</c:formatCode>
                <c:ptCount val="24"/>
                <c:pt idx="0">
                  <c:v>99.428571428571431</c:v>
                </c:pt>
                <c:pt idx="1">
                  <c:v>99.857142857142847</c:v>
                </c:pt>
                <c:pt idx="2">
                  <c:v>95.571428571428584</c:v>
                </c:pt>
                <c:pt idx="3">
                  <c:v>134.42857142857144</c:v>
                </c:pt>
                <c:pt idx="4">
                  <c:v>136</c:v>
                </c:pt>
                <c:pt idx="5">
                  <c:v>145.28571428571428</c:v>
                </c:pt>
                <c:pt idx="6">
                  <c:v>148.85714285714286</c:v>
                </c:pt>
                <c:pt idx="7">
                  <c:v>136.85714285714286</c:v>
                </c:pt>
                <c:pt idx="8">
                  <c:v>141.71428571428572</c:v>
                </c:pt>
                <c:pt idx="9">
                  <c:v>143.28571428571428</c:v>
                </c:pt>
                <c:pt idx="10">
                  <c:v>146</c:v>
                </c:pt>
                <c:pt idx="11">
                  <c:v>174.14285714285717</c:v>
                </c:pt>
                <c:pt idx="12">
                  <c:v>205</c:v>
                </c:pt>
                <c:pt idx="13">
                  <c:v>165.5</c:v>
                </c:pt>
                <c:pt idx="14">
                  <c:v>106.5</c:v>
                </c:pt>
                <c:pt idx="15">
                  <c:v>52</c:v>
                </c:pt>
                <c:pt idx="16">
                  <c:v>17.5</c:v>
                </c:pt>
                <c:pt idx="17">
                  <c:v>4</c:v>
                </c:pt>
                <c:pt idx="18">
                  <c:v>1.5</c:v>
                </c:pt>
                <c:pt idx="19">
                  <c:v>0</c:v>
                </c:pt>
                <c:pt idx="20">
                  <c:v>2.5</c:v>
                </c:pt>
                <c:pt idx="21">
                  <c:v>3.5</c:v>
                </c:pt>
                <c:pt idx="22">
                  <c:v>11.5</c:v>
                </c:pt>
                <c:pt idx="23">
                  <c:v>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F0-4C29-8CAF-7D3E11695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WOBULENZI-ZIROBWE-2Dir'!$S$9:$AF$9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WOBULENZI-ZIROBWE-2Dir'!$S$41:$AF$41</c:f>
              <c:numCache>
                <c:formatCode>_(* #,##0_);_(* \(#,##0\);_(* "-"_);_(@_)</c:formatCode>
                <c:ptCount val="14"/>
                <c:pt idx="0">
                  <c:v>112.57142857142857</c:v>
                </c:pt>
                <c:pt idx="1">
                  <c:v>40.5</c:v>
                </c:pt>
                <c:pt idx="2">
                  <c:v>35.071428571428569</c:v>
                </c:pt>
                <c:pt idx="3">
                  <c:v>68.857142857142861</c:v>
                </c:pt>
                <c:pt idx="4">
                  <c:v>5.8571428571428568</c:v>
                </c:pt>
                <c:pt idx="5">
                  <c:v>0.71428571428571419</c:v>
                </c:pt>
                <c:pt idx="6">
                  <c:v>62.785714285714285</c:v>
                </c:pt>
                <c:pt idx="7">
                  <c:v>108.64285714285712</c:v>
                </c:pt>
                <c:pt idx="8">
                  <c:v>3.8571428571428568</c:v>
                </c:pt>
                <c:pt idx="9">
                  <c:v>0.99999999999999989</c:v>
                </c:pt>
                <c:pt idx="10">
                  <c:v>2216.9285714285716</c:v>
                </c:pt>
                <c:pt idx="11">
                  <c:v>2.2857142857142856</c:v>
                </c:pt>
                <c:pt idx="12">
                  <c:v>442.14285714285717</c:v>
                </c:pt>
                <c:pt idx="13">
                  <c:v>2659.0714285714284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3D-437F-8393-38EF4366879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WOBULENZI-ZIROBWE-2Dir'!$S$9:$AF$9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WOBULENZI-ZIROBWE-2Dir'!$S$42:$AF$42</c:f>
              <c:numCache>
                <c:formatCode>0.000</c:formatCode>
                <c:ptCount val="14"/>
                <c:pt idx="0">
                  <c:v>1.2854812398042414</c:v>
                </c:pt>
                <c:pt idx="1">
                  <c:v>1.1911764705882353</c:v>
                </c:pt>
                <c:pt idx="2">
                  <c:v>1.3198924731182795</c:v>
                </c:pt>
                <c:pt idx="3">
                  <c:v>1.7720588235294119</c:v>
                </c:pt>
                <c:pt idx="4">
                  <c:v>1</c:v>
                </c:pt>
                <c:pt idx="5">
                  <c:v>1</c:v>
                </c:pt>
                <c:pt idx="6">
                  <c:v>1.224233983286908</c:v>
                </c:pt>
                <c:pt idx="7">
                  <c:v>1.2467213114754099</c:v>
                </c:pt>
                <c:pt idx="8">
                  <c:v>2.0769230769230771</c:v>
                </c:pt>
                <c:pt idx="9">
                  <c:v>1</c:v>
                </c:pt>
                <c:pt idx="10">
                  <c:v>1.3843443354148082</c:v>
                </c:pt>
                <c:pt idx="11">
                  <c:v>1</c:v>
                </c:pt>
                <c:pt idx="12">
                  <c:v>1.3114406779661016</c:v>
                </c:pt>
                <c:pt idx="13">
                  <c:v>1.3716654384672069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3E-4037-B109-FD08F32835E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.xml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8.xml"/><Relationship Id="rId1" Type="http://schemas.openxmlformats.org/officeDocument/2006/relationships/chart" Target="../charts/chart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4.jpeg"/><Relationship Id="rId2" Type="http://schemas.openxmlformats.org/officeDocument/2006/relationships/image" Target="../media/image1.emf"/><Relationship Id="rId16" Type="http://schemas.openxmlformats.org/officeDocument/2006/relationships/chart" Target="../charts/chart12.xml"/><Relationship Id="rId1" Type="http://schemas.openxmlformats.org/officeDocument/2006/relationships/chart" Target="../charts/chart9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1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6" Type="http://schemas.openxmlformats.org/officeDocument/2006/relationships/chart" Target="../charts/chart16.xml"/><Relationship Id="rId1" Type="http://schemas.openxmlformats.org/officeDocument/2006/relationships/chart" Target="../charts/chart13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1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7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0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1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6.xml"/><Relationship Id="rId1" Type="http://schemas.openxmlformats.org/officeDocument/2006/relationships/chart" Target="../charts/chart2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4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" Type="http://schemas.openxmlformats.org/officeDocument/2006/relationships/chart" Target="../charts/chart27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2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8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png"/><Relationship Id="rId2" Type="http://schemas.openxmlformats.org/officeDocument/2006/relationships/image" Target="../media/image1.emf"/><Relationship Id="rId1" Type="http://schemas.openxmlformats.org/officeDocument/2006/relationships/chart" Target="../charts/chart30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1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33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3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4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4.jpeg"/><Relationship Id="rId2" Type="http://schemas.openxmlformats.org/officeDocument/2006/relationships/image" Target="../media/image1.emf"/><Relationship Id="rId16" Type="http://schemas.openxmlformats.org/officeDocument/2006/relationships/chart" Target="../charts/chart39.xml"/><Relationship Id="rId1" Type="http://schemas.openxmlformats.org/officeDocument/2006/relationships/chart" Target="../charts/chart36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7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3.xml"/><Relationship Id="rId1" Type="http://schemas.openxmlformats.org/officeDocument/2006/relationships/chart" Target="../charts/chart40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42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1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4.jpeg"/><Relationship Id="rId2" Type="http://schemas.openxmlformats.org/officeDocument/2006/relationships/image" Target="../media/image1.emf"/><Relationship Id="rId1" Type="http://schemas.openxmlformats.org/officeDocument/2006/relationships/chart" Target="../charts/chart44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4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5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4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3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1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5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0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6349</xdr:rowOff>
    </xdr:from>
    <xdr:to>
      <xdr:col>27</xdr:col>
      <xdr:colOff>698500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15876</xdr:colOff>
      <xdr:row>60</xdr:row>
      <xdr:rowOff>9525</xdr:rowOff>
    </xdr:from>
    <xdr:to>
      <xdr:col>23</xdr:col>
      <xdr:colOff>15876</xdr:colOff>
      <xdr:row>73</xdr:row>
      <xdr:rowOff>269875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1</xdr:colOff>
      <xdr:row>60</xdr:row>
      <xdr:rowOff>0</xdr:rowOff>
    </xdr:from>
    <xdr:to>
      <xdr:col>31</xdr:col>
      <xdr:colOff>15876</xdr:colOff>
      <xdr:row>73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18518</xdr:colOff>
      <xdr:row>43</xdr:row>
      <xdr:rowOff>22224</xdr:rowOff>
    </xdr:from>
    <xdr:to>
      <xdr:col>27</xdr:col>
      <xdr:colOff>698500</xdr:colOff>
      <xdr:row>58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60</xdr:row>
      <xdr:rowOff>16741</xdr:rowOff>
    </xdr:from>
    <xdr:to>
      <xdr:col>23</xdr:col>
      <xdr:colOff>0</xdr:colOff>
      <xdr:row>74</xdr:row>
      <xdr:rowOff>15875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708602</xdr:colOff>
      <xdr:row>60</xdr:row>
      <xdr:rowOff>15875</xdr:rowOff>
    </xdr:from>
    <xdr:to>
      <xdr:col>31</xdr:col>
      <xdr:colOff>165965</xdr:colOff>
      <xdr:row>74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15875</xdr:rowOff>
    </xdr:from>
    <xdr:to>
      <xdr:col>23</xdr:col>
      <xdr:colOff>627783</xdr:colOff>
      <xdr:row>75</xdr:row>
      <xdr:rowOff>63500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12989</xdr:colOff>
      <xdr:row>75</xdr:row>
      <xdr:rowOff>63500</xdr:rowOff>
    </xdr:from>
    <xdr:to>
      <xdr:col>23</xdr:col>
      <xdr:colOff>634999</xdr:colOff>
      <xdr:row>91</xdr:row>
      <xdr:rowOff>102466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31751</xdr:colOff>
      <xdr:row>43</xdr:row>
      <xdr:rowOff>0</xdr:rowOff>
    </xdr:from>
    <xdr:to>
      <xdr:col>28</xdr:col>
      <xdr:colOff>0</xdr:colOff>
      <xdr:row>58</xdr:row>
      <xdr:rowOff>285749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D7E745BC-3EB4-45FF-91F7-24B07F91B8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627783</xdr:colOff>
      <xdr:row>59</xdr:row>
      <xdr:rowOff>21648</xdr:rowOff>
    </xdr:from>
    <xdr:to>
      <xdr:col>30</xdr:col>
      <xdr:colOff>611908</xdr:colOff>
      <xdr:row>75</xdr:row>
      <xdr:rowOff>63500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C1476EC6-7E4F-4AAB-A6F0-1249ABFFFB2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653761</xdr:colOff>
      <xdr:row>75</xdr:row>
      <xdr:rowOff>72157</xdr:rowOff>
    </xdr:from>
    <xdr:to>
      <xdr:col>30</xdr:col>
      <xdr:colOff>637886</xdr:colOff>
      <xdr:row>91</xdr:row>
      <xdr:rowOff>86446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6C18404-D130-4330-8394-0E0FC82DBC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WOBULENZI-ZIROBWE'!C3:G3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176</v>
      </c>
      <c r="E5" s="3"/>
      <c r="F5" s="41" t="s">
        <v>1</v>
      </c>
      <c r="G5" s="59" t="str">
        <f>'19.10 ZIROBWE-WOBULENZI-24h'!G5:H5</f>
        <v>STATION 88</v>
      </c>
      <c r="H5" s="60"/>
      <c r="I5" s="14"/>
      <c r="J5" s="2" t="s">
        <v>5</v>
      </c>
      <c r="K5" s="59" t="str">
        <f>'19.10 ZIROBWE-WOBULENZI-24h'!K5:L5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WOBULENZI-ZIROBWE'!D6:E6</f>
        <v>WOBULENZI</v>
      </c>
      <c r="E6" s="60"/>
      <c r="F6" s="2" t="s">
        <v>2</v>
      </c>
      <c r="G6" s="59" t="str">
        <f>'23.10 WOBULENZI-ZIROBWE'!G6:H6</f>
        <v>ZIROBWE</v>
      </c>
      <c r="H6" s="60"/>
      <c r="J6" s="2" t="s">
        <v>21</v>
      </c>
      <c r="K6" s="59" t="str">
        <f>'19.10 ZIROBWE-WOBULENZI-24h'!K6:L6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55</v>
      </c>
      <c r="AD10" s="17">
        <f t="shared" si="2"/>
        <v>0</v>
      </c>
      <c r="AE10" s="31">
        <f t="shared" si="2"/>
        <v>5</v>
      </c>
      <c r="AF10" s="31">
        <f t="shared" si="2"/>
        <v>60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0</v>
      </c>
      <c r="P11" s="15">
        <f t="shared" si="1"/>
        <v>10</v>
      </c>
      <c r="R11" s="1" t="s">
        <v>7</v>
      </c>
      <c r="S11" s="17">
        <f t="shared" ref="S11:AF11" si="3">SUM(C14:C17)</f>
        <v>4</v>
      </c>
      <c r="T11" s="17">
        <f t="shared" si="3"/>
        <v>2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65</v>
      </c>
      <c r="AD11" s="17">
        <f t="shared" si="3"/>
        <v>0</v>
      </c>
      <c r="AE11" s="31">
        <f t="shared" si="3"/>
        <v>9</v>
      </c>
      <c r="AF11" s="31">
        <f t="shared" si="3"/>
        <v>74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16</v>
      </c>
      <c r="N12" s="50">
        <v>0</v>
      </c>
      <c r="O12" s="15">
        <f t="shared" si="0"/>
        <v>1</v>
      </c>
      <c r="P12" s="15">
        <f t="shared" si="1"/>
        <v>17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0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1</v>
      </c>
      <c r="AA12" s="17">
        <f t="shared" si="4"/>
        <v>2</v>
      </c>
      <c r="AB12" s="17">
        <f t="shared" si="4"/>
        <v>0</v>
      </c>
      <c r="AC12" s="17">
        <f t="shared" si="4"/>
        <v>59</v>
      </c>
      <c r="AD12" s="17">
        <f t="shared" si="4"/>
        <v>0</v>
      </c>
      <c r="AE12" s="31">
        <f t="shared" si="4"/>
        <v>6</v>
      </c>
      <c r="AF12" s="31">
        <f t="shared" si="4"/>
        <v>65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16</v>
      </c>
      <c r="N13" s="50">
        <v>0</v>
      </c>
      <c r="O13" s="15">
        <f t="shared" si="0"/>
        <v>3</v>
      </c>
      <c r="P13" s="15">
        <f t="shared" si="1"/>
        <v>19</v>
      </c>
      <c r="R13" s="1" t="s">
        <v>9</v>
      </c>
      <c r="S13" s="17">
        <f t="shared" ref="S13:AF13" si="5">SUM(C22:C25)</f>
        <v>1</v>
      </c>
      <c r="T13" s="17">
        <f t="shared" si="5"/>
        <v>1</v>
      </c>
      <c r="U13" s="17">
        <f t="shared" si="5"/>
        <v>1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56</v>
      </c>
      <c r="AD13" s="17">
        <f t="shared" si="5"/>
        <v>0</v>
      </c>
      <c r="AE13" s="31">
        <f t="shared" si="5"/>
        <v>6</v>
      </c>
      <c r="AF13" s="31">
        <f t="shared" si="5"/>
        <v>62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14</v>
      </c>
      <c r="N14" s="50">
        <v>0</v>
      </c>
      <c r="O14" s="15">
        <f t="shared" si="0"/>
        <v>1</v>
      </c>
      <c r="P14" s="15">
        <f t="shared" si="1"/>
        <v>15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</v>
      </c>
      <c r="V14" s="17">
        <f t="shared" si="6"/>
        <v>1</v>
      </c>
      <c r="W14" s="17">
        <f t="shared" si="6"/>
        <v>1</v>
      </c>
      <c r="X14" s="17">
        <f t="shared" si="6"/>
        <v>0</v>
      </c>
      <c r="Y14" s="17">
        <f t="shared" si="6"/>
        <v>1</v>
      </c>
      <c r="Z14" s="17">
        <f t="shared" si="6"/>
        <v>6</v>
      </c>
      <c r="AA14" s="17">
        <f t="shared" si="6"/>
        <v>3</v>
      </c>
      <c r="AB14" s="17">
        <f t="shared" si="6"/>
        <v>0</v>
      </c>
      <c r="AC14" s="17">
        <f t="shared" si="6"/>
        <v>60</v>
      </c>
      <c r="AD14" s="17">
        <f t="shared" si="6"/>
        <v>1</v>
      </c>
      <c r="AE14" s="31">
        <f t="shared" si="6"/>
        <v>17</v>
      </c>
      <c r="AF14" s="31">
        <f t="shared" si="6"/>
        <v>77</v>
      </c>
    </row>
    <row r="15" spans="2:32" ht="23.1" customHeight="1" x14ac:dyDescent="0.25">
      <c r="B15" s="23" t="s">
        <v>42</v>
      </c>
      <c r="C15" s="50">
        <v>2</v>
      </c>
      <c r="D15" s="50">
        <v>1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17</v>
      </c>
      <c r="N15" s="50">
        <v>0</v>
      </c>
      <c r="O15" s="15">
        <f t="shared" si="0"/>
        <v>3</v>
      </c>
      <c r="P15" s="15">
        <f t="shared" si="1"/>
        <v>20</v>
      </c>
      <c r="R15" s="1" t="s">
        <v>11</v>
      </c>
      <c r="S15" s="17">
        <f t="shared" ref="S15:AF15" si="7">SUM(C30:C33)</f>
        <v>2</v>
      </c>
      <c r="T15" s="17">
        <f t="shared" si="7"/>
        <v>0</v>
      </c>
      <c r="U15" s="17">
        <f t="shared" si="7"/>
        <v>1</v>
      </c>
      <c r="V15" s="17">
        <f t="shared" si="7"/>
        <v>2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74</v>
      </c>
      <c r="AD15" s="17">
        <f t="shared" si="7"/>
        <v>0</v>
      </c>
      <c r="AE15" s="31">
        <f t="shared" si="7"/>
        <v>11</v>
      </c>
      <c r="AF15" s="31">
        <f t="shared" si="7"/>
        <v>85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0</v>
      </c>
      <c r="M16" s="50">
        <v>15</v>
      </c>
      <c r="N16" s="50">
        <v>0</v>
      </c>
      <c r="O16" s="15">
        <f t="shared" si="0"/>
        <v>4</v>
      </c>
      <c r="P16" s="15">
        <f t="shared" si="1"/>
        <v>19</v>
      </c>
      <c r="R16" s="1" t="s">
        <v>12</v>
      </c>
      <c r="S16" s="17">
        <f t="shared" ref="S16:AF16" si="8">SUM(C34:C37)</f>
        <v>8</v>
      </c>
      <c r="T16" s="17">
        <f t="shared" si="8"/>
        <v>0</v>
      </c>
      <c r="U16" s="17">
        <f t="shared" si="8"/>
        <v>1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7</v>
      </c>
      <c r="AA16" s="17">
        <f t="shared" si="8"/>
        <v>0</v>
      </c>
      <c r="AB16" s="17">
        <f t="shared" si="8"/>
        <v>0</v>
      </c>
      <c r="AC16" s="17">
        <f t="shared" si="8"/>
        <v>75</v>
      </c>
      <c r="AD16" s="17">
        <f t="shared" si="8"/>
        <v>0</v>
      </c>
      <c r="AE16" s="31">
        <f t="shared" si="8"/>
        <v>21</v>
      </c>
      <c r="AF16" s="31">
        <f t="shared" si="8"/>
        <v>96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19</v>
      </c>
      <c r="N17" s="50">
        <v>0</v>
      </c>
      <c r="O17" s="15">
        <f t="shared" si="0"/>
        <v>1</v>
      </c>
      <c r="P17" s="15">
        <f t="shared" si="1"/>
        <v>20</v>
      </c>
      <c r="R17" s="1" t="s">
        <v>13</v>
      </c>
      <c r="S17" s="17">
        <f t="shared" ref="S17:AF17" si="9">SUM(C38:C41)</f>
        <v>2</v>
      </c>
      <c r="T17" s="17">
        <f t="shared" si="9"/>
        <v>3</v>
      </c>
      <c r="U17" s="17">
        <f t="shared" si="9"/>
        <v>0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7</v>
      </c>
      <c r="AA17" s="17">
        <f t="shared" si="9"/>
        <v>0</v>
      </c>
      <c r="AB17" s="17">
        <f t="shared" si="9"/>
        <v>0</v>
      </c>
      <c r="AC17" s="17">
        <f t="shared" si="9"/>
        <v>63</v>
      </c>
      <c r="AD17" s="17">
        <f t="shared" si="9"/>
        <v>0</v>
      </c>
      <c r="AE17" s="31">
        <f t="shared" si="9"/>
        <v>20</v>
      </c>
      <c r="AF17" s="31">
        <f t="shared" si="9"/>
        <v>83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11</v>
      </c>
      <c r="N18" s="50">
        <v>0</v>
      </c>
      <c r="O18" s="15">
        <f t="shared" si="0"/>
        <v>2</v>
      </c>
      <c r="P18" s="15">
        <f t="shared" si="1"/>
        <v>13</v>
      </c>
      <c r="R18" s="1" t="s">
        <v>14</v>
      </c>
      <c r="S18" s="17">
        <f t="shared" ref="S18:AF18" si="10">SUM(C42:C45)</f>
        <v>4</v>
      </c>
      <c r="T18" s="17">
        <f t="shared" si="10"/>
        <v>0</v>
      </c>
      <c r="U18" s="17">
        <f t="shared" si="10"/>
        <v>2</v>
      </c>
      <c r="V18" s="17">
        <f t="shared" si="10"/>
        <v>0</v>
      </c>
      <c r="W18" s="17">
        <f t="shared" si="10"/>
        <v>0</v>
      </c>
      <c r="X18" s="17">
        <f t="shared" si="10"/>
        <v>0</v>
      </c>
      <c r="Y18" s="17">
        <f t="shared" si="10"/>
        <v>1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70</v>
      </c>
      <c r="AD18" s="17">
        <f t="shared" si="10"/>
        <v>0</v>
      </c>
      <c r="AE18" s="31">
        <f t="shared" si="10"/>
        <v>13</v>
      </c>
      <c r="AF18" s="31">
        <f t="shared" si="10"/>
        <v>83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9</v>
      </c>
      <c r="N19" s="50">
        <v>0</v>
      </c>
      <c r="O19" s="15">
        <f t="shared" si="0"/>
        <v>0</v>
      </c>
      <c r="P19" s="15">
        <f t="shared" si="1"/>
        <v>9</v>
      </c>
      <c r="R19" s="1" t="s">
        <v>15</v>
      </c>
      <c r="S19" s="17">
        <f t="shared" ref="S19:AF19" si="11">SUM(C46:C49)</f>
        <v>1</v>
      </c>
      <c r="T19" s="17">
        <f t="shared" si="11"/>
        <v>1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69</v>
      </c>
      <c r="AD19" s="17">
        <f t="shared" si="11"/>
        <v>0</v>
      </c>
      <c r="AE19" s="31">
        <f t="shared" si="11"/>
        <v>13</v>
      </c>
      <c r="AF19" s="31">
        <f t="shared" si="11"/>
        <v>82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1</v>
      </c>
      <c r="L20" s="50">
        <v>0</v>
      </c>
      <c r="M20" s="50">
        <v>21</v>
      </c>
      <c r="N20" s="50">
        <v>0</v>
      </c>
      <c r="O20" s="15">
        <f t="shared" si="0"/>
        <v>2</v>
      </c>
      <c r="P20" s="15">
        <f t="shared" si="1"/>
        <v>23</v>
      </c>
      <c r="R20" s="1" t="s">
        <v>16</v>
      </c>
      <c r="S20" s="17">
        <f t="shared" ref="S20:AF20" si="12">SUM(C50:C53)</f>
        <v>4</v>
      </c>
      <c r="T20" s="17">
        <f t="shared" si="12"/>
        <v>1</v>
      </c>
      <c r="U20" s="17">
        <f t="shared" si="12"/>
        <v>1</v>
      </c>
      <c r="V20" s="17">
        <f t="shared" si="12"/>
        <v>2</v>
      </c>
      <c r="W20" s="17">
        <f t="shared" si="12"/>
        <v>1</v>
      </c>
      <c r="X20" s="17">
        <f t="shared" si="12"/>
        <v>0</v>
      </c>
      <c r="Y20" s="17">
        <f t="shared" si="12"/>
        <v>2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66</v>
      </c>
      <c r="AD20" s="17">
        <f t="shared" si="12"/>
        <v>0</v>
      </c>
      <c r="AE20" s="31">
        <f t="shared" si="12"/>
        <v>15</v>
      </c>
      <c r="AF20" s="31">
        <f t="shared" si="12"/>
        <v>81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18</v>
      </c>
      <c r="N21" s="50">
        <v>0</v>
      </c>
      <c r="O21" s="15">
        <f t="shared" si="0"/>
        <v>2</v>
      </c>
      <c r="P21" s="15">
        <f t="shared" si="1"/>
        <v>20</v>
      </c>
      <c r="R21" s="36" t="s">
        <v>20</v>
      </c>
      <c r="S21" s="34">
        <f t="shared" ref="S21:AF21" si="13">SUM(C54:C57)</f>
        <v>6</v>
      </c>
      <c r="T21" s="17">
        <f t="shared" si="13"/>
        <v>1</v>
      </c>
      <c r="U21" s="17">
        <f t="shared" si="13"/>
        <v>2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2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74</v>
      </c>
      <c r="AD21" s="17">
        <f t="shared" si="13"/>
        <v>0</v>
      </c>
      <c r="AE21" s="31">
        <f t="shared" si="13"/>
        <v>14</v>
      </c>
      <c r="AF21" s="31">
        <f t="shared" si="13"/>
        <v>88</v>
      </c>
    </row>
    <row r="22" spans="2:32" ht="23.1" customHeight="1" x14ac:dyDescent="0.25">
      <c r="B22" s="23" t="s">
        <v>49</v>
      </c>
      <c r="C22" s="50">
        <v>0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20</v>
      </c>
      <c r="N22" s="50">
        <v>0</v>
      </c>
      <c r="O22" s="15">
        <f t="shared" si="0"/>
        <v>2</v>
      </c>
      <c r="P22" s="15">
        <f t="shared" si="1"/>
        <v>22</v>
      </c>
      <c r="R22" s="38" t="s">
        <v>90</v>
      </c>
      <c r="S22" s="39">
        <f>MAX(S10:S12)</f>
        <v>4</v>
      </c>
      <c r="T22" s="39">
        <f t="shared" ref="T22:AF22" si="14">MAX(T10:T12)</f>
        <v>2</v>
      </c>
      <c r="U22" s="39">
        <f t="shared" si="14"/>
        <v>1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1</v>
      </c>
      <c r="AA22" s="39">
        <f t="shared" si="14"/>
        <v>2</v>
      </c>
      <c r="AB22" s="39">
        <f t="shared" si="14"/>
        <v>0</v>
      </c>
      <c r="AC22" s="39">
        <f t="shared" si="14"/>
        <v>65</v>
      </c>
      <c r="AD22" s="39">
        <f t="shared" si="14"/>
        <v>0</v>
      </c>
      <c r="AE22" s="40">
        <f t="shared" si="14"/>
        <v>9</v>
      </c>
      <c r="AF22" s="40">
        <f t="shared" si="14"/>
        <v>74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13</v>
      </c>
      <c r="N23" s="50">
        <v>0</v>
      </c>
      <c r="O23" s="15">
        <f t="shared" si="0"/>
        <v>1</v>
      </c>
      <c r="P23" s="15">
        <f t="shared" si="1"/>
        <v>14</v>
      </c>
      <c r="R23" s="38" t="s">
        <v>91</v>
      </c>
      <c r="S23" s="39">
        <f>MAX(S13:S18)</f>
        <v>8</v>
      </c>
      <c r="T23" s="39">
        <f t="shared" ref="T23:AF23" si="15">MAX(T13:T18)</f>
        <v>3</v>
      </c>
      <c r="U23" s="39">
        <f t="shared" si="15"/>
        <v>2</v>
      </c>
      <c r="V23" s="39">
        <f t="shared" si="15"/>
        <v>3</v>
      </c>
      <c r="W23" s="39">
        <f t="shared" si="15"/>
        <v>1</v>
      </c>
      <c r="X23" s="39">
        <f t="shared" si="15"/>
        <v>0</v>
      </c>
      <c r="Y23" s="39">
        <f t="shared" si="15"/>
        <v>5</v>
      </c>
      <c r="Z23" s="39">
        <f t="shared" si="15"/>
        <v>7</v>
      </c>
      <c r="AA23" s="39">
        <f t="shared" si="15"/>
        <v>3</v>
      </c>
      <c r="AB23" s="39">
        <f t="shared" si="15"/>
        <v>0</v>
      </c>
      <c r="AC23" s="39">
        <f t="shared" si="15"/>
        <v>75</v>
      </c>
      <c r="AD23" s="39">
        <f t="shared" si="15"/>
        <v>1</v>
      </c>
      <c r="AE23" s="40">
        <f t="shared" si="15"/>
        <v>21</v>
      </c>
      <c r="AF23" s="40">
        <f t="shared" si="15"/>
        <v>96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1</v>
      </c>
      <c r="L24" s="50">
        <v>0</v>
      </c>
      <c r="M24" s="50">
        <v>8</v>
      </c>
      <c r="N24" s="50">
        <v>0</v>
      </c>
      <c r="O24" s="15">
        <f t="shared" si="0"/>
        <v>1</v>
      </c>
      <c r="P24" s="15">
        <f t="shared" si="1"/>
        <v>9</v>
      </c>
      <c r="R24" s="38" t="s">
        <v>92</v>
      </c>
      <c r="S24" s="39">
        <f>MAX(S19:S21)</f>
        <v>6</v>
      </c>
      <c r="T24" s="39">
        <f t="shared" ref="T24:AF24" si="16">MAX(T19:T21)</f>
        <v>1</v>
      </c>
      <c r="U24" s="39">
        <f t="shared" si="16"/>
        <v>3</v>
      </c>
      <c r="V24" s="39">
        <f t="shared" si="16"/>
        <v>2</v>
      </c>
      <c r="W24" s="39">
        <f t="shared" si="16"/>
        <v>1</v>
      </c>
      <c r="X24" s="39">
        <f t="shared" si="16"/>
        <v>0</v>
      </c>
      <c r="Y24" s="39">
        <f t="shared" si="16"/>
        <v>2</v>
      </c>
      <c r="Z24" s="39">
        <f t="shared" si="16"/>
        <v>4</v>
      </c>
      <c r="AA24" s="39">
        <f t="shared" si="16"/>
        <v>0</v>
      </c>
      <c r="AB24" s="39">
        <f t="shared" si="16"/>
        <v>0</v>
      </c>
      <c r="AC24" s="39">
        <f t="shared" si="16"/>
        <v>74</v>
      </c>
      <c r="AD24" s="39">
        <f t="shared" si="16"/>
        <v>0</v>
      </c>
      <c r="AE24" s="40">
        <f t="shared" si="16"/>
        <v>15</v>
      </c>
      <c r="AF24" s="40">
        <f t="shared" si="16"/>
        <v>88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1</v>
      </c>
      <c r="F25" s="50">
        <v>0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2</v>
      </c>
      <c r="P25" s="15">
        <f t="shared" si="1"/>
        <v>17</v>
      </c>
      <c r="R25" s="37" t="s">
        <v>85</v>
      </c>
      <c r="S25" s="35">
        <f t="shared" ref="S25:AF25" si="17">SUM(S10:S12)</f>
        <v>5</v>
      </c>
      <c r="T25" s="16">
        <f t="shared" si="17"/>
        <v>2</v>
      </c>
      <c r="U25" s="16">
        <f t="shared" si="17"/>
        <v>1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1</v>
      </c>
      <c r="AA25" s="16">
        <f t="shared" si="17"/>
        <v>3</v>
      </c>
      <c r="AB25" s="16">
        <f t="shared" si="17"/>
        <v>0</v>
      </c>
      <c r="AC25" s="16">
        <f t="shared" si="17"/>
        <v>179</v>
      </c>
      <c r="AD25" s="16">
        <f t="shared" si="17"/>
        <v>0</v>
      </c>
      <c r="AE25" s="32">
        <f t="shared" si="17"/>
        <v>20</v>
      </c>
      <c r="AF25" s="32">
        <f t="shared" si="17"/>
        <v>199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14</v>
      </c>
      <c r="N26" s="50">
        <v>0</v>
      </c>
      <c r="O26" s="15">
        <f t="shared" si="0"/>
        <v>2</v>
      </c>
      <c r="P26" s="15">
        <f t="shared" si="1"/>
        <v>16</v>
      </c>
      <c r="R26" s="28" t="s">
        <v>86</v>
      </c>
      <c r="S26" s="16">
        <f t="shared" ref="S26:AF26" si="18">SUM(S13:S18)</f>
        <v>20</v>
      </c>
      <c r="T26" s="16">
        <f t="shared" si="18"/>
        <v>4</v>
      </c>
      <c r="U26" s="16">
        <f t="shared" si="18"/>
        <v>6</v>
      </c>
      <c r="V26" s="16">
        <f t="shared" si="18"/>
        <v>10</v>
      </c>
      <c r="W26" s="16">
        <f t="shared" si="18"/>
        <v>1</v>
      </c>
      <c r="X26" s="16">
        <f t="shared" si="18"/>
        <v>0</v>
      </c>
      <c r="Y26" s="16">
        <f t="shared" si="18"/>
        <v>11</v>
      </c>
      <c r="Z26" s="16">
        <f t="shared" si="18"/>
        <v>31</v>
      </c>
      <c r="AA26" s="16">
        <f t="shared" si="18"/>
        <v>4</v>
      </c>
      <c r="AB26" s="16">
        <f t="shared" si="18"/>
        <v>0</v>
      </c>
      <c r="AC26" s="16">
        <f t="shared" si="18"/>
        <v>398</v>
      </c>
      <c r="AD26" s="16">
        <f t="shared" si="18"/>
        <v>1</v>
      </c>
      <c r="AE26" s="32">
        <f t="shared" si="18"/>
        <v>88</v>
      </c>
      <c r="AF26" s="32">
        <f t="shared" si="18"/>
        <v>486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1</v>
      </c>
      <c r="G27" s="50">
        <v>1</v>
      </c>
      <c r="H27" s="50">
        <v>0</v>
      </c>
      <c r="I27" s="50">
        <v>0</v>
      </c>
      <c r="J27" s="50">
        <v>1</v>
      </c>
      <c r="K27" s="50">
        <v>3</v>
      </c>
      <c r="L27" s="50">
        <v>0</v>
      </c>
      <c r="M27" s="50">
        <v>15</v>
      </c>
      <c r="N27" s="50">
        <v>0</v>
      </c>
      <c r="O27" s="15">
        <f t="shared" si="0"/>
        <v>6</v>
      </c>
      <c r="P27" s="15">
        <f t="shared" si="1"/>
        <v>21</v>
      </c>
      <c r="R27" s="29" t="s">
        <v>87</v>
      </c>
      <c r="S27" s="16">
        <f t="shared" ref="S27:AF27" si="19">SUM(S19:S21)</f>
        <v>11</v>
      </c>
      <c r="T27" s="16">
        <f t="shared" si="19"/>
        <v>3</v>
      </c>
      <c r="U27" s="16">
        <f t="shared" si="19"/>
        <v>6</v>
      </c>
      <c r="V27" s="16">
        <f t="shared" si="19"/>
        <v>4</v>
      </c>
      <c r="W27" s="16">
        <f t="shared" si="19"/>
        <v>2</v>
      </c>
      <c r="X27" s="16">
        <f t="shared" si="19"/>
        <v>0</v>
      </c>
      <c r="Y27" s="16">
        <f t="shared" si="19"/>
        <v>6</v>
      </c>
      <c r="Z27" s="16">
        <f t="shared" si="19"/>
        <v>10</v>
      </c>
      <c r="AA27" s="16">
        <f t="shared" si="19"/>
        <v>0</v>
      </c>
      <c r="AB27" s="16">
        <f t="shared" si="19"/>
        <v>0</v>
      </c>
      <c r="AC27" s="16">
        <f t="shared" si="19"/>
        <v>209</v>
      </c>
      <c r="AD27" s="16">
        <f t="shared" si="19"/>
        <v>0</v>
      </c>
      <c r="AE27" s="32">
        <f t="shared" si="19"/>
        <v>42</v>
      </c>
      <c r="AF27" s="32">
        <f t="shared" si="19"/>
        <v>251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2</v>
      </c>
      <c r="K28" s="50">
        <v>0</v>
      </c>
      <c r="L28" s="50">
        <v>0</v>
      </c>
      <c r="M28" s="50">
        <v>15</v>
      </c>
      <c r="N28" s="50">
        <v>1</v>
      </c>
      <c r="O28" s="15">
        <f t="shared" si="0"/>
        <v>4</v>
      </c>
      <c r="P28" s="15">
        <f t="shared" si="1"/>
        <v>19</v>
      </c>
      <c r="R28" s="5" t="s">
        <v>17</v>
      </c>
      <c r="S28" s="16">
        <f t="shared" ref="S28:AF28" si="20">SUM(S10:S21)</f>
        <v>36</v>
      </c>
      <c r="T28" s="16">
        <f t="shared" si="20"/>
        <v>9</v>
      </c>
      <c r="U28" s="16">
        <f t="shared" si="20"/>
        <v>13</v>
      </c>
      <c r="V28" s="16">
        <f t="shared" si="20"/>
        <v>18</v>
      </c>
      <c r="W28" s="16">
        <f t="shared" si="20"/>
        <v>3</v>
      </c>
      <c r="X28" s="16">
        <f t="shared" si="20"/>
        <v>0</v>
      </c>
      <c r="Y28" s="16">
        <f t="shared" si="20"/>
        <v>21</v>
      </c>
      <c r="Z28" s="16">
        <f t="shared" si="20"/>
        <v>42</v>
      </c>
      <c r="AA28" s="16">
        <f t="shared" si="20"/>
        <v>7</v>
      </c>
      <c r="AB28" s="16">
        <f t="shared" si="20"/>
        <v>0</v>
      </c>
      <c r="AC28" s="16">
        <f t="shared" si="20"/>
        <v>786</v>
      </c>
      <c r="AD28" s="16">
        <f t="shared" si="20"/>
        <v>1</v>
      </c>
      <c r="AE28" s="32">
        <f t="shared" si="20"/>
        <v>150</v>
      </c>
      <c r="AF28" s="32">
        <f t="shared" si="20"/>
        <v>936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2</v>
      </c>
      <c r="K29" s="50">
        <v>0</v>
      </c>
      <c r="L29" s="50">
        <v>0</v>
      </c>
      <c r="M29" s="50">
        <v>16</v>
      </c>
      <c r="N29" s="50">
        <v>0</v>
      </c>
      <c r="O29" s="15">
        <f t="shared" si="0"/>
        <v>5</v>
      </c>
      <c r="P29" s="15">
        <f t="shared" si="1"/>
        <v>21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18</v>
      </c>
      <c r="N30" s="50">
        <v>0</v>
      </c>
      <c r="O30" s="15">
        <f t="shared" si="0"/>
        <v>2</v>
      </c>
      <c r="P30" s="15">
        <f t="shared" si="1"/>
        <v>20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20</v>
      </c>
      <c r="N31" s="50">
        <v>0</v>
      </c>
      <c r="O31" s="15">
        <f t="shared" si="0"/>
        <v>3</v>
      </c>
      <c r="P31" s="15">
        <f t="shared" si="1"/>
        <v>23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1</v>
      </c>
      <c r="P32" s="15">
        <f t="shared" si="1"/>
        <v>19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1</v>
      </c>
      <c r="J33" s="50">
        <v>2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5</v>
      </c>
      <c r="P33" s="15">
        <f t="shared" si="1"/>
        <v>23</v>
      </c>
    </row>
    <row r="34" spans="2:20" ht="23.1" customHeight="1" x14ac:dyDescent="0.25">
      <c r="B34" s="24" t="s">
        <v>61</v>
      </c>
      <c r="C34" s="50">
        <v>4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21</v>
      </c>
      <c r="N34" s="50">
        <v>0</v>
      </c>
      <c r="O34" s="15">
        <f t="shared" si="0"/>
        <v>6</v>
      </c>
      <c r="P34" s="15">
        <f t="shared" si="1"/>
        <v>27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17</v>
      </c>
      <c r="N35" s="50">
        <v>0</v>
      </c>
      <c r="O35" s="15">
        <f t="shared" si="0"/>
        <v>3</v>
      </c>
      <c r="P35" s="15">
        <f t="shared" si="1"/>
        <v>20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18</v>
      </c>
      <c r="N36" s="50">
        <v>0</v>
      </c>
      <c r="O36" s="15">
        <f t="shared" si="0"/>
        <v>3</v>
      </c>
      <c r="P36" s="15">
        <f t="shared" si="1"/>
        <v>21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3</v>
      </c>
      <c r="G37" s="50">
        <v>0</v>
      </c>
      <c r="H37" s="50">
        <v>0</v>
      </c>
      <c r="I37" s="50">
        <v>1</v>
      </c>
      <c r="J37" s="50">
        <v>4</v>
      </c>
      <c r="K37" s="50">
        <v>0</v>
      </c>
      <c r="L37" s="50">
        <v>0</v>
      </c>
      <c r="M37" s="50">
        <v>19</v>
      </c>
      <c r="N37" s="50">
        <v>0</v>
      </c>
      <c r="O37" s="15">
        <f t="shared" si="0"/>
        <v>9</v>
      </c>
      <c r="P37" s="15">
        <f t="shared" si="1"/>
        <v>28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4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3</v>
      </c>
      <c r="G39" s="50">
        <v>0</v>
      </c>
      <c r="H39" s="50">
        <v>0</v>
      </c>
      <c r="I39" s="50">
        <v>1</v>
      </c>
      <c r="J39" s="50">
        <v>4</v>
      </c>
      <c r="K39" s="50">
        <v>0</v>
      </c>
      <c r="L39" s="50">
        <v>0</v>
      </c>
      <c r="M39" s="50">
        <v>12</v>
      </c>
      <c r="N39" s="50">
        <v>0</v>
      </c>
      <c r="O39" s="15">
        <f t="shared" si="0"/>
        <v>8</v>
      </c>
      <c r="P39" s="15">
        <f t="shared" si="1"/>
        <v>20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22</v>
      </c>
      <c r="N40" s="50">
        <v>0</v>
      </c>
      <c r="O40" s="15">
        <f t="shared" si="0"/>
        <v>3</v>
      </c>
      <c r="P40" s="15">
        <f t="shared" si="1"/>
        <v>25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0</v>
      </c>
      <c r="F41" s="50">
        <v>0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18</v>
      </c>
      <c r="N41" s="50">
        <v>0</v>
      </c>
      <c r="O41" s="15">
        <f t="shared" si="0"/>
        <v>5</v>
      </c>
      <c r="P41" s="15">
        <f t="shared" si="1"/>
        <v>23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1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21</v>
      </c>
      <c r="N42" s="50">
        <v>0</v>
      </c>
      <c r="O42" s="15">
        <f t="shared" si="0"/>
        <v>2</v>
      </c>
      <c r="P42" s="15">
        <f t="shared" si="1"/>
        <v>23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22</v>
      </c>
      <c r="N43" s="50">
        <v>0</v>
      </c>
      <c r="O43" s="15">
        <f t="shared" si="0"/>
        <v>2</v>
      </c>
      <c r="P43" s="15">
        <f t="shared" si="1"/>
        <v>24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5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7</v>
      </c>
      <c r="P44" s="15">
        <f t="shared" si="1"/>
        <v>20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0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14</v>
      </c>
      <c r="N45" s="50">
        <v>0</v>
      </c>
      <c r="O45" s="15">
        <f t="shared" si="0"/>
        <v>2</v>
      </c>
      <c r="P45" s="15">
        <f t="shared" si="1"/>
        <v>16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2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3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1</v>
      </c>
      <c r="E47" s="50">
        <v>2</v>
      </c>
      <c r="F47" s="50">
        <v>2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16</v>
      </c>
      <c r="N47" s="50">
        <v>0</v>
      </c>
      <c r="O47" s="15">
        <f t="shared" si="0"/>
        <v>7</v>
      </c>
      <c r="P47" s="15">
        <f t="shared" si="1"/>
        <v>23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2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20</v>
      </c>
      <c r="N49" s="50">
        <v>0</v>
      </c>
      <c r="O49" s="15">
        <f t="shared" si="0"/>
        <v>1</v>
      </c>
      <c r="P49" s="15">
        <f t="shared" si="1"/>
        <v>21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0</v>
      </c>
      <c r="F50" s="50">
        <v>1</v>
      </c>
      <c r="G50" s="50">
        <v>0</v>
      </c>
      <c r="H50" s="50">
        <v>0</v>
      </c>
      <c r="I50" s="50">
        <v>1</v>
      </c>
      <c r="J50" s="50">
        <v>2</v>
      </c>
      <c r="K50" s="50">
        <v>0</v>
      </c>
      <c r="L50" s="50">
        <v>0</v>
      </c>
      <c r="M50" s="50">
        <v>17</v>
      </c>
      <c r="N50" s="50">
        <v>0</v>
      </c>
      <c r="O50" s="15">
        <f t="shared" si="0"/>
        <v>5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24</v>
      </c>
      <c r="N51" s="50">
        <v>0</v>
      </c>
      <c r="O51" s="15">
        <f t="shared" si="0"/>
        <v>4</v>
      </c>
      <c r="P51" s="15">
        <f t="shared" si="1"/>
        <v>28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1</v>
      </c>
      <c r="F52" s="50">
        <v>0</v>
      </c>
      <c r="G52" s="50">
        <v>1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13</v>
      </c>
      <c r="N52" s="50">
        <v>0</v>
      </c>
      <c r="O52" s="15">
        <f t="shared" si="0"/>
        <v>5</v>
      </c>
      <c r="P52" s="15">
        <f t="shared" si="1"/>
        <v>18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12</v>
      </c>
      <c r="N53" s="50">
        <v>0</v>
      </c>
      <c r="O53" s="15">
        <f t="shared" si="0"/>
        <v>1</v>
      </c>
      <c r="P53" s="15">
        <f t="shared" si="1"/>
        <v>13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2</v>
      </c>
      <c r="K54" s="50">
        <v>0</v>
      </c>
      <c r="L54" s="50">
        <v>0</v>
      </c>
      <c r="M54" s="50">
        <v>13</v>
      </c>
      <c r="N54" s="50">
        <v>0</v>
      </c>
      <c r="O54" s="15">
        <f t="shared" si="0"/>
        <v>3</v>
      </c>
      <c r="P54" s="15">
        <f t="shared" si="1"/>
        <v>16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19</v>
      </c>
      <c r="N55" s="50">
        <v>0</v>
      </c>
      <c r="O55" s="15">
        <f t="shared" si="0"/>
        <v>5</v>
      </c>
      <c r="P55" s="15">
        <f t="shared" si="1"/>
        <v>24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22</v>
      </c>
      <c r="N56" s="50">
        <v>0</v>
      </c>
      <c r="O56" s="15">
        <f t="shared" si="0"/>
        <v>2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1</v>
      </c>
      <c r="E57" s="50">
        <v>0</v>
      </c>
      <c r="F57" s="50">
        <v>0</v>
      </c>
      <c r="G57" s="50">
        <v>1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4</v>
      </c>
      <c r="P57" s="15">
        <f t="shared" si="1"/>
        <v>24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36</v>
      </c>
      <c r="D58" s="16">
        <f t="shared" si="21"/>
        <v>9</v>
      </c>
      <c r="E58" s="16">
        <f t="shared" si="21"/>
        <v>13</v>
      </c>
      <c r="F58" s="16">
        <f t="shared" si="21"/>
        <v>18</v>
      </c>
      <c r="G58" s="16">
        <f t="shared" si="21"/>
        <v>3</v>
      </c>
      <c r="H58" s="16">
        <f t="shared" si="21"/>
        <v>0</v>
      </c>
      <c r="I58" s="16">
        <f t="shared" si="21"/>
        <v>21</v>
      </c>
      <c r="J58" s="16">
        <f t="shared" si="21"/>
        <v>42</v>
      </c>
      <c r="K58" s="16">
        <f t="shared" si="21"/>
        <v>7</v>
      </c>
      <c r="L58" s="16">
        <f t="shared" si="21"/>
        <v>0</v>
      </c>
      <c r="M58" s="16">
        <f t="shared" si="21"/>
        <v>786</v>
      </c>
      <c r="N58" s="16">
        <f t="shared" si="21"/>
        <v>1</v>
      </c>
      <c r="O58" s="16">
        <f t="shared" si="21"/>
        <v>150</v>
      </c>
      <c r="P58" s="16">
        <f t="shared" si="21"/>
        <v>936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3.8461538461538464E-2</v>
      </c>
      <c r="D59" s="43">
        <f t="shared" si="22"/>
        <v>9.6153846153846159E-3</v>
      </c>
      <c r="E59" s="43">
        <f t="shared" si="22"/>
        <v>1.3888888888888888E-2</v>
      </c>
      <c r="F59" s="43">
        <f t="shared" si="22"/>
        <v>1.9230769230769232E-2</v>
      </c>
      <c r="G59" s="43">
        <f t="shared" si="22"/>
        <v>3.205128205128205E-3</v>
      </c>
      <c r="H59" s="43">
        <f t="shared" si="22"/>
        <v>0</v>
      </c>
      <c r="I59" s="43">
        <f t="shared" si="22"/>
        <v>2.2435897435897436E-2</v>
      </c>
      <c r="J59" s="43">
        <f t="shared" si="22"/>
        <v>4.4871794871794872E-2</v>
      </c>
      <c r="K59" s="43">
        <f t="shared" si="22"/>
        <v>7.478632478632479E-3</v>
      </c>
      <c r="L59" s="43">
        <f t="shared" si="22"/>
        <v>0</v>
      </c>
      <c r="M59" s="43">
        <f t="shared" si="22"/>
        <v>0.83974358974358976</v>
      </c>
      <c r="N59" s="43">
        <f t="shared" si="22"/>
        <v>1.0683760683760685E-3</v>
      </c>
      <c r="R59" s="8"/>
      <c r="T59"/>
    </row>
    <row r="60" spans="2:20" ht="23.1" customHeight="1" x14ac:dyDescent="0.25">
      <c r="B60" s="42" t="s">
        <v>94</v>
      </c>
      <c r="C60" s="44">
        <f>C58/$O$58</f>
        <v>0.24</v>
      </c>
      <c r="D60" s="44">
        <f t="shared" ref="D60:N60" si="23">D58/$O$58</f>
        <v>0.06</v>
      </c>
      <c r="E60" s="44">
        <f t="shared" si="23"/>
        <v>8.666666666666667E-2</v>
      </c>
      <c r="F60" s="44">
        <f t="shared" si="23"/>
        <v>0.12</v>
      </c>
      <c r="G60" s="44">
        <f t="shared" si="23"/>
        <v>0.02</v>
      </c>
      <c r="H60" s="44">
        <f t="shared" si="23"/>
        <v>0</v>
      </c>
      <c r="I60" s="44">
        <f t="shared" si="23"/>
        <v>0.14000000000000001</v>
      </c>
      <c r="J60" s="44">
        <f t="shared" si="23"/>
        <v>0.28000000000000003</v>
      </c>
      <c r="K60" s="44">
        <f t="shared" si="23"/>
        <v>4.6666666666666669E-2</v>
      </c>
      <c r="L60" s="44">
        <f t="shared" si="23"/>
        <v>0</v>
      </c>
      <c r="M60" s="44"/>
      <c r="N60" s="44">
        <f t="shared" si="23"/>
        <v>6.6666666666666671E-3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ZIROBWE-WOBULENZI'!C3:G3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'17.10 WOBULENZI-ZIROBWE'!D5</f>
        <v>17.10.19</v>
      </c>
      <c r="E5" s="3"/>
      <c r="F5" s="41" t="s">
        <v>1</v>
      </c>
      <c r="G5" s="59" t="str">
        <f>'17.10 WOBULENZI-ZIROBWE'!G5:H5</f>
        <v>STATION 88</v>
      </c>
      <c r="H5" s="60"/>
      <c r="I5" s="14"/>
      <c r="J5" s="2" t="s">
        <v>5</v>
      </c>
      <c r="K5" s="59" t="str">
        <f>'17.10 WOBULENZI-ZIROBWE'!K5:L5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ZIROBWE-WOBULENZI'!D6:E6</f>
        <v>ZIROBWE</v>
      </c>
      <c r="E6" s="60"/>
      <c r="F6" s="2" t="s">
        <v>2</v>
      </c>
      <c r="G6" s="59" t="str">
        <f>'23.10 ZIROBWE-WOBULENZI'!G6:H6</f>
        <v>WOBULENZI</v>
      </c>
      <c r="H6" s="60"/>
      <c r="J6" s="2" t="s">
        <v>21</v>
      </c>
      <c r="K6" s="59" t="str">
        <f>'17.10 WOBULENZI-ZIROBWE'!K6:L6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9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9</v>
      </c>
      <c r="R10" s="1" t="s">
        <v>6</v>
      </c>
      <c r="S10" s="17">
        <f t="shared" ref="S10:AF10" si="2">SUM(C10:C13)</f>
        <v>1</v>
      </c>
      <c r="T10" s="17">
        <f t="shared" si="2"/>
        <v>1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48</v>
      </c>
      <c r="AD10" s="17">
        <f t="shared" si="2"/>
        <v>0</v>
      </c>
      <c r="AE10" s="31">
        <f t="shared" si="2"/>
        <v>4</v>
      </c>
      <c r="AF10" s="31">
        <f t="shared" si="2"/>
        <v>52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2</v>
      </c>
      <c r="P11" s="15">
        <f t="shared" si="1"/>
        <v>10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2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59</v>
      </c>
      <c r="AD11" s="17">
        <f t="shared" si="3"/>
        <v>0</v>
      </c>
      <c r="AE11" s="31">
        <f t="shared" si="3"/>
        <v>11</v>
      </c>
      <c r="AF11" s="31">
        <f t="shared" si="3"/>
        <v>70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13</v>
      </c>
      <c r="N12" s="50">
        <v>0</v>
      </c>
      <c r="O12" s="15">
        <f t="shared" si="0"/>
        <v>0</v>
      </c>
      <c r="P12" s="15">
        <f t="shared" si="1"/>
        <v>13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49</v>
      </c>
      <c r="AD12" s="17">
        <f t="shared" si="4"/>
        <v>1</v>
      </c>
      <c r="AE12" s="31">
        <f t="shared" si="4"/>
        <v>7</v>
      </c>
      <c r="AF12" s="31">
        <f t="shared" si="4"/>
        <v>56</v>
      </c>
    </row>
    <row r="13" spans="2:32" ht="23.1" customHeight="1" x14ac:dyDescent="0.25">
      <c r="B13" s="23" t="s">
        <v>40</v>
      </c>
      <c r="C13" s="50">
        <v>0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18</v>
      </c>
      <c r="N13" s="50">
        <v>0</v>
      </c>
      <c r="O13" s="15">
        <f t="shared" si="0"/>
        <v>2</v>
      </c>
      <c r="P13" s="15">
        <f t="shared" si="1"/>
        <v>20</v>
      </c>
      <c r="R13" s="1" t="s">
        <v>9</v>
      </c>
      <c r="S13" s="17">
        <f t="shared" ref="S13:AF13" si="5">SUM(C22:C25)</f>
        <v>6</v>
      </c>
      <c r="T13" s="17">
        <f t="shared" si="5"/>
        <v>0</v>
      </c>
      <c r="U13" s="17">
        <f t="shared" si="5"/>
        <v>0</v>
      </c>
      <c r="V13" s="17">
        <f t="shared" si="5"/>
        <v>3</v>
      </c>
      <c r="W13" s="17">
        <f t="shared" si="5"/>
        <v>0</v>
      </c>
      <c r="X13" s="17">
        <f t="shared" si="5"/>
        <v>1</v>
      </c>
      <c r="Y13" s="17">
        <f t="shared" si="5"/>
        <v>1</v>
      </c>
      <c r="Z13" s="17">
        <f t="shared" si="5"/>
        <v>10</v>
      </c>
      <c r="AA13" s="17">
        <f t="shared" si="5"/>
        <v>0</v>
      </c>
      <c r="AB13" s="17">
        <f t="shared" si="5"/>
        <v>0</v>
      </c>
      <c r="AC13" s="17">
        <f t="shared" si="5"/>
        <v>70</v>
      </c>
      <c r="AD13" s="17">
        <f t="shared" si="5"/>
        <v>0</v>
      </c>
      <c r="AE13" s="31">
        <f t="shared" si="5"/>
        <v>21</v>
      </c>
      <c r="AF13" s="31">
        <f t="shared" si="5"/>
        <v>91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21</v>
      </c>
      <c r="N14" s="50">
        <v>0</v>
      </c>
      <c r="O14" s="15">
        <f t="shared" si="0"/>
        <v>1</v>
      </c>
      <c r="P14" s="15">
        <f t="shared" si="1"/>
        <v>22</v>
      </c>
      <c r="R14" s="1" t="s">
        <v>10</v>
      </c>
      <c r="S14" s="17">
        <f t="shared" ref="S14:AF14" si="6">SUM(C26:C29)</f>
        <v>1</v>
      </c>
      <c r="T14" s="17">
        <f t="shared" si="6"/>
        <v>2</v>
      </c>
      <c r="U14" s="17">
        <f t="shared" si="6"/>
        <v>4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49</v>
      </c>
      <c r="AD14" s="17">
        <f t="shared" si="6"/>
        <v>0</v>
      </c>
      <c r="AE14" s="31">
        <f t="shared" si="6"/>
        <v>13</v>
      </c>
      <c r="AF14" s="31">
        <f t="shared" si="6"/>
        <v>62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2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10</v>
      </c>
      <c r="N15" s="50">
        <v>0</v>
      </c>
      <c r="O15" s="15">
        <f t="shared" si="0"/>
        <v>4</v>
      </c>
      <c r="P15" s="15">
        <f t="shared" si="1"/>
        <v>14</v>
      </c>
      <c r="R15" s="1" t="s">
        <v>11</v>
      </c>
      <c r="S15" s="17">
        <f t="shared" ref="S15:AF15" si="7">SUM(C30:C33)</f>
        <v>2</v>
      </c>
      <c r="T15" s="17">
        <f t="shared" si="7"/>
        <v>1</v>
      </c>
      <c r="U15" s="17">
        <f t="shared" si="7"/>
        <v>2</v>
      </c>
      <c r="V15" s="17">
        <f t="shared" si="7"/>
        <v>2</v>
      </c>
      <c r="W15" s="17">
        <f t="shared" si="7"/>
        <v>1</v>
      </c>
      <c r="X15" s="17">
        <f t="shared" si="7"/>
        <v>0</v>
      </c>
      <c r="Y15" s="17">
        <f t="shared" si="7"/>
        <v>0</v>
      </c>
      <c r="Z15" s="17">
        <f t="shared" si="7"/>
        <v>6</v>
      </c>
      <c r="AA15" s="17">
        <f t="shared" si="7"/>
        <v>0</v>
      </c>
      <c r="AB15" s="17">
        <f t="shared" si="7"/>
        <v>0</v>
      </c>
      <c r="AC15" s="17">
        <f t="shared" si="7"/>
        <v>62</v>
      </c>
      <c r="AD15" s="17">
        <f t="shared" si="7"/>
        <v>0</v>
      </c>
      <c r="AE15" s="31">
        <f t="shared" si="7"/>
        <v>14</v>
      </c>
      <c r="AF15" s="31">
        <f t="shared" si="7"/>
        <v>76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11</v>
      </c>
      <c r="N16" s="50">
        <v>0</v>
      </c>
      <c r="O16" s="15">
        <f t="shared" si="0"/>
        <v>3</v>
      </c>
      <c r="P16" s="15">
        <f t="shared" si="1"/>
        <v>14</v>
      </c>
      <c r="R16" s="1" t="s">
        <v>12</v>
      </c>
      <c r="S16" s="17">
        <f t="shared" ref="S16:AF16" si="8">SUM(C34:C37)</f>
        <v>7</v>
      </c>
      <c r="T16" s="17">
        <f t="shared" si="8"/>
        <v>1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63</v>
      </c>
      <c r="AD16" s="17">
        <f t="shared" si="8"/>
        <v>0</v>
      </c>
      <c r="AE16" s="31">
        <f t="shared" si="8"/>
        <v>18</v>
      </c>
      <c r="AF16" s="31">
        <f t="shared" si="8"/>
        <v>81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17</v>
      </c>
      <c r="N17" s="50">
        <v>0</v>
      </c>
      <c r="O17" s="15">
        <f t="shared" si="0"/>
        <v>3</v>
      </c>
      <c r="P17" s="15">
        <f t="shared" si="1"/>
        <v>20</v>
      </c>
      <c r="R17" s="1" t="s">
        <v>13</v>
      </c>
      <c r="S17" s="17">
        <f t="shared" ref="S17:AF17" si="9">SUM(C38:C41)</f>
        <v>2</v>
      </c>
      <c r="T17" s="17">
        <f t="shared" si="9"/>
        <v>0</v>
      </c>
      <c r="U17" s="17">
        <f t="shared" si="9"/>
        <v>1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64</v>
      </c>
      <c r="AD17" s="17">
        <f t="shared" si="9"/>
        <v>0</v>
      </c>
      <c r="AE17" s="31">
        <f t="shared" si="9"/>
        <v>13</v>
      </c>
      <c r="AF17" s="31">
        <f t="shared" si="9"/>
        <v>77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1</v>
      </c>
      <c r="P18" s="15">
        <f t="shared" si="1"/>
        <v>10</v>
      </c>
      <c r="R18" s="1" t="s">
        <v>14</v>
      </c>
      <c r="S18" s="17">
        <f t="shared" ref="S18:AF18" si="10">SUM(C42:C45)</f>
        <v>5</v>
      </c>
      <c r="T18" s="17">
        <f t="shared" si="10"/>
        <v>1</v>
      </c>
      <c r="U18" s="17">
        <f t="shared" si="10"/>
        <v>2</v>
      </c>
      <c r="V18" s="17">
        <f t="shared" si="10"/>
        <v>5</v>
      </c>
      <c r="W18" s="17">
        <f t="shared" si="10"/>
        <v>0</v>
      </c>
      <c r="X18" s="17">
        <f t="shared" si="10"/>
        <v>1</v>
      </c>
      <c r="Y18" s="17">
        <f t="shared" si="10"/>
        <v>3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72</v>
      </c>
      <c r="AD18" s="17">
        <f t="shared" si="10"/>
        <v>0</v>
      </c>
      <c r="AE18" s="31">
        <f t="shared" si="10"/>
        <v>23</v>
      </c>
      <c r="AF18" s="31">
        <f t="shared" si="10"/>
        <v>95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2</v>
      </c>
      <c r="P19" s="15">
        <f t="shared" si="1"/>
        <v>17</v>
      </c>
      <c r="R19" s="1" t="s">
        <v>15</v>
      </c>
      <c r="S19" s="17">
        <f t="shared" ref="S19:AF19" si="11">SUM(C46:C49)</f>
        <v>7</v>
      </c>
      <c r="T19" s="17">
        <f t="shared" si="11"/>
        <v>3</v>
      </c>
      <c r="U19" s="17">
        <f t="shared" si="11"/>
        <v>2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7</v>
      </c>
      <c r="AA19" s="17">
        <f t="shared" si="11"/>
        <v>0</v>
      </c>
      <c r="AB19" s="17">
        <f t="shared" si="11"/>
        <v>0</v>
      </c>
      <c r="AC19" s="17">
        <f t="shared" si="11"/>
        <v>60</v>
      </c>
      <c r="AD19" s="17">
        <f t="shared" si="11"/>
        <v>0</v>
      </c>
      <c r="AE19" s="31">
        <f t="shared" si="11"/>
        <v>22</v>
      </c>
      <c r="AF19" s="31">
        <f t="shared" si="11"/>
        <v>82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15</v>
      </c>
      <c r="N20" s="50">
        <v>1</v>
      </c>
      <c r="O20" s="15">
        <f t="shared" si="0"/>
        <v>2</v>
      </c>
      <c r="P20" s="15">
        <f t="shared" si="1"/>
        <v>17</v>
      </c>
      <c r="R20" s="1" t="s">
        <v>16</v>
      </c>
      <c r="S20" s="17">
        <f t="shared" ref="S20:AF20" si="12">SUM(C50:C53)</f>
        <v>3</v>
      </c>
      <c r="T20" s="17">
        <f t="shared" si="12"/>
        <v>0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60</v>
      </c>
      <c r="AD20" s="17">
        <f t="shared" si="12"/>
        <v>0</v>
      </c>
      <c r="AE20" s="31">
        <f t="shared" si="12"/>
        <v>8</v>
      </c>
      <c r="AF20" s="31">
        <f t="shared" si="12"/>
        <v>68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10</v>
      </c>
      <c r="N21" s="50">
        <v>0</v>
      </c>
      <c r="O21" s="15">
        <f t="shared" si="0"/>
        <v>2</v>
      </c>
      <c r="P21" s="15">
        <f t="shared" si="1"/>
        <v>12</v>
      </c>
      <c r="R21" s="36" t="s">
        <v>20</v>
      </c>
      <c r="S21" s="34">
        <f t="shared" ref="S21:AF21" si="13">SUM(C54:C57)</f>
        <v>2</v>
      </c>
      <c r="T21" s="17">
        <f t="shared" si="13"/>
        <v>1</v>
      </c>
      <c r="U21" s="17">
        <f t="shared" si="13"/>
        <v>2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67</v>
      </c>
      <c r="AD21" s="17">
        <f t="shared" si="13"/>
        <v>0</v>
      </c>
      <c r="AE21" s="31">
        <f t="shared" si="13"/>
        <v>12</v>
      </c>
      <c r="AF21" s="31">
        <f t="shared" si="13"/>
        <v>79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0</v>
      </c>
      <c r="J22" s="50">
        <v>3</v>
      </c>
      <c r="K22" s="50">
        <v>0</v>
      </c>
      <c r="L22" s="50">
        <v>0</v>
      </c>
      <c r="M22" s="50">
        <v>12</v>
      </c>
      <c r="N22" s="50">
        <v>0</v>
      </c>
      <c r="O22" s="15">
        <f t="shared" si="0"/>
        <v>5</v>
      </c>
      <c r="P22" s="15">
        <f t="shared" si="1"/>
        <v>17</v>
      </c>
      <c r="R22" s="38" t="s">
        <v>90</v>
      </c>
      <c r="S22" s="39">
        <f>MAX(S10:S12)</f>
        <v>4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59</v>
      </c>
      <c r="AD22" s="39">
        <f t="shared" si="14"/>
        <v>1</v>
      </c>
      <c r="AE22" s="40">
        <f t="shared" si="14"/>
        <v>11</v>
      </c>
      <c r="AF22" s="40">
        <f t="shared" si="14"/>
        <v>70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1</v>
      </c>
      <c r="I23" s="50">
        <v>0</v>
      </c>
      <c r="J23" s="50">
        <v>1</v>
      </c>
      <c r="K23" s="50">
        <v>0</v>
      </c>
      <c r="L23" s="50">
        <v>0</v>
      </c>
      <c r="M23" s="50">
        <v>20</v>
      </c>
      <c r="N23" s="50">
        <v>0</v>
      </c>
      <c r="O23" s="15">
        <f t="shared" si="0"/>
        <v>3</v>
      </c>
      <c r="P23" s="15">
        <f t="shared" si="1"/>
        <v>23</v>
      </c>
      <c r="R23" s="38" t="s">
        <v>91</v>
      </c>
      <c r="S23" s="39">
        <f>MAX(S13:S18)</f>
        <v>7</v>
      </c>
      <c r="T23" s="39">
        <f t="shared" ref="T23:AF23" si="15">MAX(T13:T18)</f>
        <v>2</v>
      </c>
      <c r="U23" s="39">
        <f t="shared" si="15"/>
        <v>4</v>
      </c>
      <c r="V23" s="39">
        <f t="shared" si="15"/>
        <v>5</v>
      </c>
      <c r="W23" s="39">
        <f t="shared" si="15"/>
        <v>1</v>
      </c>
      <c r="X23" s="39">
        <f t="shared" si="15"/>
        <v>1</v>
      </c>
      <c r="Y23" s="39">
        <f t="shared" si="15"/>
        <v>4</v>
      </c>
      <c r="Z23" s="39">
        <f t="shared" si="15"/>
        <v>10</v>
      </c>
      <c r="AA23" s="39">
        <f t="shared" si="15"/>
        <v>0</v>
      </c>
      <c r="AB23" s="39">
        <f t="shared" si="15"/>
        <v>0</v>
      </c>
      <c r="AC23" s="39">
        <f t="shared" si="15"/>
        <v>72</v>
      </c>
      <c r="AD23" s="39">
        <f t="shared" si="15"/>
        <v>0</v>
      </c>
      <c r="AE23" s="40">
        <f t="shared" si="15"/>
        <v>23</v>
      </c>
      <c r="AF23" s="40">
        <f t="shared" si="15"/>
        <v>95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3</v>
      </c>
      <c r="K24" s="50">
        <v>0</v>
      </c>
      <c r="L24" s="50">
        <v>0</v>
      </c>
      <c r="M24" s="50">
        <v>16</v>
      </c>
      <c r="N24" s="50">
        <v>0</v>
      </c>
      <c r="O24" s="15">
        <f t="shared" si="0"/>
        <v>7</v>
      </c>
      <c r="P24" s="15">
        <f t="shared" si="1"/>
        <v>23</v>
      </c>
      <c r="R24" s="38" t="s">
        <v>92</v>
      </c>
      <c r="S24" s="39">
        <f>MAX(S19:S21)</f>
        <v>7</v>
      </c>
      <c r="T24" s="39">
        <f t="shared" ref="T24:AF24" si="16">MAX(T19:T21)</f>
        <v>3</v>
      </c>
      <c r="U24" s="39">
        <f t="shared" si="16"/>
        <v>2</v>
      </c>
      <c r="V24" s="39">
        <f t="shared" si="16"/>
        <v>2</v>
      </c>
      <c r="W24" s="39">
        <f t="shared" si="16"/>
        <v>0</v>
      </c>
      <c r="X24" s="39">
        <f t="shared" si="16"/>
        <v>0</v>
      </c>
      <c r="Y24" s="39">
        <f t="shared" si="16"/>
        <v>2</v>
      </c>
      <c r="Z24" s="39">
        <f t="shared" si="16"/>
        <v>7</v>
      </c>
      <c r="AA24" s="39">
        <f t="shared" si="16"/>
        <v>0</v>
      </c>
      <c r="AB24" s="39">
        <f t="shared" si="16"/>
        <v>0</v>
      </c>
      <c r="AC24" s="39">
        <f t="shared" si="16"/>
        <v>67</v>
      </c>
      <c r="AD24" s="39">
        <f t="shared" si="16"/>
        <v>0</v>
      </c>
      <c r="AE24" s="40">
        <f t="shared" si="16"/>
        <v>22</v>
      </c>
      <c r="AF24" s="40">
        <f t="shared" si="16"/>
        <v>82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3</v>
      </c>
      <c r="K25" s="50">
        <v>0</v>
      </c>
      <c r="L25" s="50">
        <v>0</v>
      </c>
      <c r="M25" s="50">
        <v>22</v>
      </c>
      <c r="N25" s="50">
        <v>0</v>
      </c>
      <c r="O25" s="15">
        <f t="shared" si="0"/>
        <v>6</v>
      </c>
      <c r="P25" s="15">
        <f t="shared" si="1"/>
        <v>28</v>
      </c>
      <c r="R25" s="37" t="s">
        <v>85</v>
      </c>
      <c r="S25" s="35">
        <f t="shared" ref="S25:AF25" si="17">SUM(S10:S12)</f>
        <v>5</v>
      </c>
      <c r="T25" s="16">
        <f t="shared" si="17"/>
        <v>1</v>
      </c>
      <c r="U25" s="16">
        <f t="shared" si="17"/>
        <v>3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2</v>
      </c>
      <c r="Z25" s="16">
        <f t="shared" si="17"/>
        <v>6</v>
      </c>
      <c r="AA25" s="16">
        <f t="shared" si="17"/>
        <v>0</v>
      </c>
      <c r="AB25" s="16">
        <f t="shared" si="17"/>
        <v>0</v>
      </c>
      <c r="AC25" s="16">
        <f t="shared" si="17"/>
        <v>156</v>
      </c>
      <c r="AD25" s="16">
        <f t="shared" si="17"/>
        <v>1</v>
      </c>
      <c r="AE25" s="32">
        <f t="shared" si="17"/>
        <v>22</v>
      </c>
      <c r="AF25" s="32">
        <f t="shared" si="17"/>
        <v>178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2</v>
      </c>
      <c r="P26" s="15">
        <f t="shared" si="1"/>
        <v>14</v>
      </c>
      <c r="R26" s="28" t="s">
        <v>86</v>
      </c>
      <c r="S26" s="16">
        <f t="shared" ref="S26:AF26" si="18">SUM(S13:S18)</f>
        <v>23</v>
      </c>
      <c r="T26" s="16">
        <f t="shared" si="18"/>
        <v>5</v>
      </c>
      <c r="U26" s="16">
        <f t="shared" si="18"/>
        <v>11</v>
      </c>
      <c r="V26" s="16">
        <f t="shared" si="18"/>
        <v>15</v>
      </c>
      <c r="W26" s="16">
        <f t="shared" si="18"/>
        <v>1</v>
      </c>
      <c r="X26" s="16">
        <f t="shared" si="18"/>
        <v>2</v>
      </c>
      <c r="Y26" s="16">
        <f t="shared" si="18"/>
        <v>12</v>
      </c>
      <c r="Z26" s="16">
        <f t="shared" si="18"/>
        <v>33</v>
      </c>
      <c r="AA26" s="16">
        <f t="shared" si="18"/>
        <v>0</v>
      </c>
      <c r="AB26" s="16">
        <f t="shared" si="18"/>
        <v>0</v>
      </c>
      <c r="AC26" s="16">
        <f t="shared" si="18"/>
        <v>380</v>
      </c>
      <c r="AD26" s="16">
        <f t="shared" si="18"/>
        <v>0</v>
      </c>
      <c r="AE26" s="32">
        <f t="shared" si="18"/>
        <v>102</v>
      </c>
      <c r="AF26" s="32">
        <f t="shared" si="18"/>
        <v>482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2</v>
      </c>
      <c r="F27" s="50">
        <v>1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16</v>
      </c>
      <c r="N27" s="50">
        <v>0</v>
      </c>
      <c r="O27" s="15">
        <f t="shared" si="0"/>
        <v>6</v>
      </c>
      <c r="P27" s="15">
        <f t="shared" si="1"/>
        <v>22</v>
      </c>
      <c r="R27" s="29" t="s">
        <v>87</v>
      </c>
      <c r="S27" s="16">
        <f t="shared" ref="S27:AF27" si="19">SUM(S19:S21)</f>
        <v>12</v>
      </c>
      <c r="T27" s="16">
        <f t="shared" si="19"/>
        <v>4</v>
      </c>
      <c r="U27" s="16">
        <f t="shared" si="19"/>
        <v>4</v>
      </c>
      <c r="V27" s="16">
        <f t="shared" si="19"/>
        <v>4</v>
      </c>
      <c r="W27" s="16">
        <f t="shared" si="19"/>
        <v>0</v>
      </c>
      <c r="X27" s="16">
        <f t="shared" si="19"/>
        <v>0</v>
      </c>
      <c r="Y27" s="16">
        <f t="shared" si="19"/>
        <v>5</v>
      </c>
      <c r="Z27" s="16">
        <f t="shared" si="19"/>
        <v>13</v>
      </c>
      <c r="AA27" s="16">
        <f t="shared" si="19"/>
        <v>0</v>
      </c>
      <c r="AB27" s="16">
        <f t="shared" si="19"/>
        <v>0</v>
      </c>
      <c r="AC27" s="16">
        <f t="shared" si="19"/>
        <v>187</v>
      </c>
      <c r="AD27" s="16">
        <f t="shared" si="19"/>
        <v>0</v>
      </c>
      <c r="AE27" s="32">
        <f t="shared" si="19"/>
        <v>42</v>
      </c>
      <c r="AF27" s="32">
        <f t="shared" si="19"/>
        <v>229</v>
      </c>
    </row>
    <row r="28" spans="2:32" ht="23.1" customHeight="1" x14ac:dyDescent="0.25">
      <c r="B28" s="23" t="s">
        <v>55</v>
      </c>
      <c r="C28" s="50">
        <v>0</v>
      </c>
      <c r="D28" s="50">
        <v>1</v>
      </c>
      <c r="E28" s="50">
        <v>2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9</v>
      </c>
      <c r="N28" s="50">
        <v>0</v>
      </c>
      <c r="O28" s="15">
        <f t="shared" si="0"/>
        <v>4</v>
      </c>
      <c r="P28" s="15">
        <f t="shared" si="1"/>
        <v>13</v>
      </c>
      <c r="R28" s="5" t="s">
        <v>17</v>
      </c>
      <c r="S28" s="16">
        <f t="shared" ref="S28:AF28" si="20">SUM(S10:S21)</f>
        <v>40</v>
      </c>
      <c r="T28" s="16">
        <f t="shared" si="20"/>
        <v>10</v>
      </c>
      <c r="U28" s="16">
        <f t="shared" si="20"/>
        <v>18</v>
      </c>
      <c r="V28" s="16">
        <f t="shared" si="20"/>
        <v>23</v>
      </c>
      <c r="W28" s="16">
        <f t="shared" si="20"/>
        <v>1</v>
      </c>
      <c r="X28" s="16">
        <f t="shared" si="20"/>
        <v>2</v>
      </c>
      <c r="Y28" s="16">
        <f t="shared" si="20"/>
        <v>19</v>
      </c>
      <c r="Z28" s="16">
        <f t="shared" si="20"/>
        <v>52</v>
      </c>
      <c r="AA28" s="16">
        <f t="shared" si="20"/>
        <v>0</v>
      </c>
      <c r="AB28" s="16">
        <f t="shared" si="20"/>
        <v>0</v>
      </c>
      <c r="AC28" s="16">
        <f t="shared" si="20"/>
        <v>723</v>
      </c>
      <c r="AD28" s="16">
        <f t="shared" si="20"/>
        <v>1</v>
      </c>
      <c r="AE28" s="32">
        <f t="shared" si="20"/>
        <v>166</v>
      </c>
      <c r="AF28" s="32">
        <f t="shared" si="20"/>
        <v>889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12</v>
      </c>
      <c r="N29" s="50">
        <v>0</v>
      </c>
      <c r="O29" s="15">
        <f t="shared" si="0"/>
        <v>1</v>
      </c>
      <c r="P29" s="15">
        <f t="shared" si="1"/>
        <v>13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1</v>
      </c>
      <c r="E30" s="50">
        <v>0</v>
      </c>
      <c r="F30" s="50">
        <v>1</v>
      </c>
      <c r="G30" s="50">
        <v>0</v>
      </c>
      <c r="H30" s="50">
        <v>0</v>
      </c>
      <c r="I30" s="50">
        <v>0</v>
      </c>
      <c r="J30" s="50">
        <v>3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5</v>
      </c>
      <c r="P30" s="15">
        <f t="shared" si="1"/>
        <v>19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14</v>
      </c>
      <c r="N31" s="50">
        <v>0</v>
      </c>
      <c r="O31" s="15">
        <f t="shared" si="0"/>
        <v>0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2</v>
      </c>
      <c r="F32" s="50">
        <v>0</v>
      </c>
      <c r="G32" s="50">
        <v>1</v>
      </c>
      <c r="H32" s="50">
        <v>0</v>
      </c>
      <c r="I32" s="50">
        <v>0</v>
      </c>
      <c r="J32" s="50">
        <v>2</v>
      </c>
      <c r="K32" s="50">
        <v>0</v>
      </c>
      <c r="L32" s="50">
        <v>0</v>
      </c>
      <c r="M32" s="50">
        <v>19</v>
      </c>
      <c r="N32" s="50">
        <v>0</v>
      </c>
      <c r="O32" s="15">
        <f t="shared" si="0"/>
        <v>5</v>
      </c>
      <c r="P32" s="15">
        <f t="shared" si="1"/>
        <v>24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15</v>
      </c>
      <c r="N33" s="50">
        <v>0</v>
      </c>
      <c r="O33" s="15">
        <f t="shared" si="0"/>
        <v>4</v>
      </c>
      <c r="P33" s="15">
        <f t="shared" si="1"/>
        <v>19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5</v>
      </c>
      <c r="P34" s="15">
        <f t="shared" si="1"/>
        <v>20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18</v>
      </c>
      <c r="N35" s="50">
        <v>0</v>
      </c>
      <c r="O35" s="15">
        <f t="shared" si="0"/>
        <v>3</v>
      </c>
      <c r="P35" s="15">
        <f t="shared" si="1"/>
        <v>21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15</v>
      </c>
      <c r="N36" s="50">
        <v>0</v>
      </c>
      <c r="O36" s="15">
        <f t="shared" si="0"/>
        <v>4</v>
      </c>
      <c r="P36" s="15">
        <f t="shared" si="1"/>
        <v>19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15</v>
      </c>
      <c r="N37" s="50">
        <v>0</v>
      </c>
      <c r="O37" s="15">
        <f t="shared" si="0"/>
        <v>6</v>
      </c>
      <c r="P37" s="15">
        <f t="shared" si="1"/>
        <v>21</v>
      </c>
    </row>
    <row r="38" spans="2:20" ht="23.1" customHeight="1" x14ac:dyDescent="0.25">
      <c r="B38" s="24" t="s">
        <v>65</v>
      </c>
      <c r="C38" s="50">
        <v>2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3</v>
      </c>
      <c r="P38" s="15">
        <f t="shared" si="1"/>
        <v>15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2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9</v>
      </c>
      <c r="N39" s="50">
        <v>0</v>
      </c>
      <c r="O39" s="15">
        <f t="shared" si="0"/>
        <v>3</v>
      </c>
      <c r="P39" s="15">
        <f t="shared" si="1"/>
        <v>12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2</v>
      </c>
      <c r="J40" s="50">
        <v>1</v>
      </c>
      <c r="K40" s="50">
        <v>0</v>
      </c>
      <c r="L40" s="50">
        <v>0</v>
      </c>
      <c r="M40" s="50">
        <v>21</v>
      </c>
      <c r="N40" s="50">
        <v>0</v>
      </c>
      <c r="O40" s="15">
        <f t="shared" si="0"/>
        <v>3</v>
      </c>
      <c r="P40" s="15">
        <f t="shared" si="1"/>
        <v>24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3</v>
      </c>
      <c r="K41" s="50">
        <v>0</v>
      </c>
      <c r="L41" s="50">
        <v>0</v>
      </c>
      <c r="M41" s="50">
        <v>22</v>
      </c>
      <c r="N41" s="50">
        <v>0</v>
      </c>
      <c r="O41" s="15">
        <f t="shared" si="0"/>
        <v>4</v>
      </c>
      <c r="P41" s="15">
        <f t="shared" si="1"/>
        <v>26</v>
      </c>
    </row>
    <row r="42" spans="2:20" ht="23.1" customHeight="1" x14ac:dyDescent="0.25">
      <c r="B42" s="24" t="s">
        <v>69</v>
      </c>
      <c r="C42" s="50">
        <v>2</v>
      </c>
      <c r="D42" s="50">
        <v>1</v>
      </c>
      <c r="E42" s="50">
        <v>2</v>
      </c>
      <c r="F42" s="50">
        <v>1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9</v>
      </c>
      <c r="N42" s="50">
        <v>0</v>
      </c>
      <c r="O42" s="15">
        <f t="shared" si="0"/>
        <v>8</v>
      </c>
      <c r="P42" s="15">
        <f t="shared" si="1"/>
        <v>17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2</v>
      </c>
      <c r="G43" s="50">
        <v>0</v>
      </c>
      <c r="H43" s="50">
        <v>1</v>
      </c>
      <c r="I43" s="50">
        <v>0</v>
      </c>
      <c r="J43" s="50">
        <v>1</v>
      </c>
      <c r="K43" s="50">
        <v>0</v>
      </c>
      <c r="L43" s="50">
        <v>0</v>
      </c>
      <c r="M43" s="50">
        <v>26</v>
      </c>
      <c r="N43" s="50">
        <v>0</v>
      </c>
      <c r="O43" s="15">
        <f t="shared" si="0"/>
        <v>4</v>
      </c>
      <c r="P43" s="15">
        <f t="shared" si="1"/>
        <v>30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3</v>
      </c>
      <c r="K44" s="50">
        <v>0</v>
      </c>
      <c r="L44" s="50">
        <v>0</v>
      </c>
      <c r="M44" s="50">
        <v>18</v>
      </c>
      <c r="N44" s="50">
        <v>0</v>
      </c>
      <c r="O44" s="15">
        <f t="shared" si="0"/>
        <v>7</v>
      </c>
      <c r="P44" s="15">
        <f t="shared" si="1"/>
        <v>25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2</v>
      </c>
      <c r="K45" s="50">
        <v>0</v>
      </c>
      <c r="L45" s="50">
        <v>0</v>
      </c>
      <c r="M45" s="50">
        <v>19</v>
      </c>
      <c r="N45" s="50">
        <v>0</v>
      </c>
      <c r="O45" s="15">
        <f t="shared" si="0"/>
        <v>4</v>
      </c>
      <c r="P45" s="15">
        <f t="shared" si="1"/>
        <v>23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2</v>
      </c>
      <c r="K46" s="50">
        <v>0</v>
      </c>
      <c r="L46" s="50">
        <v>0</v>
      </c>
      <c r="M46" s="50">
        <v>10</v>
      </c>
      <c r="N46" s="50">
        <v>0</v>
      </c>
      <c r="O46" s="15">
        <f t="shared" si="0"/>
        <v>4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1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4</v>
      </c>
      <c r="P47" s="15">
        <f t="shared" si="1"/>
        <v>17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1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2</v>
      </c>
      <c r="K48" s="50">
        <v>0</v>
      </c>
      <c r="L48" s="50">
        <v>0</v>
      </c>
      <c r="M48" s="50">
        <v>15</v>
      </c>
      <c r="N48" s="50">
        <v>0</v>
      </c>
      <c r="O48" s="15">
        <f t="shared" si="0"/>
        <v>6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1</v>
      </c>
      <c r="F49" s="50">
        <v>0</v>
      </c>
      <c r="G49" s="50">
        <v>0</v>
      </c>
      <c r="H49" s="50">
        <v>0</v>
      </c>
      <c r="I49" s="50">
        <v>1</v>
      </c>
      <c r="J49" s="50">
        <v>3</v>
      </c>
      <c r="K49" s="50">
        <v>0</v>
      </c>
      <c r="L49" s="50">
        <v>0</v>
      </c>
      <c r="M49" s="50">
        <v>22</v>
      </c>
      <c r="N49" s="50">
        <v>0</v>
      </c>
      <c r="O49" s="15">
        <f t="shared" si="0"/>
        <v>8</v>
      </c>
      <c r="P49" s="15">
        <f t="shared" si="1"/>
        <v>30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4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15</v>
      </c>
      <c r="N51" s="50">
        <v>0</v>
      </c>
      <c r="O51" s="15">
        <f t="shared" si="0"/>
        <v>2</v>
      </c>
      <c r="P51" s="15">
        <f t="shared" si="1"/>
        <v>17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5">
        <f t="shared" si="0"/>
        <v>0</v>
      </c>
      <c r="P52" s="15">
        <f t="shared" si="1"/>
        <v>19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13</v>
      </c>
      <c r="N53" s="50">
        <v>0</v>
      </c>
      <c r="O53" s="15">
        <f t="shared" si="0"/>
        <v>2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13</v>
      </c>
      <c r="N54" s="50">
        <v>0</v>
      </c>
      <c r="O54" s="15">
        <f t="shared" si="0"/>
        <v>1</v>
      </c>
      <c r="P54" s="15">
        <f t="shared" si="1"/>
        <v>14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12</v>
      </c>
      <c r="N55" s="50">
        <v>0</v>
      </c>
      <c r="O55" s="15">
        <f t="shared" si="0"/>
        <v>3</v>
      </c>
      <c r="P55" s="15">
        <f t="shared" si="1"/>
        <v>15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3</v>
      </c>
      <c r="K56" s="50">
        <v>0</v>
      </c>
      <c r="L56" s="50">
        <v>0</v>
      </c>
      <c r="M56" s="50">
        <v>22</v>
      </c>
      <c r="N56" s="50">
        <v>0</v>
      </c>
      <c r="O56" s="15">
        <f t="shared" si="0"/>
        <v>5</v>
      </c>
      <c r="P56" s="15">
        <f t="shared" si="1"/>
        <v>27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3</v>
      </c>
      <c r="P57" s="15">
        <f t="shared" si="1"/>
        <v>23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40</v>
      </c>
      <c r="D58" s="16">
        <f t="shared" si="21"/>
        <v>10</v>
      </c>
      <c r="E58" s="16">
        <f t="shared" si="21"/>
        <v>18</v>
      </c>
      <c r="F58" s="16">
        <f t="shared" si="21"/>
        <v>23</v>
      </c>
      <c r="G58" s="16">
        <f t="shared" si="21"/>
        <v>1</v>
      </c>
      <c r="H58" s="16">
        <f t="shared" si="21"/>
        <v>2</v>
      </c>
      <c r="I58" s="16">
        <f t="shared" si="21"/>
        <v>19</v>
      </c>
      <c r="J58" s="16">
        <f t="shared" si="21"/>
        <v>52</v>
      </c>
      <c r="K58" s="16">
        <f t="shared" si="21"/>
        <v>0</v>
      </c>
      <c r="L58" s="16">
        <f t="shared" si="21"/>
        <v>0</v>
      </c>
      <c r="M58" s="16">
        <f t="shared" si="21"/>
        <v>723</v>
      </c>
      <c r="N58" s="16">
        <f t="shared" si="21"/>
        <v>1</v>
      </c>
      <c r="O58" s="16">
        <f t="shared" si="21"/>
        <v>166</v>
      </c>
      <c r="P58" s="16">
        <f t="shared" si="21"/>
        <v>889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4.4994375703037118E-2</v>
      </c>
      <c r="D59" s="43">
        <f t="shared" si="22"/>
        <v>1.1248593925759279E-2</v>
      </c>
      <c r="E59" s="43">
        <f t="shared" si="22"/>
        <v>2.0247469066366704E-2</v>
      </c>
      <c r="F59" s="43">
        <f t="shared" si="22"/>
        <v>2.5871766029246346E-2</v>
      </c>
      <c r="G59" s="43">
        <f t="shared" si="22"/>
        <v>1.1248593925759281E-3</v>
      </c>
      <c r="H59" s="43">
        <f t="shared" si="22"/>
        <v>2.2497187851518562E-3</v>
      </c>
      <c r="I59" s="43">
        <f t="shared" si="22"/>
        <v>2.1372328458942633E-2</v>
      </c>
      <c r="J59" s="43">
        <f t="shared" si="22"/>
        <v>5.8492688413948259E-2</v>
      </c>
      <c r="K59" s="43">
        <f t="shared" si="22"/>
        <v>0</v>
      </c>
      <c r="L59" s="43">
        <f t="shared" si="22"/>
        <v>0</v>
      </c>
      <c r="M59" s="43">
        <f t="shared" si="22"/>
        <v>0.813273340832396</v>
      </c>
      <c r="N59" s="43">
        <f t="shared" si="22"/>
        <v>1.1248593925759281E-3</v>
      </c>
      <c r="R59" s="8"/>
      <c r="T59"/>
    </row>
    <row r="60" spans="2:20" ht="23.1" customHeight="1" x14ac:dyDescent="0.25">
      <c r="B60" s="42" t="s">
        <v>94</v>
      </c>
      <c r="C60" s="44">
        <f>C58/$O$58</f>
        <v>0.24096385542168675</v>
      </c>
      <c r="D60" s="44">
        <f t="shared" ref="D60:N60" si="23">D58/$O$58</f>
        <v>6.0240963855421686E-2</v>
      </c>
      <c r="E60" s="44">
        <f t="shared" si="23"/>
        <v>0.10843373493975904</v>
      </c>
      <c r="F60" s="44">
        <f t="shared" si="23"/>
        <v>0.13855421686746988</v>
      </c>
      <c r="G60" s="44">
        <f t="shared" si="23"/>
        <v>6.024096385542169E-3</v>
      </c>
      <c r="H60" s="44">
        <f t="shared" si="23"/>
        <v>1.2048192771084338E-2</v>
      </c>
      <c r="I60" s="44">
        <f t="shared" si="23"/>
        <v>0.1144578313253012</v>
      </c>
      <c r="J60" s="44">
        <f t="shared" si="23"/>
        <v>0.31325301204819278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6.024096385542169E-3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WOBULENZI-ZIROBWE'!C3:G3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175</v>
      </c>
      <c r="E5" s="3"/>
      <c r="F5" s="41" t="s">
        <v>1</v>
      </c>
      <c r="G5" s="59" t="str">
        <f>'20.10 ZIROBWE-WOBULENZI'!G5:H5</f>
        <v>STATION 88</v>
      </c>
      <c r="H5" s="60"/>
      <c r="I5" s="14"/>
      <c r="J5" s="2" t="s">
        <v>5</v>
      </c>
      <c r="K5" s="59" t="str">
        <f>'20.10 ZIROBWE-WOBULENZI'!K5:L5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WOBULENZI-ZIROBWE'!D6:E6</f>
        <v>WOBULENZI</v>
      </c>
      <c r="E6" s="60"/>
      <c r="F6" s="2" t="s">
        <v>2</v>
      </c>
      <c r="G6" s="59" t="str">
        <f>'23.10 WOBULENZI-ZIROBWE'!G6:H6</f>
        <v>ZIROBWE</v>
      </c>
      <c r="H6" s="60"/>
      <c r="J6" s="2" t="s">
        <v>21</v>
      </c>
      <c r="K6" s="59" t="str">
        <f>'20.10 ZIROBWE-WOBULENZI'!K6:L6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22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22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64</v>
      </c>
      <c r="AD10" s="17">
        <f t="shared" si="2"/>
        <v>0</v>
      </c>
      <c r="AE10" s="31">
        <f t="shared" si="2"/>
        <v>2</v>
      </c>
      <c r="AF10" s="31">
        <f t="shared" si="2"/>
        <v>66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14</v>
      </c>
      <c r="N11" s="50">
        <v>0</v>
      </c>
      <c r="O11" s="15">
        <f t="shared" si="0"/>
        <v>1</v>
      </c>
      <c r="P11" s="15">
        <f t="shared" si="1"/>
        <v>15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52</v>
      </c>
      <c r="AD11" s="17">
        <f t="shared" si="3"/>
        <v>0</v>
      </c>
      <c r="AE11" s="31">
        <f t="shared" si="3"/>
        <v>8</v>
      </c>
      <c r="AF11" s="31">
        <f t="shared" si="3"/>
        <v>60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17</v>
      </c>
      <c r="N12" s="50">
        <v>0</v>
      </c>
      <c r="O12" s="15">
        <f t="shared" si="0"/>
        <v>0</v>
      </c>
      <c r="P12" s="15">
        <f t="shared" si="1"/>
        <v>17</v>
      </c>
      <c r="R12" s="1" t="s">
        <v>8</v>
      </c>
      <c r="S12" s="17">
        <f t="shared" ref="S12:AF12" si="4">SUM(C18:C21)</f>
        <v>4</v>
      </c>
      <c r="T12" s="17">
        <f t="shared" si="4"/>
        <v>0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26</v>
      </c>
      <c r="AD12" s="17">
        <f t="shared" si="4"/>
        <v>0</v>
      </c>
      <c r="AE12" s="31">
        <f t="shared" si="4"/>
        <v>7</v>
      </c>
      <c r="AF12" s="31">
        <f t="shared" si="4"/>
        <v>33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11</v>
      </c>
      <c r="N13" s="50">
        <v>0</v>
      </c>
      <c r="O13" s="15">
        <f t="shared" si="0"/>
        <v>1</v>
      </c>
      <c r="P13" s="15">
        <f t="shared" si="1"/>
        <v>12</v>
      </c>
      <c r="R13" s="1" t="s">
        <v>9</v>
      </c>
      <c r="S13" s="17">
        <f t="shared" ref="S13:AF13" si="5">SUM(C22:C25)</f>
        <v>0</v>
      </c>
      <c r="T13" s="17">
        <f t="shared" si="5"/>
        <v>0</v>
      </c>
      <c r="U13" s="17">
        <f t="shared" si="5"/>
        <v>1</v>
      </c>
      <c r="V13" s="17">
        <f t="shared" si="5"/>
        <v>3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47</v>
      </c>
      <c r="AD13" s="17">
        <f t="shared" si="5"/>
        <v>0</v>
      </c>
      <c r="AE13" s="31">
        <f t="shared" si="5"/>
        <v>4</v>
      </c>
      <c r="AF13" s="31">
        <f t="shared" si="5"/>
        <v>51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20</v>
      </c>
      <c r="N14" s="50">
        <v>0</v>
      </c>
      <c r="O14" s="15">
        <f t="shared" si="0"/>
        <v>2</v>
      </c>
      <c r="P14" s="15">
        <f t="shared" si="1"/>
        <v>22</v>
      </c>
      <c r="R14" s="1" t="s">
        <v>10</v>
      </c>
      <c r="S14" s="17">
        <f t="shared" ref="S14:AF14" si="6">SUM(C26:C29)</f>
        <v>4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11</v>
      </c>
      <c r="AA14" s="17">
        <f t="shared" si="6"/>
        <v>0</v>
      </c>
      <c r="AB14" s="17">
        <f t="shared" si="6"/>
        <v>1</v>
      </c>
      <c r="AC14" s="17">
        <f t="shared" si="6"/>
        <v>63</v>
      </c>
      <c r="AD14" s="17">
        <f t="shared" si="6"/>
        <v>0</v>
      </c>
      <c r="AE14" s="31">
        <f t="shared" si="6"/>
        <v>20</v>
      </c>
      <c r="AF14" s="31">
        <f t="shared" si="6"/>
        <v>83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13</v>
      </c>
      <c r="N15" s="50">
        <v>0</v>
      </c>
      <c r="O15" s="15">
        <f t="shared" si="0"/>
        <v>3</v>
      </c>
      <c r="P15" s="15">
        <f t="shared" si="1"/>
        <v>16</v>
      </c>
      <c r="R15" s="1" t="s">
        <v>11</v>
      </c>
      <c r="S15" s="17">
        <f t="shared" ref="S15:AF15" si="7">SUM(C30:C33)</f>
        <v>3</v>
      </c>
      <c r="T15" s="17">
        <f t="shared" si="7"/>
        <v>0</v>
      </c>
      <c r="U15" s="17">
        <f t="shared" si="7"/>
        <v>2</v>
      </c>
      <c r="V15" s="17">
        <f t="shared" si="7"/>
        <v>0</v>
      </c>
      <c r="W15" s="17">
        <f t="shared" si="7"/>
        <v>1</v>
      </c>
      <c r="X15" s="17">
        <f t="shared" si="7"/>
        <v>0</v>
      </c>
      <c r="Y15" s="17">
        <f t="shared" si="7"/>
        <v>1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70</v>
      </c>
      <c r="AD15" s="17">
        <f t="shared" si="7"/>
        <v>0</v>
      </c>
      <c r="AE15" s="31">
        <f t="shared" si="7"/>
        <v>12</v>
      </c>
      <c r="AF15" s="31">
        <f t="shared" si="7"/>
        <v>82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10</v>
      </c>
      <c r="N16" s="50">
        <v>0</v>
      </c>
      <c r="O16" s="15">
        <f t="shared" si="0"/>
        <v>2</v>
      </c>
      <c r="P16" s="15">
        <f t="shared" si="1"/>
        <v>12</v>
      </c>
      <c r="R16" s="1" t="s">
        <v>12</v>
      </c>
      <c r="S16" s="17">
        <f t="shared" ref="S16:AF16" si="8">SUM(C34:C37)</f>
        <v>2</v>
      </c>
      <c r="T16" s="17">
        <f t="shared" si="8"/>
        <v>3</v>
      </c>
      <c r="U16" s="17">
        <f t="shared" si="8"/>
        <v>0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7</v>
      </c>
      <c r="AA16" s="17">
        <f t="shared" si="8"/>
        <v>0</v>
      </c>
      <c r="AB16" s="17">
        <f t="shared" si="8"/>
        <v>0</v>
      </c>
      <c r="AC16" s="17">
        <f t="shared" si="8"/>
        <v>78</v>
      </c>
      <c r="AD16" s="17">
        <f t="shared" si="8"/>
        <v>0</v>
      </c>
      <c r="AE16" s="31">
        <f t="shared" si="8"/>
        <v>16</v>
      </c>
      <c r="AF16" s="31">
        <f t="shared" si="8"/>
        <v>94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9</v>
      </c>
      <c r="N17" s="50">
        <v>0</v>
      </c>
      <c r="O17" s="15">
        <f t="shared" si="0"/>
        <v>1</v>
      </c>
      <c r="P17" s="15">
        <f t="shared" si="1"/>
        <v>10</v>
      </c>
      <c r="R17" s="1" t="s">
        <v>13</v>
      </c>
      <c r="S17" s="17">
        <f t="shared" ref="S17:AF17" si="9">SUM(C38:C41)</f>
        <v>3</v>
      </c>
      <c r="T17" s="17">
        <f t="shared" si="9"/>
        <v>0</v>
      </c>
      <c r="U17" s="17">
        <f t="shared" si="9"/>
        <v>1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65</v>
      </c>
      <c r="AD17" s="17">
        <f t="shared" si="9"/>
        <v>0</v>
      </c>
      <c r="AE17" s="31">
        <f t="shared" si="9"/>
        <v>9</v>
      </c>
      <c r="AF17" s="31">
        <f t="shared" si="9"/>
        <v>74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5</v>
      </c>
      <c r="P18" s="15">
        <f t="shared" si="1"/>
        <v>11</v>
      </c>
      <c r="R18" s="1" t="s">
        <v>14</v>
      </c>
      <c r="S18" s="17">
        <f t="shared" ref="S18:AF18" si="10">SUM(C42:C45)</f>
        <v>1</v>
      </c>
      <c r="T18" s="17">
        <f t="shared" si="10"/>
        <v>0</v>
      </c>
      <c r="U18" s="17">
        <f t="shared" si="10"/>
        <v>1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0</v>
      </c>
      <c r="Z18" s="17">
        <f t="shared" si="10"/>
        <v>4</v>
      </c>
      <c r="AA18" s="17">
        <f t="shared" si="10"/>
        <v>0</v>
      </c>
      <c r="AB18" s="17">
        <f t="shared" si="10"/>
        <v>1</v>
      </c>
      <c r="AC18" s="17">
        <f t="shared" si="10"/>
        <v>71</v>
      </c>
      <c r="AD18" s="17">
        <f t="shared" si="10"/>
        <v>0</v>
      </c>
      <c r="AE18" s="31">
        <f t="shared" si="10"/>
        <v>10</v>
      </c>
      <c r="AF18" s="31">
        <f t="shared" si="10"/>
        <v>81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</v>
      </c>
      <c r="N19" s="50">
        <v>0</v>
      </c>
      <c r="O19" s="15">
        <f t="shared" si="0"/>
        <v>2</v>
      </c>
      <c r="P19" s="15">
        <f t="shared" si="1"/>
        <v>6</v>
      </c>
      <c r="R19" s="1" t="s">
        <v>15</v>
      </c>
      <c r="S19" s="17">
        <f t="shared" ref="S19:AF19" si="11">SUM(C46:C49)</f>
        <v>4</v>
      </c>
      <c r="T19" s="17">
        <f t="shared" si="11"/>
        <v>2</v>
      </c>
      <c r="U19" s="17">
        <f t="shared" si="11"/>
        <v>2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6</v>
      </c>
      <c r="AA19" s="17">
        <f t="shared" si="11"/>
        <v>0</v>
      </c>
      <c r="AB19" s="17">
        <f t="shared" si="11"/>
        <v>0</v>
      </c>
      <c r="AC19" s="17">
        <f t="shared" si="11"/>
        <v>72</v>
      </c>
      <c r="AD19" s="17">
        <f t="shared" si="11"/>
        <v>0</v>
      </c>
      <c r="AE19" s="31">
        <f t="shared" si="11"/>
        <v>19</v>
      </c>
      <c r="AF19" s="31">
        <f t="shared" si="11"/>
        <v>91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7</v>
      </c>
      <c r="N20" s="50">
        <v>0</v>
      </c>
      <c r="O20" s="15">
        <f t="shared" si="0"/>
        <v>0</v>
      </c>
      <c r="P20" s="15">
        <f t="shared" si="1"/>
        <v>7</v>
      </c>
      <c r="R20" s="1" t="s">
        <v>16</v>
      </c>
      <c r="S20" s="17">
        <f t="shared" ref="S20:AF20" si="12">SUM(C50:C53)</f>
        <v>4</v>
      </c>
      <c r="T20" s="17">
        <f t="shared" si="12"/>
        <v>3</v>
      </c>
      <c r="U20" s="17">
        <f t="shared" si="12"/>
        <v>1</v>
      </c>
      <c r="V20" s="17">
        <f t="shared" si="12"/>
        <v>0</v>
      </c>
      <c r="W20" s="17">
        <f t="shared" si="12"/>
        <v>1</v>
      </c>
      <c r="X20" s="17">
        <f t="shared" si="12"/>
        <v>0</v>
      </c>
      <c r="Y20" s="17">
        <f t="shared" si="12"/>
        <v>1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73</v>
      </c>
      <c r="AD20" s="17">
        <f t="shared" si="12"/>
        <v>0</v>
      </c>
      <c r="AE20" s="31">
        <f t="shared" si="12"/>
        <v>14</v>
      </c>
      <c r="AF20" s="31">
        <f t="shared" si="12"/>
        <v>87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0</v>
      </c>
      <c r="P21" s="15">
        <f t="shared" si="1"/>
        <v>9</v>
      </c>
      <c r="R21" s="36" t="s">
        <v>20</v>
      </c>
      <c r="S21" s="34">
        <f t="shared" ref="S21:AF21" si="13">SUM(C54:C57)</f>
        <v>3</v>
      </c>
      <c r="T21" s="17">
        <f t="shared" si="13"/>
        <v>0</v>
      </c>
      <c r="U21" s="17">
        <f t="shared" si="13"/>
        <v>3</v>
      </c>
      <c r="V21" s="17">
        <f t="shared" si="13"/>
        <v>0</v>
      </c>
      <c r="W21" s="17">
        <f t="shared" si="13"/>
        <v>1</v>
      </c>
      <c r="X21" s="17">
        <f t="shared" si="13"/>
        <v>0</v>
      </c>
      <c r="Y21" s="17">
        <f t="shared" si="13"/>
        <v>3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78</v>
      </c>
      <c r="AD21" s="17">
        <f t="shared" si="13"/>
        <v>0</v>
      </c>
      <c r="AE21" s="31">
        <f t="shared" si="13"/>
        <v>13</v>
      </c>
      <c r="AF21" s="31">
        <f t="shared" si="13"/>
        <v>91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0</v>
      </c>
      <c r="P22" s="15">
        <f t="shared" si="1"/>
        <v>15</v>
      </c>
      <c r="R22" s="38" t="s">
        <v>90</v>
      </c>
      <c r="S22" s="39">
        <f>MAX(S10:S12)</f>
        <v>4</v>
      </c>
      <c r="T22" s="39">
        <f t="shared" ref="T22:AF22" si="14">MAX(T10:T12)</f>
        <v>0</v>
      </c>
      <c r="U22" s="39">
        <f t="shared" si="14"/>
        <v>0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64</v>
      </c>
      <c r="AD22" s="39">
        <f t="shared" si="14"/>
        <v>0</v>
      </c>
      <c r="AE22" s="40">
        <f t="shared" si="14"/>
        <v>8</v>
      </c>
      <c r="AF22" s="40">
        <f t="shared" si="14"/>
        <v>66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1</v>
      </c>
      <c r="P23" s="15">
        <f t="shared" si="1"/>
        <v>13</v>
      </c>
      <c r="R23" s="38" t="s">
        <v>91</v>
      </c>
      <c r="S23" s="39">
        <f>MAX(S13:S18)</f>
        <v>4</v>
      </c>
      <c r="T23" s="39">
        <f t="shared" ref="T23:AF23" si="15">MAX(T13:T18)</f>
        <v>3</v>
      </c>
      <c r="U23" s="39">
        <f t="shared" si="15"/>
        <v>2</v>
      </c>
      <c r="V23" s="39">
        <f t="shared" si="15"/>
        <v>3</v>
      </c>
      <c r="W23" s="39">
        <f t="shared" si="15"/>
        <v>1</v>
      </c>
      <c r="X23" s="39">
        <f t="shared" si="15"/>
        <v>0</v>
      </c>
      <c r="Y23" s="39">
        <f t="shared" si="15"/>
        <v>3</v>
      </c>
      <c r="Z23" s="39">
        <f t="shared" si="15"/>
        <v>11</v>
      </c>
      <c r="AA23" s="39">
        <f t="shared" si="15"/>
        <v>0</v>
      </c>
      <c r="AB23" s="39">
        <f t="shared" si="15"/>
        <v>1</v>
      </c>
      <c r="AC23" s="39">
        <f t="shared" si="15"/>
        <v>78</v>
      </c>
      <c r="AD23" s="39">
        <f t="shared" si="15"/>
        <v>0</v>
      </c>
      <c r="AE23" s="40">
        <f t="shared" si="15"/>
        <v>20</v>
      </c>
      <c r="AF23" s="40">
        <f t="shared" si="15"/>
        <v>94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1</v>
      </c>
      <c r="P24" s="15">
        <f t="shared" si="1"/>
        <v>12</v>
      </c>
      <c r="R24" s="38" t="s">
        <v>92</v>
      </c>
      <c r="S24" s="39">
        <f>MAX(S19:S21)</f>
        <v>4</v>
      </c>
      <c r="T24" s="39">
        <f t="shared" ref="T24:AF24" si="16">MAX(T19:T21)</f>
        <v>3</v>
      </c>
      <c r="U24" s="39">
        <f t="shared" si="16"/>
        <v>3</v>
      </c>
      <c r="V24" s="39">
        <f t="shared" si="16"/>
        <v>4</v>
      </c>
      <c r="W24" s="39">
        <f t="shared" si="16"/>
        <v>1</v>
      </c>
      <c r="X24" s="39">
        <f t="shared" si="16"/>
        <v>0</v>
      </c>
      <c r="Y24" s="39">
        <f t="shared" si="16"/>
        <v>3</v>
      </c>
      <c r="Z24" s="39">
        <f t="shared" si="16"/>
        <v>6</v>
      </c>
      <c r="AA24" s="39">
        <f t="shared" si="16"/>
        <v>0</v>
      </c>
      <c r="AB24" s="39">
        <f t="shared" si="16"/>
        <v>0</v>
      </c>
      <c r="AC24" s="39">
        <f t="shared" si="16"/>
        <v>78</v>
      </c>
      <c r="AD24" s="39">
        <f t="shared" si="16"/>
        <v>0</v>
      </c>
      <c r="AE24" s="40">
        <f t="shared" si="16"/>
        <v>19</v>
      </c>
      <c r="AF24" s="40">
        <f t="shared" si="16"/>
        <v>91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1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9</v>
      </c>
      <c r="N25" s="50">
        <v>0</v>
      </c>
      <c r="O25" s="15">
        <f t="shared" si="0"/>
        <v>2</v>
      </c>
      <c r="P25" s="15">
        <f t="shared" si="1"/>
        <v>11</v>
      </c>
      <c r="R25" s="37" t="s">
        <v>85</v>
      </c>
      <c r="S25" s="35">
        <f t="shared" ref="S25:AF25" si="17">SUM(S10:S12)</f>
        <v>9</v>
      </c>
      <c r="T25" s="16">
        <f t="shared" si="17"/>
        <v>0</v>
      </c>
      <c r="U25" s="16">
        <f t="shared" si="17"/>
        <v>0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5</v>
      </c>
      <c r="Z25" s="16">
        <f t="shared" si="17"/>
        <v>2</v>
      </c>
      <c r="AA25" s="16">
        <f t="shared" si="17"/>
        <v>0</v>
      </c>
      <c r="AB25" s="16">
        <f t="shared" si="17"/>
        <v>0</v>
      </c>
      <c r="AC25" s="16">
        <f t="shared" si="17"/>
        <v>142</v>
      </c>
      <c r="AD25" s="16">
        <f t="shared" si="17"/>
        <v>0</v>
      </c>
      <c r="AE25" s="32">
        <f t="shared" si="17"/>
        <v>17</v>
      </c>
      <c r="AF25" s="32">
        <f t="shared" si="17"/>
        <v>159</v>
      </c>
    </row>
    <row r="26" spans="2:32" ht="23.1" customHeight="1" x14ac:dyDescent="0.25">
      <c r="B26" s="23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1</v>
      </c>
      <c r="M26" s="50">
        <v>16</v>
      </c>
      <c r="N26" s="50">
        <v>0</v>
      </c>
      <c r="O26" s="15">
        <f t="shared" si="0"/>
        <v>2</v>
      </c>
      <c r="P26" s="15">
        <f t="shared" si="1"/>
        <v>18</v>
      </c>
      <c r="R26" s="28" t="s">
        <v>86</v>
      </c>
      <c r="S26" s="16">
        <f t="shared" ref="S26:AF26" si="18">SUM(S13:S18)</f>
        <v>13</v>
      </c>
      <c r="T26" s="16">
        <f t="shared" si="18"/>
        <v>3</v>
      </c>
      <c r="U26" s="16">
        <f t="shared" si="18"/>
        <v>6</v>
      </c>
      <c r="V26" s="16">
        <f t="shared" si="18"/>
        <v>9</v>
      </c>
      <c r="W26" s="16">
        <f t="shared" si="18"/>
        <v>1</v>
      </c>
      <c r="X26" s="16">
        <f t="shared" si="18"/>
        <v>0</v>
      </c>
      <c r="Y26" s="16">
        <f t="shared" si="18"/>
        <v>8</v>
      </c>
      <c r="Z26" s="16">
        <f t="shared" si="18"/>
        <v>29</v>
      </c>
      <c r="AA26" s="16">
        <f t="shared" si="18"/>
        <v>0</v>
      </c>
      <c r="AB26" s="16">
        <f t="shared" si="18"/>
        <v>2</v>
      </c>
      <c r="AC26" s="16">
        <f t="shared" si="18"/>
        <v>394</v>
      </c>
      <c r="AD26" s="16">
        <f t="shared" si="18"/>
        <v>0</v>
      </c>
      <c r="AE26" s="32">
        <f t="shared" si="18"/>
        <v>71</v>
      </c>
      <c r="AF26" s="32">
        <f t="shared" si="18"/>
        <v>465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6</v>
      </c>
      <c r="K27" s="50">
        <v>0</v>
      </c>
      <c r="L27" s="50">
        <v>0</v>
      </c>
      <c r="M27" s="50">
        <v>17</v>
      </c>
      <c r="N27" s="50">
        <v>0</v>
      </c>
      <c r="O27" s="15">
        <f t="shared" si="0"/>
        <v>6</v>
      </c>
      <c r="P27" s="15">
        <f t="shared" si="1"/>
        <v>23</v>
      </c>
      <c r="R27" s="29" t="s">
        <v>87</v>
      </c>
      <c r="S27" s="16">
        <f t="shared" ref="S27:AF27" si="19">SUM(S19:S21)</f>
        <v>11</v>
      </c>
      <c r="T27" s="16">
        <f t="shared" si="19"/>
        <v>5</v>
      </c>
      <c r="U27" s="16">
        <f t="shared" si="19"/>
        <v>6</v>
      </c>
      <c r="V27" s="16">
        <f t="shared" si="19"/>
        <v>4</v>
      </c>
      <c r="W27" s="16">
        <f t="shared" si="19"/>
        <v>2</v>
      </c>
      <c r="X27" s="16">
        <f t="shared" si="19"/>
        <v>0</v>
      </c>
      <c r="Y27" s="16">
        <f t="shared" si="19"/>
        <v>5</v>
      </c>
      <c r="Z27" s="16">
        <f t="shared" si="19"/>
        <v>13</v>
      </c>
      <c r="AA27" s="16">
        <f t="shared" si="19"/>
        <v>0</v>
      </c>
      <c r="AB27" s="16">
        <f t="shared" si="19"/>
        <v>0</v>
      </c>
      <c r="AC27" s="16">
        <f t="shared" si="19"/>
        <v>223</v>
      </c>
      <c r="AD27" s="16">
        <f t="shared" si="19"/>
        <v>0</v>
      </c>
      <c r="AE27" s="32">
        <f t="shared" si="19"/>
        <v>46</v>
      </c>
      <c r="AF27" s="32">
        <f t="shared" si="19"/>
        <v>269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2</v>
      </c>
      <c r="J28" s="50">
        <v>3</v>
      </c>
      <c r="K28" s="50">
        <v>0</v>
      </c>
      <c r="L28" s="50">
        <v>0</v>
      </c>
      <c r="M28" s="50">
        <v>13</v>
      </c>
      <c r="N28" s="50">
        <v>0</v>
      </c>
      <c r="O28" s="15">
        <f t="shared" si="0"/>
        <v>8</v>
      </c>
      <c r="P28" s="15">
        <f t="shared" si="1"/>
        <v>21</v>
      </c>
      <c r="R28" s="5" t="s">
        <v>17</v>
      </c>
      <c r="S28" s="16">
        <f t="shared" ref="S28:AF28" si="20">SUM(S10:S21)</f>
        <v>33</v>
      </c>
      <c r="T28" s="16">
        <f t="shared" si="20"/>
        <v>8</v>
      </c>
      <c r="U28" s="16">
        <f t="shared" si="20"/>
        <v>12</v>
      </c>
      <c r="V28" s="16">
        <f t="shared" si="20"/>
        <v>14</v>
      </c>
      <c r="W28" s="16">
        <f t="shared" si="20"/>
        <v>3</v>
      </c>
      <c r="X28" s="16">
        <f t="shared" si="20"/>
        <v>0</v>
      </c>
      <c r="Y28" s="16">
        <f t="shared" si="20"/>
        <v>18</v>
      </c>
      <c r="Z28" s="16">
        <f t="shared" si="20"/>
        <v>44</v>
      </c>
      <c r="AA28" s="16">
        <f t="shared" si="20"/>
        <v>0</v>
      </c>
      <c r="AB28" s="16">
        <f t="shared" si="20"/>
        <v>2</v>
      </c>
      <c r="AC28" s="16">
        <f t="shared" si="20"/>
        <v>759</v>
      </c>
      <c r="AD28" s="16">
        <f t="shared" si="20"/>
        <v>0</v>
      </c>
      <c r="AE28" s="32">
        <f t="shared" si="20"/>
        <v>134</v>
      </c>
      <c r="AF28" s="32">
        <f t="shared" si="20"/>
        <v>893</v>
      </c>
    </row>
    <row r="29" spans="2:32" ht="23.1" customHeight="1" x14ac:dyDescent="0.25">
      <c r="B29" s="23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0</v>
      </c>
      <c r="M29" s="50">
        <v>17</v>
      </c>
      <c r="N29" s="50">
        <v>0</v>
      </c>
      <c r="O29" s="15">
        <f t="shared" si="0"/>
        <v>4</v>
      </c>
      <c r="P29" s="15">
        <f t="shared" si="1"/>
        <v>21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20</v>
      </c>
      <c r="N30" s="50">
        <v>0</v>
      </c>
      <c r="O30" s="15">
        <f t="shared" si="0"/>
        <v>4</v>
      </c>
      <c r="P30" s="15">
        <f t="shared" si="1"/>
        <v>24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3</v>
      </c>
      <c r="K31" s="50">
        <v>0</v>
      </c>
      <c r="L31" s="50">
        <v>0</v>
      </c>
      <c r="M31" s="50">
        <v>24</v>
      </c>
      <c r="N31" s="50">
        <v>0</v>
      </c>
      <c r="O31" s="15">
        <f t="shared" si="0"/>
        <v>5</v>
      </c>
      <c r="P31" s="15">
        <f t="shared" si="1"/>
        <v>29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1</v>
      </c>
      <c r="P32" s="15">
        <f t="shared" si="1"/>
        <v>12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1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15</v>
      </c>
      <c r="N33" s="50">
        <v>0</v>
      </c>
      <c r="O33" s="15">
        <f t="shared" si="0"/>
        <v>2</v>
      </c>
      <c r="P33" s="15">
        <f t="shared" si="1"/>
        <v>17</v>
      </c>
    </row>
    <row r="34" spans="2:20" ht="23.1" customHeight="1" x14ac:dyDescent="0.25">
      <c r="B34" s="24" t="s">
        <v>61</v>
      </c>
      <c r="C34" s="50">
        <v>1</v>
      </c>
      <c r="D34" s="50">
        <v>1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5</v>
      </c>
      <c r="K34" s="50">
        <v>0</v>
      </c>
      <c r="L34" s="50">
        <v>0</v>
      </c>
      <c r="M34" s="50">
        <v>16</v>
      </c>
      <c r="N34" s="50">
        <v>0</v>
      </c>
      <c r="O34" s="15">
        <f t="shared" si="0"/>
        <v>8</v>
      </c>
      <c r="P34" s="15">
        <f t="shared" si="1"/>
        <v>24</v>
      </c>
    </row>
    <row r="35" spans="2:20" ht="23.1" customHeight="1" x14ac:dyDescent="0.25">
      <c r="B35" s="24" t="s">
        <v>62</v>
      </c>
      <c r="C35" s="50">
        <v>1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22</v>
      </c>
      <c r="N35" s="50">
        <v>0</v>
      </c>
      <c r="O35" s="15">
        <f t="shared" si="0"/>
        <v>3</v>
      </c>
      <c r="P35" s="15">
        <f t="shared" si="1"/>
        <v>25</v>
      </c>
    </row>
    <row r="36" spans="2:20" ht="23.1" customHeight="1" x14ac:dyDescent="0.25">
      <c r="B36" s="24" t="s">
        <v>63</v>
      </c>
      <c r="C36" s="50">
        <v>0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16</v>
      </c>
      <c r="N36" s="50">
        <v>0</v>
      </c>
      <c r="O36" s="15">
        <f t="shared" si="0"/>
        <v>1</v>
      </c>
      <c r="P36" s="15">
        <f t="shared" si="1"/>
        <v>17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0</v>
      </c>
      <c r="M37" s="50">
        <v>24</v>
      </c>
      <c r="N37" s="50">
        <v>0</v>
      </c>
      <c r="O37" s="15">
        <f t="shared" si="0"/>
        <v>4</v>
      </c>
      <c r="P37" s="15">
        <f t="shared" si="1"/>
        <v>28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21</v>
      </c>
      <c r="N38" s="50">
        <v>0</v>
      </c>
      <c r="O38" s="15">
        <f t="shared" si="0"/>
        <v>1</v>
      </c>
      <c r="P38" s="15">
        <f t="shared" si="1"/>
        <v>22</v>
      </c>
    </row>
    <row r="39" spans="2:20" ht="23.1" customHeight="1" x14ac:dyDescent="0.25">
      <c r="B39" s="24" t="s">
        <v>66</v>
      </c>
      <c r="C39" s="50">
        <v>1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18</v>
      </c>
      <c r="N39" s="50">
        <v>0</v>
      </c>
      <c r="O39" s="15">
        <f t="shared" si="0"/>
        <v>3</v>
      </c>
      <c r="P39" s="15">
        <f t="shared" si="1"/>
        <v>21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16</v>
      </c>
      <c r="N40" s="50">
        <v>0</v>
      </c>
      <c r="O40" s="15">
        <f t="shared" si="0"/>
        <v>4</v>
      </c>
      <c r="P40" s="15">
        <f t="shared" si="1"/>
        <v>20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10</v>
      </c>
      <c r="N41" s="50">
        <v>0</v>
      </c>
      <c r="O41" s="15">
        <f t="shared" si="0"/>
        <v>1</v>
      </c>
      <c r="P41" s="15">
        <f t="shared" si="1"/>
        <v>11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2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21</v>
      </c>
      <c r="N42" s="50">
        <v>0</v>
      </c>
      <c r="O42" s="15">
        <f t="shared" si="0"/>
        <v>4</v>
      </c>
      <c r="P42" s="15">
        <f t="shared" si="1"/>
        <v>25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0</v>
      </c>
      <c r="P43" s="15">
        <f t="shared" si="1"/>
        <v>14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0</v>
      </c>
      <c r="J44" s="50">
        <v>1</v>
      </c>
      <c r="K44" s="50">
        <v>0</v>
      </c>
      <c r="L44" s="50">
        <v>0</v>
      </c>
      <c r="M44" s="50">
        <v>12</v>
      </c>
      <c r="N44" s="50">
        <v>0</v>
      </c>
      <c r="O44" s="15">
        <f t="shared" si="0"/>
        <v>2</v>
      </c>
      <c r="P44" s="15">
        <f t="shared" si="1"/>
        <v>14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0</v>
      </c>
      <c r="J45" s="50">
        <v>2</v>
      </c>
      <c r="K45" s="50">
        <v>0</v>
      </c>
      <c r="L45" s="50">
        <v>1</v>
      </c>
      <c r="M45" s="50">
        <v>24</v>
      </c>
      <c r="N45" s="50">
        <v>0</v>
      </c>
      <c r="O45" s="15">
        <f t="shared" si="0"/>
        <v>4</v>
      </c>
      <c r="P45" s="15">
        <f t="shared" si="1"/>
        <v>28</v>
      </c>
    </row>
    <row r="46" spans="2:20" ht="23.1" customHeight="1" x14ac:dyDescent="0.25">
      <c r="B46" s="24" t="s">
        <v>73</v>
      </c>
      <c r="C46" s="50">
        <v>1</v>
      </c>
      <c r="D46" s="50">
        <v>1</v>
      </c>
      <c r="E46" s="50">
        <v>0</v>
      </c>
      <c r="F46" s="50">
        <v>1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4</v>
      </c>
      <c r="P46" s="15">
        <f t="shared" si="1"/>
        <v>22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1</v>
      </c>
      <c r="E47" s="50">
        <v>2</v>
      </c>
      <c r="F47" s="50">
        <v>2</v>
      </c>
      <c r="G47" s="50">
        <v>0</v>
      </c>
      <c r="H47" s="50">
        <v>0</v>
      </c>
      <c r="I47" s="50">
        <v>0</v>
      </c>
      <c r="J47" s="50">
        <v>2</v>
      </c>
      <c r="K47" s="50">
        <v>0</v>
      </c>
      <c r="L47" s="50">
        <v>0</v>
      </c>
      <c r="M47" s="50">
        <v>20</v>
      </c>
      <c r="N47" s="50">
        <v>0</v>
      </c>
      <c r="O47" s="15">
        <f t="shared" si="0"/>
        <v>8</v>
      </c>
      <c r="P47" s="15">
        <f t="shared" si="1"/>
        <v>28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4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4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15</v>
      </c>
      <c r="N49" s="50">
        <v>0</v>
      </c>
      <c r="O49" s="15">
        <f t="shared" si="0"/>
        <v>3</v>
      </c>
      <c r="P49" s="15">
        <f t="shared" si="1"/>
        <v>18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5</v>
      </c>
      <c r="P50" s="15">
        <f t="shared" si="1"/>
        <v>17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1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21</v>
      </c>
      <c r="N51" s="50">
        <v>0</v>
      </c>
      <c r="O51" s="15">
        <f t="shared" si="0"/>
        <v>3</v>
      </c>
      <c r="P51" s="15">
        <f t="shared" si="1"/>
        <v>24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14</v>
      </c>
      <c r="N52" s="50">
        <v>0</v>
      </c>
      <c r="O52" s="15">
        <f t="shared" si="0"/>
        <v>2</v>
      </c>
      <c r="P52" s="15">
        <f t="shared" si="1"/>
        <v>16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26</v>
      </c>
      <c r="N53" s="50">
        <v>0</v>
      </c>
      <c r="O53" s="15">
        <f t="shared" si="0"/>
        <v>4</v>
      </c>
      <c r="P53" s="15">
        <f t="shared" si="1"/>
        <v>30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24</v>
      </c>
      <c r="N54" s="50">
        <v>0</v>
      </c>
      <c r="O54" s="15">
        <f t="shared" si="0"/>
        <v>3</v>
      </c>
      <c r="P54" s="15">
        <f t="shared" si="1"/>
        <v>27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21</v>
      </c>
      <c r="N55" s="50">
        <v>0</v>
      </c>
      <c r="O55" s="15">
        <f t="shared" si="0"/>
        <v>3</v>
      </c>
      <c r="P55" s="15">
        <f t="shared" si="1"/>
        <v>24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19</v>
      </c>
      <c r="N56" s="50">
        <v>0</v>
      </c>
      <c r="O56" s="15">
        <f t="shared" si="0"/>
        <v>5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1</v>
      </c>
      <c r="F57" s="50">
        <v>0</v>
      </c>
      <c r="G57" s="50">
        <v>1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14</v>
      </c>
      <c r="N57" s="50">
        <v>0</v>
      </c>
      <c r="O57" s="15">
        <f t="shared" si="0"/>
        <v>2</v>
      </c>
      <c r="P57" s="15">
        <f t="shared" si="1"/>
        <v>16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33</v>
      </c>
      <c r="D58" s="16">
        <f t="shared" si="21"/>
        <v>8</v>
      </c>
      <c r="E58" s="16">
        <f t="shared" si="21"/>
        <v>12</v>
      </c>
      <c r="F58" s="16">
        <f t="shared" si="21"/>
        <v>14</v>
      </c>
      <c r="G58" s="16">
        <f t="shared" si="21"/>
        <v>3</v>
      </c>
      <c r="H58" s="16">
        <f t="shared" si="21"/>
        <v>0</v>
      </c>
      <c r="I58" s="16">
        <f t="shared" si="21"/>
        <v>18</v>
      </c>
      <c r="J58" s="16">
        <f t="shared" si="21"/>
        <v>44</v>
      </c>
      <c r="K58" s="16">
        <f t="shared" si="21"/>
        <v>0</v>
      </c>
      <c r="L58" s="16">
        <f t="shared" si="21"/>
        <v>2</v>
      </c>
      <c r="M58" s="16">
        <f t="shared" si="21"/>
        <v>759</v>
      </c>
      <c r="N58" s="16">
        <f t="shared" si="21"/>
        <v>0</v>
      </c>
      <c r="O58" s="16">
        <f t="shared" si="21"/>
        <v>134</v>
      </c>
      <c r="P58" s="16">
        <f t="shared" si="21"/>
        <v>893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3.6954087346024636E-2</v>
      </c>
      <c r="D59" s="43">
        <f t="shared" si="22"/>
        <v>8.9585666293393058E-3</v>
      </c>
      <c r="E59" s="43">
        <f t="shared" si="22"/>
        <v>1.3437849944008958E-2</v>
      </c>
      <c r="F59" s="43">
        <f t="shared" si="22"/>
        <v>1.5677491601343786E-2</v>
      </c>
      <c r="G59" s="43">
        <f t="shared" si="22"/>
        <v>3.3594624860022394E-3</v>
      </c>
      <c r="H59" s="43">
        <f t="shared" si="22"/>
        <v>0</v>
      </c>
      <c r="I59" s="43">
        <f t="shared" si="22"/>
        <v>2.0156774916013438E-2</v>
      </c>
      <c r="J59" s="43">
        <f t="shared" si="22"/>
        <v>4.9272116461366179E-2</v>
      </c>
      <c r="K59" s="43">
        <f t="shared" si="22"/>
        <v>0</v>
      </c>
      <c r="L59" s="43">
        <f t="shared" si="22"/>
        <v>2.2396416573348264E-3</v>
      </c>
      <c r="M59" s="43">
        <f t="shared" si="22"/>
        <v>0.84994400895856659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0.2462686567164179</v>
      </c>
      <c r="D60" s="44">
        <f t="shared" ref="D60:N60" si="23">D58/$O$58</f>
        <v>5.9701492537313432E-2</v>
      </c>
      <c r="E60" s="44">
        <f t="shared" si="23"/>
        <v>8.9552238805970144E-2</v>
      </c>
      <c r="F60" s="44">
        <f t="shared" si="23"/>
        <v>0.1044776119402985</v>
      </c>
      <c r="G60" s="44">
        <f t="shared" si="23"/>
        <v>2.2388059701492536E-2</v>
      </c>
      <c r="H60" s="44">
        <f t="shared" si="23"/>
        <v>0</v>
      </c>
      <c r="I60" s="44">
        <f t="shared" si="23"/>
        <v>0.13432835820895522</v>
      </c>
      <c r="J60" s="44">
        <f t="shared" si="23"/>
        <v>0.32835820895522388</v>
      </c>
      <c r="K60" s="44">
        <f t="shared" si="23"/>
        <v>0</v>
      </c>
      <c r="L60" s="44">
        <f t="shared" si="23"/>
        <v>1.4925373134328358E-2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ZIROBWE-WOBULENZI'!C3:G3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'18.10 WOBULENZI-ZIROBWE'!D5</f>
        <v>18.10.19</v>
      </c>
      <c r="E5" s="3"/>
      <c r="F5" s="41" t="s">
        <v>1</v>
      </c>
      <c r="G5" s="59" t="str">
        <f>'18.10 WOBULENZI-ZIROBWE'!G5:H5</f>
        <v>STATION 88</v>
      </c>
      <c r="H5" s="60"/>
      <c r="I5" s="14"/>
      <c r="J5" s="2" t="s">
        <v>5</v>
      </c>
      <c r="K5" s="59" t="str">
        <f>'18.10 WOBULENZI-ZIROBWE'!K5:L5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ZIROBWE-WOBULENZI'!D6:E6</f>
        <v>ZIROBWE</v>
      </c>
      <c r="E6" s="60"/>
      <c r="F6" s="2" t="s">
        <v>2</v>
      </c>
      <c r="G6" s="59" t="str">
        <f>'23.10 ZIROBWE-WOBULENZI'!G6:H6</f>
        <v>WOBULENZI</v>
      </c>
      <c r="H6" s="60"/>
      <c r="J6" s="2" t="s">
        <v>21</v>
      </c>
      <c r="K6" s="59" t="str">
        <f>'18.10 WOBULENZI-ZIROBWE'!K6:L6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16</v>
      </c>
      <c r="R10" s="1" t="s">
        <v>6</v>
      </c>
      <c r="S10" s="17">
        <f t="shared" ref="S10:AF10" si="2">SUM(C10:C13)</f>
        <v>2</v>
      </c>
      <c r="T10" s="17">
        <f t="shared" si="2"/>
        <v>1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47</v>
      </c>
      <c r="AD10" s="17">
        <f t="shared" si="2"/>
        <v>0</v>
      </c>
      <c r="AE10" s="31">
        <f t="shared" si="2"/>
        <v>6</v>
      </c>
      <c r="AF10" s="31">
        <f t="shared" si="2"/>
        <v>53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1</v>
      </c>
      <c r="P11" s="15">
        <f t="shared" si="1"/>
        <v>7</v>
      </c>
      <c r="R11" s="1" t="s">
        <v>7</v>
      </c>
      <c r="S11" s="17">
        <f t="shared" ref="S11:AF11" si="3">SUM(C14:C17)</f>
        <v>2</v>
      </c>
      <c r="T11" s="17">
        <f t="shared" si="3"/>
        <v>1</v>
      </c>
      <c r="U11" s="17">
        <f t="shared" si="3"/>
        <v>0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40</v>
      </c>
      <c r="AD11" s="17">
        <f t="shared" si="3"/>
        <v>0</v>
      </c>
      <c r="AE11" s="31">
        <f t="shared" si="3"/>
        <v>8</v>
      </c>
      <c r="AF11" s="31">
        <f t="shared" si="3"/>
        <v>48</v>
      </c>
    </row>
    <row r="12" spans="2:32" ht="23.1" customHeight="1" x14ac:dyDescent="0.25">
      <c r="B12" s="23" t="s">
        <v>39</v>
      </c>
      <c r="C12" s="50">
        <v>0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1</v>
      </c>
      <c r="K12" s="50">
        <v>0</v>
      </c>
      <c r="L12" s="50">
        <v>0</v>
      </c>
      <c r="M12" s="50">
        <v>16</v>
      </c>
      <c r="N12" s="50">
        <v>0</v>
      </c>
      <c r="O12" s="15">
        <f t="shared" si="0"/>
        <v>2</v>
      </c>
      <c r="P12" s="15">
        <f t="shared" si="1"/>
        <v>18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3</v>
      </c>
      <c r="V12" s="17">
        <f t="shared" si="4"/>
        <v>1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23</v>
      </c>
      <c r="AD12" s="17">
        <f t="shared" si="4"/>
        <v>0</v>
      </c>
      <c r="AE12" s="31">
        <f t="shared" si="4"/>
        <v>12</v>
      </c>
      <c r="AF12" s="31">
        <f t="shared" si="4"/>
        <v>35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0</v>
      </c>
      <c r="P13" s="15">
        <f t="shared" si="1"/>
        <v>12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3</v>
      </c>
      <c r="V13" s="17">
        <f t="shared" si="5"/>
        <v>4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11</v>
      </c>
      <c r="AA13" s="17">
        <f t="shared" si="5"/>
        <v>0</v>
      </c>
      <c r="AB13" s="17">
        <f t="shared" si="5"/>
        <v>1</v>
      </c>
      <c r="AC13" s="17">
        <f t="shared" si="5"/>
        <v>50</v>
      </c>
      <c r="AD13" s="17">
        <f t="shared" si="5"/>
        <v>0</v>
      </c>
      <c r="AE13" s="31">
        <f t="shared" si="5"/>
        <v>22</v>
      </c>
      <c r="AF13" s="31">
        <f t="shared" si="5"/>
        <v>72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1</v>
      </c>
      <c r="P14" s="15">
        <f t="shared" si="1"/>
        <v>11</v>
      </c>
      <c r="R14" s="1" t="s">
        <v>10</v>
      </c>
      <c r="S14" s="17">
        <f t="shared" ref="S14:AF14" si="6">SUM(C26:C29)</f>
        <v>5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12</v>
      </c>
      <c r="AA14" s="17">
        <f t="shared" si="6"/>
        <v>0</v>
      </c>
      <c r="AB14" s="17">
        <f t="shared" si="6"/>
        <v>0</v>
      </c>
      <c r="AC14" s="17">
        <f t="shared" si="6"/>
        <v>52</v>
      </c>
      <c r="AD14" s="17">
        <f t="shared" si="6"/>
        <v>0</v>
      </c>
      <c r="AE14" s="31">
        <f t="shared" si="6"/>
        <v>21</v>
      </c>
      <c r="AF14" s="31">
        <f t="shared" si="6"/>
        <v>73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3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6</v>
      </c>
      <c r="N15" s="50">
        <v>0</v>
      </c>
      <c r="O15" s="15">
        <f t="shared" si="0"/>
        <v>4</v>
      </c>
      <c r="P15" s="15">
        <f t="shared" si="1"/>
        <v>10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0</v>
      </c>
      <c r="V15" s="17">
        <f t="shared" si="7"/>
        <v>0</v>
      </c>
      <c r="W15" s="17">
        <f t="shared" si="7"/>
        <v>1</v>
      </c>
      <c r="X15" s="17">
        <f t="shared" si="7"/>
        <v>0</v>
      </c>
      <c r="Y15" s="17">
        <f t="shared" si="7"/>
        <v>5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70</v>
      </c>
      <c r="AD15" s="17">
        <f t="shared" si="7"/>
        <v>0</v>
      </c>
      <c r="AE15" s="31">
        <f t="shared" si="7"/>
        <v>12</v>
      </c>
      <c r="AF15" s="31">
        <f t="shared" si="7"/>
        <v>82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11</v>
      </c>
      <c r="N16" s="50">
        <v>0</v>
      </c>
      <c r="O16" s="15">
        <f t="shared" si="0"/>
        <v>2</v>
      </c>
      <c r="P16" s="15">
        <f t="shared" si="1"/>
        <v>13</v>
      </c>
      <c r="R16" s="1" t="s">
        <v>12</v>
      </c>
      <c r="S16" s="17">
        <f t="shared" ref="S16:AF16" si="8">SUM(C34:C37)</f>
        <v>5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59</v>
      </c>
      <c r="AD16" s="17">
        <f t="shared" si="8"/>
        <v>0</v>
      </c>
      <c r="AE16" s="31">
        <f t="shared" si="8"/>
        <v>10</v>
      </c>
      <c r="AF16" s="31">
        <f t="shared" si="8"/>
        <v>69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1</v>
      </c>
      <c r="P17" s="15">
        <f t="shared" si="1"/>
        <v>14</v>
      </c>
      <c r="R17" s="1" t="s">
        <v>13</v>
      </c>
      <c r="S17" s="17">
        <f t="shared" ref="S17:AF17" si="9">SUM(C38:C41)</f>
        <v>1</v>
      </c>
      <c r="T17" s="17">
        <f t="shared" si="9"/>
        <v>2</v>
      </c>
      <c r="U17" s="17">
        <f t="shared" si="9"/>
        <v>1</v>
      </c>
      <c r="V17" s="17">
        <f t="shared" si="9"/>
        <v>4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59</v>
      </c>
      <c r="AD17" s="17">
        <f t="shared" si="9"/>
        <v>0</v>
      </c>
      <c r="AE17" s="31">
        <f t="shared" si="9"/>
        <v>16</v>
      </c>
      <c r="AF17" s="31">
        <f t="shared" si="9"/>
        <v>75</v>
      </c>
    </row>
    <row r="18" spans="2:32" ht="23.1" customHeight="1" x14ac:dyDescent="0.25">
      <c r="B18" s="23" t="s">
        <v>45</v>
      </c>
      <c r="C18" s="50">
        <v>2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6</v>
      </c>
      <c r="N18" s="50">
        <v>0</v>
      </c>
      <c r="O18" s="15">
        <f t="shared" si="0"/>
        <v>4</v>
      </c>
      <c r="P18" s="15">
        <f t="shared" si="1"/>
        <v>10</v>
      </c>
      <c r="R18" s="1" t="s">
        <v>14</v>
      </c>
      <c r="S18" s="17">
        <f t="shared" ref="S18:AF18" si="10">SUM(C42:C45)</f>
        <v>2</v>
      </c>
      <c r="T18" s="17">
        <f t="shared" si="10"/>
        <v>0</v>
      </c>
      <c r="U18" s="17">
        <f t="shared" si="10"/>
        <v>2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7</v>
      </c>
      <c r="AA18" s="17">
        <f t="shared" si="10"/>
        <v>0</v>
      </c>
      <c r="AB18" s="17">
        <f t="shared" si="10"/>
        <v>1</v>
      </c>
      <c r="AC18" s="17">
        <f t="shared" si="10"/>
        <v>67</v>
      </c>
      <c r="AD18" s="17">
        <f t="shared" si="10"/>
        <v>0</v>
      </c>
      <c r="AE18" s="31">
        <f t="shared" si="10"/>
        <v>17</v>
      </c>
      <c r="AF18" s="31">
        <f t="shared" si="10"/>
        <v>84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</v>
      </c>
      <c r="N19" s="50">
        <v>0</v>
      </c>
      <c r="O19" s="15">
        <f t="shared" si="0"/>
        <v>2</v>
      </c>
      <c r="P19" s="15">
        <f t="shared" si="1"/>
        <v>7</v>
      </c>
      <c r="R19" s="1" t="s">
        <v>15</v>
      </c>
      <c r="S19" s="17">
        <f t="shared" ref="S19:AF19" si="11">SUM(C46:C49)</f>
        <v>5</v>
      </c>
      <c r="T19" s="17">
        <f t="shared" si="11"/>
        <v>0</v>
      </c>
      <c r="U19" s="17">
        <f t="shared" si="11"/>
        <v>2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83</v>
      </c>
      <c r="AD19" s="17">
        <f t="shared" si="11"/>
        <v>0</v>
      </c>
      <c r="AE19" s="31">
        <f t="shared" si="11"/>
        <v>14</v>
      </c>
      <c r="AF19" s="31">
        <f t="shared" si="11"/>
        <v>97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2</v>
      </c>
      <c r="K20" s="50">
        <v>0</v>
      </c>
      <c r="L20" s="50">
        <v>0</v>
      </c>
      <c r="M20" s="50">
        <v>7</v>
      </c>
      <c r="N20" s="50">
        <v>0</v>
      </c>
      <c r="O20" s="15">
        <f t="shared" si="0"/>
        <v>2</v>
      </c>
      <c r="P20" s="15">
        <f t="shared" si="1"/>
        <v>9</v>
      </c>
      <c r="R20" s="1" t="s">
        <v>16</v>
      </c>
      <c r="S20" s="17">
        <f t="shared" ref="S20:AF20" si="12">SUM(C50:C53)</f>
        <v>7</v>
      </c>
      <c r="T20" s="17">
        <f t="shared" si="12"/>
        <v>1</v>
      </c>
      <c r="U20" s="17">
        <f t="shared" si="12"/>
        <v>2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74</v>
      </c>
      <c r="AD20" s="17">
        <f t="shared" si="12"/>
        <v>0</v>
      </c>
      <c r="AE20" s="31">
        <f t="shared" si="12"/>
        <v>14</v>
      </c>
      <c r="AF20" s="31">
        <f t="shared" si="12"/>
        <v>88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5</v>
      </c>
      <c r="N21" s="50">
        <v>0</v>
      </c>
      <c r="O21" s="15">
        <f t="shared" si="0"/>
        <v>4</v>
      </c>
      <c r="P21" s="15">
        <f t="shared" si="1"/>
        <v>9</v>
      </c>
      <c r="R21" s="36" t="s">
        <v>20</v>
      </c>
      <c r="S21" s="34">
        <f t="shared" ref="S21:AF21" si="13">SUM(C54:C57)</f>
        <v>5</v>
      </c>
      <c r="T21" s="17">
        <f t="shared" si="13"/>
        <v>2</v>
      </c>
      <c r="U21" s="17">
        <f t="shared" si="13"/>
        <v>0</v>
      </c>
      <c r="V21" s="17">
        <f t="shared" si="13"/>
        <v>3</v>
      </c>
      <c r="W21" s="17">
        <f t="shared" si="13"/>
        <v>0</v>
      </c>
      <c r="X21" s="17">
        <f t="shared" si="13"/>
        <v>0</v>
      </c>
      <c r="Y21" s="17">
        <f t="shared" si="13"/>
        <v>4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70</v>
      </c>
      <c r="AD21" s="17">
        <f t="shared" si="13"/>
        <v>1</v>
      </c>
      <c r="AE21" s="31">
        <f t="shared" si="13"/>
        <v>19</v>
      </c>
      <c r="AF21" s="31">
        <f t="shared" si="13"/>
        <v>89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2</v>
      </c>
      <c r="G22" s="50">
        <v>0</v>
      </c>
      <c r="H22" s="50">
        <v>0</v>
      </c>
      <c r="I22" s="50">
        <v>0</v>
      </c>
      <c r="J22" s="50">
        <v>4</v>
      </c>
      <c r="K22" s="50">
        <v>0</v>
      </c>
      <c r="L22" s="50">
        <v>1</v>
      </c>
      <c r="M22" s="50">
        <v>9</v>
      </c>
      <c r="N22" s="50">
        <v>0</v>
      </c>
      <c r="O22" s="15">
        <f t="shared" si="0"/>
        <v>7</v>
      </c>
      <c r="P22" s="15">
        <f t="shared" si="1"/>
        <v>16</v>
      </c>
      <c r="R22" s="38" t="s">
        <v>90</v>
      </c>
      <c r="S22" s="39">
        <f>MAX(S10:S12)</f>
        <v>3</v>
      </c>
      <c r="T22" s="39">
        <f t="shared" ref="T22:AF22" si="14">MAX(T10:T12)</f>
        <v>1</v>
      </c>
      <c r="U22" s="39">
        <f t="shared" si="14"/>
        <v>3</v>
      </c>
      <c r="V22" s="39">
        <f t="shared" si="14"/>
        <v>3</v>
      </c>
      <c r="W22" s="39">
        <f t="shared" si="14"/>
        <v>0</v>
      </c>
      <c r="X22" s="39">
        <f t="shared" si="14"/>
        <v>0</v>
      </c>
      <c r="Y22" s="39">
        <f t="shared" si="14"/>
        <v>1</v>
      </c>
      <c r="Z22" s="39">
        <f t="shared" si="14"/>
        <v>4</v>
      </c>
      <c r="AA22" s="39">
        <f t="shared" si="14"/>
        <v>0</v>
      </c>
      <c r="AB22" s="39">
        <f t="shared" si="14"/>
        <v>0</v>
      </c>
      <c r="AC22" s="39">
        <f t="shared" si="14"/>
        <v>47</v>
      </c>
      <c r="AD22" s="39">
        <f t="shared" si="14"/>
        <v>0</v>
      </c>
      <c r="AE22" s="40">
        <f t="shared" si="14"/>
        <v>12</v>
      </c>
      <c r="AF22" s="40">
        <f t="shared" si="14"/>
        <v>53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11</v>
      </c>
      <c r="N23" s="50">
        <v>0</v>
      </c>
      <c r="O23" s="15">
        <f t="shared" si="0"/>
        <v>3</v>
      </c>
      <c r="P23" s="15">
        <f t="shared" si="1"/>
        <v>14</v>
      </c>
      <c r="R23" s="38" t="s">
        <v>91</v>
      </c>
      <c r="S23" s="39">
        <f>MAX(S13:S18)</f>
        <v>6</v>
      </c>
      <c r="T23" s="39">
        <f t="shared" ref="T23:AF23" si="15">MAX(T13:T18)</f>
        <v>2</v>
      </c>
      <c r="U23" s="39">
        <f t="shared" si="15"/>
        <v>3</v>
      </c>
      <c r="V23" s="39">
        <f t="shared" si="15"/>
        <v>4</v>
      </c>
      <c r="W23" s="39">
        <f t="shared" si="15"/>
        <v>1</v>
      </c>
      <c r="X23" s="39">
        <f t="shared" si="15"/>
        <v>0</v>
      </c>
      <c r="Y23" s="39">
        <f t="shared" si="15"/>
        <v>5</v>
      </c>
      <c r="Z23" s="39">
        <f t="shared" si="15"/>
        <v>12</v>
      </c>
      <c r="AA23" s="39">
        <f t="shared" si="15"/>
        <v>0</v>
      </c>
      <c r="AB23" s="39">
        <f t="shared" si="15"/>
        <v>1</v>
      </c>
      <c r="AC23" s="39">
        <f t="shared" si="15"/>
        <v>70</v>
      </c>
      <c r="AD23" s="39">
        <f t="shared" si="15"/>
        <v>0</v>
      </c>
      <c r="AE23" s="40">
        <f t="shared" si="15"/>
        <v>22</v>
      </c>
      <c r="AF23" s="40">
        <f t="shared" si="15"/>
        <v>84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3</v>
      </c>
      <c r="K24" s="50">
        <v>0</v>
      </c>
      <c r="L24" s="50">
        <v>0</v>
      </c>
      <c r="M24" s="50">
        <v>8</v>
      </c>
      <c r="N24" s="50">
        <v>0</v>
      </c>
      <c r="O24" s="15">
        <f t="shared" si="0"/>
        <v>4</v>
      </c>
      <c r="P24" s="15">
        <f t="shared" si="1"/>
        <v>12</v>
      </c>
      <c r="R24" s="38" t="s">
        <v>92</v>
      </c>
      <c r="S24" s="39">
        <f>MAX(S19:S21)</f>
        <v>7</v>
      </c>
      <c r="T24" s="39">
        <f t="shared" ref="T24:AF24" si="16">MAX(T19:T21)</f>
        <v>2</v>
      </c>
      <c r="U24" s="39">
        <f t="shared" si="16"/>
        <v>2</v>
      </c>
      <c r="V24" s="39">
        <f t="shared" si="16"/>
        <v>3</v>
      </c>
      <c r="W24" s="39">
        <f t="shared" si="16"/>
        <v>0</v>
      </c>
      <c r="X24" s="39">
        <f t="shared" si="16"/>
        <v>0</v>
      </c>
      <c r="Y24" s="39">
        <f t="shared" si="16"/>
        <v>4</v>
      </c>
      <c r="Z24" s="39">
        <f t="shared" si="16"/>
        <v>4</v>
      </c>
      <c r="AA24" s="39">
        <f t="shared" si="16"/>
        <v>0</v>
      </c>
      <c r="AB24" s="39">
        <f t="shared" si="16"/>
        <v>0</v>
      </c>
      <c r="AC24" s="39">
        <f t="shared" si="16"/>
        <v>83</v>
      </c>
      <c r="AD24" s="39">
        <f t="shared" si="16"/>
        <v>1</v>
      </c>
      <c r="AE24" s="40">
        <f t="shared" si="16"/>
        <v>19</v>
      </c>
      <c r="AF24" s="40">
        <f t="shared" si="16"/>
        <v>97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3</v>
      </c>
      <c r="F25" s="50">
        <v>1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0</v>
      </c>
      <c r="M25" s="50">
        <v>22</v>
      </c>
      <c r="N25" s="50">
        <v>0</v>
      </c>
      <c r="O25" s="15">
        <f t="shared" si="0"/>
        <v>8</v>
      </c>
      <c r="P25" s="15">
        <f t="shared" si="1"/>
        <v>30</v>
      </c>
      <c r="R25" s="37" t="s">
        <v>85</v>
      </c>
      <c r="S25" s="35">
        <f t="shared" ref="S25:AF25" si="17">SUM(S10:S12)</f>
        <v>7</v>
      </c>
      <c r="T25" s="16">
        <f t="shared" si="17"/>
        <v>2</v>
      </c>
      <c r="U25" s="16">
        <f t="shared" si="17"/>
        <v>3</v>
      </c>
      <c r="V25" s="16">
        <f t="shared" si="17"/>
        <v>5</v>
      </c>
      <c r="W25" s="16">
        <f t="shared" si="17"/>
        <v>0</v>
      </c>
      <c r="X25" s="16">
        <f t="shared" si="17"/>
        <v>0</v>
      </c>
      <c r="Y25" s="16">
        <f t="shared" si="17"/>
        <v>3</v>
      </c>
      <c r="Z25" s="16">
        <f t="shared" si="17"/>
        <v>6</v>
      </c>
      <c r="AA25" s="16">
        <f t="shared" si="17"/>
        <v>0</v>
      </c>
      <c r="AB25" s="16">
        <f t="shared" si="17"/>
        <v>0</v>
      </c>
      <c r="AC25" s="16">
        <f t="shared" si="17"/>
        <v>110</v>
      </c>
      <c r="AD25" s="16">
        <f t="shared" si="17"/>
        <v>0</v>
      </c>
      <c r="AE25" s="32">
        <f t="shared" si="17"/>
        <v>26</v>
      </c>
      <c r="AF25" s="32">
        <f t="shared" si="17"/>
        <v>136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1</v>
      </c>
      <c r="J26" s="50">
        <v>4</v>
      </c>
      <c r="K26" s="50">
        <v>0</v>
      </c>
      <c r="L26" s="50">
        <v>0</v>
      </c>
      <c r="M26" s="50">
        <v>14</v>
      </c>
      <c r="N26" s="50">
        <v>0</v>
      </c>
      <c r="O26" s="15">
        <f t="shared" si="0"/>
        <v>6</v>
      </c>
      <c r="P26" s="15">
        <f t="shared" si="1"/>
        <v>20</v>
      </c>
      <c r="R26" s="28" t="s">
        <v>86</v>
      </c>
      <c r="S26" s="16">
        <f t="shared" ref="S26:AF26" si="18">SUM(S13:S18)</f>
        <v>21</v>
      </c>
      <c r="T26" s="16">
        <f t="shared" si="18"/>
        <v>2</v>
      </c>
      <c r="U26" s="16">
        <f t="shared" si="18"/>
        <v>8</v>
      </c>
      <c r="V26" s="16">
        <f t="shared" si="18"/>
        <v>11</v>
      </c>
      <c r="W26" s="16">
        <f t="shared" si="18"/>
        <v>1</v>
      </c>
      <c r="X26" s="16">
        <f t="shared" si="18"/>
        <v>0</v>
      </c>
      <c r="Y26" s="16">
        <f t="shared" si="18"/>
        <v>15</v>
      </c>
      <c r="Z26" s="16">
        <f t="shared" si="18"/>
        <v>38</v>
      </c>
      <c r="AA26" s="16">
        <f t="shared" si="18"/>
        <v>0</v>
      </c>
      <c r="AB26" s="16">
        <f t="shared" si="18"/>
        <v>2</v>
      </c>
      <c r="AC26" s="16">
        <f t="shared" si="18"/>
        <v>357</v>
      </c>
      <c r="AD26" s="16">
        <f t="shared" si="18"/>
        <v>0</v>
      </c>
      <c r="AE26" s="32">
        <f t="shared" si="18"/>
        <v>98</v>
      </c>
      <c r="AF26" s="32">
        <f t="shared" si="18"/>
        <v>455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2</v>
      </c>
      <c r="J27" s="50">
        <v>3</v>
      </c>
      <c r="K27" s="50">
        <v>0</v>
      </c>
      <c r="L27" s="50">
        <v>0</v>
      </c>
      <c r="M27" s="50">
        <v>9</v>
      </c>
      <c r="N27" s="50">
        <v>0</v>
      </c>
      <c r="O27" s="15">
        <f t="shared" si="0"/>
        <v>7</v>
      </c>
      <c r="P27" s="15">
        <f t="shared" si="1"/>
        <v>16</v>
      </c>
      <c r="R27" s="29" t="s">
        <v>87</v>
      </c>
      <c r="S27" s="16">
        <f t="shared" ref="S27:AF27" si="19">SUM(S19:S21)</f>
        <v>17</v>
      </c>
      <c r="T27" s="16">
        <f t="shared" si="19"/>
        <v>3</v>
      </c>
      <c r="U27" s="16">
        <f t="shared" si="19"/>
        <v>4</v>
      </c>
      <c r="V27" s="16">
        <f t="shared" si="19"/>
        <v>8</v>
      </c>
      <c r="W27" s="16">
        <f t="shared" si="19"/>
        <v>0</v>
      </c>
      <c r="X27" s="16">
        <f t="shared" si="19"/>
        <v>0</v>
      </c>
      <c r="Y27" s="16">
        <f t="shared" si="19"/>
        <v>5</v>
      </c>
      <c r="Z27" s="16">
        <f t="shared" si="19"/>
        <v>9</v>
      </c>
      <c r="AA27" s="16">
        <f t="shared" si="19"/>
        <v>0</v>
      </c>
      <c r="AB27" s="16">
        <f t="shared" si="19"/>
        <v>0</v>
      </c>
      <c r="AC27" s="16">
        <f t="shared" si="19"/>
        <v>227</v>
      </c>
      <c r="AD27" s="16">
        <f t="shared" si="19"/>
        <v>1</v>
      </c>
      <c r="AE27" s="32">
        <f t="shared" si="19"/>
        <v>47</v>
      </c>
      <c r="AF27" s="32">
        <f t="shared" si="19"/>
        <v>274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2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4</v>
      </c>
      <c r="P28" s="15">
        <f t="shared" si="1"/>
        <v>18</v>
      </c>
      <c r="R28" s="5" t="s">
        <v>17</v>
      </c>
      <c r="S28" s="16">
        <f t="shared" ref="S28:AF28" si="20">SUM(S10:S21)</f>
        <v>45</v>
      </c>
      <c r="T28" s="16">
        <f t="shared" si="20"/>
        <v>7</v>
      </c>
      <c r="U28" s="16">
        <f t="shared" si="20"/>
        <v>15</v>
      </c>
      <c r="V28" s="16">
        <f t="shared" si="20"/>
        <v>24</v>
      </c>
      <c r="W28" s="16">
        <f t="shared" si="20"/>
        <v>1</v>
      </c>
      <c r="X28" s="16">
        <f t="shared" si="20"/>
        <v>0</v>
      </c>
      <c r="Y28" s="16">
        <f t="shared" si="20"/>
        <v>23</v>
      </c>
      <c r="Z28" s="16">
        <f t="shared" si="20"/>
        <v>53</v>
      </c>
      <c r="AA28" s="16">
        <f t="shared" si="20"/>
        <v>0</v>
      </c>
      <c r="AB28" s="16">
        <f t="shared" si="20"/>
        <v>2</v>
      </c>
      <c r="AC28" s="16">
        <f t="shared" si="20"/>
        <v>694</v>
      </c>
      <c r="AD28" s="16">
        <f t="shared" si="20"/>
        <v>1</v>
      </c>
      <c r="AE28" s="32">
        <f t="shared" si="20"/>
        <v>171</v>
      </c>
      <c r="AF28" s="32">
        <f t="shared" si="20"/>
        <v>865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3</v>
      </c>
      <c r="K29" s="50">
        <v>0</v>
      </c>
      <c r="L29" s="50">
        <v>0</v>
      </c>
      <c r="M29" s="50">
        <v>15</v>
      </c>
      <c r="N29" s="50">
        <v>0</v>
      </c>
      <c r="O29" s="15">
        <f t="shared" si="0"/>
        <v>4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4</v>
      </c>
      <c r="P30" s="15">
        <f t="shared" si="1"/>
        <v>18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21</v>
      </c>
      <c r="N31" s="50">
        <v>0</v>
      </c>
      <c r="O31" s="15">
        <f t="shared" si="0"/>
        <v>3</v>
      </c>
      <c r="P31" s="15">
        <f t="shared" si="1"/>
        <v>24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18</v>
      </c>
      <c r="N32" s="50">
        <v>0</v>
      </c>
      <c r="O32" s="15">
        <f t="shared" si="0"/>
        <v>4</v>
      </c>
      <c r="P32" s="15">
        <f t="shared" si="1"/>
        <v>22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1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1</v>
      </c>
      <c r="P33" s="15">
        <f t="shared" si="1"/>
        <v>18</v>
      </c>
    </row>
    <row r="34" spans="2:20" ht="23.1" customHeight="1" x14ac:dyDescent="0.25">
      <c r="B34" s="24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2</v>
      </c>
      <c r="P34" s="15">
        <f t="shared" si="1"/>
        <v>21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8</v>
      </c>
      <c r="N35" s="50">
        <v>0</v>
      </c>
      <c r="O35" s="15">
        <f t="shared" si="0"/>
        <v>2</v>
      </c>
      <c r="P35" s="15">
        <f t="shared" si="1"/>
        <v>10</v>
      </c>
    </row>
    <row r="36" spans="2:20" ht="23.1" customHeight="1" x14ac:dyDescent="0.25">
      <c r="B36" s="24" t="s">
        <v>63</v>
      </c>
      <c r="C36" s="50">
        <v>3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11</v>
      </c>
      <c r="N36" s="50">
        <v>0</v>
      </c>
      <c r="O36" s="15">
        <f t="shared" si="0"/>
        <v>4</v>
      </c>
      <c r="P36" s="15">
        <f t="shared" si="1"/>
        <v>15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1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21</v>
      </c>
      <c r="N37" s="50">
        <v>0</v>
      </c>
      <c r="O37" s="15">
        <f t="shared" si="0"/>
        <v>2</v>
      </c>
      <c r="P37" s="15">
        <f t="shared" si="1"/>
        <v>23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2</v>
      </c>
      <c r="P38" s="15">
        <f t="shared" si="1"/>
        <v>14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0</v>
      </c>
      <c r="M39" s="50">
        <v>21</v>
      </c>
      <c r="N39" s="50">
        <v>0</v>
      </c>
      <c r="O39" s="15">
        <f t="shared" si="0"/>
        <v>5</v>
      </c>
      <c r="P39" s="15">
        <f t="shared" si="1"/>
        <v>26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2</v>
      </c>
      <c r="P40" s="15">
        <f t="shared" si="1"/>
        <v>15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1</v>
      </c>
      <c r="J41" s="50">
        <v>3</v>
      </c>
      <c r="K41" s="50">
        <v>0</v>
      </c>
      <c r="L41" s="50">
        <v>0</v>
      </c>
      <c r="M41" s="50">
        <v>13</v>
      </c>
      <c r="N41" s="50">
        <v>0</v>
      </c>
      <c r="O41" s="15">
        <f t="shared" si="0"/>
        <v>7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1</v>
      </c>
      <c r="M42" s="50">
        <v>20</v>
      </c>
      <c r="N42" s="50">
        <v>0</v>
      </c>
      <c r="O42" s="15">
        <f t="shared" si="0"/>
        <v>4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22</v>
      </c>
      <c r="N43" s="50">
        <v>0</v>
      </c>
      <c r="O43" s="15">
        <f t="shared" si="0"/>
        <v>2</v>
      </c>
      <c r="P43" s="15">
        <f t="shared" si="1"/>
        <v>24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2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5</v>
      </c>
      <c r="P44" s="15">
        <f t="shared" si="1"/>
        <v>19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4</v>
      </c>
      <c r="K45" s="50">
        <v>0</v>
      </c>
      <c r="L45" s="50">
        <v>0</v>
      </c>
      <c r="M45" s="50">
        <v>11</v>
      </c>
      <c r="N45" s="50">
        <v>0</v>
      </c>
      <c r="O45" s="15">
        <f t="shared" si="0"/>
        <v>6</v>
      </c>
      <c r="P45" s="15">
        <f t="shared" si="1"/>
        <v>17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13</v>
      </c>
      <c r="N46" s="50">
        <v>0</v>
      </c>
      <c r="O46" s="15">
        <f t="shared" si="0"/>
        <v>1</v>
      </c>
      <c r="P46" s="15">
        <f t="shared" si="1"/>
        <v>14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23</v>
      </c>
      <c r="N47" s="50">
        <v>0</v>
      </c>
      <c r="O47" s="15">
        <f t="shared" si="0"/>
        <v>1</v>
      </c>
      <c r="P47" s="15">
        <f t="shared" si="1"/>
        <v>24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1</v>
      </c>
      <c r="F48" s="50">
        <v>1</v>
      </c>
      <c r="G48" s="50">
        <v>0</v>
      </c>
      <c r="H48" s="50">
        <v>0</v>
      </c>
      <c r="I48" s="50">
        <v>0</v>
      </c>
      <c r="J48" s="50">
        <v>2</v>
      </c>
      <c r="K48" s="50">
        <v>0</v>
      </c>
      <c r="L48" s="50">
        <v>0</v>
      </c>
      <c r="M48" s="50">
        <v>23</v>
      </c>
      <c r="N48" s="50">
        <v>0</v>
      </c>
      <c r="O48" s="15">
        <f t="shared" si="0"/>
        <v>6</v>
      </c>
      <c r="P48" s="15">
        <f t="shared" si="1"/>
        <v>29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1</v>
      </c>
      <c r="F49" s="50">
        <v>1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0</v>
      </c>
      <c r="M49" s="50">
        <v>24</v>
      </c>
      <c r="N49" s="50">
        <v>0</v>
      </c>
      <c r="O49" s="15">
        <f t="shared" si="0"/>
        <v>6</v>
      </c>
      <c r="P49" s="15">
        <f t="shared" si="1"/>
        <v>30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1</v>
      </c>
      <c r="K50" s="50">
        <v>0</v>
      </c>
      <c r="L50" s="50">
        <v>0</v>
      </c>
      <c r="M50" s="50">
        <v>12</v>
      </c>
      <c r="N50" s="50">
        <v>0</v>
      </c>
      <c r="O50" s="15">
        <f t="shared" si="0"/>
        <v>2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21</v>
      </c>
      <c r="N51" s="50">
        <v>0</v>
      </c>
      <c r="O51" s="15">
        <f t="shared" si="0"/>
        <v>3</v>
      </c>
      <c r="P51" s="15">
        <f t="shared" si="1"/>
        <v>24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1</v>
      </c>
      <c r="E52" s="50">
        <v>1</v>
      </c>
      <c r="F52" s="50">
        <v>3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5">
        <f t="shared" si="0"/>
        <v>6</v>
      </c>
      <c r="P52" s="15">
        <f t="shared" si="1"/>
        <v>25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3</v>
      </c>
      <c r="P53" s="15">
        <f t="shared" si="1"/>
        <v>25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23</v>
      </c>
      <c r="N54" s="50">
        <v>0</v>
      </c>
      <c r="O54" s="15">
        <f t="shared" si="0"/>
        <v>1</v>
      </c>
      <c r="P54" s="15">
        <f t="shared" si="1"/>
        <v>24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0</v>
      </c>
      <c r="F55" s="50">
        <v>1</v>
      </c>
      <c r="G55" s="50">
        <v>0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18</v>
      </c>
      <c r="N55" s="50">
        <v>0</v>
      </c>
      <c r="O55" s="15">
        <f t="shared" si="0"/>
        <v>8</v>
      </c>
      <c r="P55" s="15">
        <f t="shared" si="1"/>
        <v>26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18</v>
      </c>
      <c r="N56" s="50">
        <v>1</v>
      </c>
      <c r="O56" s="15">
        <f t="shared" si="0"/>
        <v>4</v>
      </c>
      <c r="P56" s="15">
        <f t="shared" si="1"/>
        <v>22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2</v>
      </c>
      <c r="G57" s="50">
        <v>0</v>
      </c>
      <c r="H57" s="50">
        <v>0</v>
      </c>
      <c r="I57" s="50">
        <v>1</v>
      </c>
      <c r="J57" s="50">
        <v>2</v>
      </c>
      <c r="K57" s="50">
        <v>0</v>
      </c>
      <c r="L57" s="50">
        <v>0</v>
      </c>
      <c r="M57" s="50">
        <v>11</v>
      </c>
      <c r="N57" s="50">
        <v>0</v>
      </c>
      <c r="O57" s="15">
        <f t="shared" si="0"/>
        <v>6</v>
      </c>
      <c r="P57" s="15">
        <f t="shared" si="1"/>
        <v>17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45</v>
      </c>
      <c r="D58" s="16">
        <f t="shared" si="21"/>
        <v>7</v>
      </c>
      <c r="E58" s="16">
        <f t="shared" si="21"/>
        <v>15</v>
      </c>
      <c r="F58" s="16">
        <f t="shared" si="21"/>
        <v>24</v>
      </c>
      <c r="G58" s="16">
        <f t="shared" si="21"/>
        <v>1</v>
      </c>
      <c r="H58" s="16">
        <f t="shared" si="21"/>
        <v>0</v>
      </c>
      <c r="I58" s="16">
        <f t="shared" si="21"/>
        <v>23</v>
      </c>
      <c r="J58" s="16">
        <f t="shared" si="21"/>
        <v>53</v>
      </c>
      <c r="K58" s="16">
        <f t="shared" si="21"/>
        <v>0</v>
      </c>
      <c r="L58" s="16">
        <f t="shared" si="21"/>
        <v>2</v>
      </c>
      <c r="M58" s="16">
        <f t="shared" si="21"/>
        <v>694</v>
      </c>
      <c r="N58" s="16">
        <f t="shared" si="21"/>
        <v>1</v>
      </c>
      <c r="O58" s="16">
        <f t="shared" si="21"/>
        <v>171</v>
      </c>
      <c r="P58" s="16">
        <f t="shared" si="21"/>
        <v>865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5.2023121387283239E-2</v>
      </c>
      <c r="D59" s="43">
        <f t="shared" si="22"/>
        <v>8.0924855491329474E-3</v>
      </c>
      <c r="E59" s="43">
        <f t="shared" si="22"/>
        <v>1.7341040462427744E-2</v>
      </c>
      <c r="F59" s="43">
        <f t="shared" si="22"/>
        <v>2.7745664739884393E-2</v>
      </c>
      <c r="G59" s="43">
        <f t="shared" si="22"/>
        <v>1.1560693641618498E-3</v>
      </c>
      <c r="H59" s="43">
        <f t="shared" si="22"/>
        <v>0</v>
      </c>
      <c r="I59" s="43">
        <f t="shared" si="22"/>
        <v>2.6589595375722544E-2</v>
      </c>
      <c r="J59" s="43">
        <f t="shared" si="22"/>
        <v>6.1271676300578032E-2</v>
      </c>
      <c r="K59" s="43">
        <f t="shared" si="22"/>
        <v>0</v>
      </c>
      <c r="L59" s="43">
        <f t="shared" si="22"/>
        <v>2.3121387283236996E-3</v>
      </c>
      <c r="M59" s="43">
        <f t="shared" si="22"/>
        <v>0.80231213872832374</v>
      </c>
      <c r="N59" s="43">
        <f t="shared" si="22"/>
        <v>1.1560693641618498E-3</v>
      </c>
      <c r="R59" s="8"/>
      <c r="T59"/>
    </row>
    <row r="60" spans="2:20" ht="23.1" customHeight="1" x14ac:dyDescent="0.25">
      <c r="B60" s="42" t="s">
        <v>94</v>
      </c>
      <c r="C60" s="44">
        <f>C58/$O$58</f>
        <v>0.26315789473684209</v>
      </c>
      <c r="D60" s="44">
        <f t="shared" ref="D60:N60" si="23">D58/$O$58</f>
        <v>4.0935672514619881E-2</v>
      </c>
      <c r="E60" s="44">
        <f t="shared" si="23"/>
        <v>8.771929824561403E-2</v>
      </c>
      <c r="F60" s="44">
        <f t="shared" si="23"/>
        <v>0.14035087719298245</v>
      </c>
      <c r="G60" s="44">
        <f t="shared" si="23"/>
        <v>5.8479532163742687E-3</v>
      </c>
      <c r="H60" s="44">
        <f t="shared" si="23"/>
        <v>0</v>
      </c>
      <c r="I60" s="44">
        <f t="shared" si="23"/>
        <v>0.13450292397660818</v>
      </c>
      <c r="J60" s="44">
        <f t="shared" si="23"/>
        <v>0.30994152046783624</v>
      </c>
      <c r="K60" s="44">
        <f t="shared" si="23"/>
        <v>0</v>
      </c>
      <c r="L60" s="44">
        <f t="shared" si="23"/>
        <v>1.1695906432748537E-2</v>
      </c>
      <c r="M60" s="44"/>
      <c r="N60" s="44">
        <f t="shared" si="23"/>
        <v>5.8479532163742687E-3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WOBULENZI-ZIROBWE'!C3:G3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174</v>
      </c>
      <c r="E5" s="3"/>
      <c r="F5" s="41" t="s">
        <v>1</v>
      </c>
      <c r="G5" s="59" t="str">
        <f>'21.10 ZIROBWE-WOBULENZI-24h'!G5:H5</f>
        <v>STATION 88</v>
      </c>
      <c r="H5" s="60"/>
      <c r="I5" s="14"/>
      <c r="J5" s="2" t="s">
        <v>5</v>
      </c>
      <c r="K5" s="59" t="str">
        <f>'21.10 ZIROBWE-WOBULENZI-24h'!K5:L5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WOBULENZI-ZIROBWE'!D6:E6</f>
        <v>WOBULENZI</v>
      </c>
      <c r="E6" s="60"/>
      <c r="F6" s="2" t="s">
        <v>2</v>
      </c>
      <c r="G6" s="59" t="str">
        <f>'23.10 WOBULENZI-ZIROBWE'!G6:H6</f>
        <v>ZIROBWE</v>
      </c>
      <c r="H6" s="60"/>
      <c r="J6" s="2" t="s">
        <v>21</v>
      </c>
      <c r="K6" s="59" t="str">
        <f>'21.10 ZIROBWE-WOBULENZI-24h'!K6:L6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24</v>
      </c>
      <c r="N10" s="50">
        <v>0</v>
      </c>
      <c r="O10" s="15">
        <f t="shared" ref="O10:O73" si="0">SUM(C10:L10,N10)</f>
        <v>0</v>
      </c>
      <c r="P10" s="15">
        <f t="shared" ref="P10:P73" si="1">SUM(C10:N10)</f>
        <v>24</v>
      </c>
      <c r="R10" s="1" t="s">
        <v>6</v>
      </c>
      <c r="S10" s="17">
        <f t="shared" ref="S10:AF10" si="2">SUM(C10:C13)</f>
        <v>0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59</v>
      </c>
      <c r="AD10" s="17">
        <f t="shared" si="2"/>
        <v>0</v>
      </c>
      <c r="AE10" s="31">
        <f t="shared" si="2"/>
        <v>3</v>
      </c>
      <c r="AF10" s="31">
        <f t="shared" si="2"/>
        <v>62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12</v>
      </c>
      <c r="N11" s="50">
        <v>0</v>
      </c>
      <c r="O11" s="15">
        <f t="shared" si="0"/>
        <v>0</v>
      </c>
      <c r="P11" s="15">
        <f t="shared" si="1"/>
        <v>12</v>
      </c>
      <c r="R11" s="1" t="s">
        <v>7</v>
      </c>
      <c r="S11" s="17">
        <f t="shared" ref="S11:AF11" si="3">SUM(C14:C17)</f>
        <v>1</v>
      </c>
      <c r="T11" s="17">
        <f t="shared" si="3"/>
        <v>4</v>
      </c>
      <c r="U11" s="17">
        <f t="shared" si="3"/>
        <v>0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41</v>
      </c>
      <c r="AD11" s="17">
        <f t="shared" si="3"/>
        <v>0</v>
      </c>
      <c r="AE11" s="31">
        <f t="shared" si="3"/>
        <v>13</v>
      </c>
      <c r="AF11" s="31">
        <f t="shared" si="3"/>
        <v>54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3</v>
      </c>
      <c r="K12" s="50">
        <v>0</v>
      </c>
      <c r="L12" s="50">
        <v>0</v>
      </c>
      <c r="M12" s="50">
        <v>9</v>
      </c>
      <c r="N12" s="50">
        <v>0</v>
      </c>
      <c r="O12" s="15">
        <f t="shared" si="0"/>
        <v>3</v>
      </c>
      <c r="P12" s="15">
        <f t="shared" si="1"/>
        <v>12</v>
      </c>
      <c r="R12" s="1" t="s">
        <v>8</v>
      </c>
      <c r="S12" s="17">
        <f t="shared" ref="S12:AF12" si="4">SUM(C18:C21)</f>
        <v>2</v>
      </c>
      <c r="T12" s="17">
        <f t="shared" si="4"/>
        <v>2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64</v>
      </c>
      <c r="AD12" s="17">
        <f t="shared" si="4"/>
        <v>0</v>
      </c>
      <c r="AE12" s="31">
        <f t="shared" si="4"/>
        <v>11</v>
      </c>
      <c r="AF12" s="31">
        <f t="shared" si="4"/>
        <v>75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0</v>
      </c>
      <c r="P13" s="15">
        <f t="shared" si="1"/>
        <v>14</v>
      </c>
      <c r="R13" s="1" t="s">
        <v>9</v>
      </c>
      <c r="S13" s="17">
        <f t="shared" ref="S13:AF13" si="5">SUM(C22:C25)</f>
        <v>1</v>
      </c>
      <c r="T13" s="17">
        <f t="shared" si="5"/>
        <v>0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89</v>
      </c>
      <c r="AD13" s="17">
        <f t="shared" si="5"/>
        <v>0</v>
      </c>
      <c r="AE13" s="31">
        <f t="shared" si="5"/>
        <v>7</v>
      </c>
      <c r="AF13" s="31">
        <f t="shared" si="5"/>
        <v>96</v>
      </c>
    </row>
    <row r="14" spans="2:32" ht="23.1" customHeight="1" x14ac:dyDescent="0.25">
      <c r="B14" s="45" t="s">
        <v>41</v>
      </c>
      <c r="C14" s="50">
        <v>1</v>
      </c>
      <c r="D14" s="50">
        <v>2</v>
      </c>
      <c r="E14" s="50">
        <v>0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25</v>
      </c>
      <c r="N14" s="50">
        <v>0</v>
      </c>
      <c r="O14" s="15">
        <f t="shared" si="0"/>
        <v>5</v>
      </c>
      <c r="P14" s="15">
        <f t="shared" si="1"/>
        <v>30</v>
      </c>
      <c r="R14" s="1" t="s">
        <v>10</v>
      </c>
      <c r="S14" s="17">
        <f t="shared" ref="S14:AF14" si="6">SUM(C26:C29)</f>
        <v>2</v>
      </c>
      <c r="T14" s="17">
        <f t="shared" si="6"/>
        <v>5</v>
      </c>
      <c r="U14" s="17">
        <f t="shared" si="6"/>
        <v>2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113</v>
      </c>
      <c r="AD14" s="17">
        <f t="shared" si="6"/>
        <v>0</v>
      </c>
      <c r="AE14" s="31">
        <f t="shared" si="6"/>
        <v>25</v>
      </c>
      <c r="AF14" s="31">
        <f t="shared" si="6"/>
        <v>138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1</v>
      </c>
      <c r="P15" s="15">
        <f t="shared" si="1"/>
        <v>9</v>
      </c>
      <c r="R15" s="1" t="s">
        <v>11</v>
      </c>
      <c r="S15" s="17">
        <f t="shared" ref="S15:AF15" si="7">SUM(C30:C33)</f>
        <v>2</v>
      </c>
      <c r="T15" s="17">
        <f t="shared" si="7"/>
        <v>4</v>
      </c>
      <c r="U15" s="17">
        <f t="shared" si="7"/>
        <v>0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111</v>
      </c>
      <c r="AD15" s="17">
        <f t="shared" si="7"/>
        <v>0</v>
      </c>
      <c r="AE15" s="31">
        <f t="shared" si="7"/>
        <v>10</v>
      </c>
      <c r="AF15" s="31">
        <f t="shared" si="7"/>
        <v>121</v>
      </c>
    </row>
    <row r="16" spans="2:32" ht="23.1" customHeight="1" x14ac:dyDescent="0.25">
      <c r="B16" s="45" t="s">
        <v>43</v>
      </c>
      <c r="C16" s="50">
        <v>0</v>
      </c>
      <c r="D16" s="50">
        <v>2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3</v>
      </c>
      <c r="N16" s="50">
        <v>0</v>
      </c>
      <c r="O16" s="15">
        <f t="shared" si="0"/>
        <v>3</v>
      </c>
      <c r="P16" s="15">
        <f t="shared" si="1"/>
        <v>6</v>
      </c>
      <c r="R16" s="1" t="s">
        <v>12</v>
      </c>
      <c r="S16" s="17">
        <f t="shared" ref="S16:AF16" si="8">SUM(C34:C37)</f>
        <v>4</v>
      </c>
      <c r="T16" s="17">
        <f t="shared" si="8"/>
        <v>4</v>
      </c>
      <c r="U16" s="17">
        <f t="shared" si="8"/>
        <v>0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90</v>
      </c>
      <c r="AD16" s="17">
        <f t="shared" si="8"/>
        <v>0</v>
      </c>
      <c r="AE16" s="31">
        <f t="shared" si="8"/>
        <v>18</v>
      </c>
      <c r="AF16" s="31">
        <f t="shared" si="8"/>
        <v>108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3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4</v>
      </c>
      <c r="P17" s="15">
        <f t="shared" si="1"/>
        <v>9</v>
      </c>
      <c r="R17" s="1" t="s">
        <v>13</v>
      </c>
      <c r="S17" s="17">
        <f t="shared" ref="S17:AF17" si="9">SUM(C38:C41)</f>
        <v>5</v>
      </c>
      <c r="T17" s="17">
        <f t="shared" si="9"/>
        <v>4</v>
      </c>
      <c r="U17" s="17">
        <f t="shared" si="9"/>
        <v>1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3</v>
      </c>
      <c r="AA17" s="17">
        <f t="shared" si="9"/>
        <v>0</v>
      </c>
      <c r="AB17" s="17">
        <f t="shared" si="9"/>
        <v>2</v>
      </c>
      <c r="AC17" s="17">
        <f t="shared" si="9"/>
        <v>73</v>
      </c>
      <c r="AD17" s="17">
        <f t="shared" si="9"/>
        <v>1</v>
      </c>
      <c r="AE17" s="31">
        <f t="shared" si="9"/>
        <v>22</v>
      </c>
      <c r="AF17" s="31">
        <f t="shared" si="9"/>
        <v>95</v>
      </c>
    </row>
    <row r="18" spans="2:32" ht="23.1" customHeight="1" x14ac:dyDescent="0.25">
      <c r="B18" s="45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1</v>
      </c>
      <c r="P18" s="15">
        <f t="shared" si="1"/>
        <v>9</v>
      </c>
      <c r="R18" s="1" t="s">
        <v>14</v>
      </c>
      <c r="S18" s="17">
        <f t="shared" ref="S18:AF18" si="10">SUM(C42:C45)</f>
        <v>5</v>
      </c>
      <c r="T18" s="17">
        <f t="shared" si="10"/>
        <v>3</v>
      </c>
      <c r="U18" s="17">
        <f t="shared" si="10"/>
        <v>0</v>
      </c>
      <c r="V18" s="17">
        <f t="shared" si="10"/>
        <v>2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76</v>
      </c>
      <c r="AD18" s="17">
        <f t="shared" si="10"/>
        <v>0</v>
      </c>
      <c r="AE18" s="31">
        <f t="shared" si="10"/>
        <v>26</v>
      </c>
      <c r="AF18" s="31">
        <f t="shared" si="10"/>
        <v>102</v>
      </c>
    </row>
    <row r="19" spans="2:32" ht="23.1" customHeight="1" x14ac:dyDescent="0.25">
      <c r="B19" s="45" t="s">
        <v>46</v>
      </c>
      <c r="C19" s="50">
        <v>0</v>
      </c>
      <c r="D19" s="50">
        <v>1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2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4</v>
      </c>
      <c r="P19" s="15">
        <f t="shared" si="1"/>
        <v>19</v>
      </c>
      <c r="R19" s="1" t="s">
        <v>15</v>
      </c>
      <c r="S19" s="17">
        <f t="shared" ref="S19:AF19" si="11">SUM(C46:C49)</f>
        <v>3</v>
      </c>
      <c r="T19" s="17">
        <f t="shared" si="11"/>
        <v>9</v>
      </c>
      <c r="U19" s="17">
        <f t="shared" si="11"/>
        <v>1</v>
      </c>
      <c r="V19" s="17">
        <f t="shared" si="11"/>
        <v>3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109</v>
      </c>
      <c r="AD19" s="17">
        <f t="shared" si="11"/>
        <v>0</v>
      </c>
      <c r="AE19" s="31">
        <f t="shared" si="11"/>
        <v>24</v>
      </c>
      <c r="AF19" s="31">
        <f t="shared" si="11"/>
        <v>133</v>
      </c>
    </row>
    <row r="20" spans="2:32" ht="23.1" customHeight="1" x14ac:dyDescent="0.25">
      <c r="B20" s="45" t="s">
        <v>47</v>
      </c>
      <c r="C20" s="50">
        <v>1</v>
      </c>
      <c r="D20" s="50">
        <v>1</v>
      </c>
      <c r="E20" s="50">
        <v>1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23</v>
      </c>
      <c r="N20" s="50">
        <v>0</v>
      </c>
      <c r="O20" s="15">
        <f t="shared" si="0"/>
        <v>4</v>
      </c>
      <c r="P20" s="15">
        <f t="shared" si="1"/>
        <v>27</v>
      </c>
      <c r="R20" s="1" t="s">
        <v>16</v>
      </c>
      <c r="S20" s="17">
        <f t="shared" ref="S20:AF20" si="12">SUM(C50:C53)</f>
        <v>2</v>
      </c>
      <c r="T20" s="17">
        <f t="shared" si="12"/>
        <v>2</v>
      </c>
      <c r="U20" s="17">
        <f t="shared" si="12"/>
        <v>2</v>
      </c>
      <c r="V20" s="17">
        <f t="shared" si="12"/>
        <v>1</v>
      </c>
      <c r="W20" s="17">
        <f t="shared" si="12"/>
        <v>0</v>
      </c>
      <c r="X20" s="17">
        <f t="shared" si="12"/>
        <v>1</v>
      </c>
      <c r="Y20" s="17">
        <f t="shared" si="12"/>
        <v>5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86</v>
      </c>
      <c r="AD20" s="17">
        <f t="shared" si="12"/>
        <v>0</v>
      </c>
      <c r="AE20" s="31">
        <f t="shared" si="12"/>
        <v>16</v>
      </c>
      <c r="AF20" s="31">
        <f t="shared" si="12"/>
        <v>102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18</v>
      </c>
      <c r="N21" s="50">
        <v>0</v>
      </c>
      <c r="O21" s="15">
        <f t="shared" si="0"/>
        <v>2</v>
      </c>
      <c r="P21" s="15">
        <f t="shared" si="1"/>
        <v>20</v>
      </c>
      <c r="R21" s="36" t="s">
        <v>20</v>
      </c>
      <c r="S21" s="34">
        <f t="shared" ref="S21:AF21" si="13">SUM(C54:C57)</f>
        <v>1</v>
      </c>
      <c r="T21" s="17">
        <f t="shared" si="13"/>
        <v>4</v>
      </c>
      <c r="U21" s="17">
        <f t="shared" si="13"/>
        <v>2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113</v>
      </c>
      <c r="AD21" s="17">
        <f t="shared" si="13"/>
        <v>1</v>
      </c>
      <c r="AE21" s="31">
        <f t="shared" si="13"/>
        <v>16</v>
      </c>
      <c r="AF21" s="31">
        <f t="shared" si="13"/>
        <v>129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22</v>
      </c>
      <c r="N22" s="50">
        <v>0</v>
      </c>
      <c r="O22" s="15">
        <f t="shared" si="0"/>
        <v>2</v>
      </c>
      <c r="P22" s="15">
        <f t="shared" si="1"/>
        <v>24</v>
      </c>
      <c r="R22" s="36" t="s">
        <v>146</v>
      </c>
      <c r="S22" s="34">
        <f>SUM(C58:C61)</f>
        <v>6</v>
      </c>
      <c r="T22" s="34">
        <f t="shared" ref="T22:AF22" si="14">SUM(D58:D61)</f>
        <v>2</v>
      </c>
      <c r="U22" s="34">
        <f t="shared" si="14"/>
        <v>0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0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111</v>
      </c>
      <c r="AD22" s="34">
        <f t="shared" si="14"/>
        <v>0</v>
      </c>
      <c r="AE22" s="31">
        <f t="shared" si="14"/>
        <v>10</v>
      </c>
      <c r="AF22" s="31">
        <f t="shared" si="14"/>
        <v>121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16</v>
      </c>
      <c r="N23" s="50">
        <v>0</v>
      </c>
      <c r="O23" s="15">
        <f t="shared" si="0"/>
        <v>0</v>
      </c>
      <c r="P23" s="15">
        <f t="shared" si="1"/>
        <v>16</v>
      </c>
      <c r="R23" s="36" t="s">
        <v>147</v>
      </c>
      <c r="S23" s="34">
        <f>SUM(C62:C65)</f>
        <v>4</v>
      </c>
      <c r="T23" s="34">
        <f t="shared" ref="T23:AF23" si="15">SUM(D62:D65)</f>
        <v>1</v>
      </c>
      <c r="U23" s="34">
        <f t="shared" si="15"/>
        <v>0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77</v>
      </c>
      <c r="AD23" s="34">
        <f t="shared" si="15"/>
        <v>0</v>
      </c>
      <c r="AE23" s="31">
        <f t="shared" si="15"/>
        <v>6</v>
      </c>
      <c r="AF23" s="31">
        <f t="shared" si="15"/>
        <v>83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1</v>
      </c>
      <c r="J24" s="50">
        <v>2</v>
      </c>
      <c r="K24" s="50">
        <v>0</v>
      </c>
      <c r="L24" s="50">
        <v>0</v>
      </c>
      <c r="M24" s="50">
        <v>25</v>
      </c>
      <c r="N24" s="50">
        <v>0</v>
      </c>
      <c r="O24" s="15">
        <f t="shared" si="0"/>
        <v>3</v>
      </c>
      <c r="P24" s="15">
        <f t="shared" si="1"/>
        <v>28</v>
      </c>
      <c r="R24" s="36" t="s">
        <v>148</v>
      </c>
      <c r="S24" s="34">
        <f>SUM(C66:C69)</f>
        <v>3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2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0</v>
      </c>
      <c r="AA24" s="34">
        <f t="shared" si="16"/>
        <v>0</v>
      </c>
      <c r="AB24" s="34">
        <f t="shared" si="16"/>
        <v>0</v>
      </c>
      <c r="AC24" s="34">
        <f t="shared" si="16"/>
        <v>39</v>
      </c>
      <c r="AD24" s="34">
        <f t="shared" si="16"/>
        <v>0</v>
      </c>
      <c r="AE24" s="31">
        <f t="shared" si="16"/>
        <v>6</v>
      </c>
      <c r="AF24" s="31">
        <f t="shared" si="16"/>
        <v>45</v>
      </c>
    </row>
    <row r="25" spans="2:32" ht="23.1" customHeight="1" x14ac:dyDescent="0.25">
      <c r="B25" s="45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26</v>
      </c>
      <c r="N25" s="50">
        <v>0</v>
      </c>
      <c r="O25" s="15">
        <f t="shared" si="0"/>
        <v>2</v>
      </c>
      <c r="P25" s="15">
        <f t="shared" si="1"/>
        <v>28</v>
      </c>
      <c r="R25" s="36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1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17</v>
      </c>
      <c r="AD25" s="34">
        <f t="shared" si="17"/>
        <v>0</v>
      </c>
      <c r="AE25" s="31">
        <f t="shared" si="17"/>
        <v>2</v>
      </c>
      <c r="AF25" s="31">
        <f t="shared" si="17"/>
        <v>19</v>
      </c>
    </row>
    <row r="26" spans="2:32" ht="23.1" customHeight="1" x14ac:dyDescent="0.25">
      <c r="B26" s="45" t="s">
        <v>53</v>
      </c>
      <c r="C26" s="50">
        <v>0</v>
      </c>
      <c r="D26" s="50">
        <v>1</v>
      </c>
      <c r="E26" s="50">
        <v>2</v>
      </c>
      <c r="F26" s="50">
        <v>0</v>
      </c>
      <c r="G26" s="50">
        <v>0</v>
      </c>
      <c r="H26" s="50">
        <v>0</v>
      </c>
      <c r="I26" s="50">
        <v>2</v>
      </c>
      <c r="J26" s="50">
        <v>3</v>
      </c>
      <c r="K26" s="50">
        <v>0</v>
      </c>
      <c r="L26" s="50">
        <v>0</v>
      </c>
      <c r="M26" s="50">
        <v>30</v>
      </c>
      <c r="N26" s="50">
        <v>0</v>
      </c>
      <c r="O26" s="15">
        <f t="shared" si="0"/>
        <v>8</v>
      </c>
      <c r="P26" s="15">
        <f t="shared" si="1"/>
        <v>38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7</v>
      </c>
      <c r="AD26" s="34">
        <f t="shared" si="18"/>
        <v>0</v>
      </c>
      <c r="AE26" s="31">
        <f t="shared" si="18"/>
        <v>1</v>
      </c>
      <c r="AF26" s="31">
        <f t="shared" si="18"/>
        <v>8</v>
      </c>
    </row>
    <row r="27" spans="2:32" ht="23.1" customHeight="1" x14ac:dyDescent="0.25">
      <c r="B27" s="45" t="s">
        <v>54</v>
      </c>
      <c r="C27" s="50">
        <v>0</v>
      </c>
      <c r="D27" s="50">
        <v>2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30</v>
      </c>
      <c r="N27" s="50">
        <v>0</v>
      </c>
      <c r="O27" s="15">
        <f t="shared" si="0"/>
        <v>6</v>
      </c>
      <c r="P27" s="15">
        <f t="shared" si="1"/>
        <v>36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0</v>
      </c>
      <c r="AD27" s="34">
        <f t="shared" si="19"/>
        <v>0</v>
      </c>
      <c r="AE27" s="31">
        <f t="shared" si="19"/>
        <v>0</v>
      </c>
      <c r="AF27" s="31">
        <f t="shared" si="19"/>
        <v>0</v>
      </c>
    </row>
    <row r="28" spans="2:32" ht="23.1" customHeight="1" x14ac:dyDescent="0.25">
      <c r="B28" s="45" t="s">
        <v>55</v>
      </c>
      <c r="C28" s="50">
        <v>2</v>
      </c>
      <c r="D28" s="50">
        <v>0</v>
      </c>
      <c r="E28" s="50">
        <v>0</v>
      </c>
      <c r="F28" s="50">
        <v>2</v>
      </c>
      <c r="G28" s="50">
        <v>0</v>
      </c>
      <c r="H28" s="50">
        <v>0</v>
      </c>
      <c r="I28" s="50">
        <v>1</v>
      </c>
      <c r="J28" s="50">
        <v>2</v>
      </c>
      <c r="K28" s="50">
        <v>0</v>
      </c>
      <c r="L28" s="50">
        <v>0</v>
      </c>
      <c r="M28" s="50">
        <v>23</v>
      </c>
      <c r="N28" s="50">
        <v>0</v>
      </c>
      <c r="O28" s="15">
        <f t="shared" si="0"/>
        <v>7</v>
      </c>
      <c r="P28" s="15">
        <f t="shared" si="1"/>
        <v>30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0</v>
      </c>
      <c r="AF28" s="31">
        <f t="shared" si="20"/>
        <v>0</v>
      </c>
    </row>
    <row r="29" spans="2:32" ht="23.1" customHeight="1" x14ac:dyDescent="0.25">
      <c r="B29" s="45" t="s">
        <v>56</v>
      </c>
      <c r="C29" s="50">
        <v>0</v>
      </c>
      <c r="D29" s="50">
        <v>2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30</v>
      </c>
      <c r="N29" s="50">
        <v>0</v>
      </c>
      <c r="O29" s="15">
        <f t="shared" si="0"/>
        <v>4</v>
      </c>
      <c r="P29" s="15">
        <f t="shared" si="1"/>
        <v>34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25</v>
      </c>
      <c r="N30" s="50">
        <v>0</v>
      </c>
      <c r="O30" s="15">
        <f t="shared" si="0"/>
        <v>2</v>
      </c>
      <c r="P30" s="15">
        <f t="shared" si="1"/>
        <v>27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</v>
      </c>
      <c r="AF30" s="31">
        <f t="shared" si="22"/>
        <v>4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25</v>
      </c>
      <c r="N31" s="50">
        <v>0</v>
      </c>
      <c r="O31" s="15">
        <f t="shared" si="0"/>
        <v>1</v>
      </c>
      <c r="P31" s="15">
        <f t="shared" si="1"/>
        <v>26</v>
      </c>
      <c r="R31" s="36" t="s">
        <v>155</v>
      </c>
      <c r="S31" s="34">
        <f>SUM(C94:C97)</f>
        <v>3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3</v>
      </c>
      <c r="AD31" s="34">
        <f t="shared" si="23"/>
        <v>0</v>
      </c>
      <c r="AE31" s="31">
        <f t="shared" si="23"/>
        <v>5</v>
      </c>
      <c r="AF31" s="31">
        <f t="shared" si="23"/>
        <v>8</v>
      </c>
    </row>
    <row r="32" spans="2:32" ht="23.1" customHeight="1" x14ac:dyDescent="0.25">
      <c r="B32" s="46" t="s">
        <v>59</v>
      </c>
      <c r="C32" s="50">
        <v>0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35</v>
      </c>
      <c r="N32" s="50">
        <v>0</v>
      </c>
      <c r="O32" s="15">
        <f t="shared" si="0"/>
        <v>1</v>
      </c>
      <c r="P32" s="15">
        <f t="shared" si="1"/>
        <v>36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3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9</v>
      </c>
      <c r="AD32" s="34">
        <f t="shared" si="24"/>
        <v>0</v>
      </c>
      <c r="AE32" s="31">
        <f t="shared" si="24"/>
        <v>6</v>
      </c>
      <c r="AF32" s="31">
        <f t="shared" si="24"/>
        <v>15</v>
      </c>
    </row>
    <row r="33" spans="2:32" ht="23.1" customHeight="1" x14ac:dyDescent="0.25">
      <c r="B33" s="45" t="s">
        <v>60</v>
      </c>
      <c r="C33" s="50">
        <v>2</v>
      </c>
      <c r="D33" s="50">
        <v>1</v>
      </c>
      <c r="E33" s="50">
        <v>0</v>
      </c>
      <c r="F33" s="50">
        <v>1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26</v>
      </c>
      <c r="N33" s="50">
        <v>0</v>
      </c>
      <c r="O33" s="15">
        <f t="shared" si="0"/>
        <v>6</v>
      </c>
      <c r="P33" s="15">
        <f t="shared" si="1"/>
        <v>32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5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23</v>
      </c>
      <c r="AD33" s="34">
        <f t="shared" si="25"/>
        <v>0</v>
      </c>
      <c r="AE33" s="31">
        <f t="shared" si="25"/>
        <v>6</v>
      </c>
      <c r="AF33" s="31">
        <f t="shared" si="25"/>
        <v>29</v>
      </c>
    </row>
    <row r="34" spans="2:32" ht="23.1" customHeight="1" x14ac:dyDescent="0.25">
      <c r="B34" s="46" t="s">
        <v>61</v>
      </c>
      <c r="C34" s="50">
        <v>2</v>
      </c>
      <c r="D34" s="50">
        <v>2</v>
      </c>
      <c r="E34" s="50">
        <v>0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5</v>
      </c>
      <c r="P34" s="15">
        <f t="shared" si="1"/>
        <v>35</v>
      </c>
      <c r="R34" s="38" t="s">
        <v>90</v>
      </c>
      <c r="S34" s="39">
        <f t="shared" ref="S34:AF34" si="26">MAX(S10:S12)</f>
        <v>2</v>
      </c>
      <c r="T34" s="39">
        <f t="shared" si="26"/>
        <v>4</v>
      </c>
      <c r="U34" s="39">
        <f t="shared" si="26"/>
        <v>1</v>
      </c>
      <c r="V34" s="39">
        <f t="shared" si="26"/>
        <v>4</v>
      </c>
      <c r="W34" s="39">
        <f t="shared" si="26"/>
        <v>0</v>
      </c>
      <c r="X34" s="39">
        <f t="shared" si="26"/>
        <v>0</v>
      </c>
      <c r="Y34" s="39">
        <f t="shared" si="26"/>
        <v>0</v>
      </c>
      <c r="Z34" s="39">
        <f t="shared" si="26"/>
        <v>4</v>
      </c>
      <c r="AA34" s="39">
        <f t="shared" si="26"/>
        <v>0</v>
      </c>
      <c r="AB34" s="39">
        <f t="shared" si="26"/>
        <v>0</v>
      </c>
      <c r="AC34" s="39">
        <f t="shared" si="26"/>
        <v>64</v>
      </c>
      <c r="AD34" s="39">
        <f t="shared" si="26"/>
        <v>0</v>
      </c>
      <c r="AE34" s="40">
        <f t="shared" si="26"/>
        <v>13</v>
      </c>
      <c r="AF34" s="40">
        <f t="shared" si="26"/>
        <v>75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4</v>
      </c>
      <c r="P35" s="15">
        <f t="shared" si="1"/>
        <v>29</v>
      </c>
      <c r="R35" s="38" t="s">
        <v>91</v>
      </c>
      <c r="S35" s="39">
        <f t="shared" ref="S35:AF35" si="27">MAX(S13:S18)</f>
        <v>5</v>
      </c>
      <c r="T35" s="39">
        <f t="shared" si="27"/>
        <v>5</v>
      </c>
      <c r="U35" s="39">
        <f t="shared" si="27"/>
        <v>2</v>
      </c>
      <c r="V35" s="39">
        <f t="shared" si="27"/>
        <v>3</v>
      </c>
      <c r="W35" s="39">
        <f t="shared" si="27"/>
        <v>0</v>
      </c>
      <c r="X35" s="39">
        <f t="shared" si="27"/>
        <v>0</v>
      </c>
      <c r="Y35" s="39">
        <f t="shared" si="27"/>
        <v>12</v>
      </c>
      <c r="Z35" s="39">
        <f t="shared" si="27"/>
        <v>8</v>
      </c>
      <c r="AA35" s="39">
        <f t="shared" si="27"/>
        <v>0</v>
      </c>
      <c r="AB35" s="39">
        <f t="shared" si="27"/>
        <v>2</v>
      </c>
      <c r="AC35" s="39">
        <f t="shared" si="27"/>
        <v>113</v>
      </c>
      <c r="AD35" s="39">
        <f t="shared" si="27"/>
        <v>1</v>
      </c>
      <c r="AE35" s="40">
        <f t="shared" si="27"/>
        <v>26</v>
      </c>
      <c r="AF35" s="40">
        <f t="shared" si="27"/>
        <v>138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20</v>
      </c>
      <c r="N36" s="50">
        <v>0</v>
      </c>
      <c r="O36" s="15">
        <f t="shared" si="0"/>
        <v>3</v>
      </c>
      <c r="P36" s="15">
        <f t="shared" si="1"/>
        <v>23</v>
      </c>
      <c r="R36" s="38" t="s">
        <v>92</v>
      </c>
      <c r="S36" s="39">
        <f t="shared" ref="S36:AF36" si="28">MAX(S19:S21)</f>
        <v>3</v>
      </c>
      <c r="T36" s="39">
        <f t="shared" si="28"/>
        <v>9</v>
      </c>
      <c r="U36" s="39">
        <f t="shared" si="28"/>
        <v>2</v>
      </c>
      <c r="V36" s="39">
        <f t="shared" si="28"/>
        <v>5</v>
      </c>
      <c r="W36" s="39">
        <f t="shared" si="28"/>
        <v>0</v>
      </c>
      <c r="X36" s="39">
        <f t="shared" si="28"/>
        <v>1</v>
      </c>
      <c r="Y36" s="39">
        <f t="shared" si="28"/>
        <v>5</v>
      </c>
      <c r="Z36" s="39">
        <f t="shared" si="28"/>
        <v>4</v>
      </c>
      <c r="AA36" s="39">
        <f t="shared" si="28"/>
        <v>0</v>
      </c>
      <c r="AB36" s="39">
        <f t="shared" si="28"/>
        <v>0</v>
      </c>
      <c r="AC36" s="39">
        <f t="shared" si="28"/>
        <v>113</v>
      </c>
      <c r="AD36" s="39">
        <f t="shared" si="28"/>
        <v>1</v>
      </c>
      <c r="AE36" s="40">
        <f t="shared" si="28"/>
        <v>24</v>
      </c>
      <c r="AF36" s="40">
        <f t="shared" si="28"/>
        <v>133</v>
      </c>
    </row>
    <row r="37" spans="2:32" ht="23.1" customHeight="1" x14ac:dyDescent="0.25">
      <c r="B37" s="45" t="s">
        <v>64</v>
      </c>
      <c r="C37" s="50">
        <v>1</v>
      </c>
      <c r="D37" s="50">
        <v>2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15</v>
      </c>
      <c r="N37" s="50">
        <v>0</v>
      </c>
      <c r="O37" s="15">
        <f t="shared" si="0"/>
        <v>6</v>
      </c>
      <c r="P37" s="15">
        <f t="shared" si="1"/>
        <v>21</v>
      </c>
      <c r="R37" s="37" t="s">
        <v>85</v>
      </c>
      <c r="S37" s="35">
        <f t="shared" ref="S37:AF37" si="29">SUM(S10:S12)</f>
        <v>3</v>
      </c>
      <c r="T37" s="16">
        <f t="shared" si="29"/>
        <v>6</v>
      </c>
      <c r="U37" s="16">
        <f t="shared" si="29"/>
        <v>1</v>
      </c>
      <c r="V37" s="16">
        <f t="shared" si="29"/>
        <v>6</v>
      </c>
      <c r="W37" s="16">
        <f t="shared" si="29"/>
        <v>0</v>
      </c>
      <c r="X37" s="16">
        <f t="shared" si="29"/>
        <v>0</v>
      </c>
      <c r="Y37" s="16">
        <f t="shared" si="29"/>
        <v>0</v>
      </c>
      <c r="Z37" s="16">
        <f t="shared" si="29"/>
        <v>11</v>
      </c>
      <c r="AA37" s="16">
        <f t="shared" si="29"/>
        <v>0</v>
      </c>
      <c r="AB37" s="16">
        <f t="shared" si="29"/>
        <v>0</v>
      </c>
      <c r="AC37" s="16">
        <f t="shared" si="29"/>
        <v>164</v>
      </c>
      <c r="AD37" s="16">
        <f t="shared" si="29"/>
        <v>0</v>
      </c>
      <c r="AE37" s="32">
        <f t="shared" si="29"/>
        <v>27</v>
      </c>
      <c r="AF37" s="32">
        <f t="shared" si="29"/>
        <v>191</v>
      </c>
    </row>
    <row r="38" spans="2:32" ht="23.1" customHeight="1" x14ac:dyDescent="0.25">
      <c r="B38" s="46" t="s">
        <v>65</v>
      </c>
      <c r="C38" s="50">
        <v>0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2</v>
      </c>
      <c r="J38" s="50">
        <v>2</v>
      </c>
      <c r="K38" s="50">
        <v>0</v>
      </c>
      <c r="L38" s="50">
        <v>2</v>
      </c>
      <c r="M38" s="50">
        <v>16</v>
      </c>
      <c r="N38" s="50">
        <v>1</v>
      </c>
      <c r="O38" s="15">
        <f t="shared" si="0"/>
        <v>8</v>
      </c>
      <c r="P38" s="15">
        <f t="shared" si="1"/>
        <v>24</v>
      </c>
      <c r="R38" s="28" t="s">
        <v>86</v>
      </c>
      <c r="S38" s="16">
        <f t="shared" ref="S38:AF38" si="30">SUM(S13:S18)</f>
        <v>19</v>
      </c>
      <c r="T38" s="16">
        <f t="shared" si="30"/>
        <v>20</v>
      </c>
      <c r="U38" s="16">
        <f t="shared" si="30"/>
        <v>3</v>
      </c>
      <c r="V38" s="16">
        <f t="shared" si="30"/>
        <v>9</v>
      </c>
      <c r="W38" s="16">
        <f t="shared" si="30"/>
        <v>0</v>
      </c>
      <c r="X38" s="16">
        <f t="shared" si="30"/>
        <v>0</v>
      </c>
      <c r="Y38" s="16">
        <f t="shared" si="30"/>
        <v>34</v>
      </c>
      <c r="Z38" s="16">
        <f t="shared" si="30"/>
        <v>20</v>
      </c>
      <c r="AA38" s="16">
        <f t="shared" si="30"/>
        <v>0</v>
      </c>
      <c r="AB38" s="16">
        <f t="shared" si="30"/>
        <v>2</v>
      </c>
      <c r="AC38" s="16">
        <f t="shared" si="30"/>
        <v>552</v>
      </c>
      <c r="AD38" s="16">
        <f t="shared" si="30"/>
        <v>1</v>
      </c>
      <c r="AE38" s="32">
        <f t="shared" si="30"/>
        <v>108</v>
      </c>
      <c r="AF38" s="32">
        <f t="shared" si="30"/>
        <v>660</v>
      </c>
    </row>
    <row r="39" spans="2:32" ht="23.1" customHeight="1" x14ac:dyDescent="0.25">
      <c r="B39" s="46" t="s">
        <v>66</v>
      </c>
      <c r="C39" s="50">
        <v>1</v>
      </c>
      <c r="D39" s="50">
        <v>2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25</v>
      </c>
      <c r="N39" s="50">
        <v>0</v>
      </c>
      <c r="O39" s="15">
        <f t="shared" si="0"/>
        <v>4</v>
      </c>
      <c r="P39" s="15">
        <f t="shared" si="1"/>
        <v>29</v>
      </c>
      <c r="R39" s="29" t="s">
        <v>87</v>
      </c>
      <c r="S39" s="16">
        <f t="shared" ref="S39:AF39" si="31">SUM(S19:S21)</f>
        <v>6</v>
      </c>
      <c r="T39" s="16">
        <f t="shared" si="31"/>
        <v>15</v>
      </c>
      <c r="U39" s="16">
        <f t="shared" si="31"/>
        <v>5</v>
      </c>
      <c r="V39" s="16">
        <f t="shared" si="31"/>
        <v>9</v>
      </c>
      <c r="W39" s="16">
        <f t="shared" si="31"/>
        <v>0</v>
      </c>
      <c r="X39" s="16">
        <f t="shared" si="31"/>
        <v>1</v>
      </c>
      <c r="Y39" s="16">
        <f t="shared" si="31"/>
        <v>9</v>
      </c>
      <c r="Z39" s="16">
        <f t="shared" si="31"/>
        <v>10</v>
      </c>
      <c r="AA39" s="16">
        <f t="shared" si="31"/>
        <v>0</v>
      </c>
      <c r="AB39" s="16">
        <f t="shared" si="31"/>
        <v>0</v>
      </c>
      <c r="AC39" s="16">
        <f t="shared" si="31"/>
        <v>308</v>
      </c>
      <c r="AD39" s="16">
        <f t="shared" si="31"/>
        <v>1</v>
      </c>
      <c r="AE39" s="32">
        <f t="shared" si="31"/>
        <v>56</v>
      </c>
      <c r="AF39" s="32">
        <f t="shared" si="31"/>
        <v>364</v>
      </c>
    </row>
    <row r="40" spans="2:32" ht="23.1" customHeight="1" x14ac:dyDescent="0.25">
      <c r="B40" s="46" t="s">
        <v>67</v>
      </c>
      <c r="C40" s="50">
        <v>4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5">
        <f t="shared" si="0"/>
        <v>6</v>
      </c>
      <c r="P40" s="15">
        <f t="shared" si="1"/>
        <v>20</v>
      </c>
      <c r="R40" s="5" t="s">
        <v>17</v>
      </c>
      <c r="S40" s="16">
        <f t="shared" ref="S40:AF40" si="32">SUM(S10:S21)</f>
        <v>28</v>
      </c>
      <c r="T40" s="16">
        <f t="shared" si="32"/>
        <v>41</v>
      </c>
      <c r="U40" s="16">
        <f t="shared" si="32"/>
        <v>9</v>
      </c>
      <c r="V40" s="16">
        <f t="shared" si="32"/>
        <v>24</v>
      </c>
      <c r="W40" s="16">
        <f t="shared" si="32"/>
        <v>0</v>
      </c>
      <c r="X40" s="16">
        <f t="shared" si="32"/>
        <v>1</v>
      </c>
      <c r="Y40" s="16">
        <f t="shared" si="32"/>
        <v>43</v>
      </c>
      <c r="Z40" s="16">
        <f t="shared" si="32"/>
        <v>41</v>
      </c>
      <c r="AA40" s="16">
        <f t="shared" si="32"/>
        <v>0</v>
      </c>
      <c r="AB40" s="16">
        <f t="shared" si="32"/>
        <v>2</v>
      </c>
      <c r="AC40" s="16">
        <f t="shared" si="32"/>
        <v>1024</v>
      </c>
      <c r="AD40" s="16">
        <f t="shared" si="32"/>
        <v>2</v>
      </c>
      <c r="AE40" s="32">
        <f t="shared" si="32"/>
        <v>191</v>
      </c>
      <c r="AF40" s="32">
        <f t="shared" si="32"/>
        <v>1215</v>
      </c>
    </row>
    <row r="41" spans="2:32" ht="23.1" customHeight="1" x14ac:dyDescent="0.25">
      <c r="B41" s="45" t="s">
        <v>68</v>
      </c>
      <c r="C41" s="50">
        <v>0</v>
      </c>
      <c r="D41" s="50">
        <v>1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18</v>
      </c>
      <c r="N41" s="50">
        <v>0</v>
      </c>
      <c r="O41" s="15">
        <f t="shared" si="0"/>
        <v>4</v>
      </c>
      <c r="P41" s="15">
        <f t="shared" si="1"/>
        <v>22</v>
      </c>
      <c r="R41" s="5" t="s">
        <v>159</v>
      </c>
      <c r="S41" s="16">
        <f>SUM(S10:S33)</f>
        <v>47</v>
      </c>
      <c r="T41" s="16">
        <f t="shared" ref="T41:AF41" si="33">SUM(T10:T33)</f>
        <v>44</v>
      </c>
      <c r="U41" s="16">
        <f t="shared" si="33"/>
        <v>10</v>
      </c>
      <c r="V41" s="16">
        <f t="shared" si="33"/>
        <v>38</v>
      </c>
      <c r="W41" s="16">
        <f t="shared" si="33"/>
        <v>0</v>
      </c>
      <c r="X41" s="16">
        <f t="shared" si="33"/>
        <v>1</v>
      </c>
      <c r="Y41" s="16">
        <f t="shared" si="33"/>
        <v>45</v>
      </c>
      <c r="Z41" s="16">
        <f t="shared" si="33"/>
        <v>45</v>
      </c>
      <c r="AA41" s="16">
        <f t="shared" si="33"/>
        <v>0</v>
      </c>
      <c r="AB41" s="16">
        <f t="shared" si="33"/>
        <v>2</v>
      </c>
      <c r="AC41" s="16">
        <f t="shared" si="33"/>
        <v>1313</v>
      </c>
      <c r="AD41" s="16">
        <f t="shared" si="33"/>
        <v>2</v>
      </c>
      <c r="AE41" s="32">
        <f t="shared" si="33"/>
        <v>234</v>
      </c>
      <c r="AF41" s="32">
        <f t="shared" si="33"/>
        <v>1547</v>
      </c>
    </row>
    <row r="42" spans="2:32" ht="23.1" customHeight="1" x14ac:dyDescent="0.25">
      <c r="B42" s="46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15</v>
      </c>
      <c r="N42" s="50">
        <v>0</v>
      </c>
      <c r="O42" s="15">
        <f t="shared" si="0"/>
        <v>5</v>
      </c>
      <c r="P42" s="15">
        <f t="shared" si="1"/>
        <v>20</v>
      </c>
      <c r="R42" s="5" t="s">
        <v>160</v>
      </c>
      <c r="S42" s="48">
        <f>S41/S40</f>
        <v>1.6785714285714286</v>
      </c>
      <c r="T42" s="48">
        <f t="shared" ref="T42:AF42" si="34">T41/T40</f>
        <v>1.0731707317073171</v>
      </c>
      <c r="U42" s="48">
        <f t="shared" si="34"/>
        <v>1.1111111111111112</v>
      </c>
      <c r="V42" s="48">
        <f t="shared" si="34"/>
        <v>1.5833333333333333</v>
      </c>
      <c r="W42" s="48" t="e">
        <f t="shared" si="34"/>
        <v>#DIV/0!</v>
      </c>
      <c r="X42" s="48">
        <f t="shared" si="34"/>
        <v>1</v>
      </c>
      <c r="Y42" s="48">
        <f t="shared" si="34"/>
        <v>1.0465116279069768</v>
      </c>
      <c r="Z42" s="48">
        <f t="shared" si="34"/>
        <v>1.0975609756097562</v>
      </c>
      <c r="AA42" s="48" t="e">
        <f t="shared" si="34"/>
        <v>#DIV/0!</v>
      </c>
      <c r="AB42" s="48">
        <f t="shared" si="34"/>
        <v>1</v>
      </c>
      <c r="AC42" s="48">
        <f t="shared" si="34"/>
        <v>1.2822265625</v>
      </c>
      <c r="AD42" s="48">
        <f t="shared" si="34"/>
        <v>1</v>
      </c>
      <c r="AE42" s="48">
        <f t="shared" si="34"/>
        <v>1.2251308900523561</v>
      </c>
      <c r="AF42" s="48">
        <f t="shared" si="34"/>
        <v>1.2732510288065844</v>
      </c>
    </row>
    <row r="43" spans="2:32" ht="23.1" customHeight="1" x14ac:dyDescent="0.25">
      <c r="B43" s="45" t="s">
        <v>70</v>
      </c>
      <c r="C43" s="50">
        <v>3</v>
      </c>
      <c r="D43" s="50">
        <v>2</v>
      </c>
      <c r="E43" s="50">
        <v>0</v>
      </c>
      <c r="F43" s="50">
        <v>0</v>
      </c>
      <c r="G43" s="50">
        <v>0</v>
      </c>
      <c r="H43" s="50">
        <v>0</v>
      </c>
      <c r="I43" s="50">
        <v>5</v>
      </c>
      <c r="J43" s="50">
        <v>1</v>
      </c>
      <c r="K43" s="50">
        <v>0</v>
      </c>
      <c r="L43" s="50">
        <v>0</v>
      </c>
      <c r="M43" s="50">
        <v>25</v>
      </c>
      <c r="N43" s="50">
        <v>0</v>
      </c>
      <c r="O43" s="15">
        <f t="shared" si="0"/>
        <v>11</v>
      </c>
      <c r="P43" s="15">
        <f t="shared" si="1"/>
        <v>36</v>
      </c>
    </row>
    <row r="44" spans="2:32" ht="23.1" customHeight="1" x14ac:dyDescent="0.25">
      <c r="B44" s="47" t="s">
        <v>71</v>
      </c>
      <c r="C44" s="50">
        <v>0</v>
      </c>
      <c r="D44" s="50">
        <v>1</v>
      </c>
      <c r="E44" s="50">
        <v>0</v>
      </c>
      <c r="F44" s="50">
        <v>2</v>
      </c>
      <c r="G44" s="50">
        <v>0</v>
      </c>
      <c r="H44" s="50">
        <v>0</v>
      </c>
      <c r="I44" s="50">
        <v>3</v>
      </c>
      <c r="J44" s="50">
        <v>2</v>
      </c>
      <c r="K44" s="50">
        <v>0</v>
      </c>
      <c r="L44" s="50">
        <v>0</v>
      </c>
      <c r="M44" s="50">
        <v>22</v>
      </c>
      <c r="N44" s="50">
        <v>0</v>
      </c>
      <c r="O44" s="15">
        <f t="shared" si="0"/>
        <v>8</v>
      </c>
      <c r="P44" s="15">
        <f t="shared" si="1"/>
        <v>30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14</v>
      </c>
      <c r="N45" s="50">
        <v>0</v>
      </c>
      <c r="O45" s="15">
        <f t="shared" si="0"/>
        <v>2</v>
      </c>
      <c r="P45" s="15">
        <f t="shared" si="1"/>
        <v>16</v>
      </c>
    </row>
    <row r="46" spans="2:32" ht="23.1" customHeight="1" x14ac:dyDescent="0.25">
      <c r="B46" s="46" t="s">
        <v>73</v>
      </c>
      <c r="C46" s="50">
        <v>0</v>
      </c>
      <c r="D46" s="50">
        <v>2</v>
      </c>
      <c r="E46" s="50">
        <v>1</v>
      </c>
      <c r="F46" s="50">
        <v>0</v>
      </c>
      <c r="G46" s="50">
        <v>0</v>
      </c>
      <c r="H46" s="50">
        <v>0</v>
      </c>
      <c r="I46" s="50">
        <v>4</v>
      </c>
      <c r="J46" s="50">
        <v>1</v>
      </c>
      <c r="K46" s="50">
        <v>0</v>
      </c>
      <c r="L46" s="50">
        <v>0</v>
      </c>
      <c r="M46" s="50">
        <v>24</v>
      </c>
      <c r="N46" s="50">
        <v>0</v>
      </c>
      <c r="O46" s="15">
        <f t="shared" si="0"/>
        <v>8</v>
      </c>
      <c r="P46" s="15">
        <f t="shared" si="1"/>
        <v>32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3</v>
      </c>
      <c r="E47" s="50">
        <v>0</v>
      </c>
      <c r="F47" s="50">
        <v>2</v>
      </c>
      <c r="G47" s="50">
        <v>0</v>
      </c>
      <c r="H47" s="50">
        <v>0</v>
      </c>
      <c r="I47" s="50">
        <v>0</v>
      </c>
      <c r="J47" s="50">
        <v>2</v>
      </c>
      <c r="K47" s="50">
        <v>0</v>
      </c>
      <c r="L47" s="50">
        <v>0</v>
      </c>
      <c r="M47" s="50">
        <v>29</v>
      </c>
      <c r="N47" s="50">
        <v>0</v>
      </c>
      <c r="O47" s="15">
        <f t="shared" si="0"/>
        <v>7</v>
      </c>
      <c r="P47" s="15">
        <f t="shared" si="1"/>
        <v>36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2</v>
      </c>
      <c r="E48" s="50">
        <v>0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31</v>
      </c>
      <c r="N48" s="50">
        <v>0</v>
      </c>
      <c r="O48" s="15">
        <f t="shared" si="0"/>
        <v>3</v>
      </c>
      <c r="P48" s="15">
        <f t="shared" si="1"/>
        <v>34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2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25</v>
      </c>
      <c r="N49" s="50">
        <v>0</v>
      </c>
      <c r="O49" s="15">
        <f t="shared" si="0"/>
        <v>6</v>
      </c>
      <c r="P49" s="15">
        <f t="shared" si="1"/>
        <v>31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1</v>
      </c>
      <c r="E50" s="50">
        <v>2</v>
      </c>
      <c r="F50" s="50">
        <v>1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0</v>
      </c>
      <c r="M50" s="50">
        <v>33</v>
      </c>
      <c r="N50" s="50">
        <v>0</v>
      </c>
      <c r="O50" s="15">
        <f t="shared" si="0"/>
        <v>8</v>
      </c>
      <c r="P50" s="15">
        <f t="shared" si="1"/>
        <v>41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15</v>
      </c>
      <c r="N51" s="50">
        <v>0</v>
      </c>
      <c r="O51" s="15">
        <f t="shared" si="0"/>
        <v>0</v>
      </c>
      <c r="P51" s="15">
        <f t="shared" si="1"/>
        <v>15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2</v>
      </c>
      <c r="J52" s="50">
        <v>2</v>
      </c>
      <c r="K52" s="50">
        <v>0</v>
      </c>
      <c r="L52" s="50">
        <v>0</v>
      </c>
      <c r="M52" s="50">
        <v>20</v>
      </c>
      <c r="N52" s="50">
        <v>0</v>
      </c>
      <c r="O52" s="15">
        <f t="shared" si="0"/>
        <v>4</v>
      </c>
      <c r="P52" s="15">
        <f t="shared" si="1"/>
        <v>24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1</v>
      </c>
      <c r="E53" s="50">
        <v>0</v>
      </c>
      <c r="F53" s="50">
        <v>0</v>
      </c>
      <c r="G53" s="50">
        <v>0</v>
      </c>
      <c r="H53" s="50">
        <v>1</v>
      </c>
      <c r="I53" s="50">
        <v>1</v>
      </c>
      <c r="J53" s="50">
        <v>0</v>
      </c>
      <c r="K53" s="50">
        <v>0</v>
      </c>
      <c r="L53" s="50">
        <v>0</v>
      </c>
      <c r="M53" s="50">
        <v>18</v>
      </c>
      <c r="N53" s="50">
        <v>0</v>
      </c>
      <c r="O53" s="15">
        <f t="shared" si="0"/>
        <v>4</v>
      </c>
      <c r="P53" s="15">
        <f t="shared" si="1"/>
        <v>22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2</v>
      </c>
      <c r="E54" s="50">
        <v>0</v>
      </c>
      <c r="F54" s="50">
        <v>0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23</v>
      </c>
      <c r="N54" s="50">
        <v>1</v>
      </c>
      <c r="O54" s="15">
        <f t="shared" si="0"/>
        <v>3</v>
      </c>
      <c r="P54" s="15">
        <f t="shared" si="1"/>
        <v>26</v>
      </c>
      <c r="R54" s="8"/>
      <c r="T54"/>
    </row>
    <row r="55" spans="2:20" ht="23.1" customHeight="1" x14ac:dyDescent="0.25">
      <c r="B55" s="45" t="s">
        <v>82</v>
      </c>
      <c r="C55" s="50">
        <v>1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30</v>
      </c>
      <c r="N55" s="50">
        <v>0</v>
      </c>
      <c r="O55" s="15">
        <f t="shared" si="0"/>
        <v>3</v>
      </c>
      <c r="P55" s="15">
        <f t="shared" si="1"/>
        <v>33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2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40</v>
      </c>
      <c r="N56" s="50">
        <v>0</v>
      </c>
      <c r="O56" s="15">
        <f t="shared" si="0"/>
        <v>3</v>
      </c>
      <c r="P56" s="15">
        <f t="shared" si="1"/>
        <v>43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1</v>
      </c>
      <c r="F57" s="50">
        <v>5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20</v>
      </c>
      <c r="N57" s="50">
        <v>0</v>
      </c>
      <c r="O57" s="15">
        <f t="shared" si="0"/>
        <v>7</v>
      </c>
      <c r="P57" s="15">
        <f t="shared" si="1"/>
        <v>27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2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0</v>
      </c>
      <c r="K58" s="50">
        <v>0</v>
      </c>
      <c r="L58" s="50">
        <v>0</v>
      </c>
      <c r="M58" s="50">
        <v>19</v>
      </c>
      <c r="N58" s="50">
        <v>0</v>
      </c>
      <c r="O58" s="15">
        <f t="shared" si="0"/>
        <v>4</v>
      </c>
      <c r="P58" s="15">
        <f t="shared" si="1"/>
        <v>23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34</v>
      </c>
      <c r="N59" s="50">
        <v>0</v>
      </c>
      <c r="O59" s="15">
        <f t="shared" si="0"/>
        <v>3</v>
      </c>
      <c r="P59" s="15">
        <f t="shared" si="1"/>
        <v>37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31</v>
      </c>
      <c r="N60" s="50">
        <v>0</v>
      </c>
      <c r="O60" s="15">
        <f t="shared" si="0"/>
        <v>2</v>
      </c>
      <c r="P60" s="15">
        <f t="shared" si="1"/>
        <v>33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1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27</v>
      </c>
      <c r="N61" s="50">
        <v>0</v>
      </c>
      <c r="O61" s="15">
        <f t="shared" si="0"/>
        <v>1</v>
      </c>
      <c r="P61" s="15">
        <f t="shared" si="1"/>
        <v>28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15</v>
      </c>
      <c r="N62" s="50">
        <v>0</v>
      </c>
      <c r="O62" s="15">
        <f t="shared" si="0"/>
        <v>0</v>
      </c>
      <c r="P62" s="15">
        <f t="shared" si="1"/>
        <v>15</v>
      </c>
      <c r="R62" s="8"/>
      <c r="T62"/>
    </row>
    <row r="63" spans="2:20" ht="23.1" customHeight="1" x14ac:dyDescent="0.25">
      <c r="B63" s="45" t="s">
        <v>108</v>
      </c>
      <c r="C63" s="50">
        <v>4</v>
      </c>
      <c r="D63" s="50">
        <v>1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37</v>
      </c>
      <c r="N63" s="50">
        <v>0</v>
      </c>
      <c r="O63" s="15">
        <f t="shared" si="0"/>
        <v>5</v>
      </c>
      <c r="P63" s="15">
        <f t="shared" si="1"/>
        <v>42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14</v>
      </c>
      <c r="N64" s="50">
        <v>0</v>
      </c>
      <c r="O64" s="15">
        <f t="shared" si="0"/>
        <v>0</v>
      </c>
      <c r="P64" s="15">
        <f t="shared" si="1"/>
        <v>14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1</v>
      </c>
      <c r="K65" s="50">
        <v>0</v>
      </c>
      <c r="L65" s="50">
        <v>0</v>
      </c>
      <c r="M65" s="50">
        <v>11</v>
      </c>
      <c r="N65" s="50">
        <v>0</v>
      </c>
      <c r="O65" s="15">
        <f t="shared" si="0"/>
        <v>1</v>
      </c>
      <c r="P65" s="15">
        <f t="shared" si="1"/>
        <v>12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6</v>
      </c>
      <c r="N66" s="50">
        <v>0</v>
      </c>
      <c r="O66" s="15">
        <f t="shared" si="0"/>
        <v>0</v>
      </c>
      <c r="P66" s="15">
        <f t="shared" si="1"/>
        <v>6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11</v>
      </c>
      <c r="N67" s="50">
        <v>0</v>
      </c>
      <c r="O67" s="15">
        <f t="shared" si="0"/>
        <v>3</v>
      </c>
      <c r="P67" s="15">
        <f t="shared" si="1"/>
        <v>14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12</v>
      </c>
      <c r="N68" s="50">
        <v>0</v>
      </c>
      <c r="O68" s="15">
        <f t="shared" si="0"/>
        <v>2</v>
      </c>
      <c r="P68" s="15">
        <f t="shared" si="1"/>
        <v>14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10</v>
      </c>
      <c r="N69" s="50">
        <v>0</v>
      </c>
      <c r="O69" s="15">
        <f t="shared" si="0"/>
        <v>1</v>
      </c>
      <c r="P69" s="15">
        <f t="shared" si="1"/>
        <v>11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6</v>
      </c>
      <c r="N70" s="50">
        <v>0</v>
      </c>
      <c r="O70" s="15">
        <f t="shared" si="0"/>
        <v>0</v>
      </c>
      <c r="P70" s="15">
        <f t="shared" si="1"/>
        <v>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1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4</v>
      </c>
      <c r="N71" s="50">
        <v>0</v>
      </c>
      <c r="O71" s="15">
        <f t="shared" si="0"/>
        <v>1</v>
      </c>
      <c r="P71" s="15">
        <f t="shared" si="1"/>
        <v>5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4</v>
      </c>
      <c r="N72" s="50">
        <v>0</v>
      </c>
      <c r="O72" s="15">
        <f t="shared" si="0"/>
        <v>1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3</v>
      </c>
      <c r="N73" s="50">
        <v>0</v>
      </c>
      <c r="O73" s="15">
        <f t="shared" si="0"/>
        <v>0</v>
      </c>
      <c r="P73" s="15">
        <f t="shared" si="1"/>
        <v>3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0</v>
      </c>
      <c r="P75" s="15">
        <f t="shared" si="36"/>
        <v>1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2</v>
      </c>
      <c r="N76" s="50">
        <v>0</v>
      </c>
      <c r="O76" s="15">
        <f t="shared" si="35"/>
        <v>0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1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0</v>
      </c>
      <c r="P79" s="15">
        <f t="shared" si="36"/>
        <v>0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0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1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1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3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1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2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2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2</v>
      </c>
      <c r="N100" s="50">
        <v>0</v>
      </c>
      <c r="O100" s="15">
        <f t="shared" si="35"/>
        <v>1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4</v>
      </c>
      <c r="N101" s="50">
        <v>0</v>
      </c>
      <c r="O101" s="15">
        <f t="shared" si="35"/>
        <v>2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0</v>
      </c>
      <c r="P102" s="15">
        <f t="shared" si="36"/>
        <v>3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2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2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</v>
      </c>
      <c r="N104" s="50">
        <v>0</v>
      </c>
      <c r="O104" s="15">
        <f t="shared" si="35"/>
        <v>2</v>
      </c>
      <c r="P104" s="15">
        <f t="shared" si="36"/>
        <v>4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2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13</v>
      </c>
      <c r="N105" s="50">
        <v>0</v>
      </c>
      <c r="O105" s="15">
        <f t="shared" si="35"/>
        <v>2</v>
      </c>
      <c r="P105" s="15">
        <f t="shared" si="36"/>
        <v>15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47</v>
      </c>
      <c r="D106" s="16">
        <f t="shared" ref="D106:P106" si="37">SUM(D10:D105)</f>
        <v>44</v>
      </c>
      <c r="E106" s="16">
        <f t="shared" si="37"/>
        <v>10</v>
      </c>
      <c r="F106" s="16">
        <f t="shared" si="37"/>
        <v>38</v>
      </c>
      <c r="G106" s="16">
        <f t="shared" si="37"/>
        <v>0</v>
      </c>
      <c r="H106" s="16">
        <f t="shared" si="37"/>
        <v>1</v>
      </c>
      <c r="I106" s="16">
        <f t="shared" si="37"/>
        <v>45</v>
      </c>
      <c r="J106" s="16">
        <f t="shared" si="37"/>
        <v>45</v>
      </c>
      <c r="K106" s="16">
        <f t="shared" si="37"/>
        <v>0</v>
      </c>
      <c r="L106" s="16">
        <f t="shared" si="37"/>
        <v>2</v>
      </c>
      <c r="M106" s="16">
        <f t="shared" si="37"/>
        <v>1313</v>
      </c>
      <c r="N106" s="16">
        <f t="shared" si="37"/>
        <v>2</v>
      </c>
      <c r="O106" s="16">
        <f t="shared" si="37"/>
        <v>234</v>
      </c>
      <c r="P106" s="16">
        <f t="shared" si="37"/>
        <v>1547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3.0381383322559793E-2</v>
      </c>
      <c r="D107" s="43">
        <f t="shared" si="38"/>
        <v>2.8442146089204912E-2</v>
      </c>
      <c r="E107" s="43">
        <f t="shared" si="38"/>
        <v>6.4641241111829343E-3</v>
      </c>
      <c r="F107" s="43">
        <f t="shared" si="38"/>
        <v>2.4563671622495151E-2</v>
      </c>
      <c r="G107" s="43">
        <f t="shared" si="38"/>
        <v>0</v>
      </c>
      <c r="H107" s="43">
        <f t="shared" si="38"/>
        <v>6.4641241111829345E-4</v>
      </c>
      <c r="I107" s="43">
        <f t="shared" si="38"/>
        <v>2.9088558500323207E-2</v>
      </c>
      <c r="J107" s="43">
        <f t="shared" si="38"/>
        <v>2.9088558500323207E-2</v>
      </c>
      <c r="K107" s="43">
        <f t="shared" si="38"/>
        <v>0</v>
      </c>
      <c r="L107" s="43">
        <f t="shared" si="38"/>
        <v>1.2928248222365869E-3</v>
      </c>
      <c r="M107" s="43">
        <f t="shared" si="38"/>
        <v>0.84873949579831931</v>
      </c>
      <c r="N107" s="43">
        <f t="shared" si="38"/>
        <v>1.2928248222365869E-3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0.20085470085470086</v>
      </c>
      <c r="D108" s="44">
        <f t="shared" ref="D108:N108" si="39">D106/$O$106</f>
        <v>0.18803418803418803</v>
      </c>
      <c r="E108" s="44">
        <f t="shared" si="39"/>
        <v>4.2735042735042736E-2</v>
      </c>
      <c r="F108" s="44">
        <f t="shared" si="39"/>
        <v>0.1623931623931624</v>
      </c>
      <c r="G108" s="44">
        <f t="shared" si="39"/>
        <v>0</v>
      </c>
      <c r="H108" s="44">
        <f t="shared" si="39"/>
        <v>4.2735042735042739E-3</v>
      </c>
      <c r="I108" s="44">
        <f t="shared" si="39"/>
        <v>0.19230769230769232</v>
      </c>
      <c r="J108" s="44">
        <f t="shared" si="39"/>
        <v>0.19230769230769232</v>
      </c>
      <c r="K108" s="44">
        <f t="shared" si="39"/>
        <v>0</v>
      </c>
      <c r="L108" s="44">
        <f t="shared" si="39"/>
        <v>8.5470085470085479E-3</v>
      </c>
      <c r="M108" s="44"/>
      <c r="N108" s="44">
        <f t="shared" si="39"/>
        <v>8.5470085470085479E-3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7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WOBULENZI-ZIROBWE'!C3:G3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'19.10 WOBULENZI-ZIROBWE-24h'!D5</f>
        <v>19.10.19</v>
      </c>
      <c r="E5" s="3"/>
      <c r="F5" s="41" t="s">
        <v>1</v>
      </c>
      <c r="G5" s="59" t="str">
        <f>'19.10 WOBULENZI-ZIROBWE-24h'!G5:H5</f>
        <v>STATION 88</v>
      </c>
      <c r="H5" s="60"/>
      <c r="I5" s="14"/>
      <c r="J5" s="2" t="s">
        <v>5</v>
      </c>
      <c r="K5" s="59" t="str">
        <f>'19.10 WOBULENZI-ZIROBWE-24h'!K5:L5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ZIROBWE-WOBULENZI'!D6:E6</f>
        <v>ZIROBWE</v>
      </c>
      <c r="E6" s="60"/>
      <c r="F6" s="2" t="s">
        <v>2</v>
      </c>
      <c r="G6" s="59" t="str">
        <f>'23.10 ZIROBWE-WOBULENZI'!G6:H6</f>
        <v>WOBULENZI</v>
      </c>
      <c r="H6" s="60"/>
      <c r="J6" s="2" t="s">
        <v>21</v>
      </c>
      <c r="K6" s="59" t="str">
        <f>'19.10 WOBULENZI-ZIROBWE-24h'!K6:L6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2</v>
      </c>
      <c r="K10" s="50">
        <v>0</v>
      </c>
      <c r="L10" s="50">
        <v>0</v>
      </c>
      <c r="M10" s="50">
        <v>14</v>
      </c>
      <c r="N10" s="50">
        <v>0</v>
      </c>
      <c r="O10" s="15">
        <f t="shared" ref="O10:O73" si="0">SUM(C10:L10,N10)</f>
        <v>2</v>
      </c>
      <c r="P10" s="15">
        <f t="shared" ref="P10:P73" si="1">SUM(C10:N10)</f>
        <v>16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52</v>
      </c>
      <c r="AD10" s="17">
        <f t="shared" si="2"/>
        <v>0</v>
      </c>
      <c r="AE10" s="31">
        <f t="shared" si="2"/>
        <v>5</v>
      </c>
      <c r="AF10" s="31">
        <f t="shared" si="2"/>
        <v>57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9</v>
      </c>
      <c r="N11" s="50">
        <v>0</v>
      </c>
      <c r="O11" s="15">
        <f t="shared" si="0"/>
        <v>0</v>
      </c>
      <c r="P11" s="15">
        <f t="shared" si="1"/>
        <v>9</v>
      </c>
      <c r="R11" s="1" t="s">
        <v>7</v>
      </c>
      <c r="S11" s="17">
        <f t="shared" ref="S11:AF11" si="3">SUM(C14:C17)</f>
        <v>2</v>
      </c>
      <c r="T11" s="17">
        <f t="shared" si="3"/>
        <v>3</v>
      </c>
      <c r="U11" s="17">
        <f t="shared" si="3"/>
        <v>0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28</v>
      </c>
      <c r="AD11" s="17">
        <f t="shared" si="3"/>
        <v>0</v>
      </c>
      <c r="AE11" s="31">
        <f t="shared" si="3"/>
        <v>15</v>
      </c>
      <c r="AF11" s="31">
        <f t="shared" si="3"/>
        <v>43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16</v>
      </c>
      <c r="N12" s="50">
        <v>0</v>
      </c>
      <c r="O12" s="15">
        <f t="shared" si="0"/>
        <v>2</v>
      </c>
      <c r="P12" s="15">
        <f t="shared" si="1"/>
        <v>18</v>
      </c>
      <c r="R12" s="1" t="s">
        <v>8</v>
      </c>
      <c r="S12" s="17">
        <f t="shared" ref="S12:AF12" si="4">SUM(C18:C21)</f>
        <v>3</v>
      </c>
      <c r="T12" s="17">
        <f t="shared" si="4"/>
        <v>3</v>
      </c>
      <c r="U12" s="17">
        <f t="shared" si="4"/>
        <v>0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10</v>
      </c>
      <c r="AA12" s="17">
        <f t="shared" si="4"/>
        <v>0</v>
      </c>
      <c r="AB12" s="17">
        <f t="shared" si="4"/>
        <v>0</v>
      </c>
      <c r="AC12" s="17">
        <f t="shared" si="4"/>
        <v>64</v>
      </c>
      <c r="AD12" s="17">
        <f t="shared" si="4"/>
        <v>0</v>
      </c>
      <c r="AE12" s="31">
        <f t="shared" si="4"/>
        <v>20</v>
      </c>
      <c r="AF12" s="31">
        <f t="shared" si="4"/>
        <v>84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13</v>
      </c>
      <c r="N13" s="50">
        <v>0</v>
      </c>
      <c r="O13" s="15">
        <f t="shared" si="0"/>
        <v>1</v>
      </c>
      <c r="P13" s="15">
        <f t="shared" si="1"/>
        <v>14</v>
      </c>
      <c r="R13" s="1" t="s">
        <v>9</v>
      </c>
      <c r="S13" s="17">
        <f t="shared" ref="S13:AF13" si="5">SUM(C22:C25)</f>
        <v>3</v>
      </c>
      <c r="T13" s="17">
        <f t="shared" si="5"/>
        <v>2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4</v>
      </c>
      <c r="AA13" s="17">
        <f t="shared" si="5"/>
        <v>0</v>
      </c>
      <c r="AB13" s="17">
        <f t="shared" si="5"/>
        <v>1</v>
      </c>
      <c r="AC13" s="17">
        <f t="shared" si="5"/>
        <v>81</v>
      </c>
      <c r="AD13" s="17">
        <f t="shared" si="5"/>
        <v>0</v>
      </c>
      <c r="AE13" s="31">
        <f t="shared" si="5"/>
        <v>16</v>
      </c>
      <c r="AF13" s="31">
        <f t="shared" si="5"/>
        <v>97</v>
      </c>
    </row>
    <row r="14" spans="2:32" ht="23.1" customHeight="1" x14ac:dyDescent="0.25">
      <c r="B14" s="45" t="s">
        <v>41</v>
      </c>
      <c r="C14" s="50">
        <v>0</v>
      </c>
      <c r="D14" s="50">
        <v>1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2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5</v>
      </c>
      <c r="P14" s="15">
        <f t="shared" si="1"/>
        <v>17</v>
      </c>
      <c r="R14" s="1" t="s">
        <v>10</v>
      </c>
      <c r="S14" s="17">
        <f t="shared" ref="S14:AF14" si="6">SUM(C26:C29)</f>
        <v>6</v>
      </c>
      <c r="T14" s="17">
        <f t="shared" si="6"/>
        <v>4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86</v>
      </c>
      <c r="AD14" s="17">
        <f t="shared" si="6"/>
        <v>0</v>
      </c>
      <c r="AE14" s="31">
        <f t="shared" si="6"/>
        <v>13</v>
      </c>
      <c r="AF14" s="31">
        <f t="shared" si="6"/>
        <v>99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2</v>
      </c>
      <c r="K15" s="50">
        <v>0</v>
      </c>
      <c r="L15" s="50">
        <v>0</v>
      </c>
      <c r="M15" s="50">
        <v>6</v>
      </c>
      <c r="N15" s="50">
        <v>0</v>
      </c>
      <c r="O15" s="15">
        <f t="shared" si="0"/>
        <v>3</v>
      </c>
      <c r="P15" s="15">
        <f t="shared" si="1"/>
        <v>9</v>
      </c>
      <c r="R15" s="1" t="s">
        <v>11</v>
      </c>
      <c r="S15" s="17">
        <f t="shared" ref="S15:AF15" si="7">SUM(C30:C33)</f>
        <v>8</v>
      </c>
      <c r="T15" s="17">
        <f t="shared" si="7"/>
        <v>5</v>
      </c>
      <c r="U15" s="17">
        <f t="shared" si="7"/>
        <v>1</v>
      </c>
      <c r="V15" s="17">
        <f t="shared" si="7"/>
        <v>1</v>
      </c>
      <c r="W15" s="17">
        <f t="shared" si="7"/>
        <v>1</v>
      </c>
      <c r="X15" s="17">
        <f t="shared" si="7"/>
        <v>0</v>
      </c>
      <c r="Y15" s="17">
        <f t="shared" si="7"/>
        <v>4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97</v>
      </c>
      <c r="AD15" s="17">
        <f t="shared" si="7"/>
        <v>0</v>
      </c>
      <c r="AE15" s="31">
        <f t="shared" si="7"/>
        <v>24</v>
      </c>
      <c r="AF15" s="31">
        <f t="shared" si="7"/>
        <v>121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5</v>
      </c>
      <c r="P16" s="15">
        <f t="shared" si="1"/>
        <v>9</v>
      </c>
      <c r="R16" s="1" t="s">
        <v>12</v>
      </c>
      <c r="S16" s="17">
        <f t="shared" ref="S16:AF16" si="8">SUM(C34:C37)</f>
        <v>3</v>
      </c>
      <c r="T16" s="17">
        <f t="shared" si="8"/>
        <v>3</v>
      </c>
      <c r="U16" s="17">
        <f t="shared" si="8"/>
        <v>1</v>
      </c>
      <c r="V16" s="17">
        <f t="shared" si="8"/>
        <v>2</v>
      </c>
      <c r="W16" s="17">
        <f t="shared" si="8"/>
        <v>1</v>
      </c>
      <c r="X16" s="17">
        <f t="shared" si="8"/>
        <v>0</v>
      </c>
      <c r="Y16" s="17">
        <f t="shared" si="8"/>
        <v>8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91</v>
      </c>
      <c r="AD16" s="17">
        <f t="shared" si="8"/>
        <v>1</v>
      </c>
      <c r="AE16" s="31">
        <f t="shared" si="8"/>
        <v>23</v>
      </c>
      <c r="AF16" s="31">
        <f t="shared" si="8"/>
        <v>114</v>
      </c>
    </row>
    <row r="17" spans="2:32" ht="23.1" customHeight="1" x14ac:dyDescent="0.25">
      <c r="B17" s="45" t="s">
        <v>44</v>
      </c>
      <c r="C17" s="50">
        <v>0</v>
      </c>
      <c r="D17" s="50">
        <v>2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</v>
      </c>
      <c r="N17" s="50">
        <v>0</v>
      </c>
      <c r="O17" s="15">
        <f t="shared" si="0"/>
        <v>2</v>
      </c>
      <c r="P17" s="15">
        <f t="shared" si="1"/>
        <v>8</v>
      </c>
      <c r="R17" s="1" t="s">
        <v>13</v>
      </c>
      <c r="S17" s="17">
        <f t="shared" ref="S17:AF17" si="9">SUM(C38:C41)</f>
        <v>7</v>
      </c>
      <c r="T17" s="17">
        <f t="shared" si="9"/>
        <v>5</v>
      </c>
      <c r="U17" s="17">
        <f t="shared" si="9"/>
        <v>1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67</v>
      </c>
      <c r="AD17" s="17">
        <f t="shared" si="9"/>
        <v>1</v>
      </c>
      <c r="AE17" s="31">
        <f t="shared" si="9"/>
        <v>26</v>
      </c>
      <c r="AF17" s="31">
        <f t="shared" si="9"/>
        <v>93</v>
      </c>
    </row>
    <row r="18" spans="2:32" ht="23.1" customHeight="1" x14ac:dyDescent="0.25">
      <c r="B18" s="45" t="s">
        <v>45</v>
      </c>
      <c r="C18" s="50">
        <v>2</v>
      </c>
      <c r="D18" s="50">
        <v>0</v>
      </c>
      <c r="E18" s="50">
        <v>0</v>
      </c>
      <c r="F18" s="50">
        <v>1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10</v>
      </c>
      <c r="N18" s="50">
        <v>0</v>
      </c>
      <c r="O18" s="15">
        <f t="shared" si="0"/>
        <v>4</v>
      </c>
      <c r="P18" s="15">
        <f t="shared" si="1"/>
        <v>14</v>
      </c>
      <c r="R18" s="1" t="s">
        <v>14</v>
      </c>
      <c r="S18" s="17">
        <f t="shared" ref="S18:AF18" si="10">SUM(C42:C45)</f>
        <v>3</v>
      </c>
      <c r="T18" s="17">
        <f t="shared" si="10"/>
        <v>1</v>
      </c>
      <c r="U18" s="17">
        <f t="shared" si="10"/>
        <v>2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91</v>
      </c>
      <c r="AD18" s="17">
        <f t="shared" si="10"/>
        <v>0</v>
      </c>
      <c r="AE18" s="31">
        <f t="shared" si="10"/>
        <v>20</v>
      </c>
      <c r="AF18" s="31">
        <f t="shared" si="10"/>
        <v>111</v>
      </c>
    </row>
    <row r="19" spans="2:32" ht="23.1" customHeight="1" x14ac:dyDescent="0.25">
      <c r="B19" s="45" t="s">
        <v>46</v>
      </c>
      <c r="C19" s="50">
        <v>1</v>
      </c>
      <c r="D19" s="50">
        <v>1</v>
      </c>
      <c r="E19" s="50">
        <v>0</v>
      </c>
      <c r="F19" s="50">
        <v>1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16</v>
      </c>
      <c r="N19" s="50">
        <v>0</v>
      </c>
      <c r="O19" s="15">
        <f t="shared" si="0"/>
        <v>5</v>
      </c>
      <c r="P19" s="15">
        <f t="shared" si="1"/>
        <v>21</v>
      </c>
      <c r="R19" s="1" t="s">
        <v>15</v>
      </c>
      <c r="S19" s="17">
        <f t="shared" ref="S19:AF19" si="11">SUM(C46:C49)</f>
        <v>5</v>
      </c>
      <c r="T19" s="17">
        <f t="shared" si="11"/>
        <v>4</v>
      </c>
      <c r="U19" s="17">
        <f t="shared" si="11"/>
        <v>3</v>
      </c>
      <c r="V19" s="17">
        <f t="shared" si="11"/>
        <v>2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79</v>
      </c>
      <c r="AD19" s="17">
        <f t="shared" si="11"/>
        <v>0</v>
      </c>
      <c r="AE19" s="31">
        <f t="shared" si="11"/>
        <v>19</v>
      </c>
      <c r="AF19" s="31">
        <f t="shared" si="11"/>
        <v>98</v>
      </c>
    </row>
    <row r="20" spans="2:32" ht="23.1" customHeight="1" x14ac:dyDescent="0.25">
      <c r="B20" s="45" t="s">
        <v>47</v>
      </c>
      <c r="C20" s="50">
        <v>0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3</v>
      </c>
      <c r="K20" s="50">
        <v>0</v>
      </c>
      <c r="L20" s="50">
        <v>0</v>
      </c>
      <c r="M20" s="50">
        <v>21</v>
      </c>
      <c r="N20" s="50">
        <v>0</v>
      </c>
      <c r="O20" s="15">
        <f t="shared" si="0"/>
        <v>4</v>
      </c>
      <c r="P20" s="15">
        <f t="shared" si="1"/>
        <v>25</v>
      </c>
      <c r="R20" s="1" t="s">
        <v>16</v>
      </c>
      <c r="S20" s="17">
        <f t="shared" ref="S20:AF20" si="12">SUM(C50:C53)</f>
        <v>5</v>
      </c>
      <c r="T20" s="17">
        <f t="shared" si="12"/>
        <v>2</v>
      </c>
      <c r="U20" s="17">
        <f t="shared" si="12"/>
        <v>1</v>
      </c>
      <c r="V20" s="17">
        <f t="shared" si="12"/>
        <v>2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6</v>
      </c>
      <c r="AA20" s="17">
        <f t="shared" si="12"/>
        <v>0</v>
      </c>
      <c r="AB20" s="17">
        <f t="shared" si="12"/>
        <v>0</v>
      </c>
      <c r="AC20" s="17">
        <f t="shared" si="12"/>
        <v>112</v>
      </c>
      <c r="AD20" s="17">
        <f t="shared" si="12"/>
        <v>0</v>
      </c>
      <c r="AE20" s="31">
        <f t="shared" si="12"/>
        <v>17</v>
      </c>
      <c r="AF20" s="31">
        <f t="shared" si="12"/>
        <v>129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5</v>
      </c>
      <c r="K21" s="50">
        <v>0</v>
      </c>
      <c r="L21" s="50">
        <v>0</v>
      </c>
      <c r="M21" s="50">
        <v>17</v>
      </c>
      <c r="N21" s="50">
        <v>0</v>
      </c>
      <c r="O21" s="15">
        <f t="shared" si="0"/>
        <v>7</v>
      </c>
      <c r="P21" s="15">
        <f t="shared" si="1"/>
        <v>24</v>
      </c>
      <c r="R21" s="36" t="s">
        <v>20</v>
      </c>
      <c r="S21" s="34">
        <f t="shared" ref="S21:AF21" si="13">SUM(C54:C57)</f>
        <v>3</v>
      </c>
      <c r="T21" s="17">
        <f t="shared" si="13"/>
        <v>5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128</v>
      </c>
      <c r="AD21" s="17">
        <f t="shared" si="13"/>
        <v>0</v>
      </c>
      <c r="AE21" s="31">
        <f t="shared" si="13"/>
        <v>13</v>
      </c>
      <c r="AF21" s="31">
        <f t="shared" si="13"/>
        <v>141</v>
      </c>
    </row>
    <row r="22" spans="2:32" ht="23.1" customHeight="1" x14ac:dyDescent="0.25">
      <c r="B22" s="45" t="s">
        <v>49</v>
      </c>
      <c r="C22" s="50">
        <v>2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2</v>
      </c>
      <c r="K22" s="50">
        <v>0</v>
      </c>
      <c r="L22" s="50">
        <v>1</v>
      </c>
      <c r="M22" s="50">
        <v>27</v>
      </c>
      <c r="N22" s="50">
        <v>0</v>
      </c>
      <c r="O22" s="15">
        <f t="shared" si="0"/>
        <v>6</v>
      </c>
      <c r="P22" s="15">
        <f t="shared" si="1"/>
        <v>33</v>
      </c>
      <c r="R22" s="36" t="s">
        <v>146</v>
      </c>
      <c r="S22" s="34">
        <f>SUM(C58:C61)</f>
        <v>2</v>
      </c>
      <c r="T22" s="34">
        <f t="shared" ref="T22:AF22" si="14">SUM(D58:D61)</f>
        <v>1</v>
      </c>
      <c r="U22" s="34">
        <f t="shared" si="14"/>
        <v>2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4</v>
      </c>
      <c r="Z22" s="34">
        <f t="shared" si="14"/>
        <v>3</v>
      </c>
      <c r="AA22" s="34">
        <f t="shared" si="14"/>
        <v>0</v>
      </c>
      <c r="AB22" s="34">
        <f t="shared" si="14"/>
        <v>0</v>
      </c>
      <c r="AC22" s="34">
        <f t="shared" si="14"/>
        <v>127</v>
      </c>
      <c r="AD22" s="34">
        <f t="shared" si="14"/>
        <v>0</v>
      </c>
      <c r="AE22" s="31">
        <f t="shared" si="14"/>
        <v>14</v>
      </c>
      <c r="AF22" s="31">
        <f t="shared" si="14"/>
        <v>141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1</v>
      </c>
      <c r="K23" s="50">
        <v>0</v>
      </c>
      <c r="L23" s="50">
        <v>0</v>
      </c>
      <c r="M23" s="50">
        <v>8</v>
      </c>
      <c r="N23" s="50">
        <v>0</v>
      </c>
      <c r="O23" s="15">
        <f t="shared" si="0"/>
        <v>3</v>
      </c>
      <c r="P23" s="15">
        <f t="shared" si="1"/>
        <v>11</v>
      </c>
      <c r="R23" s="36" t="s">
        <v>147</v>
      </c>
      <c r="S23" s="34">
        <f>SUM(C62:C65)</f>
        <v>4</v>
      </c>
      <c r="T23" s="34">
        <f t="shared" ref="T23:AF23" si="15">SUM(D62:D65)</f>
        <v>1</v>
      </c>
      <c r="U23" s="34">
        <f t="shared" si="15"/>
        <v>5</v>
      </c>
      <c r="V23" s="34">
        <f t="shared" si="15"/>
        <v>2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102</v>
      </c>
      <c r="AD23" s="34">
        <f t="shared" si="15"/>
        <v>0</v>
      </c>
      <c r="AE23" s="31">
        <f t="shared" si="15"/>
        <v>16</v>
      </c>
      <c r="AF23" s="31">
        <f t="shared" si="15"/>
        <v>118</v>
      </c>
    </row>
    <row r="24" spans="2:32" ht="23.1" customHeight="1" x14ac:dyDescent="0.25">
      <c r="B24" s="45" t="s">
        <v>51</v>
      </c>
      <c r="C24" s="50">
        <v>1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29</v>
      </c>
      <c r="N24" s="50">
        <v>0</v>
      </c>
      <c r="O24" s="15">
        <f t="shared" si="0"/>
        <v>5</v>
      </c>
      <c r="P24" s="15">
        <f t="shared" si="1"/>
        <v>34</v>
      </c>
      <c r="R24" s="36" t="s">
        <v>148</v>
      </c>
      <c r="S24" s="34">
        <f>SUM(C66:C69)</f>
        <v>5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6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80</v>
      </c>
      <c r="AD24" s="34">
        <f t="shared" si="16"/>
        <v>0</v>
      </c>
      <c r="AE24" s="31">
        <f t="shared" si="16"/>
        <v>16</v>
      </c>
      <c r="AF24" s="31">
        <f t="shared" si="16"/>
        <v>96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17</v>
      </c>
      <c r="N25" s="50">
        <v>0</v>
      </c>
      <c r="O25" s="15">
        <f t="shared" si="0"/>
        <v>2</v>
      </c>
      <c r="P25" s="15">
        <f t="shared" si="1"/>
        <v>19</v>
      </c>
      <c r="R25" s="36" t="s">
        <v>149</v>
      </c>
      <c r="S25" s="34">
        <f>SUM(C70:C73)</f>
        <v>2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3</v>
      </c>
      <c r="AA25" s="34">
        <f t="shared" si="17"/>
        <v>1</v>
      </c>
      <c r="AB25" s="34">
        <f t="shared" si="17"/>
        <v>0</v>
      </c>
      <c r="AC25" s="34">
        <f t="shared" si="17"/>
        <v>39</v>
      </c>
      <c r="AD25" s="34">
        <f t="shared" si="17"/>
        <v>0</v>
      </c>
      <c r="AE25" s="31">
        <f t="shared" si="17"/>
        <v>9</v>
      </c>
      <c r="AF25" s="31">
        <f t="shared" si="17"/>
        <v>48</v>
      </c>
    </row>
    <row r="26" spans="2:32" ht="23.1" customHeight="1" x14ac:dyDescent="0.25">
      <c r="B26" s="45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20</v>
      </c>
      <c r="N26" s="50">
        <v>0</v>
      </c>
      <c r="O26" s="15">
        <f t="shared" si="0"/>
        <v>3</v>
      </c>
      <c r="P26" s="15">
        <f t="shared" si="1"/>
        <v>23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8</v>
      </c>
      <c r="AD26" s="34">
        <f t="shared" si="18"/>
        <v>0</v>
      </c>
      <c r="AE26" s="31">
        <f t="shared" si="18"/>
        <v>1</v>
      </c>
      <c r="AF26" s="31">
        <f t="shared" si="18"/>
        <v>9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21</v>
      </c>
      <c r="N27" s="50">
        <v>0</v>
      </c>
      <c r="O27" s="15">
        <f t="shared" si="0"/>
        <v>1</v>
      </c>
      <c r="P27" s="15">
        <f t="shared" si="1"/>
        <v>22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1</v>
      </c>
      <c r="AF27" s="31">
        <f t="shared" si="19"/>
        <v>2</v>
      </c>
    </row>
    <row r="28" spans="2:32" ht="23.1" customHeight="1" x14ac:dyDescent="0.25">
      <c r="B28" s="45" t="s">
        <v>55</v>
      </c>
      <c r="C28" s="50">
        <v>2</v>
      </c>
      <c r="D28" s="50">
        <v>2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24</v>
      </c>
      <c r="N28" s="50">
        <v>0</v>
      </c>
      <c r="O28" s="15">
        <f t="shared" si="0"/>
        <v>4</v>
      </c>
      <c r="P28" s="15">
        <f t="shared" si="1"/>
        <v>28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</v>
      </c>
      <c r="AD28" s="34">
        <f t="shared" si="20"/>
        <v>0</v>
      </c>
      <c r="AE28" s="31">
        <f t="shared" si="20"/>
        <v>1</v>
      </c>
      <c r="AF28" s="31">
        <f t="shared" si="20"/>
        <v>1</v>
      </c>
    </row>
    <row r="29" spans="2:32" ht="23.1" customHeight="1" x14ac:dyDescent="0.25">
      <c r="B29" s="45" t="s">
        <v>56</v>
      </c>
      <c r="C29" s="50">
        <v>2</v>
      </c>
      <c r="D29" s="50">
        <v>2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21</v>
      </c>
      <c r="N29" s="50">
        <v>0</v>
      </c>
      <c r="O29" s="15">
        <f t="shared" si="0"/>
        <v>5</v>
      </c>
      <c r="P29" s="15">
        <f t="shared" si="1"/>
        <v>26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4</v>
      </c>
      <c r="D30" s="50">
        <v>1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2</v>
      </c>
      <c r="K30" s="50">
        <v>0</v>
      </c>
      <c r="L30" s="50">
        <v>0</v>
      </c>
      <c r="M30" s="50">
        <v>26</v>
      </c>
      <c r="N30" s="50">
        <v>0</v>
      </c>
      <c r="O30" s="15">
        <f t="shared" si="0"/>
        <v>9</v>
      </c>
      <c r="P30" s="15">
        <f t="shared" si="1"/>
        <v>35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2</v>
      </c>
      <c r="AB30" s="34">
        <f t="shared" si="22"/>
        <v>0</v>
      </c>
      <c r="AC30" s="34">
        <f t="shared" si="22"/>
        <v>2</v>
      </c>
      <c r="AD30" s="34">
        <f t="shared" si="22"/>
        <v>0</v>
      </c>
      <c r="AE30" s="31">
        <f t="shared" si="22"/>
        <v>3</v>
      </c>
      <c r="AF30" s="31">
        <f t="shared" si="22"/>
        <v>5</v>
      </c>
    </row>
    <row r="31" spans="2:32" ht="23.1" customHeight="1" x14ac:dyDescent="0.25">
      <c r="B31" s="46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10</v>
      </c>
      <c r="N31" s="50">
        <v>0</v>
      </c>
      <c r="O31" s="15">
        <f t="shared" si="0"/>
        <v>0</v>
      </c>
      <c r="P31" s="15">
        <f t="shared" si="1"/>
        <v>10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1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1</v>
      </c>
      <c r="AF31" s="31">
        <f t="shared" si="23"/>
        <v>1</v>
      </c>
    </row>
    <row r="32" spans="2:32" ht="23.1" customHeight="1" x14ac:dyDescent="0.25">
      <c r="B32" s="46" t="s">
        <v>59</v>
      </c>
      <c r="C32" s="50">
        <v>2</v>
      </c>
      <c r="D32" s="50">
        <v>2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31</v>
      </c>
      <c r="N32" s="50">
        <v>0</v>
      </c>
      <c r="O32" s="15">
        <f t="shared" si="0"/>
        <v>7</v>
      </c>
      <c r="P32" s="15">
        <f t="shared" si="1"/>
        <v>38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2</v>
      </c>
      <c r="AD32" s="34">
        <f t="shared" si="24"/>
        <v>0</v>
      </c>
      <c r="AE32" s="31">
        <f t="shared" si="24"/>
        <v>2</v>
      </c>
      <c r="AF32" s="31">
        <f t="shared" si="24"/>
        <v>4</v>
      </c>
    </row>
    <row r="33" spans="2:32" ht="23.1" customHeight="1" x14ac:dyDescent="0.25">
      <c r="B33" s="45" t="s">
        <v>60</v>
      </c>
      <c r="C33" s="50">
        <v>2</v>
      </c>
      <c r="D33" s="50">
        <v>2</v>
      </c>
      <c r="E33" s="50">
        <v>0</v>
      </c>
      <c r="F33" s="50">
        <v>0</v>
      </c>
      <c r="G33" s="50">
        <v>1</v>
      </c>
      <c r="H33" s="50">
        <v>0</v>
      </c>
      <c r="I33" s="50">
        <v>1</v>
      </c>
      <c r="J33" s="50">
        <v>2</v>
      </c>
      <c r="K33" s="50">
        <v>0</v>
      </c>
      <c r="L33" s="50">
        <v>0</v>
      </c>
      <c r="M33" s="50">
        <v>30</v>
      </c>
      <c r="N33" s="50">
        <v>0</v>
      </c>
      <c r="O33" s="15">
        <f t="shared" si="0"/>
        <v>8</v>
      </c>
      <c r="P33" s="15">
        <f t="shared" si="1"/>
        <v>38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12</v>
      </c>
      <c r="AD33" s="34">
        <f t="shared" si="25"/>
        <v>0</v>
      </c>
      <c r="AE33" s="31">
        <f t="shared" si="25"/>
        <v>0</v>
      </c>
      <c r="AF33" s="31">
        <f t="shared" si="25"/>
        <v>12</v>
      </c>
    </row>
    <row r="34" spans="2:32" ht="23.1" customHeight="1" x14ac:dyDescent="0.25">
      <c r="B34" s="46" t="s">
        <v>61</v>
      </c>
      <c r="C34" s="50">
        <v>1</v>
      </c>
      <c r="D34" s="50">
        <v>2</v>
      </c>
      <c r="E34" s="50">
        <v>0</v>
      </c>
      <c r="F34" s="50">
        <v>0</v>
      </c>
      <c r="G34" s="50">
        <v>1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7</v>
      </c>
      <c r="P34" s="15">
        <f t="shared" si="1"/>
        <v>37</v>
      </c>
      <c r="R34" s="38" t="s">
        <v>90</v>
      </c>
      <c r="S34" s="39">
        <f t="shared" ref="S34:AF34" si="26">MAX(S10:S12)</f>
        <v>3</v>
      </c>
      <c r="T34" s="39">
        <f t="shared" si="26"/>
        <v>3</v>
      </c>
      <c r="U34" s="39">
        <f t="shared" si="26"/>
        <v>0</v>
      </c>
      <c r="V34" s="39">
        <f t="shared" si="26"/>
        <v>3</v>
      </c>
      <c r="W34" s="39">
        <f t="shared" si="26"/>
        <v>0</v>
      </c>
      <c r="X34" s="39">
        <f t="shared" si="26"/>
        <v>0</v>
      </c>
      <c r="Y34" s="39">
        <f t="shared" si="26"/>
        <v>2</v>
      </c>
      <c r="Z34" s="39">
        <f t="shared" si="26"/>
        <v>10</v>
      </c>
      <c r="AA34" s="39">
        <f t="shared" si="26"/>
        <v>0</v>
      </c>
      <c r="AB34" s="39">
        <f t="shared" si="26"/>
        <v>0</v>
      </c>
      <c r="AC34" s="39">
        <f t="shared" si="26"/>
        <v>64</v>
      </c>
      <c r="AD34" s="39">
        <f t="shared" si="26"/>
        <v>0</v>
      </c>
      <c r="AE34" s="40">
        <f t="shared" si="26"/>
        <v>20</v>
      </c>
      <c r="AF34" s="40">
        <f t="shared" si="26"/>
        <v>84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20</v>
      </c>
      <c r="N35" s="50">
        <v>0</v>
      </c>
      <c r="O35" s="15">
        <f t="shared" si="0"/>
        <v>2</v>
      </c>
      <c r="P35" s="15">
        <f t="shared" si="1"/>
        <v>22</v>
      </c>
      <c r="R35" s="38" t="s">
        <v>91</v>
      </c>
      <c r="S35" s="39">
        <f t="shared" ref="S35:AF35" si="27">MAX(S13:S18)</f>
        <v>8</v>
      </c>
      <c r="T35" s="39">
        <f t="shared" si="27"/>
        <v>5</v>
      </c>
      <c r="U35" s="39">
        <f t="shared" si="27"/>
        <v>2</v>
      </c>
      <c r="V35" s="39">
        <f t="shared" si="27"/>
        <v>3</v>
      </c>
      <c r="W35" s="39">
        <f t="shared" si="27"/>
        <v>1</v>
      </c>
      <c r="X35" s="39">
        <f t="shared" si="27"/>
        <v>0</v>
      </c>
      <c r="Y35" s="39">
        <f t="shared" si="27"/>
        <v>8</v>
      </c>
      <c r="Z35" s="39">
        <f t="shared" si="27"/>
        <v>6</v>
      </c>
      <c r="AA35" s="39">
        <f t="shared" si="27"/>
        <v>0</v>
      </c>
      <c r="AB35" s="39">
        <f t="shared" si="27"/>
        <v>1</v>
      </c>
      <c r="AC35" s="39">
        <f t="shared" si="27"/>
        <v>97</v>
      </c>
      <c r="AD35" s="39">
        <f t="shared" si="27"/>
        <v>1</v>
      </c>
      <c r="AE35" s="40">
        <f t="shared" si="27"/>
        <v>26</v>
      </c>
      <c r="AF35" s="40">
        <f t="shared" si="27"/>
        <v>121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3</v>
      </c>
      <c r="J36" s="50">
        <v>2</v>
      </c>
      <c r="K36" s="50">
        <v>0</v>
      </c>
      <c r="L36" s="50">
        <v>0</v>
      </c>
      <c r="M36" s="50">
        <v>21</v>
      </c>
      <c r="N36" s="50">
        <v>0</v>
      </c>
      <c r="O36" s="15">
        <f t="shared" si="0"/>
        <v>8</v>
      </c>
      <c r="P36" s="15">
        <f t="shared" si="1"/>
        <v>29</v>
      </c>
      <c r="R36" s="38" t="s">
        <v>92</v>
      </c>
      <c r="S36" s="39">
        <f t="shared" ref="S36:AF36" si="28">MAX(S19:S21)</f>
        <v>5</v>
      </c>
      <c r="T36" s="39">
        <f t="shared" si="28"/>
        <v>5</v>
      </c>
      <c r="U36" s="39">
        <f t="shared" si="28"/>
        <v>3</v>
      </c>
      <c r="V36" s="39">
        <f t="shared" si="28"/>
        <v>2</v>
      </c>
      <c r="W36" s="39">
        <f t="shared" si="28"/>
        <v>0</v>
      </c>
      <c r="X36" s="39">
        <f t="shared" si="28"/>
        <v>0</v>
      </c>
      <c r="Y36" s="39">
        <f t="shared" si="28"/>
        <v>3</v>
      </c>
      <c r="Z36" s="39">
        <f t="shared" si="28"/>
        <v>6</v>
      </c>
      <c r="AA36" s="39">
        <f t="shared" si="28"/>
        <v>0</v>
      </c>
      <c r="AB36" s="39">
        <f t="shared" si="28"/>
        <v>0</v>
      </c>
      <c r="AC36" s="39">
        <f t="shared" si="28"/>
        <v>128</v>
      </c>
      <c r="AD36" s="39">
        <f t="shared" si="28"/>
        <v>0</v>
      </c>
      <c r="AE36" s="40">
        <f t="shared" si="28"/>
        <v>19</v>
      </c>
      <c r="AF36" s="40">
        <f t="shared" si="28"/>
        <v>141</v>
      </c>
    </row>
    <row r="37" spans="2:32" ht="23.1" customHeight="1" x14ac:dyDescent="0.25">
      <c r="B37" s="45" t="s">
        <v>64</v>
      </c>
      <c r="C37" s="50">
        <v>1</v>
      </c>
      <c r="D37" s="50">
        <v>1</v>
      </c>
      <c r="E37" s="50">
        <v>0</v>
      </c>
      <c r="F37" s="50">
        <v>1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20</v>
      </c>
      <c r="N37" s="50">
        <v>1</v>
      </c>
      <c r="O37" s="15">
        <f t="shared" si="0"/>
        <v>6</v>
      </c>
      <c r="P37" s="15">
        <f t="shared" si="1"/>
        <v>26</v>
      </c>
      <c r="R37" s="37" t="s">
        <v>85</v>
      </c>
      <c r="S37" s="35">
        <f t="shared" ref="S37:AF37" si="29">SUM(S10:S12)</f>
        <v>6</v>
      </c>
      <c r="T37" s="16">
        <f t="shared" si="29"/>
        <v>6</v>
      </c>
      <c r="U37" s="16">
        <f t="shared" si="29"/>
        <v>0</v>
      </c>
      <c r="V37" s="16">
        <f t="shared" si="29"/>
        <v>5</v>
      </c>
      <c r="W37" s="16">
        <f t="shared" si="29"/>
        <v>0</v>
      </c>
      <c r="X37" s="16">
        <f t="shared" si="29"/>
        <v>0</v>
      </c>
      <c r="Y37" s="16">
        <f t="shared" si="29"/>
        <v>5</v>
      </c>
      <c r="Z37" s="16">
        <f t="shared" si="29"/>
        <v>18</v>
      </c>
      <c r="AA37" s="16">
        <f t="shared" si="29"/>
        <v>0</v>
      </c>
      <c r="AB37" s="16">
        <f t="shared" si="29"/>
        <v>0</v>
      </c>
      <c r="AC37" s="16">
        <f t="shared" si="29"/>
        <v>144</v>
      </c>
      <c r="AD37" s="16">
        <f t="shared" si="29"/>
        <v>0</v>
      </c>
      <c r="AE37" s="32">
        <f t="shared" si="29"/>
        <v>40</v>
      </c>
      <c r="AF37" s="32">
        <f t="shared" si="29"/>
        <v>184</v>
      </c>
    </row>
    <row r="38" spans="2:32" ht="23.1" customHeight="1" x14ac:dyDescent="0.25">
      <c r="B38" s="46" t="s">
        <v>65</v>
      </c>
      <c r="C38" s="50">
        <v>1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2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5</v>
      </c>
      <c r="P38" s="15">
        <f t="shared" si="1"/>
        <v>16</v>
      </c>
      <c r="R38" s="28" t="s">
        <v>86</v>
      </c>
      <c r="S38" s="16">
        <f t="shared" ref="S38:AF38" si="30">SUM(S13:S18)</f>
        <v>30</v>
      </c>
      <c r="T38" s="16">
        <f t="shared" si="30"/>
        <v>20</v>
      </c>
      <c r="U38" s="16">
        <f t="shared" si="30"/>
        <v>6</v>
      </c>
      <c r="V38" s="16">
        <f t="shared" si="30"/>
        <v>7</v>
      </c>
      <c r="W38" s="16">
        <f t="shared" si="30"/>
        <v>2</v>
      </c>
      <c r="X38" s="16">
        <f t="shared" si="30"/>
        <v>0</v>
      </c>
      <c r="Y38" s="16">
        <f t="shared" si="30"/>
        <v>30</v>
      </c>
      <c r="Z38" s="16">
        <f t="shared" si="30"/>
        <v>24</v>
      </c>
      <c r="AA38" s="16">
        <f t="shared" si="30"/>
        <v>0</v>
      </c>
      <c r="AB38" s="16">
        <f t="shared" si="30"/>
        <v>1</v>
      </c>
      <c r="AC38" s="16">
        <f t="shared" si="30"/>
        <v>513</v>
      </c>
      <c r="AD38" s="16">
        <f t="shared" si="30"/>
        <v>2</v>
      </c>
      <c r="AE38" s="32">
        <f t="shared" si="30"/>
        <v>122</v>
      </c>
      <c r="AF38" s="32">
        <f t="shared" si="30"/>
        <v>635</v>
      </c>
    </row>
    <row r="39" spans="2:32" ht="23.1" customHeight="1" x14ac:dyDescent="0.25">
      <c r="B39" s="46" t="s">
        <v>66</v>
      </c>
      <c r="C39" s="50">
        <v>2</v>
      </c>
      <c r="D39" s="50">
        <v>1</v>
      </c>
      <c r="E39" s="50">
        <v>1</v>
      </c>
      <c r="F39" s="50">
        <v>0</v>
      </c>
      <c r="G39" s="50">
        <v>0</v>
      </c>
      <c r="H39" s="50">
        <v>0</v>
      </c>
      <c r="I39" s="50">
        <v>2</v>
      </c>
      <c r="J39" s="50">
        <v>1</v>
      </c>
      <c r="K39" s="50">
        <v>0</v>
      </c>
      <c r="L39" s="50">
        <v>0</v>
      </c>
      <c r="M39" s="50">
        <v>19</v>
      </c>
      <c r="N39" s="50">
        <v>1</v>
      </c>
      <c r="O39" s="15">
        <f t="shared" si="0"/>
        <v>8</v>
      </c>
      <c r="P39" s="15">
        <f t="shared" si="1"/>
        <v>27</v>
      </c>
      <c r="R39" s="29" t="s">
        <v>87</v>
      </c>
      <c r="S39" s="16">
        <f t="shared" ref="S39:AF39" si="31">SUM(S19:S21)</f>
        <v>13</v>
      </c>
      <c r="T39" s="16">
        <f t="shared" si="31"/>
        <v>11</v>
      </c>
      <c r="U39" s="16">
        <f t="shared" si="31"/>
        <v>4</v>
      </c>
      <c r="V39" s="16">
        <f t="shared" si="31"/>
        <v>4</v>
      </c>
      <c r="W39" s="16">
        <f t="shared" si="31"/>
        <v>0</v>
      </c>
      <c r="X39" s="16">
        <f t="shared" si="31"/>
        <v>0</v>
      </c>
      <c r="Y39" s="16">
        <f t="shared" si="31"/>
        <v>7</v>
      </c>
      <c r="Z39" s="16">
        <f t="shared" si="31"/>
        <v>10</v>
      </c>
      <c r="AA39" s="16">
        <f t="shared" si="31"/>
        <v>0</v>
      </c>
      <c r="AB39" s="16">
        <f t="shared" si="31"/>
        <v>0</v>
      </c>
      <c r="AC39" s="16">
        <f t="shared" si="31"/>
        <v>319</v>
      </c>
      <c r="AD39" s="16">
        <f t="shared" si="31"/>
        <v>0</v>
      </c>
      <c r="AE39" s="32">
        <f t="shared" si="31"/>
        <v>49</v>
      </c>
      <c r="AF39" s="32">
        <f t="shared" si="31"/>
        <v>368</v>
      </c>
    </row>
    <row r="40" spans="2:32" ht="23.1" customHeight="1" x14ac:dyDescent="0.25">
      <c r="B40" s="46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3</v>
      </c>
      <c r="J40" s="50">
        <v>1</v>
      </c>
      <c r="K40" s="50">
        <v>0</v>
      </c>
      <c r="L40" s="50">
        <v>0</v>
      </c>
      <c r="M40" s="50">
        <v>17</v>
      </c>
      <c r="N40" s="50">
        <v>0</v>
      </c>
      <c r="O40" s="15">
        <f t="shared" si="0"/>
        <v>5</v>
      </c>
      <c r="P40" s="15">
        <f t="shared" si="1"/>
        <v>22</v>
      </c>
      <c r="R40" s="5" t="s">
        <v>17</v>
      </c>
      <c r="S40" s="16">
        <f t="shared" ref="S40:AF40" si="32">SUM(S10:S21)</f>
        <v>49</v>
      </c>
      <c r="T40" s="16">
        <f t="shared" si="32"/>
        <v>37</v>
      </c>
      <c r="U40" s="16">
        <f t="shared" si="32"/>
        <v>10</v>
      </c>
      <c r="V40" s="16">
        <f t="shared" si="32"/>
        <v>16</v>
      </c>
      <c r="W40" s="16">
        <f t="shared" si="32"/>
        <v>2</v>
      </c>
      <c r="X40" s="16">
        <f t="shared" si="32"/>
        <v>0</v>
      </c>
      <c r="Y40" s="16">
        <f t="shared" si="32"/>
        <v>42</v>
      </c>
      <c r="Z40" s="16">
        <f t="shared" si="32"/>
        <v>52</v>
      </c>
      <c r="AA40" s="16">
        <f t="shared" si="32"/>
        <v>0</v>
      </c>
      <c r="AB40" s="16">
        <f t="shared" si="32"/>
        <v>1</v>
      </c>
      <c r="AC40" s="16">
        <f t="shared" si="32"/>
        <v>976</v>
      </c>
      <c r="AD40" s="16">
        <f t="shared" si="32"/>
        <v>2</v>
      </c>
      <c r="AE40" s="32">
        <f t="shared" si="32"/>
        <v>211</v>
      </c>
      <c r="AF40" s="32">
        <f t="shared" si="32"/>
        <v>1187</v>
      </c>
    </row>
    <row r="41" spans="2:32" ht="23.1" customHeight="1" x14ac:dyDescent="0.25">
      <c r="B41" s="45" t="s">
        <v>68</v>
      </c>
      <c r="C41" s="50">
        <v>3</v>
      </c>
      <c r="D41" s="50">
        <v>3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20</v>
      </c>
      <c r="N41" s="50">
        <v>0</v>
      </c>
      <c r="O41" s="15">
        <f t="shared" si="0"/>
        <v>8</v>
      </c>
      <c r="P41" s="15">
        <f t="shared" si="1"/>
        <v>28</v>
      </c>
      <c r="R41" s="5" t="s">
        <v>159</v>
      </c>
      <c r="S41" s="16">
        <f>SUM(S10:S33)</f>
        <v>64</v>
      </c>
      <c r="T41" s="16">
        <f t="shared" ref="T41:AF41" si="33">SUM(T10:T33)</f>
        <v>39</v>
      </c>
      <c r="U41" s="16">
        <f t="shared" si="33"/>
        <v>20</v>
      </c>
      <c r="V41" s="16">
        <f t="shared" si="33"/>
        <v>27</v>
      </c>
      <c r="W41" s="16">
        <f t="shared" si="33"/>
        <v>2</v>
      </c>
      <c r="X41" s="16">
        <f t="shared" si="33"/>
        <v>0</v>
      </c>
      <c r="Y41" s="16">
        <f t="shared" si="33"/>
        <v>52</v>
      </c>
      <c r="Z41" s="16">
        <f t="shared" si="33"/>
        <v>64</v>
      </c>
      <c r="AA41" s="16">
        <f t="shared" si="33"/>
        <v>4</v>
      </c>
      <c r="AB41" s="16">
        <f t="shared" si="33"/>
        <v>1</v>
      </c>
      <c r="AC41" s="16">
        <f t="shared" si="33"/>
        <v>1349</v>
      </c>
      <c r="AD41" s="16">
        <f t="shared" si="33"/>
        <v>2</v>
      </c>
      <c r="AE41" s="32">
        <f t="shared" si="33"/>
        <v>275</v>
      </c>
      <c r="AF41" s="32">
        <f t="shared" si="33"/>
        <v>1624</v>
      </c>
    </row>
    <row r="42" spans="2:32" ht="23.1" customHeight="1" x14ac:dyDescent="0.25">
      <c r="B42" s="46" t="s">
        <v>69</v>
      </c>
      <c r="C42" s="50">
        <v>0</v>
      </c>
      <c r="D42" s="50">
        <v>1</v>
      </c>
      <c r="E42" s="50">
        <v>1</v>
      </c>
      <c r="F42" s="50">
        <v>1</v>
      </c>
      <c r="G42" s="50">
        <v>0</v>
      </c>
      <c r="H42" s="50">
        <v>0</v>
      </c>
      <c r="I42" s="50">
        <v>2</v>
      </c>
      <c r="J42" s="50">
        <v>2</v>
      </c>
      <c r="K42" s="50">
        <v>0</v>
      </c>
      <c r="L42" s="50">
        <v>0</v>
      </c>
      <c r="M42" s="50">
        <v>26</v>
      </c>
      <c r="N42" s="50">
        <v>0</v>
      </c>
      <c r="O42" s="15">
        <f t="shared" si="0"/>
        <v>7</v>
      </c>
      <c r="P42" s="15">
        <f t="shared" si="1"/>
        <v>33</v>
      </c>
      <c r="R42" s="5" t="s">
        <v>160</v>
      </c>
      <c r="S42" s="48">
        <f>S41/S40</f>
        <v>1.3061224489795917</v>
      </c>
      <c r="T42" s="48">
        <f t="shared" ref="T42:AF42" si="34">T41/T40</f>
        <v>1.0540540540540539</v>
      </c>
      <c r="U42" s="48">
        <f t="shared" si="34"/>
        <v>2</v>
      </c>
      <c r="V42" s="48">
        <f t="shared" si="34"/>
        <v>1.6875</v>
      </c>
      <c r="W42" s="48">
        <f t="shared" si="34"/>
        <v>1</v>
      </c>
      <c r="X42" s="48" t="e">
        <f t="shared" si="34"/>
        <v>#DIV/0!</v>
      </c>
      <c r="Y42" s="48">
        <f t="shared" si="34"/>
        <v>1.2380952380952381</v>
      </c>
      <c r="Z42" s="48">
        <f t="shared" si="34"/>
        <v>1.2307692307692308</v>
      </c>
      <c r="AA42" s="48" t="e">
        <f t="shared" si="34"/>
        <v>#DIV/0!</v>
      </c>
      <c r="AB42" s="48">
        <f t="shared" si="34"/>
        <v>1</v>
      </c>
      <c r="AC42" s="48">
        <f t="shared" si="34"/>
        <v>1.382172131147541</v>
      </c>
      <c r="AD42" s="48">
        <f t="shared" si="34"/>
        <v>1</v>
      </c>
      <c r="AE42" s="48">
        <f t="shared" si="34"/>
        <v>1.3033175355450237</v>
      </c>
      <c r="AF42" s="48">
        <f t="shared" si="34"/>
        <v>1.3681550126368998</v>
      </c>
    </row>
    <row r="43" spans="2:32" ht="23.1" customHeight="1" x14ac:dyDescent="0.25">
      <c r="B43" s="45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25</v>
      </c>
      <c r="N43" s="50">
        <v>0</v>
      </c>
      <c r="O43" s="15">
        <f t="shared" si="0"/>
        <v>2</v>
      </c>
      <c r="P43" s="15">
        <f t="shared" si="1"/>
        <v>27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20</v>
      </c>
      <c r="N44" s="50">
        <v>0</v>
      </c>
      <c r="O44" s="15">
        <f t="shared" si="0"/>
        <v>4</v>
      </c>
      <c r="P44" s="15">
        <f t="shared" si="1"/>
        <v>24</v>
      </c>
    </row>
    <row r="45" spans="2:32" ht="23.1" customHeight="1" x14ac:dyDescent="0.25">
      <c r="B45" s="45" t="s">
        <v>72</v>
      </c>
      <c r="C45" s="50">
        <v>1</v>
      </c>
      <c r="D45" s="50">
        <v>0</v>
      </c>
      <c r="E45" s="50">
        <v>1</v>
      </c>
      <c r="F45" s="50">
        <v>1</v>
      </c>
      <c r="G45" s="50">
        <v>0</v>
      </c>
      <c r="H45" s="50">
        <v>0</v>
      </c>
      <c r="I45" s="50">
        <v>2</v>
      </c>
      <c r="J45" s="50">
        <v>2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7</v>
      </c>
      <c r="P45" s="15">
        <f t="shared" si="1"/>
        <v>27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2</v>
      </c>
      <c r="P46" s="15">
        <f t="shared" si="1"/>
        <v>20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1</v>
      </c>
      <c r="E47" s="50">
        <v>2</v>
      </c>
      <c r="F47" s="50">
        <v>2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18</v>
      </c>
      <c r="N47" s="50">
        <v>0</v>
      </c>
      <c r="O47" s="15">
        <f t="shared" si="0"/>
        <v>5</v>
      </c>
      <c r="P47" s="15">
        <f t="shared" si="1"/>
        <v>23</v>
      </c>
      <c r="R47" s="8"/>
      <c r="T47"/>
    </row>
    <row r="48" spans="2:32" ht="23.1" customHeight="1" x14ac:dyDescent="0.25">
      <c r="B48" s="46" t="s">
        <v>75</v>
      </c>
      <c r="C48" s="50">
        <v>2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2</v>
      </c>
      <c r="K48" s="50">
        <v>0</v>
      </c>
      <c r="L48" s="50">
        <v>0</v>
      </c>
      <c r="M48" s="50">
        <v>24</v>
      </c>
      <c r="N48" s="50">
        <v>0</v>
      </c>
      <c r="O48" s="15">
        <f t="shared" si="0"/>
        <v>6</v>
      </c>
      <c r="P48" s="15">
        <f t="shared" si="1"/>
        <v>30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2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19</v>
      </c>
      <c r="N49" s="50">
        <v>0</v>
      </c>
      <c r="O49" s="15">
        <f t="shared" si="0"/>
        <v>6</v>
      </c>
      <c r="P49" s="15">
        <f t="shared" si="1"/>
        <v>25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1</v>
      </c>
      <c r="E50" s="50">
        <v>0</v>
      </c>
      <c r="F50" s="50">
        <v>2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6</v>
      </c>
      <c r="P50" s="15">
        <f t="shared" si="1"/>
        <v>46</v>
      </c>
      <c r="R50" s="8"/>
      <c r="T50"/>
    </row>
    <row r="51" spans="2:20" ht="23.1" customHeight="1" x14ac:dyDescent="0.25">
      <c r="B51" s="46" t="s">
        <v>78</v>
      </c>
      <c r="C51" s="50">
        <v>1</v>
      </c>
      <c r="D51" s="50">
        <v>1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3</v>
      </c>
      <c r="K51" s="50">
        <v>0</v>
      </c>
      <c r="L51" s="50">
        <v>0</v>
      </c>
      <c r="M51" s="50">
        <v>24</v>
      </c>
      <c r="N51" s="50">
        <v>0</v>
      </c>
      <c r="O51" s="15">
        <f t="shared" si="0"/>
        <v>5</v>
      </c>
      <c r="P51" s="15">
        <f t="shared" si="1"/>
        <v>29</v>
      </c>
      <c r="R51" s="8"/>
      <c r="T51"/>
    </row>
    <row r="52" spans="2:20" ht="23.1" customHeight="1" x14ac:dyDescent="0.25">
      <c r="B52" s="46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21</v>
      </c>
      <c r="N52" s="50">
        <v>0</v>
      </c>
      <c r="O52" s="15">
        <f t="shared" si="0"/>
        <v>2</v>
      </c>
      <c r="P52" s="15">
        <f t="shared" si="1"/>
        <v>23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27</v>
      </c>
      <c r="N53" s="50">
        <v>0</v>
      </c>
      <c r="O53" s="15">
        <f t="shared" si="0"/>
        <v>4</v>
      </c>
      <c r="P53" s="15">
        <f t="shared" si="1"/>
        <v>31</v>
      </c>
      <c r="R53" s="8"/>
      <c r="T53"/>
    </row>
    <row r="54" spans="2:20" ht="23.1" customHeight="1" x14ac:dyDescent="0.25">
      <c r="B54" s="45" t="s">
        <v>81</v>
      </c>
      <c r="C54" s="50">
        <v>2</v>
      </c>
      <c r="D54" s="50">
        <v>1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28</v>
      </c>
      <c r="N54" s="50">
        <v>0</v>
      </c>
      <c r="O54" s="15">
        <f t="shared" si="0"/>
        <v>4</v>
      </c>
      <c r="P54" s="15">
        <f t="shared" si="1"/>
        <v>32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3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30</v>
      </c>
      <c r="N55" s="50">
        <v>0</v>
      </c>
      <c r="O55" s="15">
        <f t="shared" si="0"/>
        <v>3</v>
      </c>
      <c r="P55" s="15">
        <f t="shared" si="1"/>
        <v>33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0</v>
      </c>
      <c r="M56" s="50">
        <v>37</v>
      </c>
      <c r="N56" s="50">
        <v>0</v>
      </c>
      <c r="O56" s="15">
        <f t="shared" si="0"/>
        <v>5</v>
      </c>
      <c r="P56" s="15">
        <f t="shared" si="1"/>
        <v>42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33</v>
      </c>
      <c r="N57" s="50">
        <v>0</v>
      </c>
      <c r="O57" s="15">
        <f t="shared" si="0"/>
        <v>1</v>
      </c>
      <c r="P57" s="15">
        <f t="shared" si="1"/>
        <v>34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0</v>
      </c>
      <c r="J58" s="50">
        <v>1</v>
      </c>
      <c r="K58" s="50">
        <v>0</v>
      </c>
      <c r="L58" s="50">
        <v>0</v>
      </c>
      <c r="M58" s="50">
        <v>21</v>
      </c>
      <c r="N58" s="50">
        <v>0</v>
      </c>
      <c r="O58" s="15">
        <f t="shared" si="0"/>
        <v>1</v>
      </c>
      <c r="P58" s="15">
        <f t="shared" si="1"/>
        <v>22</v>
      </c>
      <c r="R58" s="8"/>
      <c r="T58"/>
    </row>
    <row r="59" spans="2:20" ht="23.1" customHeight="1" x14ac:dyDescent="0.25">
      <c r="B59" s="45" t="s">
        <v>100</v>
      </c>
      <c r="C59" s="50">
        <v>1</v>
      </c>
      <c r="D59" s="50">
        <v>1</v>
      </c>
      <c r="E59" s="50">
        <v>1</v>
      </c>
      <c r="F59" s="50">
        <v>1</v>
      </c>
      <c r="G59" s="50">
        <v>0</v>
      </c>
      <c r="H59" s="50">
        <v>0</v>
      </c>
      <c r="I59" s="50">
        <v>2</v>
      </c>
      <c r="J59" s="50">
        <v>0</v>
      </c>
      <c r="K59" s="50">
        <v>0</v>
      </c>
      <c r="L59" s="50">
        <v>0</v>
      </c>
      <c r="M59" s="50">
        <v>37</v>
      </c>
      <c r="N59" s="50">
        <v>0</v>
      </c>
      <c r="O59" s="15">
        <f t="shared" si="0"/>
        <v>6</v>
      </c>
      <c r="P59" s="15">
        <f t="shared" si="1"/>
        <v>43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1</v>
      </c>
      <c r="F60" s="50">
        <v>1</v>
      </c>
      <c r="G60" s="50">
        <v>0</v>
      </c>
      <c r="H60" s="50">
        <v>0</v>
      </c>
      <c r="I60" s="50">
        <v>1</v>
      </c>
      <c r="J60" s="50">
        <v>1</v>
      </c>
      <c r="K60" s="50">
        <v>0</v>
      </c>
      <c r="L60" s="50">
        <v>0</v>
      </c>
      <c r="M60" s="50">
        <v>31</v>
      </c>
      <c r="N60" s="50">
        <v>0</v>
      </c>
      <c r="O60" s="15">
        <f t="shared" si="0"/>
        <v>5</v>
      </c>
      <c r="P60" s="15">
        <f t="shared" si="1"/>
        <v>36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1</v>
      </c>
      <c r="K61" s="50">
        <v>0</v>
      </c>
      <c r="L61" s="50">
        <v>0</v>
      </c>
      <c r="M61" s="50">
        <v>38</v>
      </c>
      <c r="N61" s="50">
        <v>0</v>
      </c>
      <c r="O61" s="15">
        <f t="shared" si="0"/>
        <v>2</v>
      </c>
      <c r="P61" s="15">
        <f t="shared" si="1"/>
        <v>40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1</v>
      </c>
      <c r="F62" s="50">
        <v>1</v>
      </c>
      <c r="G62" s="50">
        <v>0</v>
      </c>
      <c r="H62" s="50">
        <v>0</v>
      </c>
      <c r="I62" s="50">
        <v>1</v>
      </c>
      <c r="J62" s="50">
        <v>1</v>
      </c>
      <c r="K62" s="50">
        <v>0</v>
      </c>
      <c r="L62" s="50">
        <v>0</v>
      </c>
      <c r="M62" s="50">
        <v>34</v>
      </c>
      <c r="N62" s="50">
        <v>0</v>
      </c>
      <c r="O62" s="15">
        <f t="shared" si="0"/>
        <v>4</v>
      </c>
      <c r="P62" s="15">
        <f t="shared" si="1"/>
        <v>38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0</v>
      </c>
      <c r="E63" s="50">
        <v>1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18</v>
      </c>
      <c r="N63" s="50">
        <v>0</v>
      </c>
      <c r="O63" s="15">
        <f t="shared" si="0"/>
        <v>3</v>
      </c>
      <c r="P63" s="15">
        <f t="shared" si="1"/>
        <v>21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1</v>
      </c>
      <c r="E64" s="50">
        <v>1</v>
      </c>
      <c r="F64" s="50">
        <v>1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29</v>
      </c>
      <c r="N64" s="50">
        <v>0</v>
      </c>
      <c r="O64" s="15">
        <f t="shared" si="0"/>
        <v>6</v>
      </c>
      <c r="P64" s="15">
        <f t="shared" si="1"/>
        <v>35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2</v>
      </c>
      <c r="F65" s="50">
        <v>0</v>
      </c>
      <c r="G65" s="50">
        <v>0</v>
      </c>
      <c r="H65" s="50">
        <v>0</v>
      </c>
      <c r="I65" s="50">
        <v>0</v>
      </c>
      <c r="J65" s="50">
        <v>1</v>
      </c>
      <c r="K65" s="50">
        <v>0</v>
      </c>
      <c r="L65" s="50">
        <v>0</v>
      </c>
      <c r="M65" s="50">
        <v>21</v>
      </c>
      <c r="N65" s="50">
        <v>0</v>
      </c>
      <c r="O65" s="15">
        <f t="shared" si="0"/>
        <v>3</v>
      </c>
      <c r="P65" s="15">
        <f t="shared" si="1"/>
        <v>24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1</v>
      </c>
      <c r="F66" s="50">
        <v>2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24</v>
      </c>
      <c r="N66" s="50">
        <v>0</v>
      </c>
      <c r="O66" s="15">
        <f t="shared" si="0"/>
        <v>6</v>
      </c>
      <c r="P66" s="15">
        <f t="shared" si="1"/>
        <v>30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2</v>
      </c>
      <c r="G67" s="50">
        <v>0</v>
      </c>
      <c r="H67" s="50">
        <v>0</v>
      </c>
      <c r="I67" s="50">
        <v>1</v>
      </c>
      <c r="J67" s="50">
        <v>0</v>
      </c>
      <c r="K67" s="50">
        <v>0</v>
      </c>
      <c r="L67" s="50">
        <v>0</v>
      </c>
      <c r="M67" s="50">
        <v>31</v>
      </c>
      <c r="N67" s="50">
        <v>0</v>
      </c>
      <c r="O67" s="15">
        <f t="shared" si="0"/>
        <v>3</v>
      </c>
      <c r="P67" s="15">
        <f t="shared" si="1"/>
        <v>34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11</v>
      </c>
      <c r="N68" s="50">
        <v>0</v>
      </c>
      <c r="O68" s="15">
        <f t="shared" si="0"/>
        <v>1</v>
      </c>
      <c r="P68" s="15">
        <f t="shared" si="1"/>
        <v>12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0</v>
      </c>
      <c r="E69" s="50">
        <v>1</v>
      </c>
      <c r="F69" s="50">
        <v>2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14</v>
      </c>
      <c r="N69" s="50">
        <v>0</v>
      </c>
      <c r="O69" s="15">
        <f t="shared" si="0"/>
        <v>6</v>
      </c>
      <c r="P69" s="15">
        <f t="shared" si="1"/>
        <v>20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12</v>
      </c>
      <c r="N70" s="50">
        <v>0</v>
      </c>
      <c r="O70" s="15">
        <f t="shared" si="0"/>
        <v>1</v>
      </c>
      <c r="P70" s="15">
        <f t="shared" si="1"/>
        <v>13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1</v>
      </c>
      <c r="L71" s="50">
        <v>0</v>
      </c>
      <c r="M71" s="50">
        <v>15</v>
      </c>
      <c r="N71" s="50">
        <v>0</v>
      </c>
      <c r="O71" s="15">
        <f t="shared" si="0"/>
        <v>1</v>
      </c>
      <c r="P71" s="15">
        <f t="shared" si="1"/>
        <v>16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2</v>
      </c>
      <c r="K72" s="50">
        <v>0</v>
      </c>
      <c r="L72" s="50">
        <v>0</v>
      </c>
      <c r="M72" s="50">
        <v>9</v>
      </c>
      <c r="N72" s="50">
        <v>0</v>
      </c>
      <c r="O72" s="15">
        <f t="shared" si="0"/>
        <v>5</v>
      </c>
      <c r="P72" s="15">
        <f t="shared" si="1"/>
        <v>14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3</v>
      </c>
      <c r="N73" s="50">
        <v>0</v>
      </c>
      <c r="O73" s="15">
        <f t="shared" si="0"/>
        <v>2</v>
      </c>
      <c r="P73" s="15">
        <f t="shared" si="1"/>
        <v>5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0</v>
      </c>
      <c r="N74" s="50">
        <v>0</v>
      </c>
      <c r="O74" s="15">
        <f t="shared" ref="O74:O105" si="35">SUM(C74:L74,N74)</f>
        <v>0</v>
      </c>
      <c r="P74" s="15">
        <f t="shared" ref="P74:P105" si="36">SUM(C74:N74)</f>
        <v>0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3</v>
      </c>
      <c r="N75" s="50">
        <v>0</v>
      </c>
      <c r="O75" s="15">
        <f t="shared" si="35"/>
        <v>0</v>
      </c>
      <c r="P75" s="15">
        <f t="shared" si="36"/>
        <v>3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3</v>
      </c>
      <c r="N76" s="50">
        <v>0</v>
      </c>
      <c r="O76" s="15">
        <f t="shared" si="35"/>
        <v>1</v>
      </c>
      <c r="P76" s="15">
        <f t="shared" si="36"/>
        <v>4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</v>
      </c>
      <c r="N77" s="50">
        <v>0</v>
      </c>
      <c r="O77" s="15">
        <f t="shared" si="35"/>
        <v>0</v>
      </c>
      <c r="P77" s="15">
        <f t="shared" si="36"/>
        <v>2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0</v>
      </c>
      <c r="P80" s="15">
        <f t="shared" si="36"/>
        <v>0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1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1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2</v>
      </c>
      <c r="N90" s="50">
        <v>0</v>
      </c>
      <c r="O90" s="15">
        <f t="shared" si="35"/>
        <v>1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1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1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1</v>
      </c>
      <c r="L97" s="50">
        <v>0</v>
      </c>
      <c r="M97" s="50">
        <v>0</v>
      </c>
      <c r="N97" s="50"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2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0</v>
      </c>
      <c r="P100" s="15">
        <f t="shared" si="36"/>
        <v>1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0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1</v>
      </c>
      <c r="N102" s="50">
        <v>0</v>
      </c>
      <c r="O102" s="15">
        <f t="shared" si="35"/>
        <v>0</v>
      </c>
      <c r="P102" s="15">
        <f t="shared" si="36"/>
        <v>1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2</v>
      </c>
      <c r="N103" s="50">
        <v>0</v>
      </c>
      <c r="O103" s="15">
        <f t="shared" si="35"/>
        <v>0</v>
      </c>
      <c r="P103" s="15">
        <f t="shared" si="36"/>
        <v>2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2</v>
      </c>
      <c r="N104" s="50">
        <v>0</v>
      </c>
      <c r="O104" s="15">
        <f t="shared" si="35"/>
        <v>0</v>
      </c>
      <c r="P104" s="15">
        <f t="shared" si="36"/>
        <v>2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0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7</v>
      </c>
      <c r="N105" s="50">
        <v>0</v>
      </c>
      <c r="O105" s="15">
        <f t="shared" si="35"/>
        <v>0</v>
      </c>
      <c r="P105" s="15">
        <f t="shared" si="36"/>
        <v>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64</v>
      </c>
      <c r="D106" s="16">
        <f t="shared" ref="D106:P106" si="37">SUM(D10:D105)</f>
        <v>39</v>
      </c>
      <c r="E106" s="16">
        <f t="shared" si="37"/>
        <v>20</v>
      </c>
      <c r="F106" s="16">
        <f t="shared" si="37"/>
        <v>27</v>
      </c>
      <c r="G106" s="16">
        <f t="shared" si="37"/>
        <v>2</v>
      </c>
      <c r="H106" s="16">
        <f t="shared" si="37"/>
        <v>0</v>
      </c>
      <c r="I106" s="16">
        <f t="shared" si="37"/>
        <v>52</v>
      </c>
      <c r="J106" s="16">
        <f t="shared" si="37"/>
        <v>64</v>
      </c>
      <c r="K106" s="16">
        <f t="shared" si="37"/>
        <v>4</v>
      </c>
      <c r="L106" s="16">
        <f t="shared" si="37"/>
        <v>1</v>
      </c>
      <c r="M106" s="16">
        <f t="shared" si="37"/>
        <v>1349</v>
      </c>
      <c r="N106" s="16">
        <f t="shared" si="37"/>
        <v>2</v>
      </c>
      <c r="O106" s="16">
        <f t="shared" si="37"/>
        <v>275</v>
      </c>
      <c r="P106" s="16">
        <f t="shared" si="37"/>
        <v>1624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3.9408866995073892E-2</v>
      </c>
      <c r="D107" s="43">
        <f t="shared" si="38"/>
        <v>2.4014778325123151E-2</v>
      </c>
      <c r="E107" s="43">
        <f t="shared" si="38"/>
        <v>1.2315270935960592E-2</v>
      </c>
      <c r="F107" s="43">
        <f t="shared" si="38"/>
        <v>1.6625615763546799E-2</v>
      </c>
      <c r="G107" s="43">
        <f t="shared" si="38"/>
        <v>1.2315270935960591E-3</v>
      </c>
      <c r="H107" s="43">
        <f t="shared" si="38"/>
        <v>0</v>
      </c>
      <c r="I107" s="43">
        <f t="shared" si="38"/>
        <v>3.2019704433497539E-2</v>
      </c>
      <c r="J107" s="43">
        <f t="shared" si="38"/>
        <v>3.9408866995073892E-2</v>
      </c>
      <c r="K107" s="43">
        <f t="shared" si="38"/>
        <v>2.4630541871921183E-3</v>
      </c>
      <c r="L107" s="43">
        <f t="shared" si="38"/>
        <v>6.1576354679802956E-4</v>
      </c>
      <c r="M107" s="43">
        <f t="shared" si="38"/>
        <v>0.83066502463054193</v>
      </c>
      <c r="N107" s="43">
        <f t="shared" si="38"/>
        <v>1.2315270935960591E-3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0.23272727272727273</v>
      </c>
      <c r="D108" s="44">
        <f t="shared" ref="D108:N108" si="39">D106/$O$106</f>
        <v>0.14181818181818182</v>
      </c>
      <c r="E108" s="44">
        <f t="shared" si="39"/>
        <v>7.2727272727272724E-2</v>
      </c>
      <c r="F108" s="44">
        <f t="shared" si="39"/>
        <v>9.8181818181818176E-2</v>
      </c>
      <c r="G108" s="44">
        <f t="shared" si="39"/>
        <v>7.2727272727272727E-3</v>
      </c>
      <c r="H108" s="44">
        <f t="shared" si="39"/>
        <v>0</v>
      </c>
      <c r="I108" s="44">
        <f t="shared" si="39"/>
        <v>0.18909090909090909</v>
      </c>
      <c r="J108" s="44">
        <f t="shared" si="39"/>
        <v>0.23272727272727273</v>
      </c>
      <c r="K108" s="44">
        <f t="shared" si="39"/>
        <v>1.4545454545454545E-2</v>
      </c>
      <c r="L108" s="44">
        <f t="shared" si="39"/>
        <v>3.6363636363636364E-3</v>
      </c>
      <c r="M108" s="44"/>
      <c r="N108" s="44">
        <f t="shared" si="39"/>
        <v>7.2727272727272727E-3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WOBULENZI-ZIROBWE'!C3:G3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173</v>
      </c>
      <c r="E5" s="3"/>
      <c r="F5" s="41" t="s">
        <v>1</v>
      </c>
      <c r="G5" s="59" t="s">
        <v>171</v>
      </c>
      <c r="H5" s="60"/>
      <c r="I5" s="14"/>
      <c r="J5" s="2" t="s">
        <v>5</v>
      </c>
      <c r="K5" s="59" t="str">
        <f>'23.10 WOBULENZI-ZIROBWE'!K5:L5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WOBULENZI-ZIROBWE'!D6:E6</f>
        <v>WOBULENZI</v>
      </c>
      <c r="E6" s="60"/>
      <c r="F6" s="2" t="s">
        <v>2</v>
      </c>
      <c r="G6" s="59" t="str">
        <f>'23.10 WOBULENZI-ZIROBWE'!G6:H6</f>
        <v>ZIROBWE</v>
      </c>
      <c r="H6" s="60"/>
      <c r="J6" s="2" t="s">
        <v>21</v>
      </c>
      <c r="K6" s="59" t="str">
        <f>'23.10 WOBULENZI-ZIROBWE'!K6:L6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7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31</v>
      </c>
      <c r="AD10" s="17">
        <f t="shared" si="2"/>
        <v>0</v>
      </c>
      <c r="AE10" s="31">
        <f t="shared" si="2"/>
        <v>3</v>
      </c>
      <c r="AF10" s="31">
        <f t="shared" si="2"/>
        <v>34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8</v>
      </c>
      <c r="N11" s="50">
        <v>0</v>
      </c>
      <c r="O11" s="15">
        <f t="shared" si="0"/>
        <v>2</v>
      </c>
      <c r="P11" s="15">
        <f t="shared" si="1"/>
        <v>10</v>
      </c>
      <c r="R11" s="1" t="s">
        <v>7</v>
      </c>
      <c r="S11" s="17">
        <f t="shared" ref="S11:AF11" si="3">SUM(C14:C17)</f>
        <v>1</v>
      </c>
      <c r="T11" s="17">
        <f t="shared" si="3"/>
        <v>0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39</v>
      </c>
      <c r="AD11" s="17">
        <f t="shared" si="3"/>
        <v>0</v>
      </c>
      <c r="AE11" s="31">
        <f t="shared" si="3"/>
        <v>3</v>
      </c>
      <c r="AF11" s="31">
        <f t="shared" si="3"/>
        <v>42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9</v>
      </c>
      <c r="N12" s="50">
        <v>0</v>
      </c>
      <c r="O12" s="15">
        <f t="shared" si="0"/>
        <v>0</v>
      </c>
      <c r="P12" s="15">
        <f t="shared" si="1"/>
        <v>9</v>
      </c>
      <c r="R12" s="1" t="s">
        <v>8</v>
      </c>
      <c r="S12" s="17">
        <f t="shared" ref="S12:AF12" si="4">SUM(C18:C21)</f>
        <v>0</v>
      </c>
      <c r="T12" s="17">
        <f t="shared" si="4"/>
        <v>0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51</v>
      </c>
      <c r="AD12" s="17">
        <f t="shared" si="4"/>
        <v>0</v>
      </c>
      <c r="AE12" s="31">
        <f t="shared" si="4"/>
        <v>9</v>
      </c>
      <c r="AF12" s="31">
        <f t="shared" si="4"/>
        <v>60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</v>
      </c>
      <c r="N13" s="50">
        <v>0</v>
      </c>
      <c r="O13" s="15">
        <f t="shared" si="0"/>
        <v>0</v>
      </c>
      <c r="P13" s="15">
        <f t="shared" si="1"/>
        <v>8</v>
      </c>
      <c r="R13" s="1" t="s">
        <v>9</v>
      </c>
      <c r="S13" s="17">
        <f t="shared" ref="S13:AF13" si="5">SUM(C22:C25)</f>
        <v>6</v>
      </c>
      <c r="T13" s="17">
        <f t="shared" si="5"/>
        <v>1</v>
      </c>
      <c r="U13" s="17">
        <f t="shared" si="5"/>
        <v>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0</v>
      </c>
      <c r="AA13" s="17">
        <f t="shared" si="5"/>
        <v>0</v>
      </c>
      <c r="AB13" s="17">
        <f t="shared" si="5"/>
        <v>0</v>
      </c>
      <c r="AC13" s="17">
        <f t="shared" si="5"/>
        <v>90</v>
      </c>
      <c r="AD13" s="17">
        <f t="shared" si="5"/>
        <v>0</v>
      </c>
      <c r="AE13" s="31">
        <f t="shared" si="5"/>
        <v>15</v>
      </c>
      <c r="AF13" s="31">
        <f t="shared" si="5"/>
        <v>105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2</v>
      </c>
      <c r="P14" s="15">
        <f t="shared" si="1"/>
        <v>10</v>
      </c>
      <c r="R14" s="1" t="s">
        <v>10</v>
      </c>
      <c r="S14" s="17">
        <f t="shared" ref="S14:AF14" si="6">SUM(C26:C29)</f>
        <v>2</v>
      </c>
      <c r="T14" s="17">
        <f t="shared" si="6"/>
        <v>2</v>
      </c>
      <c r="U14" s="17">
        <f t="shared" si="6"/>
        <v>0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5</v>
      </c>
      <c r="AA14" s="17">
        <f t="shared" si="6"/>
        <v>0</v>
      </c>
      <c r="AB14" s="17">
        <f t="shared" si="6"/>
        <v>0</v>
      </c>
      <c r="AC14" s="17">
        <f t="shared" si="6"/>
        <v>75</v>
      </c>
      <c r="AD14" s="17">
        <f t="shared" si="6"/>
        <v>0</v>
      </c>
      <c r="AE14" s="31">
        <f t="shared" si="6"/>
        <v>13</v>
      </c>
      <c r="AF14" s="31">
        <f t="shared" si="6"/>
        <v>88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9</v>
      </c>
      <c r="N15" s="50">
        <v>0</v>
      </c>
      <c r="O15" s="15">
        <f t="shared" si="0"/>
        <v>1</v>
      </c>
      <c r="P15" s="15">
        <f t="shared" si="1"/>
        <v>10</v>
      </c>
      <c r="R15" s="1" t="s">
        <v>11</v>
      </c>
      <c r="S15" s="17">
        <f t="shared" ref="S15:AF15" si="7">SUM(C30:C33)</f>
        <v>6</v>
      </c>
      <c r="T15" s="17">
        <f t="shared" si="7"/>
        <v>0</v>
      </c>
      <c r="U15" s="17">
        <f t="shared" si="7"/>
        <v>3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68</v>
      </c>
      <c r="AD15" s="17">
        <f t="shared" si="7"/>
        <v>0</v>
      </c>
      <c r="AE15" s="31">
        <f t="shared" si="7"/>
        <v>11</v>
      </c>
      <c r="AF15" s="31">
        <f t="shared" si="7"/>
        <v>79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6</v>
      </c>
      <c r="N16" s="50">
        <v>0</v>
      </c>
      <c r="O16" s="15">
        <f t="shared" si="0"/>
        <v>0</v>
      </c>
      <c r="P16" s="15">
        <f t="shared" si="1"/>
        <v>6</v>
      </c>
      <c r="R16" s="1" t="s">
        <v>12</v>
      </c>
      <c r="S16" s="17">
        <f t="shared" ref="S16:AF16" si="8">SUM(C34:C37)</f>
        <v>3</v>
      </c>
      <c r="T16" s="17">
        <f t="shared" si="8"/>
        <v>2</v>
      </c>
      <c r="U16" s="17">
        <f t="shared" si="8"/>
        <v>2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71</v>
      </c>
      <c r="AD16" s="17">
        <f t="shared" si="8"/>
        <v>0</v>
      </c>
      <c r="AE16" s="31">
        <f t="shared" si="8"/>
        <v>15</v>
      </c>
      <c r="AF16" s="31">
        <f t="shared" si="8"/>
        <v>86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16</v>
      </c>
      <c r="N17" s="50">
        <v>0</v>
      </c>
      <c r="O17" s="15">
        <f t="shared" si="0"/>
        <v>0</v>
      </c>
      <c r="P17" s="15">
        <f t="shared" si="1"/>
        <v>16</v>
      </c>
      <c r="R17" s="1" t="s">
        <v>13</v>
      </c>
      <c r="S17" s="17">
        <f t="shared" ref="S17:AF17" si="9">SUM(C38:C41)</f>
        <v>4</v>
      </c>
      <c r="T17" s="17">
        <f t="shared" si="9"/>
        <v>1</v>
      </c>
      <c r="U17" s="17">
        <f t="shared" si="9"/>
        <v>1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2</v>
      </c>
      <c r="AA17" s="17">
        <f t="shared" si="9"/>
        <v>1</v>
      </c>
      <c r="AB17" s="17">
        <f t="shared" si="9"/>
        <v>0</v>
      </c>
      <c r="AC17" s="17">
        <f t="shared" si="9"/>
        <v>49</v>
      </c>
      <c r="AD17" s="17">
        <f t="shared" si="9"/>
        <v>9</v>
      </c>
      <c r="AE17" s="31">
        <f t="shared" si="9"/>
        <v>20</v>
      </c>
      <c r="AF17" s="31">
        <f t="shared" si="9"/>
        <v>69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15</v>
      </c>
      <c r="N18" s="50">
        <v>0</v>
      </c>
      <c r="O18" s="15">
        <f t="shared" si="0"/>
        <v>2</v>
      </c>
      <c r="P18" s="15">
        <f t="shared" si="1"/>
        <v>17</v>
      </c>
      <c r="R18" s="1" t="s">
        <v>14</v>
      </c>
      <c r="S18" s="17">
        <f t="shared" ref="S18:AF18" si="10">SUM(C42:C45)</f>
        <v>4</v>
      </c>
      <c r="T18" s="17">
        <f t="shared" si="10"/>
        <v>1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6</v>
      </c>
      <c r="AA18" s="17">
        <f t="shared" si="10"/>
        <v>0</v>
      </c>
      <c r="AB18" s="17">
        <f t="shared" si="10"/>
        <v>0</v>
      </c>
      <c r="AC18" s="17">
        <f t="shared" si="10"/>
        <v>24</v>
      </c>
      <c r="AD18" s="17">
        <f t="shared" si="10"/>
        <v>0</v>
      </c>
      <c r="AE18" s="31">
        <f t="shared" si="10"/>
        <v>15</v>
      </c>
      <c r="AF18" s="31">
        <f t="shared" si="10"/>
        <v>39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17</v>
      </c>
      <c r="N19" s="50">
        <v>0</v>
      </c>
      <c r="O19" s="15">
        <f t="shared" si="0"/>
        <v>3</v>
      </c>
      <c r="P19" s="15">
        <f t="shared" si="1"/>
        <v>20</v>
      </c>
      <c r="R19" s="1" t="s">
        <v>15</v>
      </c>
      <c r="S19" s="17">
        <f t="shared" ref="S19:AF19" si="11">SUM(C46:C49)</f>
        <v>4</v>
      </c>
      <c r="T19" s="17">
        <f t="shared" si="11"/>
        <v>1</v>
      </c>
      <c r="U19" s="17">
        <f t="shared" si="11"/>
        <v>3</v>
      </c>
      <c r="V19" s="17">
        <f t="shared" si="11"/>
        <v>0</v>
      </c>
      <c r="W19" s="17">
        <f t="shared" si="11"/>
        <v>1</v>
      </c>
      <c r="X19" s="17">
        <f t="shared" si="11"/>
        <v>0</v>
      </c>
      <c r="Y19" s="17">
        <f t="shared" si="11"/>
        <v>1</v>
      </c>
      <c r="Z19" s="17">
        <f t="shared" si="11"/>
        <v>5</v>
      </c>
      <c r="AA19" s="17">
        <f t="shared" si="11"/>
        <v>0</v>
      </c>
      <c r="AB19" s="17">
        <f t="shared" si="11"/>
        <v>0</v>
      </c>
      <c r="AC19" s="17">
        <f t="shared" si="11"/>
        <v>45</v>
      </c>
      <c r="AD19" s="17">
        <f t="shared" si="11"/>
        <v>0</v>
      </c>
      <c r="AE19" s="31">
        <f t="shared" si="11"/>
        <v>15</v>
      </c>
      <c r="AF19" s="31">
        <f t="shared" si="11"/>
        <v>60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8</v>
      </c>
      <c r="N20" s="50">
        <v>0</v>
      </c>
      <c r="O20" s="15">
        <f t="shared" si="0"/>
        <v>2</v>
      </c>
      <c r="P20" s="15">
        <f t="shared" si="1"/>
        <v>10</v>
      </c>
      <c r="R20" s="1" t="s">
        <v>16</v>
      </c>
      <c r="S20" s="17">
        <f t="shared" ref="S20:AF20" si="12">SUM(C50:C53)</f>
        <v>7</v>
      </c>
      <c r="T20" s="17">
        <f t="shared" si="12"/>
        <v>1</v>
      </c>
      <c r="U20" s="17">
        <f t="shared" si="12"/>
        <v>1</v>
      </c>
      <c r="V20" s="17">
        <f t="shared" si="12"/>
        <v>4</v>
      </c>
      <c r="W20" s="17">
        <f t="shared" si="12"/>
        <v>1</v>
      </c>
      <c r="X20" s="17">
        <f t="shared" si="12"/>
        <v>0</v>
      </c>
      <c r="Y20" s="17">
        <f t="shared" si="12"/>
        <v>3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96</v>
      </c>
      <c r="AD20" s="17">
        <f t="shared" si="12"/>
        <v>0</v>
      </c>
      <c r="AE20" s="31">
        <f t="shared" si="12"/>
        <v>22</v>
      </c>
      <c r="AF20" s="31">
        <f t="shared" si="12"/>
        <v>118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2</v>
      </c>
      <c r="P21" s="15">
        <f t="shared" si="1"/>
        <v>13</v>
      </c>
      <c r="R21" s="36" t="s">
        <v>20</v>
      </c>
      <c r="S21" s="34">
        <f t="shared" ref="S21:AF21" si="13">SUM(C54:C57)</f>
        <v>8</v>
      </c>
      <c r="T21" s="17">
        <f t="shared" si="13"/>
        <v>0</v>
      </c>
      <c r="U21" s="17">
        <f t="shared" si="13"/>
        <v>1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89</v>
      </c>
      <c r="AD21" s="17">
        <f t="shared" si="13"/>
        <v>0</v>
      </c>
      <c r="AE21" s="31">
        <f t="shared" si="13"/>
        <v>14</v>
      </c>
      <c r="AF21" s="31">
        <f t="shared" si="13"/>
        <v>103</v>
      </c>
    </row>
    <row r="22" spans="2:32" ht="23.1" customHeight="1" x14ac:dyDescent="0.25">
      <c r="B22" s="23" t="s">
        <v>49</v>
      </c>
      <c r="C22" s="50">
        <v>4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36</v>
      </c>
      <c r="N22" s="50">
        <v>0</v>
      </c>
      <c r="O22" s="15">
        <f t="shared" si="0"/>
        <v>5</v>
      </c>
      <c r="P22" s="15">
        <f t="shared" si="1"/>
        <v>41</v>
      </c>
      <c r="R22" s="38" t="s">
        <v>90</v>
      </c>
      <c r="S22" s="39">
        <f>MAX(S10:S12)</f>
        <v>1</v>
      </c>
      <c r="T22" s="39">
        <f t="shared" ref="T22:AF22" si="14">MAX(T10:T12)</f>
        <v>0</v>
      </c>
      <c r="U22" s="39">
        <f t="shared" si="14"/>
        <v>1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4</v>
      </c>
      <c r="AA22" s="39">
        <f t="shared" si="14"/>
        <v>0</v>
      </c>
      <c r="AB22" s="39">
        <f t="shared" si="14"/>
        <v>0</v>
      </c>
      <c r="AC22" s="39">
        <f t="shared" si="14"/>
        <v>51</v>
      </c>
      <c r="AD22" s="39">
        <f t="shared" si="14"/>
        <v>0</v>
      </c>
      <c r="AE22" s="40">
        <f t="shared" si="14"/>
        <v>9</v>
      </c>
      <c r="AF22" s="40">
        <f t="shared" si="14"/>
        <v>60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2</v>
      </c>
      <c r="J23" s="50">
        <v>0</v>
      </c>
      <c r="K23" s="50">
        <v>0</v>
      </c>
      <c r="L23" s="50">
        <v>0</v>
      </c>
      <c r="M23" s="50">
        <v>24</v>
      </c>
      <c r="N23" s="50">
        <v>0</v>
      </c>
      <c r="O23" s="15">
        <f t="shared" si="0"/>
        <v>2</v>
      </c>
      <c r="P23" s="15">
        <f t="shared" si="1"/>
        <v>26</v>
      </c>
      <c r="R23" s="38" t="s">
        <v>91</v>
      </c>
      <c r="S23" s="39">
        <f>MAX(S13:S18)</f>
        <v>6</v>
      </c>
      <c r="T23" s="39">
        <f t="shared" ref="T23:AF23" si="15">MAX(T13:T18)</f>
        <v>2</v>
      </c>
      <c r="U23" s="39">
        <f t="shared" si="15"/>
        <v>3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5</v>
      </c>
      <c r="Z23" s="39">
        <f t="shared" si="15"/>
        <v>6</v>
      </c>
      <c r="AA23" s="39">
        <f t="shared" si="15"/>
        <v>1</v>
      </c>
      <c r="AB23" s="39">
        <f t="shared" si="15"/>
        <v>0</v>
      </c>
      <c r="AC23" s="39">
        <f t="shared" si="15"/>
        <v>90</v>
      </c>
      <c r="AD23" s="39">
        <f t="shared" si="15"/>
        <v>9</v>
      </c>
      <c r="AE23" s="40">
        <f t="shared" si="15"/>
        <v>20</v>
      </c>
      <c r="AF23" s="40">
        <f t="shared" si="15"/>
        <v>105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14</v>
      </c>
      <c r="N24" s="50">
        <v>0</v>
      </c>
      <c r="O24" s="15">
        <f t="shared" si="0"/>
        <v>3</v>
      </c>
      <c r="P24" s="15">
        <f t="shared" si="1"/>
        <v>17</v>
      </c>
      <c r="R24" s="38" t="s">
        <v>92</v>
      </c>
      <c r="S24" s="39">
        <f>MAX(S19:S21)</f>
        <v>8</v>
      </c>
      <c r="T24" s="39">
        <f t="shared" ref="T24:AF24" si="16">MAX(T19:T21)</f>
        <v>1</v>
      </c>
      <c r="U24" s="39">
        <f t="shared" si="16"/>
        <v>3</v>
      </c>
      <c r="V24" s="39">
        <f t="shared" si="16"/>
        <v>4</v>
      </c>
      <c r="W24" s="39">
        <f t="shared" si="16"/>
        <v>1</v>
      </c>
      <c r="X24" s="39">
        <f t="shared" si="16"/>
        <v>0</v>
      </c>
      <c r="Y24" s="39">
        <f t="shared" si="16"/>
        <v>3</v>
      </c>
      <c r="Z24" s="39">
        <f t="shared" si="16"/>
        <v>5</v>
      </c>
      <c r="AA24" s="39">
        <f t="shared" si="16"/>
        <v>0</v>
      </c>
      <c r="AB24" s="39">
        <f t="shared" si="16"/>
        <v>0</v>
      </c>
      <c r="AC24" s="39">
        <f t="shared" si="16"/>
        <v>96</v>
      </c>
      <c r="AD24" s="39">
        <f t="shared" si="16"/>
        <v>0</v>
      </c>
      <c r="AE24" s="40">
        <f t="shared" si="16"/>
        <v>22</v>
      </c>
      <c r="AF24" s="40">
        <f t="shared" si="16"/>
        <v>118</v>
      </c>
    </row>
    <row r="25" spans="2:32" ht="23.1" customHeight="1" x14ac:dyDescent="0.25">
      <c r="B25" s="23" t="s">
        <v>52</v>
      </c>
      <c r="C25" s="50">
        <v>1</v>
      </c>
      <c r="D25" s="50">
        <v>1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16</v>
      </c>
      <c r="N25" s="50">
        <v>0</v>
      </c>
      <c r="O25" s="15">
        <f t="shared" si="0"/>
        <v>5</v>
      </c>
      <c r="P25" s="15">
        <f t="shared" si="1"/>
        <v>21</v>
      </c>
      <c r="R25" s="37" t="s">
        <v>85</v>
      </c>
      <c r="S25" s="35">
        <f t="shared" ref="S25:AF25" si="17">SUM(S10:S12)</f>
        <v>2</v>
      </c>
      <c r="T25" s="16">
        <f t="shared" si="17"/>
        <v>0</v>
      </c>
      <c r="U25" s="16">
        <f t="shared" si="17"/>
        <v>1</v>
      </c>
      <c r="V25" s="16">
        <f t="shared" si="17"/>
        <v>4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4</v>
      </c>
      <c r="AA25" s="16">
        <f t="shared" si="17"/>
        <v>0</v>
      </c>
      <c r="AB25" s="16">
        <f t="shared" si="17"/>
        <v>0</v>
      </c>
      <c r="AC25" s="16">
        <f t="shared" si="17"/>
        <v>121</v>
      </c>
      <c r="AD25" s="16">
        <f t="shared" si="17"/>
        <v>0</v>
      </c>
      <c r="AE25" s="32">
        <f t="shared" si="17"/>
        <v>15</v>
      </c>
      <c r="AF25" s="32">
        <f t="shared" si="17"/>
        <v>136</v>
      </c>
    </row>
    <row r="26" spans="2:32" ht="23.1" customHeight="1" x14ac:dyDescent="0.25">
      <c r="B26" s="23" t="s">
        <v>53</v>
      </c>
      <c r="C26" s="50">
        <v>0</v>
      </c>
      <c r="D26" s="50">
        <v>1</v>
      </c>
      <c r="E26" s="50">
        <v>0</v>
      </c>
      <c r="F26" s="50">
        <v>1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0</v>
      </c>
      <c r="M26" s="50">
        <v>20</v>
      </c>
      <c r="N26" s="50">
        <v>0</v>
      </c>
      <c r="O26" s="15">
        <f t="shared" si="0"/>
        <v>4</v>
      </c>
      <c r="P26" s="15">
        <f t="shared" si="1"/>
        <v>24</v>
      </c>
      <c r="R26" s="28" t="s">
        <v>86</v>
      </c>
      <c r="S26" s="16">
        <f t="shared" ref="S26:AF26" si="18">SUM(S13:S18)</f>
        <v>25</v>
      </c>
      <c r="T26" s="16">
        <f t="shared" si="18"/>
        <v>7</v>
      </c>
      <c r="U26" s="16">
        <f t="shared" si="18"/>
        <v>8</v>
      </c>
      <c r="V26" s="16">
        <f t="shared" si="18"/>
        <v>7</v>
      </c>
      <c r="W26" s="16">
        <f t="shared" si="18"/>
        <v>0</v>
      </c>
      <c r="X26" s="16">
        <f t="shared" si="18"/>
        <v>0</v>
      </c>
      <c r="Y26" s="16">
        <f t="shared" si="18"/>
        <v>17</v>
      </c>
      <c r="Z26" s="16">
        <f t="shared" si="18"/>
        <v>15</v>
      </c>
      <c r="AA26" s="16">
        <f t="shared" si="18"/>
        <v>1</v>
      </c>
      <c r="AB26" s="16">
        <f t="shared" si="18"/>
        <v>0</v>
      </c>
      <c r="AC26" s="16">
        <f t="shared" si="18"/>
        <v>377</v>
      </c>
      <c r="AD26" s="16">
        <f t="shared" si="18"/>
        <v>9</v>
      </c>
      <c r="AE26" s="32">
        <f t="shared" si="18"/>
        <v>89</v>
      </c>
      <c r="AF26" s="32">
        <f t="shared" si="18"/>
        <v>466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19</v>
      </c>
      <c r="N27" s="50">
        <v>0</v>
      </c>
      <c r="O27" s="15">
        <f t="shared" si="0"/>
        <v>2</v>
      </c>
      <c r="P27" s="15">
        <f t="shared" si="1"/>
        <v>21</v>
      </c>
      <c r="R27" s="29" t="s">
        <v>87</v>
      </c>
      <c r="S27" s="16">
        <f t="shared" ref="S27:AF27" si="19">SUM(S19:S21)</f>
        <v>19</v>
      </c>
      <c r="T27" s="16">
        <f t="shared" si="19"/>
        <v>2</v>
      </c>
      <c r="U27" s="16">
        <f t="shared" si="19"/>
        <v>5</v>
      </c>
      <c r="V27" s="16">
        <f t="shared" si="19"/>
        <v>6</v>
      </c>
      <c r="W27" s="16">
        <f t="shared" si="19"/>
        <v>2</v>
      </c>
      <c r="X27" s="16">
        <f t="shared" si="19"/>
        <v>0</v>
      </c>
      <c r="Y27" s="16">
        <f t="shared" si="19"/>
        <v>7</v>
      </c>
      <c r="Z27" s="16">
        <f t="shared" si="19"/>
        <v>10</v>
      </c>
      <c r="AA27" s="16">
        <f t="shared" si="19"/>
        <v>0</v>
      </c>
      <c r="AB27" s="16">
        <f t="shared" si="19"/>
        <v>0</v>
      </c>
      <c r="AC27" s="16">
        <f t="shared" si="19"/>
        <v>230</v>
      </c>
      <c r="AD27" s="16">
        <f t="shared" si="19"/>
        <v>0</v>
      </c>
      <c r="AE27" s="32">
        <f t="shared" si="19"/>
        <v>51</v>
      </c>
      <c r="AF27" s="32">
        <f t="shared" si="19"/>
        <v>281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3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4</v>
      </c>
      <c r="P28" s="15">
        <f t="shared" si="1"/>
        <v>18</v>
      </c>
      <c r="R28" s="5" t="s">
        <v>17</v>
      </c>
      <c r="S28" s="16">
        <f t="shared" ref="S28:AF28" si="20">SUM(S10:S21)</f>
        <v>46</v>
      </c>
      <c r="T28" s="16">
        <f t="shared" si="20"/>
        <v>9</v>
      </c>
      <c r="U28" s="16">
        <f t="shared" si="20"/>
        <v>14</v>
      </c>
      <c r="V28" s="16">
        <f t="shared" si="20"/>
        <v>17</v>
      </c>
      <c r="W28" s="16">
        <f t="shared" si="20"/>
        <v>2</v>
      </c>
      <c r="X28" s="16">
        <f t="shared" si="20"/>
        <v>0</v>
      </c>
      <c r="Y28" s="16">
        <f t="shared" si="20"/>
        <v>28</v>
      </c>
      <c r="Z28" s="16">
        <f t="shared" si="20"/>
        <v>29</v>
      </c>
      <c r="AA28" s="16">
        <f t="shared" si="20"/>
        <v>1</v>
      </c>
      <c r="AB28" s="16">
        <f t="shared" si="20"/>
        <v>0</v>
      </c>
      <c r="AC28" s="16">
        <f t="shared" si="20"/>
        <v>728</v>
      </c>
      <c r="AD28" s="16">
        <f t="shared" si="20"/>
        <v>9</v>
      </c>
      <c r="AE28" s="32">
        <f t="shared" si="20"/>
        <v>155</v>
      </c>
      <c r="AF28" s="32">
        <f t="shared" si="20"/>
        <v>883</v>
      </c>
    </row>
    <row r="29" spans="2:32" ht="23.1" customHeight="1" x14ac:dyDescent="0.25">
      <c r="B29" s="23" t="s">
        <v>56</v>
      </c>
      <c r="C29" s="50">
        <v>0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22</v>
      </c>
      <c r="N29" s="50">
        <v>0</v>
      </c>
      <c r="O29" s="15">
        <f t="shared" si="0"/>
        <v>3</v>
      </c>
      <c r="P29" s="15">
        <f t="shared" si="1"/>
        <v>25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2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12</v>
      </c>
      <c r="N31" s="50">
        <v>0</v>
      </c>
      <c r="O31" s="15">
        <f t="shared" si="0"/>
        <v>2</v>
      </c>
      <c r="P31" s="15">
        <f t="shared" si="1"/>
        <v>14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2</v>
      </c>
      <c r="F32" s="50">
        <v>0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4</v>
      </c>
      <c r="P32" s="15">
        <f t="shared" si="1"/>
        <v>21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25</v>
      </c>
      <c r="N33" s="50">
        <v>0</v>
      </c>
      <c r="O33" s="15">
        <f t="shared" si="0"/>
        <v>3</v>
      </c>
      <c r="P33" s="15">
        <f t="shared" si="1"/>
        <v>28</v>
      </c>
    </row>
    <row r="34" spans="2:20" ht="23.1" customHeight="1" x14ac:dyDescent="0.25">
      <c r="B34" s="24" t="s">
        <v>61</v>
      </c>
      <c r="C34" s="50">
        <v>0</v>
      </c>
      <c r="D34" s="50">
        <v>1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19</v>
      </c>
      <c r="N34" s="50">
        <v>0</v>
      </c>
      <c r="O34" s="15">
        <f t="shared" si="0"/>
        <v>3</v>
      </c>
      <c r="P34" s="15">
        <f t="shared" si="1"/>
        <v>22</v>
      </c>
    </row>
    <row r="35" spans="2:20" ht="23.1" customHeight="1" x14ac:dyDescent="0.25">
      <c r="B35" s="24" t="s">
        <v>62</v>
      </c>
      <c r="C35" s="50">
        <v>0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18</v>
      </c>
      <c r="N35" s="50">
        <v>0</v>
      </c>
      <c r="O35" s="15">
        <f t="shared" si="0"/>
        <v>1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13</v>
      </c>
      <c r="N36" s="50">
        <v>0</v>
      </c>
      <c r="O36" s="15">
        <f t="shared" si="0"/>
        <v>3</v>
      </c>
      <c r="P36" s="15">
        <f t="shared" si="1"/>
        <v>16</v>
      </c>
    </row>
    <row r="37" spans="2:20" ht="23.1" customHeight="1" x14ac:dyDescent="0.25">
      <c r="B37" s="23" t="s">
        <v>64</v>
      </c>
      <c r="C37" s="50">
        <v>3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21</v>
      </c>
      <c r="N37" s="50">
        <v>0</v>
      </c>
      <c r="O37" s="15">
        <f t="shared" si="0"/>
        <v>8</v>
      </c>
      <c r="P37" s="15">
        <f t="shared" si="1"/>
        <v>29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1</v>
      </c>
      <c r="L38" s="50">
        <v>0</v>
      </c>
      <c r="M38" s="50">
        <v>14</v>
      </c>
      <c r="N38" s="50">
        <v>0</v>
      </c>
      <c r="O38" s="15">
        <f t="shared" si="0"/>
        <v>2</v>
      </c>
      <c r="P38" s="15">
        <f t="shared" si="1"/>
        <v>16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16</v>
      </c>
      <c r="N39" s="50">
        <v>0</v>
      </c>
      <c r="O39" s="15">
        <f t="shared" si="0"/>
        <v>4</v>
      </c>
      <c r="P39" s="15">
        <f t="shared" si="1"/>
        <v>20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1</v>
      </c>
      <c r="K40" s="50">
        <v>0</v>
      </c>
      <c r="L40" s="50">
        <v>0</v>
      </c>
      <c r="M40" s="50">
        <v>19</v>
      </c>
      <c r="N40" s="50">
        <v>0</v>
      </c>
      <c r="O40" s="15">
        <f t="shared" si="0"/>
        <v>1</v>
      </c>
      <c r="P40" s="15">
        <f t="shared" si="1"/>
        <v>20</v>
      </c>
    </row>
    <row r="41" spans="2:20" ht="23.1" customHeight="1" x14ac:dyDescent="0.25">
      <c r="B41" s="23" t="s">
        <v>68</v>
      </c>
      <c r="C41" s="50">
        <v>1</v>
      </c>
      <c r="D41" s="50">
        <v>1</v>
      </c>
      <c r="E41" s="50">
        <v>0</v>
      </c>
      <c r="F41" s="50">
        <v>1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0</v>
      </c>
      <c r="N41" s="50">
        <v>9</v>
      </c>
      <c r="O41" s="15">
        <f t="shared" si="0"/>
        <v>13</v>
      </c>
      <c r="P41" s="15">
        <f t="shared" si="1"/>
        <v>13</v>
      </c>
    </row>
    <row r="42" spans="2:20" ht="23.1" customHeight="1" x14ac:dyDescent="0.25">
      <c r="B42" s="24" t="s">
        <v>69</v>
      </c>
      <c r="C42" s="50">
        <v>1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2</v>
      </c>
      <c r="P42" s="15">
        <f t="shared" si="1"/>
        <v>8</v>
      </c>
    </row>
    <row r="43" spans="2:20" ht="23.1" customHeight="1" x14ac:dyDescent="0.25">
      <c r="B43" s="23" t="s">
        <v>70</v>
      </c>
      <c r="C43" s="50">
        <v>2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4</v>
      </c>
      <c r="P43" s="15">
        <f t="shared" si="1"/>
        <v>9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2</v>
      </c>
      <c r="J44" s="50">
        <v>4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8</v>
      </c>
      <c r="P44" s="15">
        <f t="shared" si="1"/>
        <v>12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9</v>
      </c>
      <c r="N45" s="50">
        <v>0</v>
      </c>
      <c r="O45" s="15">
        <f t="shared" si="0"/>
        <v>1</v>
      </c>
      <c r="P45" s="15">
        <f t="shared" si="1"/>
        <v>10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1</v>
      </c>
      <c r="J46" s="50">
        <v>2</v>
      </c>
      <c r="K46" s="50">
        <v>0</v>
      </c>
      <c r="L46" s="50">
        <v>0</v>
      </c>
      <c r="M46" s="50">
        <v>7</v>
      </c>
      <c r="N46" s="50">
        <v>0</v>
      </c>
      <c r="O46" s="15">
        <f t="shared" si="0"/>
        <v>5</v>
      </c>
      <c r="P46" s="15">
        <f t="shared" si="1"/>
        <v>12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9</v>
      </c>
      <c r="N47" s="50">
        <v>0</v>
      </c>
      <c r="O47" s="15">
        <f t="shared" si="0"/>
        <v>4</v>
      </c>
      <c r="P47" s="15">
        <f t="shared" si="1"/>
        <v>13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2</v>
      </c>
      <c r="F48" s="50">
        <v>0</v>
      </c>
      <c r="G48" s="50">
        <v>1</v>
      </c>
      <c r="H48" s="50">
        <v>0</v>
      </c>
      <c r="I48" s="50">
        <v>0</v>
      </c>
      <c r="J48" s="50">
        <v>2</v>
      </c>
      <c r="K48" s="50">
        <v>0</v>
      </c>
      <c r="L48" s="50">
        <v>0</v>
      </c>
      <c r="M48" s="50">
        <v>16</v>
      </c>
      <c r="N48" s="50">
        <v>0</v>
      </c>
      <c r="O48" s="15">
        <f t="shared" si="0"/>
        <v>5</v>
      </c>
      <c r="P48" s="15">
        <f t="shared" si="1"/>
        <v>21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13</v>
      </c>
      <c r="N49" s="50">
        <v>0</v>
      </c>
      <c r="O49" s="15">
        <f t="shared" si="0"/>
        <v>1</v>
      </c>
      <c r="P49" s="15">
        <f t="shared" si="1"/>
        <v>14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1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20</v>
      </c>
      <c r="N50" s="50">
        <v>0</v>
      </c>
      <c r="O50" s="15">
        <f t="shared" si="0"/>
        <v>2</v>
      </c>
      <c r="P50" s="15">
        <f t="shared" si="1"/>
        <v>22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1</v>
      </c>
      <c r="G51" s="50">
        <v>1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20</v>
      </c>
      <c r="N51" s="50">
        <v>0</v>
      </c>
      <c r="O51" s="15">
        <f t="shared" si="0"/>
        <v>5</v>
      </c>
      <c r="P51" s="15">
        <f t="shared" si="1"/>
        <v>25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2</v>
      </c>
      <c r="J52" s="50">
        <v>1</v>
      </c>
      <c r="K52" s="50">
        <v>0</v>
      </c>
      <c r="L52" s="50">
        <v>0</v>
      </c>
      <c r="M52" s="50">
        <v>25</v>
      </c>
      <c r="N52" s="50">
        <v>0</v>
      </c>
      <c r="O52" s="15">
        <f t="shared" si="0"/>
        <v>6</v>
      </c>
      <c r="P52" s="15">
        <f t="shared" si="1"/>
        <v>31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1</v>
      </c>
      <c r="J53" s="50">
        <v>3</v>
      </c>
      <c r="K53" s="50">
        <v>0</v>
      </c>
      <c r="L53" s="50">
        <v>0</v>
      </c>
      <c r="M53" s="50">
        <v>31</v>
      </c>
      <c r="N53" s="50">
        <v>0</v>
      </c>
      <c r="O53" s="15">
        <f t="shared" si="0"/>
        <v>9</v>
      </c>
      <c r="P53" s="15">
        <f t="shared" si="1"/>
        <v>40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27</v>
      </c>
      <c r="N54" s="50">
        <v>0</v>
      </c>
      <c r="O54" s="15">
        <f t="shared" si="0"/>
        <v>2</v>
      </c>
      <c r="P54" s="15">
        <f t="shared" si="1"/>
        <v>29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15</v>
      </c>
      <c r="N55" s="50">
        <v>0</v>
      </c>
      <c r="O55" s="15">
        <f t="shared" si="0"/>
        <v>3</v>
      </c>
      <c r="P55" s="15">
        <f t="shared" si="1"/>
        <v>18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19</v>
      </c>
      <c r="N56" s="50">
        <v>0</v>
      </c>
      <c r="O56" s="15">
        <f t="shared" si="0"/>
        <v>5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28</v>
      </c>
      <c r="N57" s="50">
        <v>0</v>
      </c>
      <c r="O57" s="15">
        <f t="shared" si="0"/>
        <v>4</v>
      </c>
      <c r="P57" s="15">
        <f t="shared" si="1"/>
        <v>32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46</v>
      </c>
      <c r="D58" s="16">
        <f t="shared" si="21"/>
        <v>9</v>
      </c>
      <c r="E58" s="16">
        <f t="shared" si="21"/>
        <v>14</v>
      </c>
      <c r="F58" s="16">
        <f t="shared" si="21"/>
        <v>17</v>
      </c>
      <c r="G58" s="16">
        <f t="shared" si="21"/>
        <v>2</v>
      </c>
      <c r="H58" s="16">
        <f t="shared" si="21"/>
        <v>0</v>
      </c>
      <c r="I58" s="16">
        <f t="shared" si="21"/>
        <v>28</v>
      </c>
      <c r="J58" s="16">
        <f t="shared" si="21"/>
        <v>29</v>
      </c>
      <c r="K58" s="16">
        <f t="shared" si="21"/>
        <v>1</v>
      </c>
      <c r="L58" s="16">
        <f t="shared" si="21"/>
        <v>0</v>
      </c>
      <c r="M58" s="16">
        <f t="shared" si="21"/>
        <v>728</v>
      </c>
      <c r="N58" s="16">
        <f t="shared" si="21"/>
        <v>9</v>
      </c>
      <c r="O58" s="16">
        <f t="shared" si="21"/>
        <v>155</v>
      </c>
      <c r="P58" s="16">
        <f t="shared" si="21"/>
        <v>883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5.2095130237825596E-2</v>
      </c>
      <c r="D59" s="43">
        <f t="shared" si="22"/>
        <v>1.0192525481313703E-2</v>
      </c>
      <c r="E59" s="43">
        <f t="shared" si="22"/>
        <v>1.5855039637599093E-2</v>
      </c>
      <c r="F59" s="43">
        <f t="shared" si="22"/>
        <v>1.9252548131370329E-2</v>
      </c>
      <c r="G59" s="43">
        <f t="shared" si="22"/>
        <v>2.2650056625141564E-3</v>
      </c>
      <c r="H59" s="43">
        <f t="shared" si="22"/>
        <v>0</v>
      </c>
      <c r="I59" s="43">
        <f t="shared" si="22"/>
        <v>3.1710079275198186E-2</v>
      </c>
      <c r="J59" s="43">
        <f t="shared" si="22"/>
        <v>3.2842582106455263E-2</v>
      </c>
      <c r="K59" s="43">
        <f t="shared" si="22"/>
        <v>1.1325028312570782E-3</v>
      </c>
      <c r="L59" s="43">
        <f t="shared" si="22"/>
        <v>0</v>
      </c>
      <c r="M59" s="43">
        <f t="shared" si="22"/>
        <v>0.82446206115515286</v>
      </c>
      <c r="N59" s="43">
        <f t="shared" si="22"/>
        <v>1.0192525481313703E-2</v>
      </c>
      <c r="R59" s="8"/>
      <c r="T59"/>
    </row>
    <row r="60" spans="2:20" ht="23.1" customHeight="1" x14ac:dyDescent="0.25">
      <c r="B60" s="42" t="s">
        <v>94</v>
      </c>
      <c r="C60" s="44">
        <f>C58/$O$58</f>
        <v>0.29677419354838708</v>
      </c>
      <c r="D60" s="44">
        <f t="shared" ref="D60:N60" si="23">D58/$O$58</f>
        <v>5.8064516129032261E-2</v>
      </c>
      <c r="E60" s="44">
        <f t="shared" si="23"/>
        <v>9.0322580645161285E-2</v>
      </c>
      <c r="F60" s="44">
        <f t="shared" si="23"/>
        <v>0.10967741935483871</v>
      </c>
      <c r="G60" s="44">
        <f t="shared" si="23"/>
        <v>1.2903225806451613E-2</v>
      </c>
      <c r="H60" s="44">
        <f t="shared" si="23"/>
        <v>0</v>
      </c>
      <c r="I60" s="44">
        <f t="shared" si="23"/>
        <v>0.18064516129032257</v>
      </c>
      <c r="J60" s="44">
        <f t="shared" si="23"/>
        <v>0.18709677419354839</v>
      </c>
      <c r="K60" s="44">
        <f t="shared" si="23"/>
        <v>6.4516129032258064E-3</v>
      </c>
      <c r="L60" s="44">
        <f t="shared" si="23"/>
        <v>0</v>
      </c>
      <c r="M60" s="44"/>
      <c r="N60" s="44">
        <f t="shared" si="23"/>
        <v>5.8064516129032261E-2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ZIROBWE-WOBULENZI'!C3:G3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'20.10 WOBULENZI-ZIROBWE'!D5</f>
        <v>20.10.19</v>
      </c>
      <c r="E5" s="3"/>
      <c r="F5" s="41" t="s">
        <v>1</v>
      </c>
      <c r="G5" s="59" t="s">
        <v>171</v>
      </c>
      <c r="H5" s="60"/>
      <c r="I5" s="14"/>
      <c r="J5" s="2" t="s">
        <v>5</v>
      </c>
      <c r="K5" s="59" t="str">
        <f>'23.10 WOBULENZI-ZIROBWE'!K5:L5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ZIROBWE-WOBULENZI'!D6:E6</f>
        <v>ZIROBWE</v>
      </c>
      <c r="E6" s="60"/>
      <c r="F6" s="2" t="s">
        <v>2</v>
      </c>
      <c r="G6" s="59" t="str">
        <f>'23.10 ZIROBWE-WOBULENZI'!G6:H6</f>
        <v>WOBULENZI</v>
      </c>
      <c r="H6" s="60"/>
      <c r="J6" s="2" t="s">
        <v>21</v>
      </c>
      <c r="K6" s="59" t="str">
        <f>'23.10 WOBULENZI-ZIROBWE'!K6:L6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32</v>
      </c>
      <c r="AD10" s="17">
        <f t="shared" si="2"/>
        <v>0</v>
      </c>
      <c r="AE10" s="31">
        <f t="shared" si="2"/>
        <v>3</v>
      </c>
      <c r="AF10" s="31">
        <f t="shared" si="2"/>
        <v>35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10</v>
      </c>
      <c r="N11" s="50">
        <v>0</v>
      </c>
      <c r="O11" s="15">
        <f t="shared" si="0"/>
        <v>2</v>
      </c>
      <c r="P11" s="15">
        <f t="shared" si="1"/>
        <v>12</v>
      </c>
      <c r="R11" s="1" t="s">
        <v>7</v>
      </c>
      <c r="S11" s="17">
        <f t="shared" ref="S11:AF11" si="3">SUM(C14:C17)</f>
        <v>2</v>
      </c>
      <c r="T11" s="17">
        <f t="shared" si="3"/>
        <v>1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52</v>
      </c>
      <c r="AD11" s="17">
        <f t="shared" si="3"/>
        <v>0</v>
      </c>
      <c r="AE11" s="31">
        <f t="shared" si="3"/>
        <v>9</v>
      </c>
      <c r="AF11" s="31">
        <f t="shared" si="3"/>
        <v>61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0</v>
      </c>
      <c r="P12" s="15">
        <f t="shared" si="1"/>
        <v>5</v>
      </c>
      <c r="R12" s="1" t="s">
        <v>8</v>
      </c>
      <c r="S12" s="17">
        <f t="shared" ref="S12:AF12" si="4">SUM(C18:C21)</f>
        <v>3</v>
      </c>
      <c r="T12" s="17">
        <f t="shared" si="4"/>
        <v>0</v>
      </c>
      <c r="U12" s="17">
        <f t="shared" si="4"/>
        <v>2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7</v>
      </c>
      <c r="AA12" s="17">
        <f t="shared" si="4"/>
        <v>0</v>
      </c>
      <c r="AB12" s="17">
        <f t="shared" si="4"/>
        <v>0</v>
      </c>
      <c r="AC12" s="17">
        <f t="shared" si="4"/>
        <v>57</v>
      </c>
      <c r="AD12" s="17">
        <f t="shared" si="4"/>
        <v>0</v>
      </c>
      <c r="AE12" s="31">
        <f t="shared" si="4"/>
        <v>16</v>
      </c>
      <c r="AF12" s="31">
        <f t="shared" si="4"/>
        <v>73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12</v>
      </c>
      <c r="N13" s="50">
        <v>0</v>
      </c>
      <c r="O13" s="15">
        <f t="shared" si="0"/>
        <v>1</v>
      </c>
      <c r="P13" s="15">
        <f t="shared" si="1"/>
        <v>13</v>
      </c>
      <c r="R13" s="1" t="s">
        <v>9</v>
      </c>
      <c r="S13" s="17">
        <f t="shared" ref="S13:AF13" si="5">SUM(C22:C25)</f>
        <v>3</v>
      </c>
      <c r="T13" s="17">
        <f t="shared" si="5"/>
        <v>0</v>
      </c>
      <c r="U13" s="17">
        <f t="shared" si="5"/>
        <v>1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1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70</v>
      </c>
      <c r="AD13" s="17">
        <f t="shared" si="5"/>
        <v>0</v>
      </c>
      <c r="AE13" s="31">
        <f t="shared" si="5"/>
        <v>9</v>
      </c>
      <c r="AF13" s="31">
        <f t="shared" si="5"/>
        <v>79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0</v>
      </c>
      <c r="P14" s="15">
        <f t="shared" si="1"/>
        <v>8</v>
      </c>
      <c r="R14" s="1" t="s">
        <v>10</v>
      </c>
      <c r="S14" s="17">
        <f t="shared" ref="S14:AF14" si="6">SUM(C26:C29)</f>
        <v>3</v>
      </c>
      <c r="T14" s="17">
        <f t="shared" si="6"/>
        <v>1</v>
      </c>
      <c r="U14" s="17">
        <f t="shared" si="6"/>
        <v>2</v>
      </c>
      <c r="V14" s="17">
        <f t="shared" si="6"/>
        <v>4</v>
      </c>
      <c r="W14" s="17">
        <f t="shared" si="6"/>
        <v>1</v>
      </c>
      <c r="X14" s="17">
        <f t="shared" si="6"/>
        <v>0</v>
      </c>
      <c r="Y14" s="17">
        <f t="shared" si="6"/>
        <v>2</v>
      </c>
      <c r="Z14" s="17">
        <f t="shared" si="6"/>
        <v>0</v>
      </c>
      <c r="AA14" s="17">
        <f t="shared" si="6"/>
        <v>0</v>
      </c>
      <c r="AB14" s="17">
        <f t="shared" si="6"/>
        <v>0</v>
      </c>
      <c r="AC14" s="17">
        <f t="shared" si="6"/>
        <v>70</v>
      </c>
      <c r="AD14" s="17">
        <f t="shared" si="6"/>
        <v>0</v>
      </c>
      <c r="AE14" s="31">
        <f t="shared" si="6"/>
        <v>13</v>
      </c>
      <c r="AF14" s="31">
        <f t="shared" si="6"/>
        <v>83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2</v>
      </c>
      <c r="K15" s="50">
        <v>0</v>
      </c>
      <c r="L15" s="50">
        <v>0</v>
      </c>
      <c r="M15" s="50">
        <v>13</v>
      </c>
      <c r="N15" s="50">
        <v>0</v>
      </c>
      <c r="O15" s="15">
        <f t="shared" si="0"/>
        <v>5</v>
      </c>
      <c r="P15" s="15">
        <f t="shared" si="1"/>
        <v>18</v>
      </c>
      <c r="R15" s="1" t="s">
        <v>11</v>
      </c>
      <c r="S15" s="17">
        <f t="shared" ref="S15:AF15" si="7">SUM(C30:C33)</f>
        <v>6</v>
      </c>
      <c r="T15" s="17">
        <f t="shared" si="7"/>
        <v>1</v>
      </c>
      <c r="U15" s="17">
        <f t="shared" si="7"/>
        <v>0</v>
      </c>
      <c r="V15" s="17">
        <f t="shared" si="7"/>
        <v>1</v>
      </c>
      <c r="W15" s="17">
        <f t="shared" si="7"/>
        <v>1</v>
      </c>
      <c r="X15" s="17">
        <f t="shared" si="7"/>
        <v>0</v>
      </c>
      <c r="Y15" s="17">
        <f t="shared" si="7"/>
        <v>3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71</v>
      </c>
      <c r="AD15" s="17">
        <f t="shared" si="7"/>
        <v>0</v>
      </c>
      <c r="AE15" s="31">
        <f t="shared" si="7"/>
        <v>13</v>
      </c>
      <c r="AF15" s="31">
        <f t="shared" si="7"/>
        <v>84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14</v>
      </c>
      <c r="N16" s="50">
        <v>0</v>
      </c>
      <c r="O16" s="15">
        <f t="shared" si="0"/>
        <v>2</v>
      </c>
      <c r="P16" s="15">
        <f t="shared" si="1"/>
        <v>16</v>
      </c>
      <c r="R16" s="1" t="s">
        <v>12</v>
      </c>
      <c r="S16" s="17">
        <f t="shared" ref="S16:AF16" si="8">SUM(C34:C37)</f>
        <v>5</v>
      </c>
      <c r="T16" s="17">
        <f t="shared" si="8"/>
        <v>2</v>
      </c>
      <c r="U16" s="17">
        <f t="shared" si="8"/>
        <v>2</v>
      </c>
      <c r="V16" s="17">
        <f t="shared" si="8"/>
        <v>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56</v>
      </c>
      <c r="AD16" s="17">
        <f t="shared" si="8"/>
        <v>0</v>
      </c>
      <c r="AE16" s="31">
        <f t="shared" si="8"/>
        <v>15</v>
      </c>
      <c r="AF16" s="31">
        <f t="shared" si="8"/>
        <v>71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1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17</v>
      </c>
      <c r="N17" s="50">
        <v>0</v>
      </c>
      <c r="O17" s="15">
        <f t="shared" si="0"/>
        <v>2</v>
      </c>
      <c r="P17" s="15">
        <f t="shared" si="1"/>
        <v>19</v>
      </c>
      <c r="R17" s="1" t="s">
        <v>13</v>
      </c>
      <c r="S17" s="17">
        <f t="shared" ref="S17:AF17" si="9">SUM(C38:C41)</f>
        <v>8</v>
      </c>
      <c r="T17" s="17">
        <f t="shared" si="9"/>
        <v>0</v>
      </c>
      <c r="U17" s="17">
        <f t="shared" si="9"/>
        <v>4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60</v>
      </c>
      <c r="AD17" s="17">
        <f t="shared" si="9"/>
        <v>0</v>
      </c>
      <c r="AE17" s="31">
        <f t="shared" si="9"/>
        <v>19</v>
      </c>
      <c r="AF17" s="31">
        <f t="shared" si="9"/>
        <v>79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3</v>
      </c>
      <c r="K18" s="50">
        <v>0</v>
      </c>
      <c r="L18" s="50">
        <v>0</v>
      </c>
      <c r="M18" s="50">
        <v>11</v>
      </c>
      <c r="N18" s="50">
        <v>0</v>
      </c>
      <c r="O18" s="15">
        <f t="shared" si="0"/>
        <v>4</v>
      </c>
      <c r="P18" s="15">
        <f t="shared" si="1"/>
        <v>15</v>
      </c>
      <c r="R18" s="1" t="s">
        <v>14</v>
      </c>
      <c r="S18" s="17">
        <f t="shared" ref="S18:AF18" si="10">SUM(C42:C45)</f>
        <v>7</v>
      </c>
      <c r="T18" s="17">
        <f t="shared" si="10"/>
        <v>2</v>
      </c>
      <c r="U18" s="17">
        <f t="shared" si="10"/>
        <v>0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2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45</v>
      </c>
      <c r="AD18" s="17">
        <f t="shared" si="10"/>
        <v>0</v>
      </c>
      <c r="AE18" s="31">
        <f t="shared" si="10"/>
        <v>16</v>
      </c>
      <c r="AF18" s="31">
        <f t="shared" si="10"/>
        <v>61</v>
      </c>
    </row>
    <row r="19" spans="2:32" ht="23.1" customHeight="1" x14ac:dyDescent="0.25">
      <c r="B19" s="23" t="s">
        <v>46</v>
      </c>
      <c r="C19" s="50">
        <v>1</v>
      </c>
      <c r="D19" s="50">
        <v>0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10</v>
      </c>
      <c r="N19" s="50">
        <v>0</v>
      </c>
      <c r="O19" s="15">
        <f t="shared" si="0"/>
        <v>4</v>
      </c>
      <c r="P19" s="15">
        <f t="shared" si="1"/>
        <v>14</v>
      </c>
      <c r="R19" s="1" t="s">
        <v>15</v>
      </c>
      <c r="S19" s="17">
        <f t="shared" ref="S19:AF19" si="11">SUM(C46:C49)</f>
        <v>2</v>
      </c>
      <c r="T19" s="17">
        <f t="shared" si="11"/>
        <v>1</v>
      </c>
      <c r="U19" s="17">
        <f t="shared" si="11"/>
        <v>1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48</v>
      </c>
      <c r="AD19" s="17">
        <f t="shared" si="11"/>
        <v>0</v>
      </c>
      <c r="AE19" s="31">
        <f t="shared" si="11"/>
        <v>10</v>
      </c>
      <c r="AF19" s="31">
        <f t="shared" si="11"/>
        <v>58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2</v>
      </c>
      <c r="J20" s="50">
        <v>2</v>
      </c>
      <c r="K20" s="50">
        <v>0</v>
      </c>
      <c r="L20" s="50">
        <v>0</v>
      </c>
      <c r="M20" s="50">
        <v>17</v>
      </c>
      <c r="N20" s="50">
        <v>0</v>
      </c>
      <c r="O20" s="15">
        <f t="shared" si="0"/>
        <v>5</v>
      </c>
      <c r="P20" s="15">
        <f t="shared" si="1"/>
        <v>22</v>
      </c>
      <c r="R20" s="1" t="s">
        <v>16</v>
      </c>
      <c r="S20" s="17">
        <f t="shared" ref="S20:AF20" si="12">SUM(C50:C53)</f>
        <v>5</v>
      </c>
      <c r="T20" s="17">
        <f t="shared" si="12"/>
        <v>2</v>
      </c>
      <c r="U20" s="17">
        <f t="shared" si="12"/>
        <v>0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98</v>
      </c>
      <c r="AD20" s="17">
        <f t="shared" si="12"/>
        <v>0</v>
      </c>
      <c r="AE20" s="31">
        <f t="shared" si="12"/>
        <v>14</v>
      </c>
      <c r="AF20" s="31">
        <f t="shared" si="12"/>
        <v>112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19</v>
      </c>
      <c r="N21" s="50">
        <v>0</v>
      </c>
      <c r="O21" s="15">
        <f t="shared" si="0"/>
        <v>3</v>
      </c>
      <c r="P21" s="15">
        <f t="shared" si="1"/>
        <v>22</v>
      </c>
      <c r="R21" s="36" t="s">
        <v>20</v>
      </c>
      <c r="S21" s="34">
        <f t="shared" ref="S21:AF21" si="13">SUM(C54:C57)</f>
        <v>6</v>
      </c>
      <c r="T21" s="17">
        <f t="shared" si="13"/>
        <v>2</v>
      </c>
      <c r="U21" s="17">
        <f t="shared" si="13"/>
        <v>1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93</v>
      </c>
      <c r="AD21" s="17">
        <f t="shared" si="13"/>
        <v>0</v>
      </c>
      <c r="AE21" s="31">
        <f t="shared" si="13"/>
        <v>16</v>
      </c>
      <c r="AF21" s="31">
        <f t="shared" si="13"/>
        <v>109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1</v>
      </c>
      <c r="P22" s="15">
        <f t="shared" si="1"/>
        <v>19</v>
      </c>
      <c r="R22" s="38" t="s">
        <v>90</v>
      </c>
      <c r="S22" s="39">
        <f>MAX(S10:S12)</f>
        <v>3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7</v>
      </c>
      <c r="AA22" s="39">
        <f t="shared" si="14"/>
        <v>0</v>
      </c>
      <c r="AB22" s="39">
        <f t="shared" si="14"/>
        <v>0</v>
      </c>
      <c r="AC22" s="39">
        <f t="shared" si="14"/>
        <v>57</v>
      </c>
      <c r="AD22" s="39">
        <f t="shared" si="14"/>
        <v>0</v>
      </c>
      <c r="AE22" s="40">
        <f t="shared" si="14"/>
        <v>16</v>
      </c>
      <c r="AF22" s="40">
        <f t="shared" si="14"/>
        <v>73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2</v>
      </c>
      <c r="P23" s="15">
        <f t="shared" si="1"/>
        <v>20</v>
      </c>
      <c r="R23" s="38" t="s">
        <v>91</v>
      </c>
      <c r="S23" s="39">
        <f>MAX(S13:S18)</f>
        <v>8</v>
      </c>
      <c r="T23" s="39">
        <f t="shared" ref="T23:AF23" si="15">MAX(T13:T18)</f>
        <v>2</v>
      </c>
      <c r="U23" s="39">
        <f t="shared" si="15"/>
        <v>4</v>
      </c>
      <c r="V23" s="39">
        <f t="shared" si="15"/>
        <v>4</v>
      </c>
      <c r="W23" s="39">
        <f t="shared" si="15"/>
        <v>1</v>
      </c>
      <c r="X23" s="39">
        <f t="shared" si="15"/>
        <v>0</v>
      </c>
      <c r="Y23" s="39">
        <f t="shared" si="15"/>
        <v>3</v>
      </c>
      <c r="Z23" s="39">
        <f t="shared" si="15"/>
        <v>4</v>
      </c>
      <c r="AA23" s="39">
        <f t="shared" si="15"/>
        <v>0</v>
      </c>
      <c r="AB23" s="39">
        <f t="shared" si="15"/>
        <v>0</v>
      </c>
      <c r="AC23" s="39">
        <f t="shared" si="15"/>
        <v>71</v>
      </c>
      <c r="AD23" s="39">
        <f t="shared" si="15"/>
        <v>0</v>
      </c>
      <c r="AE23" s="40">
        <f t="shared" si="15"/>
        <v>19</v>
      </c>
      <c r="AF23" s="40">
        <f t="shared" si="15"/>
        <v>84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18</v>
      </c>
      <c r="N24" s="50">
        <v>0</v>
      </c>
      <c r="O24" s="15">
        <f t="shared" si="0"/>
        <v>3</v>
      </c>
      <c r="P24" s="15">
        <f t="shared" si="1"/>
        <v>21</v>
      </c>
      <c r="R24" s="38" t="s">
        <v>92</v>
      </c>
      <c r="S24" s="39">
        <f>MAX(S19:S21)</f>
        <v>6</v>
      </c>
      <c r="T24" s="39">
        <f t="shared" ref="T24:AF24" si="16">MAX(T19:T21)</f>
        <v>2</v>
      </c>
      <c r="U24" s="39">
        <f t="shared" si="16"/>
        <v>1</v>
      </c>
      <c r="V24" s="39">
        <f t="shared" si="16"/>
        <v>3</v>
      </c>
      <c r="W24" s="39">
        <f t="shared" si="16"/>
        <v>0</v>
      </c>
      <c r="X24" s="39">
        <f t="shared" si="16"/>
        <v>0</v>
      </c>
      <c r="Y24" s="39">
        <f t="shared" si="16"/>
        <v>4</v>
      </c>
      <c r="Z24" s="39">
        <f t="shared" si="16"/>
        <v>4</v>
      </c>
      <c r="AA24" s="39">
        <f t="shared" si="16"/>
        <v>0</v>
      </c>
      <c r="AB24" s="39">
        <f t="shared" si="16"/>
        <v>0</v>
      </c>
      <c r="AC24" s="39">
        <f t="shared" si="16"/>
        <v>98</v>
      </c>
      <c r="AD24" s="39">
        <f t="shared" si="16"/>
        <v>0</v>
      </c>
      <c r="AE24" s="40">
        <f t="shared" si="16"/>
        <v>16</v>
      </c>
      <c r="AF24" s="40">
        <f t="shared" si="16"/>
        <v>112</v>
      </c>
    </row>
    <row r="25" spans="2:32" ht="23.1" customHeight="1" x14ac:dyDescent="0.25">
      <c r="B25" s="23" t="s">
        <v>52</v>
      </c>
      <c r="C25" s="50">
        <v>2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16</v>
      </c>
      <c r="N25" s="50">
        <v>0</v>
      </c>
      <c r="O25" s="15">
        <f t="shared" si="0"/>
        <v>3</v>
      </c>
      <c r="P25" s="15">
        <f t="shared" si="1"/>
        <v>19</v>
      </c>
      <c r="R25" s="37" t="s">
        <v>85</v>
      </c>
      <c r="S25" s="35">
        <f t="shared" ref="S25:AF25" si="17">SUM(S10:S12)</f>
        <v>6</v>
      </c>
      <c r="T25" s="16">
        <f t="shared" si="17"/>
        <v>1</v>
      </c>
      <c r="U25" s="16">
        <f t="shared" si="17"/>
        <v>2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6</v>
      </c>
      <c r="Z25" s="16">
        <f t="shared" si="17"/>
        <v>11</v>
      </c>
      <c r="AA25" s="16">
        <f t="shared" si="17"/>
        <v>0</v>
      </c>
      <c r="AB25" s="16">
        <f t="shared" si="17"/>
        <v>0</v>
      </c>
      <c r="AC25" s="16">
        <f t="shared" si="17"/>
        <v>141</v>
      </c>
      <c r="AD25" s="16">
        <f t="shared" si="17"/>
        <v>0</v>
      </c>
      <c r="AE25" s="32">
        <f t="shared" si="17"/>
        <v>28</v>
      </c>
      <c r="AF25" s="32">
        <f t="shared" si="17"/>
        <v>169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2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16</v>
      </c>
      <c r="N26" s="50">
        <v>0</v>
      </c>
      <c r="O26" s="15">
        <f t="shared" si="0"/>
        <v>3</v>
      </c>
      <c r="P26" s="15">
        <f t="shared" si="1"/>
        <v>19</v>
      </c>
      <c r="R26" s="28" t="s">
        <v>86</v>
      </c>
      <c r="S26" s="16">
        <f t="shared" ref="S26:AF26" si="18">SUM(S13:S18)</f>
        <v>32</v>
      </c>
      <c r="T26" s="16">
        <f t="shared" si="18"/>
        <v>6</v>
      </c>
      <c r="U26" s="16">
        <f t="shared" si="18"/>
        <v>9</v>
      </c>
      <c r="V26" s="16">
        <f t="shared" si="18"/>
        <v>9</v>
      </c>
      <c r="W26" s="16">
        <f t="shared" si="18"/>
        <v>2</v>
      </c>
      <c r="X26" s="16">
        <f t="shared" si="18"/>
        <v>0</v>
      </c>
      <c r="Y26" s="16">
        <f t="shared" si="18"/>
        <v>13</v>
      </c>
      <c r="Z26" s="16">
        <f t="shared" si="18"/>
        <v>14</v>
      </c>
      <c r="AA26" s="16">
        <f t="shared" si="18"/>
        <v>0</v>
      </c>
      <c r="AB26" s="16">
        <f t="shared" si="18"/>
        <v>0</v>
      </c>
      <c r="AC26" s="16">
        <f t="shared" si="18"/>
        <v>372</v>
      </c>
      <c r="AD26" s="16">
        <f t="shared" si="18"/>
        <v>0</v>
      </c>
      <c r="AE26" s="32">
        <f t="shared" si="18"/>
        <v>85</v>
      </c>
      <c r="AF26" s="32">
        <f t="shared" si="18"/>
        <v>457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20</v>
      </c>
      <c r="N27" s="50">
        <v>0</v>
      </c>
      <c r="O27" s="15">
        <f t="shared" si="0"/>
        <v>1</v>
      </c>
      <c r="P27" s="15">
        <f t="shared" si="1"/>
        <v>21</v>
      </c>
      <c r="R27" s="29" t="s">
        <v>87</v>
      </c>
      <c r="S27" s="16">
        <f t="shared" ref="S27:AF27" si="19">SUM(S19:S21)</f>
        <v>13</v>
      </c>
      <c r="T27" s="16">
        <f t="shared" si="19"/>
        <v>5</v>
      </c>
      <c r="U27" s="16">
        <f t="shared" si="19"/>
        <v>2</v>
      </c>
      <c r="V27" s="16">
        <f t="shared" si="19"/>
        <v>6</v>
      </c>
      <c r="W27" s="16">
        <f t="shared" si="19"/>
        <v>0</v>
      </c>
      <c r="X27" s="16">
        <f t="shared" si="19"/>
        <v>0</v>
      </c>
      <c r="Y27" s="16">
        <f t="shared" si="19"/>
        <v>8</v>
      </c>
      <c r="Z27" s="16">
        <f t="shared" si="19"/>
        <v>6</v>
      </c>
      <c r="AA27" s="16">
        <f t="shared" si="19"/>
        <v>0</v>
      </c>
      <c r="AB27" s="16">
        <f t="shared" si="19"/>
        <v>0</v>
      </c>
      <c r="AC27" s="16">
        <f t="shared" si="19"/>
        <v>239</v>
      </c>
      <c r="AD27" s="16">
        <f t="shared" si="19"/>
        <v>0</v>
      </c>
      <c r="AE27" s="32">
        <f t="shared" si="19"/>
        <v>40</v>
      </c>
      <c r="AF27" s="32">
        <f t="shared" si="19"/>
        <v>279</v>
      </c>
    </row>
    <row r="28" spans="2:32" ht="23.1" customHeight="1" x14ac:dyDescent="0.25">
      <c r="B28" s="23" t="s">
        <v>55</v>
      </c>
      <c r="C28" s="50">
        <v>1</v>
      </c>
      <c r="D28" s="50">
        <v>1</v>
      </c>
      <c r="E28" s="50">
        <v>0</v>
      </c>
      <c r="F28" s="50">
        <v>1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15</v>
      </c>
      <c r="N28" s="50">
        <v>0</v>
      </c>
      <c r="O28" s="15">
        <f t="shared" si="0"/>
        <v>4</v>
      </c>
      <c r="P28" s="15">
        <f t="shared" si="1"/>
        <v>19</v>
      </c>
      <c r="R28" s="5" t="s">
        <v>17</v>
      </c>
      <c r="S28" s="16">
        <f t="shared" ref="S28:AF28" si="20">SUM(S10:S21)</f>
        <v>51</v>
      </c>
      <c r="T28" s="16">
        <f t="shared" si="20"/>
        <v>12</v>
      </c>
      <c r="U28" s="16">
        <f t="shared" si="20"/>
        <v>13</v>
      </c>
      <c r="V28" s="16">
        <f t="shared" si="20"/>
        <v>17</v>
      </c>
      <c r="W28" s="16">
        <f t="shared" si="20"/>
        <v>2</v>
      </c>
      <c r="X28" s="16">
        <f t="shared" si="20"/>
        <v>0</v>
      </c>
      <c r="Y28" s="16">
        <f t="shared" si="20"/>
        <v>27</v>
      </c>
      <c r="Z28" s="16">
        <f t="shared" si="20"/>
        <v>31</v>
      </c>
      <c r="AA28" s="16">
        <f t="shared" si="20"/>
        <v>0</v>
      </c>
      <c r="AB28" s="16">
        <f t="shared" si="20"/>
        <v>0</v>
      </c>
      <c r="AC28" s="16">
        <f t="shared" si="20"/>
        <v>752</v>
      </c>
      <c r="AD28" s="16">
        <f t="shared" si="20"/>
        <v>0</v>
      </c>
      <c r="AE28" s="32">
        <f t="shared" si="20"/>
        <v>153</v>
      </c>
      <c r="AF28" s="32">
        <f t="shared" si="20"/>
        <v>905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3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19</v>
      </c>
      <c r="N29" s="50">
        <v>0</v>
      </c>
      <c r="O29" s="15">
        <f t="shared" si="0"/>
        <v>5</v>
      </c>
      <c r="P29" s="15">
        <f t="shared" si="1"/>
        <v>24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3</v>
      </c>
      <c r="P30" s="15">
        <f t="shared" si="1"/>
        <v>13</v>
      </c>
    </row>
    <row r="31" spans="2:32" ht="23.1" customHeight="1" x14ac:dyDescent="0.25">
      <c r="B31" s="24" t="s">
        <v>58</v>
      </c>
      <c r="C31" s="50">
        <v>1</v>
      </c>
      <c r="D31" s="50">
        <v>1</v>
      </c>
      <c r="E31" s="50">
        <v>0</v>
      </c>
      <c r="F31" s="50">
        <v>1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18</v>
      </c>
      <c r="N31" s="50">
        <v>0</v>
      </c>
      <c r="O31" s="15">
        <f t="shared" si="0"/>
        <v>4</v>
      </c>
      <c r="P31" s="15">
        <f t="shared" si="1"/>
        <v>22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0</v>
      </c>
      <c r="F32" s="50">
        <v>0</v>
      </c>
      <c r="G32" s="50">
        <v>1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21</v>
      </c>
      <c r="N32" s="50">
        <v>0</v>
      </c>
      <c r="O32" s="15">
        <f t="shared" si="0"/>
        <v>4</v>
      </c>
      <c r="P32" s="15">
        <f t="shared" si="1"/>
        <v>25</v>
      </c>
    </row>
    <row r="33" spans="2:20" ht="23.1" customHeight="1" x14ac:dyDescent="0.25">
      <c r="B33" s="23" t="s">
        <v>60</v>
      </c>
      <c r="C33" s="50">
        <v>1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22</v>
      </c>
      <c r="N33" s="50">
        <v>0</v>
      </c>
      <c r="O33" s="15">
        <f t="shared" si="0"/>
        <v>2</v>
      </c>
      <c r="P33" s="15">
        <f t="shared" si="1"/>
        <v>24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2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20</v>
      </c>
      <c r="N34" s="50">
        <v>0</v>
      </c>
      <c r="O34" s="15">
        <f t="shared" si="0"/>
        <v>4</v>
      </c>
      <c r="P34" s="15">
        <f t="shared" si="1"/>
        <v>24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1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9</v>
      </c>
      <c r="N35" s="50">
        <v>0</v>
      </c>
      <c r="O35" s="15">
        <f t="shared" si="0"/>
        <v>4</v>
      </c>
      <c r="P35" s="15">
        <f t="shared" si="1"/>
        <v>13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18</v>
      </c>
      <c r="N36" s="50">
        <v>0</v>
      </c>
      <c r="O36" s="15">
        <f t="shared" si="0"/>
        <v>4</v>
      </c>
      <c r="P36" s="15">
        <f t="shared" si="1"/>
        <v>22</v>
      </c>
    </row>
    <row r="37" spans="2:20" ht="23.1" customHeight="1" x14ac:dyDescent="0.25">
      <c r="B37" s="23" t="s">
        <v>64</v>
      </c>
      <c r="C37" s="50">
        <v>1</v>
      </c>
      <c r="D37" s="50">
        <v>1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9</v>
      </c>
      <c r="N37" s="50">
        <v>0</v>
      </c>
      <c r="O37" s="15">
        <f t="shared" si="0"/>
        <v>3</v>
      </c>
      <c r="P37" s="15">
        <f t="shared" si="1"/>
        <v>12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1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15</v>
      </c>
      <c r="N38" s="50">
        <v>0</v>
      </c>
      <c r="O38" s="15">
        <f t="shared" si="0"/>
        <v>3</v>
      </c>
      <c r="P38" s="15">
        <f t="shared" si="1"/>
        <v>18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2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16</v>
      </c>
      <c r="N39" s="50">
        <v>0</v>
      </c>
      <c r="O39" s="15">
        <f t="shared" si="0"/>
        <v>7</v>
      </c>
      <c r="P39" s="15">
        <f t="shared" si="1"/>
        <v>23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3</v>
      </c>
      <c r="K40" s="50">
        <v>0</v>
      </c>
      <c r="L40" s="50">
        <v>0</v>
      </c>
      <c r="M40" s="50">
        <v>17</v>
      </c>
      <c r="N40" s="50">
        <v>0</v>
      </c>
      <c r="O40" s="15">
        <f t="shared" si="0"/>
        <v>4</v>
      </c>
      <c r="P40" s="15">
        <f t="shared" si="1"/>
        <v>21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1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12</v>
      </c>
      <c r="N41" s="50">
        <v>0</v>
      </c>
      <c r="O41" s="15">
        <f t="shared" si="0"/>
        <v>5</v>
      </c>
      <c r="P41" s="15">
        <f t="shared" si="1"/>
        <v>17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14</v>
      </c>
      <c r="N42" s="50">
        <v>0</v>
      </c>
      <c r="O42" s="15">
        <f t="shared" si="0"/>
        <v>1</v>
      </c>
      <c r="P42" s="15">
        <f t="shared" si="1"/>
        <v>15</v>
      </c>
    </row>
    <row r="43" spans="2:20" ht="23.1" customHeight="1" x14ac:dyDescent="0.25">
      <c r="B43" s="23" t="s">
        <v>70</v>
      </c>
      <c r="C43" s="50">
        <v>3</v>
      </c>
      <c r="D43" s="50">
        <v>1</v>
      </c>
      <c r="E43" s="50">
        <v>0</v>
      </c>
      <c r="F43" s="50">
        <v>1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8</v>
      </c>
      <c r="N43" s="50">
        <v>0</v>
      </c>
      <c r="O43" s="15">
        <f t="shared" si="0"/>
        <v>8</v>
      </c>
      <c r="P43" s="15">
        <f t="shared" si="1"/>
        <v>16</v>
      </c>
    </row>
    <row r="44" spans="2:20" ht="23.1" customHeight="1" x14ac:dyDescent="0.25">
      <c r="B44" s="25" t="s">
        <v>71</v>
      </c>
      <c r="C44" s="50">
        <v>3</v>
      </c>
      <c r="D44" s="50">
        <v>1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4</v>
      </c>
      <c r="N44" s="50">
        <v>0</v>
      </c>
      <c r="O44" s="15">
        <f t="shared" si="0"/>
        <v>6</v>
      </c>
      <c r="P44" s="15">
        <f t="shared" si="1"/>
        <v>10</v>
      </c>
    </row>
    <row r="45" spans="2:20" ht="23.1" customHeight="1" x14ac:dyDescent="0.25">
      <c r="B45" s="23" t="s">
        <v>72</v>
      </c>
      <c r="C45" s="50">
        <v>0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19</v>
      </c>
      <c r="N45" s="50">
        <v>0</v>
      </c>
      <c r="O45" s="15">
        <f t="shared" si="0"/>
        <v>1</v>
      </c>
      <c r="P45" s="15">
        <f t="shared" si="1"/>
        <v>20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1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6</v>
      </c>
      <c r="N46" s="50">
        <v>0</v>
      </c>
      <c r="O46" s="15">
        <f t="shared" si="0"/>
        <v>1</v>
      </c>
      <c r="P46" s="15">
        <f t="shared" si="1"/>
        <v>7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13</v>
      </c>
      <c r="N47" s="50">
        <v>0</v>
      </c>
      <c r="O47" s="15">
        <f t="shared" si="0"/>
        <v>1</v>
      </c>
      <c r="P47" s="15">
        <f t="shared" si="1"/>
        <v>14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4</v>
      </c>
      <c r="K48" s="50">
        <v>0</v>
      </c>
      <c r="L48" s="50">
        <v>0</v>
      </c>
      <c r="M48" s="50">
        <v>14</v>
      </c>
      <c r="N48" s="50">
        <v>0</v>
      </c>
      <c r="O48" s="15">
        <f t="shared" si="0"/>
        <v>6</v>
      </c>
      <c r="P48" s="15">
        <f t="shared" si="1"/>
        <v>20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15</v>
      </c>
      <c r="N49" s="50">
        <v>0</v>
      </c>
      <c r="O49" s="15">
        <f t="shared" si="0"/>
        <v>2</v>
      </c>
      <c r="P49" s="15">
        <f t="shared" si="1"/>
        <v>17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2</v>
      </c>
      <c r="E50" s="50">
        <v>0</v>
      </c>
      <c r="F50" s="50">
        <v>1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4</v>
      </c>
      <c r="P50" s="15">
        <f t="shared" si="1"/>
        <v>34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1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0</v>
      </c>
      <c r="M51" s="50">
        <v>20</v>
      </c>
      <c r="N51" s="50">
        <v>0</v>
      </c>
      <c r="O51" s="15">
        <f t="shared" si="0"/>
        <v>4</v>
      </c>
      <c r="P51" s="15">
        <f t="shared" si="1"/>
        <v>24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26</v>
      </c>
      <c r="N52" s="50">
        <v>0</v>
      </c>
      <c r="O52" s="15">
        <f t="shared" si="0"/>
        <v>3</v>
      </c>
      <c r="P52" s="15">
        <f t="shared" si="1"/>
        <v>29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3</v>
      </c>
      <c r="P53" s="15">
        <f t="shared" si="1"/>
        <v>25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25</v>
      </c>
      <c r="N54" s="50">
        <v>0</v>
      </c>
      <c r="O54" s="15">
        <f t="shared" si="0"/>
        <v>3</v>
      </c>
      <c r="P54" s="15">
        <f t="shared" si="1"/>
        <v>28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1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34</v>
      </c>
      <c r="N55" s="50">
        <v>0</v>
      </c>
      <c r="O55" s="15">
        <f t="shared" si="0"/>
        <v>5</v>
      </c>
      <c r="P55" s="15">
        <f t="shared" si="1"/>
        <v>39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1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18</v>
      </c>
      <c r="N56" s="50">
        <v>0</v>
      </c>
      <c r="O56" s="15">
        <f t="shared" si="0"/>
        <v>6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16</v>
      </c>
      <c r="N57" s="50">
        <v>0</v>
      </c>
      <c r="O57" s="15">
        <f t="shared" si="0"/>
        <v>2</v>
      </c>
      <c r="P57" s="15">
        <f t="shared" si="1"/>
        <v>18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51</v>
      </c>
      <c r="D58" s="16">
        <f t="shared" si="21"/>
        <v>12</v>
      </c>
      <c r="E58" s="16">
        <f t="shared" si="21"/>
        <v>13</v>
      </c>
      <c r="F58" s="16">
        <f t="shared" si="21"/>
        <v>17</v>
      </c>
      <c r="G58" s="16">
        <f t="shared" si="21"/>
        <v>2</v>
      </c>
      <c r="H58" s="16">
        <f t="shared" si="21"/>
        <v>0</v>
      </c>
      <c r="I58" s="16">
        <f t="shared" si="21"/>
        <v>27</v>
      </c>
      <c r="J58" s="16">
        <f t="shared" si="21"/>
        <v>31</v>
      </c>
      <c r="K58" s="16">
        <f t="shared" si="21"/>
        <v>0</v>
      </c>
      <c r="L58" s="16">
        <f t="shared" si="21"/>
        <v>0</v>
      </c>
      <c r="M58" s="16">
        <f t="shared" si="21"/>
        <v>752</v>
      </c>
      <c r="N58" s="16">
        <f t="shared" si="21"/>
        <v>0</v>
      </c>
      <c r="O58" s="16">
        <f t="shared" si="21"/>
        <v>153</v>
      </c>
      <c r="P58" s="16">
        <f t="shared" si="21"/>
        <v>905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5.6353591160220998E-2</v>
      </c>
      <c r="D59" s="43">
        <f t="shared" si="22"/>
        <v>1.3259668508287293E-2</v>
      </c>
      <c r="E59" s="43">
        <f t="shared" si="22"/>
        <v>1.4364640883977901E-2</v>
      </c>
      <c r="F59" s="43">
        <f t="shared" si="22"/>
        <v>1.8784530386740331E-2</v>
      </c>
      <c r="G59" s="43">
        <f t="shared" si="22"/>
        <v>2.2099447513812156E-3</v>
      </c>
      <c r="H59" s="43">
        <f t="shared" si="22"/>
        <v>0</v>
      </c>
      <c r="I59" s="43">
        <f t="shared" si="22"/>
        <v>2.9834254143646408E-2</v>
      </c>
      <c r="J59" s="43">
        <f t="shared" si="22"/>
        <v>3.4254143646408837E-2</v>
      </c>
      <c r="K59" s="43">
        <f t="shared" si="22"/>
        <v>0</v>
      </c>
      <c r="L59" s="43">
        <f t="shared" si="22"/>
        <v>0</v>
      </c>
      <c r="M59" s="43">
        <f t="shared" si="22"/>
        <v>0.83093922651933705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0.33333333333333331</v>
      </c>
      <c r="D60" s="44">
        <f t="shared" ref="D60:N60" si="23">D58/$O$58</f>
        <v>7.8431372549019607E-2</v>
      </c>
      <c r="E60" s="44">
        <f t="shared" si="23"/>
        <v>8.4967320261437912E-2</v>
      </c>
      <c r="F60" s="44">
        <f t="shared" si="23"/>
        <v>0.1111111111111111</v>
      </c>
      <c r="G60" s="44">
        <f t="shared" si="23"/>
        <v>1.3071895424836602E-2</v>
      </c>
      <c r="H60" s="44">
        <f t="shared" si="23"/>
        <v>0</v>
      </c>
      <c r="I60" s="44">
        <f t="shared" si="23"/>
        <v>0.17647058823529413</v>
      </c>
      <c r="J60" s="44">
        <f t="shared" si="23"/>
        <v>0.20261437908496732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WOBULENZI-ZIROBWE'!C3:G3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172</v>
      </c>
      <c r="E5" s="3"/>
      <c r="F5" s="41" t="s">
        <v>1</v>
      </c>
      <c r="G5" s="59" t="str">
        <f>'18.10 ZIROBWE-WOBULENZI'!G5:H5</f>
        <v>STATION 88</v>
      </c>
      <c r="H5" s="60"/>
      <c r="I5" s="14"/>
      <c r="J5" s="2" t="s">
        <v>5</v>
      </c>
      <c r="K5" s="59" t="str">
        <f>'18.10 ZIROBWE-WOBULENZI'!K5:L5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WOBULENZI-ZIROBWE'!D6:E6</f>
        <v>WOBULENZI</v>
      </c>
      <c r="E6" s="60"/>
      <c r="F6" s="2" t="s">
        <v>2</v>
      </c>
      <c r="G6" s="59" t="str">
        <f>'23.10 WOBULENZI-ZIROBWE'!G6:H6</f>
        <v>ZIROBWE</v>
      </c>
      <c r="H6" s="60"/>
      <c r="J6" s="2" t="s">
        <v>21</v>
      </c>
      <c r="K6" s="59" t="str">
        <f>'18.10 ZIROBWE-WOBULENZI'!K6:L6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</v>
      </c>
      <c r="N10" s="50">
        <v>0</v>
      </c>
      <c r="O10" s="15">
        <f t="shared" ref="O10:O57" si="0">SUM(C10:L10,N10)</f>
        <v>0</v>
      </c>
      <c r="P10" s="15">
        <f t="shared" ref="P10:P57" si="1">SUM(C10:N10)</f>
        <v>5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21</v>
      </c>
      <c r="AD10" s="17">
        <f t="shared" si="2"/>
        <v>0</v>
      </c>
      <c r="AE10" s="31">
        <f t="shared" si="2"/>
        <v>2</v>
      </c>
      <c r="AF10" s="31">
        <f t="shared" si="2"/>
        <v>23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</v>
      </c>
      <c r="N11" s="50">
        <v>0</v>
      </c>
      <c r="O11" s="15">
        <f t="shared" si="0"/>
        <v>2</v>
      </c>
      <c r="P11" s="15">
        <f t="shared" si="1"/>
        <v>8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0</v>
      </c>
      <c r="V11" s="17">
        <f t="shared" si="3"/>
        <v>2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42</v>
      </c>
      <c r="AD11" s="17">
        <f t="shared" si="3"/>
        <v>0</v>
      </c>
      <c r="AE11" s="31">
        <f t="shared" si="3"/>
        <v>12</v>
      </c>
      <c r="AF11" s="31">
        <f t="shared" si="3"/>
        <v>54</v>
      </c>
    </row>
    <row r="12" spans="2:32" ht="23.1" customHeight="1" x14ac:dyDescent="0.25">
      <c r="B12" s="45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</v>
      </c>
      <c r="N12" s="50">
        <v>0</v>
      </c>
      <c r="O12" s="15">
        <f t="shared" si="0"/>
        <v>0</v>
      </c>
      <c r="P12" s="15">
        <f t="shared" si="1"/>
        <v>5</v>
      </c>
      <c r="R12" s="1" t="s">
        <v>8</v>
      </c>
      <c r="S12" s="17">
        <f t="shared" ref="S12:AF12" si="4">SUM(C18:C21)</f>
        <v>2</v>
      </c>
      <c r="T12" s="17">
        <f t="shared" si="4"/>
        <v>0</v>
      </c>
      <c r="U12" s="17">
        <f t="shared" si="4"/>
        <v>1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0</v>
      </c>
      <c r="Z12" s="17">
        <f t="shared" si="4"/>
        <v>0</v>
      </c>
      <c r="AA12" s="17">
        <f t="shared" si="4"/>
        <v>1</v>
      </c>
      <c r="AB12" s="17">
        <f t="shared" si="4"/>
        <v>0</v>
      </c>
      <c r="AC12" s="17">
        <f t="shared" si="4"/>
        <v>42</v>
      </c>
      <c r="AD12" s="17">
        <f t="shared" si="4"/>
        <v>0</v>
      </c>
      <c r="AE12" s="31">
        <f t="shared" si="4"/>
        <v>6</v>
      </c>
      <c r="AF12" s="31">
        <f t="shared" si="4"/>
        <v>48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</v>
      </c>
      <c r="N13" s="50">
        <v>0</v>
      </c>
      <c r="O13" s="15">
        <f t="shared" si="0"/>
        <v>0</v>
      </c>
      <c r="P13" s="15">
        <f t="shared" si="1"/>
        <v>5</v>
      </c>
      <c r="R13" s="1" t="s">
        <v>9</v>
      </c>
      <c r="S13" s="17">
        <f t="shared" ref="S13:AF13" si="5">SUM(C22:C25)</f>
        <v>1</v>
      </c>
      <c r="T13" s="17">
        <f t="shared" si="5"/>
        <v>1</v>
      </c>
      <c r="U13" s="17">
        <f t="shared" si="5"/>
        <v>0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89</v>
      </c>
      <c r="AD13" s="17">
        <f t="shared" si="5"/>
        <v>0</v>
      </c>
      <c r="AE13" s="31">
        <f t="shared" si="5"/>
        <v>7</v>
      </c>
      <c r="AF13" s="31">
        <f t="shared" si="5"/>
        <v>96</v>
      </c>
    </row>
    <row r="14" spans="2:32" ht="23.1" customHeight="1" x14ac:dyDescent="0.25">
      <c r="B14" s="45" t="s">
        <v>41</v>
      </c>
      <c r="C14" s="50">
        <v>0</v>
      </c>
      <c r="D14" s="50">
        <v>1</v>
      </c>
      <c r="E14" s="50">
        <v>0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10</v>
      </c>
      <c r="N14" s="50">
        <v>0</v>
      </c>
      <c r="O14" s="15">
        <f t="shared" si="0"/>
        <v>4</v>
      </c>
      <c r="P14" s="15">
        <f t="shared" si="1"/>
        <v>14</v>
      </c>
      <c r="R14" s="1" t="s">
        <v>10</v>
      </c>
      <c r="S14" s="17">
        <f t="shared" ref="S14:AF14" si="6">SUM(C26:C29)</f>
        <v>4</v>
      </c>
      <c r="T14" s="17">
        <f t="shared" si="6"/>
        <v>2</v>
      </c>
      <c r="U14" s="17">
        <f t="shared" si="6"/>
        <v>2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1</v>
      </c>
      <c r="Z14" s="17">
        <f t="shared" si="6"/>
        <v>5</v>
      </c>
      <c r="AA14" s="17">
        <f t="shared" si="6"/>
        <v>0</v>
      </c>
      <c r="AB14" s="17">
        <f t="shared" si="6"/>
        <v>0</v>
      </c>
      <c r="AC14" s="17">
        <f t="shared" si="6"/>
        <v>65</v>
      </c>
      <c r="AD14" s="17">
        <f t="shared" si="6"/>
        <v>0</v>
      </c>
      <c r="AE14" s="31">
        <f t="shared" si="6"/>
        <v>14</v>
      </c>
      <c r="AF14" s="31">
        <f t="shared" si="6"/>
        <v>79</v>
      </c>
    </row>
    <row r="15" spans="2:32" ht="23.1" customHeight="1" x14ac:dyDescent="0.25">
      <c r="B15" s="45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0</v>
      </c>
      <c r="P15" s="15">
        <f t="shared" si="1"/>
        <v>12</v>
      </c>
      <c r="R15" s="1" t="s">
        <v>11</v>
      </c>
      <c r="S15" s="17">
        <f t="shared" ref="S15:AF15" si="7">SUM(C30:C33)</f>
        <v>2</v>
      </c>
      <c r="T15" s="17">
        <f t="shared" si="7"/>
        <v>1</v>
      </c>
      <c r="U15" s="17">
        <f t="shared" si="7"/>
        <v>1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7</v>
      </c>
      <c r="AA15" s="17">
        <f t="shared" si="7"/>
        <v>0</v>
      </c>
      <c r="AB15" s="17">
        <f t="shared" si="7"/>
        <v>0</v>
      </c>
      <c r="AC15" s="17">
        <f t="shared" si="7"/>
        <v>88</v>
      </c>
      <c r="AD15" s="17">
        <f t="shared" si="7"/>
        <v>0</v>
      </c>
      <c r="AE15" s="31">
        <f t="shared" si="7"/>
        <v>13</v>
      </c>
      <c r="AF15" s="31">
        <f t="shared" si="7"/>
        <v>101</v>
      </c>
    </row>
    <row r="16" spans="2:32" ht="23.1" customHeight="1" x14ac:dyDescent="0.25">
      <c r="B16" s="45" t="s">
        <v>43</v>
      </c>
      <c r="C16" s="50">
        <v>3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2</v>
      </c>
      <c r="J16" s="50">
        <v>1</v>
      </c>
      <c r="K16" s="50">
        <v>0</v>
      </c>
      <c r="L16" s="50">
        <v>0</v>
      </c>
      <c r="M16" s="50">
        <v>15</v>
      </c>
      <c r="N16" s="50">
        <v>0</v>
      </c>
      <c r="O16" s="15">
        <f t="shared" si="0"/>
        <v>6</v>
      </c>
      <c r="P16" s="15">
        <f t="shared" si="1"/>
        <v>21</v>
      </c>
      <c r="R16" s="1" t="s">
        <v>12</v>
      </c>
      <c r="S16" s="17">
        <f t="shared" ref="S16:AF16" si="8">SUM(C34:C37)</f>
        <v>1</v>
      </c>
      <c r="T16" s="17">
        <f t="shared" si="8"/>
        <v>0</v>
      </c>
      <c r="U16" s="17">
        <f t="shared" si="8"/>
        <v>0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92</v>
      </c>
      <c r="AD16" s="17">
        <f t="shared" si="8"/>
        <v>0</v>
      </c>
      <c r="AE16" s="31">
        <f t="shared" si="8"/>
        <v>10</v>
      </c>
      <c r="AF16" s="31">
        <f t="shared" si="8"/>
        <v>102</v>
      </c>
    </row>
    <row r="17" spans="2:32" ht="23.1" customHeight="1" x14ac:dyDescent="0.25">
      <c r="B17" s="45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5</v>
      </c>
      <c r="N17" s="50">
        <v>0</v>
      </c>
      <c r="O17" s="15">
        <f t="shared" si="0"/>
        <v>2</v>
      </c>
      <c r="P17" s="15">
        <f t="shared" si="1"/>
        <v>7</v>
      </c>
      <c r="R17" s="1" t="s">
        <v>13</v>
      </c>
      <c r="S17" s="17">
        <f t="shared" ref="S17:AF17" si="9">SUM(C38:C41)</f>
        <v>5</v>
      </c>
      <c r="T17" s="17">
        <f t="shared" si="9"/>
        <v>1</v>
      </c>
      <c r="U17" s="17">
        <f t="shared" si="9"/>
        <v>2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119</v>
      </c>
      <c r="AD17" s="17">
        <f t="shared" si="9"/>
        <v>0</v>
      </c>
      <c r="AE17" s="31">
        <f t="shared" si="9"/>
        <v>13</v>
      </c>
      <c r="AF17" s="31">
        <f t="shared" si="9"/>
        <v>132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5</v>
      </c>
      <c r="N18" s="50">
        <v>0</v>
      </c>
      <c r="O18" s="15">
        <f t="shared" si="0"/>
        <v>2</v>
      </c>
      <c r="P18" s="15">
        <f t="shared" si="1"/>
        <v>7</v>
      </c>
      <c r="R18" s="1" t="s">
        <v>14</v>
      </c>
      <c r="S18" s="17">
        <f t="shared" ref="S18:AF18" si="10">SUM(C42:C45)</f>
        <v>7</v>
      </c>
      <c r="T18" s="17">
        <f t="shared" si="10"/>
        <v>1</v>
      </c>
      <c r="U18" s="17">
        <f t="shared" si="10"/>
        <v>2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107</v>
      </c>
      <c r="AD18" s="17">
        <f t="shared" si="10"/>
        <v>0</v>
      </c>
      <c r="AE18" s="31">
        <f t="shared" si="10"/>
        <v>20</v>
      </c>
      <c r="AF18" s="31">
        <f t="shared" si="10"/>
        <v>127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1</v>
      </c>
      <c r="L19" s="50">
        <v>0</v>
      </c>
      <c r="M19" s="50">
        <v>13</v>
      </c>
      <c r="N19" s="50">
        <v>0</v>
      </c>
      <c r="O19" s="15">
        <f t="shared" si="0"/>
        <v>2</v>
      </c>
      <c r="P19" s="15">
        <f t="shared" si="1"/>
        <v>15</v>
      </c>
      <c r="R19" s="1" t="s">
        <v>15</v>
      </c>
      <c r="S19" s="17">
        <f t="shared" ref="S19:AF19" si="11">SUM(C46:C49)</f>
        <v>4</v>
      </c>
      <c r="T19" s="17">
        <f t="shared" si="11"/>
        <v>1</v>
      </c>
      <c r="U19" s="17">
        <f t="shared" si="11"/>
        <v>0</v>
      </c>
      <c r="V19" s="17">
        <f t="shared" si="11"/>
        <v>0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5</v>
      </c>
      <c r="AA19" s="17">
        <f t="shared" si="11"/>
        <v>3</v>
      </c>
      <c r="AB19" s="17">
        <f t="shared" si="11"/>
        <v>0</v>
      </c>
      <c r="AC19" s="17">
        <f t="shared" si="11"/>
        <v>93</v>
      </c>
      <c r="AD19" s="17">
        <f t="shared" si="11"/>
        <v>0</v>
      </c>
      <c r="AE19" s="31">
        <f t="shared" si="11"/>
        <v>17</v>
      </c>
      <c r="AF19" s="31">
        <f t="shared" si="11"/>
        <v>110</v>
      </c>
    </row>
    <row r="20" spans="2:32" ht="23.1" customHeight="1" x14ac:dyDescent="0.25">
      <c r="B20" s="45" t="s">
        <v>47</v>
      </c>
      <c r="C20" s="50">
        <v>0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1</v>
      </c>
      <c r="P20" s="15">
        <f t="shared" si="1"/>
        <v>10</v>
      </c>
      <c r="R20" s="1" t="s">
        <v>16</v>
      </c>
      <c r="S20" s="17">
        <f t="shared" ref="S20:AF20" si="12">SUM(C50:C53)</f>
        <v>3</v>
      </c>
      <c r="T20" s="17">
        <f t="shared" si="12"/>
        <v>4</v>
      </c>
      <c r="U20" s="17">
        <f t="shared" si="12"/>
        <v>3</v>
      </c>
      <c r="V20" s="17">
        <f t="shared" si="12"/>
        <v>2</v>
      </c>
      <c r="W20" s="17">
        <f t="shared" si="12"/>
        <v>0</v>
      </c>
      <c r="X20" s="17">
        <f t="shared" si="12"/>
        <v>1</v>
      </c>
      <c r="Y20" s="17">
        <f t="shared" si="12"/>
        <v>3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105</v>
      </c>
      <c r="AD20" s="17">
        <f t="shared" si="12"/>
        <v>0</v>
      </c>
      <c r="AE20" s="31">
        <f t="shared" si="12"/>
        <v>21</v>
      </c>
      <c r="AF20" s="31">
        <f t="shared" si="12"/>
        <v>126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15</v>
      </c>
      <c r="N21" s="50">
        <v>0</v>
      </c>
      <c r="O21" s="15">
        <f t="shared" si="0"/>
        <v>1</v>
      </c>
      <c r="P21" s="15">
        <f t="shared" si="1"/>
        <v>16</v>
      </c>
      <c r="R21" s="36" t="s">
        <v>20</v>
      </c>
      <c r="S21" s="34">
        <f t="shared" ref="S21:AF21" si="13">SUM(C54:C57)</f>
        <v>5</v>
      </c>
      <c r="T21" s="17">
        <f t="shared" si="13"/>
        <v>2</v>
      </c>
      <c r="U21" s="17">
        <f t="shared" si="13"/>
        <v>2</v>
      </c>
      <c r="V21" s="17">
        <f t="shared" si="13"/>
        <v>3</v>
      </c>
      <c r="W21" s="17">
        <f t="shared" si="13"/>
        <v>1</v>
      </c>
      <c r="X21" s="17">
        <f t="shared" si="13"/>
        <v>0</v>
      </c>
      <c r="Y21" s="17">
        <f t="shared" si="13"/>
        <v>1</v>
      </c>
      <c r="Z21" s="17">
        <f t="shared" si="13"/>
        <v>6</v>
      </c>
      <c r="AA21" s="17">
        <f t="shared" si="13"/>
        <v>0</v>
      </c>
      <c r="AB21" s="17">
        <f t="shared" si="13"/>
        <v>0</v>
      </c>
      <c r="AC21" s="17">
        <f t="shared" si="13"/>
        <v>92</v>
      </c>
      <c r="AD21" s="17">
        <f t="shared" si="13"/>
        <v>0</v>
      </c>
      <c r="AE21" s="31">
        <f t="shared" si="13"/>
        <v>20</v>
      </c>
      <c r="AF21" s="31">
        <f t="shared" si="13"/>
        <v>112</v>
      </c>
    </row>
    <row r="22" spans="2:32" ht="23.1" customHeight="1" x14ac:dyDescent="0.25">
      <c r="B22" s="45" t="s">
        <v>49</v>
      </c>
      <c r="C22" s="50">
        <v>0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18</v>
      </c>
      <c r="N22" s="50">
        <v>0</v>
      </c>
      <c r="O22" s="15">
        <f t="shared" si="0"/>
        <v>2</v>
      </c>
      <c r="P22" s="15">
        <f t="shared" si="1"/>
        <v>20</v>
      </c>
      <c r="R22" s="36" t="s">
        <v>146</v>
      </c>
      <c r="S22" s="34">
        <f>SUM(C58:C61)</f>
        <v>1</v>
      </c>
      <c r="T22" s="34">
        <f t="shared" ref="T22:AF22" si="14">SUM(D58:D61)</f>
        <v>3</v>
      </c>
      <c r="U22" s="34">
        <f t="shared" si="14"/>
        <v>0</v>
      </c>
      <c r="V22" s="34">
        <f t="shared" si="14"/>
        <v>0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6</v>
      </c>
      <c r="AA22" s="34">
        <f t="shared" si="14"/>
        <v>0</v>
      </c>
      <c r="AB22" s="34">
        <f t="shared" si="14"/>
        <v>0</v>
      </c>
      <c r="AC22" s="34">
        <f t="shared" si="14"/>
        <v>82</v>
      </c>
      <c r="AD22" s="34">
        <f t="shared" si="14"/>
        <v>0</v>
      </c>
      <c r="AE22" s="31">
        <f t="shared" si="14"/>
        <v>11</v>
      </c>
      <c r="AF22" s="31">
        <f t="shared" si="14"/>
        <v>93</v>
      </c>
    </row>
    <row r="23" spans="2:32" ht="23.1" customHeight="1" x14ac:dyDescent="0.25">
      <c r="B23" s="45" t="s">
        <v>50</v>
      </c>
      <c r="C23" s="50">
        <v>1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17</v>
      </c>
      <c r="N23" s="50">
        <v>0</v>
      </c>
      <c r="O23" s="15">
        <f t="shared" si="0"/>
        <v>2</v>
      </c>
      <c r="P23" s="15">
        <f t="shared" si="1"/>
        <v>19</v>
      </c>
      <c r="R23" s="36" t="s">
        <v>147</v>
      </c>
      <c r="S23" s="34">
        <f>SUM(C62:C65)</f>
        <v>1</v>
      </c>
      <c r="T23" s="34">
        <f t="shared" ref="T23:AF23" si="15">SUM(D62:D65)</f>
        <v>0</v>
      </c>
      <c r="U23" s="34">
        <f t="shared" si="15"/>
        <v>1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81</v>
      </c>
      <c r="AD23" s="34">
        <f t="shared" si="15"/>
        <v>0</v>
      </c>
      <c r="AE23" s="31">
        <f t="shared" si="15"/>
        <v>2</v>
      </c>
      <c r="AF23" s="31">
        <f t="shared" si="15"/>
        <v>83</v>
      </c>
    </row>
    <row r="24" spans="2:32" ht="23.1" customHeight="1" x14ac:dyDescent="0.25">
      <c r="B24" s="45" t="s">
        <v>51</v>
      </c>
      <c r="C24" s="50">
        <v>0</v>
      </c>
      <c r="D24" s="50">
        <v>1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23</v>
      </c>
      <c r="N24" s="50">
        <v>0</v>
      </c>
      <c r="O24" s="15">
        <f t="shared" si="0"/>
        <v>1</v>
      </c>
      <c r="P24" s="15">
        <f t="shared" si="1"/>
        <v>24</v>
      </c>
      <c r="R24" s="36" t="s">
        <v>148</v>
      </c>
      <c r="S24" s="34">
        <f>SUM(C66:C69)</f>
        <v>1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2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31</v>
      </c>
      <c r="AD24" s="34">
        <f t="shared" si="16"/>
        <v>0</v>
      </c>
      <c r="AE24" s="31">
        <f t="shared" si="16"/>
        <v>5</v>
      </c>
      <c r="AF24" s="31">
        <f t="shared" si="16"/>
        <v>36</v>
      </c>
    </row>
    <row r="25" spans="2:32" ht="23.1" customHeight="1" x14ac:dyDescent="0.25">
      <c r="B25" s="45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2</v>
      </c>
      <c r="K25" s="50">
        <v>0</v>
      </c>
      <c r="L25" s="50">
        <v>0</v>
      </c>
      <c r="M25" s="50">
        <v>31</v>
      </c>
      <c r="N25" s="50">
        <v>0</v>
      </c>
      <c r="O25" s="15">
        <f t="shared" si="0"/>
        <v>2</v>
      </c>
      <c r="P25" s="15">
        <f t="shared" si="1"/>
        <v>33</v>
      </c>
      <c r="R25" s="36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18</v>
      </c>
      <c r="AD25" s="34">
        <f t="shared" si="17"/>
        <v>0</v>
      </c>
      <c r="AE25" s="31">
        <f t="shared" si="17"/>
        <v>4</v>
      </c>
      <c r="AF25" s="31">
        <f t="shared" si="17"/>
        <v>22</v>
      </c>
    </row>
    <row r="26" spans="2:32" ht="23.1" customHeight="1" x14ac:dyDescent="0.25">
      <c r="B26" s="45" t="s">
        <v>53</v>
      </c>
      <c r="C26" s="50">
        <v>2</v>
      </c>
      <c r="D26" s="50">
        <v>1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12</v>
      </c>
      <c r="N26" s="50">
        <v>0</v>
      </c>
      <c r="O26" s="15">
        <f t="shared" si="0"/>
        <v>5</v>
      </c>
      <c r="P26" s="15">
        <f t="shared" si="1"/>
        <v>17</v>
      </c>
      <c r="R26" s="36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9</v>
      </c>
      <c r="AD26" s="34">
        <f t="shared" si="18"/>
        <v>0</v>
      </c>
      <c r="AE26" s="31">
        <f t="shared" si="18"/>
        <v>3</v>
      </c>
      <c r="AF26" s="31">
        <f t="shared" si="18"/>
        <v>12</v>
      </c>
    </row>
    <row r="27" spans="2:32" ht="23.1" customHeight="1" x14ac:dyDescent="0.25">
      <c r="B27" s="45" t="s">
        <v>54</v>
      </c>
      <c r="C27" s="50">
        <v>0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1</v>
      </c>
      <c r="P27" s="15">
        <f t="shared" si="1"/>
        <v>16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5</v>
      </c>
      <c r="AF27" s="31">
        <f t="shared" si="19"/>
        <v>7</v>
      </c>
    </row>
    <row r="28" spans="2:32" ht="23.1" customHeight="1" x14ac:dyDescent="0.25">
      <c r="B28" s="45" t="s">
        <v>55</v>
      </c>
      <c r="C28" s="50">
        <v>0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3</v>
      </c>
      <c r="K28" s="50">
        <v>0</v>
      </c>
      <c r="L28" s="50">
        <v>0</v>
      </c>
      <c r="M28" s="50">
        <v>17</v>
      </c>
      <c r="N28" s="50">
        <v>0</v>
      </c>
      <c r="O28" s="15">
        <f t="shared" si="0"/>
        <v>4</v>
      </c>
      <c r="P28" s="15">
        <f t="shared" si="1"/>
        <v>21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2</v>
      </c>
      <c r="AF28" s="31">
        <f t="shared" si="20"/>
        <v>3</v>
      </c>
    </row>
    <row r="29" spans="2:32" ht="23.1" customHeight="1" x14ac:dyDescent="0.25">
      <c r="B29" s="45" t="s">
        <v>56</v>
      </c>
      <c r="C29" s="50">
        <v>2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0</v>
      </c>
      <c r="M29" s="50">
        <v>21</v>
      </c>
      <c r="N29" s="50">
        <v>0</v>
      </c>
      <c r="O29" s="15">
        <f t="shared" si="0"/>
        <v>4</v>
      </c>
      <c r="P29" s="15">
        <f t="shared" si="1"/>
        <v>25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3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4</v>
      </c>
      <c r="AF29" s="31">
        <f t="shared" si="21"/>
        <v>4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0</v>
      </c>
      <c r="G30" s="50">
        <v>0</v>
      </c>
      <c r="H30" s="50">
        <v>0</v>
      </c>
      <c r="I30" s="50">
        <v>0</v>
      </c>
      <c r="J30" s="50">
        <v>2</v>
      </c>
      <c r="K30" s="50">
        <v>0</v>
      </c>
      <c r="L30" s="50">
        <v>0</v>
      </c>
      <c r="M30" s="50">
        <v>20</v>
      </c>
      <c r="N30" s="50">
        <v>0</v>
      </c>
      <c r="O30" s="15">
        <f t="shared" si="0"/>
        <v>2</v>
      </c>
      <c r="P30" s="15">
        <f t="shared" si="1"/>
        <v>22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2</v>
      </c>
      <c r="AF30" s="31">
        <f t="shared" si="22"/>
        <v>2</v>
      </c>
    </row>
    <row r="31" spans="2:32" ht="23.1" customHeight="1" x14ac:dyDescent="0.25">
      <c r="B31" s="46" t="s">
        <v>58</v>
      </c>
      <c r="C31" s="50">
        <v>2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1</v>
      </c>
      <c r="J31" s="50">
        <v>3</v>
      </c>
      <c r="K31" s="50">
        <v>0</v>
      </c>
      <c r="L31" s="50">
        <v>0</v>
      </c>
      <c r="M31" s="50">
        <v>20</v>
      </c>
      <c r="N31" s="50">
        <v>0</v>
      </c>
      <c r="O31" s="15">
        <f t="shared" si="0"/>
        <v>7</v>
      </c>
      <c r="P31" s="15">
        <f t="shared" si="1"/>
        <v>27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3</v>
      </c>
      <c r="AA31" s="34">
        <f t="shared" si="23"/>
        <v>0</v>
      </c>
      <c r="AB31" s="34">
        <f t="shared" si="23"/>
        <v>0</v>
      </c>
      <c r="AC31" s="34">
        <f t="shared" si="23"/>
        <v>4</v>
      </c>
      <c r="AD31" s="34">
        <f t="shared" si="23"/>
        <v>0</v>
      </c>
      <c r="AE31" s="31">
        <f t="shared" si="23"/>
        <v>4</v>
      </c>
      <c r="AF31" s="31">
        <f t="shared" si="23"/>
        <v>8</v>
      </c>
    </row>
    <row r="32" spans="2:32" ht="23.1" customHeight="1" x14ac:dyDescent="0.25">
      <c r="B32" s="46" t="s">
        <v>59</v>
      </c>
      <c r="C32" s="50">
        <v>0</v>
      </c>
      <c r="D32" s="50">
        <v>1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23</v>
      </c>
      <c r="N32" s="50">
        <v>0</v>
      </c>
      <c r="O32" s="15">
        <f t="shared" si="0"/>
        <v>2</v>
      </c>
      <c r="P32" s="15">
        <f t="shared" si="1"/>
        <v>25</v>
      </c>
      <c r="R32" s="33" t="s">
        <v>156</v>
      </c>
      <c r="S32" s="34">
        <f>SUM(C98:C101)</f>
        <v>1</v>
      </c>
      <c r="T32" s="34">
        <f t="shared" ref="T32:AF32" si="24">SUM(D98:D101)</f>
        <v>4</v>
      </c>
      <c r="U32" s="34">
        <f t="shared" si="24"/>
        <v>0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9</v>
      </c>
      <c r="AD32" s="34">
        <f t="shared" si="24"/>
        <v>0</v>
      </c>
      <c r="AE32" s="31">
        <f t="shared" si="24"/>
        <v>10</v>
      </c>
      <c r="AF32" s="31">
        <f t="shared" si="24"/>
        <v>19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1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25</v>
      </c>
      <c r="N33" s="50">
        <v>0</v>
      </c>
      <c r="O33" s="15">
        <f t="shared" si="0"/>
        <v>2</v>
      </c>
      <c r="P33" s="15">
        <f t="shared" si="1"/>
        <v>27</v>
      </c>
      <c r="R33" s="33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4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34</v>
      </c>
      <c r="AD33" s="34">
        <f t="shared" si="25"/>
        <v>0</v>
      </c>
      <c r="AE33" s="31">
        <f t="shared" si="25"/>
        <v>7</v>
      </c>
      <c r="AF33" s="31">
        <f t="shared" si="25"/>
        <v>41</v>
      </c>
    </row>
    <row r="34" spans="2:32" ht="23.1" customHeight="1" x14ac:dyDescent="0.25">
      <c r="B34" s="46" t="s">
        <v>61</v>
      </c>
      <c r="C34" s="50">
        <v>0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25</v>
      </c>
      <c r="N34" s="50">
        <v>0</v>
      </c>
      <c r="O34" s="15">
        <f t="shared" si="0"/>
        <v>3</v>
      </c>
      <c r="P34" s="15">
        <f t="shared" si="1"/>
        <v>28</v>
      </c>
      <c r="R34" s="38" t="s">
        <v>90</v>
      </c>
      <c r="S34" s="39">
        <f t="shared" ref="S34:AF34" si="26">MAX(S10:S12)</f>
        <v>4</v>
      </c>
      <c r="T34" s="39">
        <f t="shared" si="26"/>
        <v>1</v>
      </c>
      <c r="U34" s="39">
        <f t="shared" si="26"/>
        <v>1</v>
      </c>
      <c r="V34" s="39">
        <f t="shared" si="26"/>
        <v>2</v>
      </c>
      <c r="W34" s="39">
        <f t="shared" si="26"/>
        <v>0</v>
      </c>
      <c r="X34" s="39">
        <f t="shared" si="26"/>
        <v>0</v>
      </c>
      <c r="Y34" s="39">
        <f t="shared" si="26"/>
        <v>4</v>
      </c>
      <c r="Z34" s="39">
        <f t="shared" si="26"/>
        <v>1</v>
      </c>
      <c r="AA34" s="39">
        <f t="shared" si="26"/>
        <v>1</v>
      </c>
      <c r="AB34" s="39">
        <f t="shared" si="26"/>
        <v>0</v>
      </c>
      <c r="AC34" s="39">
        <f t="shared" si="26"/>
        <v>42</v>
      </c>
      <c r="AD34" s="39">
        <f t="shared" si="26"/>
        <v>0</v>
      </c>
      <c r="AE34" s="40">
        <f t="shared" si="26"/>
        <v>12</v>
      </c>
      <c r="AF34" s="40">
        <f t="shared" si="26"/>
        <v>54</v>
      </c>
    </row>
    <row r="35" spans="2:32" ht="23.1" customHeight="1" x14ac:dyDescent="0.25">
      <c r="B35" s="46" t="s">
        <v>62</v>
      </c>
      <c r="C35" s="50">
        <v>0</v>
      </c>
      <c r="D35" s="50">
        <v>0</v>
      </c>
      <c r="E35" s="50">
        <v>0</v>
      </c>
      <c r="F35" s="50">
        <v>2</v>
      </c>
      <c r="G35" s="50">
        <v>0</v>
      </c>
      <c r="H35" s="50">
        <v>0</v>
      </c>
      <c r="I35" s="50">
        <v>0</v>
      </c>
      <c r="J35" s="50">
        <v>2</v>
      </c>
      <c r="K35" s="50">
        <v>0</v>
      </c>
      <c r="L35" s="50">
        <v>0</v>
      </c>
      <c r="M35" s="50">
        <v>21</v>
      </c>
      <c r="N35" s="50">
        <v>0</v>
      </c>
      <c r="O35" s="15">
        <f t="shared" si="0"/>
        <v>4</v>
      </c>
      <c r="P35" s="15">
        <f t="shared" si="1"/>
        <v>25</v>
      </c>
      <c r="R35" s="38" t="s">
        <v>91</v>
      </c>
      <c r="S35" s="39">
        <f t="shared" ref="S35:AF35" si="27">MAX(S13:S18)</f>
        <v>7</v>
      </c>
      <c r="T35" s="39">
        <f t="shared" si="27"/>
        <v>2</v>
      </c>
      <c r="U35" s="39">
        <f t="shared" si="27"/>
        <v>2</v>
      </c>
      <c r="V35" s="39">
        <f t="shared" si="27"/>
        <v>3</v>
      </c>
      <c r="W35" s="39">
        <f t="shared" si="27"/>
        <v>0</v>
      </c>
      <c r="X35" s="39">
        <f t="shared" si="27"/>
        <v>0</v>
      </c>
      <c r="Y35" s="39">
        <f t="shared" si="27"/>
        <v>6</v>
      </c>
      <c r="Z35" s="39">
        <f t="shared" si="27"/>
        <v>7</v>
      </c>
      <c r="AA35" s="39">
        <f t="shared" si="27"/>
        <v>0</v>
      </c>
      <c r="AB35" s="39">
        <f t="shared" si="27"/>
        <v>0</v>
      </c>
      <c r="AC35" s="39">
        <f t="shared" si="27"/>
        <v>119</v>
      </c>
      <c r="AD35" s="39">
        <f t="shared" si="27"/>
        <v>0</v>
      </c>
      <c r="AE35" s="40">
        <f t="shared" si="27"/>
        <v>20</v>
      </c>
      <c r="AF35" s="40">
        <f t="shared" si="27"/>
        <v>132</v>
      </c>
    </row>
    <row r="36" spans="2:32" ht="23.1" customHeight="1" x14ac:dyDescent="0.25">
      <c r="B36" s="46" t="s">
        <v>63</v>
      </c>
      <c r="C36" s="50">
        <v>1</v>
      </c>
      <c r="D36" s="50">
        <v>0</v>
      </c>
      <c r="E36" s="50">
        <v>0</v>
      </c>
      <c r="F36" s="50">
        <v>1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25</v>
      </c>
      <c r="N36" s="50">
        <v>0</v>
      </c>
      <c r="O36" s="15">
        <f t="shared" si="0"/>
        <v>2</v>
      </c>
      <c r="P36" s="15">
        <f t="shared" si="1"/>
        <v>27</v>
      </c>
      <c r="R36" s="38" t="s">
        <v>92</v>
      </c>
      <c r="S36" s="39">
        <f t="shared" ref="S36:AF36" si="28">MAX(S19:S21)</f>
        <v>5</v>
      </c>
      <c r="T36" s="39">
        <f t="shared" si="28"/>
        <v>4</v>
      </c>
      <c r="U36" s="39">
        <f t="shared" si="28"/>
        <v>3</v>
      </c>
      <c r="V36" s="39">
        <f t="shared" si="28"/>
        <v>3</v>
      </c>
      <c r="W36" s="39">
        <f t="shared" si="28"/>
        <v>1</v>
      </c>
      <c r="X36" s="39">
        <f t="shared" si="28"/>
        <v>1</v>
      </c>
      <c r="Y36" s="39">
        <f t="shared" si="28"/>
        <v>4</v>
      </c>
      <c r="Z36" s="39">
        <f t="shared" si="28"/>
        <v>6</v>
      </c>
      <c r="AA36" s="39">
        <f t="shared" si="28"/>
        <v>3</v>
      </c>
      <c r="AB36" s="39">
        <f t="shared" si="28"/>
        <v>0</v>
      </c>
      <c r="AC36" s="39">
        <f t="shared" si="28"/>
        <v>105</v>
      </c>
      <c r="AD36" s="39">
        <f t="shared" si="28"/>
        <v>0</v>
      </c>
      <c r="AE36" s="40">
        <f t="shared" si="28"/>
        <v>21</v>
      </c>
      <c r="AF36" s="40">
        <f t="shared" si="28"/>
        <v>126</v>
      </c>
    </row>
    <row r="37" spans="2:32" ht="23.1" customHeight="1" x14ac:dyDescent="0.25">
      <c r="B37" s="45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21</v>
      </c>
      <c r="N37" s="50">
        <v>0</v>
      </c>
      <c r="O37" s="15">
        <f t="shared" si="0"/>
        <v>1</v>
      </c>
      <c r="P37" s="15">
        <f t="shared" si="1"/>
        <v>22</v>
      </c>
      <c r="R37" s="37" t="s">
        <v>85</v>
      </c>
      <c r="S37" s="35">
        <f t="shared" ref="S37:AF37" si="29">SUM(S10:S12)</f>
        <v>8</v>
      </c>
      <c r="T37" s="16">
        <f t="shared" si="29"/>
        <v>1</v>
      </c>
      <c r="U37" s="16">
        <f t="shared" si="29"/>
        <v>1</v>
      </c>
      <c r="V37" s="16">
        <f t="shared" si="29"/>
        <v>4</v>
      </c>
      <c r="W37" s="16">
        <f t="shared" si="29"/>
        <v>0</v>
      </c>
      <c r="X37" s="16">
        <f t="shared" si="29"/>
        <v>0</v>
      </c>
      <c r="Y37" s="16">
        <f t="shared" si="29"/>
        <v>4</v>
      </c>
      <c r="Z37" s="16">
        <f t="shared" si="29"/>
        <v>1</v>
      </c>
      <c r="AA37" s="16">
        <f t="shared" si="29"/>
        <v>1</v>
      </c>
      <c r="AB37" s="16">
        <f t="shared" si="29"/>
        <v>0</v>
      </c>
      <c r="AC37" s="16">
        <f t="shared" si="29"/>
        <v>105</v>
      </c>
      <c r="AD37" s="16">
        <f t="shared" si="29"/>
        <v>0</v>
      </c>
      <c r="AE37" s="32">
        <f t="shared" si="29"/>
        <v>20</v>
      </c>
      <c r="AF37" s="32">
        <f t="shared" si="29"/>
        <v>125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33</v>
      </c>
      <c r="N38" s="50">
        <v>0</v>
      </c>
      <c r="O38" s="15">
        <f t="shared" si="0"/>
        <v>4</v>
      </c>
      <c r="P38" s="15">
        <f t="shared" si="1"/>
        <v>37</v>
      </c>
      <c r="R38" s="28" t="s">
        <v>86</v>
      </c>
      <c r="S38" s="16">
        <f t="shared" ref="S38:AF38" si="30">SUM(S13:S18)</f>
        <v>20</v>
      </c>
      <c r="T38" s="16">
        <f t="shared" si="30"/>
        <v>6</v>
      </c>
      <c r="U38" s="16">
        <f t="shared" si="30"/>
        <v>7</v>
      </c>
      <c r="V38" s="16">
        <f t="shared" si="30"/>
        <v>8</v>
      </c>
      <c r="W38" s="16">
        <f t="shared" si="30"/>
        <v>0</v>
      </c>
      <c r="X38" s="16">
        <f t="shared" si="30"/>
        <v>0</v>
      </c>
      <c r="Y38" s="16">
        <f t="shared" si="30"/>
        <v>16</v>
      </c>
      <c r="Z38" s="16">
        <f t="shared" si="30"/>
        <v>20</v>
      </c>
      <c r="AA38" s="16">
        <f t="shared" si="30"/>
        <v>0</v>
      </c>
      <c r="AB38" s="16">
        <f t="shared" si="30"/>
        <v>0</v>
      </c>
      <c r="AC38" s="16">
        <f t="shared" si="30"/>
        <v>560</v>
      </c>
      <c r="AD38" s="16">
        <f t="shared" si="30"/>
        <v>0</v>
      </c>
      <c r="AE38" s="32">
        <f t="shared" si="30"/>
        <v>77</v>
      </c>
      <c r="AF38" s="32">
        <f t="shared" si="30"/>
        <v>637</v>
      </c>
    </row>
    <row r="39" spans="2:32" ht="23.1" customHeight="1" x14ac:dyDescent="0.25">
      <c r="B39" s="46" t="s">
        <v>66</v>
      </c>
      <c r="C39" s="50">
        <v>0</v>
      </c>
      <c r="D39" s="50">
        <v>0</v>
      </c>
      <c r="E39" s="50">
        <v>1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30</v>
      </c>
      <c r="N39" s="50">
        <v>0</v>
      </c>
      <c r="O39" s="15">
        <f t="shared" si="0"/>
        <v>1</v>
      </c>
      <c r="P39" s="15">
        <f t="shared" si="1"/>
        <v>31</v>
      </c>
      <c r="R39" s="29" t="s">
        <v>87</v>
      </c>
      <c r="S39" s="16">
        <f t="shared" ref="S39:AF39" si="31">SUM(S19:S21)</f>
        <v>12</v>
      </c>
      <c r="T39" s="16">
        <f t="shared" si="31"/>
        <v>7</v>
      </c>
      <c r="U39" s="16">
        <f t="shared" si="31"/>
        <v>5</v>
      </c>
      <c r="V39" s="16">
        <f t="shared" si="31"/>
        <v>5</v>
      </c>
      <c r="W39" s="16">
        <f t="shared" si="31"/>
        <v>1</v>
      </c>
      <c r="X39" s="16">
        <f t="shared" si="31"/>
        <v>1</v>
      </c>
      <c r="Y39" s="16">
        <f t="shared" si="31"/>
        <v>8</v>
      </c>
      <c r="Z39" s="16">
        <f t="shared" si="31"/>
        <v>16</v>
      </c>
      <c r="AA39" s="16">
        <f t="shared" si="31"/>
        <v>3</v>
      </c>
      <c r="AB39" s="16">
        <f t="shared" si="31"/>
        <v>0</v>
      </c>
      <c r="AC39" s="16">
        <f t="shared" si="31"/>
        <v>290</v>
      </c>
      <c r="AD39" s="16">
        <f t="shared" si="31"/>
        <v>0</v>
      </c>
      <c r="AE39" s="32">
        <f t="shared" si="31"/>
        <v>58</v>
      </c>
      <c r="AF39" s="32">
        <f t="shared" si="31"/>
        <v>348</v>
      </c>
    </row>
    <row r="40" spans="2:32" ht="23.1" customHeight="1" x14ac:dyDescent="0.25">
      <c r="B40" s="46" t="s">
        <v>67</v>
      </c>
      <c r="C40" s="50">
        <v>3</v>
      </c>
      <c r="D40" s="50">
        <v>1</v>
      </c>
      <c r="E40" s="50">
        <v>1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28</v>
      </c>
      <c r="N40" s="50">
        <v>0</v>
      </c>
      <c r="O40" s="15">
        <f t="shared" si="0"/>
        <v>7</v>
      </c>
      <c r="P40" s="15">
        <f t="shared" si="1"/>
        <v>35</v>
      </c>
      <c r="R40" s="5" t="s">
        <v>17</v>
      </c>
      <c r="S40" s="16">
        <f t="shared" ref="S40:AF40" si="32">SUM(S10:S21)</f>
        <v>40</v>
      </c>
      <c r="T40" s="16">
        <f t="shared" si="32"/>
        <v>14</v>
      </c>
      <c r="U40" s="16">
        <f t="shared" si="32"/>
        <v>13</v>
      </c>
      <c r="V40" s="16">
        <f t="shared" si="32"/>
        <v>17</v>
      </c>
      <c r="W40" s="16">
        <f t="shared" si="32"/>
        <v>1</v>
      </c>
      <c r="X40" s="16">
        <f t="shared" si="32"/>
        <v>1</v>
      </c>
      <c r="Y40" s="16">
        <f t="shared" si="32"/>
        <v>28</v>
      </c>
      <c r="Z40" s="16">
        <f t="shared" si="32"/>
        <v>37</v>
      </c>
      <c r="AA40" s="16">
        <f t="shared" si="32"/>
        <v>4</v>
      </c>
      <c r="AB40" s="16">
        <f t="shared" si="32"/>
        <v>0</v>
      </c>
      <c r="AC40" s="16">
        <f t="shared" si="32"/>
        <v>955</v>
      </c>
      <c r="AD40" s="16">
        <f t="shared" si="32"/>
        <v>0</v>
      </c>
      <c r="AE40" s="32">
        <f t="shared" si="32"/>
        <v>155</v>
      </c>
      <c r="AF40" s="32">
        <f t="shared" si="32"/>
        <v>1110</v>
      </c>
    </row>
    <row r="41" spans="2:32" ht="23.1" customHeight="1" x14ac:dyDescent="0.25">
      <c r="B41" s="45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28</v>
      </c>
      <c r="N41" s="50">
        <v>0</v>
      </c>
      <c r="O41" s="15">
        <f t="shared" si="0"/>
        <v>1</v>
      </c>
      <c r="P41" s="15">
        <f t="shared" si="1"/>
        <v>29</v>
      </c>
      <c r="R41" s="5" t="s">
        <v>159</v>
      </c>
      <c r="S41" s="16">
        <f>SUM(S10:S33)</f>
        <v>48</v>
      </c>
      <c r="T41" s="16">
        <f t="shared" ref="T41:AF41" si="33">SUM(T10:T33)</f>
        <v>21</v>
      </c>
      <c r="U41" s="16">
        <f t="shared" si="33"/>
        <v>16</v>
      </c>
      <c r="V41" s="16">
        <f t="shared" si="33"/>
        <v>35</v>
      </c>
      <c r="W41" s="16">
        <f t="shared" si="33"/>
        <v>1</v>
      </c>
      <c r="X41" s="16">
        <f t="shared" si="33"/>
        <v>1</v>
      </c>
      <c r="Y41" s="16">
        <f t="shared" si="33"/>
        <v>33</v>
      </c>
      <c r="Z41" s="16">
        <f t="shared" si="33"/>
        <v>55</v>
      </c>
      <c r="AA41" s="16">
        <f t="shared" si="33"/>
        <v>4</v>
      </c>
      <c r="AB41" s="16">
        <f t="shared" si="33"/>
        <v>0</v>
      </c>
      <c r="AC41" s="16">
        <f t="shared" si="33"/>
        <v>1226</v>
      </c>
      <c r="AD41" s="16">
        <f t="shared" si="33"/>
        <v>0</v>
      </c>
      <c r="AE41" s="32">
        <f t="shared" si="33"/>
        <v>214</v>
      </c>
      <c r="AF41" s="32">
        <f t="shared" si="33"/>
        <v>1440</v>
      </c>
    </row>
    <row r="42" spans="2:32" ht="23.1" customHeight="1" x14ac:dyDescent="0.25">
      <c r="B42" s="46" t="s">
        <v>69</v>
      </c>
      <c r="C42" s="50">
        <v>0</v>
      </c>
      <c r="D42" s="50">
        <v>1</v>
      </c>
      <c r="E42" s="50">
        <v>0</v>
      </c>
      <c r="F42" s="50">
        <v>1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24</v>
      </c>
      <c r="N42" s="50">
        <v>0</v>
      </c>
      <c r="O42" s="15">
        <f t="shared" si="0"/>
        <v>5</v>
      </c>
      <c r="P42" s="15">
        <f t="shared" si="1"/>
        <v>29</v>
      </c>
      <c r="R42" s="5" t="s">
        <v>160</v>
      </c>
      <c r="S42" s="48">
        <f>S41/S40</f>
        <v>1.2</v>
      </c>
      <c r="T42" s="48">
        <f t="shared" ref="T42:AF42" si="34">T41/T40</f>
        <v>1.5</v>
      </c>
      <c r="U42" s="48">
        <f t="shared" si="34"/>
        <v>1.2307692307692308</v>
      </c>
      <c r="V42" s="48">
        <f t="shared" si="34"/>
        <v>2.0588235294117645</v>
      </c>
      <c r="W42" s="48">
        <f t="shared" si="34"/>
        <v>1</v>
      </c>
      <c r="X42" s="48">
        <f t="shared" si="34"/>
        <v>1</v>
      </c>
      <c r="Y42" s="48">
        <f t="shared" si="34"/>
        <v>1.1785714285714286</v>
      </c>
      <c r="Z42" s="48">
        <f t="shared" si="34"/>
        <v>1.4864864864864864</v>
      </c>
      <c r="AA42" s="48">
        <f t="shared" si="34"/>
        <v>1</v>
      </c>
      <c r="AB42" s="48" t="e">
        <f t="shared" si="34"/>
        <v>#DIV/0!</v>
      </c>
      <c r="AC42" s="48">
        <f t="shared" si="34"/>
        <v>1.2837696335078534</v>
      </c>
      <c r="AD42" s="48" t="e">
        <f t="shared" si="34"/>
        <v>#DIV/0!</v>
      </c>
      <c r="AE42" s="48">
        <f t="shared" si="34"/>
        <v>1.3806451612903226</v>
      </c>
      <c r="AF42" s="48">
        <f t="shared" si="34"/>
        <v>1.2972972972972974</v>
      </c>
    </row>
    <row r="43" spans="2:32" ht="23.1" customHeight="1" x14ac:dyDescent="0.25">
      <c r="B43" s="45" t="s">
        <v>70</v>
      </c>
      <c r="C43" s="50">
        <v>5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28</v>
      </c>
      <c r="N43" s="50">
        <v>0</v>
      </c>
      <c r="O43" s="15">
        <f t="shared" si="0"/>
        <v>8</v>
      </c>
      <c r="P43" s="15">
        <f t="shared" si="1"/>
        <v>36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1</v>
      </c>
      <c r="F44" s="50">
        <v>0</v>
      </c>
      <c r="G44" s="50">
        <v>0</v>
      </c>
      <c r="H44" s="50">
        <v>0</v>
      </c>
      <c r="I44" s="50">
        <v>2</v>
      </c>
      <c r="J44" s="50">
        <v>0</v>
      </c>
      <c r="K44" s="50">
        <v>0</v>
      </c>
      <c r="L44" s="50">
        <v>0</v>
      </c>
      <c r="M44" s="50">
        <v>35</v>
      </c>
      <c r="N44" s="50">
        <v>0</v>
      </c>
      <c r="O44" s="15">
        <f t="shared" si="0"/>
        <v>5</v>
      </c>
      <c r="P44" s="15">
        <f t="shared" si="1"/>
        <v>40</v>
      </c>
    </row>
    <row r="45" spans="2:32" ht="23.1" customHeight="1" x14ac:dyDescent="0.25">
      <c r="B45" s="45" t="s">
        <v>72</v>
      </c>
      <c r="C45" s="50">
        <v>0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2</v>
      </c>
      <c r="P45" s="15">
        <f t="shared" si="1"/>
        <v>22</v>
      </c>
    </row>
    <row r="46" spans="2:32" ht="23.1" customHeight="1" x14ac:dyDescent="0.25">
      <c r="B46" s="46" t="s">
        <v>73</v>
      </c>
      <c r="C46" s="50">
        <v>0</v>
      </c>
      <c r="D46" s="50">
        <v>1</v>
      </c>
      <c r="E46" s="50">
        <v>0</v>
      </c>
      <c r="F46" s="50">
        <v>0</v>
      </c>
      <c r="G46" s="50">
        <v>0</v>
      </c>
      <c r="H46" s="50">
        <v>0</v>
      </c>
      <c r="I46" s="50">
        <v>3</v>
      </c>
      <c r="J46" s="50">
        <v>0</v>
      </c>
      <c r="K46" s="50">
        <v>0</v>
      </c>
      <c r="L46" s="50">
        <v>0</v>
      </c>
      <c r="M46" s="50">
        <v>30</v>
      </c>
      <c r="N46" s="50">
        <v>0</v>
      </c>
      <c r="O46" s="15">
        <f t="shared" si="0"/>
        <v>4</v>
      </c>
      <c r="P46" s="15">
        <f t="shared" si="1"/>
        <v>34</v>
      </c>
      <c r="R46" s="8"/>
      <c r="T46"/>
    </row>
    <row r="47" spans="2:32" ht="23.1" customHeight="1" x14ac:dyDescent="0.25">
      <c r="B47" s="46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15</v>
      </c>
      <c r="N47" s="50">
        <v>0</v>
      </c>
      <c r="O47" s="15">
        <f t="shared" si="0"/>
        <v>0</v>
      </c>
      <c r="P47" s="15">
        <f t="shared" si="1"/>
        <v>15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0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3</v>
      </c>
      <c r="K48" s="50">
        <v>3</v>
      </c>
      <c r="L48" s="50">
        <v>0</v>
      </c>
      <c r="M48" s="50">
        <v>29</v>
      </c>
      <c r="N48" s="50">
        <v>0</v>
      </c>
      <c r="O48" s="15">
        <f t="shared" si="0"/>
        <v>8</v>
      </c>
      <c r="P48" s="15">
        <f t="shared" si="1"/>
        <v>37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0</v>
      </c>
      <c r="J49" s="50">
        <v>2</v>
      </c>
      <c r="K49" s="50">
        <v>0</v>
      </c>
      <c r="L49" s="50">
        <v>0</v>
      </c>
      <c r="M49" s="50">
        <v>19</v>
      </c>
      <c r="N49" s="50">
        <v>0</v>
      </c>
      <c r="O49" s="15">
        <f t="shared" si="0"/>
        <v>5</v>
      </c>
      <c r="P49" s="15">
        <f t="shared" si="1"/>
        <v>24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1</v>
      </c>
      <c r="E50" s="50">
        <v>2</v>
      </c>
      <c r="F50" s="50">
        <v>1</v>
      </c>
      <c r="G50" s="50">
        <v>0</v>
      </c>
      <c r="H50" s="50">
        <v>0</v>
      </c>
      <c r="I50" s="50">
        <v>0</v>
      </c>
      <c r="J50" s="50">
        <v>3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9</v>
      </c>
      <c r="P50" s="15">
        <f t="shared" si="1"/>
        <v>39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1</v>
      </c>
      <c r="E51" s="50">
        <v>0</v>
      </c>
      <c r="F51" s="50">
        <v>1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36</v>
      </c>
      <c r="N51" s="50">
        <v>0</v>
      </c>
      <c r="O51" s="15">
        <f t="shared" si="0"/>
        <v>3</v>
      </c>
      <c r="P51" s="15">
        <f t="shared" si="1"/>
        <v>39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1</v>
      </c>
      <c r="E52" s="50">
        <v>1</v>
      </c>
      <c r="F52" s="50">
        <v>0</v>
      </c>
      <c r="G52" s="50">
        <v>0</v>
      </c>
      <c r="H52" s="50">
        <v>1</v>
      </c>
      <c r="I52" s="50">
        <v>2</v>
      </c>
      <c r="J52" s="50">
        <v>1</v>
      </c>
      <c r="K52" s="50">
        <v>0</v>
      </c>
      <c r="L52" s="50">
        <v>0</v>
      </c>
      <c r="M52" s="50">
        <v>17</v>
      </c>
      <c r="N52" s="50">
        <v>0</v>
      </c>
      <c r="O52" s="15">
        <f t="shared" si="0"/>
        <v>7</v>
      </c>
      <c r="P52" s="15">
        <f t="shared" si="1"/>
        <v>24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22</v>
      </c>
      <c r="N53" s="50">
        <v>0</v>
      </c>
      <c r="O53" s="15">
        <f t="shared" si="0"/>
        <v>2</v>
      </c>
      <c r="P53" s="15">
        <f t="shared" si="1"/>
        <v>24</v>
      </c>
      <c r="R53" s="8"/>
      <c r="T53"/>
    </row>
    <row r="54" spans="2:20" ht="23.1" customHeight="1" x14ac:dyDescent="0.25">
      <c r="B54" s="45" t="s">
        <v>81</v>
      </c>
      <c r="C54" s="50">
        <v>4</v>
      </c>
      <c r="D54" s="50">
        <v>1</v>
      </c>
      <c r="E54" s="50">
        <v>2</v>
      </c>
      <c r="F54" s="50">
        <v>0</v>
      </c>
      <c r="G54" s="50">
        <v>1</v>
      </c>
      <c r="H54" s="50">
        <v>0</v>
      </c>
      <c r="I54" s="50">
        <v>0</v>
      </c>
      <c r="J54" s="50">
        <v>2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10</v>
      </c>
      <c r="P54" s="15">
        <f t="shared" si="1"/>
        <v>30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18</v>
      </c>
      <c r="N55" s="50">
        <v>0</v>
      </c>
      <c r="O55" s="15">
        <f t="shared" si="0"/>
        <v>1</v>
      </c>
      <c r="P55" s="15">
        <f t="shared" si="1"/>
        <v>19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3</v>
      </c>
      <c r="K56" s="50">
        <v>0</v>
      </c>
      <c r="L56" s="50">
        <v>0</v>
      </c>
      <c r="M56" s="50">
        <v>39</v>
      </c>
      <c r="N56" s="50">
        <v>0</v>
      </c>
      <c r="O56" s="15">
        <f t="shared" si="0"/>
        <v>5</v>
      </c>
      <c r="P56" s="15">
        <f t="shared" si="1"/>
        <v>44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1</v>
      </c>
      <c r="E57" s="50">
        <v>0</v>
      </c>
      <c r="F57" s="50">
        <v>2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15</v>
      </c>
      <c r="N57" s="50">
        <v>0</v>
      </c>
      <c r="O57" s="15">
        <f t="shared" si="0"/>
        <v>4</v>
      </c>
      <c r="P57" s="15">
        <f t="shared" si="1"/>
        <v>19</v>
      </c>
      <c r="R57" s="8"/>
      <c r="T57"/>
    </row>
    <row r="58" spans="2:20" ht="23.1" customHeight="1" x14ac:dyDescent="0.25">
      <c r="B58" s="45" t="s">
        <v>99</v>
      </c>
      <c r="C58" s="50">
        <v>0</v>
      </c>
      <c r="D58" s="50">
        <v>0</v>
      </c>
      <c r="E58" s="50">
        <v>0</v>
      </c>
      <c r="F58" s="50">
        <v>0</v>
      </c>
      <c r="G58" s="50">
        <v>0</v>
      </c>
      <c r="H58" s="50">
        <v>0</v>
      </c>
      <c r="I58" s="50">
        <v>1</v>
      </c>
      <c r="J58" s="50">
        <v>3</v>
      </c>
      <c r="K58" s="50">
        <v>0</v>
      </c>
      <c r="L58" s="50">
        <v>0</v>
      </c>
      <c r="M58" s="50">
        <v>18</v>
      </c>
      <c r="N58" s="50">
        <v>0</v>
      </c>
      <c r="O58" s="15">
        <f t="shared" ref="O58:O105" si="35">SUM(C58:L58,N58)</f>
        <v>4</v>
      </c>
      <c r="P58" s="15">
        <f t="shared" ref="P58:P105" si="36">SUM(C58:N58)</f>
        <v>22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3</v>
      </c>
      <c r="E59" s="50">
        <v>0</v>
      </c>
      <c r="F59" s="50">
        <v>0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22</v>
      </c>
      <c r="N59" s="50">
        <v>0</v>
      </c>
      <c r="O59" s="15">
        <f t="shared" si="35"/>
        <v>4</v>
      </c>
      <c r="P59" s="15">
        <f t="shared" si="36"/>
        <v>26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0</v>
      </c>
      <c r="G60" s="50">
        <v>0</v>
      </c>
      <c r="H60" s="50">
        <v>0</v>
      </c>
      <c r="I60" s="50">
        <v>0</v>
      </c>
      <c r="J60" s="50">
        <v>2</v>
      </c>
      <c r="K60" s="50">
        <v>0</v>
      </c>
      <c r="L60" s="50">
        <v>0</v>
      </c>
      <c r="M60" s="50">
        <v>25</v>
      </c>
      <c r="N60" s="50">
        <v>0</v>
      </c>
      <c r="O60" s="15">
        <f t="shared" si="35"/>
        <v>3</v>
      </c>
      <c r="P60" s="15">
        <f t="shared" si="36"/>
        <v>28</v>
      </c>
      <c r="R60" s="8"/>
      <c r="T60"/>
    </row>
    <row r="61" spans="2:20" ht="23.1" customHeight="1" x14ac:dyDescent="0.25">
      <c r="B61" s="45" t="s">
        <v>102</v>
      </c>
      <c r="C61" s="50">
        <v>0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17</v>
      </c>
      <c r="N61" s="50">
        <v>0</v>
      </c>
      <c r="O61" s="15">
        <f t="shared" si="35"/>
        <v>0</v>
      </c>
      <c r="P61" s="15">
        <f t="shared" si="36"/>
        <v>17</v>
      </c>
      <c r="R61" s="8"/>
      <c r="T61"/>
    </row>
    <row r="62" spans="2:20" ht="23.1" customHeight="1" x14ac:dyDescent="0.25">
      <c r="B62" s="45" t="s">
        <v>107</v>
      </c>
      <c r="C62" s="50">
        <v>1</v>
      </c>
      <c r="D62" s="50">
        <v>0</v>
      </c>
      <c r="E62" s="50">
        <v>0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21</v>
      </c>
      <c r="N62" s="50">
        <v>0</v>
      </c>
      <c r="O62" s="15">
        <f t="shared" si="35"/>
        <v>1</v>
      </c>
      <c r="P62" s="15">
        <f t="shared" si="36"/>
        <v>22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17</v>
      </c>
      <c r="N63" s="50">
        <v>0</v>
      </c>
      <c r="O63" s="15">
        <f t="shared" si="35"/>
        <v>0</v>
      </c>
      <c r="P63" s="15">
        <f t="shared" si="36"/>
        <v>17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1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25</v>
      </c>
      <c r="N64" s="50">
        <v>0</v>
      </c>
      <c r="O64" s="15">
        <f t="shared" si="35"/>
        <v>1</v>
      </c>
      <c r="P64" s="15">
        <f t="shared" si="36"/>
        <v>26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18</v>
      </c>
      <c r="N65" s="50">
        <v>0</v>
      </c>
      <c r="O65" s="15">
        <f t="shared" si="35"/>
        <v>0</v>
      </c>
      <c r="P65" s="15">
        <f t="shared" si="36"/>
        <v>18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11</v>
      </c>
      <c r="N66" s="50">
        <v>0</v>
      </c>
      <c r="O66" s="15">
        <f t="shared" si="35"/>
        <v>1</v>
      </c>
      <c r="P66" s="15">
        <f t="shared" si="36"/>
        <v>12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9</v>
      </c>
      <c r="N67" s="50">
        <v>0</v>
      </c>
      <c r="O67" s="15">
        <f t="shared" si="35"/>
        <v>1</v>
      </c>
      <c r="P67" s="15">
        <f t="shared" si="36"/>
        <v>10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0</v>
      </c>
      <c r="M68" s="50">
        <v>7</v>
      </c>
      <c r="N68" s="50">
        <v>0</v>
      </c>
      <c r="O68" s="15">
        <f t="shared" si="35"/>
        <v>1</v>
      </c>
      <c r="P68" s="15">
        <f t="shared" si="36"/>
        <v>8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1</v>
      </c>
      <c r="G69" s="50">
        <v>0</v>
      </c>
      <c r="H69" s="50">
        <v>0</v>
      </c>
      <c r="I69" s="50">
        <v>0</v>
      </c>
      <c r="J69" s="50">
        <v>1</v>
      </c>
      <c r="K69" s="50">
        <v>0</v>
      </c>
      <c r="L69" s="50">
        <v>0</v>
      </c>
      <c r="M69" s="50">
        <v>4</v>
      </c>
      <c r="N69" s="50">
        <v>0</v>
      </c>
      <c r="O69" s="15">
        <f t="shared" si="35"/>
        <v>2</v>
      </c>
      <c r="P69" s="15">
        <f t="shared" si="36"/>
        <v>6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7</v>
      </c>
      <c r="N70" s="50">
        <v>0</v>
      </c>
      <c r="O70" s="15">
        <f t="shared" si="35"/>
        <v>1</v>
      </c>
      <c r="P70" s="15">
        <f t="shared" si="36"/>
        <v>8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4</v>
      </c>
      <c r="N71" s="50">
        <v>0</v>
      </c>
      <c r="O71" s="15">
        <f t="shared" si="35"/>
        <v>1</v>
      </c>
      <c r="P71" s="15">
        <f t="shared" si="36"/>
        <v>5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0</v>
      </c>
      <c r="M72" s="50">
        <v>3</v>
      </c>
      <c r="N72" s="50">
        <v>0</v>
      </c>
      <c r="O72" s="15">
        <f t="shared" si="35"/>
        <v>1</v>
      </c>
      <c r="P72" s="15">
        <f t="shared" si="36"/>
        <v>4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4</v>
      </c>
      <c r="N73" s="50">
        <v>0</v>
      </c>
      <c r="O73" s="15">
        <f t="shared" si="35"/>
        <v>1</v>
      </c>
      <c r="P73" s="15">
        <f t="shared" si="36"/>
        <v>5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5</v>
      </c>
      <c r="N74" s="50">
        <v>0</v>
      </c>
      <c r="O74" s="15">
        <f t="shared" si="35"/>
        <v>1</v>
      </c>
      <c r="P74" s="15">
        <f t="shared" si="36"/>
        <v>6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0</v>
      </c>
      <c r="P75" s="15">
        <f t="shared" si="36"/>
        <v>2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2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2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0</v>
      </c>
      <c r="P77" s="15">
        <f t="shared" si="36"/>
        <v>1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1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2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1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2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1</v>
      </c>
      <c r="P82" s="15">
        <f t="shared" si="36"/>
        <v>1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1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1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2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1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2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1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1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0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2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2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2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5</v>
      </c>
      <c r="P99" s="15">
        <f t="shared" si="36"/>
        <v>7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1</v>
      </c>
      <c r="E100" s="50">
        <v>0</v>
      </c>
      <c r="F100" s="50">
        <v>1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4</v>
      </c>
      <c r="N100" s="50">
        <v>0</v>
      </c>
      <c r="O100" s="15">
        <f t="shared" si="35"/>
        <v>2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1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1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3</v>
      </c>
      <c r="N102" s="50">
        <v>0</v>
      </c>
      <c r="O102" s="15">
        <f t="shared" si="35"/>
        <v>2</v>
      </c>
      <c r="P102" s="15">
        <f t="shared" si="36"/>
        <v>5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2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3</v>
      </c>
      <c r="P103" s="15">
        <f t="shared" si="36"/>
        <v>8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10</v>
      </c>
      <c r="N104" s="50">
        <v>0</v>
      </c>
      <c r="O104" s="15">
        <f t="shared" si="35"/>
        <v>0</v>
      </c>
      <c r="P104" s="15">
        <f t="shared" si="36"/>
        <v>10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1</v>
      </c>
      <c r="F105" s="50">
        <v>1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16</v>
      </c>
      <c r="N105" s="50">
        <v>0</v>
      </c>
      <c r="O105" s="15">
        <f t="shared" si="35"/>
        <v>2</v>
      </c>
      <c r="P105" s="15">
        <f t="shared" si="36"/>
        <v>18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48</v>
      </c>
      <c r="D106" s="16">
        <f t="shared" ref="D106:P106" si="37">SUM(D10:D105)</f>
        <v>21</v>
      </c>
      <c r="E106" s="16">
        <f t="shared" si="37"/>
        <v>16</v>
      </c>
      <c r="F106" s="16">
        <f t="shared" si="37"/>
        <v>35</v>
      </c>
      <c r="G106" s="16">
        <f t="shared" si="37"/>
        <v>1</v>
      </c>
      <c r="H106" s="16">
        <f t="shared" si="37"/>
        <v>1</v>
      </c>
      <c r="I106" s="16">
        <f t="shared" si="37"/>
        <v>33</v>
      </c>
      <c r="J106" s="16">
        <f t="shared" si="37"/>
        <v>55</v>
      </c>
      <c r="K106" s="16">
        <f t="shared" si="37"/>
        <v>4</v>
      </c>
      <c r="L106" s="16">
        <f t="shared" si="37"/>
        <v>0</v>
      </c>
      <c r="M106" s="16">
        <f t="shared" si="37"/>
        <v>1226</v>
      </c>
      <c r="N106" s="16">
        <f t="shared" si="37"/>
        <v>0</v>
      </c>
      <c r="O106" s="16">
        <f t="shared" si="37"/>
        <v>214</v>
      </c>
      <c r="P106" s="16">
        <f t="shared" si="37"/>
        <v>1440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3.3333333333333333E-2</v>
      </c>
      <c r="D107" s="43">
        <f t="shared" si="38"/>
        <v>1.4583333333333334E-2</v>
      </c>
      <c r="E107" s="43">
        <f t="shared" si="38"/>
        <v>1.1111111111111112E-2</v>
      </c>
      <c r="F107" s="43">
        <f t="shared" si="38"/>
        <v>2.4305555555555556E-2</v>
      </c>
      <c r="G107" s="43">
        <f t="shared" si="38"/>
        <v>6.9444444444444447E-4</v>
      </c>
      <c r="H107" s="43">
        <f t="shared" si="38"/>
        <v>6.9444444444444447E-4</v>
      </c>
      <c r="I107" s="43">
        <f t="shared" si="38"/>
        <v>2.2916666666666665E-2</v>
      </c>
      <c r="J107" s="43">
        <f t="shared" si="38"/>
        <v>3.8194444444444448E-2</v>
      </c>
      <c r="K107" s="43">
        <f t="shared" si="38"/>
        <v>2.7777777777777779E-3</v>
      </c>
      <c r="L107" s="43">
        <f t="shared" si="38"/>
        <v>0</v>
      </c>
      <c r="M107" s="43">
        <f t="shared" si="38"/>
        <v>0.85138888888888886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0.22429906542056074</v>
      </c>
      <c r="D108" s="44">
        <f t="shared" ref="D108:N108" si="39">D106/$O$106</f>
        <v>9.8130841121495324E-2</v>
      </c>
      <c r="E108" s="44">
        <f t="shared" si="39"/>
        <v>7.476635514018691E-2</v>
      </c>
      <c r="F108" s="44">
        <f t="shared" si="39"/>
        <v>0.16355140186915887</v>
      </c>
      <c r="G108" s="44">
        <f t="shared" si="39"/>
        <v>4.6728971962616819E-3</v>
      </c>
      <c r="H108" s="44">
        <f t="shared" si="39"/>
        <v>4.6728971962616819E-3</v>
      </c>
      <c r="I108" s="44">
        <f t="shared" si="39"/>
        <v>0.1542056074766355</v>
      </c>
      <c r="J108" s="44">
        <f t="shared" si="39"/>
        <v>0.2570093457943925</v>
      </c>
      <c r="K108" s="44">
        <f t="shared" si="39"/>
        <v>1.8691588785046728E-2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WOBULENZI-ZIROBWE'!C3:G3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'21.10 WOBULENZI-ZIROBWE-24h'!D5</f>
        <v>21.10.19</v>
      </c>
      <c r="E5" s="3"/>
      <c r="F5" s="41" t="s">
        <v>1</v>
      </c>
      <c r="G5" s="59" t="s">
        <v>171</v>
      </c>
      <c r="H5" s="60"/>
      <c r="I5" s="14"/>
      <c r="J5" s="2" t="s">
        <v>5</v>
      </c>
      <c r="K5" s="59" t="str">
        <f>'21.10 WOBULENZI-ZIROBWE-24h'!K5:L5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ZIROBWE-WOBULENZI'!D6:E6</f>
        <v>ZIROBWE</v>
      </c>
      <c r="E6" s="60"/>
      <c r="F6" s="2" t="s">
        <v>2</v>
      </c>
      <c r="G6" s="59" t="str">
        <f>'22.10 ZIROBWE-WOBULENZI'!G6:H6</f>
        <v>WOBULENZI</v>
      </c>
      <c r="H6" s="60"/>
      <c r="J6" s="2" t="s">
        <v>21</v>
      </c>
      <c r="K6" s="59" t="str">
        <f>'21.10 WOBULENZI-ZIROBWE-24h'!K6:L6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1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</v>
      </c>
      <c r="N10" s="50">
        <v>0</v>
      </c>
      <c r="O10" s="15">
        <f t="shared" ref="O10:O73" si="0">SUM(C10:L10,N10)</f>
        <v>1</v>
      </c>
      <c r="P10" s="15">
        <f t="shared" ref="P10:P73" si="1">SUM(C10:N10)</f>
        <v>2</v>
      </c>
      <c r="R10" s="1" t="s">
        <v>6</v>
      </c>
      <c r="S10" s="17">
        <f t="shared" ref="S10:AF10" si="2">SUM(C10:C13)</f>
        <v>1</v>
      </c>
      <c r="T10" s="17">
        <f t="shared" si="2"/>
        <v>3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16</v>
      </c>
      <c r="AD10" s="17">
        <f t="shared" si="2"/>
        <v>0</v>
      </c>
      <c r="AE10" s="31">
        <f t="shared" si="2"/>
        <v>6</v>
      </c>
      <c r="AF10" s="31">
        <f t="shared" si="2"/>
        <v>22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</v>
      </c>
      <c r="N11" s="50">
        <v>0</v>
      </c>
      <c r="O11" s="15">
        <f t="shared" si="0"/>
        <v>1</v>
      </c>
      <c r="P11" s="15">
        <f t="shared" si="1"/>
        <v>3</v>
      </c>
      <c r="R11" s="1" t="s">
        <v>7</v>
      </c>
      <c r="S11" s="17">
        <f t="shared" ref="S11:AF11" si="3">SUM(C14:C17)</f>
        <v>2</v>
      </c>
      <c r="T11" s="17">
        <f t="shared" si="3"/>
        <v>0</v>
      </c>
      <c r="U11" s="17">
        <f t="shared" si="3"/>
        <v>1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28</v>
      </c>
      <c r="AD11" s="17">
        <f t="shared" si="3"/>
        <v>0</v>
      </c>
      <c r="AE11" s="31">
        <f t="shared" si="3"/>
        <v>7</v>
      </c>
      <c r="AF11" s="31">
        <f t="shared" si="3"/>
        <v>35</v>
      </c>
    </row>
    <row r="12" spans="2:32" ht="23.1" customHeight="1" x14ac:dyDescent="0.25">
      <c r="B12" s="45" t="s">
        <v>39</v>
      </c>
      <c r="C12" s="50">
        <v>0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6</v>
      </c>
      <c r="N12" s="50">
        <v>0</v>
      </c>
      <c r="O12" s="15">
        <f t="shared" si="0"/>
        <v>1</v>
      </c>
      <c r="P12" s="15">
        <f t="shared" si="1"/>
        <v>7</v>
      </c>
      <c r="R12" s="1" t="s">
        <v>8</v>
      </c>
      <c r="S12" s="17">
        <f t="shared" ref="S12:AF12" si="4">SUM(C18:C21)</f>
        <v>4</v>
      </c>
      <c r="T12" s="17">
        <f t="shared" si="4"/>
        <v>2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28</v>
      </c>
      <c r="AD12" s="17">
        <f t="shared" si="4"/>
        <v>0</v>
      </c>
      <c r="AE12" s="31">
        <f t="shared" si="4"/>
        <v>11</v>
      </c>
      <c r="AF12" s="31">
        <f t="shared" si="4"/>
        <v>39</v>
      </c>
    </row>
    <row r="13" spans="2:32" ht="23.1" customHeight="1" x14ac:dyDescent="0.25">
      <c r="B13" s="45" t="s">
        <v>40</v>
      </c>
      <c r="C13" s="50">
        <v>1</v>
      </c>
      <c r="D13" s="50">
        <v>1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7</v>
      </c>
      <c r="N13" s="50">
        <v>0</v>
      </c>
      <c r="O13" s="15">
        <f t="shared" si="0"/>
        <v>3</v>
      </c>
      <c r="P13" s="15">
        <f t="shared" si="1"/>
        <v>10</v>
      </c>
      <c r="R13" s="1" t="s">
        <v>9</v>
      </c>
      <c r="S13" s="17">
        <f t="shared" ref="S13:AF13" si="5">SUM(C22:C25)</f>
        <v>1</v>
      </c>
      <c r="T13" s="17">
        <f t="shared" si="5"/>
        <v>1</v>
      </c>
      <c r="U13" s="17">
        <f t="shared" si="5"/>
        <v>2</v>
      </c>
      <c r="V13" s="17">
        <f t="shared" si="5"/>
        <v>2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83</v>
      </c>
      <c r="AD13" s="17">
        <f t="shared" si="5"/>
        <v>0</v>
      </c>
      <c r="AE13" s="31">
        <f t="shared" si="5"/>
        <v>10</v>
      </c>
      <c r="AF13" s="31">
        <f t="shared" si="5"/>
        <v>93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8</v>
      </c>
      <c r="N14" s="50">
        <v>0</v>
      </c>
      <c r="O14" s="15">
        <f t="shared" si="0"/>
        <v>0</v>
      </c>
      <c r="P14" s="15">
        <f t="shared" si="1"/>
        <v>8</v>
      </c>
      <c r="R14" s="1" t="s">
        <v>10</v>
      </c>
      <c r="S14" s="17">
        <f t="shared" ref="S14:AF14" si="6">SUM(C26:C29)</f>
        <v>5</v>
      </c>
      <c r="T14" s="17">
        <f t="shared" si="6"/>
        <v>2</v>
      </c>
      <c r="U14" s="17">
        <f t="shared" si="6"/>
        <v>0</v>
      </c>
      <c r="V14" s="17">
        <f t="shared" si="6"/>
        <v>0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91</v>
      </c>
      <c r="AD14" s="17">
        <f t="shared" si="6"/>
        <v>0</v>
      </c>
      <c r="AE14" s="31">
        <f t="shared" si="6"/>
        <v>19</v>
      </c>
      <c r="AF14" s="31">
        <f t="shared" si="6"/>
        <v>110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</v>
      </c>
      <c r="N15" s="50">
        <v>0</v>
      </c>
      <c r="O15" s="15">
        <f t="shared" si="0"/>
        <v>1</v>
      </c>
      <c r="P15" s="15">
        <f t="shared" si="1"/>
        <v>5</v>
      </c>
      <c r="R15" s="1" t="s">
        <v>11</v>
      </c>
      <c r="S15" s="17">
        <f t="shared" ref="S15:AF15" si="7">SUM(C30:C33)</f>
        <v>3</v>
      </c>
      <c r="T15" s="17">
        <f t="shared" si="7"/>
        <v>1</v>
      </c>
      <c r="U15" s="17">
        <f t="shared" si="7"/>
        <v>1</v>
      </c>
      <c r="V15" s="17">
        <f t="shared" si="7"/>
        <v>2</v>
      </c>
      <c r="W15" s="17">
        <f t="shared" si="7"/>
        <v>1</v>
      </c>
      <c r="X15" s="17">
        <f t="shared" si="7"/>
        <v>0</v>
      </c>
      <c r="Y15" s="17">
        <f t="shared" si="7"/>
        <v>1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86</v>
      </c>
      <c r="AD15" s="17">
        <f t="shared" si="7"/>
        <v>0</v>
      </c>
      <c r="AE15" s="31">
        <f t="shared" si="7"/>
        <v>11</v>
      </c>
      <c r="AF15" s="31">
        <f t="shared" si="7"/>
        <v>97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</v>
      </c>
      <c r="N16" s="50">
        <v>0</v>
      </c>
      <c r="O16" s="15">
        <f t="shared" si="0"/>
        <v>3</v>
      </c>
      <c r="P16" s="15">
        <f t="shared" si="1"/>
        <v>7</v>
      </c>
      <c r="R16" s="1" t="s">
        <v>12</v>
      </c>
      <c r="S16" s="17">
        <f t="shared" ref="S16:AF16" si="8">SUM(C34:C37)</f>
        <v>3</v>
      </c>
      <c r="T16" s="17">
        <f t="shared" si="8"/>
        <v>3</v>
      </c>
      <c r="U16" s="17">
        <f t="shared" si="8"/>
        <v>3</v>
      </c>
      <c r="V16" s="17">
        <f t="shared" si="8"/>
        <v>1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6</v>
      </c>
      <c r="AA16" s="17">
        <f t="shared" si="8"/>
        <v>0</v>
      </c>
      <c r="AB16" s="17">
        <f t="shared" si="8"/>
        <v>0</v>
      </c>
      <c r="AC16" s="17">
        <f t="shared" si="8"/>
        <v>111</v>
      </c>
      <c r="AD16" s="17">
        <f t="shared" si="8"/>
        <v>0</v>
      </c>
      <c r="AE16" s="31">
        <f t="shared" si="8"/>
        <v>21</v>
      </c>
      <c r="AF16" s="31">
        <f t="shared" si="8"/>
        <v>132</v>
      </c>
    </row>
    <row r="17" spans="2:32" ht="23.1" customHeight="1" x14ac:dyDescent="0.25">
      <c r="B17" s="45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3</v>
      </c>
      <c r="K17" s="50">
        <v>0</v>
      </c>
      <c r="L17" s="50">
        <v>0</v>
      </c>
      <c r="M17" s="50">
        <v>12</v>
      </c>
      <c r="N17" s="50">
        <v>0</v>
      </c>
      <c r="O17" s="15">
        <f t="shared" si="0"/>
        <v>3</v>
      </c>
      <c r="P17" s="15">
        <f t="shared" si="1"/>
        <v>15</v>
      </c>
      <c r="R17" s="1" t="s">
        <v>13</v>
      </c>
      <c r="S17" s="17">
        <f t="shared" ref="S17:AF17" si="9">SUM(C38:C41)</f>
        <v>6</v>
      </c>
      <c r="T17" s="17">
        <f t="shared" si="9"/>
        <v>1</v>
      </c>
      <c r="U17" s="17">
        <f t="shared" si="9"/>
        <v>2</v>
      </c>
      <c r="V17" s="17">
        <f t="shared" si="9"/>
        <v>3</v>
      </c>
      <c r="W17" s="17">
        <f t="shared" si="9"/>
        <v>1</v>
      </c>
      <c r="X17" s="17">
        <f t="shared" si="9"/>
        <v>0</v>
      </c>
      <c r="Y17" s="17">
        <f t="shared" si="9"/>
        <v>2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104</v>
      </c>
      <c r="AD17" s="17">
        <f t="shared" si="9"/>
        <v>0</v>
      </c>
      <c r="AE17" s="31">
        <f t="shared" si="9"/>
        <v>17</v>
      </c>
      <c r="AF17" s="31">
        <f t="shared" si="9"/>
        <v>121</v>
      </c>
    </row>
    <row r="18" spans="2:32" ht="23.1" customHeight="1" x14ac:dyDescent="0.25">
      <c r="B18" s="45" t="s">
        <v>45</v>
      </c>
      <c r="C18" s="50">
        <v>2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7</v>
      </c>
      <c r="N18" s="50">
        <v>0</v>
      </c>
      <c r="O18" s="15">
        <f t="shared" si="0"/>
        <v>3</v>
      </c>
      <c r="P18" s="15">
        <f t="shared" si="1"/>
        <v>10</v>
      </c>
      <c r="R18" s="1" t="s">
        <v>14</v>
      </c>
      <c r="S18" s="17">
        <f t="shared" ref="S18:AF18" si="10">SUM(C42:C45)</f>
        <v>2</v>
      </c>
      <c r="T18" s="17">
        <f t="shared" si="10"/>
        <v>3</v>
      </c>
      <c r="U18" s="17">
        <f t="shared" si="10"/>
        <v>5</v>
      </c>
      <c r="V18" s="17">
        <f t="shared" si="10"/>
        <v>3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5</v>
      </c>
      <c r="AA18" s="17">
        <f t="shared" si="10"/>
        <v>1</v>
      </c>
      <c r="AB18" s="17">
        <f t="shared" si="10"/>
        <v>0</v>
      </c>
      <c r="AC18" s="17">
        <f t="shared" si="10"/>
        <v>106</v>
      </c>
      <c r="AD18" s="17">
        <f t="shared" si="10"/>
        <v>0</v>
      </c>
      <c r="AE18" s="31">
        <f t="shared" si="10"/>
        <v>25</v>
      </c>
      <c r="AF18" s="31">
        <f t="shared" si="10"/>
        <v>131</v>
      </c>
    </row>
    <row r="19" spans="2:32" ht="23.1" customHeight="1" x14ac:dyDescent="0.25">
      <c r="B19" s="45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3</v>
      </c>
      <c r="K19" s="50">
        <v>0</v>
      </c>
      <c r="L19" s="50">
        <v>0</v>
      </c>
      <c r="M19" s="50">
        <v>6</v>
      </c>
      <c r="N19" s="50">
        <v>0</v>
      </c>
      <c r="O19" s="15">
        <f t="shared" si="0"/>
        <v>3</v>
      </c>
      <c r="P19" s="15">
        <f t="shared" si="1"/>
        <v>9</v>
      </c>
      <c r="R19" s="1" t="s">
        <v>15</v>
      </c>
      <c r="S19" s="17">
        <f t="shared" ref="S19:AF19" si="11">SUM(C46:C49)</f>
        <v>1</v>
      </c>
      <c r="T19" s="17">
        <f t="shared" si="11"/>
        <v>1</v>
      </c>
      <c r="U19" s="17">
        <f t="shared" si="11"/>
        <v>0</v>
      </c>
      <c r="V19" s="17">
        <f t="shared" si="11"/>
        <v>1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7</v>
      </c>
      <c r="AA19" s="17">
        <f t="shared" si="11"/>
        <v>0</v>
      </c>
      <c r="AB19" s="17">
        <f t="shared" si="11"/>
        <v>0</v>
      </c>
      <c r="AC19" s="17">
        <f t="shared" si="11"/>
        <v>104</v>
      </c>
      <c r="AD19" s="17">
        <f t="shared" si="11"/>
        <v>0</v>
      </c>
      <c r="AE19" s="31">
        <f t="shared" si="11"/>
        <v>12</v>
      </c>
      <c r="AF19" s="31">
        <f t="shared" si="11"/>
        <v>116</v>
      </c>
    </row>
    <row r="20" spans="2:32" ht="23.1" customHeight="1" x14ac:dyDescent="0.25">
      <c r="B20" s="45" t="s">
        <v>47</v>
      </c>
      <c r="C20" s="50">
        <v>1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4</v>
      </c>
      <c r="N20" s="50">
        <v>0</v>
      </c>
      <c r="O20" s="15">
        <f t="shared" si="0"/>
        <v>1</v>
      </c>
      <c r="P20" s="15">
        <f t="shared" si="1"/>
        <v>5</v>
      </c>
      <c r="R20" s="1" t="s">
        <v>16</v>
      </c>
      <c r="S20" s="17">
        <f t="shared" ref="S20:AF20" si="12">SUM(C50:C53)</f>
        <v>3</v>
      </c>
      <c r="T20" s="17">
        <f t="shared" si="12"/>
        <v>4</v>
      </c>
      <c r="U20" s="17">
        <f t="shared" si="12"/>
        <v>0</v>
      </c>
      <c r="V20" s="17">
        <f t="shared" si="12"/>
        <v>1</v>
      </c>
      <c r="W20" s="17">
        <f t="shared" si="12"/>
        <v>0</v>
      </c>
      <c r="X20" s="17">
        <f t="shared" si="12"/>
        <v>0</v>
      </c>
      <c r="Y20" s="17">
        <f t="shared" si="12"/>
        <v>0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93</v>
      </c>
      <c r="AD20" s="17">
        <f t="shared" si="12"/>
        <v>0</v>
      </c>
      <c r="AE20" s="31">
        <f t="shared" si="12"/>
        <v>13</v>
      </c>
      <c r="AF20" s="31">
        <f t="shared" si="12"/>
        <v>106</v>
      </c>
    </row>
    <row r="21" spans="2:32" ht="23.1" customHeight="1" x14ac:dyDescent="0.25">
      <c r="B21" s="45" t="s">
        <v>48</v>
      </c>
      <c r="C21" s="50">
        <v>1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11</v>
      </c>
      <c r="N21" s="50">
        <v>0</v>
      </c>
      <c r="O21" s="15">
        <f t="shared" si="0"/>
        <v>4</v>
      </c>
      <c r="P21" s="15">
        <f t="shared" si="1"/>
        <v>15</v>
      </c>
      <c r="R21" s="36" t="s">
        <v>20</v>
      </c>
      <c r="S21" s="34">
        <f t="shared" ref="S21:AF21" si="13">SUM(C54:C57)</f>
        <v>0</v>
      </c>
      <c r="T21" s="17">
        <f t="shared" si="13"/>
        <v>0</v>
      </c>
      <c r="U21" s="17">
        <f t="shared" si="13"/>
        <v>2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113</v>
      </c>
      <c r="AD21" s="17">
        <f t="shared" si="13"/>
        <v>0</v>
      </c>
      <c r="AE21" s="31">
        <f t="shared" si="13"/>
        <v>5</v>
      </c>
      <c r="AF21" s="31">
        <f t="shared" si="13"/>
        <v>118</v>
      </c>
    </row>
    <row r="22" spans="2:32" ht="23.1" customHeight="1" x14ac:dyDescent="0.25">
      <c r="B22" s="45" t="s">
        <v>49</v>
      </c>
      <c r="C22" s="50">
        <v>1</v>
      </c>
      <c r="D22" s="50">
        <v>0</v>
      </c>
      <c r="E22" s="50">
        <v>2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0</v>
      </c>
      <c r="M22" s="50">
        <v>26</v>
      </c>
      <c r="N22" s="50">
        <v>0</v>
      </c>
      <c r="O22" s="15">
        <f t="shared" si="0"/>
        <v>3</v>
      </c>
      <c r="P22" s="15">
        <f t="shared" si="1"/>
        <v>29</v>
      </c>
      <c r="R22" s="36" t="s">
        <v>146</v>
      </c>
      <c r="S22" s="34">
        <f>SUM(C58:C61)</f>
        <v>3</v>
      </c>
      <c r="T22" s="34">
        <f t="shared" ref="T22:AF22" si="14">SUM(D58:D61)</f>
        <v>0</v>
      </c>
      <c r="U22" s="34">
        <f t="shared" si="14"/>
        <v>0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4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90</v>
      </c>
      <c r="AD22" s="34">
        <f t="shared" si="14"/>
        <v>0</v>
      </c>
      <c r="AE22" s="31">
        <f t="shared" si="14"/>
        <v>10</v>
      </c>
      <c r="AF22" s="31">
        <f t="shared" si="14"/>
        <v>100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18</v>
      </c>
      <c r="N23" s="50">
        <v>0</v>
      </c>
      <c r="O23" s="15">
        <f t="shared" si="0"/>
        <v>0</v>
      </c>
      <c r="P23" s="15">
        <f t="shared" si="1"/>
        <v>18</v>
      </c>
      <c r="R23" s="36" t="s">
        <v>147</v>
      </c>
      <c r="S23" s="34">
        <f>SUM(C62:C65)</f>
        <v>2</v>
      </c>
      <c r="T23" s="34">
        <f t="shared" ref="T23:AF23" si="15">SUM(D62:D65)</f>
        <v>0</v>
      </c>
      <c r="U23" s="34">
        <f t="shared" si="15"/>
        <v>2</v>
      </c>
      <c r="V23" s="34">
        <f t="shared" si="15"/>
        <v>4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71</v>
      </c>
      <c r="AD23" s="34">
        <f t="shared" si="15"/>
        <v>0</v>
      </c>
      <c r="AE23" s="31">
        <f t="shared" si="15"/>
        <v>11</v>
      </c>
      <c r="AF23" s="31">
        <f t="shared" si="15"/>
        <v>82</v>
      </c>
    </row>
    <row r="24" spans="2:32" ht="23.1" customHeight="1" x14ac:dyDescent="0.25">
      <c r="B24" s="45" t="s">
        <v>51</v>
      </c>
      <c r="C24" s="50">
        <v>0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21</v>
      </c>
      <c r="N24" s="50">
        <v>0</v>
      </c>
      <c r="O24" s="15">
        <f t="shared" si="0"/>
        <v>2</v>
      </c>
      <c r="P24" s="15">
        <f t="shared" si="1"/>
        <v>23</v>
      </c>
      <c r="R24" s="36" t="s">
        <v>148</v>
      </c>
      <c r="S24" s="34">
        <f>SUM(C66:C69)</f>
        <v>0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6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63</v>
      </c>
      <c r="AD24" s="34">
        <f t="shared" si="16"/>
        <v>0</v>
      </c>
      <c r="AE24" s="31">
        <f t="shared" si="16"/>
        <v>8</v>
      </c>
      <c r="AF24" s="31">
        <f t="shared" si="16"/>
        <v>71</v>
      </c>
    </row>
    <row r="25" spans="2:32" ht="23.1" customHeight="1" x14ac:dyDescent="0.25">
      <c r="B25" s="45" t="s">
        <v>52</v>
      </c>
      <c r="C25" s="50">
        <v>0</v>
      </c>
      <c r="D25" s="50">
        <v>1</v>
      </c>
      <c r="E25" s="50">
        <v>0</v>
      </c>
      <c r="F25" s="50">
        <v>1</v>
      </c>
      <c r="G25" s="50">
        <v>0</v>
      </c>
      <c r="H25" s="50">
        <v>0</v>
      </c>
      <c r="I25" s="50">
        <v>0</v>
      </c>
      <c r="J25" s="50">
        <v>3</v>
      </c>
      <c r="K25" s="50">
        <v>0</v>
      </c>
      <c r="L25" s="50">
        <v>0</v>
      </c>
      <c r="M25" s="50">
        <v>18</v>
      </c>
      <c r="N25" s="50">
        <v>0</v>
      </c>
      <c r="O25" s="15">
        <f t="shared" si="0"/>
        <v>5</v>
      </c>
      <c r="P25" s="15">
        <f t="shared" si="1"/>
        <v>23</v>
      </c>
      <c r="R25" s="36" t="s">
        <v>149</v>
      </c>
      <c r="S25" s="34">
        <f>SUM(C70:C73)</f>
        <v>2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30</v>
      </c>
      <c r="AD25" s="34">
        <f t="shared" si="17"/>
        <v>0</v>
      </c>
      <c r="AE25" s="31">
        <f t="shared" si="17"/>
        <v>5</v>
      </c>
      <c r="AF25" s="31">
        <f t="shared" si="17"/>
        <v>35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0</v>
      </c>
      <c r="F26" s="50">
        <v>0</v>
      </c>
      <c r="G26" s="50">
        <v>1</v>
      </c>
      <c r="H26" s="50">
        <v>0</v>
      </c>
      <c r="I26" s="50">
        <v>0</v>
      </c>
      <c r="J26" s="50">
        <v>3</v>
      </c>
      <c r="K26" s="50">
        <v>0</v>
      </c>
      <c r="L26" s="50">
        <v>0</v>
      </c>
      <c r="M26" s="50">
        <v>14</v>
      </c>
      <c r="N26" s="50">
        <v>0</v>
      </c>
      <c r="O26" s="15">
        <f t="shared" si="0"/>
        <v>4</v>
      </c>
      <c r="P26" s="15">
        <f t="shared" si="1"/>
        <v>18</v>
      </c>
      <c r="R26" s="36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2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11</v>
      </c>
      <c r="AD26" s="34">
        <f t="shared" si="18"/>
        <v>0</v>
      </c>
      <c r="AE26" s="31">
        <f t="shared" si="18"/>
        <v>4</v>
      </c>
      <c r="AF26" s="31">
        <f t="shared" si="18"/>
        <v>15</v>
      </c>
    </row>
    <row r="27" spans="2:32" ht="23.1" customHeight="1" x14ac:dyDescent="0.25">
      <c r="B27" s="45" t="s">
        <v>54</v>
      </c>
      <c r="C27" s="50">
        <v>1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1</v>
      </c>
      <c r="J27" s="50">
        <v>4</v>
      </c>
      <c r="K27" s="50">
        <v>0</v>
      </c>
      <c r="L27" s="50">
        <v>0</v>
      </c>
      <c r="M27" s="50">
        <v>31</v>
      </c>
      <c r="N27" s="50">
        <v>0</v>
      </c>
      <c r="O27" s="15">
        <f t="shared" si="0"/>
        <v>6</v>
      </c>
      <c r="P27" s="15">
        <f t="shared" si="1"/>
        <v>37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5</v>
      </c>
      <c r="AD27" s="34">
        <f t="shared" si="19"/>
        <v>0</v>
      </c>
      <c r="AE27" s="31">
        <f t="shared" si="19"/>
        <v>1</v>
      </c>
      <c r="AF27" s="31">
        <f t="shared" si="19"/>
        <v>6</v>
      </c>
    </row>
    <row r="28" spans="2:32" ht="23.1" customHeight="1" x14ac:dyDescent="0.25">
      <c r="B28" s="45" t="s">
        <v>55</v>
      </c>
      <c r="C28" s="50">
        <v>2</v>
      </c>
      <c r="D28" s="50">
        <v>1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28</v>
      </c>
      <c r="N28" s="50">
        <v>0</v>
      </c>
      <c r="O28" s="15">
        <f t="shared" si="0"/>
        <v>4</v>
      </c>
      <c r="P28" s="15">
        <f t="shared" si="1"/>
        <v>32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2</v>
      </c>
      <c r="AD28" s="34">
        <f t="shared" si="20"/>
        <v>0</v>
      </c>
      <c r="AE28" s="31">
        <f t="shared" si="20"/>
        <v>0</v>
      </c>
      <c r="AF28" s="31">
        <f t="shared" si="20"/>
        <v>2</v>
      </c>
    </row>
    <row r="29" spans="2:32" ht="23.1" customHeight="1" x14ac:dyDescent="0.25">
      <c r="B29" s="45" t="s">
        <v>56</v>
      </c>
      <c r="C29" s="50">
        <v>2</v>
      </c>
      <c r="D29" s="50">
        <v>1</v>
      </c>
      <c r="E29" s="50">
        <v>0</v>
      </c>
      <c r="F29" s="50">
        <v>0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18</v>
      </c>
      <c r="N29" s="50">
        <v>0</v>
      </c>
      <c r="O29" s="15">
        <f t="shared" si="0"/>
        <v>5</v>
      </c>
      <c r="P29" s="15">
        <f t="shared" si="1"/>
        <v>23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45" t="s">
        <v>57</v>
      </c>
      <c r="C30" s="50">
        <v>0</v>
      </c>
      <c r="D30" s="50">
        <v>0</v>
      </c>
      <c r="E30" s="50">
        <v>0</v>
      </c>
      <c r="F30" s="50">
        <v>1</v>
      </c>
      <c r="G30" s="50">
        <v>1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21</v>
      </c>
      <c r="N30" s="50">
        <v>0</v>
      </c>
      <c r="O30" s="15">
        <f t="shared" si="0"/>
        <v>5</v>
      </c>
      <c r="P30" s="15">
        <f t="shared" si="1"/>
        <v>26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1</v>
      </c>
      <c r="AF30" s="31">
        <f t="shared" si="22"/>
        <v>1</v>
      </c>
    </row>
    <row r="31" spans="2:32" ht="23.1" customHeight="1" x14ac:dyDescent="0.25">
      <c r="B31" s="46" t="s">
        <v>58</v>
      </c>
      <c r="C31" s="50">
        <v>1</v>
      </c>
      <c r="D31" s="50">
        <v>0</v>
      </c>
      <c r="E31" s="50">
        <v>1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21</v>
      </c>
      <c r="N31" s="50">
        <v>0</v>
      </c>
      <c r="O31" s="15">
        <f t="shared" si="0"/>
        <v>2</v>
      </c>
      <c r="P31" s="15">
        <f t="shared" si="1"/>
        <v>23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2</v>
      </c>
      <c r="AF31" s="31">
        <f t="shared" si="23"/>
        <v>2</v>
      </c>
    </row>
    <row r="32" spans="2:32" ht="23.1" customHeight="1" x14ac:dyDescent="0.25">
      <c r="B32" s="46" t="s">
        <v>59</v>
      </c>
      <c r="C32" s="50">
        <v>2</v>
      </c>
      <c r="D32" s="50">
        <v>1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26</v>
      </c>
      <c r="N32" s="50">
        <v>0</v>
      </c>
      <c r="O32" s="15">
        <f t="shared" si="0"/>
        <v>4</v>
      </c>
      <c r="P32" s="15">
        <f t="shared" si="1"/>
        <v>30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0</v>
      </c>
      <c r="AF32" s="31">
        <f t="shared" si="24"/>
        <v>3</v>
      </c>
    </row>
    <row r="33" spans="2:32" ht="23.1" customHeight="1" x14ac:dyDescent="0.25">
      <c r="B33" s="45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18</v>
      </c>
      <c r="N33" s="50">
        <v>0</v>
      </c>
      <c r="O33" s="15">
        <f t="shared" si="0"/>
        <v>0</v>
      </c>
      <c r="P33" s="15">
        <f t="shared" si="1"/>
        <v>18</v>
      </c>
      <c r="R33" s="33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2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23</v>
      </c>
      <c r="AD33" s="34">
        <f t="shared" si="25"/>
        <v>0</v>
      </c>
      <c r="AE33" s="31">
        <f t="shared" si="25"/>
        <v>2</v>
      </c>
      <c r="AF33" s="31">
        <f t="shared" si="25"/>
        <v>25</v>
      </c>
    </row>
    <row r="34" spans="2:32" ht="23.1" customHeight="1" x14ac:dyDescent="0.25">
      <c r="B34" s="46" t="s">
        <v>61</v>
      </c>
      <c r="C34" s="50">
        <v>2</v>
      </c>
      <c r="D34" s="50">
        <v>0</v>
      </c>
      <c r="E34" s="50">
        <v>1</v>
      </c>
      <c r="F34" s="50">
        <v>1</v>
      </c>
      <c r="G34" s="50">
        <v>0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30</v>
      </c>
      <c r="N34" s="50">
        <v>0</v>
      </c>
      <c r="O34" s="15">
        <f t="shared" si="0"/>
        <v>6</v>
      </c>
      <c r="P34" s="15">
        <f t="shared" si="1"/>
        <v>36</v>
      </c>
      <c r="R34" s="38" t="s">
        <v>90</v>
      </c>
      <c r="S34" s="39">
        <f t="shared" ref="S34:AF34" si="26">MAX(S10:S12)</f>
        <v>4</v>
      </c>
      <c r="T34" s="39">
        <f t="shared" si="26"/>
        <v>3</v>
      </c>
      <c r="U34" s="39">
        <f t="shared" si="26"/>
        <v>1</v>
      </c>
      <c r="V34" s="39">
        <f t="shared" si="26"/>
        <v>1</v>
      </c>
      <c r="W34" s="39">
        <f t="shared" si="26"/>
        <v>0</v>
      </c>
      <c r="X34" s="39">
        <f t="shared" si="26"/>
        <v>0</v>
      </c>
      <c r="Y34" s="39">
        <f t="shared" si="26"/>
        <v>1</v>
      </c>
      <c r="Z34" s="39">
        <f t="shared" si="26"/>
        <v>4</v>
      </c>
      <c r="AA34" s="39">
        <f t="shared" si="26"/>
        <v>0</v>
      </c>
      <c r="AB34" s="39">
        <f t="shared" si="26"/>
        <v>0</v>
      </c>
      <c r="AC34" s="39">
        <f t="shared" si="26"/>
        <v>28</v>
      </c>
      <c r="AD34" s="39">
        <f t="shared" si="26"/>
        <v>0</v>
      </c>
      <c r="AE34" s="40">
        <f t="shared" si="26"/>
        <v>11</v>
      </c>
      <c r="AF34" s="40">
        <f t="shared" si="26"/>
        <v>39</v>
      </c>
    </row>
    <row r="35" spans="2:32" ht="23.1" customHeight="1" x14ac:dyDescent="0.25">
      <c r="B35" s="46" t="s">
        <v>62</v>
      </c>
      <c r="C35" s="50">
        <v>1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5</v>
      </c>
      <c r="P35" s="15">
        <f t="shared" si="1"/>
        <v>30</v>
      </c>
      <c r="R35" s="38" t="s">
        <v>91</v>
      </c>
      <c r="S35" s="39">
        <f t="shared" ref="S35:AF35" si="27">MAX(S13:S18)</f>
        <v>6</v>
      </c>
      <c r="T35" s="39">
        <f t="shared" si="27"/>
        <v>3</v>
      </c>
      <c r="U35" s="39">
        <f t="shared" si="27"/>
        <v>5</v>
      </c>
      <c r="V35" s="39">
        <f t="shared" si="27"/>
        <v>3</v>
      </c>
      <c r="W35" s="39">
        <f t="shared" si="27"/>
        <v>1</v>
      </c>
      <c r="X35" s="39">
        <f t="shared" si="27"/>
        <v>1</v>
      </c>
      <c r="Y35" s="39">
        <f t="shared" si="27"/>
        <v>6</v>
      </c>
      <c r="Z35" s="39">
        <f t="shared" si="27"/>
        <v>8</v>
      </c>
      <c r="AA35" s="39">
        <f t="shared" si="27"/>
        <v>1</v>
      </c>
      <c r="AB35" s="39">
        <f t="shared" si="27"/>
        <v>0</v>
      </c>
      <c r="AC35" s="39">
        <f t="shared" si="27"/>
        <v>111</v>
      </c>
      <c r="AD35" s="39">
        <f t="shared" si="27"/>
        <v>0</v>
      </c>
      <c r="AE35" s="40">
        <f t="shared" si="27"/>
        <v>25</v>
      </c>
      <c r="AF35" s="40">
        <f t="shared" si="27"/>
        <v>132</v>
      </c>
    </row>
    <row r="36" spans="2:32" ht="23.1" customHeight="1" x14ac:dyDescent="0.25">
      <c r="B36" s="46" t="s">
        <v>63</v>
      </c>
      <c r="C36" s="50">
        <v>0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26</v>
      </c>
      <c r="N36" s="50">
        <v>0</v>
      </c>
      <c r="O36" s="15">
        <f t="shared" si="0"/>
        <v>5</v>
      </c>
      <c r="P36" s="15">
        <f t="shared" si="1"/>
        <v>31</v>
      </c>
      <c r="R36" s="38" t="s">
        <v>92</v>
      </c>
      <c r="S36" s="39">
        <f t="shared" ref="S36:AF36" si="28">MAX(S19:S21)</f>
        <v>3</v>
      </c>
      <c r="T36" s="39">
        <f t="shared" si="28"/>
        <v>4</v>
      </c>
      <c r="U36" s="39">
        <f t="shared" si="28"/>
        <v>2</v>
      </c>
      <c r="V36" s="39">
        <f t="shared" si="28"/>
        <v>1</v>
      </c>
      <c r="W36" s="39">
        <f t="shared" si="28"/>
        <v>0</v>
      </c>
      <c r="X36" s="39">
        <f t="shared" si="28"/>
        <v>0</v>
      </c>
      <c r="Y36" s="39">
        <f t="shared" si="28"/>
        <v>2</v>
      </c>
      <c r="Z36" s="39">
        <f t="shared" si="28"/>
        <v>7</v>
      </c>
      <c r="AA36" s="39">
        <f t="shared" si="28"/>
        <v>0</v>
      </c>
      <c r="AB36" s="39">
        <f t="shared" si="28"/>
        <v>0</v>
      </c>
      <c r="AC36" s="39">
        <f t="shared" si="28"/>
        <v>113</v>
      </c>
      <c r="AD36" s="39">
        <f t="shared" si="28"/>
        <v>0</v>
      </c>
      <c r="AE36" s="40">
        <f t="shared" si="28"/>
        <v>13</v>
      </c>
      <c r="AF36" s="40">
        <f t="shared" si="28"/>
        <v>118</v>
      </c>
    </row>
    <row r="37" spans="2:32" ht="23.1" customHeight="1" x14ac:dyDescent="0.25">
      <c r="B37" s="45" t="s">
        <v>64</v>
      </c>
      <c r="C37" s="50">
        <v>0</v>
      </c>
      <c r="D37" s="50">
        <v>1</v>
      </c>
      <c r="E37" s="50">
        <v>1</v>
      </c>
      <c r="F37" s="50">
        <v>0</v>
      </c>
      <c r="G37" s="50">
        <v>0</v>
      </c>
      <c r="H37" s="50">
        <v>1</v>
      </c>
      <c r="I37" s="50">
        <v>1</v>
      </c>
      <c r="J37" s="50">
        <v>1</v>
      </c>
      <c r="K37" s="50">
        <v>0</v>
      </c>
      <c r="L37" s="50">
        <v>0</v>
      </c>
      <c r="M37" s="50">
        <v>30</v>
      </c>
      <c r="N37" s="50">
        <v>0</v>
      </c>
      <c r="O37" s="15">
        <f t="shared" si="0"/>
        <v>5</v>
      </c>
      <c r="P37" s="15">
        <f t="shared" si="1"/>
        <v>35</v>
      </c>
      <c r="R37" s="37" t="s">
        <v>85</v>
      </c>
      <c r="S37" s="35">
        <f t="shared" ref="S37:AF37" si="29">SUM(S10:S12)</f>
        <v>7</v>
      </c>
      <c r="T37" s="16">
        <f t="shared" si="29"/>
        <v>5</v>
      </c>
      <c r="U37" s="16">
        <f t="shared" si="29"/>
        <v>1</v>
      </c>
      <c r="V37" s="16">
        <f t="shared" si="29"/>
        <v>1</v>
      </c>
      <c r="W37" s="16">
        <f t="shared" si="29"/>
        <v>0</v>
      </c>
      <c r="X37" s="16">
        <f t="shared" si="29"/>
        <v>0</v>
      </c>
      <c r="Y37" s="16">
        <f t="shared" si="29"/>
        <v>2</v>
      </c>
      <c r="Z37" s="16">
        <f t="shared" si="29"/>
        <v>8</v>
      </c>
      <c r="AA37" s="16">
        <f t="shared" si="29"/>
        <v>0</v>
      </c>
      <c r="AB37" s="16">
        <f t="shared" si="29"/>
        <v>0</v>
      </c>
      <c r="AC37" s="16">
        <f t="shared" si="29"/>
        <v>72</v>
      </c>
      <c r="AD37" s="16">
        <f t="shared" si="29"/>
        <v>0</v>
      </c>
      <c r="AE37" s="32">
        <f t="shared" si="29"/>
        <v>24</v>
      </c>
      <c r="AF37" s="32">
        <f t="shared" si="29"/>
        <v>96</v>
      </c>
    </row>
    <row r="38" spans="2:32" ht="23.1" customHeight="1" x14ac:dyDescent="0.25">
      <c r="B38" s="46" t="s">
        <v>65</v>
      </c>
      <c r="C38" s="50">
        <v>1</v>
      </c>
      <c r="D38" s="50">
        <v>1</v>
      </c>
      <c r="E38" s="50">
        <v>0</v>
      </c>
      <c r="F38" s="50">
        <v>0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25</v>
      </c>
      <c r="N38" s="50">
        <v>0</v>
      </c>
      <c r="O38" s="15">
        <f t="shared" si="0"/>
        <v>4</v>
      </c>
      <c r="P38" s="15">
        <f t="shared" si="1"/>
        <v>29</v>
      </c>
      <c r="R38" s="28" t="s">
        <v>86</v>
      </c>
      <c r="S38" s="16">
        <f t="shared" ref="S38:AF38" si="30">SUM(S13:S18)</f>
        <v>20</v>
      </c>
      <c r="T38" s="16">
        <f t="shared" si="30"/>
        <v>11</v>
      </c>
      <c r="U38" s="16">
        <f t="shared" si="30"/>
        <v>13</v>
      </c>
      <c r="V38" s="16">
        <f t="shared" si="30"/>
        <v>11</v>
      </c>
      <c r="W38" s="16">
        <f t="shared" si="30"/>
        <v>3</v>
      </c>
      <c r="X38" s="16">
        <f t="shared" si="30"/>
        <v>1</v>
      </c>
      <c r="Y38" s="16">
        <f t="shared" si="30"/>
        <v>16</v>
      </c>
      <c r="Z38" s="16">
        <f t="shared" si="30"/>
        <v>27</v>
      </c>
      <c r="AA38" s="16">
        <f t="shared" si="30"/>
        <v>1</v>
      </c>
      <c r="AB38" s="16">
        <f t="shared" si="30"/>
        <v>0</v>
      </c>
      <c r="AC38" s="16">
        <f t="shared" si="30"/>
        <v>581</v>
      </c>
      <c r="AD38" s="16">
        <f t="shared" si="30"/>
        <v>0</v>
      </c>
      <c r="AE38" s="32">
        <f t="shared" si="30"/>
        <v>103</v>
      </c>
      <c r="AF38" s="32">
        <f t="shared" si="30"/>
        <v>684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1</v>
      </c>
      <c r="F39" s="50">
        <v>1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24</v>
      </c>
      <c r="N39" s="50">
        <v>0</v>
      </c>
      <c r="O39" s="15">
        <f t="shared" si="0"/>
        <v>4</v>
      </c>
      <c r="P39" s="15">
        <f t="shared" si="1"/>
        <v>28</v>
      </c>
      <c r="R39" s="29" t="s">
        <v>87</v>
      </c>
      <c r="S39" s="16">
        <f t="shared" ref="S39:AF39" si="31">SUM(S19:S21)</f>
        <v>4</v>
      </c>
      <c r="T39" s="16">
        <f t="shared" si="31"/>
        <v>5</v>
      </c>
      <c r="U39" s="16">
        <f t="shared" si="31"/>
        <v>2</v>
      </c>
      <c r="V39" s="16">
        <f t="shared" si="31"/>
        <v>3</v>
      </c>
      <c r="W39" s="16">
        <f t="shared" si="31"/>
        <v>0</v>
      </c>
      <c r="X39" s="16">
        <f t="shared" si="31"/>
        <v>0</v>
      </c>
      <c r="Y39" s="16">
        <f t="shared" si="31"/>
        <v>3</v>
      </c>
      <c r="Z39" s="16">
        <f t="shared" si="31"/>
        <v>13</v>
      </c>
      <c r="AA39" s="16">
        <f t="shared" si="31"/>
        <v>0</v>
      </c>
      <c r="AB39" s="16">
        <f t="shared" si="31"/>
        <v>0</v>
      </c>
      <c r="AC39" s="16">
        <f t="shared" si="31"/>
        <v>310</v>
      </c>
      <c r="AD39" s="16">
        <f t="shared" si="31"/>
        <v>0</v>
      </c>
      <c r="AE39" s="32">
        <f t="shared" si="31"/>
        <v>30</v>
      </c>
      <c r="AF39" s="32">
        <f t="shared" si="31"/>
        <v>340</v>
      </c>
    </row>
    <row r="40" spans="2:32" ht="23.1" customHeight="1" x14ac:dyDescent="0.25">
      <c r="B40" s="46" t="s">
        <v>67</v>
      </c>
      <c r="C40" s="50">
        <v>0</v>
      </c>
      <c r="D40" s="50">
        <v>0</v>
      </c>
      <c r="E40" s="50">
        <v>0</v>
      </c>
      <c r="F40" s="50">
        <v>1</v>
      </c>
      <c r="G40" s="50">
        <v>1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27</v>
      </c>
      <c r="N40" s="50">
        <v>0</v>
      </c>
      <c r="O40" s="15">
        <f t="shared" si="0"/>
        <v>3</v>
      </c>
      <c r="P40" s="15">
        <f t="shared" si="1"/>
        <v>30</v>
      </c>
      <c r="R40" s="5" t="s">
        <v>17</v>
      </c>
      <c r="S40" s="16">
        <f t="shared" ref="S40:AF40" si="32">SUM(S10:S21)</f>
        <v>31</v>
      </c>
      <c r="T40" s="16">
        <f t="shared" si="32"/>
        <v>21</v>
      </c>
      <c r="U40" s="16">
        <f t="shared" si="32"/>
        <v>16</v>
      </c>
      <c r="V40" s="16">
        <f t="shared" si="32"/>
        <v>15</v>
      </c>
      <c r="W40" s="16">
        <f t="shared" si="32"/>
        <v>3</v>
      </c>
      <c r="X40" s="16">
        <f t="shared" si="32"/>
        <v>1</v>
      </c>
      <c r="Y40" s="16">
        <f t="shared" si="32"/>
        <v>21</v>
      </c>
      <c r="Z40" s="16">
        <f t="shared" si="32"/>
        <v>48</v>
      </c>
      <c r="AA40" s="16">
        <f t="shared" si="32"/>
        <v>1</v>
      </c>
      <c r="AB40" s="16">
        <f t="shared" si="32"/>
        <v>0</v>
      </c>
      <c r="AC40" s="16">
        <f t="shared" si="32"/>
        <v>963</v>
      </c>
      <c r="AD40" s="16">
        <f t="shared" si="32"/>
        <v>0</v>
      </c>
      <c r="AE40" s="32">
        <f t="shared" si="32"/>
        <v>157</v>
      </c>
      <c r="AF40" s="32">
        <f t="shared" si="32"/>
        <v>1120</v>
      </c>
    </row>
    <row r="41" spans="2:32" ht="23.1" customHeight="1" x14ac:dyDescent="0.25">
      <c r="B41" s="45" t="s">
        <v>68</v>
      </c>
      <c r="C41" s="50">
        <v>4</v>
      </c>
      <c r="D41" s="50">
        <v>0</v>
      </c>
      <c r="E41" s="50">
        <v>1</v>
      </c>
      <c r="F41" s="50">
        <v>1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28</v>
      </c>
      <c r="N41" s="50">
        <v>0</v>
      </c>
      <c r="O41" s="15">
        <f t="shared" si="0"/>
        <v>6</v>
      </c>
      <c r="P41" s="15">
        <f t="shared" si="1"/>
        <v>34</v>
      </c>
      <c r="R41" s="5" t="s">
        <v>159</v>
      </c>
      <c r="S41" s="16">
        <f>SUM(S10:S33)</f>
        <v>39</v>
      </c>
      <c r="T41" s="16">
        <f t="shared" ref="T41:AF41" si="33">SUM(T10:T33)</f>
        <v>22</v>
      </c>
      <c r="U41" s="16">
        <f t="shared" si="33"/>
        <v>19</v>
      </c>
      <c r="V41" s="16">
        <f t="shared" si="33"/>
        <v>32</v>
      </c>
      <c r="W41" s="16">
        <f t="shared" si="33"/>
        <v>3</v>
      </c>
      <c r="X41" s="16">
        <f t="shared" si="33"/>
        <v>1</v>
      </c>
      <c r="Y41" s="16">
        <f t="shared" si="33"/>
        <v>27</v>
      </c>
      <c r="Z41" s="16">
        <f t="shared" si="33"/>
        <v>57</v>
      </c>
      <c r="AA41" s="16">
        <f t="shared" si="33"/>
        <v>1</v>
      </c>
      <c r="AB41" s="16">
        <f t="shared" si="33"/>
        <v>0</v>
      </c>
      <c r="AC41" s="16">
        <f t="shared" si="33"/>
        <v>1261</v>
      </c>
      <c r="AD41" s="16">
        <f t="shared" si="33"/>
        <v>0</v>
      </c>
      <c r="AE41" s="32">
        <f t="shared" si="33"/>
        <v>201</v>
      </c>
      <c r="AF41" s="32">
        <f t="shared" si="33"/>
        <v>1462</v>
      </c>
    </row>
    <row r="42" spans="2:32" ht="23.1" customHeight="1" x14ac:dyDescent="0.25">
      <c r="B42" s="46" t="s">
        <v>69</v>
      </c>
      <c r="C42" s="50">
        <v>0</v>
      </c>
      <c r="D42" s="50">
        <v>1</v>
      </c>
      <c r="E42" s="50">
        <v>2</v>
      </c>
      <c r="F42" s="50">
        <v>1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22</v>
      </c>
      <c r="N42" s="50">
        <v>0</v>
      </c>
      <c r="O42" s="15">
        <f t="shared" si="0"/>
        <v>6</v>
      </c>
      <c r="P42" s="15">
        <f t="shared" si="1"/>
        <v>28</v>
      </c>
      <c r="R42" s="5" t="s">
        <v>160</v>
      </c>
      <c r="S42" s="48">
        <f>S41/S40</f>
        <v>1.2580645161290323</v>
      </c>
      <c r="T42" s="48">
        <f t="shared" ref="T42:AF42" si="34">T41/T40</f>
        <v>1.0476190476190477</v>
      </c>
      <c r="U42" s="48">
        <f t="shared" si="34"/>
        <v>1.1875</v>
      </c>
      <c r="V42" s="48">
        <f t="shared" si="34"/>
        <v>2.1333333333333333</v>
      </c>
      <c r="W42" s="48">
        <f t="shared" si="34"/>
        <v>1</v>
      </c>
      <c r="X42" s="48">
        <f t="shared" si="34"/>
        <v>1</v>
      </c>
      <c r="Y42" s="48">
        <f t="shared" si="34"/>
        <v>1.2857142857142858</v>
      </c>
      <c r="Z42" s="48">
        <f t="shared" si="34"/>
        <v>1.1875</v>
      </c>
      <c r="AA42" s="48">
        <f t="shared" si="34"/>
        <v>1</v>
      </c>
      <c r="AB42" s="48" t="e">
        <f t="shared" si="34"/>
        <v>#DIV/0!</v>
      </c>
      <c r="AC42" s="48">
        <f t="shared" si="34"/>
        <v>1.3094496365524404</v>
      </c>
      <c r="AD42" s="48" t="e">
        <f t="shared" si="34"/>
        <v>#DIV/0!</v>
      </c>
      <c r="AE42" s="48">
        <f t="shared" si="34"/>
        <v>1.2802547770700636</v>
      </c>
      <c r="AF42" s="48">
        <f t="shared" si="34"/>
        <v>1.3053571428571429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2</v>
      </c>
      <c r="F43" s="50">
        <v>0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30</v>
      </c>
      <c r="N43" s="50">
        <v>0</v>
      </c>
      <c r="O43" s="15">
        <f t="shared" si="0"/>
        <v>4</v>
      </c>
      <c r="P43" s="15">
        <f t="shared" si="1"/>
        <v>34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0</v>
      </c>
      <c r="F44" s="50">
        <v>1</v>
      </c>
      <c r="G44" s="50">
        <v>0</v>
      </c>
      <c r="H44" s="50">
        <v>0</v>
      </c>
      <c r="I44" s="50">
        <v>2</v>
      </c>
      <c r="J44" s="50">
        <v>1</v>
      </c>
      <c r="K44" s="50">
        <v>1</v>
      </c>
      <c r="L44" s="50">
        <v>0</v>
      </c>
      <c r="M44" s="50">
        <v>29</v>
      </c>
      <c r="N44" s="50">
        <v>0</v>
      </c>
      <c r="O44" s="15">
        <f t="shared" si="0"/>
        <v>7</v>
      </c>
      <c r="P44" s="15">
        <f t="shared" si="1"/>
        <v>36</v>
      </c>
    </row>
    <row r="45" spans="2:32" ht="23.1" customHeight="1" x14ac:dyDescent="0.25">
      <c r="B45" s="45" t="s">
        <v>72</v>
      </c>
      <c r="C45" s="50">
        <v>0</v>
      </c>
      <c r="D45" s="50">
        <v>2</v>
      </c>
      <c r="E45" s="50">
        <v>1</v>
      </c>
      <c r="F45" s="50">
        <v>1</v>
      </c>
      <c r="G45" s="50">
        <v>0</v>
      </c>
      <c r="H45" s="50">
        <v>0</v>
      </c>
      <c r="I45" s="50">
        <v>2</v>
      </c>
      <c r="J45" s="50">
        <v>2</v>
      </c>
      <c r="K45" s="50">
        <v>0</v>
      </c>
      <c r="L45" s="50">
        <v>0</v>
      </c>
      <c r="M45" s="50">
        <v>25</v>
      </c>
      <c r="N45" s="50">
        <v>0</v>
      </c>
      <c r="O45" s="15">
        <f t="shared" si="0"/>
        <v>8</v>
      </c>
      <c r="P45" s="15">
        <f t="shared" si="1"/>
        <v>33</v>
      </c>
    </row>
    <row r="46" spans="2:32" ht="23.1" customHeight="1" x14ac:dyDescent="0.25">
      <c r="B46" s="46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2</v>
      </c>
      <c r="K46" s="50">
        <v>0</v>
      </c>
      <c r="L46" s="50">
        <v>0</v>
      </c>
      <c r="M46" s="50">
        <v>25</v>
      </c>
      <c r="N46" s="50">
        <v>0</v>
      </c>
      <c r="O46" s="15">
        <f t="shared" si="0"/>
        <v>2</v>
      </c>
      <c r="P46" s="15">
        <f t="shared" si="1"/>
        <v>27</v>
      </c>
      <c r="R46" s="8"/>
      <c r="T46"/>
    </row>
    <row r="47" spans="2:32" ht="23.1" customHeight="1" x14ac:dyDescent="0.25">
      <c r="B47" s="46" t="s">
        <v>74</v>
      </c>
      <c r="C47" s="50">
        <v>1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2</v>
      </c>
      <c r="K47" s="50">
        <v>0</v>
      </c>
      <c r="L47" s="50">
        <v>0</v>
      </c>
      <c r="M47" s="50">
        <v>21</v>
      </c>
      <c r="N47" s="50">
        <v>0</v>
      </c>
      <c r="O47" s="15">
        <f t="shared" si="0"/>
        <v>4</v>
      </c>
      <c r="P47" s="15">
        <f t="shared" si="1"/>
        <v>25</v>
      </c>
      <c r="R47" s="8"/>
      <c r="T47"/>
    </row>
    <row r="48" spans="2:32" ht="23.1" customHeight="1" x14ac:dyDescent="0.25">
      <c r="B48" s="46" t="s">
        <v>75</v>
      </c>
      <c r="C48" s="50">
        <v>0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28</v>
      </c>
      <c r="N48" s="50">
        <v>0</v>
      </c>
      <c r="O48" s="15">
        <f t="shared" si="0"/>
        <v>2</v>
      </c>
      <c r="P48" s="15">
        <f t="shared" si="1"/>
        <v>30</v>
      </c>
      <c r="R48" s="8"/>
      <c r="T48"/>
    </row>
    <row r="49" spans="2:20" ht="23.1" customHeight="1" x14ac:dyDescent="0.25">
      <c r="B49" s="45" t="s">
        <v>76</v>
      </c>
      <c r="C49" s="50">
        <v>0</v>
      </c>
      <c r="D49" s="50">
        <v>0</v>
      </c>
      <c r="E49" s="50">
        <v>0</v>
      </c>
      <c r="F49" s="50">
        <v>0</v>
      </c>
      <c r="G49" s="50">
        <v>0</v>
      </c>
      <c r="H49" s="50">
        <v>0</v>
      </c>
      <c r="I49" s="50">
        <v>1</v>
      </c>
      <c r="J49" s="50">
        <v>3</v>
      </c>
      <c r="K49" s="50">
        <v>0</v>
      </c>
      <c r="L49" s="50">
        <v>0</v>
      </c>
      <c r="M49" s="50">
        <v>30</v>
      </c>
      <c r="N49" s="50">
        <v>0</v>
      </c>
      <c r="O49" s="15">
        <f t="shared" si="0"/>
        <v>4</v>
      </c>
      <c r="P49" s="15">
        <f t="shared" si="1"/>
        <v>34</v>
      </c>
      <c r="R49" s="8"/>
      <c r="T49"/>
    </row>
    <row r="50" spans="2:20" ht="23.1" customHeight="1" x14ac:dyDescent="0.25">
      <c r="B50" s="46" t="s">
        <v>77</v>
      </c>
      <c r="C50" s="50">
        <v>2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3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5</v>
      </c>
      <c r="P50" s="15">
        <f t="shared" si="1"/>
        <v>35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26</v>
      </c>
      <c r="N51" s="50">
        <v>0</v>
      </c>
      <c r="O51" s="15">
        <f t="shared" si="0"/>
        <v>1</v>
      </c>
      <c r="P51" s="15">
        <f t="shared" si="1"/>
        <v>27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1</v>
      </c>
      <c r="E52" s="50">
        <v>0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21</v>
      </c>
      <c r="N52" s="50">
        <v>0</v>
      </c>
      <c r="O52" s="15">
        <f t="shared" si="0"/>
        <v>3</v>
      </c>
      <c r="P52" s="15">
        <f t="shared" si="1"/>
        <v>24</v>
      </c>
      <c r="R52" s="8"/>
      <c r="T52"/>
    </row>
    <row r="53" spans="2:20" ht="23.1" customHeight="1" x14ac:dyDescent="0.25">
      <c r="B53" s="45" t="s">
        <v>80</v>
      </c>
      <c r="C53" s="50">
        <v>0</v>
      </c>
      <c r="D53" s="50">
        <v>3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16</v>
      </c>
      <c r="N53" s="50">
        <v>0</v>
      </c>
      <c r="O53" s="15">
        <f t="shared" si="0"/>
        <v>4</v>
      </c>
      <c r="P53" s="15">
        <f t="shared" si="1"/>
        <v>20</v>
      </c>
      <c r="R53" s="8"/>
      <c r="T53"/>
    </row>
    <row r="54" spans="2:20" ht="23.1" customHeight="1" x14ac:dyDescent="0.25">
      <c r="B54" s="45" t="s">
        <v>81</v>
      </c>
      <c r="C54" s="50">
        <v>0</v>
      </c>
      <c r="D54" s="50">
        <v>0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1</v>
      </c>
      <c r="K54" s="50">
        <v>0</v>
      </c>
      <c r="L54" s="50">
        <v>0</v>
      </c>
      <c r="M54" s="50">
        <v>28</v>
      </c>
      <c r="N54" s="50">
        <v>0</v>
      </c>
      <c r="O54" s="15">
        <f t="shared" si="0"/>
        <v>2</v>
      </c>
      <c r="P54" s="15">
        <f t="shared" si="1"/>
        <v>30</v>
      </c>
      <c r="R54" s="8"/>
      <c r="T54"/>
    </row>
    <row r="55" spans="2:20" ht="23.1" customHeight="1" x14ac:dyDescent="0.25">
      <c r="B55" s="45" t="s">
        <v>82</v>
      </c>
      <c r="C55" s="50">
        <v>0</v>
      </c>
      <c r="D55" s="50">
        <v>0</v>
      </c>
      <c r="E55" s="50">
        <v>1</v>
      </c>
      <c r="F55" s="50">
        <v>0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26</v>
      </c>
      <c r="N55" s="50">
        <v>0</v>
      </c>
      <c r="O55" s="15">
        <f t="shared" si="0"/>
        <v>2</v>
      </c>
      <c r="P55" s="15">
        <f t="shared" si="1"/>
        <v>28</v>
      </c>
      <c r="R55" s="8"/>
      <c r="T55"/>
    </row>
    <row r="56" spans="2:20" ht="23.1" customHeight="1" x14ac:dyDescent="0.25">
      <c r="B56" s="45" t="s">
        <v>83</v>
      </c>
      <c r="C56" s="50">
        <v>0</v>
      </c>
      <c r="D56" s="50">
        <v>0</v>
      </c>
      <c r="E56" s="50">
        <v>1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30</v>
      </c>
      <c r="N56" s="50">
        <v>0</v>
      </c>
      <c r="O56" s="15">
        <f t="shared" si="0"/>
        <v>1</v>
      </c>
      <c r="P56" s="15">
        <f t="shared" si="1"/>
        <v>31</v>
      </c>
      <c r="R56" s="8"/>
      <c r="T56"/>
    </row>
    <row r="57" spans="2:20" ht="23.1" customHeight="1" x14ac:dyDescent="0.25">
      <c r="B57" s="45" t="s">
        <v>84</v>
      </c>
      <c r="C57" s="50">
        <v>0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29</v>
      </c>
      <c r="N57" s="50">
        <v>0</v>
      </c>
      <c r="O57" s="15">
        <f t="shared" si="0"/>
        <v>0</v>
      </c>
      <c r="P57" s="15">
        <f t="shared" si="1"/>
        <v>29</v>
      </c>
      <c r="R57" s="8"/>
      <c r="T57"/>
    </row>
    <row r="58" spans="2:20" ht="23.1" customHeight="1" x14ac:dyDescent="0.25">
      <c r="B58" s="45" t="s">
        <v>99</v>
      </c>
      <c r="C58" s="50">
        <v>1</v>
      </c>
      <c r="D58" s="50">
        <v>0</v>
      </c>
      <c r="E58" s="50">
        <v>0</v>
      </c>
      <c r="F58" s="50">
        <v>1</v>
      </c>
      <c r="G58" s="50">
        <v>0</v>
      </c>
      <c r="H58" s="50">
        <v>0</v>
      </c>
      <c r="I58" s="50">
        <v>0</v>
      </c>
      <c r="J58" s="50">
        <v>1</v>
      </c>
      <c r="K58" s="50">
        <v>0</v>
      </c>
      <c r="L58" s="50">
        <v>0</v>
      </c>
      <c r="M58" s="50">
        <v>21</v>
      </c>
      <c r="N58" s="50">
        <v>0</v>
      </c>
      <c r="O58" s="15">
        <f t="shared" si="0"/>
        <v>3</v>
      </c>
      <c r="P58" s="15">
        <f t="shared" si="1"/>
        <v>24</v>
      </c>
      <c r="R58" s="8"/>
      <c r="T58"/>
    </row>
    <row r="59" spans="2:20" ht="23.1" customHeight="1" x14ac:dyDescent="0.25">
      <c r="B59" s="45" t="s">
        <v>100</v>
      </c>
      <c r="C59" s="50">
        <v>0</v>
      </c>
      <c r="D59" s="50">
        <v>0</v>
      </c>
      <c r="E59" s="50">
        <v>0</v>
      </c>
      <c r="F59" s="50">
        <v>0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20</v>
      </c>
      <c r="N59" s="50">
        <v>0</v>
      </c>
      <c r="O59" s="15">
        <f t="shared" si="0"/>
        <v>1</v>
      </c>
      <c r="P59" s="15">
        <f t="shared" si="1"/>
        <v>21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2</v>
      </c>
      <c r="J60" s="50">
        <v>0</v>
      </c>
      <c r="K60" s="50">
        <v>0</v>
      </c>
      <c r="L60" s="50">
        <v>0</v>
      </c>
      <c r="M60" s="50">
        <v>19</v>
      </c>
      <c r="N60" s="50">
        <v>0</v>
      </c>
      <c r="O60" s="15">
        <f t="shared" si="0"/>
        <v>4</v>
      </c>
      <c r="P60" s="15">
        <f t="shared" si="1"/>
        <v>23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0</v>
      </c>
      <c r="F61" s="50">
        <v>0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30</v>
      </c>
      <c r="N61" s="50">
        <v>0</v>
      </c>
      <c r="O61" s="15">
        <f t="shared" si="0"/>
        <v>2</v>
      </c>
      <c r="P61" s="15">
        <f t="shared" si="1"/>
        <v>32</v>
      </c>
      <c r="R61" s="8"/>
      <c r="T61"/>
    </row>
    <row r="62" spans="2:20" ht="23.1" customHeight="1" x14ac:dyDescent="0.25">
      <c r="B62" s="45" t="s">
        <v>107</v>
      </c>
      <c r="C62" s="50">
        <v>0</v>
      </c>
      <c r="D62" s="50">
        <v>0</v>
      </c>
      <c r="E62" s="50">
        <v>2</v>
      </c>
      <c r="F62" s="50">
        <v>0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21</v>
      </c>
      <c r="N62" s="50">
        <v>0</v>
      </c>
      <c r="O62" s="15">
        <f t="shared" si="0"/>
        <v>2</v>
      </c>
      <c r="P62" s="15">
        <f t="shared" si="1"/>
        <v>23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2</v>
      </c>
      <c r="K63" s="50">
        <v>0</v>
      </c>
      <c r="L63" s="50">
        <v>0</v>
      </c>
      <c r="M63" s="50">
        <v>20</v>
      </c>
      <c r="N63" s="50">
        <v>0</v>
      </c>
      <c r="O63" s="15">
        <f t="shared" si="0"/>
        <v>2</v>
      </c>
      <c r="P63" s="15">
        <f t="shared" si="1"/>
        <v>22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0</v>
      </c>
      <c r="E64" s="50">
        <v>0</v>
      </c>
      <c r="F64" s="50">
        <v>3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19</v>
      </c>
      <c r="N64" s="50">
        <v>0</v>
      </c>
      <c r="O64" s="15">
        <f t="shared" si="0"/>
        <v>3</v>
      </c>
      <c r="P64" s="15">
        <f t="shared" si="1"/>
        <v>22</v>
      </c>
      <c r="R64" s="8"/>
      <c r="T64"/>
    </row>
    <row r="65" spans="2:20" ht="23.1" customHeight="1" x14ac:dyDescent="0.25">
      <c r="B65" s="45" t="s">
        <v>158</v>
      </c>
      <c r="C65" s="50">
        <v>2</v>
      </c>
      <c r="D65" s="50">
        <v>0</v>
      </c>
      <c r="E65" s="50">
        <v>0</v>
      </c>
      <c r="F65" s="50">
        <v>1</v>
      </c>
      <c r="G65" s="50">
        <v>0</v>
      </c>
      <c r="H65" s="50">
        <v>0</v>
      </c>
      <c r="I65" s="50">
        <v>0</v>
      </c>
      <c r="J65" s="50">
        <v>1</v>
      </c>
      <c r="K65" s="50">
        <v>0</v>
      </c>
      <c r="L65" s="50">
        <v>0</v>
      </c>
      <c r="M65" s="50">
        <v>11</v>
      </c>
      <c r="N65" s="50">
        <v>0</v>
      </c>
      <c r="O65" s="15">
        <f t="shared" si="0"/>
        <v>4</v>
      </c>
      <c r="P65" s="15">
        <f t="shared" si="1"/>
        <v>15</v>
      </c>
      <c r="R65" s="8"/>
      <c r="T65"/>
    </row>
    <row r="66" spans="2:20" ht="23.1" customHeight="1" x14ac:dyDescent="0.25">
      <c r="B66" s="45" t="s">
        <v>103</v>
      </c>
      <c r="C66" s="50">
        <v>0</v>
      </c>
      <c r="D66" s="50">
        <v>0</v>
      </c>
      <c r="E66" s="50">
        <v>0</v>
      </c>
      <c r="F66" s="50">
        <v>3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14</v>
      </c>
      <c r="N66" s="50">
        <v>0</v>
      </c>
      <c r="O66" s="15">
        <f t="shared" si="0"/>
        <v>3</v>
      </c>
      <c r="P66" s="15">
        <f t="shared" si="1"/>
        <v>17</v>
      </c>
      <c r="R66" s="8"/>
      <c r="T66"/>
    </row>
    <row r="67" spans="2:20" ht="23.1" customHeight="1" x14ac:dyDescent="0.25">
      <c r="B67" s="45" t="s">
        <v>104</v>
      </c>
      <c r="C67" s="50">
        <v>0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24</v>
      </c>
      <c r="N67" s="50">
        <v>0</v>
      </c>
      <c r="O67" s="15">
        <f t="shared" si="0"/>
        <v>1</v>
      </c>
      <c r="P67" s="15">
        <f t="shared" si="1"/>
        <v>25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2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14</v>
      </c>
      <c r="N68" s="50">
        <v>0</v>
      </c>
      <c r="O68" s="15">
        <f t="shared" si="0"/>
        <v>2</v>
      </c>
      <c r="P68" s="15">
        <f t="shared" si="1"/>
        <v>16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1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11</v>
      </c>
      <c r="N69" s="50">
        <v>0</v>
      </c>
      <c r="O69" s="15">
        <f t="shared" si="0"/>
        <v>2</v>
      </c>
      <c r="P69" s="15">
        <f t="shared" si="1"/>
        <v>13</v>
      </c>
      <c r="R69" s="8"/>
      <c r="T69"/>
    </row>
    <row r="70" spans="2:20" ht="23.1" customHeight="1" x14ac:dyDescent="0.25">
      <c r="B70" s="45" t="s">
        <v>110</v>
      </c>
      <c r="C70" s="50">
        <v>1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15</v>
      </c>
      <c r="N70" s="50">
        <v>0</v>
      </c>
      <c r="O70" s="15">
        <f t="shared" si="0"/>
        <v>2</v>
      </c>
      <c r="P70" s="15">
        <f t="shared" si="1"/>
        <v>17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1</v>
      </c>
      <c r="E71" s="50">
        <v>0</v>
      </c>
      <c r="F71" s="50">
        <v>0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5</v>
      </c>
      <c r="N71" s="50">
        <v>0</v>
      </c>
      <c r="O71" s="15">
        <f t="shared" si="0"/>
        <v>2</v>
      </c>
      <c r="P71" s="15">
        <f t="shared" si="1"/>
        <v>7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6</v>
      </c>
      <c r="N72" s="50">
        <v>0</v>
      </c>
      <c r="O72" s="15">
        <f t="shared" si="0"/>
        <v>0</v>
      </c>
      <c r="P72" s="15">
        <f t="shared" si="1"/>
        <v>6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4</v>
      </c>
      <c r="N73" s="50">
        <v>0</v>
      </c>
      <c r="O73" s="15">
        <f t="shared" si="0"/>
        <v>1</v>
      </c>
      <c r="P73" s="15">
        <f t="shared" si="1"/>
        <v>5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0</v>
      </c>
      <c r="M74" s="50">
        <v>3</v>
      </c>
      <c r="N74" s="50">
        <v>0</v>
      </c>
      <c r="O74" s="15">
        <f t="shared" ref="O74:O105" si="35">SUM(C74:L74,N74)</f>
        <v>2</v>
      </c>
      <c r="P74" s="15">
        <f t="shared" ref="P74:P105" si="36">SUM(C74:N74)</f>
        <v>5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3</v>
      </c>
      <c r="N75" s="50">
        <v>0</v>
      </c>
      <c r="O75" s="15">
        <f t="shared" si="35"/>
        <v>1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1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1</v>
      </c>
      <c r="N76" s="50">
        <v>0</v>
      </c>
      <c r="O76" s="15">
        <f t="shared" si="35"/>
        <v>1</v>
      </c>
      <c r="P76" s="15">
        <f t="shared" si="36"/>
        <v>2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4</v>
      </c>
      <c r="N77" s="50">
        <v>0</v>
      </c>
      <c r="O77" s="15">
        <f t="shared" si="35"/>
        <v>0</v>
      </c>
      <c r="P77" s="15">
        <f t="shared" si="36"/>
        <v>4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3</v>
      </c>
      <c r="N78" s="50">
        <v>0</v>
      </c>
      <c r="O78" s="15">
        <f t="shared" si="35"/>
        <v>0</v>
      </c>
      <c r="P78" s="15">
        <f t="shared" si="36"/>
        <v>3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0</v>
      </c>
      <c r="P83" s="15">
        <f t="shared" si="36"/>
        <v>1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0</v>
      </c>
      <c r="P85" s="15">
        <f t="shared" si="36"/>
        <v>1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0</v>
      </c>
      <c r="P92" s="15">
        <f t="shared" si="36"/>
        <v>0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1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0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0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0</v>
      </c>
      <c r="P102" s="15">
        <f t="shared" si="36"/>
        <v>2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0</v>
      </c>
      <c r="P103" s="15">
        <f t="shared" si="36"/>
        <v>5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1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1</v>
      </c>
      <c r="P104" s="15">
        <f t="shared" si="36"/>
        <v>5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1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12</v>
      </c>
      <c r="N105" s="50">
        <v>0</v>
      </c>
      <c r="O105" s="15">
        <f t="shared" si="35"/>
        <v>1</v>
      </c>
      <c r="P105" s="15">
        <f t="shared" si="36"/>
        <v>13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39</v>
      </c>
      <c r="D106" s="16">
        <f t="shared" ref="D106:P106" si="37">SUM(D10:D105)</f>
        <v>22</v>
      </c>
      <c r="E106" s="16">
        <f t="shared" si="37"/>
        <v>19</v>
      </c>
      <c r="F106" s="16">
        <f t="shared" si="37"/>
        <v>32</v>
      </c>
      <c r="G106" s="16">
        <f t="shared" si="37"/>
        <v>3</v>
      </c>
      <c r="H106" s="16">
        <f t="shared" si="37"/>
        <v>1</v>
      </c>
      <c r="I106" s="16">
        <f t="shared" si="37"/>
        <v>27</v>
      </c>
      <c r="J106" s="16">
        <f t="shared" si="37"/>
        <v>57</v>
      </c>
      <c r="K106" s="16">
        <f t="shared" si="37"/>
        <v>1</v>
      </c>
      <c r="L106" s="16">
        <f t="shared" si="37"/>
        <v>0</v>
      </c>
      <c r="M106" s="16">
        <f t="shared" si="37"/>
        <v>1261</v>
      </c>
      <c r="N106" s="16">
        <f t="shared" si="37"/>
        <v>0</v>
      </c>
      <c r="O106" s="16">
        <f t="shared" si="37"/>
        <v>201</v>
      </c>
      <c r="P106" s="16">
        <f t="shared" si="37"/>
        <v>1462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2.667578659370725E-2</v>
      </c>
      <c r="D107" s="43">
        <f t="shared" si="38"/>
        <v>1.5047879616963064E-2</v>
      </c>
      <c r="E107" s="43">
        <f t="shared" si="38"/>
        <v>1.2995896032831737E-2</v>
      </c>
      <c r="F107" s="43">
        <f t="shared" si="38"/>
        <v>2.188782489740082E-2</v>
      </c>
      <c r="G107" s="43">
        <f t="shared" si="38"/>
        <v>2.0519835841313269E-3</v>
      </c>
      <c r="H107" s="43">
        <f t="shared" si="38"/>
        <v>6.8399452804377564E-4</v>
      </c>
      <c r="I107" s="43">
        <f t="shared" si="38"/>
        <v>1.8467852257181942E-2</v>
      </c>
      <c r="J107" s="43">
        <f t="shared" si="38"/>
        <v>3.8987688098495211E-2</v>
      </c>
      <c r="K107" s="43">
        <f t="shared" si="38"/>
        <v>6.8399452804377564E-4</v>
      </c>
      <c r="L107" s="43">
        <f t="shared" si="38"/>
        <v>0</v>
      </c>
      <c r="M107" s="43">
        <f t="shared" si="38"/>
        <v>0.86251709986320113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0.19402985074626866</v>
      </c>
      <c r="D108" s="44">
        <f t="shared" ref="D108:N108" si="39">D106/$O$106</f>
        <v>0.10945273631840796</v>
      </c>
      <c r="E108" s="44">
        <f t="shared" si="39"/>
        <v>9.4527363184079602E-2</v>
      </c>
      <c r="F108" s="44">
        <f t="shared" si="39"/>
        <v>0.15920398009950248</v>
      </c>
      <c r="G108" s="44">
        <f t="shared" si="39"/>
        <v>1.4925373134328358E-2</v>
      </c>
      <c r="H108" s="44">
        <f t="shared" si="39"/>
        <v>4.9751243781094526E-3</v>
      </c>
      <c r="I108" s="44">
        <f t="shared" si="39"/>
        <v>0.13432835820895522</v>
      </c>
      <c r="J108" s="44">
        <f t="shared" si="39"/>
        <v>0.28358208955223879</v>
      </c>
      <c r="K108" s="44">
        <f t="shared" si="39"/>
        <v>4.9751243781094526E-3</v>
      </c>
      <c r="L108" s="44">
        <f t="shared" si="39"/>
        <v>0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WOBULENZI-ZIROBWE'!C3:G3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170</v>
      </c>
      <c r="E5" s="3"/>
      <c r="F5" s="41" t="s">
        <v>1</v>
      </c>
      <c r="G5" s="59" t="str">
        <f>'23.10 WOBULENZI-ZIROBWE'!G5:H5</f>
        <v>xxx</v>
      </c>
      <c r="H5" s="60"/>
      <c r="I5" s="14"/>
      <c r="J5" s="2" t="s">
        <v>5</v>
      </c>
      <c r="K5" s="59" t="str">
        <f>'23.10 WOBULENZI-ZIROBWE'!K5:L5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WOBULENZI-ZIROBWE'!D6:E6</f>
        <v>WOBULENZI</v>
      </c>
      <c r="E6" s="60"/>
      <c r="F6" s="2" t="s">
        <v>2</v>
      </c>
      <c r="G6" s="59" t="str">
        <f>'23.10 WOBULENZI-ZIROBWE'!G6:H6</f>
        <v>ZIROBWE</v>
      </c>
      <c r="H6" s="60"/>
      <c r="J6" s="2" t="s">
        <v>21</v>
      </c>
      <c r="K6" s="59" t="str">
        <f>'23.10 WOBULENZI-ZIROBWE'!K6:L6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21</v>
      </c>
      <c r="N10" s="50">
        <v>0</v>
      </c>
      <c r="O10" s="15">
        <f t="shared" ref="O10:O57" si="0">SUM(C10:L10,N10)</f>
        <v>1</v>
      </c>
      <c r="P10" s="15">
        <f t="shared" ref="P10:P57" si="1">SUM(C10:N10)</f>
        <v>22</v>
      </c>
      <c r="R10" s="1" t="s">
        <v>6</v>
      </c>
      <c r="S10" s="17">
        <f t="shared" ref="S10:AF10" si="2">SUM(C10:C13)</f>
        <v>1</v>
      </c>
      <c r="T10" s="17">
        <f t="shared" si="2"/>
        <v>0</v>
      </c>
      <c r="U10" s="17">
        <f t="shared" si="2"/>
        <v>0</v>
      </c>
      <c r="V10" s="17">
        <f t="shared" si="2"/>
        <v>2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86</v>
      </c>
      <c r="AD10" s="17">
        <f t="shared" si="2"/>
        <v>0</v>
      </c>
      <c r="AE10" s="31">
        <f t="shared" si="2"/>
        <v>4</v>
      </c>
      <c r="AF10" s="31">
        <f t="shared" si="2"/>
        <v>90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18</v>
      </c>
      <c r="N11" s="50">
        <v>0</v>
      </c>
      <c r="O11" s="15">
        <f t="shared" si="0"/>
        <v>2</v>
      </c>
      <c r="P11" s="15">
        <f t="shared" si="1"/>
        <v>20</v>
      </c>
      <c r="R11" s="1" t="s">
        <v>7</v>
      </c>
      <c r="S11" s="17">
        <f t="shared" ref="S11:AF11" si="3">SUM(C14:C17)</f>
        <v>0</v>
      </c>
      <c r="T11" s="17">
        <f t="shared" si="3"/>
        <v>0</v>
      </c>
      <c r="U11" s="17">
        <f t="shared" si="3"/>
        <v>0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77</v>
      </c>
      <c r="AD11" s="17">
        <f t="shared" si="3"/>
        <v>0</v>
      </c>
      <c r="AE11" s="31">
        <f t="shared" si="3"/>
        <v>7</v>
      </c>
      <c r="AF11" s="31">
        <f t="shared" si="3"/>
        <v>84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1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21</v>
      </c>
      <c r="N12" s="50">
        <v>0</v>
      </c>
      <c r="O12" s="15">
        <f t="shared" si="0"/>
        <v>1</v>
      </c>
      <c r="P12" s="15">
        <f t="shared" si="1"/>
        <v>22</v>
      </c>
      <c r="R12" s="1" t="s">
        <v>8</v>
      </c>
      <c r="S12" s="17">
        <f t="shared" ref="S12:AF12" si="4">SUM(C18:C21)</f>
        <v>2</v>
      </c>
      <c r="T12" s="17">
        <f t="shared" si="4"/>
        <v>2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42</v>
      </c>
      <c r="AD12" s="17">
        <f t="shared" si="4"/>
        <v>0</v>
      </c>
      <c r="AE12" s="31">
        <f t="shared" si="4"/>
        <v>9</v>
      </c>
      <c r="AF12" s="31">
        <f t="shared" si="4"/>
        <v>51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26</v>
      </c>
      <c r="N13" s="50">
        <v>0</v>
      </c>
      <c r="O13" s="15">
        <f t="shared" si="0"/>
        <v>0</v>
      </c>
      <c r="P13" s="15">
        <f t="shared" si="1"/>
        <v>26</v>
      </c>
      <c r="R13" s="1" t="s">
        <v>9</v>
      </c>
      <c r="S13" s="17">
        <f t="shared" ref="S13:AF13" si="5">SUM(C22:C25)</f>
        <v>3</v>
      </c>
      <c r="T13" s="17">
        <f t="shared" si="5"/>
        <v>1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2</v>
      </c>
      <c r="Z13" s="17">
        <f t="shared" si="5"/>
        <v>5</v>
      </c>
      <c r="AA13" s="17">
        <f t="shared" si="5"/>
        <v>0</v>
      </c>
      <c r="AB13" s="17">
        <f t="shared" si="5"/>
        <v>0</v>
      </c>
      <c r="AC13" s="17">
        <f t="shared" si="5"/>
        <v>44</v>
      </c>
      <c r="AD13" s="17">
        <f t="shared" si="5"/>
        <v>0</v>
      </c>
      <c r="AE13" s="31">
        <f t="shared" si="5"/>
        <v>12</v>
      </c>
      <c r="AF13" s="31">
        <f t="shared" si="5"/>
        <v>56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1</v>
      </c>
      <c r="K14" s="50">
        <v>0</v>
      </c>
      <c r="L14" s="50">
        <v>0</v>
      </c>
      <c r="M14" s="50">
        <v>13</v>
      </c>
      <c r="N14" s="50">
        <v>0</v>
      </c>
      <c r="O14" s="15">
        <f t="shared" si="0"/>
        <v>3</v>
      </c>
      <c r="P14" s="15">
        <f t="shared" si="1"/>
        <v>16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0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0</v>
      </c>
      <c r="Z14" s="17">
        <f t="shared" si="6"/>
        <v>5</v>
      </c>
      <c r="AA14" s="17">
        <f t="shared" si="6"/>
        <v>0</v>
      </c>
      <c r="AB14" s="17">
        <f t="shared" si="6"/>
        <v>0</v>
      </c>
      <c r="AC14" s="17">
        <f t="shared" si="6"/>
        <v>38</v>
      </c>
      <c r="AD14" s="17">
        <f t="shared" si="6"/>
        <v>0</v>
      </c>
      <c r="AE14" s="31">
        <f t="shared" si="6"/>
        <v>8</v>
      </c>
      <c r="AF14" s="31">
        <f t="shared" si="6"/>
        <v>46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26</v>
      </c>
      <c r="N15" s="50">
        <v>0</v>
      </c>
      <c r="O15" s="15">
        <f t="shared" si="0"/>
        <v>2</v>
      </c>
      <c r="P15" s="15">
        <f t="shared" si="1"/>
        <v>28</v>
      </c>
      <c r="R15" s="1" t="s">
        <v>11</v>
      </c>
      <c r="S15" s="17">
        <f t="shared" ref="S15:AF15" si="7">SUM(C30:C33)</f>
        <v>5</v>
      </c>
      <c r="T15" s="17">
        <f t="shared" si="7"/>
        <v>2</v>
      </c>
      <c r="U15" s="17">
        <f t="shared" si="7"/>
        <v>2</v>
      </c>
      <c r="V15" s="17">
        <f t="shared" si="7"/>
        <v>1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40</v>
      </c>
      <c r="AD15" s="17">
        <f t="shared" si="7"/>
        <v>0</v>
      </c>
      <c r="AE15" s="31">
        <f t="shared" si="7"/>
        <v>16</v>
      </c>
      <c r="AF15" s="31">
        <f t="shared" si="7"/>
        <v>56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24</v>
      </c>
      <c r="N16" s="50">
        <v>0</v>
      </c>
      <c r="O16" s="15">
        <f t="shared" si="0"/>
        <v>1</v>
      </c>
      <c r="P16" s="15">
        <f t="shared" si="1"/>
        <v>25</v>
      </c>
      <c r="R16" s="1" t="s">
        <v>12</v>
      </c>
      <c r="S16" s="17">
        <f t="shared" ref="S16:AF16" si="8">SUM(C34:C37)</f>
        <v>6</v>
      </c>
      <c r="T16" s="17">
        <f t="shared" si="8"/>
        <v>0</v>
      </c>
      <c r="U16" s="17">
        <f t="shared" si="8"/>
        <v>0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60</v>
      </c>
      <c r="AD16" s="17">
        <f t="shared" si="8"/>
        <v>0</v>
      </c>
      <c r="AE16" s="31">
        <f t="shared" si="8"/>
        <v>12</v>
      </c>
      <c r="AF16" s="31">
        <f t="shared" si="8"/>
        <v>72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14</v>
      </c>
      <c r="N17" s="50">
        <v>0</v>
      </c>
      <c r="O17" s="15">
        <f t="shared" si="0"/>
        <v>1</v>
      </c>
      <c r="P17" s="15">
        <f t="shared" si="1"/>
        <v>15</v>
      </c>
      <c r="R17" s="1" t="s">
        <v>13</v>
      </c>
      <c r="S17" s="17">
        <f t="shared" ref="S17:AF17" si="9">SUM(C38:C41)</f>
        <v>5</v>
      </c>
      <c r="T17" s="17">
        <f t="shared" si="9"/>
        <v>2</v>
      </c>
      <c r="U17" s="17">
        <f t="shared" si="9"/>
        <v>4</v>
      </c>
      <c r="V17" s="17">
        <f t="shared" si="9"/>
        <v>2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60</v>
      </c>
      <c r="AD17" s="17">
        <f t="shared" si="9"/>
        <v>0</v>
      </c>
      <c r="AE17" s="31">
        <f t="shared" si="9"/>
        <v>17</v>
      </c>
      <c r="AF17" s="31">
        <f t="shared" si="9"/>
        <v>77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8</v>
      </c>
      <c r="N18" s="50">
        <v>0</v>
      </c>
      <c r="O18" s="15">
        <f t="shared" si="0"/>
        <v>2</v>
      </c>
      <c r="P18" s="15">
        <f t="shared" si="1"/>
        <v>10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1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54</v>
      </c>
      <c r="AD18" s="17">
        <f t="shared" si="10"/>
        <v>0</v>
      </c>
      <c r="AE18" s="31">
        <f t="shared" si="10"/>
        <v>11</v>
      </c>
      <c r="AF18" s="31">
        <f t="shared" si="10"/>
        <v>65</v>
      </c>
    </row>
    <row r="19" spans="2:32" ht="23.1" customHeight="1" x14ac:dyDescent="0.25">
      <c r="B19" s="23" t="s">
        <v>46</v>
      </c>
      <c r="C19" s="50">
        <v>0</v>
      </c>
      <c r="D19" s="50">
        <v>1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9</v>
      </c>
      <c r="N19" s="50">
        <v>0</v>
      </c>
      <c r="O19" s="15">
        <f t="shared" si="0"/>
        <v>1</v>
      </c>
      <c r="P19" s="15">
        <f t="shared" si="1"/>
        <v>10</v>
      </c>
      <c r="R19" s="1" t="s">
        <v>15</v>
      </c>
      <c r="S19" s="17">
        <f t="shared" ref="S19:AF19" si="11">SUM(C46:C49)</f>
        <v>3</v>
      </c>
      <c r="T19" s="17">
        <f t="shared" si="11"/>
        <v>1</v>
      </c>
      <c r="U19" s="17">
        <f t="shared" si="11"/>
        <v>0</v>
      </c>
      <c r="V19" s="17">
        <f t="shared" si="11"/>
        <v>3</v>
      </c>
      <c r="W19" s="17">
        <f t="shared" si="11"/>
        <v>1</v>
      </c>
      <c r="X19" s="17">
        <f t="shared" si="11"/>
        <v>0</v>
      </c>
      <c r="Y19" s="17">
        <f t="shared" si="11"/>
        <v>1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59</v>
      </c>
      <c r="AD19" s="17">
        <f t="shared" si="11"/>
        <v>0</v>
      </c>
      <c r="AE19" s="31">
        <f t="shared" si="11"/>
        <v>11</v>
      </c>
      <c r="AF19" s="31">
        <f t="shared" si="11"/>
        <v>70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12</v>
      </c>
      <c r="N20" s="50">
        <v>0</v>
      </c>
      <c r="O20" s="15">
        <f t="shared" si="0"/>
        <v>5</v>
      </c>
      <c r="P20" s="15">
        <f t="shared" si="1"/>
        <v>17</v>
      </c>
      <c r="R20" s="1" t="s">
        <v>16</v>
      </c>
      <c r="S20" s="17">
        <f t="shared" ref="S20:AF20" si="12">SUM(C50:C53)</f>
        <v>4</v>
      </c>
      <c r="T20" s="17">
        <f t="shared" si="12"/>
        <v>0</v>
      </c>
      <c r="U20" s="17">
        <f t="shared" si="12"/>
        <v>0</v>
      </c>
      <c r="V20" s="17">
        <f t="shared" si="12"/>
        <v>0</v>
      </c>
      <c r="W20" s="17">
        <f t="shared" si="12"/>
        <v>1</v>
      </c>
      <c r="X20" s="17">
        <f t="shared" si="12"/>
        <v>0</v>
      </c>
      <c r="Y20" s="17">
        <f t="shared" si="12"/>
        <v>0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65</v>
      </c>
      <c r="AD20" s="17">
        <f t="shared" si="12"/>
        <v>0</v>
      </c>
      <c r="AE20" s="31">
        <f t="shared" si="12"/>
        <v>10</v>
      </c>
      <c r="AF20" s="31">
        <f t="shared" si="12"/>
        <v>75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13</v>
      </c>
      <c r="N21" s="50">
        <v>0</v>
      </c>
      <c r="O21" s="15">
        <f t="shared" si="0"/>
        <v>1</v>
      </c>
      <c r="P21" s="15">
        <f t="shared" si="1"/>
        <v>14</v>
      </c>
      <c r="R21" s="36" t="s">
        <v>20</v>
      </c>
      <c r="S21" s="34">
        <f t="shared" ref="S21:AF21" si="13">SUM(C54:C57)</f>
        <v>3</v>
      </c>
      <c r="T21" s="17">
        <f t="shared" si="13"/>
        <v>2</v>
      </c>
      <c r="U21" s="17">
        <f t="shared" si="13"/>
        <v>4</v>
      </c>
      <c r="V21" s="17">
        <f t="shared" si="13"/>
        <v>1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54</v>
      </c>
      <c r="AD21" s="17">
        <f t="shared" si="13"/>
        <v>0</v>
      </c>
      <c r="AE21" s="31">
        <f t="shared" si="13"/>
        <v>13</v>
      </c>
      <c r="AF21" s="31">
        <f t="shared" si="13"/>
        <v>67</v>
      </c>
    </row>
    <row r="22" spans="2:32" ht="23.1" customHeight="1" x14ac:dyDescent="0.25">
      <c r="B22" s="23" t="s">
        <v>49</v>
      </c>
      <c r="C22" s="50">
        <v>1</v>
      </c>
      <c r="D22" s="50">
        <v>1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19</v>
      </c>
      <c r="N22" s="50">
        <v>0</v>
      </c>
      <c r="O22" s="15">
        <f t="shared" si="0"/>
        <v>4</v>
      </c>
      <c r="P22" s="15">
        <f t="shared" si="1"/>
        <v>23</v>
      </c>
      <c r="R22" s="38" t="s">
        <v>90</v>
      </c>
      <c r="S22" s="39">
        <f>MAX(S10:S12)</f>
        <v>2</v>
      </c>
      <c r="T22" s="39">
        <f t="shared" ref="T22:AF22" si="14">MAX(T10:T12)</f>
        <v>2</v>
      </c>
      <c r="U22" s="39">
        <f t="shared" si="14"/>
        <v>0</v>
      </c>
      <c r="V22" s="39">
        <f t="shared" si="14"/>
        <v>2</v>
      </c>
      <c r="W22" s="39">
        <f t="shared" si="14"/>
        <v>0</v>
      </c>
      <c r="X22" s="39">
        <f t="shared" si="14"/>
        <v>0</v>
      </c>
      <c r="Y22" s="39">
        <f t="shared" si="14"/>
        <v>4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86</v>
      </c>
      <c r="AD22" s="39">
        <f t="shared" si="14"/>
        <v>0</v>
      </c>
      <c r="AE22" s="40">
        <f t="shared" si="14"/>
        <v>9</v>
      </c>
      <c r="AF22" s="40">
        <f t="shared" si="14"/>
        <v>90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6</v>
      </c>
      <c r="N23" s="50">
        <v>0</v>
      </c>
      <c r="O23" s="15">
        <f t="shared" si="0"/>
        <v>2</v>
      </c>
      <c r="P23" s="15">
        <f t="shared" si="1"/>
        <v>8</v>
      </c>
      <c r="R23" s="38" t="s">
        <v>91</v>
      </c>
      <c r="S23" s="39">
        <f>MAX(S13:S18)</f>
        <v>6</v>
      </c>
      <c r="T23" s="39">
        <f t="shared" ref="T23:AF23" si="15">MAX(T13:T18)</f>
        <v>2</v>
      </c>
      <c r="U23" s="39">
        <f t="shared" si="15"/>
        <v>4</v>
      </c>
      <c r="V23" s="39">
        <f t="shared" si="15"/>
        <v>2</v>
      </c>
      <c r="W23" s="39">
        <f t="shared" si="15"/>
        <v>0</v>
      </c>
      <c r="X23" s="39">
        <f t="shared" si="15"/>
        <v>0</v>
      </c>
      <c r="Y23" s="39">
        <f t="shared" si="15"/>
        <v>4</v>
      </c>
      <c r="Z23" s="39">
        <f t="shared" si="15"/>
        <v>5</v>
      </c>
      <c r="AA23" s="39">
        <f t="shared" si="15"/>
        <v>0</v>
      </c>
      <c r="AB23" s="39">
        <f t="shared" si="15"/>
        <v>0</v>
      </c>
      <c r="AC23" s="39">
        <f t="shared" si="15"/>
        <v>60</v>
      </c>
      <c r="AD23" s="39">
        <f t="shared" si="15"/>
        <v>0</v>
      </c>
      <c r="AE23" s="40">
        <f t="shared" si="15"/>
        <v>17</v>
      </c>
      <c r="AF23" s="40">
        <f t="shared" si="15"/>
        <v>77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2</v>
      </c>
      <c r="K24" s="50">
        <v>0</v>
      </c>
      <c r="L24" s="50">
        <v>0</v>
      </c>
      <c r="M24" s="50">
        <v>11</v>
      </c>
      <c r="N24" s="50">
        <v>0</v>
      </c>
      <c r="O24" s="15">
        <f t="shared" si="0"/>
        <v>3</v>
      </c>
      <c r="P24" s="15">
        <f t="shared" si="1"/>
        <v>14</v>
      </c>
      <c r="R24" s="38" t="s">
        <v>92</v>
      </c>
      <c r="S24" s="39">
        <f>MAX(S19:S21)</f>
        <v>4</v>
      </c>
      <c r="T24" s="39">
        <f t="shared" ref="T24:AF24" si="16">MAX(T19:T21)</f>
        <v>2</v>
      </c>
      <c r="U24" s="39">
        <f t="shared" si="16"/>
        <v>4</v>
      </c>
      <c r="V24" s="39">
        <f t="shared" si="16"/>
        <v>3</v>
      </c>
      <c r="W24" s="39">
        <f t="shared" si="16"/>
        <v>1</v>
      </c>
      <c r="X24" s="39">
        <f t="shared" si="16"/>
        <v>0</v>
      </c>
      <c r="Y24" s="39">
        <f t="shared" si="16"/>
        <v>2</v>
      </c>
      <c r="Z24" s="39">
        <f t="shared" si="16"/>
        <v>5</v>
      </c>
      <c r="AA24" s="39">
        <f t="shared" si="16"/>
        <v>0</v>
      </c>
      <c r="AB24" s="39">
        <f t="shared" si="16"/>
        <v>0</v>
      </c>
      <c r="AC24" s="39">
        <f t="shared" si="16"/>
        <v>65</v>
      </c>
      <c r="AD24" s="39">
        <f t="shared" si="16"/>
        <v>0</v>
      </c>
      <c r="AE24" s="40">
        <f t="shared" si="16"/>
        <v>13</v>
      </c>
      <c r="AF24" s="40">
        <f t="shared" si="16"/>
        <v>75</v>
      </c>
    </row>
    <row r="25" spans="2:32" ht="23.1" customHeight="1" x14ac:dyDescent="0.25">
      <c r="B25" s="23" t="s">
        <v>52</v>
      </c>
      <c r="C25" s="50">
        <v>1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8</v>
      </c>
      <c r="N25" s="50">
        <v>0</v>
      </c>
      <c r="O25" s="15">
        <f t="shared" si="0"/>
        <v>3</v>
      </c>
      <c r="P25" s="15">
        <f t="shared" si="1"/>
        <v>11</v>
      </c>
      <c r="R25" s="37" t="s">
        <v>85</v>
      </c>
      <c r="S25" s="35">
        <f t="shared" ref="S25:AF25" si="17">SUM(S10:S12)</f>
        <v>3</v>
      </c>
      <c r="T25" s="16">
        <f t="shared" si="17"/>
        <v>2</v>
      </c>
      <c r="U25" s="16">
        <f t="shared" si="17"/>
        <v>0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6</v>
      </c>
      <c r="AA25" s="16">
        <f t="shared" si="17"/>
        <v>0</v>
      </c>
      <c r="AB25" s="16">
        <f t="shared" si="17"/>
        <v>0</v>
      </c>
      <c r="AC25" s="16">
        <f t="shared" si="17"/>
        <v>205</v>
      </c>
      <c r="AD25" s="16">
        <f t="shared" si="17"/>
        <v>0</v>
      </c>
      <c r="AE25" s="32">
        <f t="shared" si="17"/>
        <v>20</v>
      </c>
      <c r="AF25" s="32">
        <f t="shared" si="17"/>
        <v>225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8</v>
      </c>
      <c r="N26" s="50">
        <v>0</v>
      </c>
      <c r="O26" s="15">
        <f t="shared" si="0"/>
        <v>2</v>
      </c>
      <c r="P26" s="15">
        <f t="shared" si="1"/>
        <v>10</v>
      </c>
      <c r="R26" s="28" t="s">
        <v>86</v>
      </c>
      <c r="S26" s="16">
        <f t="shared" ref="S26:AF26" si="18">SUM(S13:S18)</f>
        <v>25</v>
      </c>
      <c r="T26" s="16">
        <f t="shared" si="18"/>
        <v>5</v>
      </c>
      <c r="U26" s="16">
        <f t="shared" si="18"/>
        <v>8</v>
      </c>
      <c r="V26" s="16">
        <f t="shared" si="18"/>
        <v>6</v>
      </c>
      <c r="W26" s="16">
        <f t="shared" si="18"/>
        <v>0</v>
      </c>
      <c r="X26" s="16">
        <f t="shared" si="18"/>
        <v>0</v>
      </c>
      <c r="Y26" s="16">
        <f t="shared" si="18"/>
        <v>11</v>
      </c>
      <c r="Z26" s="16">
        <f t="shared" si="18"/>
        <v>21</v>
      </c>
      <c r="AA26" s="16">
        <f t="shared" si="18"/>
        <v>0</v>
      </c>
      <c r="AB26" s="16">
        <f t="shared" si="18"/>
        <v>0</v>
      </c>
      <c r="AC26" s="16">
        <f t="shared" si="18"/>
        <v>296</v>
      </c>
      <c r="AD26" s="16">
        <f t="shared" si="18"/>
        <v>0</v>
      </c>
      <c r="AE26" s="32">
        <f t="shared" si="18"/>
        <v>76</v>
      </c>
      <c r="AF26" s="32">
        <f t="shared" si="18"/>
        <v>372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9</v>
      </c>
      <c r="N27" s="50">
        <v>0</v>
      </c>
      <c r="O27" s="15">
        <f t="shared" si="0"/>
        <v>2</v>
      </c>
      <c r="P27" s="15">
        <f t="shared" si="1"/>
        <v>11</v>
      </c>
      <c r="R27" s="29" t="s">
        <v>87</v>
      </c>
      <c r="S27" s="16">
        <f t="shared" ref="S27:AF27" si="19">SUM(S19:S21)</f>
        <v>10</v>
      </c>
      <c r="T27" s="16">
        <f t="shared" si="19"/>
        <v>3</v>
      </c>
      <c r="U27" s="16">
        <f t="shared" si="19"/>
        <v>4</v>
      </c>
      <c r="V27" s="16">
        <f t="shared" si="19"/>
        <v>4</v>
      </c>
      <c r="W27" s="16">
        <f t="shared" si="19"/>
        <v>2</v>
      </c>
      <c r="X27" s="16">
        <f t="shared" si="19"/>
        <v>0</v>
      </c>
      <c r="Y27" s="16">
        <f t="shared" si="19"/>
        <v>3</v>
      </c>
      <c r="Z27" s="16">
        <f t="shared" si="19"/>
        <v>8</v>
      </c>
      <c r="AA27" s="16">
        <f t="shared" si="19"/>
        <v>0</v>
      </c>
      <c r="AB27" s="16">
        <f t="shared" si="19"/>
        <v>0</v>
      </c>
      <c r="AC27" s="16">
        <f t="shared" si="19"/>
        <v>178</v>
      </c>
      <c r="AD27" s="16">
        <f t="shared" si="19"/>
        <v>0</v>
      </c>
      <c r="AE27" s="32">
        <f t="shared" si="19"/>
        <v>34</v>
      </c>
      <c r="AF27" s="32">
        <f t="shared" si="19"/>
        <v>212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8</v>
      </c>
      <c r="N28" s="50">
        <v>0</v>
      </c>
      <c r="O28" s="15">
        <f t="shared" si="0"/>
        <v>3</v>
      </c>
      <c r="P28" s="15">
        <f t="shared" si="1"/>
        <v>11</v>
      </c>
      <c r="R28" s="5" t="s">
        <v>17</v>
      </c>
      <c r="S28" s="16">
        <f t="shared" ref="S28:AF28" si="20">SUM(S10:S21)</f>
        <v>38</v>
      </c>
      <c r="T28" s="16">
        <f t="shared" si="20"/>
        <v>10</v>
      </c>
      <c r="U28" s="16">
        <f t="shared" si="20"/>
        <v>12</v>
      </c>
      <c r="V28" s="16">
        <f t="shared" si="20"/>
        <v>12</v>
      </c>
      <c r="W28" s="16">
        <f t="shared" si="20"/>
        <v>2</v>
      </c>
      <c r="X28" s="16">
        <f t="shared" si="20"/>
        <v>0</v>
      </c>
      <c r="Y28" s="16">
        <f t="shared" si="20"/>
        <v>21</v>
      </c>
      <c r="Z28" s="16">
        <f t="shared" si="20"/>
        <v>35</v>
      </c>
      <c r="AA28" s="16">
        <f t="shared" si="20"/>
        <v>0</v>
      </c>
      <c r="AB28" s="16">
        <f t="shared" si="20"/>
        <v>0</v>
      </c>
      <c r="AC28" s="16">
        <f t="shared" si="20"/>
        <v>679</v>
      </c>
      <c r="AD28" s="16">
        <f t="shared" si="20"/>
        <v>0</v>
      </c>
      <c r="AE28" s="32">
        <f t="shared" si="20"/>
        <v>130</v>
      </c>
      <c r="AF28" s="32">
        <f t="shared" si="20"/>
        <v>809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0</v>
      </c>
      <c r="M29" s="50">
        <v>13</v>
      </c>
      <c r="N29" s="50">
        <v>0</v>
      </c>
      <c r="O29" s="15">
        <f t="shared" si="0"/>
        <v>1</v>
      </c>
      <c r="P29" s="15">
        <f t="shared" si="1"/>
        <v>14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1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10</v>
      </c>
      <c r="N30" s="50">
        <v>0</v>
      </c>
      <c r="O30" s="15">
        <f t="shared" si="0"/>
        <v>6</v>
      </c>
      <c r="P30" s="15">
        <f t="shared" si="1"/>
        <v>16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1</v>
      </c>
      <c r="G31" s="50">
        <v>0</v>
      </c>
      <c r="H31" s="50">
        <v>0</v>
      </c>
      <c r="I31" s="50">
        <v>0</v>
      </c>
      <c r="J31" s="50">
        <v>1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4</v>
      </c>
      <c r="P31" s="15">
        <f t="shared" si="1"/>
        <v>13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1</v>
      </c>
      <c r="F32" s="50">
        <v>0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4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8</v>
      </c>
      <c r="N33" s="50">
        <v>0</v>
      </c>
      <c r="O33" s="15">
        <f t="shared" si="0"/>
        <v>2</v>
      </c>
      <c r="P33" s="15">
        <f t="shared" si="1"/>
        <v>10</v>
      </c>
    </row>
    <row r="34" spans="2:20" ht="23.1" customHeight="1" x14ac:dyDescent="0.25">
      <c r="B34" s="24" t="s">
        <v>61</v>
      </c>
      <c r="C34" s="50">
        <v>2</v>
      </c>
      <c r="D34" s="50">
        <v>0</v>
      </c>
      <c r="E34" s="50">
        <v>0</v>
      </c>
      <c r="F34" s="50">
        <v>1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13</v>
      </c>
      <c r="N34" s="50">
        <v>0</v>
      </c>
      <c r="O34" s="15">
        <f t="shared" si="0"/>
        <v>4</v>
      </c>
      <c r="P34" s="15">
        <f t="shared" si="1"/>
        <v>17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12</v>
      </c>
      <c r="N35" s="50">
        <v>0</v>
      </c>
      <c r="O35" s="15">
        <f t="shared" si="0"/>
        <v>3</v>
      </c>
      <c r="P35" s="15">
        <f t="shared" si="1"/>
        <v>15</v>
      </c>
    </row>
    <row r="36" spans="2:20" ht="23.1" customHeight="1" x14ac:dyDescent="0.25">
      <c r="B36" s="24" t="s">
        <v>63</v>
      </c>
      <c r="C36" s="50">
        <v>0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17</v>
      </c>
      <c r="N36" s="50">
        <v>0</v>
      </c>
      <c r="O36" s="15">
        <f t="shared" si="0"/>
        <v>0</v>
      </c>
      <c r="P36" s="15">
        <f t="shared" si="1"/>
        <v>17</v>
      </c>
    </row>
    <row r="37" spans="2:20" ht="23.1" customHeight="1" x14ac:dyDescent="0.25">
      <c r="B37" s="23" t="s">
        <v>64</v>
      </c>
      <c r="C37" s="50">
        <v>1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2</v>
      </c>
      <c r="K37" s="50">
        <v>0</v>
      </c>
      <c r="L37" s="50">
        <v>0</v>
      </c>
      <c r="M37" s="50">
        <v>18</v>
      </c>
      <c r="N37" s="50">
        <v>0</v>
      </c>
      <c r="O37" s="15">
        <f t="shared" si="0"/>
        <v>5</v>
      </c>
      <c r="P37" s="15">
        <f t="shared" si="1"/>
        <v>23</v>
      </c>
    </row>
    <row r="38" spans="2:20" ht="23.1" customHeight="1" x14ac:dyDescent="0.25">
      <c r="B38" s="24" t="s">
        <v>65</v>
      </c>
      <c r="C38" s="50">
        <v>2</v>
      </c>
      <c r="D38" s="50">
        <v>1</v>
      </c>
      <c r="E38" s="50">
        <v>2</v>
      </c>
      <c r="F38" s="50">
        <v>1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19</v>
      </c>
      <c r="N38" s="50">
        <v>0</v>
      </c>
      <c r="O38" s="15">
        <f t="shared" si="0"/>
        <v>7</v>
      </c>
      <c r="P38" s="15">
        <f t="shared" si="1"/>
        <v>26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13</v>
      </c>
      <c r="N39" s="50">
        <v>0</v>
      </c>
      <c r="O39" s="15">
        <f t="shared" si="0"/>
        <v>2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15</v>
      </c>
      <c r="N40" s="50">
        <v>0</v>
      </c>
      <c r="O40" s="15">
        <f t="shared" si="0"/>
        <v>2</v>
      </c>
      <c r="P40" s="15">
        <f t="shared" si="1"/>
        <v>17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2</v>
      </c>
      <c r="F41" s="50">
        <v>0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13</v>
      </c>
      <c r="N41" s="50">
        <v>0</v>
      </c>
      <c r="O41" s="15">
        <f t="shared" si="0"/>
        <v>6</v>
      </c>
      <c r="P41" s="15">
        <f t="shared" si="1"/>
        <v>19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1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17</v>
      </c>
      <c r="N42" s="50">
        <v>0</v>
      </c>
      <c r="O42" s="15">
        <f t="shared" si="0"/>
        <v>4</v>
      </c>
      <c r="P42" s="15">
        <f t="shared" si="1"/>
        <v>21</v>
      </c>
    </row>
    <row r="43" spans="2:20" ht="23.1" customHeight="1" x14ac:dyDescent="0.25">
      <c r="B43" s="23" t="s">
        <v>70</v>
      </c>
      <c r="C43" s="50">
        <v>1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14</v>
      </c>
      <c r="N43" s="50">
        <v>0</v>
      </c>
      <c r="O43" s="15">
        <f t="shared" si="0"/>
        <v>3</v>
      </c>
      <c r="P43" s="15">
        <f t="shared" si="1"/>
        <v>17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13</v>
      </c>
      <c r="N44" s="50">
        <v>0</v>
      </c>
      <c r="O44" s="15">
        <f t="shared" si="0"/>
        <v>0</v>
      </c>
      <c r="P44" s="15">
        <f t="shared" si="1"/>
        <v>13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4</v>
      </c>
      <c r="P45" s="15">
        <f t="shared" si="1"/>
        <v>14</v>
      </c>
    </row>
    <row r="46" spans="2:20" ht="23.1" customHeight="1" x14ac:dyDescent="0.25">
      <c r="B46" s="24" t="s">
        <v>73</v>
      </c>
      <c r="C46" s="50">
        <v>0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9</v>
      </c>
      <c r="N46" s="50">
        <v>0</v>
      </c>
      <c r="O46" s="15">
        <f t="shared" si="0"/>
        <v>0</v>
      </c>
      <c r="P46" s="15">
        <f t="shared" si="1"/>
        <v>9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11</v>
      </c>
      <c r="N47" s="50">
        <v>0</v>
      </c>
      <c r="O47" s="15">
        <f t="shared" si="0"/>
        <v>1</v>
      </c>
      <c r="P47" s="15">
        <f t="shared" si="1"/>
        <v>12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0</v>
      </c>
      <c r="F48" s="50">
        <v>2</v>
      </c>
      <c r="G48" s="50">
        <v>0</v>
      </c>
      <c r="H48" s="50">
        <v>0</v>
      </c>
      <c r="I48" s="50">
        <v>0</v>
      </c>
      <c r="J48" s="50">
        <v>1</v>
      </c>
      <c r="K48" s="50">
        <v>0</v>
      </c>
      <c r="L48" s="50">
        <v>0</v>
      </c>
      <c r="M48" s="50">
        <v>19</v>
      </c>
      <c r="N48" s="50">
        <v>0</v>
      </c>
      <c r="O48" s="15">
        <f t="shared" si="0"/>
        <v>4</v>
      </c>
      <c r="P48" s="15">
        <f t="shared" si="1"/>
        <v>23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1</v>
      </c>
      <c r="E49" s="50">
        <v>0</v>
      </c>
      <c r="F49" s="50">
        <v>1</v>
      </c>
      <c r="G49" s="50">
        <v>1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20</v>
      </c>
      <c r="N49" s="50">
        <v>0</v>
      </c>
      <c r="O49" s="15">
        <f t="shared" si="0"/>
        <v>6</v>
      </c>
      <c r="P49" s="15">
        <f t="shared" si="1"/>
        <v>26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0</v>
      </c>
      <c r="F50" s="50">
        <v>0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13</v>
      </c>
      <c r="N50" s="50">
        <v>0</v>
      </c>
      <c r="O50" s="15">
        <f t="shared" si="0"/>
        <v>1</v>
      </c>
      <c r="P50" s="15">
        <f t="shared" si="1"/>
        <v>14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1</v>
      </c>
      <c r="K51" s="50">
        <v>0</v>
      </c>
      <c r="L51" s="50">
        <v>0</v>
      </c>
      <c r="M51" s="50">
        <v>17</v>
      </c>
      <c r="N51" s="50">
        <v>0</v>
      </c>
      <c r="O51" s="15">
        <f t="shared" si="0"/>
        <v>2</v>
      </c>
      <c r="P51" s="15">
        <f t="shared" si="1"/>
        <v>19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14</v>
      </c>
      <c r="N52" s="50">
        <v>0</v>
      </c>
      <c r="O52" s="15">
        <f t="shared" si="0"/>
        <v>2</v>
      </c>
      <c r="P52" s="15">
        <f t="shared" si="1"/>
        <v>16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1</v>
      </c>
      <c r="H53" s="50">
        <v>0</v>
      </c>
      <c r="I53" s="50">
        <v>0</v>
      </c>
      <c r="J53" s="50">
        <v>2</v>
      </c>
      <c r="K53" s="50">
        <v>0</v>
      </c>
      <c r="L53" s="50">
        <v>0</v>
      </c>
      <c r="M53" s="50">
        <v>21</v>
      </c>
      <c r="N53" s="50">
        <v>0</v>
      </c>
      <c r="O53" s="15">
        <f t="shared" si="0"/>
        <v>5</v>
      </c>
      <c r="P53" s="15">
        <f t="shared" si="1"/>
        <v>26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7</v>
      </c>
      <c r="N54" s="50">
        <v>0</v>
      </c>
      <c r="O54" s="15">
        <f t="shared" si="0"/>
        <v>3</v>
      </c>
      <c r="P54" s="15">
        <f t="shared" si="1"/>
        <v>10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1</v>
      </c>
      <c r="E55" s="50">
        <v>3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14</v>
      </c>
      <c r="N55" s="50">
        <v>0</v>
      </c>
      <c r="O55" s="15">
        <f t="shared" si="0"/>
        <v>5</v>
      </c>
      <c r="P55" s="15">
        <f t="shared" si="1"/>
        <v>19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0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16</v>
      </c>
      <c r="N56" s="50">
        <v>0</v>
      </c>
      <c r="O56" s="15">
        <f t="shared" si="0"/>
        <v>1</v>
      </c>
      <c r="P56" s="15">
        <f t="shared" si="1"/>
        <v>17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17</v>
      </c>
      <c r="N57" s="50">
        <v>0</v>
      </c>
      <c r="O57" s="15">
        <f t="shared" si="0"/>
        <v>4</v>
      </c>
      <c r="P57" s="15">
        <f t="shared" si="1"/>
        <v>21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38</v>
      </c>
      <c r="D58" s="16">
        <f t="shared" si="21"/>
        <v>10</v>
      </c>
      <c r="E58" s="16">
        <f t="shared" si="21"/>
        <v>12</v>
      </c>
      <c r="F58" s="16">
        <f t="shared" si="21"/>
        <v>12</v>
      </c>
      <c r="G58" s="16">
        <f t="shared" si="21"/>
        <v>2</v>
      </c>
      <c r="H58" s="16">
        <f t="shared" si="21"/>
        <v>0</v>
      </c>
      <c r="I58" s="16">
        <f t="shared" si="21"/>
        <v>21</v>
      </c>
      <c r="J58" s="16">
        <f t="shared" si="21"/>
        <v>35</v>
      </c>
      <c r="K58" s="16">
        <f t="shared" si="21"/>
        <v>0</v>
      </c>
      <c r="L58" s="16">
        <f t="shared" si="21"/>
        <v>0</v>
      </c>
      <c r="M58" s="16">
        <f t="shared" si="21"/>
        <v>679</v>
      </c>
      <c r="N58" s="16">
        <f t="shared" si="21"/>
        <v>0</v>
      </c>
      <c r="O58" s="16">
        <f t="shared" si="21"/>
        <v>130</v>
      </c>
      <c r="P58" s="16">
        <f t="shared" si="21"/>
        <v>809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4.6971569839307788E-2</v>
      </c>
      <c r="D59" s="43">
        <f t="shared" si="22"/>
        <v>1.2360939431396786E-2</v>
      </c>
      <c r="E59" s="43">
        <f t="shared" si="22"/>
        <v>1.4833127317676144E-2</v>
      </c>
      <c r="F59" s="43">
        <f t="shared" si="22"/>
        <v>1.4833127317676144E-2</v>
      </c>
      <c r="G59" s="43">
        <f t="shared" si="22"/>
        <v>2.472187886279357E-3</v>
      </c>
      <c r="H59" s="43">
        <f t="shared" si="22"/>
        <v>0</v>
      </c>
      <c r="I59" s="43">
        <f t="shared" si="22"/>
        <v>2.595797280593325E-2</v>
      </c>
      <c r="J59" s="43">
        <f t="shared" si="22"/>
        <v>4.3263288009888753E-2</v>
      </c>
      <c r="K59" s="43">
        <f t="shared" si="22"/>
        <v>0</v>
      </c>
      <c r="L59" s="43">
        <f t="shared" si="22"/>
        <v>0</v>
      </c>
      <c r="M59" s="43">
        <f t="shared" si="22"/>
        <v>0.83930778739184175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0.29230769230769232</v>
      </c>
      <c r="D60" s="44">
        <f t="shared" ref="D60:N60" si="23">D58/$O$58</f>
        <v>7.6923076923076927E-2</v>
      </c>
      <c r="E60" s="44">
        <f t="shared" si="23"/>
        <v>9.2307692307692313E-2</v>
      </c>
      <c r="F60" s="44">
        <f t="shared" si="23"/>
        <v>9.2307692307692313E-2</v>
      </c>
      <c r="G60" s="44">
        <f t="shared" si="23"/>
        <v>1.5384615384615385E-2</v>
      </c>
      <c r="H60" s="44">
        <f t="shared" si="23"/>
        <v>0</v>
      </c>
      <c r="I60" s="44">
        <f t="shared" si="23"/>
        <v>0.16153846153846155</v>
      </c>
      <c r="J60" s="44">
        <f t="shared" si="23"/>
        <v>0.26923076923076922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ZIROBWE-WOBULENZI'!C3:G3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'22.10 WOBULENZI-ZIROBWE'!D5</f>
        <v>22.10.19</v>
      </c>
      <c r="E5" s="3"/>
      <c r="F5" s="41" t="s">
        <v>1</v>
      </c>
      <c r="G5" s="59" t="s">
        <v>171</v>
      </c>
      <c r="H5" s="60"/>
      <c r="I5" s="14"/>
      <c r="J5" s="2" t="s">
        <v>5</v>
      </c>
      <c r="K5" s="59" t="str">
        <f>'23.10 WOBULENZI-ZIROBWE'!K5:L5</f>
        <v>COMFORT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tr">
        <f>'23.10 ZIROBWE-WOBULENZI'!D6:E6</f>
        <v>ZIROBWE</v>
      </c>
      <c r="E6" s="60"/>
      <c r="F6" s="2" t="s">
        <v>2</v>
      </c>
      <c r="G6" s="59" t="str">
        <f>'23.10 ZIROBWE-WOBULENZI'!G6:H6</f>
        <v>WOBULENZI</v>
      </c>
      <c r="H6" s="60"/>
      <c r="J6" s="2" t="s">
        <v>21</v>
      </c>
      <c r="K6" s="59" t="str">
        <f>'23.10 WOBULENZI-ZIROBWE'!K6:L6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1</v>
      </c>
      <c r="J10" s="50">
        <v>2</v>
      </c>
      <c r="K10" s="50">
        <v>0</v>
      </c>
      <c r="L10" s="50">
        <v>0</v>
      </c>
      <c r="M10" s="50">
        <v>19</v>
      </c>
      <c r="N10" s="50">
        <v>0</v>
      </c>
      <c r="O10" s="15">
        <f t="shared" ref="O10:O57" si="0">SUM(C10:L10,N10)</f>
        <v>3</v>
      </c>
      <c r="P10" s="15">
        <f t="shared" ref="P10:P57" si="1">SUM(C10:N10)</f>
        <v>22</v>
      </c>
      <c r="R10" s="1" t="s">
        <v>6</v>
      </c>
      <c r="S10" s="17">
        <f t="shared" ref="S10:AF10" si="2">SUM(C10:C13)</f>
        <v>1</v>
      </c>
      <c r="T10" s="17">
        <f t="shared" si="2"/>
        <v>1</v>
      </c>
      <c r="U10" s="17">
        <f t="shared" si="2"/>
        <v>0</v>
      </c>
      <c r="V10" s="17">
        <f t="shared" si="2"/>
        <v>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66</v>
      </c>
      <c r="AD10" s="17">
        <f t="shared" si="2"/>
        <v>0</v>
      </c>
      <c r="AE10" s="31">
        <f t="shared" si="2"/>
        <v>8</v>
      </c>
      <c r="AF10" s="31">
        <f t="shared" si="2"/>
        <v>74</v>
      </c>
    </row>
    <row r="11" spans="2:32" s="6" customFormat="1" ht="23.1" customHeight="1" x14ac:dyDescent="0.25">
      <c r="B11" s="23" t="s">
        <v>38</v>
      </c>
      <c r="C11" s="50">
        <v>0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15</v>
      </c>
      <c r="N11" s="50">
        <v>0</v>
      </c>
      <c r="O11" s="15">
        <f t="shared" si="0"/>
        <v>2</v>
      </c>
      <c r="P11" s="15">
        <f t="shared" si="1"/>
        <v>17</v>
      </c>
      <c r="R11" s="1" t="s">
        <v>7</v>
      </c>
      <c r="S11" s="17">
        <f t="shared" ref="S11:AF11" si="3">SUM(C14:C17)</f>
        <v>4</v>
      </c>
      <c r="T11" s="17">
        <f t="shared" si="3"/>
        <v>1</v>
      </c>
      <c r="U11" s="17">
        <f t="shared" si="3"/>
        <v>1</v>
      </c>
      <c r="V11" s="17">
        <f t="shared" si="3"/>
        <v>3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59</v>
      </c>
      <c r="AD11" s="17">
        <f t="shared" si="3"/>
        <v>0</v>
      </c>
      <c r="AE11" s="31">
        <f t="shared" si="3"/>
        <v>14</v>
      </c>
      <c r="AF11" s="31">
        <f t="shared" si="3"/>
        <v>73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13</v>
      </c>
      <c r="N12" s="50">
        <v>0</v>
      </c>
      <c r="O12" s="15">
        <f t="shared" si="0"/>
        <v>2</v>
      </c>
      <c r="P12" s="15">
        <f t="shared" si="1"/>
        <v>15</v>
      </c>
      <c r="R12" s="1" t="s">
        <v>8</v>
      </c>
      <c r="S12" s="17">
        <f t="shared" ref="S12:AF12" si="4">SUM(C18:C21)</f>
        <v>4</v>
      </c>
      <c r="T12" s="17">
        <f t="shared" si="4"/>
        <v>3</v>
      </c>
      <c r="U12" s="17">
        <f t="shared" si="4"/>
        <v>2</v>
      </c>
      <c r="V12" s="17">
        <f t="shared" si="4"/>
        <v>2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52</v>
      </c>
      <c r="AD12" s="17">
        <f t="shared" si="4"/>
        <v>0</v>
      </c>
      <c r="AE12" s="31">
        <f t="shared" si="4"/>
        <v>16</v>
      </c>
      <c r="AF12" s="31">
        <f t="shared" si="4"/>
        <v>68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19</v>
      </c>
      <c r="N13" s="50">
        <v>0</v>
      </c>
      <c r="O13" s="15">
        <f t="shared" si="0"/>
        <v>1</v>
      </c>
      <c r="P13" s="15">
        <f t="shared" si="1"/>
        <v>20</v>
      </c>
      <c r="R13" s="1" t="s">
        <v>9</v>
      </c>
      <c r="S13" s="17">
        <f t="shared" ref="S13:AF13" si="5">SUM(C22:C25)</f>
        <v>4</v>
      </c>
      <c r="T13" s="17">
        <f t="shared" si="5"/>
        <v>1</v>
      </c>
      <c r="U13" s="17">
        <f t="shared" si="5"/>
        <v>0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9</v>
      </c>
      <c r="AA13" s="17">
        <f t="shared" si="5"/>
        <v>0</v>
      </c>
      <c r="AB13" s="17">
        <f t="shared" si="5"/>
        <v>0</v>
      </c>
      <c r="AC13" s="17">
        <f t="shared" si="5"/>
        <v>51</v>
      </c>
      <c r="AD13" s="17">
        <f t="shared" si="5"/>
        <v>0</v>
      </c>
      <c r="AE13" s="31">
        <f t="shared" si="5"/>
        <v>18</v>
      </c>
      <c r="AF13" s="31">
        <f t="shared" si="5"/>
        <v>69</v>
      </c>
    </row>
    <row r="14" spans="2:32" ht="23.1" customHeight="1" x14ac:dyDescent="0.25">
      <c r="B14" s="23" t="s">
        <v>41</v>
      </c>
      <c r="C14" s="50">
        <v>1</v>
      </c>
      <c r="D14" s="50">
        <v>0</v>
      </c>
      <c r="E14" s="50">
        <v>0</v>
      </c>
      <c r="F14" s="50">
        <v>1</v>
      </c>
      <c r="G14" s="50">
        <v>0</v>
      </c>
      <c r="H14" s="50">
        <v>0</v>
      </c>
      <c r="I14" s="50">
        <v>1</v>
      </c>
      <c r="J14" s="50">
        <v>1</v>
      </c>
      <c r="K14" s="50">
        <v>0</v>
      </c>
      <c r="L14" s="50">
        <v>0</v>
      </c>
      <c r="M14" s="50">
        <v>16</v>
      </c>
      <c r="N14" s="50">
        <v>0</v>
      </c>
      <c r="O14" s="15">
        <f t="shared" si="0"/>
        <v>4</v>
      </c>
      <c r="P14" s="15">
        <f t="shared" si="1"/>
        <v>20</v>
      </c>
      <c r="R14" s="1" t="s">
        <v>10</v>
      </c>
      <c r="S14" s="17">
        <f t="shared" ref="S14:AF14" si="6">SUM(C26:C29)</f>
        <v>7</v>
      </c>
      <c r="T14" s="17">
        <f t="shared" si="6"/>
        <v>1</v>
      </c>
      <c r="U14" s="17">
        <f t="shared" si="6"/>
        <v>2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7</v>
      </c>
      <c r="AA14" s="17">
        <f t="shared" si="6"/>
        <v>0</v>
      </c>
      <c r="AB14" s="17">
        <f t="shared" si="6"/>
        <v>0</v>
      </c>
      <c r="AC14" s="17">
        <f t="shared" si="6"/>
        <v>60</v>
      </c>
      <c r="AD14" s="17">
        <f t="shared" si="6"/>
        <v>0</v>
      </c>
      <c r="AE14" s="31">
        <f t="shared" si="6"/>
        <v>20</v>
      </c>
      <c r="AF14" s="31">
        <f t="shared" si="6"/>
        <v>80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13</v>
      </c>
      <c r="N15" s="50">
        <v>0</v>
      </c>
      <c r="O15" s="15">
        <f t="shared" si="0"/>
        <v>1</v>
      </c>
      <c r="P15" s="15">
        <f t="shared" si="1"/>
        <v>14</v>
      </c>
      <c r="R15" s="1" t="s">
        <v>11</v>
      </c>
      <c r="S15" s="17">
        <f t="shared" ref="S15:AF15" si="7">SUM(C30:C33)</f>
        <v>0</v>
      </c>
      <c r="T15" s="17">
        <f t="shared" si="7"/>
        <v>0</v>
      </c>
      <c r="U15" s="17">
        <f t="shared" si="7"/>
        <v>4</v>
      </c>
      <c r="V15" s="17">
        <f t="shared" si="7"/>
        <v>1</v>
      </c>
      <c r="W15" s="17">
        <f t="shared" si="7"/>
        <v>1</v>
      </c>
      <c r="X15" s="17">
        <f t="shared" si="7"/>
        <v>0</v>
      </c>
      <c r="Y15" s="17">
        <f t="shared" si="7"/>
        <v>2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62</v>
      </c>
      <c r="AD15" s="17">
        <f t="shared" si="7"/>
        <v>0</v>
      </c>
      <c r="AE15" s="31">
        <f t="shared" si="7"/>
        <v>10</v>
      </c>
      <c r="AF15" s="31">
        <f t="shared" si="7"/>
        <v>72</v>
      </c>
    </row>
    <row r="16" spans="2:32" ht="23.1" customHeight="1" x14ac:dyDescent="0.25">
      <c r="B16" s="23" t="s">
        <v>43</v>
      </c>
      <c r="C16" s="50">
        <v>1</v>
      </c>
      <c r="D16" s="50">
        <v>1</v>
      </c>
      <c r="E16" s="50">
        <v>1</v>
      </c>
      <c r="F16" s="50">
        <v>2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23</v>
      </c>
      <c r="N16" s="50">
        <v>0</v>
      </c>
      <c r="O16" s="15">
        <f t="shared" si="0"/>
        <v>6</v>
      </c>
      <c r="P16" s="15">
        <f t="shared" si="1"/>
        <v>29</v>
      </c>
      <c r="R16" s="1" t="s">
        <v>12</v>
      </c>
      <c r="S16" s="17">
        <f t="shared" ref="S16:AF16" si="8">SUM(C34:C37)</f>
        <v>4</v>
      </c>
      <c r="T16" s="17">
        <f t="shared" si="8"/>
        <v>0</v>
      </c>
      <c r="U16" s="17">
        <f t="shared" si="8"/>
        <v>1</v>
      </c>
      <c r="V16" s="17">
        <f t="shared" si="8"/>
        <v>0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58</v>
      </c>
      <c r="AD16" s="17">
        <f t="shared" si="8"/>
        <v>0</v>
      </c>
      <c r="AE16" s="31">
        <f t="shared" si="8"/>
        <v>8</v>
      </c>
      <c r="AF16" s="31">
        <f t="shared" si="8"/>
        <v>66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7</v>
      </c>
      <c r="N17" s="50">
        <v>0</v>
      </c>
      <c r="O17" s="15">
        <f t="shared" si="0"/>
        <v>3</v>
      </c>
      <c r="P17" s="15">
        <f t="shared" si="1"/>
        <v>10</v>
      </c>
      <c r="R17" s="1" t="s">
        <v>13</v>
      </c>
      <c r="S17" s="17">
        <f t="shared" ref="S17:AF17" si="9">SUM(C38:C41)</f>
        <v>1</v>
      </c>
      <c r="T17" s="17">
        <f t="shared" si="9"/>
        <v>0</v>
      </c>
      <c r="U17" s="17">
        <f t="shared" si="9"/>
        <v>0</v>
      </c>
      <c r="V17" s="17">
        <f t="shared" si="9"/>
        <v>1</v>
      </c>
      <c r="W17" s="17">
        <f t="shared" si="9"/>
        <v>0</v>
      </c>
      <c r="X17" s="17">
        <f t="shared" si="9"/>
        <v>0</v>
      </c>
      <c r="Y17" s="17">
        <f t="shared" si="9"/>
        <v>2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55</v>
      </c>
      <c r="AD17" s="17">
        <f t="shared" si="9"/>
        <v>0</v>
      </c>
      <c r="AE17" s="31">
        <f t="shared" si="9"/>
        <v>7</v>
      </c>
      <c r="AF17" s="31">
        <f t="shared" si="9"/>
        <v>62</v>
      </c>
    </row>
    <row r="18" spans="2:32" ht="23.1" customHeight="1" x14ac:dyDescent="0.25">
      <c r="B18" s="23" t="s">
        <v>45</v>
      </c>
      <c r="C18" s="50">
        <v>1</v>
      </c>
      <c r="D18" s="50">
        <v>1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9</v>
      </c>
      <c r="N18" s="50">
        <v>0</v>
      </c>
      <c r="O18" s="15">
        <f t="shared" si="0"/>
        <v>3</v>
      </c>
      <c r="P18" s="15">
        <f t="shared" si="1"/>
        <v>12</v>
      </c>
      <c r="R18" s="1" t="s">
        <v>14</v>
      </c>
      <c r="S18" s="17">
        <f t="shared" ref="S18:AF18" si="10">SUM(C42:C45)</f>
        <v>3</v>
      </c>
      <c r="T18" s="17">
        <f t="shared" si="10"/>
        <v>0</v>
      </c>
      <c r="U18" s="17">
        <f t="shared" si="10"/>
        <v>3</v>
      </c>
      <c r="V18" s="17">
        <f t="shared" si="10"/>
        <v>1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59</v>
      </c>
      <c r="AD18" s="17">
        <f t="shared" si="10"/>
        <v>0</v>
      </c>
      <c r="AE18" s="31">
        <f t="shared" si="10"/>
        <v>12</v>
      </c>
      <c r="AF18" s="31">
        <f t="shared" si="10"/>
        <v>71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19</v>
      </c>
      <c r="N19" s="50">
        <v>0</v>
      </c>
      <c r="O19" s="15">
        <f t="shared" si="0"/>
        <v>5</v>
      </c>
      <c r="P19" s="15">
        <f t="shared" si="1"/>
        <v>24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0</v>
      </c>
      <c r="V19" s="17">
        <f t="shared" si="11"/>
        <v>2</v>
      </c>
      <c r="W19" s="17">
        <f t="shared" si="11"/>
        <v>1</v>
      </c>
      <c r="X19" s="17">
        <f t="shared" si="11"/>
        <v>0</v>
      </c>
      <c r="Y19" s="17">
        <f t="shared" si="11"/>
        <v>2</v>
      </c>
      <c r="Z19" s="17">
        <f t="shared" si="11"/>
        <v>7</v>
      </c>
      <c r="AA19" s="17">
        <f t="shared" si="11"/>
        <v>0</v>
      </c>
      <c r="AB19" s="17">
        <f t="shared" si="11"/>
        <v>0</v>
      </c>
      <c r="AC19" s="17">
        <f t="shared" si="11"/>
        <v>85</v>
      </c>
      <c r="AD19" s="17">
        <f t="shared" si="11"/>
        <v>0</v>
      </c>
      <c r="AE19" s="31">
        <f t="shared" si="11"/>
        <v>18</v>
      </c>
      <c r="AF19" s="31">
        <f t="shared" si="11"/>
        <v>103</v>
      </c>
    </row>
    <row r="20" spans="2:32" ht="23.1" customHeight="1" x14ac:dyDescent="0.25">
      <c r="B20" s="23" t="s">
        <v>47</v>
      </c>
      <c r="C20" s="50">
        <v>0</v>
      </c>
      <c r="D20" s="50">
        <v>1</v>
      </c>
      <c r="E20" s="50">
        <v>0</v>
      </c>
      <c r="F20" s="50">
        <v>1</v>
      </c>
      <c r="G20" s="50">
        <v>0</v>
      </c>
      <c r="H20" s="50">
        <v>0</v>
      </c>
      <c r="I20" s="50">
        <v>0</v>
      </c>
      <c r="J20" s="50">
        <v>3</v>
      </c>
      <c r="K20" s="50">
        <v>0</v>
      </c>
      <c r="L20" s="50">
        <v>0</v>
      </c>
      <c r="M20" s="50">
        <v>11</v>
      </c>
      <c r="N20" s="50">
        <v>0</v>
      </c>
      <c r="O20" s="15">
        <f t="shared" si="0"/>
        <v>5</v>
      </c>
      <c r="P20" s="15">
        <f t="shared" si="1"/>
        <v>16</v>
      </c>
      <c r="R20" s="1" t="s">
        <v>16</v>
      </c>
      <c r="S20" s="17">
        <f t="shared" ref="S20:AF20" si="12">SUM(C50:C53)</f>
        <v>6</v>
      </c>
      <c r="T20" s="17">
        <f t="shared" si="12"/>
        <v>0</v>
      </c>
      <c r="U20" s="17">
        <f t="shared" si="12"/>
        <v>1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1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68</v>
      </c>
      <c r="AD20" s="17">
        <f t="shared" si="12"/>
        <v>0</v>
      </c>
      <c r="AE20" s="31">
        <f t="shared" si="12"/>
        <v>13</v>
      </c>
      <c r="AF20" s="31">
        <f t="shared" si="12"/>
        <v>81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13</v>
      </c>
      <c r="N21" s="50">
        <v>0</v>
      </c>
      <c r="O21" s="15">
        <f t="shared" si="0"/>
        <v>3</v>
      </c>
      <c r="P21" s="15">
        <f t="shared" si="1"/>
        <v>16</v>
      </c>
      <c r="R21" s="36" t="s">
        <v>20</v>
      </c>
      <c r="S21" s="34">
        <f t="shared" ref="S21:AF21" si="13">SUM(C54:C57)</f>
        <v>1</v>
      </c>
      <c r="T21" s="17">
        <f t="shared" si="13"/>
        <v>1</v>
      </c>
      <c r="U21" s="17">
        <f t="shared" si="13"/>
        <v>0</v>
      </c>
      <c r="V21" s="17">
        <f t="shared" si="13"/>
        <v>0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6</v>
      </c>
      <c r="AA21" s="17">
        <f t="shared" si="13"/>
        <v>0</v>
      </c>
      <c r="AB21" s="17">
        <f t="shared" si="13"/>
        <v>0</v>
      </c>
      <c r="AC21" s="17">
        <f t="shared" si="13"/>
        <v>65</v>
      </c>
      <c r="AD21" s="17">
        <f t="shared" si="13"/>
        <v>0</v>
      </c>
      <c r="AE21" s="31">
        <f t="shared" si="13"/>
        <v>14</v>
      </c>
      <c r="AF21" s="31">
        <f t="shared" si="13"/>
        <v>79</v>
      </c>
    </row>
    <row r="22" spans="2:32" ht="23.1" customHeight="1" x14ac:dyDescent="0.25">
      <c r="B22" s="23" t="s">
        <v>49</v>
      </c>
      <c r="C22" s="50">
        <v>2</v>
      </c>
      <c r="D22" s="50">
        <v>1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11</v>
      </c>
      <c r="N22" s="50">
        <v>0</v>
      </c>
      <c r="O22" s="15">
        <f t="shared" si="0"/>
        <v>4</v>
      </c>
      <c r="P22" s="15">
        <f t="shared" si="1"/>
        <v>15</v>
      </c>
      <c r="R22" s="38" t="s">
        <v>90</v>
      </c>
      <c r="S22" s="39">
        <f>MAX(S10:S12)</f>
        <v>4</v>
      </c>
      <c r="T22" s="39">
        <f t="shared" ref="T22:AF22" si="14">MAX(T10:T12)</f>
        <v>3</v>
      </c>
      <c r="U22" s="39">
        <f t="shared" si="14"/>
        <v>2</v>
      </c>
      <c r="V22" s="39">
        <f t="shared" si="14"/>
        <v>3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66</v>
      </c>
      <c r="AD22" s="39">
        <f t="shared" si="14"/>
        <v>0</v>
      </c>
      <c r="AE22" s="40">
        <f t="shared" si="14"/>
        <v>16</v>
      </c>
      <c r="AF22" s="40">
        <f t="shared" si="14"/>
        <v>74</v>
      </c>
    </row>
    <row r="23" spans="2:32" ht="23.1" customHeight="1" x14ac:dyDescent="0.25">
      <c r="B23" s="23" t="s">
        <v>50</v>
      </c>
      <c r="C23" s="50">
        <v>2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14</v>
      </c>
      <c r="N23" s="50">
        <v>0</v>
      </c>
      <c r="O23" s="15">
        <f t="shared" si="0"/>
        <v>3</v>
      </c>
      <c r="P23" s="15">
        <f t="shared" si="1"/>
        <v>17</v>
      </c>
      <c r="R23" s="38" t="s">
        <v>91</v>
      </c>
      <c r="S23" s="39">
        <f>MAX(S13:S18)</f>
        <v>7</v>
      </c>
      <c r="T23" s="39">
        <f t="shared" ref="T23:AF23" si="15">MAX(T13:T18)</f>
        <v>1</v>
      </c>
      <c r="U23" s="39">
        <f t="shared" si="15"/>
        <v>4</v>
      </c>
      <c r="V23" s="39">
        <f t="shared" si="15"/>
        <v>1</v>
      </c>
      <c r="W23" s="39">
        <f t="shared" si="15"/>
        <v>1</v>
      </c>
      <c r="X23" s="39">
        <f t="shared" si="15"/>
        <v>0</v>
      </c>
      <c r="Y23" s="39">
        <f t="shared" si="15"/>
        <v>3</v>
      </c>
      <c r="Z23" s="39">
        <f t="shared" si="15"/>
        <v>9</v>
      </c>
      <c r="AA23" s="39">
        <f t="shared" si="15"/>
        <v>0</v>
      </c>
      <c r="AB23" s="39">
        <f t="shared" si="15"/>
        <v>0</v>
      </c>
      <c r="AC23" s="39">
        <f t="shared" si="15"/>
        <v>62</v>
      </c>
      <c r="AD23" s="39">
        <f t="shared" si="15"/>
        <v>0</v>
      </c>
      <c r="AE23" s="40">
        <f t="shared" si="15"/>
        <v>20</v>
      </c>
      <c r="AF23" s="40">
        <f t="shared" si="15"/>
        <v>80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0</v>
      </c>
      <c r="F24" s="50">
        <v>0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14</v>
      </c>
      <c r="N24" s="50">
        <v>0</v>
      </c>
      <c r="O24" s="15">
        <f t="shared" si="0"/>
        <v>3</v>
      </c>
      <c r="P24" s="15">
        <f t="shared" si="1"/>
        <v>17</v>
      </c>
      <c r="R24" s="38" t="s">
        <v>92</v>
      </c>
      <c r="S24" s="39">
        <f>MAX(S19:S21)</f>
        <v>6</v>
      </c>
      <c r="T24" s="39">
        <f t="shared" ref="T24:AF24" si="16">MAX(T19:T21)</f>
        <v>1</v>
      </c>
      <c r="U24" s="39">
        <f t="shared" si="16"/>
        <v>1</v>
      </c>
      <c r="V24" s="39">
        <f t="shared" si="16"/>
        <v>4</v>
      </c>
      <c r="W24" s="39">
        <f t="shared" si="16"/>
        <v>1</v>
      </c>
      <c r="X24" s="39">
        <f t="shared" si="16"/>
        <v>0</v>
      </c>
      <c r="Y24" s="39">
        <f t="shared" si="16"/>
        <v>6</v>
      </c>
      <c r="Z24" s="39">
        <f t="shared" si="16"/>
        <v>7</v>
      </c>
      <c r="AA24" s="39">
        <f t="shared" si="16"/>
        <v>0</v>
      </c>
      <c r="AB24" s="39">
        <f t="shared" si="16"/>
        <v>0</v>
      </c>
      <c r="AC24" s="39">
        <f t="shared" si="16"/>
        <v>85</v>
      </c>
      <c r="AD24" s="39">
        <f t="shared" si="16"/>
        <v>0</v>
      </c>
      <c r="AE24" s="40">
        <f t="shared" si="16"/>
        <v>18</v>
      </c>
      <c r="AF24" s="40">
        <f t="shared" si="16"/>
        <v>103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1</v>
      </c>
      <c r="J25" s="50">
        <v>6</v>
      </c>
      <c r="K25" s="50">
        <v>0</v>
      </c>
      <c r="L25" s="50">
        <v>0</v>
      </c>
      <c r="M25" s="50">
        <v>12</v>
      </c>
      <c r="N25" s="50">
        <v>0</v>
      </c>
      <c r="O25" s="15">
        <f t="shared" si="0"/>
        <v>8</v>
      </c>
      <c r="P25" s="15">
        <f t="shared" si="1"/>
        <v>20</v>
      </c>
      <c r="R25" s="37" t="s">
        <v>85</v>
      </c>
      <c r="S25" s="35">
        <f t="shared" ref="S25:AF25" si="17">SUM(S10:S12)</f>
        <v>9</v>
      </c>
      <c r="T25" s="16">
        <f t="shared" si="17"/>
        <v>5</v>
      </c>
      <c r="U25" s="16">
        <f t="shared" si="17"/>
        <v>3</v>
      </c>
      <c r="V25" s="16">
        <f t="shared" si="17"/>
        <v>5</v>
      </c>
      <c r="W25" s="16">
        <f t="shared" si="17"/>
        <v>0</v>
      </c>
      <c r="X25" s="16">
        <f t="shared" si="17"/>
        <v>0</v>
      </c>
      <c r="Y25" s="16">
        <f t="shared" si="17"/>
        <v>7</v>
      </c>
      <c r="Z25" s="16">
        <f t="shared" si="17"/>
        <v>9</v>
      </c>
      <c r="AA25" s="16">
        <f t="shared" si="17"/>
        <v>0</v>
      </c>
      <c r="AB25" s="16">
        <f t="shared" si="17"/>
        <v>0</v>
      </c>
      <c r="AC25" s="16">
        <f t="shared" si="17"/>
        <v>177</v>
      </c>
      <c r="AD25" s="16">
        <f t="shared" si="17"/>
        <v>0</v>
      </c>
      <c r="AE25" s="32">
        <f t="shared" si="17"/>
        <v>38</v>
      </c>
      <c r="AF25" s="32">
        <f t="shared" si="17"/>
        <v>215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13</v>
      </c>
      <c r="N26" s="50">
        <v>0</v>
      </c>
      <c r="O26" s="15">
        <f t="shared" si="0"/>
        <v>8</v>
      </c>
      <c r="P26" s="15">
        <f t="shared" si="1"/>
        <v>21</v>
      </c>
      <c r="R26" s="28" t="s">
        <v>86</v>
      </c>
      <c r="S26" s="16">
        <f t="shared" ref="S26:AF26" si="18">SUM(S13:S18)</f>
        <v>19</v>
      </c>
      <c r="T26" s="16">
        <f t="shared" si="18"/>
        <v>2</v>
      </c>
      <c r="U26" s="16">
        <f t="shared" si="18"/>
        <v>10</v>
      </c>
      <c r="V26" s="16">
        <f t="shared" si="18"/>
        <v>5</v>
      </c>
      <c r="W26" s="16">
        <f t="shared" si="18"/>
        <v>1</v>
      </c>
      <c r="X26" s="16">
        <f t="shared" si="18"/>
        <v>0</v>
      </c>
      <c r="Y26" s="16">
        <f t="shared" si="18"/>
        <v>14</v>
      </c>
      <c r="Z26" s="16">
        <f t="shared" si="18"/>
        <v>24</v>
      </c>
      <c r="AA26" s="16">
        <f t="shared" si="18"/>
        <v>0</v>
      </c>
      <c r="AB26" s="16">
        <f t="shared" si="18"/>
        <v>0</v>
      </c>
      <c r="AC26" s="16">
        <f t="shared" si="18"/>
        <v>345</v>
      </c>
      <c r="AD26" s="16">
        <f t="shared" si="18"/>
        <v>0</v>
      </c>
      <c r="AE26" s="32">
        <f t="shared" si="18"/>
        <v>75</v>
      </c>
      <c r="AF26" s="32">
        <f t="shared" si="18"/>
        <v>420</v>
      </c>
    </row>
    <row r="27" spans="2:32" ht="23.1" customHeight="1" x14ac:dyDescent="0.25">
      <c r="B27" s="23" t="s">
        <v>54</v>
      </c>
      <c r="C27" s="50">
        <v>1</v>
      </c>
      <c r="D27" s="50">
        <v>1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24</v>
      </c>
      <c r="N27" s="50">
        <v>0</v>
      </c>
      <c r="O27" s="15">
        <f t="shared" si="0"/>
        <v>5</v>
      </c>
      <c r="P27" s="15">
        <f t="shared" si="1"/>
        <v>29</v>
      </c>
      <c r="R27" s="29" t="s">
        <v>87</v>
      </c>
      <c r="S27" s="16">
        <f t="shared" ref="S27:AF27" si="19">SUM(S19:S21)</f>
        <v>13</v>
      </c>
      <c r="T27" s="16">
        <f t="shared" si="19"/>
        <v>1</v>
      </c>
      <c r="U27" s="16">
        <f t="shared" si="19"/>
        <v>1</v>
      </c>
      <c r="V27" s="16">
        <f t="shared" si="19"/>
        <v>6</v>
      </c>
      <c r="W27" s="16">
        <f t="shared" si="19"/>
        <v>1</v>
      </c>
      <c r="X27" s="16">
        <f t="shared" si="19"/>
        <v>0</v>
      </c>
      <c r="Y27" s="16">
        <f t="shared" si="19"/>
        <v>9</v>
      </c>
      <c r="Z27" s="16">
        <f t="shared" si="19"/>
        <v>14</v>
      </c>
      <c r="AA27" s="16">
        <f t="shared" si="19"/>
        <v>0</v>
      </c>
      <c r="AB27" s="16">
        <f t="shared" si="19"/>
        <v>0</v>
      </c>
      <c r="AC27" s="16">
        <f t="shared" si="19"/>
        <v>218</v>
      </c>
      <c r="AD27" s="16">
        <f t="shared" si="19"/>
        <v>0</v>
      </c>
      <c r="AE27" s="32">
        <f t="shared" si="19"/>
        <v>45</v>
      </c>
      <c r="AF27" s="32">
        <f t="shared" si="19"/>
        <v>263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0</v>
      </c>
      <c r="G28" s="50">
        <v>0</v>
      </c>
      <c r="H28" s="50">
        <v>0</v>
      </c>
      <c r="I28" s="50">
        <v>0</v>
      </c>
      <c r="J28" s="50">
        <v>4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7</v>
      </c>
      <c r="P28" s="15">
        <f t="shared" si="1"/>
        <v>21</v>
      </c>
      <c r="R28" s="5" t="s">
        <v>17</v>
      </c>
      <c r="S28" s="16">
        <f t="shared" ref="S28:AF28" si="20">SUM(S10:S21)</f>
        <v>41</v>
      </c>
      <c r="T28" s="16">
        <f t="shared" si="20"/>
        <v>8</v>
      </c>
      <c r="U28" s="16">
        <f t="shared" si="20"/>
        <v>14</v>
      </c>
      <c r="V28" s="16">
        <f t="shared" si="20"/>
        <v>16</v>
      </c>
      <c r="W28" s="16">
        <f t="shared" si="20"/>
        <v>2</v>
      </c>
      <c r="X28" s="16">
        <f t="shared" si="20"/>
        <v>0</v>
      </c>
      <c r="Y28" s="16">
        <f t="shared" si="20"/>
        <v>30</v>
      </c>
      <c r="Z28" s="16">
        <f t="shared" si="20"/>
        <v>47</v>
      </c>
      <c r="AA28" s="16">
        <f t="shared" si="20"/>
        <v>0</v>
      </c>
      <c r="AB28" s="16">
        <f t="shared" si="20"/>
        <v>0</v>
      </c>
      <c r="AC28" s="16">
        <f t="shared" si="20"/>
        <v>740</v>
      </c>
      <c r="AD28" s="16">
        <f t="shared" si="20"/>
        <v>0</v>
      </c>
      <c r="AE28" s="32">
        <f t="shared" si="20"/>
        <v>158</v>
      </c>
      <c r="AF28" s="32">
        <f t="shared" si="20"/>
        <v>898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9</v>
      </c>
      <c r="N29" s="50">
        <v>0</v>
      </c>
      <c r="O29" s="15">
        <f t="shared" si="0"/>
        <v>0</v>
      </c>
      <c r="P29" s="15">
        <f t="shared" si="1"/>
        <v>9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1</v>
      </c>
      <c r="F30" s="50">
        <v>0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16</v>
      </c>
      <c r="N30" s="50">
        <v>0</v>
      </c>
      <c r="O30" s="15">
        <f t="shared" si="0"/>
        <v>1</v>
      </c>
      <c r="P30" s="15">
        <f t="shared" si="1"/>
        <v>17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2</v>
      </c>
      <c r="F31" s="50">
        <v>0</v>
      </c>
      <c r="G31" s="50">
        <v>0</v>
      </c>
      <c r="H31" s="50">
        <v>0</v>
      </c>
      <c r="I31" s="50">
        <v>1</v>
      </c>
      <c r="J31" s="50">
        <v>1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4</v>
      </c>
      <c r="P31" s="15">
        <f t="shared" si="1"/>
        <v>20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1</v>
      </c>
      <c r="F32" s="50">
        <v>1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13</v>
      </c>
      <c r="N32" s="50">
        <v>0</v>
      </c>
      <c r="O32" s="15">
        <f t="shared" si="0"/>
        <v>4</v>
      </c>
      <c r="P32" s="15">
        <f t="shared" si="1"/>
        <v>17</v>
      </c>
    </row>
    <row r="33" spans="2:20" ht="23.1" customHeight="1" x14ac:dyDescent="0.25">
      <c r="B33" s="23" t="s">
        <v>60</v>
      </c>
      <c r="C33" s="50">
        <v>0</v>
      </c>
      <c r="D33" s="50">
        <v>0</v>
      </c>
      <c r="E33" s="50">
        <v>0</v>
      </c>
      <c r="F33" s="50">
        <v>0</v>
      </c>
      <c r="G33" s="50">
        <v>1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17</v>
      </c>
      <c r="N33" s="50">
        <v>0</v>
      </c>
      <c r="O33" s="15">
        <f t="shared" si="0"/>
        <v>1</v>
      </c>
      <c r="P33" s="15">
        <f t="shared" si="1"/>
        <v>18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14</v>
      </c>
      <c r="N34" s="50">
        <v>0</v>
      </c>
      <c r="O34" s="15">
        <f t="shared" si="0"/>
        <v>3</v>
      </c>
      <c r="P34" s="15">
        <f t="shared" si="1"/>
        <v>17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0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18</v>
      </c>
      <c r="N35" s="50">
        <v>0</v>
      </c>
      <c r="O35" s="15">
        <f t="shared" si="0"/>
        <v>1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0</v>
      </c>
      <c r="F36" s="50">
        <v>0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14</v>
      </c>
      <c r="N36" s="50">
        <v>0</v>
      </c>
      <c r="O36" s="15">
        <f t="shared" si="0"/>
        <v>4</v>
      </c>
      <c r="P36" s="15">
        <f t="shared" si="1"/>
        <v>18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12</v>
      </c>
      <c r="N37" s="50">
        <v>0</v>
      </c>
      <c r="O37" s="15">
        <f t="shared" si="0"/>
        <v>0</v>
      </c>
      <c r="P37" s="15">
        <f t="shared" si="1"/>
        <v>12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10</v>
      </c>
      <c r="N38" s="50">
        <v>0</v>
      </c>
      <c r="O38" s="15">
        <f t="shared" si="0"/>
        <v>3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0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5">
        <f t="shared" si="0"/>
        <v>0</v>
      </c>
      <c r="P39" s="15">
        <f t="shared" si="1"/>
        <v>15</v>
      </c>
    </row>
    <row r="40" spans="2:20" ht="23.1" customHeight="1" x14ac:dyDescent="0.25">
      <c r="B40" s="24" t="s">
        <v>67</v>
      </c>
      <c r="C40" s="50">
        <v>1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2</v>
      </c>
      <c r="K40" s="50">
        <v>0</v>
      </c>
      <c r="L40" s="50">
        <v>0</v>
      </c>
      <c r="M40" s="50">
        <v>18</v>
      </c>
      <c r="N40" s="50">
        <v>0</v>
      </c>
      <c r="O40" s="15">
        <f t="shared" si="0"/>
        <v>3</v>
      </c>
      <c r="P40" s="15">
        <f t="shared" si="1"/>
        <v>21</v>
      </c>
    </row>
    <row r="41" spans="2:20" ht="23.1" customHeight="1" x14ac:dyDescent="0.25">
      <c r="B41" s="23" t="s">
        <v>68</v>
      </c>
      <c r="C41" s="50">
        <v>0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12</v>
      </c>
      <c r="N41" s="50">
        <v>0</v>
      </c>
      <c r="O41" s="15">
        <f t="shared" si="0"/>
        <v>1</v>
      </c>
      <c r="P41" s="15">
        <f t="shared" si="1"/>
        <v>13</v>
      </c>
    </row>
    <row r="42" spans="2:20" ht="23.1" customHeight="1" x14ac:dyDescent="0.25">
      <c r="B42" s="24" t="s">
        <v>69</v>
      </c>
      <c r="C42" s="50">
        <v>1</v>
      </c>
      <c r="D42" s="50">
        <v>0</v>
      </c>
      <c r="E42" s="50">
        <v>0</v>
      </c>
      <c r="F42" s="50">
        <v>0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14</v>
      </c>
      <c r="N42" s="50">
        <v>0</v>
      </c>
      <c r="O42" s="15">
        <f t="shared" si="0"/>
        <v>3</v>
      </c>
      <c r="P42" s="15">
        <f t="shared" si="1"/>
        <v>17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1</v>
      </c>
      <c r="F43" s="50">
        <v>1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18</v>
      </c>
      <c r="N43" s="50">
        <v>0</v>
      </c>
      <c r="O43" s="15">
        <f t="shared" si="0"/>
        <v>2</v>
      </c>
      <c r="P43" s="15">
        <f t="shared" si="1"/>
        <v>20</v>
      </c>
    </row>
    <row r="44" spans="2:20" ht="23.1" customHeight="1" x14ac:dyDescent="0.25">
      <c r="B44" s="25" t="s">
        <v>71</v>
      </c>
      <c r="C44" s="50">
        <v>0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17</v>
      </c>
      <c r="N44" s="50">
        <v>0</v>
      </c>
      <c r="O44" s="15">
        <f t="shared" si="0"/>
        <v>2</v>
      </c>
      <c r="P44" s="15">
        <f t="shared" si="1"/>
        <v>19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2</v>
      </c>
      <c r="F45" s="50">
        <v>0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10</v>
      </c>
      <c r="N45" s="50">
        <v>0</v>
      </c>
      <c r="O45" s="15">
        <f t="shared" si="0"/>
        <v>5</v>
      </c>
      <c r="P45" s="15">
        <f t="shared" si="1"/>
        <v>15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21</v>
      </c>
      <c r="N46" s="50">
        <v>0</v>
      </c>
      <c r="O46" s="15">
        <f t="shared" si="0"/>
        <v>4</v>
      </c>
      <c r="P46" s="15">
        <f t="shared" si="1"/>
        <v>25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17</v>
      </c>
      <c r="N47" s="50">
        <v>0</v>
      </c>
      <c r="O47" s="15">
        <f t="shared" si="0"/>
        <v>1</v>
      </c>
      <c r="P47" s="15">
        <f t="shared" si="1"/>
        <v>18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0</v>
      </c>
      <c r="F48" s="50">
        <v>1</v>
      </c>
      <c r="G48" s="50">
        <v>1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24</v>
      </c>
      <c r="N48" s="50">
        <v>0</v>
      </c>
      <c r="O48" s="15">
        <f t="shared" si="0"/>
        <v>4</v>
      </c>
      <c r="P48" s="15">
        <f t="shared" si="1"/>
        <v>28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1</v>
      </c>
      <c r="J49" s="50">
        <v>4</v>
      </c>
      <c r="K49" s="50">
        <v>0</v>
      </c>
      <c r="L49" s="50">
        <v>0</v>
      </c>
      <c r="M49" s="50">
        <v>23</v>
      </c>
      <c r="N49" s="50">
        <v>0</v>
      </c>
      <c r="O49" s="15">
        <f t="shared" si="0"/>
        <v>9</v>
      </c>
      <c r="P49" s="15">
        <f t="shared" si="1"/>
        <v>32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0</v>
      </c>
      <c r="E50" s="50">
        <v>0</v>
      </c>
      <c r="F50" s="50">
        <v>1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18</v>
      </c>
      <c r="N50" s="50">
        <v>0</v>
      </c>
      <c r="O50" s="15">
        <f t="shared" si="0"/>
        <v>3</v>
      </c>
      <c r="P50" s="15">
        <f t="shared" si="1"/>
        <v>21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1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19</v>
      </c>
      <c r="N51" s="50">
        <v>0</v>
      </c>
      <c r="O51" s="15">
        <f t="shared" si="0"/>
        <v>3</v>
      </c>
      <c r="P51" s="15">
        <f t="shared" si="1"/>
        <v>22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0</v>
      </c>
      <c r="E52" s="50">
        <v>0</v>
      </c>
      <c r="F52" s="50">
        <v>1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19</v>
      </c>
      <c r="N52" s="50">
        <v>0</v>
      </c>
      <c r="O52" s="15">
        <f t="shared" si="0"/>
        <v>4</v>
      </c>
      <c r="P52" s="15">
        <f t="shared" si="1"/>
        <v>23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12</v>
      </c>
      <c r="N53" s="50">
        <v>0</v>
      </c>
      <c r="O53" s="15">
        <f t="shared" si="0"/>
        <v>3</v>
      </c>
      <c r="P53" s="15">
        <f t="shared" si="1"/>
        <v>15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0</v>
      </c>
      <c r="F54" s="50">
        <v>0</v>
      </c>
      <c r="G54" s="50">
        <v>0</v>
      </c>
      <c r="H54" s="50">
        <v>0</v>
      </c>
      <c r="I54" s="50">
        <v>2</v>
      </c>
      <c r="J54" s="50">
        <v>3</v>
      </c>
      <c r="K54" s="50">
        <v>0</v>
      </c>
      <c r="L54" s="50">
        <v>0</v>
      </c>
      <c r="M54" s="50">
        <v>9</v>
      </c>
      <c r="N54" s="50">
        <v>0</v>
      </c>
      <c r="O54" s="15">
        <f t="shared" si="0"/>
        <v>5</v>
      </c>
      <c r="P54" s="15">
        <f t="shared" si="1"/>
        <v>14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3</v>
      </c>
      <c r="J55" s="50">
        <v>0</v>
      </c>
      <c r="K55" s="50">
        <v>0</v>
      </c>
      <c r="L55" s="50">
        <v>0</v>
      </c>
      <c r="M55" s="50">
        <v>19</v>
      </c>
      <c r="N55" s="50">
        <v>0</v>
      </c>
      <c r="O55" s="15">
        <f t="shared" si="0"/>
        <v>3</v>
      </c>
      <c r="P55" s="15">
        <f t="shared" si="1"/>
        <v>22</v>
      </c>
      <c r="R55" s="8"/>
      <c r="T55"/>
    </row>
    <row r="56" spans="2:20" ht="23.1" customHeight="1" x14ac:dyDescent="0.25">
      <c r="B56" s="23" t="s">
        <v>83</v>
      </c>
      <c r="C56" s="50">
        <v>0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12</v>
      </c>
      <c r="N56" s="50">
        <v>0</v>
      </c>
      <c r="O56" s="15">
        <f t="shared" si="0"/>
        <v>3</v>
      </c>
      <c r="P56" s="15">
        <f t="shared" si="1"/>
        <v>15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0</v>
      </c>
      <c r="G57" s="50">
        <v>0</v>
      </c>
      <c r="H57" s="50">
        <v>0</v>
      </c>
      <c r="I57" s="50">
        <v>0</v>
      </c>
      <c r="J57" s="50">
        <v>2</v>
      </c>
      <c r="K57" s="50">
        <v>0</v>
      </c>
      <c r="L57" s="50">
        <v>0</v>
      </c>
      <c r="M57" s="50">
        <v>25</v>
      </c>
      <c r="N57" s="50">
        <v>0</v>
      </c>
      <c r="O57" s="15">
        <f t="shared" si="0"/>
        <v>3</v>
      </c>
      <c r="P57" s="15">
        <f t="shared" si="1"/>
        <v>28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41</v>
      </c>
      <c r="D58" s="16">
        <f t="shared" si="21"/>
        <v>8</v>
      </c>
      <c r="E58" s="16">
        <f t="shared" si="21"/>
        <v>14</v>
      </c>
      <c r="F58" s="16">
        <f t="shared" si="21"/>
        <v>16</v>
      </c>
      <c r="G58" s="16">
        <f t="shared" si="21"/>
        <v>2</v>
      </c>
      <c r="H58" s="16">
        <f t="shared" si="21"/>
        <v>0</v>
      </c>
      <c r="I58" s="16">
        <f t="shared" si="21"/>
        <v>30</v>
      </c>
      <c r="J58" s="16">
        <f t="shared" si="21"/>
        <v>47</v>
      </c>
      <c r="K58" s="16">
        <f t="shared" si="21"/>
        <v>0</v>
      </c>
      <c r="L58" s="16">
        <f t="shared" si="21"/>
        <v>0</v>
      </c>
      <c r="M58" s="16">
        <f t="shared" si="21"/>
        <v>740</v>
      </c>
      <c r="N58" s="16">
        <f t="shared" si="21"/>
        <v>0</v>
      </c>
      <c r="O58" s="16">
        <f t="shared" si="21"/>
        <v>158</v>
      </c>
      <c r="P58" s="16">
        <f t="shared" si="21"/>
        <v>898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4.5657015590200446E-2</v>
      </c>
      <c r="D59" s="43">
        <f t="shared" si="22"/>
        <v>8.9086859688195987E-3</v>
      </c>
      <c r="E59" s="43">
        <f t="shared" si="22"/>
        <v>1.5590200445434299E-2</v>
      </c>
      <c r="F59" s="43">
        <f t="shared" si="22"/>
        <v>1.7817371937639197E-2</v>
      </c>
      <c r="G59" s="43">
        <f t="shared" si="22"/>
        <v>2.2271714922048997E-3</v>
      </c>
      <c r="H59" s="43">
        <f t="shared" si="22"/>
        <v>0</v>
      </c>
      <c r="I59" s="43">
        <f t="shared" si="22"/>
        <v>3.34075723830735E-2</v>
      </c>
      <c r="J59" s="43">
        <f t="shared" si="22"/>
        <v>5.2338530066815145E-2</v>
      </c>
      <c r="K59" s="43">
        <f t="shared" si="22"/>
        <v>0</v>
      </c>
      <c r="L59" s="43">
        <f t="shared" si="22"/>
        <v>0</v>
      </c>
      <c r="M59" s="43">
        <f t="shared" si="22"/>
        <v>0.82405345211581293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0.25949367088607594</v>
      </c>
      <c r="D60" s="44">
        <f t="shared" ref="D60:N60" si="23">D58/$O$58</f>
        <v>5.0632911392405063E-2</v>
      </c>
      <c r="E60" s="44">
        <f t="shared" si="23"/>
        <v>8.8607594936708861E-2</v>
      </c>
      <c r="F60" s="44">
        <f t="shared" si="23"/>
        <v>0.10126582278481013</v>
      </c>
      <c r="G60" s="44">
        <f t="shared" si="23"/>
        <v>1.2658227848101266E-2</v>
      </c>
      <c r="H60" s="44">
        <f t="shared" si="23"/>
        <v>0</v>
      </c>
      <c r="I60" s="44">
        <f t="shared" si="23"/>
        <v>0.189873417721519</v>
      </c>
      <c r="J60" s="44">
        <f t="shared" si="23"/>
        <v>0.29746835443037972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1" t="s">
        <v>96</v>
      </c>
      <c r="C3" s="63" t="s">
        <v>177</v>
      </c>
      <c r="D3" s="63"/>
      <c r="E3" s="63"/>
      <c r="F3" s="63"/>
      <c r="G3" s="63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">
        <v>168</v>
      </c>
      <c r="E5" s="3"/>
      <c r="F5" s="41" t="s">
        <v>1</v>
      </c>
      <c r="G5" s="59" t="s">
        <v>162</v>
      </c>
      <c r="H5" s="60"/>
      <c r="I5" s="14"/>
      <c r="J5" s="2" t="s">
        <v>5</v>
      </c>
      <c r="K5" s="59" t="s">
        <v>166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">
        <v>164</v>
      </c>
      <c r="E6" s="60"/>
      <c r="F6" s="2" t="s">
        <v>2</v>
      </c>
      <c r="G6" s="59" t="s">
        <v>165</v>
      </c>
      <c r="H6" s="60"/>
      <c r="J6" s="2" t="s">
        <v>21</v>
      </c>
      <c r="K6" s="59" t="s">
        <v>167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12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14</v>
      </c>
      <c r="R10" s="1" t="s">
        <v>6</v>
      </c>
      <c r="S10" s="17">
        <f t="shared" ref="S10:AF10" si="2">SUM(C10:C13)</f>
        <v>2</v>
      </c>
      <c r="T10" s="17">
        <f t="shared" si="2"/>
        <v>1</v>
      </c>
      <c r="U10" s="17">
        <f t="shared" si="2"/>
        <v>1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64</v>
      </c>
      <c r="AD10" s="17">
        <f t="shared" si="2"/>
        <v>0</v>
      </c>
      <c r="AE10" s="31">
        <f t="shared" si="2"/>
        <v>5</v>
      </c>
      <c r="AF10" s="31">
        <f t="shared" si="2"/>
        <v>69</v>
      </c>
    </row>
    <row r="11" spans="2:32" s="6" customFormat="1" ht="23.1" customHeight="1" x14ac:dyDescent="0.25">
      <c r="B11" s="23" t="s">
        <v>38</v>
      </c>
      <c r="C11" s="50">
        <v>0</v>
      </c>
      <c r="D11" s="50">
        <v>0</v>
      </c>
      <c r="E11" s="50">
        <v>1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16</v>
      </c>
      <c r="N11" s="50">
        <v>0</v>
      </c>
      <c r="O11" s="15">
        <f t="shared" si="0"/>
        <v>1</v>
      </c>
      <c r="P11" s="15">
        <f t="shared" si="1"/>
        <v>17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2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54</v>
      </c>
      <c r="AD11" s="17">
        <f t="shared" si="3"/>
        <v>0</v>
      </c>
      <c r="AE11" s="31">
        <f t="shared" si="3"/>
        <v>10</v>
      </c>
      <c r="AF11" s="31">
        <f t="shared" si="3"/>
        <v>64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16</v>
      </c>
      <c r="N12" s="50">
        <v>0</v>
      </c>
      <c r="O12" s="15">
        <f t="shared" si="0"/>
        <v>1</v>
      </c>
      <c r="P12" s="15">
        <f t="shared" si="1"/>
        <v>17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0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58</v>
      </c>
      <c r="AD12" s="17">
        <f t="shared" si="4"/>
        <v>0</v>
      </c>
      <c r="AE12" s="31">
        <f t="shared" si="4"/>
        <v>8</v>
      </c>
      <c r="AF12" s="31">
        <f t="shared" si="4"/>
        <v>66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20</v>
      </c>
      <c r="N13" s="50">
        <v>0</v>
      </c>
      <c r="O13" s="15">
        <f t="shared" si="0"/>
        <v>1</v>
      </c>
      <c r="P13" s="15">
        <f t="shared" si="1"/>
        <v>21</v>
      </c>
      <c r="R13" s="1" t="s">
        <v>9</v>
      </c>
      <c r="S13" s="17">
        <f t="shared" ref="S13:AF13" si="5">SUM(C22:C25)</f>
        <v>2</v>
      </c>
      <c r="T13" s="17">
        <f t="shared" si="5"/>
        <v>0</v>
      </c>
      <c r="U13" s="17">
        <f t="shared" si="5"/>
        <v>1</v>
      </c>
      <c r="V13" s="17">
        <f t="shared" si="5"/>
        <v>0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54</v>
      </c>
      <c r="AD13" s="17">
        <f t="shared" si="5"/>
        <v>0</v>
      </c>
      <c r="AE13" s="31">
        <f t="shared" si="5"/>
        <v>8</v>
      </c>
      <c r="AF13" s="31">
        <f t="shared" si="5"/>
        <v>62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12</v>
      </c>
      <c r="N14" s="50">
        <v>0</v>
      </c>
      <c r="O14" s="15">
        <f t="shared" si="0"/>
        <v>2</v>
      </c>
      <c r="P14" s="15">
        <f t="shared" si="1"/>
        <v>14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1</v>
      </c>
      <c r="V14" s="17">
        <f t="shared" si="6"/>
        <v>0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13</v>
      </c>
      <c r="AA14" s="17">
        <f t="shared" si="6"/>
        <v>0</v>
      </c>
      <c r="AB14" s="17">
        <f t="shared" si="6"/>
        <v>0</v>
      </c>
      <c r="AC14" s="17">
        <f t="shared" si="6"/>
        <v>63</v>
      </c>
      <c r="AD14" s="17">
        <f t="shared" si="6"/>
        <v>0</v>
      </c>
      <c r="AE14" s="31">
        <f t="shared" si="6"/>
        <v>20</v>
      </c>
      <c r="AF14" s="31">
        <f t="shared" si="6"/>
        <v>83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14</v>
      </c>
      <c r="N15" s="50">
        <v>0</v>
      </c>
      <c r="O15" s="15">
        <f t="shared" si="0"/>
        <v>3</v>
      </c>
      <c r="P15" s="15">
        <f t="shared" si="1"/>
        <v>17</v>
      </c>
      <c r="R15" s="1" t="s">
        <v>11</v>
      </c>
      <c r="S15" s="17">
        <f t="shared" ref="S15:AF15" si="7">SUM(C30:C33)</f>
        <v>4</v>
      </c>
      <c r="T15" s="17">
        <f t="shared" si="7"/>
        <v>0</v>
      </c>
      <c r="U15" s="17">
        <f t="shared" si="7"/>
        <v>1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52</v>
      </c>
      <c r="AD15" s="17">
        <f t="shared" si="7"/>
        <v>0</v>
      </c>
      <c r="AE15" s="31">
        <f t="shared" si="7"/>
        <v>12</v>
      </c>
      <c r="AF15" s="31">
        <f t="shared" si="7"/>
        <v>64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12</v>
      </c>
      <c r="N16" s="50">
        <v>0</v>
      </c>
      <c r="O16" s="15">
        <f t="shared" si="0"/>
        <v>3</v>
      </c>
      <c r="P16" s="15">
        <f t="shared" si="1"/>
        <v>15</v>
      </c>
      <c r="R16" s="1" t="s">
        <v>12</v>
      </c>
      <c r="S16" s="17">
        <f t="shared" ref="S16:AF16" si="8">SUM(C34:C37)</f>
        <v>4</v>
      </c>
      <c r="T16" s="17">
        <f t="shared" si="8"/>
        <v>1</v>
      </c>
      <c r="U16" s="17">
        <f t="shared" si="8"/>
        <v>1</v>
      </c>
      <c r="V16" s="17">
        <f t="shared" si="8"/>
        <v>2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9</v>
      </c>
      <c r="AA16" s="17">
        <f t="shared" si="8"/>
        <v>0</v>
      </c>
      <c r="AB16" s="17">
        <f t="shared" si="8"/>
        <v>0</v>
      </c>
      <c r="AC16" s="17">
        <f t="shared" si="8"/>
        <v>66</v>
      </c>
      <c r="AD16" s="17">
        <f t="shared" si="8"/>
        <v>0</v>
      </c>
      <c r="AE16" s="31">
        <f t="shared" si="8"/>
        <v>19</v>
      </c>
      <c r="AF16" s="31">
        <f t="shared" si="8"/>
        <v>85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16</v>
      </c>
      <c r="N17" s="50">
        <v>0</v>
      </c>
      <c r="O17" s="15">
        <f t="shared" si="0"/>
        <v>2</v>
      </c>
      <c r="P17" s="15">
        <f t="shared" si="1"/>
        <v>18</v>
      </c>
      <c r="R17" s="1" t="s">
        <v>13</v>
      </c>
      <c r="S17" s="17">
        <f t="shared" ref="S17:AF17" si="9">SUM(C38:C41)</f>
        <v>2</v>
      </c>
      <c r="T17" s="17">
        <f t="shared" si="9"/>
        <v>1</v>
      </c>
      <c r="U17" s="17">
        <f t="shared" si="9"/>
        <v>0</v>
      </c>
      <c r="V17" s="17">
        <f t="shared" si="9"/>
        <v>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6</v>
      </c>
      <c r="AA17" s="17">
        <f t="shared" si="9"/>
        <v>0</v>
      </c>
      <c r="AB17" s="17">
        <f t="shared" si="9"/>
        <v>0</v>
      </c>
      <c r="AC17" s="17">
        <f t="shared" si="9"/>
        <v>64</v>
      </c>
      <c r="AD17" s="17">
        <f t="shared" si="9"/>
        <v>0</v>
      </c>
      <c r="AE17" s="31">
        <f t="shared" si="9"/>
        <v>9</v>
      </c>
      <c r="AF17" s="31">
        <f t="shared" si="9"/>
        <v>73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17</v>
      </c>
      <c r="N18" s="50">
        <v>0</v>
      </c>
      <c r="O18" s="15">
        <f t="shared" si="0"/>
        <v>1</v>
      </c>
      <c r="P18" s="15">
        <f t="shared" si="1"/>
        <v>18</v>
      </c>
      <c r="R18" s="1" t="s">
        <v>14</v>
      </c>
      <c r="S18" s="17">
        <f t="shared" ref="S18:AF18" si="10">SUM(C42:C45)</f>
        <v>27</v>
      </c>
      <c r="T18" s="17">
        <f t="shared" si="10"/>
        <v>15</v>
      </c>
      <c r="U18" s="17">
        <f t="shared" si="10"/>
        <v>1</v>
      </c>
      <c r="V18" s="17">
        <f t="shared" si="10"/>
        <v>8</v>
      </c>
      <c r="W18" s="17">
        <f t="shared" si="10"/>
        <v>4</v>
      </c>
      <c r="X18" s="17">
        <f t="shared" si="10"/>
        <v>0</v>
      </c>
      <c r="Y18" s="17">
        <f t="shared" si="10"/>
        <v>0</v>
      </c>
      <c r="Z18" s="17">
        <f t="shared" si="10"/>
        <v>0</v>
      </c>
      <c r="AA18" s="17">
        <f t="shared" si="10"/>
        <v>0</v>
      </c>
      <c r="AB18" s="17">
        <f t="shared" si="10"/>
        <v>0</v>
      </c>
      <c r="AC18" s="17">
        <f t="shared" si="10"/>
        <v>94</v>
      </c>
      <c r="AD18" s="17">
        <f t="shared" si="10"/>
        <v>0</v>
      </c>
      <c r="AE18" s="31">
        <f t="shared" si="10"/>
        <v>55</v>
      </c>
      <c r="AF18" s="31">
        <f t="shared" si="10"/>
        <v>149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20</v>
      </c>
      <c r="N19" s="50">
        <v>0</v>
      </c>
      <c r="O19" s="15">
        <f t="shared" si="0"/>
        <v>0</v>
      </c>
      <c r="P19" s="15">
        <f t="shared" si="1"/>
        <v>20</v>
      </c>
      <c r="R19" s="1" t="s">
        <v>15</v>
      </c>
      <c r="S19" s="17">
        <f t="shared" ref="S19:AF19" si="11">SUM(C46:C49)</f>
        <v>6</v>
      </c>
      <c r="T19" s="17">
        <f t="shared" si="11"/>
        <v>5</v>
      </c>
      <c r="U19" s="17">
        <f t="shared" si="11"/>
        <v>3</v>
      </c>
      <c r="V19" s="17">
        <f t="shared" si="11"/>
        <v>8</v>
      </c>
      <c r="W19" s="17">
        <f t="shared" si="11"/>
        <v>0</v>
      </c>
      <c r="X19" s="17">
        <f t="shared" si="11"/>
        <v>0</v>
      </c>
      <c r="Y19" s="17">
        <f t="shared" si="11"/>
        <v>1</v>
      </c>
      <c r="Z19" s="17">
        <f t="shared" si="11"/>
        <v>6</v>
      </c>
      <c r="AA19" s="17">
        <f t="shared" si="11"/>
        <v>0</v>
      </c>
      <c r="AB19" s="17">
        <f t="shared" si="11"/>
        <v>0</v>
      </c>
      <c r="AC19" s="17">
        <f t="shared" si="11"/>
        <v>44</v>
      </c>
      <c r="AD19" s="17">
        <f t="shared" si="11"/>
        <v>0</v>
      </c>
      <c r="AE19" s="31">
        <f t="shared" si="11"/>
        <v>29</v>
      </c>
      <c r="AF19" s="31">
        <f t="shared" si="11"/>
        <v>73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2</v>
      </c>
      <c r="K20" s="50">
        <v>0</v>
      </c>
      <c r="L20" s="50">
        <v>0</v>
      </c>
      <c r="M20" s="50">
        <v>9</v>
      </c>
      <c r="N20" s="50">
        <v>0</v>
      </c>
      <c r="O20" s="15">
        <f t="shared" si="0"/>
        <v>6</v>
      </c>
      <c r="P20" s="15">
        <f t="shared" si="1"/>
        <v>15</v>
      </c>
      <c r="R20" s="1" t="s">
        <v>16</v>
      </c>
      <c r="S20" s="17">
        <f t="shared" ref="S20:AF20" si="12">SUM(C50:C53)</f>
        <v>8</v>
      </c>
      <c r="T20" s="17">
        <f t="shared" si="12"/>
        <v>6</v>
      </c>
      <c r="U20" s="17">
        <f t="shared" si="12"/>
        <v>1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2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6</v>
      </c>
      <c r="AD20" s="17">
        <f t="shared" si="12"/>
        <v>0</v>
      </c>
      <c r="AE20" s="31">
        <f t="shared" si="12"/>
        <v>24</v>
      </c>
      <c r="AF20" s="31">
        <f t="shared" si="12"/>
        <v>30</v>
      </c>
    </row>
    <row r="21" spans="2:32" ht="23.1" customHeight="1" x14ac:dyDescent="0.25">
      <c r="B21" s="23" t="s">
        <v>48</v>
      </c>
      <c r="C21" s="50">
        <v>0</v>
      </c>
      <c r="D21" s="50">
        <v>0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12</v>
      </c>
      <c r="N21" s="50">
        <v>0</v>
      </c>
      <c r="O21" s="15">
        <f t="shared" si="0"/>
        <v>1</v>
      </c>
      <c r="P21" s="15">
        <f t="shared" si="1"/>
        <v>13</v>
      </c>
      <c r="R21" s="36" t="s">
        <v>20</v>
      </c>
      <c r="S21" s="34">
        <f t="shared" ref="S21:AF21" si="13">SUM(C54:C57)</f>
        <v>5</v>
      </c>
      <c r="T21" s="17">
        <f t="shared" si="13"/>
        <v>3</v>
      </c>
      <c r="U21" s="17">
        <f t="shared" si="13"/>
        <v>0</v>
      </c>
      <c r="V21" s="17">
        <f t="shared" si="13"/>
        <v>4</v>
      </c>
      <c r="W21" s="17">
        <f t="shared" si="13"/>
        <v>4</v>
      </c>
      <c r="X21" s="17">
        <f t="shared" si="13"/>
        <v>0</v>
      </c>
      <c r="Y21" s="17">
        <f t="shared" si="13"/>
        <v>1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85</v>
      </c>
      <c r="AD21" s="17">
        <f t="shared" si="13"/>
        <v>0</v>
      </c>
      <c r="AE21" s="31">
        <f t="shared" si="13"/>
        <v>20</v>
      </c>
      <c r="AF21" s="31">
        <f t="shared" si="13"/>
        <v>105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4</v>
      </c>
      <c r="P22" s="15">
        <f t="shared" si="1"/>
        <v>19</v>
      </c>
      <c r="R22" s="38" t="s">
        <v>90</v>
      </c>
      <c r="S22" s="39">
        <f>MAX(S10:S12)</f>
        <v>4</v>
      </c>
      <c r="T22" s="39">
        <f t="shared" ref="T22:AF22" si="14">MAX(T10:T12)</f>
        <v>1</v>
      </c>
      <c r="U22" s="39">
        <f t="shared" si="14"/>
        <v>2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3</v>
      </c>
      <c r="AA22" s="39">
        <f t="shared" si="14"/>
        <v>0</v>
      </c>
      <c r="AB22" s="39">
        <f t="shared" si="14"/>
        <v>0</v>
      </c>
      <c r="AC22" s="39">
        <f t="shared" si="14"/>
        <v>64</v>
      </c>
      <c r="AD22" s="39">
        <f t="shared" si="14"/>
        <v>0</v>
      </c>
      <c r="AE22" s="40">
        <f t="shared" si="14"/>
        <v>10</v>
      </c>
      <c r="AF22" s="40">
        <f t="shared" si="14"/>
        <v>69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12</v>
      </c>
      <c r="N23" s="50">
        <v>0</v>
      </c>
      <c r="O23" s="15">
        <f t="shared" si="0"/>
        <v>1</v>
      </c>
      <c r="P23" s="15">
        <f t="shared" si="1"/>
        <v>13</v>
      </c>
      <c r="R23" s="38" t="s">
        <v>91</v>
      </c>
      <c r="S23" s="39">
        <f>MAX(S13:S18)</f>
        <v>27</v>
      </c>
      <c r="T23" s="39">
        <f t="shared" ref="T23:AF23" si="15">MAX(T13:T18)</f>
        <v>15</v>
      </c>
      <c r="U23" s="39">
        <f t="shared" si="15"/>
        <v>1</v>
      </c>
      <c r="V23" s="39">
        <f t="shared" si="15"/>
        <v>8</v>
      </c>
      <c r="W23" s="39">
        <f t="shared" si="15"/>
        <v>4</v>
      </c>
      <c r="X23" s="39">
        <f t="shared" si="15"/>
        <v>0</v>
      </c>
      <c r="Y23" s="39">
        <f t="shared" si="15"/>
        <v>3</v>
      </c>
      <c r="Z23" s="39">
        <f t="shared" si="15"/>
        <v>13</v>
      </c>
      <c r="AA23" s="39">
        <f t="shared" si="15"/>
        <v>0</v>
      </c>
      <c r="AB23" s="39">
        <f t="shared" si="15"/>
        <v>0</v>
      </c>
      <c r="AC23" s="39">
        <f t="shared" si="15"/>
        <v>94</v>
      </c>
      <c r="AD23" s="39">
        <f t="shared" si="15"/>
        <v>0</v>
      </c>
      <c r="AE23" s="40">
        <f t="shared" si="15"/>
        <v>55</v>
      </c>
      <c r="AF23" s="40">
        <f t="shared" si="15"/>
        <v>149</v>
      </c>
    </row>
    <row r="24" spans="2:32" ht="23.1" customHeight="1" x14ac:dyDescent="0.25">
      <c r="B24" s="23" t="s">
        <v>51</v>
      </c>
      <c r="C24" s="50">
        <v>0</v>
      </c>
      <c r="D24" s="50">
        <v>0</v>
      </c>
      <c r="E24" s="50">
        <v>1</v>
      </c>
      <c r="F24" s="50">
        <v>0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2</v>
      </c>
      <c r="P24" s="15">
        <f t="shared" si="1"/>
        <v>15</v>
      </c>
      <c r="R24" s="38" t="s">
        <v>92</v>
      </c>
      <c r="S24" s="39">
        <f>MAX(S19:S21)</f>
        <v>8</v>
      </c>
      <c r="T24" s="39">
        <f t="shared" ref="T24:AF24" si="16">MAX(T19:T21)</f>
        <v>6</v>
      </c>
      <c r="U24" s="39">
        <f t="shared" si="16"/>
        <v>3</v>
      </c>
      <c r="V24" s="39">
        <f t="shared" si="16"/>
        <v>8</v>
      </c>
      <c r="W24" s="39">
        <f t="shared" si="16"/>
        <v>4</v>
      </c>
      <c r="X24" s="39">
        <f t="shared" si="16"/>
        <v>0</v>
      </c>
      <c r="Y24" s="39">
        <f t="shared" si="16"/>
        <v>2</v>
      </c>
      <c r="Z24" s="39">
        <f t="shared" si="16"/>
        <v>6</v>
      </c>
      <c r="AA24" s="39">
        <f t="shared" si="16"/>
        <v>0</v>
      </c>
      <c r="AB24" s="39">
        <f t="shared" si="16"/>
        <v>0</v>
      </c>
      <c r="AC24" s="39">
        <f t="shared" si="16"/>
        <v>85</v>
      </c>
      <c r="AD24" s="39">
        <f t="shared" si="16"/>
        <v>0</v>
      </c>
      <c r="AE24" s="40">
        <f t="shared" si="16"/>
        <v>29</v>
      </c>
      <c r="AF24" s="40">
        <f t="shared" si="16"/>
        <v>105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0</v>
      </c>
      <c r="G25" s="50">
        <v>0</v>
      </c>
      <c r="H25" s="50">
        <v>0</v>
      </c>
      <c r="I25" s="50">
        <v>0</v>
      </c>
      <c r="J25" s="50">
        <v>1</v>
      </c>
      <c r="K25" s="50">
        <v>0</v>
      </c>
      <c r="L25" s="50">
        <v>0</v>
      </c>
      <c r="M25" s="50">
        <v>14</v>
      </c>
      <c r="N25" s="50">
        <v>0</v>
      </c>
      <c r="O25" s="15">
        <f t="shared" si="0"/>
        <v>1</v>
      </c>
      <c r="P25" s="15">
        <f t="shared" si="1"/>
        <v>15</v>
      </c>
      <c r="R25" s="37" t="s">
        <v>85</v>
      </c>
      <c r="S25" s="35">
        <f t="shared" ref="S25:AF25" si="17">SUM(S10:S12)</f>
        <v>8</v>
      </c>
      <c r="T25" s="16">
        <f t="shared" si="17"/>
        <v>2</v>
      </c>
      <c r="U25" s="16">
        <f t="shared" si="17"/>
        <v>3</v>
      </c>
      <c r="V25" s="16">
        <f t="shared" si="17"/>
        <v>2</v>
      </c>
      <c r="W25" s="16">
        <f t="shared" si="17"/>
        <v>0</v>
      </c>
      <c r="X25" s="16">
        <f t="shared" si="17"/>
        <v>0</v>
      </c>
      <c r="Y25" s="16">
        <f t="shared" si="17"/>
        <v>5</v>
      </c>
      <c r="Z25" s="16">
        <f t="shared" si="17"/>
        <v>3</v>
      </c>
      <c r="AA25" s="16">
        <f t="shared" si="17"/>
        <v>0</v>
      </c>
      <c r="AB25" s="16">
        <f t="shared" si="17"/>
        <v>0</v>
      </c>
      <c r="AC25" s="16">
        <f t="shared" si="17"/>
        <v>176</v>
      </c>
      <c r="AD25" s="16">
        <f t="shared" si="17"/>
        <v>0</v>
      </c>
      <c r="AE25" s="32">
        <f t="shared" si="17"/>
        <v>23</v>
      </c>
      <c r="AF25" s="32">
        <f t="shared" si="17"/>
        <v>199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4</v>
      </c>
      <c r="K26" s="50">
        <v>0</v>
      </c>
      <c r="L26" s="50">
        <v>0</v>
      </c>
      <c r="M26" s="50">
        <v>16</v>
      </c>
      <c r="N26" s="50">
        <v>0</v>
      </c>
      <c r="O26" s="15">
        <f t="shared" si="0"/>
        <v>6</v>
      </c>
      <c r="P26" s="15">
        <f t="shared" si="1"/>
        <v>22</v>
      </c>
      <c r="R26" s="28" t="s">
        <v>86</v>
      </c>
      <c r="S26" s="16">
        <f t="shared" ref="S26:AF26" si="18">SUM(S13:S18)</f>
        <v>42</v>
      </c>
      <c r="T26" s="16">
        <f t="shared" si="18"/>
        <v>17</v>
      </c>
      <c r="U26" s="16">
        <f t="shared" si="18"/>
        <v>5</v>
      </c>
      <c r="V26" s="16">
        <f t="shared" si="18"/>
        <v>15</v>
      </c>
      <c r="W26" s="16">
        <f t="shared" si="18"/>
        <v>4</v>
      </c>
      <c r="X26" s="16">
        <f t="shared" si="18"/>
        <v>0</v>
      </c>
      <c r="Y26" s="16">
        <f t="shared" si="18"/>
        <v>9</v>
      </c>
      <c r="Z26" s="16">
        <f t="shared" si="18"/>
        <v>31</v>
      </c>
      <c r="AA26" s="16">
        <f t="shared" si="18"/>
        <v>0</v>
      </c>
      <c r="AB26" s="16">
        <f t="shared" si="18"/>
        <v>0</v>
      </c>
      <c r="AC26" s="16">
        <f t="shared" si="18"/>
        <v>393</v>
      </c>
      <c r="AD26" s="16">
        <f t="shared" si="18"/>
        <v>0</v>
      </c>
      <c r="AE26" s="32">
        <f t="shared" si="18"/>
        <v>123</v>
      </c>
      <c r="AF26" s="32">
        <f t="shared" si="18"/>
        <v>516</v>
      </c>
    </row>
    <row r="27" spans="2:32" ht="23.1" customHeight="1" x14ac:dyDescent="0.25">
      <c r="B27" s="23" t="s">
        <v>54</v>
      </c>
      <c r="C27" s="50">
        <v>0</v>
      </c>
      <c r="D27" s="50">
        <v>0</v>
      </c>
      <c r="E27" s="50">
        <v>0</v>
      </c>
      <c r="F27" s="50">
        <v>0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15</v>
      </c>
      <c r="N27" s="50">
        <v>0</v>
      </c>
      <c r="O27" s="15">
        <f t="shared" si="0"/>
        <v>4</v>
      </c>
      <c r="P27" s="15">
        <f t="shared" si="1"/>
        <v>19</v>
      </c>
      <c r="R27" s="29" t="s">
        <v>87</v>
      </c>
      <c r="S27" s="16">
        <f t="shared" ref="S27:AF27" si="19">SUM(S19:S21)</f>
        <v>19</v>
      </c>
      <c r="T27" s="16">
        <f t="shared" si="19"/>
        <v>14</v>
      </c>
      <c r="U27" s="16">
        <f t="shared" si="19"/>
        <v>4</v>
      </c>
      <c r="V27" s="16">
        <f t="shared" si="19"/>
        <v>15</v>
      </c>
      <c r="W27" s="16">
        <f t="shared" si="19"/>
        <v>4</v>
      </c>
      <c r="X27" s="16">
        <f t="shared" si="19"/>
        <v>0</v>
      </c>
      <c r="Y27" s="16">
        <f t="shared" si="19"/>
        <v>4</v>
      </c>
      <c r="Z27" s="16">
        <f t="shared" si="19"/>
        <v>13</v>
      </c>
      <c r="AA27" s="16">
        <f t="shared" si="19"/>
        <v>0</v>
      </c>
      <c r="AB27" s="16">
        <f t="shared" si="19"/>
        <v>0</v>
      </c>
      <c r="AC27" s="16">
        <f t="shared" si="19"/>
        <v>135</v>
      </c>
      <c r="AD27" s="16">
        <f t="shared" si="19"/>
        <v>0</v>
      </c>
      <c r="AE27" s="32">
        <f t="shared" si="19"/>
        <v>73</v>
      </c>
      <c r="AF27" s="32">
        <f t="shared" si="19"/>
        <v>208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4</v>
      </c>
      <c r="K28" s="50">
        <v>0</v>
      </c>
      <c r="L28" s="50">
        <v>0</v>
      </c>
      <c r="M28" s="50">
        <v>17</v>
      </c>
      <c r="N28" s="50">
        <v>0</v>
      </c>
      <c r="O28" s="15">
        <f t="shared" si="0"/>
        <v>6</v>
      </c>
      <c r="P28" s="15">
        <f t="shared" si="1"/>
        <v>23</v>
      </c>
      <c r="R28" s="5" t="s">
        <v>17</v>
      </c>
      <c r="S28" s="16">
        <f t="shared" ref="S28:AF28" si="20">SUM(S10:S21)</f>
        <v>69</v>
      </c>
      <c r="T28" s="16">
        <f t="shared" si="20"/>
        <v>33</v>
      </c>
      <c r="U28" s="16">
        <f t="shared" si="20"/>
        <v>12</v>
      </c>
      <c r="V28" s="16">
        <f t="shared" si="20"/>
        <v>32</v>
      </c>
      <c r="W28" s="16">
        <f t="shared" si="20"/>
        <v>8</v>
      </c>
      <c r="X28" s="16">
        <f t="shared" si="20"/>
        <v>0</v>
      </c>
      <c r="Y28" s="16">
        <f t="shared" si="20"/>
        <v>18</v>
      </c>
      <c r="Z28" s="16">
        <f t="shared" si="20"/>
        <v>47</v>
      </c>
      <c r="AA28" s="16">
        <f t="shared" si="20"/>
        <v>0</v>
      </c>
      <c r="AB28" s="16">
        <f t="shared" si="20"/>
        <v>0</v>
      </c>
      <c r="AC28" s="16">
        <f t="shared" si="20"/>
        <v>704</v>
      </c>
      <c r="AD28" s="16">
        <f t="shared" si="20"/>
        <v>0</v>
      </c>
      <c r="AE28" s="32">
        <f t="shared" si="20"/>
        <v>219</v>
      </c>
      <c r="AF28" s="32">
        <f t="shared" si="20"/>
        <v>923</v>
      </c>
    </row>
    <row r="29" spans="2:32" ht="23.1" customHeight="1" x14ac:dyDescent="0.25">
      <c r="B29" s="23" t="s">
        <v>56</v>
      </c>
      <c r="C29" s="50">
        <v>1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0</v>
      </c>
      <c r="J29" s="50">
        <v>3</v>
      </c>
      <c r="K29" s="50">
        <v>0</v>
      </c>
      <c r="L29" s="50">
        <v>0</v>
      </c>
      <c r="M29" s="50">
        <v>15</v>
      </c>
      <c r="N29" s="50">
        <v>0</v>
      </c>
      <c r="O29" s="15">
        <f t="shared" si="0"/>
        <v>4</v>
      </c>
      <c r="P29" s="15">
        <f t="shared" si="1"/>
        <v>19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3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14</v>
      </c>
      <c r="N30" s="50">
        <v>0</v>
      </c>
      <c r="O30" s="15">
        <f t="shared" si="0"/>
        <v>3</v>
      </c>
      <c r="P30" s="15">
        <f t="shared" si="1"/>
        <v>17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1</v>
      </c>
      <c r="P31" s="15">
        <f t="shared" si="1"/>
        <v>17</v>
      </c>
    </row>
    <row r="32" spans="2:32" ht="23.1" customHeight="1" x14ac:dyDescent="0.25">
      <c r="B32" s="24" t="s">
        <v>59</v>
      </c>
      <c r="C32" s="50">
        <v>0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11</v>
      </c>
      <c r="N32" s="50">
        <v>0</v>
      </c>
      <c r="O32" s="15">
        <f t="shared" si="0"/>
        <v>0</v>
      </c>
      <c r="P32" s="15">
        <f t="shared" si="1"/>
        <v>11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1</v>
      </c>
      <c r="F33" s="50">
        <v>2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11</v>
      </c>
      <c r="N33" s="50">
        <v>0</v>
      </c>
      <c r="O33" s="15">
        <f t="shared" si="0"/>
        <v>8</v>
      </c>
      <c r="P33" s="15">
        <f t="shared" si="1"/>
        <v>19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0</v>
      </c>
      <c r="F34" s="50">
        <v>0</v>
      </c>
      <c r="G34" s="50">
        <v>0</v>
      </c>
      <c r="H34" s="50">
        <v>0</v>
      </c>
      <c r="I34" s="50">
        <v>0</v>
      </c>
      <c r="J34" s="50">
        <v>1</v>
      </c>
      <c r="K34" s="50">
        <v>0</v>
      </c>
      <c r="L34" s="50">
        <v>0</v>
      </c>
      <c r="M34" s="50">
        <v>15</v>
      </c>
      <c r="N34" s="50">
        <v>0</v>
      </c>
      <c r="O34" s="15">
        <f t="shared" si="0"/>
        <v>2</v>
      </c>
      <c r="P34" s="15">
        <f t="shared" si="1"/>
        <v>17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0</v>
      </c>
      <c r="F35" s="50">
        <v>0</v>
      </c>
      <c r="G35" s="50">
        <v>0</v>
      </c>
      <c r="H35" s="50">
        <v>0</v>
      </c>
      <c r="I35" s="50">
        <v>2</v>
      </c>
      <c r="J35" s="50">
        <v>4</v>
      </c>
      <c r="K35" s="50">
        <v>0</v>
      </c>
      <c r="L35" s="50">
        <v>0</v>
      </c>
      <c r="M35" s="50">
        <v>17</v>
      </c>
      <c r="N35" s="50">
        <v>0</v>
      </c>
      <c r="O35" s="15">
        <f t="shared" si="0"/>
        <v>9</v>
      </c>
      <c r="P35" s="15">
        <f t="shared" si="1"/>
        <v>26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3</v>
      </c>
      <c r="K36" s="50">
        <v>0</v>
      </c>
      <c r="L36" s="50">
        <v>0</v>
      </c>
      <c r="M36" s="50">
        <v>12</v>
      </c>
      <c r="N36" s="50">
        <v>0</v>
      </c>
      <c r="O36" s="15">
        <f t="shared" si="0"/>
        <v>5</v>
      </c>
      <c r="P36" s="15">
        <f t="shared" si="1"/>
        <v>17</v>
      </c>
    </row>
    <row r="37" spans="2:20" ht="23.1" customHeight="1" x14ac:dyDescent="0.25">
      <c r="B37" s="23" t="s">
        <v>64</v>
      </c>
      <c r="C37" s="50">
        <v>0</v>
      </c>
      <c r="D37" s="50">
        <v>0</v>
      </c>
      <c r="E37" s="50">
        <v>0</v>
      </c>
      <c r="F37" s="50">
        <v>2</v>
      </c>
      <c r="G37" s="50">
        <v>0</v>
      </c>
      <c r="H37" s="50">
        <v>0</v>
      </c>
      <c r="I37" s="50">
        <v>0</v>
      </c>
      <c r="J37" s="50">
        <v>1</v>
      </c>
      <c r="K37" s="50">
        <v>0</v>
      </c>
      <c r="L37" s="50">
        <v>0</v>
      </c>
      <c r="M37" s="50">
        <v>22</v>
      </c>
      <c r="N37" s="50">
        <v>0</v>
      </c>
      <c r="O37" s="15">
        <f t="shared" si="0"/>
        <v>3</v>
      </c>
      <c r="P37" s="15">
        <f t="shared" si="1"/>
        <v>25</v>
      </c>
    </row>
    <row r="38" spans="2:20" ht="23.1" customHeight="1" x14ac:dyDescent="0.25">
      <c r="B38" s="24" t="s">
        <v>65</v>
      </c>
      <c r="C38" s="50">
        <v>0</v>
      </c>
      <c r="D38" s="50">
        <v>0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12</v>
      </c>
      <c r="N38" s="50">
        <v>0</v>
      </c>
      <c r="O38" s="15">
        <f t="shared" si="0"/>
        <v>1</v>
      </c>
      <c r="P38" s="15">
        <f t="shared" si="1"/>
        <v>13</v>
      </c>
    </row>
    <row r="39" spans="2:20" ht="23.1" customHeight="1" x14ac:dyDescent="0.25">
      <c r="B39" s="24" t="s">
        <v>66</v>
      </c>
      <c r="C39" s="50">
        <v>0</v>
      </c>
      <c r="D39" s="50">
        <v>1</v>
      </c>
      <c r="E39" s="50">
        <v>0</v>
      </c>
      <c r="F39" s="50">
        <v>0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18</v>
      </c>
      <c r="N39" s="50">
        <v>0</v>
      </c>
      <c r="O39" s="15">
        <f t="shared" si="0"/>
        <v>1</v>
      </c>
      <c r="P39" s="15">
        <f t="shared" si="1"/>
        <v>19</v>
      </c>
    </row>
    <row r="40" spans="2:20" ht="23.1" customHeight="1" x14ac:dyDescent="0.25">
      <c r="B40" s="24" t="s">
        <v>67</v>
      </c>
      <c r="C40" s="50">
        <v>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2</v>
      </c>
      <c r="K40" s="50">
        <v>0</v>
      </c>
      <c r="L40" s="50">
        <v>0</v>
      </c>
      <c r="M40" s="50">
        <v>19</v>
      </c>
      <c r="N40" s="50">
        <v>0</v>
      </c>
      <c r="O40" s="15">
        <f t="shared" si="0"/>
        <v>2</v>
      </c>
      <c r="P40" s="15">
        <f t="shared" si="1"/>
        <v>21</v>
      </c>
    </row>
    <row r="41" spans="2:20" ht="23.1" customHeight="1" x14ac:dyDescent="0.25">
      <c r="B41" s="23" t="s">
        <v>68</v>
      </c>
      <c r="C41" s="50">
        <v>2</v>
      </c>
      <c r="D41" s="50">
        <v>0</v>
      </c>
      <c r="E41" s="50">
        <v>0</v>
      </c>
      <c r="F41" s="50">
        <v>0</v>
      </c>
      <c r="G41" s="50">
        <v>0</v>
      </c>
      <c r="H41" s="50">
        <v>0</v>
      </c>
      <c r="I41" s="50">
        <v>0</v>
      </c>
      <c r="J41" s="50">
        <v>3</v>
      </c>
      <c r="K41" s="50">
        <v>0</v>
      </c>
      <c r="L41" s="50">
        <v>0</v>
      </c>
      <c r="M41" s="50">
        <v>15</v>
      </c>
      <c r="N41" s="50">
        <v>0</v>
      </c>
      <c r="O41" s="15">
        <f t="shared" si="0"/>
        <v>5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2</v>
      </c>
      <c r="D42" s="50">
        <v>3</v>
      </c>
      <c r="E42" s="50">
        <v>0</v>
      </c>
      <c r="F42" s="50">
        <v>0</v>
      </c>
      <c r="G42" s="50">
        <v>0</v>
      </c>
      <c r="H42" s="50">
        <v>0</v>
      </c>
      <c r="I42" s="50">
        <v>0</v>
      </c>
      <c r="J42" s="50">
        <v>0</v>
      </c>
      <c r="K42" s="50">
        <v>0</v>
      </c>
      <c r="L42" s="50">
        <v>0</v>
      </c>
      <c r="M42" s="50">
        <v>24</v>
      </c>
      <c r="N42" s="50">
        <v>0</v>
      </c>
      <c r="O42" s="15">
        <f t="shared" si="0"/>
        <v>5</v>
      </c>
      <c r="P42" s="15">
        <f t="shared" si="1"/>
        <v>29</v>
      </c>
    </row>
    <row r="43" spans="2:20" ht="23.1" customHeight="1" x14ac:dyDescent="0.25">
      <c r="B43" s="23" t="s">
        <v>70</v>
      </c>
      <c r="C43" s="50">
        <v>8</v>
      </c>
      <c r="D43" s="50">
        <v>4</v>
      </c>
      <c r="E43" s="50">
        <v>1</v>
      </c>
      <c r="F43" s="50">
        <v>2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35</v>
      </c>
      <c r="N43" s="50">
        <v>0</v>
      </c>
      <c r="O43" s="15">
        <f t="shared" si="0"/>
        <v>15</v>
      </c>
      <c r="P43" s="15">
        <f t="shared" si="1"/>
        <v>50</v>
      </c>
    </row>
    <row r="44" spans="2:20" ht="23.1" customHeight="1" x14ac:dyDescent="0.25">
      <c r="B44" s="25" t="s">
        <v>71</v>
      </c>
      <c r="C44" s="50">
        <v>13</v>
      </c>
      <c r="D44" s="50">
        <v>8</v>
      </c>
      <c r="E44" s="50">
        <v>0</v>
      </c>
      <c r="F44" s="50">
        <v>6</v>
      </c>
      <c r="G44" s="50">
        <v>3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19</v>
      </c>
      <c r="N44" s="50">
        <v>0</v>
      </c>
      <c r="O44" s="15">
        <f t="shared" si="0"/>
        <v>30</v>
      </c>
      <c r="P44" s="15">
        <f t="shared" si="1"/>
        <v>49</v>
      </c>
    </row>
    <row r="45" spans="2:20" ht="23.1" customHeight="1" x14ac:dyDescent="0.25">
      <c r="B45" s="23" t="s">
        <v>72</v>
      </c>
      <c r="C45" s="50">
        <v>4</v>
      </c>
      <c r="D45" s="50">
        <v>0</v>
      </c>
      <c r="E45" s="50">
        <v>0</v>
      </c>
      <c r="F45" s="50">
        <v>0</v>
      </c>
      <c r="G45" s="50">
        <v>1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5</v>
      </c>
      <c r="P45" s="15">
        <f t="shared" si="1"/>
        <v>21</v>
      </c>
    </row>
    <row r="46" spans="2:20" ht="23.1" customHeight="1" x14ac:dyDescent="0.25">
      <c r="B46" s="24" t="s">
        <v>73</v>
      </c>
      <c r="C46" s="50">
        <v>4</v>
      </c>
      <c r="D46" s="50">
        <v>2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4</v>
      </c>
      <c r="K46" s="50">
        <v>0</v>
      </c>
      <c r="L46" s="50">
        <v>0</v>
      </c>
      <c r="M46" s="50">
        <v>14</v>
      </c>
      <c r="N46" s="50">
        <v>0</v>
      </c>
      <c r="O46" s="15">
        <f t="shared" si="0"/>
        <v>12</v>
      </c>
      <c r="P46" s="15">
        <f t="shared" si="1"/>
        <v>26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2</v>
      </c>
      <c r="E47" s="50">
        <v>2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0</v>
      </c>
      <c r="M47" s="50">
        <v>14</v>
      </c>
      <c r="N47" s="50">
        <v>0</v>
      </c>
      <c r="O47" s="15">
        <f t="shared" si="0"/>
        <v>7</v>
      </c>
      <c r="P47" s="15">
        <f t="shared" si="1"/>
        <v>21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1</v>
      </c>
      <c r="E48" s="50">
        <v>0</v>
      </c>
      <c r="F48" s="50">
        <v>5</v>
      </c>
      <c r="G48" s="50">
        <v>0</v>
      </c>
      <c r="H48" s="50">
        <v>0</v>
      </c>
      <c r="I48" s="50">
        <v>1</v>
      </c>
      <c r="J48" s="50">
        <v>2</v>
      </c>
      <c r="K48" s="50">
        <v>0</v>
      </c>
      <c r="L48" s="50">
        <v>0</v>
      </c>
      <c r="M48" s="50">
        <v>13</v>
      </c>
      <c r="N48" s="50">
        <v>0</v>
      </c>
      <c r="O48" s="15">
        <f t="shared" si="0"/>
        <v>9</v>
      </c>
      <c r="P48" s="15">
        <f t="shared" si="1"/>
        <v>22</v>
      </c>
      <c r="R48" s="8"/>
      <c r="T48"/>
    </row>
    <row r="49" spans="2:20" ht="23.1" customHeight="1" x14ac:dyDescent="0.25">
      <c r="B49" s="23" t="s">
        <v>76</v>
      </c>
      <c r="C49" s="50">
        <v>0</v>
      </c>
      <c r="D49" s="50">
        <v>0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</v>
      </c>
      <c r="N49" s="50">
        <v>0</v>
      </c>
      <c r="O49" s="15">
        <f t="shared" si="0"/>
        <v>1</v>
      </c>
      <c r="P49" s="15">
        <f t="shared" si="1"/>
        <v>4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1</v>
      </c>
      <c r="E50" s="50">
        <v>1</v>
      </c>
      <c r="F50" s="50">
        <v>3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8</v>
      </c>
      <c r="P50" s="15">
        <f t="shared" si="1"/>
        <v>8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2</v>
      </c>
      <c r="K51" s="50">
        <v>0</v>
      </c>
      <c r="L51" s="50">
        <v>0</v>
      </c>
      <c r="M51" s="50">
        <v>0</v>
      </c>
      <c r="N51" s="50">
        <v>0</v>
      </c>
      <c r="O51" s="15">
        <f t="shared" si="0"/>
        <v>3</v>
      </c>
      <c r="P51" s="15">
        <f t="shared" si="1"/>
        <v>3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4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3</v>
      </c>
      <c r="N52" s="50">
        <v>0</v>
      </c>
      <c r="O52" s="15">
        <f t="shared" si="0"/>
        <v>8</v>
      </c>
      <c r="P52" s="15">
        <f t="shared" si="1"/>
        <v>11</v>
      </c>
      <c r="R52" s="8"/>
      <c r="T52"/>
    </row>
    <row r="53" spans="2:20" ht="23.1" customHeight="1" x14ac:dyDescent="0.25">
      <c r="B53" s="23" t="s">
        <v>80</v>
      </c>
      <c r="C53" s="50">
        <v>3</v>
      </c>
      <c r="D53" s="50">
        <v>1</v>
      </c>
      <c r="E53" s="50">
        <v>0</v>
      </c>
      <c r="F53" s="50">
        <v>0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3</v>
      </c>
      <c r="N53" s="50">
        <v>0</v>
      </c>
      <c r="O53" s="15">
        <f t="shared" si="0"/>
        <v>5</v>
      </c>
      <c r="P53" s="15">
        <f t="shared" si="1"/>
        <v>8</v>
      </c>
      <c r="R53" s="8"/>
      <c r="T53"/>
    </row>
    <row r="54" spans="2:20" ht="23.1" customHeight="1" x14ac:dyDescent="0.25">
      <c r="B54" s="23" t="s">
        <v>81</v>
      </c>
      <c r="C54" s="50">
        <v>1</v>
      </c>
      <c r="D54" s="50">
        <v>0</v>
      </c>
      <c r="E54" s="50">
        <v>0</v>
      </c>
      <c r="F54" s="50">
        <v>2</v>
      </c>
      <c r="G54" s="50">
        <v>4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20</v>
      </c>
      <c r="N54" s="50">
        <v>0</v>
      </c>
      <c r="O54" s="15">
        <f t="shared" si="0"/>
        <v>9</v>
      </c>
      <c r="P54" s="15">
        <f t="shared" si="1"/>
        <v>29</v>
      </c>
      <c r="R54" s="8"/>
      <c r="T54"/>
    </row>
    <row r="55" spans="2:20" ht="23.1" customHeight="1" x14ac:dyDescent="0.25">
      <c r="B55" s="23" t="s">
        <v>82</v>
      </c>
      <c r="C55" s="50">
        <v>0</v>
      </c>
      <c r="D55" s="50">
        <v>2</v>
      </c>
      <c r="E55" s="50">
        <v>0</v>
      </c>
      <c r="F55" s="50">
        <v>0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23</v>
      </c>
      <c r="N55" s="50">
        <v>0</v>
      </c>
      <c r="O55" s="15">
        <f t="shared" si="0"/>
        <v>2</v>
      </c>
      <c r="P55" s="15">
        <f t="shared" si="1"/>
        <v>25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1</v>
      </c>
      <c r="E56" s="50">
        <v>0</v>
      </c>
      <c r="F56" s="50">
        <v>1</v>
      </c>
      <c r="G56" s="50">
        <v>0</v>
      </c>
      <c r="H56" s="50">
        <v>0</v>
      </c>
      <c r="I56" s="50">
        <v>0</v>
      </c>
      <c r="J56" s="50">
        <v>2</v>
      </c>
      <c r="K56" s="50">
        <v>0</v>
      </c>
      <c r="L56" s="50">
        <v>0</v>
      </c>
      <c r="M56" s="50">
        <v>17</v>
      </c>
      <c r="N56" s="50">
        <v>0</v>
      </c>
      <c r="O56" s="15">
        <f t="shared" si="0"/>
        <v>7</v>
      </c>
      <c r="P56" s="15">
        <f t="shared" si="1"/>
        <v>24</v>
      </c>
      <c r="R56" s="8"/>
      <c r="T56"/>
    </row>
    <row r="57" spans="2:20" ht="23.1" customHeight="1" x14ac:dyDescent="0.25">
      <c r="B57" s="23" t="s">
        <v>84</v>
      </c>
      <c r="C57" s="50">
        <v>1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25</v>
      </c>
      <c r="N57" s="50">
        <v>0</v>
      </c>
      <c r="O57" s="15">
        <f t="shared" si="0"/>
        <v>2</v>
      </c>
      <c r="P57" s="15">
        <f t="shared" si="1"/>
        <v>27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69</v>
      </c>
      <c r="D58" s="16">
        <f t="shared" si="21"/>
        <v>33</v>
      </c>
      <c r="E58" s="16">
        <f t="shared" si="21"/>
        <v>12</v>
      </c>
      <c r="F58" s="16">
        <f t="shared" si="21"/>
        <v>32</v>
      </c>
      <c r="G58" s="16">
        <f t="shared" si="21"/>
        <v>8</v>
      </c>
      <c r="H58" s="16">
        <f t="shared" si="21"/>
        <v>0</v>
      </c>
      <c r="I58" s="16">
        <f t="shared" si="21"/>
        <v>18</v>
      </c>
      <c r="J58" s="16">
        <f t="shared" si="21"/>
        <v>47</v>
      </c>
      <c r="K58" s="16">
        <f t="shared" si="21"/>
        <v>0</v>
      </c>
      <c r="L58" s="16">
        <f t="shared" si="21"/>
        <v>0</v>
      </c>
      <c r="M58" s="16">
        <f t="shared" si="21"/>
        <v>704</v>
      </c>
      <c r="N58" s="16">
        <f t="shared" si="21"/>
        <v>0</v>
      </c>
      <c r="O58" s="16">
        <f t="shared" si="21"/>
        <v>219</v>
      </c>
      <c r="P58" s="16">
        <f t="shared" si="21"/>
        <v>923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7.4756229685807155E-2</v>
      </c>
      <c r="D59" s="43">
        <f t="shared" si="22"/>
        <v>3.5752979414951244E-2</v>
      </c>
      <c r="E59" s="43">
        <f t="shared" si="22"/>
        <v>1.3001083423618635E-2</v>
      </c>
      <c r="F59" s="43">
        <f t="shared" si="22"/>
        <v>3.4669555796316358E-2</v>
      </c>
      <c r="G59" s="43">
        <f t="shared" si="22"/>
        <v>8.6673889490790895E-3</v>
      </c>
      <c r="H59" s="43">
        <f t="shared" si="22"/>
        <v>0</v>
      </c>
      <c r="I59" s="43">
        <f t="shared" si="22"/>
        <v>1.9501625135427952E-2</v>
      </c>
      <c r="J59" s="43">
        <f t="shared" si="22"/>
        <v>5.0920910075839654E-2</v>
      </c>
      <c r="K59" s="43">
        <f t="shared" si="22"/>
        <v>0</v>
      </c>
      <c r="L59" s="43">
        <f t="shared" si="22"/>
        <v>0</v>
      </c>
      <c r="M59" s="43">
        <f t="shared" si="22"/>
        <v>0.76273022751895991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0.31506849315068491</v>
      </c>
      <c r="D60" s="44">
        <f t="shared" ref="D60:N60" si="23">D58/$O$58</f>
        <v>0.15068493150684931</v>
      </c>
      <c r="E60" s="44">
        <f t="shared" si="23"/>
        <v>5.4794520547945202E-2</v>
      </c>
      <c r="F60" s="44">
        <f t="shared" si="23"/>
        <v>0.14611872146118721</v>
      </c>
      <c r="G60" s="44">
        <f t="shared" si="23"/>
        <v>3.6529680365296802E-2</v>
      </c>
      <c r="H60" s="44">
        <f t="shared" si="23"/>
        <v>0</v>
      </c>
      <c r="I60" s="44">
        <f t="shared" si="23"/>
        <v>8.2191780821917804E-2</v>
      </c>
      <c r="J60" s="44">
        <f t="shared" si="23"/>
        <v>0.21461187214611871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L24" activeCellId="1" sqref="C10 L2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'23.10 WOBULENZI-ZIROBWE'!C3:G3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51" t="str">
        <f>'23.10 WOBULENZI-ZIROBWE'!D5</f>
        <v>23.10.19</v>
      </c>
      <c r="E5" s="3"/>
      <c r="F5" s="41" t="s">
        <v>1</v>
      </c>
      <c r="G5" s="59" t="str">
        <f>'23.10 WOBULENZI-ZIROBWE'!G5:H5</f>
        <v>xxx</v>
      </c>
      <c r="H5" s="60"/>
      <c r="I5" s="14"/>
      <c r="J5" s="2" t="s">
        <v>5</v>
      </c>
      <c r="K5" s="59" t="s">
        <v>169</v>
      </c>
      <c r="L5" s="60"/>
      <c r="M5" s="10"/>
      <c r="N5" s="10"/>
      <c r="O5" s="3"/>
      <c r="P5" s="3"/>
    </row>
    <row r="6" spans="2:32" ht="23.25" customHeight="1" x14ac:dyDescent="0.25">
      <c r="C6" s="2" t="s">
        <v>4</v>
      </c>
      <c r="D6" s="59" t="s">
        <v>165</v>
      </c>
      <c r="E6" s="60"/>
      <c r="F6" s="2" t="s">
        <v>2</v>
      </c>
      <c r="G6" s="59" t="s">
        <v>164</v>
      </c>
      <c r="H6" s="60"/>
      <c r="J6" s="2" t="s">
        <v>21</v>
      </c>
      <c r="K6" s="59" t="str">
        <f>'23.10 WOBULENZI-ZIROBWE'!K6:L6</f>
        <v>BELLA</v>
      </c>
      <c r="L6" s="60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13</v>
      </c>
      <c r="N10" s="50">
        <v>0</v>
      </c>
      <c r="O10" s="15">
        <f t="shared" ref="O10:O57" si="0">SUM(C10:L10,N10)</f>
        <v>2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2</v>
      </c>
      <c r="T10" s="17">
        <f t="shared" si="2"/>
        <v>0</v>
      </c>
      <c r="U10" s="17">
        <f t="shared" si="2"/>
        <v>0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55</v>
      </c>
      <c r="AD10" s="17">
        <f t="shared" si="2"/>
        <v>0</v>
      </c>
      <c r="AE10" s="31">
        <f t="shared" si="2"/>
        <v>6</v>
      </c>
      <c r="AF10" s="31">
        <f t="shared" si="2"/>
        <v>61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16</v>
      </c>
      <c r="N11" s="50">
        <v>0</v>
      </c>
      <c r="O11" s="15">
        <f t="shared" si="0"/>
        <v>1</v>
      </c>
      <c r="P11" s="15">
        <f t="shared" si="1"/>
        <v>17</v>
      </c>
      <c r="R11" s="1" t="s">
        <v>7</v>
      </c>
      <c r="S11" s="17">
        <f t="shared" ref="S11:AF11" si="3">SUM(C14:C17)</f>
        <v>3</v>
      </c>
      <c r="T11" s="17">
        <f t="shared" si="3"/>
        <v>0</v>
      </c>
      <c r="U11" s="17">
        <f t="shared" si="3"/>
        <v>1</v>
      </c>
      <c r="V11" s="17">
        <f t="shared" si="3"/>
        <v>0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63</v>
      </c>
      <c r="AD11" s="17">
        <f t="shared" si="3"/>
        <v>0</v>
      </c>
      <c r="AE11" s="31">
        <f t="shared" si="3"/>
        <v>8</v>
      </c>
      <c r="AF11" s="31">
        <f t="shared" si="3"/>
        <v>71</v>
      </c>
    </row>
    <row r="12" spans="2:32" ht="23.1" customHeight="1" x14ac:dyDescent="0.25">
      <c r="B12" s="23" t="s">
        <v>39</v>
      </c>
      <c r="C12" s="50">
        <v>0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12</v>
      </c>
      <c r="N12" s="50">
        <v>0</v>
      </c>
      <c r="O12" s="15">
        <f t="shared" si="0"/>
        <v>1</v>
      </c>
      <c r="P12" s="15">
        <f t="shared" si="1"/>
        <v>13</v>
      </c>
      <c r="R12" s="1" t="s">
        <v>8</v>
      </c>
      <c r="S12" s="17">
        <f t="shared" ref="S12:AF12" si="4">SUM(C18:C21)</f>
        <v>2</v>
      </c>
      <c r="T12" s="17">
        <f t="shared" si="4"/>
        <v>1</v>
      </c>
      <c r="U12" s="17">
        <f t="shared" si="4"/>
        <v>1</v>
      </c>
      <c r="V12" s="17">
        <f t="shared" si="4"/>
        <v>0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6</v>
      </c>
      <c r="AA12" s="17">
        <f t="shared" si="4"/>
        <v>0</v>
      </c>
      <c r="AB12" s="17">
        <f t="shared" si="4"/>
        <v>0</v>
      </c>
      <c r="AC12" s="17">
        <f t="shared" si="4"/>
        <v>54</v>
      </c>
      <c r="AD12" s="17">
        <f t="shared" si="4"/>
        <v>0</v>
      </c>
      <c r="AE12" s="31">
        <f t="shared" si="4"/>
        <v>11</v>
      </c>
      <c r="AF12" s="31">
        <f t="shared" si="4"/>
        <v>65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0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2</v>
      </c>
      <c r="P13" s="15">
        <f t="shared" si="1"/>
        <v>16</v>
      </c>
      <c r="R13" s="1" t="s">
        <v>9</v>
      </c>
      <c r="S13" s="17">
        <f t="shared" ref="S13:AF13" si="5">SUM(C22:C25)</f>
        <v>7</v>
      </c>
      <c r="T13" s="17">
        <f t="shared" si="5"/>
        <v>0</v>
      </c>
      <c r="U13" s="17">
        <f t="shared" si="5"/>
        <v>2</v>
      </c>
      <c r="V13" s="17">
        <f t="shared" si="5"/>
        <v>1</v>
      </c>
      <c r="W13" s="17">
        <f t="shared" si="5"/>
        <v>0</v>
      </c>
      <c r="X13" s="17">
        <f t="shared" si="5"/>
        <v>0</v>
      </c>
      <c r="Y13" s="17">
        <f t="shared" si="5"/>
        <v>0</v>
      </c>
      <c r="Z13" s="17">
        <f t="shared" si="5"/>
        <v>11</v>
      </c>
      <c r="AA13" s="17">
        <f t="shared" si="5"/>
        <v>0</v>
      </c>
      <c r="AB13" s="17">
        <f t="shared" si="5"/>
        <v>0</v>
      </c>
      <c r="AC13" s="17">
        <f t="shared" si="5"/>
        <v>67</v>
      </c>
      <c r="AD13" s="17">
        <f t="shared" si="5"/>
        <v>0</v>
      </c>
      <c r="AE13" s="31">
        <f t="shared" si="5"/>
        <v>21</v>
      </c>
      <c r="AF13" s="31">
        <f t="shared" si="5"/>
        <v>88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18</v>
      </c>
      <c r="N14" s="50">
        <v>0</v>
      </c>
      <c r="O14" s="15">
        <f t="shared" si="0"/>
        <v>0</v>
      </c>
      <c r="P14" s="15">
        <f t="shared" si="1"/>
        <v>18</v>
      </c>
      <c r="R14" s="1" t="s">
        <v>10</v>
      </c>
      <c r="S14" s="17">
        <f t="shared" ref="S14:AF14" si="6">SUM(C26:C29)</f>
        <v>3</v>
      </c>
      <c r="T14" s="17">
        <f t="shared" si="6"/>
        <v>0</v>
      </c>
      <c r="U14" s="17">
        <f t="shared" si="6"/>
        <v>3</v>
      </c>
      <c r="V14" s="17">
        <f t="shared" si="6"/>
        <v>1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67</v>
      </c>
      <c r="AD14" s="17">
        <f t="shared" si="6"/>
        <v>0</v>
      </c>
      <c r="AE14" s="31">
        <f t="shared" si="6"/>
        <v>17</v>
      </c>
      <c r="AF14" s="31">
        <f t="shared" si="6"/>
        <v>84</v>
      </c>
    </row>
    <row r="15" spans="2:32" ht="23.1" customHeight="1" x14ac:dyDescent="0.25">
      <c r="B15" s="23" t="s">
        <v>42</v>
      </c>
      <c r="C15" s="50">
        <v>1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12</v>
      </c>
      <c r="N15" s="50">
        <v>0</v>
      </c>
      <c r="O15" s="15">
        <f t="shared" si="0"/>
        <v>1</v>
      </c>
      <c r="P15" s="15">
        <f t="shared" si="1"/>
        <v>13</v>
      </c>
      <c r="R15" s="1" t="s">
        <v>11</v>
      </c>
      <c r="S15" s="17">
        <f t="shared" ref="S15:AF15" si="7">SUM(C30:C33)</f>
        <v>5</v>
      </c>
      <c r="T15" s="17">
        <f t="shared" si="7"/>
        <v>6</v>
      </c>
      <c r="U15" s="17">
        <f t="shared" si="7"/>
        <v>0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66</v>
      </c>
      <c r="AD15" s="17">
        <f t="shared" si="7"/>
        <v>0</v>
      </c>
      <c r="AE15" s="31">
        <f t="shared" si="7"/>
        <v>21</v>
      </c>
      <c r="AF15" s="31">
        <f t="shared" si="7"/>
        <v>87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20</v>
      </c>
      <c r="N16" s="50">
        <v>0</v>
      </c>
      <c r="O16" s="15">
        <f t="shared" si="0"/>
        <v>4</v>
      </c>
      <c r="P16" s="15">
        <f t="shared" si="1"/>
        <v>24</v>
      </c>
      <c r="R16" s="1" t="s">
        <v>12</v>
      </c>
      <c r="S16" s="17">
        <f t="shared" ref="S16:AF16" si="8">SUM(C34:C37)</f>
        <v>12</v>
      </c>
      <c r="T16" s="17">
        <f t="shared" si="8"/>
        <v>5</v>
      </c>
      <c r="U16" s="17">
        <f t="shared" si="8"/>
        <v>1</v>
      </c>
      <c r="V16" s="17">
        <f t="shared" si="8"/>
        <v>5</v>
      </c>
      <c r="W16" s="17">
        <f t="shared" si="8"/>
        <v>5</v>
      </c>
      <c r="X16" s="17">
        <f t="shared" si="8"/>
        <v>0</v>
      </c>
      <c r="Y16" s="17">
        <f t="shared" si="8"/>
        <v>2</v>
      </c>
      <c r="Z16" s="17">
        <f t="shared" si="8"/>
        <v>6</v>
      </c>
      <c r="AA16" s="17">
        <f t="shared" si="8"/>
        <v>0</v>
      </c>
      <c r="AB16" s="17">
        <f t="shared" si="8"/>
        <v>0</v>
      </c>
      <c r="AC16" s="17">
        <f t="shared" si="8"/>
        <v>72</v>
      </c>
      <c r="AD16" s="17">
        <f t="shared" si="8"/>
        <v>0</v>
      </c>
      <c r="AE16" s="31">
        <f t="shared" si="8"/>
        <v>36</v>
      </c>
      <c r="AF16" s="31">
        <f t="shared" si="8"/>
        <v>108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0</v>
      </c>
      <c r="F17" s="50">
        <v>0</v>
      </c>
      <c r="G17" s="50">
        <v>0</v>
      </c>
      <c r="H17" s="50">
        <v>0</v>
      </c>
      <c r="I17" s="50">
        <v>1</v>
      </c>
      <c r="J17" s="50">
        <v>2</v>
      </c>
      <c r="K17" s="50">
        <v>0</v>
      </c>
      <c r="L17" s="50">
        <v>0</v>
      </c>
      <c r="M17" s="50">
        <v>13</v>
      </c>
      <c r="N17" s="50">
        <v>0</v>
      </c>
      <c r="O17" s="15">
        <f t="shared" si="0"/>
        <v>3</v>
      </c>
      <c r="P17" s="15">
        <f t="shared" si="1"/>
        <v>16</v>
      </c>
      <c r="R17" s="1" t="s">
        <v>13</v>
      </c>
      <c r="S17" s="17">
        <f t="shared" ref="S17:AF17" si="9">SUM(C38:C41)</f>
        <v>17</v>
      </c>
      <c r="T17" s="17">
        <f t="shared" si="9"/>
        <v>3</v>
      </c>
      <c r="U17" s="17">
        <f t="shared" si="9"/>
        <v>1</v>
      </c>
      <c r="V17" s="17">
        <f t="shared" si="9"/>
        <v>6</v>
      </c>
      <c r="W17" s="17">
        <f t="shared" si="9"/>
        <v>3</v>
      </c>
      <c r="X17" s="17">
        <f t="shared" si="9"/>
        <v>0</v>
      </c>
      <c r="Y17" s="17">
        <f t="shared" si="9"/>
        <v>4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56</v>
      </c>
      <c r="AD17" s="17">
        <f t="shared" si="9"/>
        <v>0</v>
      </c>
      <c r="AE17" s="31">
        <f t="shared" si="9"/>
        <v>35</v>
      </c>
      <c r="AF17" s="31">
        <f t="shared" si="9"/>
        <v>91</v>
      </c>
    </row>
    <row r="18" spans="2:32" ht="23.1" customHeight="1" x14ac:dyDescent="0.25">
      <c r="B18" s="23" t="s">
        <v>45</v>
      </c>
      <c r="C18" s="50">
        <v>0</v>
      </c>
      <c r="D18" s="50">
        <v>0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11</v>
      </c>
      <c r="N18" s="50">
        <v>0</v>
      </c>
      <c r="O18" s="15">
        <f t="shared" si="0"/>
        <v>0</v>
      </c>
      <c r="P18" s="15">
        <f t="shared" si="1"/>
        <v>11</v>
      </c>
      <c r="R18" s="1" t="s">
        <v>14</v>
      </c>
      <c r="S18" s="17">
        <f t="shared" ref="S18:AF18" si="10">SUM(C42:C45)</f>
        <v>7</v>
      </c>
      <c r="T18" s="17">
        <f t="shared" si="10"/>
        <v>2</v>
      </c>
      <c r="U18" s="17">
        <f t="shared" si="10"/>
        <v>0</v>
      </c>
      <c r="V18" s="17">
        <f t="shared" si="10"/>
        <v>3</v>
      </c>
      <c r="W18" s="17">
        <f t="shared" si="10"/>
        <v>1</v>
      </c>
      <c r="X18" s="17">
        <f t="shared" si="10"/>
        <v>0</v>
      </c>
      <c r="Y18" s="17">
        <f t="shared" si="10"/>
        <v>2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56</v>
      </c>
      <c r="AD18" s="17">
        <f t="shared" si="10"/>
        <v>0</v>
      </c>
      <c r="AE18" s="31">
        <f t="shared" si="10"/>
        <v>19</v>
      </c>
      <c r="AF18" s="31">
        <f t="shared" si="10"/>
        <v>75</v>
      </c>
    </row>
    <row r="19" spans="2:32" ht="23.1" customHeight="1" x14ac:dyDescent="0.25">
      <c r="B19" s="23" t="s">
        <v>46</v>
      </c>
      <c r="C19" s="50">
        <v>0</v>
      </c>
      <c r="D19" s="50">
        <v>0</v>
      </c>
      <c r="E19" s="50">
        <v>0</v>
      </c>
      <c r="F19" s="50">
        <v>0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17</v>
      </c>
      <c r="N19" s="50">
        <v>0</v>
      </c>
      <c r="O19" s="15">
        <f t="shared" si="0"/>
        <v>3</v>
      </c>
      <c r="P19" s="15">
        <f t="shared" si="1"/>
        <v>20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2</v>
      </c>
      <c r="V19" s="17">
        <f t="shared" si="11"/>
        <v>2</v>
      </c>
      <c r="W19" s="17">
        <f t="shared" si="11"/>
        <v>1</v>
      </c>
      <c r="X19" s="17">
        <f t="shared" si="11"/>
        <v>0</v>
      </c>
      <c r="Y19" s="17">
        <f t="shared" si="11"/>
        <v>2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53</v>
      </c>
      <c r="AD19" s="17">
        <f t="shared" si="11"/>
        <v>0</v>
      </c>
      <c r="AE19" s="31">
        <f t="shared" si="11"/>
        <v>15</v>
      </c>
      <c r="AF19" s="31">
        <f t="shared" si="11"/>
        <v>68</v>
      </c>
    </row>
    <row r="20" spans="2:32" ht="23.1" customHeight="1" x14ac:dyDescent="0.25">
      <c r="B20" s="23" t="s">
        <v>47</v>
      </c>
      <c r="C20" s="50">
        <v>1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17</v>
      </c>
      <c r="N20" s="50">
        <v>0</v>
      </c>
      <c r="O20" s="15">
        <f t="shared" si="0"/>
        <v>3</v>
      </c>
      <c r="P20" s="15">
        <f t="shared" si="1"/>
        <v>20</v>
      </c>
      <c r="R20" s="1" t="s">
        <v>16</v>
      </c>
      <c r="S20" s="17">
        <f t="shared" ref="S20:AF20" si="12">SUM(C50:C53)</f>
        <v>0</v>
      </c>
      <c r="T20" s="17">
        <f t="shared" si="12"/>
        <v>1</v>
      </c>
      <c r="U20" s="17">
        <f t="shared" si="12"/>
        <v>1</v>
      </c>
      <c r="V20" s="17">
        <f t="shared" si="12"/>
        <v>0</v>
      </c>
      <c r="W20" s="17">
        <f t="shared" si="12"/>
        <v>1</v>
      </c>
      <c r="X20" s="17">
        <f t="shared" si="12"/>
        <v>0</v>
      </c>
      <c r="Y20" s="17">
        <f t="shared" si="12"/>
        <v>1</v>
      </c>
      <c r="Z20" s="17">
        <f t="shared" si="12"/>
        <v>4</v>
      </c>
      <c r="AA20" s="17">
        <f t="shared" si="12"/>
        <v>0</v>
      </c>
      <c r="AB20" s="17">
        <f t="shared" si="12"/>
        <v>0</v>
      </c>
      <c r="AC20" s="17">
        <f t="shared" si="12"/>
        <v>20</v>
      </c>
      <c r="AD20" s="17">
        <f t="shared" si="12"/>
        <v>0</v>
      </c>
      <c r="AE20" s="31">
        <f t="shared" si="12"/>
        <v>8</v>
      </c>
      <c r="AF20" s="31">
        <f t="shared" si="12"/>
        <v>28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0</v>
      </c>
      <c r="F21" s="50">
        <v>0</v>
      </c>
      <c r="G21" s="50">
        <v>0</v>
      </c>
      <c r="H21" s="50">
        <v>0</v>
      </c>
      <c r="I21" s="50">
        <v>0</v>
      </c>
      <c r="J21" s="50">
        <v>3</v>
      </c>
      <c r="K21" s="50">
        <v>0</v>
      </c>
      <c r="L21" s="50">
        <v>0</v>
      </c>
      <c r="M21" s="50">
        <v>9</v>
      </c>
      <c r="N21" s="50">
        <v>0</v>
      </c>
      <c r="O21" s="15">
        <f t="shared" si="0"/>
        <v>5</v>
      </c>
      <c r="P21" s="15">
        <f t="shared" si="1"/>
        <v>14</v>
      </c>
      <c r="R21" s="36" t="s">
        <v>20</v>
      </c>
      <c r="S21" s="34">
        <f t="shared" ref="S21:AF21" si="13">SUM(C54:C57)</f>
        <v>2</v>
      </c>
      <c r="T21" s="17">
        <f t="shared" si="13"/>
        <v>1</v>
      </c>
      <c r="U21" s="17">
        <f t="shared" si="13"/>
        <v>3</v>
      </c>
      <c r="V21" s="17">
        <f t="shared" si="13"/>
        <v>2</v>
      </c>
      <c r="W21" s="17">
        <f t="shared" si="13"/>
        <v>0</v>
      </c>
      <c r="X21" s="17">
        <f t="shared" si="13"/>
        <v>0</v>
      </c>
      <c r="Y21" s="17">
        <f t="shared" si="13"/>
        <v>2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98</v>
      </c>
      <c r="AD21" s="17">
        <f t="shared" si="13"/>
        <v>0</v>
      </c>
      <c r="AE21" s="31">
        <f t="shared" si="13"/>
        <v>13</v>
      </c>
      <c r="AF21" s="31">
        <f t="shared" si="13"/>
        <v>111</v>
      </c>
    </row>
    <row r="22" spans="2:32" ht="23.1" customHeight="1" x14ac:dyDescent="0.25">
      <c r="B22" s="23" t="s">
        <v>49</v>
      </c>
      <c r="C22" s="50">
        <v>2</v>
      </c>
      <c r="D22" s="50"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15</v>
      </c>
      <c r="N22" s="50">
        <v>0</v>
      </c>
      <c r="O22" s="15">
        <f t="shared" si="0"/>
        <v>3</v>
      </c>
      <c r="P22" s="15">
        <f t="shared" si="1"/>
        <v>18</v>
      </c>
      <c r="R22" s="38" t="s">
        <v>90</v>
      </c>
      <c r="S22" s="39">
        <f>MAX(S10:S12)</f>
        <v>3</v>
      </c>
      <c r="T22" s="39">
        <f t="shared" ref="T22:AF22" si="14">MAX(T10:T12)</f>
        <v>1</v>
      </c>
      <c r="U22" s="39">
        <f t="shared" si="14"/>
        <v>1</v>
      </c>
      <c r="V22" s="39">
        <f t="shared" si="14"/>
        <v>1</v>
      </c>
      <c r="W22" s="39">
        <f t="shared" si="14"/>
        <v>0</v>
      </c>
      <c r="X22" s="39">
        <f t="shared" si="14"/>
        <v>0</v>
      </c>
      <c r="Y22" s="39">
        <f t="shared" si="14"/>
        <v>2</v>
      </c>
      <c r="Z22" s="39">
        <f t="shared" si="14"/>
        <v>6</v>
      </c>
      <c r="AA22" s="39">
        <f t="shared" si="14"/>
        <v>0</v>
      </c>
      <c r="AB22" s="39">
        <f t="shared" si="14"/>
        <v>0</v>
      </c>
      <c r="AC22" s="39">
        <f t="shared" si="14"/>
        <v>63</v>
      </c>
      <c r="AD22" s="39">
        <f t="shared" si="14"/>
        <v>0</v>
      </c>
      <c r="AE22" s="40">
        <f t="shared" si="14"/>
        <v>11</v>
      </c>
      <c r="AF22" s="40">
        <f t="shared" si="14"/>
        <v>71</v>
      </c>
    </row>
    <row r="23" spans="2:32" ht="23.1" customHeight="1" x14ac:dyDescent="0.25">
      <c r="B23" s="23" t="s">
        <v>50</v>
      </c>
      <c r="C23" s="50">
        <v>0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0</v>
      </c>
      <c r="J23" s="50">
        <v>5</v>
      </c>
      <c r="K23" s="50">
        <v>0</v>
      </c>
      <c r="L23" s="50">
        <v>0</v>
      </c>
      <c r="M23" s="50">
        <v>24</v>
      </c>
      <c r="N23" s="50">
        <v>0</v>
      </c>
      <c r="O23" s="15">
        <f t="shared" si="0"/>
        <v>5</v>
      </c>
      <c r="P23" s="15">
        <f t="shared" si="1"/>
        <v>29</v>
      </c>
      <c r="R23" s="38" t="s">
        <v>91</v>
      </c>
      <c r="S23" s="39">
        <f>MAX(S13:S18)</f>
        <v>17</v>
      </c>
      <c r="T23" s="39">
        <f t="shared" ref="T23:AF23" si="15">MAX(T13:T18)</f>
        <v>6</v>
      </c>
      <c r="U23" s="39">
        <f t="shared" si="15"/>
        <v>3</v>
      </c>
      <c r="V23" s="39">
        <f t="shared" si="15"/>
        <v>6</v>
      </c>
      <c r="W23" s="39">
        <f t="shared" si="15"/>
        <v>5</v>
      </c>
      <c r="X23" s="39">
        <f t="shared" si="15"/>
        <v>0</v>
      </c>
      <c r="Y23" s="39">
        <f t="shared" si="15"/>
        <v>4</v>
      </c>
      <c r="Z23" s="39">
        <f t="shared" si="15"/>
        <v>11</v>
      </c>
      <c r="AA23" s="39">
        <f t="shared" si="15"/>
        <v>0</v>
      </c>
      <c r="AB23" s="39">
        <f t="shared" si="15"/>
        <v>0</v>
      </c>
      <c r="AC23" s="39">
        <f t="shared" si="15"/>
        <v>72</v>
      </c>
      <c r="AD23" s="39">
        <f t="shared" si="15"/>
        <v>0</v>
      </c>
      <c r="AE23" s="40">
        <f t="shared" si="15"/>
        <v>36</v>
      </c>
      <c r="AF23" s="40">
        <f t="shared" si="15"/>
        <v>108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1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13</v>
      </c>
      <c r="N24" s="50">
        <v>0</v>
      </c>
      <c r="O24" s="15">
        <f t="shared" si="0"/>
        <v>3</v>
      </c>
      <c r="P24" s="15">
        <f t="shared" si="1"/>
        <v>16</v>
      </c>
      <c r="R24" s="38" t="s">
        <v>92</v>
      </c>
      <c r="S24" s="39">
        <f>MAX(S19:S21)</f>
        <v>6</v>
      </c>
      <c r="T24" s="39">
        <f t="shared" ref="T24:AF24" si="16">MAX(T19:T21)</f>
        <v>1</v>
      </c>
      <c r="U24" s="39">
        <f t="shared" si="16"/>
        <v>3</v>
      </c>
      <c r="V24" s="39">
        <f t="shared" si="16"/>
        <v>2</v>
      </c>
      <c r="W24" s="39">
        <f t="shared" si="16"/>
        <v>1</v>
      </c>
      <c r="X24" s="39">
        <f t="shared" si="16"/>
        <v>0</v>
      </c>
      <c r="Y24" s="39">
        <f t="shared" si="16"/>
        <v>2</v>
      </c>
      <c r="Z24" s="39">
        <f t="shared" si="16"/>
        <v>4</v>
      </c>
      <c r="AA24" s="39">
        <f t="shared" si="16"/>
        <v>0</v>
      </c>
      <c r="AB24" s="39">
        <f t="shared" si="16"/>
        <v>0</v>
      </c>
      <c r="AC24" s="39">
        <f t="shared" si="16"/>
        <v>98</v>
      </c>
      <c r="AD24" s="39">
        <f t="shared" si="16"/>
        <v>0</v>
      </c>
      <c r="AE24" s="40">
        <f t="shared" si="16"/>
        <v>15</v>
      </c>
      <c r="AF24" s="40">
        <f t="shared" si="16"/>
        <v>111</v>
      </c>
    </row>
    <row r="25" spans="2:32" ht="23.1" customHeight="1" x14ac:dyDescent="0.25">
      <c r="B25" s="23" t="s">
        <v>52</v>
      </c>
      <c r="C25" s="50">
        <v>4</v>
      </c>
      <c r="D25" s="50">
        <v>0</v>
      </c>
      <c r="E25" s="50">
        <v>2</v>
      </c>
      <c r="F25" s="50">
        <v>0</v>
      </c>
      <c r="G25" s="50">
        <v>0</v>
      </c>
      <c r="H25" s="50">
        <v>0</v>
      </c>
      <c r="I25" s="50">
        <v>0</v>
      </c>
      <c r="J25" s="50">
        <v>4</v>
      </c>
      <c r="K25" s="50">
        <v>0</v>
      </c>
      <c r="L25" s="50">
        <v>0</v>
      </c>
      <c r="M25" s="50">
        <v>15</v>
      </c>
      <c r="N25" s="50">
        <v>0</v>
      </c>
      <c r="O25" s="15">
        <f t="shared" si="0"/>
        <v>10</v>
      </c>
      <c r="P25" s="15">
        <f t="shared" si="1"/>
        <v>25</v>
      </c>
      <c r="R25" s="37" t="s">
        <v>85</v>
      </c>
      <c r="S25" s="35">
        <f t="shared" ref="S25:AF25" si="17">SUM(S10:S12)</f>
        <v>7</v>
      </c>
      <c r="T25" s="16">
        <f t="shared" si="17"/>
        <v>1</v>
      </c>
      <c r="U25" s="16">
        <f t="shared" si="17"/>
        <v>2</v>
      </c>
      <c r="V25" s="16">
        <f t="shared" si="17"/>
        <v>1</v>
      </c>
      <c r="W25" s="16">
        <f t="shared" si="17"/>
        <v>0</v>
      </c>
      <c r="X25" s="16">
        <f t="shared" si="17"/>
        <v>0</v>
      </c>
      <c r="Y25" s="16">
        <f t="shared" si="17"/>
        <v>4</v>
      </c>
      <c r="Z25" s="16">
        <f t="shared" si="17"/>
        <v>10</v>
      </c>
      <c r="AA25" s="16">
        <f t="shared" si="17"/>
        <v>0</v>
      </c>
      <c r="AB25" s="16">
        <f t="shared" si="17"/>
        <v>0</v>
      </c>
      <c r="AC25" s="16">
        <f t="shared" si="17"/>
        <v>172</v>
      </c>
      <c r="AD25" s="16">
        <f t="shared" si="17"/>
        <v>0</v>
      </c>
      <c r="AE25" s="32">
        <f t="shared" si="17"/>
        <v>25</v>
      </c>
      <c r="AF25" s="32">
        <f t="shared" si="17"/>
        <v>197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1</v>
      </c>
      <c r="F26" s="50">
        <v>0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0</v>
      </c>
      <c r="M26" s="50">
        <v>17</v>
      </c>
      <c r="N26" s="50">
        <v>0</v>
      </c>
      <c r="O26" s="15">
        <f t="shared" si="0"/>
        <v>4</v>
      </c>
      <c r="P26" s="15">
        <f t="shared" si="1"/>
        <v>21</v>
      </c>
      <c r="R26" s="28" t="s">
        <v>86</v>
      </c>
      <c r="S26" s="16">
        <f t="shared" ref="S26:AF26" si="18">SUM(S13:S18)</f>
        <v>51</v>
      </c>
      <c r="T26" s="16">
        <f t="shared" si="18"/>
        <v>16</v>
      </c>
      <c r="U26" s="16">
        <f t="shared" si="18"/>
        <v>7</v>
      </c>
      <c r="V26" s="16">
        <f t="shared" si="18"/>
        <v>22</v>
      </c>
      <c r="W26" s="16">
        <f t="shared" si="18"/>
        <v>9</v>
      </c>
      <c r="X26" s="16">
        <f t="shared" si="18"/>
        <v>0</v>
      </c>
      <c r="Y26" s="16">
        <f t="shared" si="18"/>
        <v>11</v>
      </c>
      <c r="Z26" s="16">
        <f t="shared" si="18"/>
        <v>33</v>
      </c>
      <c r="AA26" s="16">
        <f t="shared" si="18"/>
        <v>0</v>
      </c>
      <c r="AB26" s="16">
        <f t="shared" si="18"/>
        <v>0</v>
      </c>
      <c r="AC26" s="16">
        <f t="shared" si="18"/>
        <v>384</v>
      </c>
      <c r="AD26" s="16">
        <f t="shared" si="18"/>
        <v>0</v>
      </c>
      <c r="AE26" s="32">
        <f t="shared" si="18"/>
        <v>149</v>
      </c>
      <c r="AF26" s="32">
        <f t="shared" si="18"/>
        <v>533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17</v>
      </c>
      <c r="N27" s="50">
        <v>0</v>
      </c>
      <c r="O27" s="15">
        <f t="shared" si="0"/>
        <v>5</v>
      </c>
      <c r="P27" s="15">
        <f t="shared" si="1"/>
        <v>22</v>
      </c>
      <c r="R27" s="29" t="s">
        <v>87</v>
      </c>
      <c r="S27" s="16">
        <f t="shared" ref="S27:AF27" si="19">SUM(S19:S21)</f>
        <v>8</v>
      </c>
      <c r="T27" s="16">
        <f t="shared" si="19"/>
        <v>2</v>
      </c>
      <c r="U27" s="16">
        <f t="shared" si="19"/>
        <v>6</v>
      </c>
      <c r="V27" s="16">
        <f t="shared" si="19"/>
        <v>4</v>
      </c>
      <c r="W27" s="16">
        <f t="shared" si="19"/>
        <v>2</v>
      </c>
      <c r="X27" s="16">
        <f t="shared" si="19"/>
        <v>0</v>
      </c>
      <c r="Y27" s="16">
        <f t="shared" si="19"/>
        <v>5</v>
      </c>
      <c r="Z27" s="16">
        <f t="shared" si="19"/>
        <v>9</v>
      </c>
      <c r="AA27" s="16">
        <f t="shared" si="19"/>
        <v>0</v>
      </c>
      <c r="AB27" s="16">
        <f t="shared" si="19"/>
        <v>0</v>
      </c>
      <c r="AC27" s="16">
        <f t="shared" si="19"/>
        <v>171</v>
      </c>
      <c r="AD27" s="16">
        <f t="shared" si="19"/>
        <v>0</v>
      </c>
      <c r="AE27" s="32">
        <f t="shared" si="19"/>
        <v>36</v>
      </c>
      <c r="AF27" s="32">
        <f t="shared" si="19"/>
        <v>207</v>
      </c>
    </row>
    <row r="28" spans="2:32" ht="23.1" customHeight="1" x14ac:dyDescent="0.25">
      <c r="B28" s="23" t="s">
        <v>55</v>
      </c>
      <c r="C28" s="50">
        <v>1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12</v>
      </c>
      <c r="N28" s="50">
        <v>0</v>
      </c>
      <c r="O28" s="15">
        <f t="shared" si="0"/>
        <v>2</v>
      </c>
      <c r="P28" s="15">
        <f t="shared" si="1"/>
        <v>14</v>
      </c>
      <c r="R28" s="5" t="s">
        <v>17</v>
      </c>
      <c r="S28" s="16">
        <f t="shared" ref="S28:AF28" si="20">SUM(S10:S21)</f>
        <v>66</v>
      </c>
      <c r="T28" s="16">
        <f t="shared" si="20"/>
        <v>19</v>
      </c>
      <c r="U28" s="16">
        <f t="shared" si="20"/>
        <v>15</v>
      </c>
      <c r="V28" s="16">
        <f t="shared" si="20"/>
        <v>27</v>
      </c>
      <c r="W28" s="16">
        <f t="shared" si="20"/>
        <v>11</v>
      </c>
      <c r="X28" s="16">
        <f t="shared" si="20"/>
        <v>0</v>
      </c>
      <c r="Y28" s="16">
        <f t="shared" si="20"/>
        <v>20</v>
      </c>
      <c r="Z28" s="16">
        <f t="shared" si="20"/>
        <v>52</v>
      </c>
      <c r="AA28" s="16">
        <f t="shared" si="20"/>
        <v>0</v>
      </c>
      <c r="AB28" s="16">
        <f t="shared" si="20"/>
        <v>0</v>
      </c>
      <c r="AC28" s="16">
        <f t="shared" si="20"/>
        <v>727</v>
      </c>
      <c r="AD28" s="16">
        <f t="shared" si="20"/>
        <v>0</v>
      </c>
      <c r="AE28" s="32">
        <f t="shared" si="20"/>
        <v>210</v>
      </c>
      <c r="AF28" s="32">
        <f t="shared" si="20"/>
        <v>937</v>
      </c>
    </row>
    <row r="29" spans="2:32" ht="23.1" customHeight="1" x14ac:dyDescent="0.25">
      <c r="B29" s="23" t="s">
        <v>56</v>
      </c>
      <c r="C29" s="50">
        <v>0</v>
      </c>
      <c r="D29" s="50">
        <v>0</v>
      </c>
      <c r="E29" s="50">
        <v>1</v>
      </c>
      <c r="F29" s="50">
        <v>1</v>
      </c>
      <c r="G29" s="50">
        <v>0</v>
      </c>
      <c r="H29" s="50">
        <v>0</v>
      </c>
      <c r="I29" s="50">
        <v>0</v>
      </c>
      <c r="J29" s="50">
        <v>4</v>
      </c>
      <c r="K29" s="50">
        <v>0</v>
      </c>
      <c r="L29" s="50">
        <v>0</v>
      </c>
      <c r="M29" s="50">
        <v>21</v>
      </c>
      <c r="N29" s="50">
        <v>0</v>
      </c>
      <c r="O29" s="15">
        <f t="shared" si="0"/>
        <v>6</v>
      </c>
      <c r="P29" s="15">
        <f t="shared" si="1"/>
        <v>27</v>
      </c>
      <c r="R29"/>
      <c r="S29" s="20"/>
      <c r="T29" s="19"/>
    </row>
    <row r="30" spans="2:32" ht="23.1" customHeight="1" x14ac:dyDescent="0.25">
      <c r="B30" s="23" t="s">
        <v>57</v>
      </c>
      <c r="C30" s="50">
        <v>0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0</v>
      </c>
      <c r="J30" s="50">
        <v>2</v>
      </c>
      <c r="K30" s="50">
        <v>0</v>
      </c>
      <c r="L30" s="50">
        <v>0</v>
      </c>
      <c r="M30" s="50">
        <v>21</v>
      </c>
      <c r="N30" s="50">
        <v>0</v>
      </c>
      <c r="O30" s="15">
        <f t="shared" si="0"/>
        <v>4</v>
      </c>
      <c r="P30" s="15">
        <f t="shared" si="1"/>
        <v>25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16</v>
      </c>
      <c r="N31" s="50">
        <v>0</v>
      </c>
      <c r="O31" s="15">
        <f t="shared" si="0"/>
        <v>1</v>
      </c>
      <c r="P31" s="15">
        <f t="shared" si="1"/>
        <v>17</v>
      </c>
    </row>
    <row r="32" spans="2:32" ht="23.1" customHeight="1" x14ac:dyDescent="0.25">
      <c r="B32" s="24" t="s">
        <v>59</v>
      </c>
      <c r="C32" s="50">
        <v>3</v>
      </c>
      <c r="D32" s="50">
        <v>5</v>
      </c>
      <c r="E32" s="50">
        <v>0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20</v>
      </c>
      <c r="N32" s="50">
        <v>0</v>
      </c>
      <c r="O32" s="15">
        <f t="shared" si="0"/>
        <v>11</v>
      </c>
      <c r="P32" s="15">
        <f t="shared" si="1"/>
        <v>31</v>
      </c>
    </row>
    <row r="33" spans="2:20" ht="23.1" customHeight="1" x14ac:dyDescent="0.25">
      <c r="B33" s="23" t="s">
        <v>60</v>
      </c>
      <c r="C33" s="50">
        <v>1</v>
      </c>
      <c r="D33" s="50">
        <v>1</v>
      </c>
      <c r="E33" s="50">
        <v>0</v>
      </c>
      <c r="F33" s="50">
        <v>2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9</v>
      </c>
      <c r="N33" s="50">
        <v>0</v>
      </c>
      <c r="O33" s="15">
        <f t="shared" si="0"/>
        <v>5</v>
      </c>
      <c r="P33" s="15">
        <f t="shared" si="1"/>
        <v>14</v>
      </c>
    </row>
    <row r="34" spans="2:20" ht="23.1" customHeight="1" x14ac:dyDescent="0.25">
      <c r="B34" s="24" t="s">
        <v>61</v>
      </c>
      <c r="C34" s="50">
        <v>5</v>
      </c>
      <c r="D34" s="50">
        <v>0</v>
      </c>
      <c r="E34" s="50">
        <v>0</v>
      </c>
      <c r="F34" s="50">
        <v>1</v>
      </c>
      <c r="G34" s="50">
        <v>4</v>
      </c>
      <c r="H34" s="50">
        <v>0</v>
      </c>
      <c r="I34" s="50">
        <v>0</v>
      </c>
      <c r="J34" s="50">
        <v>2</v>
      </c>
      <c r="K34" s="50">
        <v>0</v>
      </c>
      <c r="L34" s="50">
        <v>0</v>
      </c>
      <c r="M34" s="50">
        <v>17</v>
      </c>
      <c r="N34" s="50">
        <v>0</v>
      </c>
      <c r="O34" s="15">
        <f t="shared" si="0"/>
        <v>12</v>
      </c>
      <c r="P34" s="15">
        <f t="shared" si="1"/>
        <v>29</v>
      </c>
    </row>
    <row r="35" spans="2:20" ht="23.1" customHeight="1" x14ac:dyDescent="0.25">
      <c r="B35" s="24" t="s">
        <v>62</v>
      </c>
      <c r="C35" s="50">
        <v>0</v>
      </c>
      <c r="D35" s="50">
        <v>2</v>
      </c>
      <c r="E35" s="50">
        <v>1</v>
      </c>
      <c r="F35" s="50">
        <v>3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14</v>
      </c>
      <c r="N35" s="50">
        <v>0</v>
      </c>
      <c r="O35" s="15">
        <f t="shared" si="0"/>
        <v>7</v>
      </c>
      <c r="P35" s="15">
        <f t="shared" si="1"/>
        <v>21</v>
      </c>
    </row>
    <row r="36" spans="2:20" ht="23.1" customHeight="1" x14ac:dyDescent="0.25">
      <c r="B36" s="24" t="s">
        <v>63</v>
      </c>
      <c r="C36" s="50">
        <v>6</v>
      </c>
      <c r="D36" s="50">
        <v>0</v>
      </c>
      <c r="E36" s="50">
        <v>0</v>
      </c>
      <c r="F36" s="50">
        <v>1</v>
      </c>
      <c r="G36" s="50">
        <v>1</v>
      </c>
      <c r="H36" s="50">
        <v>0</v>
      </c>
      <c r="I36" s="50">
        <v>0</v>
      </c>
      <c r="J36" s="50">
        <v>3</v>
      </c>
      <c r="K36" s="50">
        <v>0</v>
      </c>
      <c r="L36" s="50">
        <v>0</v>
      </c>
      <c r="M36" s="50">
        <v>16</v>
      </c>
      <c r="N36" s="50">
        <v>0</v>
      </c>
      <c r="O36" s="15">
        <f t="shared" si="0"/>
        <v>11</v>
      </c>
      <c r="P36" s="15">
        <f t="shared" si="1"/>
        <v>27</v>
      </c>
    </row>
    <row r="37" spans="2:20" ht="23.1" customHeight="1" x14ac:dyDescent="0.25">
      <c r="B37" s="23" t="s">
        <v>64</v>
      </c>
      <c r="C37" s="50">
        <v>1</v>
      </c>
      <c r="D37" s="50">
        <v>3</v>
      </c>
      <c r="E37" s="50">
        <v>0</v>
      </c>
      <c r="F37" s="50">
        <v>0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25</v>
      </c>
      <c r="N37" s="50">
        <v>0</v>
      </c>
      <c r="O37" s="15">
        <f t="shared" si="0"/>
        <v>6</v>
      </c>
      <c r="P37" s="15">
        <f t="shared" si="1"/>
        <v>31</v>
      </c>
    </row>
    <row r="38" spans="2:20" ht="23.1" customHeight="1" x14ac:dyDescent="0.25">
      <c r="B38" s="24" t="s">
        <v>65</v>
      </c>
      <c r="C38" s="50">
        <v>5</v>
      </c>
      <c r="D38" s="50">
        <v>2</v>
      </c>
      <c r="E38" s="50">
        <v>0</v>
      </c>
      <c r="F38" s="50">
        <v>0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11</v>
      </c>
      <c r="N38" s="50">
        <v>0</v>
      </c>
      <c r="O38" s="15">
        <f t="shared" si="0"/>
        <v>7</v>
      </c>
      <c r="P38" s="15">
        <f t="shared" si="1"/>
        <v>18</v>
      </c>
    </row>
    <row r="39" spans="2:20" ht="23.1" customHeight="1" x14ac:dyDescent="0.25">
      <c r="B39" s="24" t="s">
        <v>66</v>
      </c>
      <c r="C39" s="50">
        <v>10</v>
      </c>
      <c r="D39" s="50">
        <v>0</v>
      </c>
      <c r="E39" s="50">
        <v>1</v>
      </c>
      <c r="F39" s="50">
        <v>2</v>
      </c>
      <c r="G39" s="50">
        <v>3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15</v>
      </c>
      <c r="N39" s="50">
        <v>0</v>
      </c>
      <c r="O39" s="15">
        <f t="shared" si="0"/>
        <v>18</v>
      </c>
      <c r="P39" s="15">
        <f t="shared" si="1"/>
        <v>33</v>
      </c>
    </row>
    <row r="40" spans="2:20" ht="23.1" customHeight="1" x14ac:dyDescent="0.25">
      <c r="B40" s="24" t="s">
        <v>67</v>
      </c>
      <c r="C40" s="50">
        <v>2</v>
      </c>
      <c r="D40" s="50">
        <v>0</v>
      </c>
      <c r="E40" s="50">
        <v>0</v>
      </c>
      <c r="F40" s="50">
        <v>3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14</v>
      </c>
      <c r="N40" s="50">
        <v>0</v>
      </c>
      <c r="O40" s="15">
        <f t="shared" si="0"/>
        <v>6</v>
      </c>
      <c r="P40" s="15">
        <f t="shared" si="1"/>
        <v>20</v>
      </c>
    </row>
    <row r="41" spans="2:20" ht="23.1" customHeight="1" x14ac:dyDescent="0.25">
      <c r="B41" s="23" t="s">
        <v>68</v>
      </c>
      <c r="C41" s="50">
        <v>0</v>
      </c>
      <c r="D41" s="50">
        <v>1</v>
      </c>
      <c r="E41" s="50">
        <v>0</v>
      </c>
      <c r="F41" s="50">
        <v>1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16</v>
      </c>
      <c r="N41" s="50">
        <v>0</v>
      </c>
      <c r="O41" s="15">
        <f t="shared" si="0"/>
        <v>4</v>
      </c>
      <c r="P41" s="15">
        <f t="shared" si="1"/>
        <v>20</v>
      </c>
    </row>
    <row r="42" spans="2:20" ht="23.1" customHeight="1" x14ac:dyDescent="0.25">
      <c r="B42" s="24" t="s">
        <v>69</v>
      </c>
      <c r="C42" s="50">
        <v>3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6</v>
      </c>
      <c r="P42" s="15">
        <f t="shared" si="1"/>
        <v>14</v>
      </c>
    </row>
    <row r="43" spans="2:20" ht="23.1" customHeight="1" x14ac:dyDescent="0.25">
      <c r="B43" s="23" t="s">
        <v>70</v>
      </c>
      <c r="C43" s="50">
        <v>0</v>
      </c>
      <c r="D43" s="50">
        <v>0</v>
      </c>
      <c r="E43" s="50">
        <v>0</v>
      </c>
      <c r="F43" s="50">
        <v>2</v>
      </c>
      <c r="G43" s="50">
        <v>0</v>
      </c>
      <c r="H43" s="50">
        <v>0</v>
      </c>
      <c r="I43" s="50">
        <v>0</v>
      </c>
      <c r="J43" s="50">
        <v>2</v>
      </c>
      <c r="K43" s="50">
        <v>0</v>
      </c>
      <c r="L43" s="50">
        <v>0</v>
      </c>
      <c r="M43" s="50">
        <v>15</v>
      </c>
      <c r="N43" s="50">
        <v>0</v>
      </c>
      <c r="O43" s="15">
        <f t="shared" si="0"/>
        <v>4</v>
      </c>
      <c r="P43" s="15">
        <f t="shared" si="1"/>
        <v>19</v>
      </c>
    </row>
    <row r="44" spans="2:20" ht="23.1" customHeight="1" x14ac:dyDescent="0.25">
      <c r="B44" s="25" t="s">
        <v>71</v>
      </c>
      <c r="C44" s="50">
        <v>2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1</v>
      </c>
      <c r="J44" s="50">
        <v>1</v>
      </c>
      <c r="K44" s="50">
        <v>0</v>
      </c>
      <c r="L44" s="50">
        <v>0</v>
      </c>
      <c r="M44" s="50">
        <v>17</v>
      </c>
      <c r="N44" s="50">
        <v>0</v>
      </c>
      <c r="O44" s="15">
        <f t="shared" si="0"/>
        <v>4</v>
      </c>
      <c r="P44" s="15">
        <f t="shared" si="1"/>
        <v>21</v>
      </c>
    </row>
    <row r="45" spans="2:20" ht="23.1" customHeight="1" x14ac:dyDescent="0.25">
      <c r="B45" s="23" t="s">
        <v>72</v>
      </c>
      <c r="C45" s="50">
        <v>2</v>
      </c>
      <c r="D45" s="50">
        <v>1</v>
      </c>
      <c r="E45" s="50">
        <v>0</v>
      </c>
      <c r="F45" s="50">
        <v>1</v>
      </c>
      <c r="G45" s="50">
        <v>1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16</v>
      </c>
      <c r="N45" s="50">
        <v>0</v>
      </c>
      <c r="O45" s="15">
        <f t="shared" si="0"/>
        <v>5</v>
      </c>
      <c r="P45" s="15">
        <f t="shared" si="1"/>
        <v>21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0</v>
      </c>
      <c r="F46" s="50">
        <v>0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13</v>
      </c>
      <c r="N46" s="50">
        <v>0</v>
      </c>
      <c r="O46" s="15">
        <f t="shared" si="0"/>
        <v>4</v>
      </c>
      <c r="P46" s="15">
        <f t="shared" si="1"/>
        <v>17</v>
      </c>
      <c r="R46" s="8"/>
      <c r="T46"/>
    </row>
    <row r="47" spans="2:20" ht="23.1" customHeight="1" x14ac:dyDescent="0.25">
      <c r="B47" s="24" t="s">
        <v>74</v>
      </c>
      <c r="C47" s="50">
        <v>0</v>
      </c>
      <c r="D47" s="50">
        <v>0</v>
      </c>
      <c r="E47" s="50">
        <v>0</v>
      </c>
      <c r="F47" s="50">
        <v>0</v>
      </c>
      <c r="G47" s="50">
        <v>0</v>
      </c>
      <c r="H47" s="50">
        <v>0</v>
      </c>
      <c r="I47" s="50">
        <v>0</v>
      </c>
      <c r="J47" s="50">
        <v>1</v>
      </c>
      <c r="K47" s="50">
        <v>0</v>
      </c>
      <c r="L47" s="50">
        <v>0</v>
      </c>
      <c r="M47" s="50">
        <v>10</v>
      </c>
      <c r="N47" s="50">
        <v>0</v>
      </c>
      <c r="O47" s="15">
        <f t="shared" si="0"/>
        <v>1</v>
      </c>
      <c r="P47" s="15">
        <f t="shared" si="1"/>
        <v>11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1</v>
      </c>
      <c r="F48" s="50">
        <v>2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20</v>
      </c>
      <c r="N48" s="50">
        <v>0</v>
      </c>
      <c r="O48" s="15">
        <f t="shared" si="0"/>
        <v>5</v>
      </c>
      <c r="P48" s="15">
        <f t="shared" si="1"/>
        <v>25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1</v>
      </c>
      <c r="F49" s="50">
        <v>0</v>
      </c>
      <c r="G49" s="50">
        <v>1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10</v>
      </c>
      <c r="N49" s="50">
        <v>0</v>
      </c>
      <c r="O49" s="15">
        <f t="shared" si="0"/>
        <v>5</v>
      </c>
      <c r="P49" s="15">
        <f t="shared" si="1"/>
        <v>15</v>
      </c>
      <c r="R49" s="8"/>
      <c r="T49"/>
    </row>
    <row r="50" spans="2:20" ht="23.1" customHeight="1" x14ac:dyDescent="0.25">
      <c r="B50" s="24" t="s">
        <v>77</v>
      </c>
      <c r="C50" s="50">
        <v>0</v>
      </c>
      <c r="D50" s="50">
        <v>1</v>
      </c>
      <c r="E50" s="50">
        <v>0</v>
      </c>
      <c r="F50" s="50">
        <v>0</v>
      </c>
      <c r="G50" s="50">
        <v>1</v>
      </c>
      <c r="H50" s="50">
        <v>0</v>
      </c>
      <c r="I50" s="50">
        <v>1</v>
      </c>
      <c r="J50" s="50">
        <v>2</v>
      </c>
      <c r="K50" s="50">
        <v>0</v>
      </c>
      <c r="L50" s="50">
        <v>0</v>
      </c>
      <c r="M50" s="50">
        <v>0</v>
      </c>
      <c r="N50" s="50">
        <v>0</v>
      </c>
      <c r="O50" s="15">
        <f t="shared" si="0"/>
        <v>5</v>
      </c>
      <c r="P50" s="15">
        <f t="shared" si="1"/>
        <v>5</v>
      </c>
      <c r="R50" s="8"/>
      <c r="T50"/>
    </row>
    <row r="51" spans="2:20" ht="23.1" customHeight="1" x14ac:dyDescent="0.25">
      <c r="B51" s="24" t="s">
        <v>78</v>
      </c>
      <c r="C51" s="50">
        <v>0</v>
      </c>
      <c r="D51" s="50">
        <v>0</v>
      </c>
      <c r="E51" s="50">
        <v>0</v>
      </c>
      <c r="F51" s="50">
        <v>0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</v>
      </c>
      <c r="N51" s="50">
        <v>0</v>
      </c>
      <c r="O51" s="15">
        <f t="shared" si="0"/>
        <v>0</v>
      </c>
      <c r="P51" s="15">
        <f t="shared" si="1"/>
        <v>2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0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5</v>
      </c>
      <c r="N52" s="50">
        <v>0</v>
      </c>
      <c r="O52" s="15">
        <f t="shared" si="0"/>
        <v>2</v>
      </c>
      <c r="P52" s="15">
        <f t="shared" si="1"/>
        <v>7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1</v>
      </c>
      <c r="K53" s="50">
        <v>0</v>
      </c>
      <c r="L53" s="50">
        <v>0</v>
      </c>
      <c r="M53" s="50">
        <v>13</v>
      </c>
      <c r="N53" s="50">
        <v>0</v>
      </c>
      <c r="O53" s="15">
        <f t="shared" si="0"/>
        <v>1</v>
      </c>
      <c r="P53" s="15">
        <f t="shared" si="1"/>
        <v>14</v>
      </c>
      <c r="R53" s="8"/>
      <c r="T53"/>
    </row>
    <row r="54" spans="2:20" ht="23.1" customHeight="1" x14ac:dyDescent="0.25">
      <c r="B54" s="23" t="s">
        <v>81</v>
      </c>
      <c r="C54" s="50">
        <v>0</v>
      </c>
      <c r="D54" s="50">
        <v>0</v>
      </c>
      <c r="E54" s="50">
        <v>1</v>
      </c>
      <c r="F54" s="50">
        <v>1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17</v>
      </c>
      <c r="N54" s="50">
        <v>0</v>
      </c>
      <c r="O54" s="15">
        <f t="shared" si="0"/>
        <v>3</v>
      </c>
      <c r="P54" s="15">
        <f t="shared" si="1"/>
        <v>20</v>
      </c>
      <c r="R54" s="8"/>
      <c r="T54"/>
    </row>
    <row r="55" spans="2:20" ht="23.1" customHeight="1" x14ac:dyDescent="0.25">
      <c r="B55" s="23" t="s">
        <v>82</v>
      </c>
      <c r="C55" s="50">
        <v>1</v>
      </c>
      <c r="D55" s="50">
        <v>0</v>
      </c>
      <c r="E55" s="50">
        <v>0</v>
      </c>
      <c r="F55" s="50">
        <v>0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30</v>
      </c>
      <c r="N55" s="50">
        <v>0</v>
      </c>
      <c r="O55" s="15">
        <f t="shared" si="0"/>
        <v>3</v>
      </c>
      <c r="P55" s="15">
        <f t="shared" si="1"/>
        <v>33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1</v>
      </c>
      <c r="F56" s="50">
        <v>1</v>
      </c>
      <c r="G56" s="50">
        <v>0</v>
      </c>
      <c r="H56" s="50">
        <v>0</v>
      </c>
      <c r="I56" s="50">
        <v>0</v>
      </c>
      <c r="J56" s="50">
        <v>1</v>
      </c>
      <c r="K56" s="50">
        <v>0</v>
      </c>
      <c r="L56" s="50">
        <v>0</v>
      </c>
      <c r="M56" s="50">
        <v>27</v>
      </c>
      <c r="N56" s="50">
        <v>0</v>
      </c>
      <c r="O56" s="15">
        <f t="shared" si="0"/>
        <v>4</v>
      </c>
      <c r="P56" s="15">
        <f t="shared" si="1"/>
        <v>31</v>
      </c>
      <c r="R56" s="8"/>
      <c r="T56"/>
    </row>
    <row r="57" spans="2:20" ht="23.1" customHeight="1" x14ac:dyDescent="0.25">
      <c r="B57" s="23" t="s">
        <v>84</v>
      </c>
      <c r="C57" s="50">
        <v>0</v>
      </c>
      <c r="D57" s="50">
        <v>1</v>
      </c>
      <c r="E57" s="50">
        <v>1</v>
      </c>
      <c r="F57" s="50">
        <v>0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24</v>
      </c>
      <c r="N57" s="50">
        <v>0</v>
      </c>
      <c r="O57" s="15">
        <f t="shared" si="0"/>
        <v>3</v>
      </c>
      <c r="P57" s="15">
        <f t="shared" si="1"/>
        <v>27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66</v>
      </c>
      <c r="D58" s="16">
        <f t="shared" si="21"/>
        <v>19</v>
      </c>
      <c r="E58" s="16">
        <f t="shared" si="21"/>
        <v>15</v>
      </c>
      <c r="F58" s="16">
        <f t="shared" si="21"/>
        <v>27</v>
      </c>
      <c r="G58" s="16">
        <f t="shared" si="21"/>
        <v>11</v>
      </c>
      <c r="H58" s="16">
        <f t="shared" si="21"/>
        <v>0</v>
      </c>
      <c r="I58" s="16">
        <f t="shared" si="21"/>
        <v>20</v>
      </c>
      <c r="J58" s="16">
        <f t="shared" si="21"/>
        <v>52</v>
      </c>
      <c r="K58" s="16">
        <f t="shared" si="21"/>
        <v>0</v>
      </c>
      <c r="L58" s="16">
        <f t="shared" si="21"/>
        <v>0</v>
      </c>
      <c r="M58" s="16">
        <f t="shared" si="21"/>
        <v>727</v>
      </c>
      <c r="N58" s="16">
        <f t="shared" si="21"/>
        <v>0</v>
      </c>
      <c r="O58" s="16">
        <f t="shared" si="21"/>
        <v>210</v>
      </c>
      <c r="P58" s="16">
        <f t="shared" si="21"/>
        <v>937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7.0437566702241189E-2</v>
      </c>
      <c r="D59" s="43">
        <f t="shared" si="22"/>
        <v>2.0277481323372464E-2</v>
      </c>
      <c r="E59" s="43">
        <f t="shared" si="22"/>
        <v>1.6008537886872998E-2</v>
      </c>
      <c r="F59" s="43">
        <f t="shared" si="22"/>
        <v>2.8815368196371399E-2</v>
      </c>
      <c r="G59" s="43">
        <f t="shared" si="22"/>
        <v>1.1739594450373533E-2</v>
      </c>
      <c r="H59" s="43">
        <f t="shared" si="22"/>
        <v>0</v>
      </c>
      <c r="I59" s="43">
        <f t="shared" si="22"/>
        <v>2.1344717182497332E-2</v>
      </c>
      <c r="J59" s="43">
        <f t="shared" si="22"/>
        <v>5.5496264674493062E-2</v>
      </c>
      <c r="K59" s="43">
        <f t="shared" si="22"/>
        <v>0</v>
      </c>
      <c r="L59" s="43">
        <f t="shared" si="22"/>
        <v>0</v>
      </c>
      <c r="M59" s="43">
        <f t="shared" si="22"/>
        <v>0.77588046958377799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0.31428571428571428</v>
      </c>
      <c r="D60" s="44">
        <f t="shared" ref="D60:N60" si="23">D58/$O$58</f>
        <v>9.0476190476190474E-2</v>
      </c>
      <c r="E60" s="44">
        <f t="shared" si="23"/>
        <v>7.1428571428571425E-2</v>
      </c>
      <c r="F60" s="44">
        <f t="shared" si="23"/>
        <v>0.12857142857142856</v>
      </c>
      <c r="G60" s="44">
        <f t="shared" si="23"/>
        <v>5.2380952380952382E-2</v>
      </c>
      <c r="H60" s="44">
        <f t="shared" si="23"/>
        <v>0</v>
      </c>
      <c r="I60" s="44">
        <f t="shared" si="23"/>
        <v>9.5238095238095233E-2</v>
      </c>
      <c r="J60" s="44">
        <f t="shared" si="23"/>
        <v>0.24761904761904763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N42" zoomScale="60" workbookViewId="0">
      <selection activeCell="AD54" sqref="AD5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'17.10 ZIROBWE-WOBULENZI'!C3:G3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163</v>
      </c>
      <c r="E5" s="67"/>
      <c r="F5" s="41" t="s">
        <v>1</v>
      </c>
      <c r="G5" s="64" t="str">
        <f>'17.10 WOBULENZI-ZIROBWE'!G5:H5</f>
        <v>STATION 88</v>
      </c>
      <c r="H5" s="65"/>
      <c r="I5" s="14"/>
      <c r="J5" s="2" t="s">
        <v>5</v>
      </c>
      <c r="K5" s="64" t="s">
        <v>178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'17.10 WOBULENZI-ZIROBWE'!D6:E6</f>
        <v>WOBULENZI</v>
      </c>
      <c r="E6" s="65"/>
      <c r="F6" s="2" t="s">
        <v>2</v>
      </c>
      <c r="G6" s="64" t="str">
        <f>'17.10 WOBULENZI-ZIROBWE'!G6:H6</f>
        <v>ZIROBWE</v>
      </c>
      <c r="H6" s="65"/>
      <c r="J6" s="2" t="s">
        <v>21</v>
      </c>
      <c r="K6" s="64" t="str">
        <f>'17.10 WOBULENZI-ZIROBWE'!K6:L6</f>
        <v>BELLA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WOBULENZI-ZIROBWE'!C10,'18.10 WOBULENZI-ZIROBWE'!C10,'19.10 WOBULENZI-ZIROBWE-24h'!C10,'20.10 WOBULENZI-ZIROBWE'!C10,'21.10 WOBULENZI-ZIROBWE-24h'!C10,'22.10 WOBULENZI-ZIROBWE'!C10,'23.10 WOBULENZI-ZIROBWE'!C10)</f>
        <v>0.14285714285714285</v>
      </c>
      <c r="D10" s="49">
        <f>AVERAGE('17.10 WOBULENZI-ZIROBWE'!D10,'18.10 WOBULENZI-ZIROBWE'!D10,'19.10 WOBULENZI-ZIROBWE-24h'!D10,'20.10 WOBULENZI-ZIROBWE'!D10,'21.10 WOBULENZI-ZIROBWE-24h'!D10,'22.10 WOBULENZI-ZIROBWE'!D10,'23.10 WOBULENZI-ZIROBWE'!D10)</f>
        <v>0.14285714285714285</v>
      </c>
      <c r="E10" s="49">
        <f>AVERAGE('17.10 WOBULENZI-ZIROBWE'!E10,'18.10 WOBULENZI-ZIROBWE'!E10,'19.10 WOBULENZI-ZIROBWE-24h'!E10,'20.10 WOBULENZI-ZIROBWE'!E10,'21.10 WOBULENZI-ZIROBWE-24h'!E10,'22.10 WOBULENZI-ZIROBWE'!E10,'23.10 WOBULENZI-ZIROBWE'!E10)</f>
        <v>0</v>
      </c>
      <c r="F10" s="49">
        <f>AVERAGE('17.10 WOBULENZI-ZIROBWE'!F10,'18.10 WOBULENZI-ZIROBWE'!F10,'19.10 WOBULENZI-ZIROBWE-24h'!F10,'20.10 WOBULENZI-ZIROBWE'!F10,'21.10 WOBULENZI-ZIROBWE-24h'!F10,'22.10 WOBULENZI-ZIROBWE'!F10,'23.10 WOBULENZI-ZIROBWE'!F10)</f>
        <v>0.2857142857142857</v>
      </c>
      <c r="G10" s="49">
        <f>AVERAGE('17.10 WOBULENZI-ZIROBWE'!G10,'18.10 WOBULENZI-ZIROBWE'!G10,'19.10 WOBULENZI-ZIROBWE-24h'!G10,'20.10 WOBULENZI-ZIROBWE'!G10,'21.10 WOBULENZI-ZIROBWE-24h'!G10,'22.10 WOBULENZI-ZIROBWE'!G10,'23.10 WOBULENZI-ZIROBWE'!G10)</f>
        <v>0</v>
      </c>
      <c r="H10" s="49">
        <f>AVERAGE('17.10 WOBULENZI-ZIROBWE'!H10,'18.10 WOBULENZI-ZIROBWE'!H10,'19.10 WOBULENZI-ZIROBWE-24h'!H10,'20.10 WOBULENZI-ZIROBWE'!H10,'21.10 WOBULENZI-ZIROBWE-24h'!H10,'22.10 WOBULENZI-ZIROBWE'!H10,'23.10 WOBULENZI-ZIROBWE'!H10)</f>
        <v>0</v>
      </c>
      <c r="I10" s="49">
        <f>AVERAGE('17.10 WOBULENZI-ZIROBWE'!I10,'18.10 WOBULENZI-ZIROBWE'!I10,'19.10 WOBULENZI-ZIROBWE-24h'!I10,'20.10 WOBULENZI-ZIROBWE'!I10,'21.10 WOBULENZI-ZIROBWE-24h'!I10,'22.10 WOBULENZI-ZIROBWE'!I10,'23.10 WOBULENZI-ZIROBWE'!I10)</f>
        <v>0.14285714285714285</v>
      </c>
      <c r="J10" s="49">
        <f>AVERAGE('17.10 WOBULENZI-ZIROBWE'!J10,'18.10 WOBULENZI-ZIROBWE'!J10,'19.10 WOBULENZI-ZIROBWE-24h'!J10,'20.10 WOBULENZI-ZIROBWE'!J10,'21.10 WOBULENZI-ZIROBWE-24h'!J10,'22.10 WOBULENZI-ZIROBWE'!J10,'23.10 WOBULENZI-ZIROBWE'!J10)</f>
        <v>0</v>
      </c>
      <c r="K10" s="49">
        <f>AVERAGE('17.10 WOBULENZI-ZIROBWE'!K10,'18.10 WOBULENZI-ZIROBWE'!K10,'19.10 WOBULENZI-ZIROBWE-24h'!K10,'20.10 WOBULENZI-ZIROBWE'!K10,'21.10 WOBULENZI-ZIROBWE-24h'!K10,'22.10 WOBULENZI-ZIROBWE'!K10,'23.10 WOBULENZI-ZIROBWE'!K10)</f>
        <v>0</v>
      </c>
      <c r="L10" s="49">
        <f>AVERAGE('17.10 WOBULENZI-ZIROBWE'!L10,'18.10 WOBULENZI-ZIROBWE'!L10,'19.10 WOBULENZI-ZIROBWE-24h'!L10,'20.10 WOBULENZI-ZIROBWE'!L10,'21.10 WOBULENZI-ZIROBWE-24h'!L10,'22.10 WOBULENZI-ZIROBWE'!L10,'23.10 WOBULENZI-ZIROBWE'!L10)</f>
        <v>0</v>
      </c>
      <c r="M10" s="49">
        <f>AVERAGE('17.10 WOBULENZI-ZIROBWE'!M10,'18.10 WOBULENZI-ZIROBWE'!M10,'19.10 WOBULENZI-ZIROBWE-24h'!M10,'20.10 WOBULENZI-ZIROBWE'!M10,'21.10 WOBULENZI-ZIROBWE-24h'!M10,'22.10 WOBULENZI-ZIROBWE'!M10,'23.10 WOBULENZI-ZIROBWE'!M10)</f>
        <v>14.714285714285714</v>
      </c>
      <c r="N10" s="49">
        <f>AVERAGE('17.10 WOBULENZI-ZIROBWE'!N10,'18.10 WOBULENZI-ZIROBWE'!N10,'19.10 WOBULENZI-ZIROBWE-24h'!N10,'20.10 WOBULENZI-ZIROBWE'!N10,'21.10 WOBULENZI-ZIROBWE-24h'!N10,'22.10 WOBULENZI-ZIROBWE'!N10,'23.10 WOBULENZI-ZIROBWE'!N10)</f>
        <v>0</v>
      </c>
      <c r="O10" s="15">
        <f t="shared" ref="O10:O73" si="0">SUM(C10:L10,N10)</f>
        <v>0.71428571428571419</v>
      </c>
      <c r="P10" s="15">
        <f t="shared" ref="P10:P73" si="1">SUM(C10:N10)</f>
        <v>15.428571428571427</v>
      </c>
      <c r="R10" s="1" t="s">
        <v>6</v>
      </c>
      <c r="S10" s="17">
        <f t="shared" ref="S10:AF10" si="2">SUM(C10:C13)</f>
        <v>1.1428571428571428</v>
      </c>
      <c r="T10" s="17">
        <f t="shared" si="2"/>
        <v>0.14285714285714285</v>
      </c>
      <c r="U10" s="17">
        <f t="shared" si="2"/>
        <v>0.14285714285714285</v>
      </c>
      <c r="V10" s="17">
        <f t="shared" si="2"/>
        <v>1</v>
      </c>
      <c r="W10" s="17">
        <f t="shared" si="2"/>
        <v>0</v>
      </c>
      <c r="X10" s="17">
        <f t="shared" si="2"/>
        <v>0</v>
      </c>
      <c r="Y10" s="17">
        <f t="shared" si="2"/>
        <v>0.42857142857142855</v>
      </c>
      <c r="Z10" s="17">
        <f t="shared" si="2"/>
        <v>0.5714285714285714</v>
      </c>
      <c r="AA10" s="17">
        <f t="shared" si="2"/>
        <v>0</v>
      </c>
      <c r="AB10" s="17">
        <f t="shared" si="2"/>
        <v>0</v>
      </c>
      <c r="AC10" s="17">
        <f t="shared" si="2"/>
        <v>54.285714285714285</v>
      </c>
      <c r="AD10" s="17">
        <f t="shared" si="2"/>
        <v>0</v>
      </c>
      <c r="AE10" s="31">
        <f t="shared" si="2"/>
        <v>3.4285714285714279</v>
      </c>
      <c r="AF10" s="31">
        <f t="shared" si="2"/>
        <v>57.714285714285715</v>
      </c>
    </row>
    <row r="11" spans="2:32" s="6" customFormat="1" ht="23.1" customHeight="1" x14ac:dyDescent="0.25">
      <c r="B11" s="23" t="s">
        <v>38</v>
      </c>
      <c r="C11" s="49">
        <f>AVERAGE('17.10 WOBULENZI-ZIROBWE'!C11,'18.10 WOBULENZI-ZIROBWE'!C11,'19.10 WOBULENZI-ZIROBWE-24h'!C11,'20.10 WOBULENZI-ZIROBWE'!C11,'21.10 WOBULENZI-ZIROBWE-24h'!C11,'22.10 WOBULENZI-ZIROBWE'!C11,'23.10 WOBULENZI-ZIROBWE'!C11)</f>
        <v>0.5714285714285714</v>
      </c>
      <c r="D11" s="49">
        <f>AVERAGE('17.10 WOBULENZI-ZIROBWE'!D11,'18.10 WOBULENZI-ZIROBWE'!D11,'19.10 WOBULENZI-ZIROBWE-24h'!D11,'20.10 WOBULENZI-ZIROBWE'!D11,'21.10 WOBULENZI-ZIROBWE-24h'!D11,'22.10 WOBULENZI-ZIROBWE'!D11,'23.10 WOBULENZI-ZIROBWE'!D11)</f>
        <v>0</v>
      </c>
      <c r="E11" s="49">
        <f>AVERAGE('17.10 WOBULENZI-ZIROBWE'!E11,'18.10 WOBULENZI-ZIROBWE'!E11,'19.10 WOBULENZI-ZIROBWE-24h'!E11,'20.10 WOBULENZI-ZIROBWE'!E11,'21.10 WOBULENZI-ZIROBWE-24h'!E11,'22.10 WOBULENZI-ZIROBWE'!E11,'23.10 WOBULENZI-ZIROBWE'!E11)</f>
        <v>0.14285714285714285</v>
      </c>
      <c r="F11" s="49">
        <f>AVERAGE('17.10 WOBULENZI-ZIROBWE'!F11,'18.10 WOBULENZI-ZIROBWE'!F11,'19.10 WOBULENZI-ZIROBWE-24h'!F11,'20.10 WOBULENZI-ZIROBWE'!F11,'21.10 WOBULENZI-ZIROBWE-24h'!F11,'22.10 WOBULENZI-ZIROBWE'!F11,'23.10 WOBULENZI-ZIROBWE'!F11)</f>
        <v>0.2857142857142857</v>
      </c>
      <c r="G11" s="49">
        <f>AVERAGE('17.10 WOBULENZI-ZIROBWE'!G11,'18.10 WOBULENZI-ZIROBWE'!G11,'19.10 WOBULENZI-ZIROBWE-24h'!G11,'20.10 WOBULENZI-ZIROBWE'!G11,'21.10 WOBULENZI-ZIROBWE-24h'!G11,'22.10 WOBULENZI-ZIROBWE'!G11,'23.10 WOBULENZI-ZIROBWE'!G11)</f>
        <v>0</v>
      </c>
      <c r="H11" s="49">
        <f>AVERAGE('17.10 WOBULENZI-ZIROBWE'!H11,'18.10 WOBULENZI-ZIROBWE'!H11,'19.10 WOBULENZI-ZIROBWE-24h'!H11,'20.10 WOBULENZI-ZIROBWE'!H11,'21.10 WOBULENZI-ZIROBWE-24h'!H11,'22.10 WOBULENZI-ZIROBWE'!H11,'23.10 WOBULENZI-ZIROBWE'!H11)</f>
        <v>0</v>
      </c>
      <c r="I11" s="49">
        <f>AVERAGE('17.10 WOBULENZI-ZIROBWE'!I11,'18.10 WOBULENZI-ZIROBWE'!I11,'19.10 WOBULENZI-ZIROBWE-24h'!I11,'20.10 WOBULENZI-ZIROBWE'!I11,'21.10 WOBULENZI-ZIROBWE-24h'!I11,'22.10 WOBULENZI-ZIROBWE'!I11,'23.10 WOBULENZI-ZIROBWE'!I11)</f>
        <v>0</v>
      </c>
      <c r="J11" s="49">
        <f>AVERAGE('17.10 WOBULENZI-ZIROBWE'!J11,'18.10 WOBULENZI-ZIROBWE'!J11,'19.10 WOBULENZI-ZIROBWE-24h'!J11,'20.10 WOBULENZI-ZIROBWE'!J11,'21.10 WOBULENZI-ZIROBWE-24h'!J11,'22.10 WOBULENZI-ZIROBWE'!J11,'23.10 WOBULENZI-ZIROBWE'!J11)</f>
        <v>0.14285714285714285</v>
      </c>
      <c r="K11" s="49">
        <f>AVERAGE('17.10 WOBULENZI-ZIROBWE'!K11,'18.10 WOBULENZI-ZIROBWE'!K11,'19.10 WOBULENZI-ZIROBWE-24h'!K11,'20.10 WOBULENZI-ZIROBWE'!K11,'21.10 WOBULENZI-ZIROBWE-24h'!K11,'22.10 WOBULENZI-ZIROBWE'!K11,'23.10 WOBULENZI-ZIROBWE'!K11)</f>
        <v>0</v>
      </c>
      <c r="L11" s="49">
        <f>AVERAGE('17.10 WOBULENZI-ZIROBWE'!L11,'18.10 WOBULENZI-ZIROBWE'!L11,'19.10 WOBULENZI-ZIROBWE-24h'!L11,'20.10 WOBULENZI-ZIROBWE'!L11,'21.10 WOBULENZI-ZIROBWE-24h'!L11,'22.10 WOBULENZI-ZIROBWE'!L11,'23.10 WOBULENZI-ZIROBWE'!L11)</f>
        <v>0</v>
      </c>
      <c r="M11" s="49">
        <f>AVERAGE('17.10 WOBULENZI-ZIROBWE'!M11,'18.10 WOBULENZI-ZIROBWE'!M11,'19.10 WOBULENZI-ZIROBWE-24h'!M11,'20.10 WOBULENZI-ZIROBWE'!M11,'21.10 WOBULENZI-ZIROBWE-24h'!M11,'22.10 WOBULENZI-ZIROBWE'!M11,'23.10 WOBULENZI-ZIROBWE'!M11)</f>
        <v>12</v>
      </c>
      <c r="N11" s="49">
        <f>AVERAGE('17.10 WOBULENZI-ZIROBWE'!N11,'18.10 WOBULENZI-ZIROBWE'!N11,'19.10 WOBULENZI-ZIROBWE-24h'!N11,'20.10 WOBULENZI-ZIROBWE'!N11,'21.10 WOBULENZI-ZIROBWE-24h'!N11,'22.10 WOBULENZI-ZIROBWE'!N11,'23.10 WOBULENZI-ZIROBWE'!N11)</f>
        <v>0</v>
      </c>
      <c r="O11" s="15">
        <f t="shared" si="0"/>
        <v>1.1428571428571428</v>
      </c>
      <c r="P11" s="15">
        <f t="shared" si="1"/>
        <v>13.142857142857142</v>
      </c>
      <c r="R11" s="1" t="s">
        <v>7</v>
      </c>
      <c r="S11" s="17">
        <f t="shared" ref="S11:AF11" si="3">SUM(C14:C17)</f>
        <v>2.5714285714285712</v>
      </c>
      <c r="T11" s="17">
        <f t="shared" si="3"/>
        <v>1</v>
      </c>
      <c r="U11" s="17">
        <f t="shared" si="3"/>
        <v>0.42857142857142855</v>
      </c>
      <c r="V11" s="17">
        <f t="shared" si="3"/>
        <v>1.4285714285714284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1.2857142857142856</v>
      </c>
      <c r="AA11" s="17">
        <f t="shared" si="3"/>
        <v>0.14285714285714285</v>
      </c>
      <c r="AB11" s="17">
        <f t="shared" si="3"/>
        <v>0</v>
      </c>
      <c r="AC11" s="17">
        <f t="shared" si="3"/>
        <v>52.857142857142861</v>
      </c>
      <c r="AD11" s="17">
        <f t="shared" si="3"/>
        <v>0</v>
      </c>
      <c r="AE11" s="31">
        <f t="shared" si="3"/>
        <v>8.8571428571428559</v>
      </c>
      <c r="AF11" s="31">
        <f t="shared" si="3"/>
        <v>61.714285714285708</v>
      </c>
    </row>
    <row r="12" spans="2:32" ht="23.1" customHeight="1" x14ac:dyDescent="0.25">
      <c r="B12" s="23" t="s">
        <v>39</v>
      </c>
      <c r="C12" s="49">
        <f>AVERAGE('17.10 WOBULENZI-ZIROBWE'!C12,'18.10 WOBULENZI-ZIROBWE'!C12,'19.10 WOBULENZI-ZIROBWE-24h'!C12,'20.10 WOBULENZI-ZIROBWE'!C12,'21.10 WOBULENZI-ZIROBWE-24h'!C12,'22.10 WOBULENZI-ZIROBWE'!C12,'23.10 WOBULENZI-ZIROBWE'!C12)</f>
        <v>0.14285714285714285</v>
      </c>
      <c r="D12" s="49">
        <f>AVERAGE('17.10 WOBULENZI-ZIROBWE'!D12,'18.10 WOBULENZI-ZIROBWE'!D12,'19.10 WOBULENZI-ZIROBWE-24h'!D12,'20.10 WOBULENZI-ZIROBWE'!D12,'21.10 WOBULENZI-ZIROBWE-24h'!D12,'22.10 WOBULENZI-ZIROBWE'!D12,'23.10 WOBULENZI-ZIROBWE'!D12)</f>
        <v>0</v>
      </c>
      <c r="E12" s="49">
        <f>AVERAGE('17.10 WOBULENZI-ZIROBWE'!E12,'18.10 WOBULENZI-ZIROBWE'!E12,'19.10 WOBULENZI-ZIROBWE-24h'!E12,'20.10 WOBULENZI-ZIROBWE'!E12,'21.10 WOBULENZI-ZIROBWE-24h'!E12,'22.10 WOBULENZI-ZIROBWE'!E12,'23.10 WOBULENZI-ZIROBWE'!E12)</f>
        <v>0</v>
      </c>
      <c r="F12" s="49">
        <f>AVERAGE('17.10 WOBULENZI-ZIROBWE'!F12,'18.10 WOBULENZI-ZIROBWE'!F12,'19.10 WOBULENZI-ZIROBWE-24h'!F12,'20.10 WOBULENZI-ZIROBWE'!F12,'21.10 WOBULENZI-ZIROBWE-24h'!F12,'22.10 WOBULENZI-ZIROBWE'!F12,'23.10 WOBULENZI-ZIROBWE'!F12)</f>
        <v>0.2857142857142857</v>
      </c>
      <c r="G12" s="49">
        <f>AVERAGE('17.10 WOBULENZI-ZIROBWE'!G12,'18.10 WOBULENZI-ZIROBWE'!G12,'19.10 WOBULENZI-ZIROBWE-24h'!G12,'20.10 WOBULENZI-ZIROBWE'!G12,'21.10 WOBULENZI-ZIROBWE-24h'!G12,'22.10 WOBULENZI-ZIROBWE'!G12,'23.10 WOBULENZI-ZIROBWE'!G12)</f>
        <v>0</v>
      </c>
      <c r="H12" s="49">
        <f>AVERAGE('17.10 WOBULENZI-ZIROBWE'!H12,'18.10 WOBULENZI-ZIROBWE'!H12,'19.10 WOBULENZI-ZIROBWE-24h'!H12,'20.10 WOBULENZI-ZIROBWE'!H12,'21.10 WOBULENZI-ZIROBWE-24h'!H12,'22.10 WOBULENZI-ZIROBWE'!H12,'23.10 WOBULENZI-ZIROBWE'!H12)</f>
        <v>0</v>
      </c>
      <c r="I12" s="49">
        <f>AVERAGE('17.10 WOBULENZI-ZIROBWE'!I12,'18.10 WOBULENZI-ZIROBWE'!I12,'19.10 WOBULENZI-ZIROBWE-24h'!I12,'20.10 WOBULENZI-ZIROBWE'!I12,'21.10 WOBULENZI-ZIROBWE-24h'!I12,'22.10 WOBULENZI-ZIROBWE'!I12,'23.10 WOBULENZI-ZIROBWE'!I12)</f>
        <v>0</v>
      </c>
      <c r="J12" s="49">
        <f>AVERAGE('17.10 WOBULENZI-ZIROBWE'!J12,'18.10 WOBULENZI-ZIROBWE'!J12,'19.10 WOBULENZI-ZIROBWE-24h'!J12,'20.10 WOBULENZI-ZIROBWE'!J12,'21.10 WOBULENZI-ZIROBWE-24h'!J12,'22.10 WOBULENZI-ZIROBWE'!J12,'23.10 WOBULENZI-ZIROBWE'!J12)</f>
        <v>0.42857142857142855</v>
      </c>
      <c r="K12" s="49">
        <f>AVERAGE('17.10 WOBULENZI-ZIROBWE'!K12,'18.10 WOBULENZI-ZIROBWE'!K12,'19.10 WOBULENZI-ZIROBWE-24h'!K12,'20.10 WOBULENZI-ZIROBWE'!K12,'21.10 WOBULENZI-ZIROBWE-24h'!K12,'22.10 WOBULENZI-ZIROBWE'!K12,'23.10 WOBULENZI-ZIROBWE'!K12)</f>
        <v>0</v>
      </c>
      <c r="L12" s="49">
        <f>AVERAGE('17.10 WOBULENZI-ZIROBWE'!L12,'18.10 WOBULENZI-ZIROBWE'!L12,'19.10 WOBULENZI-ZIROBWE-24h'!L12,'20.10 WOBULENZI-ZIROBWE'!L12,'21.10 WOBULENZI-ZIROBWE-24h'!L12,'22.10 WOBULENZI-ZIROBWE'!L12,'23.10 WOBULENZI-ZIROBWE'!L12)</f>
        <v>0</v>
      </c>
      <c r="M12" s="49">
        <f>AVERAGE('17.10 WOBULENZI-ZIROBWE'!M12,'18.10 WOBULENZI-ZIROBWE'!M12,'19.10 WOBULENZI-ZIROBWE-24h'!M12,'20.10 WOBULENZI-ZIROBWE'!M12,'21.10 WOBULENZI-ZIROBWE-24h'!M12,'22.10 WOBULENZI-ZIROBWE'!M12,'23.10 WOBULENZI-ZIROBWE'!M12)</f>
        <v>13.285714285714286</v>
      </c>
      <c r="N12" s="49">
        <f>AVERAGE('17.10 WOBULENZI-ZIROBWE'!N12,'18.10 WOBULENZI-ZIROBWE'!N12,'19.10 WOBULENZI-ZIROBWE-24h'!N12,'20.10 WOBULENZI-ZIROBWE'!N12,'21.10 WOBULENZI-ZIROBWE-24h'!N12,'22.10 WOBULENZI-ZIROBWE'!N12,'23.10 WOBULENZI-ZIROBWE'!N12)</f>
        <v>0</v>
      </c>
      <c r="O12" s="15">
        <f t="shared" si="0"/>
        <v>0.8571428571428571</v>
      </c>
      <c r="P12" s="15">
        <f t="shared" si="1"/>
        <v>14.142857142857144</v>
      </c>
      <c r="R12" s="1" t="s">
        <v>8</v>
      </c>
      <c r="S12" s="17">
        <f t="shared" ref="S12:AF12" si="4">SUM(C18:C21)</f>
        <v>1.7142857142857142</v>
      </c>
      <c r="T12" s="17">
        <f t="shared" si="4"/>
        <v>0.71428571428571419</v>
      </c>
      <c r="U12" s="17">
        <f t="shared" si="4"/>
        <v>0.42857142857142855</v>
      </c>
      <c r="V12" s="17">
        <f t="shared" si="4"/>
        <v>0.85714285714285698</v>
      </c>
      <c r="W12" s="17">
        <f t="shared" si="4"/>
        <v>0</v>
      </c>
      <c r="X12" s="17">
        <f t="shared" si="4"/>
        <v>0</v>
      </c>
      <c r="Y12" s="17">
        <f t="shared" si="4"/>
        <v>1.7142857142857142</v>
      </c>
      <c r="Z12" s="17">
        <f t="shared" si="4"/>
        <v>2.1428571428571428</v>
      </c>
      <c r="AA12" s="17">
        <f t="shared" si="4"/>
        <v>0.42857142857142855</v>
      </c>
      <c r="AB12" s="17">
        <f t="shared" si="4"/>
        <v>0</v>
      </c>
      <c r="AC12" s="17">
        <f t="shared" si="4"/>
        <v>48.857142857142861</v>
      </c>
      <c r="AD12" s="17">
        <f t="shared" si="4"/>
        <v>0</v>
      </c>
      <c r="AE12" s="31">
        <f t="shared" si="4"/>
        <v>7.9999999999999991</v>
      </c>
      <c r="AF12" s="31">
        <f t="shared" si="4"/>
        <v>56.857142857142854</v>
      </c>
    </row>
    <row r="13" spans="2:32" ht="23.1" customHeight="1" x14ac:dyDescent="0.25">
      <c r="B13" s="23" t="s">
        <v>40</v>
      </c>
      <c r="C13" s="49">
        <f>AVERAGE('17.10 WOBULENZI-ZIROBWE'!C13,'18.10 WOBULENZI-ZIROBWE'!C13,'19.10 WOBULENZI-ZIROBWE-24h'!C13,'20.10 WOBULENZI-ZIROBWE'!C13,'21.10 WOBULENZI-ZIROBWE-24h'!C13,'22.10 WOBULENZI-ZIROBWE'!C13,'23.10 WOBULENZI-ZIROBWE'!C13)</f>
        <v>0.2857142857142857</v>
      </c>
      <c r="D13" s="49">
        <f>AVERAGE('17.10 WOBULENZI-ZIROBWE'!D13,'18.10 WOBULENZI-ZIROBWE'!D13,'19.10 WOBULENZI-ZIROBWE-24h'!D13,'20.10 WOBULENZI-ZIROBWE'!D13,'21.10 WOBULENZI-ZIROBWE-24h'!D13,'22.10 WOBULENZI-ZIROBWE'!D13,'23.10 WOBULENZI-ZIROBWE'!D13)</f>
        <v>0</v>
      </c>
      <c r="E13" s="49">
        <f>AVERAGE('17.10 WOBULENZI-ZIROBWE'!E13,'18.10 WOBULENZI-ZIROBWE'!E13,'19.10 WOBULENZI-ZIROBWE-24h'!E13,'20.10 WOBULENZI-ZIROBWE'!E13,'21.10 WOBULENZI-ZIROBWE-24h'!E13,'22.10 WOBULENZI-ZIROBWE'!E13,'23.10 WOBULENZI-ZIROBWE'!E13)</f>
        <v>0</v>
      </c>
      <c r="F13" s="49">
        <f>AVERAGE('17.10 WOBULENZI-ZIROBWE'!F13,'18.10 WOBULENZI-ZIROBWE'!F13,'19.10 WOBULENZI-ZIROBWE-24h'!F13,'20.10 WOBULENZI-ZIROBWE'!F13,'21.10 WOBULENZI-ZIROBWE-24h'!F13,'22.10 WOBULENZI-ZIROBWE'!F13,'23.10 WOBULENZI-ZIROBWE'!F13)</f>
        <v>0.14285714285714285</v>
      </c>
      <c r="G13" s="49">
        <f>AVERAGE('17.10 WOBULENZI-ZIROBWE'!G13,'18.10 WOBULENZI-ZIROBWE'!G13,'19.10 WOBULENZI-ZIROBWE-24h'!G13,'20.10 WOBULENZI-ZIROBWE'!G13,'21.10 WOBULENZI-ZIROBWE-24h'!G13,'22.10 WOBULENZI-ZIROBWE'!G13,'23.10 WOBULENZI-ZIROBWE'!G13)</f>
        <v>0</v>
      </c>
      <c r="H13" s="49">
        <f>AVERAGE('17.10 WOBULENZI-ZIROBWE'!H13,'18.10 WOBULENZI-ZIROBWE'!H13,'19.10 WOBULENZI-ZIROBWE-24h'!H13,'20.10 WOBULENZI-ZIROBWE'!H13,'21.10 WOBULENZI-ZIROBWE-24h'!H13,'22.10 WOBULENZI-ZIROBWE'!H13,'23.10 WOBULENZI-ZIROBWE'!H13)</f>
        <v>0</v>
      </c>
      <c r="I13" s="49">
        <f>AVERAGE('17.10 WOBULENZI-ZIROBWE'!I13,'18.10 WOBULENZI-ZIROBWE'!I13,'19.10 WOBULENZI-ZIROBWE-24h'!I13,'20.10 WOBULENZI-ZIROBWE'!I13,'21.10 WOBULENZI-ZIROBWE-24h'!I13,'22.10 WOBULENZI-ZIROBWE'!I13,'23.10 WOBULENZI-ZIROBWE'!I13)</f>
        <v>0.2857142857142857</v>
      </c>
      <c r="J13" s="49">
        <f>AVERAGE('17.10 WOBULENZI-ZIROBWE'!J13,'18.10 WOBULENZI-ZIROBWE'!J13,'19.10 WOBULENZI-ZIROBWE-24h'!J13,'20.10 WOBULENZI-ZIROBWE'!J13,'21.10 WOBULENZI-ZIROBWE-24h'!J13,'22.10 WOBULENZI-ZIROBWE'!J13,'23.10 WOBULENZI-ZIROBWE'!J13)</f>
        <v>0</v>
      </c>
      <c r="K13" s="49">
        <f>AVERAGE('17.10 WOBULENZI-ZIROBWE'!K13,'18.10 WOBULENZI-ZIROBWE'!K13,'19.10 WOBULENZI-ZIROBWE-24h'!K13,'20.10 WOBULENZI-ZIROBWE'!K13,'21.10 WOBULENZI-ZIROBWE-24h'!K13,'22.10 WOBULENZI-ZIROBWE'!K13,'23.10 WOBULENZI-ZIROBWE'!K13)</f>
        <v>0</v>
      </c>
      <c r="L13" s="49">
        <f>AVERAGE('17.10 WOBULENZI-ZIROBWE'!L13,'18.10 WOBULENZI-ZIROBWE'!L13,'19.10 WOBULENZI-ZIROBWE-24h'!L13,'20.10 WOBULENZI-ZIROBWE'!L13,'21.10 WOBULENZI-ZIROBWE-24h'!L13,'22.10 WOBULENZI-ZIROBWE'!L13,'23.10 WOBULENZI-ZIROBWE'!L13)</f>
        <v>0</v>
      </c>
      <c r="M13" s="49">
        <f>AVERAGE('17.10 WOBULENZI-ZIROBWE'!M13,'18.10 WOBULENZI-ZIROBWE'!M13,'19.10 WOBULENZI-ZIROBWE-24h'!M13,'20.10 WOBULENZI-ZIROBWE'!M13,'21.10 WOBULENZI-ZIROBWE-24h'!M13,'22.10 WOBULENZI-ZIROBWE'!M13,'23.10 WOBULENZI-ZIROBWE'!M13)</f>
        <v>14.285714285714286</v>
      </c>
      <c r="N13" s="49">
        <f>AVERAGE('17.10 WOBULENZI-ZIROBWE'!N13,'18.10 WOBULENZI-ZIROBWE'!N13,'19.10 WOBULENZI-ZIROBWE-24h'!N13,'20.10 WOBULENZI-ZIROBWE'!N13,'21.10 WOBULENZI-ZIROBWE-24h'!N13,'22.10 WOBULENZI-ZIROBWE'!N13,'23.10 WOBULENZI-ZIROBWE'!N13)</f>
        <v>0</v>
      </c>
      <c r="O13" s="15">
        <f t="shared" si="0"/>
        <v>0.71428571428571419</v>
      </c>
      <c r="P13" s="15">
        <f t="shared" si="1"/>
        <v>15</v>
      </c>
      <c r="R13" s="1" t="s">
        <v>9</v>
      </c>
      <c r="S13" s="17">
        <f t="shared" ref="S13:AF13" si="5">SUM(C22:C25)</f>
        <v>1.9999999999999998</v>
      </c>
      <c r="T13" s="17">
        <f t="shared" si="5"/>
        <v>0.5714285714285714</v>
      </c>
      <c r="U13" s="17">
        <f t="shared" si="5"/>
        <v>0.8571428571428571</v>
      </c>
      <c r="V13" s="17">
        <f t="shared" si="5"/>
        <v>0.71428571428571419</v>
      </c>
      <c r="W13" s="17">
        <f t="shared" si="5"/>
        <v>0</v>
      </c>
      <c r="X13" s="17">
        <f t="shared" si="5"/>
        <v>0</v>
      </c>
      <c r="Y13" s="17">
        <f t="shared" si="5"/>
        <v>2.1428571428571428</v>
      </c>
      <c r="Z13" s="17">
        <f t="shared" si="5"/>
        <v>2</v>
      </c>
      <c r="AA13" s="17">
        <f t="shared" si="5"/>
        <v>0.14285714285714285</v>
      </c>
      <c r="AB13" s="17">
        <f t="shared" si="5"/>
        <v>0</v>
      </c>
      <c r="AC13" s="17">
        <f t="shared" si="5"/>
        <v>67</v>
      </c>
      <c r="AD13" s="17">
        <f t="shared" si="5"/>
        <v>0</v>
      </c>
      <c r="AE13" s="31">
        <f t="shared" si="5"/>
        <v>8.428571428571427</v>
      </c>
      <c r="AF13" s="31">
        <f t="shared" si="5"/>
        <v>75.428571428571431</v>
      </c>
    </row>
    <row r="14" spans="2:32" ht="23.1" customHeight="1" x14ac:dyDescent="0.25">
      <c r="B14" s="23" t="s">
        <v>41</v>
      </c>
      <c r="C14" s="49">
        <f>AVERAGE('17.10 WOBULENZI-ZIROBWE'!C14,'18.10 WOBULENZI-ZIROBWE'!C14,'19.10 WOBULENZI-ZIROBWE-24h'!C14,'20.10 WOBULENZI-ZIROBWE'!C14,'21.10 WOBULENZI-ZIROBWE-24h'!C14,'22.10 WOBULENZI-ZIROBWE'!C14,'23.10 WOBULENZI-ZIROBWE'!C14)</f>
        <v>0.2857142857142857</v>
      </c>
      <c r="D14" s="49">
        <f>AVERAGE('17.10 WOBULENZI-ZIROBWE'!D14,'18.10 WOBULENZI-ZIROBWE'!D14,'19.10 WOBULENZI-ZIROBWE-24h'!D14,'20.10 WOBULENZI-ZIROBWE'!D14,'21.10 WOBULENZI-ZIROBWE-24h'!D14,'22.10 WOBULENZI-ZIROBWE'!D14,'23.10 WOBULENZI-ZIROBWE'!D14)</f>
        <v>0.42857142857142855</v>
      </c>
      <c r="E14" s="49">
        <f>AVERAGE('17.10 WOBULENZI-ZIROBWE'!E14,'18.10 WOBULENZI-ZIROBWE'!E14,'19.10 WOBULENZI-ZIROBWE-24h'!E14,'20.10 WOBULENZI-ZIROBWE'!E14,'21.10 WOBULENZI-ZIROBWE-24h'!E14,'22.10 WOBULENZI-ZIROBWE'!E14,'23.10 WOBULENZI-ZIROBWE'!E14)</f>
        <v>0</v>
      </c>
      <c r="F14" s="49">
        <f>AVERAGE('17.10 WOBULENZI-ZIROBWE'!F14,'18.10 WOBULENZI-ZIROBWE'!F14,'19.10 WOBULENZI-ZIROBWE-24h'!F14,'20.10 WOBULENZI-ZIROBWE'!F14,'21.10 WOBULENZI-ZIROBWE-24h'!F14,'22.10 WOBULENZI-ZIROBWE'!F14,'23.10 WOBULENZI-ZIROBWE'!F14)</f>
        <v>0.8571428571428571</v>
      </c>
      <c r="G14" s="49">
        <f>AVERAGE('17.10 WOBULENZI-ZIROBWE'!G14,'18.10 WOBULENZI-ZIROBWE'!G14,'19.10 WOBULENZI-ZIROBWE-24h'!G14,'20.10 WOBULENZI-ZIROBWE'!G14,'21.10 WOBULENZI-ZIROBWE-24h'!G14,'22.10 WOBULENZI-ZIROBWE'!G14,'23.10 WOBULENZI-ZIROBWE'!G14)</f>
        <v>0</v>
      </c>
      <c r="H14" s="49">
        <f>AVERAGE('17.10 WOBULENZI-ZIROBWE'!H14,'18.10 WOBULENZI-ZIROBWE'!H14,'19.10 WOBULENZI-ZIROBWE-24h'!H14,'20.10 WOBULENZI-ZIROBWE'!H14,'21.10 WOBULENZI-ZIROBWE-24h'!H14,'22.10 WOBULENZI-ZIROBWE'!H14,'23.10 WOBULENZI-ZIROBWE'!H14)</f>
        <v>0</v>
      </c>
      <c r="I14" s="49">
        <f>AVERAGE('17.10 WOBULENZI-ZIROBWE'!I14,'18.10 WOBULENZI-ZIROBWE'!I14,'19.10 WOBULENZI-ZIROBWE-24h'!I14,'20.10 WOBULENZI-ZIROBWE'!I14,'21.10 WOBULENZI-ZIROBWE-24h'!I14,'22.10 WOBULENZI-ZIROBWE'!I14,'23.10 WOBULENZI-ZIROBWE'!I14)</f>
        <v>1</v>
      </c>
      <c r="J14" s="49">
        <f>AVERAGE('17.10 WOBULENZI-ZIROBWE'!J14,'18.10 WOBULENZI-ZIROBWE'!J14,'19.10 WOBULENZI-ZIROBWE-24h'!J14,'20.10 WOBULENZI-ZIROBWE'!J14,'21.10 WOBULENZI-ZIROBWE-24h'!J14,'22.10 WOBULENZI-ZIROBWE'!J14,'23.10 WOBULENZI-ZIROBWE'!J14)</f>
        <v>0.14285714285714285</v>
      </c>
      <c r="K14" s="49">
        <f>AVERAGE('17.10 WOBULENZI-ZIROBWE'!K14,'18.10 WOBULENZI-ZIROBWE'!K14,'19.10 WOBULENZI-ZIROBWE-24h'!K14,'20.10 WOBULENZI-ZIROBWE'!K14,'21.10 WOBULENZI-ZIROBWE-24h'!K14,'22.10 WOBULENZI-ZIROBWE'!K14,'23.10 WOBULENZI-ZIROBWE'!K14)</f>
        <v>0</v>
      </c>
      <c r="L14" s="49">
        <f>AVERAGE('17.10 WOBULENZI-ZIROBWE'!L14,'18.10 WOBULENZI-ZIROBWE'!L14,'19.10 WOBULENZI-ZIROBWE-24h'!L14,'20.10 WOBULENZI-ZIROBWE'!L14,'21.10 WOBULENZI-ZIROBWE-24h'!L14,'22.10 WOBULENZI-ZIROBWE'!L14,'23.10 WOBULENZI-ZIROBWE'!L14)</f>
        <v>0</v>
      </c>
      <c r="M14" s="49">
        <f>AVERAGE('17.10 WOBULENZI-ZIROBWE'!M14,'18.10 WOBULENZI-ZIROBWE'!M14,'19.10 WOBULENZI-ZIROBWE-24h'!M14,'20.10 WOBULENZI-ZIROBWE'!M14,'21.10 WOBULENZI-ZIROBWE-24h'!M14,'22.10 WOBULENZI-ZIROBWE'!M14,'23.10 WOBULENZI-ZIROBWE'!M14)</f>
        <v>14.571428571428571</v>
      </c>
      <c r="N14" s="49">
        <f>AVERAGE('17.10 WOBULENZI-ZIROBWE'!N14,'18.10 WOBULENZI-ZIROBWE'!N14,'19.10 WOBULENZI-ZIROBWE-24h'!N14,'20.10 WOBULENZI-ZIROBWE'!N14,'21.10 WOBULENZI-ZIROBWE-24h'!N14,'22.10 WOBULENZI-ZIROBWE'!N14,'23.10 WOBULENZI-ZIROBWE'!N14)</f>
        <v>0</v>
      </c>
      <c r="O14" s="15">
        <f t="shared" si="0"/>
        <v>2.714285714285714</v>
      </c>
      <c r="P14" s="15">
        <f t="shared" si="1"/>
        <v>17.285714285714285</v>
      </c>
      <c r="R14" s="1" t="s">
        <v>10</v>
      </c>
      <c r="S14" s="17">
        <f t="shared" ref="S14:AF14" si="6">SUM(C26:C29)</f>
        <v>3</v>
      </c>
      <c r="T14" s="17">
        <f t="shared" si="6"/>
        <v>1.2857142857142856</v>
      </c>
      <c r="U14" s="17">
        <f t="shared" si="6"/>
        <v>1</v>
      </c>
      <c r="V14" s="17">
        <f t="shared" si="6"/>
        <v>0.71428571428571419</v>
      </c>
      <c r="W14" s="17">
        <f t="shared" si="6"/>
        <v>0.14285714285714285</v>
      </c>
      <c r="X14" s="17">
        <f t="shared" si="6"/>
        <v>0</v>
      </c>
      <c r="Y14" s="17">
        <f t="shared" si="6"/>
        <v>2.2857142857142856</v>
      </c>
      <c r="Z14" s="17">
        <f t="shared" si="6"/>
        <v>7.5714285714285721</v>
      </c>
      <c r="AA14" s="17">
        <f t="shared" si="6"/>
        <v>0.42857142857142855</v>
      </c>
      <c r="AB14" s="17">
        <f t="shared" si="6"/>
        <v>0.14285714285714285</v>
      </c>
      <c r="AC14" s="17">
        <f t="shared" si="6"/>
        <v>68.142857142857139</v>
      </c>
      <c r="AD14" s="17">
        <f t="shared" si="6"/>
        <v>0.14285714285714285</v>
      </c>
      <c r="AE14" s="31">
        <f t="shared" si="6"/>
        <v>16.714285714285715</v>
      </c>
      <c r="AF14" s="31">
        <f t="shared" si="6"/>
        <v>84.857142857142861</v>
      </c>
    </row>
    <row r="15" spans="2:32" ht="23.1" customHeight="1" x14ac:dyDescent="0.25">
      <c r="B15" s="23" t="s">
        <v>42</v>
      </c>
      <c r="C15" s="49">
        <f>AVERAGE('17.10 WOBULENZI-ZIROBWE'!C15,'18.10 WOBULENZI-ZIROBWE'!C15,'19.10 WOBULENZI-ZIROBWE-24h'!C15,'20.10 WOBULENZI-ZIROBWE'!C15,'21.10 WOBULENZI-ZIROBWE-24h'!C15,'22.10 WOBULENZI-ZIROBWE'!C15,'23.10 WOBULENZI-ZIROBWE'!C15)</f>
        <v>1</v>
      </c>
      <c r="D15" s="49">
        <f>AVERAGE('17.10 WOBULENZI-ZIROBWE'!D15,'18.10 WOBULENZI-ZIROBWE'!D15,'19.10 WOBULENZI-ZIROBWE-24h'!D15,'20.10 WOBULENZI-ZIROBWE'!D15,'21.10 WOBULENZI-ZIROBWE-24h'!D15,'22.10 WOBULENZI-ZIROBWE'!D15,'23.10 WOBULENZI-ZIROBWE'!D15)</f>
        <v>0.14285714285714285</v>
      </c>
      <c r="E15" s="49">
        <f>AVERAGE('17.10 WOBULENZI-ZIROBWE'!E15,'18.10 WOBULENZI-ZIROBWE'!E15,'19.10 WOBULENZI-ZIROBWE-24h'!E15,'20.10 WOBULENZI-ZIROBWE'!E15,'21.10 WOBULENZI-ZIROBWE-24h'!E15,'22.10 WOBULENZI-ZIROBWE'!E15,'23.10 WOBULENZI-ZIROBWE'!E15)</f>
        <v>0</v>
      </c>
      <c r="F15" s="49">
        <f>AVERAGE('17.10 WOBULENZI-ZIROBWE'!F15,'18.10 WOBULENZI-ZIROBWE'!F15,'19.10 WOBULENZI-ZIROBWE-24h'!F15,'20.10 WOBULENZI-ZIROBWE'!F15,'21.10 WOBULENZI-ZIROBWE-24h'!F15,'22.10 WOBULENZI-ZIROBWE'!F15,'23.10 WOBULENZI-ZIROBWE'!F15)</f>
        <v>0.2857142857142857</v>
      </c>
      <c r="G15" s="49">
        <f>AVERAGE('17.10 WOBULENZI-ZIROBWE'!G15,'18.10 WOBULENZI-ZIROBWE'!G15,'19.10 WOBULENZI-ZIROBWE-24h'!G15,'20.10 WOBULENZI-ZIROBWE'!G15,'21.10 WOBULENZI-ZIROBWE-24h'!G15,'22.10 WOBULENZI-ZIROBWE'!G15,'23.10 WOBULENZI-ZIROBWE'!G15)</f>
        <v>0</v>
      </c>
      <c r="H15" s="49">
        <f>AVERAGE('17.10 WOBULENZI-ZIROBWE'!H15,'18.10 WOBULENZI-ZIROBWE'!H15,'19.10 WOBULENZI-ZIROBWE-24h'!H15,'20.10 WOBULENZI-ZIROBWE'!H15,'21.10 WOBULENZI-ZIROBWE-24h'!H15,'22.10 WOBULENZI-ZIROBWE'!H15,'23.10 WOBULENZI-ZIROBWE'!H15)</f>
        <v>0</v>
      </c>
      <c r="I15" s="49">
        <f>AVERAGE('17.10 WOBULENZI-ZIROBWE'!I15,'18.10 WOBULENZI-ZIROBWE'!I15,'19.10 WOBULENZI-ZIROBWE-24h'!I15,'20.10 WOBULENZI-ZIROBWE'!I15,'21.10 WOBULENZI-ZIROBWE-24h'!I15,'22.10 WOBULENZI-ZIROBWE'!I15,'23.10 WOBULENZI-ZIROBWE'!I15)</f>
        <v>0.2857142857142857</v>
      </c>
      <c r="J15" s="49">
        <f>AVERAGE('17.10 WOBULENZI-ZIROBWE'!J15,'18.10 WOBULENZI-ZIROBWE'!J15,'19.10 WOBULENZI-ZIROBWE-24h'!J15,'20.10 WOBULENZI-ZIROBWE'!J15,'21.10 WOBULENZI-ZIROBWE-24h'!J15,'22.10 WOBULENZI-ZIROBWE'!J15,'23.10 WOBULENZI-ZIROBWE'!J15)</f>
        <v>0.14285714285714285</v>
      </c>
      <c r="K15" s="49">
        <f>AVERAGE('17.10 WOBULENZI-ZIROBWE'!K15,'18.10 WOBULENZI-ZIROBWE'!K15,'19.10 WOBULENZI-ZIROBWE-24h'!K15,'20.10 WOBULENZI-ZIROBWE'!K15,'21.10 WOBULENZI-ZIROBWE-24h'!K15,'22.10 WOBULENZI-ZIROBWE'!K15,'23.10 WOBULENZI-ZIROBWE'!K15)</f>
        <v>0</v>
      </c>
      <c r="L15" s="49">
        <f>AVERAGE('17.10 WOBULENZI-ZIROBWE'!L15,'18.10 WOBULENZI-ZIROBWE'!L15,'19.10 WOBULENZI-ZIROBWE-24h'!L15,'20.10 WOBULENZI-ZIROBWE'!L15,'21.10 WOBULENZI-ZIROBWE-24h'!L15,'22.10 WOBULENZI-ZIROBWE'!L15,'23.10 WOBULENZI-ZIROBWE'!L15)</f>
        <v>0</v>
      </c>
      <c r="M15" s="49">
        <f>AVERAGE('17.10 WOBULENZI-ZIROBWE'!M15,'18.10 WOBULENZI-ZIROBWE'!M15,'19.10 WOBULENZI-ZIROBWE-24h'!M15,'20.10 WOBULENZI-ZIROBWE'!M15,'21.10 WOBULENZI-ZIROBWE-24h'!M15,'22.10 WOBULENZI-ZIROBWE'!M15,'23.10 WOBULENZI-ZIROBWE'!M15)</f>
        <v>14.142857142857142</v>
      </c>
      <c r="N15" s="49">
        <f>AVERAGE('17.10 WOBULENZI-ZIROBWE'!N15,'18.10 WOBULENZI-ZIROBWE'!N15,'19.10 WOBULENZI-ZIROBWE-24h'!N15,'20.10 WOBULENZI-ZIROBWE'!N15,'21.10 WOBULENZI-ZIROBWE-24h'!N15,'22.10 WOBULENZI-ZIROBWE'!N15,'23.10 WOBULENZI-ZIROBWE'!N15)</f>
        <v>0</v>
      </c>
      <c r="O15" s="15">
        <f t="shared" si="0"/>
        <v>1.8571428571428568</v>
      </c>
      <c r="P15" s="15">
        <f t="shared" si="1"/>
        <v>16</v>
      </c>
      <c r="R15" s="1" t="s">
        <v>11</v>
      </c>
      <c r="S15" s="17">
        <f t="shared" ref="S15:AF15" si="7">SUM(C30:C33)</f>
        <v>3.4285714285714288</v>
      </c>
      <c r="T15" s="17">
        <f t="shared" si="7"/>
        <v>0.99999999999999989</v>
      </c>
      <c r="U15" s="17">
        <f t="shared" si="7"/>
        <v>1.4285714285714284</v>
      </c>
      <c r="V15" s="17">
        <f t="shared" si="7"/>
        <v>1.5714285714285712</v>
      </c>
      <c r="W15" s="17">
        <f t="shared" si="7"/>
        <v>0.14285714285714285</v>
      </c>
      <c r="X15" s="17">
        <f t="shared" si="7"/>
        <v>0</v>
      </c>
      <c r="Y15" s="17">
        <f t="shared" si="7"/>
        <v>1.2857142857142856</v>
      </c>
      <c r="Z15" s="17">
        <f t="shared" si="7"/>
        <v>3.2857142857142856</v>
      </c>
      <c r="AA15" s="17">
        <f t="shared" si="7"/>
        <v>0</v>
      </c>
      <c r="AB15" s="17">
        <f t="shared" si="7"/>
        <v>0</v>
      </c>
      <c r="AC15" s="17">
        <f t="shared" si="7"/>
        <v>71.857142857142861</v>
      </c>
      <c r="AD15" s="17">
        <f t="shared" si="7"/>
        <v>0</v>
      </c>
      <c r="AE15" s="31">
        <f t="shared" si="7"/>
        <v>12.142857142857142</v>
      </c>
      <c r="AF15" s="31">
        <f t="shared" si="7"/>
        <v>84</v>
      </c>
    </row>
    <row r="16" spans="2:32" ht="23.1" customHeight="1" x14ac:dyDescent="0.25">
      <c r="B16" s="23" t="s">
        <v>43</v>
      </c>
      <c r="C16" s="49">
        <f>AVERAGE('17.10 WOBULENZI-ZIROBWE'!C16,'18.10 WOBULENZI-ZIROBWE'!C16,'19.10 WOBULENZI-ZIROBWE-24h'!C16,'20.10 WOBULENZI-ZIROBWE'!C16,'21.10 WOBULENZI-ZIROBWE-24h'!C16,'22.10 WOBULENZI-ZIROBWE'!C16,'23.10 WOBULENZI-ZIROBWE'!C16)</f>
        <v>1</v>
      </c>
      <c r="D16" s="49">
        <f>AVERAGE('17.10 WOBULENZI-ZIROBWE'!D16,'18.10 WOBULENZI-ZIROBWE'!D16,'19.10 WOBULENZI-ZIROBWE-24h'!D16,'20.10 WOBULENZI-ZIROBWE'!D16,'21.10 WOBULENZI-ZIROBWE-24h'!D16,'22.10 WOBULENZI-ZIROBWE'!D16,'23.10 WOBULENZI-ZIROBWE'!D16)</f>
        <v>0.2857142857142857</v>
      </c>
      <c r="E16" s="49">
        <f>AVERAGE('17.10 WOBULENZI-ZIROBWE'!E16,'18.10 WOBULENZI-ZIROBWE'!E16,'19.10 WOBULENZI-ZIROBWE-24h'!E16,'20.10 WOBULENZI-ZIROBWE'!E16,'21.10 WOBULENZI-ZIROBWE-24h'!E16,'22.10 WOBULENZI-ZIROBWE'!E16,'23.10 WOBULENZI-ZIROBWE'!E16)</f>
        <v>0.2857142857142857</v>
      </c>
      <c r="F16" s="49">
        <f>AVERAGE('17.10 WOBULENZI-ZIROBWE'!F16,'18.10 WOBULENZI-ZIROBWE'!F16,'19.10 WOBULENZI-ZIROBWE-24h'!F16,'20.10 WOBULENZI-ZIROBWE'!F16,'21.10 WOBULENZI-ZIROBWE-24h'!F16,'22.10 WOBULENZI-ZIROBWE'!F16,'23.10 WOBULENZI-ZIROBWE'!F16)</f>
        <v>0</v>
      </c>
      <c r="G16" s="49">
        <f>AVERAGE('17.10 WOBULENZI-ZIROBWE'!G16,'18.10 WOBULENZI-ZIROBWE'!G16,'19.10 WOBULENZI-ZIROBWE-24h'!G16,'20.10 WOBULENZI-ZIROBWE'!G16,'21.10 WOBULENZI-ZIROBWE-24h'!G16,'22.10 WOBULENZI-ZIROBWE'!G16,'23.10 WOBULENZI-ZIROBWE'!G16)</f>
        <v>0</v>
      </c>
      <c r="H16" s="49">
        <f>AVERAGE('17.10 WOBULENZI-ZIROBWE'!H16,'18.10 WOBULENZI-ZIROBWE'!H16,'19.10 WOBULENZI-ZIROBWE-24h'!H16,'20.10 WOBULENZI-ZIROBWE'!H16,'21.10 WOBULENZI-ZIROBWE-24h'!H16,'22.10 WOBULENZI-ZIROBWE'!H16,'23.10 WOBULENZI-ZIROBWE'!H16)</f>
        <v>0</v>
      </c>
      <c r="I16" s="49">
        <f>AVERAGE('17.10 WOBULENZI-ZIROBWE'!I16,'18.10 WOBULENZI-ZIROBWE'!I16,'19.10 WOBULENZI-ZIROBWE-24h'!I16,'20.10 WOBULENZI-ZIROBWE'!I16,'21.10 WOBULENZI-ZIROBWE-24h'!I16,'22.10 WOBULENZI-ZIROBWE'!I16,'23.10 WOBULENZI-ZIROBWE'!I16)</f>
        <v>0.42857142857142855</v>
      </c>
      <c r="J16" s="49">
        <f>AVERAGE('17.10 WOBULENZI-ZIROBWE'!J16,'18.10 WOBULENZI-ZIROBWE'!J16,'19.10 WOBULENZI-ZIROBWE-24h'!J16,'20.10 WOBULENZI-ZIROBWE'!J16,'21.10 WOBULENZI-ZIROBWE-24h'!J16,'22.10 WOBULENZI-ZIROBWE'!J16,'23.10 WOBULENZI-ZIROBWE'!J16)</f>
        <v>0.5714285714285714</v>
      </c>
      <c r="K16" s="49">
        <f>AVERAGE('17.10 WOBULENZI-ZIROBWE'!K16,'18.10 WOBULENZI-ZIROBWE'!K16,'19.10 WOBULENZI-ZIROBWE-24h'!K16,'20.10 WOBULENZI-ZIROBWE'!K16,'21.10 WOBULENZI-ZIROBWE-24h'!K16,'22.10 WOBULENZI-ZIROBWE'!K16,'23.10 WOBULENZI-ZIROBWE'!K16)</f>
        <v>0.14285714285714285</v>
      </c>
      <c r="L16" s="49">
        <f>AVERAGE('17.10 WOBULENZI-ZIROBWE'!L16,'18.10 WOBULENZI-ZIROBWE'!L16,'19.10 WOBULENZI-ZIROBWE-24h'!L16,'20.10 WOBULENZI-ZIROBWE'!L16,'21.10 WOBULENZI-ZIROBWE-24h'!L16,'22.10 WOBULENZI-ZIROBWE'!L16,'23.10 WOBULENZI-ZIROBWE'!L16)</f>
        <v>0</v>
      </c>
      <c r="M16" s="49">
        <f>AVERAGE('17.10 WOBULENZI-ZIROBWE'!M16,'18.10 WOBULENZI-ZIROBWE'!M16,'19.10 WOBULENZI-ZIROBWE-24h'!M16,'20.10 WOBULENZI-ZIROBWE'!M16,'21.10 WOBULENZI-ZIROBWE-24h'!M16,'22.10 WOBULENZI-ZIROBWE'!M16,'23.10 WOBULENZI-ZIROBWE'!M16)</f>
        <v>12.142857142857142</v>
      </c>
      <c r="N16" s="49">
        <f>AVERAGE('17.10 WOBULENZI-ZIROBWE'!N16,'18.10 WOBULENZI-ZIROBWE'!N16,'19.10 WOBULENZI-ZIROBWE-24h'!N16,'20.10 WOBULENZI-ZIROBWE'!N16,'21.10 WOBULENZI-ZIROBWE-24h'!N16,'22.10 WOBULENZI-ZIROBWE'!N16,'23.10 WOBULENZI-ZIROBWE'!N16)</f>
        <v>0</v>
      </c>
      <c r="O16" s="15">
        <f t="shared" si="0"/>
        <v>2.714285714285714</v>
      </c>
      <c r="P16" s="15">
        <f t="shared" si="1"/>
        <v>14.857142857142856</v>
      </c>
      <c r="R16" s="1" t="s">
        <v>12</v>
      </c>
      <c r="S16" s="17">
        <f t="shared" ref="S16:AF16" si="8">SUM(C34:C37)</f>
        <v>3.9999999999999996</v>
      </c>
      <c r="T16" s="17">
        <f t="shared" si="8"/>
        <v>1.4285714285714286</v>
      </c>
      <c r="U16" s="17">
        <f t="shared" si="8"/>
        <v>0.5714285714285714</v>
      </c>
      <c r="V16" s="17">
        <f t="shared" si="8"/>
        <v>2.2857142857142856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4.5714285714285712</v>
      </c>
      <c r="AA16" s="17">
        <f t="shared" si="8"/>
        <v>0</v>
      </c>
      <c r="AB16" s="17">
        <f t="shared" si="8"/>
        <v>0</v>
      </c>
      <c r="AC16" s="17">
        <f t="shared" si="8"/>
        <v>76</v>
      </c>
      <c r="AD16" s="17">
        <f t="shared" si="8"/>
        <v>0</v>
      </c>
      <c r="AE16" s="31">
        <f t="shared" si="8"/>
        <v>15.857142857142858</v>
      </c>
      <c r="AF16" s="31">
        <f t="shared" si="8"/>
        <v>91.857142857142861</v>
      </c>
    </row>
    <row r="17" spans="2:32" ht="23.1" customHeight="1" x14ac:dyDescent="0.25">
      <c r="B17" s="23" t="s">
        <v>44</v>
      </c>
      <c r="C17" s="49">
        <f>AVERAGE('17.10 WOBULENZI-ZIROBWE'!C17,'18.10 WOBULENZI-ZIROBWE'!C17,'19.10 WOBULENZI-ZIROBWE-24h'!C17,'20.10 WOBULENZI-ZIROBWE'!C17,'21.10 WOBULENZI-ZIROBWE-24h'!C17,'22.10 WOBULENZI-ZIROBWE'!C17,'23.10 WOBULENZI-ZIROBWE'!C17)</f>
        <v>0.2857142857142857</v>
      </c>
      <c r="D17" s="49">
        <f>AVERAGE('17.10 WOBULENZI-ZIROBWE'!D17,'18.10 WOBULENZI-ZIROBWE'!D17,'19.10 WOBULENZI-ZIROBWE-24h'!D17,'20.10 WOBULENZI-ZIROBWE'!D17,'21.10 WOBULENZI-ZIROBWE-24h'!D17,'22.10 WOBULENZI-ZIROBWE'!D17,'23.10 WOBULENZI-ZIROBWE'!D17)</f>
        <v>0.14285714285714285</v>
      </c>
      <c r="E17" s="49">
        <f>AVERAGE('17.10 WOBULENZI-ZIROBWE'!E17,'18.10 WOBULENZI-ZIROBWE'!E17,'19.10 WOBULENZI-ZIROBWE-24h'!E17,'20.10 WOBULENZI-ZIROBWE'!E17,'21.10 WOBULENZI-ZIROBWE-24h'!E17,'22.10 WOBULENZI-ZIROBWE'!E17,'23.10 WOBULENZI-ZIROBWE'!E17)</f>
        <v>0.14285714285714285</v>
      </c>
      <c r="F17" s="49">
        <f>AVERAGE('17.10 WOBULENZI-ZIROBWE'!F17,'18.10 WOBULENZI-ZIROBWE'!F17,'19.10 WOBULENZI-ZIROBWE-24h'!F17,'20.10 WOBULENZI-ZIROBWE'!F17,'21.10 WOBULENZI-ZIROBWE-24h'!F17,'22.10 WOBULENZI-ZIROBWE'!F17,'23.10 WOBULENZI-ZIROBWE'!F17)</f>
        <v>0.2857142857142857</v>
      </c>
      <c r="G17" s="49">
        <f>AVERAGE('17.10 WOBULENZI-ZIROBWE'!G17,'18.10 WOBULENZI-ZIROBWE'!G17,'19.10 WOBULENZI-ZIROBWE-24h'!G17,'20.10 WOBULENZI-ZIROBWE'!G17,'21.10 WOBULENZI-ZIROBWE-24h'!G17,'22.10 WOBULENZI-ZIROBWE'!G17,'23.10 WOBULENZI-ZIROBWE'!G17)</f>
        <v>0</v>
      </c>
      <c r="H17" s="49">
        <f>AVERAGE('17.10 WOBULENZI-ZIROBWE'!H17,'18.10 WOBULENZI-ZIROBWE'!H17,'19.10 WOBULENZI-ZIROBWE-24h'!H17,'20.10 WOBULENZI-ZIROBWE'!H17,'21.10 WOBULENZI-ZIROBWE-24h'!H17,'22.10 WOBULENZI-ZIROBWE'!H17,'23.10 WOBULENZI-ZIROBWE'!H17)</f>
        <v>0</v>
      </c>
      <c r="I17" s="49">
        <f>AVERAGE('17.10 WOBULENZI-ZIROBWE'!I17,'18.10 WOBULENZI-ZIROBWE'!I17,'19.10 WOBULENZI-ZIROBWE-24h'!I17,'20.10 WOBULENZI-ZIROBWE'!I17,'21.10 WOBULENZI-ZIROBWE-24h'!I17,'22.10 WOBULENZI-ZIROBWE'!I17,'23.10 WOBULENZI-ZIROBWE'!I17)</f>
        <v>0.2857142857142857</v>
      </c>
      <c r="J17" s="49">
        <f>AVERAGE('17.10 WOBULENZI-ZIROBWE'!J17,'18.10 WOBULENZI-ZIROBWE'!J17,'19.10 WOBULENZI-ZIROBWE-24h'!J17,'20.10 WOBULENZI-ZIROBWE'!J17,'21.10 WOBULENZI-ZIROBWE-24h'!J17,'22.10 WOBULENZI-ZIROBWE'!J17,'23.10 WOBULENZI-ZIROBWE'!J17)</f>
        <v>0.42857142857142855</v>
      </c>
      <c r="K17" s="49">
        <f>AVERAGE('17.10 WOBULENZI-ZIROBWE'!K17,'18.10 WOBULENZI-ZIROBWE'!K17,'19.10 WOBULENZI-ZIROBWE-24h'!K17,'20.10 WOBULENZI-ZIROBWE'!K17,'21.10 WOBULENZI-ZIROBWE-24h'!K17,'22.10 WOBULENZI-ZIROBWE'!K17,'23.10 WOBULENZI-ZIROBWE'!K17)</f>
        <v>0</v>
      </c>
      <c r="L17" s="49">
        <f>AVERAGE('17.10 WOBULENZI-ZIROBWE'!L17,'18.10 WOBULENZI-ZIROBWE'!L17,'19.10 WOBULENZI-ZIROBWE-24h'!L17,'20.10 WOBULENZI-ZIROBWE'!L17,'21.10 WOBULENZI-ZIROBWE-24h'!L17,'22.10 WOBULENZI-ZIROBWE'!L17,'23.10 WOBULENZI-ZIROBWE'!L17)</f>
        <v>0</v>
      </c>
      <c r="M17" s="49">
        <f>AVERAGE('17.10 WOBULENZI-ZIROBWE'!M17,'18.10 WOBULENZI-ZIROBWE'!M17,'19.10 WOBULENZI-ZIROBWE-24h'!M17,'20.10 WOBULENZI-ZIROBWE'!M17,'21.10 WOBULENZI-ZIROBWE-24h'!M17,'22.10 WOBULENZI-ZIROBWE'!M17,'23.10 WOBULENZI-ZIROBWE'!M17)</f>
        <v>12</v>
      </c>
      <c r="N17" s="49">
        <f>AVERAGE('17.10 WOBULENZI-ZIROBWE'!N17,'18.10 WOBULENZI-ZIROBWE'!N17,'19.10 WOBULENZI-ZIROBWE-24h'!N17,'20.10 WOBULENZI-ZIROBWE'!N17,'21.10 WOBULENZI-ZIROBWE-24h'!N17,'22.10 WOBULENZI-ZIROBWE'!N17,'23.10 WOBULENZI-ZIROBWE'!N17)</f>
        <v>0</v>
      </c>
      <c r="O17" s="15">
        <f t="shared" si="0"/>
        <v>1.5714285714285714</v>
      </c>
      <c r="P17" s="15">
        <f t="shared" si="1"/>
        <v>13.571428571428571</v>
      </c>
      <c r="R17" s="1" t="s">
        <v>13</v>
      </c>
      <c r="S17" s="17">
        <f t="shared" ref="S17:AF17" si="9">SUM(C38:C41)</f>
        <v>3.7142857142857144</v>
      </c>
      <c r="T17" s="17">
        <f t="shared" si="9"/>
        <v>1.7142857142857142</v>
      </c>
      <c r="U17" s="17">
        <f t="shared" si="9"/>
        <v>1.2857142857142856</v>
      </c>
      <c r="V17" s="17">
        <f t="shared" si="9"/>
        <v>1.2857142857142856</v>
      </c>
      <c r="W17" s="17">
        <f t="shared" si="9"/>
        <v>0</v>
      </c>
      <c r="X17" s="17">
        <f t="shared" si="9"/>
        <v>0</v>
      </c>
      <c r="Y17" s="17">
        <f t="shared" si="9"/>
        <v>2.7142857142857144</v>
      </c>
      <c r="Z17" s="17">
        <f t="shared" si="9"/>
        <v>3.1428571428571428</v>
      </c>
      <c r="AA17" s="17">
        <f t="shared" si="9"/>
        <v>0.14285714285714285</v>
      </c>
      <c r="AB17" s="17">
        <f t="shared" si="9"/>
        <v>0.2857142857142857</v>
      </c>
      <c r="AC17" s="17">
        <f t="shared" si="9"/>
        <v>70.428571428571431</v>
      </c>
      <c r="AD17" s="17">
        <f t="shared" si="9"/>
        <v>1.4285714285714286</v>
      </c>
      <c r="AE17" s="31">
        <f t="shared" si="9"/>
        <v>15.714285714285714</v>
      </c>
      <c r="AF17" s="31">
        <f t="shared" si="9"/>
        <v>86.142857142857139</v>
      </c>
    </row>
    <row r="18" spans="2:32" ht="23.1" customHeight="1" x14ac:dyDescent="0.25">
      <c r="B18" s="23" t="s">
        <v>45</v>
      </c>
      <c r="C18" s="49">
        <f>AVERAGE('17.10 WOBULENZI-ZIROBWE'!C18,'18.10 WOBULENZI-ZIROBWE'!C18,'19.10 WOBULENZI-ZIROBWE-24h'!C18,'20.10 WOBULENZI-ZIROBWE'!C18,'21.10 WOBULENZI-ZIROBWE-24h'!C18,'22.10 WOBULENZI-ZIROBWE'!C18,'23.10 WOBULENZI-ZIROBWE'!C18)</f>
        <v>0.42857142857142855</v>
      </c>
      <c r="D18" s="49">
        <f>AVERAGE('17.10 WOBULENZI-ZIROBWE'!D18,'18.10 WOBULENZI-ZIROBWE'!D18,'19.10 WOBULENZI-ZIROBWE-24h'!D18,'20.10 WOBULENZI-ZIROBWE'!D18,'21.10 WOBULENZI-ZIROBWE-24h'!D18,'22.10 WOBULENZI-ZIROBWE'!D18,'23.10 WOBULENZI-ZIROBWE'!D18)</f>
        <v>0</v>
      </c>
      <c r="E18" s="49">
        <f>AVERAGE('17.10 WOBULENZI-ZIROBWE'!E18,'18.10 WOBULENZI-ZIROBWE'!E18,'19.10 WOBULENZI-ZIROBWE-24h'!E18,'20.10 WOBULENZI-ZIROBWE'!E18,'21.10 WOBULENZI-ZIROBWE-24h'!E18,'22.10 WOBULENZI-ZIROBWE'!E18,'23.10 WOBULENZI-ZIROBWE'!E18)</f>
        <v>0.14285714285714285</v>
      </c>
      <c r="F18" s="49">
        <f>AVERAGE('17.10 WOBULENZI-ZIROBWE'!F18,'18.10 WOBULENZI-ZIROBWE'!F18,'19.10 WOBULENZI-ZIROBWE-24h'!F18,'20.10 WOBULENZI-ZIROBWE'!F18,'21.10 WOBULENZI-ZIROBWE-24h'!F18,'22.10 WOBULENZI-ZIROBWE'!F18,'23.10 WOBULENZI-ZIROBWE'!F18)</f>
        <v>0.2857142857142857</v>
      </c>
      <c r="G18" s="49">
        <f>AVERAGE('17.10 WOBULENZI-ZIROBWE'!G18,'18.10 WOBULENZI-ZIROBWE'!G18,'19.10 WOBULENZI-ZIROBWE-24h'!G18,'20.10 WOBULENZI-ZIROBWE'!G18,'21.10 WOBULENZI-ZIROBWE-24h'!G18,'22.10 WOBULENZI-ZIROBWE'!G18,'23.10 WOBULENZI-ZIROBWE'!G18)</f>
        <v>0</v>
      </c>
      <c r="H18" s="49">
        <f>AVERAGE('17.10 WOBULENZI-ZIROBWE'!H18,'18.10 WOBULENZI-ZIROBWE'!H18,'19.10 WOBULENZI-ZIROBWE-24h'!H18,'20.10 WOBULENZI-ZIROBWE'!H18,'21.10 WOBULENZI-ZIROBWE-24h'!H18,'22.10 WOBULENZI-ZIROBWE'!H18,'23.10 WOBULENZI-ZIROBWE'!H18)</f>
        <v>0</v>
      </c>
      <c r="I18" s="49">
        <f>AVERAGE('17.10 WOBULENZI-ZIROBWE'!I18,'18.10 WOBULENZI-ZIROBWE'!I18,'19.10 WOBULENZI-ZIROBWE-24h'!I18,'20.10 WOBULENZI-ZIROBWE'!I18,'21.10 WOBULENZI-ZIROBWE-24h'!I18,'22.10 WOBULENZI-ZIROBWE'!I18,'23.10 WOBULENZI-ZIROBWE'!I18)</f>
        <v>1</v>
      </c>
      <c r="J18" s="49">
        <f>AVERAGE('17.10 WOBULENZI-ZIROBWE'!J18,'18.10 WOBULENZI-ZIROBWE'!J18,'19.10 WOBULENZI-ZIROBWE-24h'!J18,'20.10 WOBULENZI-ZIROBWE'!J18,'21.10 WOBULENZI-ZIROBWE-24h'!J18,'22.10 WOBULENZI-ZIROBWE'!J18,'23.10 WOBULENZI-ZIROBWE'!J18)</f>
        <v>0.2857142857142857</v>
      </c>
      <c r="K18" s="49">
        <f>AVERAGE('17.10 WOBULENZI-ZIROBWE'!K18,'18.10 WOBULENZI-ZIROBWE'!K18,'19.10 WOBULENZI-ZIROBWE-24h'!K18,'20.10 WOBULENZI-ZIROBWE'!K18,'21.10 WOBULENZI-ZIROBWE-24h'!K18,'22.10 WOBULENZI-ZIROBWE'!K18,'23.10 WOBULENZI-ZIROBWE'!K18)</f>
        <v>0</v>
      </c>
      <c r="L18" s="49">
        <f>AVERAGE('17.10 WOBULENZI-ZIROBWE'!L18,'18.10 WOBULENZI-ZIROBWE'!L18,'19.10 WOBULENZI-ZIROBWE-24h'!L18,'20.10 WOBULENZI-ZIROBWE'!L18,'21.10 WOBULENZI-ZIROBWE-24h'!L18,'22.10 WOBULENZI-ZIROBWE'!L18,'23.10 WOBULENZI-ZIROBWE'!L18)</f>
        <v>0</v>
      </c>
      <c r="M18" s="49">
        <f>AVERAGE('17.10 WOBULENZI-ZIROBWE'!M18,'18.10 WOBULENZI-ZIROBWE'!M18,'19.10 WOBULENZI-ZIROBWE-24h'!M18,'20.10 WOBULENZI-ZIROBWE'!M18,'21.10 WOBULENZI-ZIROBWE-24h'!M18,'22.10 WOBULENZI-ZIROBWE'!M18,'23.10 WOBULENZI-ZIROBWE'!M18)</f>
        <v>10</v>
      </c>
      <c r="N18" s="49">
        <f>AVERAGE('17.10 WOBULENZI-ZIROBWE'!N18,'18.10 WOBULENZI-ZIROBWE'!N18,'19.10 WOBULENZI-ZIROBWE-24h'!N18,'20.10 WOBULENZI-ZIROBWE'!N18,'21.10 WOBULENZI-ZIROBWE-24h'!N18,'22.10 WOBULENZI-ZIROBWE'!N18,'23.10 WOBULENZI-ZIROBWE'!N18)</f>
        <v>0</v>
      </c>
      <c r="O18" s="15">
        <f t="shared" si="0"/>
        <v>2.1428571428571428</v>
      </c>
      <c r="P18" s="15">
        <f t="shared" si="1"/>
        <v>12.142857142857142</v>
      </c>
      <c r="R18" s="1" t="s">
        <v>14</v>
      </c>
      <c r="S18" s="17">
        <f t="shared" ref="S18:AF18" si="10">SUM(C42:C45)</f>
        <v>7.2857142857142847</v>
      </c>
      <c r="T18" s="17">
        <f t="shared" si="10"/>
        <v>2.8571428571428572</v>
      </c>
      <c r="U18" s="17">
        <f t="shared" si="10"/>
        <v>1</v>
      </c>
      <c r="V18" s="17">
        <f t="shared" si="10"/>
        <v>2.5714285714285712</v>
      </c>
      <c r="W18" s="17">
        <f t="shared" si="10"/>
        <v>0.5714285714285714</v>
      </c>
      <c r="X18" s="17">
        <f t="shared" si="10"/>
        <v>0</v>
      </c>
      <c r="Y18" s="17">
        <f t="shared" si="10"/>
        <v>3.7142857142857144</v>
      </c>
      <c r="Z18" s="17">
        <f t="shared" si="10"/>
        <v>3.2857142857142851</v>
      </c>
      <c r="AA18" s="17">
        <f t="shared" si="10"/>
        <v>0</v>
      </c>
      <c r="AB18" s="17">
        <f t="shared" si="10"/>
        <v>0.14285714285714285</v>
      </c>
      <c r="AC18" s="17">
        <f t="shared" si="10"/>
        <v>70.857142857142861</v>
      </c>
      <c r="AD18" s="17">
        <f t="shared" si="10"/>
        <v>0</v>
      </c>
      <c r="AE18" s="31">
        <f t="shared" si="10"/>
        <v>21.428571428571427</v>
      </c>
      <c r="AF18" s="31">
        <f t="shared" si="10"/>
        <v>92.285714285714278</v>
      </c>
    </row>
    <row r="19" spans="2:32" ht="23.1" customHeight="1" x14ac:dyDescent="0.25">
      <c r="B19" s="23" t="s">
        <v>46</v>
      </c>
      <c r="C19" s="49">
        <f>AVERAGE('17.10 WOBULENZI-ZIROBWE'!C19,'18.10 WOBULENZI-ZIROBWE'!C19,'19.10 WOBULENZI-ZIROBWE-24h'!C19,'20.10 WOBULENZI-ZIROBWE'!C19,'21.10 WOBULENZI-ZIROBWE-24h'!C19,'22.10 WOBULENZI-ZIROBWE'!C19,'23.10 WOBULENZI-ZIROBWE'!C19)</f>
        <v>0.42857142857142855</v>
      </c>
      <c r="D19" s="49">
        <f>AVERAGE('17.10 WOBULENZI-ZIROBWE'!D19,'18.10 WOBULENZI-ZIROBWE'!D19,'19.10 WOBULENZI-ZIROBWE-24h'!D19,'20.10 WOBULENZI-ZIROBWE'!D19,'21.10 WOBULENZI-ZIROBWE-24h'!D19,'22.10 WOBULENZI-ZIROBWE'!D19,'23.10 WOBULENZI-ZIROBWE'!D19)</f>
        <v>0.2857142857142857</v>
      </c>
      <c r="E19" s="49">
        <f>AVERAGE('17.10 WOBULENZI-ZIROBWE'!E19,'18.10 WOBULENZI-ZIROBWE'!E19,'19.10 WOBULENZI-ZIROBWE-24h'!E19,'20.10 WOBULENZI-ZIROBWE'!E19,'21.10 WOBULENZI-ZIROBWE-24h'!E19,'22.10 WOBULENZI-ZIROBWE'!E19,'23.10 WOBULENZI-ZIROBWE'!E19)</f>
        <v>0.14285714285714285</v>
      </c>
      <c r="F19" s="49">
        <f>AVERAGE('17.10 WOBULENZI-ZIROBWE'!F19,'18.10 WOBULENZI-ZIROBWE'!F19,'19.10 WOBULENZI-ZIROBWE-24h'!F19,'20.10 WOBULENZI-ZIROBWE'!F19,'21.10 WOBULENZI-ZIROBWE-24h'!F19,'22.10 WOBULENZI-ZIROBWE'!F19,'23.10 WOBULENZI-ZIROBWE'!F19)</f>
        <v>0.14285714285714285</v>
      </c>
      <c r="G19" s="49">
        <f>AVERAGE('17.10 WOBULENZI-ZIROBWE'!G19,'18.10 WOBULENZI-ZIROBWE'!G19,'19.10 WOBULENZI-ZIROBWE-24h'!G19,'20.10 WOBULENZI-ZIROBWE'!G19,'21.10 WOBULENZI-ZIROBWE-24h'!G19,'22.10 WOBULENZI-ZIROBWE'!G19,'23.10 WOBULENZI-ZIROBWE'!G19)</f>
        <v>0</v>
      </c>
      <c r="H19" s="49">
        <f>AVERAGE('17.10 WOBULENZI-ZIROBWE'!H19,'18.10 WOBULENZI-ZIROBWE'!H19,'19.10 WOBULENZI-ZIROBWE-24h'!H19,'20.10 WOBULENZI-ZIROBWE'!H19,'21.10 WOBULENZI-ZIROBWE-24h'!H19,'22.10 WOBULENZI-ZIROBWE'!H19,'23.10 WOBULENZI-ZIROBWE'!H19)</f>
        <v>0</v>
      </c>
      <c r="I19" s="49">
        <f>AVERAGE('17.10 WOBULENZI-ZIROBWE'!I19,'18.10 WOBULENZI-ZIROBWE'!I19,'19.10 WOBULENZI-ZIROBWE-24h'!I19,'20.10 WOBULENZI-ZIROBWE'!I19,'21.10 WOBULENZI-ZIROBWE-24h'!I19,'22.10 WOBULENZI-ZIROBWE'!I19,'23.10 WOBULENZI-ZIROBWE'!I19)</f>
        <v>0.14285714285714285</v>
      </c>
      <c r="J19" s="49">
        <f>AVERAGE('17.10 WOBULENZI-ZIROBWE'!J19,'18.10 WOBULENZI-ZIROBWE'!J19,'19.10 WOBULENZI-ZIROBWE-24h'!J19,'20.10 WOBULENZI-ZIROBWE'!J19,'21.10 WOBULENZI-ZIROBWE-24h'!J19,'22.10 WOBULENZI-ZIROBWE'!J19,'23.10 WOBULENZI-ZIROBWE'!J19)</f>
        <v>0.42857142857142855</v>
      </c>
      <c r="K19" s="49">
        <f>AVERAGE('17.10 WOBULENZI-ZIROBWE'!K19,'18.10 WOBULENZI-ZIROBWE'!K19,'19.10 WOBULENZI-ZIROBWE-24h'!K19,'20.10 WOBULENZI-ZIROBWE'!K19,'21.10 WOBULENZI-ZIROBWE-24h'!K19,'22.10 WOBULENZI-ZIROBWE'!K19,'23.10 WOBULENZI-ZIROBWE'!K19)</f>
        <v>0.14285714285714285</v>
      </c>
      <c r="L19" s="49">
        <f>AVERAGE('17.10 WOBULENZI-ZIROBWE'!L19,'18.10 WOBULENZI-ZIROBWE'!L19,'19.10 WOBULENZI-ZIROBWE-24h'!L19,'20.10 WOBULENZI-ZIROBWE'!L19,'21.10 WOBULENZI-ZIROBWE-24h'!L19,'22.10 WOBULENZI-ZIROBWE'!L19,'23.10 WOBULENZI-ZIROBWE'!L19)</f>
        <v>0</v>
      </c>
      <c r="M19" s="49">
        <f>AVERAGE('17.10 WOBULENZI-ZIROBWE'!M19,'18.10 WOBULENZI-ZIROBWE'!M19,'19.10 WOBULENZI-ZIROBWE-24h'!M19,'20.10 WOBULENZI-ZIROBWE'!M19,'21.10 WOBULENZI-ZIROBWE-24h'!M19,'22.10 WOBULENZI-ZIROBWE'!M19,'23.10 WOBULENZI-ZIROBWE'!M19)</f>
        <v>12.428571428571429</v>
      </c>
      <c r="N19" s="49">
        <f>AVERAGE('17.10 WOBULENZI-ZIROBWE'!N19,'18.10 WOBULENZI-ZIROBWE'!N19,'19.10 WOBULENZI-ZIROBWE-24h'!N19,'20.10 WOBULENZI-ZIROBWE'!N19,'21.10 WOBULENZI-ZIROBWE-24h'!N19,'22.10 WOBULENZI-ZIROBWE'!N19,'23.10 WOBULENZI-ZIROBWE'!N19)</f>
        <v>0</v>
      </c>
      <c r="O19" s="15">
        <f t="shared" si="0"/>
        <v>1.714285714285714</v>
      </c>
      <c r="P19" s="15">
        <f t="shared" si="1"/>
        <v>14.142857142857142</v>
      </c>
      <c r="R19" s="1" t="s">
        <v>15</v>
      </c>
      <c r="S19" s="17">
        <f t="shared" ref="S19:AF19" si="11">SUM(C46:C49)</f>
        <v>3.5714285714285712</v>
      </c>
      <c r="T19" s="17">
        <f t="shared" si="11"/>
        <v>2.8571428571428568</v>
      </c>
      <c r="U19" s="17">
        <f t="shared" si="11"/>
        <v>1.714285714285714</v>
      </c>
      <c r="V19" s="17">
        <f t="shared" si="11"/>
        <v>2.8571428571428568</v>
      </c>
      <c r="W19" s="17">
        <f t="shared" si="11"/>
        <v>0.2857142857142857</v>
      </c>
      <c r="X19" s="17">
        <f t="shared" si="11"/>
        <v>0</v>
      </c>
      <c r="Y19" s="17">
        <f t="shared" si="11"/>
        <v>2</v>
      </c>
      <c r="Z19" s="17">
        <f t="shared" si="11"/>
        <v>4.5714285714285712</v>
      </c>
      <c r="AA19" s="17">
        <f t="shared" si="11"/>
        <v>0.42857142857142855</v>
      </c>
      <c r="AB19" s="17">
        <f t="shared" si="11"/>
        <v>0</v>
      </c>
      <c r="AC19" s="17">
        <f t="shared" si="11"/>
        <v>70.142857142857153</v>
      </c>
      <c r="AD19" s="17">
        <f t="shared" si="11"/>
        <v>0</v>
      </c>
      <c r="AE19" s="31">
        <f t="shared" si="11"/>
        <v>18.285714285714285</v>
      </c>
      <c r="AF19" s="31">
        <f t="shared" si="11"/>
        <v>88.428571428571431</v>
      </c>
    </row>
    <row r="20" spans="2:32" ht="23.1" customHeight="1" x14ac:dyDescent="0.25">
      <c r="B20" s="23" t="s">
        <v>47</v>
      </c>
      <c r="C20" s="49">
        <f>AVERAGE('17.10 WOBULENZI-ZIROBWE'!C20,'18.10 WOBULENZI-ZIROBWE'!C20,'19.10 WOBULENZI-ZIROBWE-24h'!C20,'20.10 WOBULENZI-ZIROBWE'!C20,'21.10 WOBULENZI-ZIROBWE-24h'!C20,'22.10 WOBULENZI-ZIROBWE'!C20,'23.10 WOBULENZI-ZIROBWE'!C20)</f>
        <v>0.7142857142857143</v>
      </c>
      <c r="D20" s="49">
        <f>AVERAGE('17.10 WOBULENZI-ZIROBWE'!D20,'18.10 WOBULENZI-ZIROBWE'!D20,'19.10 WOBULENZI-ZIROBWE-24h'!D20,'20.10 WOBULENZI-ZIROBWE'!D20,'21.10 WOBULENZI-ZIROBWE-24h'!D20,'22.10 WOBULENZI-ZIROBWE'!D20,'23.10 WOBULENZI-ZIROBWE'!D20)</f>
        <v>0.42857142857142855</v>
      </c>
      <c r="E20" s="49">
        <f>AVERAGE('17.10 WOBULENZI-ZIROBWE'!E20,'18.10 WOBULENZI-ZIROBWE'!E20,'19.10 WOBULENZI-ZIROBWE-24h'!E20,'20.10 WOBULENZI-ZIROBWE'!E20,'21.10 WOBULENZI-ZIROBWE-24h'!E20,'22.10 WOBULENZI-ZIROBWE'!E20,'23.10 WOBULENZI-ZIROBWE'!E20)</f>
        <v>0.14285714285714285</v>
      </c>
      <c r="F20" s="49">
        <f>AVERAGE('17.10 WOBULENZI-ZIROBWE'!F20,'18.10 WOBULENZI-ZIROBWE'!F20,'19.10 WOBULENZI-ZIROBWE-24h'!F20,'20.10 WOBULENZI-ZIROBWE'!F20,'21.10 WOBULENZI-ZIROBWE-24h'!F20,'22.10 WOBULENZI-ZIROBWE'!F20,'23.10 WOBULENZI-ZIROBWE'!F20)</f>
        <v>0.2857142857142857</v>
      </c>
      <c r="G20" s="49">
        <f>AVERAGE('17.10 WOBULENZI-ZIROBWE'!G20,'18.10 WOBULENZI-ZIROBWE'!G20,'19.10 WOBULENZI-ZIROBWE-24h'!G20,'20.10 WOBULENZI-ZIROBWE'!G20,'21.10 WOBULENZI-ZIROBWE-24h'!G20,'22.10 WOBULENZI-ZIROBWE'!G20,'23.10 WOBULENZI-ZIROBWE'!G20)</f>
        <v>0</v>
      </c>
      <c r="H20" s="49">
        <f>AVERAGE('17.10 WOBULENZI-ZIROBWE'!H20,'18.10 WOBULENZI-ZIROBWE'!H20,'19.10 WOBULENZI-ZIROBWE-24h'!H20,'20.10 WOBULENZI-ZIROBWE'!H20,'21.10 WOBULENZI-ZIROBWE-24h'!H20,'22.10 WOBULENZI-ZIROBWE'!H20,'23.10 WOBULENZI-ZIROBWE'!H20)</f>
        <v>0</v>
      </c>
      <c r="I20" s="49">
        <f>AVERAGE('17.10 WOBULENZI-ZIROBWE'!I20,'18.10 WOBULENZI-ZIROBWE'!I20,'19.10 WOBULENZI-ZIROBWE-24h'!I20,'20.10 WOBULENZI-ZIROBWE'!I20,'21.10 WOBULENZI-ZIROBWE-24h'!I20,'22.10 WOBULENZI-ZIROBWE'!I20,'23.10 WOBULENZI-ZIROBWE'!I20)</f>
        <v>0.5714285714285714</v>
      </c>
      <c r="J20" s="49">
        <f>AVERAGE('17.10 WOBULENZI-ZIROBWE'!J20,'18.10 WOBULENZI-ZIROBWE'!J20,'19.10 WOBULENZI-ZIROBWE-24h'!J20,'20.10 WOBULENZI-ZIROBWE'!J20,'21.10 WOBULENZI-ZIROBWE-24h'!J20,'22.10 WOBULENZI-ZIROBWE'!J20,'23.10 WOBULENZI-ZIROBWE'!J20)</f>
        <v>0.5714285714285714</v>
      </c>
      <c r="K20" s="49">
        <f>AVERAGE('17.10 WOBULENZI-ZIROBWE'!K20,'18.10 WOBULENZI-ZIROBWE'!K20,'19.10 WOBULENZI-ZIROBWE-24h'!K20,'20.10 WOBULENZI-ZIROBWE'!K20,'21.10 WOBULENZI-ZIROBWE-24h'!K20,'22.10 WOBULENZI-ZIROBWE'!K20,'23.10 WOBULENZI-ZIROBWE'!K20)</f>
        <v>0.14285714285714285</v>
      </c>
      <c r="L20" s="49">
        <f>AVERAGE('17.10 WOBULENZI-ZIROBWE'!L20,'18.10 WOBULENZI-ZIROBWE'!L20,'19.10 WOBULENZI-ZIROBWE-24h'!L20,'20.10 WOBULENZI-ZIROBWE'!L20,'21.10 WOBULENZI-ZIROBWE-24h'!L20,'22.10 WOBULENZI-ZIROBWE'!L20,'23.10 WOBULENZI-ZIROBWE'!L20)</f>
        <v>0</v>
      </c>
      <c r="M20" s="49">
        <f>AVERAGE('17.10 WOBULENZI-ZIROBWE'!M20,'18.10 WOBULENZI-ZIROBWE'!M20,'19.10 WOBULENZI-ZIROBWE-24h'!M20,'20.10 WOBULENZI-ZIROBWE'!M20,'21.10 WOBULENZI-ZIROBWE-24h'!M20,'22.10 WOBULENZI-ZIROBWE'!M20,'23.10 WOBULENZI-ZIROBWE'!M20)</f>
        <v>12.714285714285714</v>
      </c>
      <c r="N20" s="49">
        <f>AVERAGE('17.10 WOBULENZI-ZIROBWE'!N20,'18.10 WOBULENZI-ZIROBWE'!N20,'19.10 WOBULENZI-ZIROBWE-24h'!N20,'20.10 WOBULENZI-ZIROBWE'!N20,'21.10 WOBULENZI-ZIROBWE-24h'!N20,'22.10 WOBULENZI-ZIROBWE'!N20,'23.10 WOBULENZI-ZIROBWE'!N20)</f>
        <v>0</v>
      </c>
      <c r="O20" s="15">
        <f t="shared" si="0"/>
        <v>2.8571428571428563</v>
      </c>
      <c r="P20" s="15">
        <f t="shared" si="1"/>
        <v>15.571428571428569</v>
      </c>
      <c r="R20" s="1" t="s">
        <v>16</v>
      </c>
      <c r="S20" s="17">
        <f t="shared" ref="S20:AF20" si="12">SUM(C50:C53)</f>
        <v>4.5714285714285712</v>
      </c>
      <c r="T20" s="17">
        <f t="shared" si="12"/>
        <v>2.4285714285714288</v>
      </c>
      <c r="U20" s="17">
        <f t="shared" si="12"/>
        <v>1.2857142857142856</v>
      </c>
      <c r="V20" s="17">
        <f t="shared" si="12"/>
        <v>1.714285714285714</v>
      </c>
      <c r="W20" s="17">
        <f t="shared" si="12"/>
        <v>0.5714285714285714</v>
      </c>
      <c r="X20" s="17">
        <f t="shared" si="12"/>
        <v>0.2857142857142857</v>
      </c>
      <c r="Y20" s="17">
        <f t="shared" si="12"/>
        <v>2.2857142857142856</v>
      </c>
      <c r="Z20" s="17">
        <f t="shared" si="12"/>
        <v>4.2857142857142865</v>
      </c>
      <c r="AA20" s="17">
        <f t="shared" si="12"/>
        <v>0</v>
      </c>
      <c r="AB20" s="17">
        <f t="shared" si="12"/>
        <v>0</v>
      </c>
      <c r="AC20" s="17">
        <f t="shared" si="12"/>
        <v>71</v>
      </c>
      <c r="AD20" s="17">
        <f t="shared" si="12"/>
        <v>0</v>
      </c>
      <c r="AE20" s="31">
        <f t="shared" si="12"/>
        <v>17.428571428571427</v>
      </c>
      <c r="AF20" s="31">
        <f t="shared" si="12"/>
        <v>88.428571428571416</v>
      </c>
    </row>
    <row r="21" spans="2:32" ht="23.1" customHeight="1" x14ac:dyDescent="0.25">
      <c r="B21" s="23" t="s">
        <v>48</v>
      </c>
      <c r="C21" s="49">
        <f>AVERAGE('17.10 WOBULENZI-ZIROBWE'!C21,'18.10 WOBULENZI-ZIROBWE'!C21,'19.10 WOBULENZI-ZIROBWE-24h'!C21,'20.10 WOBULENZI-ZIROBWE'!C21,'21.10 WOBULENZI-ZIROBWE-24h'!C21,'22.10 WOBULENZI-ZIROBWE'!C21,'23.10 WOBULENZI-ZIROBWE'!C21)</f>
        <v>0.14285714285714285</v>
      </c>
      <c r="D21" s="49">
        <f>AVERAGE('17.10 WOBULENZI-ZIROBWE'!D21,'18.10 WOBULENZI-ZIROBWE'!D21,'19.10 WOBULENZI-ZIROBWE-24h'!D21,'20.10 WOBULENZI-ZIROBWE'!D21,'21.10 WOBULENZI-ZIROBWE-24h'!D21,'22.10 WOBULENZI-ZIROBWE'!D21,'23.10 WOBULENZI-ZIROBWE'!D21)</f>
        <v>0</v>
      </c>
      <c r="E21" s="49">
        <f>AVERAGE('17.10 WOBULENZI-ZIROBWE'!E21,'18.10 WOBULENZI-ZIROBWE'!E21,'19.10 WOBULENZI-ZIROBWE-24h'!E21,'20.10 WOBULENZI-ZIROBWE'!E21,'21.10 WOBULENZI-ZIROBWE-24h'!E21,'22.10 WOBULENZI-ZIROBWE'!E21,'23.10 WOBULENZI-ZIROBWE'!E21)</f>
        <v>0</v>
      </c>
      <c r="F21" s="49">
        <f>AVERAGE('17.10 WOBULENZI-ZIROBWE'!F21,'18.10 WOBULENZI-ZIROBWE'!F21,'19.10 WOBULENZI-ZIROBWE-24h'!F21,'20.10 WOBULENZI-ZIROBWE'!F21,'21.10 WOBULENZI-ZIROBWE-24h'!F21,'22.10 WOBULENZI-ZIROBWE'!F21,'23.10 WOBULENZI-ZIROBWE'!F21)</f>
        <v>0.14285714285714285</v>
      </c>
      <c r="G21" s="49">
        <f>AVERAGE('17.10 WOBULENZI-ZIROBWE'!G21,'18.10 WOBULENZI-ZIROBWE'!G21,'19.10 WOBULENZI-ZIROBWE-24h'!G21,'20.10 WOBULENZI-ZIROBWE'!G21,'21.10 WOBULENZI-ZIROBWE-24h'!G21,'22.10 WOBULENZI-ZIROBWE'!G21,'23.10 WOBULENZI-ZIROBWE'!G21)</f>
        <v>0</v>
      </c>
      <c r="H21" s="49">
        <f>AVERAGE('17.10 WOBULENZI-ZIROBWE'!H21,'18.10 WOBULENZI-ZIROBWE'!H21,'19.10 WOBULENZI-ZIROBWE-24h'!H21,'20.10 WOBULENZI-ZIROBWE'!H21,'21.10 WOBULENZI-ZIROBWE-24h'!H21,'22.10 WOBULENZI-ZIROBWE'!H21,'23.10 WOBULENZI-ZIROBWE'!H21)</f>
        <v>0</v>
      </c>
      <c r="I21" s="49">
        <f>AVERAGE('17.10 WOBULENZI-ZIROBWE'!I21,'18.10 WOBULENZI-ZIROBWE'!I21,'19.10 WOBULENZI-ZIROBWE-24h'!I21,'20.10 WOBULENZI-ZIROBWE'!I21,'21.10 WOBULENZI-ZIROBWE-24h'!I21,'22.10 WOBULENZI-ZIROBWE'!I21,'23.10 WOBULENZI-ZIROBWE'!I21)</f>
        <v>0</v>
      </c>
      <c r="J21" s="49">
        <f>AVERAGE('17.10 WOBULENZI-ZIROBWE'!J21,'18.10 WOBULENZI-ZIROBWE'!J21,'19.10 WOBULENZI-ZIROBWE-24h'!J21,'20.10 WOBULENZI-ZIROBWE'!J21,'21.10 WOBULENZI-ZIROBWE-24h'!J21,'22.10 WOBULENZI-ZIROBWE'!J21,'23.10 WOBULENZI-ZIROBWE'!J21)</f>
        <v>0.8571428571428571</v>
      </c>
      <c r="K21" s="49">
        <f>AVERAGE('17.10 WOBULENZI-ZIROBWE'!K21,'18.10 WOBULENZI-ZIROBWE'!K21,'19.10 WOBULENZI-ZIROBWE-24h'!K21,'20.10 WOBULENZI-ZIROBWE'!K21,'21.10 WOBULENZI-ZIROBWE-24h'!K21,'22.10 WOBULENZI-ZIROBWE'!K21,'23.10 WOBULENZI-ZIROBWE'!K21)</f>
        <v>0.14285714285714285</v>
      </c>
      <c r="L21" s="49">
        <f>AVERAGE('17.10 WOBULENZI-ZIROBWE'!L21,'18.10 WOBULENZI-ZIROBWE'!L21,'19.10 WOBULENZI-ZIROBWE-24h'!L21,'20.10 WOBULENZI-ZIROBWE'!L21,'21.10 WOBULENZI-ZIROBWE-24h'!L21,'22.10 WOBULENZI-ZIROBWE'!L21,'23.10 WOBULENZI-ZIROBWE'!L21)</f>
        <v>0</v>
      </c>
      <c r="M21" s="49">
        <f>AVERAGE('17.10 WOBULENZI-ZIROBWE'!M21,'18.10 WOBULENZI-ZIROBWE'!M21,'19.10 WOBULENZI-ZIROBWE-24h'!M21,'20.10 WOBULENZI-ZIROBWE'!M21,'21.10 WOBULENZI-ZIROBWE-24h'!M21,'22.10 WOBULENZI-ZIROBWE'!M21,'23.10 WOBULENZI-ZIROBWE'!M21)</f>
        <v>13.714285714285714</v>
      </c>
      <c r="N21" s="49">
        <f>AVERAGE('17.10 WOBULENZI-ZIROBWE'!N21,'18.10 WOBULENZI-ZIROBWE'!N21,'19.10 WOBULENZI-ZIROBWE-24h'!N21,'20.10 WOBULENZI-ZIROBWE'!N21,'21.10 WOBULENZI-ZIROBWE-24h'!N21,'22.10 WOBULENZI-ZIROBWE'!N21,'23.10 WOBULENZI-ZIROBWE'!N21)</f>
        <v>0</v>
      </c>
      <c r="O21" s="15">
        <f t="shared" si="0"/>
        <v>1.2857142857142856</v>
      </c>
      <c r="P21" s="15">
        <f t="shared" si="1"/>
        <v>15</v>
      </c>
      <c r="R21" s="36" t="s">
        <v>20</v>
      </c>
      <c r="S21" s="34">
        <f t="shared" ref="S21:AF21" si="13">SUM(C54:C57)</f>
        <v>4.4285714285714279</v>
      </c>
      <c r="T21" s="17">
        <f t="shared" si="13"/>
        <v>1.7142857142857142</v>
      </c>
      <c r="U21" s="17">
        <f t="shared" si="13"/>
        <v>1.9999999999999998</v>
      </c>
      <c r="V21" s="17">
        <f t="shared" si="13"/>
        <v>2.1428571428571428</v>
      </c>
      <c r="W21" s="17">
        <f t="shared" si="13"/>
        <v>1</v>
      </c>
      <c r="X21" s="17">
        <f t="shared" si="13"/>
        <v>0</v>
      </c>
      <c r="Y21" s="17">
        <f t="shared" si="13"/>
        <v>1.7142857142857144</v>
      </c>
      <c r="Z21" s="17">
        <f t="shared" si="13"/>
        <v>2.5714285714285712</v>
      </c>
      <c r="AA21" s="17">
        <f t="shared" si="13"/>
        <v>0</v>
      </c>
      <c r="AB21" s="17">
        <f t="shared" si="13"/>
        <v>0</v>
      </c>
      <c r="AC21" s="17">
        <f t="shared" si="13"/>
        <v>83.571428571428569</v>
      </c>
      <c r="AD21" s="17">
        <f t="shared" si="13"/>
        <v>0.14285714285714285</v>
      </c>
      <c r="AE21" s="31">
        <f t="shared" si="13"/>
        <v>15.714285714285715</v>
      </c>
      <c r="AF21" s="31">
        <f t="shared" si="13"/>
        <v>99.285714285714278</v>
      </c>
    </row>
    <row r="22" spans="2:32" ht="23.1" customHeight="1" x14ac:dyDescent="0.25">
      <c r="B22" s="23" t="s">
        <v>49</v>
      </c>
      <c r="C22" s="49">
        <f>AVERAGE('17.10 WOBULENZI-ZIROBWE'!C22,'18.10 WOBULENZI-ZIROBWE'!C22,'19.10 WOBULENZI-ZIROBWE-24h'!C22,'20.10 WOBULENZI-ZIROBWE'!C22,'21.10 WOBULENZI-ZIROBWE-24h'!C22,'22.10 WOBULENZI-ZIROBWE'!C22,'23.10 WOBULENZI-ZIROBWE'!C22)</f>
        <v>1</v>
      </c>
      <c r="D22" s="49">
        <f>AVERAGE('17.10 WOBULENZI-ZIROBWE'!D22,'18.10 WOBULENZI-ZIROBWE'!D22,'19.10 WOBULENZI-ZIROBWE-24h'!D22,'20.10 WOBULENZI-ZIROBWE'!D22,'21.10 WOBULENZI-ZIROBWE-24h'!D22,'22.10 WOBULENZI-ZIROBWE'!D22,'23.10 WOBULENZI-ZIROBWE'!D22)</f>
        <v>0.2857142857142857</v>
      </c>
      <c r="E22" s="49">
        <f>AVERAGE('17.10 WOBULENZI-ZIROBWE'!E22,'18.10 WOBULENZI-ZIROBWE'!E22,'19.10 WOBULENZI-ZIROBWE-24h'!E22,'20.10 WOBULENZI-ZIROBWE'!E22,'21.10 WOBULENZI-ZIROBWE-24h'!E22,'22.10 WOBULENZI-ZIROBWE'!E22,'23.10 WOBULENZI-ZIROBWE'!E22)</f>
        <v>0.14285714285714285</v>
      </c>
      <c r="F22" s="49">
        <f>AVERAGE('17.10 WOBULENZI-ZIROBWE'!F22,'18.10 WOBULENZI-ZIROBWE'!F22,'19.10 WOBULENZI-ZIROBWE-24h'!F22,'20.10 WOBULENZI-ZIROBWE'!F22,'21.10 WOBULENZI-ZIROBWE-24h'!F22,'22.10 WOBULENZI-ZIROBWE'!F22,'23.10 WOBULENZI-ZIROBWE'!F22)</f>
        <v>0</v>
      </c>
      <c r="G22" s="49">
        <f>AVERAGE('17.10 WOBULENZI-ZIROBWE'!G22,'18.10 WOBULENZI-ZIROBWE'!G22,'19.10 WOBULENZI-ZIROBWE-24h'!G22,'20.10 WOBULENZI-ZIROBWE'!G22,'21.10 WOBULENZI-ZIROBWE-24h'!G22,'22.10 WOBULENZI-ZIROBWE'!G22,'23.10 WOBULENZI-ZIROBWE'!G22)</f>
        <v>0</v>
      </c>
      <c r="H22" s="49">
        <f>AVERAGE('17.10 WOBULENZI-ZIROBWE'!H22,'18.10 WOBULENZI-ZIROBWE'!H22,'19.10 WOBULENZI-ZIROBWE-24h'!H22,'20.10 WOBULENZI-ZIROBWE'!H22,'21.10 WOBULENZI-ZIROBWE-24h'!H22,'22.10 WOBULENZI-ZIROBWE'!H22,'23.10 WOBULENZI-ZIROBWE'!H22)</f>
        <v>0</v>
      </c>
      <c r="I22" s="49">
        <f>AVERAGE('17.10 WOBULENZI-ZIROBWE'!I22,'18.10 WOBULENZI-ZIROBWE'!I22,'19.10 WOBULENZI-ZIROBWE-24h'!I22,'20.10 WOBULENZI-ZIROBWE'!I22,'21.10 WOBULENZI-ZIROBWE-24h'!I22,'22.10 WOBULENZI-ZIROBWE'!I22,'23.10 WOBULENZI-ZIROBWE'!I22)</f>
        <v>0.8571428571428571</v>
      </c>
      <c r="J22" s="49">
        <f>AVERAGE('17.10 WOBULENZI-ZIROBWE'!J22,'18.10 WOBULENZI-ZIROBWE'!J22,'19.10 WOBULENZI-ZIROBWE-24h'!J22,'20.10 WOBULENZI-ZIROBWE'!J22,'21.10 WOBULENZI-ZIROBWE-24h'!J22,'22.10 WOBULENZI-ZIROBWE'!J22,'23.10 WOBULENZI-ZIROBWE'!J22)</f>
        <v>0.42857142857142855</v>
      </c>
      <c r="K22" s="49">
        <f>AVERAGE('17.10 WOBULENZI-ZIROBWE'!K22,'18.10 WOBULENZI-ZIROBWE'!K22,'19.10 WOBULENZI-ZIROBWE-24h'!K22,'20.10 WOBULENZI-ZIROBWE'!K22,'21.10 WOBULENZI-ZIROBWE-24h'!K22,'22.10 WOBULENZI-ZIROBWE'!K22,'23.10 WOBULENZI-ZIROBWE'!K22)</f>
        <v>0</v>
      </c>
      <c r="L22" s="49">
        <f>AVERAGE('17.10 WOBULENZI-ZIROBWE'!L22,'18.10 WOBULENZI-ZIROBWE'!L22,'19.10 WOBULENZI-ZIROBWE-24h'!L22,'20.10 WOBULENZI-ZIROBWE'!L22,'21.10 WOBULENZI-ZIROBWE-24h'!L22,'22.10 WOBULENZI-ZIROBWE'!L22,'23.10 WOBULENZI-ZIROBWE'!L22)</f>
        <v>0</v>
      </c>
      <c r="M22" s="49">
        <f>AVERAGE('17.10 WOBULENZI-ZIROBWE'!M22,'18.10 WOBULENZI-ZIROBWE'!M22,'19.10 WOBULENZI-ZIROBWE-24h'!M22,'20.10 WOBULENZI-ZIROBWE'!M22,'21.10 WOBULENZI-ZIROBWE-24h'!M22,'22.10 WOBULENZI-ZIROBWE'!M22,'23.10 WOBULENZI-ZIROBWE'!M22)</f>
        <v>20.714285714285715</v>
      </c>
      <c r="N22" s="49">
        <f>AVERAGE('17.10 WOBULENZI-ZIROBWE'!N22,'18.10 WOBULENZI-ZIROBWE'!N22,'19.10 WOBULENZI-ZIROBWE-24h'!N22,'20.10 WOBULENZI-ZIROBWE'!N22,'21.10 WOBULENZI-ZIROBWE-24h'!N22,'22.10 WOBULENZI-ZIROBWE'!N22,'23.10 WOBULENZI-ZIROBWE'!N22)</f>
        <v>0</v>
      </c>
      <c r="O22" s="15">
        <f t="shared" si="0"/>
        <v>2.714285714285714</v>
      </c>
      <c r="P22" s="15">
        <f t="shared" si="1"/>
        <v>23.428571428571431</v>
      </c>
      <c r="R22" s="1" t="s">
        <v>146</v>
      </c>
      <c r="S22" s="34">
        <f>SUM(C58:C61)</f>
        <v>3.5</v>
      </c>
      <c r="T22" s="34">
        <f t="shared" ref="T22:AF22" si="14">SUM(D58:D61)</f>
        <v>2.5</v>
      </c>
      <c r="U22" s="34">
        <f t="shared" si="14"/>
        <v>0</v>
      </c>
      <c r="V22" s="34">
        <f t="shared" si="14"/>
        <v>1</v>
      </c>
      <c r="W22" s="34">
        <f t="shared" si="14"/>
        <v>0</v>
      </c>
      <c r="X22" s="34">
        <f t="shared" si="14"/>
        <v>0</v>
      </c>
      <c r="Y22" s="34">
        <f t="shared" si="14"/>
        <v>0.5</v>
      </c>
      <c r="Z22" s="34">
        <f t="shared" si="14"/>
        <v>3</v>
      </c>
      <c r="AA22" s="34">
        <f t="shared" si="14"/>
        <v>0</v>
      </c>
      <c r="AB22" s="34">
        <f t="shared" si="14"/>
        <v>0</v>
      </c>
      <c r="AC22" s="34">
        <f t="shared" si="14"/>
        <v>96.5</v>
      </c>
      <c r="AD22" s="34">
        <f t="shared" si="14"/>
        <v>0</v>
      </c>
      <c r="AE22" s="31">
        <f t="shared" si="14"/>
        <v>10.5</v>
      </c>
      <c r="AF22" s="31">
        <f t="shared" si="14"/>
        <v>107</v>
      </c>
    </row>
    <row r="23" spans="2:32" ht="23.1" customHeight="1" x14ac:dyDescent="0.25">
      <c r="B23" s="23" t="s">
        <v>50</v>
      </c>
      <c r="C23" s="49">
        <f>AVERAGE('17.10 WOBULENZI-ZIROBWE'!C23,'18.10 WOBULENZI-ZIROBWE'!C23,'19.10 WOBULENZI-ZIROBWE-24h'!C23,'20.10 WOBULENZI-ZIROBWE'!C23,'21.10 WOBULENZI-ZIROBWE-24h'!C23,'22.10 WOBULENZI-ZIROBWE'!C23,'23.10 WOBULENZI-ZIROBWE'!C23)</f>
        <v>0.14285714285714285</v>
      </c>
      <c r="D23" s="49">
        <f>AVERAGE('17.10 WOBULENZI-ZIROBWE'!D23,'18.10 WOBULENZI-ZIROBWE'!D23,'19.10 WOBULENZI-ZIROBWE-24h'!D23,'20.10 WOBULENZI-ZIROBWE'!D23,'21.10 WOBULENZI-ZIROBWE-24h'!D23,'22.10 WOBULENZI-ZIROBWE'!D23,'23.10 WOBULENZI-ZIROBWE'!D23)</f>
        <v>0</v>
      </c>
      <c r="E23" s="49">
        <f>AVERAGE('17.10 WOBULENZI-ZIROBWE'!E23,'18.10 WOBULENZI-ZIROBWE'!E23,'19.10 WOBULENZI-ZIROBWE-24h'!E23,'20.10 WOBULENZI-ZIROBWE'!E23,'21.10 WOBULENZI-ZIROBWE-24h'!E23,'22.10 WOBULENZI-ZIROBWE'!E23,'23.10 WOBULENZI-ZIROBWE'!E23)</f>
        <v>0</v>
      </c>
      <c r="F23" s="49">
        <f>AVERAGE('17.10 WOBULENZI-ZIROBWE'!F23,'18.10 WOBULENZI-ZIROBWE'!F23,'19.10 WOBULENZI-ZIROBWE-24h'!F23,'20.10 WOBULENZI-ZIROBWE'!F23,'21.10 WOBULENZI-ZIROBWE-24h'!F23,'22.10 WOBULENZI-ZIROBWE'!F23,'23.10 WOBULENZI-ZIROBWE'!F23)</f>
        <v>0.2857142857142857</v>
      </c>
      <c r="G23" s="49">
        <f>AVERAGE('17.10 WOBULENZI-ZIROBWE'!G23,'18.10 WOBULENZI-ZIROBWE'!G23,'19.10 WOBULENZI-ZIROBWE-24h'!G23,'20.10 WOBULENZI-ZIROBWE'!G23,'21.10 WOBULENZI-ZIROBWE-24h'!G23,'22.10 WOBULENZI-ZIROBWE'!G23,'23.10 WOBULENZI-ZIROBWE'!G23)</f>
        <v>0</v>
      </c>
      <c r="H23" s="49">
        <f>AVERAGE('17.10 WOBULENZI-ZIROBWE'!H23,'18.10 WOBULENZI-ZIROBWE'!H23,'19.10 WOBULENZI-ZIROBWE-24h'!H23,'20.10 WOBULENZI-ZIROBWE'!H23,'21.10 WOBULENZI-ZIROBWE-24h'!H23,'22.10 WOBULENZI-ZIROBWE'!H23,'23.10 WOBULENZI-ZIROBWE'!H23)</f>
        <v>0</v>
      </c>
      <c r="I23" s="49">
        <f>AVERAGE('17.10 WOBULENZI-ZIROBWE'!I23,'18.10 WOBULENZI-ZIROBWE'!I23,'19.10 WOBULENZI-ZIROBWE-24h'!I23,'20.10 WOBULENZI-ZIROBWE'!I23,'21.10 WOBULENZI-ZIROBWE-24h'!I23,'22.10 WOBULENZI-ZIROBWE'!I23,'23.10 WOBULENZI-ZIROBWE'!I23)</f>
        <v>0.5714285714285714</v>
      </c>
      <c r="J23" s="49">
        <f>AVERAGE('17.10 WOBULENZI-ZIROBWE'!J23,'18.10 WOBULENZI-ZIROBWE'!J23,'19.10 WOBULENZI-ZIROBWE-24h'!J23,'20.10 WOBULENZI-ZIROBWE'!J23,'21.10 WOBULENZI-ZIROBWE-24h'!J23,'22.10 WOBULENZI-ZIROBWE'!J23,'23.10 WOBULENZI-ZIROBWE'!J23)</f>
        <v>0.2857142857142857</v>
      </c>
      <c r="K23" s="49">
        <f>AVERAGE('17.10 WOBULENZI-ZIROBWE'!K23,'18.10 WOBULENZI-ZIROBWE'!K23,'19.10 WOBULENZI-ZIROBWE-24h'!K23,'20.10 WOBULENZI-ZIROBWE'!K23,'21.10 WOBULENZI-ZIROBWE-24h'!K23,'22.10 WOBULENZI-ZIROBWE'!K23,'23.10 WOBULENZI-ZIROBWE'!K23)</f>
        <v>0</v>
      </c>
      <c r="L23" s="49">
        <f>AVERAGE('17.10 WOBULENZI-ZIROBWE'!L23,'18.10 WOBULENZI-ZIROBWE'!L23,'19.10 WOBULENZI-ZIROBWE-24h'!L23,'20.10 WOBULENZI-ZIROBWE'!L23,'21.10 WOBULENZI-ZIROBWE-24h'!L23,'22.10 WOBULENZI-ZIROBWE'!L23,'23.10 WOBULENZI-ZIROBWE'!L23)</f>
        <v>0</v>
      </c>
      <c r="M23" s="49">
        <f>AVERAGE('17.10 WOBULENZI-ZIROBWE'!M23,'18.10 WOBULENZI-ZIROBWE'!M23,'19.10 WOBULENZI-ZIROBWE-24h'!M23,'20.10 WOBULENZI-ZIROBWE'!M23,'21.10 WOBULENZI-ZIROBWE-24h'!M23,'22.10 WOBULENZI-ZIROBWE'!M23,'23.10 WOBULENZI-ZIROBWE'!M23)</f>
        <v>14.285714285714286</v>
      </c>
      <c r="N23" s="49">
        <f>AVERAGE('17.10 WOBULENZI-ZIROBWE'!N23,'18.10 WOBULENZI-ZIROBWE'!N23,'19.10 WOBULENZI-ZIROBWE-24h'!N23,'20.10 WOBULENZI-ZIROBWE'!N23,'21.10 WOBULENZI-ZIROBWE-24h'!N23,'22.10 WOBULENZI-ZIROBWE'!N23,'23.10 WOBULENZI-ZIROBWE'!N23)</f>
        <v>0</v>
      </c>
      <c r="O23" s="15">
        <f t="shared" si="0"/>
        <v>1.2857142857142856</v>
      </c>
      <c r="P23" s="15">
        <f t="shared" si="1"/>
        <v>15.571428571428573</v>
      </c>
      <c r="R23" s="1" t="s">
        <v>147</v>
      </c>
      <c r="S23" s="34">
        <f>SUM(C62:C65)</f>
        <v>2.5</v>
      </c>
      <c r="T23" s="34">
        <f t="shared" ref="T23:AF23" si="15">SUM(D62:D65)</f>
        <v>0.5</v>
      </c>
      <c r="U23" s="34">
        <f t="shared" si="15"/>
        <v>0.5</v>
      </c>
      <c r="V23" s="34">
        <f t="shared" si="15"/>
        <v>0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0.5</v>
      </c>
      <c r="AA23" s="34">
        <f t="shared" si="15"/>
        <v>0</v>
      </c>
      <c r="AB23" s="34">
        <f t="shared" si="15"/>
        <v>0</v>
      </c>
      <c r="AC23" s="34">
        <f t="shared" si="15"/>
        <v>79</v>
      </c>
      <c r="AD23" s="34">
        <f t="shared" si="15"/>
        <v>0</v>
      </c>
      <c r="AE23" s="31">
        <f t="shared" si="15"/>
        <v>4</v>
      </c>
      <c r="AF23" s="31">
        <f t="shared" si="15"/>
        <v>83</v>
      </c>
    </row>
    <row r="24" spans="2:32" ht="23.1" customHeight="1" x14ac:dyDescent="0.25">
      <c r="B24" s="23" t="s">
        <v>51</v>
      </c>
      <c r="C24" s="49">
        <f>AVERAGE('17.10 WOBULENZI-ZIROBWE'!C24,'18.10 WOBULENZI-ZIROBWE'!C24,'19.10 WOBULENZI-ZIROBWE-24h'!C24,'20.10 WOBULENZI-ZIROBWE'!C24,'21.10 WOBULENZI-ZIROBWE-24h'!C24,'22.10 WOBULENZI-ZIROBWE'!C24,'23.10 WOBULENZI-ZIROBWE'!C24)</f>
        <v>0.2857142857142857</v>
      </c>
      <c r="D24" s="49">
        <f>AVERAGE('17.10 WOBULENZI-ZIROBWE'!D24,'18.10 WOBULENZI-ZIROBWE'!D24,'19.10 WOBULENZI-ZIROBWE-24h'!D24,'20.10 WOBULENZI-ZIROBWE'!D24,'21.10 WOBULENZI-ZIROBWE-24h'!D24,'22.10 WOBULENZI-ZIROBWE'!D24,'23.10 WOBULENZI-ZIROBWE'!D24)</f>
        <v>0.14285714285714285</v>
      </c>
      <c r="E24" s="49">
        <f>AVERAGE('17.10 WOBULENZI-ZIROBWE'!E24,'18.10 WOBULENZI-ZIROBWE'!E24,'19.10 WOBULENZI-ZIROBWE-24h'!E24,'20.10 WOBULENZI-ZIROBWE'!E24,'21.10 WOBULENZI-ZIROBWE-24h'!E24,'22.10 WOBULENZI-ZIROBWE'!E24,'23.10 WOBULENZI-ZIROBWE'!E24)</f>
        <v>0.2857142857142857</v>
      </c>
      <c r="F24" s="49">
        <f>AVERAGE('17.10 WOBULENZI-ZIROBWE'!F24,'18.10 WOBULENZI-ZIROBWE'!F24,'19.10 WOBULENZI-ZIROBWE-24h'!F24,'20.10 WOBULENZI-ZIROBWE'!F24,'21.10 WOBULENZI-ZIROBWE-24h'!F24,'22.10 WOBULENZI-ZIROBWE'!F24,'23.10 WOBULENZI-ZIROBWE'!F24)</f>
        <v>0.14285714285714285</v>
      </c>
      <c r="G24" s="49">
        <f>AVERAGE('17.10 WOBULENZI-ZIROBWE'!G24,'18.10 WOBULENZI-ZIROBWE'!G24,'19.10 WOBULENZI-ZIROBWE-24h'!G24,'20.10 WOBULENZI-ZIROBWE'!G24,'21.10 WOBULENZI-ZIROBWE-24h'!G24,'22.10 WOBULENZI-ZIROBWE'!G24,'23.10 WOBULENZI-ZIROBWE'!G24)</f>
        <v>0</v>
      </c>
      <c r="H24" s="49">
        <f>AVERAGE('17.10 WOBULENZI-ZIROBWE'!H24,'18.10 WOBULENZI-ZIROBWE'!H24,'19.10 WOBULENZI-ZIROBWE-24h'!H24,'20.10 WOBULENZI-ZIROBWE'!H24,'21.10 WOBULENZI-ZIROBWE-24h'!H24,'22.10 WOBULENZI-ZIROBWE'!H24,'23.10 WOBULENZI-ZIROBWE'!H24)</f>
        <v>0</v>
      </c>
      <c r="I24" s="49">
        <f>AVERAGE('17.10 WOBULENZI-ZIROBWE'!I24,'18.10 WOBULENZI-ZIROBWE'!I24,'19.10 WOBULENZI-ZIROBWE-24h'!I24,'20.10 WOBULENZI-ZIROBWE'!I24,'21.10 WOBULENZI-ZIROBWE-24h'!I24,'22.10 WOBULENZI-ZIROBWE'!I24,'23.10 WOBULENZI-ZIROBWE'!I24)</f>
        <v>0.42857142857142855</v>
      </c>
      <c r="J24" s="49">
        <f>AVERAGE('17.10 WOBULENZI-ZIROBWE'!J24,'18.10 WOBULENZI-ZIROBWE'!J24,'19.10 WOBULENZI-ZIROBWE-24h'!J24,'20.10 WOBULENZI-ZIROBWE'!J24,'21.10 WOBULENZI-ZIROBWE-24h'!J24,'22.10 WOBULENZI-ZIROBWE'!J24,'23.10 WOBULENZI-ZIROBWE'!J24)</f>
        <v>0.5714285714285714</v>
      </c>
      <c r="K24" s="49">
        <f>AVERAGE('17.10 WOBULENZI-ZIROBWE'!K24,'18.10 WOBULENZI-ZIROBWE'!K24,'19.10 WOBULENZI-ZIROBWE-24h'!K24,'20.10 WOBULENZI-ZIROBWE'!K24,'21.10 WOBULENZI-ZIROBWE-24h'!K24,'22.10 WOBULENZI-ZIROBWE'!K24,'23.10 WOBULENZI-ZIROBWE'!K24)</f>
        <v>0.14285714285714285</v>
      </c>
      <c r="L24" s="49">
        <f>AVERAGE('17.10 WOBULENZI-ZIROBWE'!L24,'18.10 WOBULENZI-ZIROBWE'!L24,'19.10 WOBULENZI-ZIROBWE-24h'!L24,'20.10 WOBULENZI-ZIROBWE'!L24,'21.10 WOBULENZI-ZIROBWE-24h'!L24,'22.10 WOBULENZI-ZIROBWE'!L24,'23.10 WOBULENZI-ZIROBWE'!L24)</f>
        <v>0</v>
      </c>
      <c r="M24" s="49">
        <f>AVERAGE('17.10 WOBULENZI-ZIROBWE'!M24,'18.10 WOBULENZI-ZIROBWE'!M24,'19.10 WOBULENZI-ZIROBWE-24h'!M24,'20.10 WOBULENZI-ZIROBWE'!M24,'21.10 WOBULENZI-ZIROBWE-24h'!M24,'22.10 WOBULENZI-ZIROBWE'!M24,'23.10 WOBULENZI-ZIROBWE'!M24)</f>
        <v>15</v>
      </c>
      <c r="N24" s="49">
        <f>AVERAGE('17.10 WOBULENZI-ZIROBWE'!N24,'18.10 WOBULENZI-ZIROBWE'!N24,'19.10 WOBULENZI-ZIROBWE-24h'!N24,'20.10 WOBULENZI-ZIROBWE'!N24,'21.10 WOBULENZI-ZIROBWE-24h'!N24,'22.10 WOBULENZI-ZIROBWE'!N24,'23.10 WOBULENZI-ZIROBWE'!N24)</f>
        <v>0</v>
      </c>
      <c r="O24" s="15">
        <f t="shared" si="0"/>
        <v>1.9999999999999998</v>
      </c>
      <c r="P24" s="15">
        <f t="shared" si="1"/>
        <v>17</v>
      </c>
      <c r="R24" s="1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2</v>
      </c>
      <c r="W24" s="34">
        <f t="shared" si="16"/>
        <v>0</v>
      </c>
      <c r="X24" s="34">
        <f t="shared" si="16"/>
        <v>0</v>
      </c>
      <c r="Y24" s="34">
        <f t="shared" si="16"/>
        <v>0.5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35</v>
      </c>
      <c r="AD24" s="34">
        <f t="shared" si="16"/>
        <v>0</v>
      </c>
      <c r="AE24" s="31">
        <f t="shared" si="16"/>
        <v>5.5</v>
      </c>
      <c r="AF24" s="31">
        <f t="shared" si="16"/>
        <v>40.5</v>
      </c>
    </row>
    <row r="25" spans="2:32" ht="23.1" customHeight="1" x14ac:dyDescent="0.25">
      <c r="B25" s="23" t="s">
        <v>52</v>
      </c>
      <c r="C25" s="49">
        <f>AVERAGE('17.10 WOBULENZI-ZIROBWE'!C25,'18.10 WOBULENZI-ZIROBWE'!C25,'19.10 WOBULENZI-ZIROBWE-24h'!C25,'20.10 WOBULENZI-ZIROBWE'!C25,'21.10 WOBULENZI-ZIROBWE-24h'!C25,'22.10 WOBULENZI-ZIROBWE'!C25,'23.10 WOBULENZI-ZIROBWE'!C25)</f>
        <v>0.5714285714285714</v>
      </c>
      <c r="D25" s="49">
        <f>AVERAGE('17.10 WOBULENZI-ZIROBWE'!D25,'18.10 WOBULENZI-ZIROBWE'!D25,'19.10 WOBULENZI-ZIROBWE-24h'!D25,'20.10 WOBULENZI-ZIROBWE'!D25,'21.10 WOBULENZI-ZIROBWE-24h'!D25,'22.10 WOBULENZI-ZIROBWE'!D25,'23.10 WOBULENZI-ZIROBWE'!D25)</f>
        <v>0.14285714285714285</v>
      </c>
      <c r="E25" s="49">
        <f>AVERAGE('17.10 WOBULENZI-ZIROBWE'!E25,'18.10 WOBULENZI-ZIROBWE'!E25,'19.10 WOBULENZI-ZIROBWE-24h'!E25,'20.10 WOBULENZI-ZIROBWE'!E25,'21.10 WOBULENZI-ZIROBWE-24h'!E25,'22.10 WOBULENZI-ZIROBWE'!E25,'23.10 WOBULENZI-ZIROBWE'!E25)</f>
        <v>0.42857142857142855</v>
      </c>
      <c r="F25" s="49">
        <f>AVERAGE('17.10 WOBULENZI-ZIROBWE'!F25,'18.10 WOBULENZI-ZIROBWE'!F25,'19.10 WOBULENZI-ZIROBWE-24h'!F25,'20.10 WOBULENZI-ZIROBWE'!F25,'21.10 WOBULENZI-ZIROBWE-24h'!F25,'22.10 WOBULENZI-ZIROBWE'!F25,'23.10 WOBULENZI-ZIROBWE'!F25)</f>
        <v>0.2857142857142857</v>
      </c>
      <c r="G25" s="49">
        <f>AVERAGE('17.10 WOBULENZI-ZIROBWE'!G25,'18.10 WOBULENZI-ZIROBWE'!G25,'19.10 WOBULENZI-ZIROBWE-24h'!G25,'20.10 WOBULENZI-ZIROBWE'!G25,'21.10 WOBULENZI-ZIROBWE-24h'!G25,'22.10 WOBULENZI-ZIROBWE'!G25,'23.10 WOBULENZI-ZIROBWE'!G25)</f>
        <v>0</v>
      </c>
      <c r="H25" s="49">
        <f>AVERAGE('17.10 WOBULENZI-ZIROBWE'!H25,'18.10 WOBULENZI-ZIROBWE'!H25,'19.10 WOBULENZI-ZIROBWE-24h'!H25,'20.10 WOBULENZI-ZIROBWE'!H25,'21.10 WOBULENZI-ZIROBWE-24h'!H25,'22.10 WOBULENZI-ZIROBWE'!H25,'23.10 WOBULENZI-ZIROBWE'!H25)</f>
        <v>0</v>
      </c>
      <c r="I25" s="49">
        <f>AVERAGE('17.10 WOBULENZI-ZIROBWE'!I25,'18.10 WOBULENZI-ZIROBWE'!I25,'19.10 WOBULENZI-ZIROBWE-24h'!I25,'20.10 WOBULENZI-ZIROBWE'!I25,'21.10 WOBULENZI-ZIROBWE-24h'!I25,'22.10 WOBULENZI-ZIROBWE'!I25,'23.10 WOBULENZI-ZIROBWE'!I25)</f>
        <v>0.2857142857142857</v>
      </c>
      <c r="J25" s="49">
        <f>AVERAGE('17.10 WOBULENZI-ZIROBWE'!J25,'18.10 WOBULENZI-ZIROBWE'!J25,'19.10 WOBULENZI-ZIROBWE-24h'!J25,'20.10 WOBULENZI-ZIROBWE'!J25,'21.10 WOBULENZI-ZIROBWE-24h'!J25,'22.10 WOBULENZI-ZIROBWE'!J25,'23.10 WOBULENZI-ZIROBWE'!J25)</f>
        <v>0.7142857142857143</v>
      </c>
      <c r="K25" s="49">
        <f>AVERAGE('17.10 WOBULENZI-ZIROBWE'!K25,'18.10 WOBULENZI-ZIROBWE'!K25,'19.10 WOBULENZI-ZIROBWE-24h'!K25,'20.10 WOBULENZI-ZIROBWE'!K25,'21.10 WOBULENZI-ZIROBWE-24h'!K25,'22.10 WOBULENZI-ZIROBWE'!K25,'23.10 WOBULENZI-ZIROBWE'!K25)</f>
        <v>0</v>
      </c>
      <c r="L25" s="49">
        <f>AVERAGE('17.10 WOBULENZI-ZIROBWE'!L25,'18.10 WOBULENZI-ZIROBWE'!L25,'19.10 WOBULENZI-ZIROBWE-24h'!L25,'20.10 WOBULENZI-ZIROBWE'!L25,'21.10 WOBULENZI-ZIROBWE-24h'!L25,'22.10 WOBULENZI-ZIROBWE'!L25,'23.10 WOBULENZI-ZIROBWE'!L25)</f>
        <v>0</v>
      </c>
      <c r="M25" s="49">
        <f>AVERAGE('17.10 WOBULENZI-ZIROBWE'!M25,'18.10 WOBULENZI-ZIROBWE'!M25,'19.10 WOBULENZI-ZIROBWE-24h'!M25,'20.10 WOBULENZI-ZIROBWE'!M25,'21.10 WOBULENZI-ZIROBWE-24h'!M25,'22.10 WOBULENZI-ZIROBWE'!M25,'23.10 WOBULENZI-ZIROBWE'!M25)</f>
        <v>17</v>
      </c>
      <c r="N25" s="49">
        <f>AVERAGE('17.10 WOBULENZI-ZIROBWE'!N25,'18.10 WOBULENZI-ZIROBWE'!N25,'19.10 WOBULENZI-ZIROBWE-24h'!N25,'20.10 WOBULENZI-ZIROBWE'!N25,'21.10 WOBULENZI-ZIROBWE-24h'!N25,'22.10 WOBULENZI-ZIROBWE'!N25,'23.10 WOBULENZI-ZIROBWE'!N25)</f>
        <v>0</v>
      </c>
      <c r="O25" s="15">
        <f t="shared" si="0"/>
        <v>2.4285714285714284</v>
      </c>
      <c r="P25" s="15">
        <f t="shared" si="1"/>
        <v>19.428571428571427</v>
      </c>
      <c r="R25" s="1" t="s">
        <v>149</v>
      </c>
      <c r="S25" s="34">
        <f>SUM(C70:C73)</f>
        <v>1</v>
      </c>
      <c r="T25" s="34">
        <f t="shared" ref="T25:AF25" si="17">SUM(D70:D73)</f>
        <v>0</v>
      </c>
      <c r="U25" s="34">
        <f t="shared" si="17"/>
        <v>0.5</v>
      </c>
      <c r="V25" s="34">
        <f t="shared" si="17"/>
        <v>0</v>
      </c>
      <c r="W25" s="34">
        <f t="shared" si="17"/>
        <v>0</v>
      </c>
      <c r="X25" s="34">
        <f t="shared" si="17"/>
        <v>0</v>
      </c>
      <c r="Y25" s="34">
        <f t="shared" si="17"/>
        <v>0.5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17.5</v>
      </c>
      <c r="AD25" s="34">
        <f t="shared" si="17"/>
        <v>0</v>
      </c>
      <c r="AE25" s="31">
        <f t="shared" si="17"/>
        <v>3</v>
      </c>
      <c r="AF25" s="31">
        <f t="shared" si="17"/>
        <v>20.5</v>
      </c>
    </row>
    <row r="26" spans="2:32" ht="23.1" customHeight="1" x14ac:dyDescent="0.25">
      <c r="B26" s="23" t="s">
        <v>53</v>
      </c>
      <c r="C26" s="49">
        <f>AVERAGE('17.10 WOBULENZI-ZIROBWE'!C26,'18.10 WOBULENZI-ZIROBWE'!C26,'19.10 WOBULENZI-ZIROBWE-24h'!C26,'20.10 WOBULENZI-ZIROBWE'!C26,'21.10 WOBULENZI-ZIROBWE-24h'!C26,'22.10 WOBULENZI-ZIROBWE'!C26,'23.10 WOBULENZI-ZIROBWE'!C26)</f>
        <v>0.5714285714285714</v>
      </c>
      <c r="D26" s="49">
        <f>AVERAGE('17.10 WOBULENZI-ZIROBWE'!D26,'18.10 WOBULENZI-ZIROBWE'!D26,'19.10 WOBULENZI-ZIROBWE-24h'!D26,'20.10 WOBULENZI-ZIROBWE'!D26,'21.10 WOBULENZI-ZIROBWE-24h'!D26,'22.10 WOBULENZI-ZIROBWE'!D26,'23.10 WOBULENZI-ZIROBWE'!D26)</f>
        <v>0.42857142857142855</v>
      </c>
      <c r="E26" s="49">
        <f>AVERAGE('17.10 WOBULENZI-ZIROBWE'!E26,'18.10 WOBULENZI-ZIROBWE'!E26,'19.10 WOBULENZI-ZIROBWE-24h'!E26,'20.10 WOBULENZI-ZIROBWE'!E26,'21.10 WOBULENZI-ZIROBWE-24h'!E26,'22.10 WOBULENZI-ZIROBWE'!E26,'23.10 WOBULENZI-ZIROBWE'!E26)</f>
        <v>0.7142857142857143</v>
      </c>
      <c r="F26" s="49">
        <f>AVERAGE('17.10 WOBULENZI-ZIROBWE'!F26,'18.10 WOBULENZI-ZIROBWE'!F26,'19.10 WOBULENZI-ZIROBWE-24h'!F26,'20.10 WOBULENZI-ZIROBWE'!F26,'21.10 WOBULENZI-ZIROBWE-24h'!F26,'22.10 WOBULENZI-ZIROBWE'!F26,'23.10 WOBULENZI-ZIROBWE'!F26)</f>
        <v>0.14285714285714285</v>
      </c>
      <c r="G26" s="49">
        <f>AVERAGE('17.10 WOBULENZI-ZIROBWE'!G26,'18.10 WOBULENZI-ZIROBWE'!G26,'19.10 WOBULENZI-ZIROBWE-24h'!G26,'20.10 WOBULENZI-ZIROBWE'!G26,'21.10 WOBULENZI-ZIROBWE-24h'!G26,'22.10 WOBULENZI-ZIROBWE'!G26,'23.10 WOBULENZI-ZIROBWE'!G26)</f>
        <v>0</v>
      </c>
      <c r="H26" s="49">
        <f>AVERAGE('17.10 WOBULENZI-ZIROBWE'!H26,'18.10 WOBULENZI-ZIROBWE'!H26,'19.10 WOBULENZI-ZIROBWE-24h'!H26,'20.10 WOBULENZI-ZIROBWE'!H26,'21.10 WOBULENZI-ZIROBWE-24h'!H26,'22.10 WOBULENZI-ZIROBWE'!H26,'23.10 WOBULENZI-ZIROBWE'!H26)</f>
        <v>0</v>
      </c>
      <c r="I26" s="49">
        <f>AVERAGE('17.10 WOBULENZI-ZIROBWE'!I26,'18.10 WOBULENZI-ZIROBWE'!I26,'19.10 WOBULENZI-ZIROBWE-24h'!I26,'20.10 WOBULENZI-ZIROBWE'!I26,'21.10 WOBULENZI-ZIROBWE-24h'!I26,'22.10 WOBULENZI-ZIROBWE'!I26,'23.10 WOBULENZI-ZIROBWE'!I26)</f>
        <v>0.7142857142857143</v>
      </c>
      <c r="J26" s="49">
        <f>AVERAGE('17.10 WOBULENZI-ZIROBWE'!J26,'18.10 WOBULENZI-ZIROBWE'!J26,'19.10 WOBULENZI-ZIROBWE-24h'!J26,'20.10 WOBULENZI-ZIROBWE'!J26,'21.10 WOBULENZI-ZIROBWE-24h'!J26,'22.10 WOBULENZI-ZIROBWE'!J26,'23.10 WOBULENZI-ZIROBWE'!J26)</f>
        <v>1.4285714285714286</v>
      </c>
      <c r="K26" s="49">
        <f>AVERAGE('17.10 WOBULENZI-ZIROBWE'!K26,'18.10 WOBULENZI-ZIROBWE'!K26,'19.10 WOBULENZI-ZIROBWE-24h'!K26,'20.10 WOBULENZI-ZIROBWE'!K26,'21.10 WOBULENZI-ZIROBWE-24h'!K26,'22.10 WOBULENZI-ZIROBWE'!K26,'23.10 WOBULENZI-ZIROBWE'!K26)</f>
        <v>0</v>
      </c>
      <c r="L26" s="49">
        <f>AVERAGE('17.10 WOBULENZI-ZIROBWE'!L26,'18.10 WOBULENZI-ZIROBWE'!L26,'19.10 WOBULENZI-ZIROBWE-24h'!L26,'20.10 WOBULENZI-ZIROBWE'!L26,'21.10 WOBULENZI-ZIROBWE-24h'!L26,'22.10 WOBULENZI-ZIROBWE'!L26,'23.10 WOBULENZI-ZIROBWE'!L26)</f>
        <v>0.14285714285714285</v>
      </c>
      <c r="M26" s="49">
        <f>AVERAGE('17.10 WOBULENZI-ZIROBWE'!M26,'18.10 WOBULENZI-ZIROBWE'!M26,'19.10 WOBULENZI-ZIROBWE-24h'!M26,'20.10 WOBULENZI-ZIROBWE'!M26,'21.10 WOBULENZI-ZIROBWE-24h'!M26,'22.10 WOBULENZI-ZIROBWE'!M26,'23.10 WOBULENZI-ZIROBWE'!M26)</f>
        <v>16.571428571428573</v>
      </c>
      <c r="N26" s="49">
        <f>AVERAGE('17.10 WOBULENZI-ZIROBWE'!N26,'18.10 WOBULENZI-ZIROBWE'!N26,'19.10 WOBULENZI-ZIROBWE-24h'!N26,'20.10 WOBULENZI-ZIROBWE'!N26,'21.10 WOBULENZI-ZIROBWE-24h'!N26,'22.10 WOBULENZI-ZIROBWE'!N26,'23.10 WOBULENZI-ZIROBWE'!N26)</f>
        <v>0</v>
      </c>
      <c r="O26" s="15">
        <f t="shared" si="0"/>
        <v>4.1428571428571432</v>
      </c>
      <c r="P26" s="15">
        <f t="shared" si="1"/>
        <v>20.714285714285715</v>
      </c>
      <c r="R26" s="1" t="s">
        <v>150</v>
      </c>
      <c r="S26" s="34">
        <f>SUM(C74:C77)</f>
        <v>0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1.5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0.5</v>
      </c>
      <c r="AA26" s="34">
        <f t="shared" si="18"/>
        <v>0</v>
      </c>
      <c r="AB26" s="34">
        <f t="shared" si="18"/>
        <v>0</v>
      </c>
      <c r="AC26" s="34">
        <f t="shared" si="18"/>
        <v>8</v>
      </c>
      <c r="AD26" s="34">
        <f t="shared" si="18"/>
        <v>0</v>
      </c>
      <c r="AE26" s="31">
        <f t="shared" si="18"/>
        <v>2</v>
      </c>
      <c r="AF26" s="31">
        <f t="shared" si="18"/>
        <v>10</v>
      </c>
    </row>
    <row r="27" spans="2:32" ht="23.1" customHeight="1" x14ac:dyDescent="0.25">
      <c r="B27" s="23" t="s">
        <v>54</v>
      </c>
      <c r="C27" s="49">
        <f>AVERAGE('17.10 WOBULENZI-ZIROBWE'!C27,'18.10 WOBULENZI-ZIROBWE'!C27,'19.10 WOBULENZI-ZIROBWE-24h'!C27,'20.10 WOBULENZI-ZIROBWE'!C27,'21.10 WOBULENZI-ZIROBWE-24h'!C27,'22.10 WOBULENZI-ZIROBWE'!C27,'23.10 WOBULENZI-ZIROBWE'!C27)</f>
        <v>0.14285714285714285</v>
      </c>
      <c r="D27" s="49">
        <f>AVERAGE('17.10 WOBULENZI-ZIROBWE'!D27,'18.10 WOBULENZI-ZIROBWE'!D27,'19.10 WOBULENZI-ZIROBWE-24h'!D27,'20.10 WOBULENZI-ZIROBWE'!D27,'21.10 WOBULENZI-ZIROBWE-24h'!D27,'22.10 WOBULENZI-ZIROBWE'!D27,'23.10 WOBULENZI-ZIROBWE'!D27)</f>
        <v>0.2857142857142857</v>
      </c>
      <c r="E27" s="49">
        <f>AVERAGE('17.10 WOBULENZI-ZIROBWE'!E27,'18.10 WOBULENZI-ZIROBWE'!E27,'19.10 WOBULENZI-ZIROBWE-24h'!E27,'20.10 WOBULENZI-ZIROBWE'!E27,'21.10 WOBULENZI-ZIROBWE-24h'!E27,'22.10 WOBULENZI-ZIROBWE'!E27,'23.10 WOBULENZI-ZIROBWE'!E27)</f>
        <v>0.14285714285714285</v>
      </c>
      <c r="F27" s="49">
        <f>AVERAGE('17.10 WOBULENZI-ZIROBWE'!F27,'18.10 WOBULENZI-ZIROBWE'!F27,'19.10 WOBULENZI-ZIROBWE-24h'!F27,'20.10 WOBULENZI-ZIROBWE'!F27,'21.10 WOBULENZI-ZIROBWE-24h'!F27,'22.10 WOBULENZI-ZIROBWE'!F27,'23.10 WOBULENZI-ZIROBWE'!F27)</f>
        <v>0.14285714285714285</v>
      </c>
      <c r="G27" s="49">
        <f>AVERAGE('17.10 WOBULENZI-ZIROBWE'!G27,'18.10 WOBULENZI-ZIROBWE'!G27,'19.10 WOBULENZI-ZIROBWE-24h'!G27,'20.10 WOBULENZI-ZIROBWE'!G27,'21.10 WOBULENZI-ZIROBWE-24h'!G27,'22.10 WOBULENZI-ZIROBWE'!G27,'23.10 WOBULENZI-ZIROBWE'!G27)</f>
        <v>0.14285714285714285</v>
      </c>
      <c r="H27" s="49">
        <f>AVERAGE('17.10 WOBULENZI-ZIROBWE'!H27,'18.10 WOBULENZI-ZIROBWE'!H27,'19.10 WOBULENZI-ZIROBWE-24h'!H27,'20.10 WOBULENZI-ZIROBWE'!H27,'21.10 WOBULENZI-ZIROBWE-24h'!H27,'22.10 WOBULENZI-ZIROBWE'!H27,'23.10 WOBULENZI-ZIROBWE'!H27)</f>
        <v>0</v>
      </c>
      <c r="I27" s="49">
        <f>AVERAGE('17.10 WOBULENZI-ZIROBWE'!I27,'18.10 WOBULENZI-ZIROBWE'!I27,'19.10 WOBULENZI-ZIROBWE-24h'!I27,'20.10 WOBULENZI-ZIROBWE'!I27,'21.10 WOBULENZI-ZIROBWE-24h'!I27,'22.10 WOBULENZI-ZIROBWE'!I27,'23.10 WOBULENZI-ZIROBWE'!I27)</f>
        <v>0.7142857142857143</v>
      </c>
      <c r="J27" s="49">
        <f>AVERAGE('17.10 WOBULENZI-ZIROBWE'!J27,'18.10 WOBULENZI-ZIROBWE'!J27,'19.10 WOBULENZI-ZIROBWE-24h'!J27,'20.10 WOBULENZI-ZIROBWE'!J27,'21.10 WOBULENZI-ZIROBWE-24h'!J27,'22.10 WOBULENZI-ZIROBWE'!J27,'23.10 WOBULENZI-ZIROBWE'!J27)</f>
        <v>1.8571428571428572</v>
      </c>
      <c r="K27" s="49">
        <f>AVERAGE('17.10 WOBULENZI-ZIROBWE'!K27,'18.10 WOBULENZI-ZIROBWE'!K27,'19.10 WOBULENZI-ZIROBWE-24h'!K27,'20.10 WOBULENZI-ZIROBWE'!K27,'21.10 WOBULENZI-ZIROBWE-24h'!K27,'22.10 WOBULENZI-ZIROBWE'!K27,'23.10 WOBULENZI-ZIROBWE'!K27)</f>
        <v>0.42857142857142855</v>
      </c>
      <c r="L27" s="49">
        <f>AVERAGE('17.10 WOBULENZI-ZIROBWE'!L27,'18.10 WOBULENZI-ZIROBWE'!L27,'19.10 WOBULENZI-ZIROBWE-24h'!L27,'20.10 WOBULENZI-ZIROBWE'!L27,'21.10 WOBULENZI-ZIROBWE-24h'!L27,'22.10 WOBULENZI-ZIROBWE'!L27,'23.10 WOBULENZI-ZIROBWE'!L27)</f>
        <v>0</v>
      </c>
      <c r="M27" s="49">
        <f>AVERAGE('17.10 WOBULENZI-ZIROBWE'!M27,'18.10 WOBULENZI-ZIROBWE'!M27,'19.10 WOBULENZI-ZIROBWE-24h'!M27,'20.10 WOBULENZI-ZIROBWE'!M27,'21.10 WOBULENZI-ZIROBWE-24h'!M27,'22.10 WOBULENZI-ZIROBWE'!M27,'23.10 WOBULENZI-ZIROBWE'!M27)</f>
        <v>17.142857142857142</v>
      </c>
      <c r="N27" s="49">
        <f>AVERAGE('17.10 WOBULENZI-ZIROBWE'!N27,'18.10 WOBULENZI-ZIROBWE'!N27,'19.10 WOBULENZI-ZIROBWE-24h'!N27,'20.10 WOBULENZI-ZIROBWE'!N27,'21.10 WOBULENZI-ZIROBWE-24h'!N27,'22.10 WOBULENZI-ZIROBWE'!N27,'23.10 WOBULENZI-ZIROBWE'!N27)</f>
        <v>0</v>
      </c>
      <c r="O27" s="15">
        <f t="shared" si="0"/>
        <v>3.8571428571428568</v>
      </c>
      <c r="P27" s="15">
        <f t="shared" si="1"/>
        <v>21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</v>
      </c>
      <c r="AD27" s="34">
        <f t="shared" si="19"/>
        <v>0</v>
      </c>
      <c r="AE27" s="31">
        <f t="shared" si="19"/>
        <v>2.5</v>
      </c>
      <c r="AF27" s="31">
        <f t="shared" si="19"/>
        <v>3.5</v>
      </c>
    </row>
    <row r="28" spans="2:32" ht="23.1" customHeight="1" x14ac:dyDescent="0.25">
      <c r="B28" s="23" t="s">
        <v>55</v>
      </c>
      <c r="C28" s="49">
        <f>AVERAGE('17.10 WOBULENZI-ZIROBWE'!C28,'18.10 WOBULENZI-ZIROBWE'!C28,'19.10 WOBULENZI-ZIROBWE-24h'!C28,'20.10 WOBULENZI-ZIROBWE'!C28,'21.10 WOBULENZI-ZIROBWE-24h'!C28,'22.10 WOBULENZI-ZIROBWE'!C28,'23.10 WOBULENZI-ZIROBWE'!C28)</f>
        <v>1.2857142857142858</v>
      </c>
      <c r="D28" s="49">
        <f>AVERAGE('17.10 WOBULENZI-ZIROBWE'!D28,'18.10 WOBULENZI-ZIROBWE'!D28,'19.10 WOBULENZI-ZIROBWE-24h'!D28,'20.10 WOBULENZI-ZIROBWE'!D28,'21.10 WOBULENZI-ZIROBWE-24h'!D28,'22.10 WOBULENZI-ZIROBWE'!D28,'23.10 WOBULENZI-ZIROBWE'!D28)</f>
        <v>0.14285714285714285</v>
      </c>
      <c r="E28" s="49">
        <f>AVERAGE('17.10 WOBULENZI-ZIROBWE'!E28,'18.10 WOBULENZI-ZIROBWE'!E28,'19.10 WOBULENZI-ZIROBWE-24h'!E28,'20.10 WOBULENZI-ZIROBWE'!E28,'21.10 WOBULENZI-ZIROBWE-24h'!E28,'22.10 WOBULENZI-ZIROBWE'!E28,'23.10 WOBULENZI-ZIROBWE'!E28)</f>
        <v>0.14285714285714285</v>
      </c>
      <c r="F28" s="49">
        <f>AVERAGE('17.10 WOBULENZI-ZIROBWE'!F28,'18.10 WOBULENZI-ZIROBWE'!F28,'19.10 WOBULENZI-ZIROBWE-24h'!F28,'20.10 WOBULENZI-ZIROBWE'!F28,'21.10 WOBULENZI-ZIROBWE-24h'!F28,'22.10 WOBULENZI-ZIROBWE'!F28,'23.10 WOBULENZI-ZIROBWE'!F28)</f>
        <v>0.2857142857142857</v>
      </c>
      <c r="G28" s="49">
        <f>AVERAGE('17.10 WOBULENZI-ZIROBWE'!G28,'18.10 WOBULENZI-ZIROBWE'!G28,'19.10 WOBULENZI-ZIROBWE-24h'!G28,'20.10 WOBULENZI-ZIROBWE'!G28,'21.10 WOBULENZI-ZIROBWE-24h'!G28,'22.10 WOBULENZI-ZIROBWE'!G28,'23.10 WOBULENZI-ZIROBWE'!G28)</f>
        <v>0</v>
      </c>
      <c r="H28" s="49">
        <f>AVERAGE('17.10 WOBULENZI-ZIROBWE'!H28,'18.10 WOBULENZI-ZIROBWE'!H28,'19.10 WOBULENZI-ZIROBWE-24h'!H28,'20.10 WOBULENZI-ZIROBWE'!H28,'21.10 WOBULENZI-ZIROBWE-24h'!H28,'22.10 WOBULENZI-ZIROBWE'!H28,'23.10 WOBULENZI-ZIROBWE'!H28)</f>
        <v>0</v>
      </c>
      <c r="I28" s="49">
        <f>AVERAGE('17.10 WOBULENZI-ZIROBWE'!I28,'18.10 WOBULENZI-ZIROBWE'!I28,'19.10 WOBULENZI-ZIROBWE-24h'!I28,'20.10 WOBULENZI-ZIROBWE'!I28,'21.10 WOBULENZI-ZIROBWE-24h'!I28,'22.10 WOBULENZI-ZIROBWE'!I28,'23.10 WOBULENZI-ZIROBWE'!I28)</f>
        <v>0.5714285714285714</v>
      </c>
      <c r="J28" s="49">
        <f>AVERAGE('17.10 WOBULENZI-ZIROBWE'!J28,'18.10 WOBULENZI-ZIROBWE'!J28,'19.10 WOBULENZI-ZIROBWE-24h'!J28,'20.10 WOBULENZI-ZIROBWE'!J28,'21.10 WOBULENZI-ZIROBWE-24h'!J28,'22.10 WOBULENZI-ZIROBWE'!J28,'23.10 WOBULENZI-ZIROBWE'!J28)</f>
        <v>2.5714285714285716</v>
      </c>
      <c r="K28" s="49">
        <f>AVERAGE('17.10 WOBULENZI-ZIROBWE'!K28,'18.10 WOBULENZI-ZIROBWE'!K28,'19.10 WOBULENZI-ZIROBWE-24h'!K28,'20.10 WOBULENZI-ZIROBWE'!K28,'21.10 WOBULENZI-ZIROBWE-24h'!K28,'22.10 WOBULENZI-ZIROBWE'!K28,'23.10 WOBULENZI-ZIROBWE'!K28)</f>
        <v>0</v>
      </c>
      <c r="L28" s="49">
        <f>AVERAGE('17.10 WOBULENZI-ZIROBWE'!L28,'18.10 WOBULENZI-ZIROBWE'!L28,'19.10 WOBULENZI-ZIROBWE-24h'!L28,'20.10 WOBULENZI-ZIROBWE'!L28,'21.10 WOBULENZI-ZIROBWE-24h'!L28,'22.10 WOBULENZI-ZIROBWE'!L28,'23.10 WOBULENZI-ZIROBWE'!L28)</f>
        <v>0</v>
      </c>
      <c r="M28" s="49">
        <f>AVERAGE('17.10 WOBULENZI-ZIROBWE'!M28,'18.10 WOBULENZI-ZIROBWE'!M28,'19.10 WOBULENZI-ZIROBWE-24h'!M28,'20.10 WOBULENZI-ZIROBWE'!M28,'21.10 WOBULENZI-ZIROBWE-24h'!M28,'22.10 WOBULENZI-ZIROBWE'!M28,'23.10 WOBULENZI-ZIROBWE'!M28)</f>
        <v>15.285714285714286</v>
      </c>
      <c r="N28" s="49">
        <f>AVERAGE('17.10 WOBULENZI-ZIROBWE'!N28,'18.10 WOBULENZI-ZIROBWE'!N28,'19.10 WOBULENZI-ZIROBWE-24h'!N28,'20.10 WOBULENZI-ZIROBWE'!N28,'21.10 WOBULENZI-ZIROBWE-24h'!N28,'22.10 WOBULENZI-ZIROBWE'!N28,'23.10 WOBULENZI-ZIROBWE'!N28)</f>
        <v>0.14285714285714285</v>
      </c>
      <c r="O28" s="15">
        <f t="shared" si="0"/>
        <v>5.1428571428571432</v>
      </c>
      <c r="P28" s="15">
        <f t="shared" si="1"/>
        <v>20.428571428571427</v>
      </c>
      <c r="R28" s="1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0.5</v>
      </c>
      <c r="AD28" s="34">
        <f t="shared" si="20"/>
        <v>0</v>
      </c>
      <c r="AE28" s="31">
        <f t="shared" si="20"/>
        <v>1</v>
      </c>
      <c r="AF28" s="31">
        <f t="shared" si="20"/>
        <v>1.5</v>
      </c>
    </row>
    <row r="29" spans="2:32" ht="23.1" customHeight="1" x14ac:dyDescent="0.25">
      <c r="B29" s="23" t="s">
        <v>56</v>
      </c>
      <c r="C29" s="49">
        <f>AVERAGE('17.10 WOBULENZI-ZIROBWE'!C29,'18.10 WOBULENZI-ZIROBWE'!C29,'19.10 WOBULENZI-ZIROBWE-24h'!C29,'20.10 WOBULENZI-ZIROBWE'!C29,'21.10 WOBULENZI-ZIROBWE-24h'!C29,'22.10 WOBULENZI-ZIROBWE'!C29,'23.10 WOBULENZI-ZIROBWE'!C29)</f>
        <v>1</v>
      </c>
      <c r="D29" s="49">
        <f>AVERAGE('17.10 WOBULENZI-ZIROBWE'!D29,'18.10 WOBULENZI-ZIROBWE'!D29,'19.10 WOBULENZI-ZIROBWE-24h'!D29,'20.10 WOBULENZI-ZIROBWE'!D29,'21.10 WOBULENZI-ZIROBWE-24h'!D29,'22.10 WOBULENZI-ZIROBWE'!D29,'23.10 WOBULENZI-ZIROBWE'!D29)</f>
        <v>0.42857142857142855</v>
      </c>
      <c r="E29" s="49">
        <f>AVERAGE('17.10 WOBULENZI-ZIROBWE'!E29,'18.10 WOBULENZI-ZIROBWE'!E29,'19.10 WOBULENZI-ZIROBWE-24h'!E29,'20.10 WOBULENZI-ZIROBWE'!E29,'21.10 WOBULENZI-ZIROBWE-24h'!E29,'22.10 WOBULENZI-ZIROBWE'!E29,'23.10 WOBULENZI-ZIROBWE'!E29)</f>
        <v>0</v>
      </c>
      <c r="F29" s="49">
        <f>AVERAGE('17.10 WOBULENZI-ZIROBWE'!F29,'18.10 WOBULENZI-ZIROBWE'!F29,'19.10 WOBULENZI-ZIROBWE-24h'!F29,'20.10 WOBULENZI-ZIROBWE'!F29,'21.10 WOBULENZI-ZIROBWE-24h'!F29,'22.10 WOBULENZI-ZIROBWE'!F29,'23.10 WOBULENZI-ZIROBWE'!F29)</f>
        <v>0.14285714285714285</v>
      </c>
      <c r="G29" s="49">
        <f>AVERAGE('17.10 WOBULENZI-ZIROBWE'!G29,'18.10 WOBULENZI-ZIROBWE'!G29,'19.10 WOBULENZI-ZIROBWE-24h'!G29,'20.10 WOBULENZI-ZIROBWE'!G29,'21.10 WOBULENZI-ZIROBWE-24h'!G29,'22.10 WOBULENZI-ZIROBWE'!G29,'23.10 WOBULENZI-ZIROBWE'!G29)</f>
        <v>0</v>
      </c>
      <c r="H29" s="49">
        <f>AVERAGE('17.10 WOBULENZI-ZIROBWE'!H29,'18.10 WOBULENZI-ZIROBWE'!H29,'19.10 WOBULENZI-ZIROBWE-24h'!H29,'20.10 WOBULENZI-ZIROBWE'!H29,'21.10 WOBULENZI-ZIROBWE-24h'!H29,'22.10 WOBULENZI-ZIROBWE'!H29,'23.10 WOBULENZI-ZIROBWE'!H29)</f>
        <v>0</v>
      </c>
      <c r="I29" s="49">
        <f>AVERAGE('17.10 WOBULENZI-ZIROBWE'!I29,'18.10 WOBULENZI-ZIROBWE'!I29,'19.10 WOBULENZI-ZIROBWE-24h'!I29,'20.10 WOBULENZI-ZIROBWE'!I29,'21.10 WOBULENZI-ZIROBWE-24h'!I29,'22.10 WOBULENZI-ZIROBWE'!I29,'23.10 WOBULENZI-ZIROBWE'!I29)</f>
        <v>0.2857142857142857</v>
      </c>
      <c r="J29" s="49">
        <f>AVERAGE('17.10 WOBULENZI-ZIROBWE'!J29,'18.10 WOBULENZI-ZIROBWE'!J29,'19.10 WOBULENZI-ZIROBWE-24h'!J29,'20.10 WOBULENZI-ZIROBWE'!J29,'21.10 WOBULENZI-ZIROBWE-24h'!J29,'22.10 WOBULENZI-ZIROBWE'!J29,'23.10 WOBULENZI-ZIROBWE'!J29)</f>
        <v>1.7142857142857142</v>
      </c>
      <c r="K29" s="49">
        <f>AVERAGE('17.10 WOBULENZI-ZIROBWE'!K29,'18.10 WOBULENZI-ZIROBWE'!K29,'19.10 WOBULENZI-ZIROBWE-24h'!K29,'20.10 WOBULENZI-ZIROBWE'!K29,'21.10 WOBULENZI-ZIROBWE-24h'!K29,'22.10 WOBULENZI-ZIROBWE'!K29,'23.10 WOBULENZI-ZIROBWE'!K29)</f>
        <v>0</v>
      </c>
      <c r="L29" s="49">
        <f>AVERAGE('17.10 WOBULENZI-ZIROBWE'!L29,'18.10 WOBULENZI-ZIROBWE'!L29,'19.10 WOBULENZI-ZIROBWE-24h'!L29,'20.10 WOBULENZI-ZIROBWE'!L29,'21.10 WOBULENZI-ZIROBWE-24h'!L29,'22.10 WOBULENZI-ZIROBWE'!L29,'23.10 WOBULENZI-ZIROBWE'!L29)</f>
        <v>0</v>
      </c>
      <c r="M29" s="49">
        <f>AVERAGE('17.10 WOBULENZI-ZIROBWE'!M29,'18.10 WOBULENZI-ZIROBWE'!M29,'19.10 WOBULENZI-ZIROBWE-24h'!M29,'20.10 WOBULENZI-ZIROBWE'!M29,'21.10 WOBULENZI-ZIROBWE-24h'!M29,'22.10 WOBULENZI-ZIROBWE'!M29,'23.10 WOBULENZI-ZIROBWE'!M29)</f>
        <v>19.142857142857142</v>
      </c>
      <c r="N29" s="49">
        <f>AVERAGE('17.10 WOBULENZI-ZIROBWE'!N29,'18.10 WOBULENZI-ZIROBWE'!N29,'19.10 WOBULENZI-ZIROBWE-24h'!N29,'20.10 WOBULENZI-ZIROBWE'!N29,'21.10 WOBULENZI-ZIROBWE-24h'!N29,'22.10 WOBULENZI-ZIROBWE'!N29,'23.10 WOBULENZI-ZIROBWE'!N29)</f>
        <v>0</v>
      </c>
      <c r="O29" s="15">
        <f t="shared" si="0"/>
        <v>3.5714285714285712</v>
      </c>
      <c r="P29" s="15">
        <f t="shared" si="1"/>
        <v>22.714285714285715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0.5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2</v>
      </c>
      <c r="AF29" s="31">
        <f t="shared" si="21"/>
        <v>2</v>
      </c>
    </row>
    <row r="30" spans="2:32" ht="23.1" customHeight="1" x14ac:dyDescent="0.25">
      <c r="B30" s="23" t="s">
        <v>57</v>
      </c>
      <c r="C30" s="49">
        <f>AVERAGE('17.10 WOBULENZI-ZIROBWE'!C30,'18.10 WOBULENZI-ZIROBWE'!C30,'19.10 WOBULENZI-ZIROBWE-24h'!C30,'20.10 WOBULENZI-ZIROBWE'!C30,'21.10 WOBULENZI-ZIROBWE-24h'!C30,'22.10 WOBULENZI-ZIROBWE'!C30,'23.10 WOBULENZI-ZIROBWE'!C30)</f>
        <v>0.5714285714285714</v>
      </c>
      <c r="D30" s="49">
        <f>AVERAGE('17.10 WOBULENZI-ZIROBWE'!D30,'18.10 WOBULENZI-ZIROBWE'!D30,'19.10 WOBULENZI-ZIROBWE-24h'!D30,'20.10 WOBULENZI-ZIROBWE'!D30,'21.10 WOBULENZI-ZIROBWE-24h'!D30,'22.10 WOBULENZI-ZIROBWE'!D30,'23.10 WOBULENZI-ZIROBWE'!D30)</f>
        <v>0.42857142857142855</v>
      </c>
      <c r="E30" s="49">
        <f>AVERAGE('17.10 WOBULENZI-ZIROBWE'!E30,'18.10 WOBULENZI-ZIROBWE'!E30,'19.10 WOBULENZI-ZIROBWE-24h'!E30,'20.10 WOBULENZI-ZIROBWE'!E30,'21.10 WOBULENZI-ZIROBWE-24h'!E30,'22.10 WOBULENZI-ZIROBWE'!E30,'23.10 WOBULENZI-ZIROBWE'!E30)</f>
        <v>0.2857142857142857</v>
      </c>
      <c r="F30" s="49">
        <f>AVERAGE('17.10 WOBULENZI-ZIROBWE'!F30,'18.10 WOBULENZI-ZIROBWE'!F30,'19.10 WOBULENZI-ZIROBWE-24h'!F30,'20.10 WOBULENZI-ZIROBWE'!F30,'21.10 WOBULENZI-ZIROBWE-24h'!F30,'22.10 WOBULENZI-ZIROBWE'!F30,'23.10 WOBULENZI-ZIROBWE'!F30)</f>
        <v>0.42857142857142855</v>
      </c>
      <c r="G30" s="49">
        <f>AVERAGE('17.10 WOBULENZI-ZIROBWE'!G30,'18.10 WOBULENZI-ZIROBWE'!G30,'19.10 WOBULENZI-ZIROBWE-24h'!G30,'20.10 WOBULENZI-ZIROBWE'!G30,'21.10 WOBULENZI-ZIROBWE-24h'!G30,'22.10 WOBULENZI-ZIROBWE'!G30,'23.10 WOBULENZI-ZIROBWE'!G30)</f>
        <v>0</v>
      </c>
      <c r="H30" s="49">
        <f>AVERAGE('17.10 WOBULENZI-ZIROBWE'!H30,'18.10 WOBULENZI-ZIROBWE'!H30,'19.10 WOBULENZI-ZIROBWE-24h'!H30,'20.10 WOBULENZI-ZIROBWE'!H30,'21.10 WOBULENZI-ZIROBWE-24h'!H30,'22.10 WOBULENZI-ZIROBWE'!H30,'23.10 WOBULENZI-ZIROBWE'!H30)</f>
        <v>0</v>
      </c>
      <c r="I30" s="49">
        <f>AVERAGE('17.10 WOBULENZI-ZIROBWE'!I30,'18.10 WOBULENZI-ZIROBWE'!I30,'19.10 WOBULENZI-ZIROBWE-24h'!I30,'20.10 WOBULENZI-ZIROBWE'!I30,'21.10 WOBULENZI-ZIROBWE-24h'!I30,'22.10 WOBULENZI-ZIROBWE'!I30,'23.10 WOBULENZI-ZIROBWE'!I30)</f>
        <v>0.42857142857142855</v>
      </c>
      <c r="J30" s="49">
        <f>AVERAGE('17.10 WOBULENZI-ZIROBWE'!J30,'18.10 WOBULENZI-ZIROBWE'!J30,'19.10 WOBULENZI-ZIROBWE-24h'!J30,'20.10 WOBULENZI-ZIROBWE'!J30,'21.10 WOBULENZI-ZIROBWE-24h'!J30,'22.10 WOBULENZI-ZIROBWE'!J30,'23.10 WOBULENZI-ZIROBWE'!J30)</f>
        <v>0.8571428571428571</v>
      </c>
      <c r="K30" s="49">
        <f>AVERAGE('17.10 WOBULENZI-ZIROBWE'!K30,'18.10 WOBULENZI-ZIROBWE'!K30,'19.10 WOBULENZI-ZIROBWE-24h'!K30,'20.10 WOBULENZI-ZIROBWE'!K30,'21.10 WOBULENZI-ZIROBWE-24h'!K30,'22.10 WOBULENZI-ZIROBWE'!K30,'23.10 WOBULENZI-ZIROBWE'!K30)</f>
        <v>0</v>
      </c>
      <c r="L30" s="49">
        <f>AVERAGE('17.10 WOBULENZI-ZIROBWE'!L30,'18.10 WOBULENZI-ZIROBWE'!L30,'19.10 WOBULENZI-ZIROBWE-24h'!L30,'20.10 WOBULENZI-ZIROBWE'!L30,'21.10 WOBULENZI-ZIROBWE-24h'!L30,'22.10 WOBULENZI-ZIROBWE'!L30,'23.10 WOBULENZI-ZIROBWE'!L30)</f>
        <v>0</v>
      </c>
      <c r="M30" s="49">
        <f>AVERAGE('17.10 WOBULENZI-ZIROBWE'!M30,'18.10 WOBULENZI-ZIROBWE'!M30,'19.10 WOBULENZI-ZIROBWE-24h'!M30,'20.10 WOBULENZI-ZIROBWE'!M30,'21.10 WOBULENZI-ZIROBWE-24h'!M30,'22.10 WOBULENZI-ZIROBWE'!M30,'23.10 WOBULENZI-ZIROBWE'!M30)</f>
        <v>17.285714285714285</v>
      </c>
      <c r="N30" s="49">
        <f>AVERAGE('17.10 WOBULENZI-ZIROBWE'!N30,'18.10 WOBULENZI-ZIROBWE'!N30,'19.10 WOBULENZI-ZIROBWE-24h'!N30,'20.10 WOBULENZI-ZIROBWE'!N30,'21.10 WOBULENZI-ZIROBWE-24h'!N30,'22.10 WOBULENZI-ZIROBWE'!N30,'23.10 WOBULENZI-ZIROBWE'!N30)</f>
        <v>0</v>
      </c>
      <c r="O30" s="15">
        <f t="shared" si="0"/>
        <v>3</v>
      </c>
      <c r="P30" s="15">
        <f t="shared" si="1"/>
        <v>20.285714285714285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1.5</v>
      </c>
      <c r="AD30" s="34">
        <f t="shared" si="22"/>
        <v>0</v>
      </c>
      <c r="AE30" s="31">
        <f t="shared" si="22"/>
        <v>1.5</v>
      </c>
      <c r="AF30" s="31">
        <f t="shared" si="22"/>
        <v>3</v>
      </c>
    </row>
    <row r="31" spans="2:32" ht="23.1" customHeight="1" x14ac:dyDescent="0.25">
      <c r="B31" s="24" t="s">
        <v>58</v>
      </c>
      <c r="C31" s="49">
        <f>AVERAGE('17.10 WOBULENZI-ZIROBWE'!C31,'18.10 WOBULENZI-ZIROBWE'!C31,'19.10 WOBULENZI-ZIROBWE-24h'!C31,'20.10 WOBULENZI-ZIROBWE'!C31,'21.10 WOBULENZI-ZIROBWE-24h'!C31,'22.10 WOBULENZI-ZIROBWE'!C31,'23.10 WOBULENZI-ZIROBWE'!C31)</f>
        <v>1</v>
      </c>
      <c r="D31" s="49">
        <f>AVERAGE('17.10 WOBULENZI-ZIROBWE'!D31,'18.10 WOBULENZI-ZIROBWE'!D31,'19.10 WOBULENZI-ZIROBWE-24h'!D31,'20.10 WOBULENZI-ZIROBWE'!D31,'21.10 WOBULENZI-ZIROBWE-24h'!D31,'22.10 WOBULENZI-ZIROBWE'!D31,'23.10 WOBULENZI-ZIROBWE'!D31)</f>
        <v>0</v>
      </c>
      <c r="E31" s="49">
        <f>AVERAGE('17.10 WOBULENZI-ZIROBWE'!E31,'18.10 WOBULENZI-ZIROBWE'!E31,'19.10 WOBULENZI-ZIROBWE-24h'!E31,'20.10 WOBULENZI-ZIROBWE'!E31,'21.10 WOBULENZI-ZIROBWE-24h'!E31,'22.10 WOBULENZI-ZIROBWE'!E31,'23.10 WOBULENZI-ZIROBWE'!E31)</f>
        <v>0.42857142857142855</v>
      </c>
      <c r="F31" s="49">
        <f>AVERAGE('17.10 WOBULENZI-ZIROBWE'!F31,'18.10 WOBULENZI-ZIROBWE'!F31,'19.10 WOBULENZI-ZIROBWE-24h'!F31,'20.10 WOBULENZI-ZIROBWE'!F31,'21.10 WOBULENZI-ZIROBWE-24h'!F31,'22.10 WOBULENZI-ZIROBWE'!F31,'23.10 WOBULENZI-ZIROBWE'!F31)</f>
        <v>0.2857142857142857</v>
      </c>
      <c r="G31" s="49">
        <f>AVERAGE('17.10 WOBULENZI-ZIROBWE'!G31,'18.10 WOBULENZI-ZIROBWE'!G31,'19.10 WOBULENZI-ZIROBWE-24h'!G31,'20.10 WOBULENZI-ZIROBWE'!G31,'21.10 WOBULENZI-ZIROBWE-24h'!G31,'22.10 WOBULENZI-ZIROBWE'!G31,'23.10 WOBULENZI-ZIROBWE'!G31)</f>
        <v>0</v>
      </c>
      <c r="H31" s="49">
        <f>AVERAGE('17.10 WOBULENZI-ZIROBWE'!H31,'18.10 WOBULENZI-ZIROBWE'!H31,'19.10 WOBULENZI-ZIROBWE-24h'!H31,'20.10 WOBULENZI-ZIROBWE'!H31,'21.10 WOBULENZI-ZIROBWE-24h'!H31,'22.10 WOBULENZI-ZIROBWE'!H31,'23.10 WOBULENZI-ZIROBWE'!H31)</f>
        <v>0</v>
      </c>
      <c r="I31" s="49">
        <f>AVERAGE('17.10 WOBULENZI-ZIROBWE'!I31,'18.10 WOBULENZI-ZIROBWE'!I31,'19.10 WOBULENZI-ZIROBWE-24h'!I31,'20.10 WOBULENZI-ZIROBWE'!I31,'21.10 WOBULENZI-ZIROBWE-24h'!I31,'22.10 WOBULENZI-ZIROBWE'!I31,'23.10 WOBULENZI-ZIROBWE'!I31)</f>
        <v>0.42857142857142855</v>
      </c>
      <c r="J31" s="49">
        <f>AVERAGE('17.10 WOBULENZI-ZIROBWE'!J31,'18.10 WOBULENZI-ZIROBWE'!J31,'19.10 WOBULENZI-ZIROBWE-24h'!J31,'20.10 WOBULENZI-ZIROBWE'!J31,'21.10 WOBULENZI-ZIROBWE-24h'!J31,'22.10 WOBULENZI-ZIROBWE'!J31,'23.10 WOBULENZI-ZIROBWE'!J31)</f>
        <v>1.1428571428571428</v>
      </c>
      <c r="K31" s="49">
        <f>AVERAGE('17.10 WOBULENZI-ZIROBWE'!K31,'18.10 WOBULENZI-ZIROBWE'!K31,'19.10 WOBULENZI-ZIROBWE-24h'!K31,'20.10 WOBULENZI-ZIROBWE'!K31,'21.10 WOBULENZI-ZIROBWE-24h'!K31,'22.10 WOBULENZI-ZIROBWE'!K31,'23.10 WOBULENZI-ZIROBWE'!K31)</f>
        <v>0</v>
      </c>
      <c r="L31" s="49">
        <f>AVERAGE('17.10 WOBULENZI-ZIROBWE'!L31,'18.10 WOBULENZI-ZIROBWE'!L31,'19.10 WOBULENZI-ZIROBWE-24h'!L31,'20.10 WOBULENZI-ZIROBWE'!L31,'21.10 WOBULENZI-ZIROBWE-24h'!L31,'22.10 WOBULENZI-ZIROBWE'!L31,'23.10 WOBULENZI-ZIROBWE'!L31)</f>
        <v>0</v>
      </c>
      <c r="M31" s="49">
        <f>AVERAGE('17.10 WOBULENZI-ZIROBWE'!M31,'18.10 WOBULENZI-ZIROBWE'!M31,'19.10 WOBULENZI-ZIROBWE-24h'!M31,'20.10 WOBULENZI-ZIROBWE'!M31,'21.10 WOBULENZI-ZIROBWE-24h'!M31,'22.10 WOBULENZI-ZIROBWE'!M31,'23.10 WOBULENZI-ZIROBWE'!M31)</f>
        <v>18</v>
      </c>
      <c r="N31" s="49">
        <f>AVERAGE('17.10 WOBULENZI-ZIROBWE'!N31,'18.10 WOBULENZI-ZIROBWE'!N31,'19.10 WOBULENZI-ZIROBWE-24h'!N31,'20.10 WOBULENZI-ZIROBWE'!N31,'21.10 WOBULENZI-ZIROBWE-24h'!N31,'22.10 WOBULENZI-ZIROBWE'!N31,'23.10 WOBULENZI-ZIROBWE'!N31)</f>
        <v>0</v>
      </c>
      <c r="O31" s="15">
        <f t="shared" si="0"/>
        <v>3.2857142857142856</v>
      </c>
      <c r="P31" s="15">
        <f t="shared" si="1"/>
        <v>21.285714285714285</v>
      </c>
      <c r="R31" s="1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1.5</v>
      </c>
      <c r="AA31" s="34">
        <f t="shared" si="23"/>
        <v>0</v>
      </c>
      <c r="AB31" s="34">
        <f t="shared" si="23"/>
        <v>0</v>
      </c>
      <c r="AC31" s="34">
        <f t="shared" si="23"/>
        <v>3.5</v>
      </c>
      <c r="AD31" s="34">
        <f t="shared" si="23"/>
        <v>0</v>
      </c>
      <c r="AE31" s="31">
        <f t="shared" si="23"/>
        <v>4.5</v>
      </c>
      <c r="AF31" s="31">
        <f t="shared" si="23"/>
        <v>8</v>
      </c>
    </row>
    <row r="32" spans="2:32" ht="23.1" customHeight="1" x14ac:dyDescent="0.25">
      <c r="B32" s="24" t="s">
        <v>59</v>
      </c>
      <c r="C32" s="49">
        <f>AVERAGE('17.10 WOBULENZI-ZIROBWE'!C32,'18.10 WOBULENZI-ZIROBWE'!C32,'19.10 WOBULENZI-ZIROBWE-24h'!C32,'20.10 WOBULENZI-ZIROBWE'!C32,'21.10 WOBULENZI-ZIROBWE-24h'!C32,'22.10 WOBULENZI-ZIROBWE'!C32,'23.10 WOBULENZI-ZIROBWE'!C32)</f>
        <v>0.5714285714285714</v>
      </c>
      <c r="D32" s="49">
        <f>AVERAGE('17.10 WOBULENZI-ZIROBWE'!D32,'18.10 WOBULENZI-ZIROBWE'!D32,'19.10 WOBULENZI-ZIROBWE-24h'!D32,'20.10 WOBULENZI-ZIROBWE'!D32,'21.10 WOBULENZI-ZIROBWE-24h'!D32,'22.10 WOBULENZI-ZIROBWE'!D32,'23.10 WOBULENZI-ZIROBWE'!D32)</f>
        <v>0.2857142857142857</v>
      </c>
      <c r="E32" s="49">
        <f>AVERAGE('17.10 WOBULENZI-ZIROBWE'!E32,'18.10 WOBULENZI-ZIROBWE'!E32,'19.10 WOBULENZI-ZIROBWE-24h'!E32,'20.10 WOBULENZI-ZIROBWE'!E32,'21.10 WOBULENZI-ZIROBWE-24h'!E32,'22.10 WOBULENZI-ZIROBWE'!E32,'23.10 WOBULENZI-ZIROBWE'!E32)</f>
        <v>0.42857142857142855</v>
      </c>
      <c r="F32" s="49">
        <f>AVERAGE('17.10 WOBULENZI-ZIROBWE'!F32,'18.10 WOBULENZI-ZIROBWE'!F32,'19.10 WOBULENZI-ZIROBWE-24h'!F32,'20.10 WOBULENZI-ZIROBWE'!F32,'21.10 WOBULENZI-ZIROBWE-24h'!F32,'22.10 WOBULENZI-ZIROBWE'!F32,'23.10 WOBULENZI-ZIROBWE'!F32)</f>
        <v>0</v>
      </c>
      <c r="G32" s="49">
        <f>AVERAGE('17.10 WOBULENZI-ZIROBWE'!G32,'18.10 WOBULENZI-ZIROBWE'!G32,'19.10 WOBULENZI-ZIROBWE-24h'!G32,'20.10 WOBULENZI-ZIROBWE'!G32,'21.10 WOBULENZI-ZIROBWE-24h'!G32,'22.10 WOBULENZI-ZIROBWE'!G32,'23.10 WOBULENZI-ZIROBWE'!G32)</f>
        <v>0</v>
      </c>
      <c r="H32" s="49">
        <f>AVERAGE('17.10 WOBULENZI-ZIROBWE'!H32,'18.10 WOBULENZI-ZIROBWE'!H32,'19.10 WOBULENZI-ZIROBWE-24h'!H32,'20.10 WOBULENZI-ZIROBWE'!H32,'21.10 WOBULENZI-ZIROBWE-24h'!H32,'22.10 WOBULENZI-ZIROBWE'!H32,'23.10 WOBULENZI-ZIROBWE'!H32)</f>
        <v>0</v>
      </c>
      <c r="I32" s="49">
        <f>AVERAGE('17.10 WOBULENZI-ZIROBWE'!I32,'18.10 WOBULENZI-ZIROBWE'!I32,'19.10 WOBULENZI-ZIROBWE-24h'!I32,'20.10 WOBULENZI-ZIROBWE'!I32,'21.10 WOBULENZI-ZIROBWE-24h'!I32,'22.10 WOBULENZI-ZIROBWE'!I32,'23.10 WOBULENZI-ZIROBWE'!I32)</f>
        <v>0.14285714285714285</v>
      </c>
      <c r="J32" s="49">
        <f>AVERAGE('17.10 WOBULENZI-ZIROBWE'!J32,'18.10 WOBULENZI-ZIROBWE'!J32,'19.10 WOBULENZI-ZIROBWE-24h'!J32,'20.10 WOBULENZI-ZIROBWE'!J32,'21.10 WOBULENZI-ZIROBWE-24h'!J32,'22.10 WOBULENZI-ZIROBWE'!J32,'23.10 WOBULENZI-ZIROBWE'!J32)</f>
        <v>0.42857142857142855</v>
      </c>
      <c r="K32" s="49">
        <f>AVERAGE('17.10 WOBULENZI-ZIROBWE'!K32,'18.10 WOBULENZI-ZIROBWE'!K32,'19.10 WOBULENZI-ZIROBWE-24h'!K32,'20.10 WOBULENZI-ZIROBWE'!K32,'21.10 WOBULENZI-ZIROBWE-24h'!K32,'22.10 WOBULENZI-ZIROBWE'!K32,'23.10 WOBULENZI-ZIROBWE'!K32)</f>
        <v>0</v>
      </c>
      <c r="L32" s="49">
        <f>AVERAGE('17.10 WOBULENZI-ZIROBWE'!L32,'18.10 WOBULENZI-ZIROBWE'!L32,'19.10 WOBULENZI-ZIROBWE-24h'!L32,'20.10 WOBULENZI-ZIROBWE'!L32,'21.10 WOBULENZI-ZIROBWE-24h'!L32,'22.10 WOBULENZI-ZIROBWE'!L32,'23.10 WOBULENZI-ZIROBWE'!L32)</f>
        <v>0</v>
      </c>
      <c r="M32" s="49">
        <f>AVERAGE('17.10 WOBULENZI-ZIROBWE'!M32,'18.10 WOBULENZI-ZIROBWE'!M32,'19.10 WOBULENZI-ZIROBWE-24h'!M32,'20.10 WOBULENZI-ZIROBWE'!M32,'21.10 WOBULENZI-ZIROBWE-24h'!M32,'22.10 WOBULENZI-ZIROBWE'!M32,'23.10 WOBULENZI-ZIROBWE'!M32)</f>
        <v>18.285714285714285</v>
      </c>
      <c r="N32" s="49">
        <f>AVERAGE('17.10 WOBULENZI-ZIROBWE'!N32,'18.10 WOBULENZI-ZIROBWE'!N32,'19.10 WOBULENZI-ZIROBWE-24h'!N32,'20.10 WOBULENZI-ZIROBWE'!N32,'21.10 WOBULENZI-ZIROBWE-24h'!N32,'22.10 WOBULENZI-ZIROBWE'!N32,'23.10 WOBULENZI-ZIROBWE'!N32)</f>
        <v>0</v>
      </c>
      <c r="O32" s="15">
        <f t="shared" si="0"/>
        <v>1.857142857142857</v>
      </c>
      <c r="P32" s="15">
        <f t="shared" si="1"/>
        <v>20.142857142857142</v>
      </c>
      <c r="R32" s="1" t="s">
        <v>156</v>
      </c>
      <c r="S32" s="34">
        <f>SUM(C98:C101)</f>
        <v>1.5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2.5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1.5</v>
      </c>
      <c r="AA32" s="34">
        <f t="shared" si="24"/>
        <v>0</v>
      </c>
      <c r="AB32" s="34">
        <f t="shared" si="24"/>
        <v>0</v>
      </c>
      <c r="AC32" s="34">
        <f t="shared" si="24"/>
        <v>9</v>
      </c>
      <c r="AD32" s="34">
        <f t="shared" si="24"/>
        <v>0</v>
      </c>
      <c r="AE32" s="31">
        <f t="shared" si="24"/>
        <v>8</v>
      </c>
      <c r="AF32" s="31">
        <f t="shared" si="24"/>
        <v>17</v>
      </c>
    </row>
    <row r="33" spans="2:32" ht="23.1" customHeight="1" x14ac:dyDescent="0.25">
      <c r="B33" s="23" t="s">
        <v>60</v>
      </c>
      <c r="C33" s="49">
        <f>AVERAGE('17.10 WOBULENZI-ZIROBWE'!C33,'18.10 WOBULENZI-ZIROBWE'!C33,'19.10 WOBULENZI-ZIROBWE-24h'!C33,'20.10 WOBULENZI-ZIROBWE'!C33,'21.10 WOBULENZI-ZIROBWE-24h'!C33,'22.10 WOBULENZI-ZIROBWE'!C33,'23.10 WOBULENZI-ZIROBWE'!C33)</f>
        <v>1.2857142857142858</v>
      </c>
      <c r="D33" s="49">
        <f>AVERAGE('17.10 WOBULENZI-ZIROBWE'!D33,'18.10 WOBULENZI-ZIROBWE'!D33,'19.10 WOBULENZI-ZIROBWE-24h'!D33,'20.10 WOBULENZI-ZIROBWE'!D33,'21.10 WOBULENZI-ZIROBWE-24h'!D33,'22.10 WOBULENZI-ZIROBWE'!D33,'23.10 WOBULENZI-ZIROBWE'!D33)</f>
        <v>0.2857142857142857</v>
      </c>
      <c r="E33" s="49">
        <f>AVERAGE('17.10 WOBULENZI-ZIROBWE'!E33,'18.10 WOBULENZI-ZIROBWE'!E33,'19.10 WOBULENZI-ZIROBWE-24h'!E33,'20.10 WOBULENZI-ZIROBWE'!E33,'21.10 WOBULENZI-ZIROBWE-24h'!E33,'22.10 WOBULENZI-ZIROBWE'!E33,'23.10 WOBULENZI-ZIROBWE'!E33)</f>
        <v>0.2857142857142857</v>
      </c>
      <c r="F33" s="49">
        <f>AVERAGE('17.10 WOBULENZI-ZIROBWE'!F33,'18.10 WOBULENZI-ZIROBWE'!F33,'19.10 WOBULENZI-ZIROBWE-24h'!F33,'20.10 WOBULENZI-ZIROBWE'!F33,'21.10 WOBULENZI-ZIROBWE-24h'!F33,'22.10 WOBULENZI-ZIROBWE'!F33,'23.10 WOBULENZI-ZIROBWE'!F33)</f>
        <v>0.8571428571428571</v>
      </c>
      <c r="G33" s="49">
        <f>AVERAGE('17.10 WOBULENZI-ZIROBWE'!G33,'18.10 WOBULENZI-ZIROBWE'!G33,'19.10 WOBULENZI-ZIROBWE-24h'!G33,'20.10 WOBULENZI-ZIROBWE'!G33,'21.10 WOBULENZI-ZIROBWE-24h'!G33,'22.10 WOBULENZI-ZIROBWE'!G33,'23.10 WOBULENZI-ZIROBWE'!G33)</f>
        <v>0.14285714285714285</v>
      </c>
      <c r="H33" s="49">
        <f>AVERAGE('17.10 WOBULENZI-ZIROBWE'!H33,'18.10 WOBULENZI-ZIROBWE'!H33,'19.10 WOBULENZI-ZIROBWE-24h'!H33,'20.10 WOBULENZI-ZIROBWE'!H33,'21.10 WOBULENZI-ZIROBWE-24h'!H33,'22.10 WOBULENZI-ZIROBWE'!H33,'23.10 WOBULENZI-ZIROBWE'!H33)</f>
        <v>0</v>
      </c>
      <c r="I33" s="49">
        <f>AVERAGE('17.10 WOBULENZI-ZIROBWE'!I33,'18.10 WOBULENZI-ZIROBWE'!I33,'19.10 WOBULENZI-ZIROBWE-24h'!I33,'20.10 WOBULENZI-ZIROBWE'!I33,'21.10 WOBULENZI-ZIROBWE-24h'!I33,'22.10 WOBULENZI-ZIROBWE'!I33,'23.10 WOBULENZI-ZIROBWE'!I33)</f>
        <v>0.2857142857142857</v>
      </c>
      <c r="J33" s="49">
        <f>AVERAGE('17.10 WOBULENZI-ZIROBWE'!J33,'18.10 WOBULENZI-ZIROBWE'!J33,'19.10 WOBULENZI-ZIROBWE-24h'!J33,'20.10 WOBULENZI-ZIROBWE'!J33,'21.10 WOBULENZI-ZIROBWE-24h'!J33,'22.10 WOBULENZI-ZIROBWE'!J33,'23.10 WOBULENZI-ZIROBWE'!J33)</f>
        <v>0.8571428571428571</v>
      </c>
      <c r="K33" s="49">
        <f>AVERAGE('17.10 WOBULENZI-ZIROBWE'!K33,'18.10 WOBULENZI-ZIROBWE'!K33,'19.10 WOBULENZI-ZIROBWE-24h'!K33,'20.10 WOBULENZI-ZIROBWE'!K33,'21.10 WOBULENZI-ZIROBWE-24h'!K33,'22.10 WOBULENZI-ZIROBWE'!K33,'23.10 WOBULENZI-ZIROBWE'!K33)</f>
        <v>0</v>
      </c>
      <c r="L33" s="49">
        <f>AVERAGE('17.10 WOBULENZI-ZIROBWE'!L33,'18.10 WOBULENZI-ZIROBWE'!L33,'19.10 WOBULENZI-ZIROBWE-24h'!L33,'20.10 WOBULENZI-ZIROBWE'!L33,'21.10 WOBULENZI-ZIROBWE-24h'!L33,'22.10 WOBULENZI-ZIROBWE'!L33,'23.10 WOBULENZI-ZIROBWE'!L33)</f>
        <v>0</v>
      </c>
      <c r="M33" s="49">
        <f>AVERAGE('17.10 WOBULENZI-ZIROBWE'!M33,'18.10 WOBULENZI-ZIROBWE'!M33,'19.10 WOBULENZI-ZIROBWE-24h'!M33,'20.10 WOBULENZI-ZIROBWE'!M33,'21.10 WOBULENZI-ZIROBWE-24h'!M33,'22.10 WOBULENZI-ZIROBWE'!M33,'23.10 WOBULENZI-ZIROBWE'!M33)</f>
        <v>18.285714285714285</v>
      </c>
      <c r="N33" s="49">
        <f>AVERAGE('17.10 WOBULENZI-ZIROBWE'!N33,'18.10 WOBULENZI-ZIROBWE'!N33,'19.10 WOBULENZI-ZIROBWE-24h'!N33,'20.10 WOBULENZI-ZIROBWE'!N33,'21.10 WOBULENZI-ZIROBWE-24h'!N33,'22.10 WOBULENZI-ZIROBWE'!N33,'23.10 WOBULENZI-ZIROBWE'!N33)</f>
        <v>0</v>
      </c>
      <c r="O33" s="15">
        <f t="shared" si="0"/>
        <v>4</v>
      </c>
      <c r="P33" s="15">
        <f t="shared" si="1"/>
        <v>22.285714285714285</v>
      </c>
      <c r="R33" s="1" t="s">
        <v>157</v>
      </c>
      <c r="S33" s="34">
        <f>SUM(C102:C105)</f>
        <v>0.5</v>
      </c>
      <c r="T33" s="34">
        <f t="shared" ref="T33:AF33" si="25">SUM(D102:D105)</f>
        <v>0</v>
      </c>
      <c r="U33" s="34">
        <f t="shared" si="25"/>
        <v>0.5</v>
      </c>
      <c r="V33" s="34">
        <f t="shared" si="25"/>
        <v>4.5</v>
      </c>
      <c r="W33" s="34">
        <f t="shared" si="25"/>
        <v>0</v>
      </c>
      <c r="X33" s="34">
        <f t="shared" si="25"/>
        <v>0</v>
      </c>
      <c r="Y33" s="34">
        <f t="shared" si="25"/>
        <v>0.5</v>
      </c>
      <c r="Z33" s="34">
        <f t="shared" si="25"/>
        <v>0.5</v>
      </c>
      <c r="AA33" s="34">
        <f t="shared" si="25"/>
        <v>0</v>
      </c>
      <c r="AB33" s="34">
        <f t="shared" si="25"/>
        <v>0</v>
      </c>
      <c r="AC33" s="34">
        <f t="shared" si="25"/>
        <v>28.5</v>
      </c>
      <c r="AD33" s="34">
        <f t="shared" si="25"/>
        <v>0</v>
      </c>
      <c r="AE33" s="31">
        <f t="shared" si="25"/>
        <v>6.5</v>
      </c>
      <c r="AF33" s="31">
        <f t="shared" si="25"/>
        <v>35</v>
      </c>
    </row>
    <row r="34" spans="2:32" ht="23.1" customHeight="1" x14ac:dyDescent="0.25">
      <c r="B34" s="24" t="s">
        <v>61</v>
      </c>
      <c r="C34" s="49">
        <f>AVERAGE('17.10 WOBULENZI-ZIROBWE'!C34,'18.10 WOBULENZI-ZIROBWE'!C34,'19.10 WOBULENZI-ZIROBWE-24h'!C34,'20.10 WOBULENZI-ZIROBWE'!C34,'21.10 WOBULENZI-ZIROBWE-24h'!C34,'22.10 WOBULENZI-ZIROBWE'!C34,'23.10 WOBULENZI-ZIROBWE'!C34)</f>
        <v>1.4285714285714286</v>
      </c>
      <c r="D34" s="49">
        <f>AVERAGE('17.10 WOBULENZI-ZIROBWE'!D34,'18.10 WOBULENZI-ZIROBWE'!D34,'19.10 WOBULENZI-ZIROBWE-24h'!D34,'20.10 WOBULENZI-ZIROBWE'!D34,'21.10 WOBULENZI-ZIROBWE-24h'!D34,'22.10 WOBULENZI-ZIROBWE'!D34,'23.10 WOBULENZI-ZIROBWE'!D34)</f>
        <v>0.5714285714285714</v>
      </c>
      <c r="E34" s="49">
        <f>AVERAGE('17.10 WOBULENZI-ZIROBWE'!E34,'18.10 WOBULENZI-ZIROBWE'!E34,'19.10 WOBULENZI-ZIROBWE-24h'!E34,'20.10 WOBULENZI-ZIROBWE'!E34,'21.10 WOBULENZI-ZIROBWE-24h'!E34,'22.10 WOBULENZI-ZIROBWE'!E34,'23.10 WOBULENZI-ZIROBWE'!E34)</f>
        <v>0.14285714285714285</v>
      </c>
      <c r="F34" s="49">
        <f>AVERAGE('17.10 WOBULENZI-ZIROBWE'!F34,'18.10 WOBULENZI-ZIROBWE'!F34,'19.10 WOBULENZI-ZIROBWE-24h'!F34,'20.10 WOBULENZI-ZIROBWE'!F34,'21.10 WOBULENZI-ZIROBWE-24h'!F34,'22.10 WOBULENZI-ZIROBWE'!F34,'23.10 WOBULENZI-ZIROBWE'!F34)</f>
        <v>0.2857142857142857</v>
      </c>
      <c r="G34" s="49">
        <f>AVERAGE('17.10 WOBULENZI-ZIROBWE'!G34,'18.10 WOBULENZI-ZIROBWE'!G34,'19.10 WOBULENZI-ZIROBWE-24h'!G34,'20.10 WOBULENZI-ZIROBWE'!G34,'21.10 WOBULENZI-ZIROBWE-24h'!G34,'22.10 WOBULENZI-ZIROBWE'!G34,'23.10 WOBULENZI-ZIROBWE'!G34)</f>
        <v>0</v>
      </c>
      <c r="H34" s="49">
        <f>AVERAGE('17.10 WOBULENZI-ZIROBWE'!H34,'18.10 WOBULENZI-ZIROBWE'!H34,'19.10 WOBULENZI-ZIROBWE-24h'!H34,'20.10 WOBULENZI-ZIROBWE'!H34,'21.10 WOBULENZI-ZIROBWE-24h'!H34,'22.10 WOBULENZI-ZIROBWE'!H34,'23.10 WOBULENZI-ZIROBWE'!H34)</f>
        <v>0</v>
      </c>
      <c r="I34" s="49">
        <f>AVERAGE('17.10 WOBULENZI-ZIROBWE'!I34,'18.10 WOBULENZI-ZIROBWE'!I34,'19.10 WOBULENZI-ZIROBWE-24h'!I34,'20.10 WOBULENZI-ZIROBWE'!I34,'21.10 WOBULENZI-ZIROBWE-24h'!I34,'22.10 WOBULENZI-ZIROBWE'!I34,'23.10 WOBULENZI-ZIROBWE'!I34)</f>
        <v>0.5714285714285714</v>
      </c>
      <c r="J34" s="49">
        <f>AVERAGE('17.10 WOBULENZI-ZIROBWE'!J34,'18.10 WOBULENZI-ZIROBWE'!J34,'19.10 WOBULENZI-ZIROBWE-24h'!J34,'20.10 WOBULENZI-ZIROBWE'!J34,'21.10 WOBULENZI-ZIROBWE-24h'!J34,'22.10 WOBULENZI-ZIROBWE'!J34,'23.10 WOBULENZI-ZIROBWE'!J34)</f>
        <v>1.4285714285714286</v>
      </c>
      <c r="K34" s="49">
        <f>AVERAGE('17.10 WOBULENZI-ZIROBWE'!K34,'18.10 WOBULENZI-ZIROBWE'!K34,'19.10 WOBULENZI-ZIROBWE-24h'!K34,'20.10 WOBULENZI-ZIROBWE'!K34,'21.10 WOBULENZI-ZIROBWE-24h'!K34,'22.10 WOBULENZI-ZIROBWE'!K34,'23.10 WOBULENZI-ZIROBWE'!K34)</f>
        <v>0</v>
      </c>
      <c r="L34" s="49">
        <f>AVERAGE('17.10 WOBULENZI-ZIROBWE'!L34,'18.10 WOBULENZI-ZIROBWE'!L34,'19.10 WOBULENZI-ZIROBWE-24h'!L34,'20.10 WOBULENZI-ZIROBWE'!L34,'21.10 WOBULENZI-ZIROBWE-24h'!L34,'22.10 WOBULENZI-ZIROBWE'!L34,'23.10 WOBULENZI-ZIROBWE'!L34)</f>
        <v>0</v>
      </c>
      <c r="M34" s="49">
        <f>AVERAGE('17.10 WOBULENZI-ZIROBWE'!M34,'18.10 WOBULENZI-ZIROBWE'!M34,'19.10 WOBULENZI-ZIROBWE-24h'!M34,'20.10 WOBULENZI-ZIROBWE'!M34,'21.10 WOBULENZI-ZIROBWE-24h'!M34,'22.10 WOBULENZI-ZIROBWE'!M34,'23.10 WOBULENZI-ZIROBWE'!M34)</f>
        <v>19.857142857142858</v>
      </c>
      <c r="N34" s="49">
        <f>AVERAGE('17.10 WOBULENZI-ZIROBWE'!N34,'18.10 WOBULENZI-ZIROBWE'!N34,'19.10 WOBULENZI-ZIROBWE-24h'!N34,'20.10 WOBULENZI-ZIROBWE'!N34,'21.10 WOBULENZI-ZIROBWE-24h'!N34,'22.10 WOBULENZI-ZIROBWE'!N34,'23.10 WOBULENZI-ZIROBWE'!N34)</f>
        <v>0</v>
      </c>
      <c r="O34" s="15">
        <f t="shared" si="0"/>
        <v>4.4285714285714288</v>
      </c>
      <c r="P34" s="15">
        <f t="shared" si="1"/>
        <v>24.285714285714285</v>
      </c>
      <c r="R34" s="52" t="s">
        <v>90</v>
      </c>
      <c r="S34" s="53">
        <f t="shared" ref="S34:AF34" si="26">MAX(S10:S12)</f>
        <v>2.5714285714285712</v>
      </c>
      <c r="T34" s="53">
        <f t="shared" si="26"/>
        <v>1</v>
      </c>
      <c r="U34" s="53">
        <f t="shared" si="26"/>
        <v>0.42857142857142855</v>
      </c>
      <c r="V34" s="53">
        <f t="shared" si="26"/>
        <v>1.4285714285714284</v>
      </c>
      <c r="W34" s="53">
        <f t="shared" si="26"/>
        <v>0</v>
      </c>
      <c r="X34" s="53">
        <f t="shared" si="26"/>
        <v>0</v>
      </c>
      <c r="Y34" s="53">
        <f t="shared" si="26"/>
        <v>2</v>
      </c>
      <c r="Z34" s="53">
        <f t="shared" si="26"/>
        <v>2.1428571428571428</v>
      </c>
      <c r="AA34" s="53">
        <f t="shared" si="26"/>
        <v>0.42857142857142855</v>
      </c>
      <c r="AB34" s="53">
        <f t="shared" si="26"/>
        <v>0</v>
      </c>
      <c r="AC34" s="53">
        <f t="shared" si="26"/>
        <v>54.285714285714285</v>
      </c>
      <c r="AD34" s="53">
        <f t="shared" si="26"/>
        <v>0</v>
      </c>
      <c r="AE34" s="40">
        <f t="shared" si="26"/>
        <v>8.8571428571428559</v>
      </c>
      <c r="AF34" s="40">
        <f t="shared" si="26"/>
        <v>61.714285714285708</v>
      </c>
    </row>
    <row r="35" spans="2:32" ht="23.1" customHeight="1" x14ac:dyDescent="0.25">
      <c r="B35" s="24" t="s">
        <v>62</v>
      </c>
      <c r="C35" s="49">
        <f>AVERAGE('17.10 WOBULENZI-ZIROBWE'!C35,'18.10 WOBULENZI-ZIROBWE'!C35,'19.10 WOBULENZI-ZIROBWE-24h'!C35,'20.10 WOBULENZI-ZIROBWE'!C35,'21.10 WOBULENZI-ZIROBWE-24h'!C35,'22.10 WOBULENZI-ZIROBWE'!C35,'23.10 WOBULENZI-ZIROBWE'!C35)</f>
        <v>1.1428571428571428</v>
      </c>
      <c r="D35" s="49">
        <f>AVERAGE('17.10 WOBULENZI-ZIROBWE'!D35,'18.10 WOBULENZI-ZIROBWE'!D35,'19.10 WOBULENZI-ZIROBWE-24h'!D35,'20.10 WOBULENZI-ZIROBWE'!D35,'21.10 WOBULENZI-ZIROBWE-24h'!D35,'22.10 WOBULENZI-ZIROBWE'!D35,'23.10 WOBULENZI-ZIROBWE'!D35)</f>
        <v>0.2857142857142857</v>
      </c>
      <c r="E35" s="49">
        <f>AVERAGE('17.10 WOBULENZI-ZIROBWE'!E35,'18.10 WOBULENZI-ZIROBWE'!E35,'19.10 WOBULENZI-ZIROBWE-24h'!E35,'20.10 WOBULENZI-ZIROBWE'!E35,'21.10 WOBULENZI-ZIROBWE-24h'!E35,'22.10 WOBULENZI-ZIROBWE'!E35,'23.10 WOBULENZI-ZIROBWE'!E35)</f>
        <v>0</v>
      </c>
      <c r="F35" s="49">
        <f>AVERAGE('17.10 WOBULENZI-ZIROBWE'!F35,'18.10 WOBULENZI-ZIROBWE'!F35,'19.10 WOBULENZI-ZIROBWE-24h'!F35,'20.10 WOBULENZI-ZIROBWE'!F35,'21.10 WOBULENZI-ZIROBWE-24h'!F35,'22.10 WOBULENZI-ZIROBWE'!F35,'23.10 WOBULENZI-ZIROBWE'!F35)</f>
        <v>0.5714285714285714</v>
      </c>
      <c r="G35" s="49">
        <f>AVERAGE('17.10 WOBULENZI-ZIROBWE'!G35,'18.10 WOBULENZI-ZIROBWE'!G35,'19.10 WOBULENZI-ZIROBWE-24h'!G35,'20.10 WOBULENZI-ZIROBWE'!G35,'21.10 WOBULENZI-ZIROBWE-24h'!G35,'22.10 WOBULENZI-ZIROBWE'!G35,'23.10 WOBULENZI-ZIROBWE'!G35)</f>
        <v>0</v>
      </c>
      <c r="H35" s="49">
        <f>AVERAGE('17.10 WOBULENZI-ZIROBWE'!H35,'18.10 WOBULENZI-ZIROBWE'!H35,'19.10 WOBULENZI-ZIROBWE-24h'!H35,'20.10 WOBULENZI-ZIROBWE'!H35,'21.10 WOBULENZI-ZIROBWE-24h'!H35,'22.10 WOBULENZI-ZIROBWE'!H35,'23.10 WOBULENZI-ZIROBWE'!H35)</f>
        <v>0</v>
      </c>
      <c r="I35" s="49">
        <f>AVERAGE('17.10 WOBULENZI-ZIROBWE'!I35,'18.10 WOBULENZI-ZIROBWE'!I35,'19.10 WOBULENZI-ZIROBWE-24h'!I35,'20.10 WOBULENZI-ZIROBWE'!I35,'21.10 WOBULENZI-ZIROBWE-24h'!I35,'22.10 WOBULENZI-ZIROBWE'!I35,'23.10 WOBULENZI-ZIROBWE'!I35)</f>
        <v>0.8571428571428571</v>
      </c>
      <c r="J35" s="49">
        <f>AVERAGE('17.10 WOBULENZI-ZIROBWE'!J35,'18.10 WOBULENZI-ZIROBWE'!J35,'19.10 WOBULENZI-ZIROBWE-24h'!J35,'20.10 WOBULENZI-ZIROBWE'!J35,'21.10 WOBULENZI-ZIROBWE-24h'!J35,'22.10 WOBULENZI-ZIROBWE'!J35,'23.10 WOBULENZI-ZIROBWE'!J35)</f>
        <v>1</v>
      </c>
      <c r="K35" s="49">
        <f>AVERAGE('17.10 WOBULENZI-ZIROBWE'!K35,'18.10 WOBULENZI-ZIROBWE'!K35,'19.10 WOBULENZI-ZIROBWE-24h'!K35,'20.10 WOBULENZI-ZIROBWE'!K35,'21.10 WOBULENZI-ZIROBWE-24h'!K35,'22.10 WOBULENZI-ZIROBWE'!K35,'23.10 WOBULENZI-ZIROBWE'!K35)</f>
        <v>0</v>
      </c>
      <c r="L35" s="49">
        <f>AVERAGE('17.10 WOBULENZI-ZIROBWE'!L35,'18.10 WOBULENZI-ZIROBWE'!L35,'19.10 WOBULENZI-ZIROBWE-24h'!L35,'20.10 WOBULENZI-ZIROBWE'!L35,'21.10 WOBULENZI-ZIROBWE-24h'!L35,'22.10 WOBULENZI-ZIROBWE'!L35,'23.10 WOBULENZI-ZIROBWE'!L35)</f>
        <v>0</v>
      </c>
      <c r="M35" s="49">
        <f>AVERAGE('17.10 WOBULENZI-ZIROBWE'!M35,'18.10 WOBULENZI-ZIROBWE'!M35,'19.10 WOBULENZI-ZIROBWE-24h'!M35,'20.10 WOBULENZI-ZIROBWE'!M35,'21.10 WOBULENZI-ZIROBWE-24h'!M35,'22.10 WOBULENZI-ZIROBWE'!M35,'23.10 WOBULENZI-ZIROBWE'!M35)</f>
        <v>18.857142857142858</v>
      </c>
      <c r="N35" s="49">
        <f>AVERAGE('17.10 WOBULENZI-ZIROBWE'!N35,'18.10 WOBULENZI-ZIROBWE'!N35,'19.10 WOBULENZI-ZIROBWE-24h'!N35,'20.10 WOBULENZI-ZIROBWE'!N35,'21.10 WOBULENZI-ZIROBWE-24h'!N35,'22.10 WOBULENZI-ZIROBWE'!N35,'23.10 WOBULENZI-ZIROBWE'!N35)</f>
        <v>0</v>
      </c>
      <c r="O35" s="15">
        <f t="shared" si="0"/>
        <v>3.8571428571428568</v>
      </c>
      <c r="P35" s="15">
        <f t="shared" si="1"/>
        <v>22.714285714285715</v>
      </c>
      <c r="R35" s="52" t="s">
        <v>91</v>
      </c>
      <c r="S35" s="53">
        <f t="shared" ref="S35:AF35" si="27">MAX(S13:S18)</f>
        <v>7.2857142857142847</v>
      </c>
      <c r="T35" s="53">
        <f t="shared" si="27"/>
        <v>2.8571428571428572</v>
      </c>
      <c r="U35" s="53">
        <f t="shared" si="27"/>
        <v>1.4285714285714284</v>
      </c>
      <c r="V35" s="53">
        <f t="shared" si="27"/>
        <v>2.5714285714285712</v>
      </c>
      <c r="W35" s="53">
        <f t="shared" si="27"/>
        <v>0.5714285714285714</v>
      </c>
      <c r="X35" s="53">
        <f t="shared" si="27"/>
        <v>0</v>
      </c>
      <c r="Y35" s="53">
        <f t="shared" si="27"/>
        <v>3.7142857142857144</v>
      </c>
      <c r="Z35" s="53">
        <f t="shared" si="27"/>
        <v>7.5714285714285721</v>
      </c>
      <c r="AA35" s="53">
        <f t="shared" si="27"/>
        <v>0.42857142857142855</v>
      </c>
      <c r="AB35" s="53">
        <f t="shared" si="27"/>
        <v>0.2857142857142857</v>
      </c>
      <c r="AC35" s="53">
        <f t="shared" si="27"/>
        <v>76</v>
      </c>
      <c r="AD35" s="53">
        <f t="shared" si="27"/>
        <v>1.4285714285714286</v>
      </c>
      <c r="AE35" s="40">
        <f t="shared" si="27"/>
        <v>21.428571428571427</v>
      </c>
      <c r="AF35" s="40">
        <f t="shared" si="27"/>
        <v>92.285714285714278</v>
      </c>
    </row>
    <row r="36" spans="2:32" ht="23.1" customHeight="1" x14ac:dyDescent="0.25">
      <c r="B36" s="24" t="s">
        <v>63</v>
      </c>
      <c r="C36" s="49">
        <f>AVERAGE('17.10 WOBULENZI-ZIROBWE'!C36,'18.10 WOBULENZI-ZIROBWE'!C36,'19.10 WOBULENZI-ZIROBWE-24h'!C36,'20.10 WOBULENZI-ZIROBWE'!C36,'21.10 WOBULENZI-ZIROBWE-24h'!C36,'22.10 WOBULENZI-ZIROBWE'!C36,'23.10 WOBULENZI-ZIROBWE'!C36)</f>
        <v>0.5714285714285714</v>
      </c>
      <c r="D36" s="49">
        <f>AVERAGE('17.10 WOBULENZI-ZIROBWE'!D36,'18.10 WOBULENZI-ZIROBWE'!D36,'19.10 WOBULENZI-ZIROBWE-24h'!D36,'20.10 WOBULENZI-ZIROBWE'!D36,'21.10 WOBULENZI-ZIROBWE-24h'!D36,'22.10 WOBULENZI-ZIROBWE'!D36,'23.10 WOBULENZI-ZIROBWE'!D36)</f>
        <v>0.14285714285714285</v>
      </c>
      <c r="E36" s="49">
        <f>AVERAGE('17.10 WOBULENZI-ZIROBWE'!E36,'18.10 WOBULENZI-ZIROBWE'!E36,'19.10 WOBULENZI-ZIROBWE-24h'!E36,'20.10 WOBULENZI-ZIROBWE'!E36,'21.10 WOBULENZI-ZIROBWE-24h'!E36,'22.10 WOBULENZI-ZIROBWE'!E36,'23.10 WOBULENZI-ZIROBWE'!E36)</f>
        <v>0.2857142857142857</v>
      </c>
      <c r="F36" s="49">
        <f>AVERAGE('17.10 WOBULENZI-ZIROBWE'!F36,'18.10 WOBULENZI-ZIROBWE'!F36,'19.10 WOBULENZI-ZIROBWE-24h'!F36,'20.10 WOBULENZI-ZIROBWE'!F36,'21.10 WOBULENZI-ZIROBWE-24h'!F36,'22.10 WOBULENZI-ZIROBWE'!F36,'23.10 WOBULENZI-ZIROBWE'!F36)</f>
        <v>0.14285714285714285</v>
      </c>
      <c r="G36" s="49">
        <f>AVERAGE('17.10 WOBULENZI-ZIROBWE'!G36,'18.10 WOBULENZI-ZIROBWE'!G36,'19.10 WOBULENZI-ZIROBWE-24h'!G36,'20.10 WOBULENZI-ZIROBWE'!G36,'21.10 WOBULENZI-ZIROBWE-24h'!G36,'22.10 WOBULENZI-ZIROBWE'!G36,'23.10 WOBULENZI-ZIROBWE'!G36)</f>
        <v>0</v>
      </c>
      <c r="H36" s="49">
        <f>AVERAGE('17.10 WOBULENZI-ZIROBWE'!H36,'18.10 WOBULENZI-ZIROBWE'!H36,'19.10 WOBULENZI-ZIROBWE-24h'!H36,'20.10 WOBULENZI-ZIROBWE'!H36,'21.10 WOBULENZI-ZIROBWE-24h'!H36,'22.10 WOBULENZI-ZIROBWE'!H36,'23.10 WOBULENZI-ZIROBWE'!H36)</f>
        <v>0</v>
      </c>
      <c r="I36" s="49">
        <f>AVERAGE('17.10 WOBULENZI-ZIROBWE'!I36,'18.10 WOBULENZI-ZIROBWE'!I36,'19.10 WOBULENZI-ZIROBWE-24h'!I36,'20.10 WOBULENZI-ZIROBWE'!I36,'21.10 WOBULENZI-ZIROBWE-24h'!I36,'22.10 WOBULENZI-ZIROBWE'!I36,'23.10 WOBULENZI-ZIROBWE'!I36)</f>
        <v>0.7142857142857143</v>
      </c>
      <c r="J36" s="49">
        <f>AVERAGE('17.10 WOBULENZI-ZIROBWE'!J36,'18.10 WOBULENZI-ZIROBWE'!J36,'19.10 WOBULENZI-ZIROBWE-24h'!J36,'20.10 WOBULENZI-ZIROBWE'!J36,'21.10 WOBULENZI-ZIROBWE-24h'!J36,'22.10 WOBULENZI-ZIROBWE'!J36,'23.10 WOBULENZI-ZIROBWE'!J36)</f>
        <v>0.5714285714285714</v>
      </c>
      <c r="K36" s="49">
        <f>AVERAGE('17.10 WOBULENZI-ZIROBWE'!K36,'18.10 WOBULENZI-ZIROBWE'!K36,'19.10 WOBULENZI-ZIROBWE-24h'!K36,'20.10 WOBULENZI-ZIROBWE'!K36,'21.10 WOBULENZI-ZIROBWE-24h'!K36,'22.10 WOBULENZI-ZIROBWE'!K36,'23.10 WOBULENZI-ZIROBWE'!K36)</f>
        <v>0</v>
      </c>
      <c r="L36" s="49">
        <f>AVERAGE('17.10 WOBULENZI-ZIROBWE'!L36,'18.10 WOBULENZI-ZIROBWE'!L36,'19.10 WOBULENZI-ZIROBWE-24h'!L36,'20.10 WOBULENZI-ZIROBWE'!L36,'21.10 WOBULENZI-ZIROBWE-24h'!L36,'22.10 WOBULENZI-ZIROBWE'!L36,'23.10 WOBULENZI-ZIROBWE'!L36)</f>
        <v>0</v>
      </c>
      <c r="M36" s="49">
        <f>AVERAGE('17.10 WOBULENZI-ZIROBWE'!M36,'18.10 WOBULENZI-ZIROBWE'!M36,'19.10 WOBULENZI-ZIROBWE-24h'!M36,'20.10 WOBULENZI-ZIROBWE'!M36,'21.10 WOBULENZI-ZIROBWE-24h'!M36,'22.10 WOBULENZI-ZIROBWE'!M36,'23.10 WOBULENZI-ZIROBWE'!M36)</f>
        <v>17.285714285714285</v>
      </c>
      <c r="N36" s="49">
        <f>AVERAGE('17.10 WOBULENZI-ZIROBWE'!N36,'18.10 WOBULENZI-ZIROBWE'!N36,'19.10 WOBULENZI-ZIROBWE-24h'!N36,'20.10 WOBULENZI-ZIROBWE'!N36,'21.10 WOBULENZI-ZIROBWE-24h'!N36,'22.10 WOBULENZI-ZIROBWE'!N36,'23.10 WOBULENZI-ZIROBWE'!N36)</f>
        <v>0</v>
      </c>
      <c r="O36" s="15">
        <f t="shared" si="0"/>
        <v>2.4285714285714288</v>
      </c>
      <c r="P36" s="15">
        <f t="shared" si="1"/>
        <v>19.714285714285715</v>
      </c>
      <c r="R36" s="52" t="s">
        <v>92</v>
      </c>
      <c r="S36" s="53">
        <f t="shared" ref="S36:AF36" si="28">MAX(S19:S21)</f>
        <v>4.5714285714285712</v>
      </c>
      <c r="T36" s="53">
        <f t="shared" si="28"/>
        <v>2.8571428571428568</v>
      </c>
      <c r="U36" s="53">
        <f t="shared" si="28"/>
        <v>1.9999999999999998</v>
      </c>
      <c r="V36" s="53">
        <f t="shared" si="28"/>
        <v>2.8571428571428568</v>
      </c>
      <c r="W36" s="53">
        <f t="shared" si="28"/>
        <v>1</v>
      </c>
      <c r="X36" s="53">
        <f t="shared" si="28"/>
        <v>0.2857142857142857</v>
      </c>
      <c r="Y36" s="53">
        <f t="shared" si="28"/>
        <v>2.2857142857142856</v>
      </c>
      <c r="Z36" s="53">
        <f t="shared" si="28"/>
        <v>4.5714285714285712</v>
      </c>
      <c r="AA36" s="53">
        <f t="shared" si="28"/>
        <v>0.42857142857142855</v>
      </c>
      <c r="AB36" s="53">
        <f t="shared" si="28"/>
        <v>0</v>
      </c>
      <c r="AC36" s="53">
        <f t="shared" si="28"/>
        <v>83.571428571428569</v>
      </c>
      <c r="AD36" s="53">
        <f t="shared" si="28"/>
        <v>0.14285714285714285</v>
      </c>
      <c r="AE36" s="40">
        <f t="shared" si="28"/>
        <v>18.285714285714285</v>
      </c>
      <c r="AF36" s="40">
        <f t="shared" si="28"/>
        <v>99.285714285714278</v>
      </c>
    </row>
    <row r="37" spans="2:32" ht="23.1" customHeight="1" x14ac:dyDescent="0.25">
      <c r="B37" s="23" t="s">
        <v>64</v>
      </c>
      <c r="C37" s="49">
        <f>AVERAGE('17.10 WOBULENZI-ZIROBWE'!C37,'18.10 WOBULENZI-ZIROBWE'!C37,'19.10 WOBULENZI-ZIROBWE-24h'!C37,'20.10 WOBULENZI-ZIROBWE'!C37,'21.10 WOBULENZI-ZIROBWE-24h'!C37,'22.10 WOBULENZI-ZIROBWE'!C37,'23.10 WOBULENZI-ZIROBWE'!C37)</f>
        <v>0.8571428571428571</v>
      </c>
      <c r="D37" s="49">
        <f>AVERAGE('17.10 WOBULENZI-ZIROBWE'!D37,'18.10 WOBULENZI-ZIROBWE'!D37,'19.10 WOBULENZI-ZIROBWE-24h'!D37,'20.10 WOBULENZI-ZIROBWE'!D37,'21.10 WOBULENZI-ZIROBWE-24h'!D37,'22.10 WOBULENZI-ZIROBWE'!D37,'23.10 WOBULENZI-ZIROBWE'!D37)</f>
        <v>0.42857142857142855</v>
      </c>
      <c r="E37" s="49">
        <f>AVERAGE('17.10 WOBULENZI-ZIROBWE'!E37,'18.10 WOBULENZI-ZIROBWE'!E37,'19.10 WOBULENZI-ZIROBWE-24h'!E37,'20.10 WOBULENZI-ZIROBWE'!E37,'21.10 WOBULENZI-ZIROBWE-24h'!E37,'22.10 WOBULENZI-ZIROBWE'!E37,'23.10 WOBULENZI-ZIROBWE'!E37)</f>
        <v>0.14285714285714285</v>
      </c>
      <c r="F37" s="49">
        <f>AVERAGE('17.10 WOBULENZI-ZIROBWE'!F37,'18.10 WOBULENZI-ZIROBWE'!F37,'19.10 WOBULENZI-ZIROBWE-24h'!F37,'20.10 WOBULENZI-ZIROBWE'!F37,'21.10 WOBULENZI-ZIROBWE-24h'!F37,'22.10 WOBULENZI-ZIROBWE'!F37,'23.10 WOBULENZI-ZIROBWE'!F37)</f>
        <v>1.2857142857142858</v>
      </c>
      <c r="G37" s="49">
        <f>AVERAGE('17.10 WOBULENZI-ZIROBWE'!G37,'18.10 WOBULENZI-ZIROBWE'!G37,'19.10 WOBULENZI-ZIROBWE-24h'!G37,'20.10 WOBULENZI-ZIROBWE'!G37,'21.10 WOBULENZI-ZIROBWE-24h'!G37,'22.10 WOBULENZI-ZIROBWE'!G37,'23.10 WOBULENZI-ZIROBWE'!G37)</f>
        <v>0</v>
      </c>
      <c r="H37" s="49">
        <f>AVERAGE('17.10 WOBULENZI-ZIROBWE'!H37,'18.10 WOBULENZI-ZIROBWE'!H37,'19.10 WOBULENZI-ZIROBWE-24h'!H37,'20.10 WOBULENZI-ZIROBWE'!H37,'21.10 WOBULENZI-ZIROBWE-24h'!H37,'22.10 WOBULENZI-ZIROBWE'!H37,'23.10 WOBULENZI-ZIROBWE'!H37)</f>
        <v>0</v>
      </c>
      <c r="I37" s="49">
        <f>AVERAGE('17.10 WOBULENZI-ZIROBWE'!I37,'18.10 WOBULENZI-ZIROBWE'!I37,'19.10 WOBULENZI-ZIROBWE-24h'!I37,'20.10 WOBULENZI-ZIROBWE'!I37,'21.10 WOBULENZI-ZIROBWE-24h'!I37,'22.10 WOBULENZI-ZIROBWE'!I37,'23.10 WOBULENZI-ZIROBWE'!I37)</f>
        <v>0.8571428571428571</v>
      </c>
      <c r="J37" s="49">
        <f>AVERAGE('17.10 WOBULENZI-ZIROBWE'!J37,'18.10 WOBULENZI-ZIROBWE'!J37,'19.10 WOBULENZI-ZIROBWE-24h'!J37,'20.10 WOBULENZI-ZIROBWE'!J37,'21.10 WOBULENZI-ZIROBWE-24h'!J37,'22.10 WOBULENZI-ZIROBWE'!J37,'23.10 WOBULENZI-ZIROBWE'!J37)</f>
        <v>1.5714285714285714</v>
      </c>
      <c r="K37" s="49">
        <f>AVERAGE('17.10 WOBULENZI-ZIROBWE'!K37,'18.10 WOBULENZI-ZIROBWE'!K37,'19.10 WOBULENZI-ZIROBWE-24h'!K37,'20.10 WOBULENZI-ZIROBWE'!K37,'21.10 WOBULENZI-ZIROBWE-24h'!K37,'22.10 WOBULENZI-ZIROBWE'!K37,'23.10 WOBULENZI-ZIROBWE'!K37)</f>
        <v>0</v>
      </c>
      <c r="L37" s="49">
        <f>AVERAGE('17.10 WOBULENZI-ZIROBWE'!L37,'18.10 WOBULENZI-ZIROBWE'!L37,'19.10 WOBULENZI-ZIROBWE-24h'!L37,'20.10 WOBULENZI-ZIROBWE'!L37,'21.10 WOBULENZI-ZIROBWE-24h'!L37,'22.10 WOBULENZI-ZIROBWE'!L37,'23.10 WOBULENZI-ZIROBWE'!L37)</f>
        <v>0</v>
      </c>
      <c r="M37" s="49">
        <f>AVERAGE('17.10 WOBULENZI-ZIROBWE'!M37,'18.10 WOBULENZI-ZIROBWE'!M37,'19.10 WOBULENZI-ZIROBWE-24h'!M37,'20.10 WOBULENZI-ZIROBWE'!M37,'21.10 WOBULENZI-ZIROBWE-24h'!M37,'22.10 WOBULENZI-ZIROBWE'!M37,'23.10 WOBULENZI-ZIROBWE'!M37)</f>
        <v>20</v>
      </c>
      <c r="N37" s="49">
        <f>AVERAGE('17.10 WOBULENZI-ZIROBWE'!N37,'18.10 WOBULENZI-ZIROBWE'!N37,'19.10 WOBULENZI-ZIROBWE-24h'!N37,'20.10 WOBULENZI-ZIROBWE'!N37,'21.10 WOBULENZI-ZIROBWE-24h'!N37,'22.10 WOBULENZI-ZIROBWE'!N37,'23.10 WOBULENZI-ZIROBWE'!N37)</f>
        <v>0</v>
      </c>
      <c r="O37" s="15">
        <f t="shared" si="0"/>
        <v>5.1428571428571432</v>
      </c>
      <c r="P37" s="15">
        <f t="shared" si="1"/>
        <v>25.142857142857142</v>
      </c>
      <c r="R37" s="37" t="s">
        <v>85</v>
      </c>
      <c r="S37" s="54">
        <f t="shared" ref="S37:AF37" si="29">SUM(S10:S12)</f>
        <v>5.4285714285714279</v>
      </c>
      <c r="T37" s="55">
        <f t="shared" si="29"/>
        <v>1.857142857142857</v>
      </c>
      <c r="U37" s="55">
        <f t="shared" si="29"/>
        <v>1</v>
      </c>
      <c r="V37" s="55">
        <f t="shared" si="29"/>
        <v>3.2857142857142856</v>
      </c>
      <c r="W37" s="55">
        <f t="shared" si="29"/>
        <v>0</v>
      </c>
      <c r="X37" s="55">
        <f t="shared" si="29"/>
        <v>0</v>
      </c>
      <c r="Y37" s="55">
        <f t="shared" si="29"/>
        <v>4.1428571428571423</v>
      </c>
      <c r="Z37" s="55">
        <f t="shared" si="29"/>
        <v>4</v>
      </c>
      <c r="AA37" s="55">
        <f t="shared" si="29"/>
        <v>0.5714285714285714</v>
      </c>
      <c r="AB37" s="55">
        <f t="shared" si="29"/>
        <v>0</v>
      </c>
      <c r="AC37" s="55">
        <f t="shared" si="29"/>
        <v>156</v>
      </c>
      <c r="AD37" s="55">
        <f t="shared" si="29"/>
        <v>0</v>
      </c>
      <c r="AE37" s="56">
        <f t="shared" si="29"/>
        <v>20.285714285714285</v>
      </c>
      <c r="AF37" s="56">
        <f t="shared" si="29"/>
        <v>176.28571428571428</v>
      </c>
    </row>
    <row r="38" spans="2:32" ht="23.1" customHeight="1" x14ac:dyDescent="0.25">
      <c r="B38" s="24" t="s">
        <v>65</v>
      </c>
      <c r="C38" s="49">
        <f>AVERAGE('17.10 WOBULENZI-ZIROBWE'!C38,'18.10 WOBULENZI-ZIROBWE'!C38,'19.10 WOBULENZI-ZIROBWE-24h'!C38,'20.10 WOBULENZI-ZIROBWE'!C38,'21.10 WOBULENZI-ZIROBWE-24h'!C38,'22.10 WOBULENZI-ZIROBWE'!C38,'23.10 WOBULENZI-ZIROBWE'!C38)</f>
        <v>0.8571428571428571</v>
      </c>
      <c r="D38" s="49">
        <f>AVERAGE('17.10 WOBULENZI-ZIROBWE'!D38,'18.10 WOBULENZI-ZIROBWE'!D38,'19.10 WOBULENZI-ZIROBWE-24h'!D38,'20.10 WOBULENZI-ZIROBWE'!D38,'21.10 WOBULENZI-ZIROBWE-24h'!D38,'22.10 WOBULENZI-ZIROBWE'!D38,'23.10 WOBULENZI-ZIROBWE'!D38)</f>
        <v>0.2857142857142857</v>
      </c>
      <c r="E38" s="49">
        <f>AVERAGE('17.10 WOBULENZI-ZIROBWE'!E38,'18.10 WOBULENZI-ZIROBWE'!E38,'19.10 WOBULENZI-ZIROBWE-24h'!E38,'20.10 WOBULENZI-ZIROBWE'!E38,'21.10 WOBULENZI-ZIROBWE-24h'!E38,'22.10 WOBULENZI-ZIROBWE'!E38,'23.10 WOBULENZI-ZIROBWE'!E38)</f>
        <v>0.42857142857142855</v>
      </c>
      <c r="F38" s="49">
        <f>AVERAGE('17.10 WOBULENZI-ZIROBWE'!F38,'18.10 WOBULENZI-ZIROBWE'!F38,'19.10 WOBULENZI-ZIROBWE-24h'!F38,'20.10 WOBULENZI-ZIROBWE'!F38,'21.10 WOBULENZI-ZIROBWE-24h'!F38,'22.10 WOBULENZI-ZIROBWE'!F38,'23.10 WOBULENZI-ZIROBWE'!F38)</f>
        <v>0.2857142857142857</v>
      </c>
      <c r="G38" s="49">
        <f>AVERAGE('17.10 WOBULENZI-ZIROBWE'!G38,'18.10 WOBULENZI-ZIROBWE'!G38,'19.10 WOBULENZI-ZIROBWE-24h'!G38,'20.10 WOBULENZI-ZIROBWE'!G38,'21.10 WOBULENZI-ZIROBWE-24h'!G38,'22.10 WOBULENZI-ZIROBWE'!G38,'23.10 WOBULENZI-ZIROBWE'!G38)</f>
        <v>0</v>
      </c>
      <c r="H38" s="49">
        <f>AVERAGE('17.10 WOBULENZI-ZIROBWE'!H38,'18.10 WOBULENZI-ZIROBWE'!H38,'19.10 WOBULENZI-ZIROBWE-24h'!H38,'20.10 WOBULENZI-ZIROBWE'!H38,'21.10 WOBULENZI-ZIROBWE-24h'!H38,'22.10 WOBULENZI-ZIROBWE'!H38,'23.10 WOBULENZI-ZIROBWE'!H38)</f>
        <v>0</v>
      </c>
      <c r="I38" s="49">
        <f>AVERAGE('17.10 WOBULENZI-ZIROBWE'!I38,'18.10 WOBULENZI-ZIROBWE'!I38,'19.10 WOBULENZI-ZIROBWE-24h'!I38,'20.10 WOBULENZI-ZIROBWE'!I38,'21.10 WOBULENZI-ZIROBWE-24h'!I38,'22.10 WOBULENZI-ZIROBWE'!I38,'23.10 WOBULENZI-ZIROBWE'!I38)</f>
        <v>0.7142857142857143</v>
      </c>
      <c r="J38" s="49">
        <f>AVERAGE('17.10 WOBULENZI-ZIROBWE'!J38,'18.10 WOBULENZI-ZIROBWE'!J38,'19.10 WOBULENZI-ZIROBWE-24h'!J38,'20.10 WOBULENZI-ZIROBWE'!J38,'21.10 WOBULENZI-ZIROBWE-24h'!J38,'22.10 WOBULENZI-ZIROBWE'!J38,'23.10 WOBULENZI-ZIROBWE'!J38)</f>
        <v>0.7142857142857143</v>
      </c>
      <c r="K38" s="49">
        <f>AVERAGE('17.10 WOBULENZI-ZIROBWE'!K38,'18.10 WOBULENZI-ZIROBWE'!K38,'19.10 WOBULENZI-ZIROBWE-24h'!K38,'20.10 WOBULENZI-ZIROBWE'!K38,'21.10 WOBULENZI-ZIROBWE-24h'!K38,'22.10 WOBULENZI-ZIROBWE'!K38,'23.10 WOBULENZI-ZIROBWE'!K38)</f>
        <v>0.14285714285714285</v>
      </c>
      <c r="L38" s="49">
        <f>AVERAGE('17.10 WOBULENZI-ZIROBWE'!L38,'18.10 WOBULENZI-ZIROBWE'!L38,'19.10 WOBULENZI-ZIROBWE-24h'!L38,'20.10 WOBULENZI-ZIROBWE'!L38,'21.10 WOBULENZI-ZIROBWE-24h'!L38,'22.10 WOBULENZI-ZIROBWE'!L38,'23.10 WOBULENZI-ZIROBWE'!L38)</f>
        <v>0.2857142857142857</v>
      </c>
      <c r="M38" s="49">
        <f>AVERAGE('17.10 WOBULENZI-ZIROBWE'!M38,'18.10 WOBULENZI-ZIROBWE'!M38,'19.10 WOBULENZI-ZIROBWE-24h'!M38,'20.10 WOBULENZI-ZIROBWE'!M38,'21.10 WOBULENZI-ZIROBWE-24h'!M38,'22.10 WOBULENZI-ZIROBWE'!M38,'23.10 WOBULENZI-ZIROBWE'!M38)</f>
        <v>18</v>
      </c>
      <c r="N38" s="49">
        <f>AVERAGE('17.10 WOBULENZI-ZIROBWE'!N38,'18.10 WOBULENZI-ZIROBWE'!N38,'19.10 WOBULENZI-ZIROBWE-24h'!N38,'20.10 WOBULENZI-ZIROBWE'!N38,'21.10 WOBULENZI-ZIROBWE-24h'!N38,'22.10 WOBULENZI-ZIROBWE'!N38,'23.10 WOBULENZI-ZIROBWE'!N38)</f>
        <v>0.14285714285714285</v>
      </c>
      <c r="O38" s="15">
        <f t="shared" si="0"/>
        <v>3.8571428571428572</v>
      </c>
      <c r="P38" s="15">
        <f t="shared" si="1"/>
        <v>21.857142857142858</v>
      </c>
      <c r="R38" s="28" t="s">
        <v>86</v>
      </c>
      <c r="S38" s="55">
        <f t="shared" ref="S38:AF38" si="30">SUM(S13:S18)</f>
        <v>23.428571428571427</v>
      </c>
      <c r="T38" s="55">
        <f t="shared" si="30"/>
        <v>8.8571428571428577</v>
      </c>
      <c r="U38" s="55">
        <f t="shared" si="30"/>
        <v>6.1428571428571423</v>
      </c>
      <c r="V38" s="55">
        <f t="shared" si="30"/>
        <v>9.1428571428571423</v>
      </c>
      <c r="W38" s="55">
        <f t="shared" si="30"/>
        <v>0.8571428571428571</v>
      </c>
      <c r="X38" s="55">
        <f t="shared" si="30"/>
        <v>0</v>
      </c>
      <c r="Y38" s="55">
        <f t="shared" si="30"/>
        <v>15.142857142857146</v>
      </c>
      <c r="Z38" s="55">
        <f t="shared" si="30"/>
        <v>23.857142857142858</v>
      </c>
      <c r="AA38" s="55">
        <f t="shared" si="30"/>
        <v>0.71428571428571419</v>
      </c>
      <c r="AB38" s="55">
        <f t="shared" si="30"/>
        <v>0.5714285714285714</v>
      </c>
      <c r="AC38" s="55">
        <f t="shared" si="30"/>
        <v>424.28571428571433</v>
      </c>
      <c r="AD38" s="55">
        <f t="shared" si="30"/>
        <v>1.5714285714285714</v>
      </c>
      <c r="AE38" s="56">
        <f t="shared" si="30"/>
        <v>90.285714285714278</v>
      </c>
      <c r="AF38" s="56">
        <f t="shared" si="30"/>
        <v>514.57142857142844</v>
      </c>
    </row>
    <row r="39" spans="2:32" ht="23.1" customHeight="1" x14ac:dyDescent="0.25">
      <c r="B39" s="24" t="s">
        <v>66</v>
      </c>
      <c r="C39" s="49">
        <f>AVERAGE('17.10 WOBULENZI-ZIROBWE'!C39,'18.10 WOBULENZI-ZIROBWE'!C39,'19.10 WOBULENZI-ZIROBWE-24h'!C39,'20.10 WOBULENZI-ZIROBWE'!C39,'21.10 WOBULENZI-ZIROBWE-24h'!C39,'22.10 WOBULENZI-ZIROBWE'!C39,'23.10 WOBULENZI-ZIROBWE'!C39)</f>
        <v>0.5714285714285714</v>
      </c>
      <c r="D39" s="49">
        <f>AVERAGE('17.10 WOBULENZI-ZIROBWE'!D39,'18.10 WOBULENZI-ZIROBWE'!D39,'19.10 WOBULENZI-ZIROBWE-24h'!D39,'20.10 WOBULENZI-ZIROBWE'!D39,'21.10 WOBULENZI-ZIROBWE-24h'!D39,'22.10 WOBULENZI-ZIROBWE'!D39,'23.10 WOBULENZI-ZIROBWE'!D39)</f>
        <v>0.42857142857142855</v>
      </c>
      <c r="E39" s="49">
        <f>AVERAGE('17.10 WOBULENZI-ZIROBWE'!E39,'18.10 WOBULENZI-ZIROBWE'!E39,'19.10 WOBULENZI-ZIROBWE-24h'!E39,'20.10 WOBULENZI-ZIROBWE'!E39,'21.10 WOBULENZI-ZIROBWE-24h'!E39,'22.10 WOBULENZI-ZIROBWE'!E39,'23.10 WOBULENZI-ZIROBWE'!E39)</f>
        <v>0.2857142857142857</v>
      </c>
      <c r="F39" s="49">
        <f>AVERAGE('17.10 WOBULENZI-ZIROBWE'!F39,'18.10 WOBULENZI-ZIROBWE'!F39,'19.10 WOBULENZI-ZIROBWE-24h'!F39,'20.10 WOBULENZI-ZIROBWE'!F39,'21.10 WOBULENZI-ZIROBWE-24h'!F39,'22.10 WOBULENZI-ZIROBWE'!F39,'23.10 WOBULENZI-ZIROBWE'!F39)</f>
        <v>0.5714285714285714</v>
      </c>
      <c r="G39" s="49">
        <f>AVERAGE('17.10 WOBULENZI-ZIROBWE'!G39,'18.10 WOBULENZI-ZIROBWE'!G39,'19.10 WOBULENZI-ZIROBWE-24h'!G39,'20.10 WOBULENZI-ZIROBWE'!G39,'21.10 WOBULENZI-ZIROBWE-24h'!G39,'22.10 WOBULENZI-ZIROBWE'!G39,'23.10 WOBULENZI-ZIROBWE'!G39)</f>
        <v>0</v>
      </c>
      <c r="H39" s="49">
        <f>AVERAGE('17.10 WOBULENZI-ZIROBWE'!H39,'18.10 WOBULENZI-ZIROBWE'!H39,'19.10 WOBULENZI-ZIROBWE-24h'!H39,'20.10 WOBULENZI-ZIROBWE'!H39,'21.10 WOBULENZI-ZIROBWE-24h'!H39,'22.10 WOBULENZI-ZIROBWE'!H39,'23.10 WOBULENZI-ZIROBWE'!H39)</f>
        <v>0</v>
      </c>
      <c r="I39" s="49">
        <f>AVERAGE('17.10 WOBULENZI-ZIROBWE'!I39,'18.10 WOBULENZI-ZIROBWE'!I39,'19.10 WOBULENZI-ZIROBWE-24h'!I39,'20.10 WOBULENZI-ZIROBWE'!I39,'21.10 WOBULENZI-ZIROBWE-24h'!I39,'22.10 WOBULENZI-ZIROBWE'!I39,'23.10 WOBULENZI-ZIROBWE'!I39)</f>
        <v>0.8571428571428571</v>
      </c>
      <c r="J39" s="49">
        <f>AVERAGE('17.10 WOBULENZI-ZIROBWE'!J39,'18.10 WOBULENZI-ZIROBWE'!J39,'19.10 WOBULENZI-ZIROBWE-24h'!J39,'20.10 WOBULENZI-ZIROBWE'!J39,'21.10 WOBULENZI-ZIROBWE-24h'!J39,'22.10 WOBULENZI-ZIROBWE'!J39,'23.10 WOBULENZI-ZIROBWE'!J39)</f>
        <v>0.5714285714285714</v>
      </c>
      <c r="K39" s="49">
        <f>AVERAGE('17.10 WOBULENZI-ZIROBWE'!K39,'18.10 WOBULENZI-ZIROBWE'!K39,'19.10 WOBULENZI-ZIROBWE-24h'!K39,'20.10 WOBULENZI-ZIROBWE'!K39,'21.10 WOBULENZI-ZIROBWE-24h'!K39,'22.10 WOBULENZI-ZIROBWE'!K39,'23.10 WOBULENZI-ZIROBWE'!K39)</f>
        <v>0</v>
      </c>
      <c r="L39" s="49">
        <f>AVERAGE('17.10 WOBULENZI-ZIROBWE'!L39,'18.10 WOBULENZI-ZIROBWE'!L39,'19.10 WOBULENZI-ZIROBWE-24h'!L39,'20.10 WOBULENZI-ZIROBWE'!L39,'21.10 WOBULENZI-ZIROBWE-24h'!L39,'22.10 WOBULENZI-ZIROBWE'!L39,'23.10 WOBULENZI-ZIROBWE'!L39)</f>
        <v>0</v>
      </c>
      <c r="M39" s="49">
        <f>AVERAGE('17.10 WOBULENZI-ZIROBWE'!M39,'18.10 WOBULENZI-ZIROBWE'!M39,'19.10 WOBULENZI-ZIROBWE-24h'!M39,'20.10 WOBULENZI-ZIROBWE'!M39,'21.10 WOBULENZI-ZIROBWE-24h'!M39,'22.10 WOBULENZI-ZIROBWE'!M39,'23.10 WOBULENZI-ZIROBWE'!M39)</f>
        <v>18.857142857142858</v>
      </c>
      <c r="N39" s="49">
        <f>AVERAGE('17.10 WOBULENZI-ZIROBWE'!N39,'18.10 WOBULENZI-ZIROBWE'!N39,'19.10 WOBULENZI-ZIROBWE-24h'!N39,'20.10 WOBULENZI-ZIROBWE'!N39,'21.10 WOBULENZI-ZIROBWE-24h'!N39,'22.10 WOBULENZI-ZIROBWE'!N39,'23.10 WOBULENZI-ZIROBWE'!N39)</f>
        <v>0</v>
      </c>
      <c r="O39" s="15">
        <f t="shared" si="0"/>
        <v>3.2857142857142856</v>
      </c>
      <c r="P39" s="15">
        <f t="shared" si="1"/>
        <v>22.142857142857142</v>
      </c>
      <c r="R39" s="29" t="s">
        <v>87</v>
      </c>
      <c r="S39" s="55">
        <f t="shared" ref="S39:AF39" si="31">SUM(S19:S21)</f>
        <v>12.571428571428569</v>
      </c>
      <c r="T39" s="55">
        <f t="shared" si="31"/>
        <v>7</v>
      </c>
      <c r="U39" s="55">
        <f t="shared" si="31"/>
        <v>4.9999999999999991</v>
      </c>
      <c r="V39" s="55">
        <f t="shared" si="31"/>
        <v>6.7142857142857135</v>
      </c>
      <c r="W39" s="55">
        <f t="shared" si="31"/>
        <v>1.8571428571428572</v>
      </c>
      <c r="X39" s="55">
        <f t="shared" si="31"/>
        <v>0.2857142857142857</v>
      </c>
      <c r="Y39" s="55">
        <f t="shared" si="31"/>
        <v>6</v>
      </c>
      <c r="Z39" s="55">
        <f t="shared" si="31"/>
        <v>11.428571428571429</v>
      </c>
      <c r="AA39" s="55">
        <f t="shared" si="31"/>
        <v>0.42857142857142855</v>
      </c>
      <c r="AB39" s="55">
        <f t="shared" si="31"/>
        <v>0</v>
      </c>
      <c r="AC39" s="55">
        <f t="shared" si="31"/>
        <v>224.71428571428572</v>
      </c>
      <c r="AD39" s="55">
        <f t="shared" si="31"/>
        <v>0.14285714285714285</v>
      </c>
      <c r="AE39" s="56">
        <f t="shared" si="31"/>
        <v>51.428571428571423</v>
      </c>
      <c r="AF39" s="56">
        <f t="shared" si="31"/>
        <v>276.14285714285711</v>
      </c>
    </row>
    <row r="40" spans="2:32" ht="23.1" customHeight="1" x14ac:dyDescent="0.25">
      <c r="B40" s="24" t="s">
        <v>67</v>
      </c>
      <c r="C40" s="49">
        <f>AVERAGE('17.10 WOBULENZI-ZIROBWE'!C40,'18.10 WOBULENZI-ZIROBWE'!C40,'19.10 WOBULENZI-ZIROBWE-24h'!C40,'20.10 WOBULENZI-ZIROBWE'!C40,'21.10 WOBULENZI-ZIROBWE-24h'!C40,'22.10 WOBULENZI-ZIROBWE'!C40,'23.10 WOBULENZI-ZIROBWE'!C40)</f>
        <v>1.5714285714285714</v>
      </c>
      <c r="D40" s="49">
        <f>AVERAGE('17.10 WOBULENZI-ZIROBWE'!D40,'18.10 WOBULENZI-ZIROBWE'!D40,'19.10 WOBULENZI-ZIROBWE-24h'!D40,'20.10 WOBULENZI-ZIROBWE'!D40,'21.10 WOBULENZI-ZIROBWE-24h'!D40,'22.10 WOBULENZI-ZIROBWE'!D40,'23.10 WOBULENZI-ZIROBWE'!D40)</f>
        <v>0.5714285714285714</v>
      </c>
      <c r="E40" s="49">
        <f>AVERAGE('17.10 WOBULENZI-ZIROBWE'!E40,'18.10 WOBULENZI-ZIROBWE'!E40,'19.10 WOBULENZI-ZIROBWE-24h'!E40,'20.10 WOBULENZI-ZIROBWE'!E40,'21.10 WOBULENZI-ZIROBWE-24h'!E40,'22.10 WOBULENZI-ZIROBWE'!E40,'23.10 WOBULENZI-ZIROBWE'!E40)</f>
        <v>0.2857142857142857</v>
      </c>
      <c r="F40" s="49">
        <f>AVERAGE('17.10 WOBULENZI-ZIROBWE'!F40,'18.10 WOBULENZI-ZIROBWE'!F40,'19.10 WOBULENZI-ZIROBWE-24h'!F40,'20.10 WOBULENZI-ZIROBWE'!F40,'21.10 WOBULENZI-ZIROBWE-24h'!F40,'22.10 WOBULENZI-ZIROBWE'!F40,'23.10 WOBULENZI-ZIROBWE'!F40)</f>
        <v>0</v>
      </c>
      <c r="G40" s="49">
        <f>AVERAGE('17.10 WOBULENZI-ZIROBWE'!G40,'18.10 WOBULENZI-ZIROBWE'!G40,'19.10 WOBULENZI-ZIROBWE-24h'!G40,'20.10 WOBULENZI-ZIROBWE'!G40,'21.10 WOBULENZI-ZIROBWE-24h'!G40,'22.10 WOBULENZI-ZIROBWE'!G40,'23.10 WOBULENZI-ZIROBWE'!G40)</f>
        <v>0</v>
      </c>
      <c r="H40" s="49">
        <f>AVERAGE('17.10 WOBULENZI-ZIROBWE'!H40,'18.10 WOBULENZI-ZIROBWE'!H40,'19.10 WOBULENZI-ZIROBWE-24h'!H40,'20.10 WOBULENZI-ZIROBWE'!H40,'21.10 WOBULENZI-ZIROBWE-24h'!H40,'22.10 WOBULENZI-ZIROBWE'!H40,'23.10 WOBULENZI-ZIROBWE'!H40)</f>
        <v>0</v>
      </c>
      <c r="I40" s="49">
        <f>AVERAGE('17.10 WOBULENZI-ZIROBWE'!I40,'18.10 WOBULENZI-ZIROBWE'!I40,'19.10 WOBULENZI-ZIROBWE-24h'!I40,'20.10 WOBULENZI-ZIROBWE'!I40,'21.10 WOBULENZI-ZIROBWE-24h'!I40,'22.10 WOBULENZI-ZIROBWE'!I40,'23.10 WOBULENZI-ZIROBWE'!I40)</f>
        <v>0.42857142857142855</v>
      </c>
      <c r="J40" s="49">
        <f>AVERAGE('17.10 WOBULENZI-ZIROBWE'!J40,'18.10 WOBULENZI-ZIROBWE'!J40,'19.10 WOBULENZI-ZIROBWE-24h'!J40,'20.10 WOBULENZI-ZIROBWE'!J40,'21.10 WOBULENZI-ZIROBWE-24h'!J40,'22.10 WOBULENZI-ZIROBWE'!J40,'23.10 WOBULENZI-ZIROBWE'!J40)</f>
        <v>0.7142857142857143</v>
      </c>
      <c r="K40" s="49">
        <f>AVERAGE('17.10 WOBULENZI-ZIROBWE'!K40,'18.10 WOBULENZI-ZIROBWE'!K40,'19.10 WOBULENZI-ZIROBWE-24h'!K40,'20.10 WOBULENZI-ZIROBWE'!K40,'21.10 WOBULENZI-ZIROBWE-24h'!K40,'22.10 WOBULENZI-ZIROBWE'!K40,'23.10 WOBULENZI-ZIROBWE'!K40)</f>
        <v>0</v>
      </c>
      <c r="L40" s="49">
        <f>AVERAGE('17.10 WOBULENZI-ZIROBWE'!L40,'18.10 WOBULENZI-ZIROBWE'!L40,'19.10 WOBULENZI-ZIROBWE-24h'!L40,'20.10 WOBULENZI-ZIROBWE'!L40,'21.10 WOBULENZI-ZIROBWE-24h'!L40,'22.10 WOBULENZI-ZIROBWE'!L40,'23.10 WOBULENZI-ZIROBWE'!L40)</f>
        <v>0</v>
      </c>
      <c r="M40" s="49">
        <f>AVERAGE('17.10 WOBULENZI-ZIROBWE'!M40,'18.10 WOBULENZI-ZIROBWE'!M40,'19.10 WOBULENZI-ZIROBWE-24h'!M40,'20.10 WOBULENZI-ZIROBWE'!M40,'21.10 WOBULENZI-ZIROBWE-24h'!M40,'22.10 WOBULENZI-ZIROBWE'!M40,'23.10 WOBULENZI-ZIROBWE'!M40)</f>
        <v>19</v>
      </c>
      <c r="N40" s="49">
        <f>AVERAGE('17.10 WOBULENZI-ZIROBWE'!N40,'18.10 WOBULENZI-ZIROBWE'!N40,'19.10 WOBULENZI-ZIROBWE-24h'!N40,'20.10 WOBULENZI-ZIROBWE'!N40,'21.10 WOBULENZI-ZIROBWE-24h'!N40,'22.10 WOBULENZI-ZIROBWE'!N40,'23.10 WOBULENZI-ZIROBWE'!N40)</f>
        <v>0</v>
      </c>
      <c r="O40" s="15">
        <f t="shared" si="0"/>
        <v>3.5714285714285712</v>
      </c>
      <c r="P40" s="15">
        <f t="shared" si="1"/>
        <v>22.571428571428569</v>
      </c>
      <c r="R40" s="5" t="s">
        <v>17</v>
      </c>
      <c r="S40" s="55">
        <f t="shared" ref="S40:AF40" si="32">SUM(S10:S21)</f>
        <v>41.428571428571423</v>
      </c>
      <c r="T40" s="55">
        <f t="shared" si="32"/>
        <v>17.714285714285712</v>
      </c>
      <c r="U40" s="55">
        <f t="shared" si="32"/>
        <v>12.142857142857142</v>
      </c>
      <c r="V40" s="55">
        <f t="shared" si="32"/>
        <v>19.142857142857142</v>
      </c>
      <c r="W40" s="55">
        <f t="shared" si="32"/>
        <v>2.7142857142857144</v>
      </c>
      <c r="X40" s="55">
        <f t="shared" si="32"/>
        <v>0.2857142857142857</v>
      </c>
      <c r="Y40" s="55">
        <f t="shared" si="32"/>
        <v>25.285714285714285</v>
      </c>
      <c r="Z40" s="55">
        <f t="shared" si="32"/>
        <v>39.285714285714285</v>
      </c>
      <c r="AA40" s="55">
        <f t="shared" si="32"/>
        <v>1.7142857142857142</v>
      </c>
      <c r="AB40" s="55">
        <f t="shared" si="32"/>
        <v>0.5714285714285714</v>
      </c>
      <c r="AC40" s="55">
        <f t="shared" si="32"/>
        <v>805</v>
      </c>
      <c r="AD40" s="55">
        <f t="shared" si="32"/>
        <v>1.7142857142857142</v>
      </c>
      <c r="AE40" s="56">
        <f t="shared" si="32"/>
        <v>162</v>
      </c>
      <c r="AF40" s="56">
        <f t="shared" si="32"/>
        <v>967</v>
      </c>
    </row>
    <row r="41" spans="2:32" ht="23.1" customHeight="1" x14ac:dyDescent="0.25">
      <c r="B41" s="23" t="s">
        <v>68</v>
      </c>
      <c r="C41" s="49">
        <f>AVERAGE('17.10 WOBULENZI-ZIROBWE'!C41,'18.10 WOBULENZI-ZIROBWE'!C41,'19.10 WOBULENZI-ZIROBWE-24h'!C41,'20.10 WOBULENZI-ZIROBWE'!C41,'21.10 WOBULENZI-ZIROBWE-24h'!C41,'22.10 WOBULENZI-ZIROBWE'!C41,'23.10 WOBULENZI-ZIROBWE'!C41)</f>
        <v>0.7142857142857143</v>
      </c>
      <c r="D41" s="49">
        <f>AVERAGE('17.10 WOBULENZI-ZIROBWE'!D41,'18.10 WOBULENZI-ZIROBWE'!D41,'19.10 WOBULENZI-ZIROBWE-24h'!D41,'20.10 WOBULENZI-ZIROBWE'!D41,'21.10 WOBULENZI-ZIROBWE-24h'!D41,'22.10 WOBULENZI-ZIROBWE'!D41,'23.10 WOBULENZI-ZIROBWE'!D41)</f>
        <v>0.42857142857142855</v>
      </c>
      <c r="E41" s="49">
        <f>AVERAGE('17.10 WOBULENZI-ZIROBWE'!E41,'18.10 WOBULENZI-ZIROBWE'!E41,'19.10 WOBULENZI-ZIROBWE-24h'!E41,'20.10 WOBULENZI-ZIROBWE'!E41,'21.10 WOBULENZI-ZIROBWE-24h'!E41,'22.10 WOBULENZI-ZIROBWE'!E41,'23.10 WOBULENZI-ZIROBWE'!E41)</f>
        <v>0.2857142857142857</v>
      </c>
      <c r="F41" s="49">
        <f>AVERAGE('17.10 WOBULENZI-ZIROBWE'!F41,'18.10 WOBULENZI-ZIROBWE'!F41,'19.10 WOBULENZI-ZIROBWE-24h'!F41,'20.10 WOBULENZI-ZIROBWE'!F41,'21.10 WOBULENZI-ZIROBWE-24h'!F41,'22.10 WOBULENZI-ZIROBWE'!F41,'23.10 WOBULENZI-ZIROBWE'!F41)</f>
        <v>0.42857142857142855</v>
      </c>
      <c r="G41" s="49">
        <f>AVERAGE('17.10 WOBULENZI-ZIROBWE'!G41,'18.10 WOBULENZI-ZIROBWE'!G41,'19.10 WOBULENZI-ZIROBWE-24h'!G41,'20.10 WOBULENZI-ZIROBWE'!G41,'21.10 WOBULENZI-ZIROBWE-24h'!G41,'22.10 WOBULENZI-ZIROBWE'!G41,'23.10 WOBULENZI-ZIROBWE'!G41)</f>
        <v>0</v>
      </c>
      <c r="H41" s="49">
        <f>AVERAGE('17.10 WOBULENZI-ZIROBWE'!H41,'18.10 WOBULENZI-ZIROBWE'!H41,'19.10 WOBULENZI-ZIROBWE-24h'!H41,'20.10 WOBULENZI-ZIROBWE'!H41,'21.10 WOBULENZI-ZIROBWE-24h'!H41,'22.10 WOBULENZI-ZIROBWE'!H41,'23.10 WOBULENZI-ZIROBWE'!H41)</f>
        <v>0</v>
      </c>
      <c r="I41" s="49">
        <f>AVERAGE('17.10 WOBULENZI-ZIROBWE'!I41,'18.10 WOBULENZI-ZIROBWE'!I41,'19.10 WOBULENZI-ZIROBWE-24h'!I41,'20.10 WOBULENZI-ZIROBWE'!I41,'21.10 WOBULENZI-ZIROBWE-24h'!I41,'22.10 WOBULENZI-ZIROBWE'!I41,'23.10 WOBULENZI-ZIROBWE'!I41)</f>
        <v>0.7142857142857143</v>
      </c>
      <c r="J41" s="49">
        <f>AVERAGE('17.10 WOBULENZI-ZIROBWE'!J41,'18.10 WOBULENZI-ZIROBWE'!J41,'19.10 WOBULENZI-ZIROBWE-24h'!J41,'20.10 WOBULENZI-ZIROBWE'!J41,'21.10 WOBULENZI-ZIROBWE-24h'!J41,'22.10 WOBULENZI-ZIROBWE'!J41,'23.10 WOBULENZI-ZIROBWE'!J41)</f>
        <v>1.1428571428571428</v>
      </c>
      <c r="K41" s="49">
        <f>AVERAGE('17.10 WOBULENZI-ZIROBWE'!K41,'18.10 WOBULENZI-ZIROBWE'!K41,'19.10 WOBULENZI-ZIROBWE-24h'!K41,'20.10 WOBULENZI-ZIROBWE'!K41,'21.10 WOBULENZI-ZIROBWE-24h'!K41,'22.10 WOBULENZI-ZIROBWE'!K41,'23.10 WOBULENZI-ZIROBWE'!K41)</f>
        <v>0</v>
      </c>
      <c r="L41" s="49">
        <f>AVERAGE('17.10 WOBULENZI-ZIROBWE'!L41,'18.10 WOBULENZI-ZIROBWE'!L41,'19.10 WOBULENZI-ZIROBWE-24h'!L41,'20.10 WOBULENZI-ZIROBWE'!L41,'21.10 WOBULENZI-ZIROBWE-24h'!L41,'22.10 WOBULENZI-ZIROBWE'!L41,'23.10 WOBULENZI-ZIROBWE'!L41)</f>
        <v>0</v>
      </c>
      <c r="M41" s="49">
        <f>AVERAGE('17.10 WOBULENZI-ZIROBWE'!M41,'18.10 WOBULENZI-ZIROBWE'!M41,'19.10 WOBULENZI-ZIROBWE-24h'!M41,'20.10 WOBULENZI-ZIROBWE'!M41,'21.10 WOBULENZI-ZIROBWE-24h'!M41,'22.10 WOBULENZI-ZIROBWE'!M41,'23.10 WOBULENZI-ZIROBWE'!M41)</f>
        <v>14.571428571428571</v>
      </c>
      <c r="N41" s="49">
        <f>AVERAGE('17.10 WOBULENZI-ZIROBWE'!N41,'18.10 WOBULENZI-ZIROBWE'!N41,'19.10 WOBULENZI-ZIROBWE-24h'!N41,'20.10 WOBULENZI-ZIROBWE'!N41,'21.10 WOBULENZI-ZIROBWE-24h'!N41,'22.10 WOBULENZI-ZIROBWE'!N41,'23.10 WOBULENZI-ZIROBWE'!N41)</f>
        <v>1.2857142857142858</v>
      </c>
      <c r="O41" s="15">
        <f t="shared" si="0"/>
        <v>5</v>
      </c>
      <c r="P41" s="15">
        <f t="shared" si="1"/>
        <v>19.571428571428569</v>
      </c>
      <c r="R41" s="5" t="s">
        <v>180</v>
      </c>
      <c r="S41" s="55">
        <f>SUM(S10:S33)</f>
        <v>54.928571428571423</v>
      </c>
      <c r="T41" s="55">
        <f t="shared" ref="T41:AD41" si="33">SUM(T10:T33)</f>
        <v>22.714285714285712</v>
      </c>
      <c r="U41" s="55">
        <f t="shared" si="33"/>
        <v>14.142857142857142</v>
      </c>
      <c r="V41" s="55">
        <f t="shared" si="33"/>
        <v>35.142857142857139</v>
      </c>
      <c r="W41" s="55">
        <f t="shared" si="33"/>
        <v>2.7142857142857144</v>
      </c>
      <c r="X41" s="55">
        <f t="shared" si="33"/>
        <v>0.2857142857142857</v>
      </c>
      <c r="Y41" s="55">
        <f t="shared" si="33"/>
        <v>28.785714285714285</v>
      </c>
      <c r="Z41" s="55">
        <f t="shared" si="33"/>
        <v>50.285714285714285</v>
      </c>
      <c r="AA41" s="55">
        <f t="shared" si="33"/>
        <v>1.7142857142857142</v>
      </c>
      <c r="AB41" s="55">
        <f t="shared" si="33"/>
        <v>0.5714285714285714</v>
      </c>
      <c r="AC41" s="55">
        <f t="shared" si="33"/>
        <v>1085</v>
      </c>
      <c r="AD41" s="55">
        <f t="shared" si="33"/>
        <v>1.7142857142857142</v>
      </c>
      <c r="AE41" s="56">
        <f>SUM(AE10:AE33)</f>
        <v>213</v>
      </c>
      <c r="AF41" s="56">
        <f>SUM(AF10:AF33)</f>
        <v>1298</v>
      </c>
    </row>
    <row r="42" spans="2:32" ht="23.1" customHeight="1" x14ac:dyDescent="0.25">
      <c r="B42" s="24" t="s">
        <v>69</v>
      </c>
      <c r="C42" s="49">
        <f>AVERAGE('17.10 WOBULENZI-ZIROBWE'!C42,'18.10 WOBULENZI-ZIROBWE'!C42,'19.10 WOBULENZI-ZIROBWE-24h'!C42,'20.10 WOBULENZI-ZIROBWE'!C42,'21.10 WOBULENZI-ZIROBWE-24h'!C42,'22.10 WOBULENZI-ZIROBWE'!C42,'23.10 WOBULENZI-ZIROBWE'!C42)</f>
        <v>0.8571428571428571</v>
      </c>
      <c r="D42" s="49">
        <f>AVERAGE('17.10 WOBULENZI-ZIROBWE'!D42,'18.10 WOBULENZI-ZIROBWE'!D42,'19.10 WOBULENZI-ZIROBWE-24h'!D42,'20.10 WOBULENZI-ZIROBWE'!D42,'21.10 WOBULENZI-ZIROBWE-24h'!D42,'22.10 WOBULENZI-ZIROBWE'!D42,'23.10 WOBULENZI-ZIROBWE'!D42)</f>
        <v>0.7142857142857143</v>
      </c>
      <c r="E42" s="49">
        <f>AVERAGE('17.10 WOBULENZI-ZIROBWE'!E42,'18.10 WOBULENZI-ZIROBWE'!E42,'19.10 WOBULENZI-ZIROBWE-24h'!E42,'20.10 WOBULENZI-ZIROBWE'!E42,'21.10 WOBULENZI-ZIROBWE-24h'!E42,'22.10 WOBULENZI-ZIROBWE'!E42,'23.10 WOBULENZI-ZIROBWE'!E42)</f>
        <v>0.2857142857142857</v>
      </c>
      <c r="F42" s="49">
        <f>AVERAGE('17.10 WOBULENZI-ZIROBWE'!F42,'18.10 WOBULENZI-ZIROBWE'!F42,'19.10 WOBULENZI-ZIROBWE-24h'!F42,'20.10 WOBULENZI-ZIROBWE'!F42,'21.10 WOBULENZI-ZIROBWE-24h'!F42,'22.10 WOBULENZI-ZIROBWE'!F42,'23.10 WOBULENZI-ZIROBWE'!F42)</f>
        <v>0.5714285714285714</v>
      </c>
      <c r="G42" s="49">
        <f>AVERAGE('17.10 WOBULENZI-ZIROBWE'!G42,'18.10 WOBULENZI-ZIROBWE'!G42,'19.10 WOBULENZI-ZIROBWE-24h'!G42,'20.10 WOBULENZI-ZIROBWE'!G42,'21.10 WOBULENZI-ZIROBWE-24h'!G42,'22.10 WOBULENZI-ZIROBWE'!G42,'23.10 WOBULENZI-ZIROBWE'!G42)</f>
        <v>0</v>
      </c>
      <c r="H42" s="49">
        <f>AVERAGE('17.10 WOBULENZI-ZIROBWE'!H42,'18.10 WOBULENZI-ZIROBWE'!H42,'19.10 WOBULENZI-ZIROBWE-24h'!H42,'20.10 WOBULENZI-ZIROBWE'!H42,'21.10 WOBULENZI-ZIROBWE-24h'!H42,'22.10 WOBULENZI-ZIROBWE'!H42,'23.10 WOBULENZI-ZIROBWE'!H42)</f>
        <v>0</v>
      </c>
      <c r="I42" s="49">
        <f>AVERAGE('17.10 WOBULENZI-ZIROBWE'!I42,'18.10 WOBULENZI-ZIROBWE'!I42,'19.10 WOBULENZI-ZIROBWE-24h'!I42,'20.10 WOBULENZI-ZIROBWE'!I42,'21.10 WOBULENZI-ZIROBWE-24h'!I42,'22.10 WOBULENZI-ZIROBWE'!I42,'23.10 WOBULENZI-ZIROBWE'!I42)</f>
        <v>1</v>
      </c>
      <c r="J42" s="49">
        <f>AVERAGE('17.10 WOBULENZI-ZIROBWE'!J42,'18.10 WOBULENZI-ZIROBWE'!J42,'19.10 WOBULENZI-ZIROBWE-24h'!J42,'20.10 WOBULENZI-ZIROBWE'!J42,'21.10 WOBULENZI-ZIROBWE-24h'!J42,'22.10 WOBULENZI-ZIROBWE'!J42,'23.10 WOBULENZI-ZIROBWE'!J42)</f>
        <v>0.42857142857142855</v>
      </c>
      <c r="K42" s="49">
        <f>AVERAGE('17.10 WOBULENZI-ZIROBWE'!K42,'18.10 WOBULENZI-ZIROBWE'!K42,'19.10 WOBULENZI-ZIROBWE-24h'!K42,'20.10 WOBULENZI-ZIROBWE'!K42,'21.10 WOBULENZI-ZIROBWE-24h'!K42,'22.10 WOBULENZI-ZIROBWE'!K42,'23.10 WOBULENZI-ZIROBWE'!K42)</f>
        <v>0</v>
      </c>
      <c r="L42" s="49">
        <f>AVERAGE('17.10 WOBULENZI-ZIROBWE'!L42,'18.10 WOBULENZI-ZIROBWE'!L42,'19.10 WOBULENZI-ZIROBWE-24h'!L42,'20.10 WOBULENZI-ZIROBWE'!L42,'21.10 WOBULENZI-ZIROBWE-24h'!L42,'22.10 WOBULENZI-ZIROBWE'!L42,'23.10 WOBULENZI-ZIROBWE'!L42)</f>
        <v>0</v>
      </c>
      <c r="M42" s="49">
        <f>AVERAGE('17.10 WOBULENZI-ZIROBWE'!M42,'18.10 WOBULENZI-ZIROBWE'!M42,'19.10 WOBULENZI-ZIROBWE-24h'!M42,'20.10 WOBULENZI-ZIROBWE'!M42,'21.10 WOBULENZI-ZIROBWE-24h'!M42,'22.10 WOBULENZI-ZIROBWE'!M42,'23.10 WOBULENZI-ZIROBWE'!M42)</f>
        <v>18.285714285714285</v>
      </c>
      <c r="N42" s="49">
        <f>AVERAGE('17.10 WOBULENZI-ZIROBWE'!N42,'18.10 WOBULENZI-ZIROBWE'!N42,'19.10 WOBULENZI-ZIROBWE-24h'!N42,'20.10 WOBULENZI-ZIROBWE'!N42,'21.10 WOBULENZI-ZIROBWE-24h'!N42,'22.10 WOBULENZI-ZIROBWE'!N42,'23.10 WOBULENZI-ZIROBWE'!N42)</f>
        <v>0</v>
      </c>
      <c r="O42" s="15">
        <f t="shared" si="0"/>
        <v>3.8571428571428572</v>
      </c>
      <c r="P42" s="15">
        <f t="shared" si="1"/>
        <v>22.142857142857142</v>
      </c>
      <c r="R42" s="5" t="s">
        <v>160</v>
      </c>
      <c r="S42" s="48">
        <f>S41/S40</f>
        <v>1.3258620689655172</v>
      </c>
      <c r="T42" s="48">
        <f t="shared" ref="T42:AF42" si="34">T41/T40</f>
        <v>1.282258064516129</v>
      </c>
      <c r="U42" s="48">
        <f t="shared" si="34"/>
        <v>1.1647058823529413</v>
      </c>
      <c r="V42" s="48">
        <f t="shared" si="34"/>
        <v>1.8358208955223878</v>
      </c>
      <c r="W42" s="48">
        <f t="shared" si="34"/>
        <v>1</v>
      </c>
      <c r="X42" s="48">
        <f t="shared" si="34"/>
        <v>1</v>
      </c>
      <c r="Y42" s="48">
        <f t="shared" si="34"/>
        <v>1.1384180790960452</v>
      </c>
      <c r="Z42" s="48">
        <f t="shared" si="34"/>
        <v>1.28</v>
      </c>
      <c r="AA42" s="48">
        <f t="shared" si="34"/>
        <v>1</v>
      </c>
      <c r="AB42" s="48">
        <f t="shared" si="34"/>
        <v>1</v>
      </c>
      <c r="AC42" s="48">
        <f t="shared" si="34"/>
        <v>1.3478260869565217</v>
      </c>
      <c r="AD42" s="48">
        <f t="shared" si="34"/>
        <v>1</v>
      </c>
      <c r="AE42" s="57">
        <f t="shared" si="34"/>
        <v>1.3148148148148149</v>
      </c>
      <c r="AF42" s="57">
        <f t="shared" si="34"/>
        <v>1.3422957600827301</v>
      </c>
    </row>
    <row r="43" spans="2:32" ht="23.1" customHeight="1" x14ac:dyDescent="0.25">
      <c r="B43" s="23" t="s">
        <v>70</v>
      </c>
      <c r="C43" s="49">
        <f>AVERAGE('17.10 WOBULENZI-ZIROBWE'!C43,'18.10 WOBULENZI-ZIROBWE'!C43,'19.10 WOBULENZI-ZIROBWE-24h'!C43,'20.10 WOBULENZI-ZIROBWE'!C43,'21.10 WOBULENZI-ZIROBWE-24h'!C43,'22.10 WOBULENZI-ZIROBWE'!C43,'23.10 WOBULENZI-ZIROBWE'!C43)</f>
        <v>2.8571428571428572</v>
      </c>
      <c r="D43" s="49">
        <f>AVERAGE('17.10 WOBULENZI-ZIROBWE'!D43,'18.10 WOBULENZI-ZIROBWE'!D43,'19.10 WOBULENZI-ZIROBWE-24h'!D43,'20.10 WOBULENZI-ZIROBWE'!D43,'21.10 WOBULENZI-ZIROBWE-24h'!D43,'22.10 WOBULENZI-ZIROBWE'!D43,'23.10 WOBULENZI-ZIROBWE'!D43)</f>
        <v>0.8571428571428571</v>
      </c>
      <c r="E43" s="49">
        <f>AVERAGE('17.10 WOBULENZI-ZIROBWE'!E43,'18.10 WOBULENZI-ZIROBWE'!E43,'19.10 WOBULENZI-ZIROBWE-24h'!E43,'20.10 WOBULENZI-ZIROBWE'!E43,'21.10 WOBULENZI-ZIROBWE-24h'!E43,'22.10 WOBULENZI-ZIROBWE'!E43,'23.10 WOBULENZI-ZIROBWE'!E43)</f>
        <v>0.2857142857142857</v>
      </c>
      <c r="F43" s="49">
        <f>AVERAGE('17.10 WOBULENZI-ZIROBWE'!F43,'18.10 WOBULENZI-ZIROBWE'!F43,'19.10 WOBULENZI-ZIROBWE-24h'!F43,'20.10 WOBULENZI-ZIROBWE'!F43,'21.10 WOBULENZI-ZIROBWE-24h'!F43,'22.10 WOBULENZI-ZIROBWE'!F43,'23.10 WOBULENZI-ZIROBWE'!F43)</f>
        <v>0.42857142857142855</v>
      </c>
      <c r="G43" s="49">
        <f>AVERAGE('17.10 WOBULENZI-ZIROBWE'!G43,'18.10 WOBULENZI-ZIROBWE'!G43,'19.10 WOBULENZI-ZIROBWE-24h'!G43,'20.10 WOBULENZI-ZIROBWE'!G43,'21.10 WOBULENZI-ZIROBWE-24h'!G43,'22.10 WOBULENZI-ZIROBWE'!G43,'23.10 WOBULENZI-ZIROBWE'!G43)</f>
        <v>0</v>
      </c>
      <c r="H43" s="49">
        <f>AVERAGE('17.10 WOBULENZI-ZIROBWE'!H43,'18.10 WOBULENZI-ZIROBWE'!H43,'19.10 WOBULENZI-ZIROBWE-24h'!H43,'20.10 WOBULENZI-ZIROBWE'!H43,'21.10 WOBULENZI-ZIROBWE-24h'!H43,'22.10 WOBULENZI-ZIROBWE'!H43,'23.10 WOBULENZI-ZIROBWE'!H43)</f>
        <v>0</v>
      </c>
      <c r="I43" s="49">
        <f>AVERAGE('17.10 WOBULENZI-ZIROBWE'!I43,'18.10 WOBULENZI-ZIROBWE'!I43,'19.10 WOBULENZI-ZIROBWE-24h'!I43,'20.10 WOBULENZI-ZIROBWE'!I43,'21.10 WOBULENZI-ZIROBWE-24h'!I43,'22.10 WOBULENZI-ZIROBWE'!I43,'23.10 WOBULENZI-ZIROBWE'!I43)</f>
        <v>1</v>
      </c>
      <c r="J43" s="49">
        <f>AVERAGE('17.10 WOBULENZI-ZIROBWE'!J43,'18.10 WOBULENZI-ZIROBWE'!J43,'19.10 WOBULENZI-ZIROBWE-24h'!J43,'20.10 WOBULENZI-ZIROBWE'!J43,'21.10 WOBULENZI-ZIROBWE-24h'!J43,'22.10 WOBULENZI-ZIROBWE'!J43,'23.10 WOBULENZI-ZIROBWE'!J43)</f>
        <v>0.7142857142857143</v>
      </c>
      <c r="K43" s="49">
        <f>AVERAGE('17.10 WOBULENZI-ZIROBWE'!K43,'18.10 WOBULENZI-ZIROBWE'!K43,'19.10 WOBULENZI-ZIROBWE-24h'!K43,'20.10 WOBULENZI-ZIROBWE'!K43,'21.10 WOBULENZI-ZIROBWE-24h'!K43,'22.10 WOBULENZI-ZIROBWE'!K43,'23.10 WOBULENZI-ZIROBWE'!K43)</f>
        <v>0</v>
      </c>
      <c r="L43" s="49">
        <f>AVERAGE('17.10 WOBULENZI-ZIROBWE'!L43,'18.10 WOBULENZI-ZIROBWE'!L43,'19.10 WOBULENZI-ZIROBWE-24h'!L43,'20.10 WOBULENZI-ZIROBWE'!L43,'21.10 WOBULENZI-ZIROBWE-24h'!L43,'22.10 WOBULENZI-ZIROBWE'!L43,'23.10 WOBULENZI-ZIROBWE'!L43)</f>
        <v>0</v>
      </c>
      <c r="M43" s="49">
        <f>AVERAGE('17.10 WOBULENZI-ZIROBWE'!M43,'18.10 WOBULENZI-ZIROBWE'!M43,'19.10 WOBULENZI-ZIROBWE-24h'!M43,'20.10 WOBULENZI-ZIROBWE'!M43,'21.10 WOBULENZI-ZIROBWE-24h'!M43,'22.10 WOBULENZI-ZIROBWE'!M43,'23.10 WOBULENZI-ZIROBWE'!M43)</f>
        <v>20.428571428571427</v>
      </c>
      <c r="N43" s="49">
        <f>AVERAGE('17.10 WOBULENZI-ZIROBWE'!N43,'18.10 WOBULENZI-ZIROBWE'!N43,'19.10 WOBULENZI-ZIROBWE-24h'!N43,'20.10 WOBULENZI-ZIROBWE'!N43,'21.10 WOBULENZI-ZIROBWE-24h'!N43,'22.10 WOBULENZI-ZIROBWE'!N43,'23.10 WOBULENZI-ZIROBWE'!N43)</f>
        <v>0</v>
      </c>
      <c r="O43" s="15">
        <f t="shared" si="0"/>
        <v>6.1428571428571432</v>
      </c>
      <c r="P43" s="15">
        <f t="shared" si="1"/>
        <v>26.571428571428569</v>
      </c>
    </row>
    <row r="44" spans="2:32" ht="23.1" customHeight="1" x14ac:dyDescent="0.25">
      <c r="B44" s="25" t="s">
        <v>71</v>
      </c>
      <c r="C44" s="49">
        <f>AVERAGE('17.10 WOBULENZI-ZIROBWE'!C44,'18.10 WOBULENZI-ZIROBWE'!C44,'19.10 WOBULENZI-ZIROBWE-24h'!C44,'20.10 WOBULENZI-ZIROBWE'!C44,'21.10 WOBULENZI-ZIROBWE-24h'!C44,'22.10 WOBULENZI-ZIROBWE'!C44,'23.10 WOBULENZI-ZIROBWE'!C44)</f>
        <v>2.4285714285714284</v>
      </c>
      <c r="D44" s="49">
        <f>AVERAGE('17.10 WOBULENZI-ZIROBWE'!D44,'18.10 WOBULENZI-ZIROBWE'!D44,'19.10 WOBULENZI-ZIROBWE-24h'!D44,'20.10 WOBULENZI-ZIROBWE'!D44,'21.10 WOBULENZI-ZIROBWE-24h'!D44,'22.10 WOBULENZI-ZIROBWE'!D44,'23.10 WOBULENZI-ZIROBWE'!D44)</f>
        <v>1.2857142857142858</v>
      </c>
      <c r="E44" s="49">
        <f>AVERAGE('17.10 WOBULENZI-ZIROBWE'!E44,'18.10 WOBULENZI-ZIROBWE'!E44,'19.10 WOBULENZI-ZIROBWE-24h'!E44,'20.10 WOBULENZI-ZIROBWE'!E44,'21.10 WOBULENZI-ZIROBWE-24h'!E44,'22.10 WOBULENZI-ZIROBWE'!E44,'23.10 WOBULENZI-ZIROBWE'!E44)</f>
        <v>0.2857142857142857</v>
      </c>
      <c r="F44" s="49">
        <f>AVERAGE('17.10 WOBULENZI-ZIROBWE'!F44,'18.10 WOBULENZI-ZIROBWE'!F44,'19.10 WOBULENZI-ZIROBWE-24h'!F44,'20.10 WOBULENZI-ZIROBWE'!F44,'21.10 WOBULENZI-ZIROBWE-24h'!F44,'22.10 WOBULENZI-ZIROBWE'!F44,'23.10 WOBULENZI-ZIROBWE'!F44)</f>
        <v>1.2857142857142858</v>
      </c>
      <c r="G44" s="49">
        <f>AVERAGE('17.10 WOBULENZI-ZIROBWE'!G44,'18.10 WOBULENZI-ZIROBWE'!G44,'19.10 WOBULENZI-ZIROBWE-24h'!G44,'20.10 WOBULENZI-ZIROBWE'!G44,'21.10 WOBULENZI-ZIROBWE-24h'!G44,'22.10 WOBULENZI-ZIROBWE'!G44,'23.10 WOBULENZI-ZIROBWE'!G44)</f>
        <v>0.42857142857142855</v>
      </c>
      <c r="H44" s="49">
        <f>AVERAGE('17.10 WOBULENZI-ZIROBWE'!H44,'18.10 WOBULENZI-ZIROBWE'!H44,'19.10 WOBULENZI-ZIROBWE-24h'!H44,'20.10 WOBULENZI-ZIROBWE'!H44,'21.10 WOBULENZI-ZIROBWE-24h'!H44,'22.10 WOBULENZI-ZIROBWE'!H44,'23.10 WOBULENZI-ZIROBWE'!H44)</f>
        <v>0</v>
      </c>
      <c r="I44" s="49">
        <f>AVERAGE('17.10 WOBULENZI-ZIROBWE'!I44,'18.10 WOBULENZI-ZIROBWE'!I44,'19.10 WOBULENZI-ZIROBWE-24h'!I44,'20.10 WOBULENZI-ZIROBWE'!I44,'21.10 WOBULENZI-ZIROBWE-24h'!I44,'22.10 WOBULENZI-ZIROBWE'!I44,'23.10 WOBULENZI-ZIROBWE'!I44)</f>
        <v>1.1428571428571428</v>
      </c>
      <c r="J44" s="49">
        <f>AVERAGE('17.10 WOBULENZI-ZIROBWE'!J44,'18.10 WOBULENZI-ZIROBWE'!J44,'19.10 WOBULENZI-ZIROBWE-24h'!J44,'20.10 WOBULENZI-ZIROBWE'!J44,'21.10 WOBULENZI-ZIROBWE-24h'!J44,'22.10 WOBULENZI-ZIROBWE'!J44,'23.10 WOBULENZI-ZIROBWE'!J44)</f>
        <v>1.7142857142857142</v>
      </c>
      <c r="K44" s="49">
        <f>AVERAGE('17.10 WOBULENZI-ZIROBWE'!K44,'18.10 WOBULENZI-ZIROBWE'!K44,'19.10 WOBULENZI-ZIROBWE-24h'!K44,'20.10 WOBULENZI-ZIROBWE'!K44,'21.10 WOBULENZI-ZIROBWE-24h'!K44,'22.10 WOBULENZI-ZIROBWE'!K44,'23.10 WOBULENZI-ZIROBWE'!K44)</f>
        <v>0</v>
      </c>
      <c r="L44" s="49">
        <f>AVERAGE('17.10 WOBULENZI-ZIROBWE'!L44,'18.10 WOBULENZI-ZIROBWE'!L44,'19.10 WOBULENZI-ZIROBWE-24h'!L44,'20.10 WOBULENZI-ZIROBWE'!L44,'21.10 WOBULENZI-ZIROBWE-24h'!L44,'22.10 WOBULENZI-ZIROBWE'!L44,'23.10 WOBULENZI-ZIROBWE'!L44)</f>
        <v>0</v>
      </c>
      <c r="M44" s="49">
        <f>AVERAGE('17.10 WOBULENZI-ZIROBWE'!M44,'18.10 WOBULENZI-ZIROBWE'!M44,'19.10 WOBULENZI-ZIROBWE-24h'!M44,'20.10 WOBULENZI-ZIROBWE'!M44,'21.10 WOBULENZI-ZIROBWE-24h'!M44,'22.10 WOBULENZI-ZIROBWE'!M44,'23.10 WOBULENZI-ZIROBWE'!M44)</f>
        <v>16.857142857142858</v>
      </c>
      <c r="N44" s="49">
        <f>AVERAGE('17.10 WOBULENZI-ZIROBWE'!N44,'18.10 WOBULENZI-ZIROBWE'!N44,'19.10 WOBULENZI-ZIROBWE-24h'!N44,'20.10 WOBULENZI-ZIROBWE'!N44,'21.10 WOBULENZI-ZIROBWE-24h'!N44,'22.10 WOBULENZI-ZIROBWE'!N44,'23.10 WOBULENZI-ZIROBWE'!N44)</f>
        <v>0</v>
      </c>
      <c r="O44" s="15">
        <f t="shared" si="0"/>
        <v>8.5714285714285712</v>
      </c>
      <c r="P44" s="15">
        <f t="shared" si="1"/>
        <v>25.428571428571431</v>
      </c>
    </row>
    <row r="45" spans="2:32" ht="23.1" customHeight="1" x14ac:dyDescent="0.25">
      <c r="B45" s="23" t="s">
        <v>72</v>
      </c>
      <c r="C45" s="49">
        <f>AVERAGE('17.10 WOBULENZI-ZIROBWE'!C45,'18.10 WOBULENZI-ZIROBWE'!C45,'19.10 WOBULENZI-ZIROBWE-24h'!C45,'20.10 WOBULENZI-ZIROBWE'!C45,'21.10 WOBULENZI-ZIROBWE-24h'!C45,'22.10 WOBULENZI-ZIROBWE'!C45,'23.10 WOBULENZI-ZIROBWE'!C45)</f>
        <v>1.1428571428571428</v>
      </c>
      <c r="D45" s="49">
        <f>AVERAGE('17.10 WOBULENZI-ZIROBWE'!D45,'18.10 WOBULENZI-ZIROBWE'!D45,'19.10 WOBULENZI-ZIROBWE-24h'!D45,'20.10 WOBULENZI-ZIROBWE'!D45,'21.10 WOBULENZI-ZIROBWE-24h'!D45,'22.10 WOBULENZI-ZIROBWE'!D45,'23.10 WOBULENZI-ZIROBWE'!D45)</f>
        <v>0</v>
      </c>
      <c r="E45" s="49">
        <f>AVERAGE('17.10 WOBULENZI-ZIROBWE'!E45,'18.10 WOBULENZI-ZIROBWE'!E45,'19.10 WOBULENZI-ZIROBWE-24h'!E45,'20.10 WOBULENZI-ZIROBWE'!E45,'21.10 WOBULENZI-ZIROBWE-24h'!E45,'22.10 WOBULENZI-ZIROBWE'!E45,'23.10 WOBULENZI-ZIROBWE'!E45)</f>
        <v>0.14285714285714285</v>
      </c>
      <c r="F45" s="49">
        <f>AVERAGE('17.10 WOBULENZI-ZIROBWE'!F45,'18.10 WOBULENZI-ZIROBWE'!F45,'19.10 WOBULENZI-ZIROBWE-24h'!F45,'20.10 WOBULENZI-ZIROBWE'!F45,'21.10 WOBULENZI-ZIROBWE-24h'!F45,'22.10 WOBULENZI-ZIROBWE'!F45,'23.10 WOBULENZI-ZIROBWE'!F45)</f>
        <v>0.2857142857142857</v>
      </c>
      <c r="G45" s="49">
        <f>AVERAGE('17.10 WOBULENZI-ZIROBWE'!G45,'18.10 WOBULENZI-ZIROBWE'!G45,'19.10 WOBULENZI-ZIROBWE-24h'!G45,'20.10 WOBULENZI-ZIROBWE'!G45,'21.10 WOBULENZI-ZIROBWE-24h'!G45,'22.10 WOBULENZI-ZIROBWE'!G45,'23.10 WOBULENZI-ZIROBWE'!G45)</f>
        <v>0.14285714285714285</v>
      </c>
      <c r="H45" s="49">
        <f>AVERAGE('17.10 WOBULENZI-ZIROBWE'!H45,'18.10 WOBULENZI-ZIROBWE'!H45,'19.10 WOBULENZI-ZIROBWE-24h'!H45,'20.10 WOBULENZI-ZIROBWE'!H45,'21.10 WOBULENZI-ZIROBWE-24h'!H45,'22.10 WOBULENZI-ZIROBWE'!H45,'23.10 WOBULENZI-ZIROBWE'!H45)</f>
        <v>0</v>
      </c>
      <c r="I45" s="49">
        <f>AVERAGE('17.10 WOBULENZI-ZIROBWE'!I45,'18.10 WOBULENZI-ZIROBWE'!I45,'19.10 WOBULENZI-ZIROBWE-24h'!I45,'20.10 WOBULENZI-ZIROBWE'!I45,'21.10 WOBULENZI-ZIROBWE-24h'!I45,'22.10 WOBULENZI-ZIROBWE'!I45,'23.10 WOBULENZI-ZIROBWE'!I45)</f>
        <v>0.5714285714285714</v>
      </c>
      <c r="J45" s="49">
        <f>AVERAGE('17.10 WOBULENZI-ZIROBWE'!J45,'18.10 WOBULENZI-ZIROBWE'!J45,'19.10 WOBULENZI-ZIROBWE-24h'!J45,'20.10 WOBULENZI-ZIROBWE'!J45,'21.10 WOBULENZI-ZIROBWE-24h'!J45,'22.10 WOBULENZI-ZIROBWE'!J45,'23.10 WOBULENZI-ZIROBWE'!J45)</f>
        <v>0.42857142857142855</v>
      </c>
      <c r="K45" s="49">
        <f>AVERAGE('17.10 WOBULENZI-ZIROBWE'!K45,'18.10 WOBULENZI-ZIROBWE'!K45,'19.10 WOBULENZI-ZIROBWE-24h'!K45,'20.10 WOBULENZI-ZIROBWE'!K45,'21.10 WOBULENZI-ZIROBWE-24h'!K45,'22.10 WOBULENZI-ZIROBWE'!K45,'23.10 WOBULENZI-ZIROBWE'!K45)</f>
        <v>0</v>
      </c>
      <c r="L45" s="49">
        <f>AVERAGE('17.10 WOBULENZI-ZIROBWE'!L45,'18.10 WOBULENZI-ZIROBWE'!L45,'19.10 WOBULENZI-ZIROBWE-24h'!L45,'20.10 WOBULENZI-ZIROBWE'!L45,'21.10 WOBULENZI-ZIROBWE-24h'!L45,'22.10 WOBULENZI-ZIROBWE'!L45,'23.10 WOBULENZI-ZIROBWE'!L45)</f>
        <v>0.14285714285714285</v>
      </c>
      <c r="M45" s="49">
        <f>AVERAGE('17.10 WOBULENZI-ZIROBWE'!M45,'18.10 WOBULENZI-ZIROBWE'!M45,'19.10 WOBULENZI-ZIROBWE-24h'!M45,'20.10 WOBULENZI-ZIROBWE'!M45,'21.10 WOBULENZI-ZIROBWE-24h'!M45,'22.10 WOBULENZI-ZIROBWE'!M45,'23.10 WOBULENZI-ZIROBWE'!M45)</f>
        <v>15.285714285714286</v>
      </c>
      <c r="N45" s="49">
        <f>AVERAGE('17.10 WOBULENZI-ZIROBWE'!N45,'18.10 WOBULENZI-ZIROBWE'!N45,'19.10 WOBULENZI-ZIROBWE-24h'!N45,'20.10 WOBULENZI-ZIROBWE'!N45,'21.10 WOBULENZI-ZIROBWE-24h'!N45,'22.10 WOBULENZI-ZIROBWE'!N45,'23.10 WOBULENZI-ZIROBWE'!N45)</f>
        <v>0</v>
      </c>
      <c r="O45" s="15">
        <f t="shared" si="0"/>
        <v>2.8571428571428568</v>
      </c>
      <c r="P45" s="15">
        <f t="shared" si="1"/>
        <v>18.142857142857142</v>
      </c>
    </row>
    <row r="46" spans="2:32" ht="23.1" customHeight="1" x14ac:dyDescent="0.25">
      <c r="B46" s="24" t="s">
        <v>73</v>
      </c>
      <c r="C46" s="49">
        <f>AVERAGE('17.10 WOBULENZI-ZIROBWE'!C46,'18.10 WOBULENZI-ZIROBWE'!C46,'19.10 WOBULENZI-ZIROBWE-24h'!C46,'20.10 WOBULENZI-ZIROBWE'!C46,'21.10 WOBULENZI-ZIROBWE-24h'!C46,'22.10 WOBULENZI-ZIROBWE'!C46,'23.10 WOBULENZI-ZIROBWE'!C46)</f>
        <v>0.8571428571428571</v>
      </c>
      <c r="D46" s="49">
        <f>AVERAGE('17.10 WOBULENZI-ZIROBWE'!D46,'18.10 WOBULENZI-ZIROBWE'!D46,'19.10 WOBULENZI-ZIROBWE-24h'!D46,'20.10 WOBULENZI-ZIROBWE'!D46,'21.10 WOBULENZI-ZIROBWE-24h'!D46,'22.10 WOBULENZI-ZIROBWE'!D46,'23.10 WOBULENZI-ZIROBWE'!D46)</f>
        <v>0.8571428571428571</v>
      </c>
      <c r="E46" s="49">
        <f>AVERAGE('17.10 WOBULENZI-ZIROBWE'!E46,'18.10 WOBULENZI-ZIROBWE'!E46,'19.10 WOBULENZI-ZIROBWE-24h'!E46,'20.10 WOBULENZI-ZIROBWE'!E46,'21.10 WOBULENZI-ZIROBWE-24h'!E46,'22.10 WOBULENZI-ZIROBWE'!E46,'23.10 WOBULENZI-ZIROBWE'!E46)</f>
        <v>0.5714285714285714</v>
      </c>
      <c r="F46" s="49">
        <f>AVERAGE('17.10 WOBULENZI-ZIROBWE'!F46,'18.10 WOBULENZI-ZIROBWE'!F46,'19.10 WOBULENZI-ZIROBWE-24h'!F46,'20.10 WOBULENZI-ZIROBWE'!F46,'21.10 WOBULENZI-ZIROBWE-24h'!F46,'22.10 WOBULENZI-ZIROBWE'!F46,'23.10 WOBULENZI-ZIROBWE'!F46)</f>
        <v>0.2857142857142857</v>
      </c>
      <c r="G46" s="49">
        <f>AVERAGE('17.10 WOBULENZI-ZIROBWE'!G46,'18.10 WOBULENZI-ZIROBWE'!G46,'19.10 WOBULENZI-ZIROBWE-24h'!G46,'20.10 WOBULENZI-ZIROBWE'!G46,'21.10 WOBULENZI-ZIROBWE-24h'!G46,'22.10 WOBULENZI-ZIROBWE'!G46,'23.10 WOBULENZI-ZIROBWE'!G46)</f>
        <v>0</v>
      </c>
      <c r="H46" s="49">
        <f>AVERAGE('17.10 WOBULENZI-ZIROBWE'!H46,'18.10 WOBULENZI-ZIROBWE'!H46,'19.10 WOBULENZI-ZIROBWE-24h'!H46,'20.10 WOBULENZI-ZIROBWE'!H46,'21.10 WOBULENZI-ZIROBWE-24h'!H46,'22.10 WOBULENZI-ZIROBWE'!H46,'23.10 WOBULENZI-ZIROBWE'!H46)</f>
        <v>0</v>
      </c>
      <c r="I46" s="49">
        <f>AVERAGE('17.10 WOBULENZI-ZIROBWE'!I46,'18.10 WOBULENZI-ZIROBWE'!I46,'19.10 WOBULENZI-ZIROBWE-24h'!I46,'20.10 WOBULENZI-ZIROBWE'!I46,'21.10 WOBULENZI-ZIROBWE-24h'!I46,'22.10 WOBULENZI-ZIROBWE'!I46,'23.10 WOBULENZI-ZIROBWE'!I46)</f>
        <v>1.2857142857142858</v>
      </c>
      <c r="J46" s="49">
        <f>AVERAGE('17.10 WOBULENZI-ZIROBWE'!J46,'18.10 WOBULENZI-ZIROBWE'!J46,'19.10 WOBULENZI-ZIROBWE-24h'!J46,'20.10 WOBULENZI-ZIROBWE'!J46,'21.10 WOBULENZI-ZIROBWE-24h'!J46,'22.10 WOBULENZI-ZIROBWE'!J46,'23.10 WOBULENZI-ZIROBWE'!J46)</f>
        <v>1.2857142857142858</v>
      </c>
      <c r="K46" s="49">
        <f>AVERAGE('17.10 WOBULENZI-ZIROBWE'!K46,'18.10 WOBULENZI-ZIROBWE'!K46,'19.10 WOBULENZI-ZIROBWE-24h'!K46,'20.10 WOBULENZI-ZIROBWE'!K46,'21.10 WOBULENZI-ZIROBWE-24h'!K46,'22.10 WOBULENZI-ZIROBWE'!K46,'23.10 WOBULENZI-ZIROBWE'!K46)</f>
        <v>0</v>
      </c>
      <c r="L46" s="49">
        <f>AVERAGE('17.10 WOBULENZI-ZIROBWE'!L46,'18.10 WOBULENZI-ZIROBWE'!L46,'19.10 WOBULENZI-ZIROBWE-24h'!L46,'20.10 WOBULENZI-ZIROBWE'!L46,'21.10 WOBULENZI-ZIROBWE-24h'!L46,'22.10 WOBULENZI-ZIROBWE'!L46,'23.10 WOBULENZI-ZIROBWE'!L46)</f>
        <v>0</v>
      </c>
      <c r="M46" s="49">
        <f>AVERAGE('17.10 WOBULENZI-ZIROBWE'!M46,'18.10 WOBULENZI-ZIROBWE'!M46,'19.10 WOBULENZI-ZIROBWE-24h'!M46,'20.10 WOBULENZI-ZIROBWE'!M46,'21.10 WOBULENZI-ZIROBWE-24h'!M46,'22.10 WOBULENZI-ZIROBWE'!M46,'23.10 WOBULENZI-ZIROBWE'!M46)</f>
        <v>16.571428571428573</v>
      </c>
      <c r="N46" s="49">
        <f>AVERAGE('17.10 WOBULENZI-ZIROBWE'!N46,'18.10 WOBULENZI-ZIROBWE'!N46,'19.10 WOBULENZI-ZIROBWE-24h'!N46,'20.10 WOBULENZI-ZIROBWE'!N46,'21.10 WOBULENZI-ZIROBWE-24h'!N46,'22.10 WOBULENZI-ZIROBWE'!N46,'23.10 WOBULENZI-ZIROBWE'!N46)</f>
        <v>0</v>
      </c>
      <c r="O46" s="15">
        <f t="shared" si="0"/>
        <v>5.1428571428571423</v>
      </c>
      <c r="P46" s="15">
        <f t="shared" si="1"/>
        <v>21.714285714285715</v>
      </c>
      <c r="R46" s="8"/>
      <c r="T46"/>
    </row>
    <row r="47" spans="2:32" ht="23.1" customHeight="1" x14ac:dyDescent="0.25">
      <c r="B47" s="24" t="s">
        <v>74</v>
      </c>
      <c r="C47" s="49">
        <f>AVERAGE('17.10 WOBULENZI-ZIROBWE'!C47,'18.10 WOBULENZI-ZIROBWE'!C47,'19.10 WOBULENZI-ZIROBWE-24h'!C47,'20.10 WOBULENZI-ZIROBWE'!C47,'21.10 WOBULENZI-ZIROBWE-24h'!C47,'22.10 WOBULENZI-ZIROBWE'!C47,'23.10 WOBULENZI-ZIROBWE'!C47)</f>
        <v>0.7142857142857143</v>
      </c>
      <c r="D47" s="49">
        <f>AVERAGE('17.10 WOBULENZI-ZIROBWE'!D47,'18.10 WOBULENZI-ZIROBWE'!D47,'19.10 WOBULENZI-ZIROBWE-24h'!D47,'20.10 WOBULENZI-ZIROBWE'!D47,'21.10 WOBULENZI-ZIROBWE-24h'!D47,'22.10 WOBULENZI-ZIROBWE'!D47,'23.10 WOBULENZI-ZIROBWE'!D47)</f>
        <v>1.1428571428571428</v>
      </c>
      <c r="E47" s="49">
        <f>AVERAGE('17.10 WOBULENZI-ZIROBWE'!E47,'18.10 WOBULENZI-ZIROBWE'!E47,'19.10 WOBULENZI-ZIROBWE-24h'!E47,'20.10 WOBULENZI-ZIROBWE'!E47,'21.10 WOBULENZI-ZIROBWE-24h'!E47,'22.10 WOBULENZI-ZIROBWE'!E47,'23.10 WOBULENZI-ZIROBWE'!E47)</f>
        <v>0.8571428571428571</v>
      </c>
      <c r="F47" s="49">
        <f>AVERAGE('17.10 WOBULENZI-ZIROBWE'!F47,'18.10 WOBULENZI-ZIROBWE'!F47,'19.10 WOBULENZI-ZIROBWE-24h'!F47,'20.10 WOBULENZI-ZIROBWE'!F47,'21.10 WOBULENZI-ZIROBWE-24h'!F47,'22.10 WOBULENZI-ZIROBWE'!F47,'23.10 WOBULENZI-ZIROBWE'!F47)</f>
        <v>1</v>
      </c>
      <c r="G47" s="49">
        <f>AVERAGE('17.10 WOBULENZI-ZIROBWE'!G47,'18.10 WOBULENZI-ZIROBWE'!G47,'19.10 WOBULENZI-ZIROBWE-24h'!G47,'20.10 WOBULENZI-ZIROBWE'!G47,'21.10 WOBULENZI-ZIROBWE-24h'!G47,'22.10 WOBULENZI-ZIROBWE'!G47,'23.10 WOBULENZI-ZIROBWE'!G47)</f>
        <v>0</v>
      </c>
      <c r="H47" s="49">
        <f>AVERAGE('17.10 WOBULENZI-ZIROBWE'!H47,'18.10 WOBULENZI-ZIROBWE'!H47,'19.10 WOBULENZI-ZIROBWE-24h'!H47,'20.10 WOBULENZI-ZIROBWE'!H47,'21.10 WOBULENZI-ZIROBWE-24h'!H47,'22.10 WOBULENZI-ZIROBWE'!H47,'23.10 WOBULENZI-ZIROBWE'!H47)</f>
        <v>0</v>
      </c>
      <c r="I47" s="49">
        <f>AVERAGE('17.10 WOBULENZI-ZIROBWE'!I47,'18.10 WOBULENZI-ZIROBWE'!I47,'19.10 WOBULENZI-ZIROBWE-24h'!I47,'20.10 WOBULENZI-ZIROBWE'!I47,'21.10 WOBULENZI-ZIROBWE-24h'!I47,'22.10 WOBULENZI-ZIROBWE'!I47,'23.10 WOBULENZI-ZIROBWE'!I47)</f>
        <v>0.14285714285714285</v>
      </c>
      <c r="J47" s="49">
        <f>AVERAGE('17.10 WOBULENZI-ZIROBWE'!J47,'18.10 WOBULENZI-ZIROBWE'!J47,'19.10 WOBULENZI-ZIROBWE-24h'!J47,'20.10 WOBULENZI-ZIROBWE'!J47,'21.10 WOBULENZI-ZIROBWE-24h'!J47,'22.10 WOBULENZI-ZIROBWE'!J47,'23.10 WOBULENZI-ZIROBWE'!J47)</f>
        <v>1</v>
      </c>
      <c r="K47" s="49">
        <f>AVERAGE('17.10 WOBULENZI-ZIROBWE'!K47,'18.10 WOBULENZI-ZIROBWE'!K47,'19.10 WOBULENZI-ZIROBWE-24h'!K47,'20.10 WOBULENZI-ZIROBWE'!K47,'21.10 WOBULENZI-ZIROBWE-24h'!K47,'22.10 WOBULENZI-ZIROBWE'!K47,'23.10 WOBULENZI-ZIROBWE'!K47)</f>
        <v>0</v>
      </c>
      <c r="L47" s="49">
        <f>AVERAGE('17.10 WOBULENZI-ZIROBWE'!L47,'18.10 WOBULENZI-ZIROBWE'!L47,'19.10 WOBULENZI-ZIROBWE-24h'!L47,'20.10 WOBULENZI-ZIROBWE'!L47,'21.10 WOBULENZI-ZIROBWE-24h'!L47,'22.10 WOBULENZI-ZIROBWE'!L47,'23.10 WOBULENZI-ZIROBWE'!L47)</f>
        <v>0</v>
      </c>
      <c r="M47" s="49">
        <f>AVERAGE('17.10 WOBULENZI-ZIROBWE'!M47,'18.10 WOBULENZI-ZIROBWE'!M47,'19.10 WOBULENZI-ZIROBWE-24h'!M47,'20.10 WOBULENZI-ZIROBWE'!M47,'21.10 WOBULENZI-ZIROBWE-24h'!M47,'22.10 WOBULENZI-ZIROBWE'!M47,'23.10 WOBULENZI-ZIROBWE'!M47)</f>
        <v>16.285714285714285</v>
      </c>
      <c r="N47" s="49">
        <f>AVERAGE('17.10 WOBULENZI-ZIROBWE'!N47,'18.10 WOBULENZI-ZIROBWE'!N47,'19.10 WOBULENZI-ZIROBWE-24h'!N47,'20.10 WOBULENZI-ZIROBWE'!N47,'21.10 WOBULENZI-ZIROBWE-24h'!N47,'22.10 WOBULENZI-ZIROBWE'!N47,'23.10 WOBULENZI-ZIROBWE'!N47)</f>
        <v>0</v>
      </c>
      <c r="O47" s="15">
        <f t="shared" si="0"/>
        <v>4.8571428571428577</v>
      </c>
      <c r="P47" s="15">
        <f t="shared" si="1"/>
        <v>21.142857142857142</v>
      </c>
      <c r="R47" s="8"/>
      <c r="T47"/>
    </row>
    <row r="48" spans="2:32" ht="23.1" customHeight="1" x14ac:dyDescent="0.25">
      <c r="B48" s="24" t="s">
        <v>75</v>
      </c>
      <c r="C48" s="49">
        <f>AVERAGE('17.10 WOBULENZI-ZIROBWE'!C48,'18.10 WOBULENZI-ZIROBWE'!C48,'19.10 WOBULENZI-ZIROBWE-24h'!C48,'20.10 WOBULENZI-ZIROBWE'!C48,'21.10 WOBULENZI-ZIROBWE-24h'!C48,'22.10 WOBULENZI-ZIROBWE'!C48,'23.10 WOBULENZI-ZIROBWE'!C48)</f>
        <v>0.42857142857142855</v>
      </c>
      <c r="D48" s="49">
        <f>AVERAGE('17.10 WOBULENZI-ZIROBWE'!D48,'18.10 WOBULENZI-ZIROBWE'!D48,'19.10 WOBULENZI-ZIROBWE-24h'!D48,'20.10 WOBULENZI-ZIROBWE'!D48,'21.10 WOBULENZI-ZIROBWE-24h'!D48,'22.10 WOBULENZI-ZIROBWE'!D48,'23.10 WOBULENZI-ZIROBWE'!D48)</f>
        <v>0.42857142857142855</v>
      </c>
      <c r="E48" s="49">
        <f>AVERAGE('17.10 WOBULENZI-ZIROBWE'!E48,'18.10 WOBULENZI-ZIROBWE'!E48,'19.10 WOBULENZI-ZIROBWE-24h'!E48,'20.10 WOBULENZI-ZIROBWE'!E48,'21.10 WOBULENZI-ZIROBWE-24h'!E48,'22.10 WOBULENZI-ZIROBWE'!E48,'23.10 WOBULENZI-ZIROBWE'!E48)</f>
        <v>0.2857142857142857</v>
      </c>
      <c r="F48" s="49">
        <f>AVERAGE('17.10 WOBULENZI-ZIROBWE'!F48,'18.10 WOBULENZI-ZIROBWE'!F48,'19.10 WOBULENZI-ZIROBWE-24h'!F48,'20.10 WOBULENZI-ZIROBWE'!F48,'21.10 WOBULENZI-ZIROBWE-24h'!F48,'22.10 WOBULENZI-ZIROBWE'!F48,'23.10 WOBULENZI-ZIROBWE'!F48)</f>
        <v>1.1428571428571428</v>
      </c>
      <c r="G48" s="49">
        <f>AVERAGE('17.10 WOBULENZI-ZIROBWE'!G48,'18.10 WOBULENZI-ZIROBWE'!G48,'19.10 WOBULENZI-ZIROBWE-24h'!G48,'20.10 WOBULENZI-ZIROBWE'!G48,'21.10 WOBULENZI-ZIROBWE-24h'!G48,'22.10 WOBULENZI-ZIROBWE'!G48,'23.10 WOBULENZI-ZIROBWE'!G48)</f>
        <v>0.14285714285714285</v>
      </c>
      <c r="H48" s="49">
        <f>AVERAGE('17.10 WOBULENZI-ZIROBWE'!H48,'18.10 WOBULENZI-ZIROBWE'!H48,'19.10 WOBULENZI-ZIROBWE-24h'!H48,'20.10 WOBULENZI-ZIROBWE'!H48,'21.10 WOBULENZI-ZIROBWE-24h'!H48,'22.10 WOBULENZI-ZIROBWE'!H48,'23.10 WOBULENZI-ZIROBWE'!H48)</f>
        <v>0</v>
      </c>
      <c r="I48" s="49">
        <f>AVERAGE('17.10 WOBULENZI-ZIROBWE'!I48,'18.10 WOBULENZI-ZIROBWE'!I48,'19.10 WOBULENZI-ZIROBWE-24h'!I48,'20.10 WOBULENZI-ZIROBWE'!I48,'21.10 WOBULENZI-ZIROBWE-24h'!I48,'22.10 WOBULENZI-ZIROBWE'!I48,'23.10 WOBULENZI-ZIROBWE'!I48)</f>
        <v>0.42857142857142855</v>
      </c>
      <c r="J48" s="49">
        <f>AVERAGE('17.10 WOBULENZI-ZIROBWE'!J48,'18.10 WOBULENZI-ZIROBWE'!J48,'19.10 WOBULENZI-ZIROBWE-24h'!J48,'20.10 WOBULENZI-ZIROBWE'!J48,'21.10 WOBULENZI-ZIROBWE-24h'!J48,'22.10 WOBULENZI-ZIROBWE'!J48,'23.10 WOBULENZI-ZIROBWE'!J48)</f>
        <v>1.7142857142857142</v>
      </c>
      <c r="K48" s="49">
        <f>AVERAGE('17.10 WOBULENZI-ZIROBWE'!K48,'18.10 WOBULENZI-ZIROBWE'!K48,'19.10 WOBULENZI-ZIROBWE-24h'!K48,'20.10 WOBULENZI-ZIROBWE'!K48,'21.10 WOBULENZI-ZIROBWE-24h'!K48,'22.10 WOBULENZI-ZIROBWE'!K48,'23.10 WOBULENZI-ZIROBWE'!K48)</f>
        <v>0.42857142857142855</v>
      </c>
      <c r="L48" s="49">
        <f>AVERAGE('17.10 WOBULENZI-ZIROBWE'!L48,'18.10 WOBULENZI-ZIROBWE'!L48,'19.10 WOBULENZI-ZIROBWE-24h'!L48,'20.10 WOBULENZI-ZIROBWE'!L48,'21.10 WOBULENZI-ZIROBWE-24h'!L48,'22.10 WOBULENZI-ZIROBWE'!L48,'23.10 WOBULENZI-ZIROBWE'!L48)</f>
        <v>0</v>
      </c>
      <c r="M48" s="49">
        <f>AVERAGE('17.10 WOBULENZI-ZIROBWE'!M48,'18.10 WOBULENZI-ZIROBWE'!M48,'19.10 WOBULENZI-ZIROBWE-24h'!M48,'20.10 WOBULENZI-ZIROBWE'!M48,'21.10 WOBULENZI-ZIROBWE-24h'!M48,'22.10 WOBULENZI-ZIROBWE'!M48,'23.10 WOBULENZI-ZIROBWE'!M48)</f>
        <v>20.857142857142858</v>
      </c>
      <c r="N48" s="49">
        <f>AVERAGE('17.10 WOBULENZI-ZIROBWE'!N48,'18.10 WOBULENZI-ZIROBWE'!N48,'19.10 WOBULENZI-ZIROBWE-24h'!N48,'20.10 WOBULENZI-ZIROBWE'!N48,'21.10 WOBULENZI-ZIROBWE-24h'!N48,'22.10 WOBULENZI-ZIROBWE'!N48,'23.10 WOBULENZI-ZIROBWE'!N48)</f>
        <v>0</v>
      </c>
      <c r="O48" s="15">
        <f t="shared" si="0"/>
        <v>5</v>
      </c>
      <c r="P48" s="15">
        <f t="shared" si="1"/>
        <v>25.857142857142858</v>
      </c>
      <c r="R48" s="8"/>
      <c r="T48"/>
    </row>
    <row r="49" spans="2:20" ht="23.1" customHeight="1" x14ac:dyDescent="0.25">
      <c r="B49" s="23" t="s">
        <v>76</v>
      </c>
      <c r="C49" s="49">
        <f>AVERAGE('17.10 WOBULENZI-ZIROBWE'!C49,'18.10 WOBULENZI-ZIROBWE'!C49,'19.10 WOBULENZI-ZIROBWE-24h'!C49,'20.10 WOBULENZI-ZIROBWE'!C49,'21.10 WOBULENZI-ZIROBWE-24h'!C49,'22.10 WOBULENZI-ZIROBWE'!C49,'23.10 WOBULENZI-ZIROBWE'!C49)</f>
        <v>1.5714285714285714</v>
      </c>
      <c r="D49" s="49">
        <f>AVERAGE('17.10 WOBULENZI-ZIROBWE'!D49,'18.10 WOBULENZI-ZIROBWE'!D49,'19.10 WOBULENZI-ZIROBWE-24h'!D49,'20.10 WOBULENZI-ZIROBWE'!D49,'21.10 WOBULENZI-ZIROBWE-24h'!D49,'22.10 WOBULENZI-ZIROBWE'!D49,'23.10 WOBULENZI-ZIROBWE'!D49)</f>
        <v>0.42857142857142855</v>
      </c>
      <c r="E49" s="49">
        <f>AVERAGE('17.10 WOBULENZI-ZIROBWE'!E49,'18.10 WOBULENZI-ZIROBWE'!E49,'19.10 WOBULENZI-ZIROBWE-24h'!E49,'20.10 WOBULENZI-ZIROBWE'!E49,'21.10 WOBULENZI-ZIROBWE-24h'!E49,'22.10 WOBULENZI-ZIROBWE'!E49,'23.10 WOBULENZI-ZIROBWE'!E49)</f>
        <v>0</v>
      </c>
      <c r="F49" s="49">
        <f>AVERAGE('17.10 WOBULENZI-ZIROBWE'!F49,'18.10 WOBULENZI-ZIROBWE'!F49,'19.10 WOBULENZI-ZIROBWE-24h'!F49,'20.10 WOBULENZI-ZIROBWE'!F49,'21.10 WOBULENZI-ZIROBWE-24h'!F49,'22.10 WOBULENZI-ZIROBWE'!F49,'23.10 WOBULENZI-ZIROBWE'!F49)</f>
        <v>0.42857142857142855</v>
      </c>
      <c r="G49" s="49">
        <f>AVERAGE('17.10 WOBULENZI-ZIROBWE'!G49,'18.10 WOBULENZI-ZIROBWE'!G49,'19.10 WOBULENZI-ZIROBWE-24h'!G49,'20.10 WOBULENZI-ZIROBWE'!G49,'21.10 WOBULENZI-ZIROBWE-24h'!G49,'22.10 WOBULENZI-ZIROBWE'!G49,'23.10 WOBULENZI-ZIROBWE'!G49)</f>
        <v>0.14285714285714285</v>
      </c>
      <c r="H49" s="49">
        <f>AVERAGE('17.10 WOBULENZI-ZIROBWE'!H49,'18.10 WOBULENZI-ZIROBWE'!H49,'19.10 WOBULENZI-ZIROBWE-24h'!H49,'20.10 WOBULENZI-ZIROBWE'!H49,'21.10 WOBULENZI-ZIROBWE-24h'!H49,'22.10 WOBULENZI-ZIROBWE'!H49,'23.10 WOBULENZI-ZIROBWE'!H49)</f>
        <v>0</v>
      </c>
      <c r="I49" s="49">
        <f>AVERAGE('17.10 WOBULENZI-ZIROBWE'!I49,'18.10 WOBULENZI-ZIROBWE'!I49,'19.10 WOBULENZI-ZIROBWE-24h'!I49,'20.10 WOBULENZI-ZIROBWE'!I49,'21.10 WOBULENZI-ZIROBWE-24h'!I49,'22.10 WOBULENZI-ZIROBWE'!I49,'23.10 WOBULENZI-ZIROBWE'!I49)</f>
        <v>0.14285714285714285</v>
      </c>
      <c r="J49" s="49">
        <f>AVERAGE('17.10 WOBULENZI-ZIROBWE'!J49,'18.10 WOBULENZI-ZIROBWE'!J49,'19.10 WOBULENZI-ZIROBWE-24h'!J49,'20.10 WOBULENZI-ZIROBWE'!J49,'21.10 WOBULENZI-ZIROBWE-24h'!J49,'22.10 WOBULENZI-ZIROBWE'!J49,'23.10 WOBULENZI-ZIROBWE'!J49)</f>
        <v>0.5714285714285714</v>
      </c>
      <c r="K49" s="49">
        <f>AVERAGE('17.10 WOBULENZI-ZIROBWE'!K49,'18.10 WOBULENZI-ZIROBWE'!K49,'19.10 WOBULENZI-ZIROBWE-24h'!K49,'20.10 WOBULENZI-ZIROBWE'!K49,'21.10 WOBULENZI-ZIROBWE-24h'!K49,'22.10 WOBULENZI-ZIROBWE'!K49,'23.10 WOBULENZI-ZIROBWE'!K49)</f>
        <v>0</v>
      </c>
      <c r="L49" s="49">
        <f>AVERAGE('17.10 WOBULENZI-ZIROBWE'!L49,'18.10 WOBULENZI-ZIROBWE'!L49,'19.10 WOBULENZI-ZIROBWE-24h'!L49,'20.10 WOBULENZI-ZIROBWE'!L49,'21.10 WOBULENZI-ZIROBWE-24h'!L49,'22.10 WOBULENZI-ZIROBWE'!L49,'23.10 WOBULENZI-ZIROBWE'!L49)</f>
        <v>0</v>
      </c>
      <c r="M49" s="49">
        <f>AVERAGE('17.10 WOBULENZI-ZIROBWE'!M49,'18.10 WOBULENZI-ZIROBWE'!M49,'19.10 WOBULENZI-ZIROBWE-24h'!M49,'20.10 WOBULENZI-ZIROBWE'!M49,'21.10 WOBULENZI-ZIROBWE-24h'!M49,'22.10 WOBULENZI-ZIROBWE'!M49,'23.10 WOBULENZI-ZIROBWE'!M49)</f>
        <v>16.428571428571427</v>
      </c>
      <c r="N49" s="49">
        <f>AVERAGE('17.10 WOBULENZI-ZIROBWE'!N49,'18.10 WOBULENZI-ZIROBWE'!N49,'19.10 WOBULENZI-ZIROBWE-24h'!N49,'20.10 WOBULENZI-ZIROBWE'!N49,'21.10 WOBULENZI-ZIROBWE-24h'!N49,'22.10 WOBULENZI-ZIROBWE'!N49,'23.10 WOBULENZI-ZIROBWE'!N49)</f>
        <v>0</v>
      </c>
      <c r="O49" s="15">
        <f t="shared" si="0"/>
        <v>3.2857142857142856</v>
      </c>
      <c r="P49" s="15">
        <f t="shared" si="1"/>
        <v>19.714285714285712</v>
      </c>
      <c r="R49" s="8"/>
      <c r="T49"/>
    </row>
    <row r="50" spans="2:20" ht="23.1" customHeight="1" x14ac:dyDescent="0.25">
      <c r="B50" s="24" t="s">
        <v>77</v>
      </c>
      <c r="C50" s="49">
        <f>AVERAGE('17.10 WOBULENZI-ZIROBWE'!C50,'18.10 WOBULENZI-ZIROBWE'!C50,'19.10 WOBULENZI-ZIROBWE-24h'!C50,'20.10 WOBULENZI-ZIROBWE'!C50,'21.10 WOBULENZI-ZIROBWE-24h'!C50,'22.10 WOBULENZI-ZIROBWE'!C50,'23.10 WOBULENZI-ZIROBWE'!C50)</f>
        <v>1.1428571428571428</v>
      </c>
      <c r="D50" s="49">
        <f>AVERAGE('17.10 WOBULENZI-ZIROBWE'!D50,'18.10 WOBULENZI-ZIROBWE'!D50,'19.10 WOBULENZI-ZIROBWE-24h'!D50,'20.10 WOBULENZI-ZIROBWE'!D50,'21.10 WOBULENZI-ZIROBWE-24h'!D50,'22.10 WOBULENZI-ZIROBWE'!D50,'23.10 WOBULENZI-ZIROBWE'!D50)</f>
        <v>1</v>
      </c>
      <c r="E50" s="49">
        <f>AVERAGE('17.10 WOBULENZI-ZIROBWE'!E50,'18.10 WOBULENZI-ZIROBWE'!E50,'19.10 WOBULENZI-ZIROBWE-24h'!E50,'20.10 WOBULENZI-ZIROBWE'!E50,'21.10 WOBULENZI-ZIROBWE-24h'!E50,'22.10 WOBULENZI-ZIROBWE'!E50,'23.10 WOBULENZI-ZIROBWE'!E50)</f>
        <v>1</v>
      </c>
      <c r="F50" s="49">
        <f>AVERAGE('17.10 WOBULENZI-ZIROBWE'!F50,'18.10 WOBULENZI-ZIROBWE'!F50,'19.10 WOBULENZI-ZIROBWE-24h'!F50,'20.10 WOBULENZI-ZIROBWE'!F50,'21.10 WOBULENZI-ZIROBWE-24h'!F50,'22.10 WOBULENZI-ZIROBWE'!F50,'23.10 WOBULENZI-ZIROBWE'!F50)</f>
        <v>0.8571428571428571</v>
      </c>
      <c r="G50" s="49">
        <f>AVERAGE('17.10 WOBULENZI-ZIROBWE'!G50,'18.10 WOBULENZI-ZIROBWE'!G50,'19.10 WOBULENZI-ZIROBWE-24h'!G50,'20.10 WOBULENZI-ZIROBWE'!G50,'21.10 WOBULENZI-ZIROBWE-24h'!G50,'22.10 WOBULENZI-ZIROBWE'!G50,'23.10 WOBULENZI-ZIROBWE'!G50)</f>
        <v>0</v>
      </c>
      <c r="H50" s="49">
        <f>AVERAGE('17.10 WOBULENZI-ZIROBWE'!H50,'18.10 WOBULENZI-ZIROBWE'!H50,'19.10 WOBULENZI-ZIROBWE-24h'!H50,'20.10 WOBULENZI-ZIROBWE'!H50,'21.10 WOBULENZI-ZIROBWE-24h'!H50,'22.10 WOBULENZI-ZIROBWE'!H50,'23.10 WOBULENZI-ZIROBWE'!H50)</f>
        <v>0</v>
      </c>
      <c r="I50" s="49">
        <f>AVERAGE('17.10 WOBULENZI-ZIROBWE'!I50,'18.10 WOBULENZI-ZIROBWE'!I50,'19.10 WOBULENZI-ZIROBWE-24h'!I50,'20.10 WOBULENZI-ZIROBWE'!I50,'21.10 WOBULENZI-ZIROBWE-24h'!I50,'22.10 WOBULENZI-ZIROBWE'!I50,'23.10 WOBULENZI-ZIROBWE'!I50)</f>
        <v>0.42857142857142855</v>
      </c>
      <c r="J50" s="49">
        <f>AVERAGE('17.10 WOBULENZI-ZIROBWE'!J50,'18.10 WOBULENZI-ZIROBWE'!J50,'19.10 WOBULENZI-ZIROBWE-24h'!J50,'20.10 WOBULENZI-ZIROBWE'!J50,'21.10 WOBULENZI-ZIROBWE-24h'!J50,'22.10 WOBULENZI-ZIROBWE'!J50,'23.10 WOBULENZI-ZIROBWE'!J50)</f>
        <v>1</v>
      </c>
      <c r="K50" s="49">
        <f>AVERAGE('17.10 WOBULENZI-ZIROBWE'!K50,'18.10 WOBULENZI-ZIROBWE'!K50,'19.10 WOBULENZI-ZIROBWE-24h'!K50,'20.10 WOBULENZI-ZIROBWE'!K50,'21.10 WOBULENZI-ZIROBWE-24h'!K50,'22.10 WOBULENZI-ZIROBWE'!K50,'23.10 WOBULENZI-ZIROBWE'!K50)</f>
        <v>0</v>
      </c>
      <c r="L50" s="49">
        <f>AVERAGE('17.10 WOBULENZI-ZIROBWE'!L50,'18.10 WOBULENZI-ZIROBWE'!L50,'19.10 WOBULENZI-ZIROBWE-24h'!L50,'20.10 WOBULENZI-ZIROBWE'!L50,'21.10 WOBULENZI-ZIROBWE-24h'!L50,'22.10 WOBULENZI-ZIROBWE'!L50,'23.10 WOBULENZI-ZIROBWE'!L50)</f>
        <v>0</v>
      </c>
      <c r="M50" s="49">
        <f>AVERAGE('17.10 WOBULENZI-ZIROBWE'!M50,'18.10 WOBULENZI-ZIROBWE'!M50,'19.10 WOBULENZI-ZIROBWE-24h'!M50,'20.10 WOBULENZI-ZIROBWE'!M50,'21.10 WOBULENZI-ZIROBWE-24h'!M50,'22.10 WOBULENZI-ZIROBWE'!M50,'23.10 WOBULENZI-ZIROBWE'!M50)</f>
        <v>17.857142857142858</v>
      </c>
      <c r="N50" s="49">
        <f>AVERAGE('17.10 WOBULENZI-ZIROBWE'!N50,'18.10 WOBULENZI-ZIROBWE'!N50,'19.10 WOBULENZI-ZIROBWE-24h'!N50,'20.10 WOBULENZI-ZIROBWE'!N50,'21.10 WOBULENZI-ZIROBWE-24h'!N50,'22.10 WOBULENZI-ZIROBWE'!N50,'23.10 WOBULENZI-ZIROBWE'!N50)</f>
        <v>0</v>
      </c>
      <c r="O50" s="15">
        <f t="shared" si="0"/>
        <v>5.4285714285714288</v>
      </c>
      <c r="P50" s="15">
        <f t="shared" si="1"/>
        <v>23.285714285714285</v>
      </c>
      <c r="R50" s="8"/>
      <c r="T50"/>
    </row>
    <row r="51" spans="2:20" ht="23.1" customHeight="1" x14ac:dyDescent="0.25">
      <c r="B51" s="24" t="s">
        <v>78</v>
      </c>
      <c r="C51" s="49">
        <f>AVERAGE('17.10 WOBULENZI-ZIROBWE'!C51,'18.10 WOBULENZI-ZIROBWE'!C51,'19.10 WOBULENZI-ZIROBWE-24h'!C51,'20.10 WOBULENZI-ZIROBWE'!C51,'21.10 WOBULENZI-ZIROBWE-24h'!C51,'22.10 WOBULENZI-ZIROBWE'!C51,'23.10 WOBULENZI-ZIROBWE'!C51)</f>
        <v>1</v>
      </c>
      <c r="D51" s="49">
        <f>AVERAGE('17.10 WOBULENZI-ZIROBWE'!D51,'18.10 WOBULENZI-ZIROBWE'!D51,'19.10 WOBULENZI-ZIROBWE-24h'!D51,'20.10 WOBULENZI-ZIROBWE'!D51,'21.10 WOBULENZI-ZIROBWE-24h'!D51,'22.10 WOBULENZI-ZIROBWE'!D51,'23.10 WOBULENZI-ZIROBWE'!D51)</f>
        <v>0.14285714285714285</v>
      </c>
      <c r="E51" s="49">
        <f>AVERAGE('17.10 WOBULENZI-ZIROBWE'!E51,'18.10 WOBULENZI-ZIROBWE'!E51,'19.10 WOBULENZI-ZIROBWE-24h'!E51,'20.10 WOBULENZI-ZIROBWE'!E51,'21.10 WOBULENZI-ZIROBWE-24h'!E51,'22.10 WOBULENZI-ZIROBWE'!E51,'23.10 WOBULENZI-ZIROBWE'!E51)</f>
        <v>0</v>
      </c>
      <c r="F51" s="49">
        <f>AVERAGE('17.10 WOBULENZI-ZIROBWE'!F51,'18.10 WOBULENZI-ZIROBWE'!F51,'19.10 WOBULENZI-ZIROBWE-24h'!F51,'20.10 WOBULENZI-ZIROBWE'!F51,'21.10 WOBULENZI-ZIROBWE-24h'!F51,'22.10 WOBULENZI-ZIROBWE'!F51,'23.10 WOBULENZI-ZIROBWE'!F51)</f>
        <v>0.42857142857142855</v>
      </c>
      <c r="G51" s="49">
        <f>AVERAGE('17.10 WOBULENZI-ZIROBWE'!G51,'18.10 WOBULENZI-ZIROBWE'!G51,'19.10 WOBULENZI-ZIROBWE-24h'!G51,'20.10 WOBULENZI-ZIROBWE'!G51,'21.10 WOBULENZI-ZIROBWE-24h'!G51,'22.10 WOBULENZI-ZIROBWE'!G51,'23.10 WOBULENZI-ZIROBWE'!G51)</f>
        <v>0.2857142857142857</v>
      </c>
      <c r="H51" s="49">
        <f>AVERAGE('17.10 WOBULENZI-ZIROBWE'!H51,'18.10 WOBULENZI-ZIROBWE'!H51,'19.10 WOBULENZI-ZIROBWE-24h'!H51,'20.10 WOBULENZI-ZIROBWE'!H51,'21.10 WOBULENZI-ZIROBWE-24h'!H51,'22.10 WOBULENZI-ZIROBWE'!H51,'23.10 WOBULENZI-ZIROBWE'!H51)</f>
        <v>0</v>
      </c>
      <c r="I51" s="49">
        <f>AVERAGE('17.10 WOBULENZI-ZIROBWE'!I51,'18.10 WOBULENZI-ZIROBWE'!I51,'19.10 WOBULENZI-ZIROBWE-24h'!I51,'20.10 WOBULENZI-ZIROBWE'!I51,'21.10 WOBULENZI-ZIROBWE-24h'!I51,'22.10 WOBULENZI-ZIROBWE'!I51,'23.10 WOBULENZI-ZIROBWE'!I51)</f>
        <v>0.14285714285714285</v>
      </c>
      <c r="J51" s="49">
        <f>AVERAGE('17.10 WOBULENZI-ZIROBWE'!J51,'18.10 WOBULENZI-ZIROBWE'!J51,'19.10 WOBULENZI-ZIROBWE-24h'!J51,'20.10 WOBULENZI-ZIROBWE'!J51,'21.10 WOBULENZI-ZIROBWE-24h'!J51,'22.10 WOBULENZI-ZIROBWE'!J51,'23.10 WOBULENZI-ZIROBWE'!J51)</f>
        <v>0.8571428571428571</v>
      </c>
      <c r="K51" s="49">
        <f>AVERAGE('17.10 WOBULENZI-ZIROBWE'!K51,'18.10 WOBULENZI-ZIROBWE'!K51,'19.10 WOBULENZI-ZIROBWE-24h'!K51,'20.10 WOBULENZI-ZIROBWE'!K51,'21.10 WOBULENZI-ZIROBWE-24h'!K51,'22.10 WOBULENZI-ZIROBWE'!K51,'23.10 WOBULENZI-ZIROBWE'!K51)</f>
        <v>0</v>
      </c>
      <c r="L51" s="49">
        <f>AVERAGE('17.10 WOBULENZI-ZIROBWE'!L51,'18.10 WOBULENZI-ZIROBWE'!L51,'19.10 WOBULENZI-ZIROBWE-24h'!L51,'20.10 WOBULENZI-ZIROBWE'!L51,'21.10 WOBULENZI-ZIROBWE-24h'!L51,'22.10 WOBULENZI-ZIROBWE'!L51,'23.10 WOBULENZI-ZIROBWE'!L51)</f>
        <v>0</v>
      </c>
      <c r="M51" s="49">
        <f>AVERAGE('17.10 WOBULENZI-ZIROBWE'!M51,'18.10 WOBULENZI-ZIROBWE'!M51,'19.10 WOBULENZI-ZIROBWE-24h'!M51,'20.10 WOBULENZI-ZIROBWE'!M51,'21.10 WOBULENZI-ZIROBWE-24h'!M51,'22.10 WOBULENZI-ZIROBWE'!M51,'23.10 WOBULENZI-ZIROBWE'!M51)</f>
        <v>19</v>
      </c>
      <c r="N51" s="49">
        <f>AVERAGE('17.10 WOBULENZI-ZIROBWE'!N51,'18.10 WOBULENZI-ZIROBWE'!N51,'19.10 WOBULENZI-ZIROBWE-24h'!N51,'20.10 WOBULENZI-ZIROBWE'!N51,'21.10 WOBULENZI-ZIROBWE-24h'!N51,'22.10 WOBULENZI-ZIROBWE'!N51,'23.10 WOBULENZI-ZIROBWE'!N51)</f>
        <v>0</v>
      </c>
      <c r="O51" s="15">
        <f t="shared" si="0"/>
        <v>2.8571428571428572</v>
      </c>
      <c r="P51" s="15">
        <f t="shared" si="1"/>
        <v>21.857142857142858</v>
      </c>
      <c r="R51" s="8"/>
      <c r="T51"/>
    </row>
    <row r="52" spans="2:20" ht="23.1" customHeight="1" x14ac:dyDescent="0.25">
      <c r="B52" s="24" t="s">
        <v>79</v>
      </c>
      <c r="C52" s="49">
        <f>AVERAGE('17.10 WOBULENZI-ZIROBWE'!C52,'18.10 WOBULENZI-ZIROBWE'!C52,'19.10 WOBULENZI-ZIROBWE-24h'!C52,'20.10 WOBULENZI-ZIROBWE'!C52,'21.10 WOBULENZI-ZIROBWE-24h'!C52,'22.10 WOBULENZI-ZIROBWE'!C52,'23.10 WOBULENZI-ZIROBWE'!C52)</f>
        <v>0.8571428571428571</v>
      </c>
      <c r="D52" s="49">
        <f>AVERAGE('17.10 WOBULENZI-ZIROBWE'!D52,'18.10 WOBULENZI-ZIROBWE'!D52,'19.10 WOBULENZI-ZIROBWE-24h'!D52,'20.10 WOBULENZI-ZIROBWE'!D52,'21.10 WOBULENZI-ZIROBWE-24h'!D52,'22.10 WOBULENZI-ZIROBWE'!D52,'23.10 WOBULENZI-ZIROBWE'!D52)</f>
        <v>0.7142857142857143</v>
      </c>
      <c r="E52" s="49">
        <f>AVERAGE('17.10 WOBULENZI-ZIROBWE'!E52,'18.10 WOBULENZI-ZIROBWE'!E52,'19.10 WOBULENZI-ZIROBWE-24h'!E52,'20.10 WOBULENZI-ZIROBWE'!E52,'21.10 WOBULENZI-ZIROBWE-24h'!E52,'22.10 WOBULENZI-ZIROBWE'!E52,'23.10 WOBULENZI-ZIROBWE'!E52)</f>
        <v>0.2857142857142857</v>
      </c>
      <c r="F52" s="49">
        <f>AVERAGE('17.10 WOBULENZI-ZIROBWE'!F52,'18.10 WOBULENZI-ZIROBWE'!F52,'19.10 WOBULENZI-ZIROBWE-24h'!F52,'20.10 WOBULENZI-ZIROBWE'!F52,'21.10 WOBULENZI-ZIROBWE-24h'!F52,'22.10 WOBULENZI-ZIROBWE'!F52,'23.10 WOBULENZI-ZIROBWE'!F52)</f>
        <v>0.14285714285714285</v>
      </c>
      <c r="G52" s="49">
        <f>AVERAGE('17.10 WOBULENZI-ZIROBWE'!G52,'18.10 WOBULENZI-ZIROBWE'!G52,'19.10 WOBULENZI-ZIROBWE-24h'!G52,'20.10 WOBULENZI-ZIROBWE'!G52,'21.10 WOBULENZI-ZIROBWE-24h'!G52,'22.10 WOBULENZI-ZIROBWE'!G52,'23.10 WOBULENZI-ZIROBWE'!G52)</f>
        <v>0.14285714285714285</v>
      </c>
      <c r="H52" s="49">
        <f>AVERAGE('17.10 WOBULENZI-ZIROBWE'!H52,'18.10 WOBULENZI-ZIROBWE'!H52,'19.10 WOBULENZI-ZIROBWE-24h'!H52,'20.10 WOBULENZI-ZIROBWE'!H52,'21.10 WOBULENZI-ZIROBWE-24h'!H52,'22.10 WOBULENZI-ZIROBWE'!H52,'23.10 WOBULENZI-ZIROBWE'!H52)</f>
        <v>0.14285714285714285</v>
      </c>
      <c r="I52" s="49">
        <f>AVERAGE('17.10 WOBULENZI-ZIROBWE'!I52,'18.10 WOBULENZI-ZIROBWE'!I52,'19.10 WOBULENZI-ZIROBWE-24h'!I52,'20.10 WOBULENZI-ZIROBWE'!I52,'21.10 WOBULENZI-ZIROBWE-24h'!I52,'22.10 WOBULENZI-ZIROBWE'!I52,'23.10 WOBULENZI-ZIROBWE'!I52)</f>
        <v>1.2857142857142858</v>
      </c>
      <c r="J52" s="49">
        <f>AVERAGE('17.10 WOBULENZI-ZIROBWE'!J52,'18.10 WOBULENZI-ZIROBWE'!J52,'19.10 WOBULENZI-ZIROBWE-24h'!J52,'20.10 WOBULENZI-ZIROBWE'!J52,'21.10 WOBULENZI-ZIROBWE-24h'!J52,'22.10 WOBULENZI-ZIROBWE'!J52,'23.10 WOBULENZI-ZIROBWE'!J52)</f>
        <v>1.2857142857142858</v>
      </c>
      <c r="K52" s="49">
        <f>AVERAGE('17.10 WOBULENZI-ZIROBWE'!K52,'18.10 WOBULENZI-ZIROBWE'!K52,'19.10 WOBULENZI-ZIROBWE-24h'!K52,'20.10 WOBULENZI-ZIROBWE'!K52,'21.10 WOBULENZI-ZIROBWE-24h'!K52,'22.10 WOBULENZI-ZIROBWE'!K52,'23.10 WOBULENZI-ZIROBWE'!K52)</f>
        <v>0</v>
      </c>
      <c r="L52" s="49">
        <f>AVERAGE('17.10 WOBULENZI-ZIROBWE'!L52,'18.10 WOBULENZI-ZIROBWE'!L52,'19.10 WOBULENZI-ZIROBWE-24h'!L52,'20.10 WOBULENZI-ZIROBWE'!L52,'21.10 WOBULENZI-ZIROBWE-24h'!L52,'22.10 WOBULENZI-ZIROBWE'!L52,'23.10 WOBULENZI-ZIROBWE'!L52)</f>
        <v>0</v>
      </c>
      <c r="M52" s="49">
        <f>AVERAGE('17.10 WOBULENZI-ZIROBWE'!M52,'18.10 WOBULENZI-ZIROBWE'!M52,'19.10 WOBULENZI-ZIROBWE-24h'!M52,'20.10 WOBULENZI-ZIROBWE'!M52,'21.10 WOBULENZI-ZIROBWE-24h'!M52,'22.10 WOBULENZI-ZIROBWE'!M52,'23.10 WOBULENZI-ZIROBWE'!M52)</f>
        <v>15.142857142857142</v>
      </c>
      <c r="N52" s="49">
        <f>AVERAGE('17.10 WOBULENZI-ZIROBWE'!N52,'18.10 WOBULENZI-ZIROBWE'!N52,'19.10 WOBULENZI-ZIROBWE-24h'!N52,'20.10 WOBULENZI-ZIROBWE'!N52,'21.10 WOBULENZI-ZIROBWE-24h'!N52,'22.10 WOBULENZI-ZIROBWE'!N52,'23.10 WOBULENZI-ZIROBWE'!N52)</f>
        <v>0</v>
      </c>
      <c r="O52" s="15">
        <f t="shared" si="0"/>
        <v>4.8571428571428568</v>
      </c>
      <c r="P52" s="15">
        <f t="shared" si="1"/>
        <v>20</v>
      </c>
      <c r="R52" s="8"/>
      <c r="T52"/>
    </row>
    <row r="53" spans="2:20" ht="23.1" customHeight="1" x14ac:dyDescent="0.25">
      <c r="B53" s="23" t="s">
        <v>80</v>
      </c>
      <c r="C53" s="49">
        <f>AVERAGE('17.10 WOBULENZI-ZIROBWE'!C53,'18.10 WOBULENZI-ZIROBWE'!C53,'19.10 WOBULENZI-ZIROBWE-24h'!C53,'20.10 WOBULENZI-ZIROBWE'!C53,'21.10 WOBULENZI-ZIROBWE-24h'!C53,'22.10 WOBULENZI-ZIROBWE'!C53,'23.10 WOBULENZI-ZIROBWE'!C53)</f>
        <v>1.5714285714285714</v>
      </c>
      <c r="D53" s="49">
        <f>AVERAGE('17.10 WOBULENZI-ZIROBWE'!D53,'18.10 WOBULENZI-ZIROBWE'!D53,'19.10 WOBULENZI-ZIROBWE-24h'!D53,'20.10 WOBULENZI-ZIROBWE'!D53,'21.10 WOBULENZI-ZIROBWE-24h'!D53,'22.10 WOBULENZI-ZIROBWE'!D53,'23.10 WOBULENZI-ZIROBWE'!D53)</f>
        <v>0.5714285714285714</v>
      </c>
      <c r="E53" s="49">
        <f>AVERAGE('17.10 WOBULENZI-ZIROBWE'!E53,'18.10 WOBULENZI-ZIROBWE'!E53,'19.10 WOBULENZI-ZIROBWE-24h'!E53,'20.10 WOBULENZI-ZIROBWE'!E53,'21.10 WOBULENZI-ZIROBWE-24h'!E53,'22.10 WOBULENZI-ZIROBWE'!E53,'23.10 WOBULENZI-ZIROBWE'!E53)</f>
        <v>0</v>
      </c>
      <c r="F53" s="49">
        <f>AVERAGE('17.10 WOBULENZI-ZIROBWE'!F53,'18.10 WOBULENZI-ZIROBWE'!F53,'19.10 WOBULENZI-ZIROBWE-24h'!F53,'20.10 WOBULENZI-ZIROBWE'!F53,'21.10 WOBULENZI-ZIROBWE-24h'!F53,'22.10 WOBULENZI-ZIROBWE'!F53,'23.10 WOBULENZI-ZIROBWE'!F53)</f>
        <v>0.2857142857142857</v>
      </c>
      <c r="G53" s="49">
        <f>AVERAGE('17.10 WOBULENZI-ZIROBWE'!G53,'18.10 WOBULENZI-ZIROBWE'!G53,'19.10 WOBULENZI-ZIROBWE-24h'!G53,'20.10 WOBULENZI-ZIROBWE'!G53,'21.10 WOBULENZI-ZIROBWE-24h'!G53,'22.10 WOBULENZI-ZIROBWE'!G53,'23.10 WOBULENZI-ZIROBWE'!G53)</f>
        <v>0.14285714285714285</v>
      </c>
      <c r="H53" s="49">
        <f>AVERAGE('17.10 WOBULENZI-ZIROBWE'!H53,'18.10 WOBULENZI-ZIROBWE'!H53,'19.10 WOBULENZI-ZIROBWE-24h'!H53,'20.10 WOBULENZI-ZIROBWE'!H53,'21.10 WOBULENZI-ZIROBWE-24h'!H53,'22.10 WOBULENZI-ZIROBWE'!H53,'23.10 WOBULENZI-ZIROBWE'!H53)</f>
        <v>0.14285714285714285</v>
      </c>
      <c r="I53" s="49">
        <f>AVERAGE('17.10 WOBULENZI-ZIROBWE'!I53,'18.10 WOBULENZI-ZIROBWE'!I53,'19.10 WOBULENZI-ZIROBWE-24h'!I53,'20.10 WOBULENZI-ZIROBWE'!I53,'21.10 WOBULENZI-ZIROBWE-24h'!I53,'22.10 WOBULENZI-ZIROBWE'!I53,'23.10 WOBULENZI-ZIROBWE'!I53)</f>
        <v>0.42857142857142855</v>
      </c>
      <c r="J53" s="49">
        <f>AVERAGE('17.10 WOBULENZI-ZIROBWE'!J53,'18.10 WOBULENZI-ZIROBWE'!J53,'19.10 WOBULENZI-ZIROBWE-24h'!J53,'20.10 WOBULENZI-ZIROBWE'!J53,'21.10 WOBULENZI-ZIROBWE-24h'!J53,'22.10 WOBULENZI-ZIROBWE'!J53,'23.10 WOBULENZI-ZIROBWE'!J53)</f>
        <v>1.1428571428571428</v>
      </c>
      <c r="K53" s="49">
        <f>AVERAGE('17.10 WOBULENZI-ZIROBWE'!K53,'18.10 WOBULENZI-ZIROBWE'!K53,'19.10 WOBULENZI-ZIROBWE-24h'!K53,'20.10 WOBULENZI-ZIROBWE'!K53,'21.10 WOBULENZI-ZIROBWE-24h'!K53,'22.10 WOBULENZI-ZIROBWE'!K53,'23.10 WOBULENZI-ZIROBWE'!K53)</f>
        <v>0</v>
      </c>
      <c r="L53" s="49">
        <f>AVERAGE('17.10 WOBULENZI-ZIROBWE'!L53,'18.10 WOBULENZI-ZIROBWE'!L53,'19.10 WOBULENZI-ZIROBWE-24h'!L53,'20.10 WOBULENZI-ZIROBWE'!L53,'21.10 WOBULENZI-ZIROBWE-24h'!L53,'22.10 WOBULENZI-ZIROBWE'!L53,'23.10 WOBULENZI-ZIROBWE'!L53)</f>
        <v>0</v>
      </c>
      <c r="M53" s="49">
        <f>AVERAGE('17.10 WOBULENZI-ZIROBWE'!M53,'18.10 WOBULENZI-ZIROBWE'!M53,'19.10 WOBULENZI-ZIROBWE-24h'!M53,'20.10 WOBULENZI-ZIROBWE'!M53,'21.10 WOBULENZI-ZIROBWE-24h'!M53,'22.10 WOBULENZI-ZIROBWE'!M53,'23.10 WOBULENZI-ZIROBWE'!M53)</f>
        <v>19</v>
      </c>
      <c r="N53" s="49">
        <f>AVERAGE('17.10 WOBULENZI-ZIROBWE'!N53,'18.10 WOBULENZI-ZIROBWE'!N53,'19.10 WOBULENZI-ZIROBWE-24h'!N53,'20.10 WOBULENZI-ZIROBWE'!N53,'21.10 WOBULENZI-ZIROBWE-24h'!N53,'22.10 WOBULENZI-ZIROBWE'!N53,'23.10 WOBULENZI-ZIROBWE'!N53)</f>
        <v>0</v>
      </c>
      <c r="O53" s="15">
        <f t="shared" si="0"/>
        <v>4.2857142857142847</v>
      </c>
      <c r="P53" s="15">
        <f t="shared" si="1"/>
        <v>23.285714285714285</v>
      </c>
      <c r="R53" s="8"/>
      <c r="T53"/>
    </row>
    <row r="54" spans="2:20" ht="23.1" customHeight="1" x14ac:dyDescent="0.25">
      <c r="B54" s="23" t="s">
        <v>81</v>
      </c>
      <c r="C54" s="49">
        <f>AVERAGE('17.10 WOBULENZI-ZIROBWE'!C54,'18.10 WOBULENZI-ZIROBWE'!C54,'19.10 WOBULENZI-ZIROBWE-24h'!C54,'20.10 WOBULENZI-ZIROBWE'!C54,'21.10 WOBULENZI-ZIROBWE-24h'!C54,'22.10 WOBULENZI-ZIROBWE'!C54,'23.10 WOBULENZI-ZIROBWE'!C54)</f>
        <v>1.4285714285714286</v>
      </c>
      <c r="D54" s="49">
        <f>AVERAGE('17.10 WOBULENZI-ZIROBWE'!D54,'18.10 WOBULENZI-ZIROBWE'!D54,'19.10 WOBULENZI-ZIROBWE-24h'!D54,'20.10 WOBULENZI-ZIROBWE'!D54,'21.10 WOBULENZI-ZIROBWE-24h'!D54,'22.10 WOBULENZI-ZIROBWE'!D54,'23.10 WOBULENZI-ZIROBWE'!D54)</f>
        <v>0.42857142857142855</v>
      </c>
      <c r="E54" s="49">
        <f>AVERAGE('17.10 WOBULENZI-ZIROBWE'!E54,'18.10 WOBULENZI-ZIROBWE'!E54,'19.10 WOBULENZI-ZIROBWE-24h'!E54,'20.10 WOBULENZI-ZIROBWE'!E54,'21.10 WOBULENZI-ZIROBWE-24h'!E54,'22.10 WOBULENZI-ZIROBWE'!E54,'23.10 WOBULENZI-ZIROBWE'!E54)</f>
        <v>0.2857142857142857</v>
      </c>
      <c r="F54" s="49">
        <f>AVERAGE('17.10 WOBULENZI-ZIROBWE'!F54,'18.10 WOBULENZI-ZIROBWE'!F54,'19.10 WOBULENZI-ZIROBWE-24h'!F54,'20.10 WOBULENZI-ZIROBWE'!F54,'21.10 WOBULENZI-ZIROBWE-24h'!F54,'22.10 WOBULENZI-ZIROBWE'!F54,'23.10 WOBULENZI-ZIROBWE'!F54)</f>
        <v>0.42857142857142855</v>
      </c>
      <c r="G54" s="49">
        <f>AVERAGE('17.10 WOBULENZI-ZIROBWE'!G54,'18.10 WOBULENZI-ZIROBWE'!G54,'19.10 WOBULENZI-ZIROBWE-24h'!G54,'20.10 WOBULENZI-ZIROBWE'!G54,'21.10 WOBULENZI-ZIROBWE-24h'!G54,'22.10 WOBULENZI-ZIROBWE'!G54,'23.10 WOBULENZI-ZIROBWE'!G54)</f>
        <v>0.7142857142857143</v>
      </c>
      <c r="H54" s="49">
        <f>AVERAGE('17.10 WOBULENZI-ZIROBWE'!H54,'18.10 WOBULENZI-ZIROBWE'!H54,'19.10 WOBULENZI-ZIROBWE-24h'!H54,'20.10 WOBULENZI-ZIROBWE'!H54,'21.10 WOBULENZI-ZIROBWE-24h'!H54,'22.10 WOBULENZI-ZIROBWE'!H54,'23.10 WOBULENZI-ZIROBWE'!H54)</f>
        <v>0</v>
      </c>
      <c r="I54" s="49">
        <f>AVERAGE('17.10 WOBULENZI-ZIROBWE'!I54,'18.10 WOBULENZI-ZIROBWE'!I54,'19.10 WOBULENZI-ZIROBWE-24h'!I54,'20.10 WOBULENZI-ZIROBWE'!I54,'21.10 WOBULENZI-ZIROBWE-24h'!I54,'22.10 WOBULENZI-ZIROBWE'!I54,'23.10 WOBULENZI-ZIROBWE'!I54)</f>
        <v>0.2857142857142857</v>
      </c>
      <c r="J54" s="49">
        <f>AVERAGE('17.10 WOBULENZI-ZIROBWE'!J54,'18.10 WOBULENZI-ZIROBWE'!J54,'19.10 WOBULENZI-ZIROBWE-24h'!J54,'20.10 WOBULENZI-ZIROBWE'!J54,'21.10 WOBULENZI-ZIROBWE-24h'!J54,'22.10 WOBULENZI-ZIROBWE'!J54,'23.10 WOBULENZI-ZIROBWE'!J54)</f>
        <v>1</v>
      </c>
      <c r="K54" s="49">
        <f>AVERAGE('17.10 WOBULENZI-ZIROBWE'!K54,'18.10 WOBULENZI-ZIROBWE'!K54,'19.10 WOBULENZI-ZIROBWE-24h'!K54,'20.10 WOBULENZI-ZIROBWE'!K54,'21.10 WOBULENZI-ZIROBWE-24h'!K54,'22.10 WOBULENZI-ZIROBWE'!K54,'23.10 WOBULENZI-ZIROBWE'!K54)</f>
        <v>0</v>
      </c>
      <c r="L54" s="49">
        <f>AVERAGE('17.10 WOBULENZI-ZIROBWE'!L54,'18.10 WOBULENZI-ZIROBWE'!L54,'19.10 WOBULENZI-ZIROBWE-24h'!L54,'20.10 WOBULENZI-ZIROBWE'!L54,'21.10 WOBULENZI-ZIROBWE-24h'!L54,'22.10 WOBULENZI-ZIROBWE'!L54,'23.10 WOBULENZI-ZIROBWE'!L54)</f>
        <v>0</v>
      </c>
      <c r="M54" s="49">
        <f>AVERAGE('17.10 WOBULENZI-ZIROBWE'!M54,'18.10 WOBULENZI-ZIROBWE'!M54,'19.10 WOBULENZI-ZIROBWE-24h'!M54,'20.10 WOBULENZI-ZIROBWE'!M54,'21.10 WOBULENZI-ZIROBWE-24h'!M54,'22.10 WOBULENZI-ZIROBWE'!M54,'23.10 WOBULENZI-ZIROBWE'!M54)</f>
        <v>19.142857142857142</v>
      </c>
      <c r="N54" s="49">
        <f>AVERAGE('17.10 WOBULENZI-ZIROBWE'!N54,'18.10 WOBULENZI-ZIROBWE'!N54,'19.10 WOBULENZI-ZIROBWE-24h'!N54,'20.10 WOBULENZI-ZIROBWE'!N54,'21.10 WOBULENZI-ZIROBWE-24h'!N54,'22.10 WOBULENZI-ZIROBWE'!N54,'23.10 WOBULENZI-ZIROBWE'!N54)</f>
        <v>0.14285714285714285</v>
      </c>
      <c r="O54" s="15">
        <f t="shared" si="0"/>
        <v>4.7142857142857144</v>
      </c>
      <c r="P54" s="15">
        <f t="shared" si="1"/>
        <v>23.857142857142858</v>
      </c>
      <c r="R54" s="8"/>
      <c r="T54"/>
    </row>
    <row r="55" spans="2:20" ht="23.1" customHeight="1" x14ac:dyDescent="0.25">
      <c r="B55" s="23" t="s">
        <v>82</v>
      </c>
      <c r="C55" s="49">
        <f>AVERAGE('17.10 WOBULENZI-ZIROBWE'!C55,'18.10 WOBULENZI-ZIROBWE'!C55,'19.10 WOBULENZI-ZIROBWE-24h'!C55,'20.10 WOBULENZI-ZIROBWE'!C55,'21.10 WOBULENZI-ZIROBWE-24h'!C55,'22.10 WOBULENZI-ZIROBWE'!C55,'23.10 WOBULENZI-ZIROBWE'!C55)</f>
        <v>0.5714285714285714</v>
      </c>
      <c r="D55" s="49">
        <f>AVERAGE('17.10 WOBULENZI-ZIROBWE'!D55,'18.10 WOBULENZI-ZIROBWE'!D55,'19.10 WOBULENZI-ZIROBWE-24h'!D55,'20.10 WOBULENZI-ZIROBWE'!D55,'21.10 WOBULENZI-ZIROBWE-24h'!D55,'22.10 WOBULENZI-ZIROBWE'!D55,'23.10 WOBULENZI-ZIROBWE'!D55)</f>
        <v>0.42857142857142855</v>
      </c>
      <c r="E55" s="49">
        <f>AVERAGE('17.10 WOBULENZI-ZIROBWE'!E55,'18.10 WOBULENZI-ZIROBWE'!E55,'19.10 WOBULENZI-ZIROBWE-24h'!E55,'20.10 WOBULENZI-ZIROBWE'!E55,'21.10 WOBULENZI-ZIROBWE-24h'!E55,'22.10 WOBULENZI-ZIROBWE'!E55,'23.10 WOBULENZI-ZIROBWE'!E55)</f>
        <v>1</v>
      </c>
      <c r="F55" s="49">
        <f>AVERAGE('17.10 WOBULENZI-ZIROBWE'!F55,'18.10 WOBULENZI-ZIROBWE'!F55,'19.10 WOBULENZI-ZIROBWE-24h'!F55,'20.10 WOBULENZI-ZIROBWE'!F55,'21.10 WOBULENZI-ZIROBWE-24h'!F55,'22.10 WOBULENZI-ZIROBWE'!F55,'23.10 WOBULENZI-ZIROBWE'!F55)</f>
        <v>0.14285714285714285</v>
      </c>
      <c r="G55" s="49">
        <f>AVERAGE('17.10 WOBULENZI-ZIROBWE'!G55,'18.10 WOBULENZI-ZIROBWE'!G55,'19.10 WOBULENZI-ZIROBWE-24h'!G55,'20.10 WOBULENZI-ZIROBWE'!G55,'21.10 WOBULENZI-ZIROBWE-24h'!G55,'22.10 WOBULENZI-ZIROBWE'!G55,'23.10 WOBULENZI-ZIROBWE'!G55)</f>
        <v>0</v>
      </c>
      <c r="H55" s="49">
        <f>AVERAGE('17.10 WOBULENZI-ZIROBWE'!H55,'18.10 WOBULENZI-ZIROBWE'!H55,'19.10 WOBULENZI-ZIROBWE-24h'!H55,'20.10 WOBULENZI-ZIROBWE'!H55,'21.10 WOBULENZI-ZIROBWE-24h'!H55,'22.10 WOBULENZI-ZIROBWE'!H55,'23.10 WOBULENZI-ZIROBWE'!H55)</f>
        <v>0</v>
      </c>
      <c r="I55" s="49">
        <f>AVERAGE('17.10 WOBULENZI-ZIROBWE'!I55,'18.10 WOBULENZI-ZIROBWE'!I55,'19.10 WOBULENZI-ZIROBWE-24h'!I55,'20.10 WOBULENZI-ZIROBWE'!I55,'21.10 WOBULENZI-ZIROBWE-24h'!I55,'22.10 WOBULENZI-ZIROBWE'!I55,'23.10 WOBULENZI-ZIROBWE'!I55)</f>
        <v>0.7142857142857143</v>
      </c>
      <c r="J55" s="49">
        <f>AVERAGE('17.10 WOBULENZI-ZIROBWE'!J55,'18.10 WOBULENZI-ZIROBWE'!J55,'19.10 WOBULENZI-ZIROBWE-24h'!J55,'20.10 WOBULENZI-ZIROBWE'!J55,'21.10 WOBULENZI-ZIROBWE-24h'!J55,'22.10 WOBULENZI-ZIROBWE'!J55,'23.10 WOBULENZI-ZIROBWE'!J55)</f>
        <v>0.2857142857142857</v>
      </c>
      <c r="K55" s="49">
        <f>AVERAGE('17.10 WOBULENZI-ZIROBWE'!K55,'18.10 WOBULENZI-ZIROBWE'!K55,'19.10 WOBULENZI-ZIROBWE-24h'!K55,'20.10 WOBULENZI-ZIROBWE'!K55,'21.10 WOBULENZI-ZIROBWE-24h'!K55,'22.10 WOBULENZI-ZIROBWE'!K55,'23.10 WOBULENZI-ZIROBWE'!K55)</f>
        <v>0</v>
      </c>
      <c r="L55" s="49">
        <f>AVERAGE('17.10 WOBULENZI-ZIROBWE'!L55,'18.10 WOBULENZI-ZIROBWE'!L55,'19.10 WOBULENZI-ZIROBWE-24h'!L55,'20.10 WOBULENZI-ZIROBWE'!L55,'21.10 WOBULENZI-ZIROBWE-24h'!L55,'22.10 WOBULENZI-ZIROBWE'!L55,'23.10 WOBULENZI-ZIROBWE'!L55)</f>
        <v>0</v>
      </c>
      <c r="M55" s="49">
        <f>AVERAGE('17.10 WOBULENZI-ZIROBWE'!M55,'18.10 WOBULENZI-ZIROBWE'!M55,'19.10 WOBULENZI-ZIROBWE-24h'!M55,'20.10 WOBULENZI-ZIROBWE'!M55,'21.10 WOBULENZI-ZIROBWE-24h'!M55,'22.10 WOBULENZI-ZIROBWE'!M55,'23.10 WOBULENZI-ZIROBWE'!M55)</f>
        <v>20</v>
      </c>
      <c r="N55" s="49">
        <f>AVERAGE('17.10 WOBULENZI-ZIROBWE'!N55,'18.10 WOBULENZI-ZIROBWE'!N55,'19.10 WOBULENZI-ZIROBWE-24h'!N55,'20.10 WOBULENZI-ZIROBWE'!N55,'21.10 WOBULENZI-ZIROBWE-24h'!N55,'22.10 WOBULENZI-ZIROBWE'!N55,'23.10 WOBULENZI-ZIROBWE'!N55)</f>
        <v>0</v>
      </c>
      <c r="O55" s="15">
        <f t="shared" si="0"/>
        <v>3.1428571428571428</v>
      </c>
      <c r="P55" s="15">
        <f t="shared" si="1"/>
        <v>23.142857142857142</v>
      </c>
      <c r="R55" s="8"/>
      <c r="T55"/>
    </row>
    <row r="56" spans="2:20" ht="23.1" customHeight="1" x14ac:dyDescent="0.25">
      <c r="B56" s="23" t="s">
        <v>83</v>
      </c>
      <c r="C56" s="49">
        <f>AVERAGE('17.10 WOBULENZI-ZIROBWE'!C56,'18.10 WOBULENZI-ZIROBWE'!C56,'19.10 WOBULENZI-ZIROBWE-24h'!C56,'20.10 WOBULENZI-ZIROBWE'!C56,'21.10 WOBULENZI-ZIROBWE-24h'!C56,'22.10 WOBULENZI-ZIROBWE'!C56,'23.10 WOBULENZI-ZIROBWE'!C56)</f>
        <v>1.5714285714285714</v>
      </c>
      <c r="D56" s="49">
        <f>AVERAGE('17.10 WOBULENZI-ZIROBWE'!D56,'18.10 WOBULENZI-ZIROBWE'!D56,'19.10 WOBULENZI-ZIROBWE-24h'!D56,'20.10 WOBULENZI-ZIROBWE'!D56,'21.10 WOBULENZI-ZIROBWE-24h'!D56,'22.10 WOBULENZI-ZIROBWE'!D56,'23.10 WOBULENZI-ZIROBWE'!D56)</f>
        <v>0.42857142857142855</v>
      </c>
      <c r="E56" s="49">
        <f>AVERAGE('17.10 WOBULENZI-ZIROBWE'!E56,'18.10 WOBULENZI-ZIROBWE'!E56,'19.10 WOBULENZI-ZIROBWE-24h'!E56,'20.10 WOBULENZI-ZIROBWE'!E56,'21.10 WOBULENZI-ZIROBWE-24h'!E56,'22.10 WOBULENZI-ZIROBWE'!E56,'23.10 WOBULENZI-ZIROBWE'!E56)</f>
        <v>0.2857142857142857</v>
      </c>
      <c r="F56" s="49">
        <f>AVERAGE('17.10 WOBULENZI-ZIROBWE'!F56,'18.10 WOBULENZI-ZIROBWE'!F56,'19.10 WOBULENZI-ZIROBWE-24h'!F56,'20.10 WOBULENZI-ZIROBWE'!F56,'21.10 WOBULENZI-ZIROBWE-24h'!F56,'22.10 WOBULENZI-ZIROBWE'!F56,'23.10 WOBULENZI-ZIROBWE'!F56)</f>
        <v>0.2857142857142857</v>
      </c>
      <c r="G56" s="49">
        <f>AVERAGE('17.10 WOBULENZI-ZIROBWE'!G56,'18.10 WOBULENZI-ZIROBWE'!G56,'19.10 WOBULENZI-ZIROBWE-24h'!G56,'20.10 WOBULENZI-ZIROBWE'!G56,'21.10 WOBULENZI-ZIROBWE-24h'!G56,'22.10 WOBULENZI-ZIROBWE'!G56,'23.10 WOBULENZI-ZIROBWE'!G56)</f>
        <v>0</v>
      </c>
      <c r="H56" s="49">
        <f>AVERAGE('17.10 WOBULENZI-ZIROBWE'!H56,'18.10 WOBULENZI-ZIROBWE'!H56,'19.10 WOBULENZI-ZIROBWE-24h'!H56,'20.10 WOBULENZI-ZIROBWE'!H56,'21.10 WOBULENZI-ZIROBWE-24h'!H56,'22.10 WOBULENZI-ZIROBWE'!H56,'23.10 WOBULENZI-ZIROBWE'!H56)</f>
        <v>0</v>
      </c>
      <c r="I56" s="49">
        <f>AVERAGE('17.10 WOBULENZI-ZIROBWE'!I56,'18.10 WOBULENZI-ZIROBWE'!I56,'19.10 WOBULENZI-ZIROBWE-24h'!I56,'20.10 WOBULENZI-ZIROBWE'!I56,'21.10 WOBULENZI-ZIROBWE-24h'!I56,'22.10 WOBULENZI-ZIROBWE'!I56,'23.10 WOBULENZI-ZIROBWE'!I56)</f>
        <v>0.42857142857142855</v>
      </c>
      <c r="J56" s="49">
        <f>AVERAGE('17.10 WOBULENZI-ZIROBWE'!J56,'18.10 WOBULENZI-ZIROBWE'!J56,'19.10 WOBULENZI-ZIROBWE-24h'!J56,'20.10 WOBULENZI-ZIROBWE'!J56,'21.10 WOBULENZI-ZIROBWE-24h'!J56,'22.10 WOBULENZI-ZIROBWE'!J56,'23.10 WOBULENZI-ZIROBWE'!J56)</f>
        <v>1</v>
      </c>
      <c r="K56" s="49">
        <f>AVERAGE('17.10 WOBULENZI-ZIROBWE'!K56,'18.10 WOBULENZI-ZIROBWE'!K56,'19.10 WOBULENZI-ZIROBWE-24h'!K56,'20.10 WOBULENZI-ZIROBWE'!K56,'21.10 WOBULENZI-ZIROBWE-24h'!K56,'22.10 WOBULENZI-ZIROBWE'!K56,'23.10 WOBULENZI-ZIROBWE'!K56)</f>
        <v>0</v>
      </c>
      <c r="L56" s="49">
        <f>AVERAGE('17.10 WOBULENZI-ZIROBWE'!L56,'18.10 WOBULENZI-ZIROBWE'!L56,'19.10 WOBULENZI-ZIROBWE-24h'!L56,'20.10 WOBULENZI-ZIROBWE'!L56,'21.10 WOBULENZI-ZIROBWE-24h'!L56,'22.10 WOBULENZI-ZIROBWE'!L56,'23.10 WOBULENZI-ZIROBWE'!L56)</f>
        <v>0</v>
      </c>
      <c r="M56" s="49">
        <f>AVERAGE('17.10 WOBULENZI-ZIROBWE'!M56,'18.10 WOBULENZI-ZIROBWE'!M56,'19.10 WOBULENZI-ZIROBWE-24h'!M56,'20.10 WOBULENZI-ZIROBWE'!M56,'21.10 WOBULENZI-ZIROBWE-24h'!M56,'22.10 WOBULENZI-ZIROBWE'!M56,'23.10 WOBULENZI-ZIROBWE'!M56)</f>
        <v>24.571428571428573</v>
      </c>
      <c r="N56" s="49">
        <f>AVERAGE('17.10 WOBULENZI-ZIROBWE'!N56,'18.10 WOBULENZI-ZIROBWE'!N56,'19.10 WOBULENZI-ZIROBWE-24h'!N56,'20.10 WOBULENZI-ZIROBWE'!N56,'21.10 WOBULENZI-ZIROBWE-24h'!N56,'22.10 WOBULENZI-ZIROBWE'!N56,'23.10 WOBULENZI-ZIROBWE'!N56)</f>
        <v>0</v>
      </c>
      <c r="O56" s="15">
        <f t="shared" si="0"/>
        <v>3.9999999999999996</v>
      </c>
      <c r="P56" s="15">
        <f t="shared" si="1"/>
        <v>28.571428571428573</v>
      </c>
      <c r="R56" s="8"/>
      <c r="T56"/>
    </row>
    <row r="57" spans="2:20" ht="23.1" customHeight="1" x14ac:dyDescent="0.25">
      <c r="B57" s="23" t="s">
        <v>84</v>
      </c>
      <c r="C57" s="49">
        <f>AVERAGE('17.10 WOBULENZI-ZIROBWE'!C57,'18.10 WOBULENZI-ZIROBWE'!C57,'19.10 WOBULENZI-ZIROBWE-24h'!C57,'20.10 WOBULENZI-ZIROBWE'!C57,'21.10 WOBULENZI-ZIROBWE-24h'!C57,'22.10 WOBULENZI-ZIROBWE'!C57,'23.10 WOBULENZI-ZIROBWE'!C57)</f>
        <v>0.8571428571428571</v>
      </c>
      <c r="D57" s="49">
        <f>AVERAGE('17.10 WOBULENZI-ZIROBWE'!D57,'18.10 WOBULENZI-ZIROBWE'!D57,'19.10 WOBULENZI-ZIROBWE-24h'!D57,'20.10 WOBULENZI-ZIROBWE'!D57,'21.10 WOBULENZI-ZIROBWE-24h'!D57,'22.10 WOBULENZI-ZIROBWE'!D57,'23.10 WOBULENZI-ZIROBWE'!D57)</f>
        <v>0.42857142857142855</v>
      </c>
      <c r="E57" s="49">
        <f>AVERAGE('17.10 WOBULENZI-ZIROBWE'!E57,'18.10 WOBULENZI-ZIROBWE'!E57,'19.10 WOBULENZI-ZIROBWE-24h'!E57,'20.10 WOBULENZI-ZIROBWE'!E57,'21.10 WOBULENZI-ZIROBWE-24h'!E57,'22.10 WOBULENZI-ZIROBWE'!E57,'23.10 WOBULENZI-ZIROBWE'!E57)</f>
        <v>0.42857142857142855</v>
      </c>
      <c r="F57" s="49">
        <f>AVERAGE('17.10 WOBULENZI-ZIROBWE'!F57,'18.10 WOBULENZI-ZIROBWE'!F57,'19.10 WOBULENZI-ZIROBWE-24h'!F57,'20.10 WOBULENZI-ZIROBWE'!F57,'21.10 WOBULENZI-ZIROBWE-24h'!F57,'22.10 WOBULENZI-ZIROBWE'!F57,'23.10 WOBULENZI-ZIROBWE'!F57)</f>
        <v>1.2857142857142858</v>
      </c>
      <c r="G57" s="49">
        <f>AVERAGE('17.10 WOBULENZI-ZIROBWE'!G57,'18.10 WOBULENZI-ZIROBWE'!G57,'19.10 WOBULENZI-ZIROBWE-24h'!G57,'20.10 WOBULENZI-ZIROBWE'!G57,'21.10 WOBULENZI-ZIROBWE-24h'!G57,'22.10 WOBULENZI-ZIROBWE'!G57,'23.10 WOBULENZI-ZIROBWE'!G57)</f>
        <v>0.2857142857142857</v>
      </c>
      <c r="H57" s="49">
        <f>AVERAGE('17.10 WOBULENZI-ZIROBWE'!H57,'18.10 WOBULENZI-ZIROBWE'!H57,'19.10 WOBULENZI-ZIROBWE-24h'!H57,'20.10 WOBULENZI-ZIROBWE'!H57,'21.10 WOBULENZI-ZIROBWE-24h'!H57,'22.10 WOBULENZI-ZIROBWE'!H57,'23.10 WOBULENZI-ZIROBWE'!H57)</f>
        <v>0</v>
      </c>
      <c r="I57" s="49">
        <f>AVERAGE('17.10 WOBULENZI-ZIROBWE'!I57,'18.10 WOBULENZI-ZIROBWE'!I57,'19.10 WOBULENZI-ZIROBWE-24h'!I57,'20.10 WOBULENZI-ZIROBWE'!I57,'21.10 WOBULENZI-ZIROBWE-24h'!I57,'22.10 WOBULENZI-ZIROBWE'!I57,'23.10 WOBULENZI-ZIROBWE'!I57)</f>
        <v>0.2857142857142857</v>
      </c>
      <c r="J57" s="49">
        <f>AVERAGE('17.10 WOBULENZI-ZIROBWE'!J57,'18.10 WOBULENZI-ZIROBWE'!J57,'19.10 WOBULENZI-ZIROBWE-24h'!J57,'20.10 WOBULENZI-ZIROBWE'!J57,'21.10 WOBULENZI-ZIROBWE-24h'!J57,'22.10 WOBULENZI-ZIROBWE'!J57,'23.10 WOBULENZI-ZIROBWE'!J57)</f>
        <v>0.2857142857142857</v>
      </c>
      <c r="K57" s="49">
        <f>AVERAGE('17.10 WOBULENZI-ZIROBWE'!K57,'18.10 WOBULENZI-ZIROBWE'!K57,'19.10 WOBULENZI-ZIROBWE-24h'!K57,'20.10 WOBULENZI-ZIROBWE'!K57,'21.10 WOBULENZI-ZIROBWE-24h'!K57,'22.10 WOBULENZI-ZIROBWE'!K57,'23.10 WOBULENZI-ZIROBWE'!K57)</f>
        <v>0</v>
      </c>
      <c r="L57" s="49">
        <f>AVERAGE('17.10 WOBULENZI-ZIROBWE'!L57,'18.10 WOBULENZI-ZIROBWE'!L57,'19.10 WOBULENZI-ZIROBWE-24h'!L57,'20.10 WOBULENZI-ZIROBWE'!L57,'21.10 WOBULENZI-ZIROBWE-24h'!L57,'22.10 WOBULENZI-ZIROBWE'!L57,'23.10 WOBULENZI-ZIROBWE'!L57)</f>
        <v>0</v>
      </c>
      <c r="M57" s="49">
        <f>AVERAGE('17.10 WOBULENZI-ZIROBWE'!M57,'18.10 WOBULENZI-ZIROBWE'!M57,'19.10 WOBULENZI-ZIROBWE-24h'!M57,'20.10 WOBULENZI-ZIROBWE'!M57,'21.10 WOBULENZI-ZIROBWE-24h'!M57,'22.10 WOBULENZI-ZIROBWE'!M57,'23.10 WOBULENZI-ZIROBWE'!M57)</f>
        <v>19.857142857142858</v>
      </c>
      <c r="N57" s="49">
        <f>AVERAGE('17.10 WOBULENZI-ZIROBWE'!N57,'18.10 WOBULENZI-ZIROBWE'!N57,'19.10 WOBULENZI-ZIROBWE-24h'!N57,'20.10 WOBULENZI-ZIROBWE'!N57,'21.10 WOBULENZI-ZIROBWE-24h'!N57,'22.10 WOBULENZI-ZIROBWE'!N57,'23.10 WOBULENZI-ZIROBWE'!N57)</f>
        <v>0</v>
      </c>
      <c r="O57" s="15">
        <f t="shared" si="0"/>
        <v>3.8571428571428568</v>
      </c>
      <c r="P57" s="15">
        <f t="shared" si="1"/>
        <v>23.714285714285715</v>
      </c>
      <c r="R57" s="8"/>
      <c r="T57"/>
    </row>
    <row r="58" spans="2:20" ht="23.1" customHeight="1" x14ac:dyDescent="0.25">
      <c r="B58" s="23" t="s">
        <v>99</v>
      </c>
      <c r="C58" s="49">
        <f>AVERAGE('19.10 WOBULENZI-ZIROBWE-24h'!C58,'21.10 WOBULENZI-ZIROBWE-24h'!C58)</f>
        <v>1</v>
      </c>
      <c r="D58" s="49">
        <f>AVERAGE('19.10 WOBULENZI-ZIROBWE-24h'!D58,'21.10 WOBULENZI-ZIROBWE-24h'!D58)</f>
        <v>1</v>
      </c>
      <c r="E58" s="49">
        <f>AVERAGE('19.10 WOBULENZI-ZIROBWE-24h'!E58,'21.10 WOBULENZI-ZIROBWE-24h'!E58)</f>
        <v>0</v>
      </c>
      <c r="F58" s="49">
        <f>AVERAGE('19.10 WOBULENZI-ZIROBWE-24h'!F58,'21.10 WOBULENZI-ZIROBWE-24h'!F58)</f>
        <v>0</v>
      </c>
      <c r="G58" s="49">
        <f>AVERAGE('19.10 WOBULENZI-ZIROBWE-24h'!G58,'21.10 WOBULENZI-ZIROBWE-24h'!G58)</f>
        <v>0</v>
      </c>
      <c r="H58" s="49">
        <f>AVERAGE('19.10 WOBULENZI-ZIROBWE-24h'!H58,'21.10 WOBULENZI-ZIROBWE-24h'!H58)</f>
        <v>0</v>
      </c>
      <c r="I58" s="49">
        <f>AVERAGE('19.10 WOBULENZI-ZIROBWE-24h'!I58,'21.10 WOBULENZI-ZIROBWE-24h'!I58)</f>
        <v>0.5</v>
      </c>
      <c r="J58" s="49">
        <f>AVERAGE('19.10 WOBULENZI-ZIROBWE-24h'!J58,'21.10 WOBULENZI-ZIROBWE-24h'!J58)</f>
        <v>1.5</v>
      </c>
      <c r="K58" s="49">
        <f>AVERAGE('19.10 WOBULENZI-ZIROBWE-24h'!K58,'21.10 WOBULENZI-ZIROBWE-24h'!K58)</f>
        <v>0</v>
      </c>
      <c r="L58" s="49">
        <f>AVERAGE('19.10 WOBULENZI-ZIROBWE-24h'!L58,'21.10 WOBULENZI-ZIROBWE-24h'!L58)</f>
        <v>0</v>
      </c>
      <c r="M58" s="49">
        <f>AVERAGE('19.10 WOBULENZI-ZIROBWE-24h'!M58,'21.10 WOBULENZI-ZIROBWE-24h'!M58)</f>
        <v>18.5</v>
      </c>
      <c r="N58" s="49">
        <f>AVERAGE('19.10 WOBULENZI-ZIROBWE-24h'!N58,'21.10 WOBULENZI-ZIROBWE-24h'!N58)</f>
        <v>0</v>
      </c>
      <c r="O58" s="15">
        <f t="shared" si="0"/>
        <v>4</v>
      </c>
      <c r="P58" s="15">
        <f t="shared" si="1"/>
        <v>22.5</v>
      </c>
      <c r="R58" s="8"/>
      <c r="T58"/>
    </row>
    <row r="59" spans="2:20" ht="23.1" customHeight="1" x14ac:dyDescent="0.25">
      <c r="B59" s="23" t="s">
        <v>100</v>
      </c>
      <c r="C59" s="49">
        <f>AVERAGE('19.10 WOBULENZI-ZIROBWE-24h'!C59,'21.10 WOBULENZI-ZIROBWE-24h'!C59)</f>
        <v>1.5</v>
      </c>
      <c r="D59" s="49">
        <f>AVERAGE('19.10 WOBULENZI-ZIROBWE-24h'!D59,'21.10 WOBULENZI-ZIROBWE-24h'!D59)</f>
        <v>1.5</v>
      </c>
      <c r="E59" s="49">
        <f>AVERAGE('19.10 WOBULENZI-ZIROBWE-24h'!E59,'21.10 WOBULENZI-ZIROBWE-24h'!E59)</f>
        <v>0</v>
      </c>
      <c r="F59" s="49">
        <f>AVERAGE('19.10 WOBULENZI-ZIROBWE-24h'!F59,'21.10 WOBULENZI-ZIROBWE-24h'!F59)</f>
        <v>0</v>
      </c>
      <c r="G59" s="49">
        <f>AVERAGE('19.10 WOBULENZI-ZIROBWE-24h'!G59,'21.10 WOBULENZI-ZIROBWE-24h'!G59)</f>
        <v>0</v>
      </c>
      <c r="H59" s="49">
        <f>AVERAGE('19.10 WOBULENZI-ZIROBWE-24h'!H59,'21.10 WOBULENZI-ZIROBWE-24h'!H59)</f>
        <v>0</v>
      </c>
      <c r="I59" s="49">
        <f>AVERAGE('19.10 WOBULENZI-ZIROBWE-24h'!I59,'21.10 WOBULENZI-ZIROBWE-24h'!I59)</f>
        <v>0</v>
      </c>
      <c r="J59" s="49">
        <f>AVERAGE('19.10 WOBULENZI-ZIROBWE-24h'!J59,'21.10 WOBULENZI-ZIROBWE-24h'!J59)</f>
        <v>0.5</v>
      </c>
      <c r="K59" s="49">
        <f>AVERAGE('19.10 WOBULENZI-ZIROBWE-24h'!K59,'21.10 WOBULENZI-ZIROBWE-24h'!K59)</f>
        <v>0</v>
      </c>
      <c r="L59" s="49">
        <f>AVERAGE('19.10 WOBULENZI-ZIROBWE-24h'!L59,'21.10 WOBULENZI-ZIROBWE-24h'!L59)</f>
        <v>0</v>
      </c>
      <c r="M59" s="49">
        <f>AVERAGE('19.10 WOBULENZI-ZIROBWE-24h'!M59,'21.10 WOBULENZI-ZIROBWE-24h'!M59)</f>
        <v>28</v>
      </c>
      <c r="N59" s="49">
        <f>AVERAGE('19.10 WOBULENZI-ZIROBWE-24h'!N59,'21.10 WOBULENZI-ZIROBWE-24h'!N59)</f>
        <v>0</v>
      </c>
      <c r="O59" s="15">
        <f t="shared" si="0"/>
        <v>3.5</v>
      </c>
      <c r="P59" s="15">
        <f t="shared" si="1"/>
        <v>31.5</v>
      </c>
      <c r="R59" s="8"/>
      <c r="T59"/>
    </row>
    <row r="60" spans="2:20" ht="23.1" customHeight="1" x14ac:dyDescent="0.25">
      <c r="B60" s="23" t="s">
        <v>101</v>
      </c>
      <c r="C60" s="49">
        <f>AVERAGE('19.10 WOBULENZI-ZIROBWE-24h'!C60,'21.10 WOBULENZI-ZIROBWE-24h'!C60)</f>
        <v>1</v>
      </c>
      <c r="D60" s="49">
        <f>AVERAGE('19.10 WOBULENZI-ZIROBWE-24h'!D60,'21.10 WOBULENZI-ZIROBWE-24h'!D60)</f>
        <v>0</v>
      </c>
      <c r="E60" s="49">
        <f>AVERAGE('19.10 WOBULENZI-ZIROBWE-24h'!E60,'21.10 WOBULENZI-ZIROBWE-24h'!E60)</f>
        <v>0</v>
      </c>
      <c r="F60" s="49">
        <f>AVERAGE('19.10 WOBULENZI-ZIROBWE-24h'!F60,'21.10 WOBULENZI-ZIROBWE-24h'!F60)</f>
        <v>0.5</v>
      </c>
      <c r="G60" s="49">
        <f>AVERAGE('19.10 WOBULENZI-ZIROBWE-24h'!G60,'21.10 WOBULENZI-ZIROBWE-24h'!G60)</f>
        <v>0</v>
      </c>
      <c r="H60" s="49">
        <f>AVERAGE('19.10 WOBULENZI-ZIROBWE-24h'!H60,'21.10 WOBULENZI-ZIROBWE-24h'!H60)</f>
        <v>0</v>
      </c>
      <c r="I60" s="49">
        <f>AVERAGE('19.10 WOBULENZI-ZIROBWE-24h'!I60,'21.10 WOBULENZI-ZIROBWE-24h'!I60)</f>
        <v>0</v>
      </c>
      <c r="J60" s="49">
        <f>AVERAGE('19.10 WOBULENZI-ZIROBWE-24h'!J60,'21.10 WOBULENZI-ZIROBWE-24h'!J60)</f>
        <v>1</v>
      </c>
      <c r="K60" s="49">
        <f>AVERAGE('19.10 WOBULENZI-ZIROBWE-24h'!K60,'21.10 WOBULENZI-ZIROBWE-24h'!K60)</f>
        <v>0</v>
      </c>
      <c r="L60" s="49">
        <f>AVERAGE('19.10 WOBULENZI-ZIROBWE-24h'!L60,'21.10 WOBULENZI-ZIROBWE-24h'!L60)</f>
        <v>0</v>
      </c>
      <c r="M60" s="49">
        <f>AVERAGE('19.10 WOBULENZI-ZIROBWE-24h'!M60,'21.10 WOBULENZI-ZIROBWE-24h'!M60)</f>
        <v>28</v>
      </c>
      <c r="N60" s="49">
        <f>AVERAGE('19.10 WOBULENZI-ZIROBWE-24h'!N60,'21.10 WOBULENZI-ZIROBWE-24h'!N60)</f>
        <v>0</v>
      </c>
      <c r="O60" s="15">
        <f t="shared" si="0"/>
        <v>2.5</v>
      </c>
      <c r="P60" s="15">
        <f t="shared" si="1"/>
        <v>30.5</v>
      </c>
      <c r="R60" s="8"/>
      <c r="T60"/>
    </row>
    <row r="61" spans="2:20" ht="23.1" customHeight="1" x14ac:dyDescent="0.25">
      <c r="B61" s="23" t="s">
        <v>102</v>
      </c>
      <c r="C61" s="49">
        <f>AVERAGE('19.10 WOBULENZI-ZIROBWE-24h'!C61,'21.10 WOBULENZI-ZIROBWE-24h'!C61)</f>
        <v>0</v>
      </c>
      <c r="D61" s="49">
        <f>AVERAGE('19.10 WOBULENZI-ZIROBWE-24h'!D61,'21.10 WOBULENZI-ZIROBWE-24h'!D61)</f>
        <v>0</v>
      </c>
      <c r="E61" s="49">
        <f>AVERAGE('19.10 WOBULENZI-ZIROBWE-24h'!E61,'21.10 WOBULENZI-ZIROBWE-24h'!E61)</f>
        <v>0</v>
      </c>
      <c r="F61" s="49">
        <f>AVERAGE('19.10 WOBULENZI-ZIROBWE-24h'!F61,'21.10 WOBULENZI-ZIROBWE-24h'!F61)</f>
        <v>0.5</v>
      </c>
      <c r="G61" s="49">
        <f>AVERAGE('19.10 WOBULENZI-ZIROBWE-24h'!G61,'21.10 WOBULENZI-ZIROBWE-24h'!G61)</f>
        <v>0</v>
      </c>
      <c r="H61" s="49">
        <f>AVERAGE('19.10 WOBULENZI-ZIROBWE-24h'!H61,'21.10 WOBULENZI-ZIROBWE-24h'!H61)</f>
        <v>0</v>
      </c>
      <c r="I61" s="49">
        <f>AVERAGE('19.10 WOBULENZI-ZIROBWE-24h'!I61,'21.10 WOBULENZI-ZIROBWE-24h'!I61)</f>
        <v>0</v>
      </c>
      <c r="J61" s="49">
        <f>AVERAGE('19.10 WOBULENZI-ZIROBWE-24h'!J61,'21.10 WOBULENZI-ZIROBWE-24h'!J61)</f>
        <v>0</v>
      </c>
      <c r="K61" s="49">
        <f>AVERAGE('19.10 WOBULENZI-ZIROBWE-24h'!K61,'21.10 WOBULENZI-ZIROBWE-24h'!K61)</f>
        <v>0</v>
      </c>
      <c r="L61" s="49">
        <f>AVERAGE('19.10 WOBULENZI-ZIROBWE-24h'!L61,'21.10 WOBULENZI-ZIROBWE-24h'!L61)</f>
        <v>0</v>
      </c>
      <c r="M61" s="49">
        <f>AVERAGE('19.10 WOBULENZI-ZIROBWE-24h'!M61,'21.10 WOBULENZI-ZIROBWE-24h'!M61)</f>
        <v>22</v>
      </c>
      <c r="N61" s="49">
        <f>AVERAGE('19.10 WOBULENZI-ZIROBWE-24h'!N61,'21.10 WOBULENZI-ZIROBWE-24h'!N61)</f>
        <v>0</v>
      </c>
      <c r="O61" s="15">
        <f t="shared" si="0"/>
        <v>0.5</v>
      </c>
      <c r="P61" s="15">
        <f t="shared" si="1"/>
        <v>22.5</v>
      </c>
      <c r="R61" s="8"/>
      <c r="T61"/>
    </row>
    <row r="62" spans="2:20" ht="23.1" customHeight="1" x14ac:dyDescent="0.25">
      <c r="B62" s="23" t="s">
        <v>107</v>
      </c>
      <c r="C62" s="49">
        <f>AVERAGE('19.10 WOBULENZI-ZIROBWE-24h'!C62,'21.10 WOBULENZI-ZIROBWE-24h'!C62)</f>
        <v>0.5</v>
      </c>
      <c r="D62" s="49">
        <f>AVERAGE('19.10 WOBULENZI-ZIROBWE-24h'!D62,'21.10 WOBULENZI-ZIROBWE-24h'!D62)</f>
        <v>0</v>
      </c>
      <c r="E62" s="49">
        <f>AVERAGE('19.10 WOBULENZI-ZIROBWE-24h'!E62,'21.10 WOBULENZI-ZIROBWE-24h'!E62)</f>
        <v>0</v>
      </c>
      <c r="F62" s="49">
        <f>AVERAGE('19.10 WOBULENZI-ZIROBWE-24h'!F62,'21.10 WOBULENZI-ZIROBWE-24h'!F62)</f>
        <v>0</v>
      </c>
      <c r="G62" s="49">
        <f>AVERAGE('19.10 WOBULENZI-ZIROBWE-24h'!G62,'21.10 WOBULENZI-ZIROBWE-24h'!G62)</f>
        <v>0</v>
      </c>
      <c r="H62" s="49">
        <f>AVERAGE('19.10 WOBULENZI-ZIROBWE-24h'!H62,'21.10 WOBULENZI-ZIROBWE-24h'!H62)</f>
        <v>0</v>
      </c>
      <c r="I62" s="49">
        <f>AVERAGE('19.10 WOBULENZI-ZIROBWE-24h'!I62,'21.10 WOBULENZI-ZIROBWE-24h'!I62)</f>
        <v>0</v>
      </c>
      <c r="J62" s="49">
        <f>AVERAGE('19.10 WOBULENZI-ZIROBWE-24h'!J62,'21.10 WOBULENZI-ZIROBWE-24h'!J62)</f>
        <v>0</v>
      </c>
      <c r="K62" s="49">
        <f>AVERAGE('19.10 WOBULENZI-ZIROBWE-24h'!K62,'21.10 WOBULENZI-ZIROBWE-24h'!K62)</f>
        <v>0</v>
      </c>
      <c r="L62" s="49">
        <f>AVERAGE('19.10 WOBULENZI-ZIROBWE-24h'!L62,'21.10 WOBULENZI-ZIROBWE-24h'!L62)</f>
        <v>0</v>
      </c>
      <c r="M62" s="49">
        <f>AVERAGE('19.10 WOBULENZI-ZIROBWE-24h'!M62,'21.10 WOBULENZI-ZIROBWE-24h'!M62)</f>
        <v>18</v>
      </c>
      <c r="N62" s="49">
        <f>AVERAGE('19.10 WOBULENZI-ZIROBWE-24h'!N62,'21.10 WOBULENZI-ZIROBWE-24h'!N62)</f>
        <v>0</v>
      </c>
      <c r="O62" s="15">
        <f t="shared" si="0"/>
        <v>0.5</v>
      </c>
      <c r="P62" s="15">
        <f t="shared" si="1"/>
        <v>18.5</v>
      </c>
      <c r="R62" s="8"/>
      <c r="T62"/>
    </row>
    <row r="63" spans="2:20" ht="23.1" customHeight="1" x14ac:dyDescent="0.25">
      <c r="B63" s="23" t="s">
        <v>108</v>
      </c>
      <c r="C63" s="49">
        <f>AVERAGE('19.10 WOBULENZI-ZIROBWE-24h'!C63,'21.10 WOBULENZI-ZIROBWE-24h'!C63)</f>
        <v>2</v>
      </c>
      <c r="D63" s="49">
        <f>AVERAGE('19.10 WOBULENZI-ZIROBWE-24h'!D63,'21.10 WOBULENZI-ZIROBWE-24h'!D63)</f>
        <v>0.5</v>
      </c>
      <c r="E63" s="49">
        <f>AVERAGE('19.10 WOBULENZI-ZIROBWE-24h'!E63,'21.10 WOBULENZI-ZIROBWE-24h'!E63)</f>
        <v>0</v>
      </c>
      <c r="F63" s="49">
        <f>AVERAGE('19.10 WOBULENZI-ZIROBWE-24h'!F63,'21.10 WOBULENZI-ZIROBWE-24h'!F63)</f>
        <v>0</v>
      </c>
      <c r="G63" s="49">
        <f>AVERAGE('19.10 WOBULENZI-ZIROBWE-24h'!G63,'21.10 WOBULENZI-ZIROBWE-24h'!G63)</f>
        <v>0</v>
      </c>
      <c r="H63" s="49">
        <f>AVERAGE('19.10 WOBULENZI-ZIROBWE-24h'!H63,'21.10 WOBULENZI-ZIROBWE-24h'!H63)</f>
        <v>0</v>
      </c>
      <c r="I63" s="49">
        <f>AVERAGE('19.10 WOBULENZI-ZIROBWE-24h'!I63,'21.10 WOBULENZI-ZIROBWE-24h'!I63)</f>
        <v>0</v>
      </c>
      <c r="J63" s="49">
        <f>AVERAGE('19.10 WOBULENZI-ZIROBWE-24h'!J63,'21.10 WOBULENZI-ZIROBWE-24h'!J63)</f>
        <v>0</v>
      </c>
      <c r="K63" s="49">
        <f>AVERAGE('19.10 WOBULENZI-ZIROBWE-24h'!K63,'21.10 WOBULENZI-ZIROBWE-24h'!K63)</f>
        <v>0</v>
      </c>
      <c r="L63" s="49">
        <f>AVERAGE('19.10 WOBULENZI-ZIROBWE-24h'!L63,'21.10 WOBULENZI-ZIROBWE-24h'!L63)</f>
        <v>0</v>
      </c>
      <c r="M63" s="49">
        <f>AVERAGE('19.10 WOBULENZI-ZIROBWE-24h'!M63,'21.10 WOBULENZI-ZIROBWE-24h'!M63)</f>
        <v>27</v>
      </c>
      <c r="N63" s="49">
        <f>AVERAGE('19.10 WOBULENZI-ZIROBWE-24h'!N63,'21.10 WOBULENZI-ZIROBWE-24h'!N63)</f>
        <v>0</v>
      </c>
      <c r="O63" s="15">
        <f t="shared" si="0"/>
        <v>2.5</v>
      </c>
      <c r="P63" s="15">
        <f t="shared" si="1"/>
        <v>29.5</v>
      </c>
      <c r="R63" s="8"/>
      <c r="T63"/>
    </row>
    <row r="64" spans="2:20" ht="23.1" customHeight="1" x14ac:dyDescent="0.25">
      <c r="B64" s="23" t="s">
        <v>109</v>
      </c>
      <c r="C64" s="49">
        <f>AVERAGE('19.10 WOBULENZI-ZIROBWE-24h'!C64,'21.10 WOBULENZI-ZIROBWE-24h'!C64)</f>
        <v>0</v>
      </c>
      <c r="D64" s="49">
        <f>AVERAGE('19.10 WOBULENZI-ZIROBWE-24h'!D64,'21.10 WOBULENZI-ZIROBWE-24h'!D64)</f>
        <v>0</v>
      </c>
      <c r="E64" s="49">
        <f>AVERAGE('19.10 WOBULENZI-ZIROBWE-24h'!E64,'21.10 WOBULENZI-ZIROBWE-24h'!E64)</f>
        <v>0.5</v>
      </c>
      <c r="F64" s="49">
        <f>AVERAGE('19.10 WOBULENZI-ZIROBWE-24h'!F64,'21.10 WOBULENZI-ZIROBWE-24h'!F64)</f>
        <v>0</v>
      </c>
      <c r="G64" s="49">
        <f>AVERAGE('19.10 WOBULENZI-ZIROBWE-24h'!G64,'21.10 WOBULENZI-ZIROBWE-24h'!G64)</f>
        <v>0</v>
      </c>
      <c r="H64" s="49">
        <f>AVERAGE('19.10 WOBULENZI-ZIROBWE-24h'!H64,'21.10 WOBULENZI-ZIROBWE-24h'!H64)</f>
        <v>0</v>
      </c>
      <c r="I64" s="49">
        <f>AVERAGE('19.10 WOBULENZI-ZIROBWE-24h'!I64,'21.10 WOBULENZI-ZIROBWE-24h'!I64)</f>
        <v>0</v>
      </c>
      <c r="J64" s="49">
        <f>AVERAGE('19.10 WOBULENZI-ZIROBWE-24h'!J64,'21.10 WOBULENZI-ZIROBWE-24h'!J64)</f>
        <v>0</v>
      </c>
      <c r="K64" s="49">
        <f>AVERAGE('19.10 WOBULENZI-ZIROBWE-24h'!K64,'21.10 WOBULENZI-ZIROBWE-24h'!K64)</f>
        <v>0</v>
      </c>
      <c r="L64" s="49">
        <f>AVERAGE('19.10 WOBULENZI-ZIROBWE-24h'!L64,'21.10 WOBULENZI-ZIROBWE-24h'!L64)</f>
        <v>0</v>
      </c>
      <c r="M64" s="49">
        <f>AVERAGE('19.10 WOBULENZI-ZIROBWE-24h'!M64,'21.10 WOBULENZI-ZIROBWE-24h'!M64)</f>
        <v>19.5</v>
      </c>
      <c r="N64" s="49">
        <f>AVERAGE('19.10 WOBULENZI-ZIROBWE-24h'!N64,'21.10 WOBULENZI-ZIROBWE-24h'!N64)</f>
        <v>0</v>
      </c>
      <c r="O64" s="15">
        <f t="shared" si="0"/>
        <v>0.5</v>
      </c>
      <c r="P64" s="15">
        <f t="shared" si="1"/>
        <v>20</v>
      </c>
      <c r="R64" s="8"/>
      <c r="T64"/>
    </row>
    <row r="65" spans="2:20" ht="23.1" customHeight="1" x14ac:dyDescent="0.25">
      <c r="B65" s="23" t="s">
        <v>158</v>
      </c>
      <c r="C65" s="49">
        <f>AVERAGE('19.10 WOBULENZI-ZIROBWE-24h'!C65,'21.10 WOBULENZI-ZIROBWE-24h'!C65)</f>
        <v>0</v>
      </c>
      <c r="D65" s="49">
        <f>AVERAGE('19.10 WOBULENZI-ZIROBWE-24h'!D65,'21.10 WOBULENZI-ZIROBWE-24h'!D65)</f>
        <v>0</v>
      </c>
      <c r="E65" s="49">
        <f>AVERAGE('19.10 WOBULENZI-ZIROBWE-24h'!E65,'21.10 WOBULENZI-ZIROBWE-24h'!E65)</f>
        <v>0</v>
      </c>
      <c r="F65" s="49">
        <f>AVERAGE('19.10 WOBULENZI-ZIROBWE-24h'!F65,'21.10 WOBULENZI-ZIROBWE-24h'!F65)</f>
        <v>0</v>
      </c>
      <c r="G65" s="49">
        <f>AVERAGE('19.10 WOBULENZI-ZIROBWE-24h'!G65,'21.10 WOBULENZI-ZIROBWE-24h'!G65)</f>
        <v>0</v>
      </c>
      <c r="H65" s="49">
        <f>AVERAGE('19.10 WOBULENZI-ZIROBWE-24h'!H65,'21.10 WOBULENZI-ZIROBWE-24h'!H65)</f>
        <v>0</v>
      </c>
      <c r="I65" s="49">
        <f>AVERAGE('19.10 WOBULENZI-ZIROBWE-24h'!I65,'21.10 WOBULENZI-ZIROBWE-24h'!I65)</f>
        <v>0</v>
      </c>
      <c r="J65" s="49">
        <f>AVERAGE('19.10 WOBULENZI-ZIROBWE-24h'!J65,'21.10 WOBULENZI-ZIROBWE-24h'!J65)</f>
        <v>0.5</v>
      </c>
      <c r="K65" s="49">
        <f>AVERAGE('19.10 WOBULENZI-ZIROBWE-24h'!K65,'21.10 WOBULENZI-ZIROBWE-24h'!K65)</f>
        <v>0</v>
      </c>
      <c r="L65" s="49">
        <f>AVERAGE('19.10 WOBULENZI-ZIROBWE-24h'!L65,'21.10 WOBULENZI-ZIROBWE-24h'!L65)</f>
        <v>0</v>
      </c>
      <c r="M65" s="49">
        <f>AVERAGE('19.10 WOBULENZI-ZIROBWE-24h'!M65,'21.10 WOBULENZI-ZIROBWE-24h'!M65)</f>
        <v>14.5</v>
      </c>
      <c r="N65" s="49">
        <f>AVERAGE('19.10 WOBULENZI-ZIROBWE-24h'!N65,'21.10 WOBULENZI-ZIROBWE-24h'!N65)</f>
        <v>0</v>
      </c>
      <c r="O65" s="15">
        <f t="shared" si="0"/>
        <v>0.5</v>
      </c>
      <c r="P65" s="15">
        <f t="shared" si="1"/>
        <v>15</v>
      </c>
      <c r="R65" s="8"/>
      <c r="T65"/>
    </row>
    <row r="66" spans="2:20" ht="23.1" customHeight="1" x14ac:dyDescent="0.25">
      <c r="B66" s="23" t="s">
        <v>103</v>
      </c>
      <c r="C66" s="49">
        <f>AVERAGE('19.10 WOBULENZI-ZIROBWE-24h'!C66,'21.10 WOBULENZI-ZIROBWE-24h'!C66)</f>
        <v>0.5</v>
      </c>
      <c r="D66" s="49">
        <f>AVERAGE('19.10 WOBULENZI-ZIROBWE-24h'!D66,'21.10 WOBULENZI-ZIROBWE-24h'!D66)</f>
        <v>0</v>
      </c>
      <c r="E66" s="49">
        <f>AVERAGE('19.10 WOBULENZI-ZIROBWE-24h'!E66,'21.10 WOBULENZI-ZIROBWE-24h'!E66)</f>
        <v>0</v>
      </c>
      <c r="F66" s="49">
        <f>AVERAGE('19.10 WOBULENZI-ZIROBWE-24h'!F66,'21.10 WOBULENZI-ZIROBWE-24h'!F66)</f>
        <v>0</v>
      </c>
      <c r="G66" s="49">
        <f>AVERAGE('19.10 WOBULENZI-ZIROBWE-24h'!G66,'21.10 WOBULENZI-ZIROBWE-24h'!G66)</f>
        <v>0</v>
      </c>
      <c r="H66" s="49">
        <f>AVERAGE('19.10 WOBULENZI-ZIROBWE-24h'!H66,'21.10 WOBULENZI-ZIROBWE-24h'!H66)</f>
        <v>0</v>
      </c>
      <c r="I66" s="49">
        <f>AVERAGE('19.10 WOBULENZI-ZIROBWE-24h'!I66,'21.10 WOBULENZI-ZIROBWE-24h'!I66)</f>
        <v>0</v>
      </c>
      <c r="J66" s="49">
        <f>AVERAGE('19.10 WOBULENZI-ZIROBWE-24h'!J66,'21.10 WOBULENZI-ZIROBWE-24h'!J66)</f>
        <v>0</v>
      </c>
      <c r="K66" s="49">
        <f>AVERAGE('19.10 WOBULENZI-ZIROBWE-24h'!K66,'21.10 WOBULENZI-ZIROBWE-24h'!K66)</f>
        <v>0</v>
      </c>
      <c r="L66" s="49">
        <f>AVERAGE('19.10 WOBULENZI-ZIROBWE-24h'!L66,'21.10 WOBULENZI-ZIROBWE-24h'!L66)</f>
        <v>0</v>
      </c>
      <c r="M66" s="49">
        <f>AVERAGE('19.10 WOBULENZI-ZIROBWE-24h'!M66,'21.10 WOBULENZI-ZIROBWE-24h'!M66)</f>
        <v>8.5</v>
      </c>
      <c r="N66" s="49">
        <f>AVERAGE('19.10 WOBULENZI-ZIROBWE-24h'!N66,'21.10 WOBULENZI-ZIROBWE-24h'!N66)</f>
        <v>0</v>
      </c>
      <c r="O66" s="15">
        <f t="shared" si="0"/>
        <v>0.5</v>
      </c>
      <c r="P66" s="15">
        <f t="shared" si="1"/>
        <v>9</v>
      </c>
      <c r="R66" s="8"/>
      <c r="T66"/>
    </row>
    <row r="67" spans="2:20" ht="23.1" customHeight="1" x14ac:dyDescent="0.25">
      <c r="B67" s="23" t="s">
        <v>104</v>
      </c>
      <c r="C67" s="49">
        <f>AVERAGE('19.10 WOBULENZI-ZIROBWE-24h'!C67,'21.10 WOBULENZI-ZIROBWE-24h'!C67)</f>
        <v>1</v>
      </c>
      <c r="D67" s="49">
        <f>AVERAGE('19.10 WOBULENZI-ZIROBWE-24h'!D67,'21.10 WOBULENZI-ZIROBWE-24h'!D67)</f>
        <v>0</v>
      </c>
      <c r="E67" s="49">
        <f>AVERAGE('19.10 WOBULENZI-ZIROBWE-24h'!E67,'21.10 WOBULENZI-ZIROBWE-24h'!E67)</f>
        <v>0</v>
      </c>
      <c r="F67" s="49">
        <f>AVERAGE('19.10 WOBULENZI-ZIROBWE-24h'!F67,'21.10 WOBULENZI-ZIROBWE-24h'!F67)</f>
        <v>1</v>
      </c>
      <c r="G67" s="49">
        <f>AVERAGE('19.10 WOBULENZI-ZIROBWE-24h'!G67,'21.10 WOBULENZI-ZIROBWE-24h'!G67)</f>
        <v>0</v>
      </c>
      <c r="H67" s="49">
        <f>AVERAGE('19.10 WOBULENZI-ZIROBWE-24h'!H67,'21.10 WOBULENZI-ZIROBWE-24h'!H67)</f>
        <v>0</v>
      </c>
      <c r="I67" s="49">
        <f>AVERAGE('19.10 WOBULENZI-ZIROBWE-24h'!I67,'21.10 WOBULENZI-ZIROBWE-24h'!I67)</f>
        <v>0</v>
      </c>
      <c r="J67" s="49">
        <f>AVERAGE('19.10 WOBULENZI-ZIROBWE-24h'!J67,'21.10 WOBULENZI-ZIROBWE-24h'!J67)</f>
        <v>0</v>
      </c>
      <c r="K67" s="49">
        <f>AVERAGE('19.10 WOBULENZI-ZIROBWE-24h'!K67,'21.10 WOBULENZI-ZIROBWE-24h'!K67)</f>
        <v>0</v>
      </c>
      <c r="L67" s="49">
        <f>AVERAGE('19.10 WOBULENZI-ZIROBWE-24h'!L67,'21.10 WOBULENZI-ZIROBWE-24h'!L67)</f>
        <v>0</v>
      </c>
      <c r="M67" s="49">
        <f>AVERAGE('19.10 WOBULENZI-ZIROBWE-24h'!M67,'21.10 WOBULENZI-ZIROBWE-24h'!M67)</f>
        <v>10</v>
      </c>
      <c r="N67" s="49">
        <f>AVERAGE('19.10 WOBULENZI-ZIROBWE-24h'!N67,'21.10 WOBULENZI-ZIROBWE-24h'!N67)</f>
        <v>0</v>
      </c>
      <c r="O67" s="15">
        <f t="shared" si="0"/>
        <v>2</v>
      </c>
      <c r="P67" s="15">
        <f t="shared" si="1"/>
        <v>12</v>
      </c>
      <c r="R67" s="8"/>
      <c r="T67"/>
    </row>
    <row r="68" spans="2:20" ht="23.1" customHeight="1" x14ac:dyDescent="0.25">
      <c r="B68" s="23" t="s">
        <v>105</v>
      </c>
      <c r="C68" s="49">
        <f>AVERAGE('19.10 WOBULENZI-ZIROBWE-24h'!C68,'21.10 WOBULENZI-ZIROBWE-24h'!C68)</f>
        <v>0</v>
      </c>
      <c r="D68" s="49">
        <f>AVERAGE('19.10 WOBULENZI-ZIROBWE-24h'!D68,'21.10 WOBULENZI-ZIROBWE-24h'!D68)</f>
        <v>0</v>
      </c>
      <c r="E68" s="49">
        <f>AVERAGE('19.10 WOBULENZI-ZIROBWE-24h'!E68,'21.10 WOBULENZI-ZIROBWE-24h'!E68)</f>
        <v>0</v>
      </c>
      <c r="F68" s="49">
        <f>AVERAGE('19.10 WOBULENZI-ZIROBWE-24h'!F68,'21.10 WOBULENZI-ZIROBWE-24h'!F68)</f>
        <v>0.5</v>
      </c>
      <c r="G68" s="49">
        <f>AVERAGE('19.10 WOBULENZI-ZIROBWE-24h'!G68,'21.10 WOBULENZI-ZIROBWE-24h'!G68)</f>
        <v>0</v>
      </c>
      <c r="H68" s="49">
        <f>AVERAGE('19.10 WOBULENZI-ZIROBWE-24h'!H68,'21.10 WOBULENZI-ZIROBWE-24h'!H68)</f>
        <v>0</v>
      </c>
      <c r="I68" s="49">
        <f>AVERAGE('19.10 WOBULENZI-ZIROBWE-24h'!I68,'21.10 WOBULENZI-ZIROBWE-24h'!I68)</f>
        <v>0.5</v>
      </c>
      <c r="J68" s="49">
        <f>AVERAGE('19.10 WOBULENZI-ZIROBWE-24h'!J68,'21.10 WOBULENZI-ZIROBWE-24h'!J68)</f>
        <v>0.5</v>
      </c>
      <c r="K68" s="49">
        <f>AVERAGE('19.10 WOBULENZI-ZIROBWE-24h'!K68,'21.10 WOBULENZI-ZIROBWE-24h'!K68)</f>
        <v>0</v>
      </c>
      <c r="L68" s="49">
        <f>AVERAGE('19.10 WOBULENZI-ZIROBWE-24h'!L68,'21.10 WOBULENZI-ZIROBWE-24h'!L68)</f>
        <v>0</v>
      </c>
      <c r="M68" s="49">
        <f>AVERAGE('19.10 WOBULENZI-ZIROBWE-24h'!M68,'21.10 WOBULENZI-ZIROBWE-24h'!M68)</f>
        <v>9.5</v>
      </c>
      <c r="N68" s="49">
        <f>AVERAGE('19.10 WOBULENZI-ZIROBWE-24h'!N68,'21.10 WOBULENZI-ZIROBWE-24h'!N68)</f>
        <v>0</v>
      </c>
      <c r="O68" s="15">
        <f t="shared" si="0"/>
        <v>1.5</v>
      </c>
      <c r="P68" s="15">
        <f t="shared" si="1"/>
        <v>11</v>
      </c>
      <c r="R68" s="8"/>
      <c r="T68"/>
    </row>
    <row r="69" spans="2:20" ht="23.1" customHeight="1" x14ac:dyDescent="0.25">
      <c r="B69" s="23" t="s">
        <v>106</v>
      </c>
      <c r="C69" s="49">
        <f>AVERAGE('19.10 WOBULENZI-ZIROBWE-24h'!C69,'21.10 WOBULENZI-ZIROBWE-24h'!C69)</f>
        <v>0.5</v>
      </c>
      <c r="D69" s="49">
        <f>AVERAGE('19.10 WOBULENZI-ZIROBWE-24h'!D69,'21.10 WOBULENZI-ZIROBWE-24h'!D69)</f>
        <v>0</v>
      </c>
      <c r="E69" s="49">
        <f>AVERAGE('19.10 WOBULENZI-ZIROBWE-24h'!E69,'21.10 WOBULENZI-ZIROBWE-24h'!E69)</f>
        <v>0</v>
      </c>
      <c r="F69" s="49">
        <f>AVERAGE('19.10 WOBULENZI-ZIROBWE-24h'!F69,'21.10 WOBULENZI-ZIROBWE-24h'!F69)</f>
        <v>0.5</v>
      </c>
      <c r="G69" s="49">
        <f>AVERAGE('19.10 WOBULENZI-ZIROBWE-24h'!G69,'21.10 WOBULENZI-ZIROBWE-24h'!G69)</f>
        <v>0</v>
      </c>
      <c r="H69" s="49">
        <f>AVERAGE('19.10 WOBULENZI-ZIROBWE-24h'!H69,'21.10 WOBULENZI-ZIROBWE-24h'!H69)</f>
        <v>0</v>
      </c>
      <c r="I69" s="49">
        <f>AVERAGE('19.10 WOBULENZI-ZIROBWE-24h'!I69,'21.10 WOBULENZI-ZIROBWE-24h'!I69)</f>
        <v>0</v>
      </c>
      <c r="J69" s="49">
        <f>AVERAGE('19.10 WOBULENZI-ZIROBWE-24h'!J69,'21.10 WOBULENZI-ZIROBWE-24h'!J69)</f>
        <v>0.5</v>
      </c>
      <c r="K69" s="49">
        <f>AVERAGE('19.10 WOBULENZI-ZIROBWE-24h'!K69,'21.10 WOBULENZI-ZIROBWE-24h'!K69)</f>
        <v>0</v>
      </c>
      <c r="L69" s="49">
        <f>AVERAGE('19.10 WOBULENZI-ZIROBWE-24h'!L69,'21.10 WOBULENZI-ZIROBWE-24h'!L69)</f>
        <v>0</v>
      </c>
      <c r="M69" s="49">
        <f>AVERAGE('19.10 WOBULENZI-ZIROBWE-24h'!M69,'21.10 WOBULENZI-ZIROBWE-24h'!M69)</f>
        <v>7</v>
      </c>
      <c r="N69" s="49">
        <f>AVERAGE('19.10 WOBULENZI-ZIROBWE-24h'!N69,'21.10 WOBULENZI-ZIROBWE-24h'!N69)</f>
        <v>0</v>
      </c>
      <c r="O69" s="15">
        <f t="shared" si="0"/>
        <v>1.5</v>
      </c>
      <c r="P69" s="15">
        <f t="shared" si="1"/>
        <v>8.5</v>
      </c>
      <c r="R69" s="8"/>
      <c r="T69"/>
    </row>
    <row r="70" spans="2:20" ht="23.1" customHeight="1" x14ac:dyDescent="0.25">
      <c r="B70" s="23" t="s">
        <v>110</v>
      </c>
      <c r="C70" s="49">
        <f>AVERAGE('19.10 WOBULENZI-ZIROBWE-24h'!C70,'21.10 WOBULENZI-ZIROBWE-24h'!C70)</f>
        <v>0</v>
      </c>
      <c r="D70" s="49">
        <f>AVERAGE('19.10 WOBULENZI-ZIROBWE-24h'!D70,'21.10 WOBULENZI-ZIROBWE-24h'!D70)</f>
        <v>0</v>
      </c>
      <c r="E70" s="49">
        <f>AVERAGE('19.10 WOBULENZI-ZIROBWE-24h'!E70,'21.10 WOBULENZI-ZIROBWE-24h'!E70)</f>
        <v>0</v>
      </c>
      <c r="F70" s="49">
        <f>AVERAGE('19.10 WOBULENZI-ZIROBWE-24h'!F70,'21.10 WOBULENZI-ZIROBWE-24h'!F70)</f>
        <v>0</v>
      </c>
      <c r="G70" s="49">
        <f>AVERAGE('19.10 WOBULENZI-ZIROBWE-24h'!G70,'21.10 WOBULENZI-ZIROBWE-24h'!G70)</f>
        <v>0</v>
      </c>
      <c r="H70" s="49">
        <f>AVERAGE('19.10 WOBULENZI-ZIROBWE-24h'!H70,'21.10 WOBULENZI-ZIROBWE-24h'!H70)</f>
        <v>0</v>
      </c>
      <c r="I70" s="49">
        <f>AVERAGE('19.10 WOBULENZI-ZIROBWE-24h'!I70,'21.10 WOBULENZI-ZIROBWE-24h'!I70)</f>
        <v>0.5</v>
      </c>
      <c r="J70" s="49">
        <f>AVERAGE('19.10 WOBULENZI-ZIROBWE-24h'!J70,'21.10 WOBULENZI-ZIROBWE-24h'!J70)</f>
        <v>0</v>
      </c>
      <c r="K70" s="49">
        <f>AVERAGE('19.10 WOBULENZI-ZIROBWE-24h'!K70,'21.10 WOBULENZI-ZIROBWE-24h'!K70)</f>
        <v>0</v>
      </c>
      <c r="L70" s="49">
        <f>AVERAGE('19.10 WOBULENZI-ZIROBWE-24h'!L70,'21.10 WOBULENZI-ZIROBWE-24h'!L70)</f>
        <v>0</v>
      </c>
      <c r="M70" s="49">
        <f>AVERAGE('19.10 WOBULENZI-ZIROBWE-24h'!M70,'21.10 WOBULENZI-ZIROBWE-24h'!M70)</f>
        <v>6.5</v>
      </c>
      <c r="N70" s="49">
        <f>AVERAGE('19.10 WOBULENZI-ZIROBWE-24h'!N70,'21.10 WOBULENZI-ZIROBWE-24h'!N70)</f>
        <v>0</v>
      </c>
      <c r="O70" s="15">
        <f t="shared" si="0"/>
        <v>0.5</v>
      </c>
      <c r="P70" s="15">
        <f t="shared" si="1"/>
        <v>7</v>
      </c>
      <c r="R70" s="8"/>
      <c r="T70"/>
    </row>
    <row r="71" spans="2:20" ht="23.1" customHeight="1" x14ac:dyDescent="0.25">
      <c r="B71" s="23" t="s">
        <v>111</v>
      </c>
      <c r="C71" s="49">
        <f>AVERAGE('19.10 WOBULENZI-ZIROBWE-24h'!C71,'21.10 WOBULENZI-ZIROBWE-24h'!C71)</f>
        <v>0</v>
      </c>
      <c r="D71" s="49">
        <f>AVERAGE('19.10 WOBULENZI-ZIROBWE-24h'!D71,'21.10 WOBULENZI-ZIROBWE-24h'!D71)</f>
        <v>0</v>
      </c>
      <c r="E71" s="49">
        <f>AVERAGE('19.10 WOBULENZI-ZIROBWE-24h'!E71,'21.10 WOBULENZI-ZIROBWE-24h'!E71)</f>
        <v>0.5</v>
      </c>
      <c r="F71" s="49">
        <f>AVERAGE('19.10 WOBULENZI-ZIROBWE-24h'!F71,'21.10 WOBULENZI-ZIROBWE-24h'!F71)</f>
        <v>0</v>
      </c>
      <c r="G71" s="49">
        <f>AVERAGE('19.10 WOBULENZI-ZIROBWE-24h'!G71,'21.10 WOBULENZI-ZIROBWE-24h'!G71)</f>
        <v>0</v>
      </c>
      <c r="H71" s="49">
        <f>AVERAGE('19.10 WOBULENZI-ZIROBWE-24h'!H71,'21.10 WOBULENZI-ZIROBWE-24h'!H71)</f>
        <v>0</v>
      </c>
      <c r="I71" s="49">
        <f>AVERAGE('19.10 WOBULENZI-ZIROBWE-24h'!I71,'21.10 WOBULENZI-ZIROBWE-24h'!I71)</f>
        <v>0</v>
      </c>
      <c r="J71" s="49">
        <f>AVERAGE('19.10 WOBULENZI-ZIROBWE-24h'!J71,'21.10 WOBULENZI-ZIROBWE-24h'!J71)</f>
        <v>0.5</v>
      </c>
      <c r="K71" s="49">
        <f>AVERAGE('19.10 WOBULENZI-ZIROBWE-24h'!K71,'21.10 WOBULENZI-ZIROBWE-24h'!K71)</f>
        <v>0</v>
      </c>
      <c r="L71" s="49">
        <f>AVERAGE('19.10 WOBULENZI-ZIROBWE-24h'!L71,'21.10 WOBULENZI-ZIROBWE-24h'!L71)</f>
        <v>0</v>
      </c>
      <c r="M71" s="49">
        <f>AVERAGE('19.10 WOBULENZI-ZIROBWE-24h'!M71,'21.10 WOBULENZI-ZIROBWE-24h'!M71)</f>
        <v>4</v>
      </c>
      <c r="N71" s="49">
        <f>AVERAGE('19.10 WOBULENZI-ZIROBWE-24h'!N71,'21.10 WOBULENZI-ZIROBWE-24h'!N71)</f>
        <v>0</v>
      </c>
      <c r="O71" s="15">
        <f t="shared" si="0"/>
        <v>1</v>
      </c>
      <c r="P71" s="15">
        <f t="shared" si="1"/>
        <v>5</v>
      </c>
      <c r="R71" s="8"/>
      <c r="T71"/>
    </row>
    <row r="72" spans="2:20" ht="23.1" customHeight="1" x14ac:dyDescent="0.25">
      <c r="B72" s="23" t="s">
        <v>112</v>
      </c>
      <c r="C72" s="49">
        <f>AVERAGE('19.10 WOBULENZI-ZIROBWE-24h'!C72,'21.10 WOBULENZI-ZIROBWE-24h'!C72)</f>
        <v>0.5</v>
      </c>
      <c r="D72" s="49">
        <f>AVERAGE('19.10 WOBULENZI-ZIROBWE-24h'!D72,'21.10 WOBULENZI-ZIROBWE-24h'!D72)</f>
        <v>0</v>
      </c>
      <c r="E72" s="49">
        <f>AVERAGE('19.10 WOBULENZI-ZIROBWE-24h'!E72,'21.10 WOBULENZI-ZIROBWE-24h'!E72)</f>
        <v>0</v>
      </c>
      <c r="F72" s="49">
        <f>AVERAGE('19.10 WOBULENZI-ZIROBWE-24h'!F72,'21.10 WOBULENZI-ZIROBWE-24h'!F72)</f>
        <v>0</v>
      </c>
      <c r="G72" s="49">
        <f>AVERAGE('19.10 WOBULENZI-ZIROBWE-24h'!G72,'21.10 WOBULENZI-ZIROBWE-24h'!G72)</f>
        <v>0</v>
      </c>
      <c r="H72" s="49">
        <f>AVERAGE('19.10 WOBULENZI-ZIROBWE-24h'!H72,'21.10 WOBULENZI-ZIROBWE-24h'!H72)</f>
        <v>0</v>
      </c>
      <c r="I72" s="49">
        <f>AVERAGE('19.10 WOBULENZI-ZIROBWE-24h'!I72,'21.10 WOBULENZI-ZIROBWE-24h'!I72)</f>
        <v>0</v>
      </c>
      <c r="J72" s="49">
        <f>AVERAGE('19.10 WOBULENZI-ZIROBWE-24h'!J72,'21.10 WOBULENZI-ZIROBWE-24h'!J72)</f>
        <v>0.5</v>
      </c>
      <c r="K72" s="49">
        <f>AVERAGE('19.10 WOBULENZI-ZIROBWE-24h'!K72,'21.10 WOBULENZI-ZIROBWE-24h'!K72)</f>
        <v>0</v>
      </c>
      <c r="L72" s="49">
        <f>AVERAGE('19.10 WOBULENZI-ZIROBWE-24h'!L72,'21.10 WOBULENZI-ZIROBWE-24h'!L72)</f>
        <v>0</v>
      </c>
      <c r="M72" s="49">
        <f>AVERAGE('19.10 WOBULENZI-ZIROBWE-24h'!M72,'21.10 WOBULENZI-ZIROBWE-24h'!M72)</f>
        <v>3.5</v>
      </c>
      <c r="N72" s="49">
        <f>AVERAGE('19.10 WOBULENZI-ZIROBWE-24h'!N72,'21.10 WOBULENZI-ZIROBWE-24h'!N72)</f>
        <v>0</v>
      </c>
      <c r="O72" s="15">
        <f t="shared" si="0"/>
        <v>1</v>
      </c>
      <c r="P72" s="15">
        <f t="shared" si="1"/>
        <v>4.5</v>
      </c>
      <c r="R72" s="8"/>
      <c r="T72"/>
    </row>
    <row r="73" spans="2:20" ht="23.1" customHeight="1" x14ac:dyDescent="0.25">
      <c r="B73" s="23" t="s">
        <v>113</v>
      </c>
      <c r="C73" s="49">
        <f>AVERAGE('19.10 WOBULENZI-ZIROBWE-24h'!C73,'21.10 WOBULENZI-ZIROBWE-24h'!C73)</f>
        <v>0.5</v>
      </c>
      <c r="D73" s="49">
        <f>AVERAGE('19.10 WOBULENZI-ZIROBWE-24h'!D73,'21.10 WOBULENZI-ZIROBWE-24h'!D73)</f>
        <v>0</v>
      </c>
      <c r="E73" s="49">
        <f>AVERAGE('19.10 WOBULENZI-ZIROBWE-24h'!E73,'21.10 WOBULENZI-ZIROBWE-24h'!E73)</f>
        <v>0</v>
      </c>
      <c r="F73" s="49">
        <f>AVERAGE('19.10 WOBULENZI-ZIROBWE-24h'!F73,'21.10 WOBULENZI-ZIROBWE-24h'!F73)</f>
        <v>0</v>
      </c>
      <c r="G73" s="49">
        <f>AVERAGE('19.10 WOBULENZI-ZIROBWE-24h'!G73,'21.10 WOBULENZI-ZIROBWE-24h'!G73)</f>
        <v>0</v>
      </c>
      <c r="H73" s="49">
        <f>AVERAGE('19.10 WOBULENZI-ZIROBWE-24h'!H73,'21.10 WOBULENZI-ZIROBWE-24h'!H73)</f>
        <v>0</v>
      </c>
      <c r="I73" s="49">
        <f>AVERAGE('19.10 WOBULENZI-ZIROBWE-24h'!I73,'21.10 WOBULENZI-ZIROBWE-24h'!I73)</f>
        <v>0</v>
      </c>
      <c r="J73" s="49">
        <f>AVERAGE('19.10 WOBULENZI-ZIROBWE-24h'!J73,'21.10 WOBULENZI-ZIROBWE-24h'!J73)</f>
        <v>0</v>
      </c>
      <c r="K73" s="49">
        <f>AVERAGE('19.10 WOBULENZI-ZIROBWE-24h'!K73,'21.10 WOBULENZI-ZIROBWE-24h'!K73)</f>
        <v>0</v>
      </c>
      <c r="L73" s="49">
        <f>AVERAGE('19.10 WOBULENZI-ZIROBWE-24h'!L73,'21.10 WOBULENZI-ZIROBWE-24h'!L73)</f>
        <v>0</v>
      </c>
      <c r="M73" s="49">
        <f>AVERAGE('19.10 WOBULENZI-ZIROBWE-24h'!M73,'21.10 WOBULENZI-ZIROBWE-24h'!M73)</f>
        <v>3.5</v>
      </c>
      <c r="N73" s="49">
        <f>AVERAGE('19.10 WOBULENZI-ZIROBWE-24h'!N73,'21.10 WOBULENZI-ZIROBWE-24h'!N73)</f>
        <v>0</v>
      </c>
      <c r="O73" s="15">
        <f t="shared" si="0"/>
        <v>0.5</v>
      </c>
      <c r="P73" s="15">
        <f t="shared" si="1"/>
        <v>4</v>
      </c>
      <c r="R73" s="8"/>
      <c r="T73"/>
    </row>
    <row r="74" spans="2:20" ht="23.1" customHeight="1" x14ac:dyDescent="0.25">
      <c r="B74" s="23" t="s">
        <v>114</v>
      </c>
      <c r="C74" s="49">
        <f>AVERAGE('19.10 WOBULENZI-ZIROBWE-24h'!C74,'21.10 WOBULENZI-ZIROBWE-24h'!C74)</f>
        <v>0</v>
      </c>
      <c r="D74" s="49">
        <f>AVERAGE('19.10 WOBULENZI-ZIROBWE-24h'!D74,'21.10 WOBULENZI-ZIROBWE-24h'!D74)</f>
        <v>0</v>
      </c>
      <c r="E74" s="49">
        <f>AVERAGE('19.10 WOBULENZI-ZIROBWE-24h'!E74,'21.10 WOBULENZI-ZIROBWE-24h'!E74)</f>
        <v>0</v>
      </c>
      <c r="F74" s="49">
        <f>AVERAGE('19.10 WOBULENZI-ZIROBWE-24h'!F74,'21.10 WOBULENZI-ZIROBWE-24h'!F74)</f>
        <v>0.5</v>
      </c>
      <c r="G74" s="49">
        <f>AVERAGE('19.10 WOBULENZI-ZIROBWE-24h'!G74,'21.10 WOBULENZI-ZIROBWE-24h'!G74)</f>
        <v>0</v>
      </c>
      <c r="H74" s="49">
        <f>AVERAGE('19.10 WOBULENZI-ZIROBWE-24h'!H74,'21.10 WOBULENZI-ZIROBWE-24h'!H74)</f>
        <v>0</v>
      </c>
      <c r="I74" s="49">
        <f>AVERAGE('19.10 WOBULENZI-ZIROBWE-24h'!I74,'21.10 WOBULENZI-ZIROBWE-24h'!I74)</f>
        <v>0</v>
      </c>
      <c r="J74" s="49">
        <f>AVERAGE('19.10 WOBULENZI-ZIROBWE-24h'!J74,'21.10 WOBULENZI-ZIROBWE-24h'!J74)</f>
        <v>0</v>
      </c>
      <c r="K74" s="49">
        <f>AVERAGE('19.10 WOBULENZI-ZIROBWE-24h'!K74,'21.10 WOBULENZI-ZIROBWE-24h'!K74)</f>
        <v>0</v>
      </c>
      <c r="L74" s="49">
        <f>AVERAGE('19.10 WOBULENZI-ZIROBWE-24h'!L74,'21.10 WOBULENZI-ZIROBWE-24h'!L74)</f>
        <v>0</v>
      </c>
      <c r="M74" s="49">
        <f>AVERAGE('19.10 WOBULENZI-ZIROBWE-24h'!M74,'21.10 WOBULENZI-ZIROBWE-24h'!M74)</f>
        <v>4</v>
      </c>
      <c r="N74" s="49">
        <f>AVERAGE('19.10 WOBULENZI-ZIROBWE-24h'!N74,'21.10 WOBULENZI-ZIROBWE-24h'!N74)</f>
        <v>0</v>
      </c>
      <c r="O74" s="15">
        <f t="shared" ref="O74:O105" si="35">SUM(C74:L74,N74)</f>
        <v>0.5</v>
      </c>
      <c r="P74" s="15">
        <f t="shared" ref="P74:P105" si="36">SUM(C74:N74)</f>
        <v>4.5</v>
      </c>
      <c r="R74" s="8"/>
      <c r="T74"/>
    </row>
    <row r="75" spans="2:20" ht="23.1" customHeight="1" x14ac:dyDescent="0.25">
      <c r="B75" s="23" t="s">
        <v>115</v>
      </c>
      <c r="C75" s="49">
        <f>AVERAGE('19.10 WOBULENZI-ZIROBWE-24h'!C75,'21.10 WOBULENZI-ZIROBWE-24h'!C75)</f>
        <v>0</v>
      </c>
      <c r="D75" s="49">
        <f>AVERAGE('19.10 WOBULENZI-ZIROBWE-24h'!D75,'21.10 WOBULENZI-ZIROBWE-24h'!D75)</f>
        <v>0</v>
      </c>
      <c r="E75" s="49">
        <f>AVERAGE('19.10 WOBULENZI-ZIROBWE-24h'!E75,'21.10 WOBULENZI-ZIROBWE-24h'!E75)</f>
        <v>0</v>
      </c>
      <c r="F75" s="49">
        <f>AVERAGE('19.10 WOBULENZI-ZIROBWE-24h'!F75,'21.10 WOBULENZI-ZIROBWE-24h'!F75)</f>
        <v>0</v>
      </c>
      <c r="G75" s="49">
        <f>AVERAGE('19.10 WOBULENZI-ZIROBWE-24h'!G75,'21.10 WOBULENZI-ZIROBWE-24h'!G75)</f>
        <v>0</v>
      </c>
      <c r="H75" s="49">
        <f>AVERAGE('19.10 WOBULENZI-ZIROBWE-24h'!H75,'21.10 WOBULENZI-ZIROBWE-24h'!H75)</f>
        <v>0</v>
      </c>
      <c r="I75" s="49">
        <f>AVERAGE('19.10 WOBULENZI-ZIROBWE-24h'!I75,'21.10 WOBULENZI-ZIROBWE-24h'!I75)</f>
        <v>0</v>
      </c>
      <c r="J75" s="49">
        <f>AVERAGE('19.10 WOBULENZI-ZIROBWE-24h'!J75,'21.10 WOBULENZI-ZIROBWE-24h'!J75)</f>
        <v>0</v>
      </c>
      <c r="K75" s="49">
        <f>AVERAGE('19.10 WOBULENZI-ZIROBWE-24h'!K75,'21.10 WOBULENZI-ZIROBWE-24h'!K75)</f>
        <v>0</v>
      </c>
      <c r="L75" s="49">
        <f>AVERAGE('19.10 WOBULENZI-ZIROBWE-24h'!L75,'21.10 WOBULENZI-ZIROBWE-24h'!L75)</f>
        <v>0</v>
      </c>
      <c r="M75" s="49">
        <f>AVERAGE('19.10 WOBULENZI-ZIROBWE-24h'!M75,'21.10 WOBULENZI-ZIROBWE-24h'!M75)</f>
        <v>1.5</v>
      </c>
      <c r="N75" s="49">
        <f>AVERAGE('19.10 WOBULENZI-ZIROBWE-24h'!N75,'21.10 WOBULENZI-ZIROBWE-24h'!N75)</f>
        <v>0</v>
      </c>
      <c r="O75" s="15">
        <f t="shared" si="35"/>
        <v>0</v>
      </c>
      <c r="P75" s="15">
        <f t="shared" si="36"/>
        <v>1.5</v>
      </c>
      <c r="R75" s="8"/>
      <c r="T75"/>
    </row>
    <row r="76" spans="2:20" ht="23.1" customHeight="1" x14ac:dyDescent="0.25">
      <c r="B76" s="23" t="s">
        <v>116</v>
      </c>
      <c r="C76" s="49">
        <f>AVERAGE('19.10 WOBULENZI-ZIROBWE-24h'!C76,'21.10 WOBULENZI-ZIROBWE-24h'!C76)</f>
        <v>0</v>
      </c>
      <c r="D76" s="49">
        <f>AVERAGE('19.10 WOBULENZI-ZIROBWE-24h'!D76,'21.10 WOBULENZI-ZIROBWE-24h'!D76)</f>
        <v>0</v>
      </c>
      <c r="E76" s="49">
        <f>AVERAGE('19.10 WOBULENZI-ZIROBWE-24h'!E76,'21.10 WOBULENZI-ZIROBWE-24h'!E76)</f>
        <v>0</v>
      </c>
      <c r="F76" s="49">
        <f>AVERAGE('19.10 WOBULENZI-ZIROBWE-24h'!F76,'21.10 WOBULENZI-ZIROBWE-24h'!F76)</f>
        <v>1</v>
      </c>
      <c r="G76" s="49">
        <f>AVERAGE('19.10 WOBULENZI-ZIROBWE-24h'!G76,'21.10 WOBULENZI-ZIROBWE-24h'!G76)</f>
        <v>0</v>
      </c>
      <c r="H76" s="49">
        <f>AVERAGE('19.10 WOBULENZI-ZIROBWE-24h'!H76,'21.10 WOBULENZI-ZIROBWE-24h'!H76)</f>
        <v>0</v>
      </c>
      <c r="I76" s="49">
        <f>AVERAGE('19.10 WOBULENZI-ZIROBWE-24h'!I76,'21.10 WOBULENZI-ZIROBWE-24h'!I76)</f>
        <v>0</v>
      </c>
      <c r="J76" s="49">
        <f>AVERAGE('19.10 WOBULENZI-ZIROBWE-24h'!J76,'21.10 WOBULENZI-ZIROBWE-24h'!J76)</f>
        <v>0</v>
      </c>
      <c r="K76" s="49">
        <f>AVERAGE('19.10 WOBULENZI-ZIROBWE-24h'!K76,'21.10 WOBULENZI-ZIROBWE-24h'!K76)</f>
        <v>0</v>
      </c>
      <c r="L76" s="49">
        <f>AVERAGE('19.10 WOBULENZI-ZIROBWE-24h'!L76,'21.10 WOBULENZI-ZIROBWE-24h'!L76)</f>
        <v>0</v>
      </c>
      <c r="M76" s="49">
        <f>AVERAGE('19.10 WOBULENZI-ZIROBWE-24h'!M76,'21.10 WOBULENZI-ZIROBWE-24h'!M76)</f>
        <v>1.5</v>
      </c>
      <c r="N76" s="49">
        <f>AVERAGE('19.10 WOBULENZI-ZIROBWE-24h'!N76,'21.10 WOBULENZI-ZIROBWE-24h'!N76)</f>
        <v>0</v>
      </c>
      <c r="O76" s="15">
        <f t="shared" si="35"/>
        <v>1</v>
      </c>
      <c r="P76" s="15">
        <f t="shared" si="36"/>
        <v>2.5</v>
      </c>
      <c r="R76" s="8"/>
      <c r="T76"/>
    </row>
    <row r="77" spans="2:20" ht="23.1" customHeight="1" x14ac:dyDescent="0.25">
      <c r="B77" s="23" t="s">
        <v>117</v>
      </c>
      <c r="C77" s="49">
        <f>AVERAGE('19.10 WOBULENZI-ZIROBWE-24h'!C77,'21.10 WOBULENZI-ZIROBWE-24h'!C77)</f>
        <v>0</v>
      </c>
      <c r="D77" s="49">
        <f>AVERAGE('19.10 WOBULENZI-ZIROBWE-24h'!D77,'21.10 WOBULENZI-ZIROBWE-24h'!D77)</f>
        <v>0</v>
      </c>
      <c r="E77" s="49">
        <f>AVERAGE('19.10 WOBULENZI-ZIROBWE-24h'!E77,'21.10 WOBULENZI-ZIROBWE-24h'!E77)</f>
        <v>0</v>
      </c>
      <c r="F77" s="49">
        <f>AVERAGE('19.10 WOBULENZI-ZIROBWE-24h'!F77,'21.10 WOBULENZI-ZIROBWE-24h'!F77)</f>
        <v>0</v>
      </c>
      <c r="G77" s="49">
        <f>AVERAGE('19.10 WOBULENZI-ZIROBWE-24h'!G77,'21.10 WOBULENZI-ZIROBWE-24h'!G77)</f>
        <v>0</v>
      </c>
      <c r="H77" s="49">
        <f>AVERAGE('19.10 WOBULENZI-ZIROBWE-24h'!H77,'21.10 WOBULENZI-ZIROBWE-24h'!H77)</f>
        <v>0</v>
      </c>
      <c r="I77" s="49">
        <f>AVERAGE('19.10 WOBULENZI-ZIROBWE-24h'!I77,'21.10 WOBULENZI-ZIROBWE-24h'!I77)</f>
        <v>0</v>
      </c>
      <c r="J77" s="49">
        <f>AVERAGE('19.10 WOBULENZI-ZIROBWE-24h'!J77,'21.10 WOBULENZI-ZIROBWE-24h'!J77)</f>
        <v>0.5</v>
      </c>
      <c r="K77" s="49">
        <f>AVERAGE('19.10 WOBULENZI-ZIROBWE-24h'!K77,'21.10 WOBULENZI-ZIROBWE-24h'!K77)</f>
        <v>0</v>
      </c>
      <c r="L77" s="49">
        <f>AVERAGE('19.10 WOBULENZI-ZIROBWE-24h'!L77,'21.10 WOBULENZI-ZIROBWE-24h'!L77)</f>
        <v>0</v>
      </c>
      <c r="M77" s="49">
        <f>AVERAGE('19.10 WOBULENZI-ZIROBWE-24h'!M77,'21.10 WOBULENZI-ZIROBWE-24h'!M77)</f>
        <v>1</v>
      </c>
      <c r="N77" s="49">
        <f>AVERAGE('19.10 WOBULENZI-ZIROBWE-24h'!N77,'21.10 WOBULENZI-ZIROBWE-24h'!N77)</f>
        <v>0</v>
      </c>
      <c r="O77" s="15">
        <f t="shared" si="35"/>
        <v>0.5</v>
      </c>
      <c r="P77" s="15">
        <f t="shared" si="36"/>
        <v>1.5</v>
      </c>
      <c r="R77" s="8"/>
      <c r="T77"/>
    </row>
    <row r="78" spans="2:20" ht="23.1" customHeight="1" x14ac:dyDescent="0.25">
      <c r="B78" s="24" t="s">
        <v>118</v>
      </c>
      <c r="C78" s="49">
        <f>AVERAGE('19.10 WOBULENZI-ZIROBWE-24h'!C78,'21.10 WOBULENZI-ZIROBWE-24h'!C78)</f>
        <v>0.5</v>
      </c>
      <c r="D78" s="49">
        <f>AVERAGE('19.10 WOBULENZI-ZIROBWE-24h'!D78,'21.10 WOBULENZI-ZIROBWE-24h'!D78)</f>
        <v>0</v>
      </c>
      <c r="E78" s="49">
        <f>AVERAGE('19.10 WOBULENZI-ZIROBWE-24h'!E78,'21.10 WOBULENZI-ZIROBWE-24h'!E78)</f>
        <v>0</v>
      </c>
      <c r="F78" s="49">
        <f>AVERAGE('19.10 WOBULENZI-ZIROBWE-24h'!F78,'21.10 WOBULENZI-ZIROBWE-24h'!F78)</f>
        <v>0.5</v>
      </c>
      <c r="G78" s="49">
        <f>AVERAGE('19.10 WOBULENZI-ZIROBWE-24h'!G78,'21.10 WOBULENZI-ZIROBWE-24h'!G78)</f>
        <v>0</v>
      </c>
      <c r="H78" s="49">
        <f>AVERAGE('19.10 WOBULENZI-ZIROBWE-24h'!H78,'21.10 WOBULENZI-ZIROBWE-24h'!H78)</f>
        <v>0</v>
      </c>
      <c r="I78" s="49">
        <f>AVERAGE('19.10 WOBULENZI-ZIROBWE-24h'!I78,'21.10 WOBULENZI-ZIROBWE-24h'!I78)</f>
        <v>0</v>
      </c>
      <c r="J78" s="49">
        <f>AVERAGE('19.10 WOBULENZI-ZIROBWE-24h'!J78,'21.10 WOBULENZI-ZIROBWE-24h'!J78)</f>
        <v>0</v>
      </c>
      <c r="K78" s="49">
        <f>AVERAGE('19.10 WOBULENZI-ZIROBWE-24h'!K78,'21.10 WOBULENZI-ZIROBWE-24h'!K78)</f>
        <v>0</v>
      </c>
      <c r="L78" s="49">
        <f>AVERAGE('19.10 WOBULENZI-ZIROBWE-24h'!L78,'21.10 WOBULENZI-ZIROBWE-24h'!L78)</f>
        <v>0</v>
      </c>
      <c r="M78" s="49">
        <f>AVERAGE('19.10 WOBULENZI-ZIROBWE-24h'!M78,'21.10 WOBULENZI-ZIROBWE-24h'!M78)</f>
        <v>1</v>
      </c>
      <c r="N78" s="49">
        <f>AVERAGE('19.10 WOBULENZI-ZIROBWE-24h'!N78,'21.10 WOBULENZI-ZIROBWE-24h'!N78)</f>
        <v>0</v>
      </c>
      <c r="O78" s="15">
        <f t="shared" si="35"/>
        <v>1</v>
      </c>
      <c r="P78" s="15">
        <f t="shared" si="36"/>
        <v>2</v>
      </c>
      <c r="R78" s="8"/>
      <c r="T78"/>
    </row>
    <row r="79" spans="2:20" ht="23.1" customHeight="1" x14ac:dyDescent="0.25">
      <c r="B79" s="23" t="s">
        <v>119</v>
      </c>
      <c r="C79" s="49">
        <f>AVERAGE('19.10 WOBULENZI-ZIROBWE-24h'!C79,'21.10 WOBULENZI-ZIROBWE-24h'!C79)</f>
        <v>0</v>
      </c>
      <c r="D79" s="49">
        <f>AVERAGE('19.10 WOBULENZI-ZIROBWE-24h'!D79,'21.10 WOBULENZI-ZIROBWE-24h'!D79)</f>
        <v>0</v>
      </c>
      <c r="E79" s="49">
        <f>AVERAGE('19.10 WOBULENZI-ZIROBWE-24h'!E79,'21.10 WOBULENZI-ZIROBWE-24h'!E79)</f>
        <v>0</v>
      </c>
      <c r="F79" s="49">
        <f>AVERAGE('19.10 WOBULENZI-ZIROBWE-24h'!F79,'21.10 WOBULENZI-ZIROBWE-24h'!F79)</f>
        <v>0</v>
      </c>
      <c r="G79" s="49">
        <f>AVERAGE('19.10 WOBULENZI-ZIROBWE-24h'!G79,'21.10 WOBULENZI-ZIROBWE-24h'!G79)</f>
        <v>0</v>
      </c>
      <c r="H79" s="49">
        <f>AVERAGE('19.10 WOBULENZI-ZIROBWE-24h'!H79,'21.10 WOBULENZI-ZIROBWE-24h'!H79)</f>
        <v>0</v>
      </c>
      <c r="I79" s="49">
        <f>AVERAGE('19.10 WOBULENZI-ZIROBWE-24h'!I79,'21.10 WOBULENZI-ZIROBWE-24h'!I79)</f>
        <v>0</v>
      </c>
      <c r="J79" s="49">
        <f>AVERAGE('19.10 WOBULENZI-ZIROBWE-24h'!J79,'21.10 WOBULENZI-ZIROBWE-24h'!J79)</f>
        <v>0.5</v>
      </c>
      <c r="K79" s="49">
        <f>AVERAGE('19.10 WOBULENZI-ZIROBWE-24h'!K79,'21.10 WOBULENZI-ZIROBWE-24h'!K79)</f>
        <v>0</v>
      </c>
      <c r="L79" s="49">
        <f>AVERAGE('19.10 WOBULENZI-ZIROBWE-24h'!L79,'21.10 WOBULENZI-ZIROBWE-24h'!L79)</f>
        <v>0</v>
      </c>
      <c r="M79" s="49">
        <f>AVERAGE('19.10 WOBULENZI-ZIROBWE-24h'!M79,'21.10 WOBULENZI-ZIROBWE-24h'!M79)</f>
        <v>0</v>
      </c>
      <c r="N79" s="49">
        <f>AVERAGE('19.10 WOBULENZI-ZIROBWE-24h'!N79,'21.10 WOBULENZI-ZIROBWE-24h'!N79)</f>
        <v>0</v>
      </c>
      <c r="O79" s="15">
        <f t="shared" si="35"/>
        <v>0.5</v>
      </c>
      <c r="P79" s="15">
        <f t="shared" si="36"/>
        <v>0.5</v>
      </c>
      <c r="R79" s="8"/>
      <c r="T79"/>
    </row>
    <row r="80" spans="2:20" ht="23.1" customHeight="1" x14ac:dyDescent="0.25">
      <c r="B80" s="25" t="s">
        <v>120</v>
      </c>
      <c r="C80" s="49">
        <f>AVERAGE('19.10 WOBULENZI-ZIROBWE-24h'!C80,'21.10 WOBULENZI-ZIROBWE-24h'!C80)</f>
        <v>0</v>
      </c>
      <c r="D80" s="49">
        <f>AVERAGE('19.10 WOBULENZI-ZIROBWE-24h'!D80,'21.10 WOBULENZI-ZIROBWE-24h'!D80)</f>
        <v>0</v>
      </c>
      <c r="E80" s="49">
        <f>AVERAGE('19.10 WOBULENZI-ZIROBWE-24h'!E80,'21.10 WOBULENZI-ZIROBWE-24h'!E80)</f>
        <v>0</v>
      </c>
      <c r="F80" s="49">
        <f>AVERAGE('19.10 WOBULENZI-ZIROBWE-24h'!F80,'21.10 WOBULENZI-ZIROBWE-24h'!F80)</f>
        <v>0.5</v>
      </c>
      <c r="G80" s="49">
        <f>AVERAGE('19.10 WOBULENZI-ZIROBWE-24h'!G80,'21.10 WOBULENZI-ZIROBWE-24h'!G80)</f>
        <v>0</v>
      </c>
      <c r="H80" s="49">
        <f>AVERAGE('19.10 WOBULENZI-ZIROBWE-24h'!H80,'21.10 WOBULENZI-ZIROBWE-24h'!H80)</f>
        <v>0</v>
      </c>
      <c r="I80" s="49">
        <f>AVERAGE('19.10 WOBULENZI-ZIROBWE-24h'!I80,'21.10 WOBULENZI-ZIROBWE-24h'!I80)</f>
        <v>0</v>
      </c>
      <c r="J80" s="49">
        <f>AVERAGE('19.10 WOBULENZI-ZIROBWE-24h'!J80,'21.10 WOBULENZI-ZIROBWE-24h'!J80)</f>
        <v>0.5</v>
      </c>
      <c r="K80" s="49">
        <f>AVERAGE('19.10 WOBULENZI-ZIROBWE-24h'!K80,'21.10 WOBULENZI-ZIROBWE-24h'!K80)</f>
        <v>0</v>
      </c>
      <c r="L80" s="49">
        <f>AVERAGE('19.10 WOBULENZI-ZIROBWE-24h'!L80,'21.10 WOBULENZI-ZIROBWE-24h'!L80)</f>
        <v>0</v>
      </c>
      <c r="M80" s="49">
        <f>AVERAGE('19.10 WOBULENZI-ZIROBWE-24h'!M80,'21.10 WOBULENZI-ZIROBWE-24h'!M80)</f>
        <v>0</v>
      </c>
      <c r="N80" s="49">
        <f>AVERAGE('19.10 WOBULENZI-ZIROBWE-24h'!N80,'21.10 WOBULENZI-ZIROBWE-24h'!N80)</f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23" t="s">
        <v>121</v>
      </c>
      <c r="C81" s="49">
        <f>AVERAGE('19.10 WOBULENZI-ZIROBWE-24h'!C81,'21.10 WOBULENZI-ZIROBWE-24h'!C81)</f>
        <v>0</v>
      </c>
      <c r="D81" s="49">
        <f>AVERAGE('19.10 WOBULENZI-ZIROBWE-24h'!D81,'21.10 WOBULENZI-ZIROBWE-24h'!D81)</f>
        <v>0</v>
      </c>
      <c r="E81" s="49">
        <f>AVERAGE('19.10 WOBULENZI-ZIROBWE-24h'!E81,'21.10 WOBULENZI-ZIROBWE-24h'!E81)</f>
        <v>0</v>
      </c>
      <c r="F81" s="49">
        <f>AVERAGE('19.10 WOBULENZI-ZIROBWE-24h'!F81,'21.10 WOBULENZI-ZIROBWE-24h'!F81)</f>
        <v>0</v>
      </c>
      <c r="G81" s="49">
        <f>AVERAGE('19.10 WOBULENZI-ZIROBWE-24h'!G81,'21.10 WOBULENZI-ZIROBWE-24h'!G81)</f>
        <v>0</v>
      </c>
      <c r="H81" s="49">
        <f>AVERAGE('19.10 WOBULENZI-ZIROBWE-24h'!H81,'21.10 WOBULENZI-ZIROBWE-24h'!H81)</f>
        <v>0</v>
      </c>
      <c r="I81" s="49">
        <f>AVERAGE('19.10 WOBULENZI-ZIROBWE-24h'!I81,'21.10 WOBULENZI-ZIROBWE-24h'!I81)</f>
        <v>0</v>
      </c>
      <c r="J81" s="49">
        <f>AVERAGE('19.10 WOBULENZI-ZIROBWE-24h'!J81,'21.10 WOBULENZI-ZIROBWE-24h'!J81)</f>
        <v>0</v>
      </c>
      <c r="K81" s="49">
        <f>AVERAGE('19.10 WOBULENZI-ZIROBWE-24h'!K81,'21.10 WOBULENZI-ZIROBWE-24h'!K81)</f>
        <v>0</v>
      </c>
      <c r="L81" s="49">
        <f>AVERAGE('19.10 WOBULENZI-ZIROBWE-24h'!L81,'21.10 WOBULENZI-ZIROBWE-24h'!L81)</f>
        <v>0</v>
      </c>
      <c r="M81" s="49">
        <f>AVERAGE('19.10 WOBULENZI-ZIROBWE-24h'!M81,'21.10 WOBULENZI-ZIROBWE-24h'!M81)</f>
        <v>0</v>
      </c>
      <c r="N81" s="49">
        <f>AVERAGE('19.10 WOBULENZI-ZIROBWE-24h'!N81,'21.10 WOBULENZI-ZIROBWE-24h'!N81)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AVERAGE('19.10 WOBULENZI-ZIROBWE-24h'!C82,'21.10 WOBULENZI-ZIROBWE-24h'!C82)</f>
        <v>0</v>
      </c>
      <c r="D82" s="49">
        <f>AVERAGE('19.10 WOBULENZI-ZIROBWE-24h'!D82,'21.10 WOBULENZI-ZIROBWE-24h'!D82)</f>
        <v>0</v>
      </c>
      <c r="E82" s="49">
        <f>AVERAGE('19.10 WOBULENZI-ZIROBWE-24h'!E82,'21.10 WOBULENZI-ZIROBWE-24h'!E82)</f>
        <v>0</v>
      </c>
      <c r="F82" s="49">
        <f>AVERAGE('19.10 WOBULENZI-ZIROBWE-24h'!F82,'21.10 WOBULENZI-ZIROBWE-24h'!F82)</f>
        <v>0</v>
      </c>
      <c r="G82" s="49">
        <f>AVERAGE('19.10 WOBULENZI-ZIROBWE-24h'!G82,'21.10 WOBULENZI-ZIROBWE-24h'!G82)</f>
        <v>0</v>
      </c>
      <c r="H82" s="49">
        <f>AVERAGE('19.10 WOBULENZI-ZIROBWE-24h'!H82,'21.10 WOBULENZI-ZIROBWE-24h'!H82)</f>
        <v>0</v>
      </c>
      <c r="I82" s="49">
        <f>AVERAGE('19.10 WOBULENZI-ZIROBWE-24h'!I82,'21.10 WOBULENZI-ZIROBWE-24h'!I82)</f>
        <v>0.5</v>
      </c>
      <c r="J82" s="49">
        <f>AVERAGE('19.10 WOBULENZI-ZIROBWE-24h'!J82,'21.10 WOBULENZI-ZIROBWE-24h'!J82)</f>
        <v>0</v>
      </c>
      <c r="K82" s="49">
        <f>AVERAGE('19.10 WOBULENZI-ZIROBWE-24h'!K82,'21.10 WOBULENZI-ZIROBWE-24h'!K82)</f>
        <v>0</v>
      </c>
      <c r="L82" s="49">
        <f>AVERAGE('19.10 WOBULENZI-ZIROBWE-24h'!L82,'21.10 WOBULENZI-ZIROBWE-24h'!L82)</f>
        <v>0</v>
      </c>
      <c r="M82" s="49">
        <f>AVERAGE('19.10 WOBULENZI-ZIROBWE-24h'!M82,'21.10 WOBULENZI-ZIROBWE-24h'!M82)</f>
        <v>0</v>
      </c>
      <c r="N82" s="49">
        <f>AVERAGE('19.10 WOBULENZI-ZIROBWE-24h'!N82,'21.10 WOBULENZI-ZIROBWE-24h'!N82)</f>
        <v>0</v>
      </c>
      <c r="O82" s="15">
        <f t="shared" si="35"/>
        <v>0.5</v>
      </c>
      <c r="P82" s="15">
        <f t="shared" si="36"/>
        <v>0.5</v>
      </c>
      <c r="R82" s="8"/>
      <c r="T82"/>
    </row>
    <row r="83" spans="2:20" ht="23.1" customHeight="1" x14ac:dyDescent="0.25">
      <c r="B83" s="23" t="s">
        <v>123</v>
      </c>
      <c r="C83" s="49">
        <f>AVERAGE('19.10 WOBULENZI-ZIROBWE-24h'!C83,'21.10 WOBULENZI-ZIROBWE-24h'!C83)</f>
        <v>0</v>
      </c>
      <c r="D83" s="49">
        <f>AVERAGE('19.10 WOBULENZI-ZIROBWE-24h'!D83,'21.10 WOBULENZI-ZIROBWE-24h'!D83)</f>
        <v>0</v>
      </c>
      <c r="E83" s="49">
        <f>AVERAGE('19.10 WOBULENZI-ZIROBWE-24h'!E83,'21.10 WOBULENZI-ZIROBWE-24h'!E83)</f>
        <v>0</v>
      </c>
      <c r="F83" s="49">
        <f>AVERAGE('19.10 WOBULENZI-ZIROBWE-24h'!F83,'21.10 WOBULENZI-ZIROBWE-24h'!F83)</f>
        <v>0</v>
      </c>
      <c r="G83" s="49">
        <f>AVERAGE('19.10 WOBULENZI-ZIROBWE-24h'!G83,'21.10 WOBULENZI-ZIROBWE-24h'!G83)</f>
        <v>0</v>
      </c>
      <c r="H83" s="49">
        <f>AVERAGE('19.10 WOBULENZI-ZIROBWE-24h'!H83,'21.10 WOBULENZI-ZIROBWE-24h'!H83)</f>
        <v>0</v>
      </c>
      <c r="I83" s="49">
        <f>AVERAGE('19.10 WOBULENZI-ZIROBWE-24h'!I83,'21.10 WOBULENZI-ZIROBWE-24h'!I83)</f>
        <v>0</v>
      </c>
      <c r="J83" s="49">
        <f>AVERAGE('19.10 WOBULENZI-ZIROBWE-24h'!J83,'21.10 WOBULENZI-ZIROBWE-24h'!J83)</f>
        <v>0</v>
      </c>
      <c r="K83" s="49">
        <f>AVERAGE('19.10 WOBULENZI-ZIROBWE-24h'!K83,'21.10 WOBULENZI-ZIROBWE-24h'!K83)</f>
        <v>0</v>
      </c>
      <c r="L83" s="49">
        <f>AVERAGE('19.10 WOBULENZI-ZIROBWE-24h'!L83,'21.10 WOBULENZI-ZIROBWE-24h'!L83)</f>
        <v>0</v>
      </c>
      <c r="M83" s="49">
        <f>AVERAGE('19.10 WOBULENZI-ZIROBWE-24h'!M83,'21.10 WOBULENZI-ZIROBWE-24h'!M83)</f>
        <v>0</v>
      </c>
      <c r="N83" s="49">
        <f>AVERAGE('19.10 WOBULENZI-ZIROBWE-24h'!N83,'21.10 WOBULENZI-ZIROBWE-24h'!N83)</f>
        <v>0</v>
      </c>
      <c r="O83" s="15">
        <f t="shared" si="35"/>
        <v>0</v>
      </c>
      <c r="P83" s="15">
        <f t="shared" si="36"/>
        <v>0</v>
      </c>
      <c r="R83" s="8"/>
      <c r="T83"/>
    </row>
    <row r="84" spans="2:20" ht="23.1" customHeight="1" x14ac:dyDescent="0.25">
      <c r="B84" s="25" t="s">
        <v>124</v>
      </c>
      <c r="C84" s="49">
        <f>AVERAGE('19.10 WOBULENZI-ZIROBWE-24h'!C84,'21.10 WOBULENZI-ZIROBWE-24h'!C84)</f>
        <v>0</v>
      </c>
      <c r="D84" s="49">
        <f>AVERAGE('19.10 WOBULENZI-ZIROBWE-24h'!D84,'21.10 WOBULENZI-ZIROBWE-24h'!D84)</f>
        <v>0</v>
      </c>
      <c r="E84" s="49">
        <f>AVERAGE('19.10 WOBULENZI-ZIROBWE-24h'!E84,'21.10 WOBULENZI-ZIROBWE-24h'!E84)</f>
        <v>0.5</v>
      </c>
      <c r="F84" s="49">
        <f>AVERAGE('19.10 WOBULENZI-ZIROBWE-24h'!F84,'21.10 WOBULENZI-ZIROBWE-24h'!F84)</f>
        <v>0</v>
      </c>
      <c r="G84" s="49">
        <f>AVERAGE('19.10 WOBULENZI-ZIROBWE-24h'!G84,'21.10 WOBULENZI-ZIROBWE-24h'!G84)</f>
        <v>0</v>
      </c>
      <c r="H84" s="49">
        <f>AVERAGE('19.10 WOBULENZI-ZIROBWE-24h'!H84,'21.10 WOBULENZI-ZIROBWE-24h'!H84)</f>
        <v>0</v>
      </c>
      <c r="I84" s="49">
        <f>AVERAGE('19.10 WOBULENZI-ZIROBWE-24h'!I84,'21.10 WOBULENZI-ZIROBWE-24h'!I84)</f>
        <v>0</v>
      </c>
      <c r="J84" s="49">
        <f>AVERAGE('19.10 WOBULENZI-ZIROBWE-24h'!J84,'21.10 WOBULENZI-ZIROBWE-24h'!J84)</f>
        <v>0</v>
      </c>
      <c r="K84" s="49">
        <f>AVERAGE('19.10 WOBULENZI-ZIROBWE-24h'!K84,'21.10 WOBULENZI-ZIROBWE-24h'!K84)</f>
        <v>0</v>
      </c>
      <c r="L84" s="49">
        <f>AVERAGE('19.10 WOBULENZI-ZIROBWE-24h'!L84,'21.10 WOBULENZI-ZIROBWE-24h'!L84)</f>
        <v>0</v>
      </c>
      <c r="M84" s="49">
        <f>AVERAGE('19.10 WOBULENZI-ZIROBWE-24h'!M84,'21.10 WOBULENZI-ZIROBWE-24h'!M84)</f>
        <v>0</v>
      </c>
      <c r="N84" s="49">
        <f>AVERAGE('19.10 WOBULENZI-ZIROBWE-24h'!N84,'21.10 WOBULENZI-ZIROBWE-24h'!N84)</f>
        <v>0</v>
      </c>
      <c r="O84" s="15">
        <f t="shared" si="35"/>
        <v>0.5</v>
      </c>
      <c r="P84" s="15">
        <f t="shared" si="36"/>
        <v>0.5</v>
      </c>
      <c r="R84" s="8"/>
      <c r="T84"/>
    </row>
    <row r="85" spans="2:20" ht="23.1" customHeight="1" x14ac:dyDescent="0.25">
      <c r="B85" s="23" t="s">
        <v>125</v>
      </c>
      <c r="C85" s="49">
        <f>AVERAGE('19.10 WOBULENZI-ZIROBWE-24h'!C85,'21.10 WOBULENZI-ZIROBWE-24h'!C85)</f>
        <v>0</v>
      </c>
      <c r="D85" s="49">
        <f>AVERAGE('19.10 WOBULENZI-ZIROBWE-24h'!D85,'21.10 WOBULENZI-ZIROBWE-24h'!D85)</f>
        <v>0</v>
      </c>
      <c r="E85" s="49">
        <f>AVERAGE('19.10 WOBULENZI-ZIROBWE-24h'!E85,'21.10 WOBULENZI-ZIROBWE-24h'!E85)</f>
        <v>0</v>
      </c>
      <c r="F85" s="49">
        <f>AVERAGE('19.10 WOBULENZI-ZIROBWE-24h'!F85,'21.10 WOBULENZI-ZIROBWE-24h'!F85)</f>
        <v>0</v>
      </c>
      <c r="G85" s="49">
        <f>AVERAGE('19.10 WOBULENZI-ZIROBWE-24h'!G85,'21.10 WOBULENZI-ZIROBWE-24h'!G85)</f>
        <v>0</v>
      </c>
      <c r="H85" s="49">
        <f>AVERAGE('19.10 WOBULENZI-ZIROBWE-24h'!H85,'21.10 WOBULENZI-ZIROBWE-24h'!H85)</f>
        <v>0</v>
      </c>
      <c r="I85" s="49">
        <f>AVERAGE('19.10 WOBULENZI-ZIROBWE-24h'!I85,'21.10 WOBULENZI-ZIROBWE-24h'!I85)</f>
        <v>0</v>
      </c>
      <c r="J85" s="49">
        <f>AVERAGE('19.10 WOBULENZI-ZIROBWE-24h'!J85,'21.10 WOBULENZI-ZIROBWE-24h'!J85)</f>
        <v>0</v>
      </c>
      <c r="K85" s="49">
        <f>AVERAGE('19.10 WOBULENZI-ZIROBWE-24h'!K85,'21.10 WOBULENZI-ZIROBWE-24h'!K85)</f>
        <v>0</v>
      </c>
      <c r="L85" s="49">
        <f>AVERAGE('19.10 WOBULENZI-ZIROBWE-24h'!L85,'21.10 WOBULENZI-ZIROBWE-24h'!L85)</f>
        <v>0</v>
      </c>
      <c r="M85" s="49">
        <f>AVERAGE('19.10 WOBULENZI-ZIROBWE-24h'!M85,'21.10 WOBULENZI-ZIROBWE-24h'!M85)</f>
        <v>0.5</v>
      </c>
      <c r="N85" s="49">
        <f>AVERAGE('19.10 WOBULENZI-ZIROBWE-24h'!N85,'21.10 WOBULENZI-ZIROBWE-24h'!N85)</f>
        <v>0</v>
      </c>
      <c r="O85" s="15">
        <f t="shared" si="35"/>
        <v>0</v>
      </c>
      <c r="P85" s="15">
        <f t="shared" si="36"/>
        <v>0.5</v>
      </c>
      <c r="R85" s="8"/>
      <c r="T85"/>
    </row>
    <row r="86" spans="2:20" ht="23.1" customHeight="1" x14ac:dyDescent="0.25">
      <c r="B86" s="24" t="s">
        <v>126</v>
      </c>
      <c r="C86" s="49">
        <f>AVERAGE('19.10 WOBULENZI-ZIROBWE-24h'!C86,'21.10 WOBULENZI-ZIROBWE-24h'!C86)</f>
        <v>0</v>
      </c>
      <c r="D86" s="49">
        <f>AVERAGE('19.10 WOBULENZI-ZIROBWE-24h'!D86,'21.10 WOBULENZI-ZIROBWE-24h'!D86)</f>
        <v>0</v>
      </c>
      <c r="E86" s="49">
        <f>AVERAGE('19.10 WOBULENZI-ZIROBWE-24h'!E86,'21.10 WOBULENZI-ZIROBWE-24h'!E86)</f>
        <v>0</v>
      </c>
      <c r="F86" s="49">
        <f>AVERAGE('19.10 WOBULENZI-ZIROBWE-24h'!F86,'21.10 WOBULENZI-ZIROBWE-24h'!F86)</f>
        <v>0</v>
      </c>
      <c r="G86" s="49">
        <f>AVERAGE('19.10 WOBULENZI-ZIROBWE-24h'!G86,'21.10 WOBULENZI-ZIROBWE-24h'!G86)</f>
        <v>0</v>
      </c>
      <c r="H86" s="49">
        <f>AVERAGE('19.10 WOBULENZI-ZIROBWE-24h'!H86,'21.10 WOBULENZI-ZIROBWE-24h'!H86)</f>
        <v>0</v>
      </c>
      <c r="I86" s="49">
        <f>AVERAGE('19.10 WOBULENZI-ZIROBWE-24h'!I86,'21.10 WOBULENZI-ZIROBWE-24h'!I86)</f>
        <v>0</v>
      </c>
      <c r="J86" s="49">
        <f>AVERAGE('19.10 WOBULENZI-ZIROBWE-24h'!J86,'21.10 WOBULENZI-ZIROBWE-24h'!J86)</f>
        <v>0.5</v>
      </c>
      <c r="K86" s="49">
        <f>AVERAGE('19.10 WOBULENZI-ZIROBWE-24h'!K86,'21.10 WOBULENZI-ZIROBWE-24h'!K86)</f>
        <v>0</v>
      </c>
      <c r="L86" s="49">
        <f>AVERAGE('19.10 WOBULENZI-ZIROBWE-24h'!L86,'21.10 WOBULENZI-ZIROBWE-24h'!L86)</f>
        <v>0</v>
      </c>
      <c r="M86" s="49">
        <f>AVERAGE('19.10 WOBULENZI-ZIROBWE-24h'!M86,'21.10 WOBULENZI-ZIROBWE-24h'!M86)</f>
        <v>0</v>
      </c>
      <c r="N86" s="49">
        <f>AVERAGE('19.10 WOBULENZI-ZIROBWE-24h'!N86,'21.10 WOBULENZI-ZIROBWE-24h'!N86)</f>
        <v>0</v>
      </c>
      <c r="O86" s="15">
        <f t="shared" si="35"/>
        <v>0.5</v>
      </c>
      <c r="P86" s="15">
        <f t="shared" si="36"/>
        <v>0.5</v>
      </c>
      <c r="R86" s="8"/>
      <c r="T86"/>
    </row>
    <row r="87" spans="2:20" ht="23.1" customHeight="1" x14ac:dyDescent="0.25">
      <c r="B87" s="23" t="s">
        <v>127</v>
      </c>
      <c r="C87" s="49">
        <f>AVERAGE('19.10 WOBULENZI-ZIROBWE-24h'!C87,'21.10 WOBULENZI-ZIROBWE-24h'!C87)</f>
        <v>0</v>
      </c>
      <c r="D87" s="49">
        <f>AVERAGE('19.10 WOBULENZI-ZIROBWE-24h'!D87,'21.10 WOBULENZI-ZIROBWE-24h'!D87)</f>
        <v>0</v>
      </c>
      <c r="E87" s="49">
        <f>AVERAGE('19.10 WOBULENZI-ZIROBWE-24h'!E87,'21.10 WOBULENZI-ZIROBWE-24h'!E87)</f>
        <v>0</v>
      </c>
      <c r="F87" s="49">
        <f>AVERAGE('19.10 WOBULENZI-ZIROBWE-24h'!F87,'21.10 WOBULENZI-ZIROBWE-24h'!F87)</f>
        <v>1</v>
      </c>
      <c r="G87" s="49">
        <f>AVERAGE('19.10 WOBULENZI-ZIROBWE-24h'!G87,'21.10 WOBULENZI-ZIROBWE-24h'!G87)</f>
        <v>0</v>
      </c>
      <c r="H87" s="49">
        <f>AVERAGE('19.10 WOBULENZI-ZIROBWE-24h'!H87,'21.10 WOBULENZI-ZIROBWE-24h'!H87)</f>
        <v>0</v>
      </c>
      <c r="I87" s="49">
        <f>AVERAGE('19.10 WOBULENZI-ZIROBWE-24h'!I87,'21.10 WOBULENZI-ZIROBWE-24h'!I87)</f>
        <v>0</v>
      </c>
      <c r="J87" s="49">
        <f>AVERAGE('19.10 WOBULENZI-ZIROBWE-24h'!J87,'21.10 WOBULENZI-ZIROBWE-24h'!J87)</f>
        <v>0</v>
      </c>
      <c r="K87" s="49">
        <f>AVERAGE('19.10 WOBULENZI-ZIROBWE-24h'!K87,'21.10 WOBULENZI-ZIROBWE-24h'!K87)</f>
        <v>0</v>
      </c>
      <c r="L87" s="49">
        <f>AVERAGE('19.10 WOBULENZI-ZIROBWE-24h'!L87,'21.10 WOBULENZI-ZIROBWE-24h'!L87)</f>
        <v>0</v>
      </c>
      <c r="M87" s="49">
        <f>AVERAGE('19.10 WOBULENZI-ZIROBWE-24h'!M87,'21.10 WOBULENZI-ZIROBWE-24h'!M87)</f>
        <v>0</v>
      </c>
      <c r="N87" s="49">
        <f>AVERAGE('19.10 WOBULENZI-ZIROBWE-24h'!N87,'21.10 WOBULENZI-ZIROBWE-24h'!N87)</f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25" t="s">
        <v>128</v>
      </c>
      <c r="C88" s="49">
        <f>AVERAGE('19.10 WOBULENZI-ZIROBWE-24h'!C88,'21.10 WOBULENZI-ZIROBWE-24h'!C88)</f>
        <v>0</v>
      </c>
      <c r="D88" s="49">
        <f>AVERAGE('19.10 WOBULENZI-ZIROBWE-24h'!D88,'21.10 WOBULENZI-ZIROBWE-24h'!D88)</f>
        <v>0</v>
      </c>
      <c r="E88" s="49">
        <f>AVERAGE('19.10 WOBULENZI-ZIROBWE-24h'!E88,'21.10 WOBULENZI-ZIROBWE-24h'!E88)</f>
        <v>0</v>
      </c>
      <c r="F88" s="49">
        <f>AVERAGE('19.10 WOBULENZI-ZIROBWE-24h'!F88,'21.10 WOBULENZI-ZIROBWE-24h'!F88)</f>
        <v>0</v>
      </c>
      <c r="G88" s="49">
        <f>AVERAGE('19.10 WOBULENZI-ZIROBWE-24h'!G88,'21.10 WOBULENZI-ZIROBWE-24h'!G88)</f>
        <v>0</v>
      </c>
      <c r="H88" s="49">
        <f>AVERAGE('19.10 WOBULENZI-ZIROBWE-24h'!H88,'21.10 WOBULENZI-ZIROBWE-24h'!H88)</f>
        <v>0</v>
      </c>
      <c r="I88" s="49">
        <f>AVERAGE('19.10 WOBULENZI-ZIROBWE-24h'!I88,'21.10 WOBULENZI-ZIROBWE-24h'!I88)</f>
        <v>0</v>
      </c>
      <c r="J88" s="49">
        <f>AVERAGE('19.10 WOBULENZI-ZIROBWE-24h'!J88,'21.10 WOBULENZI-ZIROBWE-24h'!J88)</f>
        <v>0</v>
      </c>
      <c r="K88" s="49">
        <f>AVERAGE('19.10 WOBULENZI-ZIROBWE-24h'!K88,'21.10 WOBULENZI-ZIROBWE-24h'!K88)</f>
        <v>0</v>
      </c>
      <c r="L88" s="49">
        <f>AVERAGE('19.10 WOBULENZI-ZIROBWE-24h'!L88,'21.10 WOBULENZI-ZIROBWE-24h'!L88)</f>
        <v>0</v>
      </c>
      <c r="M88" s="49">
        <f>AVERAGE('19.10 WOBULENZI-ZIROBWE-24h'!M88,'21.10 WOBULENZI-ZIROBWE-24h'!M88)</f>
        <v>0</v>
      </c>
      <c r="N88" s="49">
        <f>AVERAGE('19.10 WOBULENZI-ZIROBWE-24h'!N88,'21.10 WOBULENZI-ZIROBWE-24h'!N88)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AVERAGE('19.10 WOBULENZI-ZIROBWE-24h'!C89,'21.10 WOBULENZI-ZIROBWE-24h'!C89)</f>
        <v>0</v>
      </c>
      <c r="D89" s="49">
        <f>AVERAGE('19.10 WOBULENZI-ZIROBWE-24h'!D89,'21.10 WOBULENZI-ZIROBWE-24h'!D89)</f>
        <v>0</v>
      </c>
      <c r="E89" s="49">
        <f>AVERAGE('19.10 WOBULENZI-ZIROBWE-24h'!E89,'21.10 WOBULENZI-ZIROBWE-24h'!E89)</f>
        <v>0</v>
      </c>
      <c r="F89" s="49">
        <f>AVERAGE('19.10 WOBULENZI-ZIROBWE-24h'!F89,'21.10 WOBULENZI-ZIROBWE-24h'!F89)</f>
        <v>0.5</v>
      </c>
      <c r="G89" s="49">
        <f>AVERAGE('19.10 WOBULENZI-ZIROBWE-24h'!G89,'21.10 WOBULENZI-ZIROBWE-24h'!G89)</f>
        <v>0</v>
      </c>
      <c r="H89" s="49">
        <f>AVERAGE('19.10 WOBULENZI-ZIROBWE-24h'!H89,'21.10 WOBULENZI-ZIROBWE-24h'!H89)</f>
        <v>0</v>
      </c>
      <c r="I89" s="49">
        <f>AVERAGE('19.10 WOBULENZI-ZIROBWE-24h'!I89,'21.10 WOBULENZI-ZIROBWE-24h'!I89)</f>
        <v>0</v>
      </c>
      <c r="J89" s="49">
        <f>AVERAGE('19.10 WOBULENZI-ZIROBWE-24h'!J89,'21.10 WOBULENZI-ZIROBWE-24h'!J89)</f>
        <v>0</v>
      </c>
      <c r="K89" s="49">
        <f>AVERAGE('19.10 WOBULENZI-ZIROBWE-24h'!K89,'21.10 WOBULENZI-ZIROBWE-24h'!K89)</f>
        <v>0</v>
      </c>
      <c r="L89" s="49">
        <f>AVERAGE('19.10 WOBULENZI-ZIROBWE-24h'!L89,'21.10 WOBULENZI-ZIROBWE-24h'!L89)</f>
        <v>0</v>
      </c>
      <c r="M89" s="49">
        <f>AVERAGE('19.10 WOBULENZI-ZIROBWE-24h'!M89,'21.10 WOBULENZI-ZIROBWE-24h'!M89)</f>
        <v>0</v>
      </c>
      <c r="N89" s="49">
        <f>AVERAGE('19.10 WOBULENZI-ZIROBWE-24h'!N89,'21.10 WOBULENZI-ZIROBWE-24h'!N89)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AVERAGE('19.10 WOBULENZI-ZIROBWE-24h'!C90,'21.10 WOBULENZI-ZIROBWE-24h'!C90)</f>
        <v>0</v>
      </c>
      <c r="D90" s="49">
        <f>AVERAGE('19.10 WOBULENZI-ZIROBWE-24h'!D90,'21.10 WOBULENZI-ZIROBWE-24h'!D90)</f>
        <v>0</v>
      </c>
      <c r="E90" s="49">
        <f>AVERAGE('19.10 WOBULENZI-ZIROBWE-24h'!E90,'21.10 WOBULENZI-ZIROBWE-24h'!E90)</f>
        <v>0</v>
      </c>
      <c r="F90" s="49">
        <f>AVERAGE('19.10 WOBULENZI-ZIROBWE-24h'!F90,'21.10 WOBULENZI-ZIROBWE-24h'!F90)</f>
        <v>0</v>
      </c>
      <c r="G90" s="49">
        <f>AVERAGE('19.10 WOBULENZI-ZIROBWE-24h'!G90,'21.10 WOBULENZI-ZIROBWE-24h'!G90)</f>
        <v>0</v>
      </c>
      <c r="H90" s="49">
        <f>AVERAGE('19.10 WOBULENZI-ZIROBWE-24h'!H90,'21.10 WOBULENZI-ZIROBWE-24h'!H90)</f>
        <v>0</v>
      </c>
      <c r="I90" s="49">
        <f>AVERAGE('19.10 WOBULENZI-ZIROBWE-24h'!I90,'21.10 WOBULENZI-ZIROBWE-24h'!I90)</f>
        <v>0</v>
      </c>
      <c r="J90" s="49">
        <f>AVERAGE('19.10 WOBULENZI-ZIROBWE-24h'!J90,'21.10 WOBULENZI-ZIROBWE-24h'!J90)</f>
        <v>0</v>
      </c>
      <c r="K90" s="49">
        <f>AVERAGE('19.10 WOBULENZI-ZIROBWE-24h'!K90,'21.10 WOBULENZI-ZIROBWE-24h'!K90)</f>
        <v>0</v>
      </c>
      <c r="L90" s="49">
        <f>AVERAGE('19.10 WOBULENZI-ZIROBWE-24h'!L90,'21.10 WOBULENZI-ZIROBWE-24h'!L90)</f>
        <v>0</v>
      </c>
      <c r="M90" s="49">
        <f>AVERAGE('19.10 WOBULENZI-ZIROBWE-24h'!M90,'21.10 WOBULENZI-ZIROBWE-24h'!M90)</f>
        <v>0.5</v>
      </c>
      <c r="N90" s="49">
        <f>AVERAGE('19.10 WOBULENZI-ZIROBWE-24h'!N90,'21.10 WOBULENZI-ZIROBWE-24h'!N90)</f>
        <v>0</v>
      </c>
      <c r="O90" s="15">
        <f t="shared" si="35"/>
        <v>0</v>
      </c>
      <c r="P90" s="15">
        <f t="shared" si="36"/>
        <v>0.5</v>
      </c>
      <c r="R90" s="8"/>
      <c r="T90"/>
    </row>
    <row r="91" spans="2:20" ht="23.1" customHeight="1" x14ac:dyDescent="0.25">
      <c r="B91" s="23" t="s">
        <v>131</v>
      </c>
      <c r="C91" s="49">
        <f>AVERAGE('19.10 WOBULENZI-ZIROBWE-24h'!C91,'21.10 WOBULENZI-ZIROBWE-24h'!C91)</f>
        <v>0</v>
      </c>
      <c r="D91" s="49">
        <f>AVERAGE('19.10 WOBULENZI-ZIROBWE-24h'!D91,'21.10 WOBULENZI-ZIROBWE-24h'!D91)</f>
        <v>0</v>
      </c>
      <c r="E91" s="49">
        <f>AVERAGE('19.10 WOBULENZI-ZIROBWE-24h'!E91,'21.10 WOBULENZI-ZIROBWE-24h'!E91)</f>
        <v>0</v>
      </c>
      <c r="F91" s="49">
        <f>AVERAGE('19.10 WOBULENZI-ZIROBWE-24h'!F91,'21.10 WOBULENZI-ZIROBWE-24h'!F91)</f>
        <v>0</v>
      </c>
      <c r="G91" s="49">
        <f>AVERAGE('19.10 WOBULENZI-ZIROBWE-24h'!G91,'21.10 WOBULENZI-ZIROBWE-24h'!G91)</f>
        <v>0</v>
      </c>
      <c r="H91" s="49">
        <f>AVERAGE('19.10 WOBULENZI-ZIROBWE-24h'!H91,'21.10 WOBULENZI-ZIROBWE-24h'!H91)</f>
        <v>0</v>
      </c>
      <c r="I91" s="49">
        <f>AVERAGE('19.10 WOBULENZI-ZIROBWE-24h'!I91,'21.10 WOBULENZI-ZIROBWE-24h'!I91)</f>
        <v>0</v>
      </c>
      <c r="J91" s="49">
        <f>AVERAGE('19.10 WOBULENZI-ZIROBWE-24h'!J91,'21.10 WOBULENZI-ZIROBWE-24h'!J91)</f>
        <v>0</v>
      </c>
      <c r="K91" s="49">
        <f>AVERAGE('19.10 WOBULENZI-ZIROBWE-24h'!K91,'21.10 WOBULENZI-ZIROBWE-24h'!K91)</f>
        <v>0</v>
      </c>
      <c r="L91" s="49">
        <f>AVERAGE('19.10 WOBULENZI-ZIROBWE-24h'!L91,'21.10 WOBULENZI-ZIROBWE-24h'!L91)</f>
        <v>0</v>
      </c>
      <c r="M91" s="49">
        <f>AVERAGE('19.10 WOBULENZI-ZIROBWE-24h'!M91,'21.10 WOBULENZI-ZIROBWE-24h'!M91)</f>
        <v>0</v>
      </c>
      <c r="N91" s="49">
        <f>AVERAGE('19.10 WOBULENZI-ZIROBWE-24h'!N91,'21.10 WOBULENZI-ZIROBWE-24h'!N91)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AVERAGE('19.10 WOBULENZI-ZIROBWE-24h'!C92,'21.10 WOBULENZI-ZIROBWE-24h'!C92)</f>
        <v>0</v>
      </c>
      <c r="D92" s="49">
        <f>AVERAGE('19.10 WOBULENZI-ZIROBWE-24h'!D92,'21.10 WOBULENZI-ZIROBWE-24h'!D92)</f>
        <v>0</v>
      </c>
      <c r="E92" s="49">
        <f>AVERAGE('19.10 WOBULENZI-ZIROBWE-24h'!E92,'21.10 WOBULENZI-ZIROBWE-24h'!E92)</f>
        <v>0</v>
      </c>
      <c r="F92" s="49">
        <f>AVERAGE('19.10 WOBULENZI-ZIROBWE-24h'!F92,'21.10 WOBULENZI-ZIROBWE-24h'!F92)</f>
        <v>0.5</v>
      </c>
      <c r="G92" s="49">
        <f>AVERAGE('19.10 WOBULENZI-ZIROBWE-24h'!G92,'21.10 WOBULENZI-ZIROBWE-24h'!G92)</f>
        <v>0</v>
      </c>
      <c r="H92" s="49">
        <f>AVERAGE('19.10 WOBULENZI-ZIROBWE-24h'!H92,'21.10 WOBULENZI-ZIROBWE-24h'!H92)</f>
        <v>0</v>
      </c>
      <c r="I92" s="49">
        <f>AVERAGE('19.10 WOBULENZI-ZIROBWE-24h'!I92,'21.10 WOBULENZI-ZIROBWE-24h'!I92)</f>
        <v>0</v>
      </c>
      <c r="J92" s="49">
        <f>AVERAGE('19.10 WOBULENZI-ZIROBWE-24h'!J92,'21.10 WOBULENZI-ZIROBWE-24h'!J92)</f>
        <v>0</v>
      </c>
      <c r="K92" s="49">
        <f>AVERAGE('19.10 WOBULENZI-ZIROBWE-24h'!K92,'21.10 WOBULENZI-ZIROBWE-24h'!K92)</f>
        <v>0</v>
      </c>
      <c r="L92" s="49">
        <f>AVERAGE('19.10 WOBULENZI-ZIROBWE-24h'!L92,'21.10 WOBULENZI-ZIROBWE-24h'!L92)</f>
        <v>0</v>
      </c>
      <c r="M92" s="49">
        <f>AVERAGE('19.10 WOBULENZI-ZIROBWE-24h'!M92,'21.10 WOBULENZI-ZIROBWE-24h'!M92)</f>
        <v>0</v>
      </c>
      <c r="N92" s="49">
        <f>AVERAGE('19.10 WOBULENZI-ZIROBWE-24h'!N92,'21.10 WOBULENZI-ZIROBWE-24h'!N92)</f>
        <v>0</v>
      </c>
      <c r="O92" s="15">
        <f t="shared" si="35"/>
        <v>0.5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AVERAGE('19.10 WOBULENZI-ZIROBWE-24h'!C93,'21.10 WOBULENZI-ZIROBWE-24h'!C93)</f>
        <v>0</v>
      </c>
      <c r="D93" s="49">
        <f>AVERAGE('19.10 WOBULENZI-ZIROBWE-24h'!D93,'21.10 WOBULENZI-ZIROBWE-24h'!D93)</f>
        <v>0</v>
      </c>
      <c r="E93" s="49">
        <f>AVERAGE('19.10 WOBULENZI-ZIROBWE-24h'!E93,'21.10 WOBULENZI-ZIROBWE-24h'!E93)</f>
        <v>0</v>
      </c>
      <c r="F93" s="49">
        <f>AVERAGE('19.10 WOBULENZI-ZIROBWE-24h'!F93,'21.10 WOBULENZI-ZIROBWE-24h'!F93)</f>
        <v>1</v>
      </c>
      <c r="G93" s="49">
        <f>AVERAGE('19.10 WOBULENZI-ZIROBWE-24h'!G93,'21.10 WOBULENZI-ZIROBWE-24h'!G93)</f>
        <v>0</v>
      </c>
      <c r="H93" s="49">
        <f>AVERAGE('19.10 WOBULENZI-ZIROBWE-24h'!H93,'21.10 WOBULENZI-ZIROBWE-24h'!H93)</f>
        <v>0</v>
      </c>
      <c r="I93" s="49">
        <f>AVERAGE('19.10 WOBULENZI-ZIROBWE-24h'!I93,'21.10 WOBULENZI-ZIROBWE-24h'!I93)</f>
        <v>0</v>
      </c>
      <c r="J93" s="49">
        <f>AVERAGE('19.10 WOBULENZI-ZIROBWE-24h'!J93,'21.10 WOBULENZI-ZIROBWE-24h'!J93)</f>
        <v>0</v>
      </c>
      <c r="K93" s="49">
        <f>AVERAGE('19.10 WOBULENZI-ZIROBWE-24h'!K93,'21.10 WOBULENZI-ZIROBWE-24h'!K93)</f>
        <v>0</v>
      </c>
      <c r="L93" s="49">
        <f>AVERAGE('19.10 WOBULENZI-ZIROBWE-24h'!L93,'21.10 WOBULENZI-ZIROBWE-24h'!L93)</f>
        <v>0</v>
      </c>
      <c r="M93" s="49">
        <f>AVERAGE('19.10 WOBULENZI-ZIROBWE-24h'!M93,'21.10 WOBULENZI-ZIROBWE-24h'!M93)</f>
        <v>1</v>
      </c>
      <c r="N93" s="49">
        <f>AVERAGE('19.10 WOBULENZI-ZIROBWE-24h'!N93,'21.10 WOBULENZI-ZIROBWE-24h'!N93)</f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24" t="s">
        <v>134</v>
      </c>
      <c r="C94" s="49">
        <f>AVERAGE('19.10 WOBULENZI-ZIROBWE-24h'!C94,'21.10 WOBULENZI-ZIROBWE-24h'!C94)</f>
        <v>0</v>
      </c>
      <c r="D94" s="49">
        <f>AVERAGE('19.10 WOBULENZI-ZIROBWE-24h'!D94,'21.10 WOBULENZI-ZIROBWE-24h'!D94)</f>
        <v>0</v>
      </c>
      <c r="E94" s="49">
        <f>AVERAGE('19.10 WOBULENZI-ZIROBWE-24h'!E94,'21.10 WOBULENZI-ZIROBWE-24h'!E94)</f>
        <v>0</v>
      </c>
      <c r="F94" s="49">
        <f>AVERAGE('19.10 WOBULENZI-ZIROBWE-24h'!F94,'21.10 WOBULENZI-ZIROBWE-24h'!F94)</f>
        <v>0</v>
      </c>
      <c r="G94" s="49">
        <f>AVERAGE('19.10 WOBULENZI-ZIROBWE-24h'!G94,'21.10 WOBULENZI-ZIROBWE-24h'!G94)</f>
        <v>0</v>
      </c>
      <c r="H94" s="49">
        <f>AVERAGE('19.10 WOBULENZI-ZIROBWE-24h'!H94,'21.10 WOBULENZI-ZIROBWE-24h'!H94)</f>
        <v>0</v>
      </c>
      <c r="I94" s="49">
        <f>AVERAGE('19.10 WOBULENZI-ZIROBWE-24h'!I94,'21.10 WOBULENZI-ZIROBWE-24h'!I94)</f>
        <v>0</v>
      </c>
      <c r="J94" s="49">
        <f>AVERAGE('19.10 WOBULENZI-ZIROBWE-24h'!J94,'21.10 WOBULENZI-ZIROBWE-24h'!J94)</f>
        <v>1</v>
      </c>
      <c r="K94" s="49">
        <f>AVERAGE('19.10 WOBULENZI-ZIROBWE-24h'!K94,'21.10 WOBULENZI-ZIROBWE-24h'!K94)</f>
        <v>0</v>
      </c>
      <c r="L94" s="49">
        <f>AVERAGE('19.10 WOBULENZI-ZIROBWE-24h'!L94,'21.10 WOBULENZI-ZIROBWE-24h'!L94)</f>
        <v>0</v>
      </c>
      <c r="M94" s="49">
        <f>AVERAGE('19.10 WOBULENZI-ZIROBWE-24h'!M94,'21.10 WOBULENZI-ZIROBWE-24h'!M94)</f>
        <v>0.5</v>
      </c>
      <c r="N94" s="49">
        <f>AVERAGE('19.10 WOBULENZI-ZIROBWE-24h'!N94,'21.10 WOBULENZI-ZIROBWE-24h'!N94)</f>
        <v>0</v>
      </c>
      <c r="O94" s="15">
        <f t="shared" si="35"/>
        <v>1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AVERAGE('19.10 WOBULENZI-ZIROBWE-24h'!C95,'21.10 WOBULENZI-ZIROBWE-24h'!C95)</f>
        <v>1</v>
      </c>
      <c r="D95" s="49">
        <f>AVERAGE('19.10 WOBULENZI-ZIROBWE-24h'!D95,'21.10 WOBULENZI-ZIROBWE-24h'!D95)</f>
        <v>0</v>
      </c>
      <c r="E95" s="49">
        <f>AVERAGE('19.10 WOBULENZI-ZIROBWE-24h'!E95,'21.10 WOBULENZI-ZIROBWE-24h'!E95)</f>
        <v>0</v>
      </c>
      <c r="F95" s="49">
        <f>AVERAGE('19.10 WOBULENZI-ZIROBWE-24h'!F95,'21.10 WOBULENZI-ZIROBWE-24h'!F95)</f>
        <v>0</v>
      </c>
      <c r="G95" s="49">
        <f>AVERAGE('19.10 WOBULENZI-ZIROBWE-24h'!G95,'21.10 WOBULENZI-ZIROBWE-24h'!G95)</f>
        <v>0</v>
      </c>
      <c r="H95" s="49">
        <f>AVERAGE('19.10 WOBULENZI-ZIROBWE-24h'!H95,'21.10 WOBULENZI-ZIROBWE-24h'!H95)</f>
        <v>0</v>
      </c>
      <c r="I95" s="49">
        <f>AVERAGE('19.10 WOBULENZI-ZIROBWE-24h'!I95,'21.10 WOBULENZI-ZIROBWE-24h'!I95)</f>
        <v>0</v>
      </c>
      <c r="J95" s="49">
        <f>AVERAGE('19.10 WOBULENZI-ZIROBWE-24h'!J95,'21.10 WOBULENZI-ZIROBWE-24h'!J95)</f>
        <v>0</v>
      </c>
      <c r="K95" s="49">
        <f>AVERAGE('19.10 WOBULENZI-ZIROBWE-24h'!K95,'21.10 WOBULENZI-ZIROBWE-24h'!K95)</f>
        <v>0</v>
      </c>
      <c r="L95" s="49">
        <f>AVERAGE('19.10 WOBULENZI-ZIROBWE-24h'!L95,'21.10 WOBULENZI-ZIROBWE-24h'!L95)</f>
        <v>0</v>
      </c>
      <c r="M95" s="49">
        <f>AVERAGE('19.10 WOBULENZI-ZIROBWE-24h'!M95,'21.10 WOBULENZI-ZIROBWE-24h'!M95)</f>
        <v>1</v>
      </c>
      <c r="N95" s="49">
        <f>AVERAGE('19.10 WOBULENZI-ZIROBWE-24h'!N95,'21.10 WOBULENZI-ZIROBWE-24h'!N95)</f>
        <v>0</v>
      </c>
      <c r="O95" s="15">
        <f t="shared" si="35"/>
        <v>1</v>
      </c>
      <c r="P95" s="15">
        <f t="shared" si="36"/>
        <v>2</v>
      </c>
      <c r="R95" s="8"/>
      <c r="T95"/>
    </row>
    <row r="96" spans="2:20" ht="23.1" customHeight="1" x14ac:dyDescent="0.25">
      <c r="B96" s="25" t="s">
        <v>136</v>
      </c>
      <c r="C96" s="49">
        <f>AVERAGE('19.10 WOBULENZI-ZIROBWE-24h'!C96,'21.10 WOBULENZI-ZIROBWE-24h'!C96)</f>
        <v>0</v>
      </c>
      <c r="D96" s="49">
        <f>AVERAGE('19.10 WOBULENZI-ZIROBWE-24h'!D96,'21.10 WOBULENZI-ZIROBWE-24h'!D96)</f>
        <v>0</v>
      </c>
      <c r="E96" s="49">
        <f>AVERAGE('19.10 WOBULENZI-ZIROBWE-24h'!E96,'21.10 WOBULENZI-ZIROBWE-24h'!E96)</f>
        <v>0</v>
      </c>
      <c r="F96" s="49">
        <f>AVERAGE('19.10 WOBULENZI-ZIROBWE-24h'!F96,'21.10 WOBULENZI-ZIROBWE-24h'!F96)</f>
        <v>0</v>
      </c>
      <c r="G96" s="49">
        <f>AVERAGE('19.10 WOBULENZI-ZIROBWE-24h'!G96,'21.10 WOBULENZI-ZIROBWE-24h'!G96)</f>
        <v>0</v>
      </c>
      <c r="H96" s="49">
        <f>AVERAGE('19.10 WOBULENZI-ZIROBWE-24h'!H96,'21.10 WOBULENZI-ZIROBWE-24h'!H96)</f>
        <v>0</v>
      </c>
      <c r="I96" s="49">
        <f>AVERAGE('19.10 WOBULENZI-ZIROBWE-24h'!I96,'21.10 WOBULENZI-ZIROBWE-24h'!I96)</f>
        <v>0.5</v>
      </c>
      <c r="J96" s="49">
        <f>AVERAGE('19.10 WOBULENZI-ZIROBWE-24h'!J96,'21.10 WOBULENZI-ZIROBWE-24h'!J96)</f>
        <v>0.5</v>
      </c>
      <c r="K96" s="49">
        <f>AVERAGE('19.10 WOBULENZI-ZIROBWE-24h'!K96,'21.10 WOBULENZI-ZIROBWE-24h'!K96)</f>
        <v>0</v>
      </c>
      <c r="L96" s="49">
        <f>AVERAGE('19.10 WOBULENZI-ZIROBWE-24h'!L96,'21.10 WOBULENZI-ZIROBWE-24h'!L96)</f>
        <v>0</v>
      </c>
      <c r="M96" s="49">
        <f>AVERAGE('19.10 WOBULENZI-ZIROBWE-24h'!M96,'21.10 WOBULENZI-ZIROBWE-24h'!M96)</f>
        <v>0</v>
      </c>
      <c r="N96" s="49">
        <f>AVERAGE('19.10 WOBULENZI-ZIROBWE-24h'!N96,'21.10 WOBULENZI-ZIROBWE-24h'!N96)</f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23" t="s">
        <v>137</v>
      </c>
      <c r="C97" s="49">
        <f>AVERAGE('19.10 WOBULENZI-ZIROBWE-24h'!C97,'21.10 WOBULENZI-ZIROBWE-24h'!C97)</f>
        <v>1</v>
      </c>
      <c r="D97" s="49">
        <f>AVERAGE('19.10 WOBULENZI-ZIROBWE-24h'!D97,'21.10 WOBULENZI-ZIROBWE-24h'!D97)</f>
        <v>0</v>
      </c>
      <c r="E97" s="49">
        <f>AVERAGE('19.10 WOBULENZI-ZIROBWE-24h'!E97,'21.10 WOBULENZI-ZIROBWE-24h'!E97)</f>
        <v>0</v>
      </c>
      <c r="F97" s="49">
        <f>AVERAGE('19.10 WOBULENZI-ZIROBWE-24h'!F97,'21.10 WOBULENZI-ZIROBWE-24h'!F97)</f>
        <v>0.5</v>
      </c>
      <c r="G97" s="49">
        <f>AVERAGE('19.10 WOBULENZI-ZIROBWE-24h'!G97,'21.10 WOBULENZI-ZIROBWE-24h'!G97)</f>
        <v>0</v>
      </c>
      <c r="H97" s="49">
        <f>AVERAGE('19.10 WOBULENZI-ZIROBWE-24h'!H97,'21.10 WOBULENZI-ZIROBWE-24h'!H97)</f>
        <v>0</v>
      </c>
      <c r="I97" s="49">
        <f>AVERAGE('19.10 WOBULENZI-ZIROBWE-24h'!I97,'21.10 WOBULENZI-ZIROBWE-24h'!I97)</f>
        <v>0</v>
      </c>
      <c r="J97" s="49">
        <f>AVERAGE('19.10 WOBULENZI-ZIROBWE-24h'!J97,'21.10 WOBULENZI-ZIROBWE-24h'!J97)</f>
        <v>0</v>
      </c>
      <c r="K97" s="49">
        <f>AVERAGE('19.10 WOBULENZI-ZIROBWE-24h'!K97,'21.10 WOBULENZI-ZIROBWE-24h'!K97)</f>
        <v>0</v>
      </c>
      <c r="L97" s="49">
        <f>AVERAGE('19.10 WOBULENZI-ZIROBWE-24h'!L97,'21.10 WOBULENZI-ZIROBWE-24h'!L97)</f>
        <v>0</v>
      </c>
      <c r="M97" s="49">
        <f>AVERAGE('19.10 WOBULENZI-ZIROBWE-24h'!M97,'21.10 WOBULENZI-ZIROBWE-24h'!M97)</f>
        <v>2</v>
      </c>
      <c r="N97" s="49">
        <f>AVERAGE('19.10 WOBULENZI-ZIROBWE-24h'!N97,'21.10 WOBULENZI-ZIROBWE-24h'!N97)</f>
        <v>0</v>
      </c>
      <c r="O97" s="15">
        <f t="shared" si="35"/>
        <v>1.5</v>
      </c>
      <c r="P97" s="15">
        <f t="shared" si="36"/>
        <v>3.5</v>
      </c>
      <c r="R97" s="8"/>
      <c r="T97"/>
    </row>
    <row r="98" spans="2:20" ht="23.1" customHeight="1" x14ac:dyDescent="0.25">
      <c r="B98" s="24" t="s">
        <v>138</v>
      </c>
      <c r="C98" s="49">
        <f>AVERAGE('19.10 WOBULENZI-ZIROBWE-24h'!C98,'21.10 WOBULENZI-ZIROBWE-24h'!C98)</f>
        <v>0.5</v>
      </c>
      <c r="D98" s="49">
        <f>AVERAGE('19.10 WOBULENZI-ZIROBWE-24h'!D98,'21.10 WOBULENZI-ZIROBWE-24h'!D98)</f>
        <v>0</v>
      </c>
      <c r="E98" s="49">
        <f>AVERAGE('19.10 WOBULENZI-ZIROBWE-24h'!E98,'21.10 WOBULENZI-ZIROBWE-24h'!E98)</f>
        <v>0</v>
      </c>
      <c r="F98" s="49">
        <f>AVERAGE('19.10 WOBULENZI-ZIROBWE-24h'!F98,'21.10 WOBULENZI-ZIROBWE-24h'!F98)</f>
        <v>0.5</v>
      </c>
      <c r="G98" s="49">
        <f>AVERAGE('19.10 WOBULENZI-ZIROBWE-24h'!G98,'21.10 WOBULENZI-ZIROBWE-24h'!G98)</f>
        <v>0</v>
      </c>
      <c r="H98" s="49">
        <f>AVERAGE('19.10 WOBULENZI-ZIROBWE-24h'!H98,'21.10 WOBULENZI-ZIROBWE-24h'!H98)</f>
        <v>0</v>
      </c>
      <c r="I98" s="49">
        <f>AVERAGE('19.10 WOBULENZI-ZIROBWE-24h'!I98,'21.10 WOBULENZI-ZIROBWE-24h'!I98)</f>
        <v>0.5</v>
      </c>
      <c r="J98" s="49">
        <f>AVERAGE('19.10 WOBULENZI-ZIROBWE-24h'!J98,'21.10 WOBULENZI-ZIROBWE-24h'!J98)</f>
        <v>0</v>
      </c>
      <c r="K98" s="49">
        <f>AVERAGE('19.10 WOBULENZI-ZIROBWE-24h'!K98,'21.10 WOBULENZI-ZIROBWE-24h'!K98)</f>
        <v>0</v>
      </c>
      <c r="L98" s="49">
        <f>AVERAGE('19.10 WOBULENZI-ZIROBWE-24h'!L98,'21.10 WOBULENZI-ZIROBWE-24h'!L98)</f>
        <v>0</v>
      </c>
      <c r="M98" s="49">
        <f>AVERAGE('19.10 WOBULENZI-ZIROBWE-24h'!M98,'21.10 WOBULENZI-ZIROBWE-24h'!M98)</f>
        <v>1.5</v>
      </c>
      <c r="N98" s="49">
        <f>AVERAGE('19.10 WOBULENZI-ZIROBWE-24h'!N98,'21.10 WOBULENZI-ZIROBWE-24h'!N98)</f>
        <v>0</v>
      </c>
      <c r="O98" s="15">
        <f t="shared" si="35"/>
        <v>1.5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AVERAGE('19.10 WOBULENZI-ZIROBWE-24h'!C99,'21.10 WOBULENZI-ZIROBWE-24h'!C99)</f>
        <v>0.5</v>
      </c>
      <c r="D99" s="49">
        <f>AVERAGE('19.10 WOBULENZI-ZIROBWE-24h'!D99,'21.10 WOBULENZI-ZIROBWE-24h'!D99)</f>
        <v>1</v>
      </c>
      <c r="E99" s="49">
        <f>AVERAGE('19.10 WOBULENZI-ZIROBWE-24h'!E99,'21.10 WOBULENZI-ZIROBWE-24h'!E99)</f>
        <v>0</v>
      </c>
      <c r="F99" s="49">
        <f>AVERAGE('19.10 WOBULENZI-ZIROBWE-24h'!F99,'21.10 WOBULENZI-ZIROBWE-24h'!F99)</f>
        <v>1</v>
      </c>
      <c r="G99" s="49">
        <f>AVERAGE('19.10 WOBULENZI-ZIROBWE-24h'!G99,'21.10 WOBULENZI-ZIROBWE-24h'!G99)</f>
        <v>0</v>
      </c>
      <c r="H99" s="49">
        <f>AVERAGE('19.10 WOBULENZI-ZIROBWE-24h'!H99,'21.10 WOBULENZI-ZIROBWE-24h'!H99)</f>
        <v>0</v>
      </c>
      <c r="I99" s="49">
        <f>AVERAGE('19.10 WOBULENZI-ZIROBWE-24h'!I99,'21.10 WOBULENZI-ZIROBWE-24h'!I99)</f>
        <v>0</v>
      </c>
      <c r="J99" s="49">
        <f>AVERAGE('19.10 WOBULENZI-ZIROBWE-24h'!J99,'21.10 WOBULENZI-ZIROBWE-24h'!J99)</f>
        <v>1</v>
      </c>
      <c r="K99" s="49">
        <f>AVERAGE('19.10 WOBULENZI-ZIROBWE-24h'!K99,'21.10 WOBULENZI-ZIROBWE-24h'!K99)</f>
        <v>0</v>
      </c>
      <c r="L99" s="49">
        <f>AVERAGE('19.10 WOBULENZI-ZIROBWE-24h'!L99,'21.10 WOBULENZI-ZIROBWE-24h'!L99)</f>
        <v>0</v>
      </c>
      <c r="M99" s="49">
        <f>AVERAGE('19.10 WOBULENZI-ZIROBWE-24h'!M99,'21.10 WOBULENZI-ZIROBWE-24h'!M99)</f>
        <v>2</v>
      </c>
      <c r="N99" s="49">
        <f>AVERAGE('19.10 WOBULENZI-ZIROBWE-24h'!N99,'21.10 WOBULENZI-ZIROBWE-24h'!N99)</f>
        <v>0</v>
      </c>
      <c r="O99" s="15">
        <f t="shared" si="35"/>
        <v>3.5</v>
      </c>
      <c r="P99" s="15">
        <f t="shared" si="36"/>
        <v>5.5</v>
      </c>
      <c r="R99" s="8"/>
      <c r="T99"/>
    </row>
    <row r="100" spans="2:20" ht="23.1" customHeight="1" x14ac:dyDescent="0.25">
      <c r="B100" s="25" t="s">
        <v>140</v>
      </c>
      <c r="C100" s="49">
        <f>AVERAGE('19.10 WOBULENZI-ZIROBWE-24h'!C100,'21.10 WOBULENZI-ZIROBWE-24h'!C100)</f>
        <v>0</v>
      </c>
      <c r="D100" s="49">
        <f>AVERAGE('19.10 WOBULENZI-ZIROBWE-24h'!D100,'21.10 WOBULENZI-ZIROBWE-24h'!D100)</f>
        <v>0.5</v>
      </c>
      <c r="E100" s="49">
        <f>AVERAGE('19.10 WOBULENZI-ZIROBWE-24h'!E100,'21.10 WOBULENZI-ZIROBWE-24h'!E100)</f>
        <v>0</v>
      </c>
      <c r="F100" s="49">
        <f>AVERAGE('19.10 WOBULENZI-ZIROBWE-24h'!F100,'21.10 WOBULENZI-ZIROBWE-24h'!F100)</f>
        <v>0.5</v>
      </c>
      <c r="G100" s="49">
        <f>AVERAGE('19.10 WOBULENZI-ZIROBWE-24h'!G100,'21.10 WOBULENZI-ZIROBWE-24h'!G100)</f>
        <v>0</v>
      </c>
      <c r="H100" s="49">
        <f>AVERAGE('19.10 WOBULENZI-ZIROBWE-24h'!H100,'21.10 WOBULENZI-ZIROBWE-24h'!H100)</f>
        <v>0</v>
      </c>
      <c r="I100" s="49">
        <f>AVERAGE('19.10 WOBULENZI-ZIROBWE-24h'!I100,'21.10 WOBULENZI-ZIROBWE-24h'!I100)</f>
        <v>0</v>
      </c>
      <c r="J100" s="49">
        <f>AVERAGE('19.10 WOBULENZI-ZIROBWE-24h'!J100,'21.10 WOBULENZI-ZIROBWE-24h'!J100)</f>
        <v>0.5</v>
      </c>
      <c r="K100" s="49">
        <f>AVERAGE('19.10 WOBULENZI-ZIROBWE-24h'!K100,'21.10 WOBULENZI-ZIROBWE-24h'!K100)</f>
        <v>0</v>
      </c>
      <c r="L100" s="49">
        <f>AVERAGE('19.10 WOBULENZI-ZIROBWE-24h'!L100,'21.10 WOBULENZI-ZIROBWE-24h'!L100)</f>
        <v>0</v>
      </c>
      <c r="M100" s="49">
        <f>AVERAGE('19.10 WOBULENZI-ZIROBWE-24h'!M100,'21.10 WOBULENZI-ZIROBWE-24h'!M100)</f>
        <v>3</v>
      </c>
      <c r="N100" s="49">
        <f>AVERAGE('19.10 WOBULENZI-ZIROBWE-24h'!N100,'21.10 WOBULENZI-ZIROBWE-24h'!N100)</f>
        <v>0</v>
      </c>
      <c r="O100" s="15">
        <f t="shared" si="35"/>
        <v>1.5</v>
      </c>
      <c r="P100" s="15">
        <f t="shared" si="36"/>
        <v>4.5</v>
      </c>
      <c r="R100" s="8"/>
      <c r="T100"/>
    </row>
    <row r="101" spans="2:20" ht="23.1" customHeight="1" x14ac:dyDescent="0.25">
      <c r="B101" s="23" t="s">
        <v>141</v>
      </c>
      <c r="C101" s="49">
        <f>AVERAGE('19.10 WOBULENZI-ZIROBWE-24h'!C101,'21.10 WOBULENZI-ZIROBWE-24h'!C101)</f>
        <v>0.5</v>
      </c>
      <c r="D101" s="49">
        <f>AVERAGE('19.10 WOBULENZI-ZIROBWE-24h'!D101,'21.10 WOBULENZI-ZIROBWE-24h'!D101)</f>
        <v>0.5</v>
      </c>
      <c r="E101" s="49">
        <f>AVERAGE('19.10 WOBULENZI-ZIROBWE-24h'!E101,'21.10 WOBULENZI-ZIROBWE-24h'!E101)</f>
        <v>0</v>
      </c>
      <c r="F101" s="49">
        <f>AVERAGE('19.10 WOBULENZI-ZIROBWE-24h'!F101,'21.10 WOBULENZI-ZIROBWE-24h'!F101)</f>
        <v>0.5</v>
      </c>
      <c r="G101" s="49">
        <f>AVERAGE('19.10 WOBULENZI-ZIROBWE-24h'!G101,'21.10 WOBULENZI-ZIROBWE-24h'!G101)</f>
        <v>0</v>
      </c>
      <c r="H101" s="49">
        <f>AVERAGE('19.10 WOBULENZI-ZIROBWE-24h'!H101,'21.10 WOBULENZI-ZIROBWE-24h'!H101)</f>
        <v>0</v>
      </c>
      <c r="I101" s="49">
        <f>AVERAGE('19.10 WOBULENZI-ZIROBWE-24h'!I101,'21.10 WOBULENZI-ZIROBWE-24h'!I101)</f>
        <v>0</v>
      </c>
      <c r="J101" s="49">
        <f>AVERAGE('19.10 WOBULENZI-ZIROBWE-24h'!J101,'21.10 WOBULENZI-ZIROBWE-24h'!J101)</f>
        <v>0</v>
      </c>
      <c r="K101" s="49">
        <f>AVERAGE('19.10 WOBULENZI-ZIROBWE-24h'!K101,'21.10 WOBULENZI-ZIROBWE-24h'!K101)</f>
        <v>0</v>
      </c>
      <c r="L101" s="49">
        <f>AVERAGE('19.10 WOBULENZI-ZIROBWE-24h'!L101,'21.10 WOBULENZI-ZIROBWE-24h'!L101)</f>
        <v>0</v>
      </c>
      <c r="M101" s="49">
        <f>AVERAGE('19.10 WOBULENZI-ZIROBWE-24h'!M101,'21.10 WOBULENZI-ZIROBWE-24h'!M101)</f>
        <v>2.5</v>
      </c>
      <c r="N101" s="49">
        <f>AVERAGE('19.10 WOBULENZI-ZIROBWE-24h'!N101,'21.10 WOBULENZI-ZIROBWE-24h'!N101)</f>
        <v>0</v>
      </c>
      <c r="O101" s="15">
        <f t="shared" si="35"/>
        <v>1.5</v>
      </c>
      <c r="P101" s="15">
        <f t="shared" si="36"/>
        <v>4</v>
      </c>
      <c r="R101" s="8"/>
      <c r="T101"/>
    </row>
    <row r="102" spans="2:20" ht="23.1" customHeight="1" x14ac:dyDescent="0.25">
      <c r="B102" s="24" t="s">
        <v>142</v>
      </c>
      <c r="C102" s="49">
        <f>AVERAGE('19.10 WOBULENZI-ZIROBWE-24h'!C102,'21.10 WOBULENZI-ZIROBWE-24h'!C102)</f>
        <v>0.5</v>
      </c>
      <c r="D102" s="49">
        <f>AVERAGE('19.10 WOBULENZI-ZIROBWE-24h'!D102,'21.10 WOBULENZI-ZIROBWE-24h'!D102)</f>
        <v>0</v>
      </c>
      <c r="E102" s="49">
        <f>AVERAGE('19.10 WOBULENZI-ZIROBWE-24h'!E102,'21.10 WOBULENZI-ZIROBWE-24h'!E102)</f>
        <v>0</v>
      </c>
      <c r="F102" s="49">
        <f>AVERAGE('19.10 WOBULENZI-ZIROBWE-24h'!F102,'21.10 WOBULENZI-ZIROBWE-24h'!F102)</f>
        <v>0.5</v>
      </c>
      <c r="G102" s="49">
        <f>AVERAGE('19.10 WOBULENZI-ZIROBWE-24h'!G102,'21.10 WOBULENZI-ZIROBWE-24h'!G102)</f>
        <v>0</v>
      </c>
      <c r="H102" s="49">
        <f>AVERAGE('19.10 WOBULENZI-ZIROBWE-24h'!H102,'21.10 WOBULENZI-ZIROBWE-24h'!H102)</f>
        <v>0</v>
      </c>
      <c r="I102" s="49">
        <f>AVERAGE('19.10 WOBULENZI-ZIROBWE-24h'!I102,'21.10 WOBULENZI-ZIROBWE-24h'!I102)</f>
        <v>0</v>
      </c>
      <c r="J102" s="49">
        <f>AVERAGE('19.10 WOBULENZI-ZIROBWE-24h'!J102,'21.10 WOBULENZI-ZIROBWE-24h'!J102)</f>
        <v>0</v>
      </c>
      <c r="K102" s="49">
        <f>AVERAGE('19.10 WOBULENZI-ZIROBWE-24h'!K102,'21.10 WOBULENZI-ZIROBWE-24h'!K102)</f>
        <v>0</v>
      </c>
      <c r="L102" s="49">
        <f>AVERAGE('19.10 WOBULENZI-ZIROBWE-24h'!L102,'21.10 WOBULENZI-ZIROBWE-24h'!L102)</f>
        <v>0</v>
      </c>
      <c r="M102" s="49">
        <f>AVERAGE('19.10 WOBULENZI-ZIROBWE-24h'!M102,'21.10 WOBULENZI-ZIROBWE-24h'!M102)</f>
        <v>3</v>
      </c>
      <c r="N102" s="49">
        <f>AVERAGE('19.10 WOBULENZI-ZIROBWE-24h'!N102,'21.10 WOBULENZI-ZIROBWE-24h'!N102)</f>
        <v>0</v>
      </c>
      <c r="O102" s="15">
        <f t="shared" si="35"/>
        <v>1</v>
      </c>
      <c r="P102" s="15">
        <f t="shared" si="36"/>
        <v>4</v>
      </c>
      <c r="R102" s="8"/>
      <c r="T102"/>
    </row>
    <row r="103" spans="2:20" ht="23.1" customHeight="1" x14ac:dyDescent="0.25">
      <c r="B103" s="23" t="s">
        <v>143</v>
      </c>
      <c r="C103" s="49">
        <f>AVERAGE('19.10 WOBULENZI-ZIROBWE-24h'!C103,'21.10 WOBULENZI-ZIROBWE-24h'!C103)</f>
        <v>0</v>
      </c>
      <c r="D103" s="49">
        <f>AVERAGE('19.10 WOBULENZI-ZIROBWE-24h'!D103,'21.10 WOBULENZI-ZIROBWE-24h'!D103)</f>
        <v>0</v>
      </c>
      <c r="E103" s="49">
        <f>AVERAGE('19.10 WOBULENZI-ZIROBWE-24h'!E103,'21.10 WOBULENZI-ZIROBWE-24h'!E103)</f>
        <v>0</v>
      </c>
      <c r="F103" s="49">
        <f>AVERAGE('19.10 WOBULENZI-ZIROBWE-24h'!F103,'21.10 WOBULENZI-ZIROBWE-24h'!F103)</f>
        <v>1.5</v>
      </c>
      <c r="G103" s="49">
        <f>AVERAGE('19.10 WOBULENZI-ZIROBWE-24h'!G103,'21.10 WOBULENZI-ZIROBWE-24h'!G103)</f>
        <v>0</v>
      </c>
      <c r="H103" s="49">
        <f>AVERAGE('19.10 WOBULENZI-ZIROBWE-24h'!H103,'21.10 WOBULENZI-ZIROBWE-24h'!H103)</f>
        <v>0</v>
      </c>
      <c r="I103" s="49">
        <f>AVERAGE('19.10 WOBULENZI-ZIROBWE-24h'!I103,'21.10 WOBULENZI-ZIROBWE-24h'!I103)</f>
        <v>0.5</v>
      </c>
      <c r="J103" s="49">
        <f>AVERAGE('19.10 WOBULENZI-ZIROBWE-24h'!J103,'21.10 WOBULENZI-ZIROBWE-24h'!J103)</f>
        <v>0.5</v>
      </c>
      <c r="K103" s="49">
        <f>AVERAGE('19.10 WOBULENZI-ZIROBWE-24h'!K103,'21.10 WOBULENZI-ZIROBWE-24h'!K103)</f>
        <v>0</v>
      </c>
      <c r="L103" s="49">
        <f>AVERAGE('19.10 WOBULENZI-ZIROBWE-24h'!L103,'21.10 WOBULENZI-ZIROBWE-24h'!L103)</f>
        <v>0</v>
      </c>
      <c r="M103" s="49">
        <f>AVERAGE('19.10 WOBULENZI-ZIROBWE-24h'!M103,'21.10 WOBULENZI-ZIROBWE-24h'!M103)</f>
        <v>5</v>
      </c>
      <c r="N103" s="49">
        <f>AVERAGE('19.10 WOBULENZI-ZIROBWE-24h'!N103,'21.10 WOBULENZI-ZIROBWE-24h'!N103)</f>
        <v>0</v>
      </c>
      <c r="O103" s="15">
        <f t="shared" si="35"/>
        <v>2.5</v>
      </c>
      <c r="P103" s="15">
        <f t="shared" si="36"/>
        <v>7.5</v>
      </c>
      <c r="R103" s="8"/>
      <c r="T103"/>
    </row>
    <row r="104" spans="2:20" ht="23.1" customHeight="1" x14ac:dyDescent="0.25">
      <c r="B104" s="25" t="s">
        <v>144</v>
      </c>
      <c r="C104" s="49">
        <f>AVERAGE('19.10 WOBULENZI-ZIROBWE-24h'!C104,'21.10 WOBULENZI-ZIROBWE-24h'!C104)</f>
        <v>0</v>
      </c>
      <c r="D104" s="49">
        <f>AVERAGE('19.10 WOBULENZI-ZIROBWE-24h'!D104,'21.10 WOBULENZI-ZIROBWE-24h'!D104)</f>
        <v>0</v>
      </c>
      <c r="E104" s="49">
        <f>AVERAGE('19.10 WOBULENZI-ZIROBWE-24h'!E104,'21.10 WOBULENZI-ZIROBWE-24h'!E104)</f>
        <v>0</v>
      </c>
      <c r="F104" s="49">
        <f>AVERAGE('19.10 WOBULENZI-ZIROBWE-24h'!F104,'21.10 WOBULENZI-ZIROBWE-24h'!F104)</f>
        <v>1</v>
      </c>
      <c r="G104" s="49">
        <f>AVERAGE('19.10 WOBULENZI-ZIROBWE-24h'!G104,'21.10 WOBULENZI-ZIROBWE-24h'!G104)</f>
        <v>0</v>
      </c>
      <c r="H104" s="49">
        <f>AVERAGE('19.10 WOBULENZI-ZIROBWE-24h'!H104,'21.10 WOBULENZI-ZIROBWE-24h'!H104)</f>
        <v>0</v>
      </c>
      <c r="I104" s="49">
        <f>AVERAGE('19.10 WOBULENZI-ZIROBWE-24h'!I104,'21.10 WOBULENZI-ZIROBWE-24h'!I104)</f>
        <v>0</v>
      </c>
      <c r="J104" s="49">
        <f>AVERAGE('19.10 WOBULENZI-ZIROBWE-24h'!J104,'21.10 WOBULENZI-ZIROBWE-24h'!J104)</f>
        <v>0</v>
      </c>
      <c r="K104" s="49">
        <f>AVERAGE('19.10 WOBULENZI-ZIROBWE-24h'!K104,'21.10 WOBULENZI-ZIROBWE-24h'!K104)</f>
        <v>0</v>
      </c>
      <c r="L104" s="49">
        <f>AVERAGE('19.10 WOBULENZI-ZIROBWE-24h'!L104,'21.10 WOBULENZI-ZIROBWE-24h'!L104)</f>
        <v>0</v>
      </c>
      <c r="M104" s="49">
        <f>AVERAGE('19.10 WOBULENZI-ZIROBWE-24h'!M104,'21.10 WOBULENZI-ZIROBWE-24h'!M104)</f>
        <v>6</v>
      </c>
      <c r="N104" s="49">
        <f>AVERAGE('19.10 WOBULENZI-ZIROBWE-24h'!N104,'21.10 WOBULENZI-ZIROBWE-24h'!N104)</f>
        <v>0</v>
      </c>
      <c r="O104" s="15">
        <f t="shared" si="35"/>
        <v>1</v>
      </c>
      <c r="P104" s="15">
        <f t="shared" si="36"/>
        <v>7</v>
      </c>
      <c r="R104" s="8"/>
      <c r="T104"/>
    </row>
    <row r="105" spans="2:20" ht="23.1" customHeight="1" x14ac:dyDescent="0.25">
      <c r="B105" s="23" t="s">
        <v>145</v>
      </c>
      <c r="C105" s="49">
        <f>AVERAGE('19.10 WOBULENZI-ZIROBWE-24h'!C105,'21.10 WOBULENZI-ZIROBWE-24h'!C105)</f>
        <v>0</v>
      </c>
      <c r="D105" s="49">
        <f>AVERAGE('19.10 WOBULENZI-ZIROBWE-24h'!D105,'21.10 WOBULENZI-ZIROBWE-24h'!D105)</f>
        <v>0</v>
      </c>
      <c r="E105" s="49">
        <f>AVERAGE('19.10 WOBULENZI-ZIROBWE-24h'!E105,'21.10 WOBULENZI-ZIROBWE-24h'!E105)</f>
        <v>0.5</v>
      </c>
      <c r="F105" s="49">
        <f>AVERAGE('19.10 WOBULENZI-ZIROBWE-24h'!F105,'21.10 WOBULENZI-ZIROBWE-24h'!F105)</f>
        <v>1.5</v>
      </c>
      <c r="G105" s="49">
        <f>AVERAGE('19.10 WOBULENZI-ZIROBWE-24h'!G105,'21.10 WOBULENZI-ZIROBWE-24h'!G105)</f>
        <v>0</v>
      </c>
      <c r="H105" s="49">
        <f>AVERAGE('19.10 WOBULENZI-ZIROBWE-24h'!H105,'21.10 WOBULENZI-ZIROBWE-24h'!H105)</f>
        <v>0</v>
      </c>
      <c r="I105" s="49">
        <f>AVERAGE('19.10 WOBULENZI-ZIROBWE-24h'!I105,'21.10 WOBULENZI-ZIROBWE-24h'!I105)</f>
        <v>0</v>
      </c>
      <c r="J105" s="49">
        <f>AVERAGE('19.10 WOBULENZI-ZIROBWE-24h'!J105,'21.10 WOBULENZI-ZIROBWE-24h'!J105)</f>
        <v>0</v>
      </c>
      <c r="K105" s="49">
        <f>AVERAGE('19.10 WOBULENZI-ZIROBWE-24h'!K105,'21.10 WOBULENZI-ZIROBWE-24h'!K105)</f>
        <v>0</v>
      </c>
      <c r="L105" s="49">
        <f>AVERAGE('19.10 WOBULENZI-ZIROBWE-24h'!L105,'21.10 WOBULENZI-ZIROBWE-24h'!L105)</f>
        <v>0</v>
      </c>
      <c r="M105" s="49">
        <f>AVERAGE('19.10 WOBULENZI-ZIROBWE-24h'!M105,'21.10 WOBULENZI-ZIROBWE-24h'!M105)</f>
        <v>14.5</v>
      </c>
      <c r="N105" s="49">
        <f>AVERAGE('19.10 WOBULENZI-ZIROBWE-24h'!N105,'21.10 WOBULENZI-ZIROBWE-24h'!N105)</f>
        <v>0</v>
      </c>
      <c r="O105" s="15">
        <f t="shared" si="35"/>
        <v>2</v>
      </c>
      <c r="P105" s="15">
        <f t="shared" si="36"/>
        <v>16.5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54.928571428571431</v>
      </c>
      <c r="D106" s="16">
        <f t="shared" ref="D106:P106" si="37">SUM(D10:D105)</f>
        <v>22.714285714285708</v>
      </c>
      <c r="E106" s="16">
        <f t="shared" si="37"/>
        <v>14.142857142857146</v>
      </c>
      <c r="F106" s="16">
        <f t="shared" si="37"/>
        <v>35.142857142857139</v>
      </c>
      <c r="G106" s="16">
        <f t="shared" si="37"/>
        <v>2.714285714285714</v>
      </c>
      <c r="H106" s="16">
        <f t="shared" si="37"/>
        <v>0.2857142857142857</v>
      </c>
      <c r="I106" s="16">
        <f t="shared" si="37"/>
        <v>28.785714285714274</v>
      </c>
      <c r="J106" s="16">
        <f t="shared" si="37"/>
        <v>50.285714285714285</v>
      </c>
      <c r="K106" s="16">
        <f t="shared" si="37"/>
        <v>1.7142857142857142</v>
      </c>
      <c r="L106" s="16">
        <f t="shared" si="37"/>
        <v>0.5714285714285714</v>
      </c>
      <c r="M106" s="16">
        <f t="shared" si="37"/>
        <v>1085</v>
      </c>
      <c r="N106" s="16">
        <f t="shared" si="37"/>
        <v>1.7142857142857144</v>
      </c>
      <c r="O106" s="16">
        <f t="shared" si="37"/>
        <v>213</v>
      </c>
      <c r="P106" s="16">
        <f t="shared" si="37"/>
        <v>1298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4.2317851639885537E-2</v>
      </c>
      <c r="D107" s="43">
        <f t="shared" si="38"/>
        <v>1.749944970283953E-2</v>
      </c>
      <c r="E107" s="43">
        <f t="shared" si="38"/>
        <v>1.0895883777239712E-2</v>
      </c>
      <c r="F107" s="43">
        <f t="shared" si="38"/>
        <v>2.7074620294959276E-2</v>
      </c>
      <c r="G107" s="43">
        <f t="shared" si="38"/>
        <v>2.0911292097732775E-3</v>
      </c>
      <c r="H107" s="43">
        <f t="shared" si="38"/>
        <v>2.2011886418666079E-4</v>
      </c>
      <c r="I107" s="43">
        <f t="shared" si="38"/>
        <v>2.2176975566806065E-2</v>
      </c>
      <c r="J107" s="43">
        <f t="shared" si="38"/>
        <v>3.8740920096852302E-2</v>
      </c>
      <c r="K107" s="43">
        <f t="shared" si="38"/>
        <v>1.3207131851199648E-3</v>
      </c>
      <c r="L107" s="43">
        <f t="shared" si="38"/>
        <v>4.4023772837332157E-4</v>
      </c>
      <c r="M107" s="43">
        <f t="shared" si="38"/>
        <v>0.8359013867488444</v>
      </c>
      <c r="N107" s="43">
        <f t="shared" si="38"/>
        <v>1.320713185119965E-3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0.2578806170355466</v>
      </c>
      <c r="D108" s="44">
        <f t="shared" ref="D108:N108" si="39">D106/$O$106</f>
        <v>0.10663983903420521</v>
      </c>
      <c r="E108" s="44">
        <f t="shared" si="39"/>
        <v>6.6398390342052332E-2</v>
      </c>
      <c r="F108" s="44">
        <f t="shared" si="39"/>
        <v>0.16498993963782693</v>
      </c>
      <c r="G108" s="44">
        <f t="shared" si="39"/>
        <v>1.2743125419181756E-2</v>
      </c>
      <c r="H108" s="44">
        <f t="shared" si="39"/>
        <v>1.3413816230717639E-3</v>
      </c>
      <c r="I108" s="44">
        <f t="shared" si="39"/>
        <v>0.13514419852448015</v>
      </c>
      <c r="J108" s="44">
        <f t="shared" si="39"/>
        <v>0.23608316566063045</v>
      </c>
      <c r="K108" s="44">
        <f t="shared" si="39"/>
        <v>8.0482897384305824E-3</v>
      </c>
      <c r="L108" s="44">
        <f t="shared" si="39"/>
        <v>2.6827632461435278E-3</v>
      </c>
      <c r="M108" s="44"/>
      <c r="N108" s="44">
        <f t="shared" si="39"/>
        <v>8.0482897384305842E-3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topLeftCell="L36" zoomScale="60" workbookViewId="0">
      <selection activeCell="V28" sqref="V2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'17.10 ZIROBWE-WOBULENZI'!C3:G3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163</v>
      </c>
      <c r="E5" s="67"/>
      <c r="F5" s="41" t="s">
        <v>1</v>
      </c>
      <c r="G5" s="64" t="str">
        <f>'17.10 ZIROBWE-WOBULENZI'!G5:H5</f>
        <v>STATION 88</v>
      </c>
      <c r="H5" s="65"/>
      <c r="I5" s="14"/>
      <c r="J5" s="2" t="s">
        <v>5</v>
      </c>
      <c r="K5" s="64" t="s">
        <v>179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4" t="str">
        <f>'17.10 ZIROBWE-WOBULENZI'!D6:E6</f>
        <v>ZIROBWE</v>
      </c>
      <c r="E6" s="65"/>
      <c r="F6" s="2" t="s">
        <v>2</v>
      </c>
      <c r="G6" s="64" t="str">
        <f>'17.10 ZIROBWE-WOBULENZI'!G6:H6</f>
        <v>WOBULENZI</v>
      </c>
      <c r="H6" s="65"/>
      <c r="J6" s="2" t="s">
        <v>21</v>
      </c>
      <c r="K6" s="64" t="str">
        <f>'17.10 ZIROBWE-WOBULENZI'!K6:L6</f>
        <v>BELLA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ZIROBWE-WOBULENZI'!C10,'18.10 ZIROBWE-WOBULENZI'!C10,'19.10 ZIROBWE-WOBULENZI-24h'!C10,'20.10 ZIROBWE-WOBULENZI'!C10,'21.10 ZIROBWE-WOBULENZI-24h'!C10,'22.10 ZIROBWE-WOBULENZI'!C10,'23.10 ZIROBWE-WOBULENZI'!C10)</f>
        <v>0.2857142857142857</v>
      </c>
      <c r="D10" s="49">
        <f>AVERAGE('17.10 ZIROBWE-WOBULENZI'!D10,'18.10 ZIROBWE-WOBULENZI'!D10,'19.10 ZIROBWE-WOBULENZI-24h'!D10,'20.10 ZIROBWE-WOBULENZI'!D10,'21.10 ZIROBWE-WOBULENZI-24h'!D10,'22.10 ZIROBWE-WOBULENZI'!D10,'23.10 ZIROBWE-WOBULENZI'!D10)</f>
        <v>0.14285714285714285</v>
      </c>
      <c r="E10" s="49">
        <f>AVERAGE('17.10 ZIROBWE-WOBULENZI'!E10,'18.10 ZIROBWE-WOBULENZI'!E10,'19.10 ZIROBWE-WOBULENZI-24h'!E10,'20.10 ZIROBWE-WOBULENZI'!E10,'21.10 ZIROBWE-WOBULENZI-24h'!E10,'22.10 ZIROBWE-WOBULENZI'!E10,'23.10 ZIROBWE-WOBULENZI'!E10)</f>
        <v>0</v>
      </c>
      <c r="F10" s="49">
        <f>AVERAGE('17.10 ZIROBWE-WOBULENZI'!F10,'18.10 ZIROBWE-WOBULENZI'!F10,'19.10 ZIROBWE-WOBULENZI-24h'!F10,'20.10 ZIROBWE-WOBULENZI'!F10,'21.10 ZIROBWE-WOBULENZI-24h'!F10,'22.10 ZIROBWE-WOBULENZI'!F10,'23.10 ZIROBWE-WOBULENZI'!F10)</f>
        <v>0.2857142857142857</v>
      </c>
      <c r="G10" s="49">
        <f>AVERAGE('17.10 ZIROBWE-WOBULENZI'!G10,'18.10 ZIROBWE-WOBULENZI'!G10,'19.10 ZIROBWE-WOBULENZI-24h'!G10,'20.10 ZIROBWE-WOBULENZI'!G10,'21.10 ZIROBWE-WOBULENZI-24h'!G10,'22.10 ZIROBWE-WOBULENZI'!G10,'23.10 ZIROBWE-WOBULENZI'!G10)</f>
        <v>0</v>
      </c>
      <c r="H10" s="49">
        <f>AVERAGE('17.10 ZIROBWE-WOBULENZI'!H10,'18.10 ZIROBWE-WOBULENZI'!H10,'19.10 ZIROBWE-WOBULENZI-24h'!H10,'20.10 ZIROBWE-WOBULENZI'!H10,'21.10 ZIROBWE-WOBULENZI-24h'!H10,'22.10 ZIROBWE-WOBULENZI'!H10,'23.10 ZIROBWE-WOBULENZI'!H10)</f>
        <v>0</v>
      </c>
      <c r="I10" s="49">
        <f>AVERAGE('17.10 ZIROBWE-WOBULENZI'!I10,'18.10 ZIROBWE-WOBULENZI'!I10,'19.10 ZIROBWE-WOBULENZI-24h'!I10,'20.10 ZIROBWE-WOBULENZI'!I10,'21.10 ZIROBWE-WOBULENZI-24h'!I10,'22.10 ZIROBWE-WOBULENZI'!I10,'23.10 ZIROBWE-WOBULENZI'!I10)</f>
        <v>0.2857142857142857</v>
      </c>
      <c r="J10" s="49">
        <f>AVERAGE('17.10 ZIROBWE-WOBULENZI'!J10,'18.10 ZIROBWE-WOBULENZI'!J10,'19.10 ZIROBWE-WOBULENZI-24h'!J10,'20.10 ZIROBWE-WOBULENZI'!J10,'21.10 ZIROBWE-WOBULENZI-24h'!J10,'22.10 ZIROBWE-WOBULENZI'!J10,'23.10 ZIROBWE-WOBULENZI'!J10)</f>
        <v>0.5714285714285714</v>
      </c>
      <c r="K10" s="49">
        <f>AVERAGE('17.10 ZIROBWE-WOBULENZI'!K10,'18.10 ZIROBWE-WOBULENZI'!K10,'19.10 ZIROBWE-WOBULENZI-24h'!K10,'20.10 ZIROBWE-WOBULENZI'!K10,'21.10 ZIROBWE-WOBULENZI-24h'!K10,'22.10 ZIROBWE-WOBULENZI'!K10,'23.10 ZIROBWE-WOBULENZI'!K10)</f>
        <v>0</v>
      </c>
      <c r="L10" s="49">
        <f>AVERAGE('17.10 ZIROBWE-WOBULENZI'!L10,'18.10 ZIROBWE-WOBULENZI'!L10,'19.10 ZIROBWE-WOBULENZI-24h'!L10,'20.10 ZIROBWE-WOBULENZI'!L10,'21.10 ZIROBWE-WOBULENZI-24h'!L10,'22.10 ZIROBWE-WOBULENZI'!L10,'23.10 ZIROBWE-WOBULENZI'!L10)</f>
        <v>0</v>
      </c>
      <c r="M10" s="49">
        <f>AVERAGE('17.10 ZIROBWE-WOBULENZI'!M10,'18.10 ZIROBWE-WOBULENZI'!M10,'19.10 ZIROBWE-WOBULENZI-24h'!M10,'20.10 ZIROBWE-WOBULENZI'!M10,'21.10 ZIROBWE-WOBULENZI-24h'!M10,'22.10 ZIROBWE-WOBULENZI'!M10,'23.10 ZIROBWE-WOBULENZI'!M10)</f>
        <v>10.571428571428571</v>
      </c>
      <c r="N10" s="49">
        <f>AVERAGE('17.10 ZIROBWE-WOBULENZI'!N10,'18.10 ZIROBWE-WOBULENZI'!N10,'19.10 ZIROBWE-WOBULENZI-24h'!N10,'20.10 ZIROBWE-WOBULENZI'!N10,'21.10 ZIROBWE-WOBULENZI-24h'!N10,'22.10 ZIROBWE-WOBULENZI'!N10,'23.10 ZIROBWE-WOBULENZI'!N10)</f>
        <v>0</v>
      </c>
      <c r="O10" s="15">
        <f t="shared" ref="O10:O73" si="0">SUM(C10:L10,N10)</f>
        <v>1.5714285714285712</v>
      </c>
      <c r="P10" s="15">
        <f t="shared" ref="P10:P73" si="1">SUM(C10:N10)</f>
        <v>12.142857142857142</v>
      </c>
      <c r="R10" s="1" t="s">
        <v>6</v>
      </c>
      <c r="S10" s="17">
        <f t="shared" ref="S10:AF10" si="2">SUM(C10:C13)</f>
        <v>1.2857142857142856</v>
      </c>
      <c r="T10" s="17">
        <f t="shared" si="2"/>
        <v>0.8571428571428571</v>
      </c>
      <c r="U10" s="17">
        <f t="shared" si="2"/>
        <v>0</v>
      </c>
      <c r="V10" s="17">
        <f t="shared" si="2"/>
        <v>0.42857142857142855</v>
      </c>
      <c r="W10" s="17">
        <f t="shared" si="2"/>
        <v>0</v>
      </c>
      <c r="X10" s="17">
        <f t="shared" si="2"/>
        <v>0</v>
      </c>
      <c r="Y10" s="17">
        <f t="shared" si="2"/>
        <v>1.4285714285714286</v>
      </c>
      <c r="Z10" s="17">
        <f t="shared" si="2"/>
        <v>1.4285714285714286</v>
      </c>
      <c r="AA10" s="17">
        <f t="shared" si="2"/>
        <v>0</v>
      </c>
      <c r="AB10" s="17">
        <f t="shared" si="2"/>
        <v>0</v>
      </c>
      <c r="AC10" s="17">
        <f t="shared" si="2"/>
        <v>45.142857142857139</v>
      </c>
      <c r="AD10" s="17">
        <f t="shared" si="2"/>
        <v>0</v>
      </c>
      <c r="AE10" s="31">
        <f t="shared" si="2"/>
        <v>5.4285714285714279</v>
      </c>
      <c r="AF10" s="31">
        <f t="shared" si="2"/>
        <v>50.571428571428569</v>
      </c>
    </row>
    <row r="11" spans="2:32" s="6" customFormat="1" ht="23.1" customHeight="1" x14ac:dyDescent="0.25">
      <c r="B11" s="23" t="s">
        <v>38</v>
      </c>
      <c r="C11" s="49">
        <f>AVERAGE('17.10 ZIROBWE-WOBULENZI'!C11,'18.10 ZIROBWE-WOBULENZI'!C11,'19.10 ZIROBWE-WOBULENZI-24h'!C11,'20.10 ZIROBWE-WOBULENZI'!C11,'21.10 ZIROBWE-WOBULENZI-24h'!C11,'22.10 ZIROBWE-WOBULENZI'!C11,'23.10 ZIROBWE-WOBULENZI'!C11)</f>
        <v>0.5714285714285714</v>
      </c>
      <c r="D11" s="49">
        <f>AVERAGE('17.10 ZIROBWE-WOBULENZI'!D11,'18.10 ZIROBWE-WOBULENZI'!D11,'19.10 ZIROBWE-WOBULENZI-24h'!D11,'20.10 ZIROBWE-WOBULENZI'!D11,'21.10 ZIROBWE-WOBULENZI-24h'!D11,'22.10 ZIROBWE-WOBULENZI'!D11,'23.10 ZIROBWE-WOBULENZI'!D11)</f>
        <v>0.14285714285714285</v>
      </c>
      <c r="E11" s="49">
        <f>AVERAGE('17.10 ZIROBWE-WOBULENZI'!E11,'18.10 ZIROBWE-WOBULENZI'!E11,'19.10 ZIROBWE-WOBULENZI-24h'!E11,'20.10 ZIROBWE-WOBULENZI'!E11,'21.10 ZIROBWE-WOBULENZI-24h'!E11,'22.10 ZIROBWE-WOBULENZI'!E11,'23.10 ZIROBWE-WOBULENZI'!E11)</f>
        <v>0</v>
      </c>
      <c r="F11" s="49">
        <f>AVERAGE('17.10 ZIROBWE-WOBULENZI'!F11,'18.10 ZIROBWE-WOBULENZI'!F11,'19.10 ZIROBWE-WOBULENZI-24h'!F11,'20.10 ZIROBWE-WOBULENZI'!F11,'21.10 ZIROBWE-WOBULENZI-24h'!F11,'22.10 ZIROBWE-WOBULENZI'!F11,'23.10 ZIROBWE-WOBULENZI'!F11)</f>
        <v>0</v>
      </c>
      <c r="G11" s="49">
        <f>AVERAGE('17.10 ZIROBWE-WOBULENZI'!G11,'18.10 ZIROBWE-WOBULENZI'!G11,'19.10 ZIROBWE-WOBULENZI-24h'!G11,'20.10 ZIROBWE-WOBULENZI'!G11,'21.10 ZIROBWE-WOBULENZI-24h'!G11,'22.10 ZIROBWE-WOBULENZI'!G11,'23.10 ZIROBWE-WOBULENZI'!G11)</f>
        <v>0</v>
      </c>
      <c r="H11" s="49">
        <f>AVERAGE('17.10 ZIROBWE-WOBULENZI'!H11,'18.10 ZIROBWE-WOBULENZI'!H11,'19.10 ZIROBWE-WOBULENZI-24h'!H11,'20.10 ZIROBWE-WOBULENZI'!H11,'21.10 ZIROBWE-WOBULENZI-24h'!H11,'22.10 ZIROBWE-WOBULENZI'!H11,'23.10 ZIROBWE-WOBULENZI'!H11)</f>
        <v>0</v>
      </c>
      <c r="I11" s="49">
        <f>AVERAGE('17.10 ZIROBWE-WOBULENZI'!I11,'18.10 ZIROBWE-WOBULENZI'!I11,'19.10 ZIROBWE-WOBULENZI-24h'!I11,'20.10 ZIROBWE-WOBULENZI'!I11,'21.10 ZIROBWE-WOBULENZI-24h'!I11,'22.10 ZIROBWE-WOBULENZI'!I11,'23.10 ZIROBWE-WOBULENZI'!I11)</f>
        <v>0.2857142857142857</v>
      </c>
      <c r="J11" s="49">
        <f>AVERAGE('17.10 ZIROBWE-WOBULENZI'!J11,'18.10 ZIROBWE-WOBULENZI'!J11,'19.10 ZIROBWE-WOBULENZI-24h'!J11,'20.10 ZIROBWE-WOBULENZI'!J11,'21.10 ZIROBWE-WOBULENZI-24h'!J11,'22.10 ZIROBWE-WOBULENZI'!J11,'23.10 ZIROBWE-WOBULENZI'!J11)</f>
        <v>0.2857142857142857</v>
      </c>
      <c r="K11" s="49">
        <f>AVERAGE('17.10 ZIROBWE-WOBULENZI'!K11,'18.10 ZIROBWE-WOBULENZI'!K11,'19.10 ZIROBWE-WOBULENZI-24h'!K11,'20.10 ZIROBWE-WOBULENZI'!K11,'21.10 ZIROBWE-WOBULENZI-24h'!K11,'22.10 ZIROBWE-WOBULENZI'!K11,'23.10 ZIROBWE-WOBULENZI'!K11)</f>
        <v>0</v>
      </c>
      <c r="L11" s="49">
        <f>AVERAGE('17.10 ZIROBWE-WOBULENZI'!L11,'18.10 ZIROBWE-WOBULENZI'!L11,'19.10 ZIROBWE-WOBULENZI-24h'!L11,'20.10 ZIROBWE-WOBULENZI'!L11,'21.10 ZIROBWE-WOBULENZI-24h'!L11,'22.10 ZIROBWE-WOBULENZI'!L11,'23.10 ZIROBWE-WOBULENZI'!L11)</f>
        <v>0</v>
      </c>
      <c r="M11" s="49">
        <f>AVERAGE('17.10 ZIROBWE-WOBULENZI'!M11,'18.10 ZIROBWE-WOBULENZI'!M11,'19.10 ZIROBWE-WOBULENZI-24h'!M11,'20.10 ZIROBWE-WOBULENZI'!M11,'21.10 ZIROBWE-WOBULENZI-24h'!M11,'22.10 ZIROBWE-WOBULENZI'!M11,'23.10 ZIROBWE-WOBULENZI'!M11)</f>
        <v>9.4285714285714288</v>
      </c>
      <c r="N11" s="49">
        <f>AVERAGE('17.10 ZIROBWE-WOBULENZI'!N11,'18.10 ZIROBWE-WOBULENZI'!N11,'19.10 ZIROBWE-WOBULENZI-24h'!N11,'20.10 ZIROBWE-WOBULENZI'!N11,'21.10 ZIROBWE-WOBULENZI-24h'!N11,'22.10 ZIROBWE-WOBULENZI'!N11,'23.10 ZIROBWE-WOBULENZI'!N11)</f>
        <v>0</v>
      </c>
      <c r="O11" s="15">
        <f t="shared" si="0"/>
        <v>1.2857142857142856</v>
      </c>
      <c r="P11" s="15">
        <f t="shared" si="1"/>
        <v>10.714285714285715</v>
      </c>
      <c r="R11" s="1" t="s">
        <v>7</v>
      </c>
      <c r="S11" s="17">
        <f t="shared" ref="S11:AF11" si="3">SUM(C14:C17)</f>
        <v>2.714285714285714</v>
      </c>
      <c r="T11" s="17">
        <f t="shared" si="3"/>
        <v>0.8571428571428571</v>
      </c>
      <c r="U11" s="17">
        <f t="shared" si="3"/>
        <v>0.71428571428571419</v>
      </c>
      <c r="V11" s="17">
        <f t="shared" si="3"/>
        <v>1.857142857142857</v>
      </c>
      <c r="W11" s="17">
        <f t="shared" si="3"/>
        <v>0</v>
      </c>
      <c r="X11" s="17">
        <f t="shared" si="3"/>
        <v>0</v>
      </c>
      <c r="Y11" s="17">
        <f t="shared" si="3"/>
        <v>1.1428571428571428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47</v>
      </c>
      <c r="AD11" s="17">
        <f t="shared" si="3"/>
        <v>0</v>
      </c>
      <c r="AE11" s="31">
        <f t="shared" si="3"/>
        <v>10.285714285714285</v>
      </c>
      <c r="AF11" s="31">
        <f t="shared" si="3"/>
        <v>57.285714285714285</v>
      </c>
    </row>
    <row r="12" spans="2:32" ht="23.1" customHeight="1" x14ac:dyDescent="0.25">
      <c r="B12" s="23" t="s">
        <v>39</v>
      </c>
      <c r="C12" s="49">
        <f>AVERAGE('17.10 ZIROBWE-WOBULENZI'!C12,'18.10 ZIROBWE-WOBULENZI'!C12,'19.10 ZIROBWE-WOBULENZI-24h'!C12,'20.10 ZIROBWE-WOBULENZI'!C12,'21.10 ZIROBWE-WOBULENZI-24h'!C12,'22.10 ZIROBWE-WOBULENZI'!C12,'23.10 ZIROBWE-WOBULENZI'!C12)</f>
        <v>0.2857142857142857</v>
      </c>
      <c r="D12" s="49">
        <f>AVERAGE('17.10 ZIROBWE-WOBULENZI'!D12,'18.10 ZIROBWE-WOBULENZI'!D12,'19.10 ZIROBWE-WOBULENZI-24h'!D12,'20.10 ZIROBWE-WOBULENZI'!D12,'21.10 ZIROBWE-WOBULENZI-24h'!D12,'22.10 ZIROBWE-WOBULENZI'!D12,'23.10 ZIROBWE-WOBULENZI'!D12)</f>
        <v>0.2857142857142857</v>
      </c>
      <c r="E12" s="49">
        <f>AVERAGE('17.10 ZIROBWE-WOBULENZI'!E12,'18.10 ZIROBWE-WOBULENZI'!E12,'19.10 ZIROBWE-WOBULENZI-24h'!E12,'20.10 ZIROBWE-WOBULENZI'!E12,'21.10 ZIROBWE-WOBULENZI-24h'!E12,'22.10 ZIROBWE-WOBULENZI'!E12,'23.10 ZIROBWE-WOBULENZI'!E12)</f>
        <v>0</v>
      </c>
      <c r="F12" s="49">
        <f>AVERAGE('17.10 ZIROBWE-WOBULENZI'!F12,'18.10 ZIROBWE-WOBULENZI'!F12,'19.10 ZIROBWE-WOBULENZI-24h'!F12,'20.10 ZIROBWE-WOBULENZI'!F12,'21.10 ZIROBWE-WOBULENZI-24h'!F12,'22.10 ZIROBWE-WOBULENZI'!F12,'23.10 ZIROBWE-WOBULENZI'!F12)</f>
        <v>0</v>
      </c>
      <c r="G12" s="49">
        <f>AVERAGE('17.10 ZIROBWE-WOBULENZI'!G12,'18.10 ZIROBWE-WOBULENZI'!G12,'19.10 ZIROBWE-WOBULENZI-24h'!G12,'20.10 ZIROBWE-WOBULENZI'!G12,'21.10 ZIROBWE-WOBULENZI-24h'!G12,'22.10 ZIROBWE-WOBULENZI'!G12,'23.10 ZIROBWE-WOBULENZI'!G12)</f>
        <v>0</v>
      </c>
      <c r="H12" s="49">
        <f>AVERAGE('17.10 ZIROBWE-WOBULENZI'!H12,'18.10 ZIROBWE-WOBULENZI'!H12,'19.10 ZIROBWE-WOBULENZI-24h'!H12,'20.10 ZIROBWE-WOBULENZI'!H12,'21.10 ZIROBWE-WOBULENZI-24h'!H12,'22.10 ZIROBWE-WOBULENZI'!H12,'23.10 ZIROBWE-WOBULENZI'!H12)</f>
        <v>0</v>
      </c>
      <c r="I12" s="49">
        <f>AVERAGE('17.10 ZIROBWE-WOBULENZI'!I12,'18.10 ZIROBWE-WOBULENZI'!I12,'19.10 ZIROBWE-WOBULENZI-24h'!I12,'20.10 ZIROBWE-WOBULENZI'!I12,'21.10 ZIROBWE-WOBULENZI-24h'!I12,'22.10 ZIROBWE-WOBULENZI'!I12,'23.10 ZIROBWE-WOBULENZI'!I12)</f>
        <v>0.42857142857142855</v>
      </c>
      <c r="J12" s="49">
        <f>AVERAGE('17.10 ZIROBWE-WOBULENZI'!J12,'18.10 ZIROBWE-WOBULENZI'!J12,'19.10 ZIROBWE-WOBULENZI-24h'!J12,'20.10 ZIROBWE-WOBULENZI'!J12,'21.10 ZIROBWE-WOBULENZI-24h'!J12,'22.10 ZIROBWE-WOBULENZI'!J12,'23.10 ZIROBWE-WOBULENZI'!J12)</f>
        <v>0.14285714285714285</v>
      </c>
      <c r="K12" s="49">
        <f>AVERAGE('17.10 ZIROBWE-WOBULENZI'!K12,'18.10 ZIROBWE-WOBULENZI'!K12,'19.10 ZIROBWE-WOBULENZI-24h'!K12,'20.10 ZIROBWE-WOBULENZI'!K12,'21.10 ZIROBWE-WOBULENZI-24h'!K12,'22.10 ZIROBWE-WOBULENZI'!K12,'23.10 ZIROBWE-WOBULENZI'!K12)</f>
        <v>0</v>
      </c>
      <c r="L12" s="49">
        <f>AVERAGE('17.10 ZIROBWE-WOBULENZI'!L12,'18.10 ZIROBWE-WOBULENZI'!L12,'19.10 ZIROBWE-WOBULENZI-24h'!L12,'20.10 ZIROBWE-WOBULENZI'!L12,'21.10 ZIROBWE-WOBULENZI-24h'!L12,'22.10 ZIROBWE-WOBULENZI'!L12,'23.10 ZIROBWE-WOBULENZI'!L12)</f>
        <v>0</v>
      </c>
      <c r="M12" s="49">
        <f>AVERAGE('17.10 ZIROBWE-WOBULENZI'!M12,'18.10 ZIROBWE-WOBULENZI'!M12,'19.10 ZIROBWE-WOBULENZI-24h'!M12,'20.10 ZIROBWE-WOBULENZI'!M12,'21.10 ZIROBWE-WOBULENZI-24h'!M12,'22.10 ZIROBWE-WOBULENZI'!M12,'23.10 ZIROBWE-WOBULENZI'!M12)</f>
        <v>11.571428571428571</v>
      </c>
      <c r="N12" s="49">
        <f>AVERAGE('17.10 ZIROBWE-WOBULENZI'!N12,'18.10 ZIROBWE-WOBULENZI'!N12,'19.10 ZIROBWE-WOBULENZI-24h'!N12,'20.10 ZIROBWE-WOBULENZI'!N12,'21.10 ZIROBWE-WOBULENZI-24h'!N12,'22.10 ZIROBWE-WOBULENZI'!N12,'23.10 ZIROBWE-WOBULENZI'!N12)</f>
        <v>0</v>
      </c>
      <c r="O12" s="15">
        <f t="shared" si="0"/>
        <v>1.1428571428571428</v>
      </c>
      <c r="P12" s="15">
        <f t="shared" si="1"/>
        <v>12.714285714285714</v>
      </c>
      <c r="R12" s="1" t="s">
        <v>8</v>
      </c>
      <c r="S12" s="17">
        <f t="shared" ref="S12:AF12" si="4">SUM(C18:C21)</f>
        <v>2.7142857142857144</v>
      </c>
      <c r="T12" s="17">
        <f t="shared" si="4"/>
        <v>1.2857142857142856</v>
      </c>
      <c r="U12" s="17">
        <f t="shared" si="4"/>
        <v>1.2857142857142856</v>
      </c>
      <c r="V12" s="17">
        <f t="shared" si="4"/>
        <v>0.99999999999999989</v>
      </c>
      <c r="W12" s="17">
        <f t="shared" si="4"/>
        <v>0</v>
      </c>
      <c r="X12" s="17">
        <f t="shared" si="4"/>
        <v>0</v>
      </c>
      <c r="Y12" s="17">
        <f t="shared" si="4"/>
        <v>1.5714285714285712</v>
      </c>
      <c r="Z12" s="17">
        <f t="shared" si="4"/>
        <v>5.2857142857142856</v>
      </c>
      <c r="AA12" s="17">
        <f t="shared" si="4"/>
        <v>0</v>
      </c>
      <c r="AB12" s="17">
        <f t="shared" si="4"/>
        <v>0</v>
      </c>
      <c r="AC12" s="17">
        <f t="shared" si="4"/>
        <v>46.714285714285708</v>
      </c>
      <c r="AD12" s="17">
        <f t="shared" si="4"/>
        <v>0.14285714285714285</v>
      </c>
      <c r="AE12" s="31">
        <f t="shared" si="4"/>
        <v>13.285714285714285</v>
      </c>
      <c r="AF12" s="31">
        <f t="shared" si="4"/>
        <v>60</v>
      </c>
    </row>
    <row r="13" spans="2:32" ht="23.1" customHeight="1" x14ac:dyDescent="0.25">
      <c r="B13" s="23" t="s">
        <v>40</v>
      </c>
      <c r="C13" s="49">
        <f>AVERAGE('17.10 ZIROBWE-WOBULENZI'!C13,'18.10 ZIROBWE-WOBULENZI'!C13,'19.10 ZIROBWE-WOBULENZI-24h'!C13,'20.10 ZIROBWE-WOBULENZI'!C13,'21.10 ZIROBWE-WOBULENZI-24h'!C13,'22.10 ZIROBWE-WOBULENZI'!C13,'23.10 ZIROBWE-WOBULENZI'!C13)</f>
        <v>0.14285714285714285</v>
      </c>
      <c r="D13" s="49">
        <f>AVERAGE('17.10 ZIROBWE-WOBULENZI'!D13,'18.10 ZIROBWE-WOBULENZI'!D13,'19.10 ZIROBWE-WOBULENZI-24h'!D13,'20.10 ZIROBWE-WOBULENZI'!D13,'21.10 ZIROBWE-WOBULENZI-24h'!D13,'22.10 ZIROBWE-WOBULENZI'!D13,'23.10 ZIROBWE-WOBULENZI'!D13)</f>
        <v>0.2857142857142857</v>
      </c>
      <c r="E13" s="49">
        <f>AVERAGE('17.10 ZIROBWE-WOBULENZI'!E13,'18.10 ZIROBWE-WOBULENZI'!E13,'19.10 ZIROBWE-WOBULENZI-24h'!E13,'20.10 ZIROBWE-WOBULENZI'!E13,'21.10 ZIROBWE-WOBULENZI-24h'!E13,'22.10 ZIROBWE-WOBULENZI'!E13,'23.10 ZIROBWE-WOBULENZI'!E13)</f>
        <v>0</v>
      </c>
      <c r="F13" s="49">
        <f>AVERAGE('17.10 ZIROBWE-WOBULENZI'!F13,'18.10 ZIROBWE-WOBULENZI'!F13,'19.10 ZIROBWE-WOBULENZI-24h'!F13,'20.10 ZIROBWE-WOBULENZI'!F13,'21.10 ZIROBWE-WOBULENZI-24h'!F13,'22.10 ZIROBWE-WOBULENZI'!F13,'23.10 ZIROBWE-WOBULENZI'!F13)</f>
        <v>0.14285714285714285</v>
      </c>
      <c r="G13" s="49">
        <f>AVERAGE('17.10 ZIROBWE-WOBULENZI'!G13,'18.10 ZIROBWE-WOBULENZI'!G13,'19.10 ZIROBWE-WOBULENZI-24h'!G13,'20.10 ZIROBWE-WOBULENZI'!G13,'21.10 ZIROBWE-WOBULENZI-24h'!G13,'22.10 ZIROBWE-WOBULENZI'!G13,'23.10 ZIROBWE-WOBULENZI'!G13)</f>
        <v>0</v>
      </c>
      <c r="H13" s="49">
        <f>AVERAGE('17.10 ZIROBWE-WOBULENZI'!H13,'18.10 ZIROBWE-WOBULENZI'!H13,'19.10 ZIROBWE-WOBULENZI-24h'!H13,'20.10 ZIROBWE-WOBULENZI'!H13,'21.10 ZIROBWE-WOBULENZI-24h'!H13,'22.10 ZIROBWE-WOBULENZI'!H13,'23.10 ZIROBWE-WOBULENZI'!H13)</f>
        <v>0</v>
      </c>
      <c r="I13" s="49">
        <f>AVERAGE('17.10 ZIROBWE-WOBULENZI'!I13,'18.10 ZIROBWE-WOBULENZI'!I13,'19.10 ZIROBWE-WOBULENZI-24h'!I13,'20.10 ZIROBWE-WOBULENZI'!I13,'21.10 ZIROBWE-WOBULENZI-24h'!I13,'22.10 ZIROBWE-WOBULENZI'!I13,'23.10 ZIROBWE-WOBULENZI'!I13)</f>
        <v>0.42857142857142855</v>
      </c>
      <c r="J13" s="49">
        <f>AVERAGE('17.10 ZIROBWE-WOBULENZI'!J13,'18.10 ZIROBWE-WOBULENZI'!J13,'19.10 ZIROBWE-WOBULENZI-24h'!J13,'20.10 ZIROBWE-WOBULENZI'!J13,'21.10 ZIROBWE-WOBULENZI-24h'!J13,'22.10 ZIROBWE-WOBULENZI'!J13,'23.10 ZIROBWE-WOBULENZI'!J13)</f>
        <v>0.42857142857142855</v>
      </c>
      <c r="K13" s="49">
        <f>AVERAGE('17.10 ZIROBWE-WOBULENZI'!K13,'18.10 ZIROBWE-WOBULENZI'!K13,'19.10 ZIROBWE-WOBULENZI-24h'!K13,'20.10 ZIROBWE-WOBULENZI'!K13,'21.10 ZIROBWE-WOBULENZI-24h'!K13,'22.10 ZIROBWE-WOBULENZI'!K13,'23.10 ZIROBWE-WOBULENZI'!K13)</f>
        <v>0</v>
      </c>
      <c r="L13" s="49">
        <f>AVERAGE('17.10 ZIROBWE-WOBULENZI'!L13,'18.10 ZIROBWE-WOBULENZI'!L13,'19.10 ZIROBWE-WOBULENZI-24h'!L13,'20.10 ZIROBWE-WOBULENZI'!L13,'21.10 ZIROBWE-WOBULENZI-24h'!L13,'22.10 ZIROBWE-WOBULENZI'!L13,'23.10 ZIROBWE-WOBULENZI'!L13)</f>
        <v>0</v>
      </c>
      <c r="M13" s="49">
        <f>AVERAGE('17.10 ZIROBWE-WOBULENZI'!M13,'18.10 ZIROBWE-WOBULENZI'!M13,'19.10 ZIROBWE-WOBULENZI-24h'!M13,'20.10 ZIROBWE-WOBULENZI'!M13,'21.10 ZIROBWE-WOBULENZI-24h'!M13,'22.10 ZIROBWE-WOBULENZI'!M13,'23.10 ZIROBWE-WOBULENZI'!M13)</f>
        <v>13.571428571428571</v>
      </c>
      <c r="N13" s="49">
        <f>AVERAGE('17.10 ZIROBWE-WOBULENZI'!N13,'18.10 ZIROBWE-WOBULENZI'!N13,'19.10 ZIROBWE-WOBULENZI-24h'!N13,'20.10 ZIROBWE-WOBULENZI'!N13,'21.10 ZIROBWE-WOBULENZI-24h'!N13,'22.10 ZIROBWE-WOBULENZI'!N13,'23.10 ZIROBWE-WOBULENZI'!N13)</f>
        <v>0</v>
      </c>
      <c r="O13" s="15">
        <f t="shared" si="0"/>
        <v>1.4285714285714286</v>
      </c>
      <c r="P13" s="15">
        <f t="shared" si="1"/>
        <v>15</v>
      </c>
      <c r="R13" s="1" t="s">
        <v>9</v>
      </c>
      <c r="S13" s="17">
        <f t="shared" ref="S13:AF13" si="5">SUM(C22:C25)</f>
        <v>3.7142857142857144</v>
      </c>
      <c r="T13" s="17">
        <f t="shared" si="5"/>
        <v>0.5714285714285714</v>
      </c>
      <c r="U13" s="17">
        <f t="shared" si="5"/>
        <v>1.1428571428571428</v>
      </c>
      <c r="V13" s="17">
        <f t="shared" si="5"/>
        <v>2</v>
      </c>
      <c r="W13" s="17">
        <f t="shared" si="5"/>
        <v>0</v>
      </c>
      <c r="X13" s="17">
        <f t="shared" si="5"/>
        <v>0.14285714285714285</v>
      </c>
      <c r="Y13" s="17">
        <f t="shared" si="5"/>
        <v>1.5714285714285712</v>
      </c>
      <c r="Z13" s="17">
        <f t="shared" si="5"/>
        <v>7.2857142857142865</v>
      </c>
      <c r="AA13" s="17">
        <f t="shared" si="5"/>
        <v>0</v>
      </c>
      <c r="AB13" s="17">
        <f t="shared" si="5"/>
        <v>0.2857142857142857</v>
      </c>
      <c r="AC13" s="17">
        <f t="shared" si="5"/>
        <v>67.428571428571431</v>
      </c>
      <c r="AD13" s="17">
        <f t="shared" si="5"/>
        <v>0</v>
      </c>
      <c r="AE13" s="31">
        <f t="shared" si="5"/>
        <v>16.714285714285715</v>
      </c>
      <c r="AF13" s="31">
        <f t="shared" si="5"/>
        <v>84.142857142857153</v>
      </c>
    </row>
    <row r="14" spans="2:32" ht="23.1" customHeight="1" x14ac:dyDescent="0.25">
      <c r="B14" s="23" t="s">
        <v>41</v>
      </c>
      <c r="C14" s="49">
        <f>AVERAGE('17.10 ZIROBWE-WOBULENZI'!C14,'18.10 ZIROBWE-WOBULENZI'!C14,'19.10 ZIROBWE-WOBULENZI-24h'!C14,'20.10 ZIROBWE-WOBULENZI'!C14,'21.10 ZIROBWE-WOBULENZI-24h'!C14,'22.10 ZIROBWE-WOBULENZI'!C14,'23.10 ZIROBWE-WOBULENZI'!C14)</f>
        <v>0.14285714285714285</v>
      </c>
      <c r="D14" s="49">
        <f>AVERAGE('17.10 ZIROBWE-WOBULENZI'!D14,'18.10 ZIROBWE-WOBULENZI'!D14,'19.10 ZIROBWE-WOBULENZI-24h'!D14,'20.10 ZIROBWE-WOBULENZI'!D14,'21.10 ZIROBWE-WOBULENZI-24h'!D14,'22.10 ZIROBWE-WOBULENZI'!D14,'23.10 ZIROBWE-WOBULENZI'!D14)</f>
        <v>0.2857142857142857</v>
      </c>
      <c r="E14" s="49">
        <f>AVERAGE('17.10 ZIROBWE-WOBULENZI'!E14,'18.10 ZIROBWE-WOBULENZI'!E14,'19.10 ZIROBWE-WOBULENZI-24h'!E14,'20.10 ZIROBWE-WOBULENZI'!E14,'21.10 ZIROBWE-WOBULENZI-24h'!E14,'22.10 ZIROBWE-WOBULENZI'!E14,'23.10 ZIROBWE-WOBULENZI'!E14)</f>
        <v>0</v>
      </c>
      <c r="F14" s="49">
        <f>AVERAGE('17.10 ZIROBWE-WOBULENZI'!F14,'18.10 ZIROBWE-WOBULENZI'!F14,'19.10 ZIROBWE-WOBULENZI-24h'!F14,'20.10 ZIROBWE-WOBULENZI'!F14,'21.10 ZIROBWE-WOBULENZI-24h'!F14,'22.10 ZIROBWE-WOBULENZI'!F14,'23.10 ZIROBWE-WOBULENZI'!F14)</f>
        <v>0.2857142857142857</v>
      </c>
      <c r="G14" s="49">
        <f>AVERAGE('17.10 ZIROBWE-WOBULENZI'!G14,'18.10 ZIROBWE-WOBULENZI'!G14,'19.10 ZIROBWE-WOBULENZI-24h'!G14,'20.10 ZIROBWE-WOBULENZI'!G14,'21.10 ZIROBWE-WOBULENZI-24h'!G14,'22.10 ZIROBWE-WOBULENZI'!G14,'23.10 ZIROBWE-WOBULENZI'!G14)</f>
        <v>0</v>
      </c>
      <c r="H14" s="49">
        <f>AVERAGE('17.10 ZIROBWE-WOBULENZI'!H14,'18.10 ZIROBWE-WOBULENZI'!H14,'19.10 ZIROBWE-WOBULENZI-24h'!H14,'20.10 ZIROBWE-WOBULENZI'!H14,'21.10 ZIROBWE-WOBULENZI-24h'!H14,'22.10 ZIROBWE-WOBULENZI'!H14,'23.10 ZIROBWE-WOBULENZI'!H14)</f>
        <v>0</v>
      </c>
      <c r="I14" s="49">
        <f>AVERAGE('17.10 ZIROBWE-WOBULENZI'!I14,'18.10 ZIROBWE-WOBULENZI'!I14,'19.10 ZIROBWE-WOBULENZI-24h'!I14,'20.10 ZIROBWE-WOBULENZI'!I14,'21.10 ZIROBWE-WOBULENZI-24h'!I14,'22.10 ZIROBWE-WOBULENZI'!I14,'23.10 ZIROBWE-WOBULENZI'!I14)</f>
        <v>0.2857142857142857</v>
      </c>
      <c r="J14" s="49">
        <f>AVERAGE('17.10 ZIROBWE-WOBULENZI'!J14,'18.10 ZIROBWE-WOBULENZI'!J14,'19.10 ZIROBWE-WOBULENZI-24h'!J14,'20.10 ZIROBWE-WOBULENZI'!J14,'21.10 ZIROBWE-WOBULENZI-24h'!J14,'22.10 ZIROBWE-WOBULENZI'!J14,'23.10 ZIROBWE-WOBULENZI'!J14)</f>
        <v>0.5714285714285714</v>
      </c>
      <c r="K14" s="49">
        <f>AVERAGE('17.10 ZIROBWE-WOBULENZI'!K14,'18.10 ZIROBWE-WOBULENZI'!K14,'19.10 ZIROBWE-WOBULENZI-24h'!K14,'20.10 ZIROBWE-WOBULENZI'!K14,'21.10 ZIROBWE-WOBULENZI-24h'!K14,'22.10 ZIROBWE-WOBULENZI'!K14,'23.10 ZIROBWE-WOBULENZI'!K14)</f>
        <v>0</v>
      </c>
      <c r="L14" s="49">
        <f>AVERAGE('17.10 ZIROBWE-WOBULENZI'!L14,'18.10 ZIROBWE-WOBULENZI'!L14,'19.10 ZIROBWE-WOBULENZI-24h'!L14,'20.10 ZIROBWE-WOBULENZI'!L14,'21.10 ZIROBWE-WOBULENZI-24h'!L14,'22.10 ZIROBWE-WOBULENZI'!L14,'23.10 ZIROBWE-WOBULENZI'!L14)</f>
        <v>0</v>
      </c>
      <c r="M14" s="49">
        <f>AVERAGE('17.10 ZIROBWE-WOBULENZI'!M14,'18.10 ZIROBWE-WOBULENZI'!M14,'19.10 ZIROBWE-WOBULENZI-24h'!M14,'20.10 ZIROBWE-WOBULENZI'!M14,'21.10 ZIROBWE-WOBULENZI-24h'!M14,'22.10 ZIROBWE-WOBULENZI'!M14,'23.10 ZIROBWE-WOBULENZI'!M14)</f>
        <v>13.285714285714286</v>
      </c>
      <c r="N14" s="49">
        <f>AVERAGE('17.10 ZIROBWE-WOBULENZI'!N14,'18.10 ZIROBWE-WOBULENZI'!N14,'19.10 ZIROBWE-WOBULENZI-24h'!N14,'20.10 ZIROBWE-WOBULENZI'!N14,'21.10 ZIROBWE-WOBULENZI-24h'!N14,'22.10 ZIROBWE-WOBULENZI'!N14,'23.10 ZIROBWE-WOBULENZI'!N14)</f>
        <v>0</v>
      </c>
      <c r="O14" s="15">
        <f t="shared" si="0"/>
        <v>1.5714285714285712</v>
      </c>
      <c r="P14" s="15">
        <f t="shared" si="1"/>
        <v>14.857142857142858</v>
      </c>
      <c r="R14" s="1" t="s">
        <v>10</v>
      </c>
      <c r="S14" s="17">
        <f t="shared" ref="S14:AF14" si="6">SUM(C26:C29)</f>
        <v>4.2857142857142856</v>
      </c>
      <c r="T14" s="17">
        <f t="shared" si="6"/>
        <v>1.4285714285714286</v>
      </c>
      <c r="U14" s="17">
        <f t="shared" si="6"/>
        <v>1.857142857142857</v>
      </c>
      <c r="V14" s="17">
        <f t="shared" si="6"/>
        <v>1</v>
      </c>
      <c r="W14" s="17">
        <f t="shared" si="6"/>
        <v>0.2857142857142857</v>
      </c>
      <c r="X14" s="17">
        <f t="shared" si="6"/>
        <v>0</v>
      </c>
      <c r="Y14" s="17">
        <f t="shared" si="6"/>
        <v>1.9999999999999996</v>
      </c>
      <c r="Z14" s="17">
        <f t="shared" si="6"/>
        <v>5.7142857142857144</v>
      </c>
      <c r="AA14" s="17">
        <f t="shared" si="6"/>
        <v>0</v>
      </c>
      <c r="AB14" s="17">
        <f t="shared" si="6"/>
        <v>0</v>
      </c>
      <c r="AC14" s="17">
        <f t="shared" si="6"/>
        <v>67.857142857142861</v>
      </c>
      <c r="AD14" s="17">
        <f t="shared" si="6"/>
        <v>0</v>
      </c>
      <c r="AE14" s="31">
        <f t="shared" si="6"/>
        <v>16.571428571428569</v>
      </c>
      <c r="AF14" s="31">
        <f t="shared" si="6"/>
        <v>84.428571428571416</v>
      </c>
    </row>
    <row r="15" spans="2:32" ht="23.1" customHeight="1" x14ac:dyDescent="0.25">
      <c r="B15" s="23" t="s">
        <v>42</v>
      </c>
      <c r="C15" s="49">
        <f>AVERAGE('17.10 ZIROBWE-WOBULENZI'!C15,'18.10 ZIROBWE-WOBULENZI'!C15,'19.10 ZIROBWE-WOBULENZI-24h'!C15,'20.10 ZIROBWE-WOBULENZI'!C15,'21.10 ZIROBWE-WOBULENZI-24h'!C15,'22.10 ZIROBWE-WOBULENZI'!C15,'23.10 ZIROBWE-WOBULENZI'!C15)</f>
        <v>0.8571428571428571</v>
      </c>
      <c r="D15" s="49">
        <f>AVERAGE('17.10 ZIROBWE-WOBULENZI'!D15,'18.10 ZIROBWE-WOBULENZI'!D15,'19.10 ZIROBWE-WOBULENZI-24h'!D15,'20.10 ZIROBWE-WOBULENZI'!D15,'21.10 ZIROBWE-WOBULENZI-24h'!D15,'22.10 ZIROBWE-WOBULENZI'!D15,'23.10 ZIROBWE-WOBULENZI'!D15)</f>
        <v>0</v>
      </c>
      <c r="E15" s="49">
        <f>AVERAGE('17.10 ZIROBWE-WOBULENZI'!E15,'18.10 ZIROBWE-WOBULENZI'!E15,'19.10 ZIROBWE-WOBULENZI-24h'!E15,'20.10 ZIROBWE-WOBULENZI'!E15,'21.10 ZIROBWE-WOBULENZI-24h'!E15,'22.10 ZIROBWE-WOBULENZI'!E15,'23.10 ZIROBWE-WOBULENZI'!E15)</f>
        <v>0</v>
      </c>
      <c r="F15" s="49">
        <f>AVERAGE('17.10 ZIROBWE-WOBULENZI'!F15,'18.10 ZIROBWE-WOBULENZI'!F15,'19.10 ZIROBWE-WOBULENZI-24h'!F15,'20.10 ZIROBWE-WOBULENZI'!F15,'21.10 ZIROBWE-WOBULENZI-24h'!F15,'22.10 ZIROBWE-WOBULENZI'!F15,'23.10 ZIROBWE-WOBULENZI'!F15)</f>
        <v>0.8571428571428571</v>
      </c>
      <c r="G15" s="49">
        <f>AVERAGE('17.10 ZIROBWE-WOBULENZI'!G15,'18.10 ZIROBWE-WOBULENZI'!G15,'19.10 ZIROBWE-WOBULENZI-24h'!G15,'20.10 ZIROBWE-WOBULENZI'!G15,'21.10 ZIROBWE-WOBULENZI-24h'!G15,'22.10 ZIROBWE-WOBULENZI'!G15,'23.10 ZIROBWE-WOBULENZI'!G15)</f>
        <v>0</v>
      </c>
      <c r="H15" s="49">
        <f>AVERAGE('17.10 ZIROBWE-WOBULENZI'!H15,'18.10 ZIROBWE-WOBULENZI'!H15,'19.10 ZIROBWE-WOBULENZI-24h'!H15,'20.10 ZIROBWE-WOBULENZI'!H15,'21.10 ZIROBWE-WOBULENZI-24h'!H15,'22.10 ZIROBWE-WOBULENZI'!H15,'23.10 ZIROBWE-WOBULENZI'!H15)</f>
        <v>0</v>
      </c>
      <c r="I15" s="49">
        <f>AVERAGE('17.10 ZIROBWE-WOBULENZI'!I15,'18.10 ZIROBWE-WOBULENZI'!I15,'19.10 ZIROBWE-WOBULENZI-24h'!I15,'20.10 ZIROBWE-WOBULENZI'!I15,'21.10 ZIROBWE-WOBULENZI-24h'!I15,'22.10 ZIROBWE-WOBULENZI'!I15,'23.10 ZIROBWE-WOBULENZI'!I15)</f>
        <v>0.14285714285714285</v>
      </c>
      <c r="J15" s="49">
        <f>AVERAGE('17.10 ZIROBWE-WOBULENZI'!J15,'18.10 ZIROBWE-WOBULENZI'!J15,'19.10 ZIROBWE-WOBULENZI-24h'!J15,'20.10 ZIROBWE-WOBULENZI'!J15,'21.10 ZIROBWE-WOBULENZI-24h'!J15,'22.10 ZIROBWE-WOBULENZI'!J15,'23.10 ZIROBWE-WOBULENZI'!J15)</f>
        <v>0.8571428571428571</v>
      </c>
      <c r="K15" s="49">
        <f>AVERAGE('17.10 ZIROBWE-WOBULENZI'!K15,'18.10 ZIROBWE-WOBULENZI'!K15,'19.10 ZIROBWE-WOBULENZI-24h'!K15,'20.10 ZIROBWE-WOBULENZI'!K15,'21.10 ZIROBWE-WOBULENZI-24h'!K15,'22.10 ZIROBWE-WOBULENZI'!K15,'23.10 ZIROBWE-WOBULENZI'!K15)</f>
        <v>0</v>
      </c>
      <c r="L15" s="49">
        <f>AVERAGE('17.10 ZIROBWE-WOBULENZI'!L15,'18.10 ZIROBWE-WOBULENZI'!L15,'19.10 ZIROBWE-WOBULENZI-24h'!L15,'20.10 ZIROBWE-WOBULENZI'!L15,'21.10 ZIROBWE-WOBULENZI-24h'!L15,'22.10 ZIROBWE-WOBULENZI'!L15,'23.10 ZIROBWE-WOBULENZI'!L15)</f>
        <v>0</v>
      </c>
      <c r="M15" s="49">
        <f>AVERAGE('17.10 ZIROBWE-WOBULENZI'!M15,'18.10 ZIROBWE-WOBULENZI'!M15,'19.10 ZIROBWE-WOBULENZI-24h'!M15,'20.10 ZIROBWE-WOBULENZI'!M15,'21.10 ZIROBWE-WOBULENZI-24h'!M15,'22.10 ZIROBWE-WOBULENZI'!M15,'23.10 ZIROBWE-WOBULENZI'!M15)</f>
        <v>9.1428571428571423</v>
      </c>
      <c r="N15" s="49">
        <f>AVERAGE('17.10 ZIROBWE-WOBULENZI'!N15,'18.10 ZIROBWE-WOBULENZI'!N15,'19.10 ZIROBWE-WOBULENZI-24h'!N15,'20.10 ZIROBWE-WOBULENZI'!N15,'21.10 ZIROBWE-WOBULENZI-24h'!N15,'22.10 ZIROBWE-WOBULENZI'!N15,'23.10 ZIROBWE-WOBULENZI'!N15)</f>
        <v>0</v>
      </c>
      <c r="O15" s="15">
        <f t="shared" si="0"/>
        <v>2.714285714285714</v>
      </c>
      <c r="P15" s="15">
        <f t="shared" si="1"/>
        <v>11.857142857142856</v>
      </c>
      <c r="R15" s="1" t="s">
        <v>11</v>
      </c>
      <c r="S15" s="17">
        <f t="shared" ref="S15:AF15" si="7">SUM(C30:C33)</f>
        <v>4.2857142857142856</v>
      </c>
      <c r="T15" s="17">
        <f t="shared" si="7"/>
        <v>2</v>
      </c>
      <c r="U15" s="17">
        <f t="shared" si="7"/>
        <v>1.1428571428571428</v>
      </c>
      <c r="V15" s="17">
        <f t="shared" si="7"/>
        <v>1.857142857142857</v>
      </c>
      <c r="W15" s="17">
        <f t="shared" si="7"/>
        <v>0.8571428571428571</v>
      </c>
      <c r="X15" s="17">
        <f t="shared" si="7"/>
        <v>0</v>
      </c>
      <c r="Y15" s="17">
        <f t="shared" si="7"/>
        <v>2.2857142857142856</v>
      </c>
      <c r="Z15" s="17">
        <f t="shared" si="7"/>
        <v>2.5714285714285712</v>
      </c>
      <c r="AA15" s="17">
        <f t="shared" si="7"/>
        <v>0</v>
      </c>
      <c r="AB15" s="17">
        <f t="shared" si="7"/>
        <v>0</v>
      </c>
      <c r="AC15" s="17">
        <f t="shared" si="7"/>
        <v>73.428571428571416</v>
      </c>
      <c r="AD15" s="17">
        <f t="shared" si="7"/>
        <v>0</v>
      </c>
      <c r="AE15" s="31">
        <f t="shared" si="7"/>
        <v>15</v>
      </c>
      <c r="AF15" s="31">
        <f t="shared" si="7"/>
        <v>88.428571428571416</v>
      </c>
    </row>
    <row r="16" spans="2:32" ht="23.1" customHeight="1" x14ac:dyDescent="0.25">
      <c r="B16" s="23" t="s">
        <v>43</v>
      </c>
      <c r="C16" s="49">
        <f>AVERAGE('17.10 ZIROBWE-WOBULENZI'!C16,'18.10 ZIROBWE-WOBULENZI'!C16,'19.10 ZIROBWE-WOBULENZI-24h'!C16,'20.10 ZIROBWE-WOBULENZI'!C16,'21.10 ZIROBWE-WOBULENZI-24h'!C16,'22.10 ZIROBWE-WOBULENZI'!C16,'23.10 ZIROBWE-WOBULENZI'!C16)</f>
        <v>1.2857142857142858</v>
      </c>
      <c r="D16" s="49">
        <f>AVERAGE('17.10 ZIROBWE-WOBULENZI'!D16,'18.10 ZIROBWE-WOBULENZI'!D16,'19.10 ZIROBWE-WOBULENZI-24h'!D16,'20.10 ZIROBWE-WOBULENZI'!D16,'21.10 ZIROBWE-WOBULENZI-24h'!D16,'22.10 ZIROBWE-WOBULENZI'!D16,'23.10 ZIROBWE-WOBULENZI'!D16)</f>
        <v>0.2857142857142857</v>
      </c>
      <c r="E16" s="49">
        <f>AVERAGE('17.10 ZIROBWE-WOBULENZI'!E16,'18.10 ZIROBWE-WOBULENZI'!E16,'19.10 ZIROBWE-WOBULENZI-24h'!E16,'20.10 ZIROBWE-WOBULENZI'!E16,'21.10 ZIROBWE-WOBULENZI-24h'!E16,'22.10 ZIROBWE-WOBULENZI'!E16,'23.10 ZIROBWE-WOBULENZI'!E16)</f>
        <v>0.5714285714285714</v>
      </c>
      <c r="F16" s="49">
        <f>AVERAGE('17.10 ZIROBWE-WOBULENZI'!F16,'18.10 ZIROBWE-WOBULENZI'!F16,'19.10 ZIROBWE-WOBULENZI-24h'!F16,'20.10 ZIROBWE-WOBULENZI'!F16,'21.10 ZIROBWE-WOBULENZI-24h'!F16,'22.10 ZIROBWE-WOBULENZI'!F16,'23.10 ZIROBWE-WOBULENZI'!F16)</f>
        <v>0.5714285714285714</v>
      </c>
      <c r="G16" s="49">
        <f>AVERAGE('17.10 ZIROBWE-WOBULENZI'!G16,'18.10 ZIROBWE-WOBULENZI'!G16,'19.10 ZIROBWE-WOBULENZI-24h'!G16,'20.10 ZIROBWE-WOBULENZI'!G16,'21.10 ZIROBWE-WOBULENZI-24h'!G16,'22.10 ZIROBWE-WOBULENZI'!G16,'23.10 ZIROBWE-WOBULENZI'!G16)</f>
        <v>0</v>
      </c>
      <c r="H16" s="49">
        <f>AVERAGE('17.10 ZIROBWE-WOBULENZI'!H16,'18.10 ZIROBWE-WOBULENZI'!H16,'19.10 ZIROBWE-WOBULENZI-24h'!H16,'20.10 ZIROBWE-WOBULENZI'!H16,'21.10 ZIROBWE-WOBULENZI-24h'!H16,'22.10 ZIROBWE-WOBULENZI'!H16,'23.10 ZIROBWE-WOBULENZI'!H16)</f>
        <v>0</v>
      </c>
      <c r="I16" s="49">
        <f>AVERAGE('17.10 ZIROBWE-WOBULENZI'!I16,'18.10 ZIROBWE-WOBULENZI'!I16,'19.10 ZIROBWE-WOBULENZI-24h'!I16,'20.10 ZIROBWE-WOBULENZI'!I16,'21.10 ZIROBWE-WOBULENZI-24h'!I16,'22.10 ZIROBWE-WOBULENZI'!I16,'23.10 ZIROBWE-WOBULENZI'!I16)</f>
        <v>0.2857142857142857</v>
      </c>
      <c r="J16" s="49">
        <f>AVERAGE('17.10 ZIROBWE-WOBULENZI'!J16,'18.10 ZIROBWE-WOBULENZI'!J16,'19.10 ZIROBWE-WOBULENZI-24h'!J16,'20.10 ZIROBWE-WOBULENZI'!J16,'21.10 ZIROBWE-WOBULENZI-24h'!J16,'22.10 ZIROBWE-WOBULENZI'!J16,'23.10 ZIROBWE-WOBULENZI'!J16)</f>
        <v>0.5714285714285714</v>
      </c>
      <c r="K16" s="49">
        <f>AVERAGE('17.10 ZIROBWE-WOBULENZI'!K16,'18.10 ZIROBWE-WOBULENZI'!K16,'19.10 ZIROBWE-WOBULENZI-24h'!K16,'20.10 ZIROBWE-WOBULENZI'!K16,'21.10 ZIROBWE-WOBULENZI-24h'!K16,'22.10 ZIROBWE-WOBULENZI'!K16,'23.10 ZIROBWE-WOBULENZI'!K16)</f>
        <v>0</v>
      </c>
      <c r="L16" s="49">
        <f>AVERAGE('17.10 ZIROBWE-WOBULENZI'!L16,'18.10 ZIROBWE-WOBULENZI'!L16,'19.10 ZIROBWE-WOBULENZI-24h'!L16,'20.10 ZIROBWE-WOBULENZI'!L16,'21.10 ZIROBWE-WOBULENZI-24h'!L16,'22.10 ZIROBWE-WOBULENZI'!L16,'23.10 ZIROBWE-WOBULENZI'!L16)</f>
        <v>0</v>
      </c>
      <c r="M16" s="49">
        <f>AVERAGE('17.10 ZIROBWE-WOBULENZI'!M16,'18.10 ZIROBWE-WOBULENZI'!M16,'19.10 ZIROBWE-WOBULENZI-24h'!M16,'20.10 ZIROBWE-WOBULENZI'!M16,'21.10 ZIROBWE-WOBULENZI-24h'!M16,'22.10 ZIROBWE-WOBULENZI'!M16,'23.10 ZIROBWE-WOBULENZI'!M16)</f>
        <v>12.428571428571429</v>
      </c>
      <c r="N16" s="49">
        <f>AVERAGE('17.10 ZIROBWE-WOBULENZI'!N16,'18.10 ZIROBWE-WOBULENZI'!N16,'19.10 ZIROBWE-WOBULENZI-24h'!N16,'20.10 ZIROBWE-WOBULENZI'!N16,'21.10 ZIROBWE-WOBULENZI-24h'!N16,'22.10 ZIROBWE-WOBULENZI'!N16,'23.10 ZIROBWE-WOBULENZI'!N16)</f>
        <v>0</v>
      </c>
      <c r="O16" s="15">
        <f t="shared" si="0"/>
        <v>3.5714285714285712</v>
      </c>
      <c r="P16" s="15">
        <f t="shared" si="1"/>
        <v>16</v>
      </c>
      <c r="R16" s="1" t="s">
        <v>12</v>
      </c>
      <c r="S16" s="17">
        <f t="shared" ref="S16:AF16" si="8">SUM(C34:C37)</f>
        <v>5.5714285714285721</v>
      </c>
      <c r="T16" s="17">
        <f t="shared" si="8"/>
        <v>2</v>
      </c>
      <c r="U16" s="17">
        <f t="shared" si="8"/>
        <v>1.5714285714285714</v>
      </c>
      <c r="V16" s="17">
        <f t="shared" si="8"/>
        <v>1.5714285714285712</v>
      </c>
      <c r="W16" s="17">
        <f t="shared" si="8"/>
        <v>0.85714285714285721</v>
      </c>
      <c r="X16" s="17">
        <f t="shared" si="8"/>
        <v>0.14285714285714285</v>
      </c>
      <c r="Y16" s="17">
        <f t="shared" si="8"/>
        <v>3.1428571428571428</v>
      </c>
      <c r="Z16" s="17">
        <f t="shared" si="8"/>
        <v>3.7142857142857144</v>
      </c>
      <c r="AA16" s="17">
        <f t="shared" si="8"/>
        <v>0</v>
      </c>
      <c r="AB16" s="17">
        <f t="shared" si="8"/>
        <v>0</v>
      </c>
      <c r="AC16" s="17">
        <f t="shared" si="8"/>
        <v>72.857142857142861</v>
      </c>
      <c r="AD16" s="17">
        <f t="shared" si="8"/>
        <v>0.14285714285714285</v>
      </c>
      <c r="AE16" s="31">
        <f t="shared" si="8"/>
        <v>18.714285714285712</v>
      </c>
      <c r="AF16" s="31">
        <f t="shared" si="8"/>
        <v>91.571428571428569</v>
      </c>
    </row>
    <row r="17" spans="2:32" ht="23.1" customHeight="1" x14ac:dyDescent="0.25">
      <c r="B17" s="23" t="s">
        <v>44</v>
      </c>
      <c r="C17" s="49">
        <f>AVERAGE('17.10 ZIROBWE-WOBULENZI'!C17,'18.10 ZIROBWE-WOBULENZI'!C17,'19.10 ZIROBWE-WOBULENZI-24h'!C17,'20.10 ZIROBWE-WOBULENZI'!C17,'21.10 ZIROBWE-WOBULENZI-24h'!C17,'22.10 ZIROBWE-WOBULENZI'!C17,'23.10 ZIROBWE-WOBULENZI'!C17)</f>
        <v>0.42857142857142855</v>
      </c>
      <c r="D17" s="49">
        <f>AVERAGE('17.10 ZIROBWE-WOBULENZI'!D17,'18.10 ZIROBWE-WOBULENZI'!D17,'19.10 ZIROBWE-WOBULENZI-24h'!D17,'20.10 ZIROBWE-WOBULENZI'!D17,'21.10 ZIROBWE-WOBULENZI-24h'!D17,'22.10 ZIROBWE-WOBULENZI'!D17,'23.10 ZIROBWE-WOBULENZI'!D17)</f>
        <v>0.2857142857142857</v>
      </c>
      <c r="E17" s="49">
        <f>AVERAGE('17.10 ZIROBWE-WOBULENZI'!E17,'18.10 ZIROBWE-WOBULENZI'!E17,'19.10 ZIROBWE-WOBULENZI-24h'!E17,'20.10 ZIROBWE-WOBULENZI'!E17,'21.10 ZIROBWE-WOBULENZI-24h'!E17,'22.10 ZIROBWE-WOBULENZI'!E17,'23.10 ZIROBWE-WOBULENZI'!E17)</f>
        <v>0.14285714285714285</v>
      </c>
      <c r="F17" s="49">
        <f>AVERAGE('17.10 ZIROBWE-WOBULENZI'!F17,'18.10 ZIROBWE-WOBULENZI'!F17,'19.10 ZIROBWE-WOBULENZI-24h'!F17,'20.10 ZIROBWE-WOBULENZI'!F17,'21.10 ZIROBWE-WOBULENZI-24h'!F17,'22.10 ZIROBWE-WOBULENZI'!F17,'23.10 ZIROBWE-WOBULENZI'!F17)</f>
        <v>0.14285714285714285</v>
      </c>
      <c r="G17" s="49">
        <f>AVERAGE('17.10 ZIROBWE-WOBULENZI'!G17,'18.10 ZIROBWE-WOBULENZI'!G17,'19.10 ZIROBWE-WOBULENZI-24h'!G17,'20.10 ZIROBWE-WOBULENZI'!G17,'21.10 ZIROBWE-WOBULENZI-24h'!G17,'22.10 ZIROBWE-WOBULENZI'!G17,'23.10 ZIROBWE-WOBULENZI'!G17)</f>
        <v>0</v>
      </c>
      <c r="H17" s="49">
        <f>AVERAGE('17.10 ZIROBWE-WOBULENZI'!H17,'18.10 ZIROBWE-WOBULENZI'!H17,'19.10 ZIROBWE-WOBULENZI-24h'!H17,'20.10 ZIROBWE-WOBULENZI'!H17,'21.10 ZIROBWE-WOBULENZI-24h'!H17,'22.10 ZIROBWE-WOBULENZI'!H17,'23.10 ZIROBWE-WOBULENZI'!H17)</f>
        <v>0</v>
      </c>
      <c r="I17" s="49">
        <f>AVERAGE('17.10 ZIROBWE-WOBULENZI'!I17,'18.10 ZIROBWE-WOBULENZI'!I17,'19.10 ZIROBWE-WOBULENZI-24h'!I17,'20.10 ZIROBWE-WOBULENZI'!I17,'21.10 ZIROBWE-WOBULENZI-24h'!I17,'22.10 ZIROBWE-WOBULENZI'!I17,'23.10 ZIROBWE-WOBULENZI'!I17)</f>
        <v>0.42857142857142855</v>
      </c>
      <c r="J17" s="49">
        <f>AVERAGE('17.10 ZIROBWE-WOBULENZI'!J17,'18.10 ZIROBWE-WOBULENZI'!J17,'19.10 ZIROBWE-WOBULENZI-24h'!J17,'20.10 ZIROBWE-WOBULENZI'!J17,'21.10 ZIROBWE-WOBULENZI-24h'!J17,'22.10 ZIROBWE-WOBULENZI'!J17,'23.10 ZIROBWE-WOBULENZI'!J17)</f>
        <v>1</v>
      </c>
      <c r="K17" s="49">
        <f>AVERAGE('17.10 ZIROBWE-WOBULENZI'!K17,'18.10 ZIROBWE-WOBULENZI'!K17,'19.10 ZIROBWE-WOBULENZI-24h'!K17,'20.10 ZIROBWE-WOBULENZI'!K17,'21.10 ZIROBWE-WOBULENZI-24h'!K17,'22.10 ZIROBWE-WOBULENZI'!K17,'23.10 ZIROBWE-WOBULENZI'!K17)</f>
        <v>0</v>
      </c>
      <c r="L17" s="49">
        <f>AVERAGE('17.10 ZIROBWE-WOBULENZI'!L17,'18.10 ZIROBWE-WOBULENZI'!L17,'19.10 ZIROBWE-WOBULENZI-24h'!L17,'20.10 ZIROBWE-WOBULENZI'!L17,'21.10 ZIROBWE-WOBULENZI-24h'!L17,'22.10 ZIROBWE-WOBULENZI'!L17,'23.10 ZIROBWE-WOBULENZI'!L17)</f>
        <v>0</v>
      </c>
      <c r="M17" s="49">
        <f>AVERAGE('17.10 ZIROBWE-WOBULENZI'!M17,'18.10 ZIROBWE-WOBULENZI'!M17,'19.10 ZIROBWE-WOBULENZI-24h'!M17,'20.10 ZIROBWE-WOBULENZI'!M17,'21.10 ZIROBWE-WOBULENZI-24h'!M17,'22.10 ZIROBWE-WOBULENZI'!M17,'23.10 ZIROBWE-WOBULENZI'!M17)</f>
        <v>12.142857142857142</v>
      </c>
      <c r="N17" s="49">
        <f>AVERAGE('17.10 ZIROBWE-WOBULENZI'!N17,'18.10 ZIROBWE-WOBULENZI'!N17,'19.10 ZIROBWE-WOBULENZI-24h'!N17,'20.10 ZIROBWE-WOBULENZI'!N17,'21.10 ZIROBWE-WOBULENZI-24h'!N17,'22.10 ZIROBWE-WOBULENZI'!N17,'23.10 ZIROBWE-WOBULENZI'!N17)</f>
        <v>0</v>
      </c>
      <c r="O17" s="15">
        <f t="shared" si="0"/>
        <v>2.4285714285714284</v>
      </c>
      <c r="P17" s="15">
        <f t="shared" si="1"/>
        <v>14.571428571428571</v>
      </c>
      <c r="R17" s="1" t="s">
        <v>13</v>
      </c>
      <c r="S17" s="17">
        <f t="shared" ref="S17:AF17" si="9">SUM(C38:C41)</f>
        <v>5.9999999999999991</v>
      </c>
      <c r="T17" s="17">
        <f t="shared" si="9"/>
        <v>1.5714285714285714</v>
      </c>
      <c r="U17" s="17">
        <f t="shared" si="9"/>
        <v>1.4285714285714286</v>
      </c>
      <c r="V17" s="17">
        <f t="shared" si="9"/>
        <v>2.2857142857142856</v>
      </c>
      <c r="W17" s="17">
        <f t="shared" si="9"/>
        <v>0.5714285714285714</v>
      </c>
      <c r="X17" s="17">
        <f t="shared" si="9"/>
        <v>0</v>
      </c>
      <c r="Y17" s="17">
        <f t="shared" si="9"/>
        <v>3.5714285714285712</v>
      </c>
      <c r="Z17" s="17">
        <f t="shared" si="9"/>
        <v>3.4285714285714284</v>
      </c>
      <c r="AA17" s="17">
        <f t="shared" si="9"/>
        <v>0</v>
      </c>
      <c r="AB17" s="17">
        <f t="shared" si="9"/>
        <v>0</v>
      </c>
      <c r="AC17" s="17">
        <f t="shared" si="9"/>
        <v>66.428571428571431</v>
      </c>
      <c r="AD17" s="17">
        <f t="shared" si="9"/>
        <v>0.14285714285714285</v>
      </c>
      <c r="AE17" s="31">
        <f t="shared" si="9"/>
        <v>19</v>
      </c>
      <c r="AF17" s="31">
        <f t="shared" si="9"/>
        <v>85.428571428571431</v>
      </c>
    </row>
    <row r="18" spans="2:32" ht="23.1" customHeight="1" x14ac:dyDescent="0.25">
      <c r="B18" s="23" t="s">
        <v>45</v>
      </c>
      <c r="C18" s="49">
        <f>AVERAGE('17.10 ZIROBWE-WOBULENZI'!C18,'18.10 ZIROBWE-WOBULENZI'!C18,'19.10 ZIROBWE-WOBULENZI-24h'!C18,'20.10 ZIROBWE-WOBULENZI'!C18,'21.10 ZIROBWE-WOBULENZI-24h'!C18,'22.10 ZIROBWE-WOBULENZI'!C18,'23.10 ZIROBWE-WOBULENZI'!C18)</f>
        <v>1</v>
      </c>
      <c r="D18" s="49">
        <f>AVERAGE('17.10 ZIROBWE-WOBULENZI'!D18,'18.10 ZIROBWE-WOBULENZI'!D18,'19.10 ZIROBWE-WOBULENZI-24h'!D18,'20.10 ZIROBWE-WOBULENZI'!D18,'21.10 ZIROBWE-WOBULENZI-24h'!D18,'22.10 ZIROBWE-WOBULENZI'!D18,'23.10 ZIROBWE-WOBULENZI'!D18)</f>
        <v>0.2857142857142857</v>
      </c>
      <c r="E18" s="49">
        <f>AVERAGE('17.10 ZIROBWE-WOBULENZI'!E18,'18.10 ZIROBWE-WOBULENZI'!E18,'19.10 ZIROBWE-WOBULENZI-24h'!E18,'20.10 ZIROBWE-WOBULENZI'!E18,'21.10 ZIROBWE-WOBULENZI-24h'!E18,'22.10 ZIROBWE-WOBULENZI'!E18,'23.10 ZIROBWE-WOBULENZI'!E18)</f>
        <v>0.14285714285714285</v>
      </c>
      <c r="F18" s="49">
        <f>AVERAGE('17.10 ZIROBWE-WOBULENZI'!F18,'18.10 ZIROBWE-WOBULENZI'!F18,'19.10 ZIROBWE-WOBULENZI-24h'!F18,'20.10 ZIROBWE-WOBULENZI'!F18,'21.10 ZIROBWE-WOBULENZI-24h'!F18,'22.10 ZIROBWE-WOBULENZI'!F18,'23.10 ZIROBWE-WOBULENZI'!F18)</f>
        <v>0.14285714285714285</v>
      </c>
      <c r="G18" s="49">
        <f>AVERAGE('17.10 ZIROBWE-WOBULENZI'!G18,'18.10 ZIROBWE-WOBULENZI'!G18,'19.10 ZIROBWE-WOBULENZI-24h'!G18,'20.10 ZIROBWE-WOBULENZI'!G18,'21.10 ZIROBWE-WOBULENZI-24h'!G18,'22.10 ZIROBWE-WOBULENZI'!G18,'23.10 ZIROBWE-WOBULENZI'!G18)</f>
        <v>0</v>
      </c>
      <c r="H18" s="49">
        <f>AVERAGE('17.10 ZIROBWE-WOBULENZI'!H18,'18.10 ZIROBWE-WOBULENZI'!H18,'19.10 ZIROBWE-WOBULENZI-24h'!H18,'20.10 ZIROBWE-WOBULENZI'!H18,'21.10 ZIROBWE-WOBULENZI-24h'!H18,'22.10 ZIROBWE-WOBULENZI'!H18,'23.10 ZIROBWE-WOBULENZI'!H18)</f>
        <v>0</v>
      </c>
      <c r="I18" s="49">
        <f>AVERAGE('17.10 ZIROBWE-WOBULENZI'!I18,'18.10 ZIROBWE-WOBULENZI'!I18,'19.10 ZIROBWE-WOBULENZI-24h'!I18,'20.10 ZIROBWE-WOBULENZI'!I18,'21.10 ZIROBWE-WOBULENZI-24h'!I18,'22.10 ZIROBWE-WOBULENZI'!I18,'23.10 ZIROBWE-WOBULENZI'!I18)</f>
        <v>0.42857142857142855</v>
      </c>
      <c r="J18" s="49">
        <f>AVERAGE('17.10 ZIROBWE-WOBULENZI'!J18,'18.10 ZIROBWE-WOBULENZI'!J18,'19.10 ZIROBWE-WOBULENZI-24h'!J18,'20.10 ZIROBWE-WOBULENZI'!J18,'21.10 ZIROBWE-WOBULENZI-24h'!J18,'22.10 ZIROBWE-WOBULENZI'!J18,'23.10 ZIROBWE-WOBULENZI'!J18)</f>
        <v>0.7142857142857143</v>
      </c>
      <c r="K18" s="49">
        <f>AVERAGE('17.10 ZIROBWE-WOBULENZI'!K18,'18.10 ZIROBWE-WOBULENZI'!K18,'19.10 ZIROBWE-WOBULENZI-24h'!K18,'20.10 ZIROBWE-WOBULENZI'!K18,'21.10 ZIROBWE-WOBULENZI-24h'!K18,'22.10 ZIROBWE-WOBULENZI'!K18,'23.10 ZIROBWE-WOBULENZI'!K18)</f>
        <v>0</v>
      </c>
      <c r="L18" s="49">
        <f>AVERAGE('17.10 ZIROBWE-WOBULENZI'!L18,'18.10 ZIROBWE-WOBULENZI'!L18,'19.10 ZIROBWE-WOBULENZI-24h'!L18,'20.10 ZIROBWE-WOBULENZI'!L18,'21.10 ZIROBWE-WOBULENZI-24h'!L18,'22.10 ZIROBWE-WOBULENZI'!L18,'23.10 ZIROBWE-WOBULENZI'!L18)</f>
        <v>0</v>
      </c>
      <c r="M18" s="49">
        <f>AVERAGE('17.10 ZIROBWE-WOBULENZI'!M18,'18.10 ZIROBWE-WOBULENZI'!M18,'19.10 ZIROBWE-WOBULENZI-24h'!M18,'20.10 ZIROBWE-WOBULENZI'!M18,'21.10 ZIROBWE-WOBULENZI-24h'!M18,'22.10 ZIROBWE-WOBULENZI'!M18,'23.10 ZIROBWE-WOBULENZI'!M18)</f>
        <v>9</v>
      </c>
      <c r="N18" s="49">
        <f>AVERAGE('17.10 ZIROBWE-WOBULENZI'!N18,'18.10 ZIROBWE-WOBULENZI'!N18,'19.10 ZIROBWE-WOBULENZI-24h'!N18,'20.10 ZIROBWE-WOBULENZI'!N18,'21.10 ZIROBWE-WOBULENZI-24h'!N18,'22.10 ZIROBWE-WOBULENZI'!N18,'23.10 ZIROBWE-WOBULENZI'!N18)</f>
        <v>0</v>
      </c>
      <c r="O18" s="15">
        <f t="shared" si="0"/>
        <v>2.714285714285714</v>
      </c>
      <c r="P18" s="15">
        <f t="shared" si="1"/>
        <v>11.714285714285714</v>
      </c>
      <c r="R18" s="1" t="s">
        <v>14</v>
      </c>
      <c r="S18" s="17">
        <f t="shared" ref="S18:AF18" si="10">SUM(C42:C45)</f>
        <v>4.1428571428571423</v>
      </c>
      <c r="T18" s="17">
        <f t="shared" si="10"/>
        <v>1.2857142857142856</v>
      </c>
      <c r="U18" s="17">
        <f t="shared" si="10"/>
        <v>2</v>
      </c>
      <c r="V18" s="17">
        <f t="shared" si="10"/>
        <v>2.714285714285714</v>
      </c>
      <c r="W18" s="17">
        <f t="shared" si="10"/>
        <v>0.14285714285714285</v>
      </c>
      <c r="X18" s="17">
        <f t="shared" si="10"/>
        <v>0.14285714285714285</v>
      </c>
      <c r="Y18" s="17">
        <f t="shared" si="10"/>
        <v>3.285714285714286</v>
      </c>
      <c r="Z18" s="17">
        <f t="shared" si="10"/>
        <v>4.8571428571428568</v>
      </c>
      <c r="AA18" s="17">
        <f t="shared" si="10"/>
        <v>0.14285714285714285</v>
      </c>
      <c r="AB18" s="17">
        <f t="shared" si="10"/>
        <v>0.14285714285714285</v>
      </c>
      <c r="AC18" s="17">
        <f t="shared" si="10"/>
        <v>70.857142857142861</v>
      </c>
      <c r="AD18" s="17">
        <f t="shared" si="10"/>
        <v>0</v>
      </c>
      <c r="AE18" s="31">
        <f t="shared" si="10"/>
        <v>18.857142857142858</v>
      </c>
      <c r="AF18" s="31">
        <f t="shared" si="10"/>
        <v>89.714285714285722</v>
      </c>
    </row>
    <row r="19" spans="2:32" ht="23.1" customHeight="1" x14ac:dyDescent="0.25">
      <c r="B19" s="23" t="s">
        <v>46</v>
      </c>
      <c r="C19" s="49">
        <f>AVERAGE('17.10 ZIROBWE-WOBULENZI'!C19,'18.10 ZIROBWE-WOBULENZI'!C19,'19.10 ZIROBWE-WOBULENZI-24h'!C19,'20.10 ZIROBWE-WOBULENZI'!C19,'21.10 ZIROBWE-WOBULENZI-24h'!C19,'22.10 ZIROBWE-WOBULENZI'!C19,'23.10 ZIROBWE-WOBULENZI'!C19)</f>
        <v>0.5714285714285714</v>
      </c>
      <c r="D19" s="49">
        <f>AVERAGE('17.10 ZIROBWE-WOBULENZI'!D19,'18.10 ZIROBWE-WOBULENZI'!D19,'19.10 ZIROBWE-WOBULENZI-24h'!D19,'20.10 ZIROBWE-WOBULENZI'!D19,'21.10 ZIROBWE-WOBULENZI-24h'!D19,'22.10 ZIROBWE-WOBULENZI'!D19,'23.10 ZIROBWE-WOBULENZI'!D19)</f>
        <v>0.14285714285714285</v>
      </c>
      <c r="E19" s="49">
        <f>AVERAGE('17.10 ZIROBWE-WOBULENZI'!E19,'18.10 ZIROBWE-WOBULENZI'!E19,'19.10 ZIROBWE-WOBULENZI-24h'!E19,'20.10 ZIROBWE-WOBULENZI'!E19,'21.10 ZIROBWE-WOBULENZI-24h'!E19,'22.10 ZIROBWE-WOBULENZI'!E19,'23.10 ZIROBWE-WOBULENZI'!E19)</f>
        <v>0.5714285714285714</v>
      </c>
      <c r="F19" s="49">
        <f>AVERAGE('17.10 ZIROBWE-WOBULENZI'!F19,'18.10 ZIROBWE-WOBULENZI'!F19,'19.10 ZIROBWE-WOBULENZI-24h'!F19,'20.10 ZIROBWE-WOBULENZI'!F19,'21.10 ZIROBWE-WOBULENZI-24h'!F19,'22.10 ZIROBWE-WOBULENZI'!F19,'23.10 ZIROBWE-WOBULENZI'!F19)</f>
        <v>0.5714285714285714</v>
      </c>
      <c r="G19" s="49">
        <f>AVERAGE('17.10 ZIROBWE-WOBULENZI'!G19,'18.10 ZIROBWE-WOBULENZI'!G19,'19.10 ZIROBWE-WOBULENZI-24h'!G19,'20.10 ZIROBWE-WOBULENZI'!G19,'21.10 ZIROBWE-WOBULENZI-24h'!G19,'22.10 ZIROBWE-WOBULENZI'!G19,'23.10 ZIROBWE-WOBULENZI'!G19)</f>
        <v>0</v>
      </c>
      <c r="H19" s="49">
        <f>AVERAGE('17.10 ZIROBWE-WOBULENZI'!H19,'18.10 ZIROBWE-WOBULENZI'!H19,'19.10 ZIROBWE-WOBULENZI-24h'!H19,'20.10 ZIROBWE-WOBULENZI'!H19,'21.10 ZIROBWE-WOBULENZI-24h'!H19,'22.10 ZIROBWE-WOBULENZI'!H19,'23.10 ZIROBWE-WOBULENZI'!H19)</f>
        <v>0</v>
      </c>
      <c r="I19" s="49">
        <f>AVERAGE('17.10 ZIROBWE-WOBULENZI'!I19,'18.10 ZIROBWE-WOBULENZI'!I19,'19.10 ZIROBWE-WOBULENZI-24h'!I19,'20.10 ZIROBWE-WOBULENZI'!I19,'21.10 ZIROBWE-WOBULENZI-24h'!I19,'22.10 ZIROBWE-WOBULENZI'!I19,'23.10 ZIROBWE-WOBULENZI'!I19)</f>
        <v>0.5714285714285714</v>
      </c>
      <c r="J19" s="49">
        <f>AVERAGE('17.10 ZIROBWE-WOBULENZI'!J19,'18.10 ZIROBWE-WOBULENZI'!J19,'19.10 ZIROBWE-WOBULENZI-24h'!J19,'20.10 ZIROBWE-WOBULENZI'!J19,'21.10 ZIROBWE-WOBULENZI-24h'!J19,'22.10 ZIROBWE-WOBULENZI'!J19,'23.10 ZIROBWE-WOBULENZI'!J19)</f>
        <v>1</v>
      </c>
      <c r="K19" s="49">
        <f>AVERAGE('17.10 ZIROBWE-WOBULENZI'!K19,'18.10 ZIROBWE-WOBULENZI'!K19,'19.10 ZIROBWE-WOBULENZI-24h'!K19,'20.10 ZIROBWE-WOBULENZI'!K19,'21.10 ZIROBWE-WOBULENZI-24h'!K19,'22.10 ZIROBWE-WOBULENZI'!K19,'23.10 ZIROBWE-WOBULENZI'!K19)</f>
        <v>0</v>
      </c>
      <c r="L19" s="49">
        <f>AVERAGE('17.10 ZIROBWE-WOBULENZI'!L19,'18.10 ZIROBWE-WOBULENZI'!L19,'19.10 ZIROBWE-WOBULENZI-24h'!L19,'20.10 ZIROBWE-WOBULENZI'!L19,'21.10 ZIROBWE-WOBULENZI-24h'!L19,'22.10 ZIROBWE-WOBULENZI'!L19,'23.10 ZIROBWE-WOBULENZI'!L19)</f>
        <v>0</v>
      </c>
      <c r="M19" s="49">
        <f>AVERAGE('17.10 ZIROBWE-WOBULENZI'!M19,'18.10 ZIROBWE-WOBULENZI'!M19,'19.10 ZIROBWE-WOBULENZI-24h'!M19,'20.10 ZIROBWE-WOBULENZI'!M19,'21.10 ZIROBWE-WOBULENZI-24h'!M19,'22.10 ZIROBWE-WOBULENZI'!M19,'23.10 ZIROBWE-WOBULENZI'!M19)</f>
        <v>12.571428571428571</v>
      </c>
      <c r="N19" s="49">
        <f>AVERAGE('17.10 ZIROBWE-WOBULENZI'!N19,'18.10 ZIROBWE-WOBULENZI'!N19,'19.10 ZIROBWE-WOBULENZI-24h'!N19,'20.10 ZIROBWE-WOBULENZI'!N19,'21.10 ZIROBWE-WOBULENZI-24h'!N19,'22.10 ZIROBWE-WOBULENZI'!N19,'23.10 ZIROBWE-WOBULENZI'!N19)</f>
        <v>0</v>
      </c>
      <c r="O19" s="15">
        <f t="shared" si="0"/>
        <v>3.4285714285714284</v>
      </c>
      <c r="P19" s="15">
        <f t="shared" si="1"/>
        <v>16</v>
      </c>
      <c r="R19" s="1" t="s">
        <v>15</v>
      </c>
      <c r="S19" s="17">
        <f t="shared" ref="S19:AF19" si="11">SUM(C46:C49)</f>
        <v>4.5714285714285712</v>
      </c>
      <c r="T19" s="17">
        <f t="shared" si="11"/>
        <v>1.2857142857142856</v>
      </c>
      <c r="U19" s="17">
        <f t="shared" si="11"/>
        <v>1.4285714285714284</v>
      </c>
      <c r="V19" s="17">
        <f t="shared" si="11"/>
        <v>1.7142857142857142</v>
      </c>
      <c r="W19" s="17">
        <f t="shared" si="11"/>
        <v>0.2857142857142857</v>
      </c>
      <c r="X19" s="17">
        <f t="shared" si="11"/>
        <v>0</v>
      </c>
      <c r="Y19" s="17">
        <f t="shared" si="11"/>
        <v>1.7142857142857142</v>
      </c>
      <c r="Z19" s="17">
        <f t="shared" si="11"/>
        <v>4.7142857142857144</v>
      </c>
      <c r="AA19" s="17">
        <f t="shared" si="11"/>
        <v>0</v>
      </c>
      <c r="AB19" s="17">
        <f t="shared" si="11"/>
        <v>0</v>
      </c>
      <c r="AC19" s="17">
        <f t="shared" si="11"/>
        <v>73.142857142857139</v>
      </c>
      <c r="AD19" s="17">
        <f t="shared" si="11"/>
        <v>0</v>
      </c>
      <c r="AE19" s="31">
        <f t="shared" si="11"/>
        <v>15.714285714285714</v>
      </c>
      <c r="AF19" s="31">
        <f t="shared" si="11"/>
        <v>88.857142857142847</v>
      </c>
    </row>
    <row r="20" spans="2:32" ht="23.1" customHeight="1" x14ac:dyDescent="0.25">
      <c r="B20" s="23" t="s">
        <v>47</v>
      </c>
      <c r="C20" s="49">
        <f>AVERAGE('17.10 ZIROBWE-WOBULENZI'!C20,'18.10 ZIROBWE-WOBULENZI'!C20,'19.10 ZIROBWE-WOBULENZI-24h'!C20,'20.10 ZIROBWE-WOBULENZI'!C20,'21.10 ZIROBWE-WOBULENZI-24h'!C20,'22.10 ZIROBWE-WOBULENZI'!C20,'23.10 ZIROBWE-WOBULENZI'!C20)</f>
        <v>0.42857142857142855</v>
      </c>
      <c r="D20" s="49">
        <f>AVERAGE('17.10 ZIROBWE-WOBULENZI'!D20,'18.10 ZIROBWE-WOBULENZI'!D20,'19.10 ZIROBWE-WOBULENZI-24h'!D20,'20.10 ZIROBWE-WOBULENZI'!D20,'21.10 ZIROBWE-WOBULENZI-24h'!D20,'22.10 ZIROBWE-WOBULENZI'!D20,'23.10 ZIROBWE-WOBULENZI'!D20)</f>
        <v>0.2857142857142857</v>
      </c>
      <c r="E20" s="49">
        <f>AVERAGE('17.10 ZIROBWE-WOBULENZI'!E20,'18.10 ZIROBWE-WOBULENZI'!E20,'19.10 ZIROBWE-WOBULENZI-24h'!E20,'20.10 ZIROBWE-WOBULENZI'!E20,'21.10 ZIROBWE-WOBULENZI-24h'!E20,'22.10 ZIROBWE-WOBULENZI'!E20,'23.10 ZIROBWE-WOBULENZI'!E20)</f>
        <v>0.14285714285714285</v>
      </c>
      <c r="F20" s="49">
        <f>AVERAGE('17.10 ZIROBWE-WOBULENZI'!F20,'18.10 ZIROBWE-WOBULENZI'!F20,'19.10 ZIROBWE-WOBULENZI-24h'!F20,'20.10 ZIROBWE-WOBULENZI'!F20,'21.10 ZIROBWE-WOBULENZI-24h'!F20,'22.10 ZIROBWE-WOBULENZI'!F20,'23.10 ZIROBWE-WOBULENZI'!F20)</f>
        <v>0.2857142857142857</v>
      </c>
      <c r="G20" s="49">
        <f>AVERAGE('17.10 ZIROBWE-WOBULENZI'!G20,'18.10 ZIROBWE-WOBULENZI'!G20,'19.10 ZIROBWE-WOBULENZI-24h'!G20,'20.10 ZIROBWE-WOBULENZI'!G20,'21.10 ZIROBWE-WOBULENZI-24h'!G20,'22.10 ZIROBWE-WOBULENZI'!G20,'23.10 ZIROBWE-WOBULENZI'!G20)</f>
        <v>0</v>
      </c>
      <c r="H20" s="49">
        <f>AVERAGE('17.10 ZIROBWE-WOBULENZI'!H20,'18.10 ZIROBWE-WOBULENZI'!H20,'19.10 ZIROBWE-WOBULENZI-24h'!H20,'20.10 ZIROBWE-WOBULENZI'!H20,'21.10 ZIROBWE-WOBULENZI-24h'!H20,'22.10 ZIROBWE-WOBULENZI'!H20,'23.10 ZIROBWE-WOBULENZI'!H20)</f>
        <v>0</v>
      </c>
      <c r="I20" s="49">
        <f>AVERAGE('17.10 ZIROBWE-WOBULENZI'!I20,'18.10 ZIROBWE-WOBULENZI'!I20,'19.10 ZIROBWE-WOBULENZI-24h'!I20,'20.10 ZIROBWE-WOBULENZI'!I20,'21.10 ZIROBWE-WOBULENZI-24h'!I20,'22.10 ZIROBWE-WOBULENZI'!I20,'23.10 ZIROBWE-WOBULENZI'!I20)</f>
        <v>0.2857142857142857</v>
      </c>
      <c r="J20" s="49">
        <f>AVERAGE('17.10 ZIROBWE-WOBULENZI'!J20,'18.10 ZIROBWE-WOBULENZI'!J20,'19.10 ZIROBWE-WOBULENZI-24h'!J20,'20.10 ZIROBWE-WOBULENZI'!J20,'21.10 ZIROBWE-WOBULENZI-24h'!J20,'22.10 ZIROBWE-WOBULENZI'!J20,'23.10 ZIROBWE-WOBULENZI'!J20)</f>
        <v>1.5714285714285714</v>
      </c>
      <c r="K20" s="49">
        <f>AVERAGE('17.10 ZIROBWE-WOBULENZI'!K20,'18.10 ZIROBWE-WOBULENZI'!K20,'19.10 ZIROBWE-WOBULENZI-24h'!K20,'20.10 ZIROBWE-WOBULENZI'!K20,'21.10 ZIROBWE-WOBULENZI-24h'!K20,'22.10 ZIROBWE-WOBULENZI'!K20,'23.10 ZIROBWE-WOBULENZI'!K20)</f>
        <v>0</v>
      </c>
      <c r="L20" s="49">
        <f>AVERAGE('17.10 ZIROBWE-WOBULENZI'!L20,'18.10 ZIROBWE-WOBULENZI'!L20,'19.10 ZIROBWE-WOBULENZI-24h'!L20,'20.10 ZIROBWE-WOBULENZI'!L20,'21.10 ZIROBWE-WOBULENZI-24h'!L20,'22.10 ZIROBWE-WOBULENZI'!L20,'23.10 ZIROBWE-WOBULENZI'!L20)</f>
        <v>0</v>
      </c>
      <c r="M20" s="49">
        <f>AVERAGE('17.10 ZIROBWE-WOBULENZI'!M20,'18.10 ZIROBWE-WOBULENZI'!M20,'19.10 ZIROBWE-WOBULENZI-24h'!M20,'20.10 ZIROBWE-WOBULENZI'!M20,'21.10 ZIROBWE-WOBULENZI-24h'!M20,'22.10 ZIROBWE-WOBULENZI'!M20,'23.10 ZIROBWE-WOBULENZI'!M20)</f>
        <v>13.142857142857142</v>
      </c>
      <c r="N20" s="49">
        <f>AVERAGE('17.10 ZIROBWE-WOBULENZI'!N20,'18.10 ZIROBWE-WOBULENZI'!N20,'19.10 ZIROBWE-WOBULENZI-24h'!N20,'20.10 ZIROBWE-WOBULENZI'!N20,'21.10 ZIROBWE-WOBULENZI-24h'!N20,'22.10 ZIROBWE-WOBULENZI'!N20,'23.10 ZIROBWE-WOBULENZI'!N20)</f>
        <v>0.14285714285714285</v>
      </c>
      <c r="O20" s="15">
        <f t="shared" si="0"/>
        <v>3.1428571428571428</v>
      </c>
      <c r="P20" s="15">
        <f t="shared" si="1"/>
        <v>16.285714285714285</v>
      </c>
      <c r="R20" s="1" t="s">
        <v>16</v>
      </c>
      <c r="S20" s="17">
        <f t="shared" ref="S20:AF20" si="12">SUM(C50:C53)</f>
        <v>4.1428571428571432</v>
      </c>
      <c r="T20" s="17">
        <f t="shared" si="12"/>
        <v>1.4285714285714284</v>
      </c>
      <c r="U20" s="17">
        <f t="shared" si="12"/>
        <v>0.71428571428571419</v>
      </c>
      <c r="V20" s="17">
        <f t="shared" si="12"/>
        <v>2</v>
      </c>
      <c r="W20" s="17">
        <f t="shared" si="12"/>
        <v>0.14285714285714285</v>
      </c>
      <c r="X20" s="17">
        <f t="shared" si="12"/>
        <v>0</v>
      </c>
      <c r="Y20" s="17">
        <f t="shared" si="12"/>
        <v>1.2857142857142856</v>
      </c>
      <c r="Z20" s="17">
        <f t="shared" si="12"/>
        <v>2.7142857142857144</v>
      </c>
      <c r="AA20" s="17">
        <f t="shared" si="12"/>
        <v>0</v>
      </c>
      <c r="AB20" s="17">
        <f t="shared" si="12"/>
        <v>0</v>
      </c>
      <c r="AC20" s="17">
        <f t="shared" si="12"/>
        <v>75</v>
      </c>
      <c r="AD20" s="17">
        <f t="shared" si="12"/>
        <v>0</v>
      </c>
      <c r="AE20" s="31">
        <f t="shared" si="12"/>
        <v>12.428571428571427</v>
      </c>
      <c r="AF20" s="31">
        <f t="shared" si="12"/>
        <v>87.428571428571445</v>
      </c>
    </row>
    <row r="21" spans="2:32" ht="23.1" customHeight="1" x14ac:dyDescent="0.25">
      <c r="B21" s="23" t="s">
        <v>48</v>
      </c>
      <c r="C21" s="49">
        <f>AVERAGE('17.10 ZIROBWE-WOBULENZI'!C21,'18.10 ZIROBWE-WOBULENZI'!C21,'19.10 ZIROBWE-WOBULENZI-24h'!C21,'20.10 ZIROBWE-WOBULENZI'!C21,'21.10 ZIROBWE-WOBULENZI-24h'!C21,'22.10 ZIROBWE-WOBULENZI'!C21,'23.10 ZIROBWE-WOBULENZI'!C21)</f>
        <v>0.7142857142857143</v>
      </c>
      <c r="D21" s="49">
        <f>AVERAGE('17.10 ZIROBWE-WOBULENZI'!D21,'18.10 ZIROBWE-WOBULENZI'!D21,'19.10 ZIROBWE-WOBULENZI-24h'!D21,'20.10 ZIROBWE-WOBULENZI'!D21,'21.10 ZIROBWE-WOBULENZI-24h'!D21,'22.10 ZIROBWE-WOBULENZI'!D21,'23.10 ZIROBWE-WOBULENZI'!D21)</f>
        <v>0.5714285714285714</v>
      </c>
      <c r="E21" s="49">
        <f>AVERAGE('17.10 ZIROBWE-WOBULENZI'!E21,'18.10 ZIROBWE-WOBULENZI'!E21,'19.10 ZIROBWE-WOBULENZI-24h'!E21,'20.10 ZIROBWE-WOBULENZI'!E21,'21.10 ZIROBWE-WOBULENZI-24h'!E21,'22.10 ZIROBWE-WOBULENZI'!E21,'23.10 ZIROBWE-WOBULENZI'!E21)</f>
        <v>0.42857142857142855</v>
      </c>
      <c r="F21" s="49">
        <f>AVERAGE('17.10 ZIROBWE-WOBULENZI'!F21,'18.10 ZIROBWE-WOBULENZI'!F21,'19.10 ZIROBWE-WOBULENZI-24h'!F21,'20.10 ZIROBWE-WOBULENZI'!F21,'21.10 ZIROBWE-WOBULENZI-24h'!F21,'22.10 ZIROBWE-WOBULENZI'!F21,'23.10 ZIROBWE-WOBULENZI'!F21)</f>
        <v>0</v>
      </c>
      <c r="G21" s="49">
        <f>AVERAGE('17.10 ZIROBWE-WOBULENZI'!G21,'18.10 ZIROBWE-WOBULENZI'!G21,'19.10 ZIROBWE-WOBULENZI-24h'!G21,'20.10 ZIROBWE-WOBULENZI'!G21,'21.10 ZIROBWE-WOBULENZI-24h'!G21,'22.10 ZIROBWE-WOBULENZI'!G21,'23.10 ZIROBWE-WOBULENZI'!G21)</f>
        <v>0</v>
      </c>
      <c r="H21" s="49">
        <f>AVERAGE('17.10 ZIROBWE-WOBULENZI'!H21,'18.10 ZIROBWE-WOBULENZI'!H21,'19.10 ZIROBWE-WOBULENZI-24h'!H21,'20.10 ZIROBWE-WOBULENZI'!H21,'21.10 ZIROBWE-WOBULENZI-24h'!H21,'22.10 ZIROBWE-WOBULENZI'!H21,'23.10 ZIROBWE-WOBULENZI'!H21)</f>
        <v>0</v>
      </c>
      <c r="I21" s="49">
        <f>AVERAGE('17.10 ZIROBWE-WOBULENZI'!I21,'18.10 ZIROBWE-WOBULENZI'!I21,'19.10 ZIROBWE-WOBULENZI-24h'!I21,'20.10 ZIROBWE-WOBULENZI'!I21,'21.10 ZIROBWE-WOBULENZI-24h'!I21,'22.10 ZIROBWE-WOBULENZI'!I21,'23.10 ZIROBWE-WOBULENZI'!I21)</f>
        <v>0.2857142857142857</v>
      </c>
      <c r="J21" s="49">
        <f>AVERAGE('17.10 ZIROBWE-WOBULENZI'!J21,'18.10 ZIROBWE-WOBULENZI'!J21,'19.10 ZIROBWE-WOBULENZI-24h'!J21,'20.10 ZIROBWE-WOBULENZI'!J21,'21.10 ZIROBWE-WOBULENZI-24h'!J21,'22.10 ZIROBWE-WOBULENZI'!J21,'23.10 ZIROBWE-WOBULENZI'!J21)</f>
        <v>2</v>
      </c>
      <c r="K21" s="49">
        <f>AVERAGE('17.10 ZIROBWE-WOBULENZI'!K21,'18.10 ZIROBWE-WOBULENZI'!K21,'19.10 ZIROBWE-WOBULENZI-24h'!K21,'20.10 ZIROBWE-WOBULENZI'!K21,'21.10 ZIROBWE-WOBULENZI-24h'!K21,'22.10 ZIROBWE-WOBULENZI'!K21,'23.10 ZIROBWE-WOBULENZI'!K21)</f>
        <v>0</v>
      </c>
      <c r="L21" s="49">
        <f>AVERAGE('17.10 ZIROBWE-WOBULENZI'!L21,'18.10 ZIROBWE-WOBULENZI'!L21,'19.10 ZIROBWE-WOBULENZI-24h'!L21,'20.10 ZIROBWE-WOBULENZI'!L21,'21.10 ZIROBWE-WOBULENZI-24h'!L21,'22.10 ZIROBWE-WOBULENZI'!L21,'23.10 ZIROBWE-WOBULENZI'!L21)</f>
        <v>0</v>
      </c>
      <c r="M21" s="49">
        <f>AVERAGE('17.10 ZIROBWE-WOBULENZI'!M21,'18.10 ZIROBWE-WOBULENZI'!M21,'19.10 ZIROBWE-WOBULENZI-24h'!M21,'20.10 ZIROBWE-WOBULENZI'!M21,'21.10 ZIROBWE-WOBULENZI-24h'!M21,'22.10 ZIROBWE-WOBULENZI'!M21,'23.10 ZIROBWE-WOBULENZI'!M21)</f>
        <v>12</v>
      </c>
      <c r="N21" s="49">
        <f>AVERAGE('17.10 ZIROBWE-WOBULENZI'!N21,'18.10 ZIROBWE-WOBULENZI'!N21,'19.10 ZIROBWE-WOBULENZI-24h'!N21,'20.10 ZIROBWE-WOBULENZI'!N21,'21.10 ZIROBWE-WOBULENZI-24h'!N21,'22.10 ZIROBWE-WOBULENZI'!N21,'23.10 ZIROBWE-WOBULENZI'!N21)</f>
        <v>0</v>
      </c>
      <c r="O21" s="15">
        <f t="shared" si="0"/>
        <v>4</v>
      </c>
      <c r="P21" s="15">
        <f t="shared" si="1"/>
        <v>16</v>
      </c>
      <c r="R21" s="36" t="s">
        <v>20</v>
      </c>
      <c r="S21" s="34">
        <f t="shared" ref="S21:AF21" si="13">SUM(C54:C57)</f>
        <v>2.714285714285714</v>
      </c>
      <c r="T21" s="17">
        <f t="shared" si="13"/>
        <v>1.7142857142857144</v>
      </c>
      <c r="U21" s="17">
        <f t="shared" si="13"/>
        <v>1.1428571428571428</v>
      </c>
      <c r="V21" s="17">
        <f t="shared" si="13"/>
        <v>1.2857142857142856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3.1428571428571428</v>
      </c>
      <c r="AA21" s="17">
        <f t="shared" si="13"/>
        <v>0</v>
      </c>
      <c r="AB21" s="17">
        <f t="shared" si="13"/>
        <v>0</v>
      </c>
      <c r="AC21" s="17">
        <f t="shared" si="13"/>
        <v>90.571428571428569</v>
      </c>
      <c r="AD21" s="17">
        <f t="shared" si="13"/>
        <v>0.14285714285714285</v>
      </c>
      <c r="AE21" s="31">
        <f t="shared" si="13"/>
        <v>13.142857142857142</v>
      </c>
      <c r="AF21" s="31">
        <f t="shared" si="13"/>
        <v>103.71428571428572</v>
      </c>
    </row>
    <row r="22" spans="2:32" ht="23.1" customHeight="1" x14ac:dyDescent="0.25">
      <c r="B22" s="23" t="s">
        <v>49</v>
      </c>
      <c r="C22" s="49">
        <f>AVERAGE('17.10 ZIROBWE-WOBULENZI'!C22,'18.10 ZIROBWE-WOBULENZI'!C22,'19.10 ZIROBWE-WOBULENZI-24h'!C22,'20.10 ZIROBWE-WOBULENZI'!C22,'21.10 ZIROBWE-WOBULENZI-24h'!C22,'22.10 ZIROBWE-WOBULENZI'!C22,'23.10 ZIROBWE-WOBULENZI'!C22)</f>
        <v>1.1428571428571428</v>
      </c>
      <c r="D22" s="49">
        <f>AVERAGE('17.10 ZIROBWE-WOBULENZI'!D22,'18.10 ZIROBWE-WOBULENZI'!D22,'19.10 ZIROBWE-WOBULENZI-24h'!D22,'20.10 ZIROBWE-WOBULENZI'!D22,'21.10 ZIROBWE-WOBULENZI-24h'!D22,'22.10 ZIROBWE-WOBULENZI'!D22,'23.10 ZIROBWE-WOBULENZI'!D22)</f>
        <v>0.2857142857142857</v>
      </c>
      <c r="E22" s="49">
        <f>AVERAGE('17.10 ZIROBWE-WOBULENZI'!E22,'18.10 ZIROBWE-WOBULENZI'!E22,'19.10 ZIROBWE-WOBULENZI-24h'!E22,'20.10 ZIROBWE-WOBULENZI'!E22,'21.10 ZIROBWE-WOBULENZI-24h'!E22,'22.10 ZIROBWE-WOBULENZI'!E22,'23.10 ZIROBWE-WOBULENZI'!E22)</f>
        <v>0.2857142857142857</v>
      </c>
      <c r="F22" s="49">
        <f>AVERAGE('17.10 ZIROBWE-WOBULENZI'!F22,'18.10 ZIROBWE-WOBULENZI'!F22,'19.10 ZIROBWE-WOBULENZI-24h'!F22,'20.10 ZIROBWE-WOBULENZI'!F22,'21.10 ZIROBWE-WOBULENZI-24h'!F22,'22.10 ZIROBWE-WOBULENZI'!F22,'23.10 ZIROBWE-WOBULENZI'!F22)</f>
        <v>0.42857142857142855</v>
      </c>
      <c r="G22" s="49">
        <f>AVERAGE('17.10 ZIROBWE-WOBULENZI'!G22,'18.10 ZIROBWE-WOBULENZI'!G22,'19.10 ZIROBWE-WOBULENZI-24h'!G22,'20.10 ZIROBWE-WOBULENZI'!G22,'21.10 ZIROBWE-WOBULENZI-24h'!G22,'22.10 ZIROBWE-WOBULENZI'!G22,'23.10 ZIROBWE-WOBULENZI'!G22)</f>
        <v>0</v>
      </c>
      <c r="H22" s="49">
        <f>AVERAGE('17.10 ZIROBWE-WOBULENZI'!H22,'18.10 ZIROBWE-WOBULENZI'!H22,'19.10 ZIROBWE-WOBULENZI-24h'!H22,'20.10 ZIROBWE-WOBULENZI'!H22,'21.10 ZIROBWE-WOBULENZI-24h'!H22,'22.10 ZIROBWE-WOBULENZI'!H22,'23.10 ZIROBWE-WOBULENZI'!H22)</f>
        <v>0</v>
      </c>
      <c r="I22" s="49">
        <f>AVERAGE('17.10 ZIROBWE-WOBULENZI'!I22,'18.10 ZIROBWE-WOBULENZI'!I22,'19.10 ZIROBWE-WOBULENZI-24h'!I22,'20.10 ZIROBWE-WOBULENZI'!I22,'21.10 ZIROBWE-WOBULENZI-24h'!I22,'22.10 ZIROBWE-WOBULENZI'!I22,'23.10 ZIROBWE-WOBULENZI'!I22)</f>
        <v>0</v>
      </c>
      <c r="J22" s="49">
        <f>AVERAGE('17.10 ZIROBWE-WOBULENZI'!J22,'18.10 ZIROBWE-WOBULENZI'!J22,'19.10 ZIROBWE-WOBULENZI-24h'!J22,'20.10 ZIROBWE-WOBULENZI'!J22,'21.10 ZIROBWE-WOBULENZI-24h'!J22,'22.10 ZIROBWE-WOBULENZI'!J22,'23.10 ZIROBWE-WOBULENZI'!J22)</f>
        <v>1.7142857142857142</v>
      </c>
      <c r="K22" s="49">
        <f>AVERAGE('17.10 ZIROBWE-WOBULENZI'!K22,'18.10 ZIROBWE-WOBULENZI'!K22,'19.10 ZIROBWE-WOBULENZI-24h'!K22,'20.10 ZIROBWE-WOBULENZI'!K22,'21.10 ZIROBWE-WOBULENZI-24h'!K22,'22.10 ZIROBWE-WOBULENZI'!K22,'23.10 ZIROBWE-WOBULENZI'!K22)</f>
        <v>0</v>
      </c>
      <c r="L22" s="49">
        <f>AVERAGE('17.10 ZIROBWE-WOBULENZI'!L22,'18.10 ZIROBWE-WOBULENZI'!L22,'19.10 ZIROBWE-WOBULENZI-24h'!L22,'20.10 ZIROBWE-WOBULENZI'!L22,'21.10 ZIROBWE-WOBULENZI-24h'!L22,'22.10 ZIROBWE-WOBULENZI'!L22,'23.10 ZIROBWE-WOBULENZI'!L22)</f>
        <v>0.2857142857142857</v>
      </c>
      <c r="M22" s="49">
        <f>AVERAGE('17.10 ZIROBWE-WOBULENZI'!M22,'18.10 ZIROBWE-WOBULENZI'!M22,'19.10 ZIROBWE-WOBULENZI-24h'!M22,'20.10 ZIROBWE-WOBULENZI'!M22,'21.10 ZIROBWE-WOBULENZI-24h'!M22,'22.10 ZIROBWE-WOBULENZI'!M22,'23.10 ZIROBWE-WOBULENZI'!M22)</f>
        <v>16.857142857142858</v>
      </c>
      <c r="N22" s="49">
        <f>AVERAGE('17.10 ZIROBWE-WOBULENZI'!N22,'18.10 ZIROBWE-WOBULENZI'!N22,'19.10 ZIROBWE-WOBULENZI-24h'!N22,'20.10 ZIROBWE-WOBULENZI'!N22,'21.10 ZIROBWE-WOBULENZI-24h'!N22,'22.10 ZIROBWE-WOBULENZI'!N22,'23.10 ZIROBWE-WOBULENZI'!N22)</f>
        <v>0</v>
      </c>
      <c r="O22" s="15">
        <f t="shared" si="0"/>
        <v>4.1428571428571423</v>
      </c>
      <c r="P22" s="15">
        <f t="shared" si="1"/>
        <v>21</v>
      </c>
      <c r="R22" s="1" t="s">
        <v>146</v>
      </c>
      <c r="S22" s="34">
        <f>SUM(C58:C61)</f>
        <v>2.5</v>
      </c>
      <c r="T22" s="34">
        <f t="shared" ref="T22:AF22" si="14">SUM(D58:D61)</f>
        <v>0.5</v>
      </c>
      <c r="U22" s="34">
        <f t="shared" si="14"/>
        <v>1</v>
      </c>
      <c r="V22" s="34">
        <f t="shared" si="14"/>
        <v>2</v>
      </c>
      <c r="W22" s="34">
        <f t="shared" si="14"/>
        <v>0</v>
      </c>
      <c r="X22" s="34">
        <f t="shared" si="14"/>
        <v>0</v>
      </c>
      <c r="Y22" s="34">
        <f t="shared" si="14"/>
        <v>4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108.5</v>
      </c>
      <c r="AD22" s="34">
        <f t="shared" si="14"/>
        <v>0</v>
      </c>
      <c r="AE22" s="31">
        <f t="shared" si="14"/>
        <v>12</v>
      </c>
      <c r="AF22" s="31">
        <f t="shared" si="14"/>
        <v>120.5</v>
      </c>
    </row>
    <row r="23" spans="2:32" ht="23.1" customHeight="1" x14ac:dyDescent="0.25">
      <c r="B23" s="23" t="s">
        <v>50</v>
      </c>
      <c r="C23" s="49">
        <f>AVERAGE('17.10 ZIROBWE-WOBULENZI'!C23,'18.10 ZIROBWE-WOBULENZI'!C23,'19.10 ZIROBWE-WOBULENZI-24h'!C23,'20.10 ZIROBWE-WOBULENZI'!C23,'21.10 ZIROBWE-WOBULENZI-24h'!C23,'22.10 ZIROBWE-WOBULENZI'!C23,'23.10 ZIROBWE-WOBULENZI'!C23)</f>
        <v>0.42857142857142855</v>
      </c>
      <c r="D23" s="49">
        <f>AVERAGE('17.10 ZIROBWE-WOBULENZI'!D23,'18.10 ZIROBWE-WOBULENZI'!D23,'19.10 ZIROBWE-WOBULENZI-24h'!D23,'20.10 ZIROBWE-WOBULENZI'!D23,'21.10 ZIROBWE-WOBULENZI-24h'!D23,'22.10 ZIROBWE-WOBULENZI'!D23,'23.10 ZIROBWE-WOBULENZI'!D23)</f>
        <v>0</v>
      </c>
      <c r="E23" s="49">
        <f>AVERAGE('17.10 ZIROBWE-WOBULENZI'!E23,'18.10 ZIROBWE-WOBULENZI'!E23,'19.10 ZIROBWE-WOBULENZI-24h'!E23,'20.10 ZIROBWE-WOBULENZI'!E23,'21.10 ZIROBWE-WOBULENZI-24h'!E23,'22.10 ZIROBWE-WOBULENZI'!E23,'23.10 ZIROBWE-WOBULENZI'!E23)</f>
        <v>0</v>
      </c>
      <c r="F23" s="49">
        <f>AVERAGE('17.10 ZIROBWE-WOBULENZI'!F23,'18.10 ZIROBWE-WOBULENZI'!F23,'19.10 ZIROBWE-WOBULENZI-24h'!F23,'20.10 ZIROBWE-WOBULENZI'!F23,'21.10 ZIROBWE-WOBULENZI-24h'!F23,'22.10 ZIROBWE-WOBULENZI'!F23,'23.10 ZIROBWE-WOBULENZI'!F23)</f>
        <v>0.2857142857142857</v>
      </c>
      <c r="G23" s="49">
        <f>AVERAGE('17.10 ZIROBWE-WOBULENZI'!G23,'18.10 ZIROBWE-WOBULENZI'!G23,'19.10 ZIROBWE-WOBULENZI-24h'!G23,'20.10 ZIROBWE-WOBULENZI'!G23,'21.10 ZIROBWE-WOBULENZI-24h'!G23,'22.10 ZIROBWE-WOBULENZI'!G23,'23.10 ZIROBWE-WOBULENZI'!G23)</f>
        <v>0</v>
      </c>
      <c r="H23" s="49">
        <f>AVERAGE('17.10 ZIROBWE-WOBULENZI'!H23,'18.10 ZIROBWE-WOBULENZI'!H23,'19.10 ZIROBWE-WOBULENZI-24h'!H23,'20.10 ZIROBWE-WOBULENZI'!H23,'21.10 ZIROBWE-WOBULENZI-24h'!H23,'22.10 ZIROBWE-WOBULENZI'!H23,'23.10 ZIROBWE-WOBULENZI'!H23)</f>
        <v>0.14285714285714285</v>
      </c>
      <c r="I23" s="49">
        <f>AVERAGE('17.10 ZIROBWE-WOBULENZI'!I23,'18.10 ZIROBWE-WOBULENZI'!I23,'19.10 ZIROBWE-WOBULENZI-24h'!I23,'20.10 ZIROBWE-WOBULENZI'!I23,'21.10 ZIROBWE-WOBULENZI-24h'!I23,'22.10 ZIROBWE-WOBULENZI'!I23,'23.10 ZIROBWE-WOBULENZI'!I23)</f>
        <v>0.2857142857142857</v>
      </c>
      <c r="J23" s="49">
        <f>AVERAGE('17.10 ZIROBWE-WOBULENZI'!J23,'18.10 ZIROBWE-WOBULENZI'!J23,'19.10 ZIROBWE-WOBULENZI-24h'!J23,'20.10 ZIROBWE-WOBULENZI'!J23,'21.10 ZIROBWE-WOBULENZI-24h'!J23,'22.10 ZIROBWE-WOBULENZI'!J23,'23.10 ZIROBWE-WOBULENZI'!J23)</f>
        <v>1.5714285714285714</v>
      </c>
      <c r="K23" s="49">
        <f>AVERAGE('17.10 ZIROBWE-WOBULENZI'!K23,'18.10 ZIROBWE-WOBULENZI'!K23,'19.10 ZIROBWE-WOBULENZI-24h'!K23,'20.10 ZIROBWE-WOBULENZI'!K23,'21.10 ZIROBWE-WOBULENZI-24h'!K23,'22.10 ZIROBWE-WOBULENZI'!K23,'23.10 ZIROBWE-WOBULENZI'!K23)</f>
        <v>0</v>
      </c>
      <c r="L23" s="49">
        <f>AVERAGE('17.10 ZIROBWE-WOBULENZI'!L23,'18.10 ZIROBWE-WOBULENZI'!L23,'19.10 ZIROBWE-WOBULENZI-24h'!L23,'20.10 ZIROBWE-WOBULENZI'!L23,'21.10 ZIROBWE-WOBULENZI-24h'!L23,'22.10 ZIROBWE-WOBULENZI'!L23,'23.10 ZIROBWE-WOBULENZI'!L23)</f>
        <v>0</v>
      </c>
      <c r="M23" s="49">
        <f>AVERAGE('17.10 ZIROBWE-WOBULENZI'!M23,'18.10 ZIROBWE-WOBULENZI'!M23,'19.10 ZIROBWE-WOBULENZI-24h'!M23,'20.10 ZIROBWE-WOBULENZI'!M23,'21.10 ZIROBWE-WOBULENZI-24h'!M23,'22.10 ZIROBWE-WOBULENZI'!M23,'23.10 ZIROBWE-WOBULENZI'!M23)</f>
        <v>16.142857142857142</v>
      </c>
      <c r="N23" s="49">
        <f>AVERAGE('17.10 ZIROBWE-WOBULENZI'!N23,'18.10 ZIROBWE-WOBULENZI'!N23,'19.10 ZIROBWE-WOBULENZI-24h'!N23,'20.10 ZIROBWE-WOBULENZI'!N23,'21.10 ZIROBWE-WOBULENZI-24h'!N23,'22.10 ZIROBWE-WOBULENZI'!N23,'23.10 ZIROBWE-WOBULENZI'!N23)</f>
        <v>0</v>
      </c>
      <c r="O23" s="15">
        <f t="shared" si="0"/>
        <v>2.7142857142857144</v>
      </c>
      <c r="P23" s="15">
        <f t="shared" si="1"/>
        <v>18.857142857142858</v>
      </c>
      <c r="R23" s="1" t="s">
        <v>147</v>
      </c>
      <c r="S23" s="34">
        <f>SUM(C62:C65)</f>
        <v>3</v>
      </c>
      <c r="T23" s="34">
        <f t="shared" ref="T23:AF23" si="15">SUM(D62:D65)</f>
        <v>0.5</v>
      </c>
      <c r="U23" s="34">
        <f t="shared" si="15"/>
        <v>3.5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2.5</v>
      </c>
      <c r="AA23" s="34">
        <f t="shared" si="15"/>
        <v>0</v>
      </c>
      <c r="AB23" s="34">
        <f t="shared" si="15"/>
        <v>0</v>
      </c>
      <c r="AC23" s="34">
        <f t="shared" si="15"/>
        <v>86.5</v>
      </c>
      <c r="AD23" s="34">
        <f t="shared" si="15"/>
        <v>0</v>
      </c>
      <c r="AE23" s="31">
        <f t="shared" si="15"/>
        <v>13.5</v>
      </c>
      <c r="AF23" s="31">
        <f t="shared" si="15"/>
        <v>100</v>
      </c>
    </row>
    <row r="24" spans="2:32" ht="23.1" customHeight="1" x14ac:dyDescent="0.25">
      <c r="B24" s="23" t="s">
        <v>51</v>
      </c>
      <c r="C24" s="49">
        <f>AVERAGE('17.10 ZIROBWE-WOBULENZI'!C24,'18.10 ZIROBWE-WOBULENZI'!C24,'19.10 ZIROBWE-WOBULENZI-24h'!C24,'20.10 ZIROBWE-WOBULENZI'!C24,'21.10 ZIROBWE-WOBULENZI-24h'!C24,'22.10 ZIROBWE-WOBULENZI'!C24,'23.10 ZIROBWE-WOBULENZI'!C24)</f>
        <v>0.7142857142857143</v>
      </c>
      <c r="D24" s="49">
        <f>AVERAGE('17.10 ZIROBWE-WOBULENZI'!D24,'18.10 ZIROBWE-WOBULENZI'!D24,'19.10 ZIROBWE-WOBULENZI-24h'!D24,'20.10 ZIROBWE-WOBULENZI'!D24,'21.10 ZIROBWE-WOBULENZI-24h'!D24,'22.10 ZIROBWE-WOBULENZI'!D24,'23.10 ZIROBWE-WOBULENZI'!D24)</f>
        <v>0.14285714285714285</v>
      </c>
      <c r="E24" s="49">
        <f>AVERAGE('17.10 ZIROBWE-WOBULENZI'!E24,'18.10 ZIROBWE-WOBULENZI'!E24,'19.10 ZIROBWE-WOBULENZI-24h'!E24,'20.10 ZIROBWE-WOBULENZI'!E24,'21.10 ZIROBWE-WOBULENZI-24h'!E24,'22.10 ZIROBWE-WOBULENZI'!E24,'23.10 ZIROBWE-WOBULENZI'!E24)</f>
        <v>0.14285714285714285</v>
      </c>
      <c r="F24" s="49">
        <f>AVERAGE('17.10 ZIROBWE-WOBULENZI'!F24,'18.10 ZIROBWE-WOBULENZI'!F24,'19.10 ZIROBWE-WOBULENZI-24h'!F24,'20.10 ZIROBWE-WOBULENZI'!F24,'21.10 ZIROBWE-WOBULENZI-24h'!F24,'22.10 ZIROBWE-WOBULENZI'!F24,'23.10 ZIROBWE-WOBULENZI'!F24)</f>
        <v>0.42857142857142855</v>
      </c>
      <c r="G24" s="49">
        <f>AVERAGE('17.10 ZIROBWE-WOBULENZI'!G24,'18.10 ZIROBWE-WOBULENZI'!G24,'19.10 ZIROBWE-WOBULENZI-24h'!G24,'20.10 ZIROBWE-WOBULENZI'!G24,'21.10 ZIROBWE-WOBULENZI-24h'!G24,'22.10 ZIROBWE-WOBULENZI'!G24,'23.10 ZIROBWE-WOBULENZI'!G24)</f>
        <v>0</v>
      </c>
      <c r="H24" s="49">
        <f>AVERAGE('17.10 ZIROBWE-WOBULENZI'!H24,'18.10 ZIROBWE-WOBULENZI'!H24,'19.10 ZIROBWE-WOBULENZI-24h'!H24,'20.10 ZIROBWE-WOBULENZI'!H24,'21.10 ZIROBWE-WOBULENZI-24h'!H24,'22.10 ZIROBWE-WOBULENZI'!H24,'23.10 ZIROBWE-WOBULENZI'!H24)</f>
        <v>0</v>
      </c>
      <c r="I24" s="49">
        <f>AVERAGE('17.10 ZIROBWE-WOBULENZI'!I24,'18.10 ZIROBWE-WOBULENZI'!I24,'19.10 ZIROBWE-WOBULENZI-24h'!I24,'20.10 ZIROBWE-WOBULENZI'!I24,'21.10 ZIROBWE-WOBULENZI-24h'!I24,'22.10 ZIROBWE-WOBULENZI'!I24,'23.10 ZIROBWE-WOBULENZI'!I24)</f>
        <v>1</v>
      </c>
      <c r="J24" s="49">
        <f>AVERAGE('17.10 ZIROBWE-WOBULENZI'!J24,'18.10 ZIROBWE-WOBULENZI'!J24,'19.10 ZIROBWE-WOBULENZI-24h'!J24,'20.10 ZIROBWE-WOBULENZI'!J24,'21.10 ZIROBWE-WOBULENZI-24h'!J24,'22.10 ZIROBWE-WOBULENZI'!J24,'23.10 ZIROBWE-WOBULENZI'!J24)</f>
        <v>1.4285714285714286</v>
      </c>
      <c r="K24" s="49">
        <f>AVERAGE('17.10 ZIROBWE-WOBULENZI'!K24,'18.10 ZIROBWE-WOBULENZI'!K24,'19.10 ZIROBWE-WOBULENZI-24h'!K24,'20.10 ZIROBWE-WOBULENZI'!K24,'21.10 ZIROBWE-WOBULENZI-24h'!K24,'22.10 ZIROBWE-WOBULENZI'!K24,'23.10 ZIROBWE-WOBULENZI'!K24)</f>
        <v>0</v>
      </c>
      <c r="L24" s="49">
        <f>AVERAGE('17.10 ZIROBWE-WOBULENZI'!L24,'18.10 ZIROBWE-WOBULENZI'!L24,'19.10 ZIROBWE-WOBULENZI-24h'!L24,'20.10 ZIROBWE-WOBULENZI'!L24,'21.10 ZIROBWE-WOBULENZI-24h'!L24,'22.10 ZIROBWE-WOBULENZI'!L24,'23.10 ZIROBWE-WOBULENZI'!L24)</f>
        <v>0</v>
      </c>
      <c r="M24" s="49">
        <f>AVERAGE('17.10 ZIROBWE-WOBULENZI'!M24,'18.10 ZIROBWE-WOBULENZI'!M24,'19.10 ZIROBWE-WOBULENZI-24h'!M24,'20.10 ZIROBWE-WOBULENZI'!M24,'21.10 ZIROBWE-WOBULENZI-24h'!M24,'22.10 ZIROBWE-WOBULENZI'!M24,'23.10 ZIROBWE-WOBULENZI'!M24)</f>
        <v>17</v>
      </c>
      <c r="N24" s="49">
        <f>AVERAGE('17.10 ZIROBWE-WOBULENZI'!N24,'18.10 ZIROBWE-WOBULENZI'!N24,'19.10 ZIROBWE-WOBULENZI-24h'!N24,'20.10 ZIROBWE-WOBULENZI'!N24,'21.10 ZIROBWE-WOBULENZI-24h'!N24,'22.10 ZIROBWE-WOBULENZI'!N24,'23.10 ZIROBWE-WOBULENZI'!N24)</f>
        <v>0</v>
      </c>
      <c r="O24" s="15">
        <f t="shared" si="0"/>
        <v>3.8571428571428577</v>
      </c>
      <c r="P24" s="15">
        <f t="shared" si="1"/>
        <v>20.857142857142858</v>
      </c>
      <c r="R24" s="1" t="s">
        <v>148</v>
      </c>
      <c r="S24" s="34">
        <f>SUM(C66:C69)</f>
        <v>2.5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6</v>
      </c>
      <c r="W24" s="34">
        <f t="shared" si="16"/>
        <v>0</v>
      </c>
      <c r="X24" s="34">
        <f t="shared" si="16"/>
        <v>0</v>
      </c>
      <c r="Y24" s="34">
        <f t="shared" si="16"/>
        <v>1.5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71.5</v>
      </c>
      <c r="AD24" s="34">
        <f t="shared" si="16"/>
        <v>0</v>
      </c>
      <c r="AE24" s="31">
        <f t="shared" si="16"/>
        <v>12</v>
      </c>
      <c r="AF24" s="31">
        <f t="shared" si="16"/>
        <v>83.5</v>
      </c>
    </row>
    <row r="25" spans="2:32" ht="23.1" customHeight="1" x14ac:dyDescent="0.25">
      <c r="B25" s="23" t="s">
        <v>52</v>
      </c>
      <c r="C25" s="49">
        <f>AVERAGE('17.10 ZIROBWE-WOBULENZI'!C25,'18.10 ZIROBWE-WOBULENZI'!C25,'19.10 ZIROBWE-WOBULENZI-24h'!C25,'20.10 ZIROBWE-WOBULENZI'!C25,'21.10 ZIROBWE-WOBULENZI-24h'!C25,'22.10 ZIROBWE-WOBULENZI'!C25,'23.10 ZIROBWE-WOBULENZI'!C25)</f>
        <v>1.4285714285714286</v>
      </c>
      <c r="D25" s="49">
        <f>AVERAGE('17.10 ZIROBWE-WOBULENZI'!D25,'18.10 ZIROBWE-WOBULENZI'!D25,'19.10 ZIROBWE-WOBULENZI-24h'!D25,'20.10 ZIROBWE-WOBULENZI'!D25,'21.10 ZIROBWE-WOBULENZI-24h'!D25,'22.10 ZIROBWE-WOBULENZI'!D25,'23.10 ZIROBWE-WOBULENZI'!D25)</f>
        <v>0.14285714285714285</v>
      </c>
      <c r="E25" s="49">
        <f>AVERAGE('17.10 ZIROBWE-WOBULENZI'!E25,'18.10 ZIROBWE-WOBULENZI'!E25,'19.10 ZIROBWE-WOBULENZI-24h'!E25,'20.10 ZIROBWE-WOBULENZI'!E25,'21.10 ZIROBWE-WOBULENZI-24h'!E25,'22.10 ZIROBWE-WOBULENZI'!E25,'23.10 ZIROBWE-WOBULENZI'!E25)</f>
        <v>0.7142857142857143</v>
      </c>
      <c r="F25" s="49">
        <f>AVERAGE('17.10 ZIROBWE-WOBULENZI'!F25,'18.10 ZIROBWE-WOBULENZI'!F25,'19.10 ZIROBWE-WOBULENZI-24h'!F25,'20.10 ZIROBWE-WOBULENZI'!F25,'21.10 ZIROBWE-WOBULENZI-24h'!F25,'22.10 ZIROBWE-WOBULENZI'!F25,'23.10 ZIROBWE-WOBULENZI'!F25)</f>
        <v>0.8571428571428571</v>
      </c>
      <c r="G25" s="49">
        <f>AVERAGE('17.10 ZIROBWE-WOBULENZI'!G25,'18.10 ZIROBWE-WOBULENZI'!G25,'19.10 ZIROBWE-WOBULENZI-24h'!G25,'20.10 ZIROBWE-WOBULENZI'!G25,'21.10 ZIROBWE-WOBULENZI-24h'!G25,'22.10 ZIROBWE-WOBULENZI'!G25,'23.10 ZIROBWE-WOBULENZI'!G25)</f>
        <v>0</v>
      </c>
      <c r="H25" s="49">
        <f>AVERAGE('17.10 ZIROBWE-WOBULENZI'!H25,'18.10 ZIROBWE-WOBULENZI'!H25,'19.10 ZIROBWE-WOBULENZI-24h'!H25,'20.10 ZIROBWE-WOBULENZI'!H25,'21.10 ZIROBWE-WOBULENZI-24h'!H25,'22.10 ZIROBWE-WOBULENZI'!H25,'23.10 ZIROBWE-WOBULENZI'!H25)</f>
        <v>0</v>
      </c>
      <c r="I25" s="49">
        <f>AVERAGE('17.10 ZIROBWE-WOBULENZI'!I25,'18.10 ZIROBWE-WOBULENZI'!I25,'19.10 ZIROBWE-WOBULENZI-24h'!I25,'20.10 ZIROBWE-WOBULENZI'!I25,'21.10 ZIROBWE-WOBULENZI-24h'!I25,'22.10 ZIROBWE-WOBULENZI'!I25,'23.10 ZIROBWE-WOBULENZI'!I25)</f>
        <v>0.2857142857142857</v>
      </c>
      <c r="J25" s="49">
        <f>AVERAGE('17.10 ZIROBWE-WOBULENZI'!J25,'18.10 ZIROBWE-WOBULENZI'!J25,'19.10 ZIROBWE-WOBULENZI-24h'!J25,'20.10 ZIROBWE-WOBULENZI'!J25,'21.10 ZIROBWE-WOBULENZI-24h'!J25,'22.10 ZIROBWE-WOBULENZI'!J25,'23.10 ZIROBWE-WOBULENZI'!J25)</f>
        <v>2.5714285714285716</v>
      </c>
      <c r="K25" s="49">
        <f>AVERAGE('17.10 ZIROBWE-WOBULENZI'!K25,'18.10 ZIROBWE-WOBULENZI'!K25,'19.10 ZIROBWE-WOBULENZI-24h'!K25,'20.10 ZIROBWE-WOBULENZI'!K25,'21.10 ZIROBWE-WOBULENZI-24h'!K25,'22.10 ZIROBWE-WOBULENZI'!K25,'23.10 ZIROBWE-WOBULENZI'!K25)</f>
        <v>0</v>
      </c>
      <c r="L25" s="49">
        <f>AVERAGE('17.10 ZIROBWE-WOBULENZI'!L25,'18.10 ZIROBWE-WOBULENZI'!L25,'19.10 ZIROBWE-WOBULENZI-24h'!L25,'20.10 ZIROBWE-WOBULENZI'!L25,'21.10 ZIROBWE-WOBULENZI-24h'!L25,'22.10 ZIROBWE-WOBULENZI'!L25,'23.10 ZIROBWE-WOBULENZI'!L25)</f>
        <v>0</v>
      </c>
      <c r="M25" s="49">
        <f>AVERAGE('17.10 ZIROBWE-WOBULENZI'!M25,'18.10 ZIROBWE-WOBULENZI'!M25,'19.10 ZIROBWE-WOBULENZI-24h'!M25,'20.10 ZIROBWE-WOBULENZI'!M25,'21.10 ZIROBWE-WOBULENZI-24h'!M25,'22.10 ZIROBWE-WOBULENZI'!M25,'23.10 ZIROBWE-WOBULENZI'!M25)</f>
        <v>17.428571428571427</v>
      </c>
      <c r="N25" s="49">
        <f>AVERAGE('17.10 ZIROBWE-WOBULENZI'!N25,'18.10 ZIROBWE-WOBULENZI'!N25,'19.10 ZIROBWE-WOBULENZI-24h'!N25,'20.10 ZIROBWE-WOBULENZI'!N25,'21.10 ZIROBWE-WOBULENZI-24h'!N25,'22.10 ZIROBWE-WOBULENZI'!N25,'23.10 ZIROBWE-WOBULENZI'!N25)</f>
        <v>0</v>
      </c>
      <c r="O25" s="15">
        <f t="shared" si="0"/>
        <v>6</v>
      </c>
      <c r="P25" s="15">
        <f t="shared" si="1"/>
        <v>23.428571428571427</v>
      </c>
      <c r="R25" s="1" t="s">
        <v>149</v>
      </c>
      <c r="S25" s="34">
        <f>SUM(C70:C73)</f>
        <v>2</v>
      </c>
      <c r="T25" s="34">
        <f t="shared" ref="T25:AF25" si="17">SUM(D70:D73)</f>
        <v>0.5</v>
      </c>
      <c r="U25" s="34">
        <f t="shared" si="17"/>
        <v>0</v>
      </c>
      <c r="V25" s="34">
        <f t="shared" si="17"/>
        <v>0.5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2.5</v>
      </c>
      <c r="AA25" s="34">
        <f t="shared" si="17"/>
        <v>0.5</v>
      </c>
      <c r="AB25" s="34">
        <f t="shared" si="17"/>
        <v>0</v>
      </c>
      <c r="AC25" s="34">
        <f t="shared" si="17"/>
        <v>34.5</v>
      </c>
      <c r="AD25" s="34">
        <f t="shared" si="17"/>
        <v>0</v>
      </c>
      <c r="AE25" s="31">
        <f t="shared" si="17"/>
        <v>7</v>
      </c>
      <c r="AF25" s="31">
        <f t="shared" si="17"/>
        <v>41.5</v>
      </c>
    </row>
    <row r="26" spans="2:32" ht="23.1" customHeight="1" x14ac:dyDescent="0.25">
      <c r="B26" s="23" t="s">
        <v>53</v>
      </c>
      <c r="C26" s="49">
        <f>AVERAGE('17.10 ZIROBWE-WOBULENZI'!C26,'18.10 ZIROBWE-WOBULENZI'!C26,'19.10 ZIROBWE-WOBULENZI-24h'!C26,'20.10 ZIROBWE-WOBULENZI'!C26,'21.10 ZIROBWE-WOBULENZI-24h'!C26,'22.10 ZIROBWE-WOBULENZI'!C26,'23.10 ZIROBWE-WOBULENZI'!C26)</f>
        <v>1.1428571428571428</v>
      </c>
      <c r="D26" s="49">
        <f>AVERAGE('17.10 ZIROBWE-WOBULENZI'!D26,'18.10 ZIROBWE-WOBULENZI'!D26,'19.10 ZIROBWE-WOBULENZI-24h'!D26,'20.10 ZIROBWE-WOBULENZI'!D26,'21.10 ZIROBWE-WOBULENZI-24h'!D26,'22.10 ZIROBWE-WOBULENZI'!D26,'23.10 ZIROBWE-WOBULENZI'!D26)</f>
        <v>0</v>
      </c>
      <c r="E26" s="49">
        <f>AVERAGE('17.10 ZIROBWE-WOBULENZI'!E26,'18.10 ZIROBWE-WOBULENZI'!E26,'19.10 ZIROBWE-WOBULENZI-24h'!E26,'20.10 ZIROBWE-WOBULENZI'!E26,'21.10 ZIROBWE-WOBULENZI-24h'!E26,'22.10 ZIROBWE-WOBULENZI'!E26,'23.10 ZIROBWE-WOBULENZI'!E26)</f>
        <v>0.7142857142857143</v>
      </c>
      <c r="F26" s="49">
        <f>AVERAGE('17.10 ZIROBWE-WOBULENZI'!F26,'18.10 ZIROBWE-WOBULENZI'!F26,'19.10 ZIROBWE-WOBULENZI-24h'!F26,'20.10 ZIROBWE-WOBULENZI'!F26,'21.10 ZIROBWE-WOBULENZI-24h'!F26,'22.10 ZIROBWE-WOBULENZI'!F26,'23.10 ZIROBWE-WOBULENZI'!F26)</f>
        <v>0</v>
      </c>
      <c r="G26" s="49">
        <f>AVERAGE('17.10 ZIROBWE-WOBULENZI'!G26,'18.10 ZIROBWE-WOBULENZI'!G26,'19.10 ZIROBWE-WOBULENZI-24h'!G26,'20.10 ZIROBWE-WOBULENZI'!G26,'21.10 ZIROBWE-WOBULENZI-24h'!G26,'22.10 ZIROBWE-WOBULENZI'!G26,'23.10 ZIROBWE-WOBULENZI'!G26)</f>
        <v>0.14285714285714285</v>
      </c>
      <c r="H26" s="49">
        <f>AVERAGE('17.10 ZIROBWE-WOBULENZI'!H26,'18.10 ZIROBWE-WOBULENZI'!H26,'19.10 ZIROBWE-WOBULENZI-24h'!H26,'20.10 ZIROBWE-WOBULENZI'!H26,'21.10 ZIROBWE-WOBULENZI-24h'!H26,'22.10 ZIROBWE-WOBULENZI'!H26,'23.10 ZIROBWE-WOBULENZI'!H26)</f>
        <v>0</v>
      </c>
      <c r="I26" s="49">
        <f>AVERAGE('17.10 ZIROBWE-WOBULENZI'!I26,'18.10 ZIROBWE-WOBULENZI'!I26,'19.10 ZIROBWE-WOBULENZI-24h'!I26,'20.10 ZIROBWE-WOBULENZI'!I26,'21.10 ZIROBWE-WOBULENZI-24h'!I26,'22.10 ZIROBWE-WOBULENZI'!I26,'23.10 ZIROBWE-WOBULENZI'!I26)</f>
        <v>0.5714285714285714</v>
      </c>
      <c r="J26" s="49">
        <f>AVERAGE('17.10 ZIROBWE-WOBULENZI'!J26,'18.10 ZIROBWE-WOBULENZI'!J26,'19.10 ZIROBWE-WOBULENZI-24h'!J26,'20.10 ZIROBWE-WOBULENZI'!J26,'21.10 ZIROBWE-WOBULENZI-24h'!J26,'22.10 ZIROBWE-WOBULENZI'!J26,'23.10 ZIROBWE-WOBULENZI'!J26)</f>
        <v>1.7142857142857142</v>
      </c>
      <c r="K26" s="49">
        <f>AVERAGE('17.10 ZIROBWE-WOBULENZI'!K26,'18.10 ZIROBWE-WOBULENZI'!K26,'19.10 ZIROBWE-WOBULENZI-24h'!K26,'20.10 ZIROBWE-WOBULENZI'!K26,'21.10 ZIROBWE-WOBULENZI-24h'!K26,'22.10 ZIROBWE-WOBULENZI'!K26,'23.10 ZIROBWE-WOBULENZI'!K26)</f>
        <v>0</v>
      </c>
      <c r="L26" s="49">
        <f>AVERAGE('17.10 ZIROBWE-WOBULENZI'!L26,'18.10 ZIROBWE-WOBULENZI'!L26,'19.10 ZIROBWE-WOBULENZI-24h'!L26,'20.10 ZIROBWE-WOBULENZI'!L26,'21.10 ZIROBWE-WOBULENZI-24h'!L26,'22.10 ZIROBWE-WOBULENZI'!L26,'23.10 ZIROBWE-WOBULENZI'!L26)</f>
        <v>0</v>
      </c>
      <c r="M26" s="49">
        <f>AVERAGE('17.10 ZIROBWE-WOBULENZI'!M26,'18.10 ZIROBWE-WOBULENZI'!M26,'19.10 ZIROBWE-WOBULENZI-24h'!M26,'20.10 ZIROBWE-WOBULENZI'!M26,'21.10 ZIROBWE-WOBULENZI-24h'!M26,'22.10 ZIROBWE-WOBULENZI'!M26,'23.10 ZIROBWE-WOBULENZI'!M26)</f>
        <v>15.142857142857142</v>
      </c>
      <c r="N26" s="49">
        <f>AVERAGE('17.10 ZIROBWE-WOBULENZI'!N26,'18.10 ZIROBWE-WOBULENZI'!N26,'19.10 ZIROBWE-WOBULENZI-24h'!N26,'20.10 ZIROBWE-WOBULENZI'!N26,'21.10 ZIROBWE-WOBULENZI-24h'!N26,'22.10 ZIROBWE-WOBULENZI'!N26,'23.10 ZIROBWE-WOBULENZI'!N26)</f>
        <v>0</v>
      </c>
      <c r="O26" s="15">
        <f t="shared" si="0"/>
        <v>4.2857142857142856</v>
      </c>
      <c r="P26" s="15">
        <f t="shared" si="1"/>
        <v>19.428571428571427</v>
      </c>
      <c r="R26" s="1" t="s">
        <v>150</v>
      </c>
      <c r="S26" s="34">
        <f>SUM(C74:C77)</f>
        <v>0.5</v>
      </c>
      <c r="T26" s="34">
        <f t="shared" ref="T26:AF26" si="18">SUM(D74:D77)</f>
        <v>0</v>
      </c>
      <c r="U26" s="34">
        <f t="shared" si="18"/>
        <v>0.5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0.5</v>
      </c>
      <c r="AA26" s="34">
        <f t="shared" si="18"/>
        <v>0</v>
      </c>
      <c r="AB26" s="34">
        <f t="shared" si="18"/>
        <v>0</v>
      </c>
      <c r="AC26" s="34">
        <f t="shared" si="18"/>
        <v>9.5</v>
      </c>
      <c r="AD26" s="34">
        <f t="shared" si="18"/>
        <v>0</v>
      </c>
      <c r="AE26" s="31">
        <f t="shared" si="18"/>
        <v>2.5</v>
      </c>
      <c r="AF26" s="31">
        <f t="shared" si="18"/>
        <v>12</v>
      </c>
    </row>
    <row r="27" spans="2:32" ht="23.1" customHeight="1" x14ac:dyDescent="0.25">
      <c r="B27" s="23" t="s">
        <v>54</v>
      </c>
      <c r="C27" s="49">
        <f>AVERAGE('17.10 ZIROBWE-WOBULENZI'!C27,'18.10 ZIROBWE-WOBULENZI'!C27,'19.10 ZIROBWE-WOBULENZI-24h'!C27,'20.10 ZIROBWE-WOBULENZI'!C27,'21.10 ZIROBWE-WOBULENZI-24h'!C27,'22.10 ZIROBWE-WOBULENZI'!C27,'23.10 ZIROBWE-WOBULENZI'!C27)</f>
        <v>0.8571428571428571</v>
      </c>
      <c r="D27" s="49">
        <f>AVERAGE('17.10 ZIROBWE-WOBULENZI'!D27,'18.10 ZIROBWE-WOBULENZI'!D27,'19.10 ZIROBWE-WOBULENZI-24h'!D27,'20.10 ZIROBWE-WOBULENZI'!D27,'21.10 ZIROBWE-WOBULENZI-24h'!D27,'22.10 ZIROBWE-WOBULENZI'!D27,'23.10 ZIROBWE-WOBULENZI'!D27)</f>
        <v>0.14285714285714285</v>
      </c>
      <c r="E27" s="49">
        <f>AVERAGE('17.10 ZIROBWE-WOBULENZI'!E27,'18.10 ZIROBWE-WOBULENZI'!E27,'19.10 ZIROBWE-WOBULENZI-24h'!E27,'20.10 ZIROBWE-WOBULENZI'!E27,'21.10 ZIROBWE-WOBULENZI-24h'!E27,'22.10 ZIROBWE-WOBULENZI'!E27,'23.10 ZIROBWE-WOBULENZI'!E27)</f>
        <v>0.5714285714285714</v>
      </c>
      <c r="F27" s="49">
        <f>AVERAGE('17.10 ZIROBWE-WOBULENZI'!F27,'18.10 ZIROBWE-WOBULENZI'!F27,'19.10 ZIROBWE-WOBULENZI-24h'!F27,'20.10 ZIROBWE-WOBULENZI'!F27,'21.10 ZIROBWE-WOBULENZI-24h'!F27,'22.10 ZIROBWE-WOBULENZI'!F27,'23.10 ZIROBWE-WOBULENZI'!F27)</f>
        <v>0.2857142857142857</v>
      </c>
      <c r="G27" s="49">
        <f>AVERAGE('17.10 ZIROBWE-WOBULENZI'!G27,'18.10 ZIROBWE-WOBULENZI'!G27,'19.10 ZIROBWE-WOBULENZI-24h'!G27,'20.10 ZIROBWE-WOBULENZI'!G27,'21.10 ZIROBWE-WOBULENZI-24h'!G27,'22.10 ZIROBWE-WOBULENZI'!G27,'23.10 ZIROBWE-WOBULENZI'!G27)</f>
        <v>0</v>
      </c>
      <c r="H27" s="49">
        <f>AVERAGE('17.10 ZIROBWE-WOBULENZI'!H27,'18.10 ZIROBWE-WOBULENZI'!H27,'19.10 ZIROBWE-WOBULENZI-24h'!H27,'20.10 ZIROBWE-WOBULENZI'!H27,'21.10 ZIROBWE-WOBULENZI-24h'!H27,'22.10 ZIROBWE-WOBULENZI'!H27,'23.10 ZIROBWE-WOBULENZI'!H27)</f>
        <v>0</v>
      </c>
      <c r="I27" s="49">
        <f>AVERAGE('17.10 ZIROBWE-WOBULENZI'!I27,'18.10 ZIROBWE-WOBULENZI'!I27,'19.10 ZIROBWE-WOBULENZI-24h'!I27,'20.10 ZIROBWE-WOBULENZI'!I27,'21.10 ZIROBWE-WOBULENZI-24h'!I27,'22.10 ZIROBWE-WOBULENZI'!I27,'23.10 ZIROBWE-WOBULENZI'!I27)</f>
        <v>0.8571428571428571</v>
      </c>
      <c r="J27" s="49">
        <f>AVERAGE('17.10 ZIROBWE-WOBULENZI'!J27,'18.10 ZIROBWE-WOBULENZI'!J27,'19.10 ZIROBWE-WOBULENZI-24h'!J27,'20.10 ZIROBWE-WOBULENZI'!J27,'21.10 ZIROBWE-WOBULENZI-24h'!J27,'22.10 ZIROBWE-WOBULENZI'!J27,'23.10 ZIROBWE-WOBULENZI'!J27)</f>
        <v>1.7142857142857142</v>
      </c>
      <c r="K27" s="49">
        <f>AVERAGE('17.10 ZIROBWE-WOBULENZI'!K27,'18.10 ZIROBWE-WOBULENZI'!K27,'19.10 ZIROBWE-WOBULENZI-24h'!K27,'20.10 ZIROBWE-WOBULENZI'!K27,'21.10 ZIROBWE-WOBULENZI-24h'!K27,'22.10 ZIROBWE-WOBULENZI'!K27,'23.10 ZIROBWE-WOBULENZI'!K27)</f>
        <v>0</v>
      </c>
      <c r="L27" s="49">
        <f>AVERAGE('17.10 ZIROBWE-WOBULENZI'!L27,'18.10 ZIROBWE-WOBULENZI'!L27,'19.10 ZIROBWE-WOBULENZI-24h'!L27,'20.10 ZIROBWE-WOBULENZI'!L27,'21.10 ZIROBWE-WOBULENZI-24h'!L27,'22.10 ZIROBWE-WOBULENZI'!L27,'23.10 ZIROBWE-WOBULENZI'!L27)</f>
        <v>0</v>
      </c>
      <c r="M27" s="49">
        <f>AVERAGE('17.10 ZIROBWE-WOBULENZI'!M27,'18.10 ZIROBWE-WOBULENZI'!M27,'19.10 ZIROBWE-WOBULENZI-24h'!M27,'20.10 ZIROBWE-WOBULENZI'!M27,'21.10 ZIROBWE-WOBULENZI-24h'!M27,'22.10 ZIROBWE-WOBULENZI'!M27,'23.10 ZIROBWE-WOBULENZI'!M27)</f>
        <v>19.714285714285715</v>
      </c>
      <c r="N27" s="49">
        <f>AVERAGE('17.10 ZIROBWE-WOBULENZI'!N27,'18.10 ZIROBWE-WOBULENZI'!N27,'19.10 ZIROBWE-WOBULENZI-24h'!N27,'20.10 ZIROBWE-WOBULENZI'!N27,'21.10 ZIROBWE-WOBULENZI-24h'!N27,'22.10 ZIROBWE-WOBULENZI'!N27,'23.10 ZIROBWE-WOBULENZI'!N27)</f>
        <v>0</v>
      </c>
      <c r="O27" s="15">
        <f t="shared" si="0"/>
        <v>4.4285714285714288</v>
      </c>
      <c r="P27" s="15">
        <f t="shared" si="1"/>
        <v>24.142857142857146</v>
      </c>
      <c r="R27" s="1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0.5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3</v>
      </c>
      <c r="AD27" s="34">
        <f t="shared" si="19"/>
        <v>0</v>
      </c>
      <c r="AE27" s="31">
        <f t="shared" si="19"/>
        <v>1</v>
      </c>
      <c r="AF27" s="31">
        <f t="shared" si="19"/>
        <v>4</v>
      </c>
    </row>
    <row r="28" spans="2:32" ht="23.1" customHeight="1" x14ac:dyDescent="0.25">
      <c r="B28" s="23" t="s">
        <v>55</v>
      </c>
      <c r="C28" s="49">
        <f>AVERAGE('17.10 ZIROBWE-WOBULENZI'!C28,'18.10 ZIROBWE-WOBULENZI'!C28,'19.10 ZIROBWE-WOBULENZI-24h'!C28,'20.10 ZIROBWE-WOBULENZI'!C28,'21.10 ZIROBWE-WOBULENZI-24h'!C28,'22.10 ZIROBWE-WOBULENZI'!C28,'23.10 ZIROBWE-WOBULENZI'!C28)</f>
        <v>1.4285714285714286</v>
      </c>
      <c r="D28" s="49">
        <f>AVERAGE('17.10 ZIROBWE-WOBULENZI'!D28,'18.10 ZIROBWE-WOBULENZI'!D28,'19.10 ZIROBWE-WOBULENZI-24h'!D28,'20.10 ZIROBWE-WOBULENZI'!D28,'21.10 ZIROBWE-WOBULENZI-24h'!D28,'22.10 ZIROBWE-WOBULENZI'!D28,'23.10 ZIROBWE-WOBULENZI'!D28)</f>
        <v>0.7142857142857143</v>
      </c>
      <c r="E28" s="49">
        <f>AVERAGE('17.10 ZIROBWE-WOBULENZI'!E28,'18.10 ZIROBWE-WOBULENZI'!E28,'19.10 ZIROBWE-WOBULENZI-24h'!E28,'20.10 ZIROBWE-WOBULENZI'!E28,'21.10 ZIROBWE-WOBULENZI-24h'!E28,'22.10 ZIROBWE-WOBULENZI'!E28,'23.10 ZIROBWE-WOBULENZI'!E28)</f>
        <v>0.42857142857142855</v>
      </c>
      <c r="F28" s="49">
        <f>AVERAGE('17.10 ZIROBWE-WOBULENZI'!F28,'18.10 ZIROBWE-WOBULENZI'!F28,'19.10 ZIROBWE-WOBULENZI-24h'!F28,'20.10 ZIROBWE-WOBULENZI'!F28,'21.10 ZIROBWE-WOBULENZI-24h'!F28,'22.10 ZIROBWE-WOBULENZI'!F28,'23.10 ZIROBWE-WOBULENZI'!F28)</f>
        <v>0.14285714285714285</v>
      </c>
      <c r="G28" s="49">
        <f>AVERAGE('17.10 ZIROBWE-WOBULENZI'!G28,'18.10 ZIROBWE-WOBULENZI'!G28,'19.10 ZIROBWE-WOBULENZI-24h'!G28,'20.10 ZIROBWE-WOBULENZI'!G28,'21.10 ZIROBWE-WOBULENZI-24h'!G28,'22.10 ZIROBWE-WOBULENZI'!G28,'23.10 ZIROBWE-WOBULENZI'!G28)</f>
        <v>0.14285714285714285</v>
      </c>
      <c r="H28" s="49">
        <f>AVERAGE('17.10 ZIROBWE-WOBULENZI'!H28,'18.10 ZIROBWE-WOBULENZI'!H28,'19.10 ZIROBWE-WOBULENZI-24h'!H28,'20.10 ZIROBWE-WOBULENZI'!H28,'21.10 ZIROBWE-WOBULENZI-24h'!H28,'22.10 ZIROBWE-WOBULENZI'!H28,'23.10 ZIROBWE-WOBULENZI'!H28)</f>
        <v>0</v>
      </c>
      <c r="I28" s="49">
        <f>AVERAGE('17.10 ZIROBWE-WOBULENZI'!I28,'18.10 ZIROBWE-WOBULENZI'!I28,'19.10 ZIROBWE-WOBULENZI-24h'!I28,'20.10 ZIROBWE-WOBULENZI'!I28,'21.10 ZIROBWE-WOBULENZI-24h'!I28,'22.10 ZIROBWE-WOBULENZI'!I28,'23.10 ZIROBWE-WOBULENZI'!I28)</f>
        <v>0.2857142857142857</v>
      </c>
      <c r="J28" s="49">
        <f>AVERAGE('17.10 ZIROBWE-WOBULENZI'!J28,'18.10 ZIROBWE-WOBULENZI'!J28,'19.10 ZIROBWE-WOBULENZI-24h'!J28,'20.10 ZIROBWE-WOBULENZI'!J28,'21.10 ZIROBWE-WOBULENZI-24h'!J28,'22.10 ZIROBWE-WOBULENZI'!J28,'23.10 ZIROBWE-WOBULENZI'!J28)</f>
        <v>1</v>
      </c>
      <c r="K28" s="49">
        <f>AVERAGE('17.10 ZIROBWE-WOBULENZI'!K28,'18.10 ZIROBWE-WOBULENZI'!K28,'19.10 ZIROBWE-WOBULENZI-24h'!K28,'20.10 ZIROBWE-WOBULENZI'!K28,'21.10 ZIROBWE-WOBULENZI-24h'!K28,'22.10 ZIROBWE-WOBULENZI'!K28,'23.10 ZIROBWE-WOBULENZI'!K28)</f>
        <v>0</v>
      </c>
      <c r="L28" s="49">
        <f>AVERAGE('17.10 ZIROBWE-WOBULENZI'!L28,'18.10 ZIROBWE-WOBULENZI'!L28,'19.10 ZIROBWE-WOBULENZI-24h'!L28,'20.10 ZIROBWE-WOBULENZI'!L28,'21.10 ZIROBWE-WOBULENZI-24h'!L28,'22.10 ZIROBWE-WOBULENZI'!L28,'23.10 ZIROBWE-WOBULENZI'!L28)</f>
        <v>0</v>
      </c>
      <c r="M28" s="49">
        <f>AVERAGE('17.10 ZIROBWE-WOBULENZI'!M28,'18.10 ZIROBWE-WOBULENZI'!M28,'19.10 ZIROBWE-WOBULENZI-24h'!M28,'20.10 ZIROBWE-WOBULENZI'!M28,'21.10 ZIROBWE-WOBULENZI-24h'!M28,'22.10 ZIROBWE-WOBULENZI'!M28,'23.10 ZIROBWE-WOBULENZI'!M28)</f>
        <v>16.571428571428573</v>
      </c>
      <c r="N28" s="49">
        <f>AVERAGE('17.10 ZIROBWE-WOBULENZI'!N28,'18.10 ZIROBWE-WOBULENZI'!N28,'19.10 ZIROBWE-WOBULENZI-24h'!N28,'20.10 ZIROBWE-WOBULENZI'!N28,'21.10 ZIROBWE-WOBULENZI-24h'!N28,'22.10 ZIROBWE-WOBULENZI'!N28,'23.10 ZIROBWE-WOBULENZI'!N28)</f>
        <v>0</v>
      </c>
      <c r="O28" s="15">
        <f t="shared" si="0"/>
        <v>4.1428571428571423</v>
      </c>
      <c r="P28" s="15">
        <f t="shared" si="1"/>
        <v>20.714285714285715</v>
      </c>
      <c r="R28" s="1" t="s">
        <v>152</v>
      </c>
      <c r="S28" s="34">
        <f>SUM(C82:C85)</f>
        <v>0.5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</v>
      </c>
      <c r="AD28" s="34">
        <f t="shared" si="20"/>
        <v>0</v>
      </c>
      <c r="AE28" s="31">
        <f t="shared" si="20"/>
        <v>0.5</v>
      </c>
      <c r="AF28" s="31">
        <f t="shared" si="20"/>
        <v>1.5</v>
      </c>
    </row>
    <row r="29" spans="2:32" ht="23.1" customHeight="1" x14ac:dyDescent="0.25">
      <c r="B29" s="23" t="s">
        <v>56</v>
      </c>
      <c r="C29" s="49">
        <f>AVERAGE('17.10 ZIROBWE-WOBULENZI'!C29,'18.10 ZIROBWE-WOBULENZI'!C29,'19.10 ZIROBWE-WOBULENZI-24h'!C29,'20.10 ZIROBWE-WOBULENZI'!C29,'21.10 ZIROBWE-WOBULENZI-24h'!C29,'22.10 ZIROBWE-WOBULENZI'!C29,'23.10 ZIROBWE-WOBULENZI'!C29)</f>
        <v>0.8571428571428571</v>
      </c>
      <c r="D29" s="49">
        <f>AVERAGE('17.10 ZIROBWE-WOBULENZI'!D29,'18.10 ZIROBWE-WOBULENZI'!D29,'19.10 ZIROBWE-WOBULENZI-24h'!D29,'20.10 ZIROBWE-WOBULENZI'!D29,'21.10 ZIROBWE-WOBULENZI-24h'!D29,'22.10 ZIROBWE-WOBULENZI'!D29,'23.10 ZIROBWE-WOBULENZI'!D29)</f>
        <v>0.5714285714285714</v>
      </c>
      <c r="E29" s="49">
        <f>AVERAGE('17.10 ZIROBWE-WOBULENZI'!E29,'18.10 ZIROBWE-WOBULENZI'!E29,'19.10 ZIROBWE-WOBULENZI-24h'!E29,'20.10 ZIROBWE-WOBULENZI'!E29,'21.10 ZIROBWE-WOBULENZI-24h'!E29,'22.10 ZIROBWE-WOBULENZI'!E29,'23.10 ZIROBWE-WOBULENZI'!E29)</f>
        <v>0.14285714285714285</v>
      </c>
      <c r="F29" s="49">
        <f>AVERAGE('17.10 ZIROBWE-WOBULENZI'!F29,'18.10 ZIROBWE-WOBULENZI'!F29,'19.10 ZIROBWE-WOBULENZI-24h'!F29,'20.10 ZIROBWE-WOBULENZI'!F29,'21.10 ZIROBWE-WOBULENZI-24h'!F29,'22.10 ZIROBWE-WOBULENZI'!F29,'23.10 ZIROBWE-WOBULENZI'!F29)</f>
        <v>0.5714285714285714</v>
      </c>
      <c r="G29" s="49">
        <f>AVERAGE('17.10 ZIROBWE-WOBULENZI'!G29,'18.10 ZIROBWE-WOBULENZI'!G29,'19.10 ZIROBWE-WOBULENZI-24h'!G29,'20.10 ZIROBWE-WOBULENZI'!G29,'21.10 ZIROBWE-WOBULENZI-24h'!G29,'22.10 ZIROBWE-WOBULENZI'!G29,'23.10 ZIROBWE-WOBULENZI'!G29)</f>
        <v>0</v>
      </c>
      <c r="H29" s="49">
        <f>AVERAGE('17.10 ZIROBWE-WOBULENZI'!H29,'18.10 ZIROBWE-WOBULENZI'!H29,'19.10 ZIROBWE-WOBULENZI-24h'!H29,'20.10 ZIROBWE-WOBULENZI'!H29,'21.10 ZIROBWE-WOBULENZI-24h'!H29,'22.10 ZIROBWE-WOBULENZI'!H29,'23.10 ZIROBWE-WOBULENZI'!H29)</f>
        <v>0</v>
      </c>
      <c r="I29" s="49">
        <f>AVERAGE('17.10 ZIROBWE-WOBULENZI'!I29,'18.10 ZIROBWE-WOBULENZI'!I29,'19.10 ZIROBWE-WOBULENZI-24h'!I29,'20.10 ZIROBWE-WOBULENZI'!I29,'21.10 ZIROBWE-WOBULENZI-24h'!I29,'22.10 ZIROBWE-WOBULENZI'!I29,'23.10 ZIROBWE-WOBULENZI'!I29)</f>
        <v>0.2857142857142857</v>
      </c>
      <c r="J29" s="49">
        <f>AVERAGE('17.10 ZIROBWE-WOBULENZI'!J29,'18.10 ZIROBWE-WOBULENZI'!J29,'19.10 ZIROBWE-WOBULENZI-24h'!J29,'20.10 ZIROBWE-WOBULENZI'!J29,'21.10 ZIROBWE-WOBULENZI-24h'!J29,'22.10 ZIROBWE-WOBULENZI'!J29,'23.10 ZIROBWE-WOBULENZI'!J29)</f>
        <v>1.2857142857142858</v>
      </c>
      <c r="K29" s="49">
        <f>AVERAGE('17.10 ZIROBWE-WOBULENZI'!K29,'18.10 ZIROBWE-WOBULENZI'!K29,'19.10 ZIROBWE-WOBULENZI-24h'!K29,'20.10 ZIROBWE-WOBULENZI'!K29,'21.10 ZIROBWE-WOBULENZI-24h'!K29,'22.10 ZIROBWE-WOBULENZI'!K29,'23.10 ZIROBWE-WOBULENZI'!K29)</f>
        <v>0</v>
      </c>
      <c r="L29" s="49">
        <f>AVERAGE('17.10 ZIROBWE-WOBULENZI'!L29,'18.10 ZIROBWE-WOBULENZI'!L29,'19.10 ZIROBWE-WOBULENZI-24h'!L29,'20.10 ZIROBWE-WOBULENZI'!L29,'21.10 ZIROBWE-WOBULENZI-24h'!L29,'22.10 ZIROBWE-WOBULENZI'!L29,'23.10 ZIROBWE-WOBULENZI'!L29)</f>
        <v>0</v>
      </c>
      <c r="M29" s="49">
        <f>AVERAGE('17.10 ZIROBWE-WOBULENZI'!M29,'18.10 ZIROBWE-WOBULENZI'!M29,'19.10 ZIROBWE-WOBULENZI-24h'!M29,'20.10 ZIROBWE-WOBULENZI'!M29,'21.10 ZIROBWE-WOBULENZI-24h'!M29,'22.10 ZIROBWE-WOBULENZI'!M29,'23.10 ZIROBWE-WOBULENZI'!M29)</f>
        <v>16.428571428571427</v>
      </c>
      <c r="N29" s="49">
        <f>AVERAGE('17.10 ZIROBWE-WOBULENZI'!N29,'18.10 ZIROBWE-WOBULENZI'!N29,'19.10 ZIROBWE-WOBULENZI-24h'!N29,'20.10 ZIROBWE-WOBULENZI'!N29,'21.10 ZIROBWE-WOBULENZI-24h'!N29,'22.10 ZIROBWE-WOBULENZI'!N29,'23.10 ZIROBWE-WOBULENZI'!N29)</f>
        <v>0</v>
      </c>
      <c r="O29" s="15">
        <f t="shared" si="0"/>
        <v>3.7142857142857135</v>
      </c>
      <c r="P29" s="15">
        <f t="shared" si="1"/>
        <v>20.142857142857139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0</v>
      </c>
      <c r="AF29" s="31">
        <f t="shared" si="21"/>
        <v>0</v>
      </c>
    </row>
    <row r="30" spans="2:32" ht="23.1" customHeight="1" x14ac:dyDescent="0.25">
      <c r="B30" s="23" t="s">
        <v>57</v>
      </c>
      <c r="C30" s="49">
        <f>AVERAGE('17.10 ZIROBWE-WOBULENZI'!C30,'18.10 ZIROBWE-WOBULENZI'!C30,'19.10 ZIROBWE-WOBULENZI-24h'!C30,'20.10 ZIROBWE-WOBULENZI'!C30,'21.10 ZIROBWE-WOBULENZI-24h'!C30,'22.10 ZIROBWE-WOBULENZI'!C30,'23.10 ZIROBWE-WOBULENZI'!C30)</f>
        <v>1.5714285714285714</v>
      </c>
      <c r="D30" s="49">
        <f>AVERAGE('17.10 ZIROBWE-WOBULENZI'!D30,'18.10 ZIROBWE-WOBULENZI'!D30,'19.10 ZIROBWE-WOBULENZI-24h'!D30,'20.10 ZIROBWE-WOBULENZI'!D30,'21.10 ZIROBWE-WOBULENZI-24h'!D30,'22.10 ZIROBWE-WOBULENZI'!D30,'23.10 ZIROBWE-WOBULENZI'!D30)</f>
        <v>0.2857142857142857</v>
      </c>
      <c r="E30" s="49">
        <f>AVERAGE('17.10 ZIROBWE-WOBULENZI'!E30,'18.10 ZIROBWE-WOBULENZI'!E30,'19.10 ZIROBWE-WOBULENZI-24h'!E30,'20.10 ZIROBWE-WOBULENZI'!E30,'21.10 ZIROBWE-WOBULENZI-24h'!E30,'22.10 ZIROBWE-WOBULENZI'!E30,'23.10 ZIROBWE-WOBULENZI'!E30)</f>
        <v>0.14285714285714285</v>
      </c>
      <c r="F30" s="49">
        <f>AVERAGE('17.10 ZIROBWE-WOBULENZI'!F30,'18.10 ZIROBWE-WOBULENZI'!F30,'19.10 ZIROBWE-WOBULENZI-24h'!F30,'20.10 ZIROBWE-WOBULENZI'!F30,'21.10 ZIROBWE-WOBULENZI-24h'!F30,'22.10 ZIROBWE-WOBULENZI'!F30,'23.10 ZIROBWE-WOBULENZI'!F30)</f>
        <v>0.5714285714285714</v>
      </c>
      <c r="G30" s="49">
        <f>AVERAGE('17.10 ZIROBWE-WOBULENZI'!G30,'18.10 ZIROBWE-WOBULENZI'!G30,'19.10 ZIROBWE-WOBULENZI-24h'!G30,'20.10 ZIROBWE-WOBULENZI'!G30,'21.10 ZIROBWE-WOBULENZI-24h'!G30,'22.10 ZIROBWE-WOBULENZI'!G30,'23.10 ZIROBWE-WOBULENZI'!G30)</f>
        <v>0.14285714285714285</v>
      </c>
      <c r="H30" s="49">
        <f>AVERAGE('17.10 ZIROBWE-WOBULENZI'!H30,'18.10 ZIROBWE-WOBULENZI'!H30,'19.10 ZIROBWE-WOBULENZI-24h'!H30,'20.10 ZIROBWE-WOBULENZI'!H30,'21.10 ZIROBWE-WOBULENZI-24h'!H30,'22.10 ZIROBWE-WOBULENZI'!H30,'23.10 ZIROBWE-WOBULENZI'!H30)</f>
        <v>0</v>
      </c>
      <c r="I30" s="49">
        <f>AVERAGE('17.10 ZIROBWE-WOBULENZI'!I30,'18.10 ZIROBWE-WOBULENZI'!I30,'19.10 ZIROBWE-WOBULENZI-24h'!I30,'20.10 ZIROBWE-WOBULENZI'!I30,'21.10 ZIROBWE-WOBULENZI-24h'!I30,'22.10 ZIROBWE-WOBULENZI'!I30,'23.10 ZIROBWE-WOBULENZI'!I30)</f>
        <v>0.42857142857142855</v>
      </c>
      <c r="J30" s="49">
        <f>AVERAGE('17.10 ZIROBWE-WOBULENZI'!J30,'18.10 ZIROBWE-WOBULENZI'!J30,'19.10 ZIROBWE-WOBULENZI-24h'!J30,'20.10 ZIROBWE-WOBULENZI'!J30,'21.10 ZIROBWE-WOBULENZI-24h'!J30,'22.10 ZIROBWE-WOBULENZI'!J30,'23.10 ZIROBWE-WOBULENZI'!J30)</f>
        <v>1.2857142857142858</v>
      </c>
      <c r="K30" s="49">
        <f>AVERAGE('17.10 ZIROBWE-WOBULENZI'!K30,'18.10 ZIROBWE-WOBULENZI'!K30,'19.10 ZIROBWE-WOBULENZI-24h'!K30,'20.10 ZIROBWE-WOBULENZI'!K30,'21.10 ZIROBWE-WOBULENZI-24h'!K30,'22.10 ZIROBWE-WOBULENZI'!K30,'23.10 ZIROBWE-WOBULENZI'!K30)</f>
        <v>0</v>
      </c>
      <c r="L30" s="49">
        <f>AVERAGE('17.10 ZIROBWE-WOBULENZI'!L30,'18.10 ZIROBWE-WOBULENZI'!L30,'19.10 ZIROBWE-WOBULENZI-24h'!L30,'20.10 ZIROBWE-WOBULENZI'!L30,'21.10 ZIROBWE-WOBULENZI-24h'!L30,'22.10 ZIROBWE-WOBULENZI'!L30,'23.10 ZIROBWE-WOBULENZI'!L30)</f>
        <v>0</v>
      </c>
      <c r="M30" s="49">
        <f>AVERAGE('17.10 ZIROBWE-WOBULENZI'!M30,'18.10 ZIROBWE-WOBULENZI'!M30,'19.10 ZIROBWE-WOBULENZI-24h'!M30,'20.10 ZIROBWE-WOBULENZI'!M30,'21.10 ZIROBWE-WOBULENZI-24h'!M30,'22.10 ZIROBWE-WOBULENZI'!M30,'23.10 ZIROBWE-WOBULENZI'!M30)</f>
        <v>17.428571428571427</v>
      </c>
      <c r="N30" s="49">
        <f>AVERAGE('17.10 ZIROBWE-WOBULENZI'!N30,'18.10 ZIROBWE-WOBULENZI'!N30,'19.10 ZIROBWE-WOBULENZI-24h'!N30,'20.10 ZIROBWE-WOBULENZI'!N30,'21.10 ZIROBWE-WOBULENZI-24h'!N30,'22.10 ZIROBWE-WOBULENZI'!N30,'23.10 ZIROBWE-WOBULENZI'!N30)</f>
        <v>0</v>
      </c>
      <c r="O30" s="15">
        <f t="shared" si="0"/>
        <v>4.4285714285714279</v>
      </c>
      <c r="P30" s="15">
        <f t="shared" si="1"/>
        <v>21.857142857142854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0.5</v>
      </c>
      <c r="AA30" s="34">
        <f t="shared" si="22"/>
        <v>1</v>
      </c>
      <c r="AB30" s="34">
        <f t="shared" si="22"/>
        <v>0</v>
      </c>
      <c r="AC30" s="34">
        <f t="shared" si="22"/>
        <v>1</v>
      </c>
      <c r="AD30" s="34">
        <f t="shared" si="22"/>
        <v>0</v>
      </c>
      <c r="AE30" s="31">
        <f t="shared" si="22"/>
        <v>2</v>
      </c>
      <c r="AF30" s="31">
        <f t="shared" si="22"/>
        <v>3</v>
      </c>
    </row>
    <row r="31" spans="2:32" ht="23.1" customHeight="1" x14ac:dyDescent="0.25">
      <c r="B31" s="24" t="s">
        <v>58</v>
      </c>
      <c r="C31" s="49">
        <f>AVERAGE('17.10 ZIROBWE-WOBULENZI'!C31,'18.10 ZIROBWE-WOBULENZI'!C31,'19.10 ZIROBWE-WOBULENZI-24h'!C31,'20.10 ZIROBWE-WOBULENZI'!C31,'21.10 ZIROBWE-WOBULENZI-24h'!C31,'22.10 ZIROBWE-WOBULENZI'!C31,'23.10 ZIROBWE-WOBULENZI'!C31)</f>
        <v>0.5714285714285714</v>
      </c>
      <c r="D31" s="49">
        <f>AVERAGE('17.10 ZIROBWE-WOBULENZI'!D31,'18.10 ZIROBWE-WOBULENZI'!D31,'19.10 ZIROBWE-WOBULENZI-24h'!D31,'20.10 ZIROBWE-WOBULENZI'!D31,'21.10 ZIROBWE-WOBULENZI-24h'!D31,'22.10 ZIROBWE-WOBULENZI'!D31,'23.10 ZIROBWE-WOBULENZI'!D31)</f>
        <v>0.14285714285714285</v>
      </c>
      <c r="E31" s="49">
        <f>AVERAGE('17.10 ZIROBWE-WOBULENZI'!E31,'18.10 ZIROBWE-WOBULENZI'!E31,'19.10 ZIROBWE-WOBULENZI-24h'!E31,'20.10 ZIROBWE-WOBULENZI'!E31,'21.10 ZIROBWE-WOBULENZI-24h'!E31,'22.10 ZIROBWE-WOBULENZI'!E31,'23.10 ZIROBWE-WOBULENZI'!E31)</f>
        <v>0.42857142857142855</v>
      </c>
      <c r="F31" s="49">
        <f>AVERAGE('17.10 ZIROBWE-WOBULENZI'!F31,'18.10 ZIROBWE-WOBULENZI'!F31,'19.10 ZIROBWE-WOBULENZI-24h'!F31,'20.10 ZIROBWE-WOBULENZI'!F31,'21.10 ZIROBWE-WOBULENZI-24h'!F31,'22.10 ZIROBWE-WOBULENZI'!F31,'23.10 ZIROBWE-WOBULENZI'!F31)</f>
        <v>0.14285714285714285</v>
      </c>
      <c r="G31" s="49">
        <f>AVERAGE('17.10 ZIROBWE-WOBULENZI'!G31,'18.10 ZIROBWE-WOBULENZI'!G31,'19.10 ZIROBWE-WOBULENZI-24h'!G31,'20.10 ZIROBWE-WOBULENZI'!G31,'21.10 ZIROBWE-WOBULENZI-24h'!G31,'22.10 ZIROBWE-WOBULENZI'!G31,'23.10 ZIROBWE-WOBULENZI'!G31)</f>
        <v>0</v>
      </c>
      <c r="H31" s="49">
        <f>AVERAGE('17.10 ZIROBWE-WOBULENZI'!H31,'18.10 ZIROBWE-WOBULENZI'!H31,'19.10 ZIROBWE-WOBULENZI-24h'!H31,'20.10 ZIROBWE-WOBULENZI'!H31,'21.10 ZIROBWE-WOBULENZI-24h'!H31,'22.10 ZIROBWE-WOBULENZI'!H31,'23.10 ZIROBWE-WOBULENZI'!H31)</f>
        <v>0</v>
      </c>
      <c r="I31" s="49">
        <f>AVERAGE('17.10 ZIROBWE-WOBULENZI'!I31,'18.10 ZIROBWE-WOBULENZI'!I31,'19.10 ZIROBWE-WOBULENZI-24h'!I31,'20.10 ZIROBWE-WOBULENZI'!I31,'21.10 ZIROBWE-WOBULENZI-24h'!I31,'22.10 ZIROBWE-WOBULENZI'!I31,'23.10 ZIROBWE-WOBULENZI'!I31)</f>
        <v>0.5714285714285714</v>
      </c>
      <c r="J31" s="49">
        <f>AVERAGE('17.10 ZIROBWE-WOBULENZI'!J31,'18.10 ZIROBWE-WOBULENZI'!J31,'19.10 ZIROBWE-WOBULENZI-24h'!J31,'20.10 ZIROBWE-WOBULENZI'!J31,'21.10 ZIROBWE-WOBULENZI-24h'!J31,'22.10 ZIROBWE-WOBULENZI'!J31,'23.10 ZIROBWE-WOBULENZI'!J31)</f>
        <v>0.14285714285714285</v>
      </c>
      <c r="K31" s="49">
        <f>AVERAGE('17.10 ZIROBWE-WOBULENZI'!K31,'18.10 ZIROBWE-WOBULENZI'!K31,'19.10 ZIROBWE-WOBULENZI-24h'!K31,'20.10 ZIROBWE-WOBULENZI'!K31,'21.10 ZIROBWE-WOBULENZI-24h'!K31,'22.10 ZIROBWE-WOBULENZI'!K31,'23.10 ZIROBWE-WOBULENZI'!K31)</f>
        <v>0</v>
      </c>
      <c r="L31" s="49">
        <f>AVERAGE('17.10 ZIROBWE-WOBULENZI'!L31,'18.10 ZIROBWE-WOBULENZI'!L31,'19.10 ZIROBWE-WOBULENZI-24h'!L31,'20.10 ZIROBWE-WOBULENZI'!L31,'21.10 ZIROBWE-WOBULENZI-24h'!L31,'22.10 ZIROBWE-WOBULENZI'!L31,'23.10 ZIROBWE-WOBULENZI'!L31)</f>
        <v>0</v>
      </c>
      <c r="M31" s="49">
        <f>AVERAGE('17.10 ZIROBWE-WOBULENZI'!M31,'18.10 ZIROBWE-WOBULENZI'!M31,'19.10 ZIROBWE-WOBULENZI-24h'!M31,'20.10 ZIROBWE-WOBULENZI'!M31,'21.10 ZIROBWE-WOBULENZI-24h'!M31,'22.10 ZIROBWE-WOBULENZI'!M31,'23.10 ZIROBWE-WOBULENZI'!M31)</f>
        <v>16.571428571428573</v>
      </c>
      <c r="N31" s="49">
        <f>AVERAGE('17.10 ZIROBWE-WOBULENZI'!N31,'18.10 ZIROBWE-WOBULENZI'!N31,'19.10 ZIROBWE-WOBULENZI-24h'!N31,'20.10 ZIROBWE-WOBULENZI'!N31,'21.10 ZIROBWE-WOBULENZI-24h'!N31,'22.10 ZIROBWE-WOBULENZI'!N31,'23.10 ZIROBWE-WOBULENZI'!N31)</f>
        <v>0</v>
      </c>
      <c r="O31" s="15">
        <f t="shared" si="0"/>
        <v>1.9999999999999998</v>
      </c>
      <c r="P31" s="15">
        <f t="shared" si="1"/>
        <v>18.571428571428573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0.5</v>
      </c>
      <c r="AA31" s="34">
        <f t="shared" si="23"/>
        <v>0.5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1.5</v>
      </c>
      <c r="AF31" s="31">
        <f t="shared" si="23"/>
        <v>1.5</v>
      </c>
    </row>
    <row r="32" spans="2:32" ht="23.1" customHeight="1" x14ac:dyDescent="0.25">
      <c r="B32" s="24" t="s">
        <v>59</v>
      </c>
      <c r="C32" s="49">
        <f>AVERAGE('17.10 ZIROBWE-WOBULENZI'!C32,'18.10 ZIROBWE-WOBULENZI'!C32,'19.10 ZIROBWE-WOBULENZI-24h'!C32,'20.10 ZIROBWE-WOBULENZI'!C32,'21.10 ZIROBWE-WOBULENZI-24h'!C32,'22.10 ZIROBWE-WOBULENZI'!C32,'23.10 ZIROBWE-WOBULENZI'!C32)</f>
        <v>1.2857142857142858</v>
      </c>
      <c r="D32" s="49">
        <f>AVERAGE('17.10 ZIROBWE-WOBULENZI'!D32,'18.10 ZIROBWE-WOBULENZI'!D32,'19.10 ZIROBWE-WOBULENZI-24h'!D32,'20.10 ZIROBWE-WOBULENZI'!D32,'21.10 ZIROBWE-WOBULENZI-24h'!D32,'22.10 ZIROBWE-WOBULENZI'!D32,'23.10 ZIROBWE-WOBULENZI'!D32)</f>
        <v>1.1428571428571428</v>
      </c>
      <c r="E32" s="49">
        <f>AVERAGE('17.10 ZIROBWE-WOBULENZI'!E32,'18.10 ZIROBWE-WOBULENZI'!E32,'19.10 ZIROBWE-WOBULENZI-24h'!E32,'20.10 ZIROBWE-WOBULENZI'!E32,'21.10 ZIROBWE-WOBULENZI-24h'!E32,'22.10 ZIROBWE-WOBULENZI'!E32,'23.10 ZIROBWE-WOBULENZI'!E32)</f>
        <v>0.5714285714285714</v>
      </c>
      <c r="F32" s="49">
        <f>AVERAGE('17.10 ZIROBWE-WOBULENZI'!F32,'18.10 ZIROBWE-WOBULENZI'!F32,'19.10 ZIROBWE-WOBULENZI-24h'!F32,'20.10 ZIROBWE-WOBULENZI'!F32,'21.10 ZIROBWE-WOBULENZI-24h'!F32,'22.10 ZIROBWE-WOBULENZI'!F32,'23.10 ZIROBWE-WOBULENZI'!F32)</f>
        <v>0.7142857142857143</v>
      </c>
      <c r="G32" s="49">
        <f>AVERAGE('17.10 ZIROBWE-WOBULENZI'!G32,'18.10 ZIROBWE-WOBULENZI'!G32,'19.10 ZIROBWE-WOBULENZI-24h'!G32,'20.10 ZIROBWE-WOBULENZI'!G32,'21.10 ZIROBWE-WOBULENZI-24h'!G32,'22.10 ZIROBWE-WOBULENZI'!G32,'23.10 ZIROBWE-WOBULENZI'!G32)</f>
        <v>0.2857142857142857</v>
      </c>
      <c r="H32" s="49">
        <f>AVERAGE('17.10 ZIROBWE-WOBULENZI'!H32,'18.10 ZIROBWE-WOBULENZI'!H32,'19.10 ZIROBWE-WOBULENZI-24h'!H32,'20.10 ZIROBWE-WOBULENZI'!H32,'21.10 ZIROBWE-WOBULENZI-24h'!H32,'22.10 ZIROBWE-WOBULENZI'!H32,'23.10 ZIROBWE-WOBULENZI'!H32)</f>
        <v>0</v>
      </c>
      <c r="I32" s="49">
        <f>AVERAGE('17.10 ZIROBWE-WOBULENZI'!I32,'18.10 ZIROBWE-WOBULENZI'!I32,'19.10 ZIROBWE-WOBULENZI-24h'!I32,'20.10 ZIROBWE-WOBULENZI'!I32,'21.10 ZIROBWE-WOBULENZI-24h'!I32,'22.10 ZIROBWE-WOBULENZI'!I32,'23.10 ZIROBWE-WOBULENZI'!I32)</f>
        <v>1</v>
      </c>
      <c r="J32" s="49">
        <f>AVERAGE('17.10 ZIROBWE-WOBULENZI'!J32,'18.10 ZIROBWE-WOBULENZI'!J32,'19.10 ZIROBWE-WOBULENZI-24h'!J32,'20.10 ZIROBWE-WOBULENZI'!J32,'21.10 ZIROBWE-WOBULENZI-24h'!J32,'22.10 ZIROBWE-WOBULENZI'!J32,'23.10 ZIROBWE-WOBULENZI'!J32)</f>
        <v>0.5714285714285714</v>
      </c>
      <c r="K32" s="49">
        <f>AVERAGE('17.10 ZIROBWE-WOBULENZI'!K32,'18.10 ZIROBWE-WOBULENZI'!K32,'19.10 ZIROBWE-WOBULENZI-24h'!K32,'20.10 ZIROBWE-WOBULENZI'!K32,'21.10 ZIROBWE-WOBULENZI-24h'!K32,'22.10 ZIROBWE-WOBULENZI'!K32,'23.10 ZIROBWE-WOBULENZI'!K32)</f>
        <v>0</v>
      </c>
      <c r="L32" s="49">
        <f>AVERAGE('17.10 ZIROBWE-WOBULENZI'!L32,'18.10 ZIROBWE-WOBULENZI'!L32,'19.10 ZIROBWE-WOBULENZI-24h'!L32,'20.10 ZIROBWE-WOBULENZI'!L32,'21.10 ZIROBWE-WOBULENZI-24h'!L32,'22.10 ZIROBWE-WOBULENZI'!L32,'23.10 ZIROBWE-WOBULENZI'!L32)</f>
        <v>0</v>
      </c>
      <c r="M32" s="49">
        <f>AVERAGE('17.10 ZIROBWE-WOBULENZI'!M32,'18.10 ZIROBWE-WOBULENZI'!M32,'19.10 ZIROBWE-WOBULENZI-24h'!M32,'20.10 ZIROBWE-WOBULENZI'!M32,'21.10 ZIROBWE-WOBULENZI-24h'!M32,'22.10 ZIROBWE-WOBULENZI'!M32,'23.10 ZIROBWE-WOBULENZI'!M32)</f>
        <v>21.142857142857142</v>
      </c>
      <c r="N32" s="49">
        <f>AVERAGE('17.10 ZIROBWE-WOBULENZI'!N32,'18.10 ZIROBWE-WOBULENZI'!N32,'19.10 ZIROBWE-WOBULENZI-24h'!N32,'20.10 ZIROBWE-WOBULENZI'!N32,'21.10 ZIROBWE-WOBULENZI-24h'!N32,'22.10 ZIROBWE-WOBULENZI'!N32,'23.10 ZIROBWE-WOBULENZI'!N32)</f>
        <v>0</v>
      </c>
      <c r="O32" s="15">
        <f t="shared" si="0"/>
        <v>5.5714285714285712</v>
      </c>
      <c r="P32" s="15">
        <f t="shared" si="1"/>
        <v>26.714285714285715</v>
      </c>
      <c r="R32" s="1" t="s">
        <v>156</v>
      </c>
      <c r="S32" s="34">
        <f>SUM(C98:C101)</f>
        <v>0.5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0.5</v>
      </c>
      <c r="AA32" s="34">
        <f t="shared" si="24"/>
        <v>0</v>
      </c>
      <c r="AB32" s="34">
        <f t="shared" si="24"/>
        <v>0</v>
      </c>
      <c r="AC32" s="34">
        <f t="shared" si="24"/>
        <v>2.5</v>
      </c>
      <c r="AD32" s="34">
        <f t="shared" si="24"/>
        <v>0</v>
      </c>
      <c r="AE32" s="31">
        <f t="shared" si="24"/>
        <v>1</v>
      </c>
      <c r="AF32" s="31">
        <f t="shared" si="24"/>
        <v>3.5</v>
      </c>
    </row>
    <row r="33" spans="2:32" ht="23.1" customHeight="1" x14ac:dyDescent="0.25">
      <c r="B33" s="23" t="s">
        <v>60</v>
      </c>
      <c r="C33" s="49">
        <f>AVERAGE('17.10 ZIROBWE-WOBULENZI'!C33,'18.10 ZIROBWE-WOBULENZI'!C33,'19.10 ZIROBWE-WOBULENZI-24h'!C33,'20.10 ZIROBWE-WOBULENZI'!C33,'21.10 ZIROBWE-WOBULENZI-24h'!C33,'22.10 ZIROBWE-WOBULENZI'!C33,'23.10 ZIROBWE-WOBULENZI'!C33)</f>
        <v>0.8571428571428571</v>
      </c>
      <c r="D33" s="49">
        <f>AVERAGE('17.10 ZIROBWE-WOBULENZI'!D33,'18.10 ZIROBWE-WOBULENZI'!D33,'19.10 ZIROBWE-WOBULENZI-24h'!D33,'20.10 ZIROBWE-WOBULENZI'!D33,'21.10 ZIROBWE-WOBULENZI-24h'!D33,'22.10 ZIROBWE-WOBULENZI'!D33,'23.10 ZIROBWE-WOBULENZI'!D33)</f>
        <v>0.42857142857142855</v>
      </c>
      <c r="E33" s="49">
        <f>AVERAGE('17.10 ZIROBWE-WOBULENZI'!E33,'18.10 ZIROBWE-WOBULENZI'!E33,'19.10 ZIROBWE-WOBULENZI-24h'!E33,'20.10 ZIROBWE-WOBULENZI'!E33,'21.10 ZIROBWE-WOBULENZI-24h'!E33,'22.10 ZIROBWE-WOBULENZI'!E33,'23.10 ZIROBWE-WOBULENZI'!E33)</f>
        <v>0</v>
      </c>
      <c r="F33" s="49">
        <f>AVERAGE('17.10 ZIROBWE-WOBULENZI'!F33,'18.10 ZIROBWE-WOBULENZI'!F33,'19.10 ZIROBWE-WOBULENZI-24h'!F33,'20.10 ZIROBWE-WOBULENZI'!F33,'21.10 ZIROBWE-WOBULENZI-24h'!F33,'22.10 ZIROBWE-WOBULENZI'!F33,'23.10 ZIROBWE-WOBULENZI'!F33)</f>
        <v>0.42857142857142855</v>
      </c>
      <c r="G33" s="49">
        <f>AVERAGE('17.10 ZIROBWE-WOBULENZI'!G33,'18.10 ZIROBWE-WOBULENZI'!G33,'19.10 ZIROBWE-WOBULENZI-24h'!G33,'20.10 ZIROBWE-WOBULENZI'!G33,'21.10 ZIROBWE-WOBULENZI-24h'!G33,'22.10 ZIROBWE-WOBULENZI'!G33,'23.10 ZIROBWE-WOBULENZI'!G33)</f>
        <v>0.42857142857142855</v>
      </c>
      <c r="H33" s="49">
        <f>AVERAGE('17.10 ZIROBWE-WOBULENZI'!H33,'18.10 ZIROBWE-WOBULENZI'!H33,'19.10 ZIROBWE-WOBULENZI-24h'!H33,'20.10 ZIROBWE-WOBULENZI'!H33,'21.10 ZIROBWE-WOBULENZI-24h'!H33,'22.10 ZIROBWE-WOBULENZI'!H33,'23.10 ZIROBWE-WOBULENZI'!H33)</f>
        <v>0</v>
      </c>
      <c r="I33" s="49">
        <f>AVERAGE('17.10 ZIROBWE-WOBULENZI'!I33,'18.10 ZIROBWE-WOBULENZI'!I33,'19.10 ZIROBWE-WOBULENZI-24h'!I33,'20.10 ZIROBWE-WOBULENZI'!I33,'21.10 ZIROBWE-WOBULENZI-24h'!I33,'22.10 ZIROBWE-WOBULENZI'!I33,'23.10 ZIROBWE-WOBULENZI'!I33)</f>
        <v>0.2857142857142857</v>
      </c>
      <c r="J33" s="49">
        <f>AVERAGE('17.10 ZIROBWE-WOBULENZI'!J33,'18.10 ZIROBWE-WOBULENZI'!J33,'19.10 ZIROBWE-WOBULENZI-24h'!J33,'20.10 ZIROBWE-WOBULENZI'!J33,'21.10 ZIROBWE-WOBULENZI-24h'!J33,'22.10 ZIROBWE-WOBULENZI'!J33,'23.10 ZIROBWE-WOBULENZI'!J33)</f>
        <v>0.5714285714285714</v>
      </c>
      <c r="K33" s="49">
        <f>AVERAGE('17.10 ZIROBWE-WOBULENZI'!K33,'18.10 ZIROBWE-WOBULENZI'!K33,'19.10 ZIROBWE-WOBULENZI-24h'!K33,'20.10 ZIROBWE-WOBULENZI'!K33,'21.10 ZIROBWE-WOBULENZI-24h'!K33,'22.10 ZIROBWE-WOBULENZI'!K33,'23.10 ZIROBWE-WOBULENZI'!K33)</f>
        <v>0</v>
      </c>
      <c r="L33" s="49">
        <f>AVERAGE('17.10 ZIROBWE-WOBULENZI'!L33,'18.10 ZIROBWE-WOBULENZI'!L33,'19.10 ZIROBWE-WOBULENZI-24h'!L33,'20.10 ZIROBWE-WOBULENZI'!L33,'21.10 ZIROBWE-WOBULENZI-24h'!L33,'22.10 ZIROBWE-WOBULENZI'!L33,'23.10 ZIROBWE-WOBULENZI'!L33)</f>
        <v>0</v>
      </c>
      <c r="M33" s="49">
        <f>AVERAGE('17.10 ZIROBWE-WOBULENZI'!M33,'18.10 ZIROBWE-WOBULENZI'!M33,'19.10 ZIROBWE-WOBULENZI-24h'!M33,'20.10 ZIROBWE-WOBULENZI'!M33,'21.10 ZIROBWE-WOBULENZI-24h'!M33,'22.10 ZIROBWE-WOBULENZI'!M33,'23.10 ZIROBWE-WOBULENZI'!M33)</f>
        <v>18.285714285714285</v>
      </c>
      <c r="N33" s="49">
        <f>AVERAGE('17.10 ZIROBWE-WOBULENZI'!N33,'18.10 ZIROBWE-WOBULENZI'!N33,'19.10 ZIROBWE-WOBULENZI-24h'!N33,'20.10 ZIROBWE-WOBULENZI'!N33,'21.10 ZIROBWE-WOBULENZI-24h'!N33,'22.10 ZIROBWE-WOBULENZI'!N33,'23.10 ZIROBWE-WOBULENZI'!N33)</f>
        <v>0</v>
      </c>
      <c r="O33" s="15">
        <f t="shared" si="0"/>
        <v>3</v>
      </c>
      <c r="P33" s="15">
        <f t="shared" si="1"/>
        <v>21.285714285714285</v>
      </c>
      <c r="R33" s="1" t="s">
        <v>157</v>
      </c>
      <c r="S33" s="34">
        <f>SUM(C102:C105)</f>
        <v>0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1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17.5</v>
      </c>
      <c r="AD33" s="34">
        <f t="shared" si="25"/>
        <v>0</v>
      </c>
      <c r="AE33" s="31">
        <f t="shared" si="25"/>
        <v>1</v>
      </c>
      <c r="AF33" s="31">
        <f t="shared" si="25"/>
        <v>18.5</v>
      </c>
    </row>
    <row r="34" spans="2:32" ht="23.1" customHeight="1" x14ac:dyDescent="0.25">
      <c r="B34" s="24" t="s">
        <v>61</v>
      </c>
      <c r="C34" s="49">
        <f>AVERAGE('17.10 ZIROBWE-WOBULENZI'!C34,'18.10 ZIROBWE-WOBULENZI'!C34,'19.10 ZIROBWE-WOBULENZI-24h'!C34,'20.10 ZIROBWE-WOBULENZI'!C34,'21.10 ZIROBWE-WOBULENZI-24h'!C34,'22.10 ZIROBWE-WOBULENZI'!C34,'23.10 ZIROBWE-WOBULENZI'!C34)</f>
        <v>1.8571428571428572</v>
      </c>
      <c r="D34" s="49">
        <f>AVERAGE('17.10 ZIROBWE-WOBULENZI'!D34,'18.10 ZIROBWE-WOBULENZI'!D34,'19.10 ZIROBWE-WOBULENZI-24h'!D34,'20.10 ZIROBWE-WOBULENZI'!D34,'21.10 ZIROBWE-WOBULENZI-24h'!D34,'22.10 ZIROBWE-WOBULENZI'!D34,'23.10 ZIROBWE-WOBULENZI'!D34)</f>
        <v>0.2857142857142857</v>
      </c>
      <c r="E34" s="49">
        <f>AVERAGE('17.10 ZIROBWE-WOBULENZI'!E34,'18.10 ZIROBWE-WOBULENZI'!E34,'19.10 ZIROBWE-WOBULENZI-24h'!E34,'20.10 ZIROBWE-WOBULENZI'!E34,'21.10 ZIROBWE-WOBULENZI-24h'!E34,'22.10 ZIROBWE-WOBULENZI'!E34,'23.10 ZIROBWE-WOBULENZI'!E34)</f>
        <v>0.5714285714285714</v>
      </c>
      <c r="F34" s="49">
        <f>AVERAGE('17.10 ZIROBWE-WOBULENZI'!F34,'18.10 ZIROBWE-WOBULENZI'!F34,'19.10 ZIROBWE-WOBULENZI-24h'!F34,'20.10 ZIROBWE-WOBULENZI'!F34,'21.10 ZIROBWE-WOBULENZI-24h'!F34,'22.10 ZIROBWE-WOBULENZI'!F34,'23.10 ZIROBWE-WOBULENZI'!F34)</f>
        <v>0.2857142857142857</v>
      </c>
      <c r="G34" s="49">
        <f>AVERAGE('17.10 ZIROBWE-WOBULENZI'!G34,'18.10 ZIROBWE-WOBULENZI'!G34,'19.10 ZIROBWE-WOBULENZI-24h'!G34,'20.10 ZIROBWE-WOBULENZI'!G34,'21.10 ZIROBWE-WOBULENZI-24h'!G34,'22.10 ZIROBWE-WOBULENZI'!G34,'23.10 ZIROBWE-WOBULENZI'!G34)</f>
        <v>0.7142857142857143</v>
      </c>
      <c r="H34" s="49">
        <f>AVERAGE('17.10 ZIROBWE-WOBULENZI'!H34,'18.10 ZIROBWE-WOBULENZI'!H34,'19.10 ZIROBWE-WOBULENZI-24h'!H34,'20.10 ZIROBWE-WOBULENZI'!H34,'21.10 ZIROBWE-WOBULENZI-24h'!H34,'22.10 ZIROBWE-WOBULENZI'!H34,'23.10 ZIROBWE-WOBULENZI'!H34)</f>
        <v>0</v>
      </c>
      <c r="I34" s="49">
        <f>AVERAGE('17.10 ZIROBWE-WOBULENZI'!I34,'18.10 ZIROBWE-WOBULENZI'!I34,'19.10 ZIROBWE-WOBULENZI-24h'!I34,'20.10 ZIROBWE-WOBULENZI'!I34,'21.10 ZIROBWE-WOBULENZI-24h'!I34,'22.10 ZIROBWE-WOBULENZI'!I34,'23.10 ZIROBWE-WOBULENZI'!I34)</f>
        <v>0.7142857142857143</v>
      </c>
      <c r="J34" s="49">
        <f>AVERAGE('17.10 ZIROBWE-WOBULENZI'!J34,'18.10 ZIROBWE-WOBULENZI'!J34,'19.10 ZIROBWE-WOBULENZI-24h'!J34,'20.10 ZIROBWE-WOBULENZI'!J34,'21.10 ZIROBWE-WOBULENZI-24h'!J34,'22.10 ZIROBWE-WOBULENZI'!J34,'23.10 ZIROBWE-WOBULENZI'!J34)</f>
        <v>1.1428571428571428</v>
      </c>
      <c r="K34" s="49">
        <f>AVERAGE('17.10 ZIROBWE-WOBULENZI'!K34,'18.10 ZIROBWE-WOBULENZI'!K34,'19.10 ZIROBWE-WOBULENZI-24h'!K34,'20.10 ZIROBWE-WOBULENZI'!K34,'21.10 ZIROBWE-WOBULENZI-24h'!K34,'22.10 ZIROBWE-WOBULENZI'!K34,'23.10 ZIROBWE-WOBULENZI'!K34)</f>
        <v>0</v>
      </c>
      <c r="L34" s="49">
        <f>AVERAGE('17.10 ZIROBWE-WOBULENZI'!L34,'18.10 ZIROBWE-WOBULENZI'!L34,'19.10 ZIROBWE-WOBULENZI-24h'!L34,'20.10 ZIROBWE-WOBULENZI'!L34,'21.10 ZIROBWE-WOBULENZI-24h'!L34,'22.10 ZIROBWE-WOBULENZI'!L34,'23.10 ZIROBWE-WOBULENZI'!L34)</f>
        <v>0</v>
      </c>
      <c r="M34" s="49">
        <f>AVERAGE('17.10 ZIROBWE-WOBULENZI'!M34,'18.10 ZIROBWE-WOBULENZI'!M34,'19.10 ZIROBWE-WOBULENZI-24h'!M34,'20.10 ZIROBWE-WOBULENZI'!M34,'21.10 ZIROBWE-WOBULENZI-24h'!M34,'22.10 ZIROBWE-WOBULENZI'!M34,'23.10 ZIROBWE-WOBULENZI'!M34)</f>
        <v>20.714285714285715</v>
      </c>
      <c r="N34" s="49">
        <f>AVERAGE('17.10 ZIROBWE-WOBULENZI'!N34,'18.10 ZIROBWE-WOBULENZI'!N34,'19.10 ZIROBWE-WOBULENZI-24h'!N34,'20.10 ZIROBWE-WOBULENZI'!N34,'21.10 ZIROBWE-WOBULENZI-24h'!N34,'22.10 ZIROBWE-WOBULENZI'!N34,'23.10 ZIROBWE-WOBULENZI'!N34)</f>
        <v>0</v>
      </c>
      <c r="O34" s="15">
        <f t="shared" si="0"/>
        <v>5.5714285714285712</v>
      </c>
      <c r="P34" s="15">
        <f t="shared" si="1"/>
        <v>26.285714285714285</v>
      </c>
      <c r="R34" s="52" t="s">
        <v>90</v>
      </c>
      <c r="S34" s="53">
        <f t="shared" ref="S34:AF34" si="26">MAX(S10:S12)</f>
        <v>2.7142857142857144</v>
      </c>
      <c r="T34" s="53">
        <f t="shared" si="26"/>
        <v>1.2857142857142856</v>
      </c>
      <c r="U34" s="53">
        <f t="shared" si="26"/>
        <v>1.2857142857142856</v>
      </c>
      <c r="V34" s="53">
        <f t="shared" si="26"/>
        <v>1.857142857142857</v>
      </c>
      <c r="W34" s="53">
        <f t="shared" si="26"/>
        <v>0</v>
      </c>
      <c r="X34" s="53">
        <f t="shared" si="26"/>
        <v>0</v>
      </c>
      <c r="Y34" s="53">
        <f t="shared" si="26"/>
        <v>1.5714285714285712</v>
      </c>
      <c r="Z34" s="53">
        <f t="shared" si="26"/>
        <v>5.2857142857142856</v>
      </c>
      <c r="AA34" s="53">
        <f t="shared" si="26"/>
        <v>0</v>
      </c>
      <c r="AB34" s="53">
        <f t="shared" si="26"/>
        <v>0</v>
      </c>
      <c r="AC34" s="53">
        <f t="shared" si="26"/>
        <v>47</v>
      </c>
      <c r="AD34" s="53">
        <f t="shared" si="26"/>
        <v>0.14285714285714285</v>
      </c>
      <c r="AE34" s="40">
        <f t="shared" si="26"/>
        <v>13.285714285714285</v>
      </c>
      <c r="AF34" s="40">
        <f t="shared" si="26"/>
        <v>60</v>
      </c>
    </row>
    <row r="35" spans="2:32" ht="23.1" customHeight="1" x14ac:dyDescent="0.25">
      <c r="B35" s="24" t="s">
        <v>62</v>
      </c>
      <c r="C35" s="49">
        <f>AVERAGE('17.10 ZIROBWE-WOBULENZI'!C35,'18.10 ZIROBWE-WOBULENZI'!C35,'19.10 ZIROBWE-WOBULENZI-24h'!C35,'20.10 ZIROBWE-WOBULENZI'!C35,'21.10 ZIROBWE-WOBULENZI-24h'!C35,'22.10 ZIROBWE-WOBULENZI'!C35,'23.10 ZIROBWE-WOBULENZI'!C35)</f>
        <v>0.8571428571428571</v>
      </c>
      <c r="D35" s="49">
        <f>AVERAGE('17.10 ZIROBWE-WOBULENZI'!D35,'18.10 ZIROBWE-WOBULENZI'!D35,'19.10 ZIROBWE-WOBULENZI-24h'!D35,'20.10 ZIROBWE-WOBULENZI'!D35,'21.10 ZIROBWE-WOBULENZI-24h'!D35,'22.10 ZIROBWE-WOBULENZI'!D35,'23.10 ZIROBWE-WOBULENZI'!D35)</f>
        <v>0.42857142857142855</v>
      </c>
      <c r="E35" s="49">
        <f>AVERAGE('17.10 ZIROBWE-WOBULENZI'!E35,'18.10 ZIROBWE-WOBULENZI'!E35,'19.10 ZIROBWE-WOBULENZI-24h'!E35,'20.10 ZIROBWE-WOBULENZI'!E35,'21.10 ZIROBWE-WOBULENZI-24h'!E35,'22.10 ZIROBWE-WOBULENZI'!E35,'23.10 ZIROBWE-WOBULENZI'!E35)</f>
        <v>0.14285714285714285</v>
      </c>
      <c r="F35" s="49">
        <f>AVERAGE('17.10 ZIROBWE-WOBULENZI'!F35,'18.10 ZIROBWE-WOBULENZI'!F35,'19.10 ZIROBWE-WOBULENZI-24h'!F35,'20.10 ZIROBWE-WOBULENZI'!F35,'21.10 ZIROBWE-WOBULENZI-24h'!F35,'22.10 ZIROBWE-WOBULENZI'!F35,'23.10 ZIROBWE-WOBULENZI'!F35)</f>
        <v>0.5714285714285714</v>
      </c>
      <c r="G35" s="49">
        <f>AVERAGE('17.10 ZIROBWE-WOBULENZI'!G35,'18.10 ZIROBWE-WOBULENZI'!G35,'19.10 ZIROBWE-WOBULENZI-24h'!G35,'20.10 ZIROBWE-WOBULENZI'!G35,'21.10 ZIROBWE-WOBULENZI-24h'!G35,'22.10 ZIROBWE-WOBULENZI'!G35,'23.10 ZIROBWE-WOBULENZI'!G35)</f>
        <v>0</v>
      </c>
      <c r="H35" s="49">
        <f>AVERAGE('17.10 ZIROBWE-WOBULENZI'!H35,'18.10 ZIROBWE-WOBULENZI'!H35,'19.10 ZIROBWE-WOBULENZI-24h'!H35,'20.10 ZIROBWE-WOBULENZI'!H35,'21.10 ZIROBWE-WOBULENZI-24h'!H35,'22.10 ZIROBWE-WOBULENZI'!H35,'23.10 ZIROBWE-WOBULENZI'!H35)</f>
        <v>0</v>
      </c>
      <c r="I35" s="49">
        <f>AVERAGE('17.10 ZIROBWE-WOBULENZI'!I35,'18.10 ZIROBWE-WOBULENZI'!I35,'19.10 ZIROBWE-WOBULENZI-24h'!I35,'20.10 ZIROBWE-WOBULENZI'!I35,'21.10 ZIROBWE-WOBULENZI-24h'!I35,'22.10 ZIROBWE-WOBULENZI'!I35,'23.10 ZIROBWE-WOBULENZI'!I35)</f>
        <v>0.5714285714285714</v>
      </c>
      <c r="J35" s="49">
        <f>AVERAGE('17.10 ZIROBWE-WOBULENZI'!J35,'18.10 ZIROBWE-WOBULENZI'!J35,'19.10 ZIROBWE-WOBULENZI-24h'!J35,'20.10 ZIROBWE-WOBULENZI'!J35,'21.10 ZIROBWE-WOBULENZI-24h'!J35,'22.10 ZIROBWE-WOBULENZI'!J35,'23.10 ZIROBWE-WOBULENZI'!J35)</f>
        <v>0.8571428571428571</v>
      </c>
      <c r="K35" s="49">
        <f>AVERAGE('17.10 ZIROBWE-WOBULENZI'!K35,'18.10 ZIROBWE-WOBULENZI'!K35,'19.10 ZIROBWE-WOBULENZI-24h'!K35,'20.10 ZIROBWE-WOBULENZI'!K35,'21.10 ZIROBWE-WOBULENZI-24h'!K35,'22.10 ZIROBWE-WOBULENZI'!K35,'23.10 ZIROBWE-WOBULENZI'!K35)</f>
        <v>0</v>
      </c>
      <c r="L35" s="49">
        <f>AVERAGE('17.10 ZIROBWE-WOBULENZI'!L35,'18.10 ZIROBWE-WOBULENZI'!L35,'19.10 ZIROBWE-WOBULENZI-24h'!L35,'20.10 ZIROBWE-WOBULENZI'!L35,'21.10 ZIROBWE-WOBULENZI-24h'!L35,'22.10 ZIROBWE-WOBULENZI'!L35,'23.10 ZIROBWE-WOBULENZI'!L35)</f>
        <v>0</v>
      </c>
      <c r="M35" s="49">
        <f>AVERAGE('17.10 ZIROBWE-WOBULENZI'!M35,'18.10 ZIROBWE-WOBULENZI'!M35,'19.10 ZIROBWE-WOBULENZI-24h'!M35,'20.10 ZIROBWE-WOBULENZI'!M35,'21.10 ZIROBWE-WOBULENZI-24h'!M35,'22.10 ZIROBWE-WOBULENZI'!M35,'23.10 ZIROBWE-WOBULENZI'!M35)</f>
        <v>16</v>
      </c>
      <c r="N35" s="49">
        <f>AVERAGE('17.10 ZIROBWE-WOBULENZI'!N35,'18.10 ZIROBWE-WOBULENZI'!N35,'19.10 ZIROBWE-WOBULENZI-24h'!N35,'20.10 ZIROBWE-WOBULENZI'!N35,'21.10 ZIROBWE-WOBULENZI-24h'!N35,'22.10 ZIROBWE-WOBULENZI'!N35,'23.10 ZIROBWE-WOBULENZI'!N35)</f>
        <v>0</v>
      </c>
      <c r="O35" s="15">
        <f t="shared" si="0"/>
        <v>3.4285714285714284</v>
      </c>
      <c r="P35" s="15">
        <f t="shared" si="1"/>
        <v>19.428571428571427</v>
      </c>
      <c r="R35" s="52" t="s">
        <v>91</v>
      </c>
      <c r="S35" s="53">
        <f t="shared" ref="S35:AF35" si="27">MAX(S13:S18)</f>
        <v>5.9999999999999991</v>
      </c>
      <c r="T35" s="53">
        <f t="shared" si="27"/>
        <v>2</v>
      </c>
      <c r="U35" s="53">
        <f t="shared" si="27"/>
        <v>2</v>
      </c>
      <c r="V35" s="53">
        <f t="shared" si="27"/>
        <v>2.714285714285714</v>
      </c>
      <c r="W35" s="53">
        <f t="shared" si="27"/>
        <v>0.85714285714285721</v>
      </c>
      <c r="X35" s="53">
        <f t="shared" si="27"/>
        <v>0.14285714285714285</v>
      </c>
      <c r="Y35" s="53">
        <f t="shared" si="27"/>
        <v>3.5714285714285712</v>
      </c>
      <c r="Z35" s="53">
        <f t="shared" si="27"/>
        <v>7.2857142857142865</v>
      </c>
      <c r="AA35" s="53">
        <f t="shared" si="27"/>
        <v>0.14285714285714285</v>
      </c>
      <c r="AB35" s="53">
        <f t="shared" si="27"/>
        <v>0.2857142857142857</v>
      </c>
      <c r="AC35" s="53">
        <f t="shared" si="27"/>
        <v>73.428571428571416</v>
      </c>
      <c r="AD35" s="53">
        <f t="shared" si="27"/>
        <v>0.14285714285714285</v>
      </c>
      <c r="AE35" s="40">
        <f t="shared" si="27"/>
        <v>19</v>
      </c>
      <c r="AF35" s="40">
        <f t="shared" si="27"/>
        <v>91.571428571428569</v>
      </c>
    </row>
    <row r="36" spans="2:32" ht="23.1" customHeight="1" x14ac:dyDescent="0.25">
      <c r="B36" s="24" t="s">
        <v>63</v>
      </c>
      <c r="C36" s="49">
        <f>AVERAGE('17.10 ZIROBWE-WOBULENZI'!C36,'18.10 ZIROBWE-WOBULENZI'!C36,'19.10 ZIROBWE-WOBULENZI-24h'!C36,'20.10 ZIROBWE-WOBULENZI'!C36,'21.10 ZIROBWE-WOBULENZI-24h'!C36,'22.10 ZIROBWE-WOBULENZI'!C36,'23.10 ZIROBWE-WOBULENZI'!C36)</f>
        <v>2.1428571428571428</v>
      </c>
      <c r="D36" s="49">
        <f>AVERAGE('17.10 ZIROBWE-WOBULENZI'!D36,'18.10 ZIROBWE-WOBULENZI'!D36,'19.10 ZIROBWE-WOBULENZI-24h'!D36,'20.10 ZIROBWE-WOBULENZI'!D36,'21.10 ZIROBWE-WOBULENZI-24h'!D36,'22.10 ZIROBWE-WOBULENZI'!D36,'23.10 ZIROBWE-WOBULENZI'!D36)</f>
        <v>0.2857142857142857</v>
      </c>
      <c r="E36" s="49">
        <f>AVERAGE('17.10 ZIROBWE-WOBULENZI'!E36,'18.10 ZIROBWE-WOBULENZI'!E36,'19.10 ZIROBWE-WOBULENZI-24h'!E36,'20.10 ZIROBWE-WOBULENZI'!E36,'21.10 ZIROBWE-WOBULENZI-24h'!E36,'22.10 ZIROBWE-WOBULENZI'!E36,'23.10 ZIROBWE-WOBULENZI'!E36)</f>
        <v>0.42857142857142855</v>
      </c>
      <c r="F36" s="49">
        <f>AVERAGE('17.10 ZIROBWE-WOBULENZI'!F36,'18.10 ZIROBWE-WOBULENZI'!F36,'19.10 ZIROBWE-WOBULENZI-24h'!F36,'20.10 ZIROBWE-WOBULENZI'!F36,'21.10 ZIROBWE-WOBULENZI-24h'!F36,'22.10 ZIROBWE-WOBULENZI'!F36,'23.10 ZIROBWE-WOBULENZI'!F36)</f>
        <v>0.5714285714285714</v>
      </c>
      <c r="G36" s="49">
        <f>AVERAGE('17.10 ZIROBWE-WOBULENZI'!G36,'18.10 ZIROBWE-WOBULENZI'!G36,'19.10 ZIROBWE-WOBULENZI-24h'!G36,'20.10 ZIROBWE-WOBULENZI'!G36,'21.10 ZIROBWE-WOBULENZI-24h'!G36,'22.10 ZIROBWE-WOBULENZI'!G36,'23.10 ZIROBWE-WOBULENZI'!G36)</f>
        <v>0.14285714285714285</v>
      </c>
      <c r="H36" s="49">
        <f>AVERAGE('17.10 ZIROBWE-WOBULENZI'!H36,'18.10 ZIROBWE-WOBULENZI'!H36,'19.10 ZIROBWE-WOBULENZI-24h'!H36,'20.10 ZIROBWE-WOBULENZI'!H36,'21.10 ZIROBWE-WOBULENZI-24h'!H36,'22.10 ZIROBWE-WOBULENZI'!H36,'23.10 ZIROBWE-WOBULENZI'!H36)</f>
        <v>0</v>
      </c>
      <c r="I36" s="49">
        <f>AVERAGE('17.10 ZIROBWE-WOBULENZI'!I36,'18.10 ZIROBWE-WOBULENZI'!I36,'19.10 ZIROBWE-WOBULENZI-24h'!I36,'20.10 ZIROBWE-WOBULENZI'!I36,'21.10 ZIROBWE-WOBULENZI-24h'!I36,'22.10 ZIROBWE-WOBULENZI'!I36,'23.10 ZIROBWE-WOBULENZI'!I36)</f>
        <v>0.7142857142857143</v>
      </c>
      <c r="J36" s="49">
        <f>AVERAGE('17.10 ZIROBWE-WOBULENZI'!J36,'18.10 ZIROBWE-WOBULENZI'!J36,'19.10 ZIROBWE-WOBULENZI-24h'!J36,'20.10 ZIROBWE-WOBULENZI'!J36,'21.10 ZIROBWE-WOBULENZI-24h'!J36,'22.10 ZIROBWE-WOBULENZI'!J36,'23.10 ZIROBWE-WOBULENZI'!J36)</f>
        <v>1.4285714285714286</v>
      </c>
      <c r="K36" s="49">
        <f>AVERAGE('17.10 ZIROBWE-WOBULENZI'!K36,'18.10 ZIROBWE-WOBULENZI'!K36,'19.10 ZIROBWE-WOBULENZI-24h'!K36,'20.10 ZIROBWE-WOBULENZI'!K36,'21.10 ZIROBWE-WOBULENZI-24h'!K36,'22.10 ZIROBWE-WOBULENZI'!K36,'23.10 ZIROBWE-WOBULENZI'!K36)</f>
        <v>0</v>
      </c>
      <c r="L36" s="49">
        <f>AVERAGE('17.10 ZIROBWE-WOBULENZI'!L36,'18.10 ZIROBWE-WOBULENZI'!L36,'19.10 ZIROBWE-WOBULENZI-24h'!L36,'20.10 ZIROBWE-WOBULENZI'!L36,'21.10 ZIROBWE-WOBULENZI-24h'!L36,'22.10 ZIROBWE-WOBULENZI'!L36,'23.10 ZIROBWE-WOBULENZI'!L36)</f>
        <v>0</v>
      </c>
      <c r="M36" s="49">
        <f>AVERAGE('17.10 ZIROBWE-WOBULENZI'!M36,'18.10 ZIROBWE-WOBULENZI'!M36,'19.10 ZIROBWE-WOBULENZI-24h'!M36,'20.10 ZIROBWE-WOBULENZI'!M36,'21.10 ZIROBWE-WOBULENZI-24h'!M36,'22.10 ZIROBWE-WOBULENZI'!M36,'23.10 ZIROBWE-WOBULENZI'!M36)</f>
        <v>17.285714285714285</v>
      </c>
      <c r="N36" s="49">
        <f>AVERAGE('17.10 ZIROBWE-WOBULENZI'!N36,'18.10 ZIROBWE-WOBULENZI'!N36,'19.10 ZIROBWE-WOBULENZI-24h'!N36,'20.10 ZIROBWE-WOBULENZI'!N36,'21.10 ZIROBWE-WOBULENZI-24h'!N36,'22.10 ZIROBWE-WOBULENZI'!N36,'23.10 ZIROBWE-WOBULENZI'!N36)</f>
        <v>0</v>
      </c>
      <c r="O36" s="15">
        <f t="shared" si="0"/>
        <v>5.7142857142857135</v>
      </c>
      <c r="P36" s="15">
        <f t="shared" si="1"/>
        <v>23</v>
      </c>
      <c r="R36" s="52" t="s">
        <v>92</v>
      </c>
      <c r="S36" s="53">
        <f t="shared" ref="S36:AF36" si="28">MAX(S19:S21)</f>
        <v>4.5714285714285712</v>
      </c>
      <c r="T36" s="53">
        <f t="shared" si="28"/>
        <v>1.7142857142857144</v>
      </c>
      <c r="U36" s="53">
        <f t="shared" si="28"/>
        <v>1.4285714285714284</v>
      </c>
      <c r="V36" s="53">
        <f t="shared" si="28"/>
        <v>2</v>
      </c>
      <c r="W36" s="53">
        <f t="shared" si="28"/>
        <v>0.2857142857142857</v>
      </c>
      <c r="X36" s="53">
        <f t="shared" si="28"/>
        <v>0</v>
      </c>
      <c r="Y36" s="53">
        <f t="shared" si="28"/>
        <v>3</v>
      </c>
      <c r="Z36" s="53">
        <f t="shared" si="28"/>
        <v>4.7142857142857144</v>
      </c>
      <c r="AA36" s="53">
        <f t="shared" si="28"/>
        <v>0</v>
      </c>
      <c r="AB36" s="53">
        <f t="shared" si="28"/>
        <v>0</v>
      </c>
      <c r="AC36" s="53">
        <f t="shared" si="28"/>
        <v>90.571428571428569</v>
      </c>
      <c r="AD36" s="53">
        <f t="shared" si="28"/>
        <v>0.14285714285714285</v>
      </c>
      <c r="AE36" s="40">
        <f t="shared" si="28"/>
        <v>15.714285714285714</v>
      </c>
      <c r="AF36" s="40">
        <f t="shared" si="28"/>
        <v>103.71428571428572</v>
      </c>
    </row>
    <row r="37" spans="2:32" ht="23.1" customHeight="1" x14ac:dyDescent="0.25">
      <c r="B37" s="23" t="s">
        <v>64</v>
      </c>
      <c r="C37" s="49">
        <f>AVERAGE('17.10 ZIROBWE-WOBULENZI'!C37,'18.10 ZIROBWE-WOBULENZI'!C37,'19.10 ZIROBWE-WOBULENZI-24h'!C37,'20.10 ZIROBWE-WOBULENZI'!C37,'21.10 ZIROBWE-WOBULENZI-24h'!C37,'22.10 ZIROBWE-WOBULENZI'!C37,'23.10 ZIROBWE-WOBULENZI'!C37)</f>
        <v>0.7142857142857143</v>
      </c>
      <c r="D37" s="49">
        <f>AVERAGE('17.10 ZIROBWE-WOBULENZI'!D37,'18.10 ZIROBWE-WOBULENZI'!D37,'19.10 ZIROBWE-WOBULENZI-24h'!D37,'20.10 ZIROBWE-WOBULENZI'!D37,'21.10 ZIROBWE-WOBULENZI-24h'!D37,'22.10 ZIROBWE-WOBULENZI'!D37,'23.10 ZIROBWE-WOBULENZI'!D37)</f>
        <v>1</v>
      </c>
      <c r="E37" s="49">
        <f>AVERAGE('17.10 ZIROBWE-WOBULENZI'!E37,'18.10 ZIROBWE-WOBULENZI'!E37,'19.10 ZIROBWE-WOBULENZI-24h'!E37,'20.10 ZIROBWE-WOBULENZI'!E37,'21.10 ZIROBWE-WOBULENZI-24h'!E37,'22.10 ZIROBWE-WOBULENZI'!E37,'23.10 ZIROBWE-WOBULENZI'!E37)</f>
        <v>0.42857142857142855</v>
      </c>
      <c r="F37" s="49">
        <f>AVERAGE('17.10 ZIROBWE-WOBULENZI'!F37,'18.10 ZIROBWE-WOBULENZI'!F37,'19.10 ZIROBWE-WOBULENZI-24h'!F37,'20.10 ZIROBWE-WOBULENZI'!F37,'21.10 ZIROBWE-WOBULENZI-24h'!F37,'22.10 ZIROBWE-WOBULENZI'!F37,'23.10 ZIROBWE-WOBULENZI'!F37)</f>
        <v>0.14285714285714285</v>
      </c>
      <c r="G37" s="49">
        <f>AVERAGE('17.10 ZIROBWE-WOBULENZI'!G37,'18.10 ZIROBWE-WOBULENZI'!G37,'19.10 ZIROBWE-WOBULENZI-24h'!G37,'20.10 ZIROBWE-WOBULENZI'!G37,'21.10 ZIROBWE-WOBULENZI-24h'!G37,'22.10 ZIROBWE-WOBULENZI'!G37,'23.10 ZIROBWE-WOBULENZI'!G37)</f>
        <v>0</v>
      </c>
      <c r="H37" s="49">
        <f>AVERAGE('17.10 ZIROBWE-WOBULENZI'!H37,'18.10 ZIROBWE-WOBULENZI'!H37,'19.10 ZIROBWE-WOBULENZI-24h'!H37,'20.10 ZIROBWE-WOBULENZI'!H37,'21.10 ZIROBWE-WOBULENZI-24h'!H37,'22.10 ZIROBWE-WOBULENZI'!H37,'23.10 ZIROBWE-WOBULENZI'!H37)</f>
        <v>0.14285714285714285</v>
      </c>
      <c r="I37" s="49">
        <f>AVERAGE('17.10 ZIROBWE-WOBULENZI'!I37,'18.10 ZIROBWE-WOBULENZI'!I37,'19.10 ZIROBWE-WOBULENZI-24h'!I37,'20.10 ZIROBWE-WOBULENZI'!I37,'21.10 ZIROBWE-WOBULENZI-24h'!I37,'22.10 ZIROBWE-WOBULENZI'!I37,'23.10 ZIROBWE-WOBULENZI'!I37)</f>
        <v>1.1428571428571428</v>
      </c>
      <c r="J37" s="49">
        <f>AVERAGE('17.10 ZIROBWE-WOBULENZI'!J37,'18.10 ZIROBWE-WOBULENZI'!J37,'19.10 ZIROBWE-WOBULENZI-24h'!J37,'20.10 ZIROBWE-WOBULENZI'!J37,'21.10 ZIROBWE-WOBULENZI-24h'!J37,'22.10 ZIROBWE-WOBULENZI'!J37,'23.10 ZIROBWE-WOBULENZI'!J37)</f>
        <v>0.2857142857142857</v>
      </c>
      <c r="K37" s="49">
        <f>AVERAGE('17.10 ZIROBWE-WOBULENZI'!K37,'18.10 ZIROBWE-WOBULENZI'!K37,'19.10 ZIROBWE-WOBULENZI-24h'!K37,'20.10 ZIROBWE-WOBULENZI'!K37,'21.10 ZIROBWE-WOBULENZI-24h'!K37,'22.10 ZIROBWE-WOBULENZI'!K37,'23.10 ZIROBWE-WOBULENZI'!K37)</f>
        <v>0</v>
      </c>
      <c r="L37" s="49">
        <f>AVERAGE('17.10 ZIROBWE-WOBULENZI'!L37,'18.10 ZIROBWE-WOBULENZI'!L37,'19.10 ZIROBWE-WOBULENZI-24h'!L37,'20.10 ZIROBWE-WOBULENZI'!L37,'21.10 ZIROBWE-WOBULENZI-24h'!L37,'22.10 ZIROBWE-WOBULENZI'!L37,'23.10 ZIROBWE-WOBULENZI'!L37)</f>
        <v>0</v>
      </c>
      <c r="M37" s="49">
        <f>AVERAGE('17.10 ZIROBWE-WOBULENZI'!M37,'18.10 ZIROBWE-WOBULENZI'!M37,'19.10 ZIROBWE-WOBULENZI-24h'!M37,'20.10 ZIROBWE-WOBULENZI'!M37,'21.10 ZIROBWE-WOBULENZI-24h'!M37,'22.10 ZIROBWE-WOBULENZI'!M37,'23.10 ZIROBWE-WOBULENZI'!M37)</f>
        <v>18.857142857142858</v>
      </c>
      <c r="N37" s="49">
        <f>AVERAGE('17.10 ZIROBWE-WOBULENZI'!N37,'18.10 ZIROBWE-WOBULENZI'!N37,'19.10 ZIROBWE-WOBULENZI-24h'!N37,'20.10 ZIROBWE-WOBULENZI'!N37,'21.10 ZIROBWE-WOBULENZI-24h'!N37,'22.10 ZIROBWE-WOBULENZI'!N37,'23.10 ZIROBWE-WOBULENZI'!N37)</f>
        <v>0.14285714285714285</v>
      </c>
      <c r="O37" s="15">
        <f t="shared" si="0"/>
        <v>3.9999999999999996</v>
      </c>
      <c r="P37" s="15">
        <f t="shared" si="1"/>
        <v>22.857142857142858</v>
      </c>
      <c r="R37" s="37" t="s">
        <v>85</v>
      </c>
      <c r="S37" s="54">
        <f t="shared" ref="S37:AF37" si="29">SUM(S10:S12)</f>
        <v>6.7142857142857135</v>
      </c>
      <c r="T37" s="55">
        <f t="shared" si="29"/>
        <v>3</v>
      </c>
      <c r="U37" s="55">
        <f t="shared" si="29"/>
        <v>1.9999999999999998</v>
      </c>
      <c r="V37" s="55">
        <f t="shared" si="29"/>
        <v>3.2857142857142856</v>
      </c>
      <c r="W37" s="55">
        <f t="shared" si="29"/>
        <v>0</v>
      </c>
      <c r="X37" s="55">
        <f t="shared" si="29"/>
        <v>0</v>
      </c>
      <c r="Y37" s="55">
        <f t="shared" si="29"/>
        <v>4.1428571428571423</v>
      </c>
      <c r="Z37" s="55">
        <f t="shared" si="29"/>
        <v>9.7142857142857153</v>
      </c>
      <c r="AA37" s="55">
        <f t="shared" si="29"/>
        <v>0</v>
      </c>
      <c r="AB37" s="55">
        <f t="shared" si="29"/>
        <v>0</v>
      </c>
      <c r="AC37" s="55">
        <f t="shared" si="29"/>
        <v>138.85714285714283</v>
      </c>
      <c r="AD37" s="55">
        <f t="shared" si="29"/>
        <v>0.14285714285714285</v>
      </c>
      <c r="AE37" s="56">
        <f t="shared" si="29"/>
        <v>28.999999999999996</v>
      </c>
      <c r="AF37" s="56">
        <f t="shared" si="29"/>
        <v>167.85714285714286</v>
      </c>
    </row>
    <row r="38" spans="2:32" ht="23.1" customHeight="1" x14ac:dyDescent="0.25">
      <c r="B38" s="24" t="s">
        <v>65</v>
      </c>
      <c r="C38" s="49">
        <f>AVERAGE('17.10 ZIROBWE-WOBULENZI'!C38,'18.10 ZIROBWE-WOBULENZI'!C38,'19.10 ZIROBWE-WOBULENZI-24h'!C38,'20.10 ZIROBWE-WOBULENZI'!C38,'21.10 ZIROBWE-WOBULENZI-24h'!C38,'22.10 ZIROBWE-WOBULENZI'!C38,'23.10 ZIROBWE-WOBULENZI'!C38)</f>
        <v>1.4285714285714286</v>
      </c>
      <c r="D38" s="49">
        <f>AVERAGE('17.10 ZIROBWE-WOBULENZI'!D38,'18.10 ZIROBWE-WOBULENZI'!D38,'19.10 ZIROBWE-WOBULENZI-24h'!D38,'20.10 ZIROBWE-WOBULENZI'!D38,'21.10 ZIROBWE-WOBULENZI-24h'!D38,'22.10 ZIROBWE-WOBULENZI'!D38,'23.10 ZIROBWE-WOBULENZI'!D38)</f>
        <v>0.5714285714285714</v>
      </c>
      <c r="E38" s="49">
        <f>AVERAGE('17.10 ZIROBWE-WOBULENZI'!E38,'18.10 ZIROBWE-WOBULENZI'!E38,'19.10 ZIROBWE-WOBULENZI-24h'!E38,'20.10 ZIROBWE-WOBULENZI'!E38,'21.10 ZIROBWE-WOBULENZI-24h'!E38,'22.10 ZIROBWE-WOBULENZI'!E38,'23.10 ZIROBWE-WOBULENZI'!E38)</f>
        <v>0.2857142857142857</v>
      </c>
      <c r="F38" s="49">
        <f>AVERAGE('17.10 ZIROBWE-WOBULENZI'!F38,'18.10 ZIROBWE-WOBULENZI'!F38,'19.10 ZIROBWE-WOBULENZI-24h'!F38,'20.10 ZIROBWE-WOBULENZI'!F38,'21.10 ZIROBWE-WOBULENZI-24h'!F38,'22.10 ZIROBWE-WOBULENZI'!F38,'23.10 ZIROBWE-WOBULENZI'!F38)</f>
        <v>0.2857142857142857</v>
      </c>
      <c r="G38" s="49">
        <f>AVERAGE('17.10 ZIROBWE-WOBULENZI'!G38,'18.10 ZIROBWE-WOBULENZI'!G38,'19.10 ZIROBWE-WOBULENZI-24h'!G38,'20.10 ZIROBWE-WOBULENZI'!G38,'21.10 ZIROBWE-WOBULENZI-24h'!G38,'22.10 ZIROBWE-WOBULENZI'!G38,'23.10 ZIROBWE-WOBULENZI'!G38)</f>
        <v>0</v>
      </c>
      <c r="H38" s="49">
        <f>AVERAGE('17.10 ZIROBWE-WOBULENZI'!H38,'18.10 ZIROBWE-WOBULENZI'!H38,'19.10 ZIROBWE-WOBULENZI-24h'!H38,'20.10 ZIROBWE-WOBULENZI'!H38,'21.10 ZIROBWE-WOBULENZI-24h'!H38,'22.10 ZIROBWE-WOBULENZI'!H38,'23.10 ZIROBWE-WOBULENZI'!H38)</f>
        <v>0</v>
      </c>
      <c r="I38" s="49">
        <f>AVERAGE('17.10 ZIROBWE-WOBULENZI'!I38,'18.10 ZIROBWE-WOBULENZI'!I38,'19.10 ZIROBWE-WOBULENZI-24h'!I38,'20.10 ZIROBWE-WOBULENZI'!I38,'21.10 ZIROBWE-WOBULENZI-24h'!I38,'22.10 ZIROBWE-WOBULENZI'!I38,'23.10 ZIROBWE-WOBULENZI'!I38)</f>
        <v>0.5714285714285714</v>
      </c>
      <c r="J38" s="49">
        <f>AVERAGE('17.10 ZIROBWE-WOBULENZI'!J38,'18.10 ZIROBWE-WOBULENZI'!J38,'19.10 ZIROBWE-WOBULENZI-24h'!J38,'20.10 ZIROBWE-WOBULENZI'!J38,'21.10 ZIROBWE-WOBULENZI-24h'!J38,'22.10 ZIROBWE-WOBULENZI'!J38,'23.10 ZIROBWE-WOBULENZI'!J38)</f>
        <v>0.7142857142857143</v>
      </c>
      <c r="K38" s="49">
        <f>AVERAGE('17.10 ZIROBWE-WOBULENZI'!K38,'18.10 ZIROBWE-WOBULENZI'!K38,'19.10 ZIROBWE-WOBULENZI-24h'!K38,'20.10 ZIROBWE-WOBULENZI'!K38,'21.10 ZIROBWE-WOBULENZI-24h'!K38,'22.10 ZIROBWE-WOBULENZI'!K38,'23.10 ZIROBWE-WOBULENZI'!K38)</f>
        <v>0</v>
      </c>
      <c r="L38" s="49">
        <f>AVERAGE('17.10 ZIROBWE-WOBULENZI'!L38,'18.10 ZIROBWE-WOBULENZI'!L38,'19.10 ZIROBWE-WOBULENZI-24h'!L38,'20.10 ZIROBWE-WOBULENZI'!L38,'21.10 ZIROBWE-WOBULENZI-24h'!L38,'22.10 ZIROBWE-WOBULENZI'!L38,'23.10 ZIROBWE-WOBULENZI'!L38)</f>
        <v>0</v>
      </c>
      <c r="M38" s="49">
        <f>AVERAGE('17.10 ZIROBWE-WOBULENZI'!M38,'18.10 ZIROBWE-WOBULENZI'!M38,'19.10 ZIROBWE-WOBULENZI-24h'!M38,'20.10 ZIROBWE-WOBULENZI'!M38,'21.10 ZIROBWE-WOBULENZI-24h'!M38,'22.10 ZIROBWE-WOBULENZI'!M38,'23.10 ZIROBWE-WOBULENZI'!M38)</f>
        <v>13.714285714285714</v>
      </c>
      <c r="N38" s="49">
        <f>AVERAGE('17.10 ZIROBWE-WOBULENZI'!N38,'18.10 ZIROBWE-WOBULENZI'!N38,'19.10 ZIROBWE-WOBULENZI-24h'!N38,'20.10 ZIROBWE-WOBULENZI'!N38,'21.10 ZIROBWE-WOBULENZI-24h'!N38,'22.10 ZIROBWE-WOBULENZI'!N38,'23.10 ZIROBWE-WOBULENZI'!N38)</f>
        <v>0</v>
      </c>
      <c r="O38" s="15">
        <f t="shared" si="0"/>
        <v>3.8571428571428568</v>
      </c>
      <c r="P38" s="15">
        <f t="shared" si="1"/>
        <v>17.571428571428569</v>
      </c>
      <c r="R38" s="28" t="s">
        <v>86</v>
      </c>
      <c r="S38" s="55">
        <f t="shared" ref="S38:AF38" si="30">SUM(S13:S18)</f>
        <v>28</v>
      </c>
      <c r="T38" s="55">
        <f t="shared" si="30"/>
        <v>8.8571428571428577</v>
      </c>
      <c r="U38" s="55">
        <f t="shared" si="30"/>
        <v>9.1428571428571423</v>
      </c>
      <c r="V38" s="55">
        <f t="shared" si="30"/>
        <v>11.428571428571427</v>
      </c>
      <c r="W38" s="55">
        <f t="shared" si="30"/>
        <v>2.714285714285714</v>
      </c>
      <c r="X38" s="55">
        <f t="shared" si="30"/>
        <v>0.42857142857142855</v>
      </c>
      <c r="Y38" s="55">
        <f t="shared" si="30"/>
        <v>15.857142857142856</v>
      </c>
      <c r="Z38" s="55">
        <f t="shared" si="30"/>
        <v>27.571428571428569</v>
      </c>
      <c r="AA38" s="55">
        <f t="shared" si="30"/>
        <v>0.14285714285714285</v>
      </c>
      <c r="AB38" s="55">
        <f t="shared" si="30"/>
        <v>0.42857142857142855</v>
      </c>
      <c r="AC38" s="55">
        <f t="shared" si="30"/>
        <v>418.85714285714289</v>
      </c>
      <c r="AD38" s="55">
        <f t="shared" si="30"/>
        <v>0.2857142857142857</v>
      </c>
      <c r="AE38" s="56">
        <f t="shared" si="30"/>
        <v>104.85714285714286</v>
      </c>
      <c r="AF38" s="56">
        <f t="shared" si="30"/>
        <v>523.71428571428578</v>
      </c>
    </row>
    <row r="39" spans="2:32" ht="23.1" customHeight="1" x14ac:dyDescent="0.25">
      <c r="B39" s="24" t="s">
        <v>66</v>
      </c>
      <c r="C39" s="49">
        <f>AVERAGE('17.10 ZIROBWE-WOBULENZI'!C39,'18.10 ZIROBWE-WOBULENZI'!C39,'19.10 ZIROBWE-WOBULENZI-24h'!C39,'20.10 ZIROBWE-WOBULENZI'!C39,'21.10 ZIROBWE-WOBULENZI-24h'!C39,'22.10 ZIROBWE-WOBULENZI'!C39,'23.10 ZIROBWE-WOBULENZI'!C39)</f>
        <v>2.4285714285714284</v>
      </c>
      <c r="D39" s="49">
        <f>AVERAGE('17.10 ZIROBWE-WOBULENZI'!D39,'18.10 ZIROBWE-WOBULENZI'!D39,'19.10 ZIROBWE-WOBULENZI-24h'!D39,'20.10 ZIROBWE-WOBULENZI'!D39,'21.10 ZIROBWE-WOBULENZI-24h'!D39,'22.10 ZIROBWE-WOBULENZI'!D39,'23.10 ZIROBWE-WOBULENZI'!D39)</f>
        <v>0.2857142857142857</v>
      </c>
      <c r="E39" s="49">
        <f>AVERAGE('17.10 ZIROBWE-WOBULENZI'!E39,'18.10 ZIROBWE-WOBULENZI'!E39,'19.10 ZIROBWE-WOBULENZI-24h'!E39,'20.10 ZIROBWE-WOBULENZI'!E39,'21.10 ZIROBWE-WOBULENZI-24h'!E39,'22.10 ZIROBWE-WOBULENZI'!E39,'23.10 ZIROBWE-WOBULENZI'!E39)</f>
        <v>0.7142857142857143</v>
      </c>
      <c r="F39" s="49">
        <f>AVERAGE('17.10 ZIROBWE-WOBULENZI'!F39,'18.10 ZIROBWE-WOBULENZI'!F39,'19.10 ZIROBWE-WOBULENZI-24h'!F39,'20.10 ZIROBWE-WOBULENZI'!F39,'21.10 ZIROBWE-WOBULENZI-24h'!F39,'22.10 ZIROBWE-WOBULENZI'!F39,'23.10 ZIROBWE-WOBULENZI'!F39)</f>
        <v>0.8571428571428571</v>
      </c>
      <c r="G39" s="49">
        <f>AVERAGE('17.10 ZIROBWE-WOBULENZI'!G39,'18.10 ZIROBWE-WOBULENZI'!G39,'19.10 ZIROBWE-WOBULENZI-24h'!G39,'20.10 ZIROBWE-WOBULENZI'!G39,'21.10 ZIROBWE-WOBULENZI-24h'!G39,'22.10 ZIROBWE-WOBULENZI'!G39,'23.10 ZIROBWE-WOBULENZI'!G39)</f>
        <v>0.42857142857142855</v>
      </c>
      <c r="H39" s="49">
        <f>AVERAGE('17.10 ZIROBWE-WOBULENZI'!H39,'18.10 ZIROBWE-WOBULENZI'!H39,'19.10 ZIROBWE-WOBULENZI-24h'!H39,'20.10 ZIROBWE-WOBULENZI'!H39,'21.10 ZIROBWE-WOBULENZI-24h'!H39,'22.10 ZIROBWE-WOBULENZI'!H39,'23.10 ZIROBWE-WOBULENZI'!H39)</f>
        <v>0</v>
      </c>
      <c r="I39" s="49">
        <f>AVERAGE('17.10 ZIROBWE-WOBULENZI'!I39,'18.10 ZIROBWE-WOBULENZI'!I39,'19.10 ZIROBWE-WOBULENZI-24h'!I39,'20.10 ZIROBWE-WOBULENZI'!I39,'21.10 ZIROBWE-WOBULENZI-24h'!I39,'22.10 ZIROBWE-WOBULENZI'!I39,'23.10 ZIROBWE-WOBULENZI'!I39)</f>
        <v>1</v>
      </c>
      <c r="J39" s="49">
        <f>AVERAGE('17.10 ZIROBWE-WOBULENZI'!J39,'18.10 ZIROBWE-WOBULENZI'!J39,'19.10 ZIROBWE-WOBULENZI-24h'!J39,'20.10 ZIROBWE-WOBULENZI'!J39,'21.10 ZIROBWE-WOBULENZI-24h'!J39,'22.10 ZIROBWE-WOBULENZI'!J39,'23.10 ZIROBWE-WOBULENZI'!J39)</f>
        <v>0.5714285714285714</v>
      </c>
      <c r="K39" s="49">
        <f>AVERAGE('17.10 ZIROBWE-WOBULENZI'!K39,'18.10 ZIROBWE-WOBULENZI'!K39,'19.10 ZIROBWE-WOBULENZI-24h'!K39,'20.10 ZIROBWE-WOBULENZI'!K39,'21.10 ZIROBWE-WOBULENZI-24h'!K39,'22.10 ZIROBWE-WOBULENZI'!K39,'23.10 ZIROBWE-WOBULENZI'!K39)</f>
        <v>0</v>
      </c>
      <c r="L39" s="49">
        <f>AVERAGE('17.10 ZIROBWE-WOBULENZI'!L39,'18.10 ZIROBWE-WOBULENZI'!L39,'19.10 ZIROBWE-WOBULENZI-24h'!L39,'20.10 ZIROBWE-WOBULENZI'!L39,'21.10 ZIROBWE-WOBULENZI-24h'!L39,'22.10 ZIROBWE-WOBULENZI'!L39,'23.10 ZIROBWE-WOBULENZI'!L39)</f>
        <v>0</v>
      </c>
      <c r="M39" s="49">
        <f>AVERAGE('17.10 ZIROBWE-WOBULENZI'!M39,'18.10 ZIROBWE-WOBULENZI'!M39,'19.10 ZIROBWE-WOBULENZI-24h'!M39,'20.10 ZIROBWE-WOBULENZI'!M39,'21.10 ZIROBWE-WOBULENZI-24h'!M39,'22.10 ZIROBWE-WOBULENZI'!M39,'23.10 ZIROBWE-WOBULENZI'!M39)</f>
        <v>17</v>
      </c>
      <c r="N39" s="49">
        <f>AVERAGE('17.10 ZIROBWE-WOBULENZI'!N39,'18.10 ZIROBWE-WOBULENZI'!N39,'19.10 ZIROBWE-WOBULENZI-24h'!N39,'20.10 ZIROBWE-WOBULENZI'!N39,'21.10 ZIROBWE-WOBULENZI-24h'!N39,'22.10 ZIROBWE-WOBULENZI'!N39,'23.10 ZIROBWE-WOBULENZI'!N39)</f>
        <v>0.14285714285714285</v>
      </c>
      <c r="O39" s="15">
        <f t="shared" si="0"/>
        <v>6.4285714285714288</v>
      </c>
      <c r="P39" s="15">
        <f t="shared" si="1"/>
        <v>23.428571428571427</v>
      </c>
      <c r="R39" s="29" t="s">
        <v>87</v>
      </c>
      <c r="S39" s="55">
        <f t="shared" ref="S39:AF39" si="31">SUM(S19:S21)</f>
        <v>11.428571428571429</v>
      </c>
      <c r="T39" s="55">
        <f t="shared" si="31"/>
        <v>4.4285714285714288</v>
      </c>
      <c r="U39" s="55">
        <f t="shared" si="31"/>
        <v>3.2857142857142851</v>
      </c>
      <c r="V39" s="55">
        <f t="shared" si="31"/>
        <v>5</v>
      </c>
      <c r="W39" s="55">
        <f t="shared" si="31"/>
        <v>0.42857142857142855</v>
      </c>
      <c r="X39" s="55">
        <f t="shared" si="31"/>
        <v>0</v>
      </c>
      <c r="Y39" s="55">
        <f t="shared" si="31"/>
        <v>6</v>
      </c>
      <c r="Z39" s="55">
        <f t="shared" si="31"/>
        <v>10.571428571428571</v>
      </c>
      <c r="AA39" s="55">
        <f t="shared" si="31"/>
        <v>0</v>
      </c>
      <c r="AB39" s="55">
        <f t="shared" si="31"/>
        <v>0</v>
      </c>
      <c r="AC39" s="55">
        <f t="shared" si="31"/>
        <v>238.71428571428572</v>
      </c>
      <c r="AD39" s="55">
        <f t="shared" si="31"/>
        <v>0.14285714285714285</v>
      </c>
      <c r="AE39" s="56">
        <f t="shared" si="31"/>
        <v>41.285714285714278</v>
      </c>
      <c r="AF39" s="56">
        <f t="shared" si="31"/>
        <v>280</v>
      </c>
    </row>
    <row r="40" spans="2:32" ht="23.1" customHeight="1" x14ac:dyDescent="0.25">
      <c r="B40" s="24" t="s">
        <v>67</v>
      </c>
      <c r="C40" s="49">
        <f>AVERAGE('17.10 ZIROBWE-WOBULENZI'!C40,'18.10 ZIROBWE-WOBULENZI'!C40,'19.10 ZIROBWE-WOBULENZI-24h'!C40,'20.10 ZIROBWE-WOBULENZI'!C40,'21.10 ZIROBWE-WOBULENZI-24h'!C40,'22.10 ZIROBWE-WOBULENZI'!C40,'23.10 ZIROBWE-WOBULENZI'!C40)</f>
        <v>0.8571428571428571</v>
      </c>
      <c r="D40" s="49">
        <f>AVERAGE('17.10 ZIROBWE-WOBULENZI'!D40,'18.10 ZIROBWE-WOBULENZI'!D40,'19.10 ZIROBWE-WOBULENZI-24h'!D40,'20.10 ZIROBWE-WOBULENZI'!D40,'21.10 ZIROBWE-WOBULENZI-24h'!D40,'22.10 ZIROBWE-WOBULENZI'!D40,'23.10 ZIROBWE-WOBULENZI'!D40)</f>
        <v>0</v>
      </c>
      <c r="E40" s="49">
        <f>AVERAGE('17.10 ZIROBWE-WOBULENZI'!E40,'18.10 ZIROBWE-WOBULENZI'!E40,'19.10 ZIROBWE-WOBULENZI-24h'!E40,'20.10 ZIROBWE-WOBULENZI'!E40,'21.10 ZIROBWE-WOBULENZI-24h'!E40,'22.10 ZIROBWE-WOBULENZI'!E40,'23.10 ZIROBWE-WOBULENZI'!E40)</f>
        <v>0</v>
      </c>
      <c r="F40" s="49">
        <f>AVERAGE('17.10 ZIROBWE-WOBULENZI'!F40,'18.10 ZIROBWE-WOBULENZI'!F40,'19.10 ZIROBWE-WOBULENZI-24h'!F40,'20.10 ZIROBWE-WOBULENZI'!F40,'21.10 ZIROBWE-WOBULENZI-24h'!F40,'22.10 ZIROBWE-WOBULENZI'!F40,'23.10 ZIROBWE-WOBULENZI'!F40)</f>
        <v>0.7142857142857143</v>
      </c>
      <c r="G40" s="49">
        <f>AVERAGE('17.10 ZIROBWE-WOBULENZI'!G40,'18.10 ZIROBWE-WOBULENZI'!G40,'19.10 ZIROBWE-WOBULENZI-24h'!G40,'20.10 ZIROBWE-WOBULENZI'!G40,'21.10 ZIROBWE-WOBULENZI-24h'!G40,'22.10 ZIROBWE-WOBULENZI'!G40,'23.10 ZIROBWE-WOBULENZI'!G40)</f>
        <v>0.14285714285714285</v>
      </c>
      <c r="H40" s="49">
        <f>AVERAGE('17.10 ZIROBWE-WOBULENZI'!H40,'18.10 ZIROBWE-WOBULENZI'!H40,'19.10 ZIROBWE-WOBULENZI-24h'!H40,'20.10 ZIROBWE-WOBULENZI'!H40,'21.10 ZIROBWE-WOBULENZI-24h'!H40,'22.10 ZIROBWE-WOBULENZI'!H40,'23.10 ZIROBWE-WOBULENZI'!H40)</f>
        <v>0</v>
      </c>
      <c r="I40" s="49">
        <f>AVERAGE('17.10 ZIROBWE-WOBULENZI'!I40,'18.10 ZIROBWE-WOBULENZI'!I40,'19.10 ZIROBWE-WOBULENZI-24h'!I40,'20.10 ZIROBWE-WOBULENZI'!I40,'21.10 ZIROBWE-WOBULENZI-24h'!I40,'22.10 ZIROBWE-WOBULENZI'!I40,'23.10 ZIROBWE-WOBULENZI'!I40)</f>
        <v>1</v>
      </c>
      <c r="J40" s="49">
        <f>AVERAGE('17.10 ZIROBWE-WOBULENZI'!J40,'18.10 ZIROBWE-WOBULENZI'!J40,'19.10 ZIROBWE-WOBULENZI-24h'!J40,'20.10 ZIROBWE-WOBULENZI'!J40,'21.10 ZIROBWE-WOBULENZI-24h'!J40,'22.10 ZIROBWE-WOBULENZI'!J40,'23.10 ZIROBWE-WOBULENZI'!J40)</f>
        <v>1</v>
      </c>
      <c r="K40" s="49">
        <f>AVERAGE('17.10 ZIROBWE-WOBULENZI'!K40,'18.10 ZIROBWE-WOBULENZI'!K40,'19.10 ZIROBWE-WOBULENZI-24h'!K40,'20.10 ZIROBWE-WOBULENZI'!K40,'21.10 ZIROBWE-WOBULENZI-24h'!K40,'22.10 ZIROBWE-WOBULENZI'!K40,'23.10 ZIROBWE-WOBULENZI'!K40)</f>
        <v>0</v>
      </c>
      <c r="L40" s="49">
        <f>AVERAGE('17.10 ZIROBWE-WOBULENZI'!L40,'18.10 ZIROBWE-WOBULENZI'!L40,'19.10 ZIROBWE-WOBULENZI-24h'!L40,'20.10 ZIROBWE-WOBULENZI'!L40,'21.10 ZIROBWE-WOBULENZI-24h'!L40,'22.10 ZIROBWE-WOBULENZI'!L40,'23.10 ZIROBWE-WOBULENZI'!L40)</f>
        <v>0</v>
      </c>
      <c r="M40" s="49">
        <f>AVERAGE('17.10 ZIROBWE-WOBULENZI'!M40,'18.10 ZIROBWE-WOBULENZI'!M40,'19.10 ZIROBWE-WOBULENZI-24h'!M40,'20.10 ZIROBWE-WOBULENZI'!M40,'21.10 ZIROBWE-WOBULENZI-24h'!M40,'22.10 ZIROBWE-WOBULENZI'!M40,'23.10 ZIROBWE-WOBULENZI'!M40)</f>
        <v>18.142857142857142</v>
      </c>
      <c r="N40" s="49">
        <f>AVERAGE('17.10 ZIROBWE-WOBULENZI'!N40,'18.10 ZIROBWE-WOBULENZI'!N40,'19.10 ZIROBWE-WOBULENZI-24h'!N40,'20.10 ZIROBWE-WOBULENZI'!N40,'21.10 ZIROBWE-WOBULENZI-24h'!N40,'22.10 ZIROBWE-WOBULENZI'!N40,'23.10 ZIROBWE-WOBULENZI'!N40)</f>
        <v>0</v>
      </c>
      <c r="O40" s="15">
        <f t="shared" si="0"/>
        <v>3.7142857142857144</v>
      </c>
      <c r="P40" s="15">
        <f t="shared" si="1"/>
        <v>21.857142857142858</v>
      </c>
      <c r="R40" s="5" t="s">
        <v>17</v>
      </c>
      <c r="S40" s="55">
        <f t="shared" ref="S40:AF40" si="32">SUM(S10:S21)</f>
        <v>46.142857142857139</v>
      </c>
      <c r="T40" s="55">
        <f t="shared" si="32"/>
        <v>16.285714285714285</v>
      </c>
      <c r="U40" s="55">
        <f t="shared" si="32"/>
        <v>14.428571428571427</v>
      </c>
      <c r="V40" s="55">
        <f t="shared" si="32"/>
        <v>19.714285714285712</v>
      </c>
      <c r="W40" s="55">
        <f t="shared" si="32"/>
        <v>3.1428571428571423</v>
      </c>
      <c r="X40" s="55">
        <f t="shared" si="32"/>
        <v>0.42857142857142855</v>
      </c>
      <c r="Y40" s="55">
        <f t="shared" si="32"/>
        <v>26</v>
      </c>
      <c r="Z40" s="55">
        <f t="shared" si="32"/>
        <v>47.857142857142861</v>
      </c>
      <c r="AA40" s="55">
        <f t="shared" si="32"/>
        <v>0.14285714285714285</v>
      </c>
      <c r="AB40" s="55">
        <f t="shared" si="32"/>
        <v>0.42857142857142855</v>
      </c>
      <c r="AC40" s="55">
        <f t="shared" si="32"/>
        <v>796.42857142857144</v>
      </c>
      <c r="AD40" s="55">
        <f t="shared" si="32"/>
        <v>0.5714285714285714</v>
      </c>
      <c r="AE40" s="56">
        <f t="shared" si="32"/>
        <v>175.14285714285711</v>
      </c>
      <c r="AF40" s="56">
        <f t="shared" si="32"/>
        <v>971.57142857142867</v>
      </c>
    </row>
    <row r="41" spans="2:32" ht="23.1" customHeight="1" x14ac:dyDescent="0.25">
      <c r="B41" s="23" t="s">
        <v>68</v>
      </c>
      <c r="C41" s="49">
        <f>AVERAGE('17.10 ZIROBWE-WOBULENZI'!C41,'18.10 ZIROBWE-WOBULENZI'!C41,'19.10 ZIROBWE-WOBULENZI-24h'!C41,'20.10 ZIROBWE-WOBULENZI'!C41,'21.10 ZIROBWE-WOBULENZI-24h'!C41,'22.10 ZIROBWE-WOBULENZI'!C41,'23.10 ZIROBWE-WOBULENZI'!C41)</f>
        <v>1.2857142857142858</v>
      </c>
      <c r="D41" s="49">
        <f>AVERAGE('17.10 ZIROBWE-WOBULENZI'!D41,'18.10 ZIROBWE-WOBULENZI'!D41,'19.10 ZIROBWE-WOBULENZI-24h'!D41,'20.10 ZIROBWE-WOBULENZI'!D41,'21.10 ZIROBWE-WOBULENZI-24h'!D41,'22.10 ZIROBWE-WOBULENZI'!D41,'23.10 ZIROBWE-WOBULENZI'!D41)</f>
        <v>0.7142857142857143</v>
      </c>
      <c r="E41" s="49">
        <f>AVERAGE('17.10 ZIROBWE-WOBULENZI'!E41,'18.10 ZIROBWE-WOBULENZI'!E41,'19.10 ZIROBWE-WOBULENZI-24h'!E41,'20.10 ZIROBWE-WOBULENZI'!E41,'21.10 ZIROBWE-WOBULENZI-24h'!E41,'22.10 ZIROBWE-WOBULENZI'!E41,'23.10 ZIROBWE-WOBULENZI'!E41)</f>
        <v>0.42857142857142855</v>
      </c>
      <c r="F41" s="49">
        <f>AVERAGE('17.10 ZIROBWE-WOBULENZI'!F41,'18.10 ZIROBWE-WOBULENZI'!F41,'19.10 ZIROBWE-WOBULENZI-24h'!F41,'20.10 ZIROBWE-WOBULENZI'!F41,'21.10 ZIROBWE-WOBULENZI-24h'!F41,'22.10 ZIROBWE-WOBULENZI'!F41,'23.10 ZIROBWE-WOBULENZI'!F41)</f>
        <v>0.42857142857142855</v>
      </c>
      <c r="G41" s="49">
        <f>AVERAGE('17.10 ZIROBWE-WOBULENZI'!G41,'18.10 ZIROBWE-WOBULENZI'!G41,'19.10 ZIROBWE-WOBULENZI-24h'!G41,'20.10 ZIROBWE-WOBULENZI'!G41,'21.10 ZIROBWE-WOBULENZI-24h'!G41,'22.10 ZIROBWE-WOBULENZI'!G41,'23.10 ZIROBWE-WOBULENZI'!G41)</f>
        <v>0</v>
      </c>
      <c r="H41" s="49">
        <f>AVERAGE('17.10 ZIROBWE-WOBULENZI'!H41,'18.10 ZIROBWE-WOBULENZI'!H41,'19.10 ZIROBWE-WOBULENZI-24h'!H41,'20.10 ZIROBWE-WOBULENZI'!H41,'21.10 ZIROBWE-WOBULENZI-24h'!H41,'22.10 ZIROBWE-WOBULENZI'!H41,'23.10 ZIROBWE-WOBULENZI'!H41)</f>
        <v>0</v>
      </c>
      <c r="I41" s="49">
        <f>AVERAGE('17.10 ZIROBWE-WOBULENZI'!I41,'18.10 ZIROBWE-WOBULENZI'!I41,'19.10 ZIROBWE-WOBULENZI-24h'!I41,'20.10 ZIROBWE-WOBULENZI'!I41,'21.10 ZIROBWE-WOBULENZI-24h'!I41,'22.10 ZIROBWE-WOBULENZI'!I41,'23.10 ZIROBWE-WOBULENZI'!I41)</f>
        <v>1</v>
      </c>
      <c r="J41" s="49">
        <f>AVERAGE('17.10 ZIROBWE-WOBULENZI'!J41,'18.10 ZIROBWE-WOBULENZI'!J41,'19.10 ZIROBWE-WOBULENZI-24h'!J41,'20.10 ZIROBWE-WOBULENZI'!J41,'21.10 ZIROBWE-WOBULENZI-24h'!J41,'22.10 ZIROBWE-WOBULENZI'!J41,'23.10 ZIROBWE-WOBULENZI'!J41)</f>
        <v>1.1428571428571428</v>
      </c>
      <c r="K41" s="49">
        <f>AVERAGE('17.10 ZIROBWE-WOBULENZI'!K41,'18.10 ZIROBWE-WOBULENZI'!K41,'19.10 ZIROBWE-WOBULENZI-24h'!K41,'20.10 ZIROBWE-WOBULENZI'!K41,'21.10 ZIROBWE-WOBULENZI-24h'!K41,'22.10 ZIROBWE-WOBULENZI'!K41,'23.10 ZIROBWE-WOBULENZI'!K41)</f>
        <v>0</v>
      </c>
      <c r="L41" s="49">
        <f>AVERAGE('17.10 ZIROBWE-WOBULENZI'!L41,'18.10 ZIROBWE-WOBULENZI'!L41,'19.10 ZIROBWE-WOBULENZI-24h'!L41,'20.10 ZIROBWE-WOBULENZI'!L41,'21.10 ZIROBWE-WOBULENZI-24h'!L41,'22.10 ZIROBWE-WOBULENZI'!L41,'23.10 ZIROBWE-WOBULENZI'!L41)</f>
        <v>0</v>
      </c>
      <c r="M41" s="49">
        <f>AVERAGE('17.10 ZIROBWE-WOBULENZI'!M41,'18.10 ZIROBWE-WOBULENZI'!M41,'19.10 ZIROBWE-WOBULENZI-24h'!M41,'20.10 ZIROBWE-WOBULENZI'!M41,'21.10 ZIROBWE-WOBULENZI-24h'!M41,'22.10 ZIROBWE-WOBULENZI'!M41,'23.10 ZIROBWE-WOBULENZI'!M41)</f>
        <v>17.571428571428573</v>
      </c>
      <c r="N41" s="49">
        <f>AVERAGE('17.10 ZIROBWE-WOBULENZI'!N41,'18.10 ZIROBWE-WOBULENZI'!N41,'19.10 ZIROBWE-WOBULENZI-24h'!N41,'20.10 ZIROBWE-WOBULENZI'!N41,'21.10 ZIROBWE-WOBULENZI-24h'!N41,'22.10 ZIROBWE-WOBULENZI'!N41,'23.10 ZIROBWE-WOBULENZI'!N41)</f>
        <v>0</v>
      </c>
      <c r="O41" s="15">
        <f t="shared" si="0"/>
        <v>5</v>
      </c>
      <c r="P41" s="15">
        <f t="shared" si="1"/>
        <v>22.571428571428573</v>
      </c>
      <c r="R41" s="5" t="s">
        <v>180</v>
      </c>
      <c r="S41" s="55">
        <f>SUM(S10:S33)</f>
        <v>57.642857142857139</v>
      </c>
      <c r="T41" s="55">
        <f t="shared" ref="T41:AD41" si="33">SUM(T10:T33)</f>
        <v>17.785714285714285</v>
      </c>
      <c r="U41" s="55">
        <f t="shared" si="33"/>
        <v>20.928571428571427</v>
      </c>
      <c r="V41" s="55">
        <f t="shared" si="33"/>
        <v>33.714285714285708</v>
      </c>
      <c r="W41" s="55">
        <f t="shared" si="33"/>
        <v>3.1428571428571423</v>
      </c>
      <c r="X41" s="55">
        <f t="shared" si="33"/>
        <v>0.42857142857142855</v>
      </c>
      <c r="Y41" s="55">
        <f t="shared" si="33"/>
        <v>34</v>
      </c>
      <c r="Z41" s="55">
        <f t="shared" si="33"/>
        <v>58.357142857142861</v>
      </c>
      <c r="AA41" s="55">
        <f t="shared" si="33"/>
        <v>2.1428571428571428</v>
      </c>
      <c r="AB41" s="55">
        <f t="shared" si="33"/>
        <v>0.42857142857142855</v>
      </c>
      <c r="AC41" s="55">
        <f t="shared" si="33"/>
        <v>1131.9285714285716</v>
      </c>
      <c r="AD41" s="55">
        <f t="shared" si="33"/>
        <v>0.5714285714285714</v>
      </c>
      <c r="AE41" s="56">
        <f>SUM(AE10:AE33)</f>
        <v>229.14285714285711</v>
      </c>
      <c r="AF41" s="56">
        <f>SUM(AF10:AF33)</f>
        <v>1361.0714285714287</v>
      </c>
    </row>
    <row r="42" spans="2:32" ht="23.1" customHeight="1" x14ac:dyDescent="0.25">
      <c r="B42" s="24" t="s">
        <v>69</v>
      </c>
      <c r="C42" s="49">
        <f>AVERAGE('17.10 ZIROBWE-WOBULENZI'!C42,'18.10 ZIROBWE-WOBULENZI'!C42,'19.10 ZIROBWE-WOBULENZI-24h'!C42,'20.10 ZIROBWE-WOBULENZI'!C42,'21.10 ZIROBWE-WOBULENZI-24h'!C42,'22.10 ZIROBWE-WOBULENZI'!C42,'23.10 ZIROBWE-WOBULENZI'!C42)</f>
        <v>1</v>
      </c>
      <c r="D42" s="49">
        <f>AVERAGE('17.10 ZIROBWE-WOBULENZI'!D42,'18.10 ZIROBWE-WOBULENZI'!D42,'19.10 ZIROBWE-WOBULENZI-24h'!D42,'20.10 ZIROBWE-WOBULENZI'!D42,'21.10 ZIROBWE-WOBULENZI-24h'!D42,'22.10 ZIROBWE-WOBULENZI'!D42,'23.10 ZIROBWE-WOBULENZI'!D42)</f>
        <v>0.5714285714285714</v>
      </c>
      <c r="E42" s="49">
        <f>AVERAGE('17.10 ZIROBWE-WOBULENZI'!E42,'18.10 ZIROBWE-WOBULENZI'!E42,'19.10 ZIROBWE-WOBULENZI-24h'!E42,'20.10 ZIROBWE-WOBULENZI'!E42,'21.10 ZIROBWE-WOBULENZI-24h'!E42,'22.10 ZIROBWE-WOBULENZI'!E42,'23.10 ZIROBWE-WOBULENZI'!E42)</f>
        <v>0.7142857142857143</v>
      </c>
      <c r="F42" s="49">
        <f>AVERAGE('17.10 ZIROBWE-WOBULENZI'!F42,'18.10 ZIROBWE-WOBULENZI'!F42,'19.10 ZIROBWE-WOBULENZI-24h'!F42,'20.10 ZIROBWE-WOBULENZI'!F42,'21.10 ZIROBWE-WOBULENZI-24h'!F42,'22.10 ZIROBWE-WOBULENZI'!F42,'23.10 ZIROBWE-WOBULENZI'!F42)</f>
        <v>0.5714285714285714</v>
      </c>
      <c r="G42" s="49">
        <f>AVERAGE('17.10 ZIROBWE-WOBULENZI'!G42,'18.10 ZIROBWE-WOBULENZI'!G42,'19.10 ZIROBWE-WOBULENZI-24h'!G42,'20.10 ZIROBWE-WOBULENZI'!G42,'21.10 ZIROBWE-WOBULENZI-24h'!G42,'22.10 ZIROBWE-WOBULENZI'!G42,'23.10 ZIROBWE-WOBULENZI'!G42)</f>
        <v>0</v>
      </c>
      <c r="H42" s="49">
        <f>AVERAGE('17.10 ZIROBWE-WOBULENZI'!H42,'18.10 ZIROBWE-WOBULENZI'!H42,'19.10 ZIROBWE-WOBULENZI-24h'!H42,'20.10 ZIROBWE-WOBULENZI'!H42,'21.10 ZIROBWE-WOBULENZI-24h'!H42,'22.10 ZIROBWE-WOBULENZI'!H42,'23.10 ZIROBWE-WOBULENZI'!H42)</f>
        <v>0</v>
      </c>
      <c r="I42" s="49">
        <f>AVERAGE('17.10 ZIROBWE-WOBULENZI'!I42,'18.10 ZIROBWE-WOBULENZI'!I42,'19.10 ZIROBWE-WOBULENZI-24h'!I42,'20.10 ZIROBWE-WOBULENZI'!I42,'21.10 ZIROBWE-WOBULENZI-24h'!I42,'22.10 ZIROBWE-WOBULENZI'!I42,'23.10 ZIROBWE-WOBULENZI'!I42)</f>
        <v>1.2857142857142858</v>
      </c>
      <c r="J42" s="49">
        <f>AVERAGE('17.10 ZIROBWE-WOBULENZI'!J42,'18.10 ZIROBWE-WOBULENZI'!J42,'19.10 ZIROBWE-WOBULENZI-24h'!J42,'20.10 ZIROBWE-WOBULENZI'!J42,'21.10 ZIROBWE-WOBULENZI-24h'!J42,'22.10 ZIROBWE-WOBULENZI'!J42,'23.10 ZIROBWE-WOBULENZI'!J42)</f>
        <v>0.7142857142857143</v>
      </c>
      <c r="K42" s="49">
        <f>AVERAGE('17.10 ZIROBWE-WOBULENZI'!K42,'18.10 ZIROBWE-WOBULENZI'!K42,'19.10 ZIROBWE-WOBULENZI-24h'!K42,'20.10 ZIROBWE-WOBULENZI'!K42,'21.10 ZIROBWE-WOBULENZI-24h'!K42,'22.10 ZIROBWE-WOBULENZI'!K42,'23.10 ZIROBWE-WOBULENZI'!K42)</f>
        <v>0</v>
      </c>
      <c r="L42" s="49">
        <f>AVERAGE('17.10 ZIROBWE-WOBULENZI'!L42,'18.10 ZIROBWE-WOBULENZI'!L42,'19.10 ZIROBWE-WOBULENZI-24h'!L42,'20.10 ZIROBWE-WOBULENZI'!L42,'21.10 ZIROBWE-WOBULENZI-24h'!L42,'22.10 ZIROBWE-WOBULENZI'!L42,'23.10 ZIROBWE-WOBULENZI'!L42)</f>
        <v>0.14285714285714285</v>
      </c>
      <c r="M42" s="49">
        <f>AVERAGE('17.10 ZIROBWE-WOBULENZI'!M42,'18.10 ZIROBWE-WOBULENZI'!M42,'19.10 ZIROBWE-WOBULENZI-24h'!M42,'20.10 ZIROBWE-WOBULENZI'!M42,'21.10 ZIROBWE-WOBULENZI-24h'!M42,'22.10 ZIROBWE-WOBULENZI'!M42,'23.10 ZIROBWE-WOBULENZI'!M42)</f>
        <v>16.142857142857142</v>
      </c>
      <c r="N42" s="49">
        <f>AVERAGE('17.10 ZIROBWE-WOBULENZI'!N42,'18.10 ZIROBWE-WOBULENZI'!N42,'19.10 ZIROBWE-WOBULENZI-24h'!N42,'20.10 ZIROBWE-WOBULENZI'!N42,'21.10 ZIROBWE-WOBULENZI-24h'!N42,'22.10 ZIROBWE-WOBULENZI'!N42,'23.10 ZIROBWE-WOBULENZI'!N42)</f>
        <v>0</v>
      </c>
      <c r="O42" s="15">
        <f t="shared" si="0"/>
        <v>5</v>
      </c>
      <c r="P42" s="15">
        <f t="shared" si="1"/>
        <v>21.142857142857142</v>
      </c>
      <c r="R42" s="5" t="s">
        <v>160</v>
      </c>
      <c r="S42" s="48">
        <f>S41/S40</f>
        <v>1.2492260061919505</v>
      </c>
      <c r="T42" s="48">
        <f t="shared" ref="T42:AF42" si="34">T41/T40</f>
        <v>1.0921052631578947</v>
      </c>
      <c r="U42" s="48">
        <f t="shared" si="34"/>
        <v>1.4504950495049505</v>
      </c>
      <c r="V42" s="48">
        <f t="shared" si="34"/>
        <v>1.7101449275362317</v>
      </c>
      <c r="W42" s="48">
        <f t="shared" si="34"/>
        <v>1</v>
      </c>
      <c r="X42" s="48">
        <f t="shared" si="34"/>
        <v>1</v>
      </c>
      <c r="Y42" s="48">
        <f t="shared" si="34"/>
        <v>1.3076923076923077</v>
      </c>
      <c r="Z42" s="48">
        <f t="shared" si="34"/>
        <v>1.2194029850746269</v>
      </c>
      <c r="AA42" s="48">
        <f t="shared" si="34"/>
        <v>15</v>
      </c>
      <c r="AB42" s="48">
        <f t="shared" si="34"/>
        <v>1</v>
      </c>
      <c r="AC42" s="48">
        <f t="shared" si="34"/>
        <v>1.421255605381166</v>
      </c>
      <c r="AD42" s="48">
        <f t="shared" si="34"/>
        <v>1</v>
      </c>
      <c r="AE42" s="57">
        <f t="shared" si="34"/>
        <v>1.3083197389885808</v>
      </c>
      <c r="AF42" s="57">
        <f t="shared" si="34"/>
        <v>1.4008969269225113</v>
      </c>
    </row>
    <row r="43" spans="2:32" ht="23.1" customHeight="1" x14ac:dyDescent="0.25">
      <c r="B43" s="23" t="s">
        <v>70</v>
      </c>
      <c r="C43" s="49">
        <f>AVERAGE('17.10 ZIROBWE-WOBULENZI'!C43,'18.10 ZIROBWE-WOBULENZI'!C43,'19.10 ZIROBWE-WOBULENZI-24h'!C43,'20.10 ZIROBWE-WOBULENZI'!C43,'21.10 ZIROBWE-WOBULENZI-24h'!C43,'22.10 ZIROBWE-WOBULENZI'!C43,'23.10 ZIROBWE-WOBULENZI'!C43)</f>
        <v>0.7142857142857143</v>
      </c>
      <c r="D43" s="49">
        <f>AVERAGE('17.10 ZIROBWE-WOBULENZI'!D43,'18.10 ZIROBWE-WOBULENZI'!D43,'19.10 ZIROBWE-WOBULENZI-24h'!D43,'20.10 ZIROBWE-WOBULENZI'!D43,'21.10 ZIROBWE-WOBULENZI-24h'!D43,'22.10 ZIROBWE-WOBULENZI'!D43,'23.10 ZIROBWE-WOBULENZI'!D43)</f>
        <v>0.14285714285714285</v>
      </c>
      <c r="E43" s="49">
        <f>AVERAGE('17.10 ZIROBWE-WOBULENZI'!E43,'18.10 ZIROBWE-WOBULENZI'!E43,'19.10 ZIROBWE-WOBULENZI-24h'!E43,'20.10 ZIROBWE-WOBULENZI'!E43,'21.10 ZIROBWE-WOBULENZI-24h'!E43,'22.10 ZIROBWE-WOBULENZI'!E43,'23.10 ZIROBWE-WOBULENZI'!E43)</f>
        <v>0.5714285714285714</v>
      </c>
      <c r="F43" s="49">
        <f>AVERAGE('17.10 ZIROBWE-WOBULENZI'!F43,'18.10 ZIROBWE-WOBULENZI'!F43,'19.10 ZIROBWE-WOBULENZI-24h'!F43,'20.10 ZIROBWE-WOBULENZI'!F43,'21.10 ZIROBWE-WOBULENZI-24h'!F43,'22.10 ZIROBWE-WOBULENZI'!F43,'23.10 ZIROBWE-WOBULENZI'!F43)</f>
        <v>0.8571428571428571</v>
      </c>
      <c r="G43" s="49">
        <f>AVERAGE('17.10 ZIROBWE-WOBULENZI'!G43,'18.10 ZIROBWE-WOBULENZI'!G43,'19.10 ZIROBWE-WOBULENZI-24h'!G43,'20.10 ZIROBWE-WOBULENZI'!G43,'21.10 ZIROBWE-WOBULENZI-24h'!G43,'22.10 ZIROBWE-WOBULENZI'!G43,'23.10 ZIROBWE-WOBULENZI'!G43)</f>
        <v>0</v>
      </c>
      <c r="H43" s="49">
        <f>AVERAGE('17.10 ZIROBWE-WOBULENZI'!H43,'18.10 ZIROBWE-WOBULENZI'!H43,'19.10 ZIROBWE-WOBULENZI-24h'!H43,'20.10 ZIROBWE-WOBULENZI'!H43,'21.10 ZIROBWE-WOBULENZI-24h'!H43,'22.10 ZIROBWE-WOBULENZI'!H43,'23.10 ZIROBWE-WOBULENZI'!H43)</f>
        <v>0.14285714285714285</v>
      </c>
      <c r="I43" s="49">
        <f>AVERAGE('17.10 ZIROBWE-WOBULENZI'!I43,'18.10 ZIROBWE-WOBULENZI'!I43,'19.10 ZIROBWE-WOBULENZI-24h'!I43,'20.10 ZIROBWE-WOBULENZI'!I43,'21.10 ZIROBWE-WOBULENZI-24h'!I43,'22.10 ZIROBWE-WOBULENZI'!I43,'23.10 ZIROBWE-WOBULENZI'!I43)</f>
        <v>0.2857142857142857</v>
      </c>
      <c r="J43" s="49">
        <f>AVERAGE('17.10 ZIROBWE-WOBULENZI'!J43,'18.10 ZIROBWE-WOBULENZI'!J43,'19.10 ZIROBWE-WOBULENZI-24h'!J43,'20.10 ZIROBWE-WOBULENZI'!J43,'21.10 ZIROBWE-WOBULENZI-24h'!J43,'22.10 ZIROBWE-WOBULENZI'!J43,'23.10 ZIROBWE-WOBULENZI'!J43)</f>
        <v>1</v>
      </c>
      <c r="K43" s="49">
        <f>AVERAGE('17.10 ZIROBWE-WOBULENZI'!K43,'18.10 ZIROBWE-WOBULENZI'!K43,'19.10 ZIROBWE-WOBULENZI-24h'!K43,'20.10 ZIROBWE-WOBULENZI'!K43,'21.10 ZIROBWE-WOBULENZI-24h'!K43,'22.10 ZIROBWE-WOBULENZI'!K43,'23.10 ZIROBWE-WOBULENZI'!K43)</f>
        <v>0</v>
      </c>
      <c r="L43" s="49">
        <f>AVERAGE('17.10 ZIROBWE-WOBULENZI'!L43,'18.10 ZIROBWE-WOBULENZI'!L43,'19.10 ZIROBWE-WOBULENZI-24h'!L43,'20.10 ZIROBWE-WOBULENZI'!L43,'21.10 ZIROBWE-WOBULENZI-24h'!L43,'22.10 ZIROBWE-WOBULENZI'!L43,'23.10 ZIROBWE-WOBULENZI'!L43)</f>
        <v>0</v>
      </c>
      <c r="M43" s="49">
        <f>AVERAGE('17.10 ZIROBWE-WOBULENZI'!M43,'18.10 ZIROBWE-WOBULENZI'!M43,'19.10 ZIROBWE-WOBULENZI-24h'!M43,'20.10 ZIROBWE-WOBULENZI'!M43,'21.10 ZIROBWE-WOBULENZI-24h'!M43,'22.10 ZIROBWE-WOBULENZI'!M43,'23.10 ZIROBWE-WOBULENZI'!M43)</f>
        <v>20.571428571428573</v>
      </c>
      <c r="N43" s="49">
        <f>AVERAGE('17.10 ZIROBWE-WOBULENZI'!N43,'18.10 ZIROBWE-WOBULENZI'!N43,'19.10 ZIROBWE-WOBULENZI-24h'!N43,'20.10 ZIROBWE-WOBULENZI'!N43,'21.10 ZIROBWE-WOBULENZI-24h'!N43,'22.10 ZIROBWE-WOBULENZI'!N43,'23.10 ZIROBWE-WOBULENZI'!N43)</f>
        <v>0</v>
      </c>
      <c r="O43" s="15">
        <f t="shared" si="0"/>
        <v>3.714285714285714</v>
      </c>
      <c r="P43" s="15">
        <f t="shared" si="1"/>
        <v>24.285714285714288</v>
      </c>
    </row>
    <row r="44" spans="2:32" ht="23.1" customHeight="1" x14ac:dyDescent="0.25">
      <c r="B44" s="25" t="s">
        <v>71</v>
      </c>
      <c r="C44" s="49">
        <f>AVERAGE('17.10 ZIROBWE-WOBULENZI'!C44,'18.10 ZIROBWE-WOBULENZI'!C44,'19.10 ZIROBWE-WOBULENZI-24h'!C44,'20.10 ZIROBWE-WOBULENZI'!C44,'21.10 ZIROBWE-WOBULENZI-24h'!C44,'22.10 ZIROBWE-WOBULENZI'!C44,'23.10 ZIROBWE-WOBULENZI'!C44)</f>
        <v>1.5714285714285714</v>
      </c>
      <c r="D44" s="49">
        <f>AVERAGE('17.10 ZIROBWE-WOBULENZI'!D44,'18.10 ZIROBWE-WOBULENZI'!D44,'19.10 ZIROBWE-WOBULENZI-24h'!D44,'20.10 ZIROBWE-WOBULENZI'!D44,'21.10 ZIROBWE-WOBULENZI-24h'!D44,'22.10 ZIROBWE-WOBULENZI'!D44,'23.10 ZIROBWE-WOBULENZI'!D44)</f>
        <v>0.14285714285714285</v>
      </c>
      <c r="E44" s="49">
        <f>AVERAGE('17.10 ZIROBWE-WOBULENZI'!E44,'18.10 ZIROBWE-WOBULENZI'!E44,'19.10 ZIROBWE-WOBULENZI-24h'!E44,'20.10 ZIROBWE-WOBULENZI'!E44,'21.10 ZIROBWE-WOBULENZI-24h'!E44,'22.10 ZIROBWE-WOBULENZI'!E44,'23.10 ZIROBWE-WOBULENZI'!E44)</f>
        <v>0</v>
      </c>
      <c r="F44" s="49">
        <f>AVERAGE('17.10 ZIROBWE-WOBULENZI'!F44,'18.10 ZIROBWE-WOBULENZI'!F44,'19.10 ZIROBWE-WOBULENZI-24h'!F44,'20.10 ZIROBWE-WOBULENZI'!F44,'21.10 ZIROBWE-WOBULENZI-24h'!F44,'22.10 ZIROBWE-WOBULENZI'!F44,'23.10 ZIROBWE-WOBULENZI'!F44)</f>
        <v>0.5714285714285714</v>
      </c>
      <c r="G44" s="49">
        <f>AVERAGE('17.10 ZIROBWE-WOBULENZI'!G44,'18.10 ZIROBWE-WOBULENZI'!G44,'19.10 ZIROBWE-WOBULENZI-24h'!G44,'20.10 ZIROBWE-WOBULENZI'!G44,'21.10 ZIROBWE-WOBULENZI-24h'!G44,'22.10 ZIROBWE-WOBULENZI'!G44,'23.10 ZIROBWE-WOBULENZI'!G44)</f>
        <v>0</v>
      </c>
      <c r="H44" s="49">
        <f>AVERAGE('17.10 ZIROBWE-WOBULENZI'!H44,'18.10 ZIROBWE-WOBULENZI'!H44,'19.10 ZIROBWE-WOBULENZI-24h'!H44,'20.10 ZIROBWE-WOBULENZI'!H44,'21.10 ZIROBWE-WOBULENZI-24h'!H44,'22.10 ZIROBWE-WOBULENZI'!H44,'23.10 ZIROBWE-WOBULENZI'!H44)</f>
        <v>0</v>
      </c>
      <c r="I44" s="49">
        <f>AVERAGE('17.10 ZIROBWE-WOBULENZI'!I44,'18.10 ZIROBWE-WOBULENZI'!I44,'19.10 ZIROBWE-WOBULENZI-24h'!I44,'20.10 ZIROBWE-WOBULENZI'!I44,'21.10 ZIROBWE-WOBULENZI-24h'!I44,'22.10 ZIROBWE-WOBULENZI'!I44,'23.10 ZIROBWE-WOBULENZI'!I44)</f>
        <v>1</v>
      </c>
      <c r="J44" s="49">
        <f>AVERAGE('17.10 ZIROBWE-WOBULENZI'!J44,'18.10 ZIROBWE-WOBULENZI'!J44,'19.10 ZIROBWE-WOBULENZI-24h'!J44,'20.10 ZIROBWE-WOBULENZI'!J44,'21.10 ZIROBWE-WOBULENZI-24h'!J44,'22.10 ZIROBWE-WOBULENZI'!J44,'23.10 ZIROBWE-WOBULENZI'!J44)</f>
        <v>1.5714285714285714</v>
      </c>
      <c r="K44" s="49">
        <f>AVERAGE('17.10 ZIROBWE-WOBULENZI'!K44,'18.10 ZIROBWE-WOBULENZI'!K44,'19.10 ZIROBWE-WOBULENZI-24h'!K44,'20.10 ZIROBWE-WOBULENZI'!K44,'21.10 ZIROBWE-WOBULENZI-24h'!K44,'22.10 ZIROBWE-WOBULENZI'!K44,'23.10 ZIROBWE-WOBULENZI'!K44)</f>
        <v>0.14285714285714285</v>
      </c>
      <c r="L44" s="49">
        <f>AVERAGE('17.10 ZIROBWE-WOBULENZI'!L44,'18.10 ZIROBWE-WOBULENZI'!L44,'19.10 ZIROBWE-WOBULENZI-24h'!L44,'20.10 ZIROBWE-WOBULENZI'!L44,'21.10 ZIROBWE-WOBULENZI-24h'!L44,'22.10 ZIROBWE-WOBULENZI'!L44,'23.10 ZIROBWE-WOBULENZI'!L44)</f>
        <v>0</v>
      </c>
      <c r="M44" s="49">
        <f>AVERAGE('17.10 ZIROBWE-WOBULENZI'!M44,'18.10 ZIROBWE-WOBULENZI'!M44,'19.10 ZIROBWE-WOBULENZI-24h'!M44,'20.10 ZIROBWE-WOBULENZI'!M44,'21.10 ZIROBWE-WOBULENZI-24h'!M44,'22.10 ZIROBWE-WOBULENZI'!M44,'23.10 ZIROBWE-WOBULENZI'!M44)</f>
        <v>17</v>
      </c>
      <c r="N44" s="49">
        <f>AVERAGE('17.10 ZIROBWE-WOBULENZI'!N44,'18.10 ZIROBWE-WOBULENZI'!N44,'19.10 ZIROBWE-WOBULENZI-24h'!N44,'20.10 ZIROBWE-WOBULENZI'!N44,'21.10 ZIROBWE-WOBULENZI-24h'!N44,'22.10 ZIROBWE-WOBULENZI'!N44,'23.10 ZIROBWE-WOBULENZI'!N44)</f>
        <v>0</v>
      </c>
      <c r="O44" s="15">
        <f t="shared" si="0"/>
        <v>5</v>
      </c>
      <c r="P44" s="15">
        <f t="shared" si="1"/>
        <v>22</v>
      </c>
    </row>
    <row r="45" spans="2:32" ht="23.1" customHeight="1" x14ac:dyDescent="0.25">
      <c r="B45" s="23" t="s">
        <v>72</v>
      </c>
      <c r="C45" s="49">
        <f>AVERAGE('17.10 ZIROBWE-WOBULENZI'!C45,'18.10 ZIROBWE-WOBULENZI'!C45,'19.10 ZIROBWE-WOBULENZI-24h'!C45,'20.10 ZIROBWE-WOBULENZI'!C45,'21.10 ZIROBWE-WOBULENZI-24h'!C45,'22.10 ZIROBWE-WOBULENZI'!C45,'23.10 ZIROBWE-WOBULENZI'!C45)</f>
        <v>0.8571428571428571</v>
      </c>
      <c r="D45" s="49">
        <f>AVERAGE('17.10 ZIROBWE-WOBULENZI'!D45,'18.10 ZIROBWE-WOBULENZI'!D45,'19.10 ZIROBWE-WOBULENZI-24h'!D45,'20.10 ZIROBWE-WOBULENZI'!D45,'21.10 ZIROBWE-WOBULENZI-24h'!D45,'22.10 ZIROBWE-WOBULENZI'!D45,'23.10 ZIROBWE-WOBULENZI'!D45)</f>
        <v>0.42857142857142855</v>
      </c>
      <c r="E45" s="49">
        <f>AVERAGE('17.10 ZIROBWE-WOBULENZI'!E45,'18.10 ZIROBWE-WOBULENZI'!E45,'19.10 ZIROBWE-WOBULENZI-24h'!E45,'20.10 ZIROBWE-WOBULENZI'!E45,'21.10 ZIROBWE-WOBULENZI-24h'!E45,'22.10 ZIROBWE-WOBULENZI'!E45,'23.10 ZIROBWE-WOBULENZI'!E45)</f>
        <v>0.7142857142857143</v>
      </c>
      <c r="F45" s="49">
        <f>AVERAGE('17.10 ZIROBWE-WOBULENZI'!F45,'18.10 ZIROBWE-WOBULENZI'!F45,'19.10 ZIROBWE-WOBULENZI-24h'!F45,'20.10 ZIROBWE-WOBULENZI'!F45,'21.10 ZIROBWE-WOBULENZI-24h'!F45,'22.10 ZIROBWE-WOBULENZI'!F45,'23.10 ZIROBWE-WOBULENZI'!F45)</f>
        <v>0.7142857142857143</v>
      </c>
      <c r="G45" s="49">
        <f>AVERAGE('17.10 ZIROBWE-WOBULENZI'!G45,'18.10 ZIROBWE-WOBULENZI'!G45,'19.10 ZIROBWE-WOBULENZI-24h'!G45,'20.10 ZIROBWE-WOBULENZI'!G45,'21.10 ZIROBWE-WOBULENZI-24h'!G45,'22.10 ZIROBWE-WOBULENZI'!G45,'23.10 ZIROBWE-WOBULENZI'!G45)</f>
        <v>0.14285714285714285</v>
      </c>
      <c r="H45" s="49">
        <f>AVERAGE('17.10 ZIROBWE-WOBULENZI'!H45,'18.10 ZIROBWE-WOBULENZI'!H45,'19.10 ZIROBWE-WOBULENZI-24h'!H45,'20.10 ZIROBWE-WOBULENZI'!H45,'21.10 ZIROBWE-WOBULENZI-24h'!H45,'22.10 ZIROBWE-WOBULENZI'!H45,'23.10 ZIROBWE-WOBULENZI'!H45)</f>
        <v>0</v>
      </c>
      <c r="I45" s="49">
        <f>AVERAGE('17.10 ZIROBWE-WOBULENZI'!I45,'18.10 ZIROBWE-WOBULENZI'!I45,'19.10 ZIROBWE-WOBULENZI-24h'!I45,'20.10 ZIROBWE-WOBULENZI'!I45,'21.10 ZIROBWE-WOBULENZI-24h'!I45,'22.10 ZIROBWE-WOBULENZI'!I45,'23.10 ZIROBWE-WOBULENZI'!I45)</f>
        <v>0.7142857142857143</v>
      </c>
      <c r="J45" s="49">
        <f>AVERAGE('17.10 ZIROBWE-WOBULENZI'!J45,'18.10 ZIROBWE-WOBULENZI'!J45,'19.10 ZIROBWE-WOBULENZI-24h'!J45,'20.10 ZIROBWE-WOBULENZI'!J45,'21.10 ZIROBWE-WOBULENZI-24h'!J45,'22.10 ZIROBWE-WOBULENZI'!J45,'23.10 ZIROBWE-WOBULENZI'!J45)</f>
        <v>1.5714285714285714</v>
      </c>
      <c r="K45" s="49">
        <f>AVERAGE('17.10 ZIROBWE-WOBULENZI'!K45,'18.10 ZIROBWE-WOBULENZI'!K45,'19.10 ZIROBWE-WOBULENZI-24h'!K45,'20.10 ZIROBWE-WOBULENZI'!K45,'21.10 ZIROBWE-WOBULENZI-24h'!K45,'22.10 ZIROBWE-WOBULENZI'!K45,'23.10 ZIROBWE-WOBULENZI'!K45)</f>
        <v>0</v>
      </c>
      <c r="L45" s="49">
        <f>AVERAGE('17.10 ZIROBWE-WOBULENZI'!L45,'18.10 ZIROBWE-WOBULENZI'!L45,'19.10 ZIROBWE-WOBULENZI-24h'!L45,'20.10 ZIROBWE-WOBULENZI'!L45,'21.10 ZIROBWE-WOBULENZI-24h'!L45,'22.10 ZIROBWE-WOBULENZI'!L45,'23.10 ZIROBWE-WOBULENZI'!L45)</f>
        <v>0</v>
      </c>
      <c r="M45" s="49">
        <f>AVERAGE('17.10 ZIROBWE-WOBULENZI'!M45,'18.10 ZIROBWE-WOBULENZI'!M45,'19.10 ZIROBWE-WOBULENZI-24h'!M45,'20.10 ZIROBWE-WOBULENZI'!M45,'21.10 ZIROBWE-WOBULENZI-24h'!M45,'22.10 ZIROBWE-WOBULENZI'!M45,'23.10 ZIROBWE-WOBULENZI'!M45)</f>
        <v>17.142857142857142</v>
      </c>
      <c r="N45" s="49">
        <f>AVERAGE('17.10 ZIROBWE-WOBULENZI'!N45,'18.10 ZIROBWE-WOBULENZI'!N45,'19.10 ZIROBWE-WOBULENZI-24h'!N45,'20.10 ZIROBWE-WOBULENZI'!N45,'21.10 ZIROBWE-WOBULENZI-24h'!N45,'22.10 ZIROBWE-WOBULENZI'!N45,'23.10 ZIROBWE-WOBULENZI'!N45)</f>
        <v>0</v>
      </c>
      <c r="O45" s="15">
        <f t="shared" si="0"/>
        <v>5.1428571428571432</v>
      </c>
      <c r="P45" s="15">
        <f t="shared" si="1"/>
        <v>22.285714285714285</v>
      </c>
    </row>
    <row r="46" spans="2:32" ht="23.1" customHeight="1" x14ac:dyDescent="0.25">
      <c r="B46" s="24" t="s">
        <v>73</v>
      </c>
      <c r="C46" s="49">
        <f>AVERAGE('17.10 ZIROBWE-WOBULENZI'!C46,'18.10 ZIROBWE-WOBULENZI'!C46,'19.10 ZIROBWE-WOBULENZI-24h'!C46,'20.10 ZIROBWE-WOBULENZI'!C46,'21.10 ZIROBWE-WOBULENZI-24h'!C46,'22.10 ZIROBWE-WOBULENZI'!C46,'23.10 ZIROBWE-WOBULENZI'!C46)</f>
        <v>1.1428571428571428</v>
      </c>
      <c r="D46" s="49">
        <f>AVERAGE('17.10 ZIROBWE-WOBULENZI'!D46,'18.10 ZIROBWE-WOBULENZI'!D46,'19.10 ZIROBWE-WOBULENZI-24h'!D46,'20.10 ZIROBWE-WOBULENZI'!D46,'21.10 ZIROBWE-WOBULENZI-24h'!D46,'22.10 ZIROBWE-WOBULENZI'!D46,'23.10 ZIROBWE-WOBULENZI'!D46)</f>
        <v>0.14285714285714285</v>
      </c>
      <c r="E46" s="49">
        <f>AVERAGE('17.10 ZIROBWE-WOBULENZI'!E46,'18.10 ZIROBWE-WOBULENZI'!E46,'19.10 ZIROBWE-WOBULENZI-24h'!E46,'20.10 ZIROBWE-WOBULENZI'!E46,'21.10 ZIROBWE-WOBULENZI-24h'!E46,'22.10 ZIROBWE-WOBULENZI'!E46,'23.10 ZIROBWE-WOBULENZI'!E46)</f>
        <v>0.2857142857142857</v>
      </c>
      <c r="F46" s="49">
        <f>AVERAGE('17.10 ZIROBWE-WOBULENZI'!F46,'18.10 ZIROBWE-WOBULENZI'!F46,'19.10 ZIROBWE-WOBULENZI-24h'!F46,'20.10 ZIROBWE-WOBULENZI'!F46,'21.10 ZIROBWE-WOBULENZI-24h'!F46,'22.10 ZIROBWE-WOBULENZI'!F46,'23.10 ZIROBWE-WOBULENZI'!F46)</f>
        <v>0</v>
      </c>
      <c r="G46" s="49">
        <f>AVERAGE('17.10 ZIROBWE-WOBULENZI'!G46,'18.10 ZIROBWE-WOBULENZI'!G46,'19.10 ZIROBWE-WOBULENZI-24h'!G46,'20.10 ZIROBWE-WOBULENZI'!G46,'21.10 ZIROBWE-WOBULENZI-24h'!G46,'22.10 ZIROBWE-WOBULENZI'!G46,'23.10 ZIROBWE-WOBULENZI'!G46)</f>
        <v>0</v>
      </c>
      <c r="H46" s="49">
        <f>AVERAGE('17.10 ZIROBWE-WOBULENZI'!H46,'18.10 ZIROBWE-WOBULENZI'!H46,'19.10 ZIROBWE-WOBULENZI-24h'!H46,'20.10 ZIROBWE-WOBULENZI'!H46,'21.10 ZIROBWE-WOBULENZI-24h'!H46,'22.10 ZIROBWE-WOBULENZI'!H46,'23.10 ZIROBWE-WOBULENZI'!H46)</f>
        <v>0</v>
      </c>
      <c r="I46" s="49">
        <f>AVERAGE('17.10 ZIROBWE-WOBULENZI'!I46,'18.10 ZIROBWE-WOBULENZI'!I46,'19.10 ZIROBWE-WOBULENZI-24h'!I46,'20.10 ZIROBWE-WOBULENZI'!I46,'21.10 ZIROBWE-WOBULENZI-24h'!I46,'22.10 ZIROBWE-WOBULENZI'!I46,'23.10 ZIROBWE-WOBULENZI'!I46)</f>
        <v>0.2857142857142857</v>
      </c>
      <c r="J46" s="49">
        <f>AVERAGE('17.10 ZIROBWE-WOBULENZI'!J46,'18.10 ZIROBWE-WOBULENZI'!J46,'19.10 ZIROBWE-WOBULENZI-24h'!J46,'20.10 ZIROBWE-WOBULENZI'!J46,'21.10 ZIROBWE-WOBULENZI-24h'!J46,'22.10 ZIROBWE-WOBULENZI'!J46,'23.10 ZIROBWE-WOBULENZI'!J46)</f>
        <v>0.7142857142857143</v>
      </c>
      <c r="K46" s="49">
        <f>AVERAGE('17.10 ZIROBWE-WOBULENZI'!K46,'18.10 ZIROBWE-WOBULENZI'!K46,'19.10 ZIROBWE-WOBULENZI-24h'!K46,'20.10 ZIROBWE-WOBULENZI'!K46,'21.10 ZIROBWE-WOBULENZI-24h'!K46,'22.10 ZIROBWE-WOBULENZI'!K46,'23.10 ZIROBWE-WOBULENZI'!K46)</f>
        <v>0</v>
      </c>
      <c r="L46" s="49">
        <f>AVERAGE('17.10 ZIROBWE-WOBULENZI'!L46,'18.10 ZIROBWE-WOBULENZI'!L46,'19.10 ZIROBWE-WOBULENZI-24h'!L46,'20.10 ZIROBWE-WOBULENZI'!L46,'21.10 ZIROBWE-WOBULENZI-24h'!L46,'22.10 ZIROBWE-WOBULENZI'!L46,'23.10 ZIROBWE-WOBULENZI'!L46)</f>
        <v>0</v>
      </c>
      <c r="M46" s="49">
        <f>AVERAGE('17.10 ZIROBWE-WOBULENZI'!M46,'18.10 ZIROBWE-WOBULENZI'!M46,'19.10 ZIROBWE-WOBULENZI-24h'!M46,'20.10 ZIROBWE-WOBULENZI'!M46,'21.10 ZIROBWE-WOBULENZI-24h'!M46,'22.10 ZIROBWE-WOBULENZI'!M46,'23.10 ZIROBWE-WOBULENZI'!M46)</f>
        <v>15.142857142857142</v>
      </c>
      <c r="N46" s="49">
        <f>AVERAGE('17.10 ZIROBWE-WOBULENZI'!N46,'18.10 ZIROBWE-WOBULENZI'!N46,'19.10 ZIROBWE-WOBULENZI-24h'!N46,'20.10 ZIROBWE-WOBULENZI'!N46,'21.10 ZIROBWE-WOBULENZI-24h'!N46,'22.10 ZIROBWE-WOBULENZI'!N46,'23.10 ZIROBWE-WOBULENZI'!N46)</f>
        <v>0</v>
      </c>
      <c r="O46" s="15">
        <f t="shared" si="0"/>
        <v>2.5714285714285712</v>
      </c>
      <c r="P46" s="15">
        <f t="shared" si="1"/>
        <v>17.714285714285715</v>
      </c>
      <c r="R46" s="8"/>
      <c r="T46"/>
    </row>
    <row r="47" spans="2:32" ht="23.1" customHeight="1" x14ac:dyDescent="0.25">
      <c r="B47" s="24" t="s">
        <v>74</v>
      </c>
      <c r="C47" s="49">
        <f>AVERAGE('17.10 ZIROBWE-WOBULENZI'!C47,'18.10 ZIROBWE-WOBULENZI'!C47,'19.10 ZIROBWE-WOBULENZI-24h'!C47,'20.10 ZIROBWE-WOBULENZI'!C47,'21.10 ZIROBWE-WOBULENZI-24h'!C47,'22.10 ZIROBWE-WOBULENZI'!C47,'23.10 ZIROBWE-WOBULENZI'!C47)</f>
        <v>0.42857142857142855</v>
      </c>
      <c r="D47" s="49">
        <f>AVERAGE('17.10 ZIROBWE-WOBULENZI'!D47,'18.10 ZIROBWE-WOBULENZI'!D47,'19.10 ZIROBWE-WOBULENZI-24h'!D47,'20.10 ZIROBWE-WOBULENZI'!D47,'21.10 ZIROBWE-WOBULENZI-24h'!D47,'22.10 ZIROBWE-WOBULENZI'!D47,'23.10 ZIROBWE-WOBULENZI'!D47)</f>
        <v>0.2857142857142857</v>
      </c>
      <c r="E47" s="49">
        <f>AVERAGE('17.10 ZIROBWE-WOBULENZI'!E47,'18.10 ZIROBWE-WOBULENZI'!E47,'19.10 ZIROBWE-WOBULENZI-24h'!E47,'20.10 ZIROBWE-WOBULENZI'!E47,'21.10 ZIROBWE-WOBULENZI-24h'!E47,'22.10 ZIROBWE-WOBULENZI'!E47,'23.10 ZIROBWE-WOBULENZI'!E47)</f>
        <v>0.42857142857142855</v>
      </c>
      <c r="F47" s="49">
        <f>AVERAGE('17.10 ZIROBWE-WOBULENZI'!F47,'18.10 ZIROBWE-WOBULENZI'!F47,'19.10 ZIROBWE-WOBULENZI-24h'!F47,'20.10 ZIROBWE-WOBULENZI'!F47,'21.10 ZIROBWE-WOBULENZI-24h'!F47,'22.10 ZIROBWE-WOBULENZI'!F47,'23.10 ZIROBWE-WOBULENZI'!F47)</f>
        <v>0.5714285714285714</v>
      </c>
      <c r="G47" s="49">
        <f>AVERAGE('17.10 ZIROBWE-WOBULENZI'!G47,'18.10 ZIROBWE-WOBULENZI'!G47,'19.10 ZIROBWE-WOBULENZI-24h'!G47,'20.10 ZIROBWE-WOBULENZI'!G47,'21.10 ZIROBWE-WOBULENZI-24h'!G47,'22.10 ZIROBWE-WOBULENZI'!G47,'23.10 ZIROBWE-WOBULENZI'!G47)</f>
        <v>0</v>
      </c>
      <c r="H47" s="49">
        <f>AVERAGE('17.10 ZIROBWE-WOBULENZI'!H47,'18.10 ZIROBWE-WOBULENZI'!H47,'19.10 ZIROBWE-WOBULENZI-24h'!H47,'20.10 ZIROBWE-WOBULENZI'!H47,'21.10 ZIROBWE-WOBULENZI-24h'!H47,'22.10 ZIROBWE-WOBULENZI'!H47,'23.10 ZIROBWE-WOBULENZI'!H47)</f>
        <v>0</v>
      </c>
      <c r="I47" s="49">
        <f>AVERAGE('17.10 ZIROBWE-WOBULENZI'!I47,'18.10 ZIROBWE-WOBULENZI'!I47,'19.10 ZIROBWE-WOBULENZI-24h'!I47,'20.10 ZIROBWE-WOBULENZI'!I47,'21.10 ZIROBWE-WOBULENZI-24h'!I47,'22.10 ZIROBWE-WOBULENZI'!I47,'23.10 ZIROBWE-WOBULENZI'!I47)</f>
        <v>0.14285714285714285</v>
      </c>
      <c r="J47" s="49">
        <f>AVERAGE('17.10 ZIROBWE-WOBULENZI'!J47,'18.10 ZIROBWE-WOBULENZI'!J47,'19.10 ZIROBWE-WOBULENZI-24h'!J47,'20.10 ZIROBWE-WOBULENZI'!J47,'21.10 ZIROBWE-WOBULENZI-24h'!J47,'22.10 ZIROBWE-WOBULENZI'!J47,'23.10 ZIROBWE-WOBULENZI'!J47)</f>
        <v>0.5714285714285714</v>
      </c>
      <c r="K47" s="49">
        <f>AVERAGE('17.10 ZIROBWE-WOBULENZI'!K47,'18.10 ZIROBWE-WOBULENZI'!K47,'19.10 ZIROBWE-WOBULENZI-24h'!K47,'20.10 ZIROBWE-WOBULENZI'!K47,'21.10 ZIROBWE-WOBULENZI-24h'!K47,'22.10 ZIROBWE-WOBULENZI'!K47,'23.10 ZIROBWE-WOBULENZI'!K47)</f>
        <v>0</v>
      </c>
      <c r="L47" s="49">
        <f>AVERAGE('17.10 ZIROBWE-WOBULENZI'!L47,'18.10 ZIROBWE-WOBULENZI'!L47,'19.10 ZIROBWE-WOBULENZI-24h'!L47,'20.10 ZIROBWE-WOBULENZI'!L47,'21.10 ZIROBWE-WOBULENZI-24h'!L47,'22.10 ZIROBWE-WOBULENZI'!L47,'23.10 ZIROBWE-WOBULENZI'!L47)</f>
        <v>0</v>
      </c>
      <c r="M47" s="49">
        <f>AVERAGE('17.10 ZIROBWE-WOBULENZI'!M47,'18.10 ZIROBWE-WOBULENZI'!M47,'19.10 ZIROBWE-WOBULENZI-24h'!M47,'20.10 ZIROBWE-WOBULENZI'!M47,'21.10 ZIROBWE-WOBULENZI-24h'!M47,'22.10 ZIROBWE-WOBULENZI'!M47,'23.10 ZIROBWE-WOBULENZI'!M47)</f>
        <v>16.428571428571427</v>
      </c>
      <c r="N47" s="49">
        <f>AVERAGE('17.10 ZIROBWE-WOBULENZI'!N47,'18.10 ZIROBWE-WOBULENZI'!N47,'19.10 ZIROBWE-WOBULENZI-24h'!N47,'20.10 ZIROBWE-WOBULENZI'!N47,'21.10 ZIROBWE-WOBULENZI-24h'!N47,'22.10 ZIROBWE-WOBULENZI'!N47,'23.10 ZIROBWE-WOBULENZI'!N47)</f>
        <v>0</v>
      </c>
      <c r="O47" s="15">
        <f t="shared" si="0"/>
        <v>2.4285714285714284</v>
      </c>
      <c r="P47" s="15">
        <f t="shared" si="1"/>
        <v>18.857142857142854</v>
      </c>
      <c r="R47" s="8"/>
      <c r="T47"/>
    </row>
    <row r="48" spans="2:32" ht="23.1" customHeight="1" x14ac:dyDescent="0.25">
      <c r="B48" s="24" t="s">
        <v>75</v>
      </c>
      <c r="C48" s="49">
        <f>AVERAGE('17.10 ZIROBWE-WOBULENZI'!C48,'18.10 ZIROBWE-WOBULENZI'!C48,'19.10 ZIROBWE-WOBULENZI-24h'!C48,'20.10 ZIROBWE-WOBULENZI'!C48,'21.10 ZIROBWE-WOBULENZI-24h'!C48,'22.10 ZIROBWE-WOBULENZI'!C48,'23.10 ZIROBWE-WOBULENZI'!C48)</f>
        <v>0.8571428571428571</v>
      </c>
      <c r="D48" s="49">
        <f>AVERAGE('17.10 ZIROBWE-WOBULENZI'!D48,'18.10 ZIROBWE-WOBULENZI'!D48,'19.10 ZIROBWE-WOBULENZI-24h'!D48,'20.10 ZIROBWE-WOBULENZI'!D48,'21.10 ZIROBWE-WOBULENZI-24h'!D48,'22.10 ZIROBWE-WOBULENZI'!D48,'23.10 ZIROBWE-WOBULENZI'!D48)</f>
        <v>0.5714285714285714</v>
      </c>
      <c r="E48" s="49">
        <f>AVERAGE('17.10 ZIROBWE-WOBULENZI'!E48,'18.10 ZIROBWE-WOBULENZI'!E48,'19.10 ZIROBWE-WOBULENZI-24h'!E48,'20.10 ZIROBWE-WOBULENZI'!E48,'21.10 ZIROBWE-WOBULENZI-24h'!E48,'22.10 ZIROBWE-WOBULENZI'!E48,'23.10 ZIROBWE-WOBULENZI'!E48)</f>
        <v>0.2857142857142857</v>
      </c>
      <c r="F48" s="49">
        <f>AVERAGE('17.10 ZIROBWE-WOBULENZI'!F48,'18.10 ZIROBWE-WOBULENZI'!F48,'19.10 ZIROBWE-WOBULENZI-24h'!F48,'20.10 ZIROBWE-WOBULENZI'!F48,'21.10 ZIROBWE-WOBULENZI-24h'!F48,'22.10 ZIROBWE-WOBULENZI'!F48,'23.10 ZIROBWE-WOBULENZI'!F48)</f>
        <v>0.7142857142857143</v>
      </c>
      <c r="G48" s="49">
        <f>AVERAGE('17.10 ZIROBWE-WOBULENZI'!G48,'18.10 ZIROBWE-WOBULENZI'!G48,'19.10 ZIROBWE-WOBULENZI-24h'!G48,'20.10 ZIROBWE-WOBULENZI'!G48,'21.10 ZIROBWE-WOBULENZI-24h'!G48,'22.10 ZIROBWE-WOBULENZI'!G48,'23.10 ZIROBWE-WOBULENZI'!G48)</f>
        <v>0.14285714285714285</v>
      </c>
      <c r="H48" s="49">
        <f>AVERAGE('17.10 ZIROBWE-WOBULENZI'!H48,'18.10 ZIROBWE-WOBULENZI'!H48,'19.10 ZIROBWE-WOBULENZI-24h'!H48,'20.10 ZIROBWE-WOBULENZI'!H48,'21.10 ZIROBWE-WOBULENZI-24h'!H48,'22.10 ZIROBWE-WOBULENZI'!H48,'23.10 ZIROBWE-WOBULENZI'!H48)</f>
        <v>0</v>
      </c>
      <c r="I48" s="49">
        <f>AVERAGE('17.10 ZIROBWE-WOBULENZI'!I48,'18.10 ZIROBWE-WOBULENZI'!I48,'19.10 ZIROBWE-WOBULENZI-24h'!I48,'20.10 ZIROBWE-WOBULENZI'!I48,'21.10 ZIROBWE-WOBULENZI-24h'!I48,'22.10 ZIROBWE-WOBULENZI'!I48,'23.10 ZIROBWE-WOBULENZI'!I48)</f>
        <v>0.7142857142857143</v>
      </c>
      <c r="J48" s="49">
        <f>AVERAGE('17.10 ZIROBWE-WOBULENZI'!J48,'18.10 ZIROBWE-WOBULENZI'!J48,'19.10 ZIROBWE-WOBULENZI-24h'!J48,'20.10 ZIROBWE-WOBULENZI'!J48,'21.10 ZIROBWE-WOBULENZI-24h'!J48,'22.10 ZIROBWE-WOBULENZI'!J48,'23.10 ZIROBWE-WOBULENZI'!J48)</f>
        <v>1.7142857142857142</v>
      </c>
      <c r="K48" s="49">
        <f>AVERAGE('17.10 ZIROBWE-WOBULENZI'!K48,'18.10 ZIROBWE-WOBULENZI'!K48,'19.10 ZIROBWE-WOBULENZI-24h'!K48,'20.10 ZIROBWE-WOBULENZI'!K48,'21.10 ZIROBWE-WOBULENZI-24h'!K48,'22.10 ZIROBWE-WOBULENZI'!K48,'23.10 ZIROBWE-WOBULENZI'!K48)</f>
        <v>0</v>
      </c>
      <c r="L48" s="49">
        <f>AVERAGE('17.10 ZIROBWE-WOBULENZI'!L48,'18.10 ZIROBWE-WOBULENZI'!L48,'19.10 ZIROBWE-WOBULENZI-24h'!L48,'20.10 ZIROBWE-WOBULENZI'!L48,'21.10 ZIROBWE-WOBULENZI-24h'!L48,'22.10 ZIROBWE-WOBULENZI'!L48,'23.10 ZIROBWE-WOBULENZI'!L48)</f>
        <v>0</v>
      </c>
      <c r="M48" s="49">
        <f>AVERAGE('17.10 ZIROBWE-WOBULENZI'!M48,'18.10 ZIROBWE-WOBULENZI'!M48,'19.10 ZIROBWE-WOBULENZI-24h'!M48,'20.10 ZIROBWE-WOBULENZI'!M48,'21.10 ZIROBWE-WOBULENZI-24h'!M48,'22.10 ZIROBWE-WOBULENZI'!M48,'23.10 ZIROBWE-WOBULENZI'!M48)</f>
        <v>21.142857142857142</v>
      </c>
      <c r="N48" s="49">
        <f>AVERAGE('17.10 ZIROBWE-WOBULENZI'!N48,'18.10 ZIROBWE-WOBULENZI'!N48,'19.10 ZIROBWE-WOBULENZI-24h'!N48,'20.10 ZIROBWE-WOBULENZI'!N48,'21.10 ZIROBWE-WOBULENZI-24h'!N48,'22.10 ZIROBWE-WOBULENZI'!N48,'23.10 ZIROBWE-WOBULENZI'!N48)</f>
        <v>0</v>
      </c>
      <c r="O48" s="15">
        <f t="shared" si="0"/>
        <v>5</v>
      </c>
      <c r="P48" s="15">
        <f t="shared" si="1"/>
        <v>26.142857142857142</v>
      </c>
      <c r="R48" s="8"/>
      <c r="T48"/>
    </row>
    <row r="49" spans="2:20" ht="23.1" customHeight="1" x14ac:dyDescent="0.25">
      <c r="B49" s="23" t="s">
        <v>76</v>
      </c>
      <c r="C49" s="49">
        <f>AVERAGE('17.10 ZIROBWE-WOBULENZI'!C49,'18.10 ZIROBWE-WOBULENZI'!C49,'19.10 ZIROBWE-WOBULENZI-24h'!C49,'20.10 ZIROBWE-WOBULENZI'!C49,'21.10 ZIROBWE-WOBULENZI-24h'!C49,'22.10 ZIROBWE-WOBULENZI'!C49,'23.10 ZIROBWE-WOBULENZI'!C49)</f>
        <v>2.1428571428571428</v>
      </c>
      <c r="D49" s="49">
        <f>AVERAGE('17.10 ZIROBWE-WOBULENZI'!D49,'18.10 ZIROBWE-WOBULENZI'!D49,'19.10 ZIROBWE-WOBULENZI-24h'!D49,'20.10 ZIROBWE-WOBULENZI'!D49,'21.10 ZIROBWE-WOBULENZI-24h'!D49,'22.10 ZIROBWE-WOBULENZI'!D49,'23.10 ZIROBWE-WOBULENZI'!D49)</f>
        <v>0.2857142857142857</v>
      </c>
      <c r="E49" s="49">
        <f>AVERAGE('17.10 ZIROBWE-WOBULENZI'!E49,'18.10 ZIROBWE-WOBULENZI'!E49,'19.10 ZIROBWE-WOBULENZI-24h'!E49,'20.10 ZIROBWE-WOBULENZI'!E49,'21.10 ZIROBWE-WOBULENZI-24h'!E49,'22.10 ZIROBWE-WOBULENZI'!E49,'23.10 ZIROBWE-WOBULENZI'!E49)</f>
        <v>0.42857142857142855</v>
      </c>
      <c r="F49" s="49">
        <f>AVERAGE('17.10 ZIROBWE-WOBULENZI'!F49,'18.10 ZIROBWE-WOBULENZI'!F49,'19.10 ZIROBWE-WOBULENZI-24h'!F49,'20.10 ZIROBWE-WOBULENZI'!F49,'21.10 ZIROBWE-WOBULENZI-24h'!F49,'22.10 ZIROBWE-WOBULENZI'!F49,'23.10 ZIROBWE-WOBULENZI'!F49)</f>
        <v>0.42857142857142855</v>
      </c>
      <c r="G49" s="49">
        <f>AVERAGE('17.10 ZIROBWE-WOBULENZI'!G49,'18.10 ZIROBWE-WOBULENZI'!G49,'19.10 ZIROBWE-WOBULENZI-24h'!G49,'20.10 ZIROBWE-WOBULENZI'!G49,'21.10 ZIROBWE-WOBULENZI-24h'!G49,'22.10 ZIROBWE-WOBULENZI'!G49,'23.10 ZIROBWE-WOBULENZI'!G49)</f>
        <v>0.14285714285714285</v>
      </c>
      <c r="H49" s="49">
        <f>AVERAGE('17.10 ZIROBWE-WOBULENZI'!H49,'18.10 ZIROBWE-WOBULENZI'!H49,'19.10 ZIROBWE-WOBULENZI-24h'!H49,'20.10 ZIROBWE-WOBULENZI'!H49,'21.10 ZIROBWE-WOBULENZI-24h'!H49,'22.10 ZIROBWE-WOBULENZI'!H49,'23.10 ZIROBWE-WOBULENZI'!H49)</f>
        <v>0</v>
      </c>
      <c r="I49" s="49">
        <f>AVERAGE('17.10 ZIROBWE-WOBULENZI'!I49,'18.10 ZIROBWE-WOBULENZI'!I49,'19.10 ZIROBWE-WOBULENZI-24h'!I49,'20.10 ZIROBWE-WOBULENZI'!I49,'21.10 ZIROBWE-WOBULENZI-24h'!I49,'22.10 ZIROBWE-WOBULENZI'!I49,'23.10 ZIROBWE-WOBULENZI'!I49)</f>
        <v>0.5714285714285714</v>
      </c>
      <c r="J49" s="49">
        <f>AVERAGE('17.10 ZIROBWE-WOBULENZI'!J49,'18.10 ZIROBWE-WOBULENZI'!J49,'19.10 ZIROBWE-WOBULENZI-24h'!J49,'20.10 ZIROBWE-WOBULENZI'!J49,'21.10 ZIROBWE-WOBULENZI-24h'!J49,'22.10 ZIROBWE-WOBULENZI'!J49,'23.10 ZIROBWE-WOBULENZI'!J49)</f>
        <v>1.7142857142857142</v>
      </c>
      <c r="K49" s="49">
        <f>AVERAGE('17.10 ZIROBWE-WOBULENZI'!K49,'18.10 ZIROBWE-WOBULENZI'!K49,'19.10 ZIROBWE-WOBULENZI-24h'!K49,'20.10 ZIROBWE-WOBULENZI'!K49,'21.10 ZIROBWE-WOBULENZI-24h'!K49,'22.10 ZIROBWE-WOBULENZI'!K49,'23.10 ZIROBWE-WOBULENZI'!K49)</f>
        <v>0</v>
      </c>
      <c r="L49" s="49">
        <f>AVERAGE('17.10 ZIROBWE-WOBULENZI'!L49,'18.10 ZIROBWE-WOBULENZI'!L49,'19.10 ZIROBWE-WOBULENZI-24h'!L49,'20.10 ZIROBWE-WOBULENZI'!L49,'21.10 ZIROBWE-WOBULENZI-24h'!L49,'22.10 ZIROBWE-WOBULENZI'!L49,'23.10 ZIROBWE-WOBULENZI'!L49)</f>
        <v>0</v>
      </c>
      <c r="M49" s="49">
        <f>AVERAGE('17.10 ZIROBWE-WOBULENZI'!M49,'18.10 ZIROBWE-WOBULENZI'!M49,'19.10 ZIROBWE-WOBULENZI-24h'!M49,'20.10 ZIROBWE-WOBULENZI'!M49,'21.10 ZIROBWE-WOBULENZI-24h'!M49,'22.10 ZIROBWE-WOBULENZI'!M49,'23.10 ZIROBWE-WOBULENZI'!M49)</f>
        <v>20.428571428571427</v>
      </c>
      <c r="N49" s="49">
        <f>AVERAGE('17.10 ZIROBWE-WOBULENZI'!N49,'18.10 ZIROBWE-WOBULENZI'!N49,'19.10 ZIROBWE-WOBULENZI-24h'!N49,'20.10 ZIROBWE-WOBULENZI'!N49,'21.10 ZIROBWE-WOBULENZI-24h'!N49,'22.10 ZIROBWE-WOBULENZI'!N49,'23.10 ZIROBWE-WOBULENZI'!N49)</f>
        <v>0</v>
      </c>
      <c r="O49" s="15">
        <f t="shared" si="0"/>
        <v>5.7142857142857135</v>
      </c>
      <c r="P49" s="15">
        <f t="shared" si="1"/>
        <v>26.142857142857139</v>
      </c>
      <c r="R49" s="8"/>
      <c r="T49"/>
    </row>
    <row r="50" spans="2:20" ht="23.1" customHeight="1" x14ac:dyDescent="0.25">
      <c r="B50" s="24" t="s">
        <v>77</v>
      </c>
      <c r="C50" s="49">
        <f>AVERAGE('17.10 ZIROBWE-WOBULENZI'!C50,'18.10 ZIROBWE-WOBULENZI'!C50,'19.10 ZIROBWE-WOBULENZI-24h'!C50,'20.10 ZIROBWE-WOBULENZI'!C50,'21.10 ZIROBWE-WOBULENZI-24h'!C50,'22.10 ZIROBWE-WOBULENZI'!C50,'23.10 ZIROBWE-WOBULENZI'!C50)</f>
        <v>1</v>
      </c>
      <c r="D50" s="49">
        <f>AVERAGE('17.10 ZIROBWE-WOBULENZI'!D50,'18.10 ZIROBWE-WOBULENZI'!D50,'19.10 ZIROBWE-WOBULENZI-24h'!D50,'20.10 ZIROBWE-WOBULENZI'!D50,'21.10 ZIROBWE-WOBULENZI-24h'!D50,'22.10 ZIROBWE-WOBULENZI'!D50,'23.10 ZIROBWE-WOBULENZI'!D50)</f>
        <v>0.5714285714285714</v>
      </c>
      <c r="E50" s="49">
        <f>AVERAGE('17.10 ZIROBWE-WOBULENZI'!E50,'18.10 ZIROBWE-WOBULENZI'!E50,'19.10 ZIROBWE-WOBULENZI-24h'!E50,'20.10 ZIROBWE-WOBULENZI'!E50,'21.10 ZIROBWE-WOBULENZI-24h'!E50,'22.10 ZIROBWE-WOBULENZI'!E50,'23.10 ZIROBWE-WOBULENZI'!E50)</f>
        <v>0</v>
      </c>
      <c r="F50" s="49">
        <f>AVERAGE('17.10 ZIROBWE-WOBULENZI'!F50,'18.10 ZIROBWE-WOBULENZI'!F50,'19.10 ZIROBWE-WOBULENZI-24h'!F50,'20.10 ZIROBWE-WOBULENZI'!F50,'21.10 ZIROBWE-WOBULENZI-24h'!F50,'22.10 ZIROBWE-WOBULENZI'!F50,'23.10 ZIROBWE-WOBULENZI'!F50)</f>
        <v>0.7142857142857143</v>
      </c>
      <c r="G50" s="49">
        <f>AVERAGE('17.10 ZIROBWE-WOBULENZI'!G50,'18.10 ZIROBWE-WOBULENZI'!G50,'19.10 ZIROBWE-WOBULENZI-24h'!G50,'20.10 ZIROBWE-WOBULENZI'!G50,'21.10 ZIROBWE-WOBULENZI-24h'!G50,'22.10 ZIROBWE-WOBULENZI'!G50,'23.10 ZIROBWE-WOBULENZI'!G50)</f>
        <v>0.14285714285714285</v>
      </c>
      <c r="H50" s="49">
        <f>AVERAGE('17.10 ZIROBWE-WOBULENZI'!H50,'18.10 ZIROBWE-WOBULENZI'!H50,'19.10 ZIROBWE-WOBULENZI-24h'!H50,'20.10 ZIROBWE-WOBULENZI'!H50,'21.10 ZIROBWE-WOBULENZI-24h'!H50,'22.10 ZIROBWE-WOBULENZI'!H50,'23.10 ZIROBWE-WOBULENZI'!H50)</f>
        <v>0</v>
      </c>
      <c r="I50" s="49">
        <f>AVERAGE('17.10 ZIROBWE-WOBULENZI'!I50,'18.10 ZIROBWE-WOBULENZI'!I50,'19.10 ZIROBWE-WOBULENZI-24h'!I50,'20.10 ZIROBWE-WOBULENZI'!I50,'21.10 ZIROBWE-WOBULENZI-24h'!I50,'22.10 ZIROBWE-WOBULENZI'!I50,'23.10 ZIROBWE-WOBULENZI'!I50)</f>
        <v>0.5714285714285714</v>
      </c>
      <c r="J50" s="49">
        <f>AVERAGE('17.10 ZIROBWE-WOBULENZI'!J50,'18.10 ZIROBWE-WOBULENZI'!J50,'19.10 ZIROBWE-WOBULENZI-24h'!J50,'20.10 ZIROBWE-WOBULENZI'!J50,'21.10 ZIROBWE-WOBULENZI-24h'!J50,'22.10 ZIROBWE-WOBULENZI'!J50,'23.10 ZIROBWE-WOBULENZI'!J50)</f>
        <v>1.1428571428571428</v>
      </c>
      <c r="K50" s="49">
        <f>AVERAGE('17.10 ZIROBWE-WOBULENZI'!K50,'18.10 ZIROBWE-WOBULENZI'!K50,'19.10 ZIROBWE-WOBULENZI-24h'!K50,'20.10 ZIROBWE-WOBULENZI'!K50,'21.10 ZIROBWE-WOBULENZI-24h'!K50,'22.10 ZIROBWE-WOBULENZI'!K50,'23.10 ZIROBWE-WOBULENZI'!K50)</f>
        <v>0</v>
      </c>
      <c r="L50" s="49">
        <f>AVERAGE('17.10 ZIROBWE-WOBULENZI'!L50,'18.10 ZIROBWE-WOBULENZI'!L50,'19.10 ZIROBWE-WOBULENZI-24h'!L50,'20.10 ZIROBWE-WOBULENZI'!L50,'21.10 ZIROBWE-WOBULENZI-24h'!L50,'22.10 ZIROBWE-WOBULENZI'!L50,'23.10 ZIROBWE-WOBULENZI'!L50)</f>
        <v>0</v>
      </c>
      <c r="M50" s="49">
        <f>AVERAGE('17.10 ZIROBWE-WOBULENZI'!M50,'18.10 ZIROBWE-WOBULENZI'!M50,'19.10 ZIROBWE-WOBULENZI-24h'!M50,'20.10 ZIROBWE-WOBULENZI'!M50,'21.10 ZIROBWE-WOBULENZI-24h'!M50,'22.10 ZIROBWE-WOBULENZI'!M50,'23.10 ZIROBWE-WOBULENZI'!M50)</f>
        <v>20.428571428571427</v>
      </c>
      <c r="N50" s="49">
        <f>AVERAGE('17.10 ZIROBWE-WOBULENZI'!N50,'18.10 ZIROBWE-WOBULENZI'!N50,'19.10 ZIROBWE-WOBULENZI-24h'!N50,'20.10 ZIROBWE-WOBULENZI'!N50,'21.10 ZIROBWE-WOBULENZI-24h'!N50,'22.10 ZIROBWE-WOBULENZI'!N50,'23.10 ZIROBWE-WOBULENZI'!N50)</f>
        <v>0</v>
      </c>
      <c r="O50" s="15">
        <f t="shared" si="0"/>
        <v>4.1428571428571423</v>
      </c>
      <c r="P50" s="15">
        <f t="shared" si="1"/>
        <v>24.571428571428569</v>
      </c>
      <c r="R50" s="8"/>
      <c r="T50"/>
    </row>
    <row r="51" spans="2:20" ht="23.1" customHeight="1" x14ac:dyDescent="0.25">
      <c r="B51" s="24" t="s">
        <v>78</v>
      </c>
      <c r="C51" s="49">
        <f>AVERAGE('17.10 ZIROBWE-WOBULENZI'!C51,'18.10 ZIROBWE-WOBULENZI'!C51,'19.10 ZIROBWE-WOBULENZI-24h'!C51,'20.10 ZIROBWE-WOBULENZI'!C51,'21.10 ZIROBWE-WOBULENZI-24h'!C51,'22.10 ZIROBWE-WOBULENZI'!C51,'23.10 ZIROBWE-WOBULENZI'!C51)</f>
        <v>1</v>
      </c>
      <c r="D51" s="49">
        <f>AVERAGE('17.10 ZIROBWE-WOBULENZI'!D51,'18.10 ZIROBWE-WOBULENZI'!D51,'19.10 ZIROBWE-WOBULENZI-24h'!D51,'20.10 ZIROBWE-WOBULENZI'!D51,'21.10 ZIROBWE-WOBULENZI-24h'!D51,'22.10 ZIROBWE-WOBULENZI'!D51,'23.10 ZIROBWE-WOBULENZI'!D51)</f>
        <v>0.14285714285714285</v>
      </c>
      <c r="E51" s="49">
        <f>AVERAGE('17.10 ZIROBWE-WOBULENZI'!E51,'18.10 ZIROBWE-WOBULENZI'!E51,'19.10 ZIROBWE-WOBULENZI-24h'!E51,'20.10 ZIROBWE-WOBULENZI'!E51,'21.10 ZIROBWE-WOBULENZI-24h'!E51,'22.10 ZIROBWE-WOBULENZI'!E51,'23.10 ZIROBWE-WOBULENZI'!E51)</f>
        <v>0.2857142857142857</v>
      </c>
      <c r="F51" s="49">
        <f>AVERAGE('17.10 ZIROBWE-WOBULENZI'!F51,'18.10 ZIROBWE-WOBULENZI'!F51,'19.10 ZIROBWE-WOBULENZI-24h'!F51,'20.10 ZIROBWE-WOBULENZI'!F51,'21.10 ZIROBWE-WOBULENZI-24h'!F51,'22.10 ZIROBWE-WOBULENZI'!F51,'23.10 ZIROBWE-WOBULENZI'!F51)</f>
        <v>0.14285714285714285</v>
      </c>
      <c r="G51" s="49">
        <f>AVERAGE('17.10 ZIROBWE-WOBULENZI'!G51,'18.10 ZIROBWE-WOBULENZI'!G51,'19.10 ZIROBWE-WOBULENZI-24h'!G51,'20.10 ZIROBWE-WOBULENZI'!G51,'21.10 ZIROBWE-WOBULENZI-24h'!G51,'22.10 ZIROBWE-WOBULENZI'!G51,'23.10 ZIROBWE-WOBULENZI'!G51)</f>
        <v>0</v>
      </c>
      <c r="H51" s="49">
        <f>AVERAGE('17.10 ZIROBWE-WOBULENZI'!H51,'18.10 ZIROBWE-WOBULENZI'!H51,'19.10 ZIROBWE-WOBULENZI-24h'!H51,'20.10 ZIROBWE-WOBULENZI'!H51,'21.10 ZIROBWE-WOBULENZI-24h'!H51,'22.10 ZIROBWE-WOBULENZI'!H51,'23.10 ZIROBWE-WOBULENZI'!H51)</f>
        <v>0</v>
      </c>
      <c r="I51" s="49">
        <f>AVERAGE('17.10 ZIROBWE-WOBULENZI'!I51,'18.10 ZIROBWE-WOBULENZI'!I51,'19.10 ZIROBWE-WOBULENZI-24h'!I51,'20.10 ZIROBWE-WOBULENZI'!I51,'21.10 ZIROBWE-WOBULENZI-24h'!I51,'22.10 ZIROBWE-WOBULENZI'!I51,'23.10 ZIROBWE-WOBULENZI'!I51)</f>
        <v>0.42857142857142855</v>
      </c>
      <c r="J51" s="49">
        <f>AVERAGE('17.10 ZIROBWE-WOBULENZI'!J51,'18.10 ZIROBWE-WOBULENZI'!J51,'19.10 ZIROBWE-WOBULENZI-24h'!J51,'20.10 ZIROBWE-WOBULENZI'!J51,'21.10 ZIROBWE-WOBULENZI-24h'!J51,'22.10 ZIROBWE-WOBULENZI'!J51,'23.10 ZIROBWE-WOBULENZI'!J51)</f>
        <v>0.5714285714285714</v>
      </c>
      <c r="K51" s="49">
        <f>AVERAGE('17.10 ZIROBWE-WOBULENZI'!K51,'18.10 ZIROBWE-WOBULENZI'!K51,'19.10 ZIROBWE-WOBULENZI-24h'!K51,'20.10 ZIROBWE-WOBULENZI'!K51,'21.10 ZIROBWE-WOBULENZI-24h'!K51,'22.10 ZIROBWE-WOBULENZI'!K51,'23.10 ZIROBWE-WOBULENZI'!K51)</f>
        <v>0</v>
      </c>
      <c r="L51" s="49">
        <f>AVERAGE('17.10 ZIROBWE-WOBULENZI'!L51,'18.10 ZIROBWE-WOBULENZI'!L51,'19.10 ZIROBWE-WOBULENZI-24h'!L51,'20.10 ZIROBWE-WOBULENZI'!L51,'21.10 ZIROBWE-WOBULENZI-24h'!L51,'22.10 ZIROBWE-WOBULENZI'!L51,'23.10 ZIROBWE-WOBULENZI'!L51)</f>
        <v>0</v>
      </c>
      <c r="M51" s="49">
        <f>AVERAGE('17.10 ZIROBWE-WOBULENZI'!M51,'18.10 ZIROBWE-WOBULENZI'!M51,'19.10 ZIROBWE-WOBULENZI-24h'!M51,'20.10 ZIROBWE-WOBULENZI'!M51,'21.10 ZIROBWE-WOBULENZI-24h'!M51,'22.10 ZIROBWE-WOBULENZI'!M51,'23.10 ZIROBWE-WOBULENZI'!M51)</f>
        <v>18.142857142857142</v>
      </c>
      <c r="N51" s="49">
        <f>AVERAGE('17.10 ZIROBWE-WOBULENZI'!N51,'18.10 ZIROBWE-WOBULENZI'!N51,'19.10 ZIROBWE-WOBULENZI-24h'!N51,'20.10 ZIROBWE-WOBULENZI'!N51,'21.10 ZIROBWE-WOBULENZI-24h'!N51,'22.10 ZIROBWE-WOBULENZI'!N51,'23.10 ZIROBWE-WOBULENZI'!N51)</f>
        <v>0</v>
      </c>
      <c r="O51" s="15">
        <f t="shared" si="0"/>
        <v>2.5714285714285712</v>
      </c>
      <c r="P51" s="15">
        <f t="shared" si="1"/>
        <v>20.714285714285715</v>
      </c>
      <c r="R51" s="8"/>
      <c r="T51"/>
    </row>
    <row r="52" spans="2:20" ht="23.1" customHeight="1" x14ac:dyDescent="0.25">
      <c r="B52" s="24" t="s">
        <v>79</v>
      </c>
      <c r="C52" s="49">
        <f>AVERAGE('17.10 ZIROBWE-WOBULENZI'!C52,'18.10 ZIROBWE-WOBULENZI'!C52,'19.10 ZIROBWE-WOBULENZI-24h'!C52,'20.10 ZIROBWE-WOBULENZI'!C52,'21.10 ZIROBWE-WOBULENZI-24h'!C52,'22.10 ZIROBWE-WOBULENZI'!C52,'23.10 ZIROBWE-WOBULENZI'!C52)</f>
        <v>0.8571428571428571</v>
      </c>
      <c r="D52" s="49">
        <f>AVERAGE('17.10 ZIROBWE-WOBULENZI'!D52,'18.10 ZIROBWE-WOBULENZI'!D52,'19.10 ZIROBWE-WOBULENZI-24h'!D52,'20.10 ZIROBWE-WOBULENZI'!D52,'21.10 ZIROBWE-WOBULENZI-24h'!D52,'22.10 ZIROBWE-WOBULENZI'!D52,'23.10 ZIROBWE-WOBULENZI'!D52)</f>
        <v>0.2857142857142857</v>
      </c>
      <c r="E52" s="49">
        <f>AVERAGE('17.10 ZIROBWE-WOBULENZI'!E52,'18.10 ZIROBWE-WOBULENZI'!E52,'19.10 ZIROBWE-WOBULENZI-24h'!E52,'20.10 ZIROBWE-WOBULENZI'!E52,'21.10 ZIROBWE-WOBULENZI-24h'!E52,'22.10 ZIROBWE-WOBULENZI'!E52,'23.10 ZIROBWE-WOBULENZI'!E52)</f>
        <v>0.42857142857142855</v>
      </c>
      <c r="F52" s="49">
        <f>AVERAGE('17.10 ZIROBWE-WOBULENZI'!F52,'18.10 ZIROBWE-WOBULENZI'!F52,'19.10 ZIROBWE-WOBULENZI-24h'!F52,'20.10 ZIROBWE-WOBULENZI'!F52,'21.10 ZIROBWE-WOBULENZI-24h'!F52,'22.10 ZIROBWE-WOBULENZI'!F52,'23.10 ZIROBWE-WOBULENZI'!F52)</f>
        <v>0.8571428571428571</v>
      </c>
      <c r="G52" s="49">
        <f>AVERAGE('17.10 ZIROBWE-WOBULENZI'!G52,'18.10 ZIROBWE-WOBULENZI'!G52,'19.10 ZIROBWE-WOBULENZI-24h'!G52,'20.10 ZIROBWE-WOBULENZI'!G52,'21.10 ZIROBWE-WOBULENZI-24h'!G52,'22.10 ZIROBWE-WOBULENZI'!G52,'23.10 ZIROBWE-WOBULENZI'!G52)</f>
        <v>0</v>
      </c>
      <c r="H52" s="49">
        <f>AVERAGE('17.10 ZIROBWE-WOBULENZI'!H52,'18.10 ZIROBWE-WOBULENZI'!H52,'19.10 ZIROBWE-WOBULENZI-24h'!H52,'20.10 ZIROBWE-WOBULENZI'!H52,'21.10 ZIROBWE-WOBULENZI-24h'!H52,'22.10 ZIROBWE-WOBULENZI'!H52,'23.10 ZIROBWE-WOBULENZI'!H52)</f>
        <v>0</v>
      </c>
      <c r="I52" s="49">
        <f>AVERAGE('17.10 ZIROBWE-WOBULENZI'!I52,'18.10 ZIROBWE-WOBULENZI'!I52,'19.10 ZIROBWE-WOBULENZI-24h'!I52,'20.10 ZIROBWE-WOBULENZI'!I52,'21.10 ZIROBWE-WOBULENZI-24h'!I52,'22.10 ZIROBWE-WOBULENZI'!I52,'23.10 ZIROBWE-WOBULENZI'!I52)</f>
        <v>0.14285714285714285</v>
      </c>
      <c r="J52" s="49">
        <f>AVERAGE('17.10 ZIROBWE-WOBULENZI'!J52,'18.10 ZIROBWE-WOBULENZI'!J52,'19.10 ZIROBWE-WOBULENZI-24h'!J52,'20.10 ZIROBWE-WOBULENZI'!J52,'21.10 ZIROBWE-WOBULENZI-24h'!J52,'22.10 ZIROBWE-WOBULENZI'!J52,'23.10 ZIROBWE-WOBULENZI'!J52)</f>
        <v>0.2857142857142857</v>
      </c>
      <c r="K52" s="49">
        <f>AVERAGE('17.10 ZIROBWE-WOBULENZI'!K52,'18.10 ZIROBWE-WOBULENZI'!K52,'19.10 ZIROBWE-WOBULENZI-24h'!K52,'20.10 ZIROBWE-WOBULENZI'!K52,'21.10 ZIROBWE-WOBULENZI-24h'!K52,'22.10 ZIROBWE-WOBULENZI'!K52,'23.10 ZIROBWE-WOBULENZI'!K52)</f>
        <v>0</v>
      </c>
      <c r="L52" s="49">
        <f>AVERAGE('17.10 ZIROBWE-WOBULENZI'!L52,'18.10 ZIROBWE-WOBULENZI'!L52,'19.10 ZIROBWE-WOBULENZI-24h'!L52,'20.10 ZIROBWE-WOBULENZI'!L52,'21.10 ZIROBWE-WOBULENZI-24h'!L52,'22.10 ZIROBWE-WOBULENZI'!L52,'23.10 ZIROBWE-WOBULENZI'!L52)</f>
        <v>0</v>
      </c>
      <c r="M52" s="49">
        <f>AVERAGE('17.10 ZIROBWE-WOBULENZI'!M52,'18.10 ZIROBWE-WOBULENZI'!M52,'19.10 ZIROBWE-WOBULENZI-24h'!M52,'20.10 ZIROBWE-WOBULENZI'!M52,'21.10 ZIROBWE-WOBULENZI-24h'!M52,'22.10 ZIROBWE-WOBULENZI'!M52,'23.10 ZIROBWE-WOBULENZI'!M52)</f>
        <v>18.571428571428573</v>
      </c>
      <c r="N52" s="49">
        <f>AVERAGE('17.10 ZIROBWE-WOBULENZI'!N52,'18.10 ZIROBWE-WOBULENZI'!N52,'19.10 ZIROBWE-WOBULENZI-24h'!N52,'20.10 ZIROBWE-WOBULENZI'!N52,'21.10 ZIROBWE-WOBULENZI-24h'!N52,'22.10 ZIROBWE-WOBULENZI'!N52,'23.10 ZIROBWE-WOBULENZI'!N52)</f>
        <v>0</v>
      </c>
      <c r="O52" s="15">
        <f t="shared" si="0"/>
        <v>2.8571428571428568</v>
      </c>
      <c r="P52" s="15">
        <f t="shared" si="1"/>
        <v>21.428571428571431</v>
      </c>
      <c r="R52" s="8"/>
      <c r="T52"/>
    </row>
    <row r="53" spans="2:20" ht="23.1" customHeight="1" x14ac:dyDescent="0.25">
      <c r="B53" s="23" t="s">
        <v>80</v>
      </c>
      <c r="C53" s="49">
        <f>AVERAGE('17.10 ZIROBWE-WOBULENZI'!C53,'18.10 ZIROBWE-WOBULENZI'!C53,'19.10 ZIROBWE-WOBULENZI-24h'!C53,'20.10 ZIROBWE-WOBULENZI'!C53,'21.10 ZIROBWE-WOBULENZI-24h'!C53,'22.10 ZIROBWE-WOBULENZI'!C53,'23.10 ZIROBWE-WOBULENZI'!C53)</f>
        <v>1.2857142857142858</v>
      </c>
      <c r="D53" s="49">
        <f>AVERAGE('17.10 ZIROBWE-WOBULENZI'!D53,'18.10 ZIROBWE-WOBULENZI'!D53,'19.10 ZIROBWE-WOBULENZI-24h'!D53,'20.10 ZIROBWE-WOBULENZI'!D53,'21.10 ZIROBWE-WOBULENZI-24h'!D53,'22.10 ZIROBWE-WOBULENZI'!D53,'23.10 ZIROBWE-WOBULENZI'!D53)</f>
        <v>0.42857142857142855</v>
      </c>
      <c r="E53" s="49">
        <f>AVERAGE('17.10 ZIROBWE-WOBULENZI'!E53,'18.10 ZIROBWE-WOBULENZI'!E53,'19.10 ZIROBWE-WOBULENZI-24h'!E53,'20.10 ZIROBWE-WOBULENZI'!E53,'21.10 ZIROBWE-WOBULENZI-24h'!E53,'22.10 ZIROBWE-WOBULENZI'!E53,'23.10 ZIROBWE-WOBULENZI'!E53)</f>
        <v>0</v>
      </c>
      <c r="F53" s="49">
        <f>AVERAGE('17.10 ZIROBWE-WOBULENZI'!F53,'18.10 ZIROBWE-WOBULENZI'!F53,'19.10 ZIROBWE-WOBULENZI-24h'!F53,'20.10 ZIROBWE-WOBULENZI'!F53,'21.10 ZIROBWE-WOBULENZI-24h'!F53,'22.10 ZIROBWE-WOBULENZI'!F53,'23.10 ZIROBWE-WOBULENZI'!F53)</f>
        <v>0.2857142857142857</v>
      </c>
      <c r="G53" s="49">
        <f>AVERAGE('17.10 ZIROBWE-WOBULENZI'!G53,'18.10 ZIROBWE-WOBULENZI'!G53,'19.10 ZIROBWE-WOBULENZI-24h'!G53,'20.10 ZIROBWE-WOBULENZI'!G53,'21.10 ZIROBWE-WOBULENZI-24h'!G53,'22.10 ZIROBWE-WOBULENZI'!G53,'23.10 ZIROBWE-WOBULENZI'!G53)</f>
        <v>0</v>
      </c>
      <c r="H53" s="49">
        <f>AVERAGE('17.10 ZIROBWE-WOBULENZI'!H53,'18.10 ZIROBWE-WOBULENZI'!H53,'19.10 ZIROBWE-WOBULENZI-24h'!H53,'20.10 ZIROBWE-WOBULENZI'!H53,'21.10 ZIROBWE-WOBULENZI-24h'!H53,'22.10 ZIROBWE-WOBULENZI'!H53,'23.10 ZIROBWE-WOBULENZI'!H53)</f>
        <v>0</v>
      </c>
      <c r="I53" s="49">
        <f>AVERAGE('17.10 ZIROBWE-WOBULENZI'!I53,'18.10 ZIROBWE-WOBULENZI'!I53,'19.10 ZIROBWE-WOBULENZI-24h'!I53,'20.10 ZIROBWE-WOBULENZI'!I53,'21.10 ZIROBWE-WOBULENZI-24h'!I53,'22.10 ZIROBWE-WOBULENZI'!I53,'23.10 ZIROBWE-WOBULENZI'!I53)</f>
        <v>0.14285714285714285</v>
      </c>
      <c r="J53" s="49">
        <f>AVERAGE('17.10 ZIROBWE-WOBULENZI'!J53,'18.10 ZIROBWE-WOBULENZI'!J53,'19.10 ZIROBWE-WOBULENZI-24h'!J53,'20.10 ZIROBWE-WOBULENZI'!J53,'21.10 ZIROBWE-WOBULENZI-24h'!J53,'22.10 ZIROBWE-WOBULENZI'!J53,'23.10 ZIROBWE-WOBULENZI'!J53)</f>
        <v>0.7142857142857143</v>
      </c>
      <c r="K53" s="49">
        <f>AVERAGE('17.10 ZIROBWE-WOBULENZI'!K53,'18.10 ZIROBWE-WOBULENZI'!K53,'19.10 ZIROBWE-WOBULENZI-24h'!K53,'20.10 ZIROBWE-WOBULENZI'!K53,'21.10 ZIROBWE-WOBULENZI-24h'!K53,'22.10 ZIROBWE-WOBULENZI'!K53,'23.10 ZIROBWE-WOBULENZI'!K53)</f>
        <v>0</v>
      </c>
      <c r="L53" s="49">
        <f>AVERAGE('17.10 ZIROBWE-WOBULENZI'!L53,'18.10 ZIROBWE-WOBULENZI'!L53,'19.10 ZIROBWE-WOBULENZI-24h'!L53,'20.10 ZIROBWE-WOBULENZI'!L53,'21.10 ZIROBWE-WOBULENZI-24h'!L53,'22.10 ZIROBWE-WOBULENZI'!L53,'23.10 ZIROBWE-WOBULENZI'!L53)</f>
        <v>0</v>
      </c>
      <c r="M53" s="49">
        <f>AVERAGE('17.10 ZIROBWE-WOBULENZI'!M53,'18.10 ZIROBWE-WOBULENZI'!M53,'19.10 ZIROBWE-WOBULENZI-24h'!M53,'20.10 ZIROBWE-WOBULENZI'!M53,'21.10 ZIROBWE-WOBULENZI-24h'!M53,'22.10 ZIROBWE-WOBULENZI'!M53,'23.10 ZIROBWE-WOBULENZI'!M53)</f>
        <v>17.857142857142858</v>
      </c>
      <c r="N53" s="49">
        <f>AVERAGE('17.10 ZIROBWE-WOBULENZI'!N53,'18.10 ZIROBWE-WOBULENZI'!N53,'19.10 ZIROBWE-WOBULENZI-24h'!N53,'20.10 ZIROBWE-WOBULENZI'!N53,'21.10 ZIROBWE-WOBULENZI-24h'!N53,'22.10 ZIROBWE-WOBULENZI'!N53,'23.10 ZIROBWE-WOBULENZI'!N53)</f>
        <v>0</v>
      </c>
      <c r="O53" s="15">
        <f t="shared" si="0"/>
        <v>2.8571428571428572</v>
      </c>
      <c r="P53" s="15">
        <f t="shared" si="1"/>
        <v>20.714285714285715</v>
      </c>
      <c r="R53" s="8"/>
      <c r="T53"/>
    </row>
    <row r="54" spans="2:20" ht="23.1" customHeight="1" x14ac:dyDescent="0.25">
      <c r="B54" s="23" t="s">
        <v>81</v>
      </c>
      <c r="C54" s="49">
        <f>AVERAGE('17.10 ZIROBWE-WOBULENZI'!C54,'18.10 ZIROBWE-WOBULENZI'!C54,'19.10 ZIROBWE-WOBULENZI-24h'!C54,'20.10 ZIROBWE-WOBULENZI'!C54,'21.10 ZIROBWE-WOBULENZI-24h'!C54,'22.10 ZIROBWE-WOBULENZI'!C54,'23.10 ZIROBWE-WOBULENZI'!C54)</f>
        <v>0.5714285714285714</v>
      </c>
      <c r="D54" s="49">
        <f>AVERAGE('17.10 ZIROBWE-WOBULENZI'!D54,'18.10 ZIROBWE-WOBULENZI'!D54,'19.10 ZIROBWE-WOBULENZI-24h'!D54,'20.10 ZIROBWE-WOBULENZI'!D54,'21.10 ZIROBWE-WOBULENZI-24h'!D54,'22.10 ZIROBWE-WOBULENZI'!D54,'23.10 ZIROBWE-WOBULENZI'!D54)</f>
        <v>0.14285714285714285</v>
      </c>
      <c r="E54" s="49">
        <f>AVERAGE('17.10 ZIROBWE-WOBULENZI'!E54,'18.10 ZIROBWE-WOBULENZI'!E54,'19.10 ZIROBWE-WOBULENZI-24h'!E54,'20.10 ZIROBWE-WOBULENZI'!E54,'21.10 ZIROBWE-WOBULENZI-24h'!E54,'22.10 ZIROBWE-WOBULENZI'!E54,'23.10 ZIROBWE-WOBULENZI'!E54)</f>
        <v>0.14285714285714285</v>
      </c>
      <c r="F54" s="49">
        <f>AVERAGE('17.10 ZIROBWE-WOBULENZI'!F54,'18.10 ZIROBWE-WOBULENZI'!F54,'19.10 ZIROBWE-WOBULENZI-24h'!F54,'20.10 ZIROBWE-WOBULENZI'!F54,'21.10 ZIROBWE-WOBULENZI-24h'!F54,'22.10 ZIROBWE-WOBULENZI'!F54,'23.10 ZIROBWE-WOBULENZI'!F54)</f>
        <v>0.5714285714285714</v>
      </c>
      <c r="G54" s="49">
        <f>AVERAGE('17.10 ZIROBWE-WOBULENZI'!G54,'18.10 ZIROBWE-WOBULENZI'!G54,'19.10 ZIROBWE-WOBULENZI-24h'!G54,'20.10 ZIROBWE-WOBULENZI'!G54,'21.10 ZIROBWE-WOBULENZI-24h'!G54,'22.10 ZIROBWE-WOBULENZI'!G54,'23.10 ZIROBWE-WOBULENZI'!G54)</f>
        <v>0</v>
      </c>
      <c r="H54" s="49">
        <f>AVERAGE('17.10 ZIROBWE-WOBULENZI'!H54,'18.10 ZIROBWE-WOBULENZI'!H54,'19.10 ZIROBWE-WOBULENZI-24h'!H54,'20.10 ZIROBWE-WOBULENZI'!H54,'21.10 ZIROBWE-WOBULENZI-24h'!H54,'22.10 ZIROBWE-WOBULENZI'!H54,'23.10 ZIROBWE-WOBULENZI'!H54)</f>
        <v>0</v>
      </c>
      <c r="I54" s="49">
        <f>AVERAGE('17.10 ZIROBWE-WOBULENZI'!I54,'18.10 ZIROBWE-WOBULENZI'!I54,'19.10 ZIROBWE-WOBULENZI-24h'!I54,'20.10 ZIROBWE-WOBULENZI'!I54,'21.10 ZIROBWE-WOBULENZI-24h'!I54,'22.10 ZIROBWE-WOBULENZI'!I54,'23.10 ZIROBWE-WOBULENZI'!I54)</f>
        <v>0.7142857142857143</v>
      </c>
      <c r="J54" s="49">
        <f>AVERAGE('17.10 ZIROBWE-WOBULENZI'!J54,'18.10 ZIROBWE-WOBULENZI'!J54,'19.10 ZIROBWE-WOBULENZI-24h'!J54,'20.10 ZIROBWE-WOBULENZI'!J54,'21.10 ZIROBWE-WOBULENZI-24h'!J54,'22.10 ZIROBWE-WOBULENZI'!J54,'23.10 ZIROBWE-WOBULENZI'!J54)</f>
        <v>0.5714285714285714</v>
      </c>
      <c r="K54" s="49">
        <f>AVERAGE('17.10 ZIROBWE-WOBULENZI'!K54,'18.10 ZIROBWE-WOBULENZI'!K54,'19.10 ZIROBWE-WOBULENZI-24h'!K54,'20.10 ZIROBWE-WOBULENZI'!K54,'21.10 ZIROBWE-WOBULENZI-24h'!K54,'22.10 ZIROBWE-WOBULENZI'!K54,'23.10 ZIROBWE-WOBULENZI'!K54)</f>
        <v>0</v>
      </c>
      <c r="L54" s="49">
        <f>AVERAGE('17.10 ZIROBWE-WOBULENZI'!L54,'18.10 ZIROBWE-WOBULENZI'!L54,'19.10 ZIROBWE-WOBULENZI-24h'!L54,'20.10 ZIROBWE-WOBULENZI'!L54,'21.10 ZIROBWE-WOBULENZI-24h'!L54,'22.10 ZIROBWE-WOBULENZI'!L54,'23.10 ZIROBWE-WOBULENZI'!L54)</f>
        <v>0</v>
      </c>
      <c r="M54" s="49">
        <f>AVERAGE('17.10 ZIROBWE-WOBULENZI'!M54,'18.10 ZIROBWE-WOBULENZI'!M54,'19.10 ZIROBWE-WOBULENZI-24h'!M54,'20.10 ZIROBWE-WOBULENZI'!M54,'21.10 ZIROBWE-WOBULENZI-24h'!M54,'22.10 ZIROBWE-WOBULENZI'!M54,'23.10 ZIROBWE-WOBULENZI'!M54)</f>
        <v>20.428571428571427</v>
      </c>
      <c r="N54" s="49">
        <f>AVERAGE('17.10 ZIROBWE-WOBULENZI'!N54,'18.10 ZIROBWE-WOBULENZI'!N54,'19.10 ZIROBWE-WOBULENZI-24h'!N54,'20.10 ZIROBWE-WOBULENZI'!N54,'21.10 ZIROBWE-WOBULENZI-24h'!N54,'22.10 ZIROBWE-WOBULENZI'!N54,'23.10 ZIROBWE-WOBULENZI'!N54)</f>
        <v>0</v>
      </c>
      <c r="O54" s="15">
        <f t="shared" si="0"/>
        <v>2.7142857142857144</v>
      </c>
      <c r="P54" s="15">
        <f t="shared" si="1"/>
        <v>23.142857142857142</v>
      </c>
      <c r="R54" s="8"/>
      <c r="T54"/>
    </row>
    <row r="55" spans="2:20" ht="23.1" customHeight="1" x14ac:dyDescent="0.25">
      <c r="B55" s="23" t="s">
        <v>82</v>
      </c>
      <c r="C55" s="49">
        <f>AVERAGE('17.10 ZIROBWE-WOBULENZI'!C55,'18.10 ZIROBWE-WOBULENZI'!C55,'19.10 ZIROBWE-WOBULENZI-24h'!C55,'20.10 ZIROBWE-WOBULENZI'!C55,'21.10 ZIROBWE-WOBULENZI-24h'!C55,'22.10 ZIROBWE-WOBULENZI'!C55,'23.10 ZIROBWE-WOBULENZI'!C55)</f>
        <v>1</v>
      </c>
      <c r="D55" s="49">
        <f>AVERAGE('17.10 ZIROBWE-WOBULENZI'!D55,'18.10 ZIROBWE-WOBULENZI'!D55,'19.10 ZIROBWE-WOBULENZI-24h'!D55,'20.10 ZIROBWE-WOBULENZI'!D55,'21.10 ZIROBWE-WOBULENZI-24h'!D55,'22.10 ZIROBWE-WOBULENZI'!D55,'23.10 ZIROBWE-WOBULENZI'!D55)</f>
        <v>0.7142857142857143</v>
      </c>
      <c r="E55" s="49">
        <f>AVERAGE('17.10 ZIROBWE-WOBULENZI'!E55,'18.10 ZIROBWE-WOBULENZI'!E55,'19.10 ZIROBWE-WOBULENZI-24h'!E55,'20.10 ZIROBWE-WOBULENZI'!E55,'21.10 ZIROBWE-WOBULENZI-24h'!E55,'22.10 ZIROBWE-WOBULENZI'!E55,'23.10 ZIROBWE-WOBULENZI'!E55)</f>
        <v>0.14285714285714285</v>
      </c>
      <c r="F55" s="49">
        <f>AVERAGE('17.10 ZIROBWE-WOBULENZI'!F55,'18.10 ZIROBWE-WOBULENZI'!F55,'19.10 ZIROBWE-WOBULENZI-24h'!F55,'20.10 ZIROBWE-WOBULENZI'!F55,'21.10 ZIROBWE-WOBULENZI-24h'!F55,'22.10 ZIROBWE-WOBULENZI'!F55,'23.10 ZIROBWE-WOBULENZI'!F55)</f>
        <v>0.14285714285714285</v>
      </c>
      <c r="G55" s="49">
        <f>AVERAGE('17.10 ZIROBWE-WOBULENZI'!G55,'18.10 ZIROBWE-WOBULENZI'!G55,'19.10 ZIROBWE-WOBULENZI-24h'!G55,'20.10 ZIROBWE-WOBULENZI'!G55,'21.10 ZIROBWE-WOBULENZI-24h'!G55,'22.10 ZIROBWE-WOBULENZI'!G55,'23.10 ZIROBWE-WOBULENZI'!G55)</f>
        <v>0</v>
      </c>
      <c r="H55" s="49">
        <f>AVERAGE('17.10 ZIROBWE-WOBULENZI'!H55,'18.10 ZIROBWE-WOBULENZI'!H55,'19.10 ZIROBWE-WOBULENZI-24h'!H55,'20.10 ZIROBWE-WOBULENZI'!H55,'21.10 ZIROBWE-WOBULENZI-24h'!H55,'22.10 ZIROBWE-WOBULENZI'!H55,'23.10 ZIROBWE-WOBULENZI'!H55)</f>
        <v>0</v>
      </c>
      <c r="I55" s="49">
        <f>AVERAGE('17.10 ZIROBWE-WOBULENZI'!I55,'18.10 ZIROBWE-WOBULENZI'!I55,'19.10 ZIROBWE-WOBULENZI-24h'!I55,'20.10 ZIROBWE-WOBULENZI'!I55,'21.10 ZIROBWE-WOBULENZI-24h'!I55,'22.10 ZIROBWE-WOBULENZI'!I55,'23.10 ZIROBWE-WOBULENZI'!I55)</f>
        <v>1.4285714285714286</v>
      </c>
      <c r="J55" s="49">
        <f>AVERAGE('17.10 ZIROBWE-WOBULENZI'!J55,'18.10 ZIROBWE-WOBULENZI'!J55,'19.10 ZIROBWE-WOBULENZI-24h'!J55,'20.10 ZIROBWE-WOBULENZI'!J55,'21.10 ZIROBWE-WOBULENZI-24h'!J55,'22.10 ZIROBWE-WOBULENZI'!J55,'23.10 ZIROBWE-WOBULENZI'!J55)</f>
        <v>0.42857142857142855</v>
      </c>
      <c r="K55" s="49">
        <f>AVERAGE('17.10 ZIROBWE-WOBULENZI'!K55,'18.10 ZIROBWE-WOBULENZI'!K55,'19.10 ZIROBWE-WOBULENZI-24h'!K55,'20.10 ZIROBWE-WOBULENZI'!K55,'21.10 ZIROBWE-WOBULENZI-24h'!K55,'22.10 ZIROBWE-WOBULENZI'!K55,'23.10 ZIROBWE-WOBULENZI'!K55)</f>
        <v>0</v>
      </c>
      <c r="L55" s="49">
        <f>AVERAGE('17.10 ZIROBWE-WOBULENZI'!L55,'18.10 ZIROBWE-WOBULENZI'!L55,'19.10 ZIROBWE-WOBULENZI-24h'!L55,'20.10 ZIROBWE-WOBULENZI'!L55,'21.10 ZIROBWE-WOBULENZI-24h'!L55,'22.10 ZIROBWE-WOBULENZI'!L55,'23.10 ZIROBWE-WOBULENZI'!L55)</f>
        <v>0</v>
      </c>
      <c r="M55" s="49">
        <f>AVERAGE('17.10 ZIROBWE-WOBULENZI'!M55,'18.10 ZIROBWE-WOBULENZI'!M55,'19.10 ZIROBWE-WOBULENZI-24h'!M55,'20.10 ZIROBWE-WOBULENZI'!M55,'21.10 ZIROBWE-WOBULENZI-24h'!M55,'22.10 ZIROBWE-WOBULENZI'!M55,'23.10 ZIROBWE-WOBULENZI'!M55)</f>
        <v>24.142857142857142</v>
      </c>
      <c r="N55" s="49">
        <f>AVERAGE('17.10 ZIROBWE-WOBULENZI'!N55,'18.10 ZIROBWE-WOBULENZI'!N55,'19.10 ZIROBWE-WOBULENZI-24h'!N55,'20.10 ZIROBWE-WOBULENZI'!N55,'21.10 ZIROBWE-WOBULENZI-24h'!N55,'22.10 ZIROBWE-WOBULENZI'!N55,'23.10 ZIROBWE-WOBULENZI'!N55)</f>
        <v>0</v>
      </c>
      <c r="O55" s="15">
        <f t="shared" si="0"/>
        <v>3.8571428571428572</v>
      </c>
      <c r="P55" s="15">
        <f t="shared" si="1"/>
        <v>28</v>
      </c>
      <c r="R55" s="8"/>
      <c r="T55"/>
    </row>
    <row r="56" spans="2:20" ht="23.1" customHeight="1" x14ac:dyDescent="0.25">
      <c r="B56" s="23" t="s">
        <v>83</v>
      </c>
      <c r="C56" s="49">
        <f>AVERAGE('17.10 ZIROBWE-WOBULENZI'!C56,'18.10 ZIROBWE-WOBULENZI'!C56,'19.10 ZIROBWE-WOBULENZI-24h'!C56,'20.10 ZIROBWE-WOBULENZI'!C56,'21.10 ZIROBWE-WOBULENZI-24h'!C56,'22.10 ZIROBWE-WOBULENZI'!C56,'23.10 ZIROBWE-WOBULENZI'!C56)</f>
        <v>0.7142857142857143</v>
      </c>
      <c r="D56" s="49">
        <f>AVERAGE('17.10 ZIROBWE-WOBULENZI'!D56,'18.10 ZIROBWE-WOBULENZI'!D56,'19.10 ZIROBWE-WOBULENZI-24h'!D56,'20.10 ZIROBWE-WOBULENZI'!D56,'21.10 ZIROBWE-WOBULENZI-24h'!D56,'22.10 ZIROBWE-WOBULENZI'!D56,'23.10 ZIROBWE-WOBULENZI'!D56)</f>
        <v>0.5714285714285714</v>
      </c>
      <c r="E56" s="49">
        <f>AVERAGE('17.10 ZIROBWE-WOBULENZI'!E56,'18.10 ZIROBWE-WOBULENZI'!E56,'19.10 ZIROBWE-WOBULENZI-24h'!E56,'20.10 ZIROBWE-WOBULENZI'!E56,'21.10 ZIROBWE-WOBULENZI-24h'!E56,'22.10 ZIROBWE-WOBULENZI'!E56,'23.10 ZIROBWE-WOBULENZI'!E56)</f>
        <v>0.5714285714285714</v>
      </c>
      <c r="F56" s="49">
        <f>AVERAGE('17.10 ZIROBWE-WOBULENZI'!F56,'18.10 ZIROBWE-WOBULENZI'!F56,'19.10 ZIROBWE-WOBULENZI-24h'!F56,'20.10 ZIROBWE-WOBULENZI'!F56,'21.10 ZIROBWE-WOBULENZI-24h'!F56,'22.10 ZIROBWE-WOBULENZI'!F56,'23.10 ZIROBWE-WOBULENZI'!F56)</f>
        <v>0.2857142857142857</v>
      </c>
      <c r="G56" s="49">
        <f>AVERAGE('17.10 ZIROBWE-WOBULENZI'!G56,'18.10 ZIROBWE-WOBULENZI'!G56,'19.10 ZIROBWE-WOBULENZI-24h'!G56,'20.10 ZIROBWE-WOBULENZI'!G56,'21.10 ZIROBWE-WOBULENZI-24h'!G56,'22.10 ZIROBWE-WOBULENZI'!G56,'23.10 ZIROBWE-WOBULENZI'!G56)</f>
        <v>0</v>
      </c>
      <c r="H56" s="49">
        <f>AVERAGE('17.10 ZIROBWE-WOBULENZI'!H56,'18.10 ZIROBWE-WOBULENZI'!H56,'19.10 ZIROBWE-WOBULENZI-24h'!H56,'20.10 ZIROBWE-WOBULENZI'!H56,'21.10 ZIROBWE-WOBULENZI-24h'!H56,'22.10 ZIROBWE-WOBULENZI'!H56,'23.10 ZIROBWE-WOBULENZI'!H56)</f>
        <v>0</v>
      </c>
      <c r="I56" s="49">
        <f>AVERAGE('17.10 ZIROBWE-WOBULENZI'!I56,'18.10 ZIROBWE-WOBULENZI'!I56,'19.10 ZIROBWE-WOBULENZI-24h'!I56,'20.10 ZIROBWE-WOBULENZI'!I56,'21.10 ZIROBWE-WOBULENZI-24h'!I56,'22.10 ZIROBWE-WOBULENZI'!I56,'23.10 ZIROBWE-WOBULENZI'!I56)</f>
        <v>0.5714285714285714</v>
      </c>
      <c r="J56" s="49">
        <f>AVERAGE('17.10 ZIROBWE-WOBULENZI'!J56,'18.10 ZIROBWE-WOBULENZI'!J56,'19.10 ZIROBWE-WOBULENZI-24h'!J56,'20.10 ZIROBWE-WOBULENZI'!J56,'21.10 ZIROBWE-WOBULENZI-24h'!J56,'22.10 ZIROBWE-WOBULENZI'!J56,'23.10 ZIROBWE-WOBULENZI'!J56)</f>
        <v>1.1428571428571428</v>
      </c>
      <c r="K56" s="49">
        <f>AVERAGE('17.10 ZIROBWE-WOBULENZI'!K56,'18.10 ZIROBWE-WOBULENZI'!K56,'19.10 ZIROBWE-WOBULENZI-24h'!K56,'20.10 ZIROBWE-WOBULENZI'!K56,'21.10 ZIROBWE-WOBULENZI-24h'!K56,'22.10 ZIROBWE-WOBULENZI'!K56,'23.10 ZIROBWE-WOBULENZI'!K56)</f>
        <v>0</v>
      </c>
      <c r="L56" s="49">
        <f>AVERAGE('17.10 ZIROBWE-WOBULENZI'!L56,'18.10 ZIROBWE-WOBULENZI'!L56,'19.10 ZIROBWE-WOBULENZI-24h'!L56,'20.10 ZIROBWE-WOBULENZI'!L56,'21.10 ZIROBWE-WOBULENZI-24h'!L56,'22.10 ZIROBWE-WOBULENZI'!L56,'23.10 ZIROBWE-WOBULENZI'!L56)</f>
        <v>0</v>
      </c>
      <c r="M56" s="49">
        <f>AVERAGE('17.10 ZIROBWE-WOBULENZI'!M56,'18.10 ZIROBWE-WOBULENZI'!M56,'19.10 ZIROBWE-WOBULENZI-24h'!M56,'20.10 ZIROBWE-WOBULENZI'!M56,'21.10 ZIROBWE-WOBULENZI-24h'!M56,'22.10 ZIROBWE-WOBULENZI'!M56,'23.10 ZIROBWE-WOBULENZI'!M56)</f>
        <v>23.428571428571427</v>
      </c>
      <c r="N56" s="49">
        <f>AVERAGE('17.10 ZIROBWE-WOBULENZI'!N56,'18.10 ZIROBWE-WOBULENZI'!N56,'19.10 ZIROBWE-WOBULENZI-24h'!N56,'20.10 ZIROBWE-WOBULENZI'!N56,'21.10 ZIROBWE-WOBULENZI-24h'!N56,'22.10 ZIROBWE-WOBULENZI'!N56,'23.10 ZIROBWE-WOBULENZI'!N56)</f>
        <v>0.14285714285714285</v>
      </c>
      <c r="O56" s="15">
        <f t="shared" si="0"/>
        <v>4</v>
      </c>
      <c r="P56" s="15">
        <f t="shared" si="1"/>
        <v>27.428571428571427</v>
      </c>
      <c r="R56" s="8"/>
      <c r="T56"/>
    </row>
    <row r="57" spans="2:20" ht="23.1" customHeight="1" x14ac:dyDescent="0.25">
      <c r="B57" s="23" t="s">
        <v>84</v>
      </c>
      <c r="C57" s="49">
        <f>AVERAGE('17.10 ZIROBWE-WOBULENZI'!C57,'18.10 ZIROBWE-WOBULENZI'!C57,'19.10 ZIROBWE-WOBULENZI-24h'!C57,'20.10 ZIROBWE-WOBULENZI'!C57,'21.10 ZIROBWE-WOBULENZI-24h'!C57,'22.10 ZIROBWE-WOBULENZI'!C57,'23.10 ZIROBWE-WOBULENZI'!C57)</f>
        <v>0.42857142857142855</v>
      </c>
      <c r="D57" s="49">
        <f>AVERAGE('17.10 ZIROBWE-WOBULENZI'!D57,'18.10 ZIROBWE-WOBULENZI'!D57,'19.10 ZIROBWE-WOBULENZI-24h'!D57,'20.10 ZIROBWE-WOBULENZI'!D57,'21.10 ZIROBWE-WOBULENZI-24h'!D57,'22.10 ZIROBWE-WOBULENZI'!D57,'23.10 ZIROBWE-WOBULENZI'!D57)</f>
        <v>0.2857142857142857</v>
      </c>
      <c r="E57" s="49">
        <f>AVERAGE('17.10 ZIROBWE-WOBULENZI'!E57,'18.10 ZIROBWE-WOBULENZI'!E57,'19.10 ZIROBWE-WOBULENZI-24h'!E57,'20.10 ZIROBWE-WOBULENZI'!E57,'21.10 ZIROBWE-WOBULENZI-24h'!E57,'22.10 ZIROBWE-WOBULENZI'!E57,'23.10 ZIROBWE-WOBULENZI'!E57)</f>
        <v>0.2857142857142857</v>
      </c>
      <c r="F57" s="49">
        <f>AVERAGE('17.10 ZIROBWE-WOBULENZI'!F57,'18.10 ZIROBWE-WOBULENZI'!F57,'19.10 ZIROBWE-WOBULENZI-24h'!F57,'20.10 ZIROBWE-WOBULENZI'!F57,'21.10 ZIROBWE-WOBULENZI-24h'!F57,'22.10 ZIROBWE-WOBULENZI'!F57,'23.10 ZIROBWE-WOBULENZI'!F57)</f>
        <v>0.2857142857142857</v>
      </c>
      <c r="G57" s="49">
        <f>AVERAGE('17.10 ZIROBWE-WOBULENZI'!G57,'18.10 ZIROBWE-WOBULENZI'!G57,'19.10 ZIROBWE-WOBULENZI-24h'!G57,'20.10 ZIROBWE-WOBULENZI'!G57,'21.10 ZIROBWE-WOBULENZI-24h'!G57,'22.10 ZIROBWE-WOBULENZI'!G57,'23.10 ZIROBWE-WOBULENZI'!G57)</f>
        <v>0</v>
      </c>
      <c r="H57" s="49">
        <f>AVERAGE('17.10 ZIROBWE-WOBULENZI'!H57,'18.10 ZIROBWE-WOBULENZI'!H57,'19.10 ZIROBWE-WOBULENZI-24h'!H57,'20.10 ZIROBWE-WOBULENZI'!H57,'21.10 ZIROBWE-WOBULENZI-24h'!H57,'22.10 ZIROBWE-WOBULENZI'!H57,'23.10 ZIROBWE-WOBULENZI'!H57)</f>
        <v>0</v>
      </c>
      <c r="I57" s="49">
        <f>AVERAGE('17.10 ZIROBWE-WOBULENZI'!I57,'18.10 ZIROBWE-WOBULENZI'!I57,'19.10 ZIROBWE-WOBULENZI-24h'!I57,'20.10 ZIROBWE-WOBULENZI'!I57,'21.10 ZIROBWE-WOBULENZI-24h'!I57,'22.10 ZIROBWE-WOBULENZI'!I57,'23.10 ZIROBWE-WOBULENZI'!I57)</f>
        <v>0.2857142857142857</v>
      </c>
      <c r="J57" s="49">
        <f>AVERAGE('17.10 ZIROBWE-WOBULENZI'!J57,'18.10 ZIROBWE-WOBULENZI'!J57,'19.10 ZIROBWE-WOBULENZI-24h'!J57,'20.10 ZIROBWE-WOBULENZI'!J57,'21.10 ZIROBWE-WOBULENZI-24h'!J57,'22.10 ZIROBWE-WOBULENZI'!J57,'23.10 ZIROBWE-WOBULENZI'!J57)</f>
        <v>1</v>
      </c>
      <c r="K57" s="49">
        <f>AVERAGE('17.10 ZIROBWE-WOBULENZI'!K57,'18.10 ZIROBWE-WOBULENZI'!K57,'19.10 ZIROBWE-WOBULENZI-24h'!K57,'20.10 ZIROBWE-WOBULENZI'!K57,'21.10 ZIROBWE-WOBULENZI-24h'!K57,'22.10 ZIROBWE-WOBULENZI'!K57,'23.10 ZIROBWE-WOBULENZI'!K57)</f>
        <v>0</v>
      </c>
      <c r="L57" s="49">
        <f>AVERAGE('17.10 ZIROBWE-WOBULENZI'!L57,'18.10 ZIROBWE-WOBULENZI'!L57,'19.10 ZIROBWE-WOBULENZI-24h'!L57,'20.10 ZIROBWE-WOBULENZI'!L57,'21.10 ZIROBWE-WOBULENZI-24h'!L57,'22.10 ZIROBWE-WOBULENZI'!L57,'23.10 ZIROBWE-WOBULENZI'!L57)</f>
        <v>0</v>
      </c>
      <c r="M57" s="49">
        <f>AVERAGE('17.10 ZIROBWE-WOBULENZI'!M57,'18.10 ZIROBWE-WOBULENZI'!M57,'19.10 ZIROBWE-WOBULENZI-24h'!M57,'20.10 ZIROBWE-WOBULENZI'!M57,'21.10 ZIROBWE-WOBULENZI-24h'!M57,'22.10 ZIROBWE-WOBULENZI'!M57,'23.10 ZIROBWE-WOBULENZI'!M57)</f>
        <v>22.571428571428573</v>
      </c>
      <c r="N57" s="49">
        <f>AVERAGE('17.10 ZIROBWE-WOBULENZI'!N57,'18.10 ZIROBWE-WOBULENZI'!N57,'19.10 ZIROBWE-WOBULENZI-24h'!N57,'20.10 ZIROBWE-WOBULENZI'!N57,'21.10 ZIROBWE-WOBULENZI-24h'!N57,'22.10 ZIROBWE-WOBULENZI'!N57,'23.10 ZIROBWE-WOBULENZI'!N57)</f>
        <v>0</v>
      </c>
      <c r="O57" s="15">
        <f t="shared" si="0"/>
        <v>2.5714285714285712</v>
      </c>
      <c r="P57" s="15">
        <f t="shared" si="1"/>
        <v>25.142857142857146</v>
      </c>
      <c r="R57" s="8"/>
      <c r="T57"/>
    </row>
    <row r="58" spans="2:20" ht="23.1" customHeight="1" x14ac:dyDescent="0.25">
      <c r="B58" s="23" t="s">
        <v>99</v>
      </c>
      <c r="C58" s="49">
        <f>AVERAGE('19.10 ZIROBWE-WOBULENZI-24h'!C58,'21.10 ZIROBWE-WOBULENZI-24h'!C58)</f>
        <v>0.5</v>
      </c>
      <c r="D58" s="49">
        <f>AVERAGE('19.10 ZIROBWE-WOBULENZI-24h'!D58,'21.10 ZIROBWE-WOBULENZI-24h'!D58)</f>
        <v>0</v>
      </c>
      <c r="E58" s="49">
        <f>AVERAGE('19.10 ZIROBWE-WOBULENZI-24h'!E58,'21.10 ZIROBWE-WOBULENZI-24h'!E58)</f>
        <v>0</v>
      </c>
      <c r="F58" s="49">
        <f>AVERAGE('19.10 ZIROBWE-WOBULENZI-24h'!F58,'21.10 ZIROBWE-WOBULENZI-24h'!F58)</f>
        <v>0.5</v>
      </c>
      <c r="G58" s="49">
        <f>AVERAGE('19.10 ZIROBWE-WOBULENZI-24h'!G58,'21.10 ZIROBWE-WOBULENZI-24h'!G58)</f>
        <v>0</v>
      </c>
      <c r="H58" s="49">
        <f>AVERAGE('19.10 ZIROBWE-WOBULENZI-24h'!H58,'21.10 ZIROBWE-WOBULENZI-24h'!H58)</f>
        <v>0</v>
      </c>
      <c r="I58" s="49">
        <f>AVERAGE('19.10 ZIROBWE-WOBULENZI-24h'!I58,'21.10 ZIROBWE-WOBULENZI-24h'!I58)</f>
        <v>0</v>
      </c>
      <c r="J58" s="49">
        <f>AVERAGE('19.10 ZIROBWE-WOBULENZI-24h'!J58,'21.10 ZIROBWE-WOBULENZI-24h'!J58)</f>
        <v>1</v>
      </c>
      <c r="K58" s="49">
        <f>AVERAGE('19.10 ZIROBWE-WOBULENZI-24h'!K58,'21.10 ZIROBWE-WOBULENZI-24h'!K58)</f>
        <v>0</v>
      </c>
      <c r="L58" s="49">
        <f>AVERAGE('19.10 ZIROBWE-WOBULENZI-24h'!L58,'21.10 ZIROBWE-WOBULENZI-24h'!L58)</f>
        <v>0</v>
      </c>
      <c r="M58" s="49">
        <f>AVERAGE('19.10 ZIROBWE-WOBULENZI-24h'!M58,'21.10 ZIROBWE-WOBULENZI-24h'!M58)</f>
        <v>21</v>
      </c>
      <c r="N58" s="49">
        <f>AVERAGE('19.10 ZIROBWE-WOBULENZI-24h'!N58,'21.10 ZIROBWE-WOBULENZI-24h'!N58)</f>
        <v>0</v>
      </c>
      <c r="O58" s="15">
        <f t="shared" si="0"/>
        <v>2</v>
      </c>
      <c r="P58" s="15">
        <f t="shared" si="1"/>
        <v>23</v>
      </c>
      <c r="R58" s="8"/>
      <c r="T58"/>
    </row>
    <row r="59" spans="2:20" ht="23.1" customHeight="1" x14ac:dyDescent="0.25">
      <c r="B59" s="23" t="s">
        <v>100</v>
      </c>
      <c r="C59" s="49">
        <f>AVERAGE('19.10 ZIROBWE-WOBULENZI-24h'!C59,'21.10 ZIROBWE-WOBULENZI-24h'!C59)</f>
        <v>0.5</v>
      </c>
      <c r="D59" s="49">
        <f>AVERAGE('19.10 ZIROBWE-WOBULENZI-24h'!D59,'21.10 ZIROBWE-WOBULENZI-24h'!D59)</f>
        <v>0.5</v>
      </c>
      <c r="E59" s="49">
        <f>AVERAGE('19.10 ZIROBWE-WOBULENZI-24h'!E59,'21.10 ZIROBWE-WOBULENZI-24h'!E59)</f>
        <v>0.5</v>
      </c>
      <c r="F59" s="49">
        <f>AVERAGE('19.10 ZIROBWE-WOBULENZI-24h'!F59,'21.10 ZIROBWE-WOBULENZI-24h'!F59)</f>
        <v>0.5</v>
      </c>
      <c r="G59" s="49">
        <f>AVERAGE('19.10 ZIROBWE-WOBULENZI-24h'!G59,'21.10 ZIROBWE-WOBULENZI-24h'!G59)</f>
        <v>0</v>
      </c>
      <c r="H59" s="49">
        <f>AVERAGE('19.10 ZIROBWE-WOBULENZI-24h'!H59,'21.10 ZIROBWE-WOBULENZI-24h'!H59)</f>
        <v>0</v>
      </c>
      <c r="I59" s="49">
        <f>AVERAGE('19.10 ZIROBWE-WOBULENZI-24h'!I59,'21.10 ZIROBWE-WOBULENZI-24h'!I59)</f>
        <v>1.5</v>
      </c>
      <c r="J59" s="49">
        <f>AVERAGE('19.10 ZIROBWE-WOBULENZI-24h'!J59,'21.10 ZIROBWE-WOBULENZI-24h'!J59)</f>
        <v>0</v>
      </c>
      <c r="K59" s="49">
        <f>AVERAGE('19.10 ZIROBWE-WOBULENZI-24h'!K59,'21.10 ZIROBWE-WOBULENZI-24h'!K59)</f>
        <v>0</v>
      </c>
      <c r="L59" s="49">
        <f>AVERAGE('19.10 ZIROBWE-WOBULENZI-24h'!L59,'21.10 ZIROBWE-WOBULENZI-24h'!L59)</f>
        <v>0</v>
      </c>
      <c r="M59" s="49">
        <f>AVERAGE('19.10 ZIROBWE-WOBULENZI-24h'!M59,'21.10 ZIROBWE-WOBULENZI-24h'!M59)</f>
        <v>28.5</v>
      </c>
      <c r="N59" s="49">
        <f>AVERAGE('19.10 ZIROBWE-WOBULENZI-24h'!N59,'21.10 ZIROBWE-WOBULENZI-24h'!N59)</f>
        <v>0</v>
      </c>
      <c r="O59" s="15">
        <f t="shared" si="0"/>
        <v>3.5</v>
      </c>
      <c r="P59" s="15">
        <f t="shared" si="1"/>
        <v>32</v>
      </c>
      <c r="R59" s="8"/>
      <c r="T59"/>
    </row>
    <row r="60" spans="2:20" ht="23.1" customHeight="1" x14ac:dyDescent="0.25">
      <c r="B60" s="23" t="s">
        <v>101</v>
      </c>
      <c r="C60" s="49">
        <f>AVERAGE('19.10 ZIROBWE-WOBULENZI-24h'!C60,'21.10 ZIROBWE-WOBULENZI-24h'!C60)</f>
        <v>1</v>
      </c>
      <c r="D60" s="49">
        <f>AVERAGE('19.10 ZIROBWE-WOBULENZI-24h'!D60,'21.10 ZIROBWE-WOBULENZI-24h'!D60)</f>
        <v>0</v>
      </c>
      <c r="E60" s="49">
        <f>AVERAGE('19.10 ZIROBWE-WOBULENZI-24h'!E60,'21.10 ZIROBWE-WOBULENZI-24h'!E60)</f>
        <v>0.5</v>
      </c>
      <c r="F60" s="49">
        <f>AVERAGE('19.10 ZIROBWE-WOBULENZI-24h'!F60,'21.10 ZIROBWE-WOBULENZI-24h'!F60)</f>
        <v>1</v>
      </c>
      <c r="G60" s="49">
        <f>AVERAGE('19.10 ZIROBWE-WOBULENZI-24h'!G60,'21.10 ZIROBWE-WOBULENZI-24h'!G60)</f>
        <v>0</v>
      </c>
      <c r="H60" s="49">
        <f>AVERAGE('19.10 ZIROBWE-WOBULENZI-24h'!H60,'21.10 ZIROBWE-WOBULENZI-24h'!H60)</f>
        <v>0</v>
      </c>
      <c r="I60" s="49">
        <f>AVERAGE('19.10 ZIROBWE-WOBULENZI-24h'!I60,'21.10 ZIROBWE-WOBULENZI-24h'!I60)</f>
        <v>1.5</v>
      </c>
      <c r="J60" s="49">
        <f>AVERAGE('19.10 ZIROBWE-WOBULENZI-24h'!J60,'21.10 ZIROBWE-WOBULENZI-24h'!J60)</f>
        <v>0.5</v>
      </c>
      <c r="K60" s="49">
        <f>AVERAGE('19.10 ZIROBWE-WOBULENZI-24h'!K60,'21.10 ZIROBWE-WOBULENZI-24h'!K60)</f>
        <v>0</v>
      </c>
      <c r="L60" s="49">
        <f>AVERAGE('19.10 ZIROBWE-WOBULENZI-24h'!L60,'21.10 ZIROBWE-WOBULENZI-24h'!L60)</f>
        <v>0</v>
      </c>
      <c r="M60" s="49">
        <f>AVERAGE('19.10 ZIROBWE-WOBULENZI-24h'!M60,'21.10 ZIROBWE-WOBULENZI-24h'!M60)</f>
        <v>25</v>
      </c>
      <c r="N60" s="49">
        <f>AVERAGE('19.10 ZIROBWE-WOBULENZI-24h'!N60,'21.10 ZIROBWE-WOBULENZI-24h'!N60)</f>
        <v>0</v>
      </c>
      <c r="O60" s="15">
        <f t="shared" si="0"/>
        <v>4.5</v>
      </c>
      <c r="P60" s="15">
        <f t="shared" si="1"/>
        <v>29.5</v>
      </c>
      <c r="R60" s="8"/>
      <c r="T60"/>
    </row>
    <row r="61" spans="2:20" ht="23.1" customHeight="1" x14ac:dyDescent="0.25">
      <c r="B61" s="23" t="s">
        <v>102</v>
      </c>
      <c r="C61" s="49">
        <f>AVERAGE('19.10 ZIROBWE-WOBULENZI-24h'!C61,'21.10 ZIROBWE-WOBULENZI-24h'!C61)</f>
        <v>0.5</v>
      </c>
      <c r="D61" s="49">
        <f>AVERAGE('19.10 ZIROBWE-WOBULENZI-24h'!D61,'21.10 ZIROBWE-WOBULENZI-24h'!D61)</f>
        <v>0</v>
      </c>
      <c r="E61" s="49">
        <f>AVERAGE('19.10 ZIROBWE-WOBULENZI-24h'!E61,'21.10 ZIROBWE-WOBULENZI-24h'!E61)</f>
        <v>0</v>
      </c>
      <c r="F61" s="49">
        <f>AVERAGE('19.10 ZIROBWE-WOBULENZI-24h'!F61,'21.10 ZIROBWE-WOBULENZI-24h'!F61)</f>
        <v>0</v>
      </c>
      <c r="G61" s="49">
        <f>AVERAGE('19.10 ZIROBWE-WOBULENZI-24h'!G61,'21.10 ZIROBWE-WOBULENZI-24h'!G61)</f>
        <v>0</v>
      </c>
      <c r="H61" s="49">
        <f>AVERAGE('19.10 ZIROBWE-WOBULENZI-24h'!H61,'21.10 ZIROBWE-WOBULENZI-24h'!H61)</f>
        <v>0</v>
      </c>
      <c r="I61" s="49">
        <f>AVERAGE('19.10 ZIROBWE-WOBULENZI-24h'!I61,'21.10 ZIROBWE-WOBULENZI-24h'!I61)</f>
        <v>1</v>
      </c>
      <c r="J61" s="49">
        <f>AVERAGE('19.10 ZIROBWE-WOBULENZI-24h'!J61,'21.10 ZIROBWE-WOBULENZI-24h'!J61)</f>
        <v>0.5</v>
      </c>
      <c r="K61" s="49">
        <f>AVERAGE('19.10 ZIROBWE-WOBULENZI-24h'!K61,'21.10 ZIROBWE-WOBULENZI-24h'!K61)</f>
        <v>0</v>
      </c>
      <c r="L61" s="49">
        <f>AVERAGE('19.10 ZIROBWE-WOBULENZI-24h'!L61,'21.10 ZIROBWE-WOBULENZI-24h'!L61)</f>
        <v>0</v>
      </c>
      <c r="M61" s="49">
        <f>AVERAGE('19.10 ZIROBWE-WOBULENZI-24h'!M61,'21.10 ZIROBWE-WOBULENZI-24h'!M61)</f>
        <v>34</v>
      </c>
      <c r="N61" s="49">
        <f>AVERAGE('19.10 ZIROBWE-WOBULENZI-24h'!N61,'21.10 ZIROBWE-WOBULENZI-24h'!N61)</f>
        <v>0</v>
      </c>
      <c r="O61" s="15">
        <f t="shared" si="0"/>
        <v>2</v>
      </c>
      <c r="P61" s="15">
        <f t="shared" si="1"/>
        <v>36</v>
      </c>
      <c r="R61" s="8"/>
      <c r="T61"/>
    </row>
    <row r="62" spans="2:20" ht="23.1" customHeight="1" x14ac:dyDescent="0.25">
      <c r="B62" s="23" t="s">
        <v>107</v>
      </c>
      <c r="C62" s="49">
        <f>AVERAGE('19.10 ZIROBWE-WOBULENZI-24h'!C62,'21.10 ZIROBWE-WOBULENZI-24h'!C62)</f>
        <v>0</v>
      </c>
      <c r="D62" s="49">
        <f>AVERAGE('19.10 ZIROBWE-WOBULENZI-24h'!D62,'21.10 ZIROBWE-WOBULENZI-24h'!D62)</f>
        <v>0</v>
      </c>
      <c r="E62" s="49">
        <f>AVERAGE('19.10 ZIROBWE-WOBULENZI-24h'!E62,'21.10 ZIROBWE-WOBULENZI-24h'!E62)</f>
        <v>1.5</v>
      </c>
      <c r="F62" s="49">
        <f>AVERAGE('19.10 ZIROBWE-WOBULENZI-24h'!F62,'21.10 ZIROBWE-WOBULENZI-24h'!F62)</f>
        <v>0.5</v>
      </c>
      <c r="G62" s="49">
        <f>AVERAGE('19.10 ZIROBWE-WOBULENZI-24h'!G62,'21.10 ZIROBWE-WOBULENZI-24h'!G62)</f>
        <v>0</v>
      </c>
      <c r="H62" s="49">
        <f>AVERAGE('19.10 ZIROBWE-WOBULENZI-24h'!H62,'21.10 ZIROBWE-WOBULENZI-24h'!H62)</f>
        <v>0</v>
      </c>
      <c r="I62" s="49">
        <f>AVERAGE('19.10 ZIROBWE-WOBULENZI-24h'!I62,'21.10 ZIROBWE-WOBULENZI-24h'!I62)</f>
        <v>0.5</v>
      </c>
      <c r="J62" s="49">
        <f>AVERAGE('19.10 ZIROBWE-WOBULENZI-24h'!J62,'21.10 ZIROBWE-WOBULENZI-24h'!J62)</f>
        <v>0.5</v>
      </c>
      <c r="K62" s="49">
        <f>AVERAGE('19.10 ZIROBWE-WOBULENZI-24h'!K62,'21.10 ZIROBWE-WOBULENZI-24h'!K62)</f>
        <v>0</v>
      </c>
      <c r="L62" s="49">
        <f>AVERAGE('19.10 ZIROBWE-WOBULENZI-24h'!L62,'21.10 ZIROBWE-WOBULENZI-24h'!L62)</f>
        <v>0</v>
      </c>
      <c r="M62" s="49">
        <f>AVERAGE('19.10 ZIROBWE-WOBULENZI-24h'!M62,'21.10 ZIROBWE-WOBULENZI-24h'!M62)</f>
        <v>27.5</v>
      </c>
      <c r="N62" s="49">
        <f>AVERAGE('19.10 ZIROBWE-WOBULENZI-24h'!N62,'21.10 ZIROBWE-WOBULENZI-24h'!N62)</f>
        <v>0</v>
      </c>
      <c r="O62" s="15">
        <f t="shared" si="0"/>
        <v>3</v>
      </c>
      <c r="P62" s="15">
        <f t="shared" si="1"/>
        <v>30.5</v>
      </c>
      <c r="R62" s="8"/>
      <c r="T62"/>
    </row>
    <row r="63" spans="2:20" ht="23.1" customHeight="1" x14ac:dyDescent="0.25">
      <c r="B63" s="23" t="s">
        <v>108</v>
      </c>
      <c r="C63" s="49">
        <f>AVERAGE('19.10 ZIROBWE-WOBULENZI-24h'!C63,'21.10 ZIROBWE-WOBULENZI-24h'!C63)</f>
        <v>1</v>
      </c>
      <c r="D63" s="49">
        <f>AVERAGE('19.10 ZIROBWE-WOBULENZI-24h'!D63,'21.10 ZIROBWE-WOBULENZI-24h'!D63)</f>
        <v>0</v>
      </c>
      <c r="E63" s="49">
        <f>AVERAGE('19.10 ZIROBWE-WOBULENZI-24h'!E63,'21.10 ZIROBWE-WOBULENZI-24h'!E63)</f>
        <v>0.5</v>
      </c>
      <c r="F63" s="49">
        <f>AVERAGE('19.10 ZIROBWE-WOBULENZI-24h'!F63,'21.10 ZIROBWE-WOBULENZI-24h'!F63)</f>
        <v>0</v>
      </c>
      <c r="G63" s="49">
        <f>AVERAGE('19.10 ZIROBWE-WOBULENZI-24h'!G63,'21.10 ZIROBWE-WOBULENZI-24h'!G63)</f>
        <v>0</v>
      </c>
      <c r="H63" s="49">
        <f>AVERAGE('19.10 ZIROBWE-WOBULENZI-24h'!H63,'21.10 ZIROBWE-WOBULENZI-24h'!H63)</f>
        <v>0</v>
      </c>
      <c r="I63" s="49">
        <f>AVERAGE('19.10 ZIROBWE-WOBULENZI-24h'!I63,'21.10 ZIROBWE-WOBULENZI-24h'!I63)</f>
        <v>0</v>
      </c>
      <c r="J63" s="49">
        <f>AVERAGE('19.10 ZIROBWE-WOBULENZI-24h'!J63,'21.10 ZIROBWE-WOBULENZI-24h'!J63)</f>
        <v>1</v>
      </c>
      <c r="K63" s="49">
        <f>AVERAGE('19.10 ZIROBWE-WOBULENZI-24h'!K63,'21.10 ZIROBWE-WOBULENZI-24h'!K63)</f>
        <v>0</v>
      </c>
      <c r="L63" s="49">
        <f>AVERAGE('19.10 ZIROBWE-WOBULENZI-24h'!L63,'21.10 ZIROBWE-WOBULENZI-24h'!L63)</f>
        <v>0</v>
      </c>
      <c r="M63" s="49">
        <f>AVERAGE('19.10 ZIROBWE-WOBULENZI-24h'!M63,'21.10 ZIROBWE-WOBULENZI-24h'!M63)</f>
        <v>19</v>
      </c>
      <c r="N63" s="49">
        <f>AVERAGE('19.10 ZIROBWE-WOBULENZI-24h'!N63,'21.10 ZIROBWE-WOBULENZI-24h'!N63)</f>
        <v>0</v>
      </c>
      <c r="O63" s="15">
        <f t="shared" si="0"/>
        <v>2.5</v>
      </c>
      <c r="P63" s="15">
        <f t="shared" si="1"/>
        <v>21.5</v>
      </c>
      <c r="R63" s="8"/>
      <c r="T63"/>
    </row>
    <row r="64" spans="2:20" ht="23.1" customHeight="1" x14ac:dyDescent="0.25">
      <c r="B64" s="23" t="s">
        <v>109</v>
      </c>
      <c r="C64" s="49">
        <f>AVERAGE('19.10 ZIROBWE-WOBULENZI-24h'!C64,'21.10 ZIROBWE-WOBULENZI-24h'!C64)</f>
        <v>1</v>
      </c>
      <c r="D64" s="49">
        <f>AVERAGE('19.10 ZIROBWE-WOBULENZI-24h'!D64,'21.10 ZIROBWE-WOBULENZI-24h'!D64)</f>
        <v>0.5</v>
      </c>
      <c r="E64" s="49">
        <f>AVERAGE('19.10 ZIROBWE-WOBULENZI-24h'!E64,'21.10 ZIROBWE-WOBULENZI-24h'!E64)</f>
        <v>0.5</v>
      </c>
      <c r="F64" s="49">
        <f>AVERAGE('19.10 ZIROBWE-WOBULENZI-24h'!F64,'21.10 ZIROBWE-WOBULENZI-24h'!F64)</f>
        <v>2</v>
      </c>
      <c r="G64" s="49">
        <f>AVERAGE('19.10 ZIROBWE-WOBULENZI-24h'!G64,'21.10 ZIROBWE-WOBULENZI-24h'!G64)</f>
        <v>0</v>
      </c>
      <c r="H64" s="49">
        <f>AVERAGE('19.10 ZIROBWE-WOBULENZI-24h'!H64,'21.10 ZIROBWE-WOBULENZI-24h'!H64)</f>
        <v>0</v>
      </c>
      <c r="I64" s="49">
        <f>AVERAGE('19.10 ZIROBWE-WOBULENZI-24h'!I64,'21.10 ZIROBWE-WOBULENZI-24h'!I64)</f>
        <v>0.5</v>
      </c>
      <c r="J64" s="49">
        <f>AVERAGE('19.10 ZIROBWE-WOBULENZI-24h'!J64,'21.10 ZIROBWE-WOBULENZI-24h'!J64)</f>
        <v>0</v>
      </c>
      <c r="K64" s="49">
        <f>AVERAGE('19.10 ZIROBWE-WOBULENZI-24h'!K64,'21.10 ZIROBWE-WOBULENZI-24h'!K64)</f>
        <v>0</v>
      </c>
      <c r="L64" s="49">
        <f>AVERAGE('19.10 ZIROBWE-WOBULENZI-24h'!L64,'21.10 ZIROBWE-WOBULENZI-24h'!L64)</f>
        <v>0</v>
      </c>
      <c r="M64" s="49">
        <f>AVERAGE('19.10 ZIROBWE-WOBULENZI-24h'!M64,'21.10 ZIROBWE-WOBULENZI-24h'!M64)</f>
        <v>24</v>
      </c>
      <c r="N64" s="49">
        <f>AVERAGE('19.10 ZIROBWE-WOBULENZI-24h'!N64,'21.10 ZIROBWE-WOBULENZI-24h'!N64)</f>
        <v>0</v>
      </c>
      <c r="O64" s="15">
        <f t="shared" si="0"/>
        <v>4.5</v>
      </c>
      <c r="P64" s="15">
        <f t="shared" si="1"/>
        <v>28.5</v>
      </c>
      <c r="R64" s="8"/>
      <c r="T64"/>
    </row>
    <row r="65" spans="2:20" ht="23.1" customHeight="1" x14ac:dyDescent="0.25">
      <c r="B65" s="23" t="s">
        <v>158</v>
      </c>
      <c r="C65" s="49">
        <f>AVERAGE('19.10 ZIROBWE-WOBULENZI-24h'!C65,'21.10 ZIROBWE-WOBULENZI-24h'!C65)</f>
        <v>1</v>
      </c>
      <c r="D65" s="49">
        <f>AVERAGE('19.10 ZIROBWE-WOBULENZI-24h'!D65,'21.10 ZIROBWE-WOBULENZI-24h'!D65)</f>
        <v>0</v>
      </c>
      <c r="E65" s="49">
        <f>AVERAGE('19.10 ZIROBWE-WOBULENZI-24h'!E65,'21.10 ZIROBWE-WOBULENZI-24h'!E65)</f>
        <v>1</v>
      </c>
      <c r="F65" s="49">
        <f>AVERAGE('19.10 ZIROBWE-WOBULENZI-24h'!F65,'21.10 ZIROBWE-WOBULENZI-24h'!F65)</f>
        <v>0.5</v>
      </c>
      <c r="G65" s="49">
        <f>AVERAGE('19.10 ZIROBWE-WOBULENZI-24h'!G65,'21.10 ZIROBWE-WOBULENZI-24h'!G65)</f>
        <v>0</v>
      </c>
      <c r="H65" s="49">
        <f>AVERAGE('19.10 ZIROBWE-WOBULENZI-24h'!H65,'21.10 ZIROBWE-WOBULENZI-24h'!H65)</f>
        <v>0</v>
      </c>
      <c r="I65" s="49">
        <f>AVERAGE('19.10 ZIROBWE-WOBULENZI-24h'!I65,'21.10 ZIROBWE-WOBULENZI-24h'!I65)</f>
        <v>0</v>
      </c>
      <c r="J65" s="49">
        <f>AVERAGE('19.10 ZIROBWE-WOBULENZI-24h'!J65,'21.10 ZIROBWE-WOBULENZI-24h'!J65)</f>
        <v>1</v>
      </c>
      <c r="K65" s="49">
        <f>AVERAGE('19.10 ZIROBWE-WOBULENZI-24h'!K65,'21.10 ZIROBWE-WOBULENZI-24h'!K65)</f>
        <v>0</v>
      </c>
      <c r="L65" s="49">
        <f>AVERAGE('19.10 ZIROBWE-WOBULENZI-24h'!L65,'21.10 ZIROBWE-WOBULENZI-24h'!L65)</f>
        <v>0</v>
      </c>
      <c r="M65" s="49">
        <f>AVERAGE('19.10 ZIROBWE-WOBULENZI-24h'!M65,'21.10 ZIROBWE-WOBULENZI-24h'!M65)</f>
        <v>16</v>
      </c>
      <c r="N65" s="49">
        <f>AVERAGE('19.10 ZIROBWE-WOBULENZI-24h'!N65,'21.10 ZIROBWE-WOBULENZI-24h'!N65)</f>
        <v>0</v>
      </c>
      <c r="O65" s="15">
        <f t="shared" si="0"/>
        <v>3.5</v>
      </c>
      <c r="P65" s="15">
        <f t="shared" si="1"/>
        <v>19.5</v>
      </c>
      <c r="R65" s="8"/>
      <c r="T65"/>
    </row>
    <row r="66" spans="2:20" ht="23.1" customHeight="1" x14ac:dyDescent="0.25">
      <c r="B66" s="23" t="s">
        <v>103</v>
      </c>
      <c r="C66" s="49">
        <f>AVERAGE('19.10 ZIROBWE-WOBULENZI-24h'!C66,'21.10 ZIROBWE-WOBULENZI-24h'!C66)</f>
        <v>1</v>
      </c>
      <c r="D66" s="49">
        <f>AVERAGE('19.10 ZIROBWE-WOBULENZI-24h'!D66,'21.10 ZIROBWE-WOBULENZI-24h'!D66)</f>
        <v>0</v>
      </c>
      <c r="E66" s="49">
        <f>AVERAGE('19.10 ZIROBWE-WOBULENZI-24h'!E66,'21.10 ZIROBWE-WOBULENZI-24h'!E66)</f>
        <v>0.5</v>
      </c>
      <c r="F66" s="49">
        <f>AVERAGE('19.10 ZIROBWE-WOBULENZI-24h'!F66,'21.10 ZIROBWE-WOBULENZI-24h'!F66)</f>
        <v>2.5</v>
      </c>
      <c r="G66" s="49">
        <f>AVERAGE('19.10 ZIROBWE-WOBULENZI-24h'!G66,'21.10 ZIROBWE-WOBULENZI-24h'!G66)</f>
        <v>0</v>
      </c>
      <c r="H66" s="49">
        <f>AVERAGE('19.10 ZIROBWE-WOBULENZI-24h'!H66,'21.10 ZIROBWE-WOBULENZI-24h'!H66)</f>
        <v>0</v>
      </c>
      <c r="I66" s="49">
        <f>AVERAGE('19.10 ZIROBWE-WOBULENZI-24h'!I66,'21.10 ZIROBWE-WOBULENZI-24h'!I66)</f>
        <v>0</v>
      </c>
      <c r="J66" s="49">
        <f>AVERAGE('19.10 ZIROBWE-WOBULENZI-24h'!J66,'21.10 ZIROBWE-WOBULENZI-24h'!J66)</f>
        <v>0.5</v>
      </c>
      <c r="K66" s="49">
        <f>AVERAGE('19.10 ZIROBWE-WOBULENZI-24h'!K66,'21.10 ZIROBWE-WOBULENZI-24h'!K66)</f>
        <v>0</v>
      </c>
      <c r="L66" s="49">
        <f>AVERAGE('19.10 ZIROBWE-WOBULENZI-24h'!L66,'21.10 ZIROBWE-WOBULENZI-24h'!L66)</f>
        <v>0</v>
      </c>
      <c r="M66" s="49">
        <f>AVERAGE('19.10 ZIROBWE-WOBULENZI-24h'!M66,'21.10 ZIROBWE-WOBULENZI-24h'!M66)</f>
        <v>19</v>
      </c>
      <c r="N66" s="49">
        <f>AVERAGE('19.10 ZIROBWE-WOBULENZI-24h'!N66,'21.10 ZIROBWE-WOBULENZI-24h'!N66)</f>
        <v>0</v>
      </c>
      <c r="O66" s="15">
        <f t="shared" si="0"/>
        <v>4.5</v>
      </c>
      <c r="P66" s="15">
        <f t="shared" si="1"/>
        <v>23.5</v>
      </c>
      <c r="R66" s="8"/>
      <c r="T66"/>
    </row>
    <row r="67" spans="2:20" ht="23.1" customHeight="1" x14ac:dyDescent="0.25">
      <c r="B67" s="23" t="s">
        <v>104</v>
      </c>
      <c r="C67" s="49">
        <f>AVERAGE('19.10 ZIROBWE-WOBULENZI-24h'!C67,'21.10 ZIROBWE-WOBULENZI-24h'!C67)</f>
        <v>0</v>
      </c>
      <c r="D67" s="49">
        <f>AVERAGE('19.10 ZIROBWE-WOBULENZI-24h'!D67,'21.10 ZIROBWE-WOBULENZI-24h'!D67)</f>
        <v>0</v>
      </c>
      <c r="E67" s="49">
        <f>AVERAGE('19.10 ZIROBWE-WOBULENZI-24h'!E67,'21.10 ZIROBWE-WOBULENZI-24h'!E67)</f>
        <v>0</v>
      </c>
      <c r="F67" s="49">
        <f>AVERAGE('19.10 ZIROBWE-WOBULENZI-24h'!F67,'21.10 ZIROBWE-WOBULENZI-24h'!F67)</f>
        <v>1</v>
      </c>
      <c r="G67" s="49">
        <f>AVERAGE('19.10 ZIROBWE-WOBULENZI-24h'!G67,'21.10 ZIROBWE-WOBULENZI-24h'!G67)</f>
        <v>0</v>
      </c>
      <c r="H67" s="49">
        <f>AVERAGE('19.10 ZIROBWE-WOBULENZI-24h'!H67,'21.10 ZIROBWE-WOBULENZI-24h'!H67)</f>
        <v>0</v>
      </c>
      <c r="I67" s="49">
        <f>AVERAGE('19.10 ZIROBWE-WOBULENZI-24h'!I67,'21.10 ZIROBWE-WOBULENZI-24h'!I67)</f>
        <v>0.5</v>
      </c>
      <c r="J67" s="49">
        <f>AVERAGE('19.10 ZIROBWE-WOBULENZI-24h'!J67,'21.10 ZIROBWE-WOBULENZI-24h'!J67)</f>
        <v>0.5</v>
      </c>
      <c r="K67" s="49">
        <f>AVERAGE('19.10 ZIROBWE-WOBULENZI-24h'!K67,'21.10 ZIROBWE-WOBULENZI-24h'!K67)</f>
        <v>0</v>
      </c>
      <c r="L67" s="49">
        <f>AVERAGE('19.10 ZIROBWE-WOBULENZI-24h'!L67,'21.10 ZIROBWE-WOBULENZI-24h'!L67)</f>
        <v>0</v>
      </c>
      <c r="M67" s="49">
        <f>AVERAGE('19.10 ZIROBWE-WOBULENZI-24h'!M67,'21.10 ZIROBWE-WOBULENZI-24h'!M67)</f>
        <v>27.5</v>
      </c>
      <c r="N67" s="49">
        <f>AVERAGE('19.10 ZIROBWE-WOBULENZI-24h'!N67,'21.10 ZIROBWE-WOBULENZI-24h'!N67)</f>
        <v>0</v>
      </c>
      <c r="O67" s="15">
        <f t="shared" si="0"/>
        <v>2</v>
      </c>
      <c r="P67" s="15">
        <f t="shared" si="1"/>
        <v>29.5</v>
      </c>
      <c r="R67" s="8"/>
      <c r="T67"/>
    </row>
    <row r="68" spans="2:20" ht="23.1" customHeight="1" x14ac:dyDescent="0.25">
      <c r="B68" s="23" t="s">
        <v>105</v>
      </c>
      <c r="C68" s="49">
        <f>AVERAGE('19.10 ZIROBWE-WOBULENZI-24h'!C68,'21.10 ZIROBWE-WOBULENZI-24h'!C68)</f>
        <v>0</v>
      </c>
      <c r="D68" s="49">
        <f>AVERAGE('19.10 ZIROBWE-WOBULENZI-24h'!D68,'21.10 ZIROBWE-WOBULENZI-24h'!D68)</f>
        <v>0</v>
      </c>
      <c r="E68" s="49">
        <f>AVERAGE('19.10 ZIROBWE-WOBULENZI-24h'!E68,'21.10 ZIROBWE-WOBULENZI-24h'!E68)</f>
        <v>0</v>
      </c>
      <c r="F68" s="49">
        <f>AVERAGE('19.10 ZIROBWE-WOBULENZI-24h'!F68,'21.10 ZIROBWE-WOBULENZI-24h'!F68)</f>
        <v>1</v>
      </c>
      <c r="G68" s="49">
        <f>AVERAGE('19.10 ZIROBWE-WOBULENZI-24h'!G68,'21.10 ZIROBWE-WOBULENZI-24h'!G68)</f>
        <v>0</v>
      </c>
      <c r="H68" s="49">
        <f>AVERAGE('19.10 ZIROBWE-WOBULENZI-24h'!H68,'21.10 ZIROBWE-WOBULENZI-24h'!H68)</f>
        <v>0</v>
      </c>
      <c r="I68" s="49">
        <f>AVERAGE('19.10 ZIROBWE-WOBULENZI-24h'!I68,'21.10 ZIROBWE-WOBULENZI-24h'!I68)</f>
        <v>0.5</v>
      </c>
      <c r="J68" s="49">
        <f>AVERAGE('19.10 ZIROBWE-WOBULENZI-24h'!J68,'21.10 ZIROBWE-WOBULENZI-24h'!J68)</f>
        <v>0</v>
      </c>
      <c r="K68" s="49">
        <f>AVERAGE('19.10 ZIROBWE-WOBULENZI-24h'!K68,'21.10 ZIROBWE-WOBULENZI-24h'!K68)</f>
        <v>0</v>
      </c>
      <c r="L68" s="49">
        <f>AVERAGE('19.10 ZIROBWE-WOBULENZI-24h'!L68,'21.10 ZIROBWE-WOBULENZI-24h'!L68)</f>
        <v>0</v>
      </c>
      <c r="M68" s="49">
        <f>AVERAGE('19.10 ZIROBWE-WOBULENZI-24h'!M68,'21.10 ZIROBWE-WOBULENZI-24h'!M68)</f>
        <v>12.5</v>
      </c>
      <c r="N68" s="49">
        <f>AVERAGE('19.10 ZIROBWE-WOBULENZI-24h'!N68,'21.10 ZIROBWE-WOBULENZI-24h'!N68)</f>
        <v>0</v>
      </c>
      <c r="O68" s="15">
        <f t="shared" si="0"/>
        <v>1.5</v>
      </c>
      <c r="P68" s="15">
        <f t="shared" si="1"/>
        <v>14</v>
      </c>
      <c r="R68" s="8"/>
      <c r="T68"/>
    </row>
    <row r="69" spans="2:20" ht="23.1" customHeight="1" x14ac:dyDescent="0.25">
      <c r="B69" s="23" t="s">
        <v>106</v>
      </c>
      <c r="C69" s="49">
        <f>AVERAGE('19.10 ZIROBWE-WOBULENZI-24h'!C69,'21.10 ZIROBWE-WOBULENZI-24h'!C69)</f>
        <v>1.5</v>
      </c>
      <c r="D69" s="49">
        <f>AVERAGE('19.10 ZIROBWE-WOBULENZI-24h'!D69,'21.10 ZIROBWE-WOBULENZI-24h'!D69)</f>
        <v>0</v>
      </c>
      <c r="E69" s="49">
        <f>AVERAGE('19.10 ZIROBWE-WOBULENZI-24h'!E69,'21.10 ZIROBWE-WOBULENZI-24h'!E69)</f>
        <v>0.5</v>
      </c>
      <c r="F69" s="49">
        <f>AVERAGE('19.10 ZIROBWE-WOBULENZI-24h'!F69,'21.10 ZIROBWE-WOBULENZI-24h'!F69)</f>
        <v>1.5</v>
      </c>
      <c r="G69" s="49">
        <f>AVERAGE('19.10 ZIROBWE-WOBULENZI-24h'!G69,'21.10 ZIROBWE-WOBULENZI-24h'!G69)</f>
        <v>0</v>
      </c>
      <c r="H69" s="49">
        <f>AVERAGE('19.10 ZIROBWE-WOBULENZI-24h'!H69,'21.10 ZIROBWE-WOBULENZI-24h'!H69)</f>
        <v>0</v>
      </c>
      <c r="I69" s="49">
        <f>AVERAGE('19.10 ZIROBWE-WOBULENZI-24h'!I69,'21.10 ZIROBWE-WOBULENZI-24h'!I69)</f>
        <v>0.5</v>
      </c>
      <c r="J69" s="49">
        <f>AVERAGE('19.10 ZIROBWE-WOBULENZI-24h'!J69,'21.10 ZIROBWE-WOBULENZI-24h'!J69)</f>
        <v>0</v>
      </c>
      <c r="K69" s="49">
        <f>AVERAGE('19.10 ZIROBWE-WOBULENZI-24h'!K69,'21.10 ZIROBWE-WOBULENZI-24h'!K69)</f>
        <v>0</v>
      </c>
      <c r="L69" s="49">
        <f>AVERAGE('19.10 ZIROBWE-WOBULENZI-24h'!L69,'21.10 ZIROBWE-WOBULENZI-24h'!L69)</f>
        <v>0</v>
      </c>
      <c r="M69" s="49">
        <f>AVERAGE('19.10 ZIROBWE-WOBULENZI-24h'!M69,'21.10 ZIROBWE-WOBULENZI-24h'!M69)</f>
        <v>12.5</v>
      </c>
      <c r="N69" s="49">
        <f>AVERAGE('19.10 ZIROBWE-WOBULENZI-24h'!N69,'21.10 ZIROBWE-WOBULENZI-24h'!N69)</f>
        <v>0</v>
      </c>
      <c r="O69" s="15">
        <f t="shared" si="0"/>
        <v>4</v>
      </c>
      <c r="P69" s="15">
        <f t="shared" si="1"/>
        <v>16.5</v>
      </c>
      <c r="R69" s="8"/>
      <c r="T69"/>
    </row>
    <row r="70" spans="2:20" ht="23.1" customHeight="1" x14ac:dyDescent="0.25">
      <c r="B70" s="23" t="s">
        <v>110</v>
      </c>
      <c r="C70" s="49">
        <f>AVERAGE('19.10 ZIROBWE-WOBULENZI-24h'!C70,'21.10 ZIROBWE-WOBULENZI-24h'!C70)</f>
        <v>1</v>
      </c>
      <c r="D70" s="49">
        <f>AVERAGE('19.10 ZIROBWE-WOBULENZI-24h'!D70,'21.10 ZIROBWE-WOBULENZI-24h'!D70)</f>
        <v>0</v>
      </c>
      <c r="E70" s="49">
        <f>AVERAGE('19.10 ZIROBWE-WOBULENZI-24h'!E70,'21.10 ZIROBWE-WOBULENZI-24h'!E70)</f>
        <v>0</v>
      </c>
      <c r="F70" s="49">
        <f>AVERAGE('19.10 ZIROBWE-WOBULENZI-24h'!F70,'21.10 ZIROBWE-WOBULENZI-24h'!F70)</f>
        <v>0</v>
      </c>
      <c r="G70" s="49">
        <f>AVERAGE('19.10 ZIROBWE-WOBULENZI-24h'!G70,'21.10 ZIROBWE-WOBULENZI-24h'!G70)</f>
        <v>0</v>
      </c>
      <c r="H70" s="49">
        <f>AVERAGE('19.10 ZIROBWE-WOBULENZI-24h'!H70,'21.10 ZIROBWE-WOBULENZI-24h'!H70)</f>
        <v>0</v>
      </c>
      <c r="I70" s="49">
        <f>AVERAGE('19.10 ZIROBWE-WOBULENZI-24h'!I70,'21.10 ZIROBWE-WOBULENZI-24h'!I70)</f>
        <v>0</v>
      </c>
      <c r="J70" s="49">
        <f>AVERAGE('19.10 ZIROBWE-WOBULENZI-24h'!J70,'21.10 ZIROBWE-WOBULENZI-24h'!J70)</f>
        <v>0.5</v>
      </c>
      <c r="K70" s="49">
        <f>AVERAGE('19.10 ZIROBWE-WOBULENZI-24h'!K70,'21.10 ZIROBWE-WOBULENZI-24h'!K70)</f>
        <v>0</v>
      </c>
      <c r="L70" s="49">
        <f>AVERAGE('19.10 ZIROBWE-WOBULENZI-24h'!L70,'21.10 ZIROBWE-WOBULENZI-24h'!L70)</f>
        <v>0</v>
      </c>
      <c r="M70" s="49">
        <f>AVERAGE('19.10 ZIROBWE-WOBULENZI-24h'!M70,'21.10 ZIROBWE-WOBULENZI-24h'!M70)</f>
        <v>13.5</v>
      </c>
      <c r="N70" s="49">
        <f>AVERAGE('19.10 ZIROBWE-WOBULENZI-24h'!N70,'21.10 ZIROBWE-WOBULENZI-24h'!N70)</f>
        <v>0</v>
      </c>
      <c r="O70" s="15">
        <f t="shared" si="0"/>
        <v>1.5</v>
      </c>
      <c r="P70" s="15">
        <f t="shared" si="1"/>
        <v>15</v>
      </c>
      <c r="R70" s="8"/>
      <c r="T70"/>
    </row>
    <row r="71" spans="2:20" ht="23.1" customHeight="1" x14ac:dyDescent="0.25">
      <c r="B71" s="23" t="s">
        <v>111</v>
      </c>
      <c r="C71" s="49">
        <f>AVERAGE('19.10 ZIROBWE-WOBULENZI-24h'!C71,'21.10 ZIROBWE-WOBULENZI-24h'!C71)</f>
        <v>0.5</v>
      </c>
      <c r="D71" s="49">
        <f>AVERAGE('19.10 ZIROBWE-WOBULENZI-24h'!D71,'21.10 ZIROBWE-WOBULENZI-24h'!D71)</f>
        <v>0.5</v>
      </c>
      <c r="E71" s="49">
        <f>AVERAGE('19.10 ZIROBWE-WOBULENZI-24h'!E71,'21.10 ZIROBWE-WOBULENZI-24h'!E71)</f>
        <v>0</v>
      </c>
      <c r="F71" s="49">
        <f>AVERAGE('19.10 ZIROBWE-WOBULENZI-24h'!F71,'21.10 ZIROBWE-WOBULENZI-24h'!F71)</f>
        <v>0</v>
      </c>
      <c r="G71" s="49">
        <f>AVERAGE('19.10 ZIROBWE-WOBULENZI-24h'!G71,'21.10 ZIROBWE-WOBULENZI-24h'!G71)</f>
        <v>0</v>
      </c>
      <c r="H71" s="49">
        <f>AVERAGE('19.10 ZIROBWE-WOBULENZI-24h'!H71,'21.10 ZIROBWE-WOBULENZI-24h'!H71)</f>
        <v>0</v>
      </c>
      <c r="I71" s="49">
        <f>AVERAGE('19.10 ZIROBWE-WOBULENZI-24h'!I71,'21.10 ZIROBWE-WOBULENZI-24h'!I71)</f>
        <v>0</v>
      </c>
      <c r="J71" s="49">
        <f>AVERAGE('19.10 ZIROBWE-WOBULENZI-24h'!J71,'21.10 ZIROBWE-WOBULENZI-24h'!J71)</f>
        <v>0</v>
      </c>
      <c r="K71" s="49">
        <f>AVERAGE('19.10 ZIROBWE-WOBULENZI-24h'!K71,'21.10 ZIROBWE-WOBULENZI-24h'!K71)</f>
        <v>0.5</v>
      </c>
      <c r="L71" s="49">
        <f>AVERAGE('19.10 ZIROBWE-WOBULENZI-24h'!L71,'21.10 ZIROBWE-WOBULENZI-24h'!L71)</f>
        <v>0</v>
      </c>
      <c r="M71" s="49">
        <f>AVERAGE('19.10 ZIROBWE-WOBULENZI-24h'!M71,'21.10 ZIROBWE-WOBULENZI-24h'!M71)</f>
        <v>10</v>
      </c>
      <c r="N71" s="49">
        <f>AVERAGE('19.10 ZIROBWE-WOBULENZI-24h'!N71,'21.10 ZIROBWE-WOBULENZI-24h'!N71)</f>
        <v>0</v>
      </c>
      <c r="O71" s="15">
        <f t="shared" si="0"/>
        <v>1.5</v>
      </c>
      <c r="P71" s="15">
        <f t="shared" si="1"/>
        <v>11.5</v>
      </c>
      <c r="R71" s="8"/>
      <c r="T71"/>
    </row>
    <row r="72" spans="2:20" ht="23.1" customHeight="1" x14ac:dyDescent="0.25">
      <c r="B72" s="23" t="s">
        <v>112</v>
      </c>
      <c r="C72" s="49">
        <f>AVERAGE('19.10 ZIROBWE-WOBULENZI-24h'!C72,'21.10 ZIROBWE-WOBULENZI-24h'!C72)</f>
        <v>0.5</v>
      </c>
      <c r="D72" s="49">
        <f>AVERAGE('19.10 ZIROBWE-WOBULENZI-24h'!D72,'21.10 ZIROBWE-WOBULENZI-24h'!D72)</f>
        <v>0</v>
      </c>
      <c r="E72" s="49">
        <f>AVERAGE('19.10 ZIROBWE-WOBULENZI-24h'!E72,'21.10 ZIROBWE-WOBULENZI-24h'!E72)</f>
        <v>0</v>
      </c>
      <c r="F72" s="49">
        <f>AVERAGE('19.10 ZIROBWE-WOBULENZI-24h'!F72,'21.10 ZIROBWE-WOBULENZI-24h'!F72)</f>
        <v>0</v>
      </c>
      <c r="G72" s="49">
        <f>AVERAGE('19.10 ZIROBWE-WOBULENZI-24h'!G72,'21.10 ZIROBWE-WOBULENZI-24h'!G72)</f>
        <v>0</v>
      </c>
      <c r="H72" s="49">
        <f>AVERAGE('19.10 ZIROBWE-WOBULENZI-24h'!H72,'21.10 ZIROBWE-WOBULENZI-24h'!H72)</f>
        <v>0</v>
      </c>
      <c r="I72" s="49">
        <f>AVERAGE('19.10 ZIROBWE-WOBULENZI-24h'!I72,'21.10 ZIROBWE-WOBULENZI-24h'!I72)</f>
        <v>1</v>
      </c>
      <c r="J72" s="49">
        <f>AVERAGE('19.10 ZIROBWE-WOBULENZI-24h'!J72,'21.10 ZIROBWE-WOBULENZI-24h'!J72)</f>
        <v>1</v>
      </c>
      <c r="K72" s="49">
        <f>AVERAGE('19.10 ZIROBWE-WOBULENZI-24h'!K72,'21.10 ZIROBWE-WOBULENZI-24h'!K72)</f>
        <v>0</v>
      </c>
      <c r="L72" s="49">
        <f>AVERAGE('19.10 ZIROBWE-WOBULENZI-24h'!L72,'21.10 ZIROBWE-WOBULENZI-24h'!L72)</f>
        <v>0</v>
      </c>
      <c r="M72" s="49">
        <f>AVERAGE('19.10 ZIROBWE-WOBULENZI-24h'!M72,'21.10 ZIROBWE-WOBULENZI-24h'!M72)</f>
        <v>7.5</v>
      </c>
      <c r="N72" s="49">
        <f>AVERAGE('19.10 ZIROBWE-WOBULENZI-24h'!N72,'21.10 ZIROBWE-WOBULENZI-24h'!N72)</f>
        <v>0</v>
      </c>
      <c r="O72" s="15">
        <f t="shared" si="0"/>
        <v>2.5</v>
      </c>
      <c r="P72" s="15">
        <f t="shared" si="1"/>
        <v>10</v>
      </c>
      <c r="R72" s="8"/>
      <c r="T72"/>
    </row>
    <row r="73" spans="2:20" ht="23.1" customHeight="1" x14ac:dyDescent="0.25">
      <c r="B73" s="23" t="s">
        <v>113</v>
      </c>
      <c r="C73" s="49">
        <f>AVERAGE('19.10 ZIROBWE-WOBULENZI-24h'!C73,'21.10 ZIROBWE-WOBULENZI-24h'!C73)</f>
        <v>0</v>
      </c>
      <c r="D73" s="49">
        <f>AVERAGE('19.10 ZIROBWE-WOBULENZI-24h'!D73,'21.10 ZIROBWE-WOBULENZI-24h'!D73)</f>
        <v>0</v>
      </c>
      <c r="E73" s="49">
        <f>AVERAGE('19.10 ZIROBWE-WOBULENZI-24h'!E73,'21.10 ZIROBWE-WOBULENZI-24h'!E73)</f>
        <v>0</v>
      </c>
      <c r="F73" s="49">
        <f>AVERAGE('19.10 ZIROBWE-WOBULENZI-24h'!F73,'21.10 ZIROBWE-WOBULENZI-24h'!F73)</f>
        <v>0.5</v>
      </c>
      <c r="G73" s="49">
        <f>AVERAGE('19.10 ZIROBWE-WOBULENZI-24h'!G73,'21.10 ZIROBWE-WOBULENZI-24h'!G73)</f>
        <v>0</v>
      </c>
      <c r="H73" s="49">
        <f>AVERAGE('19.10 ZIROBWE-WOBULENZI-24h'!H73,'21.10 ZIROBWE-WOBULENZI-24h'!H73)</f>
        <v>0</v>
      </c>
      <c r="I73" s="49">
        <f>AVERAGE('19.10 ZIROBWE-WOBULENZI-24h'!I73,'21.10 ZIROBWE-WOBULENZI-24h'!I73)</f>
        <v>0</v>
      </c>
      <c r="J73" s="49">
        <f>AVERAGE('19.10 ZIROBWE-WOBULENZI-24h'!J73,'21.10 ZIROBWE-WOBULENZI-24h'!J73)</f>
        <v>1</v>
      </c>
      <c r="K73" s="49">
        <f>AVERAGE('19.10 ZIROBWE-WOBULENZI-24h'!K73,'21.10 ZIROBWE-WOBULENZI-24h'!K73)</f>
        <v>0</v>
      </c>
      <c r="L73" s="49">
        <f>AVERAGE('19.10 ZIROBWE-WOBULENZI-24h'!L73,'21.10 ZIROBWE-WOBULENZI-24h'!L73)</f>
        <v>0</v>
      </c>
      <c r="M73" s="49">
        <f>AVERAGE('19.10 ZIROBWE-WOBULENZI-24h'!M73,'21.10 ZIROBWE-WOBULENZI-24h'!M73)</f>
        <v>3.5</v>
      </c>
      <c r="N73" s="49">
        <f>AVERAGE('19.10 ZIROBWE-WOBULENZI-24h'!N73,'21.10 ZIROBWE-WOBULENZI-24h'!N73)</f>
        <v>0</v>
      </c>
      <c r="O73" s="15">
        <f t="shared" si="0"/>
        <v>1.5</v>
      </c>
      <c r="P73" s="15">
        <f t="shared" si="1"/>
        <v>5</v>
      </c>
      <c r="R73" s="8"/>
      <c r="T73"/>
    </row>
    <row r="74" spans="2:20" ht="23.1" customHeight="1" x14ac:dyDescent="0.25">
      <c r="B74" s="23" t="s">
        <v>114</v>
      </c>
      <c r="C74" s="49">
        <f>AVERAGE('19.10 ZIROBWE-WOBULENZI-24h'!C74,'21.10 ZIROBWE-WOBULENZI-24h'!C74)</f>
        <v>0.5</v>
      </c>
      <c r="D74" s="49">
        <f>AVERAGE('19.10 ZIROBWE-WOBULENZI-24h'!D74,'21.10 ZIROBWE-WOBULENZI-24h'!D74)</f>
        <v>0</v>
      </c>
      <c r="E74" s="49">
        <f>AVERAGE('19.10 ZIROBWE-WOBULENZI-24h'!E74,'21.10 ZIROBWE-WOBULENZI-24h'!E74)</f>
        <v>0</v>
      </c>
      <c r="F74" s="49">
        <f>AVERAGE('19.10 ZIROBWE-WOBULENZI-24h'!F74,'21.10 ZIROBWE-WOBULENZI-24h'!F74)</f>
        <v>0.5</v>
      </c>
      <c r="G74" s="49">
        <f>AVERAGE('19.10 ZIROBWE-WOBULENZI-24h'!G74,'21.10 ZIROBWE-WOBULENZI-24h'!G74)</f>
        <v>0</v>
      </c>
      <c r="H74" s="49">
        <f>AVERAGE('19.10 ZIROBWE-WOBULENZI-24h'!H74,'21.10 ZIROBWE-WOBULENZI-24h'!H74)</f>
        <v>0</v>
      </c>
      <c r="I74" s="49">
        <f>AVERAGE('19.10 ZIROBWE-WOBULENZI-24h'!I74,'21.10 ZIROBWE-WOBULENZI-24h'!I74)</f>
        <v>0</v>
      </c>
      <c r="J74" s="49">
        <f>AVERAGE('19.10 ZIROBWE-WOBULENZI-24h'!J74,'21.10 ZIROBWE-WOBULENZI-24h'!J74)</f>
        <v>0</v>
      </c>
      <c r="K74" s="49">
        <f>AVERAGE('19.10 ZIROBWE-WOBULENZI-24h'!K74,'21.10 ZIROBWE-WOBULENZI-24h'!K74)</f>
        <v>0</v>
      </c>
      <c r="L74" s="49">
        <f>AVERAGE('19.10 ZIROBWE-WOBULENZI-24h'!L74,'21.10 ZIROBWE-WOBULENZI-24h'!L74)</f>
        <v>0</v>
      </c>
      <c r="M74" s="49">
        <f>AVERAGE('19.10 ZIROBWE-WOBULENZI-24h'!M74,'21.10 ZIROBWE-WOBULENZI-24h'!M74)</f>
        <v>1.5</v>
      </c>
      <c r="N74" s="49">
        <f>AVERAGE('19.10 ZIROBWE-WOBULENZI-24h'!N74,'21.10 ZIROBWE-WOBULENZI-24h'!N74)</f>
        <v>0</v>
      </c>
      <c r="O74" s="15">
        <f t="shared" ref="O74:O105" si="35">SUM(C74:L74,N74)</f>
        <v>1</v>
      </c>
      <c r="P74" s="15">
        <f t="shared" ref="P74:P105" si="36">SUM(C74:N74)</f>
        <v>2.5</v>
      </c>
      <c r="R74" s="8"/>
      <c r="T74"/>
    </row>
    <row r="75" spans="2:20" ht="23.1" customHeight="1" x14ac:dyDescent="0.25">
      <c r="B75" s="23" t="s">
        <v>115</v>
      </c>
      <c r="C75" s="49">
        <f>AVERAGE('19.10 ZIROBWE-WOBULENZI-24h'!C75,'21.10 ZIROBWE-WOBULENZI-24h'!C75)</f>
        <v>0</v>
      </c>
      <c r="D75" s="49">
        <f>AVERAGE('19.10 ZIROBWE-WOBULENZI-24h'!D75,'21.10 ZIROBWE-WOBULENZI-24h'!D75)</f>
        <v>0</v>
      </c>
      <c r="E75" s="49">
        <f>AVERAGE('19.10 ZIROBWE-WOBULENZI-24h'!E75,'21.10 ZIROBWE-WOBULENZI-24h'!E75)</f>
        <v>0</v>
      </c>
      <c r="F75" s="49">
        <f>AVERAGE('19.10 ZIROBWE-WOBULENZI-24h'!F75,'21.10 ZIROBWE-WOBULENZI-24h'!F75)</f>
        <v>0.5</v>
      </c>
      <c r="G75" s="49">
        <f>AVERAGE('19.10 ZIROBWE-WOBULENZI-24h'!G75,'21.10 ZIROBWE-WOBULENZI-24h'!G75)</f>
        <v>0</v>
      </c>
      <c r="H75" s="49">
        <f>AVERAGE('19.10 ZIROBWE-WOBULENZI-24h'!H75,'21.10 ZIROBWE-WOBULENZI-24h'!H75)</f>
        <v>0</v>
      </c>
      <c r="I75" s="49">
        <f>AVERAGE('19.10 ZIROBWE-WOBULENZI-24h'!I75,'21.10 ZIROBWE-WOBULENZI-24h'!I75)</f>
        <v>0</v>
      </c>
      <c r="J75" s="49">
        <f>AVERAGE('19.10 ZIROBWE-WOBULENZI-24h'!J75,'21.10 ZIROBWE-WOBULENZI-24h'!J75)</f>
        <v>0</v>
      </c>
      <c r="K75" s="49">
        <f>AVERAGE('19.10 ZIROBWE-WOBULENZI-24h'!K75,'21.10 ZIROBWE-WOBULENZI-24h'!K75)</f>
        <v>0</v>
      </c>
      <c r="L75" s="49">
        <f>AVERAGE('19.10 ZIROBWE-WOBULENZI-24h'!L75,'21.10 ZIROBWE-WOBULENZI-24h'!L75)</f>
        <v>0</v>
      </c>
      <c r="M75" s="49">
        <f>AVERAGE('19.10 ZIROBWE-WOBULENZI-24h'!M75,'21.10 ZIROBWE-WOBULENZI-24h'!M75)</f>
        <v>3</v>
      </c>
      <c r="N75" s="49">
        <f>AVERAGE('19.10 ZIROBWE-WOBULENZI-24h'!N75,'21.10 ZIROBWE-WOBULENZI-24h'!N75)</f>
        <v>0</v>
      </c>
      <c r="O75" s="15">
        <f t="shared" si="35"/>
        <v>0.5</v>
      </c>
      <c r="P75" s="15">
        <f t="shared" si="36"/>
        <v>3.5</v>
      </c>
      <c r="R75" s="8"/>
      <c r="T75"/>
    </row>
    <row r="76" spans="2:20" ht="23.1" customHeight="1" x14ac:dyDescent="0.25">
      <c r="B76" s="23" t="s">
        <v>116</v>
      </c>
      <c r="C76" s="49">
        <f>AVERAGE('19.10 ZIROBWE-WOBULENZI-24h'!C76,'21.10 ZIROBWE-WOBULENZI-24h'!C76)</f>
        <v>0</v>
      </c>
      <c r="D76" s="49">
        <f>AVERAGE('19.10 ZIROBWE-WOBULENZI-24h'!D76,'21.10 ZIROBWE-WOBULENZI-24h'!D76)</f>
        <v>0</v>
      </c>
      <c r="E76" s="49">
        <f>AVERAGE('19.10 ZIROBWE-WOBULENZI-24h'!E76,'21.10 ZIROBWE-WOBULENZI-24h'!E76)</f>
        <v>0.5</v>
      </c>
      <c r="F76" s="49">
        <f>AVERAGE('19.10 ZIROBWE-WOBULENZI-24h'!F76,'21.10 ZIROBWE-WOBULENZI-24h'!F76)</f>
        <v>0</v>
      </c>
      <c r="G76" s="49">
        <f>AVERAGE('19.10 ZIROBWE-WOBULENZI-24h'!G76,'21.10 ZIROBWE-WOBULENZI-24h'!G76)</f>
        <v>0</v>
      </c>
      <c r="H76" s="49">
        <f>AVERAGE('19.10 ZIROBWE-WOBULENZI-24h'!H76,'21.10 ZIROBWE-WOBULENZI-24h'!H76)</f>
        <v>0</v>
      </c>
      <c r="I76" s="49">
        <f>AVERAGE('19.10 ZIROBWE-WOBULENZI-24h'!I76,'21.10 ZIROBWE-WOBULENZI-24h'!I76)</f>
        <v>0</v>
      </c>
      <c r="J76" s="49">
        <f>AVERAGE('19.10 ZIROBWE-WOBULENZI-24h'!J76,'21.10 ZIROBWE-WOBULENZI-24h'!J76)</f>
        <v>0.5</v>
      </c>
      <c r="K76" s="49">
        <f>AVERAGE('19.10 ZIROBWE-WOBULENZI-24h'!K76,'21.10 ZIROBWE-WOBULENZI-24h'!K76)</f>
        <v>0</v>
      </c>
      <c r="L76" s="49">
        <f>AVERAGE('19.10 ZIROBWE-WOBULENZI-24h'!L76,'21.10 ZIROBWE-WOBULENZI-24h'!L76)</f>
        <v>0</v>
      </c>
      <c r="M76" s="49">
        <f>AVERAGE('19.10 ZIROBWE-WOBULENZI-24h'!M76,'21.10 ZIROBWE-WOBULENZI-24h'!M76)</f>
        <v>2</v>
      </c>
      <c r="N76" s="49">
        <f>AVERAGE('19.10 ZIROBWE-WOBULENZI-24h'!N76,'21.10 ZIROBWE-WOBULENZI-24h'!N76)</f>
        <v>0</v>
      </c>
      <c r="O76" s="15">
        <f t="shared" si="35"/>
        <v>1</v>
      </c>
      <c r="P76" s="15">
        <f t="shared" si="36"/>
        <v>3</v>
      </c>
      <c r="R76" s="8"/>
      <c r="T76"/>
    </row>
    <row r="77" spans="2:20" ht="23.1" customHeight="1" x14ac:dyDescent="0.25">
      <c r="B77" s="23" t="s">
        <v>117</v>
      </c>
      <c r="C77" s="49">
        <f>AVERAGE('19.10 ZIROBWE-WOBULENZI-24h'!C77,'21.10 ZIROBWE-WOBULENZI-24h'!C77)</f>
        <v>0</v>
      </c>
      <c r="D77" s="49">
        <f>AVERAGE('19.10 ZIROBWE-WOBULENZI-24h'!D77,'21.10 ZIROBWE-WOBULENZI-24h'!D77)</f>
        <v>0</v>
      </c>
      <c r="E77" s="49">
        <f>AVERAGE('19.10 ZIROBWE-WOBULENZI-24h'!E77,'21.10 ZIROBWE-WOBULENZI-24h'!E77)</f>
        <v>0</v>
      </c>
      <c r="F77" s="49">
        <f>AVERAGE('19.10 ZIROBWE-WOBULENZI-24h'!F77,'21.10 ZIROBWE-WOBULENZI-24h'!F77)</f>
        <v>0</v>
      </c>
      <c r="G77" s="49">
        <f>AVERAGE('19.10 ZIROBWE-WOBULENZI-24h'!G77,'21.10 ZIROBWE-WOBULENZI-24h'!G77)</f>
        <v>0</v>
      </c>
      <c r="H77" s="49">
        <f>AVERAGE('19.10 ZIROBWE-WOBULENZI-24h'!H77,'21.10 ZIROBWE-WOBULENZI-24h'!H77)</f>
        <v>0</v>
      </c>
      <c r="I77" s="49">
        <f>AVERAGE('19.10 ZIROBWE-WOBULENZI-24h'!I77,'21.10 ZIROBWE-WOBULENZI-24h'!I77)</f>
        <v>0</v>
      </c>
      <c r="J77" s="49">
        <f>AVERAGE('19.10 ZIROBWE-WOBULENZI-24h'!J77,'21.10 ZIROBWE-WOBULENZI-24h'!J77)</f>
        <v>0</v>
      </c>
      <c r="K77" s="49">
        <f>AVERAGE('19.10 ZIROBWE-WOBULENZI-24h'!K77,'21.10 ZIROBWE-WOBULENZI-24h'!K77)</f>
        <v>0</v>
      </c>
      <c r="L77" s="49">
        <f>AVERAGE('19.10 ZIROBWE-WOBULENZI-24h'!L77,'21.10 ZIROBWE-WOBULENZI-24h'!L77)</f>
        <v>0</v>
      </c>
      <c r="M77" s="49">
        <f>AVERAGE('19.10 ZIROBWE-WOBULENZI-24h'!M77,'21.10 ZIROBWE-WOBULENZI-24h'!M77)</f>
        <v>3</v>
      </c>
      <c r="N77" s="49">
        <f>AVERAGE('19.10 ZIROBWE-WOBULENZI-24h'!N77,'21.10 ZIROBWE-WOBULENZI-24h'!N77)</f>
        <v>0</v>
      </c>
      <c r="O77" s="15">
        <f t="shared" si="35"/>
        <v>0</v>
      </c>
      <c r="P77" s="15">
        <f t="shared" si="36"/>
        <v>3</v>
      </c>
      <c r="R77" s="8"/>
      <c r="T77"/>
    </row>
    <row r="78" spans="2:20" ht="23.1" customHeight="1" x14ac:dyDescent="0.25">
      <c r="B78" s="24" t="s">
        <v>118</v>
      </c>
      <c r="C78" s="49">
        <f>AVERAGE('19.10 ZIROBWE-WOBULENZI-24h'!C78,'21.10 ZIROBWE-WOBULENZI-24h'!C78)</f>
        <v>0</v>
      </c>
      <c r="D78" s="49">
        <f>AVERAGE('19.10 ZIROBWE-WOBULENZI-24h'!D78,'21.10 ZIROBWE-WOBULENZI-24h'!D78)</f>
        <v>0</v>
      </c>
      <c r="E78" s="49">
        <f>AVERAGE('19.10 ZIROBWE-WOBULENZI-24h'!E78,'21.10 ZIROBWE-WOBULENZI-24h'!E78)</f>
        <v>0</v>
      </c>
      <c r="F78" s="49">
        <f>AVERAGE('19.10 ZIROBWE-WOBULENZI-24h'!F78,'21.10 ZIROBWE-WOBULENZI-24h'!F78)</f>
        <v>0</v>
      </c>
      <c r="G78" s="49">
        <f>AVERAGE('19.10 ZIROBWE-WOBULENZI-24h'!G78,'21.10 ZIROBWE-WOBULENZI-24h'!G78)</f>
        <v>0</v>
      </c>
      <c r="H78" s="49">
        <f>AVERAGE('19.10 ZIROBWE-WOBULENZI-24h'!H78,'21.10 ZIROBWE-WOBULENZI-24h'!H78)</f>
        <v>0</v>
      </c>
      <c r="I78" s="49">
        <f>AVERAGE('19.10 ZIROBWE-WOBULENZI-24h'!I78,'21.10 ZIROBWE-WOBULENZI-24h'!I78)</f>
        <v>0</v>
      </c>
      <c r="J78" s="49">
        <f>AVERAGE('19.10 ZIROBWE-WOBULENZI-24h'!J78,'21.10 ZIROBWE-WOBULENZI-24h'!J78)</f>
        <v>0</v>
      </c>
      <c r="K78" s="49">
        <f>AVERAGE('19.10 ZIROBWE-WOBULENZI-24h'!K78,'21.10 ZIROBWE-WOBULENZI-24h'!K78)</f>
        <v>0</v>
      </c>
      <c r="L78" s="49">
        <f>AVERAGE('19.10 ZIROBWE-WOBULENZI-24h'!L78,'21.10 ZIROBWE-WOBULENZI-24h'!L78)</f>
        <v>0</v>
      </c>
      <c r="M78" s="49">
        <f>AVERAGE('19.10 ZIROBWE-WOBULENZI-24h'!M78,'21.10 ZIROBWE-WOBULENZI-24h'!M78)</f>
        <v>1.5</v>
      </c>
      <c r="N78" s="49">
        <f>AVERAGE('19.10 ZIROBWE-WOBULENZI-24h'!N78,'21.10 ZIROBWE-WOBULENZI-24h'!N78)</f>
        <v>0</v>
      </c>
      <c r="O78" s="15">
        <f t="shared" si="35"/>
        <v>0</v>
      </c>
      <c r="P78" s="15">
        <f t="shared" si="36"/>
        <v>1.5</v>
      </c>
      <c r="R78" s="8"/>
      <c r="T78"/>
    </row>
    <row r="79" spans="2:20" ht="23.1" customHeight="1" x14ac:dyDescent="0.25">
      <c r="B79" s="23" t="s">
        <v>119</v>
      </c>
      <c r="C79" s="49">
        <f>AVERAGE('19.10 ZIROBWE-WOBULENZI-24h'!C79,'21.10 ZIROBWE-WOBULENZI-24h'!C79)</f>
        <v>0</v>
      </c>
      <c r="D79" s="49">
        <f>AVERAGE('19.10 ZIROBWE-WOBULENZI-24h'!D79,'21.10 ZIROBWE-WOBULENZI-24h'!D79)</f>
        <v>0</v>
      </c>
      <c r="E79" s="49">
        <f>AVERAGE('19.10 ZIROBWE-WOBULENZI-24h'!E79,'21.10 ZIROBWE-WOBULENZI-24h'!E79)</f>
        <v>0</v>
      </c>
      <c r="F79" s="49">
        <f>AVERAGE('19.10 ZIROBWE-WOBULENZI-24h'!F79,'21.10 ZIROBWE-WOBULENZI-24h'!F79)</f>
        <v>0</v>
      </c>
      <c r="G79" s="49">
        <f>AVERAGE('19.10 ZIROBWE-WOBULENZI-24h'!G79,'21.10 ZIROBWE-WOBULENZI-24h'!G79)</f>
        <v>0</v>
      </c>
      <c r="H79" s="49">
        <f>AVERAGE('19.10 ZIROBWE-WOBULENZI-24h'!H79,'21.10 ZIROBWE-WOBULENZI-24h'!H79)</f>
        <v>0</v>
      </c>
      <c r="I79" s="49">
        <f>AVERAGE('19.10 ZIROBWE-WOBULENZI-24h'!I79,'21.10 ZIROBWE-WOBULENZI-24h'!I79)</f>
        <v>0</v>
      </c>
      <c r="J79" s="49">
        <f>AVERAGE('19.10 ZIROBWE-WOBULENZI-24h'!J79,'21.10 ZIROBWE-WOBULENZI-24h'!J79)</f>
        <v>0.5</v>
      </c>
      <c r="K79" s="49">
        <f>AVERAGE('19.10 ZIROBWE-WOBULENZI-24h'!K79,'21.10 ZIROBWE-WOBULENZI-24h'!K79)</f>
        <v>0</v>
      </c>
      <c r="L79" s="49">
        <f>AVERAGE('19.10 ZIROBWE-WOBULENZI-24h'!L79,'21.10 ZIROBWE-WOBULENZI-24h'!L79)</f>
        <v>0</v>
      </c>
      <c r="M79" s="49">
        <f>AVERAGE('19.10 ZIROBWE-WOBULENZI-24h'!M79,'21.10 ZIROBWE-WOBULENZI-24h'!M79)</f>
        <v>1</v>
      </c>
      <c r="N79" s="49">
        <f>AVERAGE('19.10 ZIROBWE-WOBULENZI-24h'!N79,'21.10 ZIROBWE-WOBULENZI-24h'!N79)</f>
        <v>0</v>
      </c>
      <c r="O79" s="15">
        <f t="shared" si="35"/>
        <v>0.5</v>
      </c>
      <c r="P79" s="15">
        <f t="shared" si="36"/>
        <v>1.5</v>
      </c>
      <c r="R79" s="8"/>
      <c r="T79"/>
    </row>
    <row r="80" spans="2:20" ht="23.1" customHeight="1" x14ac:dyDescent="0.25">
      <c r="B80" s="25" t="s">
        <v>120</v>
      </c>
      <c r="C80" s="49">
        <f>AVERAGE('19.10 ZIROBWE-WOBULENZI-24h'!C80,'21.10 ZIROBWE-WOBULENZI-24h'!C80)</f>
        <v>0</v>
      </c>
      <c r="D80" s="49">
        <f>AVERAGE('19.10 ZIROBWE-WOBULENZI-24h'!D80,'21.10 ZIROBWE-WOBULENZI-24h'!D80)</f>
        <v>0</v>
      </c>
      <c r="E80" s="49">
        <f>AVERAGE('19.10 ZIROBWE-WOBULENZI-24h'!E80,'21.10 ZIROBWE-WOBULENZI-24h'!E80)</f>
        <v>0</v>
      </c>
      <c r="F80" s="49">
        <f>AVERAGE('19.10 ZIROBWE-WOBULENZI-24h'!F80,'21.10 ZIROBWE-WOBULENZI-24h'!F80)</f>
        <v>0.5</v>
      </c>
      <c r="G80" s="49">
        <f>AVERAGE('19.10 ZIROBWE-WOBULENZI-24h'!G80,'21.10 ZIROBWE-WOBULENZI-24h'!G80)</f>
        <v>0</v>
      </c>
      <c r="H80" s="49">
        <f>AVERAGE('19.10 ZIROBWE-WOBULENZI-24h'!H80,'21.10 ZIROBWE-WOBULENZI-24h'!H80)</f>
        <v>0</v>
      </c>
      <c r="I80" s="49">
        <f>AVERAGE('19.10 ZIROBWE-WOBULENZI-24h'!I80,'21.10 ZIROBWE-WOBULENZI-24h'!I80)</f>
        <v>0</v>
      </c>
      <c r="J80" s="49">
        <f>AVERAGE('19.10 ZIROBWE-WOBULENZI-24h'!J80,'21.10 ZIROBWE-WOBULENZI-24h'!J80)</f>
        <v>0</v>
      </c>
      <c r="K80" s="49">
        <f>AVERAGE('19.10 ZIROBWE-WOBULENZI-24h'!K80,'21.10 ZIROBWE-WOBULENZI-24h'!K80)</f>
        <v>0</v>
      </c>
      <c r="L80" s="49">
        <f>AVERAGE('19.10 ZIROBWE-WOBULENZI-24h'!L80,'21.10 ZIROBWE-WOBULENZI-24h'!L80)</f>
        <v>0</v>
      </c>
      <c r="M80" s="49">
        <f>AVERAGE('19.10 ZIROBWE-WOBULENZI-24h'!M80,'21.10 ZIROBWE-WOBULENZI-24h'!M80)</f>
        <v>0.5</v>
      </c>
      <c r="N80" s="49">
        <f>AVERAGE('19.10 ZIROBWE-WOBULENZI-24h'!N80,'21.10 ZIROBWE-WOBULENZI-24h'!N80)</f>
        <v>0</v>
      </c>
      <c r="O80" s="15">
        <f t="shared" si="35"/>
        <v>0.5</v>
      </c>
      <c r="P80" s="15">
        <f t="shared" si="36"/>
        <v>1</v>
      </c>
      <c r="R80" s="8"/>
      <c r="T80"/>
    </row>
    <row r="81" spans="2:20" ht="23.1" customHeight="1" x14ac:dyDescent="0.25">
      <c r="B81" s="23" t="s">
        <v>121</v>
      </c>
      <c r="C81" s="49">
        <f>AVERAGE('19.10 ZIROBWE-WOBULENZI-24h'!C81,'21.10 ZIROBWE-WOBULENZI-24h'!C81)</f>
        <v>0</v>
      </c>
      <c r="D81" s="49">
        <f>AVERAGE('19.10 ZIROBWE-WOBULENZI-24h'!D81,'21.10 ZIROBWE-WOBULENZI-24h'!D81)</f>
        <v>0</v>
      </c>
      <c r="E81" s="49">
        <f>AVERAGE('19.10 ZIROBWE-WOBULENZI-24h'!E81,'21.10 ZIROBWE-WOBULENZI-24h'!E81)</f>
        <v>0</v>
      </c>
      <c r="F81" s="49">
        <f>AVERAGE('19.10 ZIROBWE-WOBULENZI-24h'!F81,'21.10 ZIROBWE-WOBULENZI-24h'!F81)</f>
        <v>0</v>
      </c>
      <c r="G81" s="49">
        <f>AVERAGE('19.10 ZIROBWE-WOBULENZI-24h'!G81,'21.10 ZIROBWE-WOBULENZI-24h'!G81)</f>
        <v>0</v>
      </c>
      <c r="H81" s="49">
        <f>AVERAGE('19.10 ZIROBWE-WOBULENZI-24h'!H81,'21.10 ZIROBWE-WOBULENZI-24h'!H81)</f>
        <v>0</v>
      </c>
      <c r="I81" s="49">
        <f>AVERAGE('19.10 ZIROBWE-WOBULENZI-24h'!I81,'21.10 ZIROBWE-WOBULENZI-24h'!I81)</f>
        <v>0</v>
      </c>
      <c r="J81" s="49">
        <f>AVERAGE('19.10 ZIROBWE-WOBULENZI-24h'!J81,'21.10 ZIROBWE-WOBULENZI-24h'!J81)</f>
        <v>0</v>
      </c>
      <c r="K81" s="49">
        <f>AVERAGE('19.10 ZIROBWE-WOBULENZI-24h'!K81,'21.10 ZIROBWE-WOBULENZI-24h'!K81)</f>
        <v>0</v>
      </c>
      <c r="L81" s="49">
        <f>AVERAGE('19.10 ZIROBWE-WOBULENZI-24h'!L81,'21.10 ZIROBWE-WOBULENZI-24h'!L81)</f>
        <v>0</v>
      </c>
      <c r="M81" s="49">
        <f>AVERAGE('19.10 ZIROBWE-WOBULENZI-24h'!M81,'21.10 ZIROBWE-WOBULENZI-24h'!M81)</f>
        <v>0</v>
      </c>
      <c r="N81" s="49">
        <f>AVERAGE('19.10 ZIROBWE-WOBULENZI-24h'!N81,'21.10 ZIROBWE-WOBULENZI-24h'!N81)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AVERAGE('19.10 ZIROBWE-WOBULENZI-24h'!C82,'21.10 ZIROBWE-WOBULENZI-24h'!C82)</f>
        <v>0</v>
      </c>
      <c r="D82" s="49">
        <f>AVERAGE('19.10 ZIROBWE-WOBULENZI-24h'!D82,'21.10 ZIROBWE-WOBULENZI-24h'!D82)</f>
        <v>0</v>
      </c>
      <c r="E82" s="49">
        <f>AVERAGE('19.10 ZIROBWE-WOBULENZI-24h'!E82,'21.10 ZIROBWE-WOBULENZI-24h'!E82)</f>
        <v>0</v>
      </c>
      <c r="F82" s="49">
        <f>AVERAGE('19.10 ZIROBWE-WOBULENZI-24h'!F82,'21.10 ZIROBWE-WOBULENZI-24h'!F82)</f>
        <v>0</v>
      </c>
      <c r="G82" s="49">
        <f>AVERAGE('19.10 ZIROBWE-WOBULENZI-24h'!G82,'21.10 ZIROBWE-WOBULENZI-24h'!G82)</f>
        <v>0</v>
      </c>
      <c r="H82" s="49">
        <f>AVERAGE('19.10 ZIROBWE-WOBULENZI-24h'!H82,'21.10 ZIROBWE-WOBULENZI-24h'!H82)</f>
        <v>0</v>
      </c>
      <c r="I82" s="49">
        <f>AVERAGE('19.10 ZIROBWE-WOBULENZI-24h'!I82,'21.10 ZIROBWE-WOBULENZI-24h'!I82)</f>
        <v>0</v>
      </c>
      <c r="J82" s="49">
        <f>AVERAGE('19.10 ZIROBWE-WOBULENZI-24h'!J82,'21.10 ZIROBWE-WOBULENZI-24h'!J82)</f>
        <v>0</v>
      </c>
      <c r="K82" s="49">
        <f>AVERAGE('19.10 ZIROBWE-WOBULENZI-24h'!K82,'21.10 ZIROBWE-WOBULENZI-24h'!K82)</f>
        <v>0</v>
      </c>
      <c r="L82" s="49">
        <f>AVERAGE('19.10 ZIROBWE-WOBULENZI-24h'!L82,'21.10 ZIROBWE-WOBULENZI-24h'!L82)</f>
        <v>0</v>
      </c>
      <c r="M82" s="49">
        <f>AVERAGE('19.10 ZIROBWE-WOBULENZI-24h'!M82,'21.10 ZIROBWE-WOBULENZI-24h'!M82)</f>
        <v>0</v>
      </c>
      <c r="N82" s="49">
        <f>AVERAGE('19.10 ZIROBWE-WOBULENZI-24h'!N82,'21.10 ZIROBWE-WOBULENZI-24h'!N82)</f>
        <v>0</v>
      </c>
      <c r="O82" s="15">
        <f t="shared" si="35"/>
        <v>0</v>
      </c>
      <c r="P82" s="15">
        <f t="shared" si="36"/>
        <v>0</v>
      </c>
      <c r="R82" s="8"/>
      <c r="T82"/>
    </row>
    <row r="83" spans="2:20" ht="23.1" customHeight="1" x14ac:dyDescent="0.25">
      <c r="B83" s="23" t="s">
        <v>123</v>
      </c>
      <c r="C83" s="49">
        <f>AVERAGE('19.10 ZIROBWE-WOBULENZI-24h'!C83,'21.10 ZIROBWE-WOBULENZI-24h'!C83)</f>
        <v>0</v>
      </c>
      <c r="D83" s="49">
        <f>AVERAGE('19.10 ZIROBWE-WOBULENZI-24h'!D83,'21.10 ZIROBWE-WOBULENZI-24h'!D83)</f>
        <v>0</v>
      </c>
      <c r="E83" s="49">
        <f>AVERAGE('19.10 ZIROBWE-WOBULENZI-24h'!E83,'21.10 ZIROBWE-WOBULENZI-24h'!E83)</f>
        <v>0</v>
      </c>
      <c r="F83" s="49">
        <f>AVERAGE('19.10 ZIROBWE-WOBULENZI-24h'!F83,'21.10 ZIROBWE-WOBULENZI-24h'!F83)</f>
        <v>0</v>
      </c>
      <c r="G83" s="49">
        <f>AVERAGE('19.10 ZIROBWE-WOBULENZI-24h'!G83,'21.10 ZIROBWE-WOBULENZI-24h'!G83)</f>
        <v>0</v>
      </c>
      <c r="H83" s="49">
        <f>AVERAGE('19.10 ZIROBWE-WOBULENZI-24h'!H83,'21.10 ZIROBWE-WOBULENZI-24h'!H83)</f>
        <v>0</v>
      </c>
      <c r="I83" s="49">
        <f>AVERAGE('19.10 ZIROBWE-WOBULENZI-24h'!I83,'21.10 ZIROBWE-WOBULENZI-24h'!I83)</f>
        <v>0</v>
      </c>
      <c r="J83" s="49">
        <f>AVERAGE('19.10 ZIROBWE-WOBULENZI-24h'!J83,'21.10 ZIROBWE-WOBULENZI-24h'!J83)</f>
        <v>0</v>
      </c>
      <c r="K83" s="49">
        <f>AVERAGE('19.10 ZIROBWE-WOBULENZI-24h'!K83,'21.10 ZIROBWE-WOBULENZI-24h'!K83)</f>
        <v>0</v>
      </c>
      <c r="L83" s="49">
        <f>AVERAGE('19.10 ZIROBWE-WOBULENZI-24h'!L83,'21.10 ZIROBWE-WOBULENZI-24h'!L83)</f>
        <v>0</v>
      </c>
      <c r="M83" s="49">
        <f>AVERAGE('19.10 ZIROBWE-WOBULENZI-24h'!M83,'21.10 ZIROBWE-WOBULENZI-24h'!M83)</f>
        <v>0.5</v>
      </c>
      <c r="N83" s="49">
        <f>AVERAGE('19.10 ZIROBWE-WOBULENZI-24h'!N83,'21.10 ZIROBWE-WOBULENZI-24h'!N83)</f>
        <v>0</v>
      </c>
      <c r="O83" s="15">
        <f t="shared" si="35"/>
        <v>0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AVERAGE('19.10 ZIROBWE-WOBULENZI-24h'!C84,'21.10 ZIROBWE-WOBULENZI-24h'!C84)</f>
        <v>0</v>
      </c>
      <c r="D84" s="49">
        <f>AVERAGE('19.10 ZIROBWE-WOBULENZI-24h'!D84,'21.10 ZIROBWE-WOBULENZI-24h'!D84)</f>
        <v>0</v>
      </c>
      <c r="E84" s="49">
        <f>AVERAGE('19.10 ZIROBWE-WOBULENZI-24h'!E84,'21.10 ZIROBWE-WOBULENZI-24h'!E84)</f>
        <v>0</v>
      </c>
      <c r="F84" s="49">
        <f>AVERAGE('19.10 ZIROBWE-WOBULENZI-24h'!F84,'21.10 ZIROBWE-WOBULENZI-24h'!F84)</f>
        <v>0</v>
      </c>
      <c r="G84" s="49">
        <f>AVERAGE('19.10 ZIROBWE-WOBULENZI-24h'!G84,'21.10 ZIROBWE-WOBULENZI-24h'!G84)</f>
        <v>0</v>
      </c>
      <c r="H84" s="49">
        <f>AVERAGE('19.10 ZIROBWE-WOBULENZI-24h'!H84,'21.10 ZIROBWE-WOBULENZI-24h'!H84)</f>
        <v>0</v>
      </c>
      <c r="I84" s="49">
        <f>AVERAGE('19.10 ZIROBWE-WOBULENZI-24h'!I84,'21.10 ZIROBWE-WOBULENZI-24h'!I84)</f>
        <v>0</v>
      </c>
      <c r="J84" s="49">
        <f>AVERAGE('19.10 ZIROBWE-WOBULENZI-24h'!J84,'21.10 ZIROBWE-WOBULENZI-24h'!J84)</f>
        <v>0</v>
      </c>
      <c r="K84" s="49">
        <f>AVERAGE('19.10 ZIROBWE-WOBULENZI-24h'!K84,'21.10 ZIROBWE-WOBULENZI-24h'!K84)</f>
        <v>0</v>
      </c>
      <c r="L84" s="49">
        <f>AVERAGE('19.10 ZIROBWE-WOBULENZI-24h'!L84,'21.10 ZIROBWE-WOBULENZI-24h'!L84)</f>
        <v>0</v>
      </c>
      <c r="M84" s="49">
        <f>AVERAGE('19.10 ZIROBWE-WOBULENZI-24h'!M84,'21.10 ZIROBWE-WOBULENZI-24h'!M84)</f>
        <v>0</v>
      </c>
      <c r="N84" s="49">
        <f>AVERAGE('19.10 ZIROBWE-WOBULENZI-24h'!N84,'21.10 ZIROBWE-WOBULENZI-24h'!N84)</f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23" t="s">
        <v>125</v>
      </c>
      <c r="C85" s="49">
        <f>AVERAGE('19.10 ZIROBWE-WOBULENZI-24h'!C85,'21.10 ZIROBWE-WOBULENZI-24h'!C85)</f>
        <v>0.5</v>
      </c>
      <c r="D85" s="49">
        <f>AVERAGE('19.10 ZIROBWE-WOBULENZI-24h'!D85,'21.10 ZIROBWE-WOBULENZI-24h'!D85)</f>
        <v>0</v>
      </c>
      <c r="E85" s="49">
        <f>AVERAGE('19.10 ZIROBWE-WOBULENZI-24h'!E85,'21.10 ZIROBWE-WOBULENZI-24h'!E85)</f>
        <v>0</v>
      </c>
      <c r="F85" s="49">
        <f>AVERAGE('19.10 ZIROBWE-WOBULENZI-24h'!F85,'21.10 ZIROBWE-WOBULENZI-24h'!F85)</f>
        <v>0</v>
      </c>
      <c r="G85" s="49">
        <f>AVERAGE('19.10 ZIROBWE-WOBULENZI-24h'!G85,'21.10 ZIROBWE-WOBULENZI-24h'!G85)</f>
        <v>0</v>
      </c>
      <c r="H85" s="49">
        <f>AVERAGE('19.10 ZIROBWE-WOBULENZI-24h'!H85,'21.10 ZIROBWE-WOBULENZI-24h'!H85)</f>
        <v>0</v>
      </c>
      <c r="I85" s="49">
        <f>AVERAGE('19.10 ZIROBWE-WOBULENZI-24h'!I85,'21.10 ZIROBWE-WOBULENZI-24h'!I85)</f>
        <v>0</v>
      </c>
      <c r="J85" s="49">
        <f>AVERAGE('19.10 ZIROBWE-WOBULENZI-24h'!J85,'21.10 ZIROBWE-WOBULENZI-24h'!J85)</f>
        <v>0</v>
      </c>
      <c r="K85" s="49">
        <f>AVERAGE('19.10 ZIROBWE-WOBULENZI-24h'!K85,'21.10 ZIROBWE-WOBULENZI-24h'!K85)</f>
        <v>0</v>
      </c>
      <c r="L85" s="49">
        <f>AVERAGE('19.10 ZIROBWE-WOBULENZI-24h'!L85,'21.10 ZIROBWE-WOBULENZI-24h'!L85)</f>
        <v>0</v>
      </c>
      <c r="M85" s="49">
        <f>AVERAGE('19.10 ZIROBWE-WOBULENZI-24h'!M85,'21.10 ZIROBWE-WOBULENZI-24h'!M85)</f>
        <v>0.5</v>
      </c>
      <c r="N85" s="49">
        <f>AVERAGE('19.10 ZIROBWE-WOBULENZI-24h'!N85,'21.10 ZIROBWE-WOBULENZI-24h'!N85)</f>
        <v>0</v>
      </c>
      <c r="O85" s="15">
        <f t="shared" si="35"/>
        <v>0.5</v>
      </c>
      <c r="P85" s="15">
        <f t="shared" si="36"/>
        <v>1</v>
      </c>
      <c r="R85" s="8"/>
      <c r="T85"/>
    </row>
    <row r="86" spans="2:20" ht="23.1" customHeight="1" x14ac:dyDescent="0.25">
      <c r="B86" s="24" t="s">
        <v>126</v>
      </c>
      <c r="C86" s="49">
        <f>AVERAGE('19.10 ZIROBWE-WOBULENZI-24h'!C86,'21.10 ZIROBWE-WOBULENZI-24h'!C86)</f>
        <v>0</v>
      </c>
      <c r="D86" s="49">
        <f>AVERAGE('19.10 ZIROBWE-WOBULENZI-24h'!D86,'21.10 ZIROBWE-WOBULENZI-24h'!D86)</f>
        <v>0</v>
      </c>
      <c r="E86" s="49">
        <f>AVERAGE('19.10 ZIROBWE-WOBULENZI-24h'!E86,'21.10 ZIROBWE-WOBULENZI-24h'!E86)</f>
        <v>0</v>
      </c>
      <c r="F86" s="49">
        <f>AVERAGE('19.10 ZIROBWE-WOBULENZI-24h'!F86,'21.10 ZIROBWE-WOBULENZI-24h'!F86)</f>
        <v>0</v>
      </c>
      <c r="G86" s="49">
        <f>AVERAGE('19.10 ZIROBWE-WOBULENZI-24h'!G86,'21.10 ZIROBWE-WOBULENZI-24h'!G86)</f>
        <v>0</v>
      </c>
      <c r="H86" s="49">
        <f>AVERAGE('19.10 ZIROBWE-WOBULENZI-24h'!H86,'21.10 ZIROBWE-WOBULENZI-24h'!H86)</f>
        <v>0</v>
      </c>
      <c r="I86" s="49">
        <f>AVERAGE('19.10 ZIROBWE-WOBULENZI-24h'!I86,'21.10 ZIROBWE-WOBULENZI-24h'!I86)</f>
        <v>0</v>
      </c>
      <c r="J86" s="49">
        <f>AVERAGE('19.10 ZIROBWE-WOBULENZI-24h'!J86,'21.10 ZIROBWE-WOBULENZI-24h'!J86)</f>
        <v>0</v>
      </c>
      <c r="K86" s="49">
        <f>AVERAGE('19.10 ZIROBWE-WOBULENZI-24h'!K86,'21.10 ZIROBWE-WOBULENZI-24h'!K86)</f>
        <v>0</v>
      </c>
      <c r="L86" s="49">
        <f>AVERAGE('19.10 ZIROBWE-WOBULENZI-24h'!L86,'21.10 ZIROBWE-WOBULENZI-24h'!L86)</f>
        <v>0</v>
      </c>
      <c r="M86" s="49">
        <f>AVERAGE('19.10 ZIROBWE-WOBULENZI-24h'!M86,'21.10 ZIROBWE-WOBULENZI-24h'!M86)</f>
        <v>0</v>
      </c>
      <c r="N86" s="49">
        <f>AVERAGE('19.10 ZIROBWE-WOBULENZI-24h'!N86,'21.10 ZIROBWE-WOBULENZI-24h'!N86)</f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23" t="s">
        <v>127</v>
      </c>
      <c r="C87" s="49">
        <f>AVERAGE('19.10 ZIROBWE-WOBULENZI-24h'!C87,'21.10 ZIROBWE-WOBULENZI-24h'!C87)</f>
        <v>0</v>
      </c>
      <c r="D87" s="49">
        <f>AVERAGE('19.10 ZIROBWE-WOBULENZI-24h'!D87,'21.10 ZIROBWE-WOBULENZI-24h'!D87)</f>
        <v>0</v>
      </c>
      <c r="E87" s="49">
        <f>AVERAGE('19.10 ZIROBWE-WOBULENZI-24h'!E87,'21.10 ZIROBWE-WOBULENZI-24h'!E87)</f>
        <v>0</v>
      </c>
      <c r="F87" s="49">
        <f>AVERAGE('19.10 ZIROBWE-WOBULENZI-24h'!F87,'21.10 ZIROBWE-WOBULENZI-24h'!F87)</f>
        <v>0</v>
      </c>
      <c r="G87" s="49">
        <f>AVERAGE('19.10 ZIROBWE-WOBULENZI-24h'!G87,'21.10 ZIROBWE-WOBULENZI-24h'!G87)</f>
        <v>0</v>
      </c>
      <c r="H87" s="49">
        <f>AVERAGE('19.10 ZIROBWE-WOBULENZI-24h'!H87,'21.10 ZIROBWE-WOBULENZI-24h'!H87)</f>
        <v>0</v>
      </c>
      <c r="I87" s="49">
        <f>AVERAGE('19.10 ZIROBWE-WOBULENZI-24h'!I87,'21.10 ZIROBWE-WOBULENZI-24h'!I87)</f>
        <v>0</v>
      </c>
      <c r="J87" s="49">
        <f>AVERAGE('19.10 ZIROBWE-WOBULENZI-24h'!J87,'21.10 ZIROBWE-WOBULENZI-24h'!J87)</f>
        <v>0</v>
      </c>
      <c r="K87" s="49">
        <f>AVERAGE('19.10 ZIROBWE-WOBULENZI-24h'!K87,'21.10 ZIROBWE-WOBULENZI-24h'!K87)</f>
        <v>0</v>
      </c>
      <c r="L87" s="49">
        <f>AVERAGE('19.10 ZIROBWE-WOBULENZI-24h'!L87,'21.10 ZIROBWE-WOBULENZI-24h'!L87)</f>
        <v>0</v>
      </c>
      <c r="M87" s="49">
        <f>AVERAGE('19.10 ZIROBWE-WOBULENZI-24h'!M87,'21.10 ZIROBWE-WOBULENZI-24h'!M87)</f>
        <v>0</v>
      </c>
      <c r="N87" s="49">
        <f>AVERAGE('19.10 ZIROBWE-WOBULENZI-24h'!N87,'21.10 ZIROBWE-WOBULENZI-24h'!N87)</f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25" t="s">
        <v>128</v>
      </c>
      <c r="C88" s="49">
        <f>AVERAGE('19.10 ZIROBWE-WOBULENZI-24h'!C88,'21.10 ZIROBWE-WOBULENZI-24h'!C88)</f>
        <v>0</v>
      </c>
      <c r="D88" s="49">
        <f>AVERAGE('19.10 ZIROBWE-WOBULENZI-24h'!D88,'21.10 ZIROBWE-WOBULENZI-24h'!D88)</f>
        <v>0</v>
      </c>
      <c r="E88" s="49">
        <f>AVERAGE('19.10 ZIROBWE-WOBULENZI-24h'!E88,'21.10 ZIROBWE-WOBULENZI-24h'!E88)</f>
        <v>0</v>
      </c>
      <c r="F88" s="49">
        <f>AVERAGE('19.10 ZIROBWE-WOBULENZI-24h'!F88,'21.10 ZIROBWE-WOBULENZI-24h'!F88)</f>
        <v>0</v>
      </c>
      <c r="G88" s="49">
        <f>AVERAGE('19.10 ZIROBWE-WOBULENZI-24h'!G88,'21.10 ZIROBWE-WOBULENZI-24h'!G88)</f>
        <v>0</v>
      </c>
      <c r="H88" s="49">
        <f>AVERAGE('19.10 ZIROBWE-WOBULENZI-24h'!H88,'21.10 ZIROBWE-WOBULENZI-24h'!H88)</f>
        <v>0</v>
      </c>
      <c r="I88" s="49">
        <f>AVERAGE('19.10 ZIROBWE-WOBULENZI-24h'!I88,'21.10 ZIROBWE-WOBULENZI-24h'!I88)</f>
        <v>0</v>
      </c>
      <c r="J88" s="49">
        <f>AVERAGE('19.10 ZIROBWE-WOBULENZI-24h'!J88,'21.10 ZIROBWE-WOBULENZI-24h'!J88)</f>
        <v>0</v>
      </c>
      <c r="K88" s="49">
        <f>AVERAGE('19.10 ZIROBWE-WOBULENZI-24h'!K88,'21.10 ZIROBWE-WOBULENZI-24h'!K88)</f>
        <v>0</v>
      </c>
      <c r="L88" s="49">
        <f>AVERAGE('19.10 ZIROBWE-WOBULENZI-24h'!L88,'21.10 ZIROBWE-WOBULENZI-24h'!L88)</f>
        <v>0</v>
      </c>
      <c r="M88" s="49">
        <f>AVERAGE('19.10 ZIROBWE-WOBULENZI-24h'!M88,'21.10 ZIROBWE-WOBULENZI-24h'!M88)</f>
        <v>0</v>
      </c>
      <c r="N88" s="49">
        <f>AVERAGE('19.10 ZIROBWE-WOBULENZI-24h'!N88,'21.10 ZIROBWE-WOBULENZI-24h'!N88)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AVERAGE('19.10 ZIROBWE-WOBULENZI-24h'!C89,'21.10 ZIROBWE-WOBULENZI-24h'!C89)</f>
        <v>0</v>
      </c>
      <c r="D89" s="49">
        <f>AVERAGE('19.10 ZIROBWE-WOBULENZI-24h'!D89,'21.10 ZIROBWE-WOBULENZI-24h'!D89)</f>
        <v>0</v>
      </c>
      <c r="E89" s="49">
        <f>AVERAGE('19.10 ZIROBWE-WOBULENZI-24h'!E89,'21.10 ZIROBWE-WOBULENZI-24h'!E89)</f>
        <v>0</v>
      </c>
      <c r="F89" s="49">
        <f>AVERAGE('19.10 ZIROBWE-WOBULENZI-24h'!F89,'21.10 ZIROBWE-WOBULENZI-24h'!F89)</f>
        <v>0</v>
      </c>
      <c r="G89" s="49">
        <f>AVERAGE('19.10 ZIROBWE-WOBULENZI-24h'!G89,'21.10 ZIROBWE-WOBULENZI-24h'!G89)</f>
        <v>0</v>
      </c>
      <c r="H89" s="49">
        <f>AVERAGE('19.10 ZIROBWE-WOBULENZI-24h'!H89,'21.10 ZIROBWE-WOBULENZI-24h'!H89)</f>
        <v>0</v>
      </c>
      <c r="I89" s="49">
        <f>AVERAGE('19.10 ZIROBWE-WOBULENZI-24h'!I89,'21.10 ZIROBWE-WOBULENZI-24h'!I89)</f>
        <v>0</v>
      </c>
      <c r="J89" s="49">
        <f>AVERAGE('19.10 ZIROBWE-WOBULENZI-24h'!J89,'21.10 ZIROBWE-WOBULENZI-24h'!J89)</f>
        <v>0</v>
      </c>
      <c r="K89" s="49">
        <f>AVERAGE('19.10 ZIROBWE-WOBULENZI-24h'!K89,'21.10 ZIROBWE-WOBULENZI-24h'!K89)</f>
        <v>0</v>
      </c>
      <c r="L89" s="49">
        <f>AVERAGE('19.10 ZIROBWE-WOBULENZI-24h'!L89,'21.10 ZIROBWE-WOBULENZI-24h'!L89)</f>
        <v>0</v>
      </c>
      <c r="M89" s="49">
        <f>AVERAGE('19.10 ZIROBWE-WOBULENZI-24h'!M89,'21.10 ZIROBWE-WOBULENZI-24h'!M89)</f>
        <v>0</v>
      </c>
      <c r="N89" s="49">
        <f>AVERAGE('19.10 ZIROBWE-WOBULENZI-24h'!N89,'21.10 ZIROBWE-WOBULENZI-24h'!N89)</f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24" t="s">
        <v>130</v>
      </c>
      <c r="C90" s="49">
        <f>AVERAGE('19.10 ZIROBWE-WOBULENZI-24h'!C90,'21.10 ZIROBWE-WOBULENZI-24h'!C90)</f>
        <v>0</v>
      </c>
      <c r="D90" s="49">
        <f>AVERAGE('19.10 ZIROBWE-WOBULENZI-24h'!D90,'21.10 ZIROBWE-WOBULENZI-24h'!D90)</f>
        <v>0</v>
      </c>
      <c r="E90" s="49">
        <f>AVERAGE('19.10 ZIROBWE-WOBULENZI-24h'!E90,'21.10 ZIROBWE-WOBULENZI-24h'!E90)</f>
        <v>0.5</v>
      </c>
      <c r="F90" s="49">
        <f>AVERAGE('19.10 ZIROBWE-WOBULENZI-24h'!F90,'21.10 ZIROBWE-WOBULENZI-24h'!F90)</f>
        <v>0</v>
      </c>
      <c r="G90" s="49">
        <f>AVERAGE('19.10 ZIROBWE-WOBULENZI-24h'!G90,'21.10 ZIROBWE-WOBULENZI-24h'!G90)</f>
        <v>0</v>
      </c>
      <c r="H90" s="49">
        <f>AVERAGE('19.10 ZIROBWE-WOBULENZI-24h'!H90,'21.10 ZIROBWE-WOBULENZI-24h'!H90)</f>
        <v>0</v>
      </c>
      <c r="I90" s="49">
        <f>AVERAGE('19.10 ZIROBWE-WOBULENZI-24h'!I90,'21.10 ZIROBWE-WOBULENZI-24h'!I90)</f>
        <v>0</v>
      </c>
      <c r="J90" s="49">
        <f>AVERAGE('19.10 ZIROBWE-WOBULENZI-24h'!J90,'21.10 ZIROBWE-WOBULENZI-24h'!J90)</f>
        <v>0</v>
      </c>
      <c r="K90" s="49">
        <f>AVERAGE('19.10 ZIROBWE-WOBULENZI-24h'!K90,'21.10 ZIROBWE-WOBULENZI-24h'!K90)</f>
        <v>0</v>
      </c>
      <c r="L90" s="49">
        <f>AVERAGE('19.10 ZIROBWE-WOBULENZI-24h'!L90,'21.10 ZIROBWE-WOBULENZI-24h'!L90)</f>
        <v>0</v>
      </c>
      <c r="M90" s="49">
        <f>AVERAGE('19.10 ZIROBWE-WOBULENZI-24h'!M90,'21.10 ZIROBWE-WOBULENZI-24h'!M90)</f>
        <v>1</v>
      </c>
      <c r="N90" s="49">
        <f>AVERAGE('19.10 ZIROBWE-WOBULENZI-24h'!N90,'21.10 ZIROBWE-WOBULENZI-24h'!N90)</f>
        <v>0</v>
      </c>
      <c r="O90" s="15">
        <f t="shared" si="35"/>
        <v>0.5</v>
      </c>
      <c r="P90" s="15">
        <f t="shared" si="36"/>
        <v>1.5</v>
      </c>
      <c r="R90" s="8"/>
      <c r="T90"/>
    </row>
    <row r="91" spans="2:20" ht="23.1" customHeight="1" x14ac:dyDescent="0.25">
      <c r="B91" s="23" t="s">
        <v>131</v>
      </c>
      <c r="C91" s="49">
        <f>AVERAGE('19.10 ZIROBWE-WOBULENZI-24h'!C91,'21.10 ZIROBWE-WOBULENZI-24h'!C91)</f>
        <v>0</v>
      </c>
      <c r="D91" s="49">
        <f>AVERAGE('19.10 ZIROBWE-WOBULENZI-24h'!D91,'21.10 ZIROBWE-WOBULENZI-24h'!D91)</f>
        <v>0</v>
      </c>
      <c r="E91" s="49">
        <f>AVERAGE('19.10 ZIROBWE-WOBULENZI-24h'!E91,'21.10 ZIROBWE-WOBULENZI-24h'!E91)</f>
        <v>0</v>
      </c>
      <c r="F91" s="49">
        <f>AVERAGE('19.10 ZIROBWE-WOBULENZI-24h'!F91,'21.10 ZIROBWE-WOBULENZI-24h'!F91)</f>
        <v>0</v>
      </c>
      <c r="G91" s="49">
        <f>AVERAGE('19.10 ZIROBWE-WOBULENZI-24h'!G91,'21.10 ZIROBWE-WOBULENZI-24h'!G91)</f>
        <v>0</v>
      </c>
      <c r="H91" s="49">
        <f>AVERAGE('19.10 ZIROBWE-WOBULENZI-24h'!H91,'21.10 ZIROBWE-WOBULENZI-24h'!H91)</f>
        <v>0</v>
      </c>
      <c r="I91" s="49">
        <f>AVERAGE('19.10 ZIROBWE-WOBULENZI-24h'!I91,'21.10 ZIROBWE-WOBULENZI-24h'!I91)</f>
        <v>0</v>
      </c>
      <c r="J91" s="49">
        <f>AVERAGE('19.10 ZIROBWE-WOBULENZI-24h'!J91,'21.10 ZIROBWE-WOBULENZI-24h'!J91)</f>
        <v>0</v>
      </c>
      <c r="K91" s="49">
        <f>AVERAGE('19.10 ZIROBWE-WOBULENZI-24h'!K91,'21.10 ZIROBWE-WOBULENZI-24h'!K91)</f>
        <v>0</v>
      </c>
      <c r="L91" s="49">
        <f>AVERAGE('19.10 ZIROBWE-WOBULENZI-24h'!L91,'21.10 ZIROBWE-WOBULENZI-24h'!L91)</f>
        <v>0</v>
      </c>
      <c r="M91" s="49">
        <f>AVERAGE('19.10 ZIROBWE-WOBULENZI-24h'!M91,'21.10 ZIROBWE-WOBULENZI-24h'!M91)</f>
        <v>0</v>
      </c>
      <c r="N91" s="49">
        <f>AVERAGE('19.10 ZIROBWE-WOBULENZI-24h'!N91,'21.10 ZIROBWE-WOBULENZI-24h'!N91)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AVERAGE('19.10 ZIROBWE-WOBULENZI-24h'!C92,'21.10 ZIROBWE-WOBULENZI-24h'!C92)</f>
        <v>0</v>
      </c>
      <c r="D92" s="49">
        <f>AVERAGE('19.10 ZIROBWE-WOBULENZI-24h'!D92,'21.10 ZIROBWE-WOBULENZI-24h'!D92)</f>
        <v>0</v>
      </c>
      <c r="E92" s="49">
        <f>AVERAGE('19.10 ZIROBWE-WOBULENZI-24h'!E92,'21.10 ZIROBWE-WOBULENZI-24h'!E92)</f>
        <v>0</v>
      </c>
      <c r="F92" s="49">
        <f>AVERAGE('19.10 ZIROBWE-WOBULENZI-24h'!F92,'21.10 ZIROBWE-WOBULENZI-24h'!F92)</f>
        <v>0</v>
      </c>
      <c r="G92" s="49">
        <f>AVERAGE('19.10 ZIROBWE-WOBULENZI-24h'!G92,'21.10 ZIROBWE-WOBULENZI-24h'!G92)</f>
        <v>0</v>
      </c>
      <c r="H92" s="49">
        <f>AVERAGE('19.10 ZIROBWE-WOBULENZI-24h'!H92,'21.10 ZIROBWE-WOBULENZI-24h'!H92)</f>
        <v>0</v>
      </c>
      <c r="I92" s="49">
        <f>AVERAGE('19.10 ZIROBWE-WOBULENZI-24h'!I92,'21.10 ZIROBWE-WOBULENZI-24h'!I92)</f>
        <v>0</v>
      </c>
      <c r="J92" s="49">
        <f>AVERAGE('19.10 ZIROBWE-WOBULENZI-24h'!J92,'21.10 ZIROBWE-WOBULENZI-24h'!J92)</f>
        <v>0</v>
      </c>
      <c r="K92" s="49">
        <f>AVERAGE('19.10 ZIROBWE-WOBULENZI-24h'!K92,'21.10 ZIROBWE-WOBULENZI-24h'!K92)</f>
        <v>0.5</v>
      </c>
      <c r="L92" s="49">
        <f>AVERAGE('19.10 ZIROBWE-WOBULENZI-24h'!L92,'21.10 ZIROBWE-WOBULENZI-24h'!L92)</f>
        <v>0</v>
      </c>
      <c r="M92" s="49">
        <f>AVERAGE('19.10 ZIROBWE-WOBULENZI-24h'!M92,'21.10 ZIROBWE-WOBULENZI-24h'!M92)</f>
        <v>0</v>
      </c>
      <c r="N92" s="49">
        <f>AVERAGE('19.10 ZIROBWE-WOBULENZI-24h'!N92,'21.10 ZIROBWE-WOBULENZI-24h'!N92)</f>
        <v>0</v>
      </c>
      <c r="O92" s="15">
        <f t="shared" si="35"/>
        <v>0.5</v>
      </c>
      <c r="P92" s="15">
        <f t="shared" si="36"/>
        <v>0.5</v>
      </c>
      <c r="R92" s="8"/>
      <c r="T92"/>
    </row>
    <row r="93" spans="2:20" ht="23.1" customHeight="1" x14ac:dyDescent="0.25">
      <c r="B93" s="23" t="s">
        <v>133</v>
      </c>
      <c r="C93" s="49">
        <f>AVERAGE('19.10 ZIROBWE-WOBULENZI-24h'!C93,'21.10 ZIROBWE-WOBULENZI-24h'!C93)</f>
        <v>0</v>
      </c>
      <c r="D93" s="49">
        <f>AVERAGE('19.10 ZIROBWE-WOBULENZI-24h'!D93,'21.10 ZIROBWE-WOBULENZI-24h'!D93)</f>
        <v>0</v>
      </c>
      <c r="E93" s="49">
        <f>AVERAGE('19.10 ZIROBWE-WOBULENZI-24h'!E93,'21.10 ZIROBWE-WOBULENZI-24h'!E93)</f>
        <v>0</v>
      </c>
      <c r="F93" s="49">
        <f>AVERAGE('19.10 ZIROBWE-WOBULENZI-24h'!F93,'21.10 ZIROBWE-WOBULENZI-24h'!F93)</f>
        <v>0</v>
      </c>
      <c r="G93" s="49">
        <f>AVERAGE('19.10 ZIROBWE-WOBULENZI-24h'!G93,'21.10 ZIROBWE-WOBULENZI-24h'!G93)</f>
        <v>0</v>
      </c>
      <c r="H93" s="49">
        <f>AVERAGE('19.10 ZIROBWE-WOBULENZI-24h'!H93,'21.10 ZIROBWE-WOBULENZI-24h'!H93)</f>
        <v>0</v>
      </c>
      <c r="I93" s="49">
        <f>AVERAGE('19.10 ZIROBWE-WOBULENZI-24h'!I93,'21.10 ZIROBWE-WOBULENZI-24h'!I93)</f>
        <v>0</v>
      </c>
      <c r="J93" s="49">
        <f>AVERAGE('19.10 ZIROBWE-WOBULENZI-24h'!J93,'21.10 ZIROBWE-WOBULENZI-24h'!J93)</f>
        <v>0.5</v>
      </c>
      <c r="K93" s="49">
        <f>AVERAGE('19.10 ZIROBWE-WOBULENZI-24h'!K93,'21.10 ZIROBWE-WOBULENZI-24h'!K93)</f>
        <v>0.5</v>
      </c>
      <c r="L93" s="49">
        <f>AVERAGE('19.10 ZIROBWE-WOBULENZI-24h'!L93,'21.10 ZIROBWE-WOBULENZI-24h'!L93)</f>
        <v>0</v>
      </c>
      <c r="M93" s="49">
        <f>AVERAGE('19.10 ZIROBWE-WOBULENZI-24h'!M93,'21.10 ZIROBWE-WOBULENZI-24h'!M93)</f>
        <v>0</v>
      </c>
      <c r="N93" s="49">
        <f>AVERAGE('19.10 ZIROBWE-WOBULENZI-24h'!N93,'21.10 ZIROBWE-WOBULENZI-24h'!N93)</f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24" t="s">
        <v>134</v>
      </c>
      <c r="C94" s="49">
        <f>AVERAGE('19.10 ZIROBWE-WOBULENZI-24h'!C94,'21.10 ZIROBWE-WOBULENZI-24h'!C94)</f>
        <v>0</v>
      </c>
      <c r="D94" s="49">
        <f>AVERAGE('19.10 ZIROBWE-WOBULENZI-24h'!D94,'21.10 ZIROBWE-WOBULENZI-24h'!D94)</f>
        <v>0</v>
      </c>
      <c r="E94" s="49">
        <f>AVERAGE('19.10 ZIROBWE-WOBULENZI-24h'!E94,'21.10 ZIROBWE-WOBULENZI-24h'!E94)</f>
        <v>0</v>
      </c>
      <c r="F94" s="49">
        <f>AVERAGE('19.10 ZIROBWE-WOBULENZI-24h'!F94,'21.10 ZIROBWE-WOBULENZI-24h'!F94)</f>
        <v>0</v>
      </c>
      <c r="G94" s="49">
        <f>AVERAGE('19.10 ZIROBWE-WOBULENZI-24h'!G94,'21.10 ZIROBWE-WOBULENZI-24h'!G94)</f>
        <v>0</v>
      </c>
      <c r="H94" s="49">
        <f>AVERAGE('19.10 ZIROBWE-WOBULENZI-24h'!H94,'21.10 ZIROBWE-WOBULENZI-24h'!H94)</f>
        <v>0</v>
      </c>
      <c r="I94" s="49">
        <f>AVERAGE('19.10 ZIROBWE-WOBULENZI-24h'!I94,'21.10 ZIROBWE-WOBULENZI-24h'!I94)</f>
        <v>0</v>
      </c>
      <c r="J94" s="49">
        <f>AVERAGE('19.10 ZIROBWE-WOBULENZI-24h'!J94,'21.10 ZIROBWE-WOBULENZI-24h'!J94)</f>
        <v>0</v>
      </c>
      <c r="K94" s="49">
        <f>AVERAGE('19.10 ZIROBWE-WOBULENZI-24h'!K94,'21.10 ZIROBWE-WOBULENZI-24h'!K94)</f>
        <v>0</v>
      </c>
      <c r="L94" s="49">
        <f>AVERAGE('19.10 ZIROBWE-WOBULENZI-24h'!L94,'21.10 ZIROBWE-WOBULENZI-24h'!L94)</f>
        <v>0</v>
      </c>
      <c r="M94" s="49">
        <f>AVERAGE('19.10 ZIROBWE-WOBULENZI-24h'!M94,'21.10 ZIROBWE-WOBULENZI-24h'!M94)</f>
        <v>0</v>
      </c>
      <c r="N94" s="49">
        <f>AVERAGE('19.10 ZIROBWE-WOBULENZI-24h'!N94,'21.10 ZIROBWE-WOBULENZI-24h'!N94)</f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23" t="s">
        <v>135</v>
      </c>
      <c r="C95" s="49">
        <f>AVERAGE('19.10 ZIROBWE-WOBULENZI-24h'!C95,'21.10 ZIROBWE-WOBULENZI-24h'!C95)</f>
        <v>0</v>
      </c>
      <c r="D95" s="49">
        <f>AVERAGE('19.10 ZIROBWE-WOBULENZI-24h'!D95,'21.10 ZIROBWE-WOBULENZI-24h'!D95)</f>
        <v>0</v>
      </c>
      <c r="E95" s="49">
        <f>AVERAGE('19.10 ZIROBWE-WOBULENZI-24h'!E95,'21.10 ZIROBWE-WOBULENZI-24h'!E95)</f>
        <v>0</v>
      </c>
      <c r="F95" s="49">
        <f>AVERAGE('19.10 ZIROBWE-WOBULENZI-24h'!F95,'21.10 ZIROBWE-WOBULENZI-24h'!F95)</f>
        <v>0</v>
      </c>
      <c r="G95" s="49">
        <f>AVERAGE('19.10 ZIROBWE-WOBULENZI-24h'!G95,'21.10 ZIROBWE-WOBULENZI-24h'!G95)</f>
        <v>0</v>
      </c>
      <c r="H95" s="49">
        <f>AVERAGE('19.10 ZIROBWE-WOBULENZI-24h'!H95,'21.10 ZIROBWE-WOBULENZI-24h'!H95)</f>
        <v>0</v>
      </c>
      <c r="I95" s="49">
        <f>AVERAGE('19.10 ZIROBWE-WOBULENZI-24h'!I95,'21.10 ZIROBWE-WOBULENZI-24h'!I95)</f>
        <v>0</v>
      </c>
      <c r="J95" s="49">
        <f>AVERAGE('19.10 ZIROBWE-WOBULENZI-24h'!J95,'21.10 ZIROBWE-WOBULENZI-24h'!J95)</f>
        <v>0.5</v>
      </c>
      <c r="K95" s="49">
        <f>AVERAGE('19.10 ZIROBWE-WOBULENZI-24h'!K95,'21.10 ZIROBWE-WOBULENZI-24h'!K95)</f>
        <v>0</v>
      </c>
      <c r="L95" s="49">
        <f>AVERAGE('19.10 ZIROBWE-WOBULENZI-24h'!L95,'21.10 ZIROBWE-WOBULENZI-24h'!L95)</f>
        <v>0</v>
      </c>
      <c r="M95" s="49">
        <f>AVERAGE('19.10 ZIROBWE-WOBULENZI-24h'!M95,'21.10 ZIROBWE-WOBULENZI-24h'!M95)</f>
        <v>0</v>
      </c>
      <c r="N95" s="49">
        <f>AVERAGE('19.10 ZIROBWE-WOBULENZI-24h'!N95,'21.10 ZIROBWE-WOBULENZI-24h'!N95)</f>
        <v>0</v>
      </c>
      <c r="O95" s="15">
        <f t="shared" si="35"/>
        <v>0.5</v>
      </c>
      <c r="P95" s="15">
        <f t="shared" si="36"/>
        <v>0.5</v>
      </c>
      <c r="R95" s="8"/>
      <c r="T95"/>
    </row>
    <row r="96" spans="2:20" ht="23.1" customHeight="1" x14ac:dyDescent="0.25">
      <c r="B96" s="25" t="s">
        <v>136</v>
      </c>
      <c r="C96" s="49">
        <f>AVERAGE('19.10 ZIROBWE-WOBULENZI-24h'!C96,'21.10 ZIROBWE-WOBULENZI-24h'!C96)</f>
        <v>0</v>
      </c>
      <c r="D96" s="49">
        <f>AVERAGE('19.10 ZIROBWE-WOBULENZI-24h'!D96,'21.10 ZIROBWE-WOBULENZI-24h'!D96)</f>
        <v>0</v>
      </c>
      <c r="E96" s="49">
        <f>AVERAGE('19.10 ZIROBWE-WOBULENZI-24h'!E96,'21.10 ZIROBWE-WOBULENZI-24h'!E96)</f>
        <v>0</v>
      </c>
      <c r="F96" s="49">
        <f>AVERAGE('19.10 ZIROBWE-WOBULENZI-24h'!F96,'21.10 ZIROBWE-WOBULENZI-24h'!F96)</f>
        <v>0</v>
      </c>
      <c r="G96" s="49">
        <f>AVERAGE('19.10 ZIROBWE-WOBULENZI-24h'!G96,'21.10 ZIROBWE-WOBULENZI-24h'!G96)</f>
        <v>0</v>
      </c>
      <c r="H96" s="49">
        <f>AVERAGE('19.10 ZIROBWE-WOBULENZI-24h'!H96,'21.10 ZIROBWE-WOBULENZI-24h'!H96)</f>
        <v>0</v>
      </c>
      <c r="I96" s="49">
        <f>AVERAGE('19.10 ZIROBWE-WOBULENZI-24h'!I96,'21.10 ZIROBWE-WOBULENZI-24h'!I96)</f>
        <v>0.5</v>
      </c>
      <c r="J96" s="49">
        <f>AVERAGE('19.10 ZIROBWE-WOBULENZI-24h'!J96,'21.10 ZIROBWE-WOBULENZI-24h'!J96)</f>
        <v>0</v>
      </c>
      <c r="K96" s="49">
        <f>AVERAGE('19.10 ZIROBWE-WOBULENZI-24h'!K96,'21.10 ZIROBWE-WOBULENZI-24h'!K96)</f>
        <v>0</v>
      </c>
      <c r="L96" s="49">
        <f>AVERAGE('19.10 ZIROBWE-WOBULENZI-24h'!L96,'21.10 ZIROBWE-WOBULENZI-24h'!L96)</f>
        <v>0</v>
      </c>
      <c r="M96" s="49">
        <f>AVERAGE('19.10 ZIROBWE-WOBULENZI-24h'!M96,'21.10 ZIROBWE-WOBULENZI-24h'!M96)</f>
        <v>0</v>
      </c>
      <c r="N96" s="49">
        <f>AVERAGE('19.10 ZIROBWE-WOBULENZI-24h'!N96,'21.10 ZIROBWE-WOBULENZI-24h'!N96)</f>
        <v>0</v>
      </c>
      <c r="O96" s="15">
        <f t="shared" si="35"/>
        <v>0.5</v>
      </c>
      <c r="P96" s="15">
        <f t="shared" si="36"/>
        <v>0.5</v>
      </c>
      <c r="R96" s="8"/>
      <c r="T96"/>
    </row>
    <row r="97" spans="2:20" ht="23.1" customHeight="1" x14ac:dyDescent="0.25">
      <c r="B97" s="23" t="s">
        <v>137</v>
      </c>
      <c r="C97" s="49">
        <f>AVERAGE('19.10 ZIROBWE-WOBULENZI-24h'!C97,'21.10 ZIROBWE-WOBULENZI-24h'!C97)</f>
        <v>0</v>
      </c>
      <c r="D97" s="49">
        <f>AVERAGE('19.10 ZIROBWE-WOBULENZI-24h'!D97,'21.10 ZIROBWE-WOBULENZI-24h'!D97)</f>
        <v>0</v>
      </c>
      <c r="E97" s="49">
        <f>AVERAGE('19.10 ZIROBWE-WOBULENZI-24h'!E97,'21.10 ZIROBWE-WOBULENZI-24h'!E97)</f>
        <v>0</v>
      </c>
      <c r="F97" s="49">
        <f>AVERAGE('19.10 ZIROBWE-WOBULENZI-24h'!F97,'21.10 ZIROBWE-WOBULENZI-24h'!F97)</f>
        <v>0</v>
      </c>
      <c r="G97" s="49">
        <f>AVERAGE('19.10 ZIROBWE-WOBULENZI-24h'!G97,'21.10 ZIROBWE-WOBULENZI-24h'!G97)</f>
        <v>0</v>
      </c>
      <c r="H97" s="49">
        <f>AVERAGE('19.10 ZIROBWE-WOBULENZI-24h'!H97,'21.10 ZIROBWE-WOBULENZI-24h'!H97)</f>
        <v>0</v>
      </c>
      <c r="I97" s="49">
        <f>AVERAGE('19.10 ZIROBWE-WOBULENZI-24h'!I97,'21.10 ZIROBWE-WOBULENZI-24h'!I97)</f>
        <v>0</v>
      </c>
      <c r="J97" s="49">
        <f>AVERAGE('19.10 ZIROBWE-WOBULENZI-24h'!J97,'21.10 ZIROBWE-WOBULENZI-24h'!J97)</f>
        <v>0</v>
      </c>
      <c r="K97" s="49">
        <f>AVERAGE('19.10 ZIROBWE-WOBULENZI-24h'!K97,'21.10 ZIROBWE-WOBULENZI-24h'!K97)</f>
        <v>0.5</v>
      </c>
      <c r="L97" s="49">
        <f>AVERAGE('19.10 ZIROBWE-WOBULENZI-24h'!L97,'21.10 ZIROBWE-WOBULENZI-24h'!L97)</f>
        <v>0</v>
      </c>
      <c r="M97" s="49">
        <f>AVERAGE('19.10 ZIROBWE-WOBULENZI-24h'!M97,'21.10 ZIROBWE-WOBULENZI-24h'!M97)</f>
        <v>0</v>
      </c>
      <c r="N97" s="49">
        <f>AVERAGE('19.10 ZIROBWE-WOBULENZI-24h'!N97,'21.10 ZIROBWE-WOBULENZI-24h'!N97)</f>
        <v>0</v>
      </c>
      <c r="O97" s="15">
        <f t="shared" si="35"/>
        <v>0.5</v>
      </c>
      <c r="P97" s="15">
        <f t="shared" si="36"/>
        <v>0.5</v>
      </c>
      <c r="R97" s="8"/>
      <c r="T97"/>
    </row>
    <row r="98" spans="2:20" ht="23.1" customHeight="1" x14ac:dyDescent="0.25">
      <c r="B98" s="24" t="s">
        <v>138</v>
      </c>
      <c r="C98" s="49">
        <f>AVERAGE('19.10 ZIROBWE-WOBULENZI-24h'!C98,'21.10 ZIROBWE-WOBULENZI-24h'!C98)</f>
        <v>0</v>
      </c>
      <c r="D98" s="49">
        <f>AVERAGE('19.10 ZIROBWE-WOBULENZI-24h'!D98,'21.10 ZIROBWE-WOBULENZI-24h'!D98)</f>
        <v>0</v>
      </c>
      <c r="E98" s="49">
        <f>AVERAGE('19.10 ZIROBWE-WOBULENZI-24h'!E98,'21.10 ZIROBWE-WOBULENZI-24h'!E98)</f>
        <v>0</v>
      </c>
      <c r="F98" s="49">
        <f>AVERAGE('19.10 ZIROBWE-WOBULENZI-24h'!F98,'21.10 ZIROBWE-WOBULENZI-24h'!F98)</f>
        <v>0</v>
      </c>
      <c r="G98" s="49">
        <f>AVERAGE('19.10 ZIROBWE-WOBULENZI-24h'!G98,'21.10 ZIROBWE-WOBULENZI-24h'!G98)</f>
        <v>0</v>
      </c>
      <c r="H98" s="49">
        <f>AVERAGE('19.10 ZIROBWE-WOBULENZI-24h'!H98,'21.10 ZIROBWE-WOBULENZI-24h'!H98)</f>
        <v>0</v>
      </c>
      <c r="I98" s="49">
        <f>AVERAGE('19.10 ZIROBWE-WOBULENZI-24h'!I98,'21.10 ZIROBWE-WOBULENZI-24h'!I98)</f>
        <v>0</v>
      </c>
      <c r="J98" s="49">
        <f>AVERAGE('19.10 ZIROBWE-WOBULENZI-24h'!J98,'21.10 ZIROBWE-WOBULENZI-24h'!J98)</f>
        <v>0</v>
      </c>
      <c r="K98" s="49">
        <f>AVERAGE('19.10 ZIROBWE-WOBULENZI-24h'!K98,'21.10 ZIROBWE-WOBULENZI-24h'!K98)</f>
        <v>0</v>
      </c>
      <c r="L98" s="49">
        <f>AVERAGE('19.10 ZIROBWE-WOBULENZI-24h'!L98,'21.10 ZIROBWE-WOBULENZI-24h'!L98)</f>
        <v>0</v>
      </c>
      <c r="M98" s="49">
        <f>AVERAGE('19.10 ZIROBWE-WOBULENZI-24h'!M98,'21.10 ZIROBWE-WOBULENZI-24h'!M98)</f>
        <v>0.5</v>
      </c>
      <c r="N98" s="49">
        <f>AVERAGE('19.10 ZIROBWE-WOBULENZI-24h'!N98,'21.10 ZIROBWE-WOBULENZI-24h'!N98)</f>
        <v>0</v>
      </c>
      <c r="O98" s="15">
        <f t="shared" si="35"/>
        <v>0</v>
      </c>
      <c r="P98" s="15">
        <f t="shared" si="36"/>
        <v>0.5</v>
      </c>
      <c r="R98" s="8"/>
      <c r="T98"/>
    </row>
    <row r="99" spans="2:20" ht="23.1" customHeight="1" x14ac:dyDescent="0.25">
      <c r="B99" s="23" t="s">
        <v>139</v>
      </c>
      <c r="C99" s="49">
        <f>AVERAGE('19.10 ZIROBWE-WOBULENZI-24h'!C99,'21.10 ZIROBWE-WOBULENZI-24h'!C99)</f>
        <v>0.5</v>
      </c>
      <c r="D99" s="49">
        <f>AVERAGE('19.10 ZIROBWE-WOBULENZI-24h'!D99,'21.10 ZIROBWE-WOBULENZI-24h'!D99)</f>
        <v>0</v>
      </c>
      <c r="E99" s="49">
        <f>AVERAGE('19.10 ZIROBWE-WOBULENZI-24h'!E99,'21.10 ZIROBWE-WOBULENZI-24h'!E99)</f>
        <v>0</v>
      </c>
      <c r="F99" s="49">
        <f>AVERAGE('19.10 ZIROBWE-WOBULENZI-24h'!F99,'21.10 ZIROBWE-WOBULENZI-24h'!F99)</f>
        <v>0</v>
      </c>
      <c r="G99" s="49">
        <f>AVERAGE('19.10 ZIROBWE-WOBULENZI-24h'!G99,'21.10 ZIROBWE-WOBULENZI-24h'!G99)</f>
        <v>0</v>
      </c>
      <c r="H99" s="49">
        <f>AVERAGE('19.10 ZIROBWE-WOBULENZI-24h'!H99,'21.10 ZIROBWE-WOBULENZI-24h'!H99)</f>
        <v>0</v>
      </c>
      <c r="I99" s="49">
        <f>AVERAGE('19.10 ZIROBWE-WOBULENZI-24h'!I99,'21.10 ZIROBWE-WOBULENZI-24h'!I99)</f>
        <v>0</v>
      </c>
      <c r="J99" s="49">
        <f>AVERAGE('19.10 ZIROBWE-WOBULENZI-24h'!J99,'21.10 ZIROBWE-WOBULENZI-24h'!J99)</f>
        <v>0.5</v>
      </c>
      <c r="K99" s="49">
        <f>AVERAGE('19.10 ZIROBWE-WOBULENZI-24h'!K99,'21.10 ZIROBWE-WOBULENZI-24h'!K99)</f>
        <v>0</v>
      </c>
      <c r="L99" s="49">
        <f>AVERAGE('19.10 ZIROBWE-WOBULENZI-24h'!L99,'21.10 ZIROBWE-WOBULENZI-24h'!L99)</f>
        <v>0</v>
      </c>
      <c r="M99" s="49">
        <f>AVERAGE('19.10 ZIROBWE-WOBULENZI-24h'!M99,'21.10 ZIROBWE-WOBULENZI-24h'!M99)</f>
        <v>0</v>
      </c>
      <c r="N99" s="49">
        <f>AVERAGE('19.10 ZIROBWE-WOBULENZI-24h'!N99,'21.10 ZIROBWE-WOBULENZI-24h'!N99)</f>
        <v>0</v>
      </c>
      <c r="O99" s="15">
        <f t="shared" si="35"/>
        <v>1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AVERAGE('19.10 ZIROBWE-WOBULENZI-24h'!C100,'21.10 ZIROBWE-WOBULENZI-24h'!C100)</f>
        <v>0</v>
      </c>
      <c r="D100" s="49">
        <f>AVERAGE('19.10 ZIROBWE-WOBULENZI-24h'!D100,'21.10 ZIROBWE-WOBULENZI-24h'!D100)</f>
        <v>0</v>
      </c>
      <c r="E100" s="49">
        <f>AVERAGE('19.10 ZIROBWE-WOBULENZI-24h'!E100,'21.10 ZIROBWE-WOBULENZI-24h'!E100)</f>
        <v>0</v>
      </c>
      <c r="F100" s="49">
        <f>AVERAGE('19.10 ZIROBWE-WOBULENZI-24h'!F100,'21.10 ZIROBWE-WOBULENZI-24h'!F100)</f>
        <v>0</v>
      </c>
      <c r="G100" s="49">
        <f>AVERAGE('19.10 ZIROBWE-WOBULENZI-24h'!G100,'21.10 ZIROBWE-WOBULENZI-24h'!G100)</f>
        <v>0</v>
      </c>
      <c r="H100" s="49">
        <f>AVERAGE('19.10 ZIROBWE-WOBULENZI-24h'!H100,'21.10 ZIROBWE-WOBULENZI-24h'!H100)</f>
        <v>0</v>
      </c>
      <c r="I100" s="49">
        <f>AVERAGE('19.10 ZIROBWE-WOBULENZI-24h'!I100,'21.10 ZIROBWE-WOBULENZI-24h'!I100)</f>
        <v>0</v>
      </c>
      <c r="J100" s="49">
        <f>AVERAGE('19.10 ZIROBWE-WOBULENZI-24h'!J100,'21.10 ZIROBWE-WOBULENZI-24h'!J100)</f>
        <v>0</v>
      </c>
      <c r="K100" s="49">
        <f>AVERAGE('19.10 ZIROBWE-WOBULENZI-24h'!K100,'21.10 ZIROBWE-WOBULENZI-24h'!K100)</f>
        <v>0</v>
      </c>
      <c r="L100" s="49">
        <f>AVERAGE('19.10 ZIROBWE-WOBULENZI-24h'!L100,'21.10 ZIROBWE-WOBULENZI-24h'!L100)</f>
        <v>0</v>
      </c>
      <c r="M100" s="49">
        <f>AVERAGE('19.10 ZIROBWE-WOBULENZI-24h'!M100,'21.10 ZIROBWE-WOBULENZI-24h'!M100)</f>
        <v>0.5</v>
      </c>
      <c r="N100" s="49">
        <f>AVERAGE('19.10 ZIROBWE-WOBULENZI-24h'!N100,'21.10 ZIROBWE-WOBULENZI-24h'!N100)</f>
        <v>0</v>
      </c>
      <c r="O100" s="15">
        <f t="shared" si="35"/>
        <v>0</v>
      </c>
      <c r="P100" s="15">
        <f t="shared" si="36"/>
        <v>0.5</v>
      </c>
      <c r="R100" s="8"/>
      <c r="T100"/>
    </row>
    <row r="101" spans="2:20" ht="23.1" customHeight="1" x14ac:dyDescent="0.25">
      <c r="B101" s="23" t="s">
        <v>141</v>
      </c>
      <c r="C101" s="49">
        <f>AVERAGE('19.10 ZIROBWE-WOBULENZI-24h'!C101,'21.10 ZIROBWE-WOBULENZI-24h'!C101)</f>
        <v>0</v>
      </c>
      <c r="D101" s="49">
        <f>AVERAGE('19.10 ZIROBWE-WOBULENZI-24h'!D101,'21.10 ZIROBWE-WOBULENZI-24h'!D101)</f>
        <v>0</v>
      </c>
      <c r="E101" s="49">
        <f>AVERAGE('19.10 ZIROBWE-WOBULENZI-24h'!E101,'21.10 ZIROBWE-WOBULENZI-24h'!E101)</f>
        <v>0</v>
      </c>
      <c r="F101" s="49">
        <f>AVERAGE('19.10 ZIROBWE-WOBULENZI-24h'!F101,'21.10 ZIROBWE-WOBULENZI-24h'!F101)</f>
        <v>0</v>
      </c>
      <c r="G101" s="49">
        <f>AVERAGE('19.10 ZIROBWE-WOBULENZI-24h'!G101,'21.10 ZIROBWE-WOBULENZI-24h'!G101)</f>
        <v>0</v>
      </c>
      <c r="H101" s="49">
        <f>AVERAGE('19.10 ZIROBWE-WOBULENZI-24h'!H101,'21.10 ZIROBWE-WOBULENZI-24h'!H101)</f>
        <v>0</v>
      </c>
      <c r="I101" s="49">
        <f>AVERAGE('19.10 ZIROBWE-WOBULENZI-24h'!I101,'21.10 ZIROBWE-WOBULENZI-24h'!I101)</f>
        <v>0</v>
      </c>
      <c r="J101" s="49">
        <f>AVERAGE('19.10 ZIROBWE-WOBULENZI-24h'!J101,'21.10 ZIROBWE-WOBULENZI-24h'!J101)</f>
        <v>0</v>
      </c>
      <c r="K101" s="49">
        <f>AVERAGE('19.10 ZIROBWE-WOBULENZI-24h'!K101,'21.10 ZIROBWE-WOBULENZI-24h'!K101)</f>
        <v>0</v>
      </c>
      <c r="L101" s="49">
        <f>AVERAGE('19.10 ZIROBWE-WOBULENZI-24h'!L101,'21.10 ZIROBWE-WOBULENZI-24h'!L101)</f>
        <v>0</v>
      </c>
      <c r="M101" s="49">
        <f>AVERAGE('19.10 ZIROBWE-WOBULENZI-24h'!M101,'21.10 ZIROBWE-WOBULENZI-24h'!M101)</f>
        <v>1.5</v>
      </c>
      <c r="N101" s="49">
        <f>AVERAGE('19.10 ZIROBWE-WOBULENZI-24h'!N101,'21.10 ZIROBWE-WOBULENZI-24h'!N101)</f>
        <v>0</v>
      </c>
      <c r="O101" s="15">
        <f t="shared" si="35"/>
        <v>0</v>
      </c>
      <c r="P101" s="15">
        <f t="shared" si="36"/>
        <v>1.5</v>
      </c>
      <c r="R101" s="8"/>
      <c r="T101"/>
    </row>
    <row r="102" spans="2:20" ht="23.1" customHeight="1" x14ac:dyDescent="0.25">
      <c r="B102" s="24" t="s">
        <v>142</v>
      </c>
      <c r="C102" s="49">
        <f>AVERAGE('19.10 ZIROBWE-WOBULENZI-24h'!C102,'21.10 ZIROBWE-WOBULENZI-24h'!C102)</f>
        <v>0</v>
      </c>
      <c r="D102" s="49">
        <f>AVERAGE('19.10 ZIROBWE-WOBULENZI-24h'!D102,'21.10 ZIROBWE-WOBULENZI-24h'!D102)</f>
        <v>0</v>
      </c>
      <c r="E102" s="49">
        <f>AVERAGE('19.10 ZIROBWE-WOBULENZI-24h'!E102,'21.10 ZIROBWE-WOBULENZI-24h'!E102)</f>
        <v>0</v>
      </c>
      <c r="F102" s="49">
        <f>AVERAGE('19.10 ZIROBWE-WOBULENZI-24h'!F102,'21.10 ZIROBWE-WOBULENZI-24h'!F102)</f>
        <v>0</v>
      </c>
      <c r="G102" s="49">
        <f>AVERAGE('19.10 ZIROBWE-WOBULENZI-24h'!G102,'21.10 ZIROBWE-WOBULENZI-24h'!G102)</f>
        <v>0</v>
      </c>
      <c r="H102" s="49">
        <f>AVERAGE('19.10 ZIROBWE-WOBULENZI-24h'!H102,'21.10 ZIROBWE-WOBULENZI-24h'!H102)</f>
        <v>0</v>
      </c>
      <c r="I102" s="49">
        <f>AVERAGE('19.10 ZIROBWE-WOBULENZI-24h'!I102,'21.10 ZIROBWE-WOBULENZI-24h'!I102)</f>
        <v>0</v>
      </c>
      <c r="J102" s="49">
        <f>AVERAGE('19.10 ZIROBWE-WOBULENZI-24h'!J102,'21.10 ZIROBWE-WOBULENZI-24h'!J102)</f>
        <v>0</v>
      </c>
      <c r="K102" s="49">
        <f>AVERAGE('19.10 ZIROBWE-WOBULENZI-24h'!K102,'21.10 ZIROBWE-WOBULENZI-24h'!K102)</f>
        <v>0</v>
      </c>
      <c r="L102" s="49">
        <f>AVERAGE('19.10 ZIROBWE-WOBULENZI-24h'!L102,'21.10 ZIROBWE-WOBULENZI-24h'!L102)</f>
        <v>0</v>
      </c>
      <c r="M102" s="49">
        <f>AVERAGE('19.10 ZIROBWE-WOBULENZI-24h'!M102,'21.10 ZIROBWE-WOBULENZI-24h'!M102)</f>
        <v>1.5</v>
      </c>
      <c r="N102" s="49">
        <f>AVERAGE('19.10 ZIROBWE-WOBULENZI-24h'!N102,'21.10 ZIROBWE-WOBULENZI-24h'!N102)</f>
        <v>0</v>
      </c>
      <c r="O102" s="15">
        <f t="shared" si="35"/>
        <v>0</v>
      </c>
      <c r="P102" s="15">
        <f t="shared" si="36"/>
        <v>1.5</v>
      </c>
      <c r="R102" s="8"/>
      <c r="T102"/>
    </row>
    <row r="103" spans="2:20" ht="23.1" customHeight="1" x14ac:dyDescent="0.25">
      <c r="B103" s="23" t="s">
        <v>143</v>
      </c>
      <c r="C103" s="49">
        <f>AVERAGE('19.10 ZIROBWE-WOBULENZI-24h'!C103,'21.10 ZIROBWE-WOBULENZI-24h'!C103)</f>
        <v>0</v>
      </c>
      <c r="D103" s="49">
        <f>AVERAGE('19.10 ZIROBWE-WOBULENZI-24h'!D103,'21.10 ZIROBWE-WOBULENZI-24h'!D103)</f>
        <v>0</v>
      </c>
      <c r="E103" s="49">
        <f>AVERAGE('19.10 ZIROBWE-WOBULENZI-24h'!E103,'21.10 ZIROBWE-WOBULENZI-24h'!E103)</f>
        <v>0</v>
      </c>
      <c r="F103" s="49">
        <f>AVERAGE('19.10 ZIROBWE-WOBULENZI-24h'!F103,'21.10 ZIROBWE-WOBULENZI-24h'!F103)</f>
        <v>0</v>
      </c>
      <c r="G103" s="49">
        <f>AVERAGE('19.10 ZIROBWE-WOBULENZI-24h'!G103,'21.10 ZIROBWE-WOBULENZI-24h'!G103)</f>
        <v>0</v>
      </c>
      <c r="H103" s="49">
        <f>AVERAGE('19.10 ZIROBWE-WOBULENZI-24h'!H103,'21.10 ZIROBWE-WOBULENZI-24h'!H103)</f>
        <v>0</v>
      </c>
      <c r="I103" s="49">
        <f>AVERAGE('19.10 ZIROBWE-WOBULENZI-24h'!I103,'21.10 ZIROBWE-WOBULENZI-24h'!I103)</f>
        <v>0</v>
      </c>
      <c r="J103" s="49">
        <f>AVERAGE('19.10 ZIROBWE-WOBULENZI-24h'!J103,'21.10 ZIROBWE-WOBULENZI-24h'!J103)</f>
        <v>0</v>
      </c>
      <c r="K103" s="49">
        <f>AVERAGE('19.10 ZIROBWE-WOBULENZI-24h'!K103,'21.10 ZIROBWE-WOBULENZI-24h'!K103)</f>
        <v>0</v>
      </c>
      <c r="L103" s="49">
        <f>AVERAGE('19.10 ZIROBWE-WOBULENZI-24h'!L103,'21.10 ZIROBWE-WOBULENZI-24h'!L103)</f>
        <v>0</v>
      </c>
      <c r="M103" s="49">
        <f>AVERAGE('19.10 ZIROBWE-WOBULENZI-24h'!M103,'21.10 ZIROBWE-WOBULENZI-24h'!M103)</f>
        <v>3.5</v>
      </c>
      <c r="N103" s="49">
        <f>AVERAGE('19.10 ZIROBWE-WOBULENZI-24h'!N103,'21.10 ZIROBWE-WOBULENZI-24h'!N103)</f>
        <v>0</v>
      </c>
      <c r="O103" s="15">
        <f t="shared" si="35"/>
        <v>0</v>
      </c>
      <c r="P103" s="15">
        <f t="shared" si="36"/>
        <v>3.5</v>
      </c>
      <c r="R103" s="8"/>
      <c r="T103"/>
    </row>
    <row r="104" spans="2:20" ht="23.1" customHeight="1" x14ac:dyDescent="0.25">
      <c r="B104" s="25" t="s">
        <v>144</v>
      </c>
      <c r="C104" s="49">
        <f>AVERAGE('19.10 ZIROBWE-WOBULENZI-24h'!C104,'21.10 ZIROBWE-WOBULENZI-24h'!C104)</f>
        <v>0</v>
      </c>
      <c r="D104" s="49">
        <f>AVERAGE('19.10 ZIROBWE-WOBULENZI-24h'!D104,'21.10 ZIROBWE-WOBULENZI-24h'!D104)</f>
        <v>0</v>
      </c>
      <c r="E104" s="49">
        <f>AVERAGE('19.10 ZIROBWE-WOBULENZI-24h'!E104,'21.10 ZIROBWE-WOBULENZI-24h'!E104)</f>
        <v>0</v>
      </c>
      <c r="F104" s="49">
        <f>AVERAGE('19.10 ZIROBWE-WOBULENZI-24h'!F104,'21.10 ZIROBWE-WOBULENZI-24h'!F104)</f>
        <v>0.5</v>
      </c>
      <c r="G104" s="49">
        <f>AVERAGE('19.10 ZIROBWE-WOBULENZI-24h'!G104,'21.10 ZIROBWE-WOBULENZI-24h'!G104)</f>
        <v>0</v>
      </c>
      <c r="H104" s="49">
        <f>AVERAGE('19.10 ZIROBWE-WOBULENZI-24h'!H104,'21.10 ZIROBWE-WOBULENZI-24h'!H104)</f>
        <v>0</v>
      </c>
      <c r="I104" s="49">
        <f>AVERAGE('19.10 ZIROBWE-WOBULENZI-24h'!I104,'21.10 ZIROBWE-WOBULENZI-24h'!I104)</f>
        <v>0</v>
      </c>
      <c r="J104" s="49">
        <f>AVERAGE('19.10 ZIROBWE-WOBULENZI-24h'!J104,'21.10 ZIROBWE-WOBULENZI-24h'!J104)</f>
        <v>0</v>
      </c>
      <c r="K104" s="49">
        <f>AVERAGE('19.10 ZIROBWE-WOBULENZI-24h'!K104,'21.10 ZIROBWE-WOBULENZI-24h'!K104)</f>
        <v>0</v>
      </c>
      <c r="L104" s="49">
        <f>AVERAGE('19.10 ZIROBWE-WOBULENZI-24h'!L104,'21.10 ZIROBWE-WOBULENZI-24h'!L104)</f>
        <v>0</v>
      </c>
      <c r="M104" s="49">
        <f>AVERAGE('19.10 ZIROBWE-WOBULENZI-24h'!M104,'21.10 ZIROBWE-WOBULENZI-24h'!M104)</f>
        <v>3</v>
      </c>
      <c r="N104" s="49">
        <f>AVERAGE('19.10 ZIROBWE-WOBULENZI-24h'!N104,'21.10 ZIROBWE-WOBULENZI-24h'!N104)</f>
        <v>0</v>
      </c>
      <c r="O104" s="15">
        <f t="shared" si="35"/>
        <v>0.5</v>
      </c>
      <c r="P104" s="15">
        <f t="shared" si="36"/>
        <v>3.5</v>
      </c>
      <c r="R104" s="8"/>
      <c r="T104"/>
    </row>
    <row r="105" spans="2:20" ht="23.1" customHeight="1" x14ac:dyDescent="0.25">
      <c r="B105" s="23" t="s">
        <v>145</v>
      </c>
      <c r="C105" s="49">
        <f>AVERAGE('19.10 ZIROBWE-WOBULENZI-24h'!C105,'21.10 ZIROBWE-WOBULENZI-24h'!C105)</f>
        <v>0</v>
      </c>
      <c r="D105" s="49">
        <f>AVERAGE('19.10 ZIROBWE-WOBULENZI-24h'!D105,'21.10 ZIROBWE-WOBULENZI-24h'!D105)</f>
        <v>0</v>
      </c>
      <c r="E105" s="49">
        <f>AVERAGE('19.10 ZIROBWE-WOBULENZI-24h'!E105,'21.10 ZIROBWE-WOBULENZI-24h'!E105)</f>
        <v>0</v>
      </c>
      <c r="F105" s="49">
        <f>AVERAGE('19.10 ZIROBWE-WOBULENZI-24h'!F105,'21.10 ZIROBWE-WOBULENZI-24h'!F105)</f>
        <v>0.5</v>
      </c>
      <c r="G105" s="49">
        <f>AVERAGE('19.10 ZIROBWE-WOBULENZI-24h'!G105,'21.10 ZIROBWE-WOBULENZI-24h'!G105)</f>
        <v>0</v>
      </c>
      <c r="H105" s="49">
        <f>AVERAGE('19.10 ZIROBWE-WOBULENZI-24h'!H105,'21.10 ZIROBWE-WOBULENZI-24h'!H105)</f>
        <v>0</v>
      </c>
      <c r="I105" s="49">
        <f>AVERAGE('19.10 ZIROBWE-WOBULENZI-24h'!I105,'21.10 ZIROBWE-WOBULENZI-24h'!I105)</f>
        <v>0</v>
      </c>
      <c r="J105" s="49">
        <f>AVERAGE('19.10 ZIROBWE-WOBULENZI-24h'!J105,'21.10 ZIROBWE-WOBULENZI-24h'!J105)</f>
        <v>0</v>
      </c>
      <c r="K105" s="49">
        <f>AVERAGE('19.10 ZIROBWE-WOBULENZI-24h'!K105,'21.10 ZIROBWE-WOBULENZI-24h'!K105)</f>
        <v>0</v>
      </c>
      <c r="L105" s="49">
        <f>AVERAGE('19.10 ZIROBWE-WOBULENZI-24h'!L105,'21.10 ZIROBWE-WOBULENZI-24h'!L105)</f>
        <v>0</v>
      </c>
      <c r="M105" s="49">
        <f>AVERAGE('19.10 ZIROBWE-WOBULENZI-24h'!M105,'21.10 ZIROBWE-WOBULENZI-24h'!M105)</f>
        <v>9.5</v>
      </c>
      <c r="N105" s="49">
        <f>AVERAGE('19.10 ZIROBWE-WOBULENZI-24h'!N105,'21.10 ZIROBWE-WOBULENZI-24h'!N105)</f>
        <v>0</v>
      </c>
      <c r="O105" s="15">
        <f t="shared" si="35"/>
        <v>0.5</v>
      </c>
      <c r="P105" s="15">
        <f t="shared" si="36"/>
        <v>10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57.642857142857139</v>
      </c>
      <c r="D106" s="16">
        <f t="shared" ref="D106:P106" si="37">SUM(D10:D105)</f>
        <v>17.785714285714281</v>
      </c>
      <c r="E106" s="16">
        <f t="shared" si="37"/>
        <v>20.928571428571431</v>
      </c>
      <c r="F106" s="16">
        <f t="shared" si="37"/>
        <v>33.714285714285708</v>
      </c>
      <c r="G106" s="16">
        <f t="shared" si="37"/>
        <v>3.1428571428571423</v>
      </c>
      <c r="H106" s="16">
        <f t="shared" si="37"/>
        <v>0.42857142857142855</v>
      </c>
      <c r="I106" s="16">
        <f t="shared" si="37"/>
        <v>33.999999999999993</v>
      </c>
      <c r="J106" s="16">
        <f t="shared" si="37"/>
        <v>58.357142857142861</v>
      </c>
      <c r="K106" s="16">
        <f t="shared" si="37"/>
        <v>2.1428571428571428</v>
      </c>
      <c r="L106" s="16">
        <f t="shared" si="37"/>
        <v>0.42857142857142855</v>
      </c>
      <c r="M106" s="16">
        <f t="shared" si="37"/>
        <v>1131.9285714285713</v>
      </c>
      <c r="N106" s="16">
        <f t="shared" si="37"/>
        <v>0.5714285714285714</v>
      </c>
      <c r="O106" s="16">
        <f t="shared" si="37"/>
        <v>229.14285714285717</v>
      </c>
      <c r="P106" s="16">
        <f t="shared" si="37"/>
        <v>1361.0714285714284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4.2351088953030705E-2</v>
      </c>
      <c r="D107" s="43">
        <f t="shared" si="38"/>
        <v>1.306743636840724E-2</v>
      </c>
      <c r="E107" s="43">
        <f t="shared" si="38"/>
        <v>1.5376541590133826E-2</v>
      </c>
      <c r="F107" s="43">
        <f t="shared" si="38"/>
        <v>2.4770401469430593E-2</v>
      </c>
      <c r="G107" s="43">
        <f t="shared" si="38"/>
        <v>2.3091052217265808E-3</v>
      </c>
      <c r="H107" s="43">
        <f t="shared" si="38"/>
        <v>3.1487798478089743E-4</v>
      </c>
      <c r="I107" s="43">
        <f t="shared" si="38"/>
        <v>2.4980320125951191E-2</v>
      </c>
      <c r="J107" s="43">
        <f t="shared" si="38"/>
        <v>4.2875885594332204E-2</v>
      </c>
      <c r="K107" s="43">
        <f t="shared" si="38"/>
        <v>1.574389923904487E-3</v>
      </c>
      <c r="L107" s="43">
        <f t="shared" si="38"/>
        <v>3.1487798478089743E-4</v>
      </c>
      <c r="M107" s="43">
        <f t="shared" si="38"/>
        <v>0.83164523747048025</v>
      </c>
      <c r="N107" s="43">
        <f t="shared" si="38"/>
        <v>4.1983731304119653E-4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0.25155860349127179</v>
      </c>
      <c r="D108" s="44">
        <f t="shared" ref="D108:N108" si="39">D106/$O$106</f>
        <v>7.7618453865336626E-2</v>
      </c>
      <c r="E108" s="44">
        <f t="shared" si="39"/>
        <v>9.133416458852868E-2</v>
      </c>
      <c r="F108" s="44">
        <f t="shared" si="39"/>
        <v>0.14713216957605982</v>
      </c>
      <c r="G108" s="44">
        <f t="shared" si="39"/>
        <v>1.3715710723192016E-2</v>
      </c>
      <c r="H108" s="44">
        <f t="shared" si="39"/>
        <v>1.8703241895261843E-3</v>
      </c>
      <c r="I108" s="44">
        <f t="shared" si="39"/>
        <v>0.14837905236907725</v>
      </c>
      <c r="J108" s="44">
        <f t="shared" si="39"/>
        <v>0.25467581047381543</v>
      </c>
      <c r="K108" s="44">
        <f t="shared" si="39"/>
        <v>9.3516209476309214E-3</v>
      </c>
      <c r="L108" s="44">
        <f t="shared" si="39"/>
        <v>1.8703241895261843E-3</v>
      </c>
      <c r="M108" s="44"/>
      <c r="N108" s="44">
        <f t="shared" si="39"/>
        <v>2.4937655860349122E-3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topLeftCell="O1" zoomScale="60" workbookViewId="0">
      <selection activeCell="AE49" sqref="AE4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1" t="s">
        <v>23</v>
      </c>
      <c r="C1" s="61"/>
      <c r="D1" s="61"/>
      <c r="E1" s="61"/>
      <c r="F1" s="61"/>
      <c r="G1" s="61"/>
      <c r="H1" s="61"/>
      <c r="I1" s="61"/>
      <c r="J1" s="61"/>
      <c r="K1" s="61"/>
      <c r="L1" s="61"/>
      <c r="M1" s="61"/>
      <c r="N1" s="61"/>
      <c r="O1" s="61"/>
      <c r="P1" s="61"/>
      <c r="Q1" s="61"/>
      <c r="R1" s="61"/>
      <c r="S1" s="61"/>
      <c r="T1" s="61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</row>
    <row r="2" spans="2:32" ht="20.100000000000001" customHeight="1" x14ac:dyDescent="0.25">
      <c r="B2" s="62" t="s">
        <v>95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</row>
    <row r="3" spans="2:32" ht="20.100000000000001" customHeight="1" x14ac:dyDescent="0.25">
      <c r="B3" s="22" t="s">
        <v>96</v>
      </c>
      <c r="C3" s="63" t="str">
        <f>'17.10 ZIROBWE-WOBULENZI'!C3:G3</f>
        <v>MMC-C3-WOBULENZI-ZIROBWE ROAD</v>
      </c>
      <c r="D3" s="63"/>
      <c r="E3" s="63"/>
      <c r="F3" s="63"/>
      <c r="G3" s="63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6" t="s">
        <v>163</v>
      </c>
      <c r="E5" s="67"/>
      <c r="F5" s="41" t="s">
        <v>1</v>
      </c>
      <c r="G5" s="64" t="str">
        <f>'Avg Week ZIROBWE-WOBULENZI'!G5:H5</f>
        <v>STATION 88</v>
      </c>
      <c r="H5" s="65"/>
      <c r="I5" s="14"/>
      <c r="J5" s="2" t="s">
        <v>5</v>
      </c>
      <c r="K5" s="64" t="str">
        <f>'Avg Week ZIROBWE-WOBULENZI'!K5:L5</f>
        <v>XXXX</v>
      </c>
      <c r="L5" s="65"/>
      <c r="M5" s="10"/>
      <c r="N5" s="10"/>
      <c r="O5" s="3"/>
      <c r="P5" s="3"/>
    </row>
    <row r="6" spans="2:32" ht="23.25" customHeight="1" x14ac:dyDescent="0.25">
      <c r="C6" s="2" t="s">
        <v>4</v>
      </c>
      <c r="D6" s="68" t="s">
        <v>161</v>
      </c>
      <c r="E6" s="69"/>
      <c r="F6" s="2" t="s">
        <v>2</v>
      </c>
      <c r="G6" s="68" t="s">
        <v>161</v>
      </c>
      <c r="H6" s="69"/>
      <c r="J6" s="2" t="s">
        <v>21</v>
      </c>
      <c r="K6" s="64" t="str">
        <f>'Avg Week ZIROBWE-WOBULENZI'!K6:L6</f>
        <v>BELLA</v>
      </c>
      <c r="L6" s="65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8" t="s">
        <v>88</v>
      </c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  <c r="AD8" s="58"/>
      <c r="AE8" s="58"/>
      <c r="AF8" s="58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WOBULENZI-ZIROBWE'!C10+'Avg Week ZIROBWE-WOBULENZI'!C10</f>
        <v>0.42857142857142855</v>
      </c>
      <c r="D10" s="49">
        <f>'Avg Week WOBULENZI-ZIROBWE'!D10+'Avg Week ZIROBWE-WOBULENZI'!D10</f>
        <v>0.2857142857142857</v>
      </c>
      <c r="E10" s="49">
        <f>'Avg Week WOBULENZI-ZIROBWE'!E10+'Avg Week ZIROBWE-WOBULENZI'!E10</f>
        <v>0</v>
      </c>
      <c r="F10" s="49">
        <f>'Avg Week WOBULENZI-ZIROBWE'!F10+'Avg Week ZIROBWE-WOBULENZI'!F10</f>
        <v>0.5714285714285714</v>
      </c>
      <c r="G10" s="49">
        <f>'Avg Week WOBULENZI-ZIROBWE'!G10+'Avg Week ZIROBWE-WOBULENZI'!G10</f>
        <v>0</v>
      </c>
      <c r="H10" s="49">
        <f>'Avg Week WOBULENZI-ZIROBWE'!H10+'Avg Week ZIROBWE-WOBULENZI'!H10</f>
        <v>0</v>
      </c>
      <c r="I10" s="49">
        <f>'Avg Week WOBULENZI-ZIROBWE'!I10+'Avg Week ZIROBWE-WOBULENZI'!I10</f>
        <v>0.42857142857142855</v>
      </c>
      <c r="J10" s="49">
        <f>'Avg Week WOBULENZI-ZIROBWE'!J10+'Avg Week ZIROBWE-WOBULENZI'!J10</f>
        <v>0.5714285714285714</v>
      </c>
      <c r="K10" s="49">
        <f>'Avg Week WOBULENZI-ZIROBWE'!K10+'Avg Week ZIROBWE-WOBULENZI'!K10</f>
        <v>0</v>
      </c>
      <c r="L10" s="49">
        <f>'Avg Week WOBULENZI-ZIROBWE'!L10+'Avg Week ZIROBWE-WOBULENZI'!L10</f>
        <v>0</v>
      </c>
      <c r="M10" s="49">
        <f>'Avg Week WOBULENZI-ZIROBWE'!M10+'Avg Week ZIROBWE-WOBULENZI'!M10</f>
        <v>25.285714285714285</v>
      </c>
      <c r="N10" s="49">
        <f>'Avg Week WOBULENZI-ZIROBWE'!N10+'Avg Week ZIROBWE-WOBULENZI'!N10</f>
        <v>0</v>
      </c>
      <c r="O10" s="15">
        <f t="shared" ref="O10:O73" si="0">SUM(C10:L10,N10)</f>
        <v>2.2857142857142856</v>
      </c>
      <c r="P10" s="15">
        <f t="shared" ref="P10:P73" si="1">SUM(C10:N10)</f>
        <v>27.571428571428569</v>
      </c>
      <c r="R10" s="1" t="s">
        <v>6</v>
      </c>
      <c r="S10" s="17">
        <f t="shared" ref="S10:AF10" si="2">SUM(C10:C13)</f>
        <v>2.4285714285714284</v>
      </c>
      <c r="T10" s="17">
        <f t="shared" si="2"/>
        <v>0.99999999999999989</v>
      </c>
      <c r="U10" s="17">
        <f t="shared" si="2"/>
        <v>0.14285714285714285</v>
      </c>
      <c r="V10" s="17">
        <f t="shared" si="2"/>
        <v>1.4285714285714284</v>
      </c>
      <c r="W10" s="17">
        <f t="shared" si="2"/>
        <v>0</v>
      </c>
      <c r="X10" s="17">
        <f t="shared" si="2"/>
        <v>0</v>
      </c>
      <c r="Y10" s="17">
        <f t="shared" si="2"/>
        <v>1.857142857142857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99.428571428571431</v>
      </c>
      <c r="AD10" s="17">
        <f t="shared" si="2"/>
        <v>0</v>
      </c>
      <c r="AE10" s="31">
        <f t="shared" si="2"/>
        <v>8.8571428571428559</v>
      </c>
      <c r="AF10" s="31">
        <f t="shared" si="2"/>
        <v>108.28571428571429</v>
      </c>
    </row>
    <row r="11" spans="2:32" s="6" customFormat="1" ht="23.1" customHeight="1" x14ac:dyDescent="0.25">
      <c r="B11" s="23" t="s">
        <v>38</v>
      </c>
      <c r="C11" s="49">
        <f>'Avg Week WOBULENZI-ZIROBWE'!C11+'Avg Week ZIROBWE-WOBULENZI'!C11</f>
        <v>1.1428571428571428</v>
      </c>
      <c r="D11" s="49">
        <f>'Avg Week WOBULENZI-ZIROBWE'!D11+'Avg Week ZIROBWE-WOBULENZI'!D11</f>
        <v>0.14285714285714285</v>
      </c>
      <c r="E11" s="49">
        <f>'Avg Week WOBULENZI-ZIROBWE'!E11+'Avg Week ZIROBWE-WOBULENZI'!E11</f>
        <v>0.14285714285714285</v>
      </c>
      <c r="F11" s="49">
        <f>'Avg Week WOBULENZI-ZIROBWE'!F11+'Avg Week ZIROBWE-WOBULENZI'!F11</f>
        <v>0.2857142857142857</v>
      </c>
      <c r="G11" s="49">
        <f>'Avg Week WOBULENZI-ZIROBWE'!G11+'Avg Week ZIROBWE-WOBULENZI'!G11</f>
        <v>0</v>
      </c>
      <c r="H11" s="49">
        <f>'Avg Week WOBULENZI-ZIROBWE'!H11+'Avg Week ZIROBWE-WOBULENZI'!H11</f>
        <v>0</v>
      </c>
      <c r="I11" s="49">
        <f>'Avg Week WOBULENZI-ZIROBWE'!I11+'Avg Week ZIROBWE-WOBULENZI'!I11</f>
        <v>0.2857142857142857</v>
      </c>
      <c r="J11" s="49">
        <f>'Avg Week WOBULENZI-ZIROBWE'!J11+'Avg Week ZIROBWE-WOBULENZI'!J11</f>
        <v>0.42857142857142855</v>
      </c>
      <c r="K11" s="49">
        <f>'Avg Week WOBULENZI-ZIROBWE'!K11+'Avg Week ZIROBWE-WOBULENZI'!K11</f>
        <v>0</v>
      </c>
      <c r="L11" s="49">
        <f>'Avg Week WOBULENZI-ZIROBWE'!L11+'Avg Week ZIROBWE-WOBULENZI'!L11</f>
        <v>0</v>
      </c>
      <c r="M11" s="49">
        <f>'Avg Week WOBULENZI-ZIROBWE'!M11+'Avg Week ZIROBWE-WOBULENZI'!M11</f>
        <v>21.428571428571431</v>
      </c>
      <c r="N11" s="49">
        <f>'Avg Week WOBULENZI-ZIROBWE'!N11+'Avg Week ZIROBWE-WOBULENZI'!N11</f>
        <v>0</v>
      </c>
      <c r="O11" s="15">
        <f t="shared" si="0"/>
        <v>2.4285714285714279</v>
      </c>
      <c r="P11" s="15">
        <f t="shared" si="1"/>
        <v>23.857142857142858</v>
      </c>
      <c r="R11" s="1" t="s">
        <v>7</v>
      </c>
      <c r="S11" s="17">
        <f t="shared" ref="S11:AF11" si="3">SUM(C14:C17)</f>
        <v>5.2857142857142856</v>
      </c>
      <c r="T11" s="17">
        <f t="shared" si="3"/>
        <v>1.857142857142857</v>
      </c>
      <c r="U11" s="17">
        <f t="shared" si="3"/>
        <v>1.1428571428571428</v>
      </c>
      <c r="V11" s="17">
        <f t="shared" si="3"/>
        <v>3.2857142857142851</v>
      </c>
      <c r="W11" s="17">
        <f t="shared" si="3"/>
        <v>0</v>
      </c>
      <c r="X11" s="17">
        <f t="shared" si="3"/>
        <v>0</v>
      </c>
      <c r="Y11" s="17">
        <f t="shared" si="3"/>
        <v>3.1428571428571423</v>
      </c>
      <c r="Z11" s="17">
        <f t="shared" si="3"/>
        <v>4.2857142857142856</v>
      </c>
      <c r="AA11" s="17">
        <f t="shared" si="3"/>
        <v>0.14285714285714285</v>
      </c>
      <c r="AB11" s="17">
        <f t="shared" si="3"/>
        <v>0</v>
      </c>
      <c r="AC11" s="17">
        <f t="shared" si="3"/>
        <v>99.857142857142847</v>
      </c>
      <c r="AD11" s="17">
        <f t="shared" si="3"/>
        <v>0</v>
      </c>
      <c r="AE11" s="31">
        <f t="shared" si="3"/>
        <v>19.142857142857142</v>
      </c>
      <c r="AF11" s="31">
        <f t="shared" si="3"/>
        <v>119</v>
      </c>
    </row>
    <row r="12" spans="2:32" ht="23.1" customHeight="1" x14ac:dyDescent="0.25">
      <c r="B12" s="23" t="s">
        <v>39</v>
      </c>
      <c r="C12" s="49">
        <f>'Avg Week WOBULENZI-ZIROBWE'!C12+'Avg Week ZIROBWE-WOBULENZI'!C12</f>
        <v>0.42857142857142855</v>
      </c>
      <c r="D12" s="49">
        <f>'Avg Week WOBULENZI-ZIROBWE'!D12+'Avg Week ZIROBWE-WOBULENZI'!D12</f>
        <v>0.2857142857142857</v>
      </c>
      <c r="E12" s="49">
        <f>'Avg Week WOBULENZI-ZIROBWE'!E12+'Avg Week ZIROBWE-WOBULENZI'!E12</f>
        <v>0</v>
      </c>
      <c r="F12" s="49">
        <f>'Avg Week WOBULENZI-ZIROBWE'!F12+'Avg Week ZIROBWE-WOBULENZI'!F12</f>
        <v>0.2857142857142857</v>
      </c>
      <c r="G12" s="49">
        <f>'Avg Week WOBULENZI-ZIROBWE'!G12+'Avg Week ZIROBWE-WOBULENZI'!G12</f>
        <v>0</v>
      </c>
      <c r="H12" s="49">
        <f>'Avg Week WOBULENZI-ZIROBWE'!H12+'Avg Week ZIROBWE-WOBULENZI'!H12</f>
        <v>0</v>
      </c>
      <c r="I12" s="49">
        <f>'Avg Week WOBULENZI-ZIROBWE'!I12+'Avg Week ZIROBWE-WOBULENZI'!I12</f>
        <v>0.42857142857142855</v>
      </c>
      <c r="J12" s="49">
        <f>'Avg Week WOBULENZI-ZIROBWE'!J12+'Avg Week ZIROBWE-WOBULENZI'!J12</f>
        <v>0.5714285714285714</v>
      </c>
      <c r="K12" s="49">
        <f>'Avg Week WOBULENZI-ZIROBWE'!K12+'Avg Week ZIROBWE-WOBULENZI'!K12</f>
        <v>0</v>
      </c>
      <c r="L12" s="49">
        <f>'Avg Week WOBULENZI-ZIROBWE'!L12+'Avg Week ZIROBWE-WOBULENZI'!L12</f>
        <v>0</v>
      </c>
      <c r="M12" s="49">
        <f>'Avg Week WOBULENZI-ZIROBWE'!M12+'Avg Week ZIROBWE-WOBULENZI'!M12</f>
        <v>24.857142857142858</v>
      </c>
      <c r="N12" s="49">
        <f>'Avg Week WOBULENZI-ZIROBWE'!N12+'Avg Week ZIROBWE-WOBULENZI'!N12</f>
        <v>0</v>
      </c>
      <c r="O12" s="15">
        <f t="shared" si="0"/>
        <v>1.9999999999999998</v>
      </c>
      <c r="P12" s="15">
        <f t="shared" si="1"/>
        <v>26.857142857142858</v>
      </c>
      <c r="R12" s="1" t="s">
        <v>8</v>
      </c>
      <c r="S12" s="17">
        <f t="shared" ref="S12:AF12" si="4">SUM(C18:C21)</f>
        <v>4.4285714285714288</v>
      </c>
      <c r="T12" s="17">
        <f t="shared" si="4"/>
        <v>1.9999999999999998</v>
      </c>
      <c r="U12" s="17">
        <f t="shared" si="4"/>
        <v>1.7142857142857142</v>
      </c>
      <c r="V12" s="17">
        <f t="shared" si="4"/>
        <v>1.857142857142857</v>
      </c>
      <c r="W12" s="17">
        <f t="shared" si="4"/>
        <v>0</v>
      </c>
      <c r="X12" s="17">
        <f t="shared" si="4"/>
        <v>0</v>
      </c>
      <c r="Y12" s="17">
        <f t="shared" si="4"/>
        <v>3.2857142857142856</v>
      </c>
      <c r="Z12" s="17">
        <f t="shared" si="4"/>
        <v>7.4285714285714288</v>
      </c>
      <c r="AA12" s="17">
        <f t="shared" si="4"/>
        <v>0.42857142857142855</v>
      </c>
      <c r="AB12" s="17">
        <f t="shared" si="4"/>
        <v>0</v>
      </c>
      <c r="AC12" s="17">
        <f t="shared" si="4"/>
        <v>95.571428571428584</v>
      </c>
      <c r="AD12" s="17">
        <f t="shared" si="4"/>
        <v>0.14285714285714285</v>
      </c>
      <c r="AE12" s="31">
        <f t="shared" si="4"/>
        <v>21.285714285714285</v>
      </c>
      <c r="AF12" s="31">
        <f t="shared" si="4"/>
        <v>116.85714285714286</v>
      </c>
    </row>
    <row r="13" spans="2:32" ht="23.1" customHeight="1" x14ac:dyDescent="0.25">
      <c r="B13" s="23" t="s">
        <v>40</v>
      </c>
      <c r="C13" s="49">
        <f>'Avg Week WOBULENZI-ZIROBWE'!C13+'Avg Week ZIROBWE-WOBULENZI'!C13</f>
        <v>0.42857142857142855</v>
      </c>
      <c r="D13" s="49">
        <f>'Avg Week WOBULENZI-ZIROBWE'!D13+'Avg Week ZIROBWE-WOBULENZI'!D13</f>
        <v>0.2857142857142857</v>
      </c>
      <c r="E13" s="49">
        <f>'Avg Week WOBULENZI-ZIROBWE'!E13+'Avg Week ZIROBWE-WOBULENZI'!E13</f>
        <v>0</v>
      </c>
      <c r="F13" s="49">
        <f>'Avg Week WOBULENZI-ZIROBWE'!F13+'Avg Week ZIROBWE-WOBULENZI'!F13</f>
        <v>0.2857142857142857</v>
      </c>
      <c r="G13" s="49">
        <f>'Avg Week WOBULENZI-ZIROBWE'!G13+'Avg Week ZIROBWE-WOBULENZI'!G13</f>
        <v>0</v>
      </c>
      <c r="H13" s="49">
        <f>'Avg Week WOBULENZI-ZIROBWE'!H13+'Avg Week ZIROBWE-WOBULENZI'!H13</f>
        <v>0</v>
      </c>
      <c r="I13" s="49">
        <f>'Avg Week WOBULENZI-ZIROBWE'!I13+'Avg Week ZIROBWE-WOBULENZI'!I13</f>
        <v>0.71428571428571419</v>
      </c>
      <c r="J13" s="49">
        <f>'Avg Week WOBULENZI-ZIROBWE'!J13+'Avg Week ZIROBWE-WOBULENZI'!J13</f>
        <v>0.42857142857142855</v>
      </c>
      <c r="K13" s="49">
        <f>'Avg Week WOBULENZI-ZIROBWE'!K13+'Avg Week ZIROBWE-WOBULENZI'!K13</f>
        <v>0</v>
      </c>
      <c r="L13" s="49">
        <f>'Avg Week WOBULENZI-ZIROBWE'!L13+'Avg Week ZIROBWE-WOBULENZI'!L13</f>
        <v>0</v>
      </c>
      <c r="M13" s="49">
        <f>'Avg Week WOBULENZI-ZIROBWE'!M13+'Avg Week ZIROBWE-WOBULENZI'!M13</f>
        <v>27.857142857142858</v>
      </c>
      <c r="N13" s="49">
        <f>'Avg Week WOBULENZI-ZIROBWE'!N13+'Avg Week ZIROBWE-WOBULENZI'!N13</f>
        <v>0</v>
      </c>
      <c r="O13" s="15">
        <f t="shared" si="0"/>
        <v>2.1428571428571423</v>
      </c>
      <c r="P13" s="15">
        <f t="shared" si="1"/>
        <v>30</v>
      </c>
      <c r="R13" s="1" t="s">
        <v>9</v>
      </c>
      <c r="S13" s="17">
        <f t="shared" ref="S13:AF13" si="5">SUM(C22:C25)</f>
        <v>5.7142857142857144</v>
      </c>
      <c r="T13" s="17">
        <f t="shared" si="5"/>
        <v>1.1428571428571428</v>
      </c>
      <c r="U13" s="17">
        <f t="shared" si="5"/>
        <v>2</v>
      </c>
      <c r="V13" s="17">
        <f t="shared" si="5"/>
        <v>2.7142857142857144</v>
      </c>
      <c r="W13" s="17">
        <f t="shared" si="5"/>
        <v>0</v>
      </c>
      <c r="X13" s="17">
        <f t="shared" si="5"/>
        <v>0.14285714285714285</v>
      </c>
      <c r="Y13" s="17">
        <f t="shared" si="5"/>
        <v>3.7142857142857144</v>
      </c>
      <c r="Z13" s="17">
        <f t="shared" si="5"/>
        <v>9.2857142857142865</v>
      </c>
      <c r="AA13" s="17">
        <f t="shared" si="5"/>
        <v>0.14285714285714285</v>
      </c>
      <c r="AB13" s="17">
        <f t="shared" si="5"/>
        <v>0.2857142857142857</v>
      </c>
      <c r="AC13" s="17">
        <f t="shared" si="5"/>
        <v>134.42857142857144</v>
      </c>
      <c r="AD13" s="17">
        <f t="shared" si="5"/>
        <v>0</v>
      </c>
      <c r="AE13" s="31">
        <f t="shared" si="5"/>
        <v>25.142857142857146</v>
      </c>
      <c r="AF13" s="31">
        <f t="shared" si="5"/>
        <v>159.57142857142858</v>
      </c>
    </row>
    <row r="14" spans="2:32" ht="23.1" customHeight="1" x14ac:dyDescent="0.25">
      <c r="B14" s="23" t="s">
        <v>41</v>
      </c>
      <c r="C14" s="49">
        <f>'Avg Week WOBULENZI-ZIROBWE'!C14+'Avg Week ZIROBWE-WOBULENZI'!C14</f>
        <v>0.42857142857142855</v>
      </c>
      <c r="D14" s="49">
        <f>'Avg Week WOBULENZI-ZIROBWE'!D14+'Avg Week ZIROBWE-WOBULENZI'!D14</f>
        <v>0.71428571428571419</v>
      </c>
      <c r="E14" s="49">
        <f>'Avg Week WOBULENZI-ZIROBWE'!E14+'Avg Week ZIROBWE-WOBULENZI'!E14</f>
        <v>0</v>
      </c>
      <c r="F14" s="49">
        <f>'Avg Week WOBULENZI-ZIROBWE'!F14+'Avg Week ZIROBWE-WOBULENZI'!F14</f>
        <v>1.1428571428571428</v>
      </c>
      <c r="G14" s="49">
        <f>'Avg Week WOBULENZI-ZIROBWE'!G14+'Avg Week ZIROBWE-WOBULENZI'!G14</f>
        <v>0</v>
      </c>
      <c r="H14" s="49">
        <f>'Avg Week WOBULENZI-ZIROBWE'!H14+'Avg Week ZIROBWE-WOBULENZI'!H14</f>
        <v>0</v>
      </c>
      <c r="I14" s="49">
        <f>'Avg Week WOBULENZI-ZIROBWE'!I14+'Avg Week ZIROBWE-WOBULENZI'!I14</f>
        <v>1.2857142857142856</v>
      </c>
      <c r="J14" s="49">
        <f>'Avg Week WOBULENZI-ZIROBWE'!J14+'Avg Week ZIROBWE-WOBULENZI'!J14</f>
        <v>0.71428571428571419</v>
      </c>
      <c r="K14" s="49">
        <f>'Avg Week WOBULENZI-ZIROBWE'!K14+'Avg Week ZIROBWE-WOBULENZI'!K14</f>
        <v>0</v>
      </c>
      <c r="L14" s="49">
        <f>'Avg Week WOBULENZI-ZIROBWE'!L14+'Avg Week ZIROBWE-WOBULENZI'!L14</f>
        <v>0</v>
      </c>
      <c r="M14" s="49">
        <f>'Avg Week WOBULENZI-ZIROBWE'!M14+'Avg Week ZIROBWE-WOBULENZI'!M14</f>
        <v>27.857142857142858</v>
      </c>
      <c r="N14" s="49">
        <f>'Avg Week WOBULENZI-ZIROBWE'!N14+'Avg Week ZIROBWE-WOBULENZI'!N14</f>
        <v>0</v>
      </c>
      <c r="O14" s="15">
        <f t="shared" si="0"/>
        <v>4.2857142857142856</v>
      </c>
      <c r="P14" s="15">
        <f t="shared" si="1"/>
        <v>32.142857142857146</v>
      </c>
      <c r="R14" s="1" t="s">
        <v>10</v>
      </c>
      <c r="S14" s="17">
        <f t="shared" ref="S14:AF14" si="6">SUM(C26:C29)</f>
        <v>7.2857142857142865</v>
      </c>
      <c r="T14" s="17">
        <f t="shared" si="6"/>
        <v>2.7142857142857144</v>
      </c>
      <c r="U14" s="17">
        <f t="shared" si="6"/>
        <v>2.8571428571428572</v>
      </c>
      <c r="V14" s="17">
        <f t="shared" si="6"/>
        <v>1.7142857142857142</v>
      </c>
      <c r="W14" s="17">
        <f t="shared" si="6"/>
        <v>0.42857142857142855</v>
      </c>
      <c r="X14" s="17">
        <f t="shared" si="6"/>
        <v>0</v>
      </c>
      <c r="Y14" s="17">
        <f t="shared" si="6"/>
        <v>4.2857142857142856</v>
      </c>
      <c r="Z14" s="17">
        <f t="shared" si="6"/>
        <v>13.285714285714285</v>
      </c>
      <c r="AA14" s="17">
        <f t="shared" si="6"/>
        <v>0.42857142857142855</v>
      </c>
      <c r="AB14" s="17">
        <f t="shared" si="6"/>
        <v>0.14285714285714285</v>
      </c>
      <c r="AC14" s="17">
        <f t="shared" si="6"/>
        <v>136</v>
      </c>
      <c r="AD14" s="17">
        <f t="shared" si="6"/>
        <v>0.14285714285714285</v>
      </c>
      <c r="AE14" s="31">
        <f t="shared" si="6"/>
        <v>33.285714285714285</v>
      </c>
      <c r="AF14" s="31">
        <f t="shared" si="6"/>
        <v>169.28571428571428</v>
      </c>
    </row>
    <row r="15" spans="2:32" ht="23.1" customHeight="1" x14ac:dyDescent="0.25">
      <c r="B15" s="23" t="s">
        <v>42</v>
      </c>
      <c r="C15" s="49">
        <f>'Avg Week WOBULENZI-ZIROBWE'!C15+'Avg Week ZIROBWE-WOBULENZI'!C15</f>
        <v>1.8571428571428572</v>
      </c>
      <c r="D15" s="49">
        <f>'Avg Week WOBULENZI-ZIROBWE'!D15+'Avg Week ZIROBWE-WOBULENZI'!D15</f>
        <v>0.14285714285714285</v>
      </c>
      <c r="E15" s="49">
        <f>'Avg Week WOBULENZI-ZIROBWE'!E15+'Avg Week ZIROBWE-WOBULENZI'!E15</f>
        <v>0</v>
      </c>
      <c r="F15" s="49">
        <f>'Avg Week WOBULENZI-ZIROBWE'!F15+'Avg Week ZIROBWE-WOBULENZI'!F15</f>
        <v>1.1428571428571428</v>
      </c>
      <c r="G15" s="49">
        <f>'Avg Week WOBULENZI-ZIROBWE'!G15+'Avg Week ZIROBWE-WOBULENZI'!G15</f>
        <v>0</v>
      </c>
      <c r="H15" s="49">
        <f>'Avg Week WOBULENZI-ZIROBWE'!H15+'Avg Week ZIROBWE-WOBULENZI'!H15</f>
        <v>0</v>
      </c>
      <c r="I15" s="49">
        <f>'Avg Week WOBULENZI-ZIROBWE'!I15+'Avg Week ZIROBWE-WOBULENZI'!I15</f>
        <v>0.42857142857142855</v>
      </c>
      <c r="J15" s="49">
        <f>'Avg Week WOBULENZI-ZIROBWE'!J15+'Avg Week ZIROBWE-WOBULENZI'!J15</f>
        <v>1</v>
      </c>
      <c r="K15" s="49">
        <f>'Avg Week WOBULENZI-ZIROBWE'!K15+'Avg Week ZIROBWE-WOBULENZI'!K15</f>
        <v>0</v>
      </c>
      <c r="L15" s="49">
        <f>'Avg Week WOBULENZI-ZIROBWE'!L15+'Avg Week ZIROBWE-WOBULENZI'!L15</f>
        <v>0</v>
      </c>
      <c r="M15" s="49">
        <f>'Avg Week WOBULENZI-ZIROBWE'!M15+'Avg Week ZIROBWE-WOBULENZI'!M15</f>
        <v>23.285714285714285</v>
      </c>
      <c r="N15" s="49">
        <f>'Avg Week WOBULENZI-ZIROBWE'!N15+'Avg Week ZIROBWE-WOBULENZI'!N15</f>
        <v>0</v>
      </c>
      <c r="O15" s="15">
        <f t="shared" si="0"/>
        <v>4.5714285714285712</v>
      </c>
      <c r="P15" s="15">
        <f t="shared" si="1"/>
        <v>27.857142857142854</v>
      </c>
      <c r="R15" s="1" t="s">
        <v>11</v>
      </c>
      <c r="S15" s="17">
        <f t="shared" ref="S15:AF15" si="7">SUM(C30:C33)</f>
        <v>7.7142857142857135</v>
      </c>
      <c r="T15" s="17">
        <f t="shared" si="7"/>
        <v>3</v>
      </c>
      <c r="U15" s="17">
        <f t="shared" si="7"/>
        <v>2.5714285714285712</v>
      </c>
      <c r="V15" s="17">
        <f t="shared" si="7"/>
        <v>3.4285714285714284</v>
      </c>
      <c r="W15" s="17">
        <f t="shared" si="7"/>
        <v>1</v>
      </c>
      <c r="X15" s="17">
        <f t="shared" si="7"/>
        <v>0</v>
      </c>
      <c r="Y15" s="17">
        <f t="shared" si="7"/>
        <v>3.5714285714285712</v>
      </c>
      <c r="Z15" s="17">
        <f t="shared" si="7"/>
        <v>5.8571428571428577</v>
      </c>
      <c r="AA15" s="17">
        <f t="shared" si="7"/>
        <v>0</v>
      </c>
      <c r="AB15" s="17">
        <f t="shared" si="7"/>
        <v>0</v>
      </c>
      <c r="AC15" s="17">
        <f t="shared" si="7"/>
        <v>145.28571428571428</v>
      </c>
      <c r="AD15" s="17">
        <f t="shared" si="7"/>
        <v>0</v>
      </c>
      <c r="AE15" s="31">
        <f t="shared" si="7"/>
        <v>27.142857142857139</v>
      </c>
      <c r="AF15" s="31">
        <f t="shared" si="7"/>
        <v>172.42857142857144</v>
      </c>
    </row>
    <row r="16" spans="2:32" ht="23.1" customHeight="1" x14ac:dyDescent="0.25">
      <c r="B16" s="23" t="s">
        <v>43</v>
      </c>
      <c r="C16" s="49">
        <f>'Avg Week WOBULENZI-ZIROBWE'!C16+'Avg Week ZIROBWE-WOBULENZI'!C16</f>
        <v>2.2857142857142856</v>
      </c>
      <c r="D16" s="49">
        <f>'Avg Week WOBULENZI-ZIROBWE'!D16+'Avg Week ZIROBWE-WOBULENZI'!D16</f>
        <v>0.5714285714285714</v>
      </c>
      <c r="E16" s="49">
        <f>'Avg Week WOBULENZI-ZIROBWE'!E16+'Avg Week ZIROBWE-WOBULENZI'!E16</f>
        <v>0.8571428571428571</v>
      </c>
      <c r="F16" s="49">
        <f>'Avg Week WOBULENZI-ZIROBWE'!F16+'Avg Week ZIROBWE-WOBULENZI'!F16</f>
        <v>0.5714285714285714</v>
      </c>
      <c r="G16" s="49">
        <f>'Avg Week WOBULENZI-ZIROBWE'!G16+'Avg Week ZIROBWE-WOBULENZI'!G16</f>
        <v>0</v>
      </c>
      <c r="H16" s="49">
        <f>'Avg Week WOBULENZI-ZIROBWE'!H16+'Avg Week ZIROBWE-WOBULENZI'!H16</f>
        <v>0</v>
      </c>
      <c r="I16" s="49">
        <f>'Avg Week WOBULENZI-ZIROBWE'!I16+'Avg Week ZIROBWE-WOBULENZI'!I16</f>
        <v>0.71428571428571419</v>
      </c>
      <c r="J16" s="49">
        <f>'Avg Week WOBULENZI-ZIROBWE'!J16+'Avg Week ZIROBWE-WOBULENZI'!J16</f>
        <v>1.1428571428571428</v>
      </c>
      <c r="K16" s="49">
        <f>'Avg Week WOBULENZI-ZIROBWE'!K16+'Avg Week ZIROBWE-WOBULENZI'!K16</f>
        <v>0.14285714285714285</v>
      </c>
      <c r="L16" s="49">
        <f>'Avg Week WOBULENZI-ZIROBWE'!L16+'Avg Week ZIROBWE-WOBULENZI'!L16</f>
        <v>0</v>
      </c>
      <c r="M16" s="49">
        <f>'Avg Week WOBULENZI-ZIROBWE'!M16+'Avg Week ZIROBWE-WOBULENZI'!M16</f>
        <v>24.571428571428569</v>
      </c>
      <c r="N16" s="49">
        <f>'Avg Week WOBULENZI-ZIROBWE'!N16+'Avg Week ZIROBWE-WOBULENZI'!N16</f>
        <v>0</v>
      </c>
      <c r="O16" s="15">
        <f t="shared" si="0"/>
        <v>6.2857142857142856</v>
      </c>
      <c r="P16" s="15">
        <f t="shared" si="1"/>
        <v>30.857142857142854</v>
      </c>
      <c r="R16" s="1" t="s">
        <v>12</v>
      </c>
      <c r="S16" s="17">
        <f t="shared" ref="S16:AF16" si="8">SUM(C34:C37)</f>
        <v>9.5714285714285712</v>
      </c>
      <c r="T16" s="17">
        <f t="shared" si="8"/>
        <v>3.4285714285714284</v>
      </c>
      <c r="U16" s="17">
        <f t="shared" si="8"/>
        <v>2.1428571428571423</v>
      </c>
      <c r="V16" s="17">
        <f t="shared" si="8"/>
        <v>3.8571428571428568</v>
      </c>
      <c r="W16" s="17">
        <f t="shared" si="8"/>
        <v>0.85714285714285721</v>
      </c>
      <c r="X16" s="17">
        <f t="shared" si="8"/>
        <v>0.14285714285714285</v>
      </c>
      <c r="Y16" s="17">
        <f t="shared" si="8"/>
        <v>6.1428571428571423</v>
      </c>
      <c r="Z16" s="17">
        <f t="shared" si="8"/>
        <v>8.2857142857142865</v>
      </c>
      <c r="AA16" s="17">
        <f t="shared" si="8"/>
        <v>0</v>
      </c>
      <c r="AB16" s="17">
        <f t="shared" si="8"/>
        <v>0</v>
      </c>
      <c r="AC16" s="17">
        <f t="shared" si="8"/>
        <v>148.85714285714286</v>
      </c>
      <c r="AD16" s="17">
        <f t="shared" si="8"/>
        <v>0.14285714285714285</v>
      </c>
      <c r="AE16" s="31">
        <f t="shared" si="8"/>
        <v>34.571428571428569</v>
      </c>
      <c r="AF16" s="31">
        <f t="shared" si="8"/>
        <v>183.42857142857144</v>
      </c>
    </row>
    <row r="17" spans="2:32" ht="23.1" customHeight="1" x14ac:dyDescent="0.25">
      <c r="B17" s="23" t="s">
        <v>44</v>
      </c>
      <c r="C17" s="49">
        <f>'Avg Week WOBULENZI-ZIROBWE'!C17+'Avg Week ZIROBWE-WOBULENZI'!C17</f>
        <v>0.71428571428571419</v>
      </c>
      <c r="D17" s="49">
        <f>'Avg Week WOBULENZI-ZIROBWE'!D17+'Avg Week ZIROBWE-WOBULENZI'!D17</f>
        <v>0.42857142857142855</v>
      </c>
      <c r="E17" s="49">
        <f>'Avg Week WOBULENZI-ZIROBWE'!E17+'Avg Week ZIROBWE-WOBULENZI'!E17</f>
        <v>0.2857142857142857</v>
      </c>
      <c r="F17" s="49">
        <f>'Avg Week WOBULENZI-ZIROBWE'!F17+'Avg Week ZIROBWE-WOBULENZI'!F17</f>
        <v>0.42857142857142855</v>
      </c>
      <c r="G17" s="49">
        <f>'Avg Week WOBULENZI-ZIROBWE'!G17+'Avg Week ZIROBWE-WOBULENZI'!G17</f>
        <v>0</v>
      </c>
      <c r="H17" s="49">
        <f>'Avg Week WOBULENZI-ZIROBWE'!H17+'Avg Week ZIROBWE-WOBULENZI'!H17</f>
        <v>0</v>
      </c>
      <c r="I17" s="49">
        <f>'Avg Week WOBULENZI-ZIROBWE'!I17+'Avg Week ZIROBWE-WOBULENZI'!I17</f>
        <v>0.71428571428571419</v>
      </c>
      <c r="J17" s="49">
        <f>'Avg Week WOBULENZI-ZIROBWE'!J17+'Avg Week ZIROBWE-WOBULENZI'!J17</f>
        <v>1.4285714285714286</v>
      </c>
      <c r="K17" s="49">
        <f>'Avg Week WOBULENZI-ZIROBWE'!K17+'Avg Week ZIROBWE-WOBULENZI'!K17</f>
        <v>0</v>
      </c>
      <c r="L17" s="49">
        <f>'Avg Week WOBULENZI-ZIROBWE'!L17+'Avg Week ZIROBWE-WOBULENZI'!L17</f>
        <v>0</v>
      </c>
      <c r="M17" s="49">
        <f>'Avg Week WOBULENZI-ZIROBWE'!M17+'Avg Week ZIROBWE-WOBULENZI'!M17</f>
        <v>24.142857142857142</v>
      </c>
      <c r="N17" s="49">
        <f>'Avg Week WOBULENZI-ZIROBWE'!N17+'Avg Week ZIROBWE-WOBULENZI'!N17</f>
        <v>0</v>
      </c>
      <c r="O17" s="15">
        <f t="shared" si="0"/>
        <v>4</v>
      </c>
      <c r="P17" s="15">
        <f t="shared" si="1"/>
        <v>28.142857142857142</v>
      </c>
      <c r="R17" s="1" t="s">
        <v>13</v>
      </c>
      <c r="S17" s="17">
        <f t="shared" ref="S17:AF17" si="9">SUM(C38:C41)</f>
        <v>9.7142857142857135</v>
      </c>
      <c r="T17" s="17">
        <f t="shared" si="9"/>
        <v>3.2857142857142851</v>
      </c>
      <c r="U17" s="17">
        <f t="shared" si="9"/>
        <v>2.7142857142857144</v>
      </c>
      <c r="V17" s="17">
        <f t="shared" si="9"/>
        <v>3.5714285714285712</v>
      </c>
      <c r="W17" s="17">
        <f t="shared" si="9"/>
        <v>0.5714285714285714</v>
      </c>
      <c r="X17" s="17">
        <f t="shared" si="9"/>
        <v>0</v>
      </c>
      <c r="Y17" s="17">
        <f t="shared" si="9"/>
        <v>6.2857142857142856</v>
      </c>
      <c r="Z17" s="17">
        <f t="shared" si="9"/>
        <v>6.5714285714285712</v>
      </c>
      <c r="AA17" s="17">
        <f t="shared" si="9"/>
        <v>0.14285714285714285</v>
      </c>
      <c r="AB17" s="17">
        <f t="shared" si="9"/>
        <v>0.2857142857142857</v>
      </c>
      <c r="AC17" s="17">
        <f t="shared" si="9"/>
        <v>136.85714285714286</v>
      </c>
      <c r="AD17" s="17">
        <f t="shared" si="9"/>
        <v>1.5714285714285716</v>
      </c>
      <c r="AE17" s="31">
        <f t="shared" si="9"/>
        <v>34.714285714285715</v>
      </c>
      <c r="AF17" s="31">
        <f t="shared" si="9"/>
        <v>171.57142857142856</v>
      </c>
    </row>
    <row r="18" spans="2:32" ht="23.1" customHeight="1" x14ac:dyDescent="0.25">
      <c r="B18" s="23" t="s">
        <v>45</v>
      </c>
      <c r="C18" s="49">
        <f>'Avg Week WOBULENZI-ZIROBWE'!C18+'Avg Week ZIROBWE-WOBULENZI'!C18</f>
        <v>1.4285714285714286</v>
      </c>
      <c r="D18" s="49">
        <f>'Avg Week WOBULENZI-ZIROBWE'!D18+'Avg Week ZIROBWE-WOBULENZI'!D18</f>
        <v>0.2857142857142857</v>
      </c>
      <c r="E18" s="49">
        <f>'Avg Week WOBULENZI-ZIROBWE'!E18+'Avg Week ZIROBWE-WOBULENZI'!E18</f>
        <v>0.2857142857142857</v>
      </c>
      <c r="F18" s="49">
        <f>'Avg Week WOBULENZI-ZIROBWE'!F18+'Avg Week ZIROBWE-WOBULENZI'!F18</f>
        <v>0.42857142857142855</v>
      </c>
      <c r="G18" s="49">
        <f>'Avg Week WOBULENZI-ZIROBWE'!G18+'Avg Week ZIROBWE-WOBULENZI'!G18</f>
        <v>0</v>
      </c>
      <c r="H18" s="49">
        <f>'Avg Week WOBULENZI-ZIROBWE'!H18+'Avg Week ZIROBWE-WOBULENZI'!H18</f>
        <v>0</v>
      </c>
      <c r="I18" s="49">
        <f>'Avg Week WOBULENZI-ZIROBWE'!I18+'Avg Week ZIROBWE-WOBULENZI'!I18</f>
        <v>1.4285714285714286</v>
      </c>
      <c r="J18" s="49">
        <f>'Avg Week WOBULENZI-ZIROBWE'!J18+'Avg Week ZIROBWE-WOBULENZI'!J18</f>
        <v>1</v>
      </c>
      <c r="K18" s="49">
        <f>'Avg Week WOBULENZI-ZIROBWE'!K18+'Avg Week ZIROBWE-WOBULENZI'!K18</f>
        <v>0</v>
      </c>
      <c r="L18" s="49">
        <f>'Avg Week WOBULENZI-ZIROBWE'!L18+'Avg Week ZIROBWE-WOBULENZI'!L18</f>
        <v>0</v>
      </c>
      <c r="M18" s="49">
        <f>'Avg Week WOBULENZI-ZIROBWE'!M18+'Avg Week ZIROBWE-WOBULENZI'!M18</f>
        <v>19</v>
      </c>
      <c r="N18" s="49">
        <f>'Avg Week WOBULENZI-ZIROBWE'!N18+'Avg Week ZIROBWE-WOBULENZI'!N18</f>
        <v>0</v>
      </c>
      <c r="O18" s="15">
        <f t="shared" si="0"/>
        <v>4.8571428571428568</v>
      </c>
      <c r="P18" s="15">
        <f t="shared" si="1"/>
        <v>23.857142857142858</v>
      </c>
      <c r="R18" s="1" t="s">
        <v>14</v>
      </c>
      <c r="S18" s="17">
        <f t="shared" ref="S18:AF18" si="10">SUM(C42:C45)</f>
        <v>11.428571428571429</v>
      </c>
      <c r="T18" s="17">
        <f t="shared" si="10"/>
        <v>4.1428571428571432</v>
      </c>
      <c r="U18" s="17">
        <f t="shared" si="10"/>
        <v>3</v>
      </c>
      <c r="V18" s="17">
        <f t="shared" si="10"/>
        <v>5.2857142857142856</v>
      </c>
      <c r="W18" s="17">
        <f t="shared" si="10"/>
        <v>0.71428571428571419</v>
      </c>
      <c r="X18" s="17">
        <f t="shared" si="10"/>
        <v>0.14285714285714285</v>
      </c>
      <c r="Y18" s="17">
        <f t="shared" si="10"/>
        <v>6.9999999999999991</v>
      </c>
      <c r="Z18" s="17">
        <f t="shared" si="10"/>
        <v>8.1428571428571423</v>
      </c>
      <c r="AA18" s="17">
        <f t="shared" si="10"/>
        <v>0.14285714285714285</v>
      </c>
      <c r="AB18" s="17">
        <f t="shared" si="10"/>
        <v>0.2857142857142857</v>
      </c>
      <c r="AC18" s="17">
        <f t="shared" si="10"/>
        <v>141.71428571428572</v>
      </c>
      <c r="AD18" s="17">
        <f t="shared" si="10"/>
        <v>0</v>
      </c>
      <c r="AE18" s="31">
        <f t="shared" si="10"/>
        <v>40.285714285714285</v>
      </c>
      <c r="AF18" s="31">
        <f t="shared" si="10"/>
        <v>182</v>
      </c>
    </row>
    <row r="19" spans="2:32" ht="23.1" customHeight="1" x14ac:dyDescent="0.25">
      <c r="B19" s="23" t="s">
        <v>46</v>
      </c>
      <c r="C19" s="49">
        <f>'Avg Week WOBULENZI-ZIROBWE'!C19+'Avg Week ZIROBWE-WOBULENZI'!C19</f>
        <v>1</v>
      </c>
      <c r="D19" s="49">
        <f>'Avg Week WOBULENZI-ZIROBWE'!D19+'Avg Week ZIROBWE-WOBULENZI'!D19</f>
        <v>0.42857142857142855</v>
      </c>
      <c r="E19" s="49">
        <f>'Avg Week WOBULENZI-ZIROBWE'!E19+'Avg Week ZIROBWE-WOBULENZI'!E19</f>
        <v>0.71428571428571419</v>
      </c>
      <c r="F19" s="49">
        <f>'Avg Week WOBULENZI-ZIROBWE'!F19+'Avg Week ZIROBWE-WOBULENZI'!F19</f>
        <v>0.71428571428571419</v>
      </c>
      <c r="G19" s="49">
        <f>'Avg Week WOBULENZI-ZIROBWE'!G19+'Avg Week ZIROBWE-WOBULENZI'!G19</f>
        <v>0</v>
      </c>
      <c r="H19" s="49">
        <f>'Avg Week WOBULENZI-ZIROBWE'!H19+'Avg Week ZIROBWE-WOBULENZI'!H19</f>
        <v>0</v>
      </c>
      <c r="I19" s="49">
        <f>'Avg Week WOBULENZI-ZIROBWE'!I19+'Avg Week ZIROBWE-WOBULENZI'!I19</f>
        <v>0.71428571428571419</v>
      </c>
      <c r="J19" s="49">
        <f>'Avg Week WOBULENZI-ZIROBWE'!J19+'Avg Week ZIROBWE-WOBULENZI'!J19</f>
        <v>1.4285714285714286</v>
      </c>
      <c r="K19" s="49">
        <f>'Avg Week WOBULENZI-ZIROBWE'!K19+'Avg Week ZIROBWE-WOBULENZI'!K19</f>
        <v>0.14285714285714285</v>
      </c>
      <c r="L19" s="49">
        <f>'Avg Week WOBULENZI-ZIROBWE'!L19+'Avg Week ZIROBWE-WOBULENZI'!L19</f>
        <v>0</v>
      </c>
      <c r="M19" s="49">
        <f>'Avg Week WOBULENZI-ZIROBWE'!M19+'Avg Week ZIROBWE-WOBULENZI'!M19</f>
        <v>25</v>
      </c>
      <c r="N19" s="49">
        <f>'Avg Week WOBULENZI-ZIROBWE'!N19+'Avg Week ZIROBWE-WOBULENZI'!N19</f>
        <v>0</v>
      </c>
      <c r="O19" s="15">
        <f t="shared" si="0"/>
        <v>5.1428571428571432</v>
      </c>
      <c r="P19" s="15">
        <f t="shared" si="1"/>
        <v>30.142857142857142</v>
      </c>
      <c r="R19" s="1" t="s">
        <v>15</v>
      </c>
      <c r="S19" s="17">
        <f t="shared" ref="S19:AF19" si="11">SUM(C46:C49)</f>
        <v>8.1428571428571423</v>
      </c>
      <c r="T19" s="17">
        <f t="shared" si="11"/>
        <v>4.1428571428571423</v>
      </c>
      <c r="U19" s="17">
        <f t="shared" si="11"/>
        <v>3.1428571428571428</v>
      </c>
      <c r="V19" s="17">
        <f t="shared" si="11"/>
        <v>4.5714285714285712</v>
      </c>
      <c r="W19" s="17">
        <f t="shared" si="11"/>
        <v>0.5714285714285714</v>
      </c>
      <c r="X19" s="17">
        <f t="shared" si="11"/>
        <v>0</v>
      </c>
      <c r="Y19" s="17">
        <f t="shared" si="11"/>
        <v>3.7142857142857144</v>
      </c>
      <c r="Z19" s="17">
        <f t="shared" si="11"/>
        <v>9.2857142857142847</v>
      </c>
      <c r="AA19" s="17">
        <f t="shared" si="11"/>
        <v>0.42857142857142855</v>
      </c>
      <c r="AB19" s="17">
        <f t="shared" si="11"/>
        <v>0</v>
      </c>
      <c r="AC19" s="17">
        <f t="shared" si="11"/>
        <v>143.28571428571428</v>
      </c>
      <c r="AD19" s="17">
        <f t="shared" si="11"/>
        <v>0</v>
      </c>
      <c r="AE19" s="31">
        <f t="shared" si="11"/>
        <v>34</v>
      </c>
      <c r="AF19" s="31">
        <f t="shared" si="11"/>
        <v>177.28571428571428</v>
      </c>
    </row>
    <row r="20" spans="2:32" ht="23.1" customHeight="1" x14ac:dyDescent="0.25">
      <c r="B20" s="23" t="s">
        <v>47</v>
      </c>
      <c r="C20" s="49">
        <f>'Avg Week WOBULENZI-ZIROBWE'!C20+'Avg Week ZIROBWE-WOBULENZI'!C20</f>
        <v>1.1428571428571428</v>
      </c>
      <c r="D20" s="49">
        <f>'Avg Week WOBULENZI-ZIROBWE'!D20+'Avg Week ZIROBWE-WOBULENZI'!D20</f>
        <v>0.71428571428571419</v>
      </c>
      <c r="E20" s="49">
        <f>'Avg Week WOBULENZI-ZIROBWE'!E20+'Avg Week ZIROBWE-WOBULENZI'!E20</f>
        <v>0.2857142857142857</v>
      </c>
      <c r="F20" s="49">
        <f>'Avg Week WOBULENZI-ZIROBWE'!F20+'Avg Week ZIROBWE-WOBULENZI'!F20</f>
        <v>0.5714285714285714</v>
      </c>
      <c r="G20" s="49">
        <f>'Avg Week WOBULENZI-ZIROBWE'!G20+'Avg Week ZIROBWE-WOBULENZI'!G20</f>
        <v>0</v>
      </c>
      <c r="H20" s="49">
        <f>'Avg Week WOBULENZI-ZIROBWE'!H20+'Avg Week ZIROBWE-WOBULENZI'!H20</f>
        <v>0</v>
      </c>
      <c r="I20" s="49">
        <f>'Avg Week WOBULENZI-ZIROBWE'!I20+'Avg Week ZIROBWE-WOBULENZI'!I20</f>
        <v>0.8571428571428571</v>
      </c>
      <c r="J20" s="49">
        <f>'Avg Week WOBULENZI-ZIROBWE'!J20+'Avg Week ZIROBWE-WOBULENZI'!J20</f>
        <v>2.1428571428571428</v>
      </c>
      <c r="K20" s="49">
        <f>'Avg Week WOBULENZI-ZIROBWE'!K20+'Avg Week ZIROBWE-WOBULENZI'!K20</f>
        <v>0.14285714285714285</v>
      </c>
      <c r="L20" s="49">
        <f>'Avg Week WOBULENZI-ZIROBWE'!L20+'Avg Week ZIROBWE-WOBULENZI'!L20</f>
        <v>0</v>
      </c>
      <c r="M20" s="49">
        <f>'Avg Week WOBULENZI-ZIROBWE'!M20+'Avg Week ZIROBWE-WOBULENZI'!M20</f>
        <v>25.857142857142854</v>
      </c>
      <c r="N20" s="49">
        <f>'Avg Week WOBULENZI-ZIROBWE'!N20+'Avg Week ZIROBWE-WOBULENZI'!N20</f>
        <v>0.14285714285714285</v>
      </c>
      <c r="O20" s="15">
        <f t="shared" si="0"/>
        <v>6.0000000000000009</v>
      </c>
      <c r="P20" s="15">
        <f t="shared" si="1"/>
        <v>31.857142857142854</v>
      </c>
      <c r="R20" s="1" t="s">
        <v>16</v>
      </c>
      <c r="S20" s="17">
        <f t="shared" ref="S20:AF20" si="12">SUM(C50:C53)</f>
        <v>8.7142857142857135</v>
      </c>
      <c r="T20" s="17">
        <f t="shared" si="12"/>
        <v>3.8571428571428572</v>
      </c>
      <c r="U20" s="17">
        <f t="shared" si="12"/>
        <v>1.9999999999999998</v>
      </c>
      <c r="V20" s="17">
        <f t="shared" si="12"/>
        <v>3.7142857142857144</v>
      </c>
      <c r="W20" s="17">
        <f t="shared" si="12"/>
        <v>0.71428571428571419</v>
      </c>
      <c r="X20" s="17">
        <f t="shared" si="12"/>
        <v>0.2857142857142857</v>
      </c>
      <c r="Y20" s="17">
        <f t="shared" si="12"/>
        <v>3.5714285714285712</v>
      </c>
      <c r="Z20" s="17">
        <f t="shared" si="12"/>
        <v>7</v>
      </c>
      <c r="AA20" s="17">
        <f t="shared" si="12"/>
        <v>0</v>
      </c>
      <c r="AB20" s="17">
        <f t="shared" si="12"/>
        <v>0</v>
      </c>
      <c r="AC20" s="17">
        <f t="shared" si="12"/>
        <v>146</v>
      </c>
      <c r="AD20" s="17">
        <f t="shared" si="12"/>
        <v>0</v>
      </c>
      <c r="AE20" s="31">
        <f t="shared" si="12"/>
        <v>29.857142857142861</v>
      </c>
      <c r="AF20" s="31">
        <f t="shared" si="12"/>
        <v>175.85714285714283</v>
      </c>
    </row>
    <row r="21" spans="2:32" ht="23.1" customHeight="1" x14ac:dyDescent="0.25">
      <c r="B21" s="23" t="s">
        <v>48</v>
      </c>
      <c r="C21" s="49">
        <f>'Avg Week WOBULENZI-ZIROBWE'!C21+'Avg Week ZIROBWE-WOBULENZI'!C21</f>
        <v>0.85714285714285721</v>
      </c>
      <c r="D21" s="49">
        <f>'Avg Week WOBULENZI-ZIROBWE'!D21+'Avg Week ZIROBWE-WOBULENZI'!D21</f>
        <v>0.5714285714285714</v>
      </c>
      <c r="E21" s="49">
        <f>'Avg Week WOBULENZI-ZIROBWE'!E21+'Avg Week ZIROBWE-WOBULENZI'!E21</f>
        <v>0.42857142857142855</v>
      </c>
      <c r="F21" s="49">
        <f>'Avg Week WOBULENZI-ZIROBWE'!F21+'Avg Week ZIROBWE-WOBULENZI'!F21</f>
        <v>0.14285714285714285</v>
      </c>
      <c r="G21" s="49">
        <f>'Avg Week WOBULENZI-ZIROBWE'!G21+'Avg Week ZIROBWE-WOBULENZI'!G21</f>
        <v>0</v>
      </c>
      <c r="H21" s="49">
        <f>'Avg Week WOBULENZI-ZIROBWE'!H21+'Avg Week ZIROBWE-WOBULENZI'!H21</f>
        <v>0</v>
      </c>
      <c r="I21" s="49">
        <f>'Avg Week WOBULENZI-ZIROBWE'!I21+'Avg Week ZIROBWE-WOBULENZI'!I21</f>
        <v>0.2857142857142857</v>
      </c>
      <c r="J21" s="49">
        <f>'Avg Week WOBULENZI-ZIROBWE'!J21+'Avg Week ZIROBWE-WOBULENZI'!J21</f>
        <v>2.8571428571428572</v>
      </c>
      <c r="K21" s="49">
        <f>'Avg Week WOBULENZI-ZIROBWE'!K21+'Avg Week ZIROBWE-WOBULENZI'!K21</f>
        <v>0.14285714285714285</v>
      </c>
      <c r="L21" s="49">
        <f>'Avg Week WOBULENZI-ZIROBWE'!L21+'Avg Week ZIROBWE-WOBULENZI'!L21</f>
        <v>0</v>
      </c>
      <c r="M21" s="49">
        <f>'Avg Week WOBULENZI-ZIROBWE'!M21+'Avg Week ZIROBWE-WOBULENZI'!M21</f>
        <v>25.714285714285715</v>
      </c>
      <c r="N21" s="49">
        <f>'Avg Week WOBULENZI-ZIROBWE'!N21+'Avg Week ZIROBWE-WOBULENZI'!N21</f>
        <v>0</v>
      </c>
      <c r="O21" s="15">
        <f t="shared" si="0"/>
        <v>5.2857142857142856</v>
      </c>
      <c r="P21" s="15">
        <f t="shared" si="1"/>
        <v>31</v>
      </c>
      <c r="R21" s="36" t="s">
        <v>20</v>
      </c>
      <c r="S21" s="34">
        <f t="shared" ref="S21:AF21" si="13">SUM(C54:C57)</f>
        <v>7.1428571428571423</v>
      </c>
      <c r="T21" s="17">
        <f t="shared" si="13"/>
        <v>3.4285714285714288</v>
      </c>
      <c r="U21" s="17">
        <f t="shared" si="13"/>
        <v>3.1428571428571423</v>
      </c>
      <c r="V21" s="17">
        <f t="shared" si="13"/>
        <v>3.4285714285714288</v>
      </c>
      <c r="W21" s="17">
        <f t="shared" si="13"/>
        <v>1</v>
      </c>
      <c r="X21" s="17">
        <f t="shared" si="13"/>
        <v>0</v>
      </c>
      <c r="Y21" s="17">
        <f t="shared" si="13"/>
        <v>4.7142857142857135</v>
      </c>
      <c r="Z21" s="17">
        <f t="shared" si="13"/>
        <v>5.7142857142857144</v>
      </c>
      <c r="AA21" s="17">
        <f t="shared" si="13"/>
        <v>0</v>
      </c>
      <c r="AB21" s="17">
        <f t="shared" si="13"/>
        <v>0</v>
      </c>
      <c r="AC21" s="17">
        <f t="shared" si="13"/>
        <v>174.14285714285717</v>
      </c>
      <c r="AD21" s="17">
        <f t="shared" si="13"/>
        <v>0.2857142857142857</v>
      </c>
      <c r="AE21" s="31">
        <f t="shared" si="13"/>
        <v>28.857142857142854</v>
      </c>
      <c r="AF21" s="31">
        <f t="shared" si="13"/>
        <v>203</v>
      </c>
    </row>
    <row r="22" spans="2:32" ht="23.1" customHeight="1" x14ac:dyDescent="0.25">
      <c r="B22" s="23" t="s">
        <v>49</v>
      </c>
      <c r="C22" s="49">
        <f>'Avg Week WOBULENZI-ZIROBWE'!C22+'Avg Week ZIROBWE-WOBULENZI'!C22</f>
        <v>2.1428571428571428</v>
      </c>
      <c r="D22" s="49">
        <f>'Avg Week WOBULENZI-ZIROBWE'!D22+'Avg Week ZIROBWE-WOBULENZI'!D22</f>
        <v>0.5714285714285714</v>
      </c>
      <c r="E22" s="49">
        <f>'Avg Week WOBULENZI-ZIROBWE'!E22+'Avg Week ZIROBWE-WOBULENZI'!E22</f>
        <v>0.42857142857142855</v>
      </c>
      <c r="F22" s="49">
        <f>'Avg Week WOBULENZI-ZIROBWE'!F22+'Avg Week ZIROBWE-WOBULENZI'!F22</f>
        <v>0.42857142857142855</v>
      </c>
      <c r="G22" s="49">
        <f>'Avg Week WOBULENZI-ZIROBWE'!G22+'Avg Week ZIROBWE-WOBULENZI'!G22</f>
        <v>0</v>
      </c>
      <c r="H22" s="49">
        <f>'Avg Week WOBULENZI-ZIROBWE'!H22+'Avg Week ZIROBWE-WOBULENZI'!H22</f>
        <v>0</v>
      </c>
      <c r="I22" s="49">
        <f>'Avg Week WOBULENZI-ZIROBWE'!I22+'Avg Week ZIROBWE-WOBULENZI'!I22</f>
        <v>0.8571428571428571</v>
      </c>
      <c r="J22" s="49">
        <f>'Avg Week WOBULENZI-ZIROBWE'!J22+'Avg Week ZIROBWE-WOBULENZI'!J22</f>
        <v>2.1428571428571428</v>
      </c>
      <c r="K22" s="49">
        <f>'Avg Week WOBULENZI-ZIROBWE'!K22+'Avg Week ZIROBWE-WOBULENZI'!K22</f>
        <v>0</v>
      </c>
      <c r="L22" s="49">
        <f>'Avg Week WOBULENZI-ZIROBWE'!L22+'Avg Week ZIROBWE-WOBULENZI'!L22</f>
        <v>0.2857142857142857</v>
      </c>
      <c r="M22" s="49">
        <f>'Avg Week WOBULENZI-ZIROBWE'!M22+'Avg Week ZIROBWE-WOBULENZI'!M22</f>
        <v>37.571428571428569</v>
      </c>
      <c r="N22" s="49">
        <f>'Avg Week WOBULENZI-ZIROBWE'!N22+'Avg Week ZIROBWE-WOBULENZI'!N22</f>
        <v>0</v>
      </c>
      <c r="O22" s="15">
        <f t="shared" si="0"/>
        <v>6.8571428571428568</v>
      </c>
      <c r="P22" s="15">
        <f t="shared" si="1"/>
        <v>44.428571428571423</v>
      </c>
      <c r="R22" s="1" t="s">
        <v>146</v>
      </c>
      <c r="S22" s="34">
        <f>SUM(C58:C61)</f>
        <v>6</v>
      </c>
      <c r="T22" s="34">
        <f t="shared" ref="T22:AF22" si="14">SUM(D58:D61)</f>
        <v>3</v>
      </c>
      <c r="U22" s="34">
        <f t="shared" si="14"/>
        <v>1</v>
      </c>
      <c r="V22" s="34">
        <f t="shared" si="14"/>
        <v>3</v>
      </c>
      <c r="W22" s="34">
        <f t="shared" si="14"/>
        <v>0</v>
      </c>
      <c r="X22" s="34">
        <f t="shared" si="14"/>
        <v>0</v>
      </c>
      <c r="Y22" s="34">
        <f t="shared" si="14"/>
        <v>4.5</v>
      </c>
      <c r="Z22" s="34">
        <f t="shared" si="14"/>
        <v>5</v>
      </c>
      <c r="AA22" s="34">
        <f t="shared" si="14"/>
        <v>0</v>
      </c>
      <c r="AB22" s="34">
        <f t="shared" si="14"/>
        <v>0</v>
      </c>
      <c r="AC22" s="34">
        <f t="shared" si="14"/>
        <v>205</v>
      </c>
      <c r="AD22" s="34">
        <f t="shared" si="14"/>
        <v>0</v>
      </c>
      <c r="AE22" s="31">
        <f t="shared" si="14"/>
        <v>22.5</v>
      </c>
      <c r="AF22" s="31">
        <f t="shared" si="14"/>
        <v>227.5</v>
      </c>
    </row>
    <row r="23" spans="2:32" ht="23.1" customHeight="1" x14ac:dyDescent="0.25">
      <c r="B23" s="23" t="s">
        <v>50</v>
      </c>
      <c r="C23" s="49">
        <f>'Avg Week WOBULENZI-ZIROBWE'!C23+'Avg Week ZIROBWE-WOBULENZI'!C23</f>
        <v>0.5714285714285714</v>
      </c>
      <c r="D23" s="49">
        <f>'Avg Week WOBULENZI-ZIROBWE'!D23+'Avg Week ZIROBWE-WOBULENZI'!D23</f>
        <v>0</v>
      </c>
      <c r="E23" s="49">
        <f>'Avg Week WOBULENZI-ZIROBWE'!E23+'Avg Week ZIROBWE-WOBULENZI'!E23</f>
        <v>0</v>
      </c>
      <c r="F23" s="49">
        <f>'Avg Week WOBULENZI-ZIROBWE'!F23+'Avg Week ZIROBWE-WOBULENZI'!F23</f>
        <v>0.5714285714285714</v>
      </c>
      <c r="G23" s="49">
        <f>'Avg Week WOBULENZI-ZIROBWE'!G23+'Avg Week ZIROBWE-WOBULENZI'!G23</f>
        <v>0</v>
      </c>
      <c r="H23" s="49">
        <f>'Avg Week WOBULENZI-ZIROBWE'!H23+'Avg Week ZIROBWE-WOBULENZI'!H23</f>
        <v>0.14285714285714285</v>
      </c>
      <c r="I23" s="49">
        <f>'Avg Week WOBULENZI-ZIROBWE'!I23+'Avg Week ZIROBWE-WOBULENZI'!I23</f>
        <v>0.8571428571428571</v>
      </c>
      <c r="J23" s="49">
        <f>'Avg Week WOBULENZI-ZIROBWE'!J23+'Avg Week ZIROBWE-WOBULENZI'!J23</f>
        <v>1.8571428571428572</v>
      </c>
      <c r="K23" s="49">
        <f>'Avg Week WOBULENZI-ZIROBWE'!K23+'Avg Week ZIROBWE-WOBULENZI'!K23</f>
        <v>0</v>
      </c>
      <c r="L23" s="49">
        <f>'Avg Week WOBULENZI-ZIROBWE'!L23+'Avg Week ZIROBWE-WOBULENZI'!L23</f>
        <v>0</v>
      </c>
      <c r="M23" s="49">
        <f>'Avg Week WOBULENZI-ZIROBWE'!M23+'Avg Week ZIROBWE-WOBULENZI'!M23</f>
        <v>30.428571428571431</v>
      </c>
      <c r="N23" s="49">
        <f>'Avg Week WOBULENZI-ZIROBWE'!N23+'Avg Week ZIROBWE-WOBULENZI'!N23</f>
        <v>0</v>
      </c>
      <c r="O23" s="15">
        <f t="shared" si="0"/>
        <v>4</v>
      </c>
      <c r="P23" s="15">
        <f t="shared" si="1"/>
        <v>34.428571428571431</v>
      </c>
      <c r="R23" s="1" t="s">
        <v>147</v>
      </c>
      <c r="S23" s="34">
        <f>SUM(C62:C65)</f>
        <v>5.5</v>
      </c>
      <c r="T23" s="34">
        <f t="shared" ref="T23:AF23" si="15">SUM(D62:D65)</f>
        <v>1</v>
      </c>
      <c r="U23" s="34">
        <f t="shared" si="15"/>
        <v>4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165.5</v>
      </c>
      <c r="AD23" s="34">
        <f t="shared" si="15"/>
        <v>0</v>
      </c>
      <c r="AE23" s="31">
        <f t="shared" si="15"/>
        <v>17.5</v>
      </c>
      <c r="AF23" s="31">
        <f t="shared" si="15"/>
        <v>183</v>
      </c>
    </row>
    <row r="24" spans="2:32" ht="23.1" customHeight="1" x14ac:dyDescent="0.25">
      <c r="B24" s="23" t="s">
        <v>51</v>
      </c>
      <c r="C24" s="49">
        <f>'Avg Week WOBULENZI-ZIROBWE'!C24+'Avg Week ZIROBWE-WOBULENZI'!C24</f>
        <v>1</v>
      </c>
      <c r="D24" s="49">
        <f>'Avg Week WOBULENZI-ZIROBWE'!D24+'Avg Week ZIROBWE-WOBULENZI'!D24</f>
        <v>0.2857142857142857</v>
      </c>
      <c r="E24" s="49">
        <f>'Avg Week WOBULENZI-ZIROBWE'!E24+'Avg Week ZIROBWE-WOBULENZI'!E24</f>
        <v>0.42857142857142855</v>
      </c>
      <c r="F24" s="49">
        <f>'Avg Week WOBULENZI-ZIROBWE'!F24+'Avg Week ZIROBWE-WOBULENZI'!F24</f>
        <v>0.5714285714285714</v>
      </c>
      <c r="G24" s="49">
        <f>'Avg Week WOBULENZI-ZIROBWE'!G24+'Avg Week ZIROBWE-WOBULENZI'!G24</f>
        <v>0</v>
      </c>
      <c r="H24" s="49">
        <f>'Avg Week WOBULENZI-ZIROBWE'!H24+'Avg Week ZIROBWE-WOBULENZI'!H24</f>
        <v>0</v>
      </c>
      <c r="I24" s="49">
        <f>'Avg Week WOBULENZI-ZIROBWE'!I24+'Avg Week ZIROBWE-WOBULENZI'!I24</f>
        <v>1.4285714285714286</v>
      </c>
      <c r="J24" s="49">
        <f>'Avg Week WOBULENZI-ZIROBWE'!J24+'Avg Week ZIROBWE-WOBULENZI'!J24</f>
        <v>2</v>
      </c>
      <c r="K24" s="49">
        <f>'Avg Week WOBULENZI-ZIROBWE'!K24+'Avg Week ZIROBWE-WOBULENZI'!K24</f>
        <v>0.14285714285714285</v>
      </c>
      <c r="L24" s="49">
        <f>'Avg Week WOBULENZI-ZIROBWE'!L24+'Avg Week ZIROBWE-WOBULENZI'!L24</f>
        <v>0</v>
      </c>
      <c r="M24" s="49">
        <f>'Avg Week WOBULENZI-ZIROBWE'!M24+'Avg Week ZIROBWE-WOBULENZI'!M24</f>
        <v>32</v>
      </c>
      <c r="N24" s="49">
        <f>'Avg Week WOBULENZI-ZIROBWE'!N24+'Avg Week ZIROBWE-WOBULENZI'!N24</f>
        <v>0</v>
      </c>
      <c r="O24" s="15">
        <f t="shared" si="0"/>
        <v>5.8571428571428577</v>
      </c>
      <c r="P24" s="15">
        <f t="shared" si="1"/>
        <v>37.857142857142861</v>
      </c>
      <c r="R24" s="1" t="s">
        <v>148</v>
      </c>
      <c r="S24" s="34">
        <f>SUM(C66:C69)</f>
        <v>4.5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8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106.5</v>
      </c>
      <c r="AD24" s="34">
        <f t="shared" si="16"/>
        <v>0</v>
      </c>
      <c r="AE24" s="31">
        <f t="shared" si="16"/>
        <v>17.5</v>
      </c>
      <c r="AF24" s="31">
        <f t="shared" si="16"/>
        <v>124</v>
      </c>
    </row>
    <row r="25" spans="2:32" ht="23.1" customHeight="1" x14ac:dyDescent="0.25">
      <c r="B25" s="23" t="s">
        <v>52</v>
      </c>
      <c r="C25" s="49">
        <f>'Avg Week WOBULENZI-ZIROBWE'!C25+'Avg Week ZIROBWE-WOBULENZI'!C25</f>
        <v>2</v>
      </c>
      <c r="D25" s="49">
        <f>'Avg Week WOBULENZI-ZIROBWE'!D25+'Avg Week ZIROBWE-WOBULENZI'!D25</f>
        <v>0.2857142857142857</v>
      </c>
      <c r="E25" s="49">
        <f>'Avg Week WOBULENZI-ZIROBWE'!E25+'Avg Week ZIROBWE-WOBULENZI'!E25</f>
        <v>1.1428571428571428</v>
      </c>
      <c r="F25" s="49">
        <f>'Avg Week WOBULENZI-ZIROBWE'!F25+'Avg Week ZIROBWE-WOBULENZI'!F25</f>
        <v>1.1428571428571428</v>
      </c>
      <c r="G25" s="49">
        <f>'Avg Week WOBULENZI-ZIROBWE'!G25+'Avg Week ZIROBWE-WOBULENZI'!G25</f>
        <v>0</v>
      </c>
      <c r="H25" s="49">
        <f>'Avg Week WOBULENZI-ZIROBWE'!H25+'Avg Week ZIROBWE-WOBULENZI'!H25</f>
        <v>0</v>
      </c>
      <c r="I25" s="49">
        <f>'Avg Week WOBULENZI-ZIROBWE'!I25+'Avg Week ZIROBWE-WOBULENZI'!I25</f>
        <v>0.5714285714285714</v>
      </c>
      <c r="J25" s="49">
        <f>'Avg Week WOBULENZI-ZIROBWE'!J25+'Avg Week ZIROBWE-WOBULENZI'!J25</f>
        <v>3.285714285714286</v>
      </c>
      <c r="K25" s="49">
        <f>'Avg Week WOBULENZI-ZIROBWE'!K25+'Avg Week ZIROBWE-WOBULENZI'!K25</f>
        <v>0</v>
      </c>
      <c r="L25" s="49">
        <f>'Avg Week WOBULENZI-ZIROBWE'!L25+'Avg Week ZIROBWE-WOBULENZI'!L25</f>
        <v>0</v>
      </c>
      <c r="M25" s="49">
        <f>'Avg Week WOBULENZI-ZIROBWE'!M25+'Avg Week ZIROBWE-WOBULENZI'!M25</f>
        <v>34.428571428571431</v>
      </c>
      <c r="N25" s="49">
        <f>'Avg Week WOBULENZI-ZIROBWE'!N25+'Avg Week ZIROBWE-WOBULENZI'!N25</f>
        <v>0</v>
      </c>
      <c r="O25" s="15">
        <f t="shared" si="0"/>
        <v>8.4285714285714288</v>
      </c>
      <c r="P25" s="15">
        <f t="shared" si="1"/>
        <v>42.857142857142861</v>
      </c>
      <c r="R25" s="1" t="s">
        <v>149</v>
      </c>
      <c r="S25" s="34">
        <f>SUM(C70:C73)</f>
        <v>3</v>
      </c>
      <c r="T25" s="34">
        <f t="shared" ref="T25:AF25" si="17">SUM(D70:D73)</f>
        <v>0.5</v>
      </c>
      <c r="U25" s="34">
        <f t="shared" si="17"/>
        <v>0.5</v>
      </c>
      <c r="V25" s="34">
        <f t="shared" si="17"/>
        <v>0.5</v>
      </c>
      <c r="W25" s="34">
        <f t="shared" si="17"/>
        <v>0</v>
      </c>
      <c r="X25" s="34">
        <f t="shared" si="17"/>
        <v>0</v>
      </c>
      <c r="Y25" s="34">
        <f t="shared" si="17"/>
        <v>1.5</v>
      </c>
      <c r="Z25" s="34">
        <f t="shared" si="17"/>
        <v>3.5</v>
      </c>
      <c r="AA25" s="34">
        <f t="shared" si="17"/>
        <v>0.5</v>
      </c>
      <c r="AB25" s="34">
        <f t="shared" si="17"/>
        <v>0</v>
      </c>
      <c r="AC25" s="34">
        <f t="shared" si="17"/>
        <v>52</v>
      </c>
      <c r="AD25" s="34">
        <f t="shared" si="17"/>
        <v>0</v>
      </c>
      <c r="AE25" s="31">
        <f t="shared" si="17"/>
        <v>10</v>
      </c>
      <c r="AF25" s="31">
        <f t="shared" si="17"/>
        <v>62</v>
      </c>
    </row>
    <row r="26" spans="2:32" ht="23.1" customHeight="1" x14ac:dyDescent="0.25">
      <c r="B26" s="23" t="s">
        <v>53</v>
      </c>
      <c r="C26" s="49">
        <f>'Avg Week WOBULENZI-ZIROBWE'!C26+'Avg Week ZIROBWE-WOBULENZI'!C26</f>
        <v>1.7142857142857142</v>
      </c>
      <c r="D26" s="49">
        <f>'Avg Week WOBULENZI-ZIROBWE'!D26+'Avg Week ZIROBWE-WOBULENZI'!D26</f>
        <v>0.42857142857142855</v>
      </c>
      <c r="E26" s="49">
        <f>'Avg Week WOBULENZI-ZIROBWE'!E26+'Avg Week ZIROBWE-WOBULENZI'!E26</f>
        <v>1.4285714285714286</v>
      </c>
      <c r="F26" s="49">
        <f>'Avg Week WOBULENZI-ZIROBWE'!F26+'Avg Week ZIROBWE-WOBULENZI'!F26</f>
        <v>0.14285714285714285</v>
      </c>
      <c r="G26" s="49">
        <f>'Avg Week WOBULENZI-ZIROBWE'!G26+'Avg Week ZIROBWE-WOBULENZI'!G26</f>
        <v>0.14285714285714285</v>
      </c>
      <c r="H26" s="49">
        <f>'Avg Week WOBULENZI-ZIROBWE'!H26+'Avg Week ZIROBWE-WOBULENZI'!H26</f>
        <v>0</v>
      </c>
      <c r="I26" s="49">
        <f>'Avg Week WOBULENZI-ZIROBWE'!I26+'Avg Week ZIROBWE-WOBULENZI'!I26</f>
        <v>1.2857142857142856</v>
      </c>
      <c r="J26" s="49">
        <f>'Avg Week WOBULENZI-ZIROBWE'!J26+'Avg Week ZIROBWE-WOBULENZI'!J26</f>
        <v>3.1428571428571428</v>
      </c>
      <c r="K26" s="49">
        <f>'Avg Week WOBULENZI-ZIROBWE'!K26+'Avg Week ZIROBWE-WOBULENZI'!K26</f>
        <v>0</v>
      </c>
      <c r="L26" s="49">
        <f>'Avg Week WOBULENZI-ZIROBWE'!L26+'Avg Week ZIROBWE-WOBULENZI'!L26</f>
        <v>0.14285714285714285</v>
      </c>
      <c r="M26" s="49">
        <f>'Avg Week WOBULENZI-ZIROBWE'!M26+'Avg Week ZIROBWE-WOBULENZI'!M26</f>
        <v>31.714285714285715</v>
      </c>
      <c r="N26" s="49">
        <f>'Avg Week WOBULENZI-ZIROBWE'!N26+'Avg Week ZIROBWE-WOBULENZI'!N26</f>
        <v>0</v>
      </c>
      <c r="O26" s="15">
        <f t="shared" si="0"/>
        <v>8.428571428571427</v>
      </c>
      <c r="P26" s="15">
        <f t="shared" si="1"/>
        <v>40.142857142857139</v>
      </c>
      <c r="R26" s="1" t="s">
        <v>150</v>
      </c>
      <c r="S26" s="34">
        <f>SUM(C74:C77)</f>
        <v>0.5</v>
      </c>
      <c r="T26" s="34">
        <f t="shared" ref="T26:AF26" si="18">SUM(D74:D77)</f>
        <v>0</v>
      </c>
      <c r="U26" s="34">
        <f t="shared" si="18"/>
        <v>0.5</v>
      </c>
      <c r="V26" s="34">
        <f t="shared" si="18"/>
        <v>2.5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17.5</v>
      </c>
      <c r="AD26" s="34">
        <f t="shared" si="18"/>
        <v>0</v>
      </c>
      <c r="AE26" s="31">
        <f t="shared" si="18"/>
        <v>4.5</v>
      </c>
      <c r="AF26" s="31">
        <f t="shared" si="18"/>
        <v>22</v>
      </c>
    </row>
    <row r="27" spans="2:32" ht="23.1" customHeight="1" x14ac:dyDescent="0.25">
      <c r="B27" s="23" t="s">
        <v>54</v>
      </c>
      <c r="C27" s="49">
        <f>'Avg Week WOBULENZI-ZIROBWE'!C27+'Avg Week ZIROBWE-WOBULENZI'!C27</f>
        <v>1</v>
      </c>
      <c r="D27" s="49">
        <f>'Avg Week WOBULENZI-ZIROBWE'!D27+'Avg Week ZIROBWE-WOBULENZI'!D27</f>
        <v>0.42857142857142855</v>
      </c>
      <c r="E27" s="49">
        <f>'Avg Week WOBULENZI-ZIROBWE'!E27+'Avg Week ZIROBWE-WOBULENZI'!E27</f>
        <v>0.71428571428571419</v>
      </c>
      <c r="F27" s="49">
        <f>'Avg Week WOBULENZI-ZIROBWE'!F27+'Avg Week ZIROBWE-WOBULENZI'!F27</f>
        <v>0.42857142857142855</v>
      </c>
      <c r="G27" s="49">
        <f>'Avg Week WOBULENZI-ZIROBWE'!G27+'Avg Week ZIROBWE-WOBULENZI'!G27</f>
        <v>0.14285714285714285</v>
      </c>
      <c r="H27" s="49">
        <f>'Avg Week WOBULENZI-ZIROBWE'!H27+'Avg Week ZIROBWE-WOBULENZI'!H27</f>
        <v>0</v>
      </c>
      <c r="I27" s="49">
        <f>'Avg Week WOBULENZI-ZIROBWE'!I27+'Avg Week ZIROBWE-WOBULENZI'!I27</f>
        <v>1.5714285714285714</v>
      </c>
      <c r="J27" s="49">
        <f>'Avg Week WOBULENZI-ZIROBWE'!J27+'Avg Week ZIROBWE-WOBULENZI'!J27</f>
        <v>3.5714285714285712</v>
      </c>
      <c r="K27" s="49">
        <f>'Avg Week WOBULENZI-ZIROBWE'!K27+'Avg Week ZIROBWE-WOBULENZI'!K27</f>
        <v>0.42857142857142855</v>
      </c>
      <c r="L27" s="49">
        <f>'Avg Week WOBULENZI-ZIROBWE'!L27+'Avg Week ZIROBWE-WOBULENZI'!L27</f>
        <v>0</v>
      </c>
      <c r="M27" s="49">
        <f>'Avg Week WOBULENZI-ZIROBWE'!M27+'Avg Week ZIROBWE-WOBULENZI'!M27</f>
        <v>36.857142857142861</v>
      </c>
      <c r="N27" s="49">
        <f>'Avg Week WOBULENZI-ZIROBWE'!N27+'Avg Week ZIROBWE-WOBULENZI'!N27</f>
        <v>0</v>
      </c>
      <c r="O27" s="15">
        <f t="shared" si="0"/>
        <v>8.2857142857142847</v>
      </c>
      <c r="P27" s="15">
        <f t="shared" si="1"/>
        <v>45.142857142857146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1.5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1.5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3.5</v>
      </c>
      <c r="AF27" s="31">
        <f t="shared" si="19"/>
        <v>7.5</v>
      </c>
    </row>
    <row r="28" spans="2:32" ht="23.1" customHeight="1" x14ac:dyDescent="0.25">
      <c r="B28" s="23" t="s">
        <v>55</v>
      </c>
      <c r="C28" s="49">
        <f>'Avg Week WOBULENZI-ZIROBWE'!C28+'Avg Week ZIROBWE-WOBULENZI'!C28</f>
        <v>2.7142857142857144</v>
      </c>
      <c r="D28" s="49">
        <f>'Avg Week WOBULENZI-ZIROBWE'!D28+'Avg Week ZIROBWE-WOBULENZI'!D28</f>
        <v>0.85714285714285721</v>
      </c>
      <c r="E28" s="49">
        <f>'Avg Week WOBULENZI-ZIROBWE'!E28+'Avg Week ZIROBWE-WOBULENZI'!E28</f>
        <v>0.5714285714285714</v>
      </c>
      <c r="F28" s="49">
        <f>'Avg Week WOBULENZI-ZIROBWE'!F28+'Avg Week ZIROBWE-WOBULENZI'!F28</f>
        <v>0.42857142857142855</v>
      </c>
      <c r="G28" s="49">
        <f>'Avg Week WOBULENZI-ZIROBWE'!G28+'Avg Week ZIROBWE-WOBULENZI'!G28</f>
        <v>0.14285714285714285</v>
      </c>
      <c r="H28" s="49">
        <f>'Avg Week WOBULENZI-ZIROBWE'!H28+'Avg Week ZIROBWE-WOBULENZI'!H28</f>
        <v>0</v>
      </c>
      <c r="I28" s="49">
        <f>'Avg Week WOBULENZI-ZIROBWE'!I28+'Avg Week ZIROBWE-WOBULENZI'!I28</f>
        <v>0.8571428571428571</v>
      </c>
      <c r="J28" s="49">
        <f>'Avg Week WOBULENZI-ZIROBWE'!J28+'Avg Week ZIROBWE-WOBULENZI'!J28</f>
        <v>3.5714285714285716</v>
      </c>
      <c r="K28" s="49">
        <f>'Avg Week WOBULENZI-ZIROBWE'!K28+'Avg Week ZIROBWE-WOBULENZI'!K28</f>
        <v>0</v>
      </c>
      <c r="L28" s="49">
        <f>'Avg Week WOBULENZI-ZIROBWE'!L28+'Avg Week ZIROBWE-WOBULENZI'!L28</f>
        <v>0</v>
      </c>
      <c r="M28" s="49">
        <f>'Avg Week WOBULENZI-ZIROBWE'!M28+'Avg Week ZIROBWE-WOBULENZI'!M28</f>
        <v>31.857142857142861</v>
      </c>
      <c r="N28" s="49">
        <f>'Avg Week WOBULENZI-ZIROBWE'!N28+'Avg Week ZIROBWE-WOBULENZI'!N28</f>
        <v>0.14285714285714285</v>
      </c>
      <c r="O28" s="15">
        <f t="shared" si="0"/>
        <v>9.2857142857142865</v>
      </c>
      <c r="P28" s="15">
        <f t="shared" si="1"/>
        <v>41.142857142857153</v>
      </c>
      <c r="R28" s="1" t="s">
        <v>152</v>
      </c>
      <c r="S28" s="34">
        <f>SUM(C82:C85)</f>
        <v>0.5</v>
      </c>
      <c r="T28" s="34">
        <f t="shared" ref="T28:AF28" si="20">SUM(D82:D85)</f>
        <v>0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1.5</v>
      </c>
      <c r="AD28" s="34">
        <f t="shared" si="20"/>
        <v>0</v>
      </c>
      <c r="AE28" s="31">
        <f t="shared" si="20"/>
        <v>1.5</v>
      </c>
      <c r="AF28" s="31">
        <f t="shared" si="20"/>
        <v>3</v>
      </c>
    </row>
    <row r="29" spans="2:32" ht="23.1" customHeight="1" x14ac:dyDescent="0.25">
      <c r="B29" s="23" t="s">
        <v>56</v>
      </c>
      <c r="C29" s="49">
        <f>'Avg Week WOBULENZI-ZIROBWE'!C29+'Avg Week ZIROBWE-WOBULENZI'!C29</f>
        <v>1.8571428571428572</v>
      </c>
      <c r="D29" s="49">
        <f>'Avg Week WOBULENZI-ZIROBWE'!D29+'Avg Week ZIROBWE-WOBULENZI'!D29</f>
        <v>1</v>
      </c>
      <c r="E29" s="49">
        <f>'Avg Week WOBULENZI-ZIROBWE'!E29+'Avg Week ZIROBWE-WOBULENZI'!E29</f>
        <v>0.14285714285714285</v>
      </c>
      <c r="F29" s="49">
        <f>'Avg Week WOBULENZI-ZIROBWE'!F29+'Avg Week ZIROBWE-WOBULENZI'!F29</f>
        <v>0.71428571428571419</v>
      </c>
      <c r="G29" s="49">
        <f>'Avg Week WOBULENZI-ZIROBWE'!G29+'Avg Week ZIROBWE-WOBULENZI'!G29</f>
        <v>0</v>
      </c>
      <c r="H29" s="49">
        <f>'Avg Week WOBULENZI-ZIROBWE'!H29+'Avg Week ZIROBWE-WOBULENZI'!H29</f>
        <v>0</v>
      </c>
      <c r="I29" s="49">
        <f>'Avg Week WOBULENZI-ZIROBWE'!I29+'Avg Week ZIROBWE-WOBULENZI'!I29</f>
        <v>0.5714285714285714</v>
      </c>
      <c r="J29" s="49">
        <f>'Avg Week WOBULENZI-ZIROBWE'!J29+'Avg Week ZIROBWE-WOBULENZI'!J29</f>
        <v>3</v>
      </c>
      <c r="K29" s="49">
        <f>'Avg Week WOBULENZI-ZIROBWE'!K29+'Avg Week ZIROBWE-WOBULENZI'!K29</f>
        <v>0</v>
      </c>
      <c r="L29" s="49">
        <f>'Avg Week WOBULENZI-ZIROBWE'!L29+'Avg Week ZIROBWE-WOBULENZI'!L29</f>
        <v>0</v>
      </c>
      <c r="M29" s="49">
        <f>'Avg Week WOBULENZI-ZIROBWE'!M29+'Avg Week ZIROBWE-WOBULENZI'!M29</f>
        <v>35.571428571428569</v>
      </c>
      <c r="N29" s="49">
        <f>'Avg Week WOBULENZI-ZIROBWE'!N29+'Avg Week ZIROBWE-WOBULENZI'!N29</f>
        <v>0</v>
      </c>
      <c r="O29" s="15">
        <f t="shared" si="0"/>
        <v>7.2857142857142856</v>
      </c>
      <c r="P29" s="15">
        <f t="shared" si="1"/>
        <v>42.857142857142854</v>
      </c>
      <c r="R29" s="1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0.5</v>
      </c>
      <c r="AA29" s="34">
        <f t="shared" si="21"/>
        <v>0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2</v>
      </c>
      <c r="AF29" s="31">
        <f t="shared" si="21"/>
        <v>2</v>
      </c>
    </row>
    <row r="30" spans="2:32" ht="23.1" customHeight="1" x14ac:dyDescent="0.25">
      <c r="B30" s="23" t="s">
        <v>57</v>
      </c>
      <c r="C30" s="49">
        <f>'Avg Week WOBULENZI-ZIROBWE'!C30+'Avg Week ZIROBWE-WOBULENZI'!C30</f>
        <v>2.1428571428571428</v>
      </c>
      <c r="D30" s="49">
        <f>'Avg Week WOBULENZI-ZIROBWE'!D30+'Avg Week ZIROBWE-WOBULENZI'!D30</f>
        <v>0.71428571428571419</v>
      </c>
      <c r="E30" s="49">
        <f>'Avg Week WOBULENZI-ZIROBWE'!E30+'Avg Week ZIROBWE-WOBULENZI'!E30</f>
        <v>0.42857142857142855</v>
      </c>
      <c r="F30" s="49">
        <f>'Avg Week WOBULENZI-ZIROBWE'!F30+'Avg Week ZIROBWE-WOBULENZI'!F30</f>
        <v>1</v>
      </c>
      <c r="G30" s="49">
        <f>'Avg Week WOBULENZI-ZIROBWE'!G30+'Avg Week ZIROBWE-WOBULENZI'!G30</f>
        <v>0.14285714285714285</v>
      </c>
      <c r="H30" s="49">
        <f>'Avg Week WOBULENZI-ZIROBWE'!H30+'Avg Week ZIROBWE-WOBULENZI'!H30</f>
        <v>0</v>
      </c>
      <c r="I30" s="49">
        <f>'Avg Week WOBULENZI-ZIROBWE'!I30+'Avg Week ZIROBWE-WOBULENZI'!I30</f>
        <v>0.8571428571428571</v>
      </c>
      <c r="J30" s="49">
        <f>'Avg Week WOBULENZI-ZIROBWE'!J30+'Avg Week ZIROBWE-WOBULENZI'!J30</f>
        <v>2.1428571428571428</v>
      </c>
      <c r="K30" s="49">
        <f>'Avg Week WOBULENZI-ZIROBWE'!K30+'Avg Week ZIROBWE-WOBULENZI'!K30</f>
        <v>0</v>
      </c>
      <c r="L30" s="49">
        <f>'Avg Week WOBULENZI-ZIROBWE'!L30+'Avg Week ZIROBWE-WOBULENZI'!L30</f>
        <v>0</v>
      </c>
      <c r="M30" s="49">
        <f>'Avg Week WOBULENZI-ZIROBWE'!M30+'Avg Week ZIROBWE-WOBULENZI'!M30</f>
        <v>34.714285714285708</v>
      </c>
      <c r="N30" s="49">
        <f>'Avg Week WOBULENZI-ZIROBWE'!N30+'Avg Week ZIROBWE-WOBULENZI'!N30</f>
        <v>0</v>
      </c>
      <c r="O30" s="15">
        <f t="shared" si="0"/>
        <v>7.428571428571427</v>
      </c>
      <c r="P30" s="15">
        <f t="shared" si="1"/>
        <v>42.142857142857139</v>
      </c>
      <c r="R30" s="1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0.5</v>
      </c>
      <c r="V30" s="34">
        <f t="shared" si="22"/>
        <v>1.5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0.5</v>
      </c>
      <c r="AA30" s="34">
        <f t="shared" si="22"/>
        <v>1</v>
      </c>
      <c r="AB30" s="34">
        <f t="shared" si="22"/>
        <v>0</v>
      </c>
      <c r="AC30" s="34">
        <f t="shared" si="22"/>
        <v>2.5</v>
      </c>
      <c r="AD30" s="34">
        <f t="shared" si="22"/>
        <v>0</v>
      </c>
      <c r="AE30" s="31">
        <f t="shared" si="22"/>
        <v>3.5</v>
      </c>
      <c r="AF30" s="31">
        <f t="shared" si="22"/>
        <v>6</v>
      </c>
    </row>
    <row r="31" spans="2:32" ht="23.1" customHeight="1" x14ac:dyDescent="0.25">
      <c r="B31" s="24" t="s">
        <v>58</v>
      </c>
      <c r="C31" s="49">
        <f>'Avg Week WOBULENZI-ZIROBWE'!C31+'Avg Week ZIROBWE-WOBULENZI'!C31</f>
        <v>1.5714285714285714</v>
      </c>
      <c r="D31" s="49">
        <f>'Avg Week WOBULENZI-ZIROBWE'!D31+'Avg Week ZIROBWE-WOBULENZI'!D31</f>
        <v>0.14285714285714285</v>
      </c>
      <c r="E31" s="49">
        <f>'Avg Week WOBULENZI-ZIROBWE'!E31+'Avg Week ZIROBWE-WOBULENZI'!E31</f>
        <v>0.8571428571428571</v>
      </c>
      <c r="F31" s="49">
        <f>'Avg Week WOBULENZI-ZIROBWE'!F31+'Avg Week ZIROBWE-WOBULENZI'!F31</f>
        <v>0.42857142857142855</v>
      </c>
      <c r="G31" s="49">
        <f>'Avg Week WOBULENZI-ZIROBWE'!G31+'Avg Week ZIROBWE-WOBULENZI'!G31</f>
        <v>0</v>
      </c>
      <c r="H31" s="49">
        <f>'Avg Week WOBULENZI-ZIROBWE'!H31+'Avg Week ZIROBWE-WOBULENZI'!H31</f>
        <v>0</v>
      </c>
      <c r="I31" s="49">
        <f>'Avg Week WOBULENZI-ZIROBWE'!I31+'Avg Week ZIROBWE-WOBULENZI'!I31</f>
        <v>1</v>
      </c>
      <c r="J31" s="49">
        <f>'Avg Week WOBULENZI-ZIROBWE'!J31+'Avg Week ZIROBWE-WOBULENZI'!J31</f>
        <v>1.2857142857142856</v>
      </c>
      <c r="K31" s="49">
        <f>'Avg Week WOBULENZI-ZIROBWE'!K31+'Avg Week ZIROBWE-WOBULENZI'!K31</f>
        <v>0</v>
      </c>
      <c r="L31" s="49">
        <f>'Avg Week WOBULENZI-ZIROBWE'!L31+'Avg Week ZIROBWE-WOBULENZI'!L31</f>
        <v>0</v>
      </c>
      <c r="M31" s="49">
        <f>'Avg Week WOBULENZI-ZIROBWE'!M31+'Avg Week ZIROBWE-WOBULENZI'!M31</f>
        <v>34.571428571428569</v>
      </c>
      <c r="N31" s="49">
        <f>'Avg Week WOBULENZI-ZIROBWE'!N31+'Avg Week ZIROBWE-WOBULENZI'!N31</f>
        <v>0</v>
      </c>
      <c r="O31" s="15">
        <f t="shared" si="0"/>
        <v>5.2857142857142847</v>
      </c>
      <c r="P31" s="15">
        <f t="shared" si="1"/>
        <v>39.857142857142854</v>
      </c>
      <c r="R31" s="1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0.5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2</v>
      </c>
      <c r="AA31" s="34">
        <f t="shared" si="23"/>
        <v>0.5</v>
      </c>
      <c r="AB31" s="34">
        <f t="shared" si="23"/>
        <v>0</v>
      </c>
      <c r="AC31" s="34">
        <f t="shared" si="23"/>
        <v>3.5</v>
      </c>
      <c r="AD31" s="34">
        <f t="shared" si="23"/>
        <v>0</v>
      </c>
      <c r="AE31" s="31">
        <f t="shared" si="23"/>
        <v>6</v>
      </c>
      <c r="AF31" s="31">
        <f t="shared" si="23"/>
        <v>9.5</v>
      </c>
    </row>
    <row r="32" spans="2:32" ht="23.1" customHeight="1" x14ac:dyDescent="0.25">
      <c r="B32" s="24" t="s">
        <v>59</v>
      </c>
      <c r="C32" s="49">
        <f>'Avg Week WOBULENZI-ZIROBWE'!C32+'Avg Week ZIROBWE-WOBULENZI'!C32</f>
        <v>1.8571428571428572</v>
      </c>
      <c r="D32" s="49">
        <f>'Avg Week WOBULENZI-ZIROBWE'!D32+'Avg Week ZIROBWE-WOBULENZI'!D32</f>
        <v>1.4285714285714284</v>
      </c>
      <c r="E32" s="49">
        <f>'Avg Week WOBULENZI-ZIROBWE'!E32+'Avg Week ZIROBWE-WOBULENZI'!E32</f>
        <v>1</v>
      </c>
      <c r="F32" s="49">
        <f>'Avg Week WOBULENZI-ZIROBWE'!F32+'Avg Week ZIROBWE-WOBULENZI'!F32</f>
        <v>0.7142857142857143</v>
      </c>
      <c r="G32" s="49">
        <f>'Avg Week WOBULENZI-ZIROBWE'!G32+'Avg Week ZIROBWE-WOBULENZI'!G32</f>
        <v>0.2857142857142857</v>
      </c>
      <c r="H32" s="49">
        <f>'Avg Week WOBULENZI-ZIROBWE'!H32+'Avg Week ZIROBWE-WOBULENZI'!H32</f>
        <v>0</v>
      </c>
      <c r="I32" s="49">
        <f>'Avg Week WOBULENZI-ZIROBWE'!I32+'Avg Week ZIROBWE-WOBULENZI'!I32</f>
        <v>1.1428571428571428</v>
      </c>
      <c r="J32" s="49">
        <f>'Avg Week WOBULENZI-ZIROBWE'!J32+'Avg Week ZIROBWE-WOBULENZI'!J32</f>
        <v>1</v>
      </c>
      <c r="K32" s="49">
        <f>'Avg Week WOBULENZI-ZIROBWE'!K32+'Avg Week ZIROBWE-WOBULENZI'!K32</f>
        <v>0</v>
      </c>
      <c r="L32" s="49">
        <f>'Avg Week WOBULENZI-ZIROBWE'!L32+'Avg Week ZIROBWE-WOBULENZI'!L32</f>
        <v>0</v>
      </c>
      <c r="M32" s="49">
        <f>'Avg Week WOBULENZI-ZIROBWE'!M32+'Avg Week ZIROBWE-WOBULENZI'!M32</f>
        <v>39.428571428571431</v>
      </c>
      <c r="N32" s="49">
        <f>'Avg Week WOBULENZI-ZIROBWE'!N32+'Avg Week ZIROBWE-WOBULENZI'!N32</f>
        <v>0</v>
      </c>
      <c r="O32" s="15">
        <f t="shared" si="0"/>
        <v>7.4285714285714288</v>
      </c>
      <c r="P32" s="15">
        <f t="shared" si="1"/>
        <v>46.857142857142861</v>
      </c>
      <c r="R32" s="1" t="s">
        <v>156</v>
      </c>
      <c r="S32" s="34">
        <f>SUM(C98:C101)</f>
        <v>2</v>
      </c>
      <c r="T32" s="34">
        <f t="shared" ref="T32:AF32" si="24">SUM(D98:D101)</f>
        <v>2</v>
      </c>
      <c r="U32" s="34">
        <f t="shared" si="24"/>
        <v>0</v>
      </c>
      <c r="V32" s="34">
        <f t="shared" si="24"/>
        <v>2.5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2</v>
      </c>
      <c r="AA32" s="34">
        <f t="shared" si="24"/>
        <v>0</v>
      </c>
      <c r="AB32" s="34">
        <f t="shared" si="24"/>
        <v>0</v>
      </c>
      <c r="AC32" s="34">
        <f t="shared" si="24"/>
        <v>11.5</v>
      </c>
      <c r="AD32" s="34">
        <f t="shared" si="24"/>
        <v>0</v>
      </c>
      <c r="AE32" s="31">
        <f t="shared" si="24"/>
        <v>9</v>
      </c>
      <c r="AF32" s="31">
        <f t="shared" si="24"/>
        <v>20.5</v>
      </c>
    </row>
    <row r="33" spans="2:32" ht="23.1" customHeight="1" x14ac:dyDescent="0.25">
      <c r="B33" s="23" t="s">
        <v>60</v>
      </c>
      <c r="C33" s="49">
        <f>'Avg Week WOBULENZI-ZIROBWE'!C33+'Avg Week ZIROBWE-WOBULENZI'!C33</f>
        <v>2.1428571428571428</v>
      </c>
      <c r="D33" s="49">
        <f>'Avg Week WOBULENZI-ZIROBWE'!D33+'Avg Week ZIROBWE-WOBULENZI'!D33</f>
        <v>0.71428571428571419</v>
      </c>
      <c r="E33" s="49">
        <f>'Avg Week WOBULENZI-ZIROBWE'!E33+'Avg Week ZIROBWE-WOBULENZI'!E33</f>
        <v>0.2857142857142857</v>
      </c>
      <c r="F33" s="49">
        <f>'Avg Week WOBULENZI-ZIROBWE'!F33+'Avg Week ZIROBWE-WOBULENZI'!F33</f>
        <v>1.2857142857142856</v>
      </c>
      <c r="G33" s="49">
        <f>'Avg Week WOBULENZI-ZIROBWE'!G33+'Avg Week ZIROBWE-WOBULENZI'!G33</f>
        <v>0.5714285714285714</v>
      </c>
      <c r="H33" s="49">
        <f>'Avg Week WOBULENZI-ZIROBWE'!H33+'Avg Week ZIROBWE-WOBULENZI'!H33</f>
        <v>0</v>
      </c>
      <c r="I33" s="49">
        <f>'Avg Week WOBULENZI-ZIROBWE'!I33+'Avg Week ZIROBWE-WOBULENZI'!I33</f>
        <v>0.5714285714285714</v>
      </c>
      <c r="J33" s="49">
        <f>'Avg Week WOBULENZI-ZIROBWE'!J33+'Avg Week ZIROBWE-WOBULENZI'!J33</f>
        <v>1.4285714285714284</v>
      </c>
      <c r="K33" s="49">
        <f>'Avg Week WOBULENZI-ZIROBWE'!K33+'Avg Week ZIROBWE-WOBULENZI'!K33</f>
        <v>0</v>
      </c>
      <c r="L33" s="49">
        <f>'Avg Week WOBULENZI-ZIROBWE'!L33+'Avg Week ZIROBWE-WOBULENZI'!L33</f>
        <v>0</v>
      </c>
      <c r="M33" s="49">
        <f>'Avg Week WOBULENZI-ZIROBWE'!M33+'Avg Week ZIROBWE-WOBULENZI'!M33</f>
        <v>36.571428571428569</v>
      </c>
      <c r="N33" s="49">
        <f>'Avg Week WOBULENZI-ZIROBWE'!N33+'Avg Week ZIROBWE-WOBULENZI'!N33</f>
        <v>0</v>
      </c>
      <c r="O33" s="15">
        <f t="shared" si="0"/>
        <v>6.9999999999999982</v>
      </c>
      <c r="P33" s="15">
        <f t="shared" si="1"/>
        <v>43.571428571428569</v>
      </c>
      <c r="R33" s="1" t="s">
        <v>157</v>
      </c>
      <c r="S33" s="34">
        <f>SUM(C102:C105)</f>
        <v>0.5</v>
      </c>
      <c r="T33" s="34">
        <f t="shared" ref="T33:AF33" si="25">SUM(D102:D105)</f>
        <v>0</v>
      </c>
      <c r="U33" s="34">
        <f t="shared" si="25"/>
        <v>0.5</v>
      </c>
      <c r="V33" s="34">
        <f t="shared" si="25"/>
        <v>5.5</v>
      </c>
      <c r="W33" s="34">
        <f t="shared" si="25"/>
        <v>0</v>
      </c>
      <c r="X33" s="34">
        <f t="shared" si="25"/>
        <v>0</v>
      </c>
      <c r="Y33" s="34">
        <f t="shared" si="25"/>
        <v>0.5</v>
      </c>
      <c r="Z33" s="34">
        <f t="shared" si="25"/>
        <v>0.5</v>
      </c>
      <c r="AA33" s="34">
        <f t="shared" si="25"/>
        <v>0</v>
      </c>
      <c r="AB33" s="34">
        <f t="shared" si="25"/>
        <v>0</v>
      </c>
      <c r="AC33" s="34">
        <f t="shared" si="25"/>
        <v>46</v>
      </c>
      <c r="AD33" s="34">
        <f t="shared" si="25"/>
        <v>0</v>
      </c>
      <c r="AE33" s="31">
        <f t="shared" si="25"/>
        <v>7.5</v>
      </c>
      <c r="AF33" s="31">
        <f t="shared" si="25"/>
        <v>53.5</v>
      </c>
    </row>
    <row r="34" spans="2:32" ht="23.1" customHeight="1" x14ac:dyDescent="0.25">
      <c r="B34" s="24" t="s">
        <v>61</v>
      </c>
      <c r="C34" s="49">
        <f>'Avg Week WOBULENZI-ZIROBWE'!C34+'Avg Week ZIROBWE-WOBULENZI'!C34</f>
        <v>3.2857142857142856</v>
      </c>
      <c r="D34" s="49">
        <f>'Avg Week WOBULENZI-ZIROBWE'!D34+'Avg Week ZIROBWE-WOBULENZI'!D34</f>
        <v>0.8571428571428571</v>
      </c>
      <c r="E34" s="49">
        <f>'Avg Week WOBULENZI-ZIROBWE'!E34+'Avg Week ZIROBWE-WOBULENZI'!E34</f>
        <v>0.71428571428571419</v>
      </c>
      <c r="F34" s="49">
        <f>'Avg Week WOBULENZI-ZIROBWE'!F34+'Avg Week ZIROBWE-WOBULENZI'!F34</f>
        <v>0.5714285714285714</v>
      </c>
      <c r="G34" s="49">
        <f>'Avg Week WOBULENZI-ZIROBWE'!G34+'Avg Week ZIROBWE-WOBULENZI'!G34</f>
        <v>0.7142857142857143</v>
      </c>
      <c r="H34" s="49">
        <f>'Avg Week WOBULENZI-ZIROBWE'!H34+'Avg Week ZIROBWE-WOBULENZI'!H34</f>
        <v>0</v>
      </c>
      <c r="I34" s="49">
        <f>'Avg Week WOBULENZI-ZIROBWE'!I34+'Avg Week ZIROBWE-WOBULENZI'!I34</f>
        <v>1.2857142857142856</v>
      </c>
      <c r="J34" s="49">
        <f>'Avg Week WOBULENZI-ZIROBWE'!J34+'Avg Week ZIROBWE-WOBULENZI'!J34</f>
        <v>2.5714285714285712</v>
      </c>
      <c r="K34" s="49">
        <f>'Avg Week WOBULENZI-ZIROBWE'!K34+'Avg Week ZIROBWE-WOBULENZI'!K34</f>
        <v>0</v>
      </c>
      <c r="L34" s="49">
        <f>'Avg Week WOBULENZI-ZIROBWE'!L34+'Avg Week ZIROBWE-WOBULENZI'!L34</f>
        <v>0</v>
      </c>
      <c r="M34" s="49">
        <f>'Avg Week WOBULENZI-ZIROBWE'!M34+'Avg Week ZIROBWE-WOBULENZI'!M34</f>
        <v>40.571428571428569</v>
      </c>
      <c r="N34" s="49">
        <f>'Avg Week WOBULENZI-ZIROBWE'!N34+'Avg Week ZIROBWE-WOBULENZI'!N34</f>
        <v>0</v>
      </c>
      <c r="O34" s="15">
        <f t="shared" si="0"/>
        <v>10</v>
      </c>
      <c r="P34" s="15">
        <f t="shared" si="1"/>
        <v>50.571428571428569</v>
      </c>
      <c r="R34" s="52" t="s">
        <v>90</v>
      </c>
      <c r="S34" s="53">
        <f t="shared" ref="S34:AF34" si="26">MAX(S10:S12)</f>
        <v>5.2857142857142856</v>
      </c>
      <c r="T34" s="53">
        <f t="shared" si="26"/>
        <v>1.9999999999999998</v>
      </c>
      <c r="U34" s="53">
        <f t="shared" si="26"/>
        <v>1.7142857142857142</v>
      </c>
      <c r="V34" s="53">
        <f t="shared" si="26"/>
        <v>3.2857142857142851</v>
      </c>
      <c r="W34" s="53">
        <f t="shared" si="26"/>
        <v>0</v>
      </c>
      <c r="X34" s="53">
        <f t="shared" si="26"/>
        <v>0</v>
      </c>
      <c r="Y34" s="53">
        <f t="shared" si="26"/>
        <v>3.2857142857142856</v>
      </c>
      <c r="Z34" s="53">
        <f t="shared" si="26"/>
        <v>7.4285714285714288</v>
      </c>
      <c r="AA34" s="53">
        <f t="shared" si="26"/>
        <v>0.42857142857142855</v>
      </c>
      <c r="AB34" s="53">
        <f t="shared" si="26"/>
        <v>0</v>
      </c>
      <c r="AC34" s="53">
        <f t="shared" si="26"/>
        <v>99.857142857142847</v>
      </c>
      <c r="AD34" s="53">
        <f t="shared" si="26"/>
        <v>0.14285714285714285</v>
      </c>
      <c r="AE34" s="40">
        <f t="shared" si="26"/>
        <v>21.285714285714285</v>
      </c>
      <c r="AF34" s="40">
        <f t="shared" si="26"/>
        <v>119</v>
      </c>
    </row>
    <row r="35" spans="2:32" ht="23.1" customHeight="1" x14ac:dyDescent="0.25">
      <c r="B35" s="24" t="s">
        <v>62</v>
      </c>
      <c r="C35" s="49">
        <f>'Avg Week WOBULENZI-ZIROBWE'!C35+'Avg Week ZIROBWE-WOBULENZI'!C35</f>
        <v>2</v>
      </c>
      <c r="D35" s="49">
        <f>'Avg Week WOBULENZI-ZIROBWE'!D35+'Avg Week ZIROBWE-WOBULENZI'!D35</f>
        <v>0.71428571428571419</v>
      </c>
      <c r="E35" s="49">
        <f>'Avg Week WOBULENZI-ZIROBWE'!E35+'Avg Week ZIROBWE-WOBULENZI'!E35</f>
        <v>0.14285714285714285</v>
      </c>
      <c r="F35" s="49">
        <f>'Avg Week WOBULENZI-ZIROBWE'!F35+'Avg Week ZIROBWE-WOBULENZI'!F35</f>
        <v>1.1428571428571428</v>
      </c>
      <c r="G35" s="49">
        <f>'Avg Week WOBULENZI-ZIROBWE'!G35+'Avg Week ZIROBWE-WOBULENZI'!G35</f>
        <v>0</v>
      </c>
      <c r="H35" s="49">
        <f>'Avg Week WOBULENZI-ZIROBWE'!H35+'Avg Week ZIROBWE-WOBULENZI'!H35</f>
        <v>0</v>
      </c>
      <c r="I35" s="49">
        <f>'Avg Week WOBULENZI-ZIROBWE'!I35+'Avg Week ZIROBWE-WOBULENZI'!I35</f>
        <v>1.4285714285714284</v>
      </c>
      <c r="J35" s="49">
        <f>'Avg Week WOBULENZI-ZIROBWE'!J35+'Avg Week ZIROBWE-WOBULENZI'!J35</f>
        <v>1.8571428571428572</v>
      </c>
      <c r="K35" s="49">
        <f>'Avg Week WOBULENZI-ZIROBWE'!K35+'Avg Week ZIROBWE-WOBULENZI'!K35</f>
        <v>0</v>
      </c>
      <c r="L35" s="49">
        <f>'Avg Week WOBULENZI-ZIROBWE'!L35+'Avg Week ZIROBWE-WOBULENZI'!L35</f>
        <v>0</v>
      </c>
      <c r="M35" s="49">
        <f>'Avg Week WOBULENZI-ZIROBWE'!M35+'Avg Week ZIROBWE-WOBULENZI'!M35</f>
        <v>34.857142857142861</v>
      </c>
      <c r="N35" s="49">
        <f>'Avg Week WOBULENZI-ZIROBWE'!N35+'Avg Week ZIROBWE-WOBULENZI'!N35</f>
        <v>0</v>
      </c>
      <c r="O35" s="15">
        <f t="shared" si="0"/>
        <v>7.2857142857142865</v>
      </c>
      <c r="P35" s="15">
        <f t="shared" si="1"/>
        <v>42.142857142857146</v>
      </c>
      <c r="R35" s="52" t="s">
        <v>91</v>
      </c>
      <c r="S35" s="53">
        <f t="shared" ref="S35:AF35" si="27">MAX(S13:S18)</f>
        <v>11.428571428571429</v>
      </c>
      <c r="T35" s="53">
        <f t="shared" si="27"/>
        <v>4.1428571428571432</v>
      </c>
      <c r="U35" s="53">
        <f t="shared" si="27"/>
        <v>3</v>
      </c>
      <c r="V35" s="53">
        <f t="shared" si="27"/>
        <v>5.2857142857142856</v>
      </c>
      <c r="W35" s="53">
        <f t="shared" si="27"/>
        <v>1</v>
      </c>
      <c r="X35" s="53">
        <f t="shared" si="27"/>
        <v>0.14285714285714285</v>
      </c>
      <c r="Y35" s="53">
        <f t="shared" si="27"/>
        <v>6.9999999999999991</v>
      </c>
      <c r="Z35" s="53">
        <f t="shared" si="27"/>
        <v>13.285714285714285</v>
      </c>
      <c r="AA35" s="53">
        <f t="shared" si="27"/>
        <v>0.42857142857142855</v>
      </c>
      <c r="AB35" s="53">
        <f t="shared" si="27"/>
        <v>0.2857142857142857</v>
      </c>
      <c r="AC35" s="53">
        <f t="shared" si="27"/>
        <v>148.85714285714286</v>
      </c>
      <c r="AD35" s="53">
        <f t="shared" si="27"/>
        <v>1.5714285714285716</v>
      </c>
      <c r="AE35" s="40">
        <f t="shared" si="27"/>
        <v>40.285714285714285</v>
      </c>
      <c r="AF35" s="40">
        <f t="shared" si="27"/>
        <v>183.42857142857144</v>
      </c>
    </row>
    <row r="36" spans="2:32" ht="23.1" customHeight="1" x14ac:dyDescent="0.25">
      <c r="B36" s="24" t="s">
        <v>63</v>
      </c>
      <c r="C36" s="49">
        <f>'Avg Week WOBULENZI-ZIROBWE'!C36+'Avg Week ZIROBWE-WOBULENZI'!C36</f>
        <v>2.7142857142857144</v>
      </c>
      <c r="D36" s="49">
        <f>'Avg Week WOBULENZI-ZIROBWE'!D36+'Avg Week ZIROBWE-WOBULENZI'!D36</f>
        <v>0.42857142857142855</v>
      </c>
      <c r="E36" s="49">
        <f>'Avg Week WOBULENZI-ZIROBWE'!E36+'Avg Week ZIROBWE-WOBULENZI'!E36</f>
        <v>0.71428571428571419</v>
      </c>
      <c r="F36" s="49">
        <f>'Avg Week WOBULENZI-ZIROBWE'!F36+'Avg Week ZIROBWE-WOBULENZI'!F36</f>
        <v>0.71428571428571419</v>
      </c>
      <c r="G36" s="49">
        <f>'Avg Week WOBULENZI-ZIROBWE'!G36+'Avg Week ZIROBWE-WOBULENZI'!G36</f>
        <v>0.14285714285714285</v>
      </c>
      <c r="H36" s="49">
        <f>'Avg Week WOBULENZI-ZIROBWE'!H36+'Avg Week ZIROBWE-WOBULENZI'!H36</f>
        <v>0</v>
      </c>
      <c r="I36" s="49">
        <f>'Avg Week WOBULENZI-ZIROBWE'!I36+'Avg Week ZIROBWE-WOBULENZI'!I36</f>
        <v>1.4285714285714286</v>
      </c>
      <c r="J36" s="49">
        <f>'Avg Week WOBULENZI-ZIROBWE'!J36+'Avg Week ZIROBWE-WOBULENZI'!J36</f>
        <v>2</v>
      </c>
      <c r="K36" s="49">
        <f>'Avg Week WOBULENZI-ZIROBWE'!K36+'Avg Week ZIROBWE-WOBULENZI'!K36</f>
        <v>0</v>
      </c>
      <c r="L36" s="49">
        <f>'Avg Week WOBULENZI-ZIROBWE'!L36+'Avg Week ZIROBWE-WOBULENZI'!L36</f>
        <v>0</v>
      </c>
      <c r="M36" s="49">
        <f>'Avg Week WOBULENZI-ZIROBWE'!M36+'Avg Week ZIROBWE-WOBULENZI'!M36</f>
        <v>34.571428571428569</v>
      </c>
      <c r="N36" s="49">
        <f>'Avg Week WOBULENZI-ZIROBWE'!N36+'Avg Week ZIROBWE-WOBULENZI'!N36</f>
        <v>0</v>
      </c>
      <c r="O36" s="15">
        <f t="shared" si="0"/>
        <v>8.1428571428571423</v>
      </c>
      <c r="P36" s="15">
        <f t="shared" si="1"/>
        <v>42.714285714285708</v>
      </c>
      <c r="R36" s="52" t="s">
        <v>92</v>
      </c>
      <c r="S36" s="53">
        <f t="shared" ref="S36:AF36" si="28">MAX(S19:S21)</f>
        <v>8.7142857142857135</v>
      </c>
      <c r="T36" s="53">
        <f t="shared" si="28"/>
        <v>4.1428571428571423</v>
      </c>
      <c r="U36" s="53">
        <f t="shared" si="28"/>
        <v>3.1428571428571428</v>
      </c>
      <c r="V36" s="53">
        <f t="shared" si="28"/>
        <v>4.5714285714285712</v>
      </c>
      <c r="W36" s="53">
        <f t="shared" si="28"/>
        <v>1</v>
      </c>
      <c r="X36" s="53">
        <f t="shared" si="28"/>
        <v>0.2857142857142857</v>
      </c>
      <c r="Y36" s="53">
        <f t="shared" si="28"/>
        <v>4.7142857142857135</v>
      </c>
      <c r="Z36" s="53">
        <f t="shared" si="28"/>
        <v>9.2857142857142847</v>
      </c>
      <c r="AA36" s="53">
        <f t="shared" si="28"/>
        <v>0.42857142857142855</v>
      </c>
      <c r="AB36" s="53">
        <f t="shared" si="28"/>
        <v>0</v>
      </c>
      <c r="AC36" s="53">
        <f t="shared" si="28"/>
        <v>174.14285714285717</v>
      </c>
      <c r="AD36" s="53">
        <f t="shared" si="28"/>
        <v>0.2857142857142857</v>
      </c>
      <c r="AE36" s="40">
        <f t="shared" si="28"/>
        <v>34</v>
      </c>
      <c r="AF36" s="40">
        <f t="shared" si="28"/>
        <v>203</v>
      </c>
    </row>
    <row r="37" spans="2:32" ht="23.1" customHeight="1" x14ac:dyDescent="0.25">
      <c r="B37" s="23" t="s">
        <v>64</v>
      </c>
      <c r="C37" s="49">
        <f>'Avg Week WOBULENZI-ZIROBWE'!C37+'Avg Week ZIROBWE-WOBULENZI'!C37</f>
        <v>1.5714285714285714</v>
      </c>
      <c r="D37" s="49">
        <f>'Avg Week WOBULENZI-ZIROBWE'!D37+'Avg Week ZIROBWE-WOBULENZI'!D37</f>
        <v>1.4285714285714286</v>
      </c>
      <c r="E37" s="49">
        <f>'Avg Week WOBULENZI-ZIROBWE'!E37+'Avg Week ZIROBWE-WOBULENZI'!E37</f>
        <v>0.5714285714285714</v>
      </c>
      <c r="F37" s="49">
        <f>'Avg Week WOBULENZI-ZIROBWE'!F37+'Avg Week ZIROBWE-WOBULENZI'!F37</f>
        <v>1.4285714285714286</v>
      </c>
      <c r="G37" s="49">
        <f>'Avg Week WOBULENZI-ZIROBWE'!G37+'Avg Week ZIROBWE-WOBULENZI'!G37</f>
        <v>0</v>
      </c>
      <c r="H37" s="49">
        <f>'Avg Week WOBULENZI-ZIROBWE'!H37+'Avg Week ZIROBWE-WOBULENZI'!H37</f>
        <v>0.14285714285714285</v>
      </c>
      <c r="I37" s="49">
        <f>'Avg Week WOBULENZI-ZIROBWE'!I37+'Avg Week ZIROBWE-WOBULENZI'!I37</f>
        <v>2</v>
      </c>
      <c r="J37" s="49">
        <f>'Avg Week WOBULENZI-ZIROBWE'!J37+'Avg Week ZIROBWE-WOBULENZI'!J37</f>
        <v>1.8571428571428572</v>
      </c>
      <c r="K37" s="49">
        <f>'Avg Week WOBULENZI-ZIROBWE'!K37+'Avg Week ZIROBWE-WOBULENZI'!K37</f>
        <v>0</v>
      </c>
      <c r="L37" s="49">
        <f>'Avg Week WOBULENZI-ZIROBWE'!L37+'Avg Week ZIROBWE-WOBULENZI'!L37</f>
        <v>0</v>
      </c>
      <c r="M37" s="49">
        <f>'Avg Week WOBULENZI-ZIROBWE'!M37+'Avg Week ZIROBWE-WOBULENZI'!M37</f>
        <v>38.857142857142861</v>
      </c>
      <c r="N37" s="49">
        <f>'Avg Week WOBULENZI-ZIROBWE'!N37+'Avg Week ZIROBWE-WOBULENZI'!N37</f>
        <v>0.14285714285714285</v>
      </c>
      <c r="O37" s="15">
        <f t="shared" si="0"/>
        <v>9.1428571428571423</v>
      </c>
      <c r="P37" s="15">
        <f t="shared" si="1"/>
        <v>48.000000000000007</v>
      </c>
      <c r="R37" s="37" t="s">
        <v>85</v>
      </c>
      <c r="S37" s="54">
        <f t="shared" ref="S37:AF37" si="29">SUM(S10:S12)</f>
        <v>12.142857142857142</v>
      </c>
      <c r="T37" s="55">
        <f t="shared" si="29"/>
        <v>4.8571428571428568</v>
      </c>
      <c r="U37" s="55">
        <f t="shared" si="29"/>
        <v>3</v>
      </c>
      <c r="V37" s="55">
        <f t="shared" si="29"/>
        <v>6.5714285714285703</v>
      </c>
      <c r="W37" s="55">
        <f t="shared" si="29"/>
        <v>0</v>
      </c>
      <c r="X37" s="55">
        <f t="shared" si="29"/>
        <v>0</v>
      </c>
      <c r="Y37" s="55">
        <f t="shared" si="29"/>
        <v>8.2857142857142847</v>
      </c>
      <c r="Z37" s="55">
        <f t="shared" si="29"/>
        <v>13.714285714285715</v>
      </c>
      <c r="AA37" s="55">
        <f t="shared" si="29"/>
        <v>0.5714285714285714</v>
      </c>
      <c r="AB37" s="55">
        <f t="shared" si="29"/>
        <v>0</v>
      </c>
      <c r="AC37" s="55">
        <f t="shared" si="29"/>
        <v>294.85714285714289</v>
      </c>
      <c r="AD37" s="55">
        <f t="shared" si="29"/>
        <v>0.14285714285714285</v>
      </c>
      <c r="AE37" s="56">
        <f t="shared" si="29"/>
        <v>49.285714285714285</v>
      </c>
      <c r="AF37" s="56">
        <f t="shared" si="29"/>
        <v>344.14285714285711</v>
      </c>
    </row>
    <row r="38" spans="2:32" ht="23.1" customHeight="1" x14ac:dyDescent="0.25">
      <c r="B38" s="24" t="s">
        <v>65</v>
      </c>
      <c r="C38" s="49">
        <f>'Avg Week WOBULENZI-ZIROBWE'!C38+'Avg Week ZIROBWE-WOBULENZI'!C38</f>
        <v>2.2857142857142856</v>
      </c>
      <c r="D38" s="49">
        <f>'Avg Week WOBULENZI-ZIROBWE'!D38+'Avg Week ZIROBWE-WOBULENZI'!D38</f>
        <v>0.8571428571428571</v>
      </c>
      <c r="E38" s="49">
        <f>'Avg Week WOBULENZI-ZIROBWE'!E38+'Avg Week ZIROBWE-WOBULENZI'!E38</f>
        <v>0.71428571428571419</v>
      </c>
      <c r="F38" s="49">
        <f>'Avg Week WOBULENZI-ZIROBWE'!F38+'Avg Week ZIROBWE-WOBULENZI'!F38</f>
        <v>0.5714285714285714</v>
      </c>
      <c r="G38" s="49">
        <f>'Avg Week WOBULENZI-ZIROBWE'!G38+'Avg Week ZIROBWE-WOBULENZI'!G38</f>
        <v>0</v>
      </c>
      <c r="H38" s="49">
        <f>'Avg Week WOBULENZI-ZIROBWE'!H38+'Avg Week ZIROBWE-WOBULENZI'!H38</f>
        <v>0</v>
      </c>
      <c r="I38" s="49">
        <f>'Avg Week WOBULENZI-ZIROBWE'!I38+'Avg Week ZIROBWE-WOBULENZI'!I38</f>
        <v>1.2857142857142856</v>
      </c>
      <c r="J38" s="49">
        <f>'Avg Week WOBULENZI-ZIROBWE'!J38+'Avg Week ZIROBWE-WOBULENZI'!J38</f>
        <v>1.4285714285714286</v>
      </c>
      <c r="K38" s="49">
        <f>'Avg Week WOBULENZI-ZIROBWE'!K38+'Avg Week ZIROBWE-WOBULENZI'!K38</f>
        <v>0.14285714285714285</v>
      </c>
      <c r="L38" s="49">
        <f>'Avg Week WOBULENZI-ZIROBWE'!L38+'Avg Week ZIROBWE-WOBULENZI'!L38</f>
        <v>0.2857142857142857</v>
      </c>
      <c r="M38" s="49">
        <f>'Avg Week WOBULENZI-ZIROBWE'!M38+'Avg Week ZIROBWE-WOBULENZI'!M38</f>
        <v>31.714285714285715</v>
      </c>
      <c r="N38" s="49">
        <f>'Avg Week WOBULENZI-ZIROBWE'!N38+'Avg Week ZIROBWE-WOBULENZI'!N38</f>
        <v>0.14285714285714285</v>
      </c>
      <c r="O38" s="15">
        <f t="shared" si="0"/>
        <v>7.7142857142857144</v>
      </c>
      <c r="P38" s="15">
        <f t="shared" si="1"/>
        <v>39.428571428571431</v>
      </c>
      <c r="R38" s="28" t="s">
        <v>86</v>
      </c>
      <c r="S38" s="55">
        <f t="shared" ref="S38:AF38" si="30">SUM(S13:S18)</f>
        <v>51.428571428571431</v>
      </c>
      <c r="T38" s="55">
        <f t="shared" si="30"/>
        <v>17.714285714285715</v>
      </c>
      <c r="U38" s="55">
        <f t="shared" si="30"/>
        <v>15.285714285714285</v>
      </c>
      <c r="V38" s="55">
        <f t="shared" si="30"/>
        <v>20.571428571428573</v>
      </c>
      <c r="W38" s="55">
        <f t="shared" si="30"/>
        <v>3.5714285714285712</v>
      </c>
      <c r="X38" s="55">
        <f t="shared" si="30"/>
        <v>0.42857142857142855</v>
      </c>
      <c r="Y38" s="55">
        <f t="shared" si="30"/>
        <v>31</v>
      </c>
      <c r="Z38" s="55">
        <f t="shared" si="30"/>
        <v>51.428571428571431</v>
      </c>
      <c r="AA38" s="55">
        <f t="shared" si="30"/>
        <v>0.85714285714285698</v>
      </c>
      <c r="AB38" s="55">
        <f t="shared" si="30"/>
        <v>0.99999999999999989</v>
      </c>
      <c r="AC38" s="55">
        <f t="shared" si="30"/>
        <v>843.14285714285711</v>
      </c>
      <c r="AD38" s="55">
        <f t="shared" si="30"/>
        <v>1.8571428571428572</v>
      </c>
      <c r="AE38" s="56">
        <f t="shared" si="30"/>
        <v>195.14285714285714</v>
      </c>
      <c r="AF38" s="56">
        <f t="shared" si="30"/>
        <v>1038.2857142857142</v>
      </c>
    </row>
    <row r="39" spans="2:32" ht="23.1" customHeight="1" x14ac:dyDescent="0.25">
      <c r="B39" s="24" t="s">
        <v>66</v>
      </c>
      <c r="C39" s="49">
        <f>'Avg Week WOBULENZI-ZIROBWE'!C39+'Avg Week ZIROBWE-WOBULENZI'!C39</f>
        <v>3</v>
      </c>
      <c r="D39" s="49">
        <f>'Avg Week WOBULENZI-ZIROBWE'!D39+'Avg Week ZIROBWE-WOBULENZI'!D39</f>
        <v>0.71428571428571419</v>
      </c>
      <c r="E39" s="49">
        <f>'Avg Week WOBULENZI-ZIROBWE'!E39+'Avg Week ZIROBWE-WOBULENZI'!E39</f>
        <v>1</v>
      </c>
      <c r="F39" s="49">
        <f>'Avg Week WOBULENZI-ZIROBWE'!F39+'Avg Week ZIROBWE-WOBULENZI'!F39</f>
        <v>1.4285714285714284</v>
      </c>
      <c r="G39" s="49">
        <f>'Avg Week WOBULENZI-ZIROBWE'!G39+'Avg Week ZIROBWE-WOBULENZI'!G39</f>
        <v>0.42857142857142855</v>
      </c>
      <c r="H39" s="49">
        <f>'Avg Week WOBULENZI-ZIROBWE'!H39+'Avg Week ZIROBWE-WOBULENZI'!H39</f>
        <v>0</v>
      </c>
      <c r="I39" s="49">
        <f>'Avg Week WOBULENZI-ZIROBWE'!I39+'Avg Week ZIROBWE-WOBULENZI'!I39</f>
        <v>1.8571428571428572</v>
      </c>
      <c r="J39" s="49">
        <f>'Avg Week WOBULENZI-ZIROBWE'!J39+'Avg Week ZIROBWE-WOBULENZI'!J39</f>
        <v>1.1428571428571428</v>
      </c>
      <c r="K39" s="49">
        <f>'Avg Week WOBULENZI-ZIROBWE'!K39+'Avg Week ZIROBWE-WOBULENZI'!K39</f>
        <v>0</v>
      </c>
      <c r="L39" s="49">
        <f>'Avg Week WOBULENZI-ZIROBWE'!L39+'Avg Week ZIROBWE-WOBULENZI'!L39</f>
        <v>0</v>
      </c>
      <c r="M39" s="49">
        <f>'Avg Week WOBULENZI-ZIROBWE'!M39+'Avg Week ZIROBWE-WOBULENZI'!M39</f>
        <v>35.857142857142861</v>
      </c>
      <c r="N39" s="49">
        <f>'Avg Week WOBULENZI-ZIROBWE'!N39+'Avg Week ZIROBWE-WOBULENZI'!N39</f>
        <v>0.14285714285714285</v>
      </c>
      <c r="O39" s="15">
        <f t="shared" si="0"/>
        <v>9.7142857142857135</v>
      </c>
      <c r="P39" s="15">
        <f t="shared" si="1"/>
        <v>45.571428571428577</v>
      </c>
      <c r="R39" s="29" t="s">
        <v>87</v>
      </c>
      <c r="S39" s="55">
        <f t="shared" ref="S39:AF39" si="31">SUM(S19:S21)</f>
        <v>23.999999999999996</v>
      </c>
      <c r="T39" s="55">
        <f t="shared" si="31"/>
        <v>11.428571428571429</v>
      </c>
      <c r="U39" s="55">
        <f t="shared" si="31"/>
        <v>8.2857142857142847</v>
      </c>
      <c r="V39" s="55">
        <f t="shared" si="31"/>
        <v>11.714285714285714</v>
      </c>
      <c r="W39" s="55">
        <f t="shared" si="31"/>
        <v>2.2857142857142856</v>
      </c>
      <c r="X39" s="55">
        <f t="shared" si="31"/>
        <v>0.2857142857142857</v>
      </c>
      <c r="Y39" s="55">
        <f t="shared" si="31"/>
        <v>12</v>
      </c>
      <c r="Z39" s="55">
        <f t="shared" si="31"/>
        <v>22</v>
      </c>
      <c r="AA39" s="55">
        <f t="shared" si="31"/>
        <v>0.42857142857142855</v>
      </c>
      <c r="AB39" s="55">
        <f t="shared" si="31"/>
        <v>0</v>
      </c>
      <c r="AC39" s="55">
        <f t="shared" si="31"/>
        <v>463.42857142857144</v>
      </c>
      <c r="AD39" s="55">
        <f t="shared" si="31"/>
        <v>0.2857142857142857</v>
      </c>
      <c r="AE39" s="56">
        <f t="shared" si="31"/>
        <v>92.714285714285722</v>
      </c>
      <c r="AF39" s="56">
        <f t="shared" si="31"/>
        <v>556.14285714285711</v>
      </c>
    </row>
    <row r="40" spans="2:32" ht="23.1" customHeight="1" x14ac:dyDescent="0.25">
      <c r="B40" s="24" t="s">
        <v>67</v>
      </c>
      <c r="C40" s="49">
        <f>'Avg Week WOBULENZI-ZIROBWE'!C40+'Avg Week ZIROBWE-WOBULENZI'!C40</f>
        <v>2.4285714285714284</v>
      </c>
      <c r="D40" s="49">
        <f>'Avg Week WOBULENZI-ZIROBWE'!D40+'Avg Week ZIROBWE-WOBULENZI'!D40</f>
        <v>0.5714285714285714</v>
      </c>
      <c r="E40" s="49">
        <f>'Avg Week WOBULENZI-ZIROBWE'!E40+'Avg Week ZIROBWE-WOBULENZI'!E40</f>
        <v>0.2857142857142857</v>
      </c>
      <c r="F40" s="49">
        <f>'Avg Week WOBULENZI-ZIROBWE'!F40+'Avg Week ZIROBWE-WOBULENZI'!F40</f>
        <v>0.7142857142857143</v>
      </c>
      <c r="G40" s="49">
        <f>'Avg Week WOBULENZI-ZIROBWE'!G40+'Avg Week ZIROBWE-WOBULENZI'!G40</f>
        <v>0.14285714285714285</v>
      </c>
      <c r="H40" s="49">
        <f>'Avg Week WOBULENZI-ZIROBWE'!H40+'Avg Week ZIROBWE-WOBULENZI'!H40</f>
        <v>0</v>
      </c>
      <c r="I40" s="49">
        <f>'Avg Week WOBULENZI-ZIROBWE'!I40+'Avg Week ZIROBWE-WOBULENZI'!I40</f>
        <v>1.4285714285714286</v>
      </c>
      <c r="J40" s="49">
        <f>'Avg Week WOBULENZI-ZIROBWE'!J40+'Avg Week ZIROBWE-WOBULENZI'!J40</f>
        <v>1.7142857142857144</v>
      </c>
      <c r="K40" s="49">
        <f>'Avg Week WOBULENZI-ZIROBWE'!K40+'Avg Week ZIROBWE-WOBULENZI'!K40</f>
        <v>0</v>
      </c>
      <c r="L40" s="49">
        <f>'Avg Week WOBULENZI-ZIROBWE'!L40+'Avg Week ZIROBWE-WOBULENZI'!L40</f>
        <v>0</v>
      </c>
      <c r="M40" s="49">
        <f>'Avg Week WOBULENZI-ZIROBWE'!M40+'Avg Week ZIROBWE-WOBULENZI'!M40</f>
        <v>37.142857142857139</v>
      </c>
      <c r="N40" s="49">
        <f>'Avg Week WOBULENZI-ZIROBWE'!N40+'Avg Week ZIROBWE-WOBULENZI'!N40</f>
        <v>0</v>
      </c>
      <c r="O40" s="15">
        <f t="shared" si="0"/>
        <v>7.2857142857142865</v>
      </c>
      <c r="P40" s="15">
        <f t="shared" si="1"/>
        <v>44.428571428571423</v>
      </c>
      <c r="R40" s="5" t="s">
        <v>17</v>
      </c>
      <c r="S40" s="55">
        <f t="shared" ref="S40:AF40" si="32">SUM(S10:S21)</f>
        <v>87.571428571428569</v>
      </c>
      <c r="T40" s="55">
        <f t="shared" si="32"/>
        <v>34</v>
      </c>
      <c r="U40" s="55">
        <f t="shared" si="32"/>
        <v>26.571428571428569</v>
      </c>
      <c r="V40" s="55">
        <f t="shared" si="32"/>
        <v>38.857142857142854</v>
      </c>
      <c r="W40" s="55">
        <f t="shared" si="32"/>
        <v>5.8571428571428568</v>
      </c>
      <c r="X40" s="55">
        <f t="shared" si="32"/>
        <v>0.71428571428571419</v>
      </c>
      <c r="Y40" s="55">
        <f t="shared" si="32"/>
        <v>51.285714285714285</v>
      </c>
      <c r="Z40" s="55">
        <f t="shared" si="32"/>
        <v>87.142857142857125</v>
      </c>
      <c r="AA40" s="55">
        <f t="shared" si="32"/>
        <v>1.857142857142857</v>
      </c>
      <c r="AB40" s="55">
        <f t="shared" si="32"/>
        <v>0.99999999999999989</v>
      </c>
      <c r="AC40" s="55">
        <f t="shared" si="32"/>
        <v>1601.4285714285716</v>
      </c>
      <c r="AD40" s="55">
        <f t="shared" si="32"/>
        <v>2.2857142857142856</v>
      </c>
      <c r="AE40" s="56">
        <f t="shared" si="32"/>
        <v>337.14285714285717</v>
      </c>
      <c r="AF40" s="56">
        <f t="shared" si="32"/>
        <v>1938.5714285714287</v>
      </c>
    </row>
    <row r="41" spans="2:32" ht="23.1" customHeight="1" x14ac:dyDescent="0.25">
      <c r="B41" s="23" t="s">
        <v>68</v>
      </c>
      <c r="C41" s="49">
        <f>'Avg Week WOBULENZI-ZIROBWE'!C41+'Avg Week ZIROBWE-WOBULENZI'!C41</f>
        <v>2</v>
      </c>
      <c r="D41" s="49">
        <f>'Avg Week WOBULENZI-ZIROBWE'!D41+'Avg Week ZIROBWE-WOBULENZI'!D41</f>
        <v>1.1428571428571428</v>
      </c>
      <c r="E41" s="49">
        <f>'Avg Week WOBULENZI-ZIROBWE'!E41+'Avg Week ZIROBWE-WOBULENZI'!E41</f>
        <v>0.71428571428571419</v>
      </c>
      <c r="F41" s="49">
        <f>'Avg Week WOBULENZI-ZIROBWE'!F41+'Avg Week ZIROBWE-WOBULENZI'!F41</f>
        <v>0.8571428571428571</v>
      </c>
      <c r="G41" s="49">
        <f>'Avg Week WOBULENZI-ZIROBWE'!G41+'Avg Week ZIROBWE-WOBULENZI'!G41</f>
        <v>0</v>
      </c>
      <c r="H41" s="49">
        <f>'Avg Week WOBULENZI-ZIROBWE'!H41+'Avg Week ZIROBWE-WOBULENZI'!H41</f>
        <v>0</v>
      </c>
      <c r="I41" s="49">
        <f>'Avg Week WOBULENZI-ZIROBWE'!I41+'Avg Week ZIROBWE-WOBULENZI'!I41</f>
        <v>1.7142857142857144</v>
      </c>
      <c r="J41" s="49">
        <f>'Avg Week WOBULENZI-ZIROBWE'!J41+'Avg Week ZIROBWE-WOBULENZI'!J41</f>
        <v>2.2857142857142856</v>
      </c>
      <c r="K41" s="49">
        <f>'Avg Week WOBULENZI-ZIROBWE'!K41+'Avg Week ZIROBWE-WOBULENZI'!K41</f>
        <v>0</v>
      </c>
      <c r="L41" s="49">
        <f>'Avg Week WOBULENZI-ZIROBWE'!L41+'Avg Week ZIROBWE-WOBULENZI'!L41</f>
        <v>0</v>
      </c>
      <c r="M41" s="49">
        <f>'Avg Week WOBULENZI-ZIROBWE'!M41+'Avg Week ZIROBWE-WOBULENZI'!M41</f>
        <v>32.142857142857146</v>
      </c>
      <c r="N41" s="49">
        <f>'Avg Week WOBULENZI-ZIROBWE'!N41+'Avg Week ZIROBWE-WOBULENZI'!N41</f>
        <v>1.2857142857142858</v>
      </c>
      <c r="O41" s="15">
        <f t="shared" si="0"/>
        <v>10</v>
      </c>
      <c r="P41" s="15">
        <f t="shared" si="1"/>
        <v>42.142857142857146</v>
      </c>
      <c r="R41" s="5" t="s">
        <v>180</v>
      </c>
      <c r="S41" s="55">
        <f>SUM(S10:S33)</f>
        <v>112.57142857142857</v>
      </c>
      <c r="T41" s="55">
        <f t="shared" ref="T41:AD41" si="33">SUM(T10:T33)</f>
        <v>40.5</v>
      </c>
      <c r="U41" s="55">
        <f t="shared" si="33"/>
        <v>35.071428571428569</v>
      </c>
      <c r="V41" s="55">
        <f t="shared" si="33"/>
        <v>68.857142857142861</v>
      </c>
      <c r="W41" s="55">
        <f t="shared" si="33"/>
        <v>5.8571428571428568</v>
      </c>
      <c r="X41" s="55">
        <f t="shared" si="33"/>
        <v>0.71428571428571419</v>
      </c>
      <c r="Y41" s="55">
        <f t="shared" si="33"/>
        <v>62.785714285714285</v>
      </c>
      <c r="Z41" s="55">
        <f t="shared" si="33"/>
        <v>108.64285714285712</v>
      </c>
      <c r="AA41" s="55">
        <f t="shared" si="33"/>
        <v>3.8571428571428568</v>
      </c>
      <c r="AB41" s="55">
        <f t="shared" si="33"/>
        <v>0.99999999999999989</v>
      </c>
      <c r="AC41" s="55">
        <f t="shared" si="33"/>
        <v>2216.9285714285716</v>
      </c>
      <c r="AD41" s="55">
        <f t="shared" si="33"/>
        <v>2.2857142857142856</v>
      </c>
      <c r="AE41" s="56">
        <f>SUM(AE10:AE33)</f>
        <v>442.14285714285717</v>
      </c>
      <c r="AF41" s="56">
        <f>SUM(AF10:AF33)</f>
        <v>2659.0714285714284</v>
      </c>
    </row>
    <row r="42" spans="2:32" ht="23.1" customHeight="1" x14ac:dyDescent="0.25">
      <c r="B42" s="24" t="s">
        <v>69</v>
      </c>
      <c r="C42" s="49">
        <f>'Avg Week WOBULENZI-ZIROBWE'!C42+'Avg Week ZIROBWE-WOBULENZI'!C42</f>
        <v>1.8571428571428572</v>
      </c>
      <c r="D42" s="49">
        <f>'Avg Week WOBULENZI-ZIROBWE'!D42+'Avg Week ZIROBWE-WOBULENZI'!D42</f>
        <v>1.2857142857142856</v>
      </c>
      <c r="E42" s="49">
        <f>'Avg Week WOBULENZI-ZIROBWE'!E42+'Avg Week ZIROBWE-WOBULENZI'!E42</f>
        <v>1</v>
      </c>
      <c r="F42" s="49">
        <f>'Avg Week WOBULENZI-ZIROBWE'!F42+'Avg Week ZIROBWE-WOBULENZI'!F42</f>
        <v>1.1428571428571428</v>
      </c>
      <c r="G42" s="49">
        <f>'Avg Week WOBULENZI-ZIROBWE'!G42+'Avg Week ZIROBWE-WOBULENZI'!G42</f>
        <v>0</v>
      </c>
      <c r="H42" s="49">
        <f>'Avg Week WOBULENZI-ZIROBWE'!H42+'Avg Week ZIROBWE-WOBULENZI'!H42</f>
        <v>0</v>
      </c>
      <c r="I42" s="49">
        <f>'Avg Week WOBULENZI-ZIROBWE'!I42+'Avg Week ZIROBWE-WOBULENZI'!I42</f>
        <v>2.2857142857142856</v>
      </c>
      <c r="J42" s="49">
        <f>'Avg Week WOBULENZI-ZIROBWE'!J42+'Avg Week ZIROBWE-WOBULENZI'!J42</f>
        <v>1.1428571428571428</v>
      </c>
      <c r="K42" s="49">
        <f>'Avg Week WOBULENZI-ZIROBWE'!K42+'Avg Week ZIROBWE-WOBULENZI'!K42</f>
        <v>0</v>
      </c>
      <c r="L42" s="49">
        <f>'Avg Week WOBULENZI-ZIROBWE'!L42+'Avg Week ZIROBWE-WOBULENZI'!L42</f>
        <v>0.14285714285714285</v>
      </c>
      <c r="M42" s="49">
        <f>'Avg Week WOBULENZI-ZIROBWE'!M42+'Avg Week ZIROBWE-WOBULENZI'!M42</f>
        <v>34.428571428571431</v>
      </c>
      <c r="N42" s="49">
        <f>'Avg Week WOBULENZI-ZIROBWE'!N42+'Avg Week ZIROBWE-WOBULENZI'!N42</f>
        <v>0</v>
      </c>
      <c r="O42" s="15">
        <f t="shared" si="0"/>
        <v>8.8571428571428559</v>
      </c>
      <c r="P42" s="15">
        <f t="shared" si="1"/>
        <v>43.285714285714285</v>
      </c>
      <c r="R42" s="5" t="s">
        <v>160</v>
      </c>
      <c r="S42" s="48">
        <f>S41/S40</f>
        <v>1.2854812398042414</v>
      </c>
      <c r="T42" s="48">
        <f t="shared" ref="T42:AF42" si="34">T41/T40</f>
        <v>1.1911764705882353</v>
      </c>
      <c r="U42" s="48">
        <f t="shared" si="34"/>
        <v>1.3198924731182795</v>
      </c>
      <c r="V42" s="48">
        <f t="shared" si="34"/>
        <v>1.7720588235294119</v>
      </c>
      <c r="W42" s="48">
        <f t="shared" si="34"/>
        <v>1</v>
      </c>
      <c r="X42" s="48">
        <f t="shared" si="34"/>
        <v>1</v>
      </c>
      <c r="Y42" s="48">
        <f t="shared" si="34"/>
        <v>1.224233983286908</v>
      </c>
      <c r="Z42" s="48">
        <f t="shared" si="34"/>
        <v>1.2467213114754099</v>
      </c>
      <c r="AA42" s="48">
        <f t="shared" si="34"/>
        <v>2.0769230769230771</v>
      </c>
      <c r="AB42" s="48">
        <f t="shared" si="34"/>
        <v>1</v>
      </c>
      <c r="AC42" s="48">
        <f t="shared" si="34"/>
        <v>1.3843443354148082</v>
      </c>
      <c r="AD42" s="48">
        <f t="shared" si="34"/>
        <v>1</v>
      </c>
      <c r="AE42" s="57">
        <f t="shared" si="34"/>
        <v>1.3114406779661016</v>
      </c>
      <c r="AF42" s="57">
        <f t="shared" si="34"/>
        <v>1.3716654384672069</v>
      </c>
    </row>
    <row r="43" spans="2:32" ht="23.1" customHeight="1" x14ac:dyDescent="0.25">
      <c r="B43" s="23" t="s">
        <v>70</v>
      </c>
      <c r="C43" s="49">
        <f>'Avg Week WOBULENZI-ZIROBWE'!C43+'Avg Week ZIROBWE-WOBULENZI'!C43</f>
        <v>3.5714285714285716</v>
      </c>
      <c r="D43" s="49">
        <f>'Avg Week WOBULENZI-ZIROBWE'!D43+'Avg Week ZIROBWE-WOBULENZI'!D43</f>
        <v>1</v>
      </c>
      <c r="E43" s="49">
        <f>'Avg Week WOBULENZI-ZIROBWE'!E43+'Avg Week ZIROBWE-WOBULENZI'!E43</f>
        <v>0.8571428571428571</v>
      </c>
      <c r="F43" s="49">
        <f>'Avg Week WOBULENZI-ZIROBWE'!F43+'Avg Week ZIROBWE-WOBULENZI'!F43</f>
        <v>1.2857142857142856</v>
      </c>
      <c r="G43" s="49">
        <f>'Avg Week WOBULENZI-ZIROBWE'!G43+'Avg Week ZIROBWE-WOBULENZI'!G43</f>
        <v>0</v>
      </c>
      <c r="H43" s="49">
        <f>'Avg Week WOBULENZI-ZIROBWE'!H43+'Avg Week ZIROBWE-WOBULENZI'!H43</f>
        <v>0.14285714285714285</v>
      </c>
      <c r="I43" s="49">
        <f>'Avg Week WOBULENZI-ZIROBWE'!I43+'Avg Week ZIROBWE-WOBULENZI'!I43</f>
        <v>1.2857142857142856</v>
      </c>
      <c r="J43" s="49">
        <f>'Avg Week WOBULENZI-ZIROBWE'!J43+'Avg Week ZIROBWE-WOBULENZI'!J43</f>
        <v>1.7142857142857144</v>
      </c>
      <c r="K43" s="49">
        <f>'Avg Week WOBULENZI-ZIROBWE'!K43+'Avg Week ZIROBWE-WOBULENZI'!K43</f>
        <v>0</v>
      </c>
      <c r="L43" s="49">
        <f>'Avg Week WOBULENZI-ZIROBWE'!L43+'Avg Week ZIROBWE-WOBULENZI'!L43</f>
        <v>0</v>
      </c>
      <c r="M43" s="49">
        <f>'Avg Week WOBULENZI-ZIROBWE'!M43+'Avg Week ZIROBWE-WOBULENZI'!M43</f>
        <v>41</v>
      </c>
      <c r="N43" s="49">
        <f>'Avg Week WOBULENZI-ZIROBWE'!N43+'Avg Week ZIROBWE-WOBULENZI'!N43</f>
        <v>0</v>
      </c>
      <c r="O43" s="15">
        <f t="shared" si="0"/>
        <v>9.8571428571428577</v>
      </c>
      <c r="P43" s="15">
        <f t="shared" si="1"/>
        <v>50.857142857142861</v>
      </c>
    </row>
    <row r="44" spans="2:32" ht="23.1" customHeight="1" x14ac:dyDescent="0.25">
      <c r="B44" s="25" t="s">
        <v>71</v>
      </c>
      <c r="C44" s="49">
        <f>'Avg Week WOBULENZI-ZIROBWE'!C44+'Avg Week ZIROBWE-WOBULENZI'!C44</f>
        <v>4</v>
      </c>
      <c r="D44" s="49">
        <f>'Avg Week WOBULENZI-ZIROBWE'!D44+'Avg Week ZIROBWE-WOBULENZI'!D44</f>
        <v>1.4285714285714286</v>
      </c>
      <c r="E44" s="49">
        <f>'Avg Week WOBULENZI-ZIROBWE'!E44+'Avg Week ZIROBWE-WOBULENZI'!E44</f>
        <v>0.2857142857142857</v>
      </c>
      <c r="F44" s="49">
        <f>'Avg Week WOBULENZI-ZIROBWE'!F44+'Avg Week ZIROBWE-WOBULENZI'!F44</f>
        <v>1.8571428571428572</v>
      </c>
      <c r="G44" s="49">
        <f>'Avg Week WOBULENZI-ZIROBWE'!G44+'Avg Week ZIROBWE-WOBULENZI'!G44</f>
        <v>0.42857142857142855</v>
      </c>
      <c r="H44" s="49">
        <f>'Avg Week WOBULENZI-ZIROBWE'!H44+'Avg Week ZIROBWE-WOBULENZI'!H44</f>
        <v>0</v>
      </c>
      <c r="I44" s="49">
        <f>'Avg Week WOBULENZI-ZIROBWE'!I44+'Avg Week ZIROBWE-WOBULENZI'!I44</f>
        <v>2.1428571428571428</v>
      </c>
      <c r="J44" s="49">
        <f>'Avg Week WOBULENZI-ZIROBWE'!J44+'Avg Week ZIROBWE-WOBULENZI'!J44</f>
        <v>3.2857142857142856</v>
      </c>
      <c r="K44" s="49">
        <f>'Avg Week WOBULENZI-ZIROBWE'!K44+'Avg Week ZIROBWE-WOBULENZI'!K44</f>
        <v>0.14285714285714285</v>
      </c>
      <c r="L44" s="49">
        <f>'Avg Week WOBULENZI-ZIROBWE'!L44+'Avg Week ZIROBWE-WOBULENZI'!L44</f>
        <v>0</v>
      </c>
      <c r="M44" s="49">
        <f>'Avg Week WOBULENZI-ZIROBWE'!M44+'Avg Week ZIROBWE-WOBULENZI'!M44</f>
        <v>33.857142857142861</v>
      </c>
      <c r="N44" s="49">
        <f>'Avg Week WOBULENZI-ZIROBWE'!N44+'Avg Week ZIROBWE-WOBULENZI'!N44</f>
        <v>0</v>
      </c>
      <c r="O44" s="15">
        <f t="shared" si="0"/>
        <v>13.571428571428569</v>
      </c>
      <c r="P44" s="15">
        <f t="shared" si="1"/>
        <v>47.428571428571431</v>
      </c>
    </row>
    <row r="45" spans="2:32" ht="23.1" customHeight="1" x14ac:dyDescent="0.25">
      <c r="B45" s="23" t="s">
        <v>72</v>
      </c>
      <c r="C45" s="49">
        <f>'Avg Week WOBULENZI-ZIROBWE'!C45+'Avg Week ZIROBWE-WOBULENZI'!C45</f>
        <v>2</v>
      </c>
      <c r="D45" s="49">
        <f>'Avg Week WOBULENZI-ZIROBWE'!D45+'Avg Week ZIROBWE-WOBULENZI'!D45</f>
        <v>0.42857142857142855</v>
      </c>
      <c r="E45" s="49">
        <f>'Avg Week WOBULENZI-ZIROBWE'!E45+'Avg Week ZIROBWE-WOBULENZI'!E45</f>
        <v>0.85714285714285721</v>
      </c>
      <c r="F45" s="49">
        <f>'Avg Week WOBULENZI-ZIROBWE'!F45+'Avg Week ZIROBWE-WOBULENZI'!F45</f>
        <v>1</v>
      </c>
      <c r="G45" s="49">
        <f>'Avg Week WOBULENZI-ZIROBWE'!G45+'Avg Week ZIROBWE-WOBULENZI'!G45</f>
        <v>0.2857142857142857</v>
      </c>
      <c r="H45" s="49">
        <f>'Avg Week WOBULENZI-ZIROBWE'!H45+'Avg Week ZIROBWE-WOBULENZI'!H45</f>
        <v>0</v>
      </c>
      <c r="I45" s="49">
        <f>'Avg Week WOBULENZI-ZIROBWE'!I45+'Avg Week ZIROBWE-WOBULENZI'!I45</f>
        <v>1.2857142857142856</v>
      </c>
      <c r="J45" s="49">
        <f>'Avg Week WOBULENZI-ZIROBWE'!J45+'Avg Week ZIROBWE-WOBULENZI'!J45</f>
        <v>2</v>
      </c>
      <c r="K45" s="49">
        <f>'Avg Week WOBULENZI-ZIROBWE'!K45+'Avg Week ZIROBWE-WOBULENZI'!K45</f>
        <v>0</v>
      </c>
      <c r="L45" s="49">
        <f>'Avg Week WOBULENZI-ZIROBWE'!L45+'Avg Week ZIROBWE-WOBULENZI'!L45</f>
        <v>0.14285714285714285</v>
      </c>
      <c r="M45" s="49">
        <f>'Avg Week WOBULENZI-ZIROBWE'!M45+'Avg Week ZIROBWE-WOBULENZI'!M45</f>
        <v>32.428571428571431</v>
      </c>
      <c r="N45" s="49">
        <f>'Avg Week WOBULENZI-ZIROBWE'!N45+'Avg Week ZIROBWE-WOBULENZI'!N45</f>
        <v>0</v>
      </c>
      <c r="O45" s="15">
        <f t="shared" si="0"/>
        <v>8</v>
      </c>
      <c r="P45" s="15">
        <f t="shared" si="1"/>
        <v>40.428571428571431</v>
      </c>
    </row>
    <row r="46" spans="2:32" ht="23.1" customHeight="1" x14ac:dyDescent="0.25">
      <c r="B46" s="24" t="s">
        <v>73</v>
      </c>
      <c r="C46" s="49">
        <f>'Avg Week WOBULENZI-ZIROBWE'!C46+'Avg Week ZIROBWE-WOBULENZI'!C46</f>
        <v>2</v>
      </c>
      <c r="D46" s="49">
        <f>'Avg Week WOBULENZI-ZIROBWE'!D46+'Avg Week ZIROBWE-WOBULENZI'!D46</f>
        <v>1</v>
      </c>
      <c r="E46" s="49">
        <f>'Avg Week WOBULENZI-ZIROBWE'!E46+'Avg Week ZIROBWE-WOBULENZI'!E46</f>
        <v>0.8571428571428571</v>
      </c>
      <c r="F46" s="49">
        <f>'Avg Week WOBULENZI-ZIROBWE'!F46+'Avg Week ZIROBWE-WOBULENZI'!F46</f>
        <v>0.2857142857142857</v>
      </c>
      <c r="G46" s="49">
        <f>'Avg Week WOBULENZI-ZIROBWE'!G46+'Avg Week ZIROBWE-WOBULENZI'!G46</f>
        <v>0</v>
      </c>
      <c r="H46" s="49">
        <f>'Avg Week WOBULENZI-ZIROBWE'!H46+'Avg Week ZIROBWE-WOBULENZI'!H46</f>
        <v>0</v>
      </c>
      <c r="I46" s="49">
        <f>'Avg Week WOBULENZI-ZIROBWE'!I46+'Avg Week ZIROBWE-WOBULENZI'!I46</f>
        <v>1.5714285714285716</v>
      </c>
      <c r="J46" s="49">
        <f>'Avg Week WOBULENZI-ZIROBWE'!J46+'Avg Week ZIROBWE-WOBULENZI'!J46</f>
        <v>2</v>
      </c>
      <c r="K46" s="49">
        <f>'Avg Week WOBULENZI-ZIROBWE'!K46+'Avg Week ZIROBWE-WOBULENZI'!K46</f>
        <v>0</v>
      </c>
      <c r="L46" s="49">
        <f>'Avg Week WOBULENZI-ZIROBWE'!L46+'Avg Week ZIROBWE-WOBULENZI'!L46</f>
        <v>0</v>
      </c>
      <c r="M46" s="49">
        <f>'Avg Week WOBULENZI-ZIROBWE'!M46+'Avg Week ZIROBWE-WOBULENZI'!M46</f>
        <v>31.714285714285715</v>
      </c>
      <c r="N46" s="49">
        <f>'Avg Week WOBULENZI-ZIROBWE'!N46+'Avg Week ZIROBWE-WOBULENZI'!N46</f>
        <v>0</v>
      </c>
      <c r="O46" s="15">
        <f t="shared" si="0"/>
        <v>7.7142857142857153</v>
      </c>
      <c r="P46" s="15">
        <f t="shared" si="1"/>
        <v>39.428571428571431</v>
      </c>
      <c r="R46" s="8"/>
      <c r="T46"/>
    </row>
    <row r="47" spans="2:32" ht="23.1" customHeight="1" x14ac:dyDescent="0.25">
      <c r="B47" s="24" t="s">
        <v>74</v>
      </c>
      <c r="C47" s="49">
        <f>'Avg Week WOBULENZI-ZIROBWE'!C47+'Avg Week ZIROBWE-WOBULENZI'!C47</f>
        <v>1.1428571428571428</v>
      </c>
      <c r="D47" s="49">
        <f>'Avg Week WOBULENZI-ZIROBWE'!D47+'Avg Week ZIROBWE-WOBULENZI'!D47</f>
        <v>1.4285714285714284</v>
      </c>
      <c r="E47" s="49">
        <f>'Avg Week WOBULENZI-ZIROBWE'!E47+'Avg Week ZIROBWE-WOBULENZI'!E47</f>
        <v>1.2857142857142856</v>
      </c>
      <c r="F47" s="49">
        <f>'Avg Week WOBULENZI-ZIROBWE'!F47+'Avg Week ZIROBWE-WOBULENZI'!F47</f>
        <v>1.5714285714285714</v>
      </c>
      <c r="G47" s="49">
        <f>'Avg Week WOBULENZI-ZIROBWE'!G47+'Avg Week ZIROBWE-WOBULENZI'!G47</f>
        <v>0</v>
      </c>
      <c r="H47" s="49">
        <f>'Avg Week WOBULENZI-ZIROBWE'!H47+'Avg Week ZIROBWE-WOBULENZI'!H47</f>
        <v>0</v>
      </c>
      <c r="I47" s="49">
        <f>'Avg Week WOBULENZI-ZIROBWE'!I47+'Avg Week ZIROBWE-WOBULENZI'!I47</f>
        <v>0.2857142857142857</v>
      </c>
      <c r="J47" s="49">
        <f>'Avg Week WOBULENZI-ZIROBWE'!J47+'Avg Week ZIROBWE-WOBULENZI'!J47</f>
        <v>1.5714285714285714</v>
      </c>
      <c r="K47" s="49">
        <f>'Avg Week WOBULENZI-ZIROBWE'!K47+'Avg Week ZIROBWE-WOBULENZI'!K47</f>
        <v>0</v>
      </c>
      <c r="L47" s="49">
        <f>'Avg Week WOBULENZI-ZIROBWE'!L47+'Avg Week ZIROBWE-WOBULENZI'!L47</f>
        <v>0</v>
      </c>
      <c r="M47" s="49">
        <f>'Avg Week WOBULENZI-ZIROBWE'!M47+'Avg Week ZIROBWE-WOBULENZI'!M47</f>
        <v>32.714285714285708</v>
      </c>
      <c r="N47" s="49">
        <f>'Avg Week WOBULENZI-ZIROBWE'!N47+'Avg Week ZIROBWE-WOBULENZI'!N47</f>
        <v>0</v>
      </c>
      <c r="O47" s="15">
        <f t="shared" si="0"/>
        <v>7.2857142857142847</v>
      </c>
      <c r="P47" s="15">
        <f t="shared" si="1"/>
        <v>39.999999999999993</v>
      </c>
      <c r="R47" s="8"/>
      <c r="T47"/>
    </row>
    <row r="48" spans="2:32" ht="23.1" customHeight="1" x14ac:dyDescent="0.25">
      <c r="B48" s="24" t="s">
        <v>75</v>
      </c>
      <c r="C48" s="49">
        <f>'Avg Week WOBULENZI-ZIROBWE'!C48+'Avg Week ZIROBWE-WOBULENZI'!C48</f>
        <v>1.2857142857142856</v>
      </c>
      <c r="D48" s="49">
        <f>'Avg Week WOBULENZI-ZIROBWE'!D48+'Avg Week ZIROBWE-WOBULENZI'!D48</f>
        <v>1</v>
      </c>
      <c r="E48" s="49">
        <f>'Avg Week WOBULENZI-ZIROBWE'!E48+'Avg Week ZIROBWE-WOBULENZI'!E48</f>
        <v>0.5714285714285714</v>
      </c>
      <c r="F48" s="49">
        <f>'Avg Week WOBULENZI-ZIROBWE'!F48+'Avg Week ZIROBWE-WOBULENZI'!F48</f>
        <v>1.8571428571428572</v>
      </c>
      <c r="G48" s="49">
        <f>'Avg Week WOBULENZI-ZIROBWE'!G48+'Avg Week ZIROBWE-WOBULENZI'!G48</f>
        <v>0.2857142857142857</v>
      </c>
      <c r="H48" s="49">
        <f>'Avg Week WOBULENZI-ZIROBWE'!H48+'Avg Week ZIROBWE-WOBULENZI'!H48</f>
        <v>0</v>
      </c>
      <c r="I48" s="49">
        <f>'Avg Week WOBULENZI-ZIROBWE'!I48+'Avg Week ZIROBWE-WOBULENZI'!I48</f>
        <v>1.1428571428571428</v>
      </c>
      <c r="J48" s="49">
        <f>'Avg Week WOBULENZI-ZIROBWE'!J48+'Avg Week ZIROBWE-WOBULENZI'!J48</f>
        <v>3.4285714285714284</v>
      </c>
      <c r="K48" s="49">
        <f>'Avg Week WOBULENZI-ZIROBWE'!K48+'Avg Week ZIROBWE-WOBULENZI'!K48</f>
        <v>0.42857142857142855</v>
      </c>
      <c r="L48" s="49">
        <f>'Avg Week WOBULENZI-ZIROBWE'!L48+'Avg Week ZIROBWE-WOBULENZI'!L48</f>
        <v>0</v>
      </c>
      <c r="M48" s="49">
        <f>'Avg Week WOBULENZI-ZIROBWE'!M48+'Avg Week ZIROBWE-WOBULENZI'!M48</f>
        <v>42</v>
      </c>
      <c r="N48" s="49">
        <f>'Avg Week WOBULENZI-ZIROBWE'!N48+'Avg Week ZIROBWE-WOBULENZI'!N48</f>
        <v>0</v>
      </c>
      <c r="O48" s="15">
        <f t="shared" si="0"/>
        <v>10</v>
      </c>
      <c r="P48" s="15">
        <f t="shared" si="1"/>
        <v>52</v>
      </c>
      <c r="R48" s="8"/>
      <c r="T48"/>
    </row>
    <row r="49" spans="2:20" ht="23.1" customHeight="1" x14ac:dyDescent="0.25">
      <c r="B49" s="23" t="s">
        <v>76</v>
      </c>
      <c r="C49" s="49">
        <f>'Avg Week WOBULENZI-ZIROBWE'!C49+'Avg Week ZIROBWE-WOBULENZI'!C49</f>
        <v>3.7142857142857144</v>
      </c>
      <c r="D49" s="49">
        <f>'Avg Week WOBULENZI-ZIROBWE'!D49+'Avg Week ZIROBWE-WOBULENZI'!D49</f>
        <v>0.71428571428571419</v>
      </c>
      <c r="E49" s="49">
        <f>'Avg Week WOBULENZI-ZIROBWE'!E49+'Avg Week ZIROBWE-WOBULENZI'!E49</f>
        <v>0.42857142857142855</v>
      </c>
      <c r="F49" s="49">
        <f>'Avg Week WOBULENZI-ZIROBWE'!F49+'Avg Week ZIROBWE-WOBULENZI'!F49</f>
        <v>0.8571428571428571</v>
      </c>
      <c r="G49" s="49">
        <f>'Avg Week WOBULENZI-ZIROBWE'!G49+'Avg Week ZIROBWE-WOBULENZI'!G49</f>
        <v>0.2857142857142857</v>
      </c>
      <c r="H49" s="49">
        <f>'Avg Week WOBULENZI-ZIROBWE'!H49+'Avg Week ZIROBWE-WOBULENZI'!H49</f>
        <v>0</v>
      </c>
      <c r="I49" s="49">
        <f>'Avg Week WOBULENZI-ZIROBWE'!I49+'Avg Week ZIROBWE-WOBULENZI'!I49</f>
        <v>0.71428571428571419</v>
      </c>
      <c r="J49" s="49">
        <f>'Avg Week WOBULENZI-ZIROBWE'!J49+'Avg Week ZIROBWE-WOBULENZI'!J49</f>
        <v>2.2857142857142856</v>
      </c>
      <c r="K49" s="49">
        <f>'Avg Week WOBULENZI-ZIROBWE'!K49+'Avg Week ZIROBWE-WOBULENZI'!K49</f>
        <v>0</v>
      </c>
      <c r="L49" s="49">
        <f>'Avg Week WOBULENZI-ZIROBWE'!L49+'Avg Week ZIROBWE-WOBULENZI'!L49</f>
        <v>0</v>
      </c>
      <c r="M49" s="49">
        <f>'Avg Week WOBULENZI-ZIROBWE'!M49+'Avg Week ZIROBWE-WOBULENZI'!M49</f>
        <v>36.857142857142854</v>
      </c>
      <c r="N49" s="49">
        <f>'Avg Week WOBULENZI-ZIROBWE'!N49+'Avg Week ZIROBWE-WOBULENZI'!N49</f>
        <v>0</v>
      </c>
      <c r="O49" s="15">
        <f t="shared" si="0"/>
        <v>9</v>
      </c>
      <c r="P49" s="15">
        <f t="shared" si="1"/>
        <v>45.857142857142854</v>
      </c>
      <c r="R49" s="8"/>
      <c r="T49"/>
    </row>
    <row r="50" spans="2:20" ht="23.1" customHeight="1" x14ac:dyDescent="0.25">
      <c r="B50" s="24" t="s">
        <v>77</v>
      </c>
      <c r="C50" s="49">
        <f>'Avg Week WOBULENZI-ZIROBWE'!C50+'Avg Week ZIROBWE-WOBULENZI'!C50</f>
        <v>2.1428571428571428</v>
      </c>
      <c r="D50" s="49">
        <f>'Avg Week WOBULENZI-ZIROBWE'!D50+'Avg Week ZIROBWE-WOBULENZI'!D50</f>
        <v>1.5714285714285714</v>
      </c>
      <c r="E50" s="49">
        <f>'Avg Week WOBULENZI-ZIROBWE'!E50+'Avg Week ZIROBWE-WOBULENZI'!E50</f>
        <v>1</v>
      </c>
      <c r="F50" s="49">
        <f>'Avg Week WOBULENZI-ZIROBWE'!F50+'Avg Week ZIROBWE-WOBULENZI'!F50</f>
        <v>1.5714285714285714</v>
      </c>
      <c r="G50" s="49">
        <f>'Avg Week WOBULENZI-ZIROBWE'!G50+'Avg Week ZIROBWE-WOBULENZI'!G50</f>
        <v>0.14285714285714285</v>
      </c>
      <c r="H50" s="49">
        <f>'Avg Week WOBULENZI-ZIROBWE'!H50+'Avg Week ZIROBWE-WOBULENZI'!H50</f>
        <v>0</v>
      </c>
      <c r="I50" s="49">
        <f>'Avg Week WOBULENZI-ZIROBWE'!I50+'Avg Week ZIROBWE-WOBULENZI'!I50</f>
        <v>1</v>
      </c>
      <c r="J50" s="49">
        <f>'Avg Week WOBULENZI-ZIROBWE'!J50+'Avg Week ZIROBWE-WOBULENZI'!J50</f>
        <v>2.1428571428571428</v>
      </c>
      <c r="K50" s="49">
        <f>'Avg Week WOBULENZI-ZIROBWE'!K50+'Avg Week ZIROBWE-WOBULENZI'!K50</f>
        <v>0</v>
      </c>
      <c r="L50" s="49">
        <f>'Avg Week WOBULENZI-ZIROBWE'!L50+'Avg Week ZIROBWE-WOBULENZI'!L50</f>
        <v>0</v>
      </c>
      <c r="M50" s="49">
        <f>'Avg Week WOBULENZI-ZIROBWE'!M50+'Avg Week ZIROBWE-WOBULENZI'!M50</f>
        <v>38.285714285714285</v>
      </c>
      <c r="N50" s="49">
        <f>'Avg Week WOBULENZI-ZIROBWE'!N50+'Avg Week ZIROBWE-WOBULENZI'!N50</f>
        <v>0</v>
      </c>
      <c r="O50" s="15">
        <f t="shared" si="0"/>
        <v>9.5714285714285712</v>
      </c>
      <c r="P50" s="15">
        <f t="shared" si="1"/>
        <v>47.857142857142854</v>
      </c>
      <c r="R50" s="8"/>
      <c r="T50"/>
    </row>
    <row r="51" spans="2:20" ht="23.1" customHeight="1" x14ac:dyDescent="0.25">
      <c r="B51" s="24" t="s">
        <v>78</v>
      </c>
      <c r="C51" s="49">
        <f>'Avg Week WOBULENZI-ZIROBWE'!C51+'Avg Week ZIROBWE-WOBULENZI'!C51</f>
        <v>2</v>
      </c>
      <c r="D51" s="49">
        <f>'Avg Week WOBULENZI-ZIROBWE'!D51+'Avg Week ZIROBWE-WOBULENZI'!D51</f>
        <v>0.2857142857142857</v>
      </c>
      <c r="E51" s="49">
        <f>'Avg Week WOBULENZI-ZIROBWE'!E51+'Avg Week ZIROBWE-WOBULENZI'!E51</f>
        <v>0.2857142857142857</v>
      </c>
      <c r="F51" s="49">
        <f>'Avg Week WOBULENZI-ZIROBWE'!F51+'Avg Week ZIROBWE-WOBULENZI'!F51</f>
        <v>0.5714285714285714</v>
      </c>
      <c r="G51" s="49">
        <f>'Avg Week WOBULENZI-ZIROBWE'!G51+'Avg Week ZIROBWE-WOBULENZI'!G51</f>
        <v>0.2857142857142857</v>
      </c>
      <c r="H51" s="49">
        <f>'Avg Week WOBULENZI-ZIROBWE'!H51+'Avg Week ZIROBWE-WOBULENZI'!H51</f>
        <v>0</v>
      </c>
      <c r="I51" s="49">
        <f>'Avg Week WOBULENZI-ZIROBWE'!I51+'Avg Week ZIROBWE-WOBULENZI'!I51</f>
        <v>0.5714285714285714</v>
      </c>
      <c r="J51" s="49">
        <f>'Avg Week WOBULENZI-ZIROBWE'!J51+'Avg Week ZIROBWE-WOBULENZI'!J51</f>
        <v>1.4285714285714284</v>
      </c>
      <c r="K51" s="49">
        <f>'Avg Week WOBULENZI-ZIROBWE'!K51+'Avg Week ZIROBWE-WOBULENZI'!K51</f>
        <v>0</v>
      </c>
      <c r="L51" s="49">
        <f>'Avg Week WOBULENZI-ZIROBWE'!L51+'Avg Week ZIROBWE-WOBULENZI'!L51</f>
        <v>0</v>
      </c>
      <c r="M51" s="49">
        <f>'Avg Week WOBULENZI-ZIROBWE'!M51+'Avg Week ZIROBWE-WOBULENZI'!M51</f>
        <v>37.142857142857139</v>
      </c>
      <c r="N51" s="49">
        <f>'Avg Week WOBULENZI-ZIROBWE'!N51+'Avg Week ZIROBWE-WOBULENZI'!N51</f>
        <v>0</v>
      </c>
      <c r="O51" s="15">
        <f t="shared" si="0"/>
        <v>5.428571428571427</v>
      </c>
      <c r="P51" s="15">
        <f t="shared" si="1"/>
        <v>42.571428571428569</v>
      </c>
      <c r="R51" s="8"/>
      <c r="T51"/>
    </row>
    <row r="52" spans="2:20" ht="23.1" customHeight="1" x14ac:dyDescent="0.25">
      <c r="B52" s="24" t="s">
        <v>79</v>
      </c>
      <c r="C52" s="49">
        <f>'Avg Week WOBULENZI-ZIROBWE'!C52+'Avg Week ZIROBWE-WOBULENZI'!C52</f>
        <v>1.7142857142857142</v>
      </c>
      <c r="D52" s="49">
        <f>'Avg Week WOBULENZI-ZIROBWE'!D52+'Avg Week ZIROBWE-WOBULENZI'!D52</f>
        <v>1</v>
      </c>
      <c r="E52" s="49">
        <f>'Avg Week WOBULENZI-ZIROBWE'!E52+'Avg Week ZIROBWE-WOBULENZI'!E52</f>
        <v>0.71428571428571419</v>
      </c>
      <c r="F52" s="49">
        <f>'Avg Week WOBULENZI-ZIROBWE'!F52+'Avg Week ZIROBWE-WOBULENZI'!F52</f>
        <v>1</v>
      </c>
      <c r="G52" s="49">
        <f>'Avg Week WOBULENZI-ZIROBWE'!G52+'Avg Week ZIROBWE-WOBULENZI'!G52</f>
        <v>0.14285714285714285</v>
      </c>
      <c r="H52" s="49">
        <f>'Avg Week WOBULENZI-ZIROBWE'!H52+'Avg Week ZIROBWE-WOBULENZI'!H52</f>
        <v>0.14285714285714285</v>
      </c>
      <c r="I52" s="49">
        <f>'Avg Week WOBULENZI-ZIROBWE'!I52+'Avg Week ZIROBWE-WOBULENZI'!I52</f>
        <v>1.4285714285714286</v>
      </c>
      <c r="J52" s="49">
        <f>'Avg Week WOBULENZI-ZIROBWE'!J52+'Avg Week ZIROBWE-WOBULENZI'!J52</f>
        <v>1.5714285714285716</v>
      </c>
      <c r="K52" s="49">
        <f>'Avg Week WOBULENZI-ZIROBWE'!K52+'Avg Week ZIROBWE-WOBULENZI'!K52</f>
        <v>0</v>
      </c>
      <c r="L52" s="49">
        <f>'Avg Week WOBULENZI-ZIROBWE'!L52+'Avg Week ZIROBWE-WOBULENZI'!L52</f>
        <v>0</v>
      </c>
      <c r="M52" s="49">
        <f>'Avg Week WOBULENZI-ZIROBWE'!M52+'Avg Week ZIROBWE-WOBULENZI'!M52</f>
        <v>33.714285714285715</v>
      </c>
      <c r="N52" s="49">
        <f>'Avg Week WOBULENZI-ZIROBWE'!N52+'Avg Week ZIROBWE-WOBULENZI'!N52</f>
        <v>0</v>
      </c>
      <c r="O52" s="15">
        <f t="shared" si="0"/>
        <v>7.7142857142857153</v>
      </c>
      <c r="P52" s="15">
        <f t="shared" si="1"/>
        <v>41.428571428571431</v>
      </c>
      <c r="R52" s="8"/>
      <c r="T52"/>
    </row>
    <row r="53" spans="2:20" ht="23.1" customHeight="1" x14ac:dyDescent="0.25">
      <c r="B53" s="23" t="s">
        <v>80</v>
      </c>
      <c r="C53" s="49">
        <f>'Avg Week WOBULENZI-ZIROBWE'!C53+'Avg Week ZIROBWE-WOBULENZI'!C53</f>
        <v>2.8571428571428572</v>
      </c>
      <c r="D53" s="49">
        <f>'Avg Week WOBULENZI-ZIROBWE'!D53+'Avg Week ZIROBWE-WOBULENZI'!D53</f>
        <v>1</v>
      </c>
      <c r="E53" s="49">
        <f>'Avg Week WOBULENZI-ZIROBWE'!E53+'Avg Week ZIROBWE-WOBULENZI'!E53</f>
        <v>0</v>
      </c>
      <c r="F53" s="49">
        <f>'Avg Week WOBULENZI-ZIROBWE'!F53+'Avg Week ZIROBWE-WOBULENZI'!F53</f>
        <v>0.5714285714285714</v>
      </c>
      <c r="G53" s="49">
        <f>'Avg Week WOBULENZI-ZIROBWE'!G53+'Avg Week ZIROBWE-WOBULENZI'!G53</f>
        <v>0.14285714285714285</v>
      </c>
      <c r="H53" s="49">
        <f>'Avg Week WOBULENZI-ZIROBWE'!H53+'Avg Week ZIROBWE-WOBULENZI'!H53</f>
        <v>0.14285714285714285</v>
      </c>
      <c r="I53" s="49">
        <f>'Avg Week WOBULENZI-ZIROBWE'!I53+'Avg Week ZIROBWE-WOBULENZI'!I53</f>
        <v>0.5714285714285714</v>
      </c>
      <c r="J53" s="49">
        <f>'Avg Week WOBULENZI-ZIROBWE'!J53+'Avg Week ZIROBWE-WOBULENZI'!J53</f>
        <v>1.8571428571428572</v>
      </c>
      <c r="K53" s="49">
        <f>'Avg Week WOBULENZI-ZIROBWE'!K53+'Avg Week ZIROBWE-WOBULENZI'!K53</f>
        <v>0</v>
      </c>
      <c r="L53" s="49">
        <f>'Avg Week WOBULENZI-ZIROBWE'!L53+'Avg Week ZIROBWE-WOBULENZI'!L53</f>
        <v>0</v>
      </c>
      <c r="M53" s="49">
        <f>'Avg Week WOBULENZI-ZIROBWE'!M53+'Avg Week ZIROBWE-WOBULENZI'!M53</f>
        <v>36.857142857142861</v>
      </c>
      <c r="N53" s="49">
        <f>'Avg Week WOBULENZI-ZIROBWE'!N53+'Avg Week ZIROBWE-WOBULENZI'!N53</f>
        <v>0</v>
      </c>
      <c r="O53" s="15">
        <f t="shared" si="0"/>
        <v>7.1428571428571441</v>
      </c>
      <c r="P53" s="15">
        <f t="shared" si="1"/>
        <v>44.000000000000007</v>
      </c>
      <c r="R53" s="8"/>
      <c r="T53"/>
    </row>
    <row r="54" spans="2:20" ht="23.1" customHeight="1" x14ac:dyDescent="0.25">
      <c r="B54" s="23" t="s">
        <v>81</v>
      </c>
      <c r="C54" s="49">
        <f>'Avg Week WOBULENZI-ZIROBWE'!C54+'Avg Week ZIROBWE-WOBULENZI'!C54</f>
        <v>2</v>
      </c>
      <c r="D54" s="49">
        <f>'Avg Week WOBULENZI-ZIROBWE'!D54+'Avg Week ZIROBWE-WOBULENZI'!D54</f>
        <v>0.5714285714285714</v>
      </c>
      <c r="E54" s="49">
        <f>'Avg Week WOBULENZI-ZIROBWE'!E54+'Avg Week ZIROBWE-WOBULENZI'!E54</f>
        <v>0.42857142857142855</v>
      </c>
      <c r="F54" s="49">
        <f>'Avg Week WOBULENZI-ZIROBWE'!F54+'Avg Week ZIROBWE-WOBULENZI'!F54</f>
        <v>1</v>
      </c>
      <c r="G54" s="49">
        <f>'Avg Week WOBULENZI-ZIROBWE'!G54+'Avg Week ZIROBWE-WOBULENZI'!G54</f>
        <v>0.7142857142857143</v>
      </c>
      <c r="H54" s="49">
        <f>'Avg Week WOBULENZI-ZIROBWE'!H54+'Avg Week ZIROBWE-WOBULENZI'!H54</f>
        <v>0</v>
      </c>
      <c r="I54" s="49">
        <f>'Avg Week WOBULENZI-ZIROBWE'!I54+'Avg Week ZIROBWE-WOBULENZI'!I54</f>
        <v>1</v>
      </c>
      <c r="J54" s="49">
        <f>'Avg Week WOBULENZI-ZIROBWE'!J54+'Avg Week ZIROBWE-WOBULENZI'!J54</f>
        <v>1.5714285714285714</v>
      </c>
      <c r="K54" s="49">
        <f>'Avg Week WOBULENZI-ZIROBWE'!K54+'Avg Week ZIROBWE-WOBULENZI'!K54</f>
        <v>0</v>
      </c>
      <c r="L54" s="49">
        <f>'Avg Week WOBULENZI-ZIROBWE'!L54+'Avg Week ZIROBWE-WOBULENZI'!L54</f>
        <v>0</v>
      </c>
      <c r="M54" s="49">
        <f>'Avg Week WOBULENZI-ZIROBWE'!M54+'Avg Week ZIROBWE-WOBULENZI'!M54</f>
        <v>39.571428571428569</v>
      </c>
      <c r="N54" s="49">
        <f>'Avg Week WOBULENZI-ZIROBWE'!N54+'Avg Week ZIROBWE-WOBULENZI'!N54</f>
        <v>0.14285714285714285</v>
      </c>
      <c r="O54" s="15">
        <f t="shared" si="0"/>
        <v>7.4285714285714279</v>
      </c>
      <c r="P54" s="15">
        <f t="shared" si="1"/>
        <v>47</v>
      </c>
      <c r="R54" s="8"/>
      <c r="T54"/>
    </row>
    <row r="55" spans="2:20" ht="23.1" customHeight="1" x14ac:dyDescent="0.25">
      <c r="B55" s="23" t="s">
        <v>82</v>
      </c>
      <c r="C55" s="49">
        <f>'Avg Week WOBULENZI-ZIROBWE'!C55+'Avg Week ZIROBWE-WOBULENZI'!C55</f>
        <v>1.5714285714285714</v>
      </c>
      <c r="D55" s="49">
        <f>'Avg Week WOBULENZI-ZIROBWE'!D55+'Avg Week ZIROBWE-WOBULENZI'!D55</f>
        <v>1.1428571428571428</v>
      </c>
      <c r="E55" s="49">
        <f>'Avg Week WOBULENZI-ZIROBWE'!E55+'Avg Week ZIROBWE-WOBULENZI'!E55</f>
        <v>1.1428571428571428</v>
      </c>
      <c r="F55" s="49">
        <f>'Avg Week WOBULENZI-ZIROBWE'!F55+'Avg Week ZIROBWE-WOBULENZI'!F55</f>
        <v>0.2857142857142857</v>
      </c>
      <c r="G55" s="49">
        <f>'Avg Week WOBULENZI-ZIROBWE'!G55+'Avg Week ZIROBWE-WOBULENZI'!G55</f>
        <v>0</v>
      </c>
      <c r="H55" s="49">
        <f>'Avg Week WOBULENZI-ZIROBWE'!H55+'Avg Week ZIROBWE-WOBULENZI'!H55</f>
        <v>0</v>
      </c>
      <c r="I55" s="49">
        <f>'Avg Week WOBULENZI-ZIROBWE'!I55+'Avg Week ZIROBWE-WOBULENZI'!I55</f>
        <v>2.1428571428571428</v>
      </c>
      <c r="J55" s="49">
        <f>'Avg Week WOBULENZI-ZIROBWE'!J55+'Avg Week ZIROBWE-WOBULENZI'!J55</f>
        <v>0.71428571428571419</v>
      </c>
      <c r="K55" s="49">
        <f>'Avg Week WOBULENZI-ZIROBWE'!K55+'Avg Week ZIROBWE-WOBULENZI'!K55</f>
        <v>0</v>
      </c>
      <c r="L55" s="49">
        <f>'Avg Week WOBULENZI-ZIROBWE'!L55+'Avg Week ZIROBWE-WOBULENZI'!L55</f>
        <v>0</v>
      </c>
      <c r="M55" s="49">
        <f>'Avg Week WOBULENZI-ZIROBWE'!M55+'Avg Week ZIROBWE-WOBULENZI'!M55</f>
        <v>44.142857142857139</v>
      </c>
      <c r="N55" s="49">
        <f>'Avg Week WOBULENZI-ZIROBWE'!N55+'Avg Week ZIROBWE-WOBULENZI'!N55</f>
        <v>0</v>
      </c>
      <c r="O55" s="15">
        <f t="shared" si="0"/>
        <v>7.0000000000000009</v>
      </c>
      <c r="P55" s="15">
        <f t="shared" si="1"/>
        <v>51.142857142857139</v>
      </c>
      <c r="R55" s="8"/>
      <c r="T55"/>
    </row>
    <row r="56" spans="2:20" ht="23.1" customHeight="1" x14ac:dyDescent="0.25">
      <c r="B56" s="23" t="s">
        <v>83</v>
      </c>
      <c r="C56" s="49">
        <f>'Avg Week WOBULENZI-ZIROBWE'!C56+'Avg Week ZIROBWE-WOBULENZI'!C56</f>
        <v>2.2857142857142856</v>
      </c>
      <c r="D56" s="49">
        <f>'Avg Week WOBULENZI-ZIROBWE'!D56+'Avg Week ZIROBWE-WOBULENZI'!D56</f>
        <v>1</v>
      </c>
      <c r="E56" s="49">
        <f>'Avg Week WOBULENZI-ZIROBWE'!E56+'Avg Week ZIROBWE-WOBULENZI'!E56</f>
        <v>0.8571428571428571</v>
      </c>
      <c r="F56" s="49">
        <f>'Avg Week WOBULENZI-ZIROBWE'!F56+'Avg Week ZIROBWE-WOBULENZI'!F56</f>
        <v>0.5714285714285714</v>
      </c>
      <c r="G56" s="49">
        <f>'Avg Week WOBULENZI-ZIROBWE'!G56+'Avg Week ZIROBWE-WOBULENZI'!G56</f>
        <v>0</v>
      </c>
      <c r="H56" s="49">
        <f>'Avg Week WOBULENZI-ZIROBWE'!H56+'Avg Week ZIROBWE-WOBULENZI'!H56</f>
        <v>0</v>
      </c>
      <c r="I56" s="49">
        <f>'Avg Week WOBULENZI-ZIROBWE'!I56+'Avg Week ZIROBWE-WOBULENZI'!I56</f>
        <v>1</v>
      </c>
      <c r="J56" s="49">
        <f>'Avg Week WOBULENZI-ZIROBWE'!J56+'Avg Week ZIROBWE-WOBULENZI'!J56</f>
        <v>2.1428571428571428</v>
      </c>
      <c r="K56" s="49">
        <f>'Avg Week WOBULENZI-ZIROBWE'!K56+'Avg Week ZIROBWE-WOBULENZI'!K56</f>
        <v>0</v>
      </c>
      <c r="L56" s="49">
        <f>'Avg Week WOBULENZI-ZIROBWE'!L56+'Avg Week ZIROBWE-WOBULENZI'!L56</f>
        <v>0</v>
      </c>
      <c r="M56" s="49">
        <f>'Avg Week WOBULENZI-ZIROBWE'!M56+'Avg Week ZIROBWE-WOBULENZI'!M56</f>
        <v>48</v>
      </c>
      <c r="N56" s="49">
        <f>'Avg Week WOBULENZI-ZIROBWE'!N56+'Avg Week ZIROBWE-WOBULENZI'!N56</f>
        <v>0.14285714285714285</v>
      </c>
      <c r="O56" s="15">
        <f t="shared" si="0"/>
        <v>7.9999999999999991</v>
      </c>
      <c r="P56" s="15">
        <f t="shared" si="1"/>
        <v>56</v>
      </c>
      <c r="R56" s="8"/>
      <c r="T56"/>
    </row>
    <row r="57" spans="2:20" ht="23.1" customHeight="1" x14ac:dyDescent="0.25">
      <c r="B57" s="23" t="s">
        <v>84</v>
      </c>
      <c r="C57" s="49">
        <f>'Avg Week WOBULENZI-ZIROBWE'!C57+'Avg Week ZIROBWE-WOBULENZI'!C57</f>
        <v>1.2857142857142856</v>
      </c>
      <c r="D57" s="49">
        <f>'Avg Week WOBULENZI-ZIROBWE'!D57+'Avg Week ZIROBWE-WOBULENZI'!D57</f>
        <v>0.71428571428571419</v>
      </c>
      <c r="E57" s="49">
        <f>'Avg Week WOBULENZI-ZIROBWE'!E57+'Avg Week ZIROBWE-WOBULENZI'!E57</f>
        <v>0.71428571428571419</v>
      </c>
      <c r="F57" s="49">
        <f>'Avg Week WOBULENZI-ZIROBWE'!F57+'Avg Week ZIROBWE-WOBULENZI'!F57</f>
        <v>1.5714285714285716</v>
      </c>
      <c r="G57" s="49">
        <f>'Avg Week WOBULENZI-ZIROBWE'!G57+'Avg Week ZIROBWE-WOBULENZI'!G57</f>
        <v>0.2857142857142857</v>
      </c>
      <c r="H57" s="49">
        <f>'Avg Week WOBULENZI-ZIROBWE'!H57+'Avg Week ZIROBWE-WOBULENZI'!H57</f>
        <v>0</v>
      </c>
      <c r="I57" s="49">
        <f>'Avg Week WOBULENZI-ZIROBWE'!I57+'Avg Week ZIROBWE-WOBULENZI'!I57</f>
        <v>0.5714285714285714</v>
      </c>
      <c r="J57" s="49">
        <f>'Avg Week WOBULENZI-ZIROBWE'!J57+'Avg Week ZIROBWE-WOBULENZI'!J57</f>
        <v>1.2857142857142856</v>
      </c>
      <c r="K57" s="49">
        <f>'Avg Week WOBULENZI-ZIROBWE'!K57+'Avg Week ZIROBWE-WOBULENZI'!K57</f>
        <v>0</v>
      </c>
      <c r="L57" s="49">
        <f>'Avg Week WOBULENZI-ZIROBWE'!L57+'Avg Week ZIROBWE-WOBULENZI'!L57</f>
        <v>0</v>
      </c>
      <c r="M57" s="49">
        <f>'Avg Week WOBULENZI-ZIROBWE'!M57+'Avg Week ZIROBWE-WOBULENZI'!M57</f>
        <v>42.428571428571431</v>
      </c>
      <c r="N57" s="49">
        <f>'Avg Week WOBULENZI-ZIROBWE'!N57+'Avg Week ZIROBWE-WOBULENZI'!N57</f>
        <v>0</v>
      </c>
      <c r="O57" s="15">
        <f t="shared" si="0"/>
        <v>6.4285714285714279</v>
      </c>
      <c r="P57" s="15">
        <f t="shared" si="1"/>
        <v>48.857142857142861</v>
      </c>
      <c r="R57" s="8"/>
      <c r="T57"/>
    </row>
    <row r="58" spans="2:20" ht="23.1" customHeight="1" x14ac:dyDescent="0.25">
      <c r="B58" s="23" t="s">
        <v>99</v>
      </c>
      <c r="C58" s="49">
        <f>'Avg Week WOBULENZI-ZIROBWE'!C58+'Avg Week ZIROBWE-WOBULENZI'!C58</f>
        <v>1.5</v>
      </c>
      <c r="D58" s="49">
        <f>'Avg Week WOBULENZI-ZIROBWE'!D58+'Avg Week ZIROBWE-WOBULENZI'!D58</f>
        <v>1</v>
      </c>
      <c r="E58" s="49">
        <f>'Avg Week WOBULENZI-ZIROBWE'!E58+'Avg Week ZIROBWE-WOBULENZI'!E58</f>
        <v>0</v>
      </c>
      <c r="F58" s="49">
        <f>'Avg Week WOBULENZI-ZIROBWE'!F58+'Avg Week ZIROBWE-WOBULENZI'!F58</f>
        <v>0.5</v>
      </c>
      <c r="G58" s="49">
        <f>'Avg Week WOBULENZI-ZIROBWE'!G58+'Avg Week ZIROBWE-WOBULENZI'!G58</f>
        <v>0</v>
      </c>
      <c r="H58" s="49">
        <f>'Avg Week WOBULENZI-ZIROBWE'!H58+'Avg Week ZIROBWE-WOBULENZI'!H58</f>
        <v>0</v>
      </c>
      <c r="I58" s="49">
        <f>'Avg Week WOBULENZI-ZIROBWE'!I58+'Avg Week ZIROBWE-WOBULENZI'!I58</f>
        <v>0.5</v>
      </c>
      <c r="J58" s="49">
        <f>'Avg Week WOBULENZI-ZIROBWE'!J58+'Avg Week ZIROBWE-WOBULENZI'!J58</f>
        <v>2.5</v>
      </c>
      <c r="K58" s="49">
        <f>'Avg Week WOBULENZI-ZIROBWE'!K58+'Avg Week ZIROBWE-WOBULENZI'!K58</f>
        <v>0</v>
      </c>
      <c r="L58" s="49">
        <f>'Avg Week WOBULENZI-ZIROBWE'!L58+'Avg Week ZIROBWE-WOBULENZI'!L58</f>
        <v>0</v>
      </c>
      <c r="M58" s="49">
        <f>'Avg Week WOBULENZI-ZIROBWE'!M58+'Avg Week ZIROBWE-WOBULENZI'!M58</f>
        <v>39.5</v>
      </c>
      <c r="N58" s="49">
        <f>'Avg Week WOBULENZI-ZIROBWE'!N58+'Avg Week ZIROBWE-WOBULENZI'!N58</f>
        <v>0</v>
      </c>
      <c r="O58" s="15">
        <f t="shared" si="0"/>
        <v>6</v>
      </c>
      <c r="P58" s="15">
        <f t="shared" si="1"/>
        <v>45.5</v>
      </c>
      <c r="R58" s="8"/>
      <c r="T58"/>
    </row>
    <row r="59" spans="2:20" ht="23.1" customHeight="1" x14ac:dyDescent="0.25">
      <c r="B59" s="23" t="s">
        <v>100</v>
      </c>
      <c r="C59" s="49">
        <f>'Avg Week WOBULENZI-ZIROBWE'!C59+'Avg Week ZIROBWE-WOBULENZI'!C59</f>
        <v>2</v>
      </c>
      <c r="D59" s="49">
        <f>'Avg Week WOBULENZI-ZIROBWE'!D59+'Avg Week ZIROBWE-WOBULENZI'!D59</f>
        <v>2</v>
      </c>
      <c r="E59" s="49">
        <f>'Avg Week WOBULENZI-ZIROBWE'!E59+'Avg Week ZIROBWE-WOBULENZI'!E59</f>
        <v>0.5</v>
      </c>
      <c r="F59" s="49">
        <f>'Avg Week WOBULENZI-ZIROBWE'!F59+'Avg Week ZIROBWE-WOBULENZI'!F59</f>
        <v>0.5</v>
      </c>
      <c r="G59" s="49">
        <f>'Avg Week WOBULENZI-ZIROBWE'!G59+'Avg Week ZIROBWE-WOBULENZI'!G59</f>
        <v>0</v>
      </c>
      <c r="H59" s="49">
        <f>'Avg Week WOBULENZI-ZIROBWE'!H59+'Avg Week ZIROBWE-WOBULENZI'!H59</f>
        <v>0</v>
      </c>
      <c r="I59" s="49">
        <f>'Avg Week WOBULENZI-ZIROBWE'!I59+'Avg Week ZIROBWE-WOBULENZI'!I59</f>
        <v>1.5</v>
      </c>
      <c r="J59" s="49">
        <f>'Avg Week WOBULENZI-ZIROBWE'!J59+'Avg Week ZIROBWE-WOBULENZI'!J59</f>
        <v>0.5</v>
      </c>
      <c r="K59" s="49">
        <f>'Avg Week WOBULENZI-ZIROBWE'!K59+'Avg Week ZIROBWE-WOBULENZI'!K59</f>
        <v>0</v>
      </c>
      <c r="L59" s="49">
        <f>'Avg Week WOBULENZI-ZIROBWE'!L59+'Avg Week ZIROBWE-WOBULENZI'!L59</f>
        <v>0</v>
      </c>
      <c r="M59" s="49">
        <f>'Avg Week WOBULENZI-ZIROBWE'!M59+'Avg Week ZIROBWE-WOBULENZI'!M59</f>
        <v>56.5</v>
      </c>
      <c r="N59" s="49">
        <f>'Avg Week WOBULENZI-ZIROBWE'!N59+'Avg Week ZIROBWE-WOBULENZI'!N59</f>
        <v>0</v>
      </c>
      <c r="O59" s="15">
        <f t="shared" si="0"/>
        <v>7</v>
      </c>
      <c r="P59" s="15">
        <f t="shared" si="1"/>
        <v>63.5</v>
      </c>
      <c r="R59" s="8"/>
      <c r="T59"/>
    </row>
    <row r="60" spans="2:20" ht="23.1" customHeight="1" x14ac:dyDescent="0.25">
      <c r="B60" s="23" t="s">
        <v>101</v>
      </c>
      <c r="C60" s="49">
        <f>'Avg Week WOBULENZI-ZIROBWE'!C60+'Avg Week ZIROBWE-WOBULENZI'!C60</f>
        <v>2</v>
      </c>
      <c r="D60" s="49">
        <f>'Avg Week WOBULENZI-ZIROBWE'!D60+'Avg Week ZIROBWE-WOBULENZI'!D60</f>
        <v>0</v>
      </c>
      <c r="E60" s="49">
        <f>'Avg Week WOBULENZI-ZIROBWE'!E60+'Avg Week ZIROBWE-WOBULENZI'!E60</f>
        <v>0.5</v>
      </c>
      <c r="F60" s="49">
        <f>'Avg Week WOBULENZI-ZIROBWE'!F60+'Avg Week ZIROBWE-WOBULENZI'!F60</f>
        <v>1.5</v>
      </c>
      <c r="G60" s="49">
        <f>'Avg Week WOBULENZI-ZIROBWE'!G60+'Avg Week ZIROBWE-WOBULENZI'!G60</f>
        <v>0</v>
      </c>
      <c r="H60" s="49">
        <f>'Avg Week WOBULENZI-ZIROBWE'!H60+'Avg Week ZIROBWE-WOBULENZI'!H60</f>
        <v>0</v>
      </c>
      <c r="I60" s="49">
        <f>'Avg Week WOBULENZI-ZIROBWE'!I60+'Avg Week ZIROBWE-WOBULENZI'!I60</f>
        <v>1.5</v>
      </c>
      <c r="J60" s="49">
        <f>'Avg Week WOBULENZI-ZIROBWE'!J60+'Avg Week ZIROBWE-WOBULENZI'!J60</f>
        <v>1.5</v>
      </c>
      <c r="K60" s="49">
        <f>'Avg Week WOBULENZI-ZIROBWE'!K60+'Avg Week ZIROBWE-WOBULENZI'!K60</f>
        <v>0</v>
      </c>
      <c r="L60" s="49">
        <f>'Avg Week WOBULENZI-ZIROBWE'!L60+'Avg Week ZIROBWE-WOBULENZI'!L60</f>
        <v>0</v>
      </c>
      <c r="M60" s="49">
        <f>'Avg Week WOBULENZI-ZIROBWE'!M60+'Avg Week ZIROBWE-WOBULENZI'!M60</f>
        <v>53</v>
      </c>
      <c r="N60" s="49">
        <f>'Avg Week WOBULENZI-ZIROBWE'!N60+'Avg Week ZIROBWE-WOBULENZI'!N60</f>
        <v>0</v>
      </c>
      <c r="O60" s="15">
        <f t="shared" si="0"/>
        <v>7</v>
      </c>
      <c r="P60" s="15">
        <f t="shared" si="1"/>
        <v>60</v>
      </c>
      <c r="R60" s="8"/>
      <c r="T60"/>
    </row>
    <row r="61" spans="2:20" ht="23.1" customHeight="1" x14ac:dyDescent="0.25">
      <c r="B61" s="23" t="s">
        <v>102</v>
      </c>
      <c r="C61" s="49">
        <f>'Avg Week WOBULENZI-ZIROBWE'!C61+'Avg Week ZIROBWE-WOBULENZI'!C61</f>
        <v>0.5</v>
      </c>
      <c r="D61" s="49">
        <f>'Avg Week WOBULENZI-ZIROBWE'!D61+'Avg Week ZIROBWE-WOBULENZI'!D61</f>
        <v>0</v>
      </c>
      <c r="E61" s="49">
        <f>'Avg Week WOBULENZI-ZIROBWE'!E61+'Avg Week ZIROBWE-WOBULENZI'!E61</f>
        <v>0</v>
      </c>
      <c r="F61" s="49">
        <f>'Avg Week WOBULENZI-ZIROBWE'!F61+'Avg Week ZIROBWE-WOBULENZI'!F61</f>
        <v>0.5</v>
      </c>
      <c r="G61" s="49">
        <f>'Avg Week WOBULENZI-ZIROBWE'!G61+'Avg Week ZIROBWE-WOBULENZI'!G61</f>
        <v>0</v>
      </c>
      <c r="H61" s="49">
        <f>'Avg Week WOBULENZI-ZIROBWE'!H61+'Avg Week ZIROBWE-WOBULENZI'!H61</f>
        <v>0</v>
      </c>
      <c r="I61" s="49">
        <f>'Avg Week WOBULENZI-ZIROBWE'!I61+'Avg Week ZIROBWE-WOBULENZI'!I61</f>
        <v>1</v>
      </c>
      <c r="J61" s="49">
        <f>'Avg Week WOBULENZI-ZIROBWE'!J61+'Avg Week ZIROBWE-WOBULENZI'!J61</f>
        <v>0.5</v>
      </c>
      <c r="K61" s="49">
        <f>'Avg Week WOBULENZI-ZIROBWE'!K61+'Avg Week ZIROBWE-WOBULENZI'!K61</f>
        <v>0</v>
      </c>
      <c r="L61" s="49">
        <f>'Avg Week WOBULENZI-ZIROBWE'!L61+'Avg Week ZIROBWE-WOBULENZI'!L61</f>
        <v>0</v>
      </c>
      <c r="M61" s="49">
        <f>'Avg Week WOBULENZI-ZIROBWE'!M61+'Avg Week ZIROBWE-WOBULENZI'!M61</f>
        <v>56</v>
      </c>
      <c r="N61" s="49">
        <f>'Avg Week WOBULENZI-ZIROBWE'!N61+'Avg Week ZIROBWE-WOBULENZI'!N61</f>
        <v>0</v>
      </c>
      <c r="O61" s="15">
        <f t="shared" si="0"/>
        <v>2.5</v>
      </c>
      <c r="P61" s="15">
        <f t="shared" si="1"/>
        <v>58.5</v>
      </c>
      <c r="R61" s="8"/>
      <c r="T61"/>
    </row>
    <row r="62" spans="2:20" ht="23.1" customHeight="1" x14ac:dyDescent="0.25">
      <c r="B62" s="23" t="s">
        <v>107</v>
      </c>
      <c r="C62" s="49">
        <f>'Avg Week WOBULENZI-ZIROBWE'!C62+'Avg Week ZIROBWE-WOBULENZI'!C62</f>
        <v>0.5</v>
      </c>
      <c r="D62" s="49">
        <f>'Avg Week WOBULENZI-ZIROBWE'!D62+'Avg Week ZIROBWE-WOBULENZI'!D62</f>
        <v>0</v>
      </c>
      <c r="E62" s="49">
        <f>'Avg Week WOBULENZI-ZIROBWE'!E62+'Avg Week ZIROBWE-WOBULENZI'!E62</f>
        <v>1.5</v>
      </c>
      <c r="F62" s="49">
        <f>'Avg Week WOBULENZI-ZIROBWE'!F62+'Avg Week ZIROBWE-WOBULENZI'!F62</f>
        <v>0.5</v>
      </c>
      <c r="G62" s="49">
        <f>'Avg Week WOBULENZI-ZIROBWE'!G62+'Avg Week ZIROBWE-WOBULENZI'!G62</f>
        <v>0</v>
      </c>
      <c r="H62" s="49">
        <f>'Avg Week WOBULENZI-ZIROBWE'!H62+'Avg Week ZIROBWE-WOBULENZI'!H62</f>
        <v>0</v>
      </c>
      <c r="I62" s="49">
        <f>'Avg Week WOBULENZI-ZIROBWE'!I62+'Avg Week ZIROBWE-WOBULENZI'!I62</f>
        <v>0.5</v>
      </c>
      <c r="J62" s="49">
        <f>'Avg Week WOBULENZI-ZIROBWE'!J62+'Avg Week ZIROBWE-WOBULENZI'!J62</f>
        <v>0.5</v>
      </c>
      <c r="K62" s="49">
        <f>'Avg Week WOBULENZI-ZIROBWE'!K62+'Avg Week ZIROBWE-WOBULENZI'!K62</f>
        <v>0</v>
      </c>
      <c r="L62" s="49">
        <f>'Avg Week WOBULENZI-ZIROBWE'!L62+'Avg Week ZIROBWE-WOBULENZI'!L62</f>
        <v>0</v>
      </c>
      <c r="M62" s="49">
        <f>'Avg Week WOBULENZI-ZIROBWE'!M62+'Avg Week ZIROBWE-WOBULENZI'!M62</f>
        <v>45.5</v>
      </c>
      <c r="N62" s="49">
        <f>'Avg Week WOBULENZI-ZIROBWE'!N62+'Avg Week ZIROBWE-WOBULENZI'!N62</f>
        <v>0</v>
      </c>
      <c r="O62" s="15">
        <f t="shared" si="0"/>
        <v>3.5</v>
      </c>
      <c r="P62" s="15">
        <f t="shared" si="1"/>
        <v>49</v>
      </c>
      <c r="R62" s="8"/>
      <c r="T62"/>
    </row>
    <row r="63" spans="2:20" ht="23.1" customHeight="1" x14ac:dyDescent="0.25">
      <c r="B63" s="23" t="s">
        <v>108</v>
      </c>
      <c r="C63" s="49">
        <f>'Avg Week WOBULENZI-ZIROBWE'!C63+'Avg Week ZIROBWE-WOBULENZI'!C63</f>
        <v>3</v>
      </c>
      <c r="D63" s="49">
        <f>'Avg Week WOBULENZI-ZIROBWE'!D63+'Avg Week ZIROBWE-WOBULENZI'!D63</f>
        <v>0.5</v>
      </c>
      <c r="E63" s="49">
        <f>'Avg Week WOBULENZI-ZIROBWE'!E63+'Avg Week ZIROBWE-WOBULENZI'!E63</f>
        <v>0.5</v>
      </c>
      <c r="F63" s="49">
        <f>'Avg Week WOBULENZI-ZIROBWE'!F63+'Avg Week ZIROBWE-WOBULENZI'!F63</f>
        <v>0</v>
      </c>
      <c r="G63" s="49">
        <f>'Avg Week WOBULENZI-ZIROBWE'!G63+'Avg Week ZIROBWE-WOBULENZI'!G63</f>
        <v>0</v>
      </c>
      <c r="H63" s="49">
        <f>'Avg Week WOBULENZI-ZIROBWE'!H63+'Avg Week ZIROBWE-WOBULENZI'!H63</f>
        <v>0</v>
      </c>
      <c r="I63" s="49">
        <f>'Avg Week WOBULENZI-ZIROBWE'!I63+'Avg Week ZIROBWE-WOBULENZI'!I63</f>
        <v>0</v>
      </c>
      <c r="J63" s="49">
        <f>'Avg Week WOBULENZI-ZIROBWE'!J63+'Avg Week ZIROBWE-WOBULENZI'!J63</f>
        <v>1</v>
      </c>
      <c r="K63" s="49">
        <f>'Avg Week WOBULENZI-ZIROBWE'!K63+'Avg Week ZIROBWE-WOBULENZI'!K63</f>
        <v>0</v>
      </c>
      <c r="L63" s="49">
        <f>'Avg Week WOBULENZI-ZIROBWE'!L63+'Avg Week ZIROBWE-WOBULENZI'!L63</f>
        <v>0</v>
      </c>
      <c r="M63" s="49">
        <f>'Avg Week WOBULENZI-ZIROBWE'!M63+'Avg Week ZIROBWE-WOBULENZI'!M63</f>
        <v>46</v>
      </c>
      <c r="N63" s="49">
        <f>'Avg Week WOBULENZI-ZIROBWE'!N63+'Avg Week ZIROBWE-WOBULENZI'!N63</f>
        <v>0</v>
      </c>
      <c r="O63" s="15">
        <f t="shared" si="0"/>
        <v>5</v>
      </c>
      <c r="P63" s="15">
        <f t="shared" si="1"/>
        <v>51</v>
      </c>
      <c r="R63" s="8"/>
      <c r="T63"/>
    </row>
    <row r="64" spans="2:20" ht="23.1" customHeight="1" x14ac:dyDescent="0.25">
      <c r="B64" s="23" t="s">
        <v>109</v>
      </c>
      <c r="C64" s="49">
        <f>'Avg Week WOBULENZI-ZIROBWE'!C64+'Avg Week ZIROBWE-WOBULENZI'!C64</f>
        <v>1</v>
      </c>
      <c r="D64" s="49">
        <f>'Avg Week WOBULENZI-ZIROBWE'!D64+'Avg Week ZIROBWE-WOBULENZI'!D64</f>
        <v>0.5</v>
      </c>
      <c r="E64" s="49">
        <f>'Avg Week WOBULENZI-ZIROBWE'!E64+'Avg Week ZIROBWE-WOBULENZI'!E64</f>
        <v>1</v>
      </c>
      <c r="F64" s="49">
        <f>'Avg Week WOBULENZI-ZIROBWE'!F64+'Avg Week ZIROBWE-WOBULENZI'!F64</f>
        <v>2</v>
      </c>
      <c r="G64" s="49">
        <f>'Avg Week WOBULENZI-ZIROBWE'!G64+'Avg Week ZIROBWE-WOBULENZI'!G64</f>
        <v>0</v>
      </c>
      <c r="H64" s="49">
        <f>'Avg Week WOBULENZI-ZIROBWE'!H64+'Avg Week ZIROBWE-WOBULENZI'!H64</f>
        <v>0</v>
      </c>
      <c r="I64" s="49">
        <f>'Avg Week WOBULENZI-ZIROBWE'!I64+'Avg Week ZIROBWE-WOBULENZI'!I64</f>
        <v>0.5</v>
      </c>
      <c r="J64" s="49">
        <f>'Avg Week WOBULENZI-ZIROBWE'!J64+'Avg Week ZIROBWE-WOBULENZI'!J64</f>
        <v>0</v>
      </c>
      <c r="K64" s="49">
        <f>'Avg Week WOBULENZI-ZIROBWE'!K64+'Avg Week ZIROBWE-WOBULENZI'!K64</f>
        <v>0</v>
      </c>
      <c r="L64" s="49">
        <f>'Avg Week WOBULENZI-ZIROBWE'!L64+'Avg Week ZIROBWE-WOBULENZI'!L64</f>
        <v>0</v>
      </c>
      <c r="M64" s="49">
        <f>'Avg Week WOBULENZI-ZIROBWE'!M64+'Avg Week ZIROBWE-WOBULENZI'!M64</f>
        <v>43.5</v>
      </c>
      <c r="N64" s="49">
        <f>'Avg Week WOBULENZI-ZIROBWE'!N64+'Avg Week ZIROBWE-WOBULENZI'!N64</f>
        <v>0</v>
      </c>
      <c r="O64" s="15">
        <f t="shared" si="0"/>
        <v>5</v>
      </c>
      <c r="P64" s="15">
        <f t="shared" si="1"/>
        <v>48.5</v>
      </c>
      <c r="R64" s="8"/>
      <c r="T64"/>
    </row>
    <row r="65" spans="2:20" ht="23.1" customHeight="1" x14ac:dyDescent="0.25">
      <c r="B65" s="23" t="s">
        <v>158</v>
      </c>
      <c r="C65" s="49">
        <f>'Avg Week WOBULENZI-ZIROBWE'!C65+'Avg Week ZIROBWE-WOBULENZI'!C65</f>
        <v>1</v>
      </c>
      <c r="D65" s="49">
        <f>'Avg Week WOBULENZI-ZIROBWE'!D65+'Avg Week ZIROBWE-WOBULENZI'!D65</f>
        <v>0</v>
      </c>
      <c r="E65" s="49">
        <f>'Avg Week WOBULENZI-ZIROBWE'!E65+'Avg Week ZIROBWE-WOBULENZI'!E65</f>
        <v>1</v>
      </c>
      <c r="F65" s="49">
        <f>'Avg Week WOBULENZI-ZIROBWE'!F65+'Avg Week ZIROBWE-WOBULENZI'!F65</f>
        <v>0.5</v>
      </c>
      <c r="G65" s="49">
        <f>'Avg Week WOBULENZI-ZIROBWE'!G65+'Avg Week ZIROBWE-WOBULENZI'!G65</f>
        <v>0</v>
      </c>
      <c r="H65" s="49">
        <f>'Avg Week WOBULENZI-ZIROBWE'!H65+'Avg Week ZIROBWE-WOBULENZI'!H65</f>
        <v>0</v>
      </c>
      <c r="I65" s="49">
        <f>'Avg Week WOBULENZI-ZIROBWE'!I65+'Avg Week ZIROBWE-WOBULENZI'!I65</f>
        <v>0</v>
      </c>
      <c r="J65" s="49">
        <f>'Avg Week WOBULENZI-ZIROBWE'!J65+'Avg Week ZIROBWE-WOBULENZI'!J65</f>
        <v>1.5</v>
      </c>
      <c r="K65" s="49">
        <f>'Avg Week WOBULENZI-ZIROBWE'!K65+'Avg Week ZIROBWE-WOBULENZI'!K65</f>
        <v>0</v>
      </c>
      <c r="L65" s="49">
        <f>'Avg Week WOBULENZI-ZIROBWE'!L65+'Avg Week ZIROBWE-WOBULENZI'!L65</f>
        <v>0</v>
      </c>
      <c r="M65" s="49">
        <f>'Avg Week WOBULENZI-ZIROBWE'!M65+'Avg Week ZIROBWE-WOBULENZI'!M65</f>
        <v>30.5</v>
      </c>
      <c r="N65" s="49">
        <f>'Avg Week WOBULENZI-ZIROBWE'!N65+'Avg Week ZIROBWE-WOBULENZI'!N65</f>
        <v>0</v>
      </c>
      <c r="O65" s="15">
        <f t="shared" si="0"/>
        <v>4</v>
      </c>
      <c r="P65" s="15">
        <f t="shared" si="1"/>
        <v>34.5</v>
      </c>
      <c r="R65" s="8"/>
      <c r="T65"/>
    </row>
    <row r="66" spans="2:20" ht="23.1" customHeight="1" x14ac:dyDescent="0.25">
      <c r="B66" s="23" t="s">
        <v>103</v>
      </c>
      <c r="C66" s="49">
        <f>'Avg Week WOBULENZI-ZIROBWE'!C66+'Avg Week ZIROBWE-WOBULENZI'!C66</f>
        <v>1.5</v>
      </c>
      <c r="D66" s="49">
        <f>'Avg Week WOBULENZI-ZIROBWE'!D66+'Avg Week ZIROBWE-WOBULENZI'!D66</f>
        <v>0</v>
      </c>
      <c r="E66" s="49">
        <f>'Avg Week WOBULENZI-ZIROBWE'!E66+'Avg Week ZIROBWE-WOBULENZI'!E66</f>
        <v>0.5</v>
      </c>
      <c r="F66" s="49">
        <f>'Avg Week WOBULENZI-ZIROBWE'!F66+'Avg Week ZIROBWE-WOBULENZI'!F66</f>
        <v>2.5</v>
      </c>
      <c r="G66" s="49">
        <f>'Avg Week WOBULENZI-ZIROBWE'!G66+'Avg Week ZIROBWE-WOBULENZI'!G66</f>
        <v>0</v>
      </c>
      <c r="H66" s="49">
        <f>'Avg Week WOBULENZI-ZIROBWE'!H66+'Avg Week ZIROBWE-WOBULENZI'!H66</f>
        <v>0</v>
      </c>
      <c r="I66" s="49">
        <f>'Avg Week WOBULENZI-ZIROBWE'!I66+'Avg Week ZIROBWE-WOBULENZI'!I66</f>
        <v>0</v>
      </c>
      <c r="J66" s="49">
        <f>'Avg Week WOBULENZI-ZIROBWE'!J66+'Avg Week ZIROBWE-WOBULENZI'!J66</f>
        <v>0.5</v>
      </c>
      <c r="K66" s="49">
        <f>'Avg Week WOBULENZI-ZIROBWE'!K66+'Avg Week ZIROBWE-WOBULENZI'!K66</f>
        <v>0</v>
      </c>
      <c r="L66" s="49">
        <f>'Avg Week WOBULENZI-ZIROBWE'!L66+'Avg Week ZIROBWE-WOBULENZI'!L66</f>
        <v>0</v>
      </c>
      <c r="M66" s="49">
        <f>'Avg Week WOBULENZI-ZIROBWE'!M66+'Avg Week ZIROBWE-WOBULENZI'!M66</f>
        <v>27.5</v>
      </c>
      <c r="N66" s="49">
        <f>'Avg Week WOBULENZI-ZIROBWE'!N66+'Avg Week ZIROBWE-WOBULENZI'!N66</f>
        <v>0</v>
      </c>
      <c r="O66" s="15">
        <f t="shared" si="0"/>
        <v>5</v>
      </c>
      <c r="P66" s="15">
        <f t="shared" si="1"/>
        <v>32.5</v>
      </c>
      <c r="R66" s="8"/>
      <c r="T66"/>
    </row>
    <row r="67" spans="2:20" ht="23.1" customHeight="1" x14ac:dyDescent="0.25">
      <c r="B67" s="23" t="s">
        <v>104</v>
      </c>
      <c r="C67" s="49">
        <f>'Avg Week WOBULENZI-ZIROBWE'!C67+'Avg Week ZIROBWE-WOBULENZI'!C67</f>
        <v>1</v>
      </c>
      <c r="D67" s="49">
        <f>'Avg Week WOBULENZI-ZIROBWE'!D67+'Avg Week ZIROBWE-WOBULENZI'!D67</f>
        <v>0</v>
      </c>
      <c r="E67" s="49">
        <f>'Avg Week WOBULENZI-ZIROBWE'!E67+'Avg Week ZIROBWE-WOBULENZI'!E67</f>
        <v>0</v>
      </c>
      <c r="F67" s="49">
        <f>'Avg Week WOBULENZI-ZIROBWE'!F67+'Avg Week ZIROBWE-WOBULENZI'!F67</f>
        <v>2</v>
      </c>
      <c r="G67" s="49">
        <f>'Avg Week WOBULENZI-ZIROBWE'!G67+'Avg Week ZIROBWE-WOBULENZI'!G67</f>
        <v>0</v>
      </c>
      <c r="H67" s="49">
        <f>'Avg Week WOBULENZI-ZIROBWE'!H67+'Avg Week ZIROBWE-WOBULENZI'!H67</f>
        <v>0</v>
      </c>
      <c r="I67" s="49">
        <f>'Avg Week WOBULENZI-ZIROBWE'!I67+'Avg Week ZIROBWE-WOBULENZI'!I67</f>
        <v>0.5</v>
      </c>
      <c r="J67" s="49">
        <f>'Avg Week WOBULENZI-ZIROBWE'!J67+'Avg Week ZIROBWE-WOBULENZI'!J67</f>
        <v>0.5</v>
      </c>
      <c r="K67" s="49">
        <f>'Avg Week WOBULENZI-ZIROBWE'!K67+'Avg Week ZIROBWE-WOBULENZI'!K67</f>
        <v>0</v>
      </c>
      <c r="L67" s="49">
        <f>'Avg Week WOBULENZI-ZIROBWE'!L67+'Avg Week ZIROBWE-WOBULENZI'!L67</f>
        <v>0</v>
      </c>
      <c r="M67" s="49">
        <f>'Avg Week WOBULENZI-ZIROBWE'!M67+'Avg Week ZIROBWE-WOBULENZI'!M67</f>
        <v>37.5</v>
      </c>
      <c r="N67" s="49">
        <f>'Avg Week WOBULENZI-ZIROBWE'!N67+'Avg Week ZIROBWE-WOBULENZI'!N67</f>
        <v>0</v>
      </c>
      <c r="O67" s="15">
        <f t="shared" si="0"/>
        <v>4</v>
      </c>
      <c r="P67" s="15">
        <f t="shared" si="1"/>
        <v>41.5</v>
      </c>
      <c r="R67" s="8"/>
      <c r="T67"/>
    </row>
    <row r="68" spans="2:20" ht="23.1" customHeight="1" x14ac:dyDescent="0.25">
      <c r="B68" s="23" t="s">
        <v>105</v>
      </c>
      <c r="C68" s="49">
        <f>'Avg Week WOBULENZI-ZIROBWE'!C68+'Avg Week ZIROBWE-WOBULENZI'!C68</f>
        <v>0</v>
      </c>
      <c r="D68" s="49">
        <f>'Avg Week WOBULENZI-ZIROBWE'!D68+'Avg Week ZIROBWE-WOBULENZI'!D68</f>
        <v>0</v>
      </c>
      <c r="E68" s="49">
        <f>'Avg Week WOBULENZI-ZIROBWE'!E68+'Avg Week ZIROBWE-WOBULENZI'!E68</f>
        <v>0</v>
      </c>
      <c r="F68" s="49">
        <f>'Avg Week WOBULENZI-ZIROBWE'!F68+'Avg Week ZIROBWE-WOBULENZI'!F68</f>
        <v>1.5</v>
      </c>
      <c r="G68" s="49">
        <f>'Avg Week WOBULENZI-ZIROBWE'!G68+'Avg Week ZIROBWE-WOBULENZI'!G68</f>
        <v>0</v>
      </c>
      <c r="H68" s="49">
        <f>'Avg Week WOBULENZI-ZIROBWE'!H68+'Avg Week ZIROBWE-WOBULENZI'!H68</f>
        <v>0</v>
      </c>
      <c r="I68" s="49">
        <f>'Avg Week WOBULENZI-ZIROBWE'!I68+'Avg Week ZIROBWE-WOBULENZI'!I68</f>
        <v>1</v>
      </c>
      <c r="J68" s="49">
        <f>'Avg Week WOBULENZI-ZIROBWE'!J68+'Avg Week ZIROBWE-WOBULENZI'!J68</f>
        <v>0.5</v>
      </c>
      <c r="K68" s="49">
        <f>'Avg Week WOBULENZI-ZIROBWE'!K68+'Avg Week ZIROBWE-WOBULENZI'!K68</f>
        <v>0</v>
      </c>
      <c r="L68" s="49">
        <f>'Avg Week WOBULENZI-ZIROBWE'!L68+'Avg Week ZIROBWE-WOBULENZI'!L68</f>
        <v>0</v>
      </c>
      <c r="M68" s="49">
        <f>'Avg Week WOBULENZI-ZIROBWE'!M68+'Avg Week ZIROBWE-WOBULENZI'!M68</f>
        <v>22</v>
      </c>
      <c r="N68" s="49">
        <f>'Avg Week WOBULENZI-ZIROBWE'!N68+'Avg Week ZIROBWE-WOBULENZI'!N68</f>
        <v>0</v>
      </c>
      <c r="O68" s="15">
        <f t="shared" si="0"/>
        <v>3</v>
      </c>
      <c r="P68" s="15">
        <f t="shared" si="1"/>
        <v>25</v>
      </c>
      <c r="R68" s="8"/>
      <c r="T68"/>
    </row>
    <row r="69" spans="2:20" ht="23.1" customHeight="1" x14ac:dyDescent="0.25">
      <c r="B69" s="23" t="s">
        <v>106</v>
      </c>
      <c r="C69" s="49">
        <f>'Avg Week WOBULENZI-ZIROBWE'!C69+'Avg Week ZIROBWE-WOBULENZI'!C69</f>
        <v>2</v>
      </c>
      <c r="D69" s="49">
        <f>'Avg Week WOBULENZI-ZIROBWE'!D69+'Avg Week ZIROBWE-WOBULENZI'!D69</f>
        <v>0</v>
      </c>
      <c r="E69" s="49">
        <f>'Avg Week WOBULENZI-ZIROBWE'!E69+'Avg Week ZIROBWE-WOBULENZI'!E69</f>
        <v>0.5</v>
      </c>
      <c r="F69" s="49">
        <f>'Avg Week WOBULENZI-ZIROBWE'!F69+'Avg Week ZIROBWE-WOBULENZI'!F69</f>
        <v>2</v>
      </c>
      <c r="G69" s="49">
        <f>'Avg Week WOBULENZI-ZIROBWE'!G69+'Avg Week ZIROBWE-WOBULENZI'!G69</f>
        <v>0</v>
      </c>
      <c r="H69" s="49">
        <f>'Avg Week WOBULENZI-ZIROBWE'!H69+'Avg Week ZIROBWE-WOBULENZI'!H69</f>
        <v>0</v>
      </c>
      <c r="I69" s="49">
        <f>'Avg Week WOBULENZI-ZIROBWE'!I69+'Avg Week ZIROBWE-WOBULENZI'!I69</f>
        <v>0.5</v>
      </c>
      <c r="J69" s="49">
        <f>'Avg Week WOBULENZI-ZIROBWE'!J69+'Avg Week ZIROBWE-WOBULENZI'!J69</f>
        <v>0.5</v>
      </c>
      <c r="K69" s="49">
        <f>'Avg Week WOBULENZI-ZIROBWE'!K69+'Avg Week ZIROBWE-WOBULENZI'!K69</f>
        <v>0</v>
      </c>
      <c r="L69" s="49">
        <f>'Avg Week WOBULENZI-ZIROBWE'!L69+'Avg Week ZIROBWE-WOBULENZI'!L69</f>
        <v>0</v>
      </c>
      <c r="M69" s="49">
        <f>'Avg Week WOBULENZI-ZIROBWE'!M69+'Avg Week ZIROBWE-WOBULENZI'!M69</f>
        <v>19.5</v>
      </c>
      <c r="N69" s="49">
        <f>'Avg Week WOBULENZI-ZIROBWE'!N69+'Avg Week ZIROBWE-WOBULENZI'!N69</f>
        <v>0</v>
      </c>
      <c r="O69" s="15">
        <f t="shared" si="0"/>
        <v>5.5</v>
      </c>
      <c r="P69" s="15">
        <f t="shared" si="1"/>
        <v>25</v>
      </c>
      <c r="R69" s="8"/>
      <c r="T69"/>
    </row>
    <row r="70" spans="2:20" ht="23.1" customHeight="1" x14ac:dyDescent="0.25">
      <c r="B70" s="23" t="s">
        <v>110</v>
      </c>
      <c r="C70" s="49">
        <f>'Avg Week WOBULENZI-ZIROBWE'!C70+'Avg Week ZIROBWE-WOBULENZI'!C70</f>
        <v>1</v>
      </c>
      <c r="D70" s="49">
        <f>'Avg Week WOBULENZI-ZIROBWE'!D70+'Avg Week ZIROBWE-WOBULENZI'!D70</f>
        <v>0</v>
      </c>
      <c r="E70" s="49">
        <f>'Avg Week WOBULENZI-ZIROBWE'!E70+'Avg Week ZIROBWE-WOBULENZI'!E70</f>
        <v>0</v>
      </c>
      <c r="F70" s="49">
        <f>'Avg Week WOBULENZI-ZIROBWE'!F70+'Avg Week ZIROBWE-WOBULENZI'!F70</f>
        <v>0</v>
      </c>
      <c r="G70" s="49">
        <f>'Avg Week WOBULENZI-ZIROBWE'!G70+'Avg Week ZIROBWE-WOBULENZI'!G70</f>
        <v>0</v>
      </c>
      <c r="H70" s="49">
        <f>'Avg Week WOBULENZI-ZIROBWE'!H70+'Avg Week ZIROBWE-WOBULENZI'!H70</f>
        <v>0</v>
      </c>
      <c r="I70" s="49">
        <f>'Avg Week WOBULENZI-ZIROBWE'!I70+'Avg Week ZIROBWE-WOBULENZI'!I70</f>
        <v>0.5</v>
      </c>
      <c r="J70" s="49">
        <f>'Avg Week WOBULENZI-ZIROBWE'!J70+'Avg Week ZIROBWE-WOBULENZI'!J70</f>
        <v>0.5</v>
      </c>
      <c r="K70" s="49">
        <f>'Avg Week WOBULENZI-ZIROBWE'!K70+'Avg Week ZIROBWE-WOBULENZI'!K70</f>
        <v>0</v>
      </c>
      <c r="L70" s="49">
        <f>'Avg Week WOBULENZI-ZIROBWE'!L70+'Avg Week ZIROBWE-WOBULENZI'!L70</f>
        <v>0</v>
      </c>
      <c r="M70" s="49">
        <f>'Avg Week WOBULENZI-ZIROBWE'!M70+'Avg Week ZIROBWE-WOBULENZI'!M70</f>
        <v>20</v>
      </c>
      <c r="N70" s="49">
        <f>'Avg Week WOBULENZI-ZIROBWE'!N70+'Avg Week ZIROBWE-WOBULENZI'!N70</f>
        <v>0</v>
      </c>
      <c r="O70" s="15">
        <f t="shared" si="0"/>
        <v>2</v>
      </c>
      <c r="P70" s="15">
        <f t="shared" si="1"/>
        <v>22</v>
      </c>
      <c r="R70" s="8"/>
      <c r="T70"/>
    </row>
    <row r="71" spans="2:20" ht="23.1" customHeight="1" x14ac:dyDescent="0.25">
      <c r="B71" s="23" t="s">
        <v>111</v>
      </c>
      <c r="C71" s="49">
        <f>'Avg Week WOBULENZI-ZIROBWE'!C71+'Avg Week ZIROBWE-WOBULENZI'!C71</f>
        <v>0.5</v>
      </c>
      <c r="D71" s="49">
        <f>'Avg Week WOBULENZI-ZIROBWE'!D71+'Avg Week ZIROBWE-WOBULENZI'!D71</f>
        <v>0.5</v>
      </c>
      <c r="E71" s="49">
        <f>'Avg Week WOBULENZI-ZIROBWE'!E71+'Avg Week ZIROBWE-WOBULENZI'!E71</f>
        <v>0.5</v>
      </c>
      <c r="F71" s="49">
        <f>'Avg Week WOBULENZI-ZIROBWE'!F71+'Avg Week ZIROBWE-WOBULENZI'!F71</f>
        <v>0</v>
      </c>
      <c r="G71" s="49">
        <f>'Avg Week WOBULENZI-ZIROBWE'!G71+'Avg Week ZIROBWE-WOBULENZI'!G71</f>
        <v>0</v>
      </c>
      <c r="H71" s="49">
        <f>'Avg Week WOBULENZI-ZIROBWE'!H71+'Avg Week ZIROBWE-WOBULENZI'!H71</f>
        <v>0</v>
      </c>
      <c r="I71" s="49">
        <f>'Avg Week WOBULENZI-ZIROBWE'!I71+'Avg Week ZIROBWE-WOBULENZI'!I71</f>
        <v>0</v>
      </c>
      <c r="J71" s="49">
        <f>'Avg Week WOBULENZI-ZIROBWE'!J71+'Avg Week ZIROBWE-WOBULENZI'!J71</f>
        <v>0.5</v>
      </c>
      <c r="K71" s="49">
        <f>'Avg Week WOBULENZI-ZIROBWE'!K71+'Avg Week ZIROBWE-WOBULENZI'!K71</f>
        <v>0.5</v>
      </c>
      <c r="L71" s="49">
        <f>'Avg Week WOBULENZI-ZIROBWE'!L71+'Avg Week ZIROBWE-WOBULENZI'!L71</f>
        <v>0</v>
      </c>
      <c r="M71" s="49">
        <f>'Avg Week WOBULENZI-ZIROBWE'!M71+'Avg Week ZIROBWE-WOBULENZI'!M71</f>
        <v>14</v>
      </c>
      <c r="N71" s="49">
        <f>'Avg Week WOBULENZI-ZIROBWE'!N71+'Avg Week ZIROBWE-WOBULENZI'!N71</f>
        <v>0</v>
      </c>
      <c r="O71" s="15">
        <f t="shared" si="0"/>
        <v>2.5</v>
      </c>
      <c r="P71" s="15">
        <f t="shared" si="1"/>
        <v>16.5</v>
      </c>
      <c r="R71" s="8"/>
      <c r="T71"/>
    </row>
    <row r="72" spans="2:20" ht="23.1" customHeight="1" x14ac:dyDescent="0.25">
      <c r="B72" s="23" t="s">
        <v>112</v>
      </c>
      <c r="C72" s="49">
        <f>'Avg Week WOBULENZI-ZIROBWE'!C72+'Avg Week ZIROBWE-WOBULENZI'!C72</f>
        <v>1</v>
      </c>
      <c r="D72" s="49">
        <f>'Avg Week WOBULENZI-ZIROBWE'!D72+'Avg Week ZIROBWE-WOBULENZI'!D72</f>
        <v>0</v>
      </c>
      <c r="E72" s="49">
        <f>'Avg Week WOBULENZI-ZIROBWE'!E72+'Avg Week ZIROBWE-WOBULENZI'!E72</f>
        <v>0</v>
      </c>
      <c r="F72" s="49">
        <f>'Avg Week WOBULENZI-ZIROBWE'!F72+'Avg Week ZIROBWE-WOBULENZI'!F72</f>
        <v>0</v>
      </c>
      <c r="G72" s="49">
        <f>'Avg Week WOBULENZI-ZIROBWE'!G72+'Avg Week ZIROBWE-WOBULENZI'!G72</f>
        <v>0</v>
      </c>
      <c r="H72" s="49">
        <f>'Avg Week WOBULENZI-ZIROBWE'!H72+'Avg Week ZIROBWE-WOBULENZI'!H72</f>
        <v>0</v>
      </c>
      <c r="I72" s="49">
        <f>'Avg Week WOBULENZI-ZIROBWE'!I72+'Avg Week ZIROBWE-WOBULENZI'!I72</f>
        <v>1</v>
      </c>
      <c r="J72" s="49">
        <f>'Avg Week WOBULENZI-ZIROBWE'!J72+'Avg Week ZIROBWE-WOBULENZI'!J72</f>
        <v>1.5</v>
      </c>
      <c r="K72" s="49">
        <f>'Avg Week WOBULENZI-ZIROBWE'!K72+'Avg Week ZIROBWE-WOBULENZI'!K72</f>
        <v>0</v>
      </c>
      <c r="L72" s="49">
        <f>'Avg Week WOBULENZI-ZIROBWE'!L72+'Avg Week ZIROBWE-WOBULENZI'!L72</f>
        <v>0</v>
      </c>
      <c r="M72" s="49">
        <f>'Avg Week WOBULENZI-ZIROBWE'!M72+'Avg Week ZIROBWE-WOBULENZI'!M72</f>
        <v>11</v>
      </c>
      <c r="N72" s="49">
        <f>'Avg Week WOBULENZI-ZIROBWE'!N72+'Avg Week ZIROBWE-WOBULENZI'!N72</f>
        <v>0</v>
      </c>
      <c r="O72" s="15">
        <f t="shared" si="0"/>
        <v>3.5</v>
      </c>
      <c r="P72" s="15">
        <f t="shared" si="1"/>
        <v>14.5</v>
      </c>
      <c r="R72" s="8"/>
      <c r="T72"/>
    </row>
    <row r="73" spans="2:20" ht="23.1" customHeight="1" x14ac:dyDescent="0.25">
      <c r="B73" s="23" t="s">
        <v>113</v>
      </c>
      <c r="C73" s="49">
        <f>'Avg Week WOBULENZI-ZIROBWE'!C73+'Avg Week ZIROBWE-WOBULENZI'!C73</f>
        <v>0.5</v>
      </c>
      <c r="D73" s="49">
        <f>'Avg Week WOBULENZI-ZIROBWE'!D73+'Avg Week ZIROBWE-WOBULENZI'!D73</f>
        <v>0</v>
      </c>
      <c r="E73" s="49">
        <f>'Avg Week WOBULENZI-ZIROBWE'!E73+'Avg Week ZIROBWE-WOBULENZI'!E73</f>
        <v>0</v>
      </c>
      <c r="F73" s="49">
        <f>'Avg Week WOBULENZI-ZIROBWE'!F73+'Avg Week ZIROBWE-WOBULENZI'!F73</f>
        <v>0.5</v>
      </c>
      <c r="G73" s="49">
        <f>'Avg Week WOBULENZI-ZIROBWE'!G73+'Avg Week ZIROBWE-WOBULENZI'!G73</f>
        <v>0</v>
      </c>
      <c r="H73" s="49">
        <f>'Avg Week WOBULENZI-ZIROBWE'!H73+'Avg Week ZIROBWE-WOBULENZI'!H73</f>
        <v>0</v>
      </c>
      <c r="I73" s="49">
        <f>'Avg Week WOBULENZI-ZIROBWE'!I73+'Avg Week ZIROBWE-WOBULENZI'!I73</f>
        <v>0</v>
      </c>
      <c r="J73" s="49">
        <f>'Avg Week WOBULENZI-ZIROBWE'!J73+'Avg Week ZIROBWE-WOBULENZI'!J73</f>
        <v>1</v>
      </c>
      <c r="K73" s="49">
        <f>'Avg Week WOBULENZI-ZIROBWE'!K73+'Avg Week ZIROBWE-WOBULENZI'!K73</f>
        <v>0</v>
      </c>
      <c r="L73" s="49">
        <f>'Avg Week WOBULENZI-ZIROBWE'!L73+'Avg Week ZIROBWE-WOBULENZI'!L73</f>
        <v>0</v>
      </c>
      <c r="M73" s="49">
        <f>'Avg Week WOBULENZI-ZIROBWE'!M73+'Avg Week ZIROBWE-WOBULENZI'!M73</f>
        <v>7</v>
      </c>
      <c r="N73" s="49">
        <f>'Avg Week WOBULENZI-ZIROBWE'!N73+'Avg Week ZIROBWE-WOBULENZI'!N73</f>
        <v>0</v>
      </c>
      <c r="O73" s="15">
        <f t="shared" si="0"/>
        <v>2</v>
      </c>
      <c r="P73" s="15">
        <f t="shared" si="1"/>
        <v>9</v>
      </c>
      <c r="R73" s="8"/>
      <c r="T73"/>
    </row>
    <row r="74" spans="2:20" ht="23.1" customHeight="1" x14ac:dyDescent="0.25">
      <c r="B74" s="23" t="s">
        <v>114</v>
      </c>
      <c r="C74" s="49">
        <f>'Avg Week WOBULENZI-ZIROBWE'!C74+'Avg Week ZIROBWE-WOBULENZI'!C74</f>
        <v>0.5</v>
      </c>
      <c r="D74" s="49">
        <f>'Avg Week WOBULENZI-ZIROBWE'!D74+'Avg Week ZIROBWE-WOBULENZI'!D74</f>
        <v>0</v>
      </c>
      <c r="E74" s="49">
        <f>'Avg Week WOBULENZI-ZIROBWE'!E74+'Avg Week ZIROBWE-WOBULENZI'!E74</f>
        <v>0</v>
      </c>
      <c r="F74" s="49">
        <f>'Avg Week WOBULENZI-ZIROBWE'!F74+'Avg Week ZIROBWE-WOBULENZI'!F74</f>
        <v>1</v>
      </c>
      <c r="G74" s="49">
        <f>'Avg Week WOBULENZI-ZIROBWE'!G74+'Avg Week ZIROBWE-WOBULENZI'!G74</f>
        <v>0</v>
      </c>
      <c r="H74" s="49">
        <f>'Avg Week WOBULENZI-ZIROBWE'!H74+'Avg Week ZIROBWE-WOBULENZI'!H74</f>
        <v>0</v>
      </c>
      <c r="I74" s="49">
        <f>'Avg Week WOBULENZI-ZIROBWE'!I74+'Avg Week ZIROBWE-WOBULENZI'!I74</f>
        <v>0</v>
      </c>
      <c r="J74" s="49">
        <f>'Avg Week WOBULENZI-ZIROBWE'!J74+'Avg Week ZIROBWE-WOBULENZI'!J74</f>
        <v>0</v>
      </c>
      <c r="K74" s="49">
        <f>'Avg Week WOBULENZI-ZIROBWE'!K74+'Avg Week ZIROBWE-WOBULENZI'!K74</f>
        <v>0</v>
      </c>
      <c r="L74" s="49">
        <f>'Avg Week WOBULENZI-ZIROBWE'!L74+'Avg Week ZIROBWE-WOBULENZI'!L74</f>
        <v>0</v>
      </c>
      <c r="M74" s="49">
        <f>'Avg Week WOBULENZI-ZIROBWE'!M74+'Avg Week ZIROBWE-WOBULENZI'!M74</f>
        <v>5.5</v>
      </c>
      <c r="N74" s="49">
        <f>'Avg Week WOBULENZI-ZIROBWE'!N74+'Avg Week ZIROBWE-WOBULENZI'!N74</f>
        <v>0</v>
      </c>
      <c r="O74" s="15">
        <f t="shared" ref="O74:O105" si="35">SUM(C74:L74,N74)</f>
        <v>1.5</v>
      </c>
      <c r="P74" s="15">
        <f t="shared" ref="P74:P105" si="36">SUM(C74:N74)</f>
        <v>7</v>
      </c>
      <c r="R74" s="8"/>
      <c r="T74"/>
    </row>
    <row r="75" spans="2:20" ht="23.1" customHeight="1" x14ac:dyDescent="0.25">
      <c r="B75" s="23" t="s">
        <v>115</v>
      </c>
      <c r="C75" s="49">
        <f>'Avg Week WOBULENZI-ZIROBWE'!C75+'Avg Week ZIROBWE-WOBULENZI'!C75</f>
        <v>0</v>
      </c>
      <c r="D75" s="49">
        <f>'Avg Week WOBULENZI-ZIROBWE'!D75+'Avg Week ZIROBWE-WOBULENZI'!D75</f>
        <v>0</v>
      </c>
      <c r="E75" s="49">
        <f>'Avg Week WOBULENZI-ZIROBWE'!E75+'Avg Week ZIROBWE-WOBULENZI'!E75</f>
        <v>0</v>
      </c>
      <c r="F75" s="49">
        <f>'Avg Week WOBULENZI-ZIROBWE'!F75+'Avg Week ZIROBWE-WOBULENZI'!F75</f>
        <v>0.5</v>
      </c>
      <c r="G75" s="49">
        <f>'Avg Week WOBULENZI-ZIROBWE'!G75+'Avg Week ZIROBWE-WOBULENZI'!G75</f>
        <v>0</v>
      </c>
      <c r="H75" s="49">
        <f>'Avg Week WOBULENZI-ZIROBWE'!H75+'Avg Week ZIROBWE-WOBULENZI'!H75</f>
        <v>0</v>
      </c>
      <c r="I75" s="49">
        <f>'Avg Week WOBULENZI-ZIROBWE'!I75+'Avg Week ZIROBWE-WOBULENZI'!I75</f>
        <v>0</v>
      </c>
      <c r="J75" s="49">
        <f>'Avg Week WOBULENZI-ZIROBWE'!J75+'Avg Week ZIROBWE-WOBULENZI'!J75</f>
        <v>0</v>
      </c>
      <c r="K75" s="49">
        <f>'Avg Week WOBULENZI-ZIROBWE'!K75+'Avg Week ZIROBWE-WOBULENZI'!K75</f>
        <v>0</v>
      </c>
      <c r="L75" s="49">
        <f>'Avg Week WOBULENZI-ZIROBWE'!L75+'Avg Week ZIROBWE-WOBULENZI'!L75</f>
        <v>0</v>
      </c>
      <c r="M75" s="49">
        <f>'Avg Week WOBULENZI-ZIROBWE'!M75+'Avg Week ZIROBWE-WOBULENZI'!M75</f>
        <v>4.5</v>
      </c>
      <c r="N75" s="49">
        <f>'Avg Week WOBULENZI-ZIROBWE'!N75+'Avg Week ZIROBWE-WOBULENZI'!N75</f>
        <v>0</v>
      </c>
      <c r="O75" s="15">
        <f t="shared" si="35"/>
        <v>0.5</v>
      </c>
      <c r="P75" s="15">
        <f t="shared" si="36"/>
        <v>5</v>
      </c>
      <c r="R75" s="8"/>
      <c r="T75"/>
    </row>
    <row r="76" spans="2:20" ht="23.1" customHeight="1" x14ac:dyDescent="0.25">
      <c r="B76" s="23" t="s">
        <v>116</v>
      </c>
      <c r="C76" s="49">
        <f>'Avg Week WOBULENZI-ZIROBWE'!C76+'Avg Week ZIROBWE-WOBULENZI'!C76</f>
        <v>0</v>
      </c>
      <c r="D76" s="49">
        <f>'Avg Week WOBULENZI-ZIROBWE'!D76+'Avg Week ZIROBWE-WOBULENZI'!D76</f>
        <v>0</v>
      </c>
      <c r="E76" s="49">
        <f>'Avg Week WOBULENZI-ZIROBWE'!E76+'Avg Week ZIROBWE-WOBULENZI'!E76</f>
        <v>0.5</v>
      </c>
      <c r="F76" s="49">
        <f>'Avg Week WOBULENZI-ZIROBWE'!F76+'Avg Week ZIROBWE-WOBULENZI'!F76</f>
        <v>1</v>
      </c>
      <c r="G76" s="49">
        <f>'Avg Week WOBULENZI-ZIROBWE'!G76+'Avg Week ZIROBWE-WOBULENZI'!G76</f>
        <v>0</v>
      </c>
      <c r="H76" s="49">
        <f>'Avg Week WOBULENZI-ZIROBWE'!H76+'Avg Week ZIROBWE-WOBULENZI'!H76</f>
        <v>0</v>
      </c>
      <c r="I76" s="49">
        <f>'Avg Week WOBULENZI-ZIROBWE'!I76+'Avg Week ZIROBWE-WOBULENZI'!I76</f>
        <v>0</v>
      </c>
      <c r="J76" s="49">
        <f>'Avg Week WOBULENZI-ZIROBWE'!J76+'Avg Week ZIROBWE-WOBULENZI'!J76</f>
        <v>0.5</v>
      </c>
      <c r="K76" s="49">
        <f>'Avg Week WOBULENZI-ZIROBWE'!K76+'Avg Week ZIROBWE-WOBULENZI'!K76</f>
        <v>0</v>
      </c>
      <c r="L76" s="49">
        <f>'Avg Week WOBULENZI-ZIROBWE'!L76+'Avg Week ZIROBWE-WOBULENZI'!L76</f>
        <v>0</v>
      </c>
      <c r="M76" s="49">
        <f>'Avg Week WOBULENZI-ZIROBWE'!M76+'Avg Week ZIROBWE-WOBULENZI'!M76</f>
        <v>3.5</v>
      </c>
      <c r="N76" s="49">
        <f>'Avg Week WOBULENZI-ZIROBWE'!N76+'Avg Week ZIROBWE-WOBULENZI'!N76</f>
        <v>0</v>
      </c>
      <c r="O76" s="15">
        <f t="shared" si="35"/>
        <v>2</v>
      </c>
      <c r="P76" s="15">
        <f t="shared" si="36"/>
        <v>5.5</v>
      </c>
      <c r="R76" s="8"/>
      <c r="T76"/>
    </row>
    <row r="77" spans="2:20" ht="23.1" customHeight="1" x14ac:dyDescent="0.25">
      <c r="B77" s="23" t="s">
        <v>117</v>
      </c>
      <c r="C77" s="49">
        <f>'Avg Week WOBULENZI-ZIROBWE'!C77+'Avg Week ZIROBWE-WOBULENZI'!C77</f>
        <v>0</v>
      </c>
      <c r="D77" s="49">
        <f>'Avg Week WOBULENZI-ZIROBWE'!D77+'Avg Week ZIROBWE-WOBULENZI'!D77</f>
        <v>0</v>
      </c>
      <c r="E77" s="49">
        <f>'Avg Week WOBULENZI-ZIROBWE'!E77+'Avg Week ZIROBWE-WOBULENZI'!E77</f>
        <v>0</v>
      </c>
      <c r="F77" s="49">
        <f>'Avg Week WOBULENZI-ZIROBWE'!F77+'Avg Week ZIROBWE-WOBULENZI'!F77</f>
        <v>0</v>
      </c>
      <c r="G77" s="49">
        <f>'Avg Week WOBULENZI-ZIROBWE'!G77+'Avg Week ZIROBWE-WOBULENZI'!G77</f>
        <v>0</v>
      </c>
      <c r="H77" s="49">
        <f>'Avg Week WOBULENZI-ZIROBWE'!H77+'Avg Week ZIROBWE-WOBULENZI'!H77</f>
        <v>0</v>
      </c>
      <c r="I77" s="49">
        <f>'Avg Week WOBULENZI-ZIROBWE'!I77+'Avg Week ZIROBWE-WOBULENZI'!I77</f>
        <v>0</v>
      </c>
      <c r="J77" s="49">
        <f>'Avg Week WOBULENZI-ZIROBWE'!J77+'Avg Week ZIROBWE-WOBULENZI'!J77</f>
        <v>0.5</v>
      </c>
      <c r="K77" s="49">
        <f>'Avg Week WOBULENZI-ZIROBWE'!K77+'Avg Week ZIROBWE-WOBULENZI'!K77</f>
        <v>0</v>
      </c>
      <c r="L77" s="49">
        <f>'Avg Week WOBULENZI-ZIROBWE'!L77+'Avg Week ZIROBWE-WOBULENZI'!L77</f>
        <v>0</v>
      </c>
      <c r="M77" s="49">
        <f>'Avg Week WOBULENZI-ZIROBWE'!M77+'Avg Week ZIROBWE-WOBULENZI'!M77</f>
        <v>4</v>
      </c>
      <c r="N77" s="49">
        <f>'Avg Week WOBULENZI-ZIROBWE'!N77+'Avg Week ZIROBWE-WOBULENZI'!N77</f>
        <v>0</v>
      </c>
      <c r="O77" s="15">
        <f t="shared" si="35"/>
        <v>0.5</v>
      </c>
      <c r="P77" s="15">
        <f t="shared" si="36"/>
        <v>4.5</v>
      </c>
      <c r="R77" s="8"/>
      <c r="T77"/>
    </row>
    <row r="78" spans="2:20" ht="23.1" customHeight="1" x14ac:dyDescent="0.25">
      <c r="B78" s="24" t="s">
        <v>118</v>
      </c>
      <c r="C78" s="49">
        <f>'Avg Week WOBULENZI-ZIROBWE'!C78+'Avg Week ZIROBWE-WOBULENZI'!C78</f>
        <v>0.5</v>
      </c>
      <c r="D78" s="49">
        <f>'Avg Week WOBULENZI-ZIROBWE'!D78+'Avg Week ZIROBWE-WOBULENZI'!D78</f>
        <v>0</v>
      </c>
      <c r="E78" s="49">
        <f>'Avg Week WOBULENZI-ZIROBWE'!E78+'Avg Week ZIROBWE-WOBULENZI'!E78</f>
        <v>0</v>
      </c>
      <c r="F78" s="49">
        <f>'Avg Week WOBULENZI-ZIROBWE'!F78+'Avg Week ZIROBWE-WOBULENZI'!F78</f>
        <v>0.5</v>
      </c>
      <c r="G78" s="49">
        <f>'Avg Week WOBULENZI-ZIROBWE'!G78+'Avg Week ZIROBWE-WOBULENZI'!G78</f>
        <v>0</v>
      </c>
      <c r="H78" s="49">
        <f>'Avg Week WOBULENZI-ZIROBWE'!H78+'Avg Week ZIROBWE-WOBULENZI'!H78</f>
        <v>0</v>
      </c>
      <c r="I78" s="49">
        <f>'Avg Week WOBULENZI-ZIROBWE'!I78+'Avg Week ZIROBWE-WOBULENZI'!I78</f>
        <v>0</v>
      </c>
      <c r="J78" s="49">
        <f>'Avg Week WOBULENZI-ZIROBWE'!J78+'Avg Week ZIROBWE-WOBULENZI'!J78</f>
        <v>0</v>
      </c>
      <c r="K78" s="49">
        <f>'Avg Week WOBULENZI-ZIROBWE'!K78+'Avg Week ZIROBWE-WOBULENZI'!K78</f>
        <v>0</v>
      </c>
      <c r="L78" s="49">
        <f>'Avg Week WOBULENZI-ZIROBWE'!L78+'Avg Week ZIROBWE-WOBULENZI'!L78</f>
        <v>0</v>
      </c>
      <c r="M78" s="49">
        <f>'Avg Week WOBULENZI-ZIROBWE'!M78+'Avg Week ZIROBWE-WOBULENZI'!M78</f>
        <v>2.5</v>
      </c>
      <c r="N78" s="49">
        <f>'Avg Week WOBULENZI-ZIROBWE'!N78+'Avg Week ZIROBWE-WOBULENZI'!N78</f>
        <v>0</v>
      </c>
      <c r="O78" s="15">
        <f t="shared" si="35"/>
        <v>1</v>
      </c>
      <c r="P78" s="15">
        <f t="shared" si="36"/>
        <v>3.5</v>
      </c>
      <c r="R78" s="8"/>
      <c r="T78"/>
    </row>
    <row r="79" spans="2:20" ht="23.1" customHeight="1" x14ac:dyDescent="0.25">
      <c r="B79" s="23" t="s">
        <v>119</v>
      </c>
      <c r="C79" s="49">
        <f>'Avg Week WOBULENZI-ZIROBWE'!C79+'Avg Week ZIROBWE-WOBULENZI'!C79</f>
        <v>0</v>
      </c>
      <c r="D79" s="49">
        <f>'Avg Week WOBULENZI-ZIROBWE'!D79+'Avg Week ZIROBWE-WOBULENZI'!D79</f>
        <v>0</v>
      </c>
      <c r="E79" s="49">
        <f>'Avg Week WOBULENZI-ZIROBWE'!E79+'Avg Week ZIROBWE-WOBULENZI'!E79</f>
        <v>0</v>
      </c>
      <c r="F79" s="49">
        <f>'Avg Week WOBULENZI-ZIROBWE'!F79+'Avg Week ZIROBWE-WOBULENZI'!F79</f>
        <v>0</v>
      </c>
      <c r="G79" s="49">
        <f>'Avg Week WOBULENZI-ZIROBWE'!G79+'Avg Week ZIROBWE-WOBULENZI'!G79</f>
        <v>0</v>
      </c>
      <c r="H79" s="49">
        <f>'Avg Week WOBULENZI-ZIROBWE'!H79+'Avg Week ZIROBWE-WOBULENZI'!H79</f>
        <v>0</v>
      </c>
      <c r="I79" s="49">
        <f>'Avg Week WOBULENZI-ZIROBWE'!I79+'Avg Week ZIROBWE-WOBULENZI'!I79</f>
        <v>0</v>
      </c>
      <c r="J79" s="49">
        <f>'Avg Week WOBULENZI-ZIROBWE'!J79+'Avg Week ZIROBWE-WOBULENZI'!J79</f>
        <v>1</v>
      </c>
      <c r="K79" s="49">
        <f>'Avg Week WOBULENZI-ZIROBWE'!K79+'Avg Week ZIROBWE-WOBULENZI'!K79</f>
        <v>0</v>
      </c>
      <c r="L79" s="49">
        <f>'Avg Week WOBULENZI-ZIROBWE'!L79+'Avg Week ZIROBWE-WOBULENZI'!L79</f>
        <v>0</v>
      </c>
      <c r="M79" s="49">
        <f>'Avg Week WOBULENZI-ZIROBWE'!M79+'Avg Week ZIROBWE-WOBULENZI'!M79</f>
        <v>1</v>
      </c>
      <c r="N79" s="49">
        <f>'Avg Week WOBULENZI-ZIROBWE'!N79+'Avg Week ZIROBWE-WOBULENZI'!N79</f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25" t="s">
        <v>120</v>
      </c>
      <c r="C80" s="49">
        <f>'Avg Week WOBULENZI-ZIROBWE'!C80+'Avg Week ZIROBWE-WOBULENZI'!C80</f>
        <v>0</v>
      </c>
      <c r="D80" s="49">
        <f>'Avg Week WOBULENZI-ZIROBWE'!D80+'Avg Week ZIROBWE-WOBULENZI'!D80</f>
        <v>0</v>
      </c>
      <c r="E80" s="49">
        <f>'Avg Week WOBULENZI-ZIROBWE'!E80+'Avg Week ZIROBWE-WOBULENZI'!E80</f>
        <v>0</v>
      </c>
      <c r="F80" s="49">
        <f>'Avg Week WOBULENZI-ZIROBWE'!F80+'Avg Week ZIROBWE-WOBULENZI'!F80</f>
        <v>1</v>
      </c>
      <c r="G80" s="49">
        <f>'Avg Week WOBULENZI-ZIROBWE'!G80+'Avg Week ZIROBWE-WOBULENZI'!G80</f>
        <v>0</v>
      </c>
      <c r="H80" s="49">
        <f>'Avg Week WOBULENZI-ZIROBWE'!H80+'Avg Week ZIROBWE-WOBULENZI'!H80</f>
        <v>0</v>
      </c>
      <c r="I80" s="49">
        <f>'Avg Week WOBULENZI-ZIROBWE'!I80+'Avg Week ZIROBWE-WOBULENZI'!I80</f>
        <v>0</v>
      </c>
      <c r="J80" s="49">
        <f>'Avg Week WOBULENZI-ZIROBWE'!J80+'Avg Week ZIROBWE-WOBULENZI'!J80</f>
        <v>0.5</v>
      </c>
      <c r="K80" s="49">
        <f>'Avg Week WOBULENZI-ZIROBWE'!K80+'Avg Week ZIROBWE-WOBULENZI'!K80</f>
        <v>0</v>
      </c>
      <c r="L80" s="49">
        <f>'Avg Week WOBULENZI-ZIROBWE'!L80+'Avg Week ZIROBWE-WOBULENZI'!L80</f>
        <v>0</v>
      </c>
      <c r="M80" s="49">
        <f>'Avg Week WOBULENZI-ZIROBWE'!M80+'Avg Week ZIROBWE-WOBULENZI'!M80</f>
        <v>0.5</v>
      </c>
      <c r="N80" s="49">
        <f>'Avg Week WOBULENZI-ZIROBWE'!N80+'Avg Week ZIROBWE-WOBULENZI'!N80</f>
        <v>0</v>
      </c>
      <c r="O80" s="15">
        <f t="shared" si="35"/>
        <v>1.5</v>
      </c>
      <c r="P80" s="15">
        <f t="shared" si="36"/>
        <v>2</v>
      </c>
      <c r="R80" s="8"/>
      <c r="T80"/>
    </row>
    <row r="81" spans="2:20" ht="23.1" customHeight="1" x14ac:dyDescent="0.25">
      <c r="B81" s="23" t="s">
        <v>121</v>
      </c>
      <c r="C81" s="49">
        <f>'Avg Week WOBULENZI-ZIROBWE'!C81+'Avg Week ZIROBWE-WOBULENZI'!C81</f>
        <v>0</v>
      </c>
      <c r="D81" s="49">
        <f>'Avg Week WOBULENZI-ZIROBWE'!D81+'Avg Week ZIROBWE-WOBULENZI'!D81</f>
        <v>0</v>
      </c>
      <c r="E81" s="49">
        <f>'Avg Week WOBULENZI-ZIROBWE'!E81+'Avg Week ZIROBWE-WOBULENZI'!E81</f>
        <v>0</v>
      </c>
      <c r="F81" s="49">
        <f>'Avg Week WOBULENZI-ZIROBWE'!F81+'Avg Week ZIROBWE-WOBULENZI'!F81</f>
        <v>0</v>
      </c>
      <c r="G81" s="49">
        <f>'Avg Week WOBULENZI-ZIROBWE'!G81+'Avg Week ZIROBWE-WOBULENZI'!G81</f>
        <v>0</v>
      </c>
      <c r="H81" s="49">
        <f>'Avg Week WOBULENZI-ZIROBWE'!H81+'Avg Week ZIROBWE-WOBULENZI'!H81</f>
        <v>0</v>
      </c>
      <c r="I81" s="49">
        <f>'Avg Week WOBULENZI-ZIROBWE'!I81+'Avg Week ZIROBWE-WOBULENZI'!I81</f>
        <v>0</v>
      </c>
      <c r="J81" s="49">
        <f>'Avg Week WOBULENZI-ZIROBWE'!J81+'Avg Week ZIROBWE-WOBULENZI'!J81</f>
        <v>0</v>
      </c>
      <c r="K81" s="49">
        <f>'Avg Week WOBULENZI-ZIROBWE'!K81+'Avg Week ZIROBWE-WOBULENZI'!K81</f>
        <v>0</v>
      </c>
      <c r="L81" s="49">
        <f>'Avg Week WOBULENZI-ZIROBWE'!L81+'Avg Week ZIROBWE-WOBULENZI'!L81</f>
        <v>0</v>
      </c>
      <c r="M81" s="49">
        <f>'Avg Week WOBULENZI-ZIROBWE'!M81+'Avg Week ZIROBWE-WOBULENZI'!M81</f>
        <v>0</v>
      </c>
      <c r="N81" s="49">
        <f>'Avg Week WOBULENZI-ZIROBWE'!N81+'Avg Week ZIROBWE-WOBULENZI'!N81</f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24" t="s">
        <v>122</v>
      </c>
      <c r="C82" s="49">
        <f>'Avg Week WOBULENZI-ZIROBWE'!C82+'Avg Week ZIROBWE-WOBULENZI'!C82</f>
        <v>0</v>
      </c>
      <c r="D82" s="49">
        <f>'Avg Week WOBULENZI-ZIROBWE'!D82+'Avg Week ZIROBWE-WOBULENZI'!D82</f>
        <v>0</v>
      </c>
      <c r="E82" s="49">
        <f>'Avg Week WOBULENZI-ZIROBWE'!E82+'Avg Week ZIROBWE-WOBULENZI'!E82</f>
        <v>0</v>
      </c>
      <c r="F82" s="49">
        <f>'Avg Week WOBULENZI-ZIROBWE'!F82+'Avg Week ZIROBWE-WOBULENZI'!F82</f>
        <v>0</v>
      </c>
      <c r="G82" s="49">
        <f>'Avg Week WOBULENZI-ZIROBWE'!G82+'Avg Week ZIROBWE-WOBULENZI'!G82</f>
        <v>0</v>
      </c>
      <c r="H82" s="49">
        <f>'Avg Week WOBULENZI-ZIROBWE'!H82+'Avg Week ZIROBWE-WOBULENZI'!H82</f>
        <v>0</v>
      </c>
      <c r="I82" s="49">
        <f>'Avg Week WOBULENZI-ZIROBWE'!I82+'Avg Week ZIROBWE-WOBULENZI'!I82</f>
        <v>0.5</v>
      </c>
      <c r="J82" s="49">
        <f>'Avg Week WOBULENZI-ZIROBWE'!J82+'Avg Week ZIROBWE-WOBULENZI'!J82</f>
        <v>0</v>
      </c>
      <c r="K82" s="49">
        <f>'Avg Week WOBULENZI-ZIROBWE'!K82+'Avg Week ZIROBWE-WOBULENZI'!K82</f>
        <v>0</v>
      </c>
      <c r="L82" s="49">
        <f>'Avg Week WOBULENZI-ZIROBWE'!L82+'Avg Week ZIROBWE-WOBULENZI'!L82</f>
        <v>0</v>
      </c>
      <c r="M82" s="49">
        <f>'Avg Week WOBULENZI-ZIROBWE'!M82+'Avg Week ZIROBWE-WOBULENZI'!M82</f>
        <v>0</v>
      </c>
      <c r="N82" s="49">
        <f>'Avg Week WOBULENZI-ZIROBWE'!N82+'Avg Week ZIROBWE-WOBULENZI'!N82</f>
        <v>0</v>
      </c>
      <c r="O82" s="15">
        <f t="shared" si="35"/>
        <v>0.5</v>
      </c>
      <c r="P82" s="15">
        <f t="shared" si="36"/>
        <v>0.5</v>
      </c>
      <c r="R82" s="8"/>
      <c r="T82"/>
    </row>
    <row r="83" spans="2:20" ht="23.1" customHeight="1" x14ac:dyDescent="0.25">
      <c r="B83" s="23" t="s">
        <v>123</v>
      </c>
      <c r="C83" s="49">
        <f>'Avg Week WOBULENZI-ZIROBWE'!C83+'Avg Week ZIROBWE-WOBULENZI'!C83</f>
        <v>0</v>
      </c>
      <c r="D83" s="49">
        <f>'Avg Week WOBULENZI-ZIROBWE'!D83+'Avg Week ZIROBWE-WOBULENZI'!D83</f>
        <v>0</v>
      </c>
      <c r="E83" s="49">
        <f>'Avg Week WOBULENZI-ZIROBWE'!E83+'Avg Week ZIROBWE-WOBULENZI'!E83</f>
        <v>0</v>
      </c>
      <c r="F83" s="49">
        <f>'Avg Week WOBULENZI-ZIROBWE'!F83+'Avg Week ZIROBWE-WOBULENZI'!F83</f>
        <v>0</v>
      </c>
      <c r="G83" s="49">
        <f>'Avg Week WOBULENZI-ZIROBWE'!G83+'Avg Week ZIROBWE-WOBULENZI'!G83</f>
        <v>0</v>
      </c>
      <c r="H83" s="49">
        <f>'Avg Week WOBULENZI-ZIROBWE'!H83+'Avg Week ZIROBWE-WOBULENZI'!H83</f>
        <v>0</v>
      </c>
      <c r="I83" s="49">
        <f>'Avg Week WOBULENZI-ZIROBWE'!I83+'Avg Week ZIROBWE-WOBULENZI'!I83</f>
        <v>0</v>
      </c>
      <c r="J83" s="49">
        <f>'Avg Week WOBULENZI-ZIROBWE'!J83+'Avg Week ZIROBWE-WOBULENZI'!J83</f>
        <v>0</v>
      </c>
      <c r="K83" s="49">
        <f>'Avg Week WOBULENZI-ZIROBWE'!K83+'Avg Week ZIROBWE-WOBULENZI'!K83</f>
        <v>0</v>
      </c>
      <c r="L83" s="49">
        <f>'Avg Week WOBULENZI-ZIROBWE'!L83+'Avg Week ZIROBWE-WOBULENZI'!L83</f>
        <v>0</v>
      </c>
      <c r="M83" s="49">
        <f>'Avg Week WOBULENZI-ZIROBWE'!M83+'Avg Week ZIROBWE-WOBULENZI'!M83</f>
        <v>0.5</v>
      </c>
      <c r="N83" s="49">
        <f>'Avg Week WOBULENZI-ZIROBWE'!N83+'Avg Week ZIROBWE-WOBULENZI'!N83</f>
        <v>0</v>
      </c>
      <c r="O83" s="15">
        <f t="shared" si="35"/>
        <v>0</v>
      </c>
      <c r="P83" s="15">
        <f t="shared" si="36"/>
        <v>0.5</v>
      </c>
      <c r="R83" s="8"/>
      <c r="T83"/>
    </row>
    <row r="84" spans="2:20" ht="23.1" customHeight="1" x14ac:dyDescent="0.25">
      <c r="B84" s="25" t="s">
        <v>124</v>
      </c>
      <c r="C84" s="49">
        <f>'Avg Week WOBULENZI-ZIROBWE'!C84+'Avg Week ZIROBWE-WOBULENZI'!C84</f>
        <v>0</v>
      </c>
      <c r="D84" s="49">
        <f>'Avg Week WOBULENZI-ZIROBWE'!D84+'Avg Week ZIROBWE-WOBULENZI'!D84</f>
        <v>0</v>
      </c>
      <c r="E84" s="49">
        <f>'Avg Week WOBULENZI-ZIROBWE'!E84+'Avg Week ZIROBWE-WOBULENZI'!E84</f>
        <v>0.5</v>
      </c>
      <c r="F84" s="49">
        <f>'Avg Week WOBULENZI-ZIROBWE'!F84+'Avg Week ZIROBWE-WOBULENZI'!F84</f>
        <v>0</v>
      </c>
      <c r="G84" s="49">
        <f>'Avg Week WOBULENZI-ZIROBWE'!G84+'Avg Week ZIROBWE-WOBULENZI'!G84</f>
        <v>0</v>
      </c>
      <c r="H84" s="49">
        <f>'Avg Week WOBULENZI-ZIROBWE'!H84+'Avg Week ZIROBWE-WOBULENZI'!H84</f>
        <v>0</v>
      </c>
      <c r="I84" s="49">
        <f>'Avg Week WOBULENZI-ZIROBWE'!I84+'Avg Week ZIROBWE-WOBULENZI'!I84</f>
        <v>0</v>
      </c>
      <c r="J84" s="49">
        <f>'Avg Week WOBULENZI-ZIROBWE'!J84+'Avg Week ZIROBWE-WOBULENZI'!J84</f>
        <v>0</v>
      </c>
      <c r="K84" s="49">
        <f>'Avg Week WOBULENZI-ZIROBWE'!K84+'Avg Week ZIROBWE-WOBULENZI'!K84</f>
        <v>0</v>
      </c>
      <c r="L84" s="49">
        <f>'Avg Week WOBULENZI-ZIROBWE'!L84+'Avg Week ZIROBWE-WOBULENZI'!L84</f>
        <v>0</v>
      </c>
      <c r="M84" s="49">
        <f>'Avg Week WOBULENZI-ZIROBWE'!M84+'Avg Week ZIROBWE-WOBULENZI'!M84</f>
        <v>0</v>
      </c>
      <c r="N84" s="49">
        <f>'Avg Week WOBULENZI-ZIROBWE'!N84+'Avg Week ZIROBWE-WOBULENZI'!N84</f>
        <v>0</v>
      </c>
      <c r="O84" s="15">
        <f t="shared" si="35"/>
        <v>0.5</v>
      </c>
      <c r="P84" s="15">
        <f t="shared" si="36"/>
        <v>0.5</v>
      </c>
      <c r="R84" s="8"/>
      <c r="T84"/>
    </row>
    <row r="85" spans="2:20" ht="23.1" customHeight="1" x14ac:dyDescent="0.25">
      <c r="B85" s="23" t="s">
        <v>125</v>
      </c>
      <c r="C85" s="49">
        <f>'Avg Week WOBULENZI-ZIROBWE'!C85+'Avg Week ZIROBWE-WOBULENZI'!C85</f>
        <v>0.5</v>
      </c>
      <c r="D85" s="49">
        <f>'Avg Week WOBULENZI-ZIROBWE'!D85+'Avg Week ZIROBWE-WOBULENZI'!D85</f>
        <v>0</v>
      </c>
      <c r="E85" s="49">
        <f>'Avg Week WOBULENZI-ZIROBWE'!E85+'Avg Week ZIROBWE-WOBULENZI'!E85</f>
        <v>0</v>
      </c>
      <c r="F85" s="49">
        <f>'Avg Week WOBULENZI-ZIROBWE'!F85+'Avg Week ZIROBWE-WOBULENZI'!F85</f>
        <v>0</v>
      </c>
      <c r="G85" s="49">
        <f>'Avg Week WOBULENZI-ZIROBWE'!G85+'Avg Week ZIROBWE-WOBULENZI'!G85</f>
        <v>0</v>
      </c>
      <c r="H85" s="49">
        <f>'Avg Week WOBULENZI-ZIROBWE'!H85+'Avg Week ZIROBWE-WOBULENZI'!H85</f>
        <v>0</v>
      </c>
      <c r="I85" s="49">
        <f>'Avg Week WOBULENZI-ZIROBWE'!I85+'Avg Week ZIROBWE-WOBULENZI'!I85</f>
        <v>0</v>
      </c>
      <c r="J85" s="49">
        <f>'Avg Week WOBULENZI-ZIROBWE'!J85+'Avg Week ZIROBWE-WOBULENZI'!J85</f>
        <v>0</v>
      </c>
      <c r="K85" s="49">
        <f>'Avg Week WOBULENZI-ZIROBWE'!K85+'Avg Week ZIROBWE-WOBULENZI'!K85</f>
        <v>0</v>
      </c>
      <c r="L85" s="49">
        <f>'Avg Week WOBULENZI-ZIROBWE'!L85+'Avg Week ZIROBWE-WOBULENZI'!L85</f>
        <v>0</v>
      </c>
      <c r="M85" s="49">
        <f>'Avg Week WOBULENZI-ZIROBWE'!M85+'Avg Week ZIROBWE-WOBULENZI'!M85</f>
        <v>1</v>
      </c>
      <c r="N85" s="49">
        <f>'Avg Week WOBULENZI-ZIROBWE'!N85+'Avg Week ZIROBWE-WOBULENZI'!N85</f>
        <v>0</v>
      </c>
      <c r="O85" s="15">
        <f t="shared" si="35"/>
        <v>0.5</v>
      </c>
      <c r="P85" s="15">
        <f t="shared" si="36"/>
        <v>1.5</v>
      </c>
      <c r="R85" s="8"/>
      <c r="T85"/>
    </row>
    <row r="86" spans="2:20" ht="23.1" customHeight="1" x14ac:dyDescent="0.25">
      <c r="B86" s="24" t="s">
        <v>126</v>
      </c>
      <c r="C86" s="49">
        <f>'Avg Week WOBULENZI-ZIROBWE'!C86+'Avg Week ZIROBWE-WOBULENZI'!C86</f>
        <v>0</v>
      </c>
      <c r="D86" s="49">
        <f>'Avg Week WOBULENZI-ZIROBWE'!D86+'Avg Week ZIROBWE-WOBULENZI'!D86</f>
        <v>0</v>
      </c>
      <c r="E86" s="49">
        <f>'Avg Week WOBULENZI-ZIROBWE'!E86+'Avg Week ZIROBWE-WOBULENZI'!E86</f>
        <v>0</v>
      </c>
      <c r="F86" s="49">
        <f>'Avg Week WOBULENZI-ZIROBWE'!F86+'Avg Week ZIROBWE-WOBULENZI'!F86</f>
        <v>0</v>
      </c>
      <c r="G86" s="49">
        <f>'Avg Week WOBULENZI-ZIROBWE'!G86+'Avg Week ZIROBWE-WOBULENZI'!G86</f>
        <v>0</v>
      </c>
      <c r="H86" s="49">
        <f>'Avg Week WOBULENZI-ZIROBWE'!H86+'Avg Week ZIROBWE-WOBULENZI'!H86</f>
        <v>0</v>
      </c>
      <c r="I86" s="49">
        <f>'Avg Week WOBULENZI-ZIROBWE'!I86+'Avg Week ZIROBWE-WOBULENZI'!I86</f>
        <v>0</v>
      </c>
      <c r="J86" s="49">
        <f>'Avg Week WOBULENZI-ZIROBWE'!J86+'Avg Week ZIROBWE-WOBULENZI'!J86</f>
        <v>0.5</v>
      </c>
      <c r="K86" s="49">
        <f>'Avg Week WOBULENZI-ZIROBWE'!K86+'Avg Week ZIROBWE-WOBULENZI'!K86</f>
        <v>0</v>
      </c>
      <c r="L86" s="49">
        <f>'Avg Week WOBULENZI-ZIROBWE'!L86+'Avg Week ZIROBWE-WOBULENZI'!L86</f>
        <v>0</v>
      </c>
      <c r="M86" s="49">
        <f>'Avg Week WOBULENZI-ZIROBWE'!M86+'Avg Week ZIROBWE-WOBULENZI'!M86</f>
        <v>0</v>
      </c>
      <c r="N86" s="49">
        <f>'Avg Week WOBULENZI-ZIROBWE'!N86+'Avg Week ZIROBWE-WOBULENZI'!N86</f>
        <v>0</v>
      </c>
      <c r="O86" s="15">
        <f t="shared" si="35"/>
        <v>0.5</v>
      </c>
      <c r="P86" s="15">
        <f t="shared" si="36"/>
        <v>0.5</v>
      </c>
      <c r="R86" s="8"/>
      <c r="T86"/>
    </row>
    <row r="87" spans="2:20" ht="23.1" customHeight="1" x14ac:dyDescent="0.25">
      <c r="B87" s="23" t="s">
        <v>127</v>
      </c>
      <c r="C87" s="49">
        <f>'Avg Week WOBULENZI-ZIROBWE'!C87+'Avg Week ZIROBWE-WOBULENZI'!C87</f>
        <v>0</v>
      </c>
      <c r="D87" s="49">
        <f>'Avg Week WOBULENZI-ZIROBWE'!D87+'Avg Week ZIROBWE-WOBULENZI'!D87</f>
        <v>0</v>
      </c>
      <c r="E87" s="49">
        <f>'Avg Week WOBULENZI-ZIROBWE'!E87+'Avg Week ZIROBWE-WOBULENZI'!E87</f>
        <v>0</v>
      </c>
      <c r="F87" s="49">
        <f>'Avg Week WOBULENZI-ZIROBWE'!F87+'Avg Week ZIROBWE-WOBULENZI'!F87</f>
        <v>1</v>
      </c>
      <c r="G87" s="49">
        <f>'Avg Week WOBULENZI-ZIROBWE'!G87+'Avg Week ZIROBWE-WOBULENZI'!G87</f>
        <v>0</v>
      </c>
      <c r="H87" s="49">
        <f>'Avg Week WOBULENZI-ZIROBWE'!H87+'Avg Week ZIROBWE-WOBULENZI'!H87</f>
        <v>0</v>
      </c>
      <c r="I87" s="49">
        <f>'Avg Week WOBULENZI-ZIROBWE'!I87+'Avg Week ZIROBWE-WOBULENZI'!I87</f>
        <v>0</v>
      </c>
      <c r="J87" s="49">
        <f>'Avg Week WOBULENZI-ZIROBWE'!J87+'Avg Week ZIROBWE-WOBULENZI'!J87</f>
        <v>0</v>
      </c>
      <c r="K87" s="49">
        <f>'Avg Week WOBULENZI-ZIROBWE'!K87+'Avg Week ZIROBWE-WOBULENZI'!K87</f>
        <v>0</v>
      </c>
      <c r="L87" s="49">
        <f>'Avg Week WOBULENZI-ZIROBWE'!L87+'Avg Week ZIROBWE-WOBULENZI'!L87</f>
        <v>0</v>
      </c>
      <c r="M87" s="49">
        <f>'Avg Week WOBULENZI-ZIROBWE'!M87+'Avg Week ZIROBWE-WOBULENZI'!M87</f>
        <v>0</v>
      </c>
      <c r="N87" s="49">
        <f>'Avg Week WOBULENZI-ZIROBWE'!N87+'Avg Week ZIROBWE-WOBULENZI'!N87</f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25" t="s">
        <v>128</v>
      </c>
      <c r="C88" s="49">
        <f>'Avg Week WOBULENZI-ZIROBWE'!C88+'Avg Week ZIROBWE-WOBULENZI'!C88</f>
        <v>0</v>
      </c>
      <c r="D88" s="49">
        <f>'Avg Week WOBULENZI-ZIROBWE'!D88+'Avg Week ZIROBWE-WOBULENZI'!D88</f>
        <v>0</v>
      </c>
      <c r="E88" s="49">
        <f>'Avg Week WOBULENZI-ZIROBWE'!E88+'Avg Week ZIROBWE-WOBULENZI'!E88</f>
        <v>0</v>
      </c>
      <c r="F88" s="49">
        <f>'Avg Week WOBULENZI-ZIROBWE'!F88+'Avg Week ZIROBWE-WOBULENZI'!F88</f>
        <v>0</v>
      </c>
      <c r="G88" s="49">
        <f>'Avg Week WOBULENZI-ZIROBWE'!G88+'Avg Week ZIROBWE-WOBULENZI'!G88</f>
        <v>0</v>
      </c>
      <c r="H88" s="49">
        <f>'Avg Week WOBULENZI-ZIROBWE'!H88+'Avg Week ZIROBWE-WOBULENZI'!H88</f>
        <v>0</v>
      </c>
      <c r="I88" s="49">
        <f>'Avg Week WOBULENZI-ZIROBWE'!I88+'Avg Week ZIROBWE-WOBULENZI'!I88</f>
        <v>0</v>
      </c>
      <c r="J88" s="49">
        <f>'Avg Week WOBULENZI-ZIROBWE'!J88+'Avg Week ZIROBWE-WOBULENZI'!J88</f>
        <v>0</v>
      </c>
      <c r="K88" s="49">
        <f>'Avg Week WOBULENZI-ZIROBWE'!K88+'Avg Week ZIROBWE-WOBULENZI'!K88</f>
        <v>0</v>
      </c>
      <c r="L88" s="49">
        <f>'Avg Week WOBULENZI-ZIROBWE'!L88+'Avg Week ZIROBWE-WOBULENZI'!L88</f>
        <v>0</v>
      </c>
      <c r="M88" s="49">
        <f>'Avg Week WOBULENZI-ZIROBWE'!M88+'Avg Week ZIROBWE-WOBULENZI'!M88</f>
        <v>0</v>
      </c>
      <c r="N88" s="49">
        <f>'Avg Week WOBULENZI-ZIROBWE'!N88+'Avg Week ZIROBWE-WOBULENZI'!N88</f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23" t="s">
        <v>129</v>
      </c>
      <c r="C89" s="49">
        <f>'Avg Week WOBULENZI-ZIROBWE'!C89+'Avg Week ZIROBWE-WOBULENZI'!C89</f>
        <v>0</v>
      </c>
      <c r="D89" s="49">
        <f>'Avg Week WOBULENZI-ZIROBWE'!D89+'Avg Week ZIROBWE-WOBULENZI'!D89</f>
        <v>0</v>
      </c>
      <c r="E89" s="49">
        <f>'Avg Week WOBULENZI-ZIROBWE'!E89+'Avg Week ZIROBWE-WOBULENZI'!E89</f>
        <v>0</v>
      </c>
      <c r="F89" s="49">
        <f>'Avg Week WOBULENZI-ZIROBWE'!F89+'Avg Week ZIROBWE-WOBULENZI'!F89</f>
        <v>0.5</v>
      </c>
      <c r="G89" s="49">
        <f>'Avg Week WOBULENZI-ZIROBWE'!G89+'Avg Week ZIROBWE-WOBULENZI'!G89</f>
        <v>0</v>
      </c>
      <c r="H89" s="49">
        <f>'Avg Week WOBULENZI-ZIROBWE'!H89+'Avg Week ZIROBWE-WOBULENZI'!H89</f>
        <v>0</v>
      </c>
      <c r="I89" s="49">
        <f>'Avg Week WOBULENZI-ZIROBWE'!I89+'Avg Week ZIROBWE-WOBULENZI'!I89</f>
        <v>0</v>
      </c>
      <c r="J89" s="49">
        <f>'Avg Week WOBULENZI-ZIROBWE'!J89+'Avg Week ZIROBWE-WOBULENZI'!J89</f>
        <v>0</v>
      </c>
      <c r="K89" s="49">
        <f>'Avg Week WOBULENZI-ZIROBWE'!K89+'Avg Week ZIROBWE-WOBULENZI'!K89</f>
        <v>0</v>
      </c>
      <c r="L89" s="49">
        <f>'Avg Week WOBULENZI-ZIROBWE'!L89+'Avg Week ZIROBWE-WOBULENZI'!L89</f>
        <v>0</v>
      </c>
      <c r="M89" s="49">
        <f>'Avg Week WOBULENZI-ZIROBWE'!M89+'Avg Week ZIROBWE-WOBULENZI'!M89</f>
        <v>0</v>
      </c>
      <c r="N89" s="49">
        <f>'Avg Week WOBULENZI-ZIROBWE'!N89+'Avg Week ZIROBWE-WOBULENZI'!N89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'Avg Week WOBULENZI-ZIROBWE'!C90+'Avg Week ZIROBWE-WOBULENZI'!C90</f>
        <v>0</v>
      </c>
      <c r="D90" s="49">
        <f>'Avg Week WOBULENZI-ZIROBWE'!D90+'Avg Week ZIROBWE-WOBULENZI'!D90</f>
        <v>0</v>
      </c>
      <c r="E90" s="49">
        <f>'Avg Week WOBULENZI-ZIROBWE'!E90+'Avg Week ZIROBWE-WOBULENZI'!E90</f>
        <v>0.5</v>
      </c>
      <c r="F90" s="49">
        <f>'Avg Week WOBULENZI-ZIROBWE'!F90+'Avg Week ZIROBWE-WOBULENZI'!F90</f>
        <v>0</v>
      </c>
      <c r="G90" s="49">
        <f>'Avg Week WOBULENZI-ZIROBWE'!G90+'Avg Week ZIROBWE-WOBULENZI'!G90</f>
        <v>0</v>
      </c>
      <c r="H90" s="49">
        <f>'Avg Week WOBULENZI-ZIROBWE'!H90+'Avg Week ZIROBWE-WOBULENZI'!H90</f>
        <v>0</v>
      </c>
      <c r="I90" s="49">
        <f>'Avg Week WOBULENZI-ZIROBWE'!I90+'Avg Week ZIROBWE-WOBULENZI'!I90</f>
        <v>0</v>
      </c>
      <c r="J90" s="49">
        <f>'Avg Week WOBULENZI-ZIROBWE'!J90+'Avg Week ZIROBWE-WOBULENZI'!J90</f>
        <v>0</v>
      </c>
      <c r="K90" s="49">
        <f>'Avg Week WOBULENZI-ZIROBWE'!K90+'Avg Week ZIROBWE-WOBULENZI'!K90</f>
        <v>0</v>
      </c>
      <c r="L90" s="49">
        <f>'Avg Week WOBULENZI-ZIROBWE'!L90+'Avg Week ZIROBWE-WOBULENZI'!L90</f>
        <v>0</v>
      </c>
      <c r="M90" s="49">
        <f>'Avg Week WOBULENZI-ZIROBWE'!M90+'Avg Week ZIROBWE-WOBULENZI'!M90</f>
        <v>1.5</v>
      </c>
      <c r="N90" s="49">
        <f>'Avg Week WOBULENZI-ZIROBWE'!N90+'Avg Week ZIROBWE-WOBULENZI'!N90</f>
        <v>0</v>
      </c>
      <c r="O90" s="15">
        <f t="shared" si="35"/>
        <v>0.5</v>
      </c>
      <c r="P90" s="15">
        <f t="shared" si="36"/>
        <v>2</v>
      </c>
      <c r="R90" s="8"/>
      <c r="T90"/>
    </row>
    <row r="91" spans="2:20" ht="23.1" customHeight="1" x14ac:dyDescent="0.25">
      <c r="B91" s="23" t="s">
        <v>131</v>
      </c>
      <c r="C91" s="49">
        <f>'Avg Week WOBULENZI-ZIROBWE'!C91+'Avg Week ZIROBWE-WOBULENZI'!C91</f>
        <v>0</v>
      </c>
      <c r="D91" s="49">
        <f>'Avg Week WOBULENZI-ZIROBWE'!D91+'Avg Week ZIROBWE-WOBULENZI'!D91</f>
        <v>0</v>
      </c>
      <c r="E91" s="49">
        <f>'Avg Week WOBULENZI-ZIROBWE'!E91+'Avg Week ZIROBWE-WOBULENZI'!E91</f>
        <v>0</v>
      </c>
      <c r="F91" s="49">
        <f>'Avg Week WOBULENZI-ZIROBWE'!F91+'Avg Week ZIROBWE-WOBULENZI'!F91</f>
        <v>0</v>
      </c>
      <c r="G91" s="49">
        <f>'Avg Week WOBULENZI-ZIROBWE'!G91+'Avg Week ZIROBWE-WOBULENZI'!G91</f>
        <v>0</v>
      </c>
      <c r="H91" s="49">
        <f>'Avg Week WOBULENZI-ZIROBWE'!H91+'Avg Week ZIROBWE-WOBULENZI'!H91</f>
        <v>0</v>
      </c>
      <c r="I91" s="49">
        <f>'Avg Week WOBULENZI-ZIROBWE'!I91+'Avg Week ZIROBWE-WOBULENZI'!I91</f>
        <v>0</v>
      </c>
      <c r="J91" s="49">
        <f>'Avg Week WOBULENZI-ZIROBWE'!J91+'Avg Week ZIROBWE-WOBULENZI'!J91</f>
        <v>0</v>
      </c>
      <c r="K91" s="49">
        <f>'Avg Week WOBULENZI-ZIROBWE'!K91+'Avg Week ZIROBWE-WOBULENZI'!K91</f>
        <v>0</v>
      </c>
      <c r="L91" s="49">
        <f>'Avg Week WOBULENZI-ZIROBWE'!L91+'Avg Week ZIROBWE-WOBULENZI'!L91</f>
        <v>0</v>
      </c>
      <c r="M91" s="49">
        <f>'Avg Week WOBULENZI-ZIROBWE'!M91+'Avg Week ZIROBWE-WOBULENZI'!M91</f>
        <v>0</v>
      </c>
      <c r="N91" s="49">
        <f>'Avg Week WOBULENZI-ZIROBWE'!N91+'Avg Week ZIROBWE-WOBULENZI'!N91</f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25" t="s">
        <v>132</v>
      </c>
      <c r="C92" s="49">
        <f>'Avg Week WOBULENZI-ZIROBWE'!C92+'Avg Week ZIROBWE-WOBULENZI'!C92</f>
        <v>0</v>
      </c>
      <c r="D92" s="49">
        <f>'Avg Week WOBULENZI-ZIROBWE'!D92+'Avg Week ZIROBWE-WOBULENZI'!D92</f>
        <v>0</v>
      </c>
      <c r="E92" s="49">
        <f>'Avg Week WOBULENZI-ZIROBWE'!E92+'Avg Week ZIROBWE-WOBULENZI'!E92</f>
        <v>0</v>
      </c>
      <c r="F92" s="49">
        <f>'Avg Week WOBULENZI-ZIROBWE'!F92+'Avg Week ZIROBWE-WOBULENZI'!F92</f>
        <v>0.5</v>
      </c>
      <c r="G92" s="49">
        <f>'Avg Week WOBULENZI-ZIROBWE'!G92+'Avg Week ZIROBWE-WOBULENZI'!G92</f>
        <v>0</v>
      </c>
      <c r="H92" s="49">
        <f>'Avg Week WOBULENZI-ZIROBWE'!H92+'Avg Week ZIROBWE-WOBULENZI'!H92</f>
        <v>0</v>
      </c>
      <c r="I92" s="49">
        <f>'Avg Week WOBULENZI-ZIROBWE'!I92+'Avg Week ZIROBWE-WOBULENZI'!I92</f>
        <v>0</v>
      </c>
      <c r="J92" s="49">
        <f>'Avg Week WOBULENZI-ZIROBWE'!J92+'Avg Week ZIROBWE-WOBULENZI'!J92</f>
        <v>0</v>
      </c>
      <c r="K92" s="49">
        <f>'Avg Week WOBULENZI-ZIROBWE'!K92+'Avg Week ZIROBWE-WOBULENZI'!K92</f>
        <v>0.5</v>
      </c>
      <c r="L92" s="49">
        <f>'Avg Week WOBULENZI-ZIROBWE'!L92+'Avg Week ZIROBWE-WOBULENZI'!L92</f>
        <v>0</v>
      </c>
      <c r="M92" s="49">
        <f>'Avg Week WOBULENZI-ZIROBWE'!M92+'Avg Week ZIROBWE-WOBULENZI'!M92</f>
        <v>0</v>
      </c>
      <c r="N92" s="49">
        <f>'Avg Week WOBULENZI-ZIROBWE'!N92+'Avg Week ZIROBWE-WOBULENZI'!N92</f>
        <v>0</v>
      </c>
      <c r="O92" s="15">
        <f t="shared" si="35"/>
        <v>1</v>
      </c>
      <c r="P92" s="15">
        <f t="shared" si="36"/>
        <v>1</v>
      </c>
      <c r="R92" s="8"/>
      <c r="T92"/>
    </row>
    <row r="93" spans="2:20" ht="23.1" customHeight="1" x14ac:dyDescent="0.25">
      <c r="B93" s="23" t="s">
        <v>133</v>
      </c>
      <c r="C93" s="49">
        <f>'Avg Week WOBULENZI-ZIROBWE'!C93+'Avg Week ZIROBWE-WOBULENZI'!C93</f>
        <v>0</v>
      </c>
      <c r="D93" s="49">
        <f>'Avg Week WOBULENZI-ZIROBWE'!D93+'Avg Week ZIROBWE-WOBULENZI'!D93</f>
        <v>0</v>
      </c>
      <c r="E93" s="49">
        <f>'Avg Week WOBULENZI-ZIROBWE'!E93+'Avg Week ZIROBWE-WOBULENZI'!E93</f>
        <v>0</v>
      </c>
      <c r="F93" s="49">
        <f>'Avg Week WOBULENZI-ZIROBWE'!F93+'Avg Week ZIROBWE-WOBULENZI'!F93</f>
        <v>1</v>
      </c>
      <c r="G93" s="49">
        <f>'Avg Week WOBULENZI-ZIROBWE'!G93+'Avg Week ZIROBWE-WOBULENZI'!G93</f>
        <v>0</v>
      </c>
      <c r="H93" s="49">
        <f>'Avg Week WOBULENZI-ZIROBWE'!H93+'Avg Week ZIROBWE-WOBULENZI'!H93</f>
        <v>0</v>
      </c>
      <c r="I93" s="49">
        <f>'Avg Week WOBULENZI-ZIROBWE'!I93+'Avg Week ZIROBWE-WOBULENZI'!I93</f>
        <v>0</v>
      </c>
      <c r="J93" s="49">
        <f>'Avg Week WOBULENZI-ZIROBWE'!J93+'Avg Week ZIROBWE-WOBULENZI'!J93</f>
        <v>0.5</v>
      </c>
      <c r="K93" s="49">
        <f>'Avg Week WOBULENZI-ZIROBWE'!K93+'Avg Week ZIROBWE-WOBULENZI'!K93</f>
        <v>0.5</v>
      </c>
      <c r="L93" s="49">
        <f>'Avg Week WOBULENZI-ZIROBWE'!L93+'Avg Week ZIROBWE-WOBULENZI'!L93</f>
        <v>0</v>
      </c>
      <c r="M93" s="49">
        <f>'Avg Week WOBULENZI-ZIROBWE'!M93+'Avg Week ZIROBWE-WOBULENZI'!M93</f>
        <v>1</v>
      </c>
      <c r="N93" s="49">
        <f>'Avg Week WOBULENZI-ZIROBWE'!N93+'Avg Week ZIROBWE-WOBULENZI'!N93</f>
        <v>0</v>
      </c>
      <c r="O93" s="15">
        <f t="shared" si="35"/>
        <v>2</v>
      </c>
      <c r="P93" s="15">
        <f t="shared" si="36"/>
        <v>3</v>
      </c>
      <c r="R93" s="8"/>
      <c r="T93"/>
    </row>
    <row r="94" spans="2:20" ht="23.1" customHeight="1" x14ac:dyDescent="0.25">
      <c r="B94" s="24" t="s">
        <v>134</v>
      </c>
      <c r="C94" s="49">
        <f>'Avg Week WOBULENZI-ZIROBWE'!C94+'Avg Week ZIROBWE-WOBULENZI'!C94</f>
        <v>0</v>
      </c>
      <c r="D94" s="49">
        <f>'Avg Week WOBULENZI-ZIROBWE'!D94+'Avg Week ZIROBWE-WOBULENZI'!D94</f>
        <v>0</v>
      </c>
      <c r="E94" s="49">
        <f>'Avg Week WOBULENZI-ZIROBWE'!E94+'Avg Week ZIROBWE-WOBULENZI'!E94</f>
        <v>0</v>
      </c>
      <c r="F94" s="49">
        <f>'Avg Week WOBULENZI-ZIROBWE'!F94+'Avg Week ZIROBWE-WOBULENZI'!F94</f>
        <v>0</v>
      </c>
      <c r="G94" s="49">
        <f>'Avg Week WOBULENZI-ZIROBWE'!G94+'Avg Week ZIROBWE-WOBULENZI'!G94</f>
        <v>0</v>
      </c>
      <c r="H94" s="49">
        <f>'Avg Week WOBULENZI-ZIROBWE'!H94+'Avg Week ZIROBWE-WOBULENZI'!H94</f>
        <v>0</v>
      </c>
      <c r="I94" s="49">
        <f>'Avg Week WOBULENZI-ZIROBWE'!I94+'Avg Week ZIROBWE-WOBULENZI'!I94</f>
        <v>0</v>
      </c>
      <c r="J94" s="49">
        <f>'Avg Week WOBULENZI-ZIROBWE'!J94+'Avg Week ZIROBWE-WOBULENZI'!J94</f>
        <v>1</v>
      </c>
      <c r="K94" s="49">
        <f>'Avg Week WOBULENZI-ZIROBWE'!K94+'Avg Week ZIROBWE-WOBULENZI'!K94</f>
        <v>0</v>
      </c>
      <c r="L94" s="49">
        <f>'Avg Week WOBULENZI-ZIROBWE'!L94+'Avg Week ZIROBWE-WOBULENZI'!L94</f>
        <v>0</v>
      </c>
      <c r="M94" s="49">
        <f>'Avg Week WOBULENZI-ZIROBWE'!M94+'Avg Week ZIROBWE-WOBULENZI'!M94</f>
        <v>0.5</v>
      </c>
      <c r="N94" s="49">
        <f>'Avg Week WOBULENZI-ZIROBWE'!N94+'Avg Week ZIROBWE-WOBULENZI'!N94</f>
        <v>0</v>
      </c>
      <c r="O94" s="15">
        <f t="shared" si="35"/>
        <v>1</v>
      </c>
      <c r="P94" s="15">
        <f t="shared" si="36"/>
        <v>1.5</v>
      </c>
      <c r="R94" s="8"/>
      <c r="T94"/>
    </row>
    <row r="95" spans="2:20" ht="23.1" customHeight="1" x14ac:dyDescent="0.25">
      <c r="B95" s="23" t="s">
        <v>135</v>
      </c>
      <c r="C95" s="49">
        <f>'Avg Week WOBULENZI-ZIROBWE'!C95+'Avg Week ZIROBWE-WOBULENZI'!C95</f>
        <v>1</v>
      </c>
      <c r="D95" s="49">
        <f>'Avg Week WOBULENZI-ZIROBWE'!D95+'Avg Week ZIROBWE-WOBULENZI'!D95</f>
        <v>0</v>
      </c>
      <c r="E95" s="49">
        <f>'Avg Week WOBULENZI-ZIROBWE'!E95+'Avg Week ZIROBWE-WOBULENZI'!E95</f>
        <v>0</v>
      </c>
      <c r="F95" s="49">
        <f>'Avg Week WOBULENZI-ZIROBWE'!F95+'Avg Week ZIROBWE-WOBULENZI'!F95</f>
        <v>0</v>
      </c>
      <c r="G95" s="49">
        <f>'Avg Week WOBULENZI-ZIROBWE'!G95+'Avg Week ZIROBWE-WOBULENZI'!G95</f>
        <v>0</v>
      </c>
      <c r="H95" s="49">
        <f>'Avg Week WOBULENZI-ZIROBWE'!H95+'Avg Week ZIROBWE-WOBULENZI'!H95</f>
        <v>0</v>
      </c>
      <c r="I95" s="49">
        <f>'Avg Week WOBULENZI-ZIROBWE'!I95+'Avg Week ZIROBWE-WOBULENZI'!I95</f>
        <v>0</v>
      </c>
      <c r="J95" s="49">
        <f>'Avg Week WOBULENZI-ZIROBWE'!J95+'Avg Week ZIROBWE-WOBULENZI'!J95</f>
        <v>0.5</v>
      </c>
      <c r="K95" s="49">
        <f>'Avg Week WOBULENZI-ZIROBWE'!K95+'Avg Week ZIROBWE-WOBULENZI'!K95</f>
        <v>0</v>
      </c>
      <c r="L95" s="49">
        <f>'Avg Week WOBULENZI-ZIROBWE'!L95+'Avg Week ZIROBWE-WOBULENZI'!L95</f>
        <v>0</v>
      </c>
      <c r="M95" s="49">
        <f>'Avg Week WOBULENZI-ZIROBWE'!M95+'Avg Week ZIROBWE-WOBULENZI'!M95</f>
        <v>1</v>
      </c>
      <c r="N95" s="49">
        <f>'Avg Week WOBULENZI-ZIROBWE'!N95+'Avg Week ZIROBWE-WOBULENZI'!N95</f>
        <v>0</v>
      </c>
      <c r="O95" s="15">
        <f t="shared" si="35"/>
        <v>1.5</v>
      </c>
      <c r="P95" s="15">
        <f t="shared" si="36"/>
        <v>2.5</v>
      </c>
      <c r="R95" s="8"/>
      <c r="T95"/>
    </row>
    <row r="96" spans="2:20" ht="23.1" customHeight="1" x14ac:dyDescent="0.25">
      <c r="B96" s="25" t="s">
        <v>136</v>
      </c>
      <c r="C96" s="49">
        <f>'Avg Week WOBULENZI-ZIROBWE'!C96+'Avg Week ZIROBWE-WOBULENZI'!C96</f>
        <v>0</v>
      </c>
      <c r="D96" s="49">
        <f>'Avg Week WOBULENZI-ZIROBWE'!D96+'Avg Week ZIROBWE-WOBULENZI'!D96</f>
        <v>0</v>
      </c>
      <c r="E96" s="49">
        <f>'Avg Week WOBULENZI-ZIROBWE'!E96+'Avg Week ZIROBWE-WOBULENZI'!E96</f>
        <v>0</v>
      </c>
      <c r="F96" s="49">
        <f>'Avg Week WOBULENZI-ZIROBWE'!F96+'Avg Week ZIROBWE-WOBULENZI'!F96</f>
        <v>0</v>
      </c>
      <c r="G96" s="49">
        <f>'Avg Week WOBULENZI-ZIROBWE'!G96+'Avg Week ZIROBWE-WOBULENZI'!G96</f>
        <v>0</v>
      </c>
      <c r="H96" s="49">
        <f>'Avg Week WOBULENZI-ZIROBWE'!H96+'Avg Week ZIROBWE-WOBULENZI'!H96</f>
        <v>0</v>
      </c>
      <c r="I96" s="49">
        <f>'Avg Week WOBULENZI-ZIROBWE'!I96+'Avg Week ZIROBWE-WOBULENZI'!I96</f>
        <v>1</v>
      </c>
      <c r="J96" s="49">
        <f>'Avg Week WOBULENZI-ZIROBWE'!J96+'Avg Week ZIROBWE-WOBULENZI'!J96</f>
        <v>0.5</v>
      </c>
      <c r="K96" s="49">
        <f>'Avg Week WOBULENZI-ZIROBWE'!K96+'Avg Week ZIROBWE-WOBULENZI'!K96</f>
        <v>0</v>
      </c>
      <c r="L96" s="49">
        <f>'Avg Week WOBULENZI-ZIROBWE'!L96+'Avg Week ZIROBWE-WOBULENZI'!L96</f>
        <v>0</v>
      </c>
      <c r="M96" s="49">
        <f>'Avg Week WOBULENZI-ZIROBWE'!M96+'Avg Week ZIROBWE-WOBULENZI'!M96</f>
        <v>0</v>
      </c>
      <c r="N96" s="49">
        <f>'Avg Week WOBULENZI-ZIROBWE'!N96+'Avg Week ZIROBWE-WOBULENZI'!N96</f>
        <v>0</v>
      </c>
      <c r="O96" s="15">
        <f t="shared" si="35"/>
        <v>1.5</v>
      </c>
      <c r="P96" s="15">
        <f t="shared" si="36"/>
        <v>1.5</v>
      </c>
      <c r="R96" s="8"/>
      <c r="T96"/>
    </row>
    <row r="97" spans="2:20" ht="23.1" customHeight="1" x14ac:dyDescent="0.25">
      <c r="B97" s="23" t="s">
        <v>137</v>
      </c>
      <c r="C97" s="49">
        <f>'Avg Week WOBULENZI-ZIROBWE'!C97+'Avg Week ZIROBWE-WOBULENZI'!C97</f>
        <v>1</v>
      </c>
      <c r="D97" s="49">
        <f>'Avg Week WOBULENZI-ZIROBWE'!D97+'Avg Week ZIROBWE-WOBULENZI'!D97</f>
        <v>0</v>
      </c>
      <c r="E97" s="49">
        <f>'Avg Week WOBULENZI-ZIROBWE'!E97+'Avg Week ZIROBWE-WOBULENZI'!E97</f>
        <v>0</v>
      </c>
      <c r="F97" s="49">
        <f>'Avg Week WOBULENZI-ZIROBWE'!F97+'Avg Week ZIROBWE-WOBULENZI'!F97</f>
        <v>0.5</v>
      </c>
      <c r="G97" s="49">
        <f>'Avg Week WOBULENZI-ZIROBWE'!G97+'Avg Week ZIROBWE-WOBULENZI'!G97</f>
        <v>0</v>
      </c>
      <c r="H97" s="49">
        <f>'Avg Week WOBULENZI-ZIROBWE'!H97+'Avg Week ZIROBWE-WOBULENZI'!H97</f>
        <v>0</v>
      </c>
      <c r="I97" s="49">
        <f>'Avg Week WOBULENZI-ZIROBWE'!I97+'Avg Week ZIROBWE-WOBULENZI'!I97</f>
        <v>0</v>
      </c>
      <c r="J97" s="49">
        <f>'Avg Week WOBULENZI-ZIROBWE'!J97+'Avg Week ZIROBWE-WOBULENZI'!J97</f>
        <v>0</v>
      </c>
      <c r="K97" s="49">
        <f>'Avg Week WOBULENZI-ZIROBWE'!K97+'Avg Week ZIROBWE-WOBULENZI'!K97</f>
        <v>0.5</v>
      </c>
      <c r="L97" s="49">
        <f>'Avg Week WOBULENZI-ZIROBWE'!L97+'Avg Week ZIROBWE-WOBULENZI'!L97</f>
        <v>0</v>
      </c>
      <c r="M97" s="49">
        <f>'Avg Week WOBULENZI-ZIROBWE'!M97+'Avg Week ZIROBWE-WOBULENZI'!M97</f>
        <v>2</v>
      </c>
      <c r="N97" s="49">
        <f>'Avg Week WOBULENZI-ZIROBWE'!N97+'Avg Week ZIROBWE-WOBULENZI'!N97</f>
        <v>0</v>
      </c>
      <c r="O97" s="15">
        <f t="shared" si="35"/>
        <v>2</v>
      </c>
      <c r="P97" s="15">
        <f t="shared" si="36"/>
        <v>4</v>
      </c>
      <c r="R97" s="8"/>
      <c r="T97"/>
    </row>
    <row r="98" spans="2:20" ht="23.1" customHeight="1" x14ac:dyDescent="0.25">
      <c r="B98" s="24" t="s">
        <v>138</v>
      </c>
      <c r="C98" s="49">
        <f>'Avg Week WOBULENZI-ZIROBWE'!C98+'Avg Week ZIROBWE-WOBULENZI'!C98</f>
        <v>0.5</v>
      </c>
      <c r="D98" s="49">
        <f>'Avg Week WOBULENZI-ZIROBWE'!D98+'Avg Week ZIROBWE-WOBULENZI'!D98</f>
        <v>0</v>
      </c>
      <c r="E98" s="49">
        <f>'Avg Week WOBULENZI-ZIROBWE'!E98+'Avg Week ZIROBWE-WOBULENZI'!E98</f>
        <v>0</v>
      </c>
      <c r="F98" s="49">
        <f>'Avg Week WOBULENZI-ZIROBWE'!F98+'Avg Week ZIROBWE-WOBULENZI'!F98</f>
        <v>0.5</v>
      </c>
      <c r="G98" s="49">
        <f>'Avg Week WOBULENZI-ZIROBWE'!G98+'Avg Week ZIROBWE-WOBULENZI'!G98</f>
        <v>0</v>
      </c>
      <c r="H98" s="49">
        <f>'Avg Week WOBULENZI-ZIROBWE'!H98+'Avg Week ZIROBWE-WOBULENZI'!H98</f>
        <v>0</v>
      </c>
      <c r="I98" s="49">
        <f>'Avg Week WOBULENZI-ZIROBWE'!I98+'Avg Week ZIROBWE-WOBULENZI'!I98</f>
        <v>0.5</v>
      </c>
      <c r="J98" s="49">
        <f>'Avg Week WOBULENZI-ZIROBWE'!J98+'Avg Week ZIROBWE-WOBULENZI'!J98</f>
        <v>0</v>
      </c>
      <c r="K98" s="49">
        <f>'Avg Week WOBULENZI-ZIROBWE'!K98+'Avg Week ZIROBWE-WOBULENZI'!K98</f>
        <v>0</v>
      </c>
      <c r="L98" s="49">
        <f>'Avg Week WOBULENZI-ZIROBWE'!L98+'Avg Week ZIROBWE-WOBULENZI'!L98</f>
        <v>0</v>
      </c>
      <c r="M98" s="49">
        <f>'Avg Week WOBULENZI-ZIROBWE'!M98+'Avg Week ZIROBWE-WOBULENZI'!M98</f>
        <v>2</v>
      </c>
      <c r="N98" s="49">
        <f>'Avg Week WOBULENZI-ZIROBWE'!N98+'Avg Week ZIROBWE-WOBULENZI'!N98</f>
        <v>0</v>
      </c>
      <c r="O98" s="15">
        <f t="shared" si="35"/>
        <v>1.5</v>
      </c>
      <c r="P98" s="15">
        <f t="shared" si="36"/>
        <v>3.5</v>
      </c>
      <c r="R98" s="8"/>
      <c r="T98"/>
    </row>
    <row r="99" spans="2:20" ht="23.1" customHeight="1" x14ac:dyDescent="0.25">
      <c r="B99" s="23" t="s">
        <v>139</v>
      </c>
      <c r="C99" s="49">
        <f>'Avg Week WOBULENZI-ZIROBWE'!C99+'Avg Week ZIROBWE-WOBULENZI'!C99</f>
        <v>1</v>
      </c>
      <c r="D99" s="49">
        <f>'Avg Week WOBULENZI-ZIROBWE'!D99+'Avg Week ZIROBWE-WOBULENZI'!D99</f>
        <v>1</v>
      </c>
      <c r="E99" s="49">
        <f>'Avg Week WOBULENZI-ZIROBWE'!E99+'Avg Week ZIROBWE-WOBULENZI'!E99</f>
        <v>0</v>
      </c>
      <c r="F99" s="49">
        <f>'Avg Week WOBULENZI-ZIROBWE'!F99+'Avg Week ZIROBWE-WOBULENZI'!F99</f>
        <v>1</v>
      </c>
      <c r="G99" s="49">
        <f>'Avg Week WOBULENZI-ZIROBWE'!G99+'Avg Week ZIROBWE-WOBULENZI'!G99</f>
        <v>0</v>
      </c>
      <c r="H99" s="49">
        <f>'Avg Week WOBULENZI-ZIROBWE'!H99+'Avg Week ZIROBWE-WOBULENZI'!H99</f>
        <v>0</v>
      </c>
      <c r="I99" s="49">
        <f>'Avg Week WOBULENZI-ZIROBWE'!I99+'Avg Week ZIROBWE-WOBULENZI'!I99</f>
        <v>0</v>
      </c>
      <c r="J99" s="49">
        <f>'Avg Week WOBULENZI-ZIROBWE'!J99+'Avg Week ZIROBWE-WOBULENZI'!J99</f>
        <v>1.5</v>
      </c>
      <c r="K99" s="49">
        <f>'Avg Week WOBULENZI-ZIROBWE'!K99+'Avg Week ZIROBWE-WOBULENZI'!K99</f>
        <v>0</v>
      </c>
      <c r="L99" s="49">
        <f>'Avg Week WOBULENZI-ZIROBWE'!L99+'Avg Week ZIROBWE-WOBULENZI'!L99</f>
        <v>0</v>
      </c>
      <c r="M99" s="49">
        <f>'Avg Week WOBULENZI-ZIROBWE'!M99+'Avg Week ZIROBWE-WOBULENZI'!M99</f>
        <v>2</v>
      </c>
      <c r="N99" s="49">
        <f>'Avg Week WOBULENZI-ZIROBWE'!N99+'Avg Week ZIROBWE-WOBULENZI'!N99</f>
        <v>0</v>
      </c>
      <c r="O99" s="15">
        <f t="shared" si="35"/>
        <v>4.5</v>
      </c>
      <c r="P99" s="15">
        <f t="shared" si="36"/>
        <v>6.5</v>
      </c>
      <c r="R99" s="8"/>
      <c r="T99"/>
    </row>
    <row r="100" spans="2:20" ht="23.1" customHeight="1" x14ac:dyDescent="0.25">
      <c r="B100" s="25" t="s">
        <v>140</v>
      </c>
      <c r="C100" s="49">
        <f>'Avg Week WOBULENZI-ZIROBWE'!C100+'Avg Week ZIROBWE-WOBULENZI'!C100</f>
        <v>0</v>
      </c>
      <c r="D100" s="49">
        <f>'Avg Week WOBULENZI-ZIROBWE'!D100+'Avg Week ZIROBWE-WOBULENZI'!D100</f>
        <v>0.5</v>
      </c>
      <c r="E100" s="49">
        <f>'Avg Week WOBULENZI-ZIROBWE'!E100+'Avg Week ZIROBWE-WOBULENZI'!E100</f>
        <v>0</v>
      </c>
      <c r="F100" s="49">
        <f>'Avg Week WOBULENZI-ZIROBWE'!F100+'Avg Week ZIROBWE-WOBULENZI'!F100</f>
        <v>0.5</v>
      </c>
      <c r="G100" s="49">
        <f>'Avg Week WOBULENZI-ZIROBWE'!G100+'Avg Week ZIROBWE-WOBULENZI'!G100</f>
        <v>0</v>
      </c>
      <c r="H100" s="49">
        <f>'Avg Week WOBULENZI-ZIROBWE'!H100+'Avg Week ZIROBWE-WOBULENZI'!H100</f>
        <v>0</v>
      </c>
      <c r="I100" s="49">
        <f>'Avg Week WOBULENZI-ZIROBWE'!I100+'Avg Week ZIROBWE-WOBULENZI'!I100</f>
        <v>0</v>
      </c>
      <c r="J100" s="49">
        <f>'Avg Week WOBULENZI-ZIROBWE'!J100+'Avg Week ZIROBWE-WOBULENZI'!J100</f>
        <v>0.5</v>
      </c>
      <c r="K100" s="49">
        <f>'Avg Week WOBULENZI-ZIROBWE'!K100+'Avg Week ZIROBWE-WOBULENZI'!K100</f>
        <v>0</v>
      </c>
      <c r="L100" s="49">
        <f>'Avg Week WOBULENZI-ZIROBWE'!L100+'Avg Week ZIROBWE-WOBULENZI'!L100</f>
        <v>0</v>
      </c>
      <c r="M100" s="49">
        <f>'Avg Week WOBULENZI-ZIROBWE'!M100+'Avg Week ZIROBWE-WOBULENZI'!M100</f>
        <v>3.5</v>
      </c>
      <c r="N100" s="49">
        <f>'Avg Week WOBULENZI-ZIROBWE'!N100+'Avg Week ZIROBWE-WOBULENZI'!N100</f>
        <v>0</v>
      </c>
      <c r="O100" s="15">
        <f t="shared" si="35"/>
        <v>1.5</v>
      </c>
      <c r="P100" s="15">
        <f t="shared" si="36"/>
        <v>5</v>
      </c>
      <c r="R100" s="8"/>
      <c r="T100"/>
    </row>
    <row r="101" spans="2:20" ht="23.1" customHeight="1" x14ac:dyDescent="0.25">
      <c r="B101" s="23" t="s">
        <v>141</v>
      </c>
      <c r="C101" s="49">
        <f>'Avg Week WOBULENZI-ZIROBWE'!C101+'Avg Week ZIROBWE-WOBULENZI'!C101</f>
        <v>0.5</v>
      </c>
      <c r="D101" s="49">
        <f>'Avg Week WOBULENZI-ZIROBWE'!D101+'Avg Week ZIROBWE-WOBULENZI'!D101</f>
        <v>0.5</v>
      </c>
      <c r="E101" s="49">
        <f>'Avg Week WOBULENZI-ZIROBWE'!E101+'Avg Week ZIROBWE-WOBULENZI'!E101</f>
        <v>0</v>
      </c>
      <c r="F101" s="49">
        <f>'Avg Week WOBULENZI-ZIROBWE'!F101+'Avg Week ZIROBWE-WOBULENZI'!F101</f>
        <v>0.5</v>
      </c>
      <c r="G101" s="49">
        <f>'Avg Week WOBULENZI-ZIROBWE'!G101+'Avg Week ZIROBWE-WOBULENZI'!G101</f>
        <v>0</v>
      </c>
      <c r="H101" s="49">
        <f>'Avg Week WOBULENZI-ZIROBWE'!H101+'Avg Week ZIROBWE-WOBULENZI'!H101</f>
        <v>0</v>
      </c>
      <c r="I101" s="49">
        <f>'Avg Week WOBULENZI-ZIROBWE'!I101+'Avg Week ZIROBWE-WOBULENZI'!I101</f>
        <v>0</v>
      </c>
      <c r="J101" s="49">
        <f>'Avg Week WOBULENZI-ZIROBWE'!J101+'Avg Week ZIROBWE-WOBULENZI'!J101</f>
        <v>0</v>
      </c>
      <c r="K101" s="49">
        <f>'Avg Week WOBULENZI-ZIROBWE'!K101+'Avg Week ZIROBWE-WOBULENZI'!K101</f>
        <v>0</v>
      </c>
      <c r="L101" s="49">
        <f>'Avg Week WOBULENZI-ZIROBWE'!L101+'Avg Week ZIROBWE-WOBULENZI'!L101</f>
        <v>0</v>
      </c>
      <c r="M101" s="49">
        <f>'Avg Week WOBULENZI-ZIROBWE'!M101+'Avg Week ZIROBWE-WOBULENZI'!M101</f>
        <v>4</v>
      </c>
      <c r="N101" s="49">
        <f>'Avg Week WOBULENZI-ZIROBWE'!N101+'Avg Week ZIROBWE-WOBULENZI'!N101</f>
        <v>0</v>
      </c>
      <c r="O101" s="15">
        <f t="shared" si="35"/>
        <v>1.5</v>
      </c>
      <c r="P101" s="15">
        <f t="shared" si="36"/>
        <v>5.5</v>
      </c>
      <c r="R101" s="8"/>
      <c r="T101"/>
    </row>
    <row r="102" spans="2:20" ht="23.1" customHeight="1" x14ac:dyDescent="0.25">
      <c r="B102" s="24" t="s">
        <v>142</v>
      </c>
      <c r="C102" s="49">
        <f>'Avg Week WOBULENZI-ZIROBWE'!C102+'Avg Week ZIROBWE-WOBULENZI'!C102</f>
        <v>0.5</v>
      </c>
      <c r="D102" s="49">
        <f>'Avg Week WOBULENZI-ZIROBWE'!D102+'Avg Week ZIROBWE-WOBULENZI'!D102</f>
        <v>0</v>
      </c>
      <c r="E102" s="49">
        <f>'Avg Week WOBULENZI-ZIROBWE'!E102+'Avg Week ZIROBWE-WOBULENZI'!E102</f>
        <v>0</v>
      </c>
      <c r="F102" s="49">
        <f>'Avg Week WOBULENZI-ZIROBWE'!F102+'Avg Week ZIROBWE-WOBULENZI'!F102</f>
        <v>0.5</v>
      </c>
      <c r="G102" s="49">
        <f>'Avg Week WOBULENZI-ZIROBWE'!G102+'Avg Week ZIROBWE-WOBULENZI'!G102</f>
        <v>0</v>
      </c>
      <c r="H102" s="49">
        <f>'Avg Week WOBULENZI-ZIROBWE'!H102+'Avg Week ZIROBWE-WOBULENZI'!H102</f>
        <v>0</v>
      </c>
      <c r="I102" s="49">
        <f>'Avg Week WOBULENZI-ZIROBWE'!I102+'Avg Week ZIROBWE-WOBULENZI'!I102</f>
        <v>0</v>
      </c>
      <c r="J102" s="49">
        <f>'Avg Week WOBULENZI-ZIROBWE'!J102+'Avg Week ZIROBWE-WOBULENZI'!J102</f>
        <v>0</v>
      </c>
      <c r="K102" s="49">
        <f>'Avg Week WOBULENZI-ZIROBWE'!K102+'Avg Week ZIROBWE-WOBULENZI'!K102</f>
        <v>0</v>
      </c>
      <c r="L102" s="49">
        <f>'Avg Week WOBULENZI-ZIROBWE'!L102+'Avg Week ZIROBWE-WOBULENZI'!L102</f>
        <v>0</v>
      </c>
      <c r="M102" s="49">
        <f>'Avg Week WOBULENZI-ZIROBWE'!M102+'Avg Week ZIROBWE-WOBULENZI'!M102</f>
        <v>4.5</v>
      </c>
      <c r="N102" s="49">
        <f>'Avg Week WOBULENZI-ZIROBWE'!N102+'Avg Week ZIROBWE-WOBULENZI'!N102</f>
        <v>0</v>
      </c>
      <c r="O102" s="15">
        <f t="shared" si="35"/>
        <v>1</v>
      </c>
      <c r="P102" s="15">
        <f t="shared" si="36"/>
        <v>5.5</v>
      </c>
      <c r="R102" s="8"/>
      <c r="T102"/>
    </row>
    <row r="103" spans="2:20" ht="23.1" customHeight="1" x14ac:dyDescent="0.25">
      <c r="B103" s="23" t="s">
        <v>143</v>
      </c>
      <c r="C103" s="49">
        <f>'Avg Week WOBULENZI-ZIROBWE'!C103+'Avg Week ZIROBWE-WOBULENZI'!C103</f>
        <v>0</v>
      </c>
      <c r="D103" s="49">
        <f>'Avg Week WOBULENZI-ZIROBWE'!D103+'Avg Week ZIROBWE-WOBULENZI'!D103</f>
        <v>0</v>
      </c>
      <c r="E103" s="49">
        <f>'Avg Week WOBULENZI-ZIROBWE'!E103+'Avg Week ZIROBWE-WOBULENZI'!E103</f>
        <v>0</v>
      </c>
      <c r="F103" s="49">
        <f>'Avg Week WOBULENZI-ZIROBWE'!F103+'Avg Week ZIROBWE-WOBULENZI'!F103</f>
        <v>1.5</v>
      </c>
      <c r="G103" s="49">
        <f>'Avg Week WOBULENZI-ZIROBWE'!G103+'Avg Week ZIROBWE-WOBULENZI'!G103</f>
        <v>0</v>
      </c>
      <c r="H103" s="49">
        <f>'Avg Week WOBULENZI-ZIROBWE'!H103+'Avg Week ZIROBWE-WOBULENZI'!H103</f>
        <v>0</v>
      </c>
      <c r="I103" s="49">
        <f>'Avg Week WOBULENZI-ZIROBWE'!I103+'Avg Week ZIROBWE-WOBULENZI'!I103</f>
        <v>0.5</v>
      </c>
      <c r="J103" s="49">
        <f>'Avg Week WOBULENZI-ZIROBWE'!J103+'Avg Week ZIROBWE-WOBULENZI'!J103</f>
        <v>0.5</v>
      </c>
      <c r="K103" s="49">
        <f>'Avg Week WOBULENZI-ZIROBWE'!K103+'Avg Week ZIROBWE-WOBULENZI'!K103</f>
        <v>0</v>
      </c>
      <c r="L103" s="49">
        <f>'Avg Week WOBULENZI-ZIROBWE'!L103+'Avg Week ZIROBWE-WOBULENZI'!L103</f>
        <v>0</v>
      </c>
      <c r="M103" s="49">
        <f>'Avg Week WOBULENZI-ZIROBWE'!M103+'Avg Week ZIROBWE-WOBULENZI'!M103</f>
        <v>8.5</v>
      </c>
      <c r="N103" s="49">
        <f>'Avg Week WOBULENZI-ZIROBWE'!N103+'Avg Week ZIROBWE-WOBULENZI'!N103</f>
        <v>0</v>
      </c>
      <c r="O103" s="15">
        <f t="shared" si="35"/>
        <v>2.5</v>
      </c>
      <c r="P103" s="15">
        <f t="shared" si="36"/>
        <v>11</v>
      </c>
      <c r="R103" s="8"/>
      <c r="T103"/>
    </row>
    <row r="104" spans="2:20" ht="23.1" customHeight="1" x14ac:dyDescent="0.25">
      <c r="B104" s="25" t="s">
        <v>144</v>
      </c>
      <c r="C104" s="49">
        <f>'Avg Week WOBULENZI-ZIROBWE'!C104+'Avg Week ZIROBWE-WOBULENZI'!C104</f>
        <v>0</v>
      </c>
      <c r="D104" s="49">
        <f>'Avg Week WOBULENZI-ZIROBWE'!D104+'Avg Week ZIROBWE-WOBULENZI'!D104</f>
        <v>0</v>
      </c>
      <c r="E104" s="49">
        <f>'Avg Week WOBULENZI-ZIROBWE'!E104+'Avg Week ZIROBWE-WOBULENZI'!E104</f>
        <v>0</v>
      </c>
      <c r="F104" s="49">
        <f>'Avg Week WOBULENZI-ZIROBWE'!F104+'Avg Week ZIROBWE-WOBULENZI'!F104</f>
        <v>1.5</v>
      </c>
      <c r="G104" s="49">
        <f>'Avg Week WOBULENZI-ZIROBWE'!G104+'Avg Week ZIROBWE-WOBULENZI'!G104</f>
        <v>0</v>
      </c>
      <c r="H104" s="49">
        <f>'Avg Week WOBULENZI-ZIROBWE'!H104+'Avg Week ZIROBWE-WOBULENZI'!H104</f>
        <v>0</v>
      </c>
      <c r="I104" s="49">
        <f>'Avg Week WOBULENZI-ZIROBWE'!I104+'Avg Week ZIROBWE-WOBULENZI'!I104</f>
        <v>0</v>
      </c>
      <c r="J104" s="49">
        <f>'Avg Week WOBULENZI-ZIROBWE'!J104+'Avg Week ZIROBWE-WOBULENZI'!J104</f>
        <v>0</v>
      </c>
      <c r="K104" s="49">
        <f>'Avg Week WOBULENZI-ZIROBWE'!K104+'Avg Week ZIROBWE-WOBULENZI'!K104</f>
        <v>0</v>
      </c>
      <c r="L104" s="49">
        <f>'Avg Week WOBULENZI-ZIROBWE'!L104+'Avg Week ZIROBWE-WOBULENZI'!L104</f>
        <v>0</v>
      </c>
      <c r="M104" s="49">
        <f>'Avg Week WOBULENZI-ZIROBWE'!M104+'Avg Week ZIROBWE-WOBULENZI'!M104</f>
        <v>9</v>
      </c>
      <c r="N104" s="49">
        <f>'Avg Week WOBULENZI-ZIROBWE'!N104+'Avg Week ZIROBWE-WOBULENZI'!N104</f>
        <v>0</v>
      </c>
      <c r="O104" s="15">
        <f t="shared" si="35"/>
        <v>1.5</v>
      </c>
      <c r="P104" s="15">
        <f t="shared" si="36"/>
        <v>10.5</v>
      </c>
      <c r="R104" s="8"/>
      <c r="T104"/>
    </row>
    <row r="105" spans="2:20" ht="23.1" customHeight="1" x14ac:dyDescent="0.25">
      <c r="B105" s="23" t="s">
        <v>145</v>
      </c>
      <c r="C105" s="49">
        <f>'Avg Week WOBULENZI-ZIROBWE'!C105+'Avg Week ZIROBWE-WOBULENZI'!C105</f>
        <v>0</v>
      </c>
      <c r="D105" s="49">
        <f>'Avg Week WOBULENZI-ZIROBWE'!D105+'Avg Week ZIROBWE-WOBULENZI'!D105</f>
        <v>0</v>
      </c>
      <c r="E105" s="49">
        <f>'Avg Week WOBULENZI-ZIROBWE'!E105+'Avg Week ZIROBWE-WOBULENZI'!E105</f>
        <v>0.5</v>
      </c>
      <c r="F105" s="49">
        <f>'Avg Week WOBULENZI-ZIROBWE'!F105+'Avg Week ZIROBWE-WOBULENZI'!F105</f>
        <v>2</v>
      </c>
      <c r="G105" s="49">
        <f>'Avg Week WOBULENZI-ZIROBWE'!G105+'Avg Week ZIROBWE-WOBULENZI'!G105</f>
        <v>0</v>
      </c>
      <c r="H105" s="49">
        <f>'Avg Week WOBULENZI-ZIROBWE'!H105+'Avg Week ZIROBWE-WOBULENZI'!H105</f>
        <v>0</v>
      </c>
      <c r="I105" s="49">
        <f>'Avg Week WOBULENZI-ZIROBWE'!I105+'Avg Week ZIROBWE-WOBULENZI'!I105</f>
        <v>0</v>
      </c>
      <c r="J105" s="49">
        <f>'Avg Week WOBULENZI-ZIROBWE'!J105+'Avg Week ZIROBWE-WOBULENZI'!J105</f>
        <v>0</v>
      </c>
      <c r="K105" s="49">
        <f>'Avg Week WOBULENZI-ZIROBWE'!K105+'Avg Week ZIROBWE-WOBULENZI'!K105</f>
        <v>0</v>
      </c>
      <c r="L105" s="49">
        <f>'Avg Week WOBULENZI-ZIROBWE'!L105+'Avg Week ZIROBWE-WOBULENZI'!L105</f>
        <v>0</v>
      </c>
      <c r="M105" s="49">
        <f>'Avg Week WOBULENZI-ZIROBWE'!M105+'Avg Week ZIROBWE-WOBULENZI'!M105</f>
        <v>24</v>
      </c>
      <c r="N105" s="49">
        <f>'Avg Week WOBULENZI-ZIROBWE'!N105+'Avg Week ZIROBWE-WOBULENZI'!N105</f>
        <v>0</v>
      </c>
      <c r="O105" s="15">
        <f t="shared" si="35"/>
        <v>2.5</v>
      </c>
      <c r="P105" s="15">
        <f t="shared" si="36"/>
        <v>26.5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112.57142857142857</v>
      </c>
      <c r="D106" s="16">
        <f t="shared" ref="D106:P106" si="37">SUM(D10:D105)</f>
        <v>40.5</v>
      </c>
      <c r="E106" s="16">
        <f t="shared" si="37"/>
        <v>35.071428571428569</v>
      </c>
      <c r="F106" s="16">
        <f t="shared" si="37"/>
        <v>68.857142857142847</v>
      </c>
      <c r="G106" s="16">
        <f t="shared" si="37"/>
        <v>5.8571428571428577</v>
      </c>
      <c r="H106" s="16">
        <f t="shared" si="37"/>
        <v>0.71428571428571419</v>
      </c>
      <c r="I106" s="16">
        <f t="shared" si="37"/>
        <v>62.785714285714278</v>
      </c>
      <c r="J106" s="16">
        <f t="shared" si="37"/>
        <v>108.64285714285714</v>
      </c>
      <c r="K106" s="16">
        <f t="shared" si="37"/>
        <v>3.8571428571428568</v>
      </c>
      <c r="L106" s="16">
        <f t="shared" si="37"/>
        <v>0.99999999999999978</v>
      </c>
      <c r="M106" s="16">
        <f t="shared" si="37"/>
        <v>2216.9285714285716</v>
      </c>
      <c r="N106" s="16">
        <f t="shared" si="37"/>
        <v>2.2857142857142856</v>
      </c>
      <c r="O106" s="16">
        <f t="shared" si="37"/>
        <v>442.14285714285722</v>
      </c>
      <c r="P106" s="16">
        <f t="shared" si="37"/>
        <v>2659.0714285714284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4.2334864480081662E-2</v>
      </c>
      <c r="D107" s="43">
        <f t="shared" si="38"/>
        <v>1.5230880812313644E-2</v>
      </c>
      <c r="E107" s="43">
        <f t="shared" si="38"/>
        <v>1.3189351814543207E-2</v>
      </c>
      <c r="F107" s="43">
        <f t="shared" si="38"/>
        <v>2.5895183603298677E-2</v>
      </c>
      <c r="G107" s="43">
        <f t="shared" si="38"/>
        <v>2.2027023396996807E-3</v>
      </c>
      <c r="H107" s="43">
        <f t="shared" si="38"/>
        <v>2.6862223654874147E-4</v>
      </c>
      <c r="I107" s="43">
        <f t="shared" si="38"/>
        <v>2.3611894592634377E-2</v>
      </c>
      <c r="J107" s="43">
        <f t="shared" si="38"/>
        <v>4.0857442179063584E-2</v>
      </c>
      <c r="K107" s="43">
        <f t="shared" si="38"/>
        <v>1.450560077363204E-3</v>
      </c>
      <c r="L107" s="43">
        <f t="shared" si="38"/>
        <v>3.7607113116823807E-4</v>
      </c>
      <c r="M107" s="43">
        <f t="shared" si="38"/>
        <v>0.83372283557632909</v>
      </c>
      <c r="N107" s="43">
        <f t="shared" si="38"/>
        <v>8.5959115695597279E-4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0.25460420032310171</v>
      </c>
      <c r="D108" s="44">
        <f t="shared" ref="D108:N108" si="39">D106/$O$106</f>
        <v>9.1599353796445862E-2</v>
      </c>
      <c r="E108" s="44">
        <f t="shared" si="39"/>
        <v>7.9321486268174451E-2</v>
      </c>
      <c r="F108" s="44">
        <f t="shared" si="39"/>
        <v>0.15573505654281095</v>
      </c>
      <c r="G108" s="44">
        <f t="shared" si="39"/>
        <v>1.3247172859450726E-2</v>
      </c>
      <c r="H108" s="44">
        <f t="shared" si="39"/>
        <v>1.6155088852988686E-3</v>
      </c>
      <c r="I108" s="44">
        <f t="shared" si="39"/>
        <v>0.14200323101777054</v>
      </c>
      <c r="J108" s="44">
        <f t="shared" si="39"/>
        <v>0.24571890145395794</v>
      </c>
      <c r="K108" s="44">
        <f t="shared" si="39"/>
        <v>8.7237479806138909E-3</v>
      </c>
      <c r="L108" s="44">
        <f t="shared" si="39"/>
        <v>2.2617124394184161E-3</v>
      </c>
      <c r="M108" s="44"/>
      <c r="N108" s="44">
        <f t="shared" si="39"/>
        <v>5.1696284329563798E-3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40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17.10 WOBULENZI-ZIROBWE</vt:lpstr>
      <vt:lpstr>17.10 ZIROBWE-WOBULENZI</vt:lpstr>
      <vt:lpstr>18.10 WOBULENZI-ZIROBWE</vt:lpstr>
      <vt:lpstr>18.10 ZIROBWE-WOBULENZI</vt:lpstr>
      <vt:lpstr>19.10 WOBULENZI-ZIROBWE-24h</vt:lpstr>
      <vt:lpstr>19.10 ZIROBWE-WOBULENZI-24h</vt:lpstr>
      <vt:lpstr>20.10 WOBULENZI-ZIROBWE</vt:lpstr>
      <vt:lpstr>20.10 ZIROBWE-WOBULENZI</vt:lpstr>
      <vt:lpstr>21.10 WOBULENZI-ZIROBWE-24h</vt:lpstr>
      <vt:lpstr>21.10 ZIROBWE-WOBULENZI-24h</vt:lpstr>
      <vt:lpstr>22.10 WOBULENZI-ZIROBWE</vt:lpstr>
      <vt:lpstr>22.10 ZIROBWE-WOBULENZI</vt:lpstr>
      <vt:lpstr>23.10 WOBULENZI-ZIROBWE</vt:lpstr>
      <vt:lpstr>23.10 ZIROBWE-WOBULENZI</vt:lpstr>
      <vt:lpstr>Avg Week WOBULENZI-ZIROBWE</vt:lpstr>
      <vt:lpstr>Avg Week ZIROBWE-WOBULENZI</vt:lpstr>
      <vt:lpstr>Avg Week WOBULENZI-ZIROBWE-2Dir</vt:lpstr>
      <vt:lpstr>'17.10 WOBULENZI-ZIROBWE'!Print_Area</vt:lpstr>
      <vt:lpstr>'17.10 ZIROBWE-WOBULENZI'!Print_Area</vt:lpstr>
      <vt:lpstr>'18.10 WOBULENZI-ZIROBWE'!Print_Area</vt:lpstr>
      <vt:lpstr>'18.10 ZIROBWE-WOBULENZI'!Print_Area</vt:lpstr>
      <vt:lpstr>'19.10 WOBULENZI-ZIROBWE-24h'!Print_Area</vt:lpstr>
      <vt:lpstr>'19.10 ZIROBWE-WOBULENZI-24h'!Print_Area</vt:lpstr>
      <vt:lpstr>'20.10 WOBULENZI-ZIROBWE'!Print_Area</vt:lpstr>
      <vt:lpstr>'20.10 ZIROBWE-WOBULENZI'!Print_Area</vt:lpstr>
      <vt:lpstr>'21.10 WOBULENZI-ZIROBWE-24h'!Print_Area</vt:lpstr>
      <vt:lpstr>'21.10 ZIROBWE-WOBULENZI-24h'!Print_Area</vt:lpstr>
      <vt:lpstr>'22.10 WOBULENZI-ZIROBWE'!Print_Area</vt:lpstr>
      <vt:lpstr>'22.10 ZIROBWE-WOBULENZI'!Print_Area</vt:lpstr>
      <vt:lpstr>'23.10 WOBULENZI-ZIROBWE'!Print_Area</vt:lpstr>
      <vt:lpstr>'23.10 ZIROBWE-WOBULENZI'!Print_Area</vt:lpstr>
      <vt:lpstr>'Avg Week WOBULENZI-ZIROBWE'!Print_Area</vt:lpstr>
      <vt:lpstr>'Avg Week WOBULENZI-ZIROBWE-2Dir'!Print_Area</vt:lpstr>
      <vt:lpstr>'Avg Week ZIROBWE-WOBULENZI'!Print_Area</vt:lpstr>
      <vt:lpstr>'17.10 WOBULENZI-ZIROBWE'!Print_Titles</vt:lpstr>
      <vt:lpstr>'17.10 ZIROBWE-WOBULENZI'!Print_Titles</vt:lpstr>
      <vt:lpstr>'18.10 WOBULENZI-ZIROBWE'!Print_Titles</vt:lpstr>
      <vt:lpstr>'18.10 ZIROBWE-WOBULENZI'!Print_Titles</vt:lpstr>
      <vt:lpstr>'19.10 WOBULENZI-ZIROBWE-24h'!Print_Titles</vt:lpstr>
      <vt:lpstr>'19.10 ZIROBWE-WOBULENZI-24h'!Print_Titles</vt:lpstr>
      <vt:lpstr>'20.10 WOBULENZI-ZIROBWE'!Print_Titles</vt:lpstr>
      <vt:lpstr>'20.10 ZIROBWE-WOBULENZI'!Print_Titles</vt:lpstr>
      <vt:lpstr>'21.10 WOBULENZI-ZIROBWE-24h'!Print_Titles</vt:lpstr>
      <vt:lpstr>'21.10 ZIROBWE-WOBULENZI-24h'!Print_Titles</vt:lpstr>
      <vt:lpstr>'22.10 WOBULENZI-ZIROBWE'!Print_Titles</vt:lpstr>
      <vt:lpstr>'22.10 ZIROBWE-WOBULENZI'!Print_Titles</vt:lpstr>
      <vt:lpstr>'23.10 WOBULENZI-ZIROBWE'!Print_Titles</vt:lpstr>
      <vt:lpstr>'23.10 ZIROBWE-WOBULENZI'!Print_Titles</vt:lpstr>
      <vt:lpstr>'Avg Week WOBULENZI-ZIROBWE'!Print_Titles</vt:lpstr>
      <vt:lpstr>'Avg Week WOBULENZI-ZIROBWE-2Dir'!Print_Titles</vt:lpstr>
      <vt:lpstr>'Avg Week ZIROBWE-WOBULENZI'!Print_Titles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</cp:lastModifiedBy>
  <cp:lastPrinted>2019-07-25T18:18:41Z</cp:lastPrinted>
  <dcterms:created xsi:type="dcterms:W3CDTF">2010-07-06T07:39:49Z</dcterms:created>
  <dcterms:modified xsi:type="dcterms:W3CDTF">2019-11-29T04:11:14Z</dcterms:modified>
</cp:coreProperties>
</file>