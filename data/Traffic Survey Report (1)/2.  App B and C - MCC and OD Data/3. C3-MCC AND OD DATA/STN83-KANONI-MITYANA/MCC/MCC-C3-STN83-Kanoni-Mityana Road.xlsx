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83-KANONI-MITYANA\MCC\"/>
    </mc:Choice>
  </mc:AlternateContent>
  <bookViews>
    <workbookView xWindow="-120" yWindow="-120" windowWidth="20730" windowHeight="11160" tabRatio="918" firstSheet="13" activeTab="14"/>
  </bookViews>
  <sheets>
    <sheet name="17.10 KANONI-MITYANA" sheetId="93" r:id="rId1"/>
    <sheet name="17.10 MITYANA-KANONI" sheetId="94" r:id="rId2"/>
    <sheet name="18.10 KANONI-MITYANA-24h" sheetId="105" r:id="rId3"/>
    <sheet name="18.10 MITYANA-KANONI-24h" sheetId="110" r:id="rId4"/>
    <sheet name="19.10 KANONI-MITYANA-24h" sheetId="101" r:id="rId5"/>
    <sheet name="19.10 MITYANA-KANONI-24h" sheetId="109" r:id="rId6"/>
    <sheet name="20.10 KANONI-MITYANA" sheetId="95" r:id="rId7"/>
    <sheet name="20.10 MITYANA-KANONI" sheetId="96" r:id="rId8"/>
    <sheet name="21.10 KANONI-MITYANA" sheetId="97" r:id="rId9"/>
    <sheet name="21.10 MITYANA-KANONI" sheetId="98" r:id="rId10"/>
    <sheet name="22.10 KANONI-MITYANA" sheetId="99" r:id="rId11"/>
    <sheet name="22.10 MITYANA-KANONI" sheetId="100" r:id="rId12"/>
    <sheet name="23.10 KANONI-MITYANA" sheetId="103" r:id="rId13"/>
    <sheet name="23.10 MITYANA-KANONI" sheetId="104" r:id="rId14"/>
    <sheet name="Avg Week Kanoni-Mityana" sheetId="107" r:id="rId15"/>
    <sheet name="Avg Week Mityana-Kanoni" sheetId="108" r:id="rId16"/>
    <sheet name="Avg Week Kanoni-Mityana-2Dir" sheetId="111" r:id="rId17"/>
  </sheets>
  <definedNames>
    <definedName name="_xlnm.Print_Area" localSheetId="0">'17.10 KANONI-MITYANA'!$A$1:$AF$60</definedName>
    <definedName name="_xlnm.Print_Area" localSheetId="1">'17.10 MITYANA-KANONI'!$A$1:$AF$60</definedName>
    <definedName name="_xlnm.Print_Area" localSheetId="2">'18.10 KANONI-MITYANA-24h'!$A$1:$AF$108</definedName>
    <definedName name="_xlnm.Print_Area" localSheetId="3">'18.10 MITYANA-KANONI-24h'!$A$1:$AF$108</definedName>
    <definedName name="_xlnm.Print_Area" localSheetId="4">'19.10 KANONI-MITYANA-24h'!$A$1:$AF$108</definedName>
    <definedName name="_xlnm.Print_Area" localSheetId="5">'19.10 MITYANA-KANONI-24h'!$A$1:$AF$108</definedName>
    <definedName name="_xlnm.Print_Area" localSheetId="6">'20.10 KANONI-MITYANA'!$A$1:$AF$60</definedName>
    <definedName name="_xlnm.Print_Area" localSheetId="7">'20.10 MITYANA-KANONI'!$A$1:$AF$60</definedName>
    <definedName name="_xlnm.Print_Area" localSheetId="8">'21.10 KANONI-MITYANA'!$A$1:$AF$60</definedName>
    <definedName name="_xlnm.Print_Area" localSheetId="9">'21.10 MITYANA-KANONI'!$A$1:$AF$60</definedName>
    <definedName name="_xlnm.Print_Area" localSheetId="10">'22.10 KANONI-MITYANA'!$A$1:$AF$60</definedName>
    <definedName name="_xlnm.Print_Area" localSheetId="11">'22.10 MITYANA-KANONI'!$A$1:$AF$60</definedName>
    <definedName name="_xlnm.Print_Area" localSheetId="12">'23.10 KANONI-MITYANA'!$A$1:$AF$60</definedName>
    <definedName name="_xlnm.Print_Area" localSheetId="13">'23.10 MITYANA-KANONI'!$A$1:$AF$60</definedName>
    <definedName name="_xlnm.Print_Area" localSheetId="14">'Avg Week Kanoni-Mityana'!$A$1:$AF$108</definedName>
    <definedName name="_xlnm.Print_Area" localSheetId="16">'Avg Week Kanoni-Mityana-2Dir'!$A$1:$AF$108</definedName>
    <definedName name="_xlnm.Print_Area" localSheetId="15">'Avg Week Mityana-Kanoni'!$A$1:$AF$108</definedName>
    <definedName name="_xlnm.Print_Titles" localSheetId="0">'17.10 KANONI-MITYANA'!$1:$8</definedName>
    <definedName name="_xlnm.Print_Titles" localSheetId="1">'17.10 MITYANA-KANONI'!$1:$8</definedName>
    <definedName name="_xlnm.Print_Titles" localSheetId="2">'18.10 KANONI-MITYANA-24h'!$1:$8</definedName>
    <definedName name="_xlnm.Print_Titles" localSheetId="3">'18.10 MITYANA-KANONI-24h'!$1:$8</definedName>
    <definedName name="_xlnm.Print_Titles" localSheetId="4">'19.10 KANONI-MITYANA-24h'!$1:$8</definedName>
    <definedName name="_xlnm.Print_Titles" localSheetId="5">'19.10 MITYANA-KANONI-24h'!$1:$8</definedName>
    <definedName name="_xlnm.Print_Titles" localSheetId="6">'20.10 KANONI-MITYANA'!$1:$8</definedName>
    <definedName name="_xlnm.Print_Titles" localSheetId="7">'20.10 MITYANA-KANONI'!$1:$8</definedName>
    <definedName name="_xlnm.Print_Titles" localSheetId="8">'21.10 KANONI-MITYANA'!$1:$8</definedName>
    <definedName name="_xlnm.Print_Titles" localSheetId="9">'21.10 MITYANA-KANONI'!$1:$8</definedName>
    <definedName name="_xlnm.Print_Titles" localSheetId="10">'22.10 KANONI-MITYANA'!$1:$8</definedName>
    <definedName name="_xlnm.Print_Titles" localSheetId="11">'22.10 MITYANA-KANONI'!$1:$8</definedName>
    <definedName name="_xlnm.Print_Titles" localSheetId="12">'23.10 KANONI-MITYANA'!$1:$8</definedName>
    <definedName name="_xlnm.Print_Titles" localSheetId="13">'23.10 MITYANA-KANONI'!$1:$8</definedName>
    <definedName name="_xlnm.Print_Titles" localSheetId="14">'Avg Week Kanoni-Mityana'!$1:$8</definedName>
    <definedName name="_xlnm.Print_Titles" localSheetId="16">'Avg Week Kanoni-Mityana-2Dir'!$1:$8</definedName>
    <definedName name="_xlnm.Print_Titles" localSheetId="15">'Avg Week Mityana-Kanoni'!$1:$8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7" l="1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P58" i="111" l="1"/>
  <c r="P59" i="111"/>
  <c r="P60" i="111"/>
  <c r="P61" i="111"/>
  <c r="P62" i="111"/>
  <c r="P63" i="111"/>
  <c r="P64" i="111"/>
  <c r="AF23" i="111" s="1"/>
  <c r="P65" i="111"/>
  <c r="P66" i="111"/>
  <c r="P67" i="111"/>
  <c r="P68" i="111"/>
  <c r="P69" i="111"/>
  <c r="P70" i="111"/>
  <c r="P71" i="111"/>
  <c r="P72" i="111"/>
  <c r="P73" i="111"/>
  <c r="AF25" i="111" s="1"/>
  <c r="P74" i="111"/>
  <c r="P75" i="111"/>
  <c r="P76" i="111"/>
  <c r="P77" i="111"/>
  <c r="AF26" i="111" s="1"/>
  <c r="P78" i="111"/>
  <c r="P79" i="111"/>
  <c r="P80" i="111"/>
  <c r="P81" i="111"/>
  <c r="AF27" i="111" s="1"/>
  <c r="P82" i="111"/>
  <c r="P83" i="111"/>
  <c r="P84" i="111"/>
  <c r="P85" i="111"/>
  <c r="AF28" i="111" s="1"/>
  <c r="P86" i="111"/>
  <c r="P87" i="111"/>
  <c r="P88" i="111"/>
  <c r="P89" i="111"/>
  <c r="P90" i="111"/>
  <c r="P91" i="111"/>
  <c r="P92" i="111"/>
  <c r="AF30" i="111" s="1"/>
  <c r="P93" i="111"/>
  <c r="P94" i="111"/>
  <c r="P95" i="111"/>
  <c r="P96" i="111"/>
  <c r="P97" i="111"/>
  <c r="P98" i="111"/>
  <c r="P99" i="111"/>
  <c r="P100" i="111"/>
  <c r="AF32" i="111" s="1"/>
  <c r="P101" i="111"/>
  <c r="P102" i="111"/>
  <c r="P103" i="111"/>
  <c r="P104" i="111"/>
  <c r="P105" i="111"/>
  <c r="AF33" i="111" s="1"/>
  <c r="O58" i="111"/>
  <c r="O59" i="111"/>
  <c r="O60" i="111"/>
  <c r="AE22" i="111" s="1"/>
  <c r="O61" i="111"/>
  <c r="O62" i="111"/>
  <c r="O63" i="111"/>
  <c r="O64" i="111"/>
  <c r="AE23" i="111" s="1"/>
  <c r="O65" i="111"/>
  <c r="O66" i="111"/>
  <c r="O67" i="111"/>
  <c r="O68" i="111"/>
  <c r="O69" i="111"/>
  <c r="AE24" i="111" s="1"/>
  <c r="O70" i="111"/>
  <c r="O71" i="111"/>
  <c r="O72" i="111"/>
  <c r="O73" i="111"/>
  <c r="O74" i="111"/>
  <c r="O75" i="111"/>
  <c r="O76" i="111"/>
  <c r="AE26" i="111" s="1"/>
  <c r="O77" i="111"/>
  <c r="O78" i="111"/>
  <c r="O79" i="111"/>
  <c r="O80" i="111"/>
  <c r="AE27" i="111" s="1"/>
  <c r="O81" i="111"/>
  <c r="O82" i="111"/>
  <c r="O83" i="111"/>
  <c r="O84" i="111"/>
  <c r="O85" i="111"/>
  <c r="AE28" i="111" s="1"/>
  <c r="O86" i="111"/>
  <c r="O87" i="111"/>
  <c r="O88" i="111"/>
  <c r="O89" i="111"/>
  <c r="O90" i="111"/>
  <c r="O91" i="111"/>
  <c r="O92" i="111"/>
  <c r="AE30" i="111" s="1"/>
  <c r="O93" i="111"/>
  <c r="O94" i="111"/>
  <c r="O95" i="111"/>
  <c r="O96" i="111"/>
  <c r="AE31" i="111" s="1"/>
  <c r="O97" i="111"/>
  <c r="O98" i="111"/>
  <c r="O99" i="111"/>
  <c r="O100" i="111"/>
  <c r="O101" i="111"/>
  <c r="AE32" i="111" s="1"/>
  <c r="O102" i="111"/>
  <c r="O103" i="111"/>
  <c r="O104" i="111"/>
  <c r="O105" i="111"/>
  <c r="C59" i="111"/>
  <c r="D59" i="111"/>
  <c r="E59" i="111"/>
  <c r="F59" i="111"/>
  <c r="V22" i="111" s="1"/>
  <c r="G59" i="111"/>
  <c r="H59" i="111"/>
  <c r="I59" i="111"/>
  <c r="J59" i="111"/>
  <c r="Z22" i="111" s="1"/>
  <c r="K59" i="111"/>
  <c r="L59" i="111"/>
  <c r="M59" i="111"/>
  <c r="N59" i="111"/>
  <c r="AD22" i="111" s="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F62" i="111"/>
  <c r="V23" i="111" s="1"/>
  <c r="G62" i="111"/>
  <c r="H62" i="111"/>
  <c r="I62" i="111"/>
  <c r="J62" i="111"/>
  <c r="Z23" i="111" s="1"/>
  <c r="K62" i="111"/>
  <c r="L62" i="111"/>
  <c r="M62" i="111"/>
  <c r="N62" i="111"/>
  <c r="AD23" i="111" s="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V24" i="111" s="1"/>
  <c r="G66" i="111"/>
  <c r="H66" i="111"/>
  <c r="I66" i="111"/>
  <c r="J66" i="111"/>
  <c r="Z24" i="111" s="1"/>
  <c r="K66" i="111"/>
  <c r="L66" i="111"/>
  <c r="M66" i="111"/>
  <c r="N66" i="111"/>
  <c r="AD24" i="111" s="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V25" i="111" s="1"/>
  <c r="G70" i="111"/>
  <c r="H70" i="111"/>
  <c r="I70" i="111"/>
  <c r="J70" i="111"/>
  <c r="Z25" i="111" s="1"/>
  <c r="K70" i="111"/>
  <c r="L70" i="111"/>
  <c r="M70" i="111"/>
  <c r="N70" i="111"/>
  <c r="AD25" i="111" s="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V26" i="111" s="1"/>
  <c r="G74" i="111"/>
  <c r="H74" i="111"/>
  <c r="I74" i="111"/>
  <c r="J74" i="111"/>
  <c r="Z26" i="111" s="1"/>
  <c r="K74" i="111"/>
  <c r="L74" i="111"/>
  <c r="M74" i="111"/>
  <c r="N74" i="111"/>
  <c r="AD26" i="111" s="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V27" i="111" s="1"/>
  <c r="G78" i="111"/>
  <c r="H78" i="111"/>
  <c r="I78" i="111"/>
  <c r="J78" i="111"/>
  <c r="Z27" i="111" s="1"/>
  <c r="K78" i="111"/>
  <c r="L78" i="111"/>
  <c r="M78" i="111"/>
  <c r="N78" i="111"/>
  <c r="AD27" i="111" s="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V28" i="111" s="1"/>
  <c r="G82" i="111"/>
  <c r="H82" i="111"/>
  <c r="I82" i="111"/>
  <c r="J82" i="111"/>
  <c r="Z28" i="111" s="1"/>
  <c r="K82" i="111"/>
  <c r="L82" i="111"/>
  <c r="M82" i="111"/>
  <c r="N82" i="111"/>
  <c r="AD28" i="111" s="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V29" i="111" s="1"/>
  <c r="G86" i="111"/>
  <c r="H86" i="111"/>
  <c r="I86" i="111"/>
  <c r="J86" i="111"/>
  <c r="Z29" i="111" s="1"/>
  <c r="K86" i="111"/>
  <c r="L86" i="111"/>
  <c r="M86" i="111"/>
  <c r="N86" i="111"/>
  <c r="AD29" i="111" s="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F90" i="111"/>
  <c r="V30" i="111" s="1"/>
  <c r="G90" i="111"/>
  <c r="H90" i="111"/>
  <c r="I90" i="111"/>
  <c r="J90" i="111"/>
  <c r="Z30" i="111" s="1"/>
  <c r="K90" i="111"/>
  <c r="L90" i="111"/>
  <c r="M90" i="111"/>
  <c r="N90" i="111"/>
  <c r="AD30" i="111" s="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V31" i="111" s="1"/>
  <c r="G94" i="111"/>
  <c r="H94" i="111"/>
  <c r="I94" i="111"/>
  <c r="J94" i="111"/>
  <c r="Z31" i="111" s="1"/>
  <c r="K94" i="111"/>
  <c r="L94" i="111"/>
  <c r="M94" i="111"/>
  <c r="N94" i="111"/>
  <c r="AD31" i="111" s="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F98" i="111"/>
  <c r="V32" i="111" s="1"/>
  <c r="G98" i="111"/>
  <c r="H98" i="111"/>
  <c r="I98" i="111"/>
  <c r="J98" i="111"/>
  <c r="Z32" i="111" s="1"/>
  <c r="K98" i="111"/>
  <c r="L98" i="111"/>
  <c r="M98" i="111"/>
  <c r="N98" i="111"/>
  <c r="AD32" i="111" s="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V33" i="111" s="1"/>
  <c r="G102" i="111"/>
  <c r="H102" i="111"/>
  <c r="I102" i="111"/>
  <c r="J102" i="111"/>
  <c r="Z33" i="111" s="1"/>
  <c r="K102" i="111"/>
  <c r="L102" i="111"/>
  <c r="M102" i="111"/>
  <c r="N102" i="111"/>
  <c r="AD33" i="111" s="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F58" i="111"/>
  <c r="G58" i="111"/>
  <c r="W22" i="111" s="1"/>
  <c r="H58" i="111"/>
  <c r="I58" i="111"/>
  <c r="J58" i="111"/>
  <c r="K58" i="111"/>
  <c r="AA22" i="111" s="1"/>
  <c r="L58" i="111"/>
  <c r="M58" i="111"/>
  <c r="N58" i="111"/>
  <c r="C58" i="111"/>
  <c r="P58" i="108"/>
  <c r="P59" i="108"/>
  <c r="P60" i="108"/>
  <c r="AF22" i="108" s="1"/>
  <c r="P61" i="108"/>
  <c r="P62" i="108"/>
  <c r="P63" i="108"/>
  <c r="P64" i="108"/>
  <c r="P65" i="108"/>
  <c r="AF23" i="108" s="1"/>
  <c r="P66" i="108"/>
  <c r="P67" i="108"/>
  <c r="AF24" i="108" s="1"/>
  <c r="P68" i="108"/>
  <c r="P69" i="108"/>
  <c r="P70" i="108"/>
  <c r="P71" i="108"/>
  <c r="P72" i="108"/>
  <c r="P73" i="108"/>
  <c r="AF25" i="108" s="1"/>
  <c r="P74" i="108"/>
  <c r="P75" i="108"/>
  <c r="AF26" i="108" s="1"/>
  <c r="P76" i="108"/>
  <c r="P77" i="108"/>
  <c r="P78" i="108"/>
  <c r="P79" i="108"/>
  <c r="P80" i="108"/>
  <c r="AF27" i="108" s="1"/>
  <c r="P81" i="108"/>
  <c r="P82" i="108"/>
  <c r="P83" i="108"/>
  <c r="P84" i="108"/>
  <c r="P85" i="108"/>
  <c r="P86" i="108"/>
  <c r="P87" i="108"/>
  <c r="P88" i="108"/>
  <c r="AF29" i="108" s="1"/>
  <c r="P89" i="108"/>
  <c r="P90" i="108"/>
  <c r="P91" i="108"/>
  <c r="P92" i="108"/>
  <c r="P93" i="108"/>
  <c r="P94" i="108"/>
  <c r="P95" i="108"/>
  <c r="AF31" i="108" s="1"/>
  <c r="P96" i="108"/>
  <c r="P97" i="108"/>
  <c r="P98" i="108"/>
  <c r="P99" i="108"/>
  <c r="P100" i="108"/>
  <c r="P101" i="108"/>
  <c r="AF32" i="108" s="1"/>
  <c r="P102" i="108"/>
  <c r="P103" i="108"/>
  <c r="AF33" i="108" s="1"/>
  <c r="P104" i="108"/>
  <c r="P105" i="108"/>
  <c r="O58" i="108"/>
  <c r="O59" i="108"/>
  <c r="O60" i="108"/>
  <c r="O61" i="108"/>
  <c r="AE22" i="108" s="1"/>
  <c r="O62" i="108"/>
  <c r="O63" i="108"/>
  <c r="O64" i="108"/>
  <c r="O65" i="108"/>
  <c r="O66" i="108"/>
  <c r="O67" i="108"/>
  <c r="O68" i="108"/>
  <c r="O69" i="108"/>
  <c r="AE24" i="108" s="1"/>
  <c r="O70" i="108"/>
  <c r="O71" i="108"/>
  <c r="O72" i="108"/>
  <c r="AE25" i="108" s="1"/>
  <c r="O73" i="108"/>
  <c r="O74" i="108"/>
  <c r="O75" i="108"/>
  <c r="O76" i="108"/>
  <c r="O77" i="108"/>
  <c r="AE26" i="108" s="1"/>
  <c r="O78" i="108"/>
  <c r="O79" i="108"/>
  <c r="O80" i="108"/>
  <c r="O81" i="108"/>
  <c r="O82" i="108"/>
  <c r="O83" i="108"/>
  <c r="O84" i="108"/>
  <c r="O85" i="108"/>
  <c r="AE28" i="108" s="1"/>
  <c r="O86" i="108"/>
  <c r="O87" i="108"/>
  <c r="O88" i="108"/>
  <c r="AE29" i="108" s="1"/>
  <c r="O89" i="108"/>
  <c r="O90" i="108"/>
  <c r="O91" i="108"/>
  <c r="O92" i="108"/>
  <c r="O93" i="108"/>
  <c r="AE30" i="108" s="1"/>
  <c r="O94" i="108"/>
  <c r="O95" i="108"/>
  <c r="O96" i="108"/>
  <c r="O97" i="108"/>
  <c r="O98" i="108"/>
  <c r="O99" i="108"/>
  <c r="O100" i="108"/>
  <c r="O101" i="108"/>
  <c r="AE32" i="108" s="1"/>
  <c r="O102" i="108"/>
  <c r="AE33" i="108" s="1"/>
  <c r="O103" i="108"/>
  <c r="O104" i="108"/>
  <c r="O105" i="108"/>
  <c r="C59" i="108"/>
  <c r="D59" i="108"/>
  <c r="E59" i="108"/>
  <c r="F59" i="108"/>
  <c r="V22" i="108" s="1"/>
  <c r="G59" i="108"/>
  <c r="H59" i="108"/>
  <c r="I59" i="108"/>
  <c r="J59" i="108"/>
  <c r="Z22" i="108" s="1"/>
  <c r="K59" i="108"/>
  <c r="L59" i="108"/>
  <c r="M59" i="108"/>
  <c r="N59" i="108"/>
  <c r="AD22" i="108" s="1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V23" i="108" s="1"/>
  <c r="G62" i="108"/>
  <c r="H62" i="108"/>
  <c r="I62" i="108"/>
  <c r="J62" i="108"/>
  <c r="Z23" i="108" s="1"/>
  <c r="K62" i="108"/>
  <c r="L62" i="108"/>
  <c r="M62" i="108"/>
  <c r="N62" i="108"/>
  <c r="AD23" i="108" s="1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V24" i="108" s="1"/>
  <c r="G66" i="108"/>
  <c r="H66" i="108"/>
  <c r="I66" i="108"/>
  <c r="J66" i="108"/>
  <c r="Z24" i="108" s="1"/>
  <c r="K66" i="108"/>
  <c r="L66" i="108"/>
  <c r="M66" i="108"/>
  <c r="N66" i="108"/>
  <c r="AD24" i="108" s="1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V25" i="108" s="1"/>
  <c r="G70" i="108"/>
  <c r="H70" i="108"/>
  <c r="I70" i="108"/>
  <c r="J70" i="108"/>
  <c r="Z25" i="108" s="1"/>
  <c r="K70" i="108"/>
  <c r="L70" i="108"/>
  <c r="M70" i="108"/>
  <c r="N70" i="108"/>
  <c r="AD25" i="108" s="1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V26" i="108" s="1"/>
  <c r="G74" i="108"/>
  <c r="H74" i="108"/>
  <c r="I74" i="108"/>
  <c r="J74" i="108"/>
  <c r="Z26" i="108" s="1"/>
  <c r="K74" i="108"/>
  <c r="L74" i="108"/>
  <c r="M74" i="108"/>
  <c r="N74" i="108"/>
  <c r="AD26" i="108" s="1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V27" i="108" s="1"/>
  <c r="G78" i="108"/>
  <c r="H78" i="108"/>
  <c r="I78" i="108"/>
  <c r="J78" i="108"/>
  <c r="Z27" i="108" s="1"/>
  <c r="K78" i="108"/>
  <c r="L78" i="108"/>
  <c r="M78" i="108"/>
  <c r="N78" i="108"/>
  <c r="AD27" i="108" s="1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V28" i="108" s="1"/>
  <c r="G82" i="108"/>
  <c r="H82" i="108"/>
  <c r="I82" i="108"/>
  <c r="J82" i="108"/>
  <c r="Z28" i="108" s="1"/>
  <c r="K82" i="108"/>
  <c r="L82" i="108"/>
  <c r="M82" i="108"/>
  <c r="N82" i="108"/>
  <c r="AD28" i="108" s="1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V29" i="108" s="1"/>
  <c r="G86" i="108"/>
  <c r="H86" i="108"/>
  <c r="I86" i="108"/>
  <c r="J86" i="108"/>
  <c r="Z29" i="108" s="1"/>
  <c r="K86" i="108"/>
  <c r="L86" i="108"/>
  <c r="M86" i="108"/>
  <c r="N86" i="108"/>
  <c r="AD29" i="108" s="1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V30" i="108" s="1"/>
  <c r="G90" i="108"/>
  <c r="H90" i="108"/>
  <c r="I90" i="108"/>
  <c r="J90" i="108"/>
  <c r="Z30" i="108" s="1"/>
  <c r="K90" i="108"/>
  <c r="L90" i="108"/>
  <c r="M90" i="108"/>
  <c r="N90" i="108"/>
  <c r="AD30" i="108" s="1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V31" i="108" s="1"/>
  <c r="G94" i="108"/>
  <c r="H94" i="108"/>
  <c r="I94" i="108"/>
  <c r="J94" i="108"/>
  <c r="Z31" i="108" s="1"/>
  <c r="K94" i="108"/>
  <c r="L94" i="108"/>
  <c r="M94" i="108"/>
  <c r="N94" i="108"/>
  <c r="AD31" i="108" s="1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V32" i="108" s="1"/>
  <c r="G98" i="108"/>
  <c r="H98" i="108"/>
  <c r="I98" i="108"/>
  <c r="J98" i="108"/>
  <c r="Z32" i="108" s="1"/>
  <c r="K98" i="108"/>
  <c r="L98" i="108"/>
  <c r="M98" i="108"/>
  <c r="N98" i="108"/>
  <c r="AD32" i="108" s="1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V33" i="108" s="1"/>
  <c r="G102" i="108"/>
  <c r="H102" i="108"/>
  <c r="I102" i="108"/>
  <c r="J102" i="108"/>
  <c r="Z33" i="108" s="1"/>
  <c r="K102" i="108"/>
  <c r="L102" i="108"/>
  <c r="M102" i="108"/>
  <c r="N102" i="108"/>
  <c r="AD33" i="108" s="1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P58" i="107"/>
  <c r="P59" i="107"/>
  <c r="P60" i="107"/>
  <c r="AF22" i="107" s="1"/>
  <c r="P61" i="107"/>
  <c r="P62" i="107"/>
  <c r="P63" i="107"/>
  <c r="P64" i="107"/>
  <c r="P65" i="107"/>
  <c r="AF23" i="107" s="1"/>
  <c r="P66" i="107"/>
  <c r="P67" i="107"/>
  <c r="P68" i="107"/>
  <c r="AF24" i="107" s="1"/>
  <c r="P69" i="107"/>
  <c r="P70" i="107"/>
  <c r="P71" i="107"/>
  <c r="P72" i="107"/>
  <c r="P73" i="107"/>
  <c r="AF25" i="107" s="1"/>
  <c r="P74" i="107"/>
  <c r="P75" i="107"/>
  <c r="P76" i="107"/>
  <c r="AF26" i="107" s="1"/>
  <c r="P77" i="107"/>
  <c r="P78" i="107"/>
  <c r="P79" i="107"/>
  <c r="P80" i="107"/>
  <c r="AF27" i="107" s="1"/>
  <c r="P81" i="107"/>
  <c r="P82" i="107"/>
  <c r="P83" i="107"/>
  <c r="P84" i="107"/>
  <c r="AF28" i="107" s="1"/>
  <c r="P85" i="107"/>
  <c r="P86" i="107"/>
  <c r="P87" i="107"/>
  <c r="P88" i="107"/>
  <c r="P89" i="107"/>
  <c r="P90" i="107"/>
  <c r="P91" i="107"/>
  <c r="P92" i="107"/>
  <c r="AF30" i="107" s="1"/>
  <c r="P93" i="107"/>
  <c r="P94" i="107"/>
  <c r="P95" i="107"/>
  <c r="P96" i="107"/>
  <c r="P97" i="107"/>
  <c r="AF31" i="107" s="1"/>
  <c r="P98" i="107"/>
  <c r="P99" i="107"/>
  <c r="P100" i="107"/>
  <c r="P101" i="107"/>
  <c r="P102" i="107"/>
  <c r="P103" i="107"/>
  <c r="AF33" i="107" s="1"/>
  <c r="P104" i="107"/>
  <c r="P105" i="107"/>
  <c r="O58" i="107"/>
  <c r="O59" i="107"/>
  <c r="O60" i="107"/>
  <c r="O61" i="107"/>
  <c r="AE22" i="107" s="1"/>
  <c r="O62" i="107"/>
  <c r="O63" i="107"/>
  <c r="O64" i="107"/>
  <c r="O65" i="107"/>
  <c r="O66" i="107"/>
  <c r="O67" i="107"/>
  <c r="O68" i="107"/>
  <c r="AE24" i="107" s="1"/>
  <c r="O69" i="107"/>
  <c r="O70" i="107"/>
  <c r="O71" i="107"/>
  <c r="O72" i="107"/>
  <c r="AE25" i="107" s="1"/>
  <c r="O73" i="107"/>
  <c r="O74" i="107"/>
  <c r="O75" i="107"/>
  <c r="O76" i="107"/>
  <c r="O77" i="107"/>
  <c r="AE26" i="107" s="1"/>
  <c r="O78" i="107"/>
  <c r="O79" i="107"/>
  <c r="O80" i="107"/>
  <c r="O81" i="107"/>
  <c r="O82" i="107"/>
  <c r="O83" i="107"/>
  <c r="O84" i="107"/>
  <c r="O85" i="107"/>
  <c r="O86" i="107"/>
  <c r="O87" i="107"/>
  <c r="O88" i="107"/>
  <c r="AE29" i="107" s="1"/>
  <c r="O89" i="107"/>
  <c r="O90" i="107"/>
  <c r="O91" i="107"/>
  <c r="O92" i="107"/>
  <c r="AE30" i="107" s="1"/>
  <c r="O93" i="107"/>
  <c r="O94" i="107"/>
  <c r="O95" i="107"/>
  <c r="O96" i="107"/>
  <c r="AE31" i="107" s="1"/>
  <c r="O97" i="107"/>
  <c r="O98" i="107"/>
  <c r="O99" i="107"/>
  <c r="O100" i="107"/>
  <c r="AE32" i="107" s="1"/>
  <c r="O101" i="107"/>
  <c r="O102" i="107"/>
  <c r="O103" i="107"/>
  <c r="O104" i="107"/>
  <c r="AE33" i="107" s="1"/>
  <c r="O105" i="107"/>
  <c r="C59" i="107"/>
  <c r="D59" i="107"/>
  <c r="E59" i="107"/>
  <c r="F59" i="107"/>
  <c r="G59" i="107"/>
  <c r="H59" i="107"/>
  <c r="I59" i="107"/>
  <c r="J59" i="107"/>
  <c r="K59" i="107"/>
  <c r="L59" i="107"/>
  <c r="M59" i="107"/>
  <c r="N59" i="107"/>
  <c r="C60" i="107"/>
  <c r="D60" i="107"/>
  <c r="E60" i="107"/>
  <c r="F60" i="107"/>
  <c r="G60" i="107"/>
  <c r="H60" i="107"/>
  <c r="I60" i="107"/>
  <c r="J60" i="107"/>
  <c r="K60" i="107"/>
  <c r="L60" i="107"/>
  <c r="M60" i="107"/>
  <c r="N60" i="107"/>
  <c r="C61" i="107"/>
  <c r="D61" i="107"/>
  <c r="E61" i="107"/>
  <c r="F61" i="107"/>
  <c r="G61" i="107"/>
  <c r="H61" i="107"/>
  <c r="I61" i="107"/>
  <c r="J61" i="107"/>
  <c r="K61" i="107"/>
  <c r="L61" i="107"/>
  <c r="M61" i="107"/>
  <c r="N61" i="107"/>
  <c r="C62" i="107"/>
  <c r="D62" i="107"/>
  <c r="E62" i="107"/>
  <c r="F62" i="107"/>
  <c r="V23" i="107" s="1"/>
  <c r="G62" i="107"/>
  <c r="H62" i="107"/>
  <c r="I62" i="107"/>
  <c r="J62" i="107"/>
  <c r="Z23" i="107" s="1"/>
  <c r="K62" i="107"/>
  <c r="L62" i="107"/>
  <c r="M62" i="107"/>
  <c r="N62" i="107"/>
  <c r="AD23" i="107" s="1"/>
  <c r="C63" i="107"/>
  <c r="D63" i="107"/>
  <c r="E63" i="107"/>
  <c r="F63" i="107"/>
  <c r="G63" i="107"/>
  <c r="H63" i="107"/>
  <c r="I63" i="107"/>
  <c r="J63" i="107"/>
  <c r="K63" i="107"/>
  <c r="L63" i="107"/>
  <c r="M63" i="107"/>
  <c r="N63" i="107"/>
  <c r="C64" i="107"/>
  <c r="D64" i="107"/>
  <c r="E64" i="107"/>
  <c r="F64" i="107"/>
  <c r="G64" i="107"/>
  <c r="H64" i="107"/>
  <c r="I64" i="107"/>
  <c r="J64" i="107"/>
  <c r="K64" i="107"/>
  <c r="L64" i="107"/>
  <c r="M64" i="107"/>
  <c r="N64" i="107"/>
  <c r="C65" i="107"/>
  <c r="D65" i="107"/>
  <c r="E65" i="107"/>
  <c r="F65" i="107"/>
  <c r="G65" i="107"/>
  <c r="H65" i="107"/>
  <c r="I65" i="107"/>
  <c r="J65" i="107"/>
  <c r="K65" i="107"/>
  <c r="L65" i="107"/>
  <c r="M65" i="107"/>
  <c r="N65" i="107"/>
  <c r="C66" i="107"/>
  <c r="D66" i="107"/>
  <c r="E66" i="107"/>
  <c r="F66" i="107"/>
  <c r="V24" i="107" s="1"/>
  <c r="G66" i="107"/>
  <c r="H66" i="107"/>
  <c r="I66" i="107"/>
  <c r="J66" i="107"/>
  <c r="Z24" i="107" s="1"/>
  <c r="K66" i="107"/>
  <c r="L66" i="107"/>
  <c r="M66" i="107"/>
  <c r="N66" i="107"/>
  <c r="AD24" i="107" s="1"/>
  <c r="C67" i="107"/>
  <c r="D67" i="107"/>
  <c r="E67" i="107"/>
  <c r="F67" i="107"/>
  <c r="G67" i="107"/>
  <c r="H67" i="107"/>
  <c r="I67" i="107"/>
  <c r="J67" i="107"/>
  <c r="K67" i="107"/>
  <c r="L67" i="107"/>
  <c r="M67" i="107"/>
  <c r="N67" i="107"/>
  <c r="C68" i="107"/>
  <c r="D68" i="107"/>
  <c r="E68" i="107"/>
  <c r="F68" i="107"/>
  <c r="G68" i="107"/>
  <c r="H68" i="107"/>
  <c r="I68" i="107"/>
  <c r="J68" i="107"/>
  <c r="K68" i="107"/>
  <c r="L68" i="107"/>
  <c r="M68" i="107"/>
  <c r="N68" i="107"/>
  <c r="C69" i="107"/>
  <c r="D69" i="107"/>
  <c r="E69" i="107"/>
  <c r="F69" i="107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V25" i="107" s="1"/>
  <c r="G70" i="107"/>
  <c r="H70" i="107"/>
  <c r="I70" i="107"/>
  <c r="J70" i="107"/>
  <c r="Z25" i="107" s="1"/>
  <c r="K70" i="107"/>
  <c r="L70" i="107"/>
  <c r="M70" i="107"/>
  <c r="N70" i="107"/>
  <c r="AD25" i="107" s="1"/>
  <c r="C71" i="107"/>
  <c r="D71" i="107"/>
  <c r="E71" i="107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G73" i="107"/>
  <c r="H73" i="107"/>
  <c r="I73" i="107"/>
  <c r="J73" i="107"/>
  <c r="K73" i="107"/>
  <c r="L73" i="107"/>
  <c r="M73" i="107"/>
  <c r="N73" i="107"/>
  <c r="C74" i="107"/>
  <c r="D74" i="107"/>
  <c r="E74" i="107"/>
  <c r="F74" i="107"/>
  <c r="V26" i="107" s="1"/>
  <c r="G74" i="107"/>
  <c r="H74" i="107"/>
  <c r="I74" i="107"/>
  <c r="J74" i="107"/>
  <c r="Z26" i="107" s="1"/>
  <c r="K74" i="107"/>
  <c r="L74" i="107"/>
  <c r="M74" i="107"/>
  <c r="N74" i="107"/>
  <c r="AD26" i="107" s="1"/>
  <c r="C75" i="107"/>
  <c r="D75" i="107"/>
  <c r="E75" i="107"/>
  <c r="F75" i="107"/>
  <c r="G75" i="107"/>
  <c r="H75" i="107"/>
  <c r="I75" i="107"/>
  <c r="J75" i="107"/>
  <c r="K75" i="107"/>
  <c r="L75" i="107"/>
  <c r="M75" i="107"/>
  <c r="N75" i="107"/>
  <c r="C76" i="107"/>
  <c r="D76" i="107"/>
  <c r="E76" i="107"/>
  <c r="F76" i="107"/>
  <c r="G76" i="107"/>
  <c r="H76" i="107"/>
  <c r="I76" i="107"/>
  <c r="J76" i="107"/>
  <c r="K76" i="107"/>
  <c r="L76" i="107"/>
  <c r="M76" i="107"/>
  <c r="N76" i="107"/>
  <c r="C77" i="107"/>
  <c r="D77" i="107"/>
  <c r="E77" i="107"/>
  <c r="F77" i="107"/>
  <c r="G77" i="107"/>
  <c r="H77" i="107"/>
  <c r="I77" i="107"/>
  <c r="J77" i="107"/>
  <c r="K77" i="107"/>
  <c r="L77" i="107"/>
  <c r="M77" i="107"/>
  <c r="N77" i="107"/>
  <c r="C78" i="107"/>
  <c r="D78" i="107"/>
  <c r="E78" i="107"/>
  <c r="F78" i="107"/>
  <c r="V27" i="107" s="1"/>
  <c r="G78" i="107"/>
  <c r="H78" i="107"/>
  <c r="I78" i="107"/>
  <c r="J78" i="107"/>
  <c r="Z27" i="107" s="1"/>
  <c r="K78" i="107"/>
  <c r="L78" i="107"/>
  <c r="M78" i="107"/>
  <c r="N78" i="107"/>
  <c r="AD27" i="107" s="1"/>
  <c r="C79" i="107"/>
  <c r="D79" i="107"/>
  <c r="E79" i="107"/>
  <c r="F79" i="107"/>
  <c r="G79" i="107"/>
  <c r="H79" i="107"/>
  <c r="I79" i="107"/>
  <c r="J79" i="107"/>
  <c r="K79" i="107"/>
  <c r="L79" i="107"/>
  <c r="M79" i="107"/>
  <c r="N79" i="107"/>
  <c r="C80" i="107"/>
  <c r="D80" i="107"/>
  <c r="E80" i="107"/>
  <c r="F80" i="107"/>
  <c r="G80" i="107"/>
  <c r="H80" i="107"/>
  <c r="I80" i="107"/>
  <c r="J80" i="107"/>
  <c r="K80" i="107"/>
  <c r="L80" i="107"/>
  <c r="M80" i="107"/>
  <c r="N80" i="107"/>
  <c r="C81" i="107"/>
  <c r="D81" i="107"/>
  <c r="E81" i="107"/>
  <c r="F81" i="107"/>
  <c r="G81" i="107"/>
  <c r="H81" i="107"/>
  <c r="I81" i="107"/>
  <c r="J81" i="107"/>
  <c r="K81" i="107"/>
  <c r="L81" i="107"/>
  <c r="M81" i="107"/>
  <c r="N81" i="107"/>
  <c r="C82" i="107"/>
  <c r="D82" i="107"/>
  <c r="E82" i="107"/>
  <c r="F82" i="107"/>
  <c r="V28" i="107" s="1"/>
  <c r="G82" i="107"/>
  <c r="H82" i="107"/>
  <c r="I82" i="107"/>
  <c r="Y28" i="107" s="1"/>
  <c r="J82" i="107"/>
  <c r="Z28" i="107" s="1"/>
  <c r="K82" i="107"/>
  <c r="L82" i="107"/>
  <c r="M82" i="107"/>
  <c r="AC28" i="107" s="1"/>
  <c r="N82" i="107"/>
  <c r="AD28" i="107" s="1"/>
  <c r="C83" i="107"/>
  <c r="D83" i="107"/>
  <c r="E83" i="107"/>
  <c r="U28" i="107" s="1"/>
  <c r="F83" i="107"/>
  <c r="G83" i="107"/>
  <c r="H83" i="107"/>
  <c r="I83" i="107"/>
  <c r="J83" i="107"/>
  <c r="K83" i="107"/>
  <c r="L83" i="107"/>
  <c r="M83" i="107"/>
  <c r="N83" i="107"/>
  <c r="C84" i="107"/>
  <c r="D84" i="107"/>
  <c r="E84" i="107"/>
  <c r="F84" i="107"/>
  <c r="G84" i="107"/>
  <c r="H84" i="107"/>
  <c r="I84" i="107"/>
  <c r="J84" i="107"/>
  <c r="K84" i="107"/>
  <c r="L84" i="107"/>
  <c r="M84" i="107"/>
  <c r="N84" i="107"/>
  <c r="C85" i="107"/>
  <c r="D85" i="107"/>
  <c r="E85" i="107"/>
  <c r="F85" i="107"/>
  <c r="G85" i="107"/>
  <c r="H85" i="107"/>
  <c r="I85" i="107"/>
  <c r="J85" i="107"/>
  <c r="K85" i="107"/>
  <c r="L85" i="107"/>
  <c r="M85" i="107"/>
  <c r="N85" i="107"/>
  <c r="C86" i="107"/>
  <c r="D86" i="107"/>
  <c r="E86" i="107"/>
  <c r="F86" i="107"/>
  <c r="V29" i="107" s="1"/>
  <c r="G86" i="107"/>
  <c r="H86" i="107"/>
  <c r="I86" i="107"/>
  <c r="J86" i="107"/>
  <c r="Z29" i="107" s="1"/>
  <c r="K86" i="107"/>
  <c r="L86" i="107"/>
  <c r="M86" i="107"/>
  <c r="N86" i="107"/>
  <c r="AD29" i="107" s="1"/>
  <c r="C87" i="107"/>
  <c r="D87" i="107"/>
  <c r="E87" i="107"/>
  <c r="F87" i="107"/>
  <c r="G87" i="107"/>
  <c r="H87" i="107"/>
  <c r="I87" i="107"/>
  <c r="J87" i="107"/>
  <c r="K87" i="107"/>
  <c r="L87" i="107"/>
  <c r="M87" i="107"/>
  <c r="N87" i="107"/>
  <c r="C88" i="107"/>
  <c r="D88" i="107"/>
  <c r="E88" i="107"/>
  <c r="F88" i="107"/>
  <c r="G88" i="107"/>
  <c r="H88" i="107"/>
  <c r="I88" i="107"/>
  <c r="J88" i="107"/>
  <c r="K88" i="107"/>
  <c r="L88" i="107"/>
  <c r="M88" i="107"/>
  <c r="N88" i="107"/>
  <c r="C89" i="107"/>
  <c r="D89" i="107"/>
  <c r="E89" i="107"/>
  <c r="F89" i="107"/>
  <c r="G89" i="107"/>
  <c r="H89" i="107"/>
  <c r="I89" i="107"/>
  <c r="J89" i="107"/>
  <c r="K89" i="107"/>
  <c r="L89" i="107"/>
  <c r="M89" i="107"/>
  <c r="N89" i="107"/>
  <c r="C90" i="107"/>
  <c r="D90" i="107"/>
  <c r="E90" i="107"/>
  <c r="U30" i="107" s="1"/>
  <c r="F90" i="107"/>
  <c r="V30" i="107" s="1"/>
  <c r="G90" i="107"/>
  <c r="H90" i="107"/>
  <c r="I90" i="107"/>
  <c r="Y30" i="107" s="1"/>
  <c r="J90" i="107"/>
  <c r="Z30" i="107" s="1"/>
  <c r="K90" i="107"/>
  <c r="L90" i="107"/>
  <c r="M90" i="107"/>
  <c r="AC30" i="107" s="1"/>
  <c r="N90" i="107"/>
  <c r="AD30" i="107" s="1"/>
  <c r="C91" i="107"/>
  <c r="D91" i="107"/>
  <c r="E91" i="107"/>
  <c r="F91" i="107"/>
  <c r="G91" i="107"/>
  <c r="H91" i="107"/>
  <c r="I91" i="107"/>
  <c r="J91" i="107"/>
  <c r="K91" i="107"/>
  <c r="L91" i="107"/>
  <c r="M91" i="107"/>
  <c r="N91" i="107"/>
  <c r="C92" i="107"/>
  <c r="D92" i="107"/>
  <c r="E92" i="107"/>
  <c r="F92" i="107"/>
  <c r="G92" i="107"/>
  <c r="H92" i="107"/>
  <c r="I92" i="107"/>
  <c r="J92" i="107"/>
  <c r="K92" i="107"/>
  <c r="L92" i="107"/>
  <c r="M92" i="107"/>
  <c r="N92" i="107"/>
  <c r="C93" i="107"/>
  <c r="D93" i="107"/>
  <c r="E93" i="107"/>
  <c r="F93" i="107"/>
  <c r="G93" i="107"/>
  <c r="H93" i="107"/>
  <c r="I93" i="107"/>
  <c r="J93" i="107"/>
  <c r="K93" i="107"/>
  <c r="L93" i="107"/>
  <c r="M93" i="107"/>
  <c r="N93" i="107"/>
  <c r="C94" i="107"/>
  <c r="D94" i="107"/>
  <c r="E94" i="107"/>
  <c r="F94" i="107"/>
  <c r="V31" i="107" s="1"/>
  <c r="G94" i="107"/>
  <c r="H94" i="107"/>
  <c r="I94" i="107"/>
  <c r="J94" i="107"/>
  <c r="Z31" i="107" s="1"/>
  <c r="K94" i="107"/>
  <c r="L94" i="107"/>
  <c r="M94" i="107"/>
  <c r="N94" i="107"/>
  <c r="AD31" i="107" s="1"/>
  <c r="C95" i="107"/>
  <c r="D95" i="107"/>
  <c r="E95" i="107"/>
  <c r="F95" i="107"/>
  <c r="G95" i="107"/>
  <c r="H95" i="107"/>
  <c r="I95" i="107"/>
  <c r="J95" i="107"/>
  <c r="K95" i="107"/>
  <c r="L95" i="107"/>
  <c r="M95" i="107"/>
  <c r="N95" i="107"/>
  <c r="C96" i="107"/>
  <c r="D96" i="107"/>
  <c r="E96" i="107"/>
  <c r="F96" i="107"/>
  <c r="G96" i="107"/>
  <c r="H96" i="107"/>
  <c r="I96" i="107"/>
  <c r="J96" i="107"/>
  <c r="K96" i="107"/>
  <c r="L96" i="107"/>
  <c r="M96" i="107"/>
  <c r="N96" i="107"/>
  <c r="C97" i="107"/>
  <c r="D97" i="107"/>
  <c r="E97" i="107"/>
  <c r="F97" i="107"/>
  <c r="G97" i="107"/>
  <c r="H97" i="107"/>
  <c r="I97" i="107"/>
  <c r="J97" i="107"/>
  <c r="K97" i="107"/>
  <c r="L97" i="107"/>
  <c r="M97" i="107"/>
  <c r="N97" i="107"/>
  <c r="C98" i="107"/>
  <c r="D98" i="107"/>
  <c r="E98" i="107"/>
  <c r="U32" i="107" s="1"/>
  <c r="F98" i="107"/>
  <c r="V32" i="107" s="1"/>
  <c r="G98" i="107"/>
  <c r="H98" i="107"/>
  <c r="I98" i="107"/>
  <c r="Y32" i="107" s="1"/>
  <c r="J98" i="107"/>
  <c r="Z32" i="107" s="1"/>
  <c r="K98" i="107"/>
  <c r="L98" i="107"/>
  <c r="M98" i="107"/>
  <c r="AC32" i="107" s="1"/>
  <c r="N98" i="107"/>
  <c r="AD32" i="107" s="1"/>
  <c r="C99" i="107"/>
  <c r="D99" i="107"/>
  <c r="E99" i="107"/>
  <c r="F99" i="107"/>
  <c r="G99" i="107"/>
  <c r="H99" i="107"/>
  <c r="I99" i="107"/>
  <c r="J99" i="107"/>
  <c r="K99" i="107"/>
  <c r="L99" i="107"/>
  <c r="M99" i="107"/>
  <c r="N99" i="107"/>
  <c r="C100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C101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C102" i="107"/>
  <c r="S33" i="107" s="1"/>
  <c r="D102" i="107"/>
  <c r="E102" i="107"/>
  <c r="F102" i="107"/>
  <c r="V33" i="107" s="1"/>
  <c r="G102" i="107"/>
  <c r="W33" i="107" s="1"/>
  <c r="H102" i="107"/>
  <c r="I102" i="107"/>
  <c r="J102" i="107"/>
  <c r="Z33" i="107" s="1"/>
  <c r="K102" i="107"/>
  <c r="AA33" i="107" s="1"/>
  <c r="L102" i="107"/>
  <c r="M102" i="107"/>
  <c r="N102" i="107"/>
  <c r="AD33" i="107" s="1"/>
  <c r="C103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C104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C105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D58" i="107"/>
  <c r="E58" i="107"/>
  <c r="F58" i="107"/>
  <c r="G58" i="107"/>
  <c r="H58" i="107"/>
  <c r="I58" i="107"/>
  <c r="J58" i="107"/>
  <c r="K58" i="107"/>
  <c r="L58" i="107"/>
  <c r="M58" i="107"/>
  <c r="N58" i="107"/>
  <c r="C58" i="107"/>
  <c r="AC33" i="108"/>
  <c r="AB33" i="108"/>
  <c r="AA33" i="108"/>
  <c r="Y33" i="108"/>
  <c r="X33" i="108"/>
  <c r="W33" i="108"/>
  <c r="U33" i="108"/>
  <c r="T33" i="108"/>
  <c r="S33" i="108"/>
  <c r="AC32" i="108"/>
  <c r="AB32" i="108"/>
  <c r="AA32" i="108"/>
  <c r="Y32" i="108"/>
  <c r="X32" i="108"/>
  <c r="W32" i="108"/>
  <c r="U32" i="108"/>
  <c r="T32" i="108"/>
  <c r="S32" i="108"/>
  <c r="AE31" i="108"/>
  <c r="AC31" i="108"/>
  <c r="AB31" i="108"/>
  <c r="AA31" i="108"/>
  <c r="Y31" i="108"/>
  <c r="X31" i="108"/>
  <c r="W31" i="108"/>
  <c r="U31" i="108"/>
  <c r="T31" i="108"/>
  <c r="S31" i="108"/>
  <c r="AF30" i="108"/>
  <c r="AC30" i="108"/>
  <c r="AB30" i="108"/>
  <c r="AA30" i="108"/>
  <c r="Y30" i="108"/>
  <c r="X30" i="108"/>
  <c r="W30" i="108"/>
  <c r="U30" i="108"/>
  <c r="T30" i="108"/>
  <c r="S30" i="108"/>
  <c r="AC29" i="108"/>
  <c r="AB29" i="108"/>
  <c r="AA29" i="108"/>
  <c r="Y29" i="108"/>
  <c r="X29" i="108"/>
  <c r="W29" i="108"/>
  <c r="U29" i="108"/>
  <c r="T29" i="108"/>
  <c r="S29" i="108"/>
  <c r="AF28" i="108"/>
  <c r="AC28" i="108"/>
  <c r="AB28" i="108"/>
  <c r="AA28" i="108"/>
  <c r="Y28" i="108"/>
  <c r="X28" i="108"/>
  <c r="W28" i="108"/>
  <c r="U28" i="108"/>
  <c r="T28" i="108"/>
  <c r="S28" i="108"/>
  <c r="AE27" i="108"/>
  <c r="AC27" i="108"/>
  <c r="AB27" i="108"/>
  <c r="AA27" i="108"/>
  <c r="Y27" i="108"/>
  <c r="X27" i="108"/>
  <c r="W27" i="108"/>
  <c r="U27" i="108"/>
  <c r="T27" i="108"/>
  <c r="S27" i="108"/>
  <c r="AC26" i="108"/>
  <c r="AB26" i="108"/>
  <c r="AA26" i="108"/>
  <c r="Y26" i="108"/>
  <c r="X26" i="108"/>
  <c r="W26" i="108"/>
  <c r="U26" i="108"/>
  <c r="T26" i="108"/>
  <c r="S26" i="108"/>
  <c r="AC25" i="108"/>
  <c r="AB25" i="108"/>
  <c r="AA25" i="108"/>
  <c r="Y25" i="108"/>
  <c r="X25" i="108"/>
  <c r="W25" i="108"/>
  <c r="U25" i="108"/>
  <c r="T25" i="108"/>
  <c r="S25" i="108"/>
  <c r="AC24" i="108"/>
  <c r="AB24" i="108"/>
  <c r="AA24" i="108"/>
  <c r="Y24" i="108"/>
  <c r="X24" i="108"/>
  <c r="W24" i="108"/>
  <c r="U24" i="108"/>
  <c r="T24" i="108"/>
  <c r="S24" i="108"/>
  <c r="AE23" i="108"/>
  <c r="AC23" i="108"/>
  <c r="AB23" i="108"/>
  <c r="AA23" i="108"/>
  <c r="Y23" i="108"/>
  <c r="X23" i="108"/>
  <c r="W23" i="108"/>
  <c r="U23" i="108"/>
  <c r="T23" i="108"/>
  <c r="S23" i="108"/>
  <c r="AC22" i="108"/>
  <c r="AB22" i="108"/>
  <c r="AA22" i="108"/>
  <c r="Y22" i="108"/>
  <c r="X22" i="108"/>
  <c r="W22" i="108"/>
  <c r="U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D36" i="108" s="1"/>
  <c r="AC20" i="108"/>
  <c r="AC36" i="108" s="1"/>
  <c r="AB20" i="108"/>
  <c r="AA20" i="108"/>
  <c r="Z20" i="108"/>
  <c r="Z36" i="108" s="1"/>
  <c r="Y20" i="108"/>
  <c r="Y36" i="108" s="1"/>
  <c r="X20" i="108"/>
  <c r="W20" i="108"/>
  <c r="V20" i="108"/>
  <c r="V36" i="108" s="1"/>
  <c r="U20" i="108"/>
  <c r="U36" i="108" s="1"/>
  <c r="T20" i="108"/>
  <c r="S20" i="108"/>
  <c r="AF19" i="108"/>
  <c r="AF36" i="108" s="1"/>
  <c r="AE19" i="108"/>
  <c r="AE36" i="108" s="1"/>
  <c r="AD19" i="108"/>
  <c r="AD39" i="108" s="1"/>
  <c r="AC19" i="108"/>
  <c r="AC39" i="108" s="1"/>
  <c r="AB19" i="108"/>
  <c r="AB36" i="108" s="1"/>
  <c r="AA19" i="108"/>
  <c r="AA39" i="108" s="1"/>
  <c r="Z19" i="108"/>
  <c r="Z39" i="108" s="1"/>
  <c r="Y19" i="108"/>
  <c r="Y39" i="108" s="1"/>
  <c r="X19" i="108"/>
  <c r="X36" i="108" s="1"/>
  <c r="W19" i="108"/>
  <c r="W36" i="108" s="1"/>
  <c r="V19" i="108"/>
  <c r="V39" i="108" s="1"/>
  <c r="U19" i="108"/>
  <c r="U39" i="108" s="1"/>
  <c r="T19" i="108"/>
  <c r="T36" i="108" s="1"/>
  <c r="S19" i="108"/>
  <c r="S39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D38" i="108" s="1"/>
  <c r="AC14" i="108"/>
  <c r="AC38" i="108" s="1"/>
  <c r="AB14" i="108"/>
  <c r="AA14" i="108"/>
  <c r="Z14" i="108"/>
  <c r="Z38" i="108" s="1"/>
  <c r="Y14" i="108"/>
  <c r="Y38" i="108" s="1"/>
  <c r="X14" i="108"/>
  <c r="W14" i="108"/>
  <c r="V14" i="108"/>
  <c r="V38" i="108" s="1"/>
  <c r="U14" i="108"/>
  <c r="U38" i="108" s="1"/>
  <c r="T14" i="108"/>
  <c r="S14" i="108"/>
  <c r="AF13" i="108"/>
  <c r="AF38" i="108" s="1"/>
  <c r="AE13" i="108"/>
  <c r="AE35" i="108" s="1"/>
  <c r="AD13" i="108"/>
  <c r="AD35" i="108" s="1"/>
  <c r="AC13" i="108"/>
  <c r="AC35" i="108" s="1"/>
  <c r="AB13" i="108"/>
  <c r="AB38" i="108" s="1"/>
  <c r="AA13" i="108"/>
  <c r="AA35" i="108" s="1"/>
  <c r="Z13" i="108"/>
  <c r="Z35" i="108" s="1"/>
  <c r="Y13" i="108"/>
  <c r="Y35" i="108" s="1"/>
  <c r="X13" i="108"/>
  <c r="X38" i="108" s="1"/>
  <c r="W13" i="108"/>
  <c r="W38" i="108" s="1"/>
  <c r="V13" i="108"/>
  <c r="V35" i="108" s="1"/>
  <c r="U13" i="108"/>
  <c r="U35" i="108" s="1"/>
  <c r="T13" i="108"/>
  <c r="T38" i="108" s="1"/>
  <c r="S13" i="108"/>
  <c r="S35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D11" i="108"/>
  <c r="AC11" i="108"/>
  <c r="AB11" i="108"/>
  <c r="AA11" i="108"/>
  <c r="AA37" i="108" s="1"/>
  <c r="Z11" i="108"/>
  <c r="Y11" i="108"/>
  <c r="X11" i="108"/>
  <c r="W11" i="108"/>
  <c r="V11" i="108"/>
  <c r="U11" i="108"/>
  <c r="T11" i="108"/>
  <c r="S11" i="108"/>
  <c r="S37" i="108" s="1"/>
  <c r="AF10" i="108"/>
  <c r="AF40" i="108" s="1"/>
  <c r="AE10" i="108"/>
  <c r="AE40" i="108" s="1"/>
  <c r="AD10" i="108"/>
  <c r="AC10" i="108"/>
  <c r="AC40" i="108" s="1"/>
  <c r="AB10" i="108"/>
  <c r="AB40" i="108" s="1"/>
  <c r="AA10" i="108"/>
  <c r="AA40" i="108" s="1"/>
  <c r="Z10" i="108"/>
  <c r="Y10" i="108"/>
  <c r="Y34" i="108" s="1"/>
  <c r="X10" i="108"/>
  <c r="X40" i="108" s="1"/>
  <c r="W10" i="108"/>
  <c r="W40" i="108" s="1"/>
  <c r="V10" i="108"/>
  <c r="U10" i="108"/>
  <c r="U40" i="108" s="1"/>
  <c r="T10" i="108"/>
  <c r="T40" i="108" s="1"/>
  <c r="S10" i="108"/>
  <c r="S40" i="108" s="1"/>
  <c r="AC33" i="107"/>
  <c r="AB33" i="107"/>
  <c r="Y33" i="107"/>
  <c r="X33" i="107"/>
  <c r="U33" i="107"/>
  <c r="T33" i="107"/>
  <c r="AF32" i="107"/>
  <c r="AB32" i="107"/>
  <c r="AA32" i="107"/>
  <c r="X32" i="107"/>
  <c r="W32" i="107"/>
  <c r="T32" i="107"/>
  <c r="S32" i="107"/>
  <c r="AC31" i="107"/>
  <c r="AB31" i="107"/>
  <c r="AA31" i="107"/>
  <c r="Y31" i="107"/>
  <c r="X31" i="107"/>
  <c r="W31" i="107"/>
  <c r="U31" i="107"/>
  <c r="T31" i="107"/>
  <c r="S31" i="107"/>
  <c r="AB30" i="107"/>
  <c r="AA30" i="107"/>
  <c r="X30" i="107"/>
  <c r="W30" i="107"/>
  <c r="T30" i="107"/>
  <c r="S30" i="107"/>
  <c r="AF29" i="107"/>
  <c r="AC29" i="107"/>
  <c r="AB29" i="107"/>
  <c r="AA29" i="107"/>
  <c r="Y29" i="107"/>
  <c r="X29" i="107"/>
  <c r="W29" i="107"/>
  <c r="U29" i="107"/>
  <c r="T29" i="107"/>
  <c r="S29" i="107"/>
  <c r="AE28" i="107"/>
  <c r="AB28" i="107"/>
  <c r="AA28" i="107"/>
  <c r="X28" i="107"/>
  <c r="W28" i="107"/>
  <c r="T28" i="107"/>
  <c r="S28" i="107"/>
  <c r="AE27" i="107"/>
  <c r="AC27" i="107"/>
  <c r="AB27" i="107"/>
  <c r="AA27" i="107"/>
  <c r="Y27" i="107"/>
  <c r="X27" i="107"/>
  <c r="W27" i="107"/>
  <c r="U27" i="107"/>
  <c r="T27" i="107"/>
  <c r="S27" i="107"/>
  <c r="AC26" i="107"/>
  <c r="AB26" i="107"/>
  <c r="AA26" i="107"/>
  <c r="Y26" i="107"/>
  <c r="X26" i="107"/>
  <c r="W26" i="107"/>
  <c r="U26" i="107"/>
  <c r="T26" i="107"/>
  <c r="S26" i="107"/>
  <c r="AC25" i="107"/>
  <c r="AB25" i="107"/>
  <c r="AA25" i="107"/>
  <c r="Y25" i="107"/>
  <c r="X25" i="107"/>
  <c r="W25" i="107"/>
  <c r="U25" i="107"/>
  <c r="T25" i="107"/>
  <c r="S25" i="107"/>
  <c r="AC24" i="107"/>
  <c r="AB24" i="107"/>
  <c r="AA24" i="107"/>
  <c r="Y24" i="107"/>
  <c r="X24" i="107"/>
  <c r="W24" i="107"/>
  <c r="U24" i="107"/>
  <c r="T24" i="107"/>
  <c r="S24" i="107"/>
  <c r="AE23" i="107"/>
  <c r="AC23" i="107"/>
  <c r="AB23" i="107"/>
  <c r="AA23" i="107"/>
  <c r="Y23" i="107"/>
  <c r="X23" i="107"/>
  <c r="W23" i="107"/>
  <c r="U23" i="107"/>
  <c r="T23" i="107"/>
  <c r="S23" i="107"/>
  <c r="AC22" i="107"/>
  <c r="AB22" i="107"/>
  <c r="AA22" i="107"/>
  <c r="Y22" i="107"/>
  <c r="X22" i="107"/>
  <c r="W22" i="107"/>
  <c r="U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D36" i="107" s="1"/>
  <c r="AC20" i="107"/>
  <c r="AC36" i="107" s="1"/>
  <c r="AB20" i="107"/>
  <c r="AA20" i="107"/>
  <c r="Z20" i="107"/>
  <c r="Z36" i="107" s="1"/>
  <c r="Y20" i="107"/>
  <c r="Y36" i="107" s="1"/>
  <c r="X20" i="107"/>
  <c r="W20" i="107"/>
  <c r="V20" i="107"/>
  <c r="V36" i="107" s="1"/>
  <c r="U20" i="107"/>
  <c r="U36" i="107" s="1"/>
  <c r="T20" i="107"/>
  <c r="S20" i="107"/>
  <c r="AF19" i="107"/>
  <c r="AF36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6" i="107" s="1"/>
  <c r="W19" i="107"/>
  <c r="W39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D38" i="107" s="1"/>
  <c r="AC14" i="107"/>
  <c r="AC38" i="107" s="1"/>
  <c r="AB14" i="107"/>
  <c r="AA14" i="107"/>
  <c r="Z14" i="107"/>
  <c r="Z38" i="107" s="1"/>
  <c r="Y14" i="107"/>
  <c r="Y38" i="107" s="1"/>
  <c r="X14" i="107"/>
  <c r="W14" i="107"/>
  <c r="V14" i="107"/>
  <c r="V38" i="107" s="1"/>
  <c r="U14" i="107"/>
  <c r="U38" i="107" s="1"/>
  <c r="T14" i="107"/>
  <c r="S14" i="107"/>
  <c r="AF13" i="107"/>
  <c r="AF38" i="107" s="1"/>
  <c r="AE13" i="107"/>
  <c r="AE35" i="107" s="1"/>
  <c r="AD13" i="107"/>
  <c r="AD35" i="107" s="1"/>
  <c r="AC13" i="107"/>
  <c r="AC35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5" i="107" s="1"/>
  <c r="V13" i="107"/>
  <c r="V35" i="107" s="1"/>
  <c r="U13" i="107"/>
  <c r="U35" i="107" s="1"/>
  <c r="T13" i="107"/>
  <c r="T38" i="107" s="1"/>
  <c r="S13" i="107"/>
  <c r="S38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40" i="107" s="1"/>
  <c r="AE10" i="107"/>
  <c r="AE40" i="107" s="1"/>
  <c r="AD10" i="107"/>
  <c r="AC10" i="107"/>
  <c r="AC34" i="107" s="1"/>
  <c r="AB10" i="107"/>
  <c r="AB40" i="107" s="1"/>
  <c r="AA10" i="107"/>
  <c r="AA40" i="107" s="1"/>
  <c r="Z10" i="107"/>
  <c r="Y10" i="107"/>
  <c r="Y40" i="107" s="1"/>
  <c r="X10" i="107"/>
  <c r="X40" i="107" s="1"/>
  <c r="W10" i="107"/>
  <c r="W40" i="107" s="1"/>
  <c r="V10" i="107"/>
  <c r="U10" i="107"/>
  <c r="U34" i="107" s="1"/>
  <c r="T10" i="107"/>
  <c r="T40" i="107" s="1"/>
  <c r="S10" i="107"/>
  <c r="S40" i="107" s="1"/>
  <c r="AE33" i="111"/>
  <c r="AC33" i="111"/>
  <c r="AB33" i="111"/>
  <c r="AA33" i="111"/>
  <c r="Y33" i="111"/>
  <c r="X33" i="111"/>
  <c r="W33" i="111"/>
  <c r="U33" i="111"/>
  <c r="T33" i="111"/>
  <c r="S33" i="111"/>
  <c r="AC32" i="111"/>
  <c r="AB32" i="111"/>
  <c r="AA32" i="111"/>
  <c r="Y32" i="111"/>
  <c r="X32" i="111"/>
  <c r="W32" i="111"/>
  <c r="U32" i="111"/>
  <c r="T32" i="111"/>
  <c r="S32" i="111"/>
  <c r="AF31" i="111"/>
  <c r="AC31" i="111"/>
  <c r="AB31" i="111"/>
  <c r="AA31" i="111"/>
  <c r="Y31" i="111"/>
  <c r="X31" i="111"/>
  <c r="W31" i="111"/>
  <c r="U31" i="111"/>
  <c r="T31" i="111"/>
  <c r="S31" i="111"/>
  <c r="AC30" i="111"/>
  <c r="AB30" i="111"/>
  <c r="AA30" i="111"/>
  <c r="Y30" i="111"/>
  <c r="X30" i="111"/>
  <c r="W30" i="111"/>
  <c r="U30" i="111"/>
  <c r="T30" i="111"/>
  <c r="S30" i="111"/>
  <c r="AF29" i="111"/>
  <c r="AE29" i="111"/>
  <c r="AC29" i="111"/>
  <c r="AB29" i="111"/>
  <c r="AA29" i="111"/>
  <c r="Y29" i="111"/>
  <c r="X29" i="111"/>
  <c r="W29" i="111"/>
  <c r="U29" i="111"/>
  <c r="T29" i="111"/>
  <c r="S29" i="111"/>
  <c r="AC28" i="111"/>
  <c r="AB28" i="111"/>
  <c r="AA28" i="111"/>
  <c r="Y28" i="111"/>
  <c r="X28" i="111"/>
  <c r="W28" i="111"/>
  <c r="U28" i="111"/>
  <c r="T28" i="111"/>
  <c r="S28" i="111"/>
  <c r="AC27" i="111"/>
  <c r="AB27" i="111"/>
  <c r="AA27" i="111"/>
  <c r="Y27" i="111"/>
  <c r="X27" i="111"/>
  <c r="W27" i="111"/>
  <c r="U27" i="111"/>
  <c r="T27" i="111"/>
  <c r="S27" i="111"/>
  <c r="AC26" i="111"/>
  <c r="AB26" i="111"/>
  <c r="AA26" i="111"/>
  <c r="Y26" i="111"/>
  <c r="X26" i="111"/>
  <c r="W26" i="111"/>
  <c r="U26" i="111"/>
  <c r="T26" i="111"/>
  <c r="S26" i="111"/>
  <c r="AE25" i="111"/>
  <c r="AC25" i="111"/>
  <c r="AB25" i="111"/>
  <c r="AA25" i="111"/>
  <c r="Y25" i="111"/>
  <c r="X25" i="111"/>
  <c r="W25" i="111"/>
  <c r="U25" i="111"/>
  <c r="T25" i="111"/>
  <c r="S25" i="111"/>
  <c r="AF24" i="111"/>
  <c r="AC24" i="111"/>
  <c r="AB24" i="111"/>
  <c r="AA24" i="111"/>
  <c r="Y24" i="111"/>
  <c r="X24" i="111"/>
  <c r="W24" i="111"/>
  <c r="U24" i="111"/>
  <c r="T24" i="111"/>
  <c r="S24" i="111"/>
  <c r="AC23" i="111"/>
  <c r="AB23" i="111"/>
  <c r="AA23" i="111"/>
  <c r="Y23" i="111"/>
  <c r="X23" i="111"/>
  <c r="W23" i="111"/>
  <c r="U23" i="111"/>
  <c r="T23" i="111"/>
  <c r="S23" i="111"/>
  <c r="AF22" i="111"/>
  <c r="AC22" i="111"/>
  <c r="AB22" i="111"/>
  <c r="Y22" i="111"/>
  <c r="X22" i="111"/>
  <c r="U22" i="111"/>
  <c r="T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C36" i="111" s="1"/>
  <c r="AB20" i="111"/>
  <c r="AA20" i="111"/>
  <c r="Z20" i="111"/>
  <c r="Y20" i="111"/>
  <c r="Y36" i="111" s="1"/>
  <c r="X20" i="111"/>
  <c r="W20" i="111"/>
  <c r="V20" i="111"/>
  <c r="U20" i="111"/>
  <c r="U36" i="111" s="1"/>
  <c r="T20" i="111"/>
  <c r="S20" i="111"/>
  <c r="AF19" i="111"/>
  <c r="AF36" i="111" s="1"/>
  <c r="AE19" i="111"/>
  <c r="AE36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6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E14" i="111"/>
  <c r="AD14" i="111"/>
  <c r="AC14" i="111"/>
  <c r="AC38" i="111" s="1"/>
  <c r="AB14" i="111"/>
  <c r="AA14" i="111"/>
  <c r="Z14" i="111"/>
  <c r="Y14" i="111"/>
  <c r="Y38" i="111" s="1"/>
  <c r="X14" i="111"/>
  <c r="W14" i="111"/>
  <c r="V14" i="111"/>
  <c r="U14" i="111"/>
  <c r="U38" i="111" s="1"/>
  <c r="T14" i="111"/>
  <c r="S14" i="111"/>
  <c r="AF13" i="111"/>
  <c r="AF38" i="111" s="1"/>
  <c r="AE13" i="111"/>
  <c r="AE35" i="111" s="1"/>
  <c r="AD13" i="111"/>
  <c r="AD35" i="111" s="1"/>
  <c r="AC13" i="111"/>
  <c r="AC35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8" i="111" s="1"/>
  <c r="V13" i="111"/>
  <c r="V35" i="111" s="1"/>
  <c r="U13" i="111"/>
  <c r="U35" i="111" s="1"/>
  <c r="T13" i="111"/>
  <c r="T38" i="111" s="1"/>
  <c r="S13" i="111"/>
  <c r="S35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B11" i="111"/>
  <c r="AA11" i="111"/>
  <c r="Z11" i="111"/>
  <c r="Y11" i="111"/>
  <c r="X11" i="111"/>
  <c r="W11" i="111"/>
  <c r="W37" i="111" s="1"/>
  <c r="V11" i="111"/>
  <c r="U11" i="111"/>
  <c r="T11" i="111"/>
  <c r="S11" i="111"/>
  <c r="S37" i="111" s="1"/>
  <c r="AF10" i="111"/>
  <c r="AF40" i="111" s="1"/>
  <c r="AE10" i="111"/>
  <c r="AE40" i="111" s="1"/>
  <c r="AD10" i="111"/>
  <c r="AC10" i="111"/>
  <c r="AC40" i="111" s="1"/>
  <c r="AB10" i="111"/>
  <c r="AB40" i="111" s="1"/>
  <c r="AA10" i="111"/>
  <c r="AA40" i="111" s="1"/>
  <c r="Z10" i="111"/>
  <c r="Y10" i="111"/>
  <c r="X10" i="111"/>
  <c r="X40" i="111" s="1"/>
  <c r="W10" i="111"/>
  <c r="W40" i="111" s="1"/>
  <c r="V10" i="111"/>
  <c r="U10" i="111"/>
  <c r="U40" i="111" s="1"/>
  <c r="T10" i="111"/>
  <c r="T40" i="111" s="1"/>
  <c r="S10" i="111"/>
  <c r="S40" i="111" s="1"/>
  <c r="AE41" i="111" l="1"/>
  <c r="Y41" i="111"/>
  <c r="V41" i="111"/>
  <c r="Z41" i="111"/>
  <c r="AD41" i="111"/>
  <c r="AA41" i="111"/>
  <c r="AF41" i="108"/>
  <c r="AF42" i="108" s="1"/>
  <c r="AE41" i="108"/>
  <c r="AE42" i="108" s="1"/>
  <c r="V41" i="108"/>
  <c r="Z41" i="108"/>
  <c r="AD41" i="108"/>
  <c r="T41" i="108"/>
  <c r="T42" i="108" s="1"/>
  <c r="X41" i="108"/>
  <c r="X42" i="108" s="1"/>
  <c r="AB41" i="108"/>
  <c r="AB42" i="108" s="1"/>
  <c r="W41" i="108"/>
  <c r="W42" i="108" s="1"/>
  <c r="AF41" i="107"/>
  <c r="AF42" i="107" s="1"/>
  <c r="AE41" i="107"/>
  <c r="AE42" i="107" s="1"/>
  <c r="Z22" i="107"/>
  <c r="AD22" i="107"/>
  <c r="V22" i="107"/>
  <c r="V41" i="107" s="1"/>
  <c r="W41" i="107"/>
  <c r="W42" i="107" s="1"/>
  <c r="AA41" i="107"/>
  <c r="AA42" i="107" s="1"/>
  <c r="Z41" i="107"/>
  <c r="AD41" i="107"/>
  <c r="T41" i="107"/>
  <c r="T42" i="107" s="1"/>
  <c r="X41" i="107"/>
  <c r="X42" i="107" s="1"/>
  <c r="AB41" i="107"/>
  <c r="AB42" i="107" s="1"/>
  <c r="S41" i="107"/>
  <c r="S42" i="107" s="1"/>
  <c r="U34" i="108"/>
  <c r="AC34" i="108"/>
  <c r="W35" i="108"/>
  <c r="W37" i="108"/>
  <c r="AE37" i="108"/>
  <c r="W39" i="108"/>
  <c r="AE39" i="108"/>
  <c r="Y40" i="108"/>
  <c r="S41" i="108"/>
  <c r="S42" i="108" s="1"/>
  <c r="AA41" i="108"/>
  <c r="AA42" i="108" s="1"/>
  <c r="Z34" i="108"/>
  <c r="T35" i="108"/>
  <c r="AB35" i="108"/>
  <c r="X37" i="108"/>
  <c r="AF37" i="108"/>
  <c r="T39" i="108"/>
  <c r="AB39" i="108"/>
  <c r="V40" i="108"/>
  <c r="AD40" i="108"/>
  <c r="AD42" i="108" s="1"/>
  <c r="S34" i="108"/>
  <c r="W34" i="108"/>
  <c r="AA34" i="108"/>
  <c r="AE34" i="108"/>
  <c r="S36" i="108"/>
  <c r="AA36" i="108"/>
  <c r="U37" i="108"/>
  <c r="Y37" i="108"/>
  <c r="AC37" i="108"/>
  <c r="S38" i="108"/>
  <c r="AA38" i="108"/>
  <c r="AE38" i="108"/>
  <c r="U41" i="108"/>
  <c r="U42" i="108" s="1"/>
  <c r="Y41" i="108"/>
  <c r="Y42" i="108" s="1"/>
  <c r="AC41" i="108"/>
  <c r="AC42" i="108" s="1"/>
  <c r="V34" i="108"/>
  <c r="AD34" i="108"/>
  <c r="X35" i="108"/>
  <c r="AF35" i="108"/>
  <c r="T37" i="108"/>
  <c r="AB37" i="108"/>
  <c r="X39" i="108"/>
  <c r="AF39" i="108"/>
  <c r="Z40" i="108"/>
  <c r="Z42" i="108" s="1"/>
  <c r="T34" i="108"/>
  <c r="X34" i="108"/>
  <c r="AB34" i="108"/>
  <c r="AF34" i="108"/>
  <c r="V37" i="108"/>
  <c r="Z37" i="108"/>
  <c r="AD37" i="108"/>
  <c r="Y34" i="107"/>
  <c r="S35" i="107"/>
  <c r="AA35" i="107"/>
  <c r="W37" i="107"/>
  <c r="AE37" i="107"/>
  <c r="S39" i="107"/>
  <c r="AA39" i="107"/>
  <c r="U40" i="107"/>
  <c r="AC40" i="107"/>
  <c r="Z34" i="107"/>
  <c r="T35" i="107"/>
  <c r="AB35" i="107"/>
  <c r="X37" i="107"/>
  <c r="AF37" i="107"/>
  <c r="T39" i="107"/>
  <c r="AB39" i="107"/>
  <c r="V40" i="107"/>
  <c r="AD40" i="107"/>
  <c r="AD42" i="107" s="1"/>
  <c r="S34" i="107"/>
  <c r="W34" i="107"/>
  <c r="AA34" i="107"/>
  <c r="AE34" i="107"/>
  <c r="W36" i="107"/>
  <c r="AE36" i="107"/>
  <c r="U37" i="107"/>
  <c r="Y37" i="107"/>
  <c r="AC37" i="107"/>
  <c r="W38" i="107"/>
  <c r="AE38" i="107"/>
  <c r="U41" i="107"/>
  <c r="U42" i="107" s="1"/>
  <c r="Y41" i="107"/>
  <c r="Y42" i="107" s="1"/>
  <c r="AC41" i="107"/>
  <c r="AC42" i="107" s="1"/>
  <c r="S37" i="107"/>
  <c r="AA37" i="107"/>
  <c r="V34" i="107"/>
  <c r="AD34" i="107"/>
  <c r="X35" i="107"/>
  <c r="AF35" i="107"/>
  <c r="T37" i="107"/>
  <c r="AB37" i="107"/>
  <c r="X39" i="107"/>
  <c r="AF39" i="107"/>
  <c r="Z40" i="107"/>
  <c r="T34" i="107"/>
  <c r="X34" i="107"/>
  <c r="AB34" i="107"/>
  <c r="AF34" i="107"/>
  <c r="V37" i="107"/>
  <c r="Z37" i="107"/>
  <c r="AD37" i="107"/>
  <c r="AE42" i="111"/>
  <c r="AA42" i="111"/>
  <c r="V42" i="111"/>
  <c r="AC34" i="111"/>
  <c r="AA35" i="111"/>
  <c r="AA37" i="111"/>
  <c r="S39" i="111"/>
  <c r="AE39" i="111"/>
  <c r="S41" i="111"/>
  <c r="S42" i="111" s="1"/>
  <c r="V34" i="111"/>
  <c r="Z34" i="111"/>
  <c r="AD34" i="111"/>
  <c r="T35" i="111"/>
  <c r="X35" i="111"/>
  <c r="AB35" i="111"/>
  <c r="AF35" i="111"/>
  <c r="V36" i="111"/>
  <c r="Z36" i="111"/>
  <c r="AD36" i="111"/>
  <c r="T37" i="111"/>
  <c r="X37" i="111"/>
  <c r="AB37" i="111"/>
  <c r="AF37" i="111"/>
  <c r="V38" i="111"/>
  <c r="Z38" i="111"/>
  <c r="AD38" i="111"/>
  <c r="T39" i="111"/>
  <c r="X39" i="111"/>
  <c r="AB39" i="111"/>
  <c r="AF39" i="111"/>
  <c r="V40" i="111"/>
  <c r="Z40" i="111"/>
  <c r="Z42" i="111" s="1"/>
  <c r="AD40" i="111"/>
  <c r="AD42" i="111" s="1"/>
  <c r="T41" i="111"/>
  <c r="T42" i="111" s="1"/>
  <c r="X41" i="111"/>
  <c r="X42" i="111" s="1"/>
  <c r="AB41" i="111"/>
  <c r="AB42" i="111" s="1"/>
  <c r="AF41" i="111"/>
  <c r="AF42" i="111" s="1"/>
  <c r="Y34" i="111"/>
  <c r="W35" i="111"/>
  <c r="AE37" i="111"/>
  <c r="AA39" i="111"/>
  <c r="Y40" i="111"/>
  <c r="Y42" i="111" s="1"/>
  <c r="W41" i="111"/>
  <c r="W42" i="111" s="1"/>
  <c r="S34" i="111"/>
  <c r="W34" i="111"/>
  <c r="AA34" i="111"/>
  <c r="AE34" i="111"/>
  <c r="W36" i="111"/>
  <c r="U37" i="111"/>
  <c r="Y37" i="111"/>
  <c r="AC37" i="111"/>
  <c r="S38" i="111"/>
  <c r="AE38" i="111"/>
  <c r="U41" i="111"/>
  <c r="U42" i="111" s="1"/>
  <c r="AC41" i="111"/>
  <c r="AC42" i="111" s="1"/>
  <c r="U34" i="111"/>
  <c r="T34" i="111"/>
  <c r="X34" i="111"/>
  <c r="AB34" i="111"/>
  <c r="AF34" i="111"/>
  <c r="V37" i="111"/>
  <c r="Z37" i="111"/>
  <c r="AD37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C11" i="111" s="1"/>
  <c r="D11" i="107"/>
  <c r="D11" i="111" s="1"/>
  <c r="E11" i="107"/>
  <c r="E11" i="111" s="1"/>
  <c r="F11" i="107"/>
  <c r="F11" i="111" s="1"/>
  <c r="G11" i="107"/>
  <c r="G11" i="111" s="1"/>
  <c r="H11" i="107"/>
  <c r="H11" i="111" s="1"/>
  <c r="I11" i="107"/>
  <c r="I11" i="111" s="1"/>
  <c r="J11" i="107"/>
  <c r="J11" i="111" s="1"/>
  <c r="K11" i="107"/>
  <c r="K11" i="111" s="1"/>
  <c r="L11" i="107"/>
  <c r="L11" i="111" s="1"/>
  <c r="M11" i="107"/>
  <c r="M11" i="111" s="1"/>
  <c r="N11" i="107"/>
  <c r="N11" i="111" s="1"/>
  <c r="C12" i="107"/>
  <c r="C12" i="111" s="1"/>
  <c r="D12" i="107"/>
  <c r="D12" i="111" s="1"/>
  <c r="E12" i="107"/>
  <c r="E12" i="111" s="1"/>
  <c r="F12" i="107"/>
  <c r="F12" i="111" s="1"/>
  <c r="G12" i="107"/>
  <c r="G12" i="111" s="1"/>
  <c r="H12" i="107"/>
  <c r="H12" i="111" s="1"/>
  <c r="I12" i="107"/>
  <c r="I12" i="111" s="1"/>
  <c r="J12" i="107"/>
  <c r="J12" i="111" s="1"/>
  <c r="K12" i="107"/>
  <c r="K12" i="111" s="1"/>
  <c r="L12" i="107"/>
  <c r="L12" i="111" s="1"/>
  <c r="M12" i="107"/>
  <c r="M12" i="111" s="1"/>
  <c r="N12" i="107"/>
  <c r="N12" i="111" s="1"/>
  <c r="C13" i="107"/>
  <c r="C13" i="111" s="1"/>
  <c r="D13" i="107"/>
  <c r="D13" i="111" s="1"/>
  <c r="E13" i="107"/>
  <c r="E13" i="111" s="1"/>
  <c r="F13" i="107"/>
  <c r="F13" i="111" s="1"/>
  <c r="G13" i="107"/>
  <c r="G13" i="111" s="1"/>
  <c r="H13" i="107"/>
  <c r="H13" i="111" s="1"/>
  <c r="I13" i="107"/>
  <c r="I13" i="111" s="1"/>
  <c r="J13" i="107"/>
  <c r="J13" i="111" s="1"/>
  <c r="K13" i="107"/>
  <c r="K13" i="111" s="1"/>
  <c r="L13" i="107"/>
  <c r="L13" i="111" s="1"/>
  <c r="M13" i="107"/>
  <c r="M13" i="111" s="1"/>
  <c r="N13" i="107"/>
  <c r="N13" i="111" s="1"/>
  <c r="C14" i="107"/>
  <c r="C14" i="111" s="1"/>
  <c r="D14" i="107"/>
  <c r="D14" i="111" s="1"/>
  <c r="E14" i="107"/>
  <c r="E14" i="111" s="1"/>
  <c r="F14" i="107"/>
  <c r="F14" i="111" s="1"/>
  <c r="G14" i="107"/>
  <c r="G14" i="111" s="1"/>
  <c r="H14" i="107"/>
  <c r="H14" i="111" s="1"/>
  <c r="I14" i="107"/>
  <c r="I14" i="111" s="1"/>
  <c r="J14" i="107"/>
  <c r="J14" i="111" s="1"/>
  <c r="K14" i="107"/>
  <c r="K14" i="111" s="1"/>
  <c r="L14" i="107"/>
  <c r="L14" i="111" s="1"/>
  <c r="M14" i="107"/>
  <c r="M14" i="111" s="1"/>
  <c r="N14" i="107"/>
  <c r="N14" i="111" s="1"/>
  <c r="C15" i="107"/>
  <c r="C15" i="111" s="1"/>
  <c r="D15" i="107"/>
  <c r="D15" i="111" s="1"/>
  <c r="E15" i="107"/>
  <c r="E15" i="111" s="1"/>
  <c r="F15" i="107"/>
  <c r="F15" i="111" s="1"/>
  <c r="G15" i="107"/>
  <c r="G15" i="111" s="1"/>
  <c r="H15" i="107"/>
  <c r="H15" i="111" s="1"/>
  <c r="I15" i="107"/>
  <c r="I15" i="111" s="1"/>
  <c r="J15" i="107"/>
  <c r="J15" i="111" s="1"/>
  <c r="K15" i="107"/>
  <c r="K15" i="111" s="1"/>
  <c r="L15" i="107"/>
  <c r="L15" i="111" s="1"/>
  <c r="M15" i="107"/>
  <c r="M15" i="111" s="1"/>
  <c r="N15" i="107"/>
  <c r="N15" i="111" s="1"/>
  <c r="C16" i="107"/>
  <c r="C16" i="111" s="1"/>
  <c r="D16" i="107"/>
  <c r="D16" i="111" s="1"/>
  <c r="E16" i="107"/>
  <c r="E16" i="111" s="1"/>
  <c r="F16" i="107"/>
  <c r="F16" i="111" s="1"/>
  <c r="G16" i="107"/>
  <c r="G16" i="111" s="1"/>
  <c r="H16" i="107"/>
  <c r="H16" i="111" s="1"/>
  <c r="I16" i="107"/>
  <c r="I16" i="111" s="1"/>
  <c r="J16" i="107"/>
  <c r="J16" i="111" s="1"/>
  <c r="K16" i="107"/>
  <c r="K16" i="111" s="1"/>
  <c r="L16" i="107"/>
  <c r="L16" i="111" s="1"/>
  <c r="M16" i="107"/>
  <c r="M16" i="111" s="1"/>
  <c r="N16" i="107"/>
  <c r="N16" i="111" s="1"/>
  <c r="C17" i="107"/>
  <c r="C17" i="111" s="1"/>
  <c r="D17" i="107"/>
  <c r="D17" i="111" s="1"/>
  <c r="E17" i="107"/>
  <c r="E17" i="111" s="1"/>
  <c r="F17" i="107"/>
  <c r="F17" i="111" s="1"/>
  <c r="G17" i="107"/>
  <c r="G17" i="111" s="1"/>
  <c r="H17" i="107"/>
  <c r="H17" i="111" s="1"/>
  <c r="I17" i="107"/>
  <c r="I17" i="111" s="1"/>
  <c r="J17" i="107"/>
  <c r="J17" i="111" s="1"/>
  <c r="K17" i="107"/>
  <c r="K17" i="111" s="1"/>
  <c r="L17" i="107"/>
  <c r="L17" i="111" s="1"/>
  <c r="M17" i="107"/>
  <c r="M17" i="111" s="1"/>
  <c r="N17" i="107"/>
  <c r="N17" i="111" s="1"/>
  <c r="C18" i="107"/>
  <c r="C18" i="111" s="1"/>
  <c r="D18" i="107"/>
  <c r="D18" i="111" s="1"/>
  <c r="E18" i="107"/>
  <c r="E18" i="111" s="1"/>
  <c r="F18" i="107"/>
  <c r="F18" i="111" s="1"/>
  <c r="G18" i="107"/>
  <c r="G18" i="111" s="1"/>
  <c r="H18" i="107"/>
  <c r="H18" i="111" s="1"/>
  <c r="I18" i="107"/>
  <c r="I18" i="111" s="1"/>
  <c r="J18" i="107"/>
  <c r="J18" i="111" s="1"/>
  <c r="K18" i="107"/>
  <c r="K18" i="111" s="1"/>
  <c r="L18" i="107"/>
  <c r="L18" i="111" s="1"/>
  <c r="M18" i="107"/>
  <c r="M18" i="111" s="1"/>
  <c r="N18" i="107"/>
  <c r="N18" i="111" s="1"/>
  <c r="C19" i="107"/>
  <c r="C19" i="111" s="1"/>
  <c r="D19" i="107"/>
  <c r="D19" i="111" s="1"/>
  <c r="E19" i="107"/>
  <c r="E19" i="111" s="1"/>
  <c r="F19" i="107"/>
  <c r="F19" i="111" s="1"/>
  <c r="G19" i="107"/>
  <c r="G19" i="111" s="1"/>
  <c r="H19" i="107"/>
  <c r="H19" i="111" s="1"/>
  <c r="I19" i="107"/>
  <c r="I19" i="111" s="1"/>
  <c r="J19" i="107"/>
  <c r="J19" i="111" s="1"/>
  <c r="K19" i="107"/>
  <c r="K19" i="111" s="1"/>
  <c r="L19" i="107"/>
  <c r="L19" i="111" s="1"/>
  <c r="M19" i="107"/>
  <c r="M19" i="111" s="1"/>
  <c r="N19" i="107"/>
  <c r="N19" i="111" s="1"/>
  <c r="C20" i="107"/>
  <c r="C20" i="111" s="1"/>
  <c r="D20" i="107"/>
  <c r="D20" i="111" s="1"/>
  <c r="E20" i="107"/>
  <c r="E20" i="111" s="1"/>
  <c r="F20" i="107"/>
  <c r="F20" i="111" s="1"/>
  <c r="G20" i="107"/>
  <c r="G20" i="111" s="1"/>
  <c r="H20" i="107"/>
  <c r="H20" i="111" s="1"/>
  <c r="I20" i="107"/>
  <c r="I20" i="111" s="1"/>
  <c r="J20" i="107"/>
  <c r="J20" i="111" s="1"/>
  <c r="K20" i="107"/>
  <c r="K20" i="111" s="1"/>
  <c r="L20" i="107"/>
  <c r="L20" i="111" s="1"/>
  <c r="M20" i="107"/>
  <c r="M20" i="111" s="1"/>
  <c r="N20" i="107"/>
  <c r="N20" i="111" s="1"/>
  <c r="C21" i="107"/>
  <c r="C21" i="111" s="1"/>
  <c r="D21" i="107"/>
  <c r="D21" i="111" s="1"/>
  <c r="E21" i="107"/>
  <c r="E21" i="111" s="1"/>
  <c r="F21" i="107"/>
  <c r="F21" i="111" s="1"/>
  <c r="G21" i="107"/>
  <c r="G21" i="111" s="1"/>
  <c r="H21" i="107"/>
  <c r="H21" i="111" s="1"/>
  <c r="I21" i="107"/>
  <c r="I21" i="111" s="1"/>
  <c r="J21" i="107"/>
  <c r="J21" i="111" s="1"/>
  <c r="K21" i="107"/>
  <c r="K21" i="111" s="1"/>
  <c r="L21" i="107"/>
  <c r="L21" i="111" s="1"/>
  <c r="M21" i="107"/>
  <c r="M21" i="111" s="1"/>
  <c r="N21" i="107"/>
  <c r="N21" i="111" s="1"/>
  <c r="C22" i="107"/>
  <c r="C22" i="111" s="1"/>
  <c r="D22" i="107"/>
  <c r="D22" i="111" s="1"/>
  <c r="E22" i="107"/>
  <c r="E22" i="111" s="1"/>
  <c r="F22" i="107"/>
  <c r="F22" i="111" s="1"/>
  <c r="G22" i="107"/>
  <c r="G22" i="111" s="1"/>
  <c r="H22" i="107"/>
  <c r="H22" i="111" s="1"/>
  <c r="I22" i="107"/>
  <c r="I22" i="111" s="1"/>
  <c r="J22" i="107"/>
  <c r="J22" i="111" s="1"/>
  <c r="K22" i="107"/>
  <c r="K22" i="111" s="1"/>
  <c r="L22" i="107"/>
  <c r="L22" i="111" s="1"/>
  <c r="M22" i="107"/>
  <c r="M22" i="111" s="1"/>
  <c r="N22" i="107"/>
  <c r="N22" i="111" s="1"/>
  <c r="C23" i="107"/>
  <c r="C23" i="111" s="1"/>
  <c r="D23" i="107"/>
  <c r="D23" i="111" s="1"/>
  <c r="E23" i="107"/>
  <c r="E23" i="111" s="1"/>
  <c r="F23" i="107"/>
  <c r="F23" i="111" s="1"/>
  <c r="G23" i="107"/>
  <c r="G23" i="111" s="1"/>
  <c r="H23" i="107"/>
  <c r="H23" i="111" s="1"/>
  <c r="I23" i="107"/>
  <c r="I23" i="111" s="1"/>
  <c r="J23" i="107"/>
  <c r="J23" i="111" s="1"/>
  <c r="K23" i="107"/>
  <c r="K23" i="111" s="1"/>
  <c r="L23" i="107"/>
  <c r="L23" i="111" s="1"/>
  <c r="M23" i="107"/>
  <c r="M23" i="111" s="1"/>
  <c r="N23" i="107"/>
  <c r="N23" i="111" s="1"/>
  <c r="C24" i="107"/>
  <c r="C24" i="111" s="1"/>
  <c r="D24" i="107"/>
  <c r="D24" i="111" s="1"/>
  <c r="E24" i="107"/>
  <c r="E24" i="111" s="1"/>
  <c r="F24" i="107"/>
  <c r="F24" i="111" s="1"/>
  <c r="G24" i="107"/>
  <c r="G24" i="111" s="1"/>
  <c r="H24" i="107"/>
  <c r="H24" i="111" s="1"/>
  <c r="I24" i="107"/>
  <c r="I24" i="111" s="1"/>
  <c r="J24" i="107"/>
  <c r="J24" i="111" s="1"/>
  <c r="K24" i="107"/>
  <c r="K24" i="111" s="1"/>
  <c r="L24" i="107"/>
  <c r="L24" i="111" s="1"/>
  <c r="M24" i="107"/>
  <c r="M24" i="111" s="1"/>
  <c r="N24" i="107"/>
  <c r="N24" i="111" s="1"/>
  <c r="C25" i="107"/>
  <c r="C25" i="111" s="1"/>
  <c r="D25" i="107"/>
  <c r="D25" i="111" s="1"/>
  <c r="E25" i="107"/>
  <c r="E25" i="111" s="1"/>
  <c r="F25" i="107"/>
  <c r="F25" i="111" s="1"/>
  <c r="G25" i="107"/>
  <c r="G25" i="111" s="1"/>
  <c r="H25" i="107"/>
  <c r="H25" i="111" s="1"/>
  <c r="I25" i="107"/>
  <c r="I25" i="111" s="1"/>
  <c r="J25" i="107"/>
  <c r="J25" i="111" s="1"/>
  <c r="K25" i="107"/>
  <c r="K25" i="111" s="1"/>
  <c r="L25" i="107"/>
  <c r="L25" i="111" s="1"/>
  <c r="M25" i="107"/>
  <c r="M25" i="111" s="1"/>
  <c r="N25" i="107"/>
  <c r="N25" i="111" s="1"/>
  <c r="C26" i="107"/>
  <c r="C26" i="111" s="1"/>
  <c r="D26" i="107"/>
  <c r="D26" i="111" s="1"/>
  <c r="E26" i="107"/>
  <c r="E26" i="111" s="1"/>
  <c r="F26" i="107"/>
  <c r="F26" i="111" s="1"/>
  <c r="G26" i="107"/>
  <c r="G26" i="111" s="1"/>
  <c r="H26" i="107"/>
  <c r="H26" i="111" s="1"/>
  <c r="I26" i="107"/>
  <c r="I26" i="111" s="1"/>
  <c r="J26" i="107"/>
  <c r="J26" i="111" s="1"/>
  <c r="K26" i="107"/>
  <c r="K26" i="111" s="1"/>
  <c r="L26" i="107"/>
  <c r="L26" i="111" s="1"/>
  <c r="M26" i="107"/>
  <c r="M26" i="111" s="1"/>
  <c r="N26" i="107"/>
  <c r="N26" i="111" s="1"/>
  <c r="C27" i="107"/>
  <c r="C27" i="111" s="1"/>
  <c r="D27" i="107"/>
  <c r="D27" i="111" s="1"/>
  <c r="E27" i="107"/>
  <c r="E27" i="111" s="1"/>
  <c r="F27" i="107"/>
  <c r="F27" i="111" s="1"/>
  <c r="G27" i="107"/>
  <c r="G27" i="111" s="1"/>
  <c r="H27" i="107"/>
  <c r="H27" i="111" s="1"/>
  <c r="I27" i="107"/>
  <c r="I27" i="111" s="1"/>
  <c r="J27" i="107"/>
  <c r="J27" i="111" s="1"/>
  <c r="K27" i="107"/>
  <c r="K27" i="111" s="1"/>
  <c r="L27" i="107"/>
  <c r="L27" i="111" s="1"/>
  <c r="M27" i="107"/>
  <c r="M27" i="111" s="1"/>
  <c r="N27" i="107"/>
  <c r="N27" i="111" s="1"/>
  <c r="C28" i="107"/>
  <c r="C28" i="111" s="1"/>
  <c r="D28" i="107"/>
  <c r="D28" i="111" s="1"/>
  <c r="E28" i="107"/>
  <c r="E28" i="111" s="1"/>
  <c r="F28" i="107"/>
  <c r="F28" i="111" s="1"/>
  <c r="G28" i="107"/>
  <c r="G28" i="111" s="1"/>
  <c r="H28" i="107"/>
  <c r="H28" i="111" s="1"/>
  <c r="I28" i="107"/>
  <c r="I28" i="111" s="1"/>
  <c r="J28" i="107"/>
  <c r="J28" i="111" s="1"/>
  <c r="K28" i="107"/>
  <c r="K28" i="111" s="1"/>
  <c r="L28" i="107"/>
  <c r="L28" i="111" s="1"/>
  <c r="M28" i="107"/>
  <c r="M28" i="111" s="1"/>
  <c r="N28" i="107"/>
  <c r="N28" i="111" s="1"/>
  <c r="C29" i="107"/>
  <c r="C29" i="111" s="1"/>
  <c r="D29" i="107"/>
  <c r="D29" i="111" s="1"/>
  <c r="E29" i="107"/>
  <c r="E29" i="111" s="1"/>
  <c r="F29" i="107"/>
  <c r="F29" i="111" s="1"/>
  <c r="G29" i="107"/>
  <c r="G29" i="111" s="1"/>
  <c r="H29" i="107"/>
  <c r="H29" i="111" s="1"/>
  <c r="I29" i="107"/>
  <c r="I29" i="111" s="1"/>
  <c r="J29" i="107"/>
  <c r="J29" i="111" s="1"/>
  <c r="K29" i="107"/>
  <c r="K29" i="111" s="1"/>
  <c r="L29" i="107"/>
  <c r="L29" i="111" s="1"/>
  <c r="M29" i="107"/>
  <c r="M29" i="111" s="1"/>
  <c r="N29" i="107"/>
  <c r="N29" i="111" s="1"/>
  <c r="C30" i="107"/>
  <c r="C30" i="111" s="1"/>
  <c r="D30" i="107"/>
  <c r="D30" i="111" s="1"/>
  <c r="E30" i="107"/>
  <c r="E30" i="111" s="1"/>
  <c r="F30" i="107"/>
  <c r="F30" i="111" s="1"/>
  <c r="G30" i="107"/>
  <c r="G30" i="111" s="1"/>
  <c r="H30" i="107"/>
  <c r="H30" i="111" s="1"/>
  <c r="I30" i="107"/>
  <c r="I30" i="111" s="1"/>
  <c r="J30" i="107"/>
  <c r="J30" i="111" s="1"/>
  <c r="K30" i="107"/>
  <c r="K30" i="111" s="1"/>
  <c r="L30" i="107"/>
  <c r="L30" i="111" s="1"/>
  <c r="M30" i="107"/>
  <c r="M30" i="111" s="1"/>
  <c r="N30" i="107"/>
  <c r="N30" i="111" s="1"/>
  <c r="C31" i="107"/>
  <c r="C31" i="111" s="1"/>
  <c r="D31" i="107"/>
  <c r="D31" i="111" s="1"/>
  <c r="E31" i="107"/>
  <c r="E31" i="111" s="1"/>
  <c r="F31" i="107"/>
  <c r="F31" i="111" s="1"/>
  <c r="G31" i="107"/>
  <c r="G31" i="111" s="1"/>
  <c r="H31" i="107"/>
  <c r="H31" i="111" s="1"/>
  <c r="I31" i="107"/>
  <c r="I31" i="111" s="1"/>
  <c r="J31" i="107"/>
  <c r="J31" i="111" s="1"/>
  <c r="K31" i="107"/>
  <c r="K31" i="111" s="1"/>
  <c r="L31" i="107"/>
  <c r="L31" i="111" s="1"/>
  <c r="M31" i="107"/>
  <c r="M31" i="111" s="1"/>
  <c r="N31" i="107"/>
  <c r="N31" i="111" s="1"/>
  <c r="C32" i="107"/>
  <c r="C32" i="111" s="1"/>
  <c r="D32" i="107"/>
  <c r="D32" i="111" s="1"/>
  <c r="E32" i="107"/>
  <c r="E32" i="111" s="1"/>
  <c r="F32" i="107"/>
  <c r="F32" i="111" s="1"/>
  <c r="G32" i="107"/>
  <c r="G32" i="111" s="1"/>
  <c r="H32" i="107"/>
  <c r="H32" i="111" s="1"/>
  <c r="I32" i="107"/>
  <c r="I32" i="111" s="1"/>
  <c r="J32" i="107"/>
  <c r="J32" i="111" s="1"/>
  <c r="K32" i="107"/>
  <c r="K32" i="111" s="1"/>
  <c r="L32" i="107"/>
  <c r="L32" i="111" s="1"/>
  <c r="M32" i="107"/>
  <c r="M32" i="111" s="1"/>
  <c r="N32" i="107"/>
  <c r="N32" i="111" s="1"/>
  <c r="C33" i="107"/>
  <c r="C33" i="111" s="1"/>
  <c r="D33" i="107"/>
  <c r="D33" i="111" s="1"/>
  <c r="E33" i="107"/>
  <c r="E33" i="111" s="1"/>
  <c r="F33" i="107"/>
  <c r="F33" i="111" s="1"/>
  <c r="G33" i="107"/>
  <c r="G33" i="111" s="1"/>
  <c r="H33" i="107"/>
  <c r="H33" i="111" s="1"/>
  <c r="I33" i="107"/>
  <c r="I33" i="111" s="1"/>
  <c r="J33" i="107"/>
  <c r="J33" i="111" s="1"/>
  <c r="K33" i="107"/>
  <c r="K33" i="111" s="1"/>
  <c r="L33" i="107"/>
  <c r="L33" i="111" s="1"/>
  <c r="M33" i="107"/>
  <c r="M33" i="111" s="1"/>
  <c r="N33" i="107"/>
  <c r="N33" i="111" s="1"/>
  <c r="C34" i="107"/>
  <c r="C34" i="111" s="1"/>
  <c r="D34" i="107"/>
  <c r="D34" i="111" s="1"/>
  <c r="E34" i="107"/>
  <c r="E34" i="111" s="1"/>
  <c r="F34" i="107"/>
  <c r="F34" i="111" s="1"/>
  <c r="G34" i="107"/>
  <c r="G34" i="111" s="1"/>
  <c r="H34" i="107"/>
  <c r="H34" i="111" s="1"/>
  <c r="I34" i="107"/>
  <c r="I34" i="111" s="1"/>
  <c r="J34" i="107"/>
  <c r="J34" i="111" s="1"/>
  <c r="K34" i="107"/>
  <c r="K34" i="111" s="1"/>
  <c r="L34" i="107"/>
  <c r="L34" i="111" s="1"/>
  <c r="M34" i="107"/>
  <c r="M34" i="111" s="1"/>
  <c r="N34" i="107"/>
  <c r="N34" i="111" s="1"/>
  <c r="C35" i="107"/>
  <c r="C35" i="111" s="1"/>
  <c r="D35" i="107"/>
  <c r="D35" i="111" s="1"/>
  <c r="E35" i="107"/>
  <c r="E35" i="111" s="1"/>
  <c r="F35" i="107"/>
  <c r="F35" i="111" s="1"/>
  <c r="G35" i="107"/>
  <c r="G35" i="111" s="1"/>
  <c r="H35" i="107"/>
  <c r="H35" i="111" s="1"/>
  <c r="I35" i="107"/>
  <c r="I35" i="111" s="1"/>
  <c r="J35" i="107"/>
  <c r="J35" i="111" s="1"/>
  <c r="K35" i="107"/>
  <c r="K35" i="111" s="1"/>
  <c r="L35" i="107"/>
  <c r="L35" i="111" s="1"/>
  <c r="M35" i="107"/>
  <c r="M35" i="111" s="1"/>
  <c r="N35" i="107"/>
  <c r="N35" i="111" s="1"/>
  <c r="C36" i="107"/>
  <c r="C36" i="111" s="1"/>
  <c r="D36" i="107"/>
  <c r="D36" i="111" s="1"/>
  <c r="E36" i="107"/>
  <c r="E36" i="111" s="1"/>
  <c r="F36" i="107"/>
  <c r="F36" i="111" s="1"/>
  <c r="G36" i="107"/>
  <c r="G36" i="111" s="1"/>
  <c r="H36" i="107"/>
  <c r="H36" i="111" s="1"/>
  <c r="I36" i="107"/>
  <c r="I36" i="111" s="1"/>
  <c r="J36" i="107"/>
  <c r="J36" i="111" s="1"/>
  <c r="K36" i="107"/>
  <c r="K36" i="111" s="1"/>
  <c r="L36" i="107"/>
  <c r="L36" i="111" s="1"/>
  <c r="M36" i="107"/>
  <c r="M36" i="111" s="1"/>
  <c r="N36" i="107"/>
  <c r="N36" i="111" s="1"/>
  <c r="C37" i="107"/>
  <c r="C37" i="111" s="1"/>
  <c r="D37" i="107"/>
  <c r="D37" i="111" s="1"/>
  <c r="E37" i="107"/>
  <c r="E37" i="111" s="1"/>
  <c r="F37" i="107"/>
  <c r="F37" i="111" s="1"/>
  <c r="G37" i="107"/>
  <c r="G37" i="111" s="1"/>
  <c r="H37" i="107"/>
  <c r="H37" i="111" s="1"/>
  <c r="I37" i="107"/>
  <c r="I37" i="111" s="1"/>
  <c r="J37" i="107"/>
  <c r="J37" i="111" s="1"/>
  <c r="K37" i="107"/>
  <c r="K37" i="111" s="1"/>
  <c r="L37" i="107"/>
  <c r="L37" i="111" s="1"/>
  <c r="M37" i="107"/>
  <c r="M37" i="111" s="1"/>
  <c r="N37" i="107"/>
  <c r="N37" i="111" s="1"/>
  <c r="C38" i="107"/>
  <c r="C38" i="111" s="1"/>
  <c r="D38" i="107"/>
  <c r="D38" i="111" s="1"/>
  <c r="E38" i="107"/>
  <c r="E38" i="111" s="1"/>
  <c r="F38" i="107"/>
  <c r="F38" i="111" s="1"/>
  <c r="G38" i="107"/>
  <c r="G38" i="111" s="1"/>
  <c r="H38" i="107"/>
  <c r="H38" i="111" s="1"/>
  <c r="I38" i="107"/>
  <c r="I38" i="111" s="1"/>
  <c r="J38" i="107"/>
  <c r="J38" i="111" s="1"/>
  <c r="K38" i="107"/>
  <c r="K38" i="111" s="1"/>
  <c r="L38" i="107"/>
  <c r="L38" i="111" s="1"/>
  <c r="M38" i="107"/>
  <c r="M38" i="111" s="1"/>
  <c r="N38" i="107"/>
  <c r="N38" i="111" s="1"/>
  <c r="C39" i="107"/>
  <c r="C39" i="111" s="1"/>
  <c r="D39" i="107"/>
  <c r="D39" i="111" s="1"/>
  <c r="E39" i="107"/>
  <c r="E39" i="111" s="1"/>
  <c r="F39" i="107"/>
  <c r="F39" i="111" s="1"/>
  <c r="G39" i="107"/>
  <c r="G39" i="111" s="1"/>
  <c r="H39" i="107"/>
  <c r="H39" i="111" s="1"/>
  <c r="I39" i="107"/>
  <c r="I39" i="111" s="1"/>
  <c r="J39" i="107"/>
  <c r="J39" i="111" s="1"/>
  <c r="K39" i="107"/>
  <c r="K39" i="111" s="1"/>
  <c r="L39" i="107"/>
  <c r="L39" i="111" s="1"/>
  <c r="M39" i="107"/>
  <c r="M39" i="111" s="1"/>
  <c r="N39" i="107"/>
  <c r="N39" i="111" s="1"/>
  <c r="C40" i="107"/>
  <c r="C40" i="111" s="1"/>
  <c r="D40" i="107"/>
  <c r="D40" i="111" s="1"/>
  <c r="E40" i="107"/>
  <c r="E40" i="111" s="1"/>
  <c r="F40" i="107"/>
  <c r="F40" i="111" s="1"/>
  <c r="G40" i="107"/>
  <c r="G40" i="111" s="1"/>
  <c r="H40" i="107"/>
  <c r="H40" i="111" s="1"/>
  <c r="I40" i="107"/>
  <c r="I40" i="111" s="1"/>
  <c r="J40" i="107"/>
  <c r="J40" i="111" s="1"/>
  <c r="K40" i="107"/>
  <c r="K40" i="111" s="1"/>
  <c r="L40" i="107"/>
  <c r="L40" i="111" s="1"/>
  <c r="M40" i="107"/>
  <c r="M40" i="111" s="1"/>
  <c r="N40" i="107"/>
  <c r="N40" i="111" s="1"/>
  <c r="C41" i="107"/>
  <c r="C41" i="111" s="1"/>
  <c r="D41" i="107"/>
  <c r="D41" i="111" s="1"/>
  <c r="E41" i="107"/>
  <c r="E41" i="111" s="1"/>
  <c r="F41" i="107"/>
  <c r="F41" i="111" s="1"/>
  <c r="G41" i="107"/>
  <c r="G41" i="111" s="1"/>
  <c r="H41" i="107"/>
  <c r="H41" i="111" s="1"/>
  <c r="I41" i="107"/>
  <c r="I41" i="111" s="1"/>
  <c r="J41" i="107"/>
  <c r="J41" i="111" s="1"/>
  <c r="K41" i="107"/>
  <c r="K41" i="111" s="1"/>
  <c r="L41" i="107"/>
  <c r="L41" i="111" s="1"/>
  <c r="M41" i="107"/>
  <c r="M41" i="111" s="1"/>
  <c r="N41" i="107"/>
  <c r="N41" i="111" s="1"/>
  <c r="C42" i="107"/>
  <c r="C42" i="111" s="1"/>
  <c r="D42" i="107"/>
  <c r="D42" i="111" s="1"/>
  <c r="E42" i="107"/>
  <c r="E42" i="111" s="1"/>
  <c r="F42" i="107"/>
  <c r="F42" i="111" s="1"/>
  <c r="G42" i="107"/>
  <c r="G42" i="111" s="1"/>
  <c r="H42" i="107"/>
  <c r="H42" i="111" s="1"/>
  <c r="I42" i="107"/>
  <c r="I42" i="111" s="1"/>
  <c r="J42" i="107"/>
  <c r="J42" i="111" s="1"/>
  <c r="K42" i="107"/>
  <c r="K42" i="111" s="1"/>
  <c r="L42" i="107"/>
  <c r="L42" i="111" s="1"/>
  <c r="M42" i="107"/>
  <c r="M42" i="111" s="1"/>
  <c r="N42" i="107"/>
  <c r="N42" i="111" s="1"/>
  <c r="C43" i="107"/>
  <c r="C43" i="111" s="1"/>
  <c r="D43" i="107"/>
  <c r="D43" i="111" s="1"/>
  <c r="E43" i="107"/>
  <c r="E43" i="111" s="1"/>
  <c r="F43" i="107"/>
  <c r="F43" i="111" s="1"/>
  <c r="G43" i="107"/>
  <c r="G43" i="111" s="1"/>
  <c r="H43" i="107"/>
  <c r="H43" i="111" s="1"/>
  <c r="I43" i="107"/>
  <c r="J43" i="107"/>
  <c r="J43" i="111" s="1"/>
  <c r="K43" i="107"/>
  <c r="K43" i="111" s="1"/>
  <c r="L43" i="107"/>
  <c r="L43" i="111" s="1"/>
  <c r="M43" i="107"/>
  <c r="M43" i="111" s="1"/>
  <c r="N43" i="107"/>
  <c r="N43" i="111" s="1"/>
  <c r="C44" i="107"/>
  <c r="C44" i="111" s="1"/>
  <c r="D44" i="107"/>
  <c r="D44" i="111" s="1"/>
  <c r="E44" i="107"/>
  <c r="E44" i="111" s="1"/>
  <c r="F44" i="107"/>
  <c r="F44" i="111" s="1"/>
  <c r="G44" i="107"/>
  <c r="G44" i="111" s="1"/>
  <c r="H44" i="107"/>
  <c r="H44" i="111" s="1"/>
  <c r="I44" i="107"/>
  <c r="I44" i="111" s="1"/>
  <c r="J44" i="107"/>
  <c r="J44" i="111" s="1"/>
  <c r="K44" i="107"/>
  <c r="K44" i="111" s="1"/>
  <c r="L44" i="107"/>
  <c r="L44" i="111" s="1"/>
  <c r="M44" i="107"/>
  <c r="M44" i="111" s="1"/>
  <c r="N44" i="107"/>
  <c r="N44" i="111" s="1"/>
  <c r="C45" i="107"/>
  <c r="C45" i="111" s="1"/>
  <c r="D45" i="107"/>
  <c r="D45" i="111" s="1"/>
  <c r="E45" i="107"/>
  <c r="E45" i="111" s="1"/>
  <c r="F45" i="107"/>
  <c r="F45" i="111" s="1"/>
  <c r="G45" i="107"/>
  <c r="G45" i="111" s="1"/>
  <c r="H45" i="107"/>
  <c r="H45" i="111" s="1"/>
  <c r="I45" i="107"/>
  <c r="I45" i="111" s="1"/>
  <c r="J45" i="107"/>
  <c r="J45" i="111" s="1"/>
  <c r="K45" i="107"/>
  <c r="K45" i="111" s="1"/>
  <c r="L45" i="107"/>
  <c r="L45" i="111" s="1"/>
  <c r="M45" i="107"/>
  <c r="M45" i="111" s="1"/>
  <c r="N45" i="107"/>
  <c r="N45" i="111" s="1"/>
  <c r="C46" i="107"/>
  <c r="C46" i="111" s="1"/>
  <c r="D46" i="107"/>
  <c r="D46" i="111" s="1"/>
  <c r="E46" i="107"/>
  <c r="E46" i="111" s="1"/>
  <c r="F46" i="107"/>
  <c r="F46" i="111" s="1"/>
  <c r="G46" i="107"/>
  <c r="G46" i="111" s="1"/>
  <c r="H46" i="107"/>
  <c r="H46" i="111" s="1"/>
  <c r="I46" i="107"/>
  <c r="I46" i="111" s="1"/>
  <c r="J46" i="107"/>
  <c r="J46" i="111" s="1"/>
  <c r="K46" i="107"/>
  <c r="K46" i="111" s="1"/>
  <c r="L46" i="107"/>
  <c r="L46" i="111" s="1"/>
  <c r="M46" i="107"/>
  <c r="M46" i="111" s="1"/>
  <c r="N46" i="107"/>
  <c r="N46" i="111" s="1"/>
  <c r="C47" i="107"/>
  <c r="C47" i="111" s="1"/>
  <c r="D47" i="107"/>
  <c r="D47" i="111" s="1"/>
  <c r="E47" i="107"/>
  <c r="E47" i="111" s="1"/>
  <c r="F47" i="107"/>
  <c r="F47" i="111" s="1"/>
  <c r="G47" i="107"/>
  <c r="G47" i="111" s="1"/>
  <c r="H47" i="107"/>
  <c r="H47" i="111" s="1"/>
  <c r="I47" i="107"/>
  <c r="I47" i="111" s="1"/>
  <c r="J47" i="107"/>
  <c r="J47" i="111" s="1"/>
  <c r="K47" i="107"/>
  <c r="K47" i="111" s="1"/>
  <c r="L47" i="107"/>
  <c r="L47" i="111" s="1"/>
  <c r="M47" i="107"/>
  <c r="M47" i="111" s="1"/>
  <c r="N47" i="107"/>
  <c r="N47" i="111" s="1"/>
  <c r="C48" i="107"/>
  <c r="C48" i="111" s="1"/>
  <c r="D48" i="107"/>
  <c r="D48" i="111" s="1"/>
  <c r="E48" i="107"/>
  <c r="E48" i="111" s="1"/>
  <c r="F48" i="107"/>
  <c r="F48" i="111" s="1"/>
  <c r="G48" i="107"/>
  <c r="G48" i="111" s="1"/>
  <c r="H48" i="107"/>
  <c r="H48" i="111" s="1"/>
  <c r="I48" i="107"/>
  <c r="I48" i="111" s="1"/>
  <c r="J48" i="107"/>
  <c r="J48" i="111" s="1"/>
  <c r="K48" i="107"/>
  <c r="K48" i="111" s="1"/>
  <c r="L48" i="107"/>
  <c r="L48" i="111" s="1"/>
  <c r="M48" i="107"/>
  <c r="M48" i="111" s="1"/>
  <c r="N48" i="107"/>
  <c r="N48" i="111" s="1"/>
  <c r="C49" i="107"/>
  <c r="C49" i="111" s="1"/>
  <c r="D49" i="107"/>
  <c r="D49" i="111" s="1"/>
  <c r="E49" i="107"/>
  <c r="E49" i="111" s="1"/>
  <c r="F49" i="107"/>
  <c r="F49" i="111" s="1"/>
  <c r="G49" i="107"/>
  <c r="G49" i="111" s="1"/>
  <c r="H49" i="107"/>
  <c r="H49" i="111" s="1"/>
  <c r="I49" i="107"/>
  <c r="I49" i="111" s="1"/>
  <c r="J49" i="107"/>
  <c r="J49" i="111" s="1"/>
  <c r="K49" i="107"/>
  <c r="K49" i="111" s="1"/>
  <c r="L49" i="107"/>
  <c r="L49" i="111" s="1"/>
  <c r="M49" i="107"/>
  <c r="M49" i="111" s="1"/>
  <c r="N49" i="107"/>
  <c r="N49" i="111" s="1"/>
  <c r="C50" i="107"/>
  <c r="C50" i="111" s="1"/>
  <c r="D50" i="107"/>
  <c r="D50" i="111" s="1"/>
  <c r="E50" i="107"/>
  <c r="E50" i="111" s="1"/>
  <c r="F50" i="107"/>
  <c r="F50" i="111" s="1"/>
  <c r="G50" i="107"/>
  <c r="G50" i="111" s="1"/>
  <c r="H50" i="107"/>
  <c r="H50" i="111" s="1"/>
  <c r="I50" i="107"/>
  <c r="I50" i="111" s="1"/>
  <c r="J50" i="107"/>
  <c r="J50" i="111" s="1"/>
  <c r="K50" i="107"/>
  <c r="K50" i="111" s="1"/>
  <c r="L50" i="107"/>
  <c r="L50" i="111" s="1"/>
  <c r="M50" i="107"/>
  <c r="M50" i="111" s="1"/>
  <c r="N50" i="107"/>
  <c r="N50" i="111" s="1"/>
  <c r="C51" i="107"/>
  <c r="C51" i="111" s="1"/>
  <c r="D51" i="107"/>
  <c r="D51" i="111" s="1"/>
  <c r="E51" i="107"/>
  <c r="E51" i="111" s="1"/>
  <c r="F51" i="107"/>
  <c r="F51" i="111" s="1"/>
  <c r="G51" i="107"/>
  <c r="G51" i="111" s="1"/>
  <c r="H51" i="107"/>
  <c r="H51" i="111" s="1"/>
  <c r="I51" i="107"/>
  <c r="I51" i="111" s="1"/>
  <c r="J51" i="107"/>
  <c r="J51" i="111" s="1"/>
  <c r="K51" i="107"/>
  <c r="K51" i="111" s="1"/>
  <c r="L51" i="107"/>
  <c r="L51" i="111" s="1"/>
  <c r="M51" i="107"/>
  <c r="M51" i="111" s="1"/>
  <c r="N51" i="107"/>
  <c r="N51" i="111" s="1"/>
  <c r="C52" i="107"/>
  <c r="C52" i="111" s="1"/>
  <c r="D52" i="107"/>
  <c r="D52" i="111" s="1"/>
  <c r="E52" i="107"/>
  <c r="E52" i="111" s="1"/>
  <c r="F52" i="107"/>
  <c r="F52" i="111" s="1"/>
  <c r="G52" i="107"/>
  <c r="G52" i="111" s="1"/>
  <c r="H52" i="107"/>
  <c r="H52" i="111" s="1"/>
  <c r="I52" i="107"/>
  <c r="I52" i="111" s="1"/>
  <c r="J52" i="107"/>
  <c r="J52" i="111" s="1"/>
  <c r="K52" i="107"/>
  <c r="K52" i="111" s="1"/>
  <c r="L52" i="107"/>
  <c r="L52" i="111" s="1"/>
  <c r="M52" i="107"/>
  <c r="M52" i="111" s="1"/>
  <c r="N52" i="107"/>
  <c r="N52" i="111" s="1"/>
  <c r="C53" i="107"/>
  <c r="C53" i="111" s="1"/>
  <c r="D53" i="107"/>
  <c r="D53" i="111" s="1"/>
  <c r="E53" i="107"/>
  <c r="E53" i="111" s="1"/>
  <c r="F53" i="107"/>
  <c r="F53" i="111" s="1"/>
  <c r="G53" i="107"/>
  <c r="G53" i="111" s="1"/>
  <c r="H53" i="107"/>
  <c r="H53" i="111" s="1"/>
  <c r="I53" i="107"/>
  <c r="I53" i="111" s="1"/>
  <c r="J53" i="107"/>
  <c r="J53" i="111" s="1"/>
  <c r="K53" i="107"/>
  <c r="K53" i="111" s="1"/>
  <c r="L53" i="107"/>
  <c r="L53" i="111" s="1"/>
  <c r="M53" i="107"/>
  <c r="M53" i="111" s="1"/>
  <c r="N53" i="107"/>
  <c r="N53" i="111" s="1"/>
  <c r="C54" i="107"/>
  <c r="C54" i="111" s="1"/>
  <c r="D54" i="107"/>
  <c r="D54" i="111" s="1"/>
  <c r="E54" i="107"/>
  <c r="E54" i="111" s="1"/>
  <c r="F54" i="107"/>
  <c r="F54" i="111" s="1"/>
  <c r="G54" i="107"/>
  <c r="G54" i="111" s="1"/>
  <c r="H54" i="107"/>
  <c r="H54" i="111" s="1"/>
  <c r="I54" i="107"/>
  <c r="I54" i="111" s="1"/>
  <c r="J54" i="107"/>
  <c r="J54" i="111" s="1"/>
  <c r="K54" i="107"/>
  <c r="K54" i="111" s="1"/>
  <c r="L54" i="107"/>
  <c r="L54" i="111" s="1"/>
  <c r="M54" i="107"/>
  <c r="M54" i="111" s="1"/>
  <c r="N54" i="107"/>
  <c r="N54" i="111" s="1"/>
  <c r="C55" i="107"/>
  <c r="C55" i="111" s="1"/>
  <c r="D55" i="107"/>
  <c r="D55" i="111" s="1"/>
  <c r="E55" i="107"/>
  <c r="E55" i="111" s="1"/>
  <c r="F55" i="107"/>
  <c r="F55" i="111" s="1"/>
  <c r="G55" i="107"/>
  <c r="G55" i="111" s="1"/>
  <c r="H55" i="107"/>
  <c r="H55" i="111" s="1"/>
  <c r="I55" i="107"/>
  <c r="I55" i="111" s="1"/>
  <c r="J55" i="107"/>
  <c r="J55" i="111" s="1"/>
  <c r="K55" i="107"/>
  <c r="K55" i="111" s="1"/>
  <c r="L55" i="107"/>
  <c r="L55" i="111" s="1"/>
  <c r="M55" i="107"/>
  <c r="M55" i="111" s="1"/>
  <c r="N55" i="107"/>
  <c r="N55" i="111" s="1"/>
  <c r="C56" i="107"/>
  <c r="C56" i="111" s="1"/>
  <c r="D56" i="107"/>
  <c r="D56" i="111" s="1"/>
  <c r="E56" i="107"/>
  <c r="E56" i="111" s="1"/>
  <c r="F56" i="107"/>
  <c r="F56" i="111" s="1"/>
  <c r="G56" i="107"/>
  <c r="G56" i="111" s="1"/>
  <c r="H56" i="107"/>
  <c r="H56" i="111" s="1"/>
  <c r="I56" i="107"/>
  <c r="I56" i="111" s="1"/>
  <c r="J56" i="107"/>
  <c r="J56" i="111" s="1"/>
  <c r="K56" i="107"/>
  <c r="K56" i="111" s="1"/>
  <c r="L56" i="107"/>
  <c r="L56" i="111" s="1"/>
  <c r="M56" i="107"/>
  <c r="M56" i="111" s="1"/>
  <c r="N56" i="107"/>
  <c r="N56" i="111" s="1"/>
  <c r="C57" i="107"/>
  <c r="C57" i="111" s="1"/>
  <c r="D57" i="107"/>
  <c r="D57" i="111" s="1"/>
  <c r="E57" i="107"/>
  <c r="E57" i="111" s="1"/>
  <c r="F57" i="107"/>
  <c r="F57" i="111" s="1"/>
  <c r="G57" i="107"/>
  <c r="G57" i="111" s="1"/>
  <c r="H57" i="107"/>
  <c r="H57" i="111" s="1"/>
  <c r="I57" i="107"/>
  <c r="I57" i="111" s="1"/>
  <c r="J57" i="107"/>
  <c r="J57" i="111" s="1"/>
  <c r="K57" i="107"/>
  <c r="K57" i="111" s="1"/>
  <c r="L57" i="107"/>
  <c r="L57" i="111" s="1"/>
  <c r="M57" i="107"/>
  <c r="M57" i="111" s="1"/>
  <c r="N57" i="107"/>
  <c r="N57" i="111" s="1"/>
  <c r="D10" i="107"/>
  <c r="D10" i="111" s="1"/>
  <c r="E10" i="107"/>
  <c r="E10" i="111" s="1"/>
  <c r="F10" i="107"/>
  <c r="F10" i="111" s="1"/>
  <c r="G10" i="107"/>
  <c r="G10" i="111" s="1"/>
  <c r="H10" i="107"/>
  <c r="H10" i="111" s="1"/>
  <c r="I10" i="107"/>
  <c r="I10" i="111" s="1"/>
  <c r="J10" i="107"/>
  <c r="J10" i="111" s="1"/>
  <c r="K10" i="107"/>
  <c r="K10" i="111" s="1"/>
  <c r="L10" i="107"/>
  <c r="L10" i="111" s="1"/>
  <c r="M10" i="107"/>
  <c r="M10" i="111" s="1"/>
  <c r="N10" i="107"/>
  <c r="N10" i="111" s="1"/>
  <c r="C10" i="107"/>
  <c r="C10" i="111" s="1"/>
  <c r="V42" i="108" l="1"/>
  <c r="V42" i="107"/>
  <c r="Z42" i="107"/>
  <c r="I43" i="111"/>
  <c r="O50" i="104"/>
  <c r="C3" i="94"/>
  <c r="K6" i="98" l="1"/>
  <c r="K6" i="99" s="1"/>
  <c r="K6" i="100" s="1"/>
  <c r="K6" i="101" s="1"/>
  <c r="K6" i="109" s="1"/>
  <c r="K6" i="105" s="1"/>
  <c r="K6" i="110" s="1"/>
  <c r="K6" i="103" s="1"/>
  <c r="K5" i="98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1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Z39" i="105" s="1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W39" i="105" l="1"/>
  <c r="AA39" i="105"/>
  <c r="U39" i="109"/>
  <c r="AC39" i="109"/>
  <c r="X26" i="98"/>
  <c r="AA27" i="99"/>
  <c r="X39" i="105"/>
  <c r="AA26" i="9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S38" i="110" l="1"/>
  <c r="AF25" i="101"/>
  <c r="AF28" i="101"/>
  <c r="Y38" i="105"/>
  <c r="U38" i="109"/>
  <c r="AB26" i="98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W27" i="95"/>
  <c r="W24" i="95"/>
  <c r="AB24" i="98"/>
  <c r="W26" i="96"/>
  <c r="AC26" i="97"/>
  <c r="AC23" i="97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X42" i="109" l="1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<sst xmlns="http://schemas.openxmlformats.org/spreadsheetml/2006/main" count="2336" uniqueCount="184">
  <si>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</si>
  <si>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</si>
  <si>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</si>
  <si>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</si>
  <si>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</si>
  <si>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</si>
  <si>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</si>
  <si>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</si>
  <si>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</si>
  <si>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</si>
  <si>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</si>
  <si>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</si>
  <si>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</si>
  <si>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</si>
  <si>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</si>
  <si>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</si>
  <si>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</si>
  <si>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</si>
  <si>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</si>
  <si>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</si>
  <si>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</si>
  <si>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</si>
  <si>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</si>
  <si>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</si>
  <si>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</si>
  <si>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</si>
  <si>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</si>
  <si>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</si>
  <si>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</si>
  <si>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</si>
  <si>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</si>
  <si>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</si>
  <si>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</si>
  <si>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</si>
  <si>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</si>
  <si>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</si>
  <si>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</si>
  <si>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</si>
  <si>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</si>
  <si>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</si>
  <si>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</si>
  <si>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</si>
  <si>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</si>
  <si>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</si>
  <si>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</si>
  <si>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</si>
  <si>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</si>
  <si>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</si>
  <si>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</si>
  <si>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</si>
  <si>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</si>
  <si>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</si>
  <si>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</si>
  <si>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</si>
  <si>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</si>
  <si>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</si>
  <si>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</si>
  <si>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</si>
  <si>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</si>
  <si>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</si>
  <si>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</si>
  <si>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</si>
  <si>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</si>
  <si>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</si>
  <si>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</si>
  <si>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</si>
  <si>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</si>
  <si>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</si>
  <si>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</si>
  <si>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</si>
  <si>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</si>
  <si>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</si>
  <si>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</si>
  <si>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</si>
  <si>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</si>
  <si>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</si>
  <si>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</si>
  <si>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</si>
  <si>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</si>
  <si>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</si>
  <si>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</si>
  <si>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</si>
  <si>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</si>
  <si>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</si>
  <si>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</si>
  <si>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</si>
  <si>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</si>
  <si>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</si>
  <si>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</si>
  <si>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</si>
  <si>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</si>
  <si>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</si>
  <si>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</si>
  <si>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</si>
  <si>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</si>
  <si>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</si>
  <si>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</si>
  <si>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</si>
  <si>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</si>
  <si>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</si>
  <si>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</si>
  <si>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</si>
  <si>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</si>
  <si>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</si>
  <si>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</si>
  <si>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</si>
  <si>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</si>
  <si>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</si>
  <si>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</si>
  <si>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</si>
  <si>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</si>
  <si>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</si>
  <si>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</si>
  <si>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</si>
  <si>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</si>
  <si>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</si>
  <si>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</si>
  <si>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</si>
  <si>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</si>
  <si>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</si>
  <si>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</si>
  <si>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</si>
  <si>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</si>
  <si>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</si>
  <si>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</si>
  <si>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</si>
  <si>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</si>
  <si>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</si>
  <si>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</si>
  <si>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</si>
  <si>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</si>
  <si>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</si>
  <si>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</si>
  <si>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</si>
  <si>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</si>
  <si>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</si>
  <si>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</si>
  <si>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</si>
  <si>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</si>
  <si>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</si>
  <si>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</si>
  <si>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</si>
  <si>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</si>
  <si>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</si>
  <si>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</si>
  <si>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</si>
  <si>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</si>
  <si>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</si>
  <si>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</si>
  <si>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</si>
  <si>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</si>
  <si>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</si>
  <si>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</si>
  <si>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</si>
  <si>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</si>
  <si>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</si>
  <si>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</si>
  <si>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</si>
  <si>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</si>
  <si>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</si>
  <si>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</si>
  <si>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</si>
  <si>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</si>
  <si>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C3 - STN83 - KANONI-MITYANA ROAD</t>
  </si>
  <si>
    <t>17.10.19</t>
  </si>
  <si>
    <t>KANONI</t>
  </si>
  <si>
    <t>MITYANA</t>
  </si>
  <si>
    <t>VICA MAIZE MILLERS</t>
  </si>
  <si>
    <t>CATHY</t>
  </si>
  <si>
    <t>LAWRENCE</t>
  </si>
  <si>
    <t>18.10.19</t>
  </si>
  <si>
    <t>SENDAWULA ALI</t>
  </si>
  <si>
    <t>SSEREMBA CHARLES</t>
  </si>
  <si>
    <t>SENDAWULA</t>
  </si>
  <si>
    <t>19.10.19</t>
  </si>
  <si>
    <t>SEREMBA CHARLES</t>
  </si>
  <si>
    <t>20.10.19</t>
  </si>
  <si>
    <t>AMINA N</t>
  </si>
  <si>
    <t>21.10.19</t>
  </si>
  <si>
    <t>22.10.19</t>
  </si>
  <si>
    <t>CATHERINE</t>
  </si>
  <si>
    <t>23.10.19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</si>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</sst>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KANONI-MITYANA'!$AE$9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KANONI-MITYANA'!$AE$10:$AE$21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7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9</c:v>
                </c:pt>
                <c:pt idx="8">
                  <c:v>11</c:v>
                </c:pt>
                <c:pt idx="9">
                  <c:v>12</c:v>
                </c:pt>
                <c:pt idx="10">
                  <c:v>11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'17.10 KANONI-MITYANA'!$AF$9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KANONI-MITYANA'!$AF$10:$AF$21</c:f>
              <c:numCache>
                <c:formatCode>0</c:formatCode>
                <c:ptCount val="12"/>
                <c:pt idx="0">
                  <c:v>16</c:v>
                </c:pt>
                <c:pt idx="1">
                  <c:v>30</c:v>
                </c:pt>
                <c:pt idx="2">
                  <c:v>48</c:v>
                </c:pt>
                <c:pt idx="3">
                  <c:v>57</c:v>
                </c:pt>
                <c:pt idx="4">
                  <c:v>57</c:v>
                </c:pt>
                <c:pt idx="5">
                  <c:v>69</c:v>
                </c:pt>
                <c:pt idx="6">
                  <c:v>41</c:v>
                </c:pt>
                <c:pt idx="7">
                  <c:v>54</c:v>
                </c:pt>
                <c:pt idx="8">
                  <c:v>69</c:v>
                </c:pt>
                <c:pt idx="9">
                  <c:v>66</c:v>
                </c:pt>
                <c:pt idx="10">
                  <c:v>64</c:v>
                </c:pt>
                <c:pt idx="11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92048"/>
        <c:axId val="171271024"/>
      </c:lineChart>
      <c:catAx>
        <c:axId val="2092920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271024"/>
        <c:crosses val="autoZero"/>
        <c:auto val="1"/>
        <c:lblAlgn val="ctr"/>
        <c:lblOffset val="100"/>
        <c:noMultiLvlLbl val="0"/>
      </c:catAx>
      <c:valAx>
        <c:axId val="171271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29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KANONI-MITYANA'!$C$59:$N$59</c:f>
              <c:numCache>
                <c:formatCode>0.0%</c:formatCode>
                <c:ptCount val="12"/>
                <c:pt idx="0">
                  <c:v>4.807692307692308E-2</c:v>
                </c:pt>
                <c:pt idx="1">
                  <c:v>0</c:v>
                </c:pt>
                <c:pt idx="2">
                  <c:v>1.6025641025641024E-2</c:v>
                </c:pt>
                <c:pt idx="3">
                  <c:v>6.41025641025641E-3</c:v>
                </c:pt>
                <c:pt idx="4">
                  <c:v>0</c:v>
                </c:pt>
                <c:pt idx="5">
                  <c:v>0</c:v>
                </c:pt>
                <c:pt idx="6">
                  <c:v>4.3269230769230768E-2</c:v>
                </c:pt>
                <c:pt idx="7">
                  <c:v>1.1217948717948718E-2</c:v>
                </c:pt>
                <c:pt idx="8">
                  <c:v>0</c:v>
                </c:pt>
                <c:pt idx="9">
                  <c:v>0</c:v>
                </c:pt>
                <c:pt idx="10">
                  <c:v>0.8733974358974359</c:v>
                </c:pt>
                <c:pt idx="11">
                  <c:v>1.6025641025641025E-3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KANONI-MITYANA'!$C$60:$N$60</c:f>
              <c:numCache>
                <c:formatCode>0.00%</c:formatCode>
                <c:ptCount val="12"/>
                <c:pt idx="0">
                  <c:v>0.379746835443038</c:v>
                </c:pt>
                <c:pt idx="1">
                  <c:v>0</c:v>
                </c:pt>
                <c:pt idx="2">
                  <c:v>0.12658227848101267</c:v>
                </c:pt>
                <c:pt idx="3">
                  <c:v>5.0632911392405063E-2</c:v>
                </c:pt>
                <c:pt idx="4">
                  <c:v>0</c:v>
                </c:pt>
                <c:pt idx="5">
                  <c:v>0</c:v>
                </c:pt>
                <c:pt idx="6">
                  <c:v>0.34177215189873417</c:v>
                </c:pt>
                <c:pt idx="7">
                  <c:v>8.8607594936708861E-2</c:v>
                </c:pt>
                <c:pt idx="8">
                  <c:v>0</c:v>
                </c:pt>
                <c:pt idx="9">
                  <c:v>0</c:v>
                </c:pt>
                <c:pt idx="11">
                  <c:v>1.2658227848101266E-2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MITYANA-KANONI'!$AE$9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MITYANA-KANONI'!$AE$10:$AE$21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11</c:v>
                </c:pt>
                <c:pt idx="4">
                  <c:v>8</c:v>
                </c:pt>
                <c:pt idx="5">
                  <c:v>9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'17.10 MITYANA-KANONI'!$AF$9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MITYANA-KANONI'!$AF$10:$AF$21</c:f>
              <c:numCache>
                <c:formatCode>0</c:formatCode>
                <c:ptCount val="12"/>
                <c:pt idx="0">
                  <c:v>18</c:v>
                </c:pt>
                <c:pt idx="1">
                  <c:v>27</c:v>
                </c:pt>
                <c:pt idx="2">
                  <c:v>52</c:v>
                </c:pt>
                <c:pt idx="3">
                  <c:v>47</c:v>
                </c:pt>
                <c:pt idx="4">
                  <c:v>55</c:v>
                </c:pt>
                <c:pt idx="5">
                  <c:v>60</c:v>
                </c:pt>
                <c:pt idx="6">
                  <c:v>60</c:v>
                </c:pt>
                <c:pt idx="7">
                  <c:v>46</c:v>
                </c:pt>
                <c:pt idx="8">
                  <c:v>60</c:v>
                </c:pt>
                <c:pt idx="9">
                  <c:v>66</c:v>
                </c:pt>
                <c:pt idx="10">
                  <c:v>66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269456"/>
        <c:axId val="171270632"/>
      </c:lineChart>
      <c:catAx>
        <c:axId val="171269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270632"/>
        <c:crosses val="autoZero"/>
        <c:auto val="1"/>
        <c:lblAlgn val="ctr"/>
        <c:lblOffset val="100"/>
        <c:noMultiLvlLbl val="0"/>
      </c:catAx>
      <c:valAx>
        <c:axId val="171270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26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MITYANA-KANONI'!$C$59:$N$59</c:f>
              <c:numCache>
                <c:formatCode>0.0%</c:formatCode>
                <c:ptCount val="12"/>
                <c:pt idx="0">
                  <c:v>5.6910569105691054E-2</c:v>
                </c:pt>
                <c:pt idx="1">
                  <c:v>6.5040650406504065E-3</c:v>
                </c:pt>
                <c:pt idx="2">
                  <c:v>8.130081300813009E-3</c:v>
                </c:pt>
                <c:pt idx="3">
                  <c:v>8.130081300813009E-3</c:v>
                </c:pt>
                <c:pt idx="4">
                  <c:v>0</c:v>
                </c:pt>
                <c:pt idx="5">
                  <c:v>0</c:v>
                </c:pt>
                <c:pt idx="6">
                  <c:v>3.4146341463414637E-2</c:v>
                </c:pt>
                <c:pt idx="7">
                  <c:v>9.7560975609756097E-3</c:v>
                </c:pt>
                <c:pt idx="8">
                  <c:v>1.6260162601626016E-3</c:v>
                </c:pt>
                <c:pt idx="9">
                  <c:v>0</c:v>
                </c:pt>
                <c:pt idx="10">
                  <c:v>0.87479674796747964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MITYANA-KANONI'!$S$9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MITYANA-KANONI'!$S$10:$S$21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8</c:v>
                </c:pt>
                <c:pt idx="4">
                  <c:v>3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'17.10 MITYANA-KANONI'!$T$9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MITYANA-KANONI'!$T$10:$T$21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'17.10 MITYANA-KANONI'!$U$9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'17.10 MITYANA-KANONI'!$V$9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'17.10 MITYANA-KANONI'!$W$9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'17.10 MITYANA-KANONI'!$X$9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'17.10 MITYANA-KANONI'!$Y$9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'17.10 MITYANA-KANONI'!$Z$9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'17.10 MITYANA-KANONI'!$AA$9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'17.10 MITYANA-KANONI'!$AB$9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'17.10 MITYANA-KANONI'!$AC$9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MITYANA-KANONI'!$AC$10:$AC$21</c:f>
              <c:numCache>
                <c:formatCode>0</c:formatCode>
                <c:ptCount val="12"/>
                <c:pt idx="0">
                  <c:v>17</c:v>
                </c:pt>
                <c:pt idx="1">
                  <c:v>22</c:v>
                </c:pt>
                <c:pt idx="2">
                  <c:v>47</c:v>
                </c:pt>
                <c:pt idx="3">
                  <c:v>36</c:v>
                </c:pt>
                <c:pt idx="4">
                  <c:v>47</c:v>
                </c:pt>
                <c:pt idx="5">
                  <c:v>51</c:v>
                </c:pt>
                <c:pt idx="6">
                  <c:v>54</c:v>
                </c:pt>
                <c:pt idx="7">
                  <c:v>40</c:v>
                </c:pt>
                <c:pt idx="8">
                  <c:v>55</c:v>
                </c:pt>
                <c:pt idx="9">
                  <c:v>58</c:v>
                </c:pt>
                <c:pt idx="10">
                  <c:v>59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'17.10 MITYANA-KANONI'!$AD$9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MITYANA-KANONI'!$AD$10:$AD$21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17512"/>
        <c:axId val="210617904"/>
      </c:lineChart>
      <c:catAx>
        <c:axId val="210617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17904"/>
        <c:crosses val="autoZero"/>
        <c:auto val="1"/>
        <c:lblAlgn val="ctr"/>
        <c:lblOffset val="100"/>
        <c:noMultiLvlLbl val="0"/>
      </c:catAx>
      <c:valAx>
        <c:axId val="21061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17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MITYANA-KANONI'!$C$60:$N$60</c:f>
              <c:numCache>
                <c:formatCode>0.00%</c:formatCode>
                <c:ptCount val="12"/>
                <c:pt idx="0">
                  <c:v>0.45454545454545453</c:v>
                </c:pt>
                <c:pt idx="1">
                  <c:v>5.1948051948051951E-2</c:v>
                </c:pt>
                <c:pt idx="2">
                  <c:v>6.4935064935064929E-2</c:v>
                </c:pt>
                <c:pt idx="3">
                  <c:v>6.4935064935064929E-2</c:v>
                </c:pt>
                <c:pt idx="4">
                  <c:v>0</c:v>
                </c:pt>
                <c:pt idx="5">
                  <c:v>0</c:v>
                </c:pt>
                <c:pt idx="6">
                  <c:v>0.27272727272727271</c:v>
                </c:pt>
                <c:pt idx="7">
                  <c:v>7.792207792207792E-2</c:v>
                </c:pt>
                <c:pt idx="8">
                  <c:v>1.2987012987012988E-2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KANONI-MITYANA-24h'!$AE$9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KANONI-MITYANA-24h'!$R$10:$R$33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KANONI-MITYANA-24h'!$AE$10:$AE$33</c:f>
              <c:numCache>
                <c:formatCode>0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10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7</c:v>
                </c:pt>
                <c:pt idx="7">
                  <c:v>12</c:v>
                </c:pt>
                <c:pt idx="8">
                  <c:v>1</c:v>
                </c:pt>
                <c:pt idx="9">
                  <c:v>8</c:v>
                </c:pt>
                <c:pt idx="10">
                  <c:v>8</c:v>
                </c:pt>
                <c:pt idx="11">
                  <c:v>9</c:v>
                </c:pt>
                <c:pt idx="12">
                  <c:v>12</c:v>
                </c:pt>
                <c:pt idx="13">
                  <c:v>9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'18.10 KANONI-MITYANA-24h'!$AF$9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KANONI-MITYANA-24h'!$R$10:$R$33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KANONI-MITYANA-24h'!$AF$10:$AF$33</c:f>
              <c:numCache>
                <c:formatCode>0</c:formatCode>
                <c:ptCount val="24"/>
                <c:pt idx="0">
                  <c:v>38</c:v>
                </c:pt>
                <c:pt idx="1">
                  <c:v>38</c:v>
                </c:pt>
                <c:pt idx="2">
                  <c:v>46</c:v>
                </c:pt>
                <c:pt idx="3">
                  <c:v>54</c:v>
                </c:pt>
                <c:pt idx="4">
                  <c:v>31</c:v>
                </c:pt>
                <c:pt idx="5">
                  <c:v>47</c:v>
                </c:pt>
                <c:pt idx="6">
                  <c:v>48</c:v>
                </c:pt>
                <c:pt idx="7">
                  <c:v>64</c:v>
                </c:pt>
                <c:pt idx="8">
                  <c:v>52</c:v>
                </c:pt>
                <c:pt idx="9">
                  <c:v>55</c:v>
                </c:pt>
                <c:pt idx="10">
                  <c:v>79</c:v>
                </c:pt>
                <c:pt idx="11">
                  <c:v>63</c:v>
                </c:pt>
                <c:pt idx="12">
                  <c:v>70</c:v>
                </c:pt>
                <c:pt idx="13">
                  <c:v>42</c:v>
                </c:pt>
                <c:pt idx="14">
                  <c:v>22</c:v>
                </c:pt>
                <c:pt idx="15">
                  <c:v>13</c:v>
                </c:pt>
                <c:pt idx="16">
                  <c:v>7</c:v>
                </c:pt>
                <c:pt idx="17">
                  <c:v>4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28368"/>
        <c:axId val="171272200"/>
      </c:lineChart>
      <c:catAx>
        <c:axId val="212228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1272200"/>
        <c:crosses val="autoZero"/>
        <c:auto val="1"/>
        <c:lblAlgn val="ctr"/>
        <c:lblOffset val="100"/>
        <c:noMultiLvlLbl val="0"/>
      </c:catAx>
      <c:valAx>
        <c:axId val="171272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2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KANONI-MITYANA-24h'!$C$9:$N$9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KANONI-MITYANA-24h'!$C$107:$N$107</c:f>
              <c:numCache>
                <c:formatCode>0.0%</c:formatCode>
                <c:ptCount val="12"/>
                <c:pt idx="0">
                  <c:v>4.6540880503144651E-2</c:v>
                </c:pt>
                <c:pt idx="1">
                  <c:v>6.2893081761006293E-3</c:v>
                </c:pt>
                <c:pt idx="2">
                  <c:v>1.3836477987421384E-2</c:v>
                </c:pt>
                <c:pt idx="3">
                  <c:v>1.1320754716981131E-2</c:v>
                </c:pt>
                <c:pt idx="4">
                  <c:v>0</c:v>
                </c:pt>
                <c:pt idx="5">
                  <c:v>0</c:v>
                </c:pt>
                <c:pt idx="6">
                  <c:v>3.6477987421383647E-2</c:v>
                </c:pt>
                <c:pt idx="7">
                  <c:v>1.2578616352201257E-3</c:v>
                </c:pt>
                <c:pt idx="8">
                  <c:v>7.5471698113207548E-3</c:v>
                </c:pt>
                <c:pt idx="9">
                  <c:v>0</c:v>
                </c:pt>
                <c:pt idx="10">
                  <c:v>0.8767295597484277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KANONI-MITYANA-24h'!$C$9:$N$9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KANONI-MITYANA-24h'!$C$108:$N$108</c:f>
              <c:numCache>
                <c:formatCode>0.00%</c:formatCode>
                <c:ptCount val="12"/>
                <c:pt idx="0">
                  <c:v>0.37755102040816324</c:v>
                </c:pt>
                <c:pt idx="1">
                  <c:v>5.1020408163265307E-2</c:v>
                </c:pt>
                <c:pt idx="2">
                  <c:v>0.11224489795918367</c:v>
                </c:pt>
                <c:pt idx="3">
                  <c:v>9.1836734693877556E-2</c:v>
                </c:pt>
                <c:pt idx="4">
                  <c:v>0</c:v>
                </c:pt>
                <c:pt idx="5">
                  <c:v>0</c:v>
                </c:pt>
                <c:pt idx="6">
                  <c:v>0.29591836734693877</c:v>
                </c:pt>
                <c:pt idx="7">
                  <c:v>1.020408163265306E-2</c:v>
                </c:pt>
                <c:pt idx="8">
                  <c:v>6.1224489795918366E-2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MITYANA-KANONI-24h'!$AE$9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MITYANA-KANONI-24h'!$R$10:$R$33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MITYANA-KANONI-24h'!$AE$10:$AE$33</c:f>
              <c:numCache>
                <c:formatCode>0</c:formatCode>
                <c:ptCount val="24"/>
                <c:pt idx="0">
                  <c:v>4</c:v>
                </c:pt>
                <c:pt idx="1">
                  <c:v>2</c:v>
                </c:pt>
                <c:pt idx="2">
                  <c:v>10</c:v>
                </c:pt>
                <c:pt idx="3">
                  <c:v>7</c:v>
                </c:pt>
                <c:pt idx="4">
                  <c:v>9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9</c:v>
                </c:pt>
                <c:pt idx="9">
                  <c:v>14</c:v>
                </c:pt>
                <c:pt idx="10">
                  <c:v>7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6</c:v>
                </c:pt>
                <c:pt idx="15">
                  <c:v>0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'18.10 MITYANA-KANONI-24h'!$AF$9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MITYANA-KANONI-24h'!$R$10:$R$33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MITYANA-KANONI-24h'!$AF$10:$AF$33</c:f>
              <c:numCache>
                <c:formatCode>0</c:formatCode>
                <c:ptCount val="24"/>
                <c:pt idx="0">
                  <c:v>44</c:v>
                </c:pt>
                <c:pt idx="1">
                  <c:v>61</c:v>
                </c:pt>
                <c:pt idx="2">
                  <c:v>59</c:v>
                </c:pt>
                <c:pt idx="3">
                  <c:v>36</c:v>
                </c:pt>
                <c:pt idx="4">
                  <c:v>43</c:v>
                </c:pt>
                <c:pt idx="5">
                  <c:v>49</c:v>
                </c:pt>
                <c:pt idx="6">
                  <c:v>51</c:v>
                </c:pt>
                <c:pt idx="7">
                  <c:v>58</c:v>
                </c:pt>
                <c:pt idx="8">
                  <c:v>39</c:v>
                </c:pt>
                <c:pt idx="9">
                  <c:v>56</c:v>
                </c:pt>
                <c:pt idx="10">
                  <c:v>50</c:v>
                </c:pt>
                <c:pt idx="11">
                  <c:v>50</c:v>
                </c:pt>
                <c:pt idx="12">
                  <c:v>53</c:v>
                </c:pt>
                <c:pt idx="13">
                  <c:v>38</c:v>
                </c:pt>
                <c:pt idx="14">
                  <c:v>33</c:v>
                </c:pt>
                <c:pt idx="15">
                  <c:v>12</c:v>
                </c:pt>
                <c:pt idx="16">
                  <c:v>8</c:v>
                </c:pt>
                <c:pt idx="17">
                  <c:v>3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3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634880"/>
        <c:axId val="218629392"/>
      </c:lineChart>
      <c:catAx>
        <c:axId val="218634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29392"/>
        <c:crosses val="autoZero"/>
        <c:auto val="1"/>
        <c:lblAlgn val="ctr"/>
        <c:lblOffset val="100"/>
        <c:noMultiLvlLbl val="0"/>
      </c:catAx>
      <c:valAx>
        <c:axId val="218629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3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MITYANA-KANONI-24h'!$C$9:$N$9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MITYANA-KANONI-24h'!$C$107:$N$107</c:f>
              <c:numCache>
                <c:formatCode>0.0%</c:formatCode>
                <c:ptCount val="12"/>
                <c:pt idx="0">
                  <c:v>5.7441253263707574E-2</c:v>
                </c:pt>
                <c:pt idx="1">
                  <c:v>5.2219321148825066E-3</c:v>
                </c:pt>
                <c:pt idx="2">
                  <c:v>1.4360313315926894E-2</c:v>
                </c:pt>
                <c:pt idx="3">
                  <c:v>1.0443864229765013E-2</c:v>
                </c:pt>
                <c:pt idx="4">
                  <c:v>0</c:v>
                </c:pt>
                <c:pt idx="5">
                  <c:v>0</c:v>
                </c:pt>
                <c:pt idx="6">
                  <c:v>3.5248041775456922E-2</c:v>
                </c:pt>
                <c:pt idx="7">
                  <c:v>6.5274151436031328E-3</c:v>
                </c:pt>
                <c:pt idx="8">
                  <c:v>2.6109660574412533E-3</c:v>
                </c:pt>
                <c:pt idx="9">
                  <c:v>2.6109660574412533E-3</c:v>
                </c:pt>
                <c:pt idx="10">
                  <c:v>0.86553524804177551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MITYANA-KANONI-24h'!$C$9:$N$9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MITYANA-KANONI-24h'!$C$108:$N$108</c:f>
              <c:numCache>
                <c:formatCode>0.00%</c:formatCode>
                <c:ptCount val="12"/>
                <c:pt idx="0">
                  <c:v>0.42718446601941745</c:v>
                </c:pt>
                <c:pt idx="1">
                  <c:v>3.8834951456310676E-2</c:v>
                </c:pt>
                <c:pt idx="2">
                  <c:v>0.10679611650485436</c:v>
                </c:pt>
                <c:pt idx="3">
                  <c:v>7.7669902912621352E-2</c:v>
                </c:pt>
                <c:pt idx="4">
                  <c:v>0</c:v>
                </c:pt>
                <c:pt idx="5">
                  <c:v>0</c:v>
                </c:pt>
                <c:pt idx="6">
                  <c:v>0.26213592233009708</c:v>
                </c:pt>
                <c:pt idx="7">
                  <c:v>4.8543689320388349E-2</c:v>
                </c:pt>
                <c:pt idx="8">
                  <c:v>1.9417475728155338E-2</c:v>
                </c:pt>
                <c:pt idx="9">
                  <c:v>1.9417475728155338E-2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KANONI-MITYANA-24h'!$AE$9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KANONI-MITYANA-24h'!$R$10:$R$33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KANONI-MITYANA-24h'!$AE$10:$AE$33</c:f>
              <c:numCache>
                <c:formatCode>0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8</c:v>
                </c:pt>
                <c:pt idx="6">
                  <c:v>5</c:v>
                </c:pt>
                <c:pt idx="7">
                  <c:v>13</c:v>
                </c:pt>
                <c:pt idx="8">
                  <c:v>9</c:v>
                </c:pt>
                <c:pt idx="9">
                  <c:v>11</c:v>
                </c:pt>
                <c:pt idx="10">
                  <c:v>9</c:v>
                </c:pt>
                <c:pt idx="11">
                  <c:v>12</c:v>
                </c:pt>
                <c:pt idx="12">
                  <c:v>10</c:v>
                </c:pt>
                <c:pt idx="13">
                  <c:v>7</c:v>
                </c:pt>
                <c:pt idx="14">
                  <c:v>3</c:v>
                </c:pt>
                <c:pt idx="15">
                  <c:v>3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'19.10 KANONI-MITYANA-24h'!$AF$9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KANONI-MITYANA-24h'!$R$10:$R$33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KANONI-MITYANA-24h'!$AF$10:$AF$33</c:f>
              <c:numCache>
                <c:formatCode>0</c:formatCode>
                <c:ptCount val="24"/>
                <c:pt idx="0">
                  <c:v>35</c:v>
                </c:pt>
                <c:pt idx="1">
                  <c:v>55</c:v>
                </c:pt>
                <c:pt idx="2">
                  <c:v>47</c:v>
                </c:pt>
                <c:pt idx="3">
                  <c:v>55</c:v>
                </c:pt>
                <c:pt idx="4">
                  <c:v>41</c:v>
                </c:pt>
                <c:pt idx="5">
                  <c:v>48</c:v>
                </c:pt>
                <c:pt idx="6">
                  <c:v>48</c:v>
                </c:pt>
                <c:pt idx="7">
                  <c:v>74</c:v>
                </c:pt>
                <c:pt idx="8">
                  <c:v>64</c:v>
                </c:pt>
                <c:pt idx="9">
                  <c:v>50</c:v>
                </c:pt>
                <c:pt idx="10">
                  <c:v>50</c:v>
                </c:pt>
                <c:pt idx="11">
                  <c:v>77</c:v>
                </c:pt>
                <c:pt idx="12">
                  <c:v>80</c:v>
                </c:pt>
                <c:pt idx="13">
                  <c:v>37</c:v>
                </c:pt>
                <c:pt idx="14">
                  <c:v>23</c:v>
                </c:pt>
                <c:pt idx="15">
                  <c:v>16</c:v>
                </c:pt>
                <c:pt idx="16">
                  <c:v>10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686904"/>
        <c:axId val="219690432"/>
      </c:lineChart>
      <c:catAx>
        <c:axId val="219686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90432"/>
        <c:crosses val="autoZero"/>
        <c:auto val="1"/>
        <c:lblAlgn val="ctr"/>
        <c:lblOffset val="100"/>
        <c:noMultiLvlLbl val="0"/>
      </c:catAx>
      <c:valAx>
        <c:axId val="219690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86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KANONI-MITYANA-24h'!$C$9:$N$9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KANONI-MITYANA-24h'!$C$107:$N$107</c:f>
              <c:numCache>
                <c:formatCode>0.0%</c:formatCode>
                <c:ptCount val="12"/>
                <c:pt idx="0">
                  <c:v>5.5622732769044739E-2</c:v>
                </c:pt>
                <c:pt idx="1">
                  <c:v>1.5719467956469165E-2</c:v>
                </c:pt>
                <c:pt idx="2">
                  <c:v>1.8137847642079808E-2</c:v>
                </c:pt>
                <c:pt idx="3">
                  <c:v>7.2551390568319227E-3</c:v>
                </c:pt>
                <c:pt idx="4">
                  <c:v>1.2091898428053204E-3</c:v>
                </c:pt>
                <c:pt idx="5">
                  <c:v>0</c:v>
                </c:pt>
                <c:pt idx="6">
                  <c:v>3.5066505441354291E-2</c:v>
                </c:pt>
                <c:pt idx="7">
                  <c:v>6.0459492140266021E-3</c:v>
                </c:pt>
                <c:pt idx="8">
                  <c:v>3.6275695284159614E-3</c:v>
                </c:pt>
                <c:pt idx="9">
                  <c:v>0</c:v>
                </c:pt>
                <c:pt idx="10">
                  <c:v>0.85731559854897221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KANONI-MITYANA-24h'!$C$9:$N$9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KANONI-MITYANA-24h'!$C$108:$N$108</c:f>
              <c:numCache>
                <c:formatCode>0.00%</c:formatCode>
                <c:ptCount val="12"/>
                <c:pt idx="0">
                  <c:v>0.38983050847457629</c:v>
                </c:pt>
                <c:pt idx="1">
                  <c:v>0.11016949152542373</c:v>
                </c:pt>
                <c:pt idx="2">
                  <c:v>0.1271186440677966</c:v>
                </c:pt>
                <c:pt idx="3">
                  <c:v>5.0847457627118647E-2</c:v>
                </c:pt>
                <c:pt idx="4">
                  <c:v>8.4745762711864406E-3</c:v>
                </c:pt>
                <c:pt idx="5">
                  <c:v>0</c:v>
                </c:pt>
                <c:pt idx="6">
                  <c:v>0.24576271186440679</c:v>
                </c:pt>
                <c:pt idx="7">
                  <c:v>4.2372881355932202E-2</c:v>
                </c:pt>
                <c:pt idx="8">
                  <c:v>2.5423728813559324E-2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MITYANA-KANONI-24h'!$AE$9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MITYANA-KANONI-24h'!$R$10:$R$33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MITYANA-KANONI-24h'!$AE$10:$AE$33</c:f>
              <c:numCache>
                <c:formatCode>0</c:formatCode>
                <c:ptCount val="24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14</c:v>
                </c:pt>
                <c:pt idx="6">
                  <c:v>15</c:v>
                </c:pt>
                <c:pt idx="7">
                  <c:v>7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3</c:v>
                </c:pt>
                <c:pt idx="12">
                  <c:v>5</c:v>
                </c:pt>
                <c:pt idx="13">
                  <c:v>6</c:v>
                </c:pt>
                <c:pt idx="14">
                  <c:v>3</c:v>
                </c:pt>
                <c:pt idx="15">
                  <c:v>0</c:v>
                </c:pt>
                <c:pt idx="16">
                  <c:v>2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'19.10 MITYANA-KANONI-24h'!$AF$9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MITYANA-KANONI-24h'!$R$10:$R$33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MITYANA-KANONI-24h'!$AF$10:$AF$33</c:f>
              <c:numCache>
                <c:formatCode>0</c:formatCode>
                <c:ptCount val="24"/>
                <c:pt idx="0">
                  <c:v>54</c:v>
                </c:pt>
                <c:pt idx="1">
                  <c:v>37</c:v>
                </c:pt>
                <c:pt idx="2">
                  <c:v>51</c:v>
                </c:pt>
                <c:pt idx="3">
                  <c:v>52</c:v>
                </c:pt>
                <c:pt idx="4">
                  <c:v>45</c:v>
                </c:pt>
                <c:pt idx="5">
                  <c:v>55</c:v>
                </c:pt>
                <c:pt idx="6">
                  <c:v>48</c:v>
                </c:pt>
                <c:pt idx="7">
                  <c:v>53</c:v>
                </c:pt>
                <c:pt idx="8">
                  <c:v>46</c:v>
                </c:pt>
                <c:pt idx="9">
                  <c:v>42</c:v>
                </c:pt>
                <c:pt idx="10">
                  <c:v>62</c:v>
                </c:pt>
                <c:pt idx="11">
                  <c:v>49</c:v>
                </c:pt>
                <c:pt idx="12">
                  <c:v>56</c:v>
                </c:pt>
                <c:pt idx="13">
                  <c:v>32</c:v>
                </c:pt>
                <c:pt idx="14">
                  <c:v>28</c:v>
                </c:pt>
                <c:pt idx="15">
                  <c:v>14</c:v>
                </c:pt>
                <c:pt idx="16">
                  <c:v>9</c:v>
                </c:pt>
                <c:pt idx="17">
                  <c:v>2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686120"/>
        <c:axId val="219686512"/>
      </c:lineChart>
      <c:catAx>
        <c:axId val="219686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86512"/>
        <c:crosses val="autoZero"/>
        <c:auto val="1"/>
        <c:lblAlgn val="ctr"/>
        <c:lblOffset val="100"/>
        <c:noMultiLvlLbl val="0"/>
      </c:catAx>
      <c:valAx>
        <c:axId val="219686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86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MITYANA-KANONI-24h'!$C$9:$N$9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MITYANA-KANONI-24h'!$C$107:$N$107</c:f>
              <c:numCache>
                <c:formatCode>0.0%</c:formatCode>
                <c:ptCount val="12"/>
                <c:pt idx="0">
                  <c:v>5.0666666666666665E-2</c:v>
                </c:pt>
                <c:pt idx="1">
                  <c:v>1.6E-2</c:v>
                </c:pt>
                <c:pt idx="2">
                  <c:v>2.2666666666666668E-2</c:v>
                </c:pt>
                <c:pt idx="3">
                  <c:v>1.3333333333333334E-2</c:v>
                </c:pt>
                <c:pt idx="4">
                  <c:v>0</c:v>
                </c:pt>
                <c:pt idx="5">
                  <c:v>0</c:v>
                </c:pt>
                <c:pt idx="6">
                  <c:v>3.7333333333333336E-2</c:v>
                </c:pt>
                <c:pt idx="7">
                  <c:v>1.3333333333333334E-2</c:v>
                </c:pt>
                <c:pt idx="8">
                  <c:v>1.3333333333333333E-3</c:v>
                </c:pt>
                <c:pt idx="9">
                  <c:v>0</c:v>
                </c:pt>
                <c:pt idx="10">
                  <c:v>0.84533333333333338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MITYANA-KANONI-24h'!$C$9:$N$9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MITYANA-KANONI-24h'!$C$108:$N$108</c:f>
              <c:numCache>
                <c:formatCode>0.00%</c:formatCode>
                <c:ptCount val="12"/>
                <c:pt idx="0">
                  <c:v>0.32758620689655171</c:v>
                </c:pt>
                <c:pt idx="1">
                  <c:v>0.10344827586206896</c:v>
                </c:pt>
                <c:pt idx="2">
                  <c:v>0.14655172413793102</c:v>
                </c:pt>
                <c:pt idx="3">
                  <c:v>8.6206896551724144E-2</c:v>
                </c:pt>
                <c:pt idx="4">
                  <c:v>0</c:v>
                </c:pt>
                <c:pt idx="5">
                  <c:v>0</c:v>
                </c:pt>
                <c:pt idx="6">
                  <c:v>0.2413793103448276</c:v>
                </c:pt>
                <c:pt idx="7">
                  <c:v>8.6206896551724144E-2</c:v>
                </c:pt>
                <c:pt idx="8">
                  <c:v>8.6206896551724137E-3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KANONI-MITYANA'!$AE$9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KANONI-MITYANA'!$AE$10:$AE$21</c:f>
              <c:numCache>
                <c:formatCode>0</c:formatCode>
                <c:ptCount val="12"/>
                <c:pt idx="0">
                  <c:v>2</c:v>
                </c:pt>
                <c:pt idx="1">
                  <c:v>10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11</c:v>
                </c:pt>
                <c:pt idx="9">
                  <c:v>12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'20.10 KANONI-MITYANA'!$AF$9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KANONI-MITYANA'!$AF$10:$AF$21</c:f>
              <c:numCache>
                <c:formatCode>0</c:formatCode>
                <c:ptCount val="12"/>
                <c:pt idx="0">
                  <c:v>40</c:v>
                </c:pt>
                <c:pt idx="1">
                  <c:v>47</c:v>
                </c:pt>
                <c:pt idx="2">
                  <c:v>65</c:v>
                </c:pt>
                <c:pt idx="3">
                  <c:v>87</c:v>
                </c:pt>
                <c:pt idx="4">
                  <c:v>77</c:v>
                </c:pt>
                <c:pt idx="5">
                  <c:v>71</c:v>
                </c:pt>
                <c:pt idx="6">
                  <c:v>62</c:v>
                </c:pt>
                <c:pt idx="7">
                  <c:v>55</c:v>
                </c:pt>
                <c:pt idx="8">
                  <c:v>87</c:v>
                </c:pt>
                <c:pt idx="9">
                  <c:v>67</c:v>
                </c:pt>
                <c:pt idx="10">
                  <c:v>49</c:v>
                </c:pt>
                <c:pt idx="11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19864"/>
        <c:axId val="210623392"/>
      </c:lineChart>
      <c:catAx>
        <c:axId val="210619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23392"/>
        <c:crosses val="autoZero"/>
        <c:auto val="1"/>
        <c:lblAlgn val="ctr"/>
        <c:lblOffset val="100"/>
        <c:noMultiLvlLbl val="0"/>
      </c:catAx>
      <c:valAx>
        <c:axId val="210623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19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KANONI-MITYANA'!$C$59:$N$59</c:f>
              <c:numCache>
                <c:formatCode>0.0%</c:formatCode>
                <c:ptCount val="12"/>
                <c:pt idx="0">
                  <c:v>4.8717948717948718E-2</c:v>
                </c:pt>
                <c:pt idx="1">
                  <c:v>6.41025641025641E-3</c:v>
                </c:pt>
                <c:pt idx="2">
                  <c:v>1.282051282051282E-2</c:v>
                </c:pt>
                <c:pt idx="3">
                  <c:v>1.4102564102564103E-2</c:v>
                </c:pt>
                <c:pt idx="4">
                  <c:v>3.8461538461538464E-3</c:v>
                </c:pt>
                <c:pt idx="5">
                  <c:v>0</c:v>
                </c:pt>
                <c:pt idx="6">
                  <c:v>2.6923076923076925E-2</c:v>
                </c:pt>
                <c:pt idx="7">
                  <c:v>1.4102564102564103E-2</c:v>
                </c:pt>
                <c:pt idx="8">
                  <c:v>0</c:v>
                </c:pt>
                <c:pt idx="9">
                  <c:v>0</c:v>
                </c:pt>
                <c:pt idx="10">
                  <c:v>0.87307692307692308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KANONI-MITYANA'!$S$9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KANONI-MITYANA'!$S$10:$S$21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7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'20.10 KANONI-MITYANA'!$T$9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KANONI-MITYANA'!$T$10:$T$21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'20.10 KANONI-MITYANA'!$U$9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'20.10 KANONI-MITYANA'!$V$9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'20.10 KANONI-MITYANA'!$W$9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'20.10 KANONI-MITYANA'!$X$9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'20.10 KANONI-MITYANA'!$Y$9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'20.10 KANONI-MITYANA'!$Z$9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'20.10 KANONI-MITYANA'!$AA$9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'20.10 KANONI-MITYANA'!$AB$9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'20.10 KANONI-MITYANA'!$AC$9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KANONI-MITYANA'!$AC$10:$AC$21</c:f>
              <c:numCache>
                <c:formatCode>0</c:formatCode>
                <c:ptCount val="12"/>
                <c:pt idx="0">
                  <c:v>38</c:v>
                </c:pt>
                <c:pt idx="1">
                  <c:v>37</c:v>
                </c:pt>
                <c:pt idx="2">
                  <c:v>59</c:v>
                </c:pt>
                <c:pt idx="3">
                  <c:v>79</c:v>
                </c:pt>
                <c:pt idx="4">
                  <c:v>67</c:v>
                </c:pt>
                <c:pt idx="5">
                  <c:v>64</c:v>
                </c:pt>
                <c:pt idx="6">
                  <c:v>57</c:v>
                </c:pt>
                <c:pt idx="7">
                  <c:v>46</c:v>
                </c:pt>
                <c:pt idx="8">
                  <c:v>76</c:v>
                </c:pt>
                <c:pt idx="9">
                  <c:v>55</c:v>
                </c:pt>
                <c:pt idx="10">
                  <c:v>40</c:v>
                </c:pt>
                <c:pt idx="11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'20.10 KANONI-MITYANA'!$AD$9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KANONI-MITYANA'!$AD$10:$AD$21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16336"/>
        <c:axId val="211554208"/>
      </c:lineChart>
      <c:catAx>
        <c:axId val="21061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4208"/>
        <c:crosses val="autoZero"/>
        <c:auto val="1"/>
        <c:lblAlgn val="ctr"/>
        <c:lblOffset val="100"/>
        <c:noMultiLvlLbl val="0"/>
      </c:catAx>
      <c:valAx>
        <c:axId val="21155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1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KANONI-MITYANA'!$C$60:$N$60</c:f>
              <c:numCache>
                <c:formatCode>0.00%</c:formatCode>
                <c:ptCount val="12"/>
                <c:pt idx="0">
                  <c:v>0.38383838383838381</c:v>
                </c:pt>
                <c:pt idx="1">
                  <c:v>5.0505050505050504E-2</c:v>
                </c:pt>
                <c:pt idx="2">
                  <c:v>0.10101010101010101</c:v>
                </c:pt>
                <c:pt idx="3">
                  <c:v>0.1111111111111111</c:v>
                </c:pt>
                <c:pt idx="4">
                  <c:v>3.0303030303030304E-2</c:v>
                </c:pt>
                <c:pt idx="5">
                  <c:v>0</c:v>
                </c:pt>
                <c:pt idx="6">
                  <c:v>0.21212121212121213</c:v>
                </c:pt>
                <c:pt idx="7">
                  <c:v>0.1111111111111111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MITYANA-KANONI'!$AE$9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MITYANA-KANONI'!$AE$10:$AE$21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13</c:v>
                </c:pt>
                <c:pt idx="3">
                  <c:v>9</c:v>
                </c:pt>
                <c:pt idx="4">
                  <c:v>6</c:v>
                </c:pt>
                <c:pt idx="5">
                  <c:v>6</c:v>
                </c:pt>
                <c:pt idx="6">
                  <c:v>11</c:v>
                </c:pt>
                <c:pt idx="7">
                  <c:v>12</c:v>
                </c:pt>
                <c:pt idx="8">
                  <c:v>6</c:v>
                </c:pt>
                <c:pt idx="9">
                  <c:v>10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'20.10 MITYANA-KANONI'!$AF$9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MITYANA-KANONI'!$AF$10:$AF$21</c:f>
              <c:numCache>
                <c:formatCode>0</c:formatCode>
                <c:ptCount val="12"/>
                <c:pt idx="0">
                  <c:v>36</c:v>
                </c:pt>
                <c:pt idx="1">
                  <c:v>46</c:v>
                </c:pt>
                <c:pt idx="2">
                  <c:v>62</c:v>
                </c:pt>
                <c:pt idx="3">
                  <c:v>78</c:v>
                </c:pt>
                <c:pt idx="4">
                  <c:v>67</c:v>
                </c:pt>
                <c:pt idx="5">
                  <c:v>72</c:v>
                </c:pt>
                <c:pt idx="6">
                  <c:v>40</c:v>
                </c:pt>
                <c:pt idx="7">
                  <c:v>43</c:v>
                </c:pt>
                <c:pt idx="8">
                  <c:v>48</c:v>
                </c:pt>
                <c:pt idx="9">
                  <c:v>66</c:v>
                </c:pt>
                <c:pt idx="10">
                  <c:v>72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553816"/>
        <c:axId val="211558520"/>
      </c:lineChart>
      <c:catAx>
        <c:axId val="211553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8520"/>
        <c:crosses val="autoZero"/>
        <c:auto val="1"/>
        <c:lblAlgn val="ctr"/>
        <c:lblOffset val="100"/>
        <c:noMultiLvlLbl val="0"/>
      </c:catAx>
      <c:valAx>
        <c:axId val="2115585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3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MITYANA-KANONI'!$C$59:$N$59</c:f>
              <c:numCache>
                <c:formatCode>0.0%</c:formatCode>
                <c:ptCount val="12"/>
                <c:pt idx="0">
                  <c:v>5.106382978723404E-2</c:v>
                </c:pt>
                <c:pt idx="1">
                  <c:v>1.1347517730496455E-2</c:v>
                </c:pt>
                <c:pt idx="2">
                  <c:v>1.276595744680851E-2</c:v>
                </c:pt>
                <c:pt idx="3">
                  <c:v>1.4184397163120567E-2</c:v>
                </c:pt>
                <c:pt idx="4">
                  <c:v>1.4184397163120568E-3</c:v>
                </c:pt>
                <c:pt idx="5">
                  <c:v>1.4184397163120568E-3</c:v>
                </c:pt>
                <c:pt idx="6">
                  <c:v>2.8368794326241134E-2</c:v>
                </c:pt>
                <c:pt idx="7">
                  <c:v>1.8439716312056736E-2</c:v>
                </c:pt>
                <c:pt idx="8">
                  <c:v>4.2553191489361703E-3</c:v>
                </c:pt>
                <c:pt idx="9">
                  <c:v>4.2553191489361703E-3</c:v>
                </c:pt>
                <c:pt idx="10">
                  <c:v>0.85248226950354611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MITYANA-KANONI'!$S$9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MITYANA-KANONI'!$S$10:$S$21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8</c:v>
                </c:pt>
                <c:pt idx="7">
                  <c:v>4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'20.10 MITYANA-KANONI'!$T$9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MITYANA-KANONI'!$T$10:$T$21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'20.10 MITYANA-KANONI'!$U$9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'20.10 MITYANA-KANONI'!$V$9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'20.10 MITYANA-KANONI'!$W$9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'20.10 MITYANA-KANONI'!$X$9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'20.10 MITYANA-KANONI'!$Y$9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'20.10 MITYANA-KANONI'!$Z$9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'20.10 MITYANA-KANONI'!$AA$9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'20.10 MITYANA-KANONI'!$AB$9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'20.10 MITYANA-KANONI'!$AC$9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MITYANA-KANONI'!$AC$10:$AC$21</c:f>
              <c:numCache>
                <c:formatCode>0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49</c:v>
                </c:pt>
                <c:pt idx="3">
                  <c:v>69</c:v>
                </c:pt>
                <c:pt idx="4">
                  <c:v>61</c:v>
                </c:pt>
                <c:pt idx="5">
                  <c:v>66</c:v>
                </c:pt>
                <c:pt idx="6">
                  <c:v>29</c:v>
                </c:pt>
                <c:pt idx="7">
                  <c:v>31</c:v>
                </c:pt>
                <c:pt idx="8">
                  <c:v>42</c:v>
                </c:pt>
                <c:pt idx="9">
                  <c:v>56</c:v>
                </c:pt>
                <c:pt idx="10">
                  <c:v>61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'20.10 MITYANA-KANONI'!$AD$9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MITYANA-KANONI'!$AD$10:$AD$21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559304"/>
        <c:axId val="211553424"/>
      </c:lineChart>
      <c:catAx>
        <c:axId val="211559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3424"/>
        <c:crosses val="autoZero"/>
        <c:auto val="1"/>
        <c:lblAlgn val="ctr"/>
        <c:lblOffset val="100"/>
        <c:noMultiLvlLbl val="0"/>
      </c:catAx>
      <c:valAx>
        <c:axId val="2115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9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MITYANA-KANONI'!$C$60:$N$60</c:f>
              <c:numCache>
                <c:formatCode>0.00%</c:formatCode>
                <c:ptCount val="12"/>
                <c:pt idx="0">
                  <c:v>0.34615384615384615</c:v>
                </c:pt>
                <c:pt idx="1">
                  <c:v>7.6923076923076927E-2</c:v>
                </c:pt>
                <c:pt idx="2">
                  <c:v>8.6538461538461536E-2</c:v>
                </c:pt>
                <c:pt idx="3">
                  <c:v>9.6153846153846159E-2</c:v>
                </c:pt>
                <c:pt idx="4">
                  <c:v>9.6153846153846159E-3</c:v>
                </c:pt>
                <c:pt idx="5">
                  <c:v>9.6153846153846159E-3</c:v>
                </c:pt>
                <c:pt idx="6">
                  <c:v>0.19230769230769232</c:v>
                </c:pt>
                <c:pt idx="7">
                  <c:v>0.125</c:v>
                </c:pt>
                <c:pt idx="8">
                  <c:v>2.8846153846153848E-2</c:v>
                </c:pt>
                <c:pt idx="9">
                  <c:v>2.8846153846153848E-2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KANONI-MITYANA'!$AE$9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KANONI-MITYANA'!$AE$10:$AE$21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13</c:v>
                </c:pt>
                <c:pt idx="3">
                  <c:v>2</c:v>
                </c:pt>
                <c:pt idx="4">
                  <c:v>6</c:v>
                </c:pt>
                <c:pt idx="5">
                  <c:v>8</c:v>
                </c:pt>
                <c:pt idx="6">
                  <c:v>5</c:v>
                </c:pt>
                <c:pt idx="7">
                  <c:v>2</c:v>
                </c:pt>
                <c:pt idx="8">
                  <c:v>3</c:v>
                </c:pt>
                <c:pt idx="9">
                  <c:v>7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'21.10 KANONI-MITYANA'!$AF$9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KANONI-MITYANA'!$AF$10:$AF$21</c:f>
              <c:numCache>
                <c:formatCode>0</c:formatCode>
                <c:ptCount val="12"/>
                <c:pt idx="0">
                  <c:v>47</c:v>
                </c:pt>
                <c:pt idx="1">
                  <c:v>44</c:v>
                </c:pt>
                <c:pt idx="2">
                  <c:v>59</c:v>
                </c:pt>
                <c:pt idx="3">
                  <c:v>54</c:v>
                </c:pt>
                <c:pt idx="4">
                  <c:v>50</c:v>
                </c:pt>
                <c:pt idx="5">
                  <c:v>57</c:v>
                </c:pt>
                <c:pt idx="6">
                  <c:v>61</c:v>
                </c:pt>
                <c:pt idx="7">
                  <c:v>67</c:v>
                </c:pt>
                <c:pt idx="8">
                  <c:v>58</c:v>
                </c:pt>
                <c:pt idx="9">
                  <c:v>84</c:v>
                </c:pt>
                <c:pt idx="10">
                  <c:v>106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560480"/>
        <c:axId val="211557344"/>
      </c:lineChart>
      <c:catAx>
        <c:axId val="211560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7344"/>
        <c:crosses val="autoZero"/>
        <c:auto val="1"/>
        <c:lblAlgn val="ctr"/>
        <c:lblOffset val="100"/>
        <c:noMultiLvlLbl val="0"/>
      </c:catAx>
      <c:valAx>
        <c:axId val="211557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6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KANONI-MITYANA'!$C$59:$N$59</c:f>
              <c:numCache>
                <c:formatCode>0.0%</c:formatCode>
                <c:ptCount val="12"/>
                <c:pt idx="0">
                  <c:v>3.1328320802005011E-2</c:v>
                </c:pt>
                <c:pt idx="1">
                  <c:v>5.0125313283208017E-3</c:v>
                </c:pt>
                <c:pt idx="2">
                  <c:v>1.3784461152882205E-2</c:v>
                </c:pt>
                <c:pt idx="3">
                  <c:v>1.2531328320802004E-2</c:v>
                </c:pt>
                <c:pt idx="4">
                  <c:v>0</c:v>
                </c:pt>
                <c:pt idx="5">
                  <c:v>0</c:v>
                </c:pt>
                <c:pt idx="6">
                  <c:v>3.5087719298245612E-2</c:v>
                </c:pt>
                <c:pt idx="7">
                  <c:v>2.5062656641604009E-3</c:v>
                </c:pt>
                <c:pt idx="8">
                  <c:v>0</c:v>
                </c:pt>
                <c:pt idx="9">
                  <c:v>0</c:v>
                </c:pt>
                <c:pt idx="10">
                  <c:v>0.89974937343358397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KANONI-MITYANA'!$S$9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KANONI-MITYANA'!$S$10:$S$21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1</c:v>
                </c:pt>
                <c:pt idx="4">
                  <c:v>0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'21.10 KANONI-MITYANA'!$T$9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KANONI-MITYANA'!$T$10:$T$21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'21.10 KANONI-MITYANA'!$U$9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'21.10 KANONI-MITYANA'!$V$9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'21.10 KANONI-MITYANA'!$W$9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'21.10 KANONI-MITYANA'!$X$9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'21.10 KANONI-MITYANA'!$Y$9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'21.10 KANONI-MITYANA'!$Z$9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'21.10 KANONI-MITYANA'!$AA$9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'21.10 KANONI-MITYANA'!$AB$9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'21.10 KANONI-MITYANA'!$AC$9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KANONI-MITYANA'!$AC$10:$AC$21</c:f>
              <c:numCache>
                <c:formatCode>0</c:formatCode>
                <c:ptCount val="12"/>
                <c:pt idx="0">
                  <c:v>44</c:v>
                </c:pt>
                <c:pt idx="1">
                  <c:v>40</c:v>
                </c:pt>
                <c:pt idx="2">
                  <c:v>46</c:v>
                </c:pt>
                <c:pt idx="3">
                  <c:v>52</c:v>
                </c:pt>
                <c:pt idx="4">
                  <c:v>44</c:v>
                </c:pt>
                <c:pt idx="5">
                  <c:v>49</c:v>
                </c:pt>
                <c:pt idx="6">
                  <c:v>56</c:v>
                </c:pt>
                <c:pt idx="7">
                  <c:v>65</c:v>
                </c:pt>
                <c:pt idx="8">
                  <c:v>55</c:v>
                </c:pt>
                <c:pt idx="9">
                  <c:v>77</c:v>
                </c:pt>
                <c:pt idx="10">
                  <c:v>92</c:v>
                </c:pt>
                <c:pt idx="11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'21.10 KANONI-MITYANA'!$AD$9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KANONI-MITYANA'!$AD$10:$AD$21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554992"/>
        <c:axId val="211555384"/>
      </c:lineChart>
      <c:catAx>
        <c:axId val="2115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5384"/>
        <c:crosses val="autoZero"/>
        <c:auto val="1"/>
        <c:lblAlgn val="ctr"/>
        <c:lblOffset val="100"/>
        <c:noMultiLvlLbl val="0"/>
      </c:catAx>
      <c:valAx>
        <c:axId val="211555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55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KANONI-MITYANA'!$C$60:$N$60</c:f>
              <c:numCache>
                <c:formatCode>0.00%</c:formatCode>
                <c:ptCount val="12"/>
                <c:pt idx="0">
                  <c:v>0.3125</c:v>
                </c:pt>
                <c:pt idx="1">
                  <c:v>0.05</c:v>
                </c:pt>
                <c:pt idx="2">
                  <c:v>0.13750000000000001</c:v>
                </c:pt>
                <c:pt idx="3">
                  <c:v>0.125</c:v>
                </c:pt>
                <c:pt idx="4">
                  <c:v>0</c:v>
                </c:pt>
                <c:pt idx="5">
                  <c:v>0</c:v>
                </c:pt>
                <c:pt idx="6">
                  <c:v>0.35</c:v>
                </c:pt>
                <c:pt idx="7">
                  <c:v>2.5000000000000001E-2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MITYANA-KANONI'!$AE$9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MITYANA-KANONI'!$AE$10:$AE$21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  <c:pt idx="4">
                  <c:v>10</c:v>
                </c:pt>
                <c:pt idx="5">
                  <c:v>11</c:v>
                </c:pt>
                <c:pt idx="6">
                  <c:v>4</c:v>
                </c:pt>
                <c:pt idx="7">
                  <c:v>10</c:v>
                </c:pt>
                <c:pt idx="8">
                  <c:v>7</c:v>
                </c:pt>
                <c:pt idx="9">
                  <c:v>13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'21.10 MITYANA-KANONI'!$AF$9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MITYANA-KANONI'!$AF$10:$AF$21</c:f>
              <c:numCache>
                <c:formatCode>0</c:formatCode>
                <c:ptCount val="12"/>
                <c:pt idx="0">
                  <c:v>43</c:v>
                </c:pt>
                <c:pt idx="1">
                  <c:v>55</c:v>
                </c:pt>
                <c:pt idx="2">
                  <c:v>58</c:v>
                </c:pt>
                <c:pt idx="3">
                  <c:v>57</c:v>
                </c:pt>
                <c:pt idx="4">
                  <c:v>51</c:v>
                </c:pt>
                <c:pt idx="5">
                  <c:v>59</c:v>
                </c:pt>
                <c:pt idx="6">
                  <c:v>62</c:v>
                </c:pt>
                <c:pt idx="7">
                  <c:v>74</c:v>
                </c:pt>
                <c:pt idx="8">
                  <c:v>61</c:v>
                </c:pt>
                <c:pt idx="9">
                  <c:v>75</c:v>
                </c:pt>
                <c:pt idx="10">
                  <c:v>67</c:v>
                </c:pt>
                <c:pt idx="11">
                  <c:v>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619080"/>
        <c:axId val="210620256"/>
      </c:lineChart>
      <c:catAx>
        <c:axId val="210619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20256"/>
        <c:crosses val="autoZero"/>
        <c:auto val="1"/>
        <c:lblAlgn val="ctr"/>
        <c:lblOffset val="100"/>
        <c:noMultiLvlLbl val="0"/>
      </c:catAx>
      <c:valAx>
        <c:axId val="210620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619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MITYANA-KANONI'!$C$59:$N$59</c:f>
              <c:numCache>
                <c:formatCode>0.0%</c:formatCode>
                <c:ptCount val="12"/>
                <c:pt idx="0">
                  <c:v>4.1333333333333333E-2</c:v>
                </c:pt>
                <c:pt idx="1">
                  <c:v>9.3333333333333341E-3</c:v>
                </c:pt>
                <c:pt idx="2">
                  <c:v>9.3333333333333341E-3</c:v>
                </c:pt>
                <c:pt idx="3">
                  <c:v>6.6666666666666671E-3</c:v>
                </c:pt>
                <c:pt idx="4">
                  <c:v>0</c:v>
                </c:pt>
                <c:pt idx="5">
                  <c:v>0</c:v>
                </c:pt>
                <c:pt idx="6">
                  <c:v>4.1333333333333333E-2</c:v>
                </c:pt>
                <c:pt idx="7">
                  <c:v>9.3333333333333341E-3</c:v>
                </c:pt>
                <c:pt idx="8">
                  <c:v>1.3333333333333333E-3</c:v>
                </c:pt>
                <c:pt idx="9">
                  <c:v>0</c:v>
                </c:pt>
                <c:pt idx="10">
                  <c:v>0.8813333333333333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MITYANA-KANONI'!$C$60:$N$60</c:f>
              <c:numCache>
                <c:formatCode>0.00%</c:formatCode>
                <c:ptCount val="12"/>
                <c:pt idx="0">
                  <c:v>0.34831460674157305</c:v>
                </c:pt>
                <c:pt idx="1">
                  <c:v>7.8651685393258425E-2</c:v>
                </c:pt>
                <c:pt idx="2">
                  <c:v>7.8651685393258425E-2</c:v>
                </c:pt>
                <c:pt idx="3">
                  <c:v>5.6179775280898875E-2</c:v>
                </c:pt>
                <c:pt idx="4">
                  <c:v>0</c:v>
                </c:pt>
                <c:pt idx="5">
                  <c:v>0</c:v>
                </c:pt>
                <c:pt idx="6">
                  <c:v>0.34831460674157305</c:v>
                </c:pt>
                <c:pt idx="7">
                  <c:v>7.8651685393258425E-2</c:v>
                </c:pt>
                <c:pt idx="8">
                  <c:v>1.1235955056179775E-2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KANONI-MITYANA'!$AE$9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KANONI-MITYANA'!$AE$10:$AE$21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10</c:v>
                </c:pt>
                <c:pt idx="8">
                  <c:v>9</c:v>
                </c:pt>
                <c:pt idx="9">
                  <c:v>7</c:v>
                </c:pt>
                <c:pt idx="10">
                  <c:v>22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'22.10 KANONI-MITYANA'!$AF$9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KANONI-MITYANA'!$AF$10:$AF$21</c:f>
              <c:numCache>
                <c:formatCode>0</c:formatCode>
                <c:ptCount val="12"/>
                <c:pt idx="0">
                  <c:v>38</c:v>
                </c:pt>
                <c:pt idx="1">
                  <c:v>48</c:v>
                </c:pt>
                <c:pt idx="2">
                  <c:v>40</c:v>
                </c:pt>
                <c:pt idx="3">
                  <c:v>49</c:v>
                </c:pt>
                <c:pt idx="4">
                  <c:v>50</c:v>
                </c:pt>
                <c:pt idx="5">
                  <c:v>46</c:v>
                </c:pt>
                <c:pt idx="6">
                  <c:v>52</c:v>
                </c:pt>
                <c:pt idx="7">
                  <c:v>61</c:v>
                </c:pt>
                <c:pt idx="8">
                  <c:v>76</c:v>
                </c:pt>
                <c:pt idx="9">
                  <c:v>64</c:v>
                </c:pt>
                <c:pt idx="10">
                  <c:v>90</c:v>
                </c:pt>
                <c:pt idx="11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28760"/>
        <c:axId val="212233464"/>
      </c:lineChart>
      <c:catAx>
        <c:axId val="212228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33464"/>
        <c:crosses val="autoZero"/>
        <c:auto val="1"/>
        <c:lblAlgn val="ctr"/>
        <c:lblOffset val="100"/>
        <c:noMultiLvlLbl val="0"/>
      </c:catAx>
      <c:valAx>
        <c:axId val="212233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28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KANONI-MITYANA'!$C$59:$N$59</c:f>
              <c:numCache>
                <c:formatCode>0.0%</c:formatCode>
                <c:ptCount val="12"/>
                <c:pt idx="0">
                  <c:v>4.4817927170868348E-2</c:v>
                </c:pt>
                <c:pt idx="1">
                  <c:v>7.0028011204481795E-3</c:v>
                </c:pt>
                <c:pt idx="2">
                  <c:v>1.8207282913165267E-2</c:v>
                </c:pt>
                <c:pt idx="3">
                  <c:v>3.081232492997199E-2</c:v>
                </c:pt>
                <c:pt idx="4">
                  <c:v>1.4005602240896359E-3</c:v>
                </c:pt>
                <c:pt idx="5">
                  <c:v>0</c:v>
                </c:pt>
                <c:pt idx="6">
                  <c:v>4.0616246498599441E-2</c:v>
                </c:pt>
                <c:pt idx="7">
                  <c:v>8.4033613445378148E-3</c:v>
                </c:pt>
                <c:pt idx="8">
                  <c:v>0</c:v>
                </c:pt>
                <c:pt idx="9">
                  <c:v>0</c:v>
                </c:pt>
                <c:pt idx="10">
                  <c:v>0.84873949579831931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KANONI-MITYANA'!$S$9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KANONI-MITYANA'!$S$10:$S$21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3</c:v>
                </c:pt>
                <c:pt idx="10">
                  <c:v>9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'22.10 KANONI-MITYANA'!$T$9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KANONI-MITYANA'!$T$10:$T$21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'22.10 KANONI-MITYANA'!$U$9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'22.10 KANONI-MITYANA'!$V$9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'22.10 KANONI-MITYANA'!$W$9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'22.10 KANONI-MITYANA'!$X$9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'22.10 KANONI-MITYANA'!$Y$9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'22.10 KANONI-MITYANA'!$Z$9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'22.10 KANONI-MITYANA'!$AA$9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'22.10 KANONI-MITYANA'!$AB$9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'22.10 KANONI-MITYANA'!$AC$9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KANONI-MITYANA'!$AC$10:$AC$21</c:f>
              <c:numCache>
                <c:formatCode>0</c:formatCode>
                <c:ptCount val="12"/>
                <c:pt idx="0">
                  <c:v>34</c:v>
                </c:pt>
                <c:pt idx="1">
                  <c:v>42</c:v>
                </c:pt>
                <c:pt idx="2">
                  <c:v>35</c:v>
                </c:pt>
                <c:pt idx="3">
                  <c:v>40</c:v>
                </c:pt>
                <c:pt idx="4">
                  <c:v>47</c:v>
                </c:pt>
                <c:pt idx="5">
                  <c:v>42</c:v>
                </c:pt>
                <c:pt idx="6">
                  <c:v>49</c:v>
                </c:pt>
                <c:pt idx="7">
                  <c:v>51</c:v>
                </c:pt>
                <c:pt idx="8">
                  <c:v>67</c:v>
                </c:pt>
                <c:pt idx="9">
                  <c:v>57</c:v>
                </c:pt>
                <c:pt idx="10">
                  <c:v>68</c:v>
                </c:pt>
                <c:pt idx="11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'22.10 KANONI-MITYANA'!$AD$9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KANONI-MITYANA'!$AD$10:$AD$21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27584"/>
        <c:axId val="212230328"/>
      </c:lineChart>
      <c:catAx>
        <c:axId val="212227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30328"/>
        <c:crosses val="autoZero"/>
        <c:auto val="1"/>
        <c:lblAlgn val="ctr"/>
        <c:lblOffset val="100"/>
        <c:noMultiLvlLbl val="0"/>
      </c:catAx>
      <c:valAx>
        <c:axId val="212230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2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KANONI-MITYANA'!$C$60:$N$60</c:f>
              <c:numCache>
                <c:formatCode>0.00%</c:formatCode>
                <c:ptCount val="12"/>
                <c:pt idx="0">
                  <c:v>0.29629629629629628</c:v>
                </c:pt>
                <c:pt idx="1">
                  <c:v>4.6296296296296294E-2</c:v>
                </c:pt>
                <c:pt idx="2">
                  <c:v>0.12037037037037036</c:v>
                </c:pt>
                <c:pt idx="3">
                  <c:v>0.20370370370370369</c:v>
                </c:pt>
                <c:pt idx="4">
                  <c:v>9.2592592592592587E-3</c:v>
                </c:pt>
                <c:pt idx="5">
                  <c:v>0</c:v>
                </c:pt>
                <c:pt idx="6">
                  <c:v>0.26851851851851855</c:v>
                </c:pt>
                <c:pt idx="7">
                  <c:v>5.5555555555555552E-2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MITYANA-KANONI'!$AE$9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MITYANA-KANONI'!$AE$10:$AE$21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9</c:v>
                </c:pt>
                <c:pt idx="3">
                  <c:v>9</c:v>
                </c:pt>
                <c:pt idx="4">
                  <c:v>12</c:v>
                </c:pt>
                <c:pt idx="5">
                  <c:v>19</c:v>
                </c:pt>
                <c:pt idx="6">
                  <c:v>17</c:v>
                </c:pt>
                <c:pt idx="7">
                  <c:v>3</c:v>
                </c:pt>
                <c:pt idx="8">
                  <c:v>3</c:v>
                </c:pt>
                <c:pt idx="9">
                  <c:v>12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'22.10 MITYANA-KANONI'!$AF$9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MITYANA-KANONI'!$AF$10:$AF$21</c:f>
              <c:numCache>
                <c:formatCode>0</c:formatCode>
                <c:ptCount val="12"/>
                <c:pt idx="0">
                  <c:v>36</c:v>
                </c:pt>
                <c:pt idx="1">
                  <c:v>59</c:v>
                </c:pt>
                <c:pt idx="2">
                  <c:v>45</c:v>
                </c:pt>
                <c:pt idx="3">
                  <c:v>60</c:v>
                </c:pt>
                <c:pt idx="4">
                  <c:v>56</c:v>
                </c:pt>
                <c:pt idx="5">
                  <c:v>73</c:v>
                </c:pt>
                <c:pt idx="6">
                  <c:v>63</c:v>
                </c:pt>
                <c:pt idx="7">
                  <c:v>48</c:v>
                </c:pt>
                <c:pt idx="8">
                  <c:v>59</c:v>
                </c:pt>
                <c:pt idx="9">
                  <c:v>69</c:v>
                </c:pt>
                <c:pt idx="10">
                  <c:v>54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29544"/>
        <c:axId val="212232680"/>
      </c:lineChart>
      <c:catAx>
        <c:axId val="212229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32680"/>
        <c:crosses val="autoZero"/>
        <c:auto val="1"/>
        <c:lblAlgn val="ctr"/>
        <c:lblOffset val="100"/>
        <c:noMultiLvlLbl val="0"/>
      </c:catAx>
      <c:valAx>
        <c:axId val="2122326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2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MITYANA-KANONI'!$C$59:$N$59</c:f>
              <c:numCache>
                <c:formatCode>0.0%</c:formatCode>
                <c:ptCount val="12"/>
                <c:pt idx="0">
                  <c:v>5.8309037900874633E-2</c:v>
                </c:pt>
                <c:pt idx="1">
                  <c:v>4.3731778425655978E-3</c:v>
                </c:pt>
                <c:pt idx="2">
                  <c:v>1.1661807580174927E-2</c:v>
                </c:pt>
                <c:pt idx="3">
                  <c:v>2.6239067055393587E-2</c:v>
                </c:pt>
                <c:pt idx="4">
                  <c:v>1.4577259475218659E-3</c:v>
                </c:pt>
                <c:pt idx="5">
                  <c:v>0</c:v>
                </c:pt>
                <c:pt idx="6">
                  <c:v>4.5189504373177841E-2</c:v>
                </c:pt>
                <c:pt idx="7">
                  <c:v>5.8309037900874635E-3</c:v>
                </c:pt>
                <c:pt idx="8">
                  <c:v>4.3731778425655978E-3</c:v>
                </c:pt>
                <c:pt idx="9">
                  <c:v>0</c:v>
                </c:pt>
                <c:pt idx="10">
                  <c:v>0.8425655976676385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MITYANA-KANONI'!$S$9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MITYANA-KANONI'!$S$10:$S$21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5</c:v>
                </c:pt>
                <c:pt idx="5">
                  <c:v>11</c:v>
                </c:pt>
                <c:pt idx="6">
                  <c:v>6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'22.10 MITYANA-KANONI'!$T$9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MITYANA-KANONI'!$T$10:$T$21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'22.10 MITYANA-KANONI'!$U$9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'22.10 MITYANA-KANONI'!$V$9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'22.10 MITYANA-KANONI'!$W$9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'22.10 MITYANA-KANONI'!$X$9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'22.10 MITYANA-KANONI'!$Y$9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  <c:pt idx="9">
                  <c:v>7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'22.10 MITYANA-KANONI'!$Z$9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'22.10 MITYANA-KANONI'!$AA$9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'22.10 MITYANA-KANONI'!$AB$9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'22.10 MITYANA-KANONI'!$AC$9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MITYANA-KANONI'!$AC$10:$AC$21</c:f>
              <c:numCache>
                <c:formatCode>0</c:formatCode>
                <c:ptCount val="12"/>
                <c:pt idx="0">
                  <c:v>30</c:v>
                </c:pt>
                <c:pt idx="1">
                  <c:v>52</c:v>
                </c:pt>
                <c:pt idx="2">
                  <c:v>36</c:v>
                </c:pt>
                <c:pt idx="3">
                  <c:v>51</c:v>
                </c:pt>
                <c:pt idx="4">
                  <c:v>44</c:v>
                </c:pt>
                <c:pt idx="5">
                  <c:v>54</c:v>
                </c:pt>
                <c:pt idx="6">
                  <c:v>46</c:v>
                </c:pt>
                <c:pt idx="7">
                  <c:v>45</c:v>
                </c:pt>
                <c:pt idx="8">
                  <c:v>56</c:v>
                </c:pt>
                <c:pt idx="9">
                  <c:v>57</c:v>
                </c:pt>
                <c:pt idx="10">
                  <c:v>48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'22.10 MITYANA-KANONI'!$AD$9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MITYANA-KANONI'!$AD$10:$AD$21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30720"/>
        <c:axId val="212231504"/>
      </c:lineChart>
      <c:catAx>
        <c:axId val="21223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31504"/>
        <c:crosses val="autoZero"/>
        <c:auto val="1"/>
        <c:lblAlgn val="ctr"/>
        <c:lblOffset val="100"/>
        <c:noMultiLvlLbl val="0"/>
      </c:catAx>
      <c:valAx>
        <c:axId val="212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223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MITYANA-KANONI'!$C$60:$N$60</c:f>
              <c:numCache>
                <c:formatCode>0.00%</c:formatCode>
                <c:ptCount val="12"/>
                <c:pt idx="0">
                  <c:v>0.37037037037037035</c:v>
                </c:pt>
                <c:pt idx="1">
                  <c:v>2.7777777777777776E-2</c:v>
                </c:pt>
                <c:pt idx="2">
                  <c:v>7.407407407407407E-2</c:v>
                </c:pt>
                <c:pt idx="3">
                  <c:v>0.16666666666666666</c:v>
                </c:pt>
                <c:pt idx="4">
                  <c:v>9.2592592592592587E-3</c:v>
                </c:pt>
                <c:pt idx="5">
                  <c:v>0</c:v>
                </c:pt>
                <c:pt idx="6">
                  <c:v>0.28703703703703703</c:v>
                </c:pt>
                <c:pt idx="7">
                  <c:v>3.7037037037037035E-2</c:v>
                </c:pt>
                <c:pt idx="8">
                  <c:v>2.7777777777777776E-2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KANONI-MITYANA'!$AE$9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KANONI-MITYANA'!$AE$10:$AE$21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1</c:v>
                </c:pt>
                <c:pt idx="4">
                  <c:v>6</c:v>
                </c:pt>
                <c:pt idx="5">
                  <c:v>3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6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'23.10 KANONI-MITYANA'!$AF$9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KANONI-MITYANA'!$AF$10:$AF$21</c:f>
              <c:numCache>
                <c:formatCode>0</c:formatCode>
                <c:ptCount val="12"/>
                <c:pt idx="0">
                  <c:v>43</c:v>
                </c:pt>
                <c:pt idx="1">
                  <c:v>58</c:v>
                </c:pt>
                <c:pt idx="2">
                  <c:v>54</c:v>
                </c:pt>
                <c:pt idx="3">
                  <c:v>48</c:v>
                </c:pt>
                <c:pt idx="4">
                  <c:v>51</c:v>
                </c:pt>
                <c:pt idx="5">
                  <c:v>64</c:v>
                </c:pt>
                <c:pt idx="6">
                  <c:v>63</c:v>
                </c:pt>
                <c:pt idx="7">
                  <c:v>46</c:v>
                </c:pt>
                <c:pt idx="8">
                  <c:v>42</c:v>
                </c:pt>
                <c:pt idx="9">
                  <c:v>80</c:v>
                </c:pt>
                <c:pt idx="10">
                  <c:v>66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628608"/>
        <c:axId val="218630176"/>
      </c:lineChart>
      <c:catAx>
        <c:axId val="218628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30176"/>
        <c:crosses val="autoZero"/>
        <c:auto val="1"/>
        <c:lblAlgn val="ctr"/>
        <c:lblOffset val="100"/>
        <c:noMultiLvlLbl val="0"/>
      </c:catAx>
      <c:valAx>
        <c:axId val="218630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2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KANONI-MITYANA'!$C$59:$N$59</c:f>
              <c:numCache>
                <c:formatCode>0.0%</c:formatCode>
                <c:ptCount val="12"/>
                <c:pt idx="0">
                  <c:v>4.3668122270742356E-2</c:v>
                </c:pt>
                <c:pt idx="1">
                  <c:v>4.3668122270742356E-3</c:v>
                </c:pt>
                <c:pt idx="2">
                  <c:v>1.3100436681222707E-2</c:v>
                </c:pt>
                <c:pt idx="3">
                  <c:v>1.1644832605531296E-2</c:v>
                </c:pt>
                <c:pt idx="4">
                  <c:v>1.455604075691412E-3</c:v>
                </c:pt>
                <c:pt idx="5">
                  <c:v>0</c:v>
                </c:pt>
                <c:pt idx="6">
                  <c:v>2.7656477438136828E-2</c:v>
                </c:pt>
                <c:pt idx="7">
                  <c:v>1.0189228529839884E-2</c:v>
                </c:pt>
                <c:pt idx="8">
                  <c:v>0</c:v>
                </c:pt>
                <c:pt idx="9">
                  <c:v>0</c:v>
                </c:pt>
                <c:pt idx="10">
                  <c:v>0.88791848617176128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KANONI-MITYANA'!$S$9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KANONI-MITYANA'!$S$10:$S$21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7</c:v>
                </c:pt>
                <c:pt idx="8">
                  <c:v>5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'23.10 KANONI-MITYANA'!$T$9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KANONI-MITYANA'!$R$10:$R$21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KANONI-MITYANA'!$T$10:$T$21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'23.10 KANONI-MITYANA'!$U$9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KANONI-MITYANA'!$U$10:$U$21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'23.10 KANONI-MITYANA'!$V$9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'23.10 KANONI-MITYANA'!$W$9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'23.10 KANONI-MITYANA'!$X$9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'23.10 KANONI-MITYANA'!$Y$9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KANONI-MITYANA'!$Y$10:$Y$21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'23.10 KANONI-MITYANA'!$Z$9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'23.10 KANONI-MITYANA'!$AA$9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'23.10 KANONI-MITYANA'!$AB$9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'23.10 KANONI-MITYANA'!$AC$9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KANONI-MITYANA'!$AC$10:$AC$21</c:f>
              <c:numCache>
                <c:formatCode>0</c:formatCode>
                <c:ptCount val="12"/>
                <c:pt idx="0">
                  <c:v>41</c:v>
                </c:pt>
                <c:pt idx="1">
                  <c:v>52</c:v>
                </c:pt>
                <c:pt idx="2">
                  <c:v>46</c:v>
                </c:pt>
                <c:pt idx="3">
                  <c:v>47</c:v>
                </c:pt>
                <c:pt idx="4">
                  <c:v>45</c:v>
                </c:pt>
                <c:pt idx="5">
                  <c:v>61</c:v>
                </c:pt>
                <c:pt idx="6">
                  <c:v>53</c:v>
                </c:pt>
                <c:pt idx="7">
                  <c:v>36</c:v>
                </c:pt>
                <c:pt idx="8">
                  <c:v>32</c:v>
                </c:pt>
                <c:pt idx="9">
                  <c:v>74</c:v>
                </c:pt>
                <c:pt idx="10">
                  <c:v>58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'23.10 KANONI-MITYANA'!$AD$9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KANONI-MITYANA'!$AD$10:$AD$21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8635272"/>
        <c:axId val="218632528"/>
      </c:lineChart>
      <c:catAx>
        <c:axId val="218635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32528"/>
        <c:crosses val="autoZero"/>
        <c:auto val="1"/>
        <c:lblAlgn val="ctr"/>
        <c:lblOffset val="100"/>
        <c:noMultiLvlLbl val="0"/>
      </c:catAx>
      <c:valAx>
        <c:axId val="21863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35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KANONI-MITYANA'!$C$60:$N$60</c:f>
              <c:numCache>
                <c:formatCode>0.00%</c:formatCode>
                <c:ptCount val="12"/>
                <c:pt idx="0">
                  <c:v>0.38961038961038963</c:v>
                </c:pt>
                <c:pt idx="1">
                  <c:v>3.896103896103896E-2</c:v>
                </c:pt>
                <c:pt idx="2">
                  <c:v>0.11688311688311688</c:v>
                </c:pt>
                <c:pt idx="3">
                  <c:v>0.1038961038961039</c:v>
                </c:pt>
                <c:pt idx="4">
                  <c:v>1.2987012987012988E-2</c:v>
                </c:pt>
                <c:pt idx="5">
                  <c:v>0</c:v>
                </c:pt>
                <c:pt idx="6">
                  <c:v>0.24675324675324675</c:v>
                </c:pt>
                <c:pt idx="7">
                  <c:v>9.0909090909090912E-2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MITYANA-KANONI'!$AE$9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MITYANA-KANONI'!$AE$10:$AE$21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7</c:v>
                </c:pt>
                <c:pt idx="9">
                  <c:v>4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'23.10 MITYANA-KANONI'!$AF$9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MITYANA-KANONI'!$AF$10:$AF$21</c:f>
              <c:numCache>
                <c:formatCode>0</c:formatCode>
                <c:ptCount val="12"/>
                <c:pt idx="0">
                  <c:v>36</c:v>
                </c:pt>
                <c:pt idx="1">
                  <c:v>54</c:v>
                </c:pt>
                <c:pt idx="2">
                  <c:v>50</c:v>
                </c:pt>
                <c:pt idx="3">
                  <c:v>65</c:v>
                </c:pt>
                <c:pt idx="4">
                  <c:v>56</c:v>
                </c:pt>
                <c:pt idx="5">
                  <c:v>57</c:v>
                </c:pt>
                <c:pt idx="6">
                  <c:v>56</c:v>
                </c:pt>
                <c:pt idx="7">
                  <c:v>45</c:v>
                </c:pt>
                <c:pt idx="8">
                  <c:v>59</c:v>
                </c:pt>
                <c:pt idx="9">
                  <c:v>46</c:v>
                </c:pt>
                <c:pt idx="10">
                  <c:v>75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8631744"/>
        <c:axId val="221341064"/>
      </c:lineChart>
      <c:catAx>
        <c:axId val="218631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1064"/>
        <c:crosses val="autoZero"/>
        <c:auto val="1"/>
        <c:lblAlgn val="ctr"/>
        <c:lblOffset val="100"/>
        <c:noMultiLvlLbl val="0"/>
      </c:catAx>
      <c:valAx>
        <c:axId val="221341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863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MITYANA-KANONI'!$C$59:$N$59</c:f>
              <c:numCache>
                <c:formatCode>0.0%</c:formatCode>
                <c:ptCount val="12"/>
                <c:pt idx="0">
                  <c:v>3.3846153846153845E-2</c:v>
                </c:pt>
                <c:pt idx="1">
                  <c:v>6.1538461538461538E-3</c:v>
                </c:pt>
                <c:pt idx="2">
                  <c:v>1.0769230769230769E-2</c:v>
                </c:pt>
                <c:pt idx="3">
                  <c:v>7.6923076923076927E-3</c:v>
                </c:pt>
                <c:pt idx="4">
                  <c:v>0</c:v>
                </c:pt>
                <c:pt idx="5">
                  <c:v>1.5384615384615385E-3</c:v>
                </c:pt>
                <c:pt idx="6">
                  <c:v>4.3076923076923075E-2</c:v>
                </c:pt>
                <c:pt idx="7">
                  <c:v>1.0769230769230769E-2</c:v>
                </c:pt>
                <c:pt idx="8">
                  <c:v>0</c:v>
                </c:pt>
                <c:pt idx="9">
                  <c:v>0</c:v>
                </c:pt>
                <c:pt idx="10">
                  <c:v>0.88615384615384618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MITYANA-KANONI'!$S$9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MITYANA-KANONI'!$S$10:$S$21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'23.10 MITYANA-KANONI'!$T$9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MITYANA-KANONI'!$R$10:$R$21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MITYANA-KANONI'!$T$10:$T$21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'23.10 MITYANA-KANONI'!$U$9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'23.10 MITYANA-KANONI'!$V$9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'23.10 MITYANA-KANONI'!$W$9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'23.10 MITYANA-KANONI'!$X$9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'23.10 MITYANA-KANONI'!$Y$9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MITYANA-KANONI'!$Y$10:$Y$21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5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'23.10 MITYANA-KANONI'!$Z$9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'23.10 MITYANA-KANONI'!$AA$9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'23.10 MITYANA-KANONI'!$AB$9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'23.10 MITYANA-KANONI'!$AC$9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MITYANA-KANONI'!$AC$10:$AC$21</c:f>
              <c:numCache>
                <c:formatCode>0</c:formatCode>
                <c:ptCount val="12"/>
                <c:pt idx="0">
                  <c:v>32</c:v>
                </c:pt>
                <c:pt idx="1">
                  <c:v>48</c:v>
                </c:pt>
                <c:pt idx="2">
                  <c:v>44</c:v>
                </c:pt>
                <c:pt idx="3">
                  <c:v>56</c:v>
                </c:pt>
                <c:pt idx="4">
                  <c:v>47</c:v>
                </c:pt>
                <c:pt idx="5">
                  <c:v>52</c:v>
                </c:pt>
                <c:pt idx="6">
                  <c:v>52</c:v>
                </c:pt>
                <c:pt idx="7">
                  <c:v>41</c:v>
                </c:pt>
                <c:pt idx="8">
                  <c:v>52</c:v>
                </c:pt>
                <c:pt idx="9">
                  <c:v>42</c:v>
                </c:pt>
                <c:pt idx="10">
                  <c:v>67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'23.10 MITYANA-KANONI'!$AD$9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MITYANA-KANONI'!$AD$10:$AD$21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343024"/>
        <c:axId val="221344592"/>
      </c:lineChart>
      <c:catAx>
        <c:axId val="22134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4592"/>
        <c:crosses val="autoZero"/>
        <c:auto val="1"/>
        <c:lblAlgn val="ctr"/>
        <c:lblOffset val="100"/>
        <c:noMultiLvlLbl val="0"/>
      </c:catAx>
      <c:valAx>
        <c:axId val="22134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MITYANA-KANONI'!$C$60:$N$60</c:f>
              <c:numCache>
                <c:formatCode>0.00%</c:formatCode>
                <c:ptCount val="12"/>
                <c:pt idx="0">
                  <c:v>0.29729729729729731</c:v>
                </c:pt>
                <c:pt idx="1">
                  <c:v>5.4054054054054057E-2</c:v>
                </c:pt>
                <c:pt idx="2">
                  <c:v>9.45945945945946E-2</c:v>
                </c:pt>
                <c:pt idx="3">
                  <c:v>6.7567567567567571E-2</c:v>
                </c:pt>
                <c:pt idx="4">
                  <c:v>0</c:v>
                </c:pt>
                <c:pt idx="5">
                  <c:v>1.3513513513513514E-2</c:v>
                </c:pt>
                <c:pt idx="6">
                  <c:v>0.3783783783783784</c:v>
                </c:pt>
                <c:pt idx="7">
                  <c:v>9.45945945945946E-2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Kanoni-Mityana'!$AE$9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Kanoni-Mityana'!$R$10:$R$33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Kanoni-Mityana'!$AE$10:$AE$33</c:f>
              <c:numCache>
                <c:formatCode>0</c:formatCode>
                <c:ptCount val="24"/>
                <c:pt idx="0">
                  <c:v>2.4285714285714284</c:v>
                </c:pt>
                <c:pt idx="1">
                  <c:v>6.1428571428571423</c:v>
                </c:pt>
                <c:pt idx="2">
                  <c:v>7.7142857142857135</c:v>
                </c:pt>
                <c:pt idx="3">
                  <c:v>4.7142857142857135</c:v>
                </c:pt>
                <c:pt idx="4">
                  <c:v>5.2857142857142847</c:v>
                </c:pt>
                <c:pt idx="5">
                  <c:v>5.428571428571427</c:v>
                </c:pt>
                <c:pt idx="6">
                  <c:v>5.5714285714285712</c:v>
                </c:pt>
                <c:pt idx="7">
                  <c:v>9.2857142857142847</c:v>
                </c:pt>
                <c:pt idx="8">
                  <c:v>7.7142857142857144</c:v>
                </c:pt>
                <c:pt idx="9">
                  <c:v>8.9999999999999982</c:v>
                </c:pt>
                <c:pt idx="10">
                  <c:v>11.571428571428571</c:v>
                </c:pt>
                <c:pt idx="11">
                  <c:v>11.857142857142856</c:v>
                </c:pt>
                <c:pt idx="12">
                  <c:v>11</c:v>
                </c:pt>
                <c:pt idx="13">
                  <c:v>8</c:v>
                </c:pt>
                <c:pt idx="14">
                  <c:v>2.5</c:v>
                </c:pt>
                <c:pt idx="15">
                  <c:v>3</c:v>
                </c:pt>
                <c:pt idx="16">
                  <c:v>1</c:v>
                </c:pt>
                <c:pt idx="17">
                  <c:v>0.5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Kanoni-Mityana'!$AF$9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Kanoni-Mityana'!$R$10:$R$33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Kanoni-Mityana'!$AF$10:$AF$33</c:f>
              <c:numCache>
                <c:formatCode>0</c:formatCode>
                <c:ptCount val="24"/>
                <c:pt idx="0">
                  <c:v>36.714285714285722</c:v>
                </c:pt>
                <c:pt idx="1">
                  <c:v>45.714285714285715</c:v>
                </c:pt>
                <c:pt idx="2">
                  <c:v>51.285714285714285</c:v>
                </c:pt>
                <c:pt idx="3">
                  <c:v>57.714285714285708</c:v>
                </c:pt>
                <c:pt idx="4">
                  <c:v>51</c:v>
                </c:pt>
                <c:pt idx="5">
                  <c:v>57.428571428571431</c:v>
                </c:pt>
                <c:pt idx="6">
                  <c:v>53.571428571428569</c:v>
                </c:pt>
                <c:pt idx="7">
                  <c:v>60.142857142857146</c:v>
                </c:pt>
                <c:pt idx="8">
                  <c:v>64</c:v>
                </c:pt>
                <c:pt idx="9">
                  <c:v>66.571428571428569</c:v>
                </c:pt>
                <c:pt idx="10">
                  <c:v>72</c:v>
                </c:pt>
                <c:pt idx="11">
                  <c:v>78.428571428571431</c:v>
                </c:pt>
                <c:pt idx="12">
                  <c:v>75</c:v>
                </c:pt>
                <c:pt idx="13">
                  <c:v>39.5</c:v>
                </c:pt>
                <c:pt idx="14">
                  <c:v>22.5</c:v>
                </c:pt>
                <c:pt idx="15">
                  <c:v>14.5</c:v>
                </c:pt>
                <c:pt idx="16">
                  <c:v>8.5</c:v>
                </c:pt>
                <c:pt idx="17">
                  <c:v>3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2.5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343416"/>
        <c:axId val="221344984"/>
      </c:lineChart>
      <c:catAx>
        <c:axId val="2213434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4984"/>
        <c:crosses val="autoZero"/>
        <c:auto val="1"/>
        <c:lblAlgn val="ctr"/>
        <c:lblOffset val="100"/>
        <c:noMultiLvlLbl val="0"/>
      </c:catAx>
      <c:valAx>
        <c:axId val="221344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3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947846374155137E-2"/>
          <c:y val="0.16935215265923928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Kanoni-Mityana'!$C$107:$N$107</c:f>
              <c:numCache>
                <c:formatCode>0.0%</c:formatCode>
                <c:ptCount val="12"/>
                <c:pt idx="0">
                  <c:v>4.8185894822666123E-2</c:v>
                </c:pt>
                <c:pt idx="1">
                  <c:v>6.5226253567060724E-3</c:v>
                </c:pt>
                <c:pt idx="2">
                  <c:v>1.4920505503465145E-2</c:v>
                </c:pt>
                <c:pt idx="3">
                  <c:v>1.2229922543823889E-2</c:v>
                </c:pt>
                <c:pt idx="4">
                  <c:v>9.7839380350591061E-4</c:v>
                </c:pt>
                <c:pt idx="5">
                  <c:v>0</c:v>
                </c:pt>
                <c:pt idx="6">
                  <c:v>3.4569914390542189E-2</c:v>
                </c:pt>
                <c:pt idx="7">
                  <c:v>7.1748878923766791E-3</c:v>
                </c:pt>
                <c:pt idx="8">
                  <c:v>3.9135752140236442E-3</c:v>
                </c:pt>
                <c:pt idx="9">
                  <c:v>0</c:v>
                </c:pt>
                <c:pt idx="10">
                  <c:v>0.87134121483897242</c:v>
                </c:pt>
                <c:pt idx="11">
                  <c:v>1.6306563391765179E-4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Kanoni-Mityana'!$C$9:$N$9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Kanoni-Mityana'!$C$108:$N$108</c:f>
              <c:numCache>
                <c:formatCode>0.00%</c:formatCode>
                <c:ptCount val="12"/>
                <c:pt idx="0">
                  <c:v>0.37452471482889743</c:v>
                </c:pt>
                <c:pt idx="1">
                  <c:v>5.0697084917617243E-2</c:v>
                </c:pt>
                <c:pt idx="2">
                  <c:v>0.11596958174904946</c:v>
                </c:pt>
                <c:pt idx="3">
                  <c:v>9.5057034220532355E-2</c:v>
                </c:pt>
                <c:pt idx="4">
                  <c:v>7.6045627376425846E-3</c:v>
                </c:pt>
                <c:pt idx="5">
                  <c:v>0</c:v>
                </c:pt>
                <c:pt idx="6">
                  <c:v>0.2686945500633714</c:v>
                </c:pt>
                <c:pt idx="7">
                  <c:v>5.5766793409378956E-2</c:v>
                </c:pt>
                <c:pt idx="8">
                  <c:v>3.0418250950570346E-2</c:v>
                </c:pt>
                <c:pt idx="9">
                  <c:v>0</c:v>
                </c:pt>
                <c:pt idx="11">
                  <c:v>1.2674271229404308E-3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Mityana-Kanoni'!$AE$9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Mityana-Kanoni'!$R$10:$R$33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Mityana-Kanoni'!$AE$10:$AE$33</c:f>
              <c:numCache>
                <c:formatCode>0</c:formatCode>
                <c:ptCount val="24"/>
                <c:pt idx="0">
                  <c:v>4.2857142857142856</c:v>
                </c:pt>
                <c:pt idx="1">
                  <c:v>5.4285714285714288</c:v>
                </c:pt>
                <c:pt idx="2">
                  <c:v>7.7142857142857135</c:v>
                </c:pt>
                <c:pt idx="3">
                  <c:v>8.5714285714285712</c:v>
                </c:pt>
                <c:pt idx="4">
                  <c:v>8.8571428571428577</c:v>
                </c:pt>
                <c:pt idx="5">
                  <c:v>10</c:v>
                </c:pt>
                <c:pt idx="6">
                  <c:v>8.9999999999999982</c:v>
                </c:pt>
                <c:pt idx="7">
                  <c:v>7.1428571428571415</c:v>
                </c:pt>
                <c:pt idx="8">
                  <c:v>6.4285714285714279</c:v>
                </c:pt>
                <c:pt idx="9">
                  <c:v>9.7142857142857135</c:v>
                </c:pt>
                <c:pt idx="10">
                  <c:v>7.7142857142857135</c:v>
                </c:pt>
                <c:pt idx="11">
                  <c:v>5.8571428571428568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0</c:v>
                </c:pt>
                <c:pt idx="16">
                  <c:v>2.5</c:v>
                </c:pt>
                <c:pt idx="17">
                  <c:v>0.5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Mityana-Kanoni'!$AF$9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Mityana-Kanoni'!$R$10:$R$33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Mityana-Kanoni'!$AF$10:$AF$33</c:f>
              <c:numCache>
                <c:formatCode>0</c:formatCode>
                <c:ptCount val="24"/>
                <c:pt idx="0">
                  <c:v>38.142857142857139</c:v>
                </c:pt>
                <c:pt idx="1">
                  <c:v>48.428571428571423</c:v>
                </c:pt>
                <c:pt idx="2">
                  <c:v>53.857142857142854</c:v>
                </c:pt>
                <c:pt idx="3">
                  <c:v>56.428571428571423</c:v>
                </c:pt>
                <c:pt idx="4">
                  <c:v>53.285714285714292</c:v>
                </c:pt>
                <c:pt idx="5">
                  <c:v>60.714285714285715</c:v>
                </c:pt>
                <c:pt idx="6">
                  <c:v>54.285714285714278</c:v>
                </c:pt>
                <c:pt idx="7">
                  <c:v>52.428571428571431</c:v>
                </c:pt>
                <c:pt idx="8">
                  <c:v>53.142857142857139</c:v>
                </c:pt>
                <c:pt idx="9">
                  <c:v>59.999999999999993</c:v>
                </c:pt>
                <c:pt idx="10">
                  <c:v>63.714285714285708</c:v>
                </c:pt>
                <c:pt idx="11">
                  <c:v>62.142857142857139</c:v>
                </c:pt>
                <c:pt idx="12">
                  <c:v>54.5</c:v>
                </c:pt>
                <c:pt idx="13">
                  <c:v>35</c:v>
                </c:pt>
                <c:pt idx="14">
                  <c:v>30.5</c:v>
                </c:pt>
                <c:pt idx="15">
                  <c:v>13</c:v>
                </c:pt>
                <c:pt idx="16">
                  <c:v>8.5</c:v>
                </c:pt>
                <c:pt idx="17">
                  <c:v>2.5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2.5</c:v>
                </c:pt>
                <c:pt idx="23">
                  <c:v>13.5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340672"/>
        <c:axId val="221341848"/>
      </c:lineChart>
      <c:catAx>
        <c:axId val="221340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1848"/>
        <c:crosses val="autoZero"/>
        <c:auto val="1"/>
        <c:lblAlgn val="ctr"/>
        <c:lblOffset val="100"/>
        <c:noMultiLvlLbl val="0"/>
      </c:catAx>
      <c:valAx>
        <c:axId val="221341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4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Mityana-Kanoni'!$C$107:$N$107</c:f>
              <c:numCache>
                <c:formatCode>0.0%</c:formatCode>
                <c:ptCount val="12"/>
                <c:pt idx="0">
                  <c:v>5.2030678054732452E-2</c:v>
                </c:pt>
                <c:pt idx="1">
                  <c:v>7.7566672476904325E-3</c:v>
                </c:pt>
                <c:pt idx="2">
                  <c:v>1.2898727557957124E-2</c:v>
                </c:pt>
                <c:pt idx="3">
                  <c:v>1.1504270524664463E-2</c:v>
                </c:pt>
                <c:pt idx="4">
                  <c:v>3.4861425832316545E-4</c:v>
                </c:pt>
                <c:pt idx="5">
                  <c:v>3.4861425832316545E-4</c:v>
                </c:pt>
                <c:pt idx="6">
                  <c:v>3.5471500784382083E-2</c:v>
                </c:pt>
                <c:pt idx="7">
                  <c:v>9.0639707164023031E-3</c:v>
                </c:pt>
                <c:pt idx="8">
                  <c:v>2.3531462436813667E-3</c:v>
                </c:pt>
                <c:pt idx="9">
                  <c:v>8.7153564580791354E-4</c:v>
                </c:pt>
                <c:pt idx="10">
                  <c:v>0.86735227470803555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Mityana-Kanoni'!$C$9:$N$9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Mityana-Kanoni'!$C$108:$N$108</c:f>
              <c:numCache>
                <c:formatCode>0.00%</c:formatCode>
                <c:ptCount val="12"/>
                <c:pt idx="0">
                  <c:v>0.3922470433639948</c:v>
                </c:pt>
                <c:pt idx="1">
                  <c:v>5.8475689881734565E-2</c:v>
                </c:pt>
                <c:pt idx="2">
                  <c:v>9.7240473061760854E-2</c:v>
                </c:pt>
                <c:pt idx="3">
                  <c:v>8.6727989487516449E-2</c:v>
                </c:pt>
                <c:pt idx="4">
                  <c:v>2.6281208935611039E-3</c:v>
                </c:pt>
                <c:pt idx="5">
                  <c:v>2.6281208935611039E-3</c:v>
                </c:pt>
                <c:pt idx="6">
                  <c:v>0.26741130091984233</c:v>
                </c:pt>
                <c:pt idx="7">
                  <c:v>6.8331143232588709E-2</c:v>
                </c:pt>
                <c:pt idx="8">
                  <c:v>1.7739816031537448E-2</c:v>
                </c:pt>
                <c:pt idx="9">
                  <c:v>6.5703022339027592E-3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Kanoni-Mityana-2Dir'!$C$9:$N$9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Kanoni-Mityana-2Dir'!$C$107:$N$107</c:f>
              <c:numCache>
                <c:formatCode>0.0%</c:formatCode>
                <c:ptCount val="12"/>
                <c:pt idx="0">
                  <c:v>5.00442310122583E-2</c:v>
                </c:pt>
                <c:pt idx="1">
                  <c:v>7.119086734908798E-3</c:v>
                </c:pt>
                <c:pt idx="2">
                  <c:v>1.3943300054762204E-2</c:v>
                </c:pt>
                <c:pt idx="3">
                  <c:v>1.1879186149374448E-2</c:v>
                </c:pt>
                <c:pt idx="4">
                  <c:v>6.739963772694718E-4</c:v>
                </c:pt>
                <c:pt idx="5">
                  <c:v>1.68499094317368E-4</c:v>
                </c:pt>
                <c:pt idx="6">
                  <c:v>3.5005686844433198E-2</c:v>
                </c:pt>
                <c:pt idx="7">
                  <c:v>8.0879565272336633E-3</c:v>
                </c:pt>
                <c:pt idx="8">
                  <c:v>3.15935801845065E-3</c:v>
                </c:pt>
                <c:pt idx="9">
                  <c:v>4.2124773579341993E-4</c:v>
                </c:pt>
                <c:pt idx="10">
                  <c:v>0.86941320190403959</c:v>
                </c:pt>
                <c:pt idx="11">
                  <c:v>8.4249547158684002E-5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Kanoni-Mityana-2Dir'!$C$9:$N$9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Kanoni-Mityana-2Dir'!$C$108:$N$108</c:f>
              <c:numCache>
                <c:formatCode>0.00%</c:formatCode>
                <c:ptCount val="12"/>
                <c:pt idx="0">
                  <c:v>0.38322580645161297</c:v>
                </c:pt>
                <c:pt idx="1">
                  <c:v>5.4516129032258075E-2</c:v>
                </c:pt>
                <c:pt idx="2">
                  <c:v>0.10677419354838713</c:v>
                </c:pt>
                <c:pt idx="3">
                  <c:v>9.0967741935483917E-2</c:v>
                </c:pt>
                <c:pt idx="4">
                  <c:v>5.1612903225806452E-3</c:v>
                </c:pt>
                <c:pt idx="5">
                  <c:v>1.2903225806451615E-3</c:v>
                </c:pt>
                <c:pt idx="6">
                  <c:v>0.26806451612903226</c:v>
                </c:pt>
                <c:pt idx="7">
                  <c:v>6.1935483870967749E-2</c:v>
                </c:pt>
                <c:pt idx="8">
                  <c:v>2.4193548387096777E-2</c:v>
                </c:pt>
                <c:pt idx="9">
                  <c:v>3.2258064516129032E-3</c:v>
                </c:pt>
                <c:pt idx="11">
                  <c:v>6.4516129032258075E-4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Kanoni-Mityana-2Dir'!$AE$9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Kanoni-Mityana-2Dir'!$R$10:$R$33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Kanoni-Mityana-2Dir'!$AE$10:$AE$33</c:f>
              <c:numCache>
                <c:formatCode>0</c:formatCode>
                <c:ptCount val="24"/>
                <c:pt idx="0">
                  <c:v>6.7142857142857135</c:v>
                </c:pt>
                <c:pt idx="1">
                  <c:v>11.571428571428569</c:v>
                </c:pt>
                <c:pt idx="2">
                  <c:v>15.428571428571427</c:v>
                </c:pt>
                <c:pt idx="3">
                  <c:v>13.285714285714283</c:v>
                </c:pt>
                <c:pt idx="4">
                  <c:v>14.142857142857142</c:v>
                </c:pt>
                <c:pt idx="5">
                  <c:v>15.428571428571425</c:v>
                </c:pt>
                <c:pt idx="6">
                  <c:v>14.571428571428569</c:v>
                </c:pt>
                <c:pt idx="7">
                  <c:v>16.428571428571427</c:v>
                </c:pt>
                <c:pt idx="8">
                  <c:v>14.142857142857141</c:v>
                </c:pt>
                <c:pt idx="9">
                  <c:v>18.714285714285712</c:v>
                </c:pt>
                <c:pt idx="10">
                  <c:v>19.285714285714285</c:v>
                </c:pt>
                <c:pt idx="11">
                  <c:v>17.714285714285715</c:v>
                </c:pt>
                <c:pt idx="12">
                  <c:v>15.5</c:v>
                </c:pt>
                <c:pt idx="13">
                  <c:v>12.5</c:v>
                </c:pt>
                <c:pt idx="14">
                  <c:v>7</c:v>
                </c:pt>
                <c:pt idx="15">
                  <c:v>3</c:v>
                </c:pt>
                <c:pt idx="16">
                  <c:v>3.5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C7-4CAB-85FC-52035F37CD37}"/>
            </c:ext>
          </c:extLst>
        </c:ser>
        <c:ser>
          <c:idx val="1"/>
          <c:order val="1"/>
          <c:tx>
            <c:strRef>
              <c:f>'Avg Week Kanoni-Mityana-2Dir'!$AF$9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Kanoni-Mityana-2Dir'!$R$10:$R$33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Kanoni-Mityana-2Dir'!$AF$10:$AF$33</c:f>
              <c:numCache>
                <c:formatCode>0</c:formatCode>
                <c:ptCount val="24"/>
                <c:pt idx="0">
                  <c:v>74.857142857142861</c:v>
                </c:pt>
                <c:pt idx="1">
                  <c:v>94.142857142857139</c:v>
                </c:pt>
                <c:pt idx="2">
                  <c:v>105.14285714285714</c:v>
                </c:pt>
                <c:pt idx="3">
                  <c:v>114.14285714285714</c:v>
                </c:pt>
                <c:pt idx="4">
                  <c:v>104.28571428571429</c:v>
                </c:pt>
                <c:pt idx="5">
                  <c:v>118.14285714285715</c:v>
                </c:pt>
                <c:pt idx="6">
                  <c:v>107.85714285714285</c:v>
                </c:pt>
                <c:pt idx="7">
                  <c:v>112.57142857142857</c:v>
                </c:pt>
                <c:pt idx="8">
                  <c:v>117.14285714285714</c:v>
                </c:pt>
                <c:pt idx="9">
                  <c:v>126.57142857142857</c:v>
                </c:pt>
                <c:pt idx="10">
                  <c:v>135.71428571428572</c:v>
                </c:pt>
                <c:pt idx="11">
                  <c:v>140.57142857142856</c:v>
                </c:pt>
                <c:pt idx="12">
                  <c:v>129.5</c:v>
                </c:pt>
                <c:pt idx="13">
                  <c:v>74.5</c:v>
                </c:pt>
                <c:pt idx="14">
                  <c:v>53</c:v>
                </c:pt>
                <c:pt idx="15">
                  <c:v>27.5</c:v>
                </c:pt>
                <c:pt idx="16">
                  <c:v>17</c:v>
                </c:pt>
                <c:pt idx="17">
                  <c:v>5.5</c:v>
                </c:pt>
                <c:pt idx="18">
                  <c:v>3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5</c:v>
                </c:pt>
                <c:pt idx="23">
                  <c:v>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6C7-4CAB-85FC-52035F37CD37}"/>
            </c:ext>
          </c:extLst>
        </c:ser>
        <c:ser>
          <c:idx val="5"/>
          <c:order val="2"/>
          <c:tx>
            <c:strRef>
              <c:f>'Avg Week Kanoni-Mityana-2Dir'!$AC$9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Kanoni-Mityana-2Dir'!$R$10:$R$33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Kanoni-Mityana-2Dir'!$AC$10:$AC$33</c:f>
              <c:numCache>
                <c:formatCode>0</c:formatCode>
                <c:ptCount val="24"/>
                <c:pt idx="0">
                  <c:v>68.142857142857139</c:v>
                </c:pt>
                <c:pt idx="1">
                  <c:v>82.571428571428569</c:v>
                </c:pt>
                <c:pt idx="2">
                  <c:v>89.714285714285708</c:v>
                </c:pt>
                <c:pt idx="3">
                  <c:v>100.85714285714286</c:v>
                </c:pt>
                <c:pt idx="4">
                  <c:v>90.142857142857139</c:v>
                </c:pt>
                <c:pt idx="5">
                  <c:v>102.71428571428572</c:v>
                </c:pt>
                <c:pt idx="6">
                  <c:v>93.285714285714278</c:v>
                </c:pt>
                <c:pt idx="7">
                  <c:v>96.142857142857139</c:v>
                </c:pt>
                <c:pt idx="8">
                  <c:v>103</c:v>
                </c:pt>
                <c:pt idx="9">
                  <c:v>107.85714285714286</c:v>
                </c:pt>
                <c:pt idx="10">
                  <c:v>116.42857142857143</c:v>
                </c:pt>
                <c:pt idx="11">
                  <c:v>122.85714285714285</c:v>
                </c:pt>
                <c:pt idx="12">
                  <c:v>114</c:v>
                </c:pt>
                <c:pt idx="13">
                  <c:v>62</c:v>
                </c:pt>
                <c:pt idx="14">
                  <c:v>46</c:v>
                </c:pt>
                <c:pt idx="15">
                  <c:v>24.5</c:v>
                </c:pt>
                <c:pt idx="16">
                  <c:v>13.5</c:v>
                </c:pt>
                <c:pt idx="17">
                  <c:v>4.5</c:v>
                </c:pt>
                <c:pt idx="18">
                  <c:v>3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4.5</c:v>
                </c:pt>
                <c:pt idx="23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7-4CAB-85FC-52035F37C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Kanoni-Mityana-2Dir'!$S$9:$AF$9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Kanoni-Mityana-2Dir'!$S$41:$AF$41</c:f>
              <c:numCache>
                <c:formatCode>_(* #,##0_);_(* \(#,##0\);_(* "-"_);_(@_)</c:formatCode>
                <c:ptCount val="14"/>
                <c:pt idx="0">
                  <c:v>84.857142857142861</c:v>
                </c:pt>
                <c:pt idx="1">
                  <c:v>12.071428571428571</c:v>
                </c:pt>
                <c:pt idx="2">
                  <c:v>23.642857142857142</c:v>
                </c:pt>
                <c:pt idx="3">
                  <c:v>20.142857142857142</c:v>
                </c:pt>
                <c:pt idx="4">
                  <c:v>1.1428571428571428</c:v>
                </c:pt>
                <c:pt idx="5">
                  <c:v>0.2857142857142857</c:v>
                </c:pt>
                <c:pt idx="6">
                  <c:v>59.357142857142861</c:v>
                </c:pt>
                <c:pt idx="7">
                  <c:v>13.714285714285714</c:v>
                </c:pt>
                <c:pt idx="8">
                  <c:v>5.3571428571428568</c:v>
                </c:pt>
                <c:pt idx="9">
                  <c:v>0.71428571428571419</c:v>
                </c:pt>
                <c:pt idx="10">
                  <c:v>1474.2142857142856</c:v>
                </c:pt>
                <c:pt idx="11">
                  <c:v>0.14285714285714285</c:v>
                </c:pt>
                <c:pt idx="12">
                  <c:v>221.42857142857142</c:v>
                </c:pt>
                <c:pt idx="13">
                  <c:v>1695.6428571428573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0A-4759-A0A2-5DFAEA1676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Kanoni-Mityana-2Dir'!$S$9:$AF$9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Kanoni-Mityana-2Dir'!$S$42:$AF$42</c:f>
              <c:numCache>
                <c:formatCode>0.000</c:formatCode>
                <c:ptCount val="14"/>
                <c:pt idx="0">
                  <c:v>1.3499999999999999</c:v>
                </c:pt>
                <c:pt idx="1">
                  <c:v>1.1418918918918919</c:v>
                </c:pt>
                <c:pt idx="2">
                  <c:v>1.2350746268656716</c:v>
                </c:pt>
                <c:pt idx="3">
                  <c:v>1.110236220472441</c:v>
                </c:pt>
                <c:pt idx="4">
                  <c:v>1</c:v>
                </c:pt>
                <c:pt idx="5">
                  <c:v>1</c:v>
                </c:pt>
                <c:pt idx="6">
                  <c:v>1.1905444126074498</c:v>
                </c:pt>
                <c:pt idx="7">
                  <c:v>1.0786516853932584</c:v>
                </c:pt>
                <c:pt idx="8">
                  <c:v>2.8846153846153846</c:v>
                </c:pt>
                <c:pt idx="9">
                  <c:v>1</c:v>
                </c:pt>
                <c:pt idx="10">
                  <c:v>1.256024829600779</c:v>
                </c:pt>
                <c:pt idx="11">
                  <c:v>1</c:v>
                </c:pt>
                <c:pt idx="12">
                  <c:v>1.2479871175523349</c:v>
                </c:pt>
                <c:pt idx="13">
                  <c:v>1.2549693381264537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74-4DD0-9540-4FB766BE937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9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3.xml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9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7.xml"/><Relationship Id="rId1" Type="http://schemas.openxmlformats.org/officeDocument/2006/relationships/chart" Target="../charts/chart24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5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6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28</xdr:col>
      <xdr:colOff>15874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60</xdr:row>
      <xdr:rowOff>9525</xdr:rowOff>
    </xdr:from>
    <xdr:to>
      <xdr:col>22</xdr:col>
      <xdr:colOff>698500</xdr:colOff>
      <xdr:row>74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31750</xdr:colOff>
      <xdr:row>60</xdr:row>
      <xdr:rowOff>15875</xdr:rowOff>
    </xdr:from>
    <xdr:to>
      <xdr:col>31</xdr:col>
      <xdr:colOff>1</xdr:colOff>
      <xdr:row>74</xdr:row>
      <xdr:rowOff>101600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35836</xdr:colOff>
      <xdr:row>43</xdr:row>
      <xdr:rowOff>6349</xdr:rowOff>
    </xdr:from>
    <xdr:to>
      <xdr:col>28</xdr:col>
      <xdr:colOff>15875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59</xdr:row>
      <xdr:rowOff>279400</xdr:rowOff>
    </xdr:from>
    <xdr:to>
      <xdr:col>23</xdr:col>
      <xdr:colOff>1</xdr:colOff>
      <xdr:row>74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60</xdr:row>
      <xdr:rowOff>15875</xdr:rowOff>
    </xdr:from>
    <xdr:to>
      <xdr:col>31</xdr:col>
      <xdr:colOff>0</xdr:colOff>
      <xdr:row>74</xdr:row>
      <xdr:rowOff>101600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23</xdr:col>
      <xdr:colOff>635000</xdr:colOff>
      <xdr:row>75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31750</xdr:rowOff>
    </xdr:from>
    <xdr:to>
      <xdr:col>23</xdr:col>
      <xdr:colOff>650874</xdr:colOff>
      <xdr:row>90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31750</xdr:rowOff>
    </xdr:from>
    <xdr:to>
      <xdr:col>28</xdr:col>
      <xdr:colOff>12700</xdr:colOff>
      <xdr:row>58</xdr:row>
      <xdr:rowOff>247653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43D9716-FECF-4E73-AC9D-FEC2FC714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650874</xdr:colOff>
      <xdr:row>58</xdr:row>
      <xdr:rowOff>269875</xdr:rowOff>
    </xdr:from>
    <xdr:to>
      <xdr:col>30</xdr:col>
      <xdr:colOff>650874</xdr:colOff>
      <xdr:row>75</xdr:row>
      <xdr:rowOff>31750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6FB85ED-66BE-4771-A329-70CB07ACA9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673100</xdr:colOff>
      <xdr:row>75</xdr:row>
      <xdr:rowOff>31750</xdr:rowOff>
    </xdr:from>
    <xdr:to>
      <xdr:col>30</xdr:col>
      <xdr:colOff>679450</xdr:colOff>
      <xdr:row>90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B4D50D4-4277-4A0C-91E8-4001DA4D7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">
        <v>167</v>
      </c>
      <c r="H5" s="58"/>
      <c r="I5" s="14"/>
      <c r="J5" s="2" t="s">
        <v>5</v>
      </c>
      <c r="K5" s="57" t="s">
        <v>168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169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15</v>
      </c>
      <c r="AD10" s="17">
        <f t="shared" si="2"/>
        <v>0</v>
      </c>
      <c r="AE10" s="31">
        <f t="shared" si="2"/>
        <v>1</v>
      </c>
      <c r="AF10" s="31">
        <f t="shared" si="2"/>
        <v>16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0</v>
      </c>
      <c r="P11" s="15">
        <f t="shared" si="1"/>
        <v>3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26</v>
      </c>
      <c r="AD11" s="17">
        <f t="shared" si="3"/>
        <v>0</v>
      </c>
      <c r="AE11" s="31">
        <f t="shared" si="3"/>
        <v>4</v>
      </c>
      <c r="AF11" s="31">
        <f t="shared" si="3"/>
        <v>30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0</v>
      </c>
      <c r="P12" s="15">
        <f t="shared" si="1"/>
        <v>4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41</v>
      </c>
      <c r="AD12" s="17">
        <f t="shared" si="4"/>
        <v>0</v>
      </c>
      <c r="AE12" s="31">
        <f t="shared" si="4"/>
        <v>7</v>
      </c>
      <c r="AF12" s="31">
        <f t="shared" si="4"/>
        <v>48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1</v>
      </c>
      <c r="P13" s="15">
        <f t="shared" si="1"/>
        <v>4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52</v>
      </c>
      <c r="AD13" s="17">
        <f t="shared" si="5"/>
        <v>0</v>
      </c>
      <c r="AE13" s="31">
        <f t="shared" si="5"/>
        <v>5</v>
      </c>
      <c r="AF13" s="31">
        <f t="shared" si="5"/>
        <v>57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0</v>
      </c>
      <c r="P14" s="15">
        <f t="shared" si="1"/>
        <v>6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53</v>
      </c>
      <c r="AD14" s="17">
        <f t="shared" si="6"/>
        <v>0</v>
      </c>
      <c r="AE14" s="31">
        <f t="shared" si="6"/>
        <v>4</v>
      </c>
      <c r="AF14" s="31">
        <f t="shared" si="6"/>
        <v>57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1</v>
      </c>
      <c r="P15" s="15">
        <f t="shared" si="1"/>
        <v>11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64</v>
      </c>
      <c r="AD15" s="17">
        <f t="shared" si="7"/>
        <v>0</v>
      </c>
      <c r="AE15" s="31">
        <f t="shared" si="7"/>
        <v>5</v>
      </c>
      <c r="AF15" s="31">
        <f t="shared" si="7"/>
        <v>69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1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37</v>
      </c>
      <c r="AD16" s="17">
        <f t="shared" si="8"/>
        <v>0</v>
      </c>
      <c r="AE16" s="31">
        <f t="shared" si="8"/>
        <v>4</v>
      </c>
      <c r="AF16" s="31">
        <f t="shared" si="8"/>
        <v>41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</v>
      </c>
      <c r="P17" s="15">
        <f t="shared" si="1"/>
        <v>10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45</v>
      </c>
      <c r="AD17" s="17">
        <f t="shared" si="9"/>
        <v>0</v>
      </c>
      <c r="AE17" s="31">
        <f t="shared" si="9"/>
        <v>9</v>
      </c>
      <c r="AF17" s="31">
        <f t="shared" si="9"/>
        <v>54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4</v>
      </c>
      <c r="P18" s="15">
        <f t="shared" si="1"/>
        <v>11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58</v>
      </c>
      <c r="AD18" s="17">
        <f t="shared" si="10"/>
        <v>0</v>
      </c>
      <c r="AE18" s="31">
        <f t="shared" si="10"/>
        <v>11</v>
      </c>
      <c r="AF18" s="31">
        <f t="shared" si="10"/>
        <v>69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1</v>
      </c>
      <c r="P19" s="15">
        <f t="shared" si="1"/>
        <v>17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54</v>
      </c>
      <c r="AD19" s="17">
        <f t="shared" si="11"/>
        <v>1</v>
      </c>
      <c r="AE19" s="31">
        <f t="shared" si="11"/>
        <v>12</v>
      </c>
      <c r="AF19" s="31">
        <f t="shared" si="11"/>
        <v>66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1</v>
      </c>
      <c r="P20" s="15">
        <f t="shared" si="1"/>
        <v>11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53</v>
      </c>
      <c r="AD20" s="17">
        <f t="shared" si="12"/>
        <v>0</v>
      </c>
      <c r="AE20" s="31">
        <f t="shared" si="12"/>
        <v>11</v>
      </c>
      <c r="AF20" s="31">
        <f t="shared" si="12"/>
        <v>64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1</v>
      </c>
      <c r="P21" s="15">
        <f t="shared" si="1"/>
        <v>9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47</v>
      </c>
      <c r="AD21" s="17">
        <f t="shared" si="13"/>
        <v>0</v>
      </c>
      <c r="AE21" s="31">
        <f t="shared" si="13"/>
        <v>6</v>
      </c>
      <c r="AF21" s="31">
        <f t="shared" si="13"/>
        <v>53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3</v>
      </c>
      <c r="P22" s="15">
        <f t="shared" si="1"/>
        <v>18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41</v>
      </c>
      <c r="AD22" s="39">
        <f t="shared" si="14"/>
        <v>0</v>
      </c>
      <c r="AE22" s="40">
        <f t="shared" si="14"/>
        <v>7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0"/>
        <v>0</v>
      </c>
      <c r="P23" s="15">
        <f t="shared" si="1"/>
        <v>11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2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64</v>
      </c>
      <c r="AD23" s="39">
        <f t="shared" si="15"/>
        <v>0</v>
      </c>
      <c r="AE23" s="40">
        <f t="shared" si="15"/>
        <v>11</v>
      </c>
      <c r="AF23" s="40">
        <f t="shared" si="15"/>
        <v>69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2</v>
      </c>
      <c r="P24" s="15">
        <f t="shared" si="1"/>
        <v>13</v>
      </c>
      <c r="R24" s="38" t="s">
        <v>92</v>
      </c>
      <c r="S24" s="39">
        <f>MAX(S19:S21)</f>
        <v>5</v>
      </c>
      <c r="T24" s="39">
        <f t="shared" ref="T24:AF24" si="16">MAX(T19:T21)</f>
        <v>0</v>
      </c>
      <c r="U24" s="39">
        <f t="shared" si="16"/>
        <v>1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54</v>
      </c>
      <c r="AD24" s="39">
        <f t="shared" si="16"/>
        <v>1</v>
      </c>
      <c r="AE24" s="40">
        <f t="shared" si="16"/>
        <v>12</v>
      </c>
      <c r="AF24" s="40">
        <f t="shared" si="16"/>
        <v>66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0</v>
      </c>
      <c r="P25" s="15">
        <f t="shared" si="1"/>
        <v>15</v>
      </c>
      <c r="R25" s="37" t="s">
        <v>85</v>
      </c>
      <c r="S25" s="35">
        <f t="shared" ref="S25:AF25" si="17">SUM(S10:S12)</f>
        <v>6</v>
      </c>
      <c r="T25" s="16">
        <f t="shared" si="17"/>
        <v>0</v>
      </c>
      <c r="U25" s="16">
        <f t="shared" si="17"/>
        <v>2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82</v>
      </c>
      <c r="AD25" s="16">
        <f t="shared" si="17"/>
        <v>0</v>
      </c>
      <c r="AE25" s="32">
        <f t="shared" si="17"/>
        <v>12</v>
      </c>
      <c r="AF25" s="32">
        <f t="shared" si="17"/>
        <v>94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1</v>
      </c>
      <c r="P26" s="15">
        <f t="shared" si="1"/>
        <v>11</v>
      </c>
      <c r="R26" s="28" t="s">
        <v>86</v>
      </c>
      <c r="S26" s="16">
        <f t="shared" ref="S26:AF26" si="18">SUM(S13:S18)</f>
        <v>14</v>
      </c>
      <c r="T26" s="16">
        <f t="shared" si="18"/>
        <v>0</v>
      </c>
      <c r="U26" s="16">
        <f t="shared" si="18"/>
        <v>5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11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309</v>
      </c>
      <c r="AD26" s="16">
        <f t="shared" si="18"/>
        <v>0</v>
      </c>
      <c r="AE26" s="32">
        <f t="shared" si="18"/>
        <v>38</v>
      </c>
      <c r="AF26" s="32">
        <f t="shared" si="18"/>
        <v>347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1</v>
      </c>
      <c r="P27" s="15">
        <f t="shared" si="1"/>
        <v>14</v>
      </c>
      <c r="R27" s="29" t="s">
        <v>87</v>
      </c>
      <c r="S27" s="16">
        <f t="shared" ref="S27:AF27" si="19">SUM(S19:S21)</f>
        <v>10</v>
      </c>
      <c r="T27" s="16">
        <f t="shared" si="19"/>
        <v>0</v>
      </c>
      <c r="U27" s="16">
        <f t="shared" si="19"/>
        <v>3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15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154</v>
      </c>
      <c r="AD27" s="16">
        <f t="shared" si="19"/>
        <v>1</v>
      </c>
      <c r="AE27" s="32">
        <f t="shared" si="19"/>
        <v>29</v>
      </c>
      <c r="AF27" s="32">
        <f t="shared" si="19"/>
        <v>183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1</v>
      </c>
      <c r="P28" s="15">
        <f t="shared" si="1"/>
        <v>13</v>
      </c>
      <c r="R28" s="5" t="s">
        <v>17</v>
      </c>
      <c r="S28" s="16">
        <f t="shared" ref="S28:AF28" si="20">SUM(S10:S21)</f>
        <v>30</v>
      </c>
      <c r="T28" s="16">
        <f t="shared" si="20"/>
        <v>0</v>
      </c>
      <c r="U28" s="16">
        <f t="shared" si="20"/>
        <v>10</v>
      </c>
      <c r="V28" s="16">
        <f t="shared" si="20"/>
        <v>4</v>
      </c>
      <c r="W28" s="16">
        <f t="shared" si="20"/>
        <v>0</v>
      </c>
      <c r="X28" s="16">
        <f t="shared" si="20"/>
        <v>0</v>
      </c>
      <c r="Y28" s="16">
        <f t="shared" si="20"/>
        <v>27</v>
      </c>
      <c r="Z28" s="16">
        <f t="shared" si="20"/>
        <v>7</v>
      </c>
      <c r="AA28" s="16">
        <f t="shared" si="20"/>
        <v>0</v>
      </c>
      <c r="AB28" s="16">
        <f t="shared" si="20"/>
        <v>0</v>
      </c>
      <c r="AC28" s="16">
        <f t="shared" si="20"/>
        <v>545</v>
      </c>
      <c r="AD28" s="16">
        <f t="shared" si="20"/>
        <v>1</v>
      </c>
      <c r="AE28" s="32">
        <f t="shared" si="20"/>
        <v>79</v>
      </c>
      <c r="AF28" s="32">
        <f t="shared" si="20"/>
        <v>624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1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20</v>
      </c>
      <c r="N30" s="50">
        <v>0</v>
      </c>
      <c r="O30" s="15">
        <f t="shared" si="0"/>
        <v>1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1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2</v>
      </c>
      <c r="P32" s="15">
        <f t="shared" si="1"/>
        <v>13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19</v>
      </c>
      <c r="N33" s="50">
        <v>0</v>
      </c>
      <c r="O33" s="15">
        <f t="shared" si="0"/>
        <v>1</v>
      </c>
      <c r="P33" s="15">
        <f t="shared" si="1"/>
        <v>20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3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0</v>
      </c>
      <c r="P35" s="15">
        <f t="shared" si="1"/>
        <v>10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1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0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2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9</v>
      </c>
      <c r="N39" s="50">
        <v>0</v>
      </c>
      <c r="O39" s="15">
        <f t="shared" si="0"/>
        <v>2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4</v>
      </c>
      <c r="P40" s="15">
        <f t="shared" si="1"/>
        <v>17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1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19</v>
      </c>
      <c r="N42" s="50">
        <v>0</v>
      </c>
      <c r="O42" s="15">
        <f t="shared" si="0"/>
        <v>1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0</v>
      </c>
      <c r="M43" s="50">
        <v>13</v>
      </c>
      <c r="N43" s="50">
        <v>0</v>
      </c>
      <c r="O43" s="15">
        <f t="shared" si="0"/>
        <v>4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3</v>
      </c>
      <c r="P44" s="15">
        <f t="shared" si="1"/>
        <v>17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5">
        <f t="shared" si="0"/>
        <v>3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4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3</v>
      </c>
      <c r="P47" s="15">
        <f t="shared" si="1"/>
        <v>19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14</v>
      </c>
      <c r="N48" s="50">
        <v>1</v>
      </c>
      <c r="O48" s="15">
        <f t="shared" si="0"/>
        <v>5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0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2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2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5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5">
        <f t="shared" si="0"/>
        <v>2</v>
      </c>
      <c r="P53" s="15">
        <f t="shared" si="1"/>
        <v>19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2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13</v>
      </c>
      <c r="N55" s="50">
        <v>0</v>
      </c>
      <c r="O55" s="15">
        <f t="shared" si="0"/>
        <v>3</v>
      </c>
      <c r="P55" s="15">
        <f t="shared" si="1"/>
        <v>16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0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1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</v>
      </c>
      <c r="D58" s="16">
        <f t="shared" si="21"/>
        <v>0</v>
      </c>
      <c r="E58" s="16">
        <f t="shared" si="21"/>
        <v>10</v>
      </c>
      <c r="F58" s="16">
        <f t="shared" si="21"/>
        <v>4</v>
      </c>
      <c r="G58" s="16">
        <f t="shared" si="21"/>
        <v>0</v>
      </c>
      <c r="H58" s="16">
        <f t="shared" si="21"/>
        <v>0</v>
      </c>
      <c r="I58" s="16">
        <f t="shared" si="21"/>
        <v>27</v>
      </c>
      <c r="J58" s="16">
        <f t="shared" si="21"/>
        <v>7</v>
      </c>
      <c r="K58" s="16">
        <f t="shared" si="21"/>
        <v>0</v>
      </c>
      <c r="L58" s="16">
        <f t="shared" si="21"/>
        <v>0</v>
      </c>
      <c r="M58" s="16">
        <f t="shared" si="21"/>
        <v>545</v>
      </c>
      <c r="N58" s="16">
        <f t="shared" si="21"/>
        <v>1</v>
      </c>
      <c r="O58" s="16">
        <f t="shared" si="21"/>
        <v>79</v>
      </c>
      <c r="P58" s="16">
        <f t="shared" si="21"/>
        <v>624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4.807692307692308E-2</v>
      </c>
      <c r="D59" s="43">
        <f t="shared" si="22"/>
        <v>0</v>
      </c>
      <c r="E59" s="43">
        <f t="shared" si="22"/>
        <v>1.6025641025641024E-2</v>
      </c>
      <c r="F59" s="43">
        <f t="shared" si="22"/>
        <v>6.41025641025641E-3</v>
      </c>
      <c r="G59" s="43">
        <f t="shared" si="22"/>
        <v>0</v>
      </c>
      <c r="H59" s="43">
        <f t="shared" si="22"/>
        <v>0</v>
      </c>
      <c r="I59" s="43">
        <f t="shared" si="22"/>
        <v>4.3269230769230768E-2</v>
      </c>
      <c r="J59" s="43">
        <f t="shared" si="22"/>
        <v>1.1217948717948718E-2</v>
      </c>
      <c r="K59" s="43">
        <f t="shared" si="22"/>
        <v>0</v>
      </c>
      <c r="L59" s="43">
        <f t="shared" si="22"/>
        <v>0</v>
      </c>
      <c r="M59" s="43">
        <f t="shared" si="22"/>
        <v>0.8733974358974359</v>
      </c>
      <c r="N59" s="43">
        <f t="shared" si="22"/>
        <v>1.6025641025641025E-3</v>
      </c>
      <c r="R59" s="8"/>
      <c r="T59"/>
    </row>
    <row r="60" spans="2:20" ht="23.1" customHeight="1" x14ac:dyDescent="0.25">
      <c r="B60" s="42" t="s">
        <v>94</v>
      </c>
      <c r="C60" s="44">
        <f>C58/$O$58</f>
        <v>0.379746835443038</v>
      </c>
      <c r="D60" s="44">
        <f t="shared" ref="D60:N60" si="23">D58/$O$58</f>
        <v>0</v>
      </c>
      <c r="E60" s="44">
        <f t="shared" si="23"/>
        <v>0.12658227848101267</v>
      </c>
      <c r="F60" s="44">
        <f t="shared" si="23"/>
        <v>5.0632911392405063E-2</v>
      </c>
      <c r="G60" s="44">
        <f t="shared" si="23"/>
        <v>0</v>
      </c>
      <c r="H60" s="44">
        <f t="shared" si="23"/>
        <v>0</v>
      </c>
      <c r="I60" s="44">
        <f t="shared" si="23"/>
        <v>0.34177215189873417</v>
      </c>
      <c r="J60" s="44">
        <f t="shared" si="23"/>
        <v>8.8607594936708861E-2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1.2658227848101266E-2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'17.10 KANONI-MITYANA'!D5</f>
        <v>17.10.19</v>
      </c>
      <c r="E5" s="3"/>
      <c r="F5" s="41" t="s">
        <v>1</v>
      </c>
      <c r="G5" s="63" t="str">
        <f>'17.10 KANONI-MITYANA'!G5:H5</f>
        <v>VICA MAIZE MILLERS</v>
      </c>
      <c r="H5" s="64"/>
      <c r="I5" s="14"/>
      <c r="J5" s="2" t="s">
        <v>5</v>
      </c>
      <c r="K5" s="63" t="str">
        <f>'17.10 KANONI-MITYANA'!K5:L5</f>
        <v>CATHY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'17.10 KANONI-MITYANA'!K6:L6</f>
        <v>LAWRENCE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17</v>
      </c>
      <c r="AD10" s="17">
        <f t="shared" si="2"/>
        <v>0</v>
      </c>
      <c r="AE10" s="31">
        <f t="shared" si="2"/>
        <v>1</v>
      </c>
      <c r="AF10" s="31">
        <f t="shared" si="2"/>
        <v>18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3</v>
      </c>
      <c r="N11" s="50">
        <v>0</v>
      </c>
      <c r="O11" s="15">
        <f t="shared" si="0"/>
        <v>1</v>
      </c>
      <c r="P11" s="15">
        <f t="shared" si="1"/>
        <v>4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22</v>
      </c>
      <c r="AD11" s="17">
        <f t="shared" si="3"/>
        <v>0</v>
      </c>
      <c r="AE11" s="31">
        <f t="shared" si="3"/>
        <v>5</v>
      </c>
      <c r="AF11" s="31">
        <f t="shared" si="3"/>
        <v>27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0</v>
      </c>
      <c r="P12" s="15">
        <f t="shared" si="1"/>
        <v>6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47</v>
      </c>
      <c r="AD12" s="17">
        <f t="shared" si="4"/>
        <v>0</v>
      </c>
      <c r="AE12" s="31">
        <f t="shared" si="4"/>
        <v>5</v>
      </c>
      <c r="AF12" s="31">
        <f t="shared" si="4"/>
        <v>52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0</v>
      </c>
      <c r="P13" s="15">
        <f t="shared" si="1"/>
        <v>5</v>
      </c>
      <c r="R13" s="1" t="s">
        <v>9</v>
      </c>
      <c r="S13" s="17">
        <f t="shared" ref="S13:AF13" si="5">SUM(C22:C25)</f>
        <v>8</v>
      </c>
      <c r="T13" s="17">
        <f t="shared" si="5"/>
        <v>1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36</v>
      </c>
      <c r="AD13" s="17">
        <f t="shared" si="5"/>
        <v>0</v>
      </c>
      <c r="AE13" s="31">
        <f t="shared" si="5"/>
        <v>11</v>
      </c>
      <c r="AF13" s="31">
        <f t="shared" si="5"/>
        <v>47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1</v>
      </c>
      <c r="P14" s="15">
        <f t="shared" si="1"/>
        <v>6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47</v>
      </c>
      <c r="AD14" s="17">
        <f t="shared" si="6"/>
        <v>0</v>
      </c>
      <c r="AE14" s="31">
        <f t="shared" si="6"/>
        <v>8</v>
      </c>
      <c r="AF14" s="31">
        <f t="shared" si="6"/>
        <v>55</v>
      </c>
    </row>
    <row r="15" spans="2:32" ht="23.1" customHeight="1" x14ac:dyDescent="0.25">
      <c r="B15" s="23" t="s">
        <v>42</v>
      </c>
      <c r="C15" s="50">
        <v>0</v>
      </c>
      <c r="D15" s="50">
        <v>2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2</v>
      </c>
      <c r="P15" s="15">
        <f t="shared" si="1"/>
        <v>7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51</v>
      </c>
      <c r="AD15" s="17">
        <f t="shared" si="7"/>
        <v>0</v>
      </c>
      <c r="AE15" s="31">
        <f t="shared" si="7"/>
        <v>9</v>
      </c>
      <c r="AF15" s="31">
        <f t="shared" si="7"/>
        <v>60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1</v>
      </c>
      <c r="P16" s="15">
        <f t="shared" si="1"/>
        <v>10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54</v>
      </c>
      <c r="AD16" s="17">
        <f t="shared" si="8"/>
        <v>0</v>
      </c>
      <c r="AE16" s="31">
        <f t="shared" si="8"/>
        <v>6</v>
      </c>
      <c r="AF16" s="31">
        <f t="shared" si="8"/>
        <v>60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1</v>
      </c>
      <c r="P17" s="15">
        <f t="shared" si="1"/>
        <v>4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40</v>
      </c>
      <c r="AD17" s="17">
        <f t="shared" si="9"/>
        <v>0</v>
      </c>
      <c r="AE17" s="31">
        <f t="shared" si="9"/>
        <v>6</v>
      </c>
      <c r="AF17" s="31">
        <f t="shared" si="9"/>
        <v>46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0</v>
      </c>
      <c r="P18" s="15">
        <f t="shared" si="1"/>
        <v>19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5</v>
      </c>
      <c r="AF18" s="31">
        <f t="shared" si="10"/>
        <v>60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1</v>
      </c>
      <c r="P19" s="15">
        <f t="shared" si="1"/>
        <v>12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58</v>
      </c>
      <c r="AD19" s="17">
        <f t="shared" si="11"/>
        <v>0</v>
      </c>
      <c r="AE19" s="31">
        <f t="shared" si="11"/>
        <v>8</v>
      </c>
      <c r="AF19" s="31">
        <f t="shared" si="11"/>
        <v>66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2</v>
      </c>
      <c r="P20" s="15">
        <f t="shared" si="1"/>
        <v>11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59</v>
      </c>
      <c r="AD20" s="17">
        <f t="shared" si="12"/>
        <v>0</v>
      </c>
      <c r="AE20" s="31">
        <f t="shared" si="12"/>
        <v>7</v>
      </c>
      <c r="AF20" s="31">
        <f t="shared" si="12"/>
        <v>66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2</v>
      </c>
      <c r="P21" s="15">
        <f t="shared" si="1"/>
        <v>10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52</v>
      </c>
      <c r="AD21" s="17">
        <f t="shared" si="13"/>
        <v>0</v>
      </c>
      <c r="AE21" s="31">
        <f t="shared" si="13"/>
        <v>6</v>
      </c>
      <c r="AF21" s="31">
        <f t="shared" si="13"/>
        <v>58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1</v>
      </c>
      <c r="P22" s="15">
        <f t="shared" si="1"/>
        <v>7</v>
      </c>
      <c r="R22" s="38" t="s">
        <v>90</v>
      </c>
      <c r="S22" s="39">
        <f>MAX(S10:S12)</f>
        <v>4</v>
      </c>
      <c r="T22" s="39">
        <f t="shared" ref="T22:AF22" si="14">MAX(T10:T12)</f>
        <v>2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47</v>
      </c>
      <c r="AD22" s="39">
        <f t="shared" si="14"/>
        <v>0</v>
      </c>
      <c r="AE22" s="40">
        <f t="shared" si="14"/>
        <v>5</v>
      </c>
      <c r="AF22" s="40">
        <f t="shared" si="14"/>
        <v>52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4</v>
      </c>
      <c r="P23" s="15">
        <f t="shared" si="1"/>
        <v>10</v>
      </c>
      <c r="R23" s="38" t="s">
        <v>91</v>
      </c>
      <c r="S23" s="39">
        <f>MAX(S13:S18)</f>
        <v>8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55</v>
      </c>
      <c r="AD23" s="39">
        <f t="shared" si="15"/>
        <v>0</v>
      </c>
      <c r="AE23" s="40">
        <f t="shared" si="15"/>
        <v>11</v>
      </c>
      <c r="AF23" s="40">
        <f t="shared" si="15"/>
        <v>60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3</v>
      </c>
      <c r="P24" s="15">
        <f t="shared" si="1"/>
        <v>16</v>
      </c>
      <c r="R24" s="38" t="s">
        <v>92</v>
      </c>
      <c r="S24" s="39">
        <f>MAX(S19:S21)</f>
        <v>3</v>
      </c>
      <c r="T24" s="39">
        <f t="shared" ref="T24:AF24" si="16">MAX(T19:T21)</f>
        <v>1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4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59</v>
      </c>
      <c r="AD24" s="39">
        <f t="shared" si="16"/>
        <v>0</v>
      </c>
      <c r="AE24" s="40">
        <f t="shared" si="16"/>
        <v>8</v>
      </c>
      <c r="AF24" s="40">
        <f t="shared" si="16"/>
        <v>66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3</v>
      </c>
      <c r="P25" s="15">
        <f t="shared" si="1"/>
        <v>14</v>
      </c>
      <c r="R25" s="37" t="s">
        <v>85</v>
      </c>
      <c r="S25" s="35">
        <f t="shared" ref="S25:AF25" si="17">SUM(S10:S12)</f>
        <v>5</v>
      </c>
      <c r="T25" s="16">
        <f t="shared" si="17"/>
        <v>2</v>
      </c>
      <c r="U25" s="16">
        <f t="shared" si="17"/>
        <v>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86</v>
      </c>
      <c r="AD25" s="16">
        <f t="shared" si="17"/>
        <v>0</v>
      </c>
      <c r="AE25" s="32">
        <f t="shared" si="17"/>
        <v>11</v>
      </c>
      <c r="AF25" s="32">
        <f t="shared" si="17"/>
        <v>97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2</v>
      </c>
      <c r="P26" s="15">
        <f t="shared" si="1"/>
        <v>14</v>
      </c>
      <c r="R26" s="28" t="s">
        <v>86</v>
      </c>
      <c r="S26" s="16">
        <f t="shared" ref="S26:AF26" si="18">SUM(S13:S18)</f>
        <v>22</v>
      </c>
      <c r="T26" s="16">
        <f t="shared" si="18"/>
        <v>1</v>
      </c>
      <c r="U26" s="16">
        <f t="shared" si="18"/>
        <v>3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12</v>
      </c>
      <c r="Z26" s="16">
        <f t="shared" si="18"/>
        <v>5</v>
      </c>
      <c r="AA26" s="16">
        <f t="shared" si="18"/>
        <v>0</v>
      </c>
      <c r="AB26" s="16">
        <f t="shared" si="18"/>
        <v>0</v>
      </c>
      <c r="AC26" s="16">
        <f t="shared" si="18"/>
        <v>283</v>
      </c>
      <c r="AD26" s="16">
        <f t="shared" si="18"/>
        <v>0</v>
      </c>
      <c r="AE26" s="32">
        <f t="shared" si="18"/>
        <v>45</v>
      </c>
      <c r="AF26" s="32">
        <f t="shared" si="18"/>
        <v>328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2</v>
      </c>
      <c r="P27" s="15">
        <f t="shared" si="1"/>
        <v>9</v>
      </c>
      <c r="R27" s="29" t="s">
        <v>87</v>
      </c>
      <c r="S27" s="16">
        <f t="shared" ref="S27:AF27" si="19">SUM(S19:S21)</f>
        <v>8</v>
      </c>
      <c r="T27" s="16">
        <f t="shared" si="19"/>
        <v>1</v>
      </c>
      <c r="U27" s="16">
        <f t="shared" si="19"/>
        <v>1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8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169</v>
      </c>
      <c r="AD27" s="16">
        <f t="shared" si="19"/>
        <v>0</v>
      </c>
      <c r="AE27" s="32">
        <f t="shared" si="19"/>
        <v>21</v>
      </c>
      <c r="AF27" s="32">
        <f t="shared" si="19"/>
        <v>190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4</v>
      </c>
      <c r="P28" s="15">
        <f t="shared" si="1"/>
        <v>19</v>
      </c>
      <c r="R28" s="5" t="s">
        <v>17</v>
      </c>
      <c r="S28" s="16">
        <f t="shared" ref="S28:AF28" si="20">SUM(S10:S21)</f>
        <v>35</v>
      </c>
      <c r="T28" s="16">
        <f t="shared" si="20"/>
        <v>4</v>
      </c>
      <c r="U28" s="16">
        <f t="shared" si="20"/>
        <v>5</v>
      </c>
      <c r="V28" s="16">
        <f t="shared" si="20"/>
        <v>5</v>
      </c>
      <c r="W28" s="16">
        <f t="shared" si="20"/>
        <v>0</v>
      </c>
      <c r="X28" s="16">
        <f t="shared" si="20"/>
        <v>0</v>
      </c>
      <c r="Y28" s="16">
        <f t="shared" si="20"/>
        <v>21</v>
      </c>
      <c r="Z28" s="16">
        <f t="shared" si="20"/>
        <v>6</v>
      </c>
      <c r="AA28" s="16">
        <f t="shared" si="20"/>
        <v>1</v>
      </c>
      <c r="AB28" s="16">
        <f t="shared" si="20"/>
        <v>0</v>
      </c>
      <c r="AC28" s="16">
        <f t="shared" si="20"/>
        <v>538</v>
      </c>
      <c r="AD28" s="16">
        <f t="shared" si="20"/>
        <v>0</v>
      </c>
      <c r="AE28" s="32">
        <f t="shared" si="20"/>
        <v>77</v>
      </c>
      <c r="AF28" s="32">
        <f t="shared" si="20"/>
        <v>615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0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2</v>
      </c>
      <c r="P30" s="15">
        <f t="shared" si="1"/>
        <v>17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2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1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4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2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1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10</v>
      </c>
      <c r="N36" s="50">
        <v>0</v>
      </c>
      <c r="O36" s="15">
        <f t="shared" si="0"/>
        <v>2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1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1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2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0</v>
      </c>
      <c r="P40" s="15">
        <f t="shared" si="1"/>
        <v>14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3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1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0</v>
      </c>
      <c r="P43" s="15">
        <f t="shared" si="1"/>
        <v>15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0</v>
      </c>
      <c r="P44" s="15">
        <f t="shared" si="1"/>
        <v>16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4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3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17</v>
      </c>
      <c r="N47" s="50">
        <v>0</v>
      </c>
      <c r="O47" s="15">
        <f t="shared" si="0"/>
        <v>2</v>
      </c>
      <c r="P47" s="15">
        <f t="shared" si="1"/>
        <v>19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2</v>
      </c>
      <c r="P48" s="15">
        <f t="shared" si="1"/>
        <v>10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1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3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0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2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2</v>
      </c>
      <c r="P53" s="15">
        <f t="shared" si="1"/>
        <v>12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11</v>
      </c>
      <c r="N54" s="50">
        <v>0</v>
      </c>
      <c r="O54" s="15">
        <f t="shared" si="0"/>
        <v>3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2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13</v>
      </c>
      <c r="N56" s="50">
        <v>0</v>
      </c>
      <c r="O56" s="15">
        <f t="shared" si="0"/>
        <v>0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18</v>
      </c>
      <c r="N57" s="50">
        <v>0</v>
      </c>
      <c r="O57" s="15">
        <f t="shared" si="0"/>
        <v>1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</v>
      </c>
      <c r="D58" s="16">
        <f t="shared" si="21"/>
        <v>4</v>
      </c>
      <c r="E58" s="16">
        <f t="shared" si="21"/>
        <v>5</v>
      </c>
      <c r="F58" s="16">
        <f t="shared" si="21"/>
        <v>5</v>
      </c>
      <c r="G58" s="16">
        <f t="shared" si="21"/>
        <v>0</v>
      </c>
      <c r="H58" s="16">
        <f t="shared" si="21"/>
        <v>0</v>
      </c>
      <c r="I58" s="16">
        <f t="shared" si="21"/>
        <v>21</v>
      </c>
      <c r="J58" s="16">
        <f t="shared" si="21"/>
        <v>6</v>
      </c>
      <c r="K58" s="16">
        <f t="shared" si="21"/>
        <v>1</v>
      </c>
      <c r="L58" s="16">
        <f t="shared" si="21"/>
        <v>0</v>
      </c>
      <c r="M58" s="16">
        <f t="shared" si="21"/>
        <v>538</v>
      </c>
      <c r="N58" s="16">
        <f t="shared" si="21"/>
        <v>0</v>
      </c>
      <c r="O58" s="16">
        <f t="shared" si="21"/>
        <v>77</v>
      </c>
      <c r="P58" s="16">
        <f t="shared" si="21"/>
        <v>615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5.6910569105691054E-2</v>
      </c>
      <c r="D59" s="43">
        <f t="shared" si="22"/>
        <v>6.5040650406504065E-3</v>
      </c>
      <c r="E59" s="43">
        <f t="shared" si="22"/>
        <v>8.130081300813009E-3</v>
      </c>
      <c r="F59" s="43">
        <f t="shared" si="22"/>
        <v>8.130081300813009E-3</v>
      </c>
      <c r="G59" s="43">
        <f t="shared" si="22"/>
        <v>0</v>
      </c>
      <c r="H59" s="43">
        <f t="shared" si="22"/>
        <v>0</v>
      </c>
      <c r="I59" s="43">
        <f t="shared" si="22"/>
        <v>3.4146341463414637E-2</v>
      </c>
      <c r="J59" s="43">
        <f t="shared" si="22"/>
        <v>9.7560975609756097E-3</v>
      </c>
      <c r="K59" s="43">
        <f t="shared" si="22"/>
        <v>1.6260162601626016E-3</v>
      </c>
      <c r="L59" s="43">
        <f t="shared" si="22"/>
        <v>0</v>
      </c>
      <c r="M59" s="43">
        <f t="shared" si="22"/>
        <v>0.87479674796747964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0.45454545454545453</v>
      </c>
      <c r="D60" s="44">
        <f t="shared" ref="D60:N60" si="23">D58/$O$58</f>
        <v>5.1948051948051951E-2</v>
      </c>
      <c r="E60" s="44">
        <f t="shared" si="23"/>
        <v>6.4935064935064929E-2</v>
      </c>
      <c r="F60" s="44">
        <f t="shared" si="23"/>
        <v>6.4935064935064929E-2</v>
      </c>
      <c r="G60" s="44">
        <f t="shared" si="23"/>
        <v>0</v>
      </c>
      <c r="H60" s="44">
        <f t="shared" si="23"/>
        <v>0</v>
      </c>
      <c r="I60" s="44">
        <f t="shared" si="23"/>
        <v>0.27272727272727271</v>
      </c>
      <c r="J60" s="44">
        <f t="shared" si="23"/>
        <v>7.792207792207792E-2</v>
      </c>
      <c r="K60" s="44">
        <f t="shared" si="23"/>
        <v>1.2987012987012988E-2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'19.10 MITYANA-KANONI-24h'!G5:H5</f>
        <v>VICA MAIZE MILLERS</v>
      </c>
      <c r="H5" s="67"/>
      <c r="I5" s="14"/>
      <c r="J5" s="2" t="s">
        <v>5</v>
      </c>
      <c r="K5" s="66" t="s">
        <v>171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KANONI-MITYANA'!D6:E6</f>
        <v>KANONI</v>
      </c>
      <c r="E6" s="67"/>
      <c r="F6" s="2" t="s">
        <v>2</v>
      </c>
      <c r="G6" s="66" t="str">
        <f>'17.10 KANONI-MITYANA'!G6:H6</f>
        <v>MITYANA</v>
      </c>
      <c r="H6" s="67"/>
      <c r="J6" s="2" t="s">
        <v>21</v>
      </c>
      <c r="K6" s="66" t="str">
        <f>'19.10 MITYANA-KANONI-24h'!K6:L6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34</v>
      </c>
      <c r="AD10" s="17">
        <f t="shared" si="2"/>
        <v>0</v>
      </c>
      <c r="AE10" s="31">
        <f t="shared" si="2"/>
        <v>4</v>
      </c>
      <c r="AF10" s="31">
        <f t="shared" si="2"/>
        <v>38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0</v>
      </c>
      <c r="P11" s="15">
        <f t="shared" si="1"/>
        <v>10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34</v>
      </c>
      <c r="AD11" s="17">
        <f t="shared" si="3"/>
        <v>0</v>
      </c>
      <c r="AE11" s="31">
        <f t="shared" si="3"/>
        <v>4</v>
      </c>
      <c r="AF11" s="31">
        <f t="shared" si="3"/>
        <v>38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1</v>
      </c>
      <c r="L12" s="50">
        <v>0</v>
      </c>
      <c r="M12" s="50">
        <v>6</v>
      </c>
      <c r="N12" s="50">
        <v>0</v>
      </c>
      <c r="O12" s="15">
        <f t="shared" si="0"/>
        <v>4</v>
      </c>
      <c r="P12" s="15">
        <f t="shared" si="1"/>
        <v>10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36</v>
      </c>
      <c r="AD12" s="17">
        <f t="shared" si="4"/>
        <v>0</v>
      </c>
      <c r="AE12" s="31">
        <f t="shared" si="4"/>
        <v>10</v>
      </c>
      <c r="AF12" s="31">
        <f t="shared" si="4"/>
        <v>46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0</v>
      </c>
      <c r="P13" s="15">
        <f t="shared" si="1"/>
        <v>11</v>
      </c>
      <c r="R13" s="1" t="s">
        <v>9</v>
      </c>
      <c r="S13" s="17">
        <f t="shared" ref="S13:AF13" si="5">SUM(C22:C25)</f>
        <v>0</v>
      </c>
      <c r="T13" s="17">
        <f t="shared" si="5"/>
        <v>1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51</v>
      </c>
      <c r="AD13" s="17">
        <f t="shared" si="5"/>
        <v>0</v>
      </c>
      <c r="AE13" s="31">
        <f t="shared" si="5"/>
        <v>3</v>
      </c>
      <c r="AF13" s="31">
        <f t="shared" si="5"/>
        <v>54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2</v>
      </c>
      <c r="P14" s="15">
        <f t="shared" si="1"/>
        <v>10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30</v>
      </c>
      <c r="AD14" s="17">
        <f t="shared" si="6"/>
        <v>0</v>
      </c>
      <c r="AE14" s="31">
        <f t="shared" si="6"/>
        <v>1</v>
      </c>
      <c r="AF14" s="31">
        <f t="shared" si="6"/>
        <v>31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44</v>
      </c>
      <c r="AD15" s="17">
        <f t="shared" si="7"/>
        <v>0</v>
      </c>
      <c r="AE15" s="31">
        <f t="shared" si="7"/>
        <v>3</v>
      </c>
      <c r="AF15" s="31">
        <f t="shared" si="7"/>
        <v>47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0</v>
      </c>
      <c r="P16" s="15">
        <f t="shared" si="1"/>
        <v>16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41</v>
      </c>
      <c r="AD16" s="17">
        <f t="shared" si="8"/>
        <v>0</v>
      </c>
      <c r="AE16" s="31">
        <f t="shared" si="8"/>
        <v>7</v>
      </c>
      <c r="AF16" s="31">
        <f t="shared" si="8"/>
        <v>48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0</v>
      </c>
      <c r="P17" s="15">
        <f t="shared" si="1"/>
        <v>2</v>
      </c>
      <c r="R17" s="1" t="s">
        <v>13</v>
      </c>
      <c r="S17" s="17">
        <f t="shared" ref="S17:AF17" si="9">SUM(C38:C41)</f>
        <v>6</v>
      </c>
      <c r="T17" s="17">
        <f t="shared" si="9"/>
        <v>1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52</v>
      </c>
      <c r="AD17" s="17">
        <f t="shared" si="9"/>
        <v>0</v>
      </c>
      <c r="AE17" s="31">
        <f t="shared" si="9"/>
        <v>12</v>
      </c>
      <c r="AF17" s="31">
        <f t="shared" si="9"/>
        <v>64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4</v>
      </c>
      <c r="P18" s="15">
        <f t="shared" si="1"/>
        <v>12</v>
      </c>
      <c r="R18" s="1" t="s">
        <v>14</v>
      </c>
      <c r="S18" s="17">
        <f t="shared" ref="S18:AF18" si="10">SUM(C42:C45)</f>
        <v>0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51</v>
      </c>
      <c r="AD18" s="17">
        <f t="shared" si="10"/>
        <v>0</v>
      </c>
      <c r="AE18" s="31">
        <f t="shared" si="10"/>
        <v>1</v>
      </c>
      <c r="AF18" s="31">
        <f t="shared" si="10"/>
        <v>52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1</v>
      </c>
      <c r="P19" s="15">
        <f t="shared" si="1"/>
        <v>12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47</v>
      </c>
      <c r="AD19" s="17">
        <f t="shared" si="11"/>
        <v>0</v>
      </c>
      <c r="AE19" s="31">
        <f t="shared" si="11"/>
        <v>8</v>
      </c>
      <c r="AF19" s="31">
        <f t="shared" si="11"/>
        <v>55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2</v>
      </c>
      <c r="P20" s="15">
        <f t="shared" si="1"/>
        <v>14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71</v>
      </c>
      <c r="AD20" s="17">
        <f t="shared" si="12"/>
        <v>0</v>
      </c>
      <c r="AE20" s="31">
        <f t="shared" si="12"/>
        <v>8</v>
      </c>
      <c r="AF20" s="31">
        <f t="shared" si="12"/>
        <v>79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3</v>
      </c>
      <c r="P21" s="15">
        <f t="shared" si="1"/>
        <v>8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1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54</v>
      </c>
      <c r="AD21" s="17">
        <f t="shared" si="13"/>
        <v>0</v>
      </c>
      <c r="AE21" s="31">
        <f t="shared" si="13"/>
        <v>9</v>
      </c>
      <c r="AF21" s="31">
        <f t="shared" si="13"/>
        <v>63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0</v>
      </c>
      <c r="P22" s="15">
        <f t="shared" si="1"/>
        <v>10</v>
      </c>
      <c r="R22" s="36" t="s">
        <v>146</v>
      </c>
      <c r="S22" s="34">
        <f>SUM(C58:C61)</f>
        <v>7</v>
      </c>
      <c r="T22" s="34">
        <f t="shared" ref="T22:AF22" si="14">SUM(D58:D61)</f>
        <v>0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58</v>
      </c>
      <c r="AD22" s="34">
        <f t="shared" si="14"/>
        <v>0</v>
      </c>
      <c r="AE22" s="31">
        <f t="shared" si="14"/>
        <v>12</v>
      </c>
      <c r="AF22" s="31">
        <f t="shared" si="14"/>
        <v>70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0</v>
      </c>
      <c r="P23" s="15">
        <f t="shared" si="1"/>
        <v>8</v>
      </c>
      <c r="R23" s="36" t="s">
        <v>147</v>
      </c>
      <c r="S23" s="34">
        <f>SUM(C62:C65)</f>
        <v>2</v>
      </c>
      <c r="T23" s="34">
        <f t="shared" ref="T23:AF23" si="15">SUM(D62:D65)</f>
        <v>1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33</v>
      </c>
      <c r="AD23" s="34">
        <f t="shared" si="15"/>
        <v>0</v>
      </c>
      <c r="AE23" s="31">
        <f t="shared" si="15"/>
        <v>9</v>
      </c>
      <c r="AF23" s="31">
        <f t="shared" si="15"/>
        <v>42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3</v>
      </c>
      <c r="P24" s="15">
        <f t="shared" si="1"/>
        <v>25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20</v>
      </c>
      <c r="AD24" s="34">
        <f t="shared" si="16"/>
        <v>0</v>
      </c>
      <c r="AE24" s="31">
        <f t="shared" si="16"/>
        <v>2</v>
      </c>
      <c r="AF24" s="31">
        <f t="shared" si="16"/>
        <v>22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0</v>
      </c>
      <c r="P25" s="15">
        <f t="shared" si="1"/>
        <v>11</v>
      </c>
      <c r="R25" s="36" t="s">
        <v>149</v>
      </c>
      <c r="S25" s="34">
        <f>SUM(C70:C73)</f>
        <v>0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10</v>
      </c>
      <c r="AD25" s="34">
        <f t="shared" si="17"/>
        <v>0</v>
      </c>
      <c r="AE25" s="31">
        <f t="shared" si="17"/>
        <v>3</v>
      </c>
      <c r="AF25" s="31">
        <f t="shared" si="17"/>
        <v>13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1</v>
      </c>
      <c r="P26" s="15">
        <f t="shared" si="1"/>
        <v>11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5</v>
      </c>
      <c r="AD26" s="34">
        <f t="shared" si="18"/>
        <v>0</v>
      </c>
      <c r="AE26" s="31">
        <f t="shared" si="18"/>
        <v>2</v>
      </c>
      <c r="AF26" s="31">
        <f t="shared" si="18"/>
        <v>7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0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0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0</v>
      </c>
      <c r="P28" s="15">
        <f t="shared" si="1"/>
        <v>6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0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0</v>
      </c>
      <c r="P29" s="15">
        <f t="shared" si="1"/>
        <v>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1</v>
      </c>
      <c r="P30" s="15">
        <f t="shared" si="1"/>
        <v>8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1</v>
      </c>
      <c r="P31" s="15">
        <f t="shared" si="1"/>
        <v>12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1</v>
      </c>
      <c r="P32" s="15">
        <f t="shared" si="1"/>
        <v>14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0</v>
      </c>
      <c r="AF32" s="31">
        <f t="shared" si="24"/>
        <v>2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0</v>
      </c>
      <c r="P33" s="15">
        <f t="shared" si="1"/>
        <v>13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18</v>
      </c>
      <c r="AD33" s="34">
        <f t="shared" si="25"/>
        <v>0</v>
      </c>
      <c r="AE33" s="31">
        <f t="shared" si="25"/>
        <v>0</v>
      </c>
      <c r="AF33" s="31">
        <f t="shared" si="25"/>
        <v>18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1</v>
      </c>
      <c r="P34" s="15">
        <f t="shared" si="1"/>
        <v>10</v>
      </c>
      <c r="R34" s="38" t="s">
        <v>90</v>
      </c>
      <c r="S34" s="39">
        <f t="shared" ref="S34:AF34" si="26">MAX(S10:S12)</f>
        <v>5</v>
      </c>
      <c r="T34" s="39">
        <f t="shared" si="26"/>
        <v>0</v>
      </c>
      <c r="U34" s="39">
        <f t="shared" si="26"/>
        <v>1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0</v>
      </c>
      <c r="AA34" s="39">
        <f t="shared" si="26"/>
        <v>1</v>
      </c>
      <c r="AB34" s="39">
        <f t="shared" si="26"/>
        <v>0</v>
      </c>
      <c r="AC34" s="39">
        <f t="shared" si="26"/>
        <v>36</v>
      </c>
      <c r="AD34" s="39">
        <f t="shared" si="26"/>
        <v>0</v>
      </c>
      <c r="AE34" s="40">
        <f t="shared" si="26"/>
        <v>10</v>
      </c>
      <c r="AF34" s="40">
        <f t="shared" si="26"/>
        <v>46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9</v>
      </c>
      <c r="N35" s="50">
        <v>0</v>
      </c>
      <c r="O35" s="15">
        <f t="shared" si="0"/>
        <v>1</v>
      </c>
      <c r="P35" s="15">
        <f t="shared" si="1"/>
        <v>10</v>
      </c>
      <c r="R35" s="38" t="s">
        <v>91</v>
      </c>
      <c r="S35" s="39">
        <f t="shared" ref="S35:AF35" si="27">MAX(S13:S18)</f>
        <v>6</v>
      </c>
      <c r="T35" s="39">
        <f t="shared" si="27"/>
        <v>1</v>
      </c>
      <c r="U35" s="39">
        <f t="shared" si="27"/>
        <v>3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4</v>
      </c>
      <c r="Z35" s="39">
        <f t="shared" si="27"/>
        <v>0</v>
      </c>
      <c r="AA35" s="39">
        <f t="shared" si="27"/>
        <v>0</v>
      </c>
      <c r="AB35" s="39">
        <f t="shared" si="27"/>
        <v>0</v>
      </c>
      <c r="AC35" s="39">
        <f t="shared" si="27"/>
        <v>52</v>
      </c>
      <c r="AD35" s="39">
        <f t="shared" si="27"/>
        <v>0</v>
      </c>
      <c r="AE35" s="40">
        <f t="shared" si="27"/>
        <v>12</v>
      </c>
      <c r="AF35" s="40">
        <f t="shared" si="27"/>
        <v>64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5">
        <f t="shared" si="0"/>
        <v>3</v>
      </c>
      <c r="P36" s="15">
        <f t="shared" si="1"/>
        <v>15</v>
      </c>
      <c r="R36" s="38" t="s">
        <v>92</v>
      </c>
      <c r="S36" s="39">
        <f t="shared" ref="S36:AF36" si="28">MAX(S19:S21)</f>
        <v>4</v>
      </c>
      <c r="T36" s="39">
        <f t="shared" si="28"/>
        <v>1</v>
      </c>
      <c r="U36" s="39">
        <f t="shared" si="28"/>
        <v>2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71</v>
      </c>
      <c r="AD36" s="39">
        <f t="shared" si="28"/>
        <v>0</v>
      </c>
      <c r="AE36" s="40">
        <f t="shared" si="28"/>
        <v>9</v>
      </c>
      <c r="AF36" s="40">
        <f t="shared" si="28"/>
        <v>79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2</v>
      </c>
      <c r="P37" s="15">
        <f t="shared" si="1"/>
        <v>13</v>
      </c>
      <c r="R37" s="37" t="s">
        <v>85</v>
      </c>
      <c r="S37" s="35">
        <f t="shared" ref="S37:AF37" si="29">SUM(S10:S12)</f>
        <v>8</v>
      </c>
      <c r="T37" s="16">
        <f t="shared" si="29"/>
        <v>0</v>
      </c>
      <c r="U37" s="16">
        <f t="shared" si="29"/>
        <v>1</v>
      </c>
      <c r="V37" s="16">
        <f t="shared" si="29"/>
        <v>4</v>
      </c>
      <c r="W37" s="16">
        <f t="shared" si="29"/>
        <v>0</v>
      </c>
      <c r="X37" s="16">
        <f t="shared" si="29"/>
        <v>0</v>
      </c>
      <c r="Y37" s="16">
        <f t="shared" si="29"/>
        <v>4</v>
      </c>
      <c r="Z37" s="16">
        <f t="shared" si="29"/>
        <v>0</v>
      </c>
      <c r="AA37" s="16">
        <f t="shared" si="29"/>
        <v>1</v>
      </c>
      <c r="AB37" s="16">
        <f t="shared" si="29"/>
        <v>0</v>
      </c>
      <c r="AC37" s="16">
        <f t="shared" si="29"/>
        <v>104</v>
      </c>
      <c r="AD37" s="16">
        <f t="shared" si="29"/>
        <v>0</v>
      </c>
      <c r="AE37" s="32">
        <f t="shared" si="29"/>
        <v>18</v>
      </c>
      <c r="AF37" s="32">
        <f t="shared" si="29"/>
        <v>122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1</v>
      </c>
      <c r="P38" s="15">
        <f t="shared" si="1"/>
        <v>10</v>
      </c>
      <c r="R38" s="28" t="s">
        <v>86</v>
      </c>
      <c r="S38" s="16">
        <f t="shared" ref="S38:AF38" si="30">SUM(S13:S18)</f>
        <v>8</v>
      </c>
      <c r="T38" s="16">
        <f t="shared" si="30"/>
        <v>2</v>
      </c>
      <c r="U38" s="16">
        <f t="shared" si="30"/>
        <v>5</v>
      </c>
      <c r="V38" s="16">
        <f t="shared" si="30"/>
        <v>3</v>
      </c>
      <c r="W38" s="16">
        <f t="shared" si="30"/>
        <v>0</v>
      </c>
      <c r="X38" s="16">
        <f t="shared" si="30"/>
        <v>0</v>
      </c>
      <c r="Y38" s="16">
        <f t="shared" si="30"/>
        <v>9</v>
      </c>
      <c r="Z38" s="16">
        <f t="shared" si="30"/>
        <v>0</v>
      </c>
      <c r="AA38" s="16">
        <f t="shared" si="30"/>
        <v>0</v>
      </c>
      <c r="AB38" s="16">
        <f t="shared" si="30"/>
        <v>0</v>
      </c>
      <c r="AC38" s="16">
        <f t="shared" si="30"/>
        <v>269</v>
      </c>
      <c r="AD38" s="16">
        <f t="shared" si="30"/>
        <v>0</v>
      </c>
      <c r="AE38" s="32">
        <f t="shared" si="30"/>
        <v>27</v>
      </c>
      <c r="AF38" s="32">
        <f t="shared" si="30"/>
        <v>296</v>
      </c>
    </row>
    <row r="39" spans="2:32" ht="23.1" customHeight="1" x14ac:dyDescent="0.25">
      <c r="B39" s="46" t="s">
        <v>66</v>
      </c>
      <c r="C39" s="50">
        <v>3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5</v>
      </c>
      <c r="P39" s="15">
        <f t="shared" si="1"/>
        <v>22</v>
      </c>
      <c r="R39" s="29" t="s">
        <v>87</v>
      </c>
      <c r="S39" s="16">
        <f t="shared" ref="S39:AF39" si="31">SUM(S19:S21)</f>
        <v>11</v>
      </c>
      <c r="T39" s="16">
        <f t="shared" si="31"/>
        <v>1</v>
      </c>
      <c r="U39" s="16">
        <f t="shared" si="31"/>
        <v>4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172</v>
      </c>
      <c r="AD39" s="16">
        <f t="shared" si="31"/>
        <v>0</v>
      </c>
      <c r="AE39" s="32">
        <f t="shared" si="31"/>
        <v>25</v>
      </c>
      <c r="AF39" s="32">
        <f t="shared" si="31"/>
        <v>197</v>
      </c>
    </row>
    <row r="40" spans="2:32" ht="23.1" customHeight="1" x14ac:dyDescent="0.25">
      <c r="B40" s="46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4</v>
      </c>
      <c r="P40" s="15">
        <f t="shared" si="1"/>
        <v>19</v>
      </c>
      <c r="R40" s="5" t="s">
        <v>17</v>
      </c>
      <c r="S40" s="16">
        <f t="shared" ref="S40:AF40" si="32">SUM(S10:S21)</f>
        <v>27</v>
      </c>
      <c r="T40" s="16">
        <f t="shared" si="32"/>
        <v>3</v>
      </c>
      <c r="U40" s="16">
        <f t="shared" si="32"/>
        <v>10</v>
      </c>
      <c r="V40" s="16">
        <f t="shared" si="32"/>
        <v>8</v>
      </c>
      <c r="W40" s="16">
        <f t="shared" si="32"/>
        <v>0</v>
      </c>
      <c r="X40" s="16">
        <f t="shared" si="32"/>
        <v>0</v>
      </c>
      <c r="Y40" s="16">
        <f t="shared" si="32"/>
        <v>21</v>
      </c>
      <c r="Z40" s="16">
        <f t="shared" si="32"/>
        <v>0</v>
      </c>
      <c r="AA40" s="16">
        <f t="shared" si="32"/>
        <v>1</v>
      </c>
      <c r="AB40" s="16">
        <f t="shared" si="32"/>
        <v>0</v>
      </c>
      <c r="AC40" s="16">
        <f t="shared" si="32"/>
        <v>545</v>
      </c>
      <c r="AD40" s="16">
        <f t="shared" si="32"/>
        <v>0</v>
      </c>
      <c r="AE40" s="32">
        <f t="shared" si="32"/>
        <v>70</v>
      </c>
      <c r="AF40" s="32">
        <f t="shared" si="32"/>
        <v>615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2</v>
      </c>
      <c r="P41" s="15">
        <f t="shared" si="1"/>
        <v>13</v>
      </c>
      <c r="R41" s="5" t="s">
        <v>159</v>
      </c>
      <c r="S41" s="16">
        <f>SUM(S10:S33)</f>
        <v>37</v>
      </c>
      <c r="T41" s="16">
        <f t="shared" ref="T41:AF41" si="33">SUM(T10:T33)</f>
        <v>5</v>
      </c>
      <c r="U41" s="16">
        <f t="shared" si="33"/>
        <v>11</v>
      </c>
      <c r="V41" s="16">
        <f t="shared" si="33"/>
        <v>9</v>
      </c>
      <c r="W41" s="16">
        <f t="shared" si="33"/>
        <v>0</v>
      </c>
      <c r="X41" s="16">
        <f t="shared" si="33"/>
        <v>0</v>
      </c>
      <c r="Y41" s="16">
        <f t="shared" si="33"/>
        <v>29</v>
      </c>
      <c r="Z41" s="16">
        <f t="shared" si="33"/>
        <v>1</v>
      </c>
      <c r="AA41" s="16">
        <f t="shared" si="33"/>
        <v>6</v>
      </c>
      <c r="AB41" s="16">
        <f t="shared" si="33"/>
        <v>0</v>
      </c>
      <c r="AC41" s="16">
        <f t="shared" si="33"/>
        <v>697</v>
      </c>
      <c r="AD41" s="16">
        <f t="shared" si="33"/>
        <v>0</v>
      </c>
      <c r="AE41" s="32">
        <f t="shared" si="33"/>
        <v>98</v>
      </c>
      <c r="AF41" s="32">
        <f t="shared" si="33"/>
        <v>795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0</v>
      </c>
      <c r="P42" s="15">
        <f t="shared" si="1"/>
        <v>13</v>
      </c>
      <c r="R42" s="5" t="s">
        <v>160</v>
      </c>
      <c r="S42" s="48">
        <f>S41/S40</f>
        <v>1.3703703703703705</v>
      </c>
      <c r="T42" s="48">
        <f t="shared" ref="T42:AF42" si="34">T41/T40</f>
        <v>1.6666666666666667</v>
      </c>
      <c r="U42" s="48">
        <f t="shared" si="34"/>
        <v>1.1000000000000001</v>
      </c>
      <c r="V42" s="48">
        <f t="shared" si="34"/>
        <v>1.125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1.3809523809523809</v>
      </c>
      <c r="Z42" s="48" t="e">
        <f t="shared" si="34"/>
        <v>#DIV/0!</v>
      </c>
      <c r="AA42" s="48">
        <f t="shared" si="34"/>
        <v>6</v>
      </c>
      <c r="AB42" s="48" t="e">
        <f t="shared" si="34"/>
        <v>#DIV/0!</v>
      </c>
      <c r="AC42" s="48">
        <f t="shared" si="34"/>
        <v>1.2788990825688074</v>
      </c>
      <c r="AD42" s="48" t="e">
        <f t="shared" si="34"/>
        <v>#DIV/0!</v>
      </c>
      <c r="AE42" s="48">
        <f t="shared" si="34"/>
        <v>1.4</v>
      </c>
      <c r="AF42" s="48">
        <f t="shared" si="34"/>
        <v>1.2926829268292683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0</v>
      </c>
      <c r="P43" s="15">
        <f t="shared" si="1"/>
        <v>16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1</v>
      </c>
      <c r="P44" s="15">
        <f t="shared" si="1"/>
        <v>10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0</v>
      </c>
      <c r="P45" s="15">
        <f t="shared" si="1"/>
        <v>13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4</v>
      </c>
      <c r="P46" s="15">
        <f t="shared" si="1"/>
        <v>18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0</v>
      </c>
      <c r="P47" s="15">
        <f t="shared" si="1"/>
        <v>12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1</v>
      </c>
      <c r="P48" s="15">
        <f t="shared" si="1"/>
        <v>14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3</v>
      </c>
      <c r="P49" s="15">
        <f t="shared" si="1"/>
        <v>11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5">
        <f t="shared" si="0"/>
        <v>2</v>
      </c>
      <c r="P50" s="15">
        <f t="shared" si="1"/>
        <v>24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4</v>
      </c>
      <c r="P51" s="15">
        <f t="shared" si="1"/>
        <v>17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1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23</v>
      </c>
      <c r="N53" s="50">
        <v>0</v>
      </c>
      <c r="O53" s="15">
        <f t="shared" si="0"/>
        <v>1</v>
      </c>
      <c r="P53" s="15">
        <f t="shared" si="1"/>
        <v>24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1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6</v>
      </c>
      <c r="N54" s="50">
        <v>0</v>
      </c>
      <c r="O54" s="15">
        <f t="shared" si="0"/>
        <v>5</v>
      </c>
      <c r="P54" s="15">
        <f t="shared" si="1"/>
        <v>11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2</v>
      </c>
      <c r="P55" s="15">
        <f t="shared" si="1"/>
        <v>14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23</v>
      </c>
      <c r="N56" s="50">
        <v>0</v>
      </c>
      <c r="O56" s="15">
        <f t="shared" si="0"/>
        <v>0</v>
      </c>
      <c r="P56" s="15">
        <f t="shared" si="1"/>
        <v>23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13</v>
      </c>
      <c r="N57" s="50">
        <v>0</v>
      </c>
      <c r="O57" s="15">
        <f t="shared" si="0"/>
        <v>2</v>
      </c>
      <c r="P57" s="15">
        <f t="shared" si="1"/>
        <v>15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1</v>
      </c>
      <c r="L58" s="50">
        <v>0</v>
      </c>
      <c r="M58" s="50">
        <v>15</v>
      </c>
      <c r="N58" s="50"/>
      <c r="O58" s="15">
        <f t="shared" si="0"/>
        <v>5</v>
      </c>
      <c r="P58" s="15">
        <f t="shared" si="1"/>
        <v>20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14</v>
      </c>
      <c r="N59" s="50">
        <v>0</v>
      </c>
      <c r="O59" s="15">
        <f t="shared" si="0"/>
        <v>0</v>
      </c>
      <c r="P59" s="15">
        <f t="shared" si="1"/>
        <v>14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15</v>
      </c>
      <c r="N60" s="50">
        <v>0</v>
      </c>
      <c r="O60" s="15">
        <f t="shared" si="0"/>
        <v>6</v>
      </c>
      <c r="P60" s="15">
        <f t="shared" si="1"/>
        <v>21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0"/>
        <v>1</v>
      </c>
      <c r="P61" s="15">
        <f t="shared" si="1"/>
        <v>15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2</v>
      </c>
      <c r="J62" s="50">
        <v>0</v>
      </c>
      <c r="K62" s="50">
        <v>1</v>
      </c>
      <c r="L62" s="50">
        <v>0</v>
      </c>
      <c r="M62" s="50">
        <v>15</v>
      </c>
      <c r="N62" s="50">
        <v>0</v>
      </c>
      <c r="O62" s="15">
        <f t="shared" si="0"/>
        <v>4</v>
      </c>
      <c r="P62" s="15">
        <f t="shared" si="1"/>
        <v>19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5</v>
      </c>
      <c r="N63" s="50">
        <v>0</v>
      </c>
      <c r="O63" s="15">
        <f t="shared" si="0"/>
        <v>1</v>
      </c>
      <c r="P63" s="15">
        <f t="shared" si="1"/>
        <v>6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8</v>
      </c>
      <c r="N64" s="50">
        <v>0</v>
      </c>
      <c r="O64" s="15">
        <f t="shared" si="0"/>
        <v>2</v>
      </c>
      <c r="P64" s="15">
        <f t="shared" si="1"/>
        <v>10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5</v>
      </c>
      <c r="N65" s="50">
        <v>0</v>
      </c>
      <c r="O65" s="15">
        <f t="shared" si="0"/>
        <v>2</v>
      </c>
      <c r="P65" s="15">
        <f t="shared" si="1"/>
        <v>7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1</v>
      </c>
      <c r="L66" s="50">
        <v>0</v>
      </c>
      <c r="M66" s="50">
        <v>3</v>
      </c>
      <c r="N66" s="50">
        <v>0</v>
      </c>
      <c r="O66" s="15">
        <f t="shared" si="0"/>
        <v>1</v>
      </c>
      <c r="P66" s="15">
        <f t="shared" si="1"/>
        <v>4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7</v>
      </c>
      <c r="N67" s="50">
        <v>0</v>
      </c>
      <c r="O67" s="15">
        <f t="shared" si="0"/>
        <v>1</v>
      </c>
      <c r="P67" s="15">
        <f t="shared" si="1"/>
        <v>8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0</v>
      </c>
      <c r="P68" s="15">
        <f t="shared" si="1"/>
        <v>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6</v>
      </c>
      <c r="N69" s="50">
        <v>0</v>
      </c>
      <c r="O69" s="15">
        <f t="shared" si="0"/>
        <v>0</v>
      </c>
      <c r="P69" s="15">
        <f t="shared" si="1"/>
        <v>6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</v>
      </c>
      <c r="N70" s="50">
        <v>0</v>
      </c>
      <c r="O70" s="15">
        <f t="shared" si="0"/>
        <v>0</v>
      </c>
      <c r="P70" s="15">
        <f t="shared" si="1"/>
        <v>1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0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1</v>
      </c>
      <c r="L72" s="50">
        <v>0</v>
      </c>
      <c r="M72" s="50">
        <v>3</v>
      </c>
      <c r="N72" s="50">
        <v>0</v>
      </c>
      <c r="O72" s="15">
        <f t="shared" si="0"/>
        <v>2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1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1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1</v>
      </c>
      <c r="L75" s="50">
        <v>0</v>
      </c>
      <c r="M75" s="50">
        <v>2</v>
      </c>
      <c r="N75" s="50">
        <v>0</v>
      </c>
      <c r="O75" s="15">
        <f t="shared" si="35"/>
        <v>2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</v>
      </c>
      <c r="N77" s="50">
        <v>0</v>
      </c>
      <c r="O77" s="15">
        <f t="shared" si="35"/>
        <v>0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0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0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7</v>
      </c>
      <c r="N104" s="50">
        <v>0</v>
      </c>
      <c r="O104" s="15">
        <f t="shared" si="35"/>
        <v>0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9</v>
      </c>
      <c r="N105" s="50">
        <v>0</v>
      </c>
      <c r="O105" s="15">
        <f t="shared" si="35"/>
        <v>0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</v>
      </c>
      <c r="D106" s="16">
        <f t="shared" ref="D106:P106" si="37">SUM(D10:D105)</f>
        <v>5</v>
      </c>
      <c r="E106" s="16">
        <f t="shared" si="37"/>
        <v>11</v>
      </c>
      <c r="F106" s="16">
        <f t="shared" si="37"/>
        <v>9</v>
      </c>
      <c r="G106" s="16">
        <f t="shared" si="37"/>
        <v>0</v>
      </c>
      <c r="H106" s="16">
        <f t="shared" si="37"/>
        <v>0</v>
      </c>
      <c r="I106" s="16">
        <f t="shared" si="37"/>
        <v>29</v>
      </c>
      <c r="J106" s="16">
        <f t="shared" si="37"/>
        <v>1</v>
      </c>
      <c r="K106" s="16">
        <f t="shared" si="37"/>
        <v>6</v>
      </c>
      <c r="L106" s="16">
        <f t="shared" si="37"/>
        <v>0</v>
      </c>
      <c r="M106" s="16">
        <f t="shared" si="37"/>
        <v>697</v>
      </c>
      <c r="N106" s="16">
        <f t="shared" si="37"/>
        <v>0</v>
      </c>
      <c r="O106" s="16">
        <f t="shared" si="37"/>
        <v>98</v>
      </c>
      <c r="P106" s="16">
        <f t="shared" si="37"/>
        <v>795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4.6540880503144651E-2</v>
      </c>
      <c r="D107" s="43">
        <f t="shared" si="38"/>
        <v>6.2893081761006293E-3</v>
      </c>
      <c r="E107" s="43">
        <f t="shared" si="38"/>
        <v>1.3836477987421384E-2</v>
      </c>
      <c r="F107" s="43">
        <f t="shared" si="38"/>
        <v>1.1320754716981131E-2</v>
      </c>
      <c r="G107" s="43">
        <f t="shared" si="38"/>
        <v>0</v>
      </c>
      <c r="H107" s="43">
        <f t="shared" si="38"/>
        <v>0</v>
      </c>
      <c r="I107" s="43">
        <f t="shared" si="38"/>
        <v>3.6477987421383647E-2</v>
      </c>
      <c r="J107" s="43">
        <f t="shared" si="38"/>
        <v>1.2578616352201257E-3</v>
      </c>
      <c r="K107" s="43">
        <f t="shared" si="38"/>
        <v>7.5471698113207548E-3</v>
      </c>
      <c r="L107" s="43">
        <f t="shared" si="38"/>
        <v>0</v>
      </c>
      <c r="M107" s="43">
        <f t="shared" si="38"/>
        <v>0.8767295597484277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0.37755102040816324</v>
      </c>
      <c r="D108" s="44">
        <f t="shared" ref="D108:N108" si="39">D106/$O$106</f>
        <v>5.1020408163265307E-2</v>
      </c>
      <c r="E108" s="44">
        <f t="shared" si="39"/>
        <v>0.11224489795918367</v>
      </c>
      <c r="F108" s="44">
        <f t="shared" si="39"/>
        <v>9.1836734693877556E-2</v>
      </c>
      <c r="G108" s="44">
        <f t="shared" si="39"/>
        <v>0</v>
      </c>
      <c r="H108" s="44">
        <f t="shared" si="39"/>
        <v>0</v>
      </c>
      <c r="I108" s="44">
        <f t="shared" si="39"/>
        <v>0.29591836734693877</v>
      </c>
      <c r="J108" s="44">
        <f t="shared" si="39"/>
        <v>1.020408163265306E-2</v>
      </c>
      <c r="K108" s="44">
        <f t="shared" si="39"/>
        <v>6.1224489795918366E-2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E105" sqref="E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'18.10 KANONI-MITYANA-24h'!D5</f>
        <v>18.10.19</v>
      </c>
      <c r="E5" s="3"/>
      <c r="F5" s="41" t="s">
        <v>1</v>
      </c>
      <c r="G5" s="66" t="str">
        <f>'18.10 KANONI-MITYANA-24h'!G5:H5</f>
        <v>VICA MAIZE MILLERS</v>
      </c>
      <c r="H5" s="67"/>
      <c r="I5" s="14"/>
      <c r="J5" s="2" t="s">
        <v>5</v>
      </c>
      <c r="K5" s="66" t="s">
        <v>172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MITYANA-KANONI'!D6:E6</f>
        <v>MITYANA</v>
      </c>
      <c r="E6" s="67"/>
      <c r="F6" s="2" t="s">
        <v>2</v>
      </c>
      <c r="G6" s="66" t="str">
        <f>'17.10 MITYANA-KANONI'!G6:H6</f>
        <v>KANONI</v>
      </c>
      <c r="H6" s="67"/>
      <c r="J6" s="2" t="s">
        <v>21</v>
      </c>
      <c r="K6" s="66" t="str">
        <f>'18.10 KANONI-MITYANA-24h'!K6:L6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5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4</v>
      </c>
      <c r="AF10" s="31">
        <f t="shared" si="2"/>
        <v>44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0</v>
      </c>
      <c r="P11" s="15">
        <f t="shared" si="1"/>
        <v>8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59</v>
      </c>
      <c r="AD11" s="17">
        <f t="shared" si="3"/>
        <v>0</v>
      </c>
      <c r="AE11" s="31">
        <f t="shared" si="3"/>
        <v>2</v>
      </c>
      <c r="AF11" s="31">
        <f t="shared" si="3"/>
        <v>61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2</v>
      </c>
      <c r="P12" s="15">
        <f t="shared" si="1"/>
        <v>17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49</v>
      </c>
      <c r="AD12" s="17">
        <f t="shared" si="4"/>
        <v>0</v>
      </c>
      <c r="AE12" s="31">
        <f t="shared" si="4"/>
        <v>10</v>
      </c>
      <c r="AF12" s="31">
        <f t="shared" si="4"/>
        <v>59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2</v>
      </c>
      <c r="P13" s="15">
        <f t="shared" si="1"/>
        <v>14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29</v>
      </c>
      <c r="AD13" s="17">
        <f t="shared" si="5"/>
        <v>0</v>
      </c>
      <c r="AE13" s="31">
        <f t="shared" si="5"/>
        <v>7</v>
      </c>
      <c r="AF13" s="31">
        <f t="shared" si="5"/>
        <v>36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0</v>
      </c>
      <c r="P14" s="15">
        <f t="shared" si="1"/>
        <v>10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34</v>
      </c>
      <c r="AD14" s="17">
        <f t="shared" si="6"/>
        <v>0</v>
      </c>
      <c r="AE14" s="31">
        <f t="shared" si="6"/>
        <v>9</v>
      </c>
      <c r="AF14" s="31">
        <f t="shared" si="6"/>
        <v>43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0</v>
      </c>
      <c r="P15" s="15">
        <f t="shared" si="1"/>
        <v>20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43</v>
      </c>
      <c r="AD15" s="17">
        <f t="shared" si="7"/>
        <v>0</v>
      </c>
      <c r="AE15" s="31">
        <f t="shared" si="7"/>
        <v>6</v>
      </c>
      <c r="AF15" s="31">
        <f t="shared" si="7"/>
        <v>49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0</v>
      </c>
      <c r="P16" s="15">
        <f t="shared" si="1"/>
        <v>14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45</v>
      </c>
      <c r="AD16" s="17">
        <f t="shared" si="8"/>
        <v>0</v>
      </c>
      <c r="AE16" s="31">
        <f t="shared" si="8"/>
        <v>6</v>
      </c>
      <c r="AF16" s="31">
        <f t="shared" si="8"/>
        <v>51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2</v>
      </c>
      <c r="P17" s="15">
        <f t="shared" si="1"/>
        <v>17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50</v>
      </c>
      <c r="AD17" s="17">
        <f t="shared" si="9"/>
        <v>0</v>
      </c>
      <c r="AE17" s="31">
        <f t="shared" si="9"/>
        <v>8</v>
      </c>
      <c r="AF17" s="31">
        <f t="shared" si="9"/>
        <v>58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3</v>
      </c>
      <c r="P18" s="15">
        <f t="shared" si="1"/>
        <v>16</v>
      </c>
      <c r="R18" s="1" t="s">
        <v>14</v>
      </c>
      <c r="S18" s="17">
        <f t="shared" ref="S18:AF18" si="10">SUM(C42:C45)</f>
        <v>4</v>
      </c>
      <c r="T18" s="17">
        <f t="shared" si="10"/>
        <v>3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30</v>
      </c>
      <c r="AD18" s="17">
        <f t="shared" si="10"/>
        <v>0</v>
      </c>
      <c r="AE18" s="31">
        <f t="shared" si="10"/>
        <v>9</v>
      </c>
      <c r="AF18" s="31">
        <f t="shared" si="10"/>
        <v>39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2</v>
      </c>
      <c r="P19" s="15">
        <f t="shared" si="1"/>
        <v>15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42</v>
      </c>
      <c r="AD19" s="17">
        <f t="shared" si="11"/>
        <v>0</v>
      </c>
      <c r="AE19" s="31">
        <f t="shared" si="11"/>
        <v>14</v>
      </c>
      <c r="AF19" s="31">
        <f t="shared" si="11"/>
        <v>56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1</v>
      </c>
      <c r="P20" s="15">
        <f t="shared" si="1"/>
        <v>9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43</v>
      </c>
      <c r="AD20" s="17">
        <f t="shared" si="12"/>
        <v>0</v>
      </c>
      <c r="AE20" s="31">
        <f t="shared" si="12"/>
        <v>7</v>
      </c>
      <c r="AF20" s="31">
        <f t="shared" si="12"/>
        <v>50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1</v>
      </c>
      <c r="L21" s="50">
        <v>0</v>
      </c>
      <c r="M21" s="50">
        <v>15</v>
      </c>
      <c r="N21" s="50">
        <v>0</v>
      </c>
      <c r="O21" s="15">
        <f t="shared" si="0"/>
        <v>4</v>
      </c>
      <c r="P21" s="15">
        <f t="shared" si="1"/>
        <v>19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46</v>
      </c>
      <c r="AD21" s="17">
        <f t="shared" si="13"/>
        <v>0</v>
      </c>
      <c r="AE21" s="31">
        <f t="shared" si="13"/>
        <v>4</v>
      </c>
      <c r="AF21" s="31">
        <f t="shared" si="13"/>
        <v>50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0</v>
      </c>
      <c r="P22" s="15">
        <f t="shared" si="1"/>
        <v>6</v>
      </c>
      <c r="R22" s="36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49</v>
      </c>
      <c r="AD22" s="34">
        <f t="shared" si="14"/>
        <v>0</v>
      </c>
      <c r="AE22" s="31">
        <f t="shared" si="14"/>
        <v>4</v>
      </c>
      <c r="AF22" s="31">
        <f t="shared" si="14"/>
        <v>53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2</v>
      </c>
      <c r="P23" s="15">
        <f t="shared" si="1"/>
        <v>8</v>
      </c>
      <c r="R23" s="36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35</v>
      </c>
      <c r="AD23" s="34">
        <f t="shared" si="15"/>
        <v>0</v>
      </c>
      <c r="AE23" s="31">
        <f t="shared" si="15"/>
        <v>3</v>
      </c>
      <c r="AF23" s="31">
        <f t="shared" si="15"/>
        <v>38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3</v>
      </c>
      <c r="P24" s="15">
        <f t="shared" si="1"/>
        <v>14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27</v>
      </c>
      <c r="AD24" s="34">
        <f t="shared" si="16"/>
        <v>0</v>
      </c>
      <c r="AE24" s="31">
        <f t="shared" si="16"/>
        <v>6</v>
      </c>
      <c r="AF24" s="31">
        <f t="shared" si="16"/>
        <v>33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2</v>
      </c>
      <c r="P25" s="15">
        <f t="shared" si="1"/>
        <v>8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12</v>
      </c>
      <c r="AD25" s="34">
        <f t="shared" si="17"/>
        <v>0</v>
      </c>
      <c r="AE25" s="31">
        <f t="shared" si="17"/>
        <v>0</v>
      </c>
      <c r="AF25" s="31">
        <f t="shared" si="17"/>
        <v>12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9</v>
      </c>
      <c r="N26" s="50">
        <v>0</v>
      </c>
      <c r="O26" s="15">
        <f t="shared" si="0"/>
        <v>1</v>
      </c>
      <c r="P26" s="15">
        <f t="shared" si="1"/>
        <v>10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5</v>
      </c>
      <c r="AD26" s="34">
        <f t="shared" si="18"/>
        <v>0</v>
      </c>
      <c r="AE26" s="31">
        <f t="shared" si="18"/>
        <v>3</v>
      </c>
      <c r="AF26" s="31">
        <f t="shared" si="18"/>
        <v>8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0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0</v>
      </c>
      <c r="AF27" s="31">
        <f t="shared" si="19"/>
        <v>3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4</v>
      </c>
      <c r="P28" s="15">
        <f t="shared" si="1"/>
        <v>14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0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4</v>
      </c>
      <c r="P29" s="15">
        <f t="shared" si="1"/>
        <v>12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3</v>
      </c>
      <c r="P30" s="15">
        <f t="shared" si="1"/>
        <v>13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0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1</v>
      </c>
      <c r="P31" s="15">
        <f t="shared" si="1"/>
        <v>14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1</v>
      </c>
      <c r="P32" s="15">
        <f t="shared" si="1"/>
        <v>14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1</v>
      </c>
      <c r="AF32" s="31">
        <f t="shared" si="24"/>
        <v>3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1</v>
      </c>
      <c r="P33" s="15">
        <f t="shared" si="1"/>
        <v>8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16</v>
      </c>
      <c r="AD33" s="34">
        <f t="shared" si="25"/>
        <v>0</v>
      </c>
      <c r="AE33" s="31">
        <f t="shared" si="25"/>
        <v>0</v>
      </c>
      <c r="AF33" s="31">
        <f t="shared" si="25"/>
        <v>16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2</v>
      </c>
      <c r="M34" s="50">
        <v>6</v>
      </c>
      <c r="N34" s="50">
        <v>0</v>
      </c>
      <c r="O34" s="15">
        <f t="shared" si="0"/>
        <v>3</v>
      </c>
      <c r="P34" s="15">
        <f t="shared" si="1"/>
        <v>9</v>
      </c>
      <c r="R34" s="38" t="s">
        <v>90</v>
      </c>
      <c r="S34" s="39">
        <f t="shared" ref="S34:AF34" si="26">MAX(S10:S12)</f>
        <v>4</v>
      </c>
      <c r="T34" s="39">
        <f t="shared" si="26"/>
        <v>0</v>
      </c>
      <c r="U34" s="39">
        <f t="shared" si="26"/>
        <v>1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4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59</v>
      </c>
      <c r="AD34" s="39">
        <f t="shared" si="26"/>
        <v>0</v>
      </c>
      <c r="AE34" s="40">
        <f t="shared" si="26"/>
        <v>10</v>
      </c>
      <c r="AF34" s="40">
        <f t="shared" si="26"/>
        <v>61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0</v>
      </c>
      <c r="P35" s="15">
        <f t="shared" si="1"/>
        <v>14</v>
      </c>
      <c r="R35" s="38" t="s">
        <v>91</v>
      </c>
      <c r="S35" s="39">
        <f t="shared" ref="S35:AF35" si="27">MAX(S13:S18)</f>
        <v>5</v>
      </c>
      <c r="T35" s="39">
        <f t="shared" si="27"/>
        <v>3</v>
      </c>
      <c r="U35" s="39">
        <f t="shared" si="27"/>
        <v>3</v>
      </c>
      <c r="V35" s="39">
        <f t="shared" si="27"/>
        <v>2</v>
      </c>
      <c r="W35" s="39">
        <f t="shared" si="27"/>
        <v>0</v>
      </c>
      <c r="X35" s="39">
        <f t="shared" si="27"/>
        <v>0</v>
      </c>
      <c r="Y35" s="39">
        <f t="shared" si="27"/>
        <v>5</v>
      </c>
      <c r="Z35" s="39">
        <f t="shared" si="27"/>
        <v>0</v>
      </c>
      <c r="AA35" s="39">
        <f t="shared" si="27"/>
        <v>0</v>
      </c>
      <c r="AB35" s="39">
        <f t="shared" si="27"/>
        <v>2</v>
      </c>
      <c r="AC35" s="39">
        <f t="shared" si="27"/>
        <v>50</v>
      </c>
      <c r="AD35" s="39">
        <f t="shared" si="27"/>
        <v>0</v>
      </c>
      <c r="AE35" s="40">
        <f t="shared" si="27"/>
        <v>9</v>
      </c>
      <c r="AF35" s="40">
        <f t="shared" si="27"/>
        <v>58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2</v>
      </c>
      <c r="P36" s="15">
        <f t="shared" si="1"/>
        <v>15</v>
      </c>
      <c r="R36" s="38" t="s">
        <v>92</v>
      </c>
      <c r="S36" s="39">
        <f t="shared" ref="S36:AF36" si="28">MAX(S19:S21)</f>
        <v>4</v>
      </c>
      <c r="T36" s="39">
        <f t="shared" si="28"/>
        <v>1</v>
      </c>
      <c r="U36" s="39">
        <f t="shared" si="28"/>
        <v>3</v>
      </c>
      <c r="V36" s="39">
        <f t="shared" si="28"/>
        <v>2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3</v>
      </c>
      <c r="AA36" s="39">
        <f t="shared" si="28"/>
        <v>0</v>
      </c>
      <c r="AB36" s="39">
        <f t="shared" si="28"/>
        <v>0</v>
      </c>
      <c r="AC36" s="39">
        <f t="shared" si="28"/>
        <v>46</v>
      </c>
      <c r="AD36" s="39">
        <f t="shared" si="28"/>
        <v>0</v>
      </c>
      <c r="AE36" s="40">
        <f t="shared" si="28"/>
        <v>14</v>
      </c>
      <c r="AF36" s="40">
        <f t="shared" si="28"/>
        <v>56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1</v>
      </c>
      <c r="P37" s="15">
        <f t="shared" si="1"/>
        <v>13</v>
      </c>
      <c r="R37" s="37" t="s">
        <v>85</v>
      </c>
      <c r="S37" s="35">
        <f t="shared" ref="S37:AF37" si="29">SUM(S10:S12)</f>
        <v>6</v>
      </c>
      <c r="T37" s="16">
        <f t="shared" si="29"/>
        <v>0</v>
      </c>
      <c r="U37" s="16">
        <f t="shared" si="29"/>
        <v>1</v>
      </c>
      <c r="V37" s="16">
        <f t="shared" si="29"/>
        <v>1</v>
      </c>
      <c r="W37" s="16">
        <f t="shared" si="29"/>
        <v>0</v>
      </c>
      <c r="X37" s="16">
        <f t="shared" si="29"/>
        <v>0</v>
      </c>
      <c r="Y37" s="16">
        <f t="shared" si="29"/>
        <v>6</v>
      </c>
      <c r="Z37" s="16">
        <f t="shared" si="29"/>
        <v>1</v>
      </c>
      <c r="AA37" s="16">
        <f t="shared" si="29"/>
        <v>1</v>
      </c>
      <c r="AB37" s="16">
        <f t="shared" si="29"/>
        <v>0</v>
      </c>
      <c r="AC37" s="16">
        <f t="shared" si="29"/>
        <v>148</v>
      </c>
      <c r="AD37" s="16">
        <f t="shared" si="29"/>
        <v>0</v>
      </c>
      <c r="AE37" s="32">
        <f t="shared" si="29"/>
        <v>16</v>
      </c>
      <c r="AF37" s="32">
        <f t="shared" si="29"/>
        <v>164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1</v>
      </c>
      <c r="P38" s="15">
        <f t="shared" si="1"/>
        <v>14</v>
      </c>
      <c r="R38" s="28" t="s">
        <v>86</v>
      </c>
      <c r="S38" s="16">
        <f t="shared" ref="S38:AF38" si="30">SUM(S13:S18)</f>
        <v>20</v>
      </c>
      <c r="T38" s="16">
        <f t="shared" si="30"/>
        <v>3</v>
      </c>
      <c r="U38" s="16">
        <f t="shared" si="30"/>
        <v>4</v>
      </c>
      <c r="V38" s="16">
        <f t="shared" si="30"/>
        <v>4</v>
      </c>
      <c r="W38" s="16">
        <f t="shared" si="30"/>
        <v>0</v>
      </c>
      <c r="X38" s="16">
        <f t="shared" si="30"/>
        <v>0</v>
      </c>
      <c r="Y38" s="16">
        <f t="shared" si="30"/>
        <v>12</v>
      </c>
      <c r="Z38" s="16">
        <f t="shared" si="30"/>
        <v>0</v>
      </c>
      <c r="AA38" s="16">
        <f t="shared" si="30"/>
        <v>0</v>
      </c>
      <c r="AB38" s="16">
        <f t="shared" si="30"/>
        <v>2</v>
      </c>
      <c r="AC38" s="16">
        <f t="shared" si="30"/>
        <v>231</v>
      </c>
      <c r="AD38" s="16">
        <f t="shared" si="30"/>
        <v>0</v>
      </c>
      <c r="AE38" s="32">
        <f t="shared" si="30"/>
        <v>45</v>
      </c>
      <c r="AF38" s="32">
        <f t="shared" si="30"/>
        <v>276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5</v>
      </c>
      <c r="P39" s="15">
        <f t="shared" si="1"/>
        <v>13</v>
      </c>
      <c r="R39" s="29" t="s">
        <v>87</v>
      </c>
      <c r="S39" s="16">
        <f t="shared" ref="S39:AF39" si="31">SUM(S19:S21)</f>
        <v>8</v>
      </c>
      <c r="T39" s="16">
        <f t="shared" si="31"/>
        <v>1</v>
      </c>
      <c r="U39" s="16">
        <f t="shared" si="31"/>
        <v>4</v>
      </c>
      <c r="V39" s="16">
        <f t="shared" si="31"/>
        <v>3</v>
      </c>
      <c r="W39" s="16">
        <f t="shared" si="31"/>
        <v>0</v>
      </c>
      <c r="X39" s="16">
        <f t="shared" si="31"/>
        <v>0</v>
      </c>
      <c r="Y39" s="16">
        <f t="shared" si="31"/>
        <v>5</v>
      </c>
      <c r="Z39" s="16">
        <f t="shared" si="31"/>
        <v>4</v>
      </c>
      <c r="AA39" s="16">
        <f t="shared" si="31"/>
        <v>0</v>
      </c>
      <c r="AB39" s="16">
        <f t="shared" si="31"/>
        <v>0</v>
      </c>
      <c r="AC39" s="16">
        <f t="shared" si="31"/>
        <v>131</v>
      </c>
      <c r="AD39" s="16">
        <f t="shared" si="31"/>
        <v>0</v>
      </c>
      <c r="AE39" s="32">
        <f t="shared" si="31"/>
        <v>25</v>
      </c>
      <c r="AF39" s="32">
        <f t="shared" si="31"/>
        <v>156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1</v>
      </c>
      <c r="P40" s="15">
        <f t="shared" si="1"/>
        <v>14</v>
      </c>
      <c r="R40" s="5" t="s">
        <v>17</v>
      </c>
      <c r="S40" s="16">
        <f t="shared" ref="S40:AF40" si="32">SUM(S10:S21)</f>
        <v>34</v>
      </c>
      <c r="T40" s="16">
        <f t="shared" si="32"/>
        <v>4</v>
      </c>
      <c r="U40" s="16">
        <f t="shared" si="32"/>
        <v>9</v>
      </c>
      <c r="V40" s="16">
        <f t="shared" si="32"/>
        <v>8</v>
      </c>
      <c r="W40" s="16">
        <f t="shared" si="32"/>
        <v>0</v>
      </c>
      <c r="X40" s="16">
        <f t="shared" si="32"/>
        <v>0</v>
      </c>
      <c r="Y40" s="16">
        <f t="shared" si="32"/>
        <v>23</v>
      </c>
      <c r="Z40" s="16">
        <f t="shared" si="32"/>
        <v>5</v>
      </c>
      <c r="AA40" s="16">
        <f t="shared" si="32"/>
        <v>1</v>
      </c>
      <c r="AB40" s="16">
        <f t="shared" si="32"/>
        <v>2</v>
      </c>
      <c r="AC40" s="16">
        <f t="shared" si="32"/>
        <v>510</v>
      </c>
      <c r="AD40" s="16">
        <f t="shared" si="32"/>
        <v>0</v>
      </c>
      <c r="AE40" s="32">
        <f t="shared" si="32"/>
        <v>86</v>
      </c>
      <c r="AF40" s="32">
        <f t="shared" si="32"/>
        <v>596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1</v>
      </c>
      <c r="P41" s="15">
        <f t="shared" si="1"/>
        <v>17</v>
      </c>
      <c r="R41" s="5" t="s">
        <v>159</v>
      </c>
      <c r="S41" s="16">
        <f>SUM(S10:S33)</f>
        <v>44</v>
      </c>
      <c r="T41" s="16">
        <f t="shared" ref="T41:AF41" si="33">SUM(T10:T33)</f>
        <v>4</v>
      </c>
      <c r="U41" s="16">
        <f t="shared" si="33"/>
        <v>11</v>
      </c>
      <c r="V41" s="16">
        <f t="shared" si="33"/>
        <v>8</v>
      </c>
      <c r="W41" s="16">
        <f t="shared" si="33"/>
        <v>0</v>
      </c>
      <c r="X41" s="16">
        <f t="shared" si="33"/>
        <v>0</v>
      </c>
      <c r="Y41" s="16">
        <f t="shared" si="33"/>
        <v>27</v>
      </c>
      <c r="Z41" s="16">
        <f t="shared" si="33"/>
        <v>5</v>
      </c>
      <c r="AA41" s="16">
        <f t="shared" si="33"/>
        <v>2</v>
      </c>
      <c r="AB41" s="16">
        <f t="shared" si="33"/>
        <v>2</v>
      </c>
      <c r="AC41" s="16">
        <f t="shared" si="33"/>
        <v>663</v>
      </c>
      <c r="AD41" s="16">
        <f t="shared" si="33"/>
        <v>0</v>
      </c>
      <c r="AE41" s="32">
        <f t="shared" si="33"/>
        <v>103</v>
      </c>
      <c r="AF41" s="32">
        <f t="shared" si="33"/>
        <v>766</v>
      </c>
    </row>
    <row r="42" spans="2:32" ht="23.1" customHeight="1" x14ac:dyDescent="0.25">
      <c r="B42" s="46" t="s">
        <v>69</v>
      </c>
      <c r="C42" s="50">
        <v>1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2</v>
      </c>
      <c r="P42" s="15">
        <f t="shared" si="1"/>
        <v>12</v>
      </c>
      <c r="R42" s="5" t="s">
        <v>160</v>
      </c>
      <c r="S42" s="48">
        <f>S41/S40</f>
        <v>1.2941176470588236</v>
      </c>
      <c r="T42" s="48">
        <f t="shared" ref="T42:AF42" si="34">T41/T40</f>
        <v>1</v>
      </c>
      <c r="U42" s="48">
        <f t="shared" si="34"/>
        <v>1.2222222222222223</v>
      </c>
      <c r="V42" s="48">
        <f t="shared" si="34"/>
        <v>1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1.173913043478261</v>
      </c>
      <c r="Z42" s="48">
        <f t="shared" si="34"/>
        <v>1</v>
      </c>
      <c r="AA42" s="48">
        <f t="shared" si="34"/>
        <v>2</v>
      </c>
      <c r="AB42" s="48">
        <f t="shared" si="34"/>
        <v>1</v>
      </c>
      <c r="AC42" s="48">
        <f t="shared" si="34"/>
        <v>1.3</v>
      </c>
      <c r="AD42" s="48" t="e">
        <f t="shared" si="34"/>
        <v>#DIV/0!</v>
      </c>
      <c r="AE42" s="48">
        <f t="shared" si="34"/>
        <v>1.1976744186046511</v>
      </c>
      <c r="AF42" s="48">
        <f t="shared" si="34"/>
        <v>1.2852348993288591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0</v>
      </c>
      <c r="P43" s="15">
        <f t="shared" si="1"/>
        <v>6</v>
      </c>
    </row>
    <row r="44" spans="2:32" ht="23.1" customHeight="1" x14ac:dyDescent="0.25">
      <c r="B44" s="47" t="s">
        <v>71</v>
      </c>
      <c r="C44" s="50">
        <v>1</v>
      </c>
      <c r="D44" s="50">
        <v>2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3</v>
      </c>
      <c r="P44" s="15">
        <f t="shared" si="1"/>
        <v>6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4</v>
      </c>
      <c r="P45" s="15">
        <f t="shared" si="1"/>
        <v>15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4</v>
      </c>
      <c r="P46" s="15">
        <f t="shared" si="1"/>
        <v>9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3</v>
      </c>
      <c r="P47" s="15">
        <f t="shared" si="1"/>
        <v>19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5</v>
      </c>
      <c r="P48" s="15">
        <f t="shared" si="1"/>
        <v>14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2</v>
      </c>
      <c r="P49" s="15">
        <f t="shared" si="1"/>
        <v>14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2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3</v>
      </c>
      <c r="P51" s="15">
        <f t="shared" si="1"/>
        <v>16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2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0</v>
      </c>
      <c r="P53" s="15">
        <f t="shared" si="1"/>
        <v>12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0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0</v>
      </c>
      <c r="P55" s="15">
        <f t="shared" si="1"/>
        <v>6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3</v>
      </c>
      <c r="P56" s="15">
        <f t="shared" si="1"/>
        <v>20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1</v>
      </c>
      <c r="P57" s="15">
        <f t="shared" si="1"/>
        <v>16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8</v>
      </c>
      <c r="N58" s="50">
        <v>0</v>
      </c>
      <c r="O58" s="15">
        <f t="shared" si="0"/>
        <v>1</v>
      </c>
      <c r="P58" s="15">
        <f t="shared" si="1"/>
        <v>9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15</v>
      </c>
      <c r="N59" s="50">
        <v>0</v>
      </c>
      <c r="O59" s="15">
        <f t="shared" si="0"/>
        <v>1</v>
      </c>
      <c r="P59" s="15">
        <f t="shared" si="1"/>
        <v>16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15</v>
      </c>
      <c r="N60" s="50">
        <v>0</v>
      </c>
      <c r="O60" s="15">
        <f t="shared" si="0"/>
        <v>1</v>
      </c>
      <c r="P60" s="15">
        <f t="shared" si="1"/>
        <v>16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11</v>
      </c>
      <c r="N61" s="50">
        <v>0</v>
      </c>
      <c r="O61" s="15">
        <f t="shared" si="0"/>
        <v>1</v>
      </c>
      <c r="P61" s="15">
        <f t="shared" si="1"/>
        <v>12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14</v>
      </c>
      <c r="N62" s="50">
        <v>0</v>
      </c>
      <c r="O62" s="15">
        <f t="shared" si="0"/>
        <v>0</v>
      </c>
      <c r="P62" s="15">
        <f t="shared" si="1"/>
        <v>14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9</v>
      </c>
      <c r="N63" s="50">
        <v>0</v>
      </c>
      <c r="O63" s="15">
        <f t="shared" si="0"/>
        <v>1</v>
      </c>
      <c r="P63" s="15">
        <f t="shared" si="1"/>
        <v>10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2</v>
      </c>
      <c r="P64" s="15">
        <f t="shared" si="1"/>
        <v>9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5</v>
      </c>
      <c r="N65" s="50">
        <v>0</v>
      </c>
      <c r="O65" s="15">
        <f t="shared" si="0"/>
        <v>0</v>
      </c>
      <c r="P65" s="15">
        <f t="shared" si="1"/>
        <v>5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1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8</v>
      </c>
      <c r="N67" s="50">
        <v>0</v>
      </c>
      <c r="O67" s="15">
        <f t="shared" si="0"/>
        <v>3</v>
      </c>
      <c r="P67" s="15">
        <f t="shared" si="1"/>
        <v>11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8</v>
      </c>
      <c r="N68" s="50">
        <v>0</v>
      </c>
      <c r="O68" s="15">
        <f t="shared" si="0"/>
        <v>2</v>
      </c>
      <c r="P68" s="15">
        <f t="shared" si="1"/>
        <v>10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5</v>
      </c>
      <c r="N69" s="50">
        <v>0</v>
      </c>
      <c r="O69" s="15">
        <f t="shared" si="0"/>
        <v>0</v>
      </c>
      <c r="P69" s="15">
        <f t="shared" si="1"/>
        <v>5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0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0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</v>
      </c>
      <c r="N72" s="50">
        <v>0</v>
      </c>
      <c r="O72" s="15">
        <f t="shared" si="0"/>
        <v>0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1</v>
      </c>
      <c r="L75" s="50">
        <v>0</v>
      </c>
      <c r="M75" s="50">
        <v>1</v>
      </c>
      <c r="N75" s="50">
        <v>0</v>
      </c>
      <c r="O75" s="15">
        <f t="shared" si="35"/>
        <v>2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0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0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8</v>
      </c>
      <c r="N104" s="50">
        <v>0</v>
      </c>
      <c r="O104" s="15">
        <f t="shared" si="35"/>
        <v>0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7</v>
      </c>
      <c r="N105" s="50">
        <v>0</v>
      </c>
      <c r="O105" s="15">
        <f t="shared" si="35"/>
        <v>0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44</v>
      </c>
      <c r="D106" s="16">
        <f t="shared" ref="D106:P106" si="37">SUM(D10:D105)</f>
        <v>4</v>
      </c>
      <c r="E106" s="16">
        <f t="shared" si="37"/>
        <v>11</v>
      </c>
      <c r="F106" s="16">
        <f t="shared" si="37"/>
        <v>8</v>
      </c>
      <c r="G106" s="16">
        <f t="shared" si="37"/>
        <v>0</v>
      </c>
      <c r="H106" s="16">
        <f t="shared" si="37"/>
        <v>0</v>
      </c>
      <c r="I106" s="16">
        <f t="shared" si="37"/>
        <v>27</v>
      </c>
      <c r="J106" s="16">
        <f t="shared" si="37"/>
        <v>5</v>
      </c>
      <c r="K106" s="16">
        <f t="shared" si="37"/>
        <v>2</v>
      </c>
      <c r="L106" s="16">
        <f t="shared" si="37"/>
        <v>2</v>
      </c>
      <c r="M106" s="16">
        <f t="shared" si="37"/>
        <v>663</v>
      </c>
      <c r="N106" s="16">
        <f t="shared" si="37"/>
        <v>0</v>
      </c>
      <c r="O106" s="16">
        <f t="shared" si="37"/>
        <v>103</v>
      </c>
      <c r="P106" s="16">
        <f t="shared" si="37"/>
        <v>766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5.7441253263707574E-2</v>
      </c>
      <c r="D107" s="43">
        <f t="shared" si="38"/>
        <v>5.2219321148825066E-3</v>
      </c>
      <c r="E107" s="43">
        <f t="shared" si="38"/>
        <v>1.4360313315926894E-2</v>
      </c>
      <c r="F107" s="43">
        <f t="shared" si="38"/>
        <v>1.0443864229765013E-2</v>
      </c>
      <c r="G107" s="43">
        <f t="shared" si="38"/>
        <v>0</v>
      </c>
      <c r="H107" s="43">
        <f t="shared" si="38"/>
        <v>0</v>
      </c>
      <c r="I107" s="43">
        <f t="shared" si="38"/>
        <v>3.5248041775456922E-2</v>
      </c>
      <c r="J107" s="43">
        <f t="shared" si="38"/>
        <v>6.5274151436031328E-3</v>
      </c>
      <c r="K107" s="43">
        <f t="shared" si="38"/>
        <v>2.6109660574412533E-3</v>
      </c>
      <c r="L107" s="43">
        <f t="shared" si="38"/>
        <v>2.6109660574412533E-3</v>
      </c>
      <c r="M107" s="43">
        <f t="shared" si="38"/>
        <v>0.86553524804177551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0.42718446601941745</v>
      </c>
      <c r="D108" s="44">
        <f t="shared" ref="D108:N108" si="39">D106/$O$106</f>
        <v>3.8834951456310676E-2</v>
      </c>
      <c r="E108" s="44">
        <f t="shared" si="39"/>
        <v>0.10679611650485436</v>
      </c>
      <c r="F108" s="44">
        <f t="shared" si="39"/>
        <v>7.7669902912621352E-2</v>
      </c>
      <c r="G108" s="44">
        <f t="shared" si="39"/>
        <v>0</v>
      </c>
      <c r="H108" s="44">
        <f t="shared" si="39"/>
        <v>0</v>
      </c>
      <c r="I108" s="44">
        <f t="shared" si="39"/>
        <v>0.26213592233009708</v>
      </c>
      <c r="J108" s="44">
        <f t="shared" si="39"/>
        <v>4.8543689320388349E-2</v>
      </c>
      <c r="K108" s="44">
        <f t="shared" si="39"/>
        <v>1.9417475728155338E-2</v>
      </c>
      <c r="L108" s="44">
        <f t="shared" si="39"/>
        <v>1.9417475728155338E-2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'22.10 MITYANA-KANONI'!G5:H5</f>
        <v>VICA MAIZE MILLERS</v>
      </c>
      <c r="H5" s="67"/>
      <c r="I5" s="14"/>
      <c r="J5" s="2" t="s">
        <v>5</v>
      </c>
      <c r="K5" s="66" t="s">
        <v>173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KANONI-MITYANA'!D6:E6</f>
        <v>KANONI</v>
      </c>
      <c r="E6" s="67"/>
      <c r="F6" s="2" t="s">
        <v>2</v>
      </c>
      <c r="G6" s="66" t="str">
        <f>'17.10 KANONI-MITYANA'!G6:H6</f>
        <v>MITYANA</v>
      </c>
      <c r="H6" s="67"/>
      <c r="J6" s="2" t="s">
        <v>21</v>
      </c>
      <c r="K6" s="66" t="str">
        <f>'22.10 MITYANA-KANONI'!K6:L6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34</v>
      </c>
      <c r="AD10" s="17">
        <f t="shared" si="2"/>
        <v>0</v>
      </c>
      <c r="AE10" s="31">
        <f t="shared" si="2"/>
        <v>1</v>
      </c>
      <c r="AF10" s="31">
        <f t="shared" si="2"/>
        <v>35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0</v>
      </c>
      <c r="P11" s="15">
        <f t="shared" si="1"/>
        <v>7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46</v>
      </c>
      <c r="AD11" s="17">
        <f t="shared" si="3"/>
        <v>0</v>
      </c>
      <c r="AE11" s="31">
        <f t="shared" si="3"/>
        <v>9</v>
      </c>
      <c r="AF11" s="31">
        <f t="shared" si="3"/>
        <v>55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0</v>
      </c>
      <c r="P12" s="15">
        <f t="shared" si="1"/>
        <v>8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42</v>
      </c>
      <c r="AD12" s="17">
        <f t="shared" si="4"/>
        <v>0</v>
      </c>
      <c r="AE12" s="31">
        <f t="shared" si="4"/>
        <v>5</v>
      </c>
      <c r="AF12" s="31">
        <f t="shared" si="4"/>
        <v>47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50</v>
      </c>
      <c r="AD13" s="17">
        <f t="shared" si="5"/>
        <v>0</v>
      </c>
      <c r="AE13" s="31">
        <f t="shared" si="5"/>
        <v>5</v>
      </c>
      <c r="AF13" s="31">
        <f t="shared" si="5"/>
        <v>55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1</v>
      </c>
      <c r="P14" s="15">
        <f t="shared" si="1"/>
        <v>11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34</v>
      </c>
      <c r="AD14" s="17">
        <f t="shared" si="6"/>
        <v>0</v>
      </c>
      <c r="AE14" s="31">
        <f t="shared" si="6"/>
        <v>7</v>
      </c>
      <c r="AF14" s="31">
        <f t="shared" si="6"/>
        <v>41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6</v>
      </c>
      <c r="P15" s="15">
        <f t="shared" si="1"/>
        <v>17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40</v>
      </c>
      <c r="AD15" s="17">
        <f t="shared" si="7"/>
        <v>0</v>
      </c>
      <c r="AE15" s="31">
        <f t="shared" si="7"/>
        <v>8</v>
      </c>
      <c r="AF15" s="31">
        <f t="shared" si="7"/>
        <v>48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0</v>
      </c>
      <c r="P16" s="15">
        <f t="shared" si="1"/>
        <v>16</v>
      </c>
      <c r="R16" s="1" t="s">
        <v>12</v>
      </c>
      <c r="S16" s="17">
        <f t="shared" ref="S16:AF16" si="8">SUM(C34:C37)</f>
        <v>2</v>
      </c>
      <c r="T16" s="17">
        <f t="shared" si="8"/>
        <v>1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5</v>
      </c>
      <c r="AF16" s="31">
        <f t="shared" si="8"/>
        <v>48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2</v>
      </c>
      <c r="P17" s="15">
        <f t="shared" si="1"/>
        <v>11</v>
      </c>
      <c r="R17" s="1" t="s">
        <v>13</v>
      </c>
      <c r="S17" s="17">
        <f t="shared" ref="S17:AF17" si="9">SUM(C38:C41)</f>
        <v>1</v>
      </c>
      <c r="T17" s="17">
        <f t="shared" si="9"/>
        <v>9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61</v>
      </c>
      <c r="AD17" s="17">
        <f t="shared" si="9"/>
        <v>0</v>
      </c>
      <c r="AE17" s="31">
        <f t="shared" si="9"/>
        <v>13</v>
      </c>
      <c r="AF17" s="31">
        <f t="shared" si="9"/>
        <v>74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1</v>
      </c>
      <c r="P18" s="15">
        <f t="shared" si="1"/>
        <v>16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9</v>
      </c>
      <c r="AF18" s="31">
        <f t="shared" si="10"/>
        <v>64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1</v>
      </c>
      <c r="P19" s="15">
        <f t="shared" si="1"/>
        <v>11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39</v>
      </c>
      <c r="AD19" s="17">
        <f t="shared" si="11"/>
        <v>0</v>
      </c>
      <c r="AE19" s="31">
        <f t="shared" si="11"/>
        <v>11</v>
      </c>
      <c r="AF19" s="31">
        <f t="shared" si="11"/>
        <v>50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1</v>
      </c>
      <c r="P20" s="15">
        <f t="shared" si="1"/>
        <v>11</v>
      </c>
      <c r="R20" s="1" t="s">
        <v>16</v>
      </c>
      <c r="S20" s="17">
        <f t="shared" ref="S20:AF20" si="12">SUM(C50:C53)</f>
        <v>3</v>
      </c>
      <c r="T20" s="17">
        <f t="shared" si="12"/>
        <v>1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41</v>
      </c>
      <c r="AD20" s="17">
        <f t="shared" si="12"/>
        <v>0</v>
      </c>
      <c r="AE20" s="31">
        <f t="shared" si="12"/>
        <v>9</v>
      </c>
      <c r="AF20" s="31">
        <f t="shared" si="12"/>
        <v>50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2</v>
      </c>
      <c r="P21" s="15">
        <f t="shared" si="1"/>
        <v>9</v>
      </c>
      <c r="R21" s="36" t="s">
        <v>20</v>
      </c>
      <c r="S21" s="34">
        <f t="shared" ref="S21:AF21" si="13">SUM(C54:C57)</f>
        <v>5</v>
      </c>
      <c r="T21" s="17">
        <f t="shared" si="13"/>
        <v>1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65</v>
      </c>
      <c r="AD21" s="17">
        <f t="shared" si="13"/>
        <v>0</v>
      </c>
      <c r="AE21" s="31">
        <f t="shared" si="13"/>
        <v>12</v>
      </c>
      <c r="AF21" s="31">
        <f t="shared" si="13"/>
        <v>77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12</v>
      </c>
      <c r="N22" s="50">
        <v>0</v>
      </c>
      <c r="O22" s="15">
        <f t="shared" si="0"/>
        <v>2</v>
      </c>
      <c r="P22" s="15">
        <f t="shared" si="1"/>
        <v>14</v>
      </c>
      <c r="R22" s="36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70</v>
      </c>
      <c r="AD22" s="34">
        <f t="shared" si="14"/>
        <v>0</v>
      </c>
      <c r="AE22" s="31">
        <f t="shared" si="14"/>
        <v>10</v>
      </c>
      <c r="AF22" s="31">
        <f t="shared" si="14"/>
        <v>80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2</v>
      </c>
      <c r="P23" s="15">
        <f t="shared" si="1"/>
        <v>15</v>
      </c>
      <c r="R23" s="36" t="s">
        <v>147</v>
      </c>
      <c r="S23" s="34">
        <f>SUM(C62:C65)</f>
        <v>4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1</v>
      </c>
      <c r="AB23" s="34">
        <f t="shared" si="15"/>
        <v>0</v>
      </c>
      <c r="AC23" s="34">
        <f t="shared" si="15"/>
        <v>30</v>
      </c>
      <c r="AD23" s="34">
        <f t="shared" si="15"/>
        <v>0</v>
      </c>
      <c r="AE23" s="31">
        <f t="shared" si="15"/>
        <v>7</v>
      </c>
      <c r="AF23" s="31">
        <f t="shared" si="15"/>
        <v>37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14</v>
      </c>
      <c r="N24" s="50">
        <v>0</v>
      </c>
      <c r="O24" s="15">
        <f t="shared" si="0"/>
        <v>1</v>
      </c>
      <c r="P24" s="15">
        <f t="shared" si="1"/>
        <v>15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20</v>
      </c>
      <c r="AD24" s="34">
        <f t="shared" si="16"/>
        <v>0</v>
      </c>
      <c r="AE24" s="31">
        <f t="shared" si="16"/>
        <v>3</v>
      </c>
      <c r="AF24" s="31">
        <f t="shared" si="16"/>
        <v>23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0</v>
      </c>
      <c r="P25" s="15">
        <f t="shared" si="1"/>
        <v>11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3</v>
      </c>
      <c r="AF25" s="31">
        <f t="shared" si="17"/>
        <v>16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4</v>
      </c>
      <c r="P26" s="15">
        <f t="shared" si="1"/>
        <v>11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10</v>
      </c>
      <c r="AD26" s="34">
        <f t="shared" si="18"/>
        <v>0</v>
      </c>
      <c r="AE26" s="31">
        <f t="shared" si="18"/>
        <v>0</v>
      </c>
      <c r="AF26" s="31">
        <f t="shared" si="18"/>
        <v>10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0</v>
      </c>
      <c r="P27" s="15">
        <f t="shared" si="1"/>
        <v>7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1</v>
      </c>
      <c r="AF27" s="31">
        <f t="shared" si="19"/>
        <v>2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3</v>
      </c>
      <c r="P28" s="15">
        <f t="shared" si="1"/>
        <v>13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0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0</v>
      </c>
      <c r="P29" s="15">
        <f t="shared" si="1"/>
        <v>10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12</v>
      </c>
      <c r="N30" s="50">
        <v>0</v>
      </c>
      <c r="O30" s="15">
        <f t="shared" si="0"/>
        <v>3</v>
      </c>
      <c r="P30" s="15">
        <f t="shared" si="1"/>
        <v>15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1</v>
      </c>
      <c r="P31" s="15">
        <f t="shared" si="1"/>
        <v>9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1</v>
      </c>
      <c r="P32" s="15">
        <f t="shared" si="1"/>
        <v>11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0</v>
      </c>
      <c r="AF32" s="31">
        <f t="shared" si="24"/>
        <v>3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3</v>
      </c>
      <c r="P33" s="15">
        <f t="shared" si="1"/>
        <v>13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10</v>
      </c>
      <c r="AD33" s="34">
        <f t="shared" si="25"/>
        <v>0</v>
      </c>
      <c r="AE33" s="31">
        <f t="shared" si="25"/>
        <v>0</v>
      </c>
      <c r="AF33" s="31">
        <f t="shared" si="25"/>
        <v>10</v>
      </c>
    </row>
    <row r="34" spans="2:32" ht="23.1" customHeight="1" x14ac:dyDescent="0.25">
      <c r="B34" s="46" t="s">
        <v>61</v>
      </c>
      <c r="C34" s="50">
        <v>0</v>
      </c>
      <c r="D34" s="50">
        <v>1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2</v>
      </c>
      <c r="P34" s="15">
        <f t="shared" si="1"/>
        <v>11</v>
      </c>
      <c r="R34" s="38" t="s">
        <v>90</v>
      </c>
      <c r="S34" s="39">
        <f t="shared" ref="S34:AF34" si="26">MAX(S10:S12)</f>
        <v>5</v>
      </c>
      <c r="T34" s="39">
        <f t="shared" si="26"/>
        <v>1</v>
      </c>
      <c r="U34" s="39">
        <f t="shared" si="26"/>
        <v>0</v>
      </c>
      <c r="V34" s="39">
        <f t="shared" si="26"/>
        <v>2</v>
      </c>
      <c r="W34" s="39">
        <f t="shared" si="26"/>
        <v>1</v>
      </c>
      <c r="X34" s="39">
        <f t="shared" si="26"/>
        <v>0</v>
      </c>
      <c r="Y34" s="39">
        <f t="shared" si="26"/>
        <v>2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46</v>
      </c>
      <c r="AD34" s="39">
        <f t="shared" si="26"/>
        <v>0</v>
      </c>
      <c r="AE34" s="40">
        <f t="shared" si="26"/>
        <v>9</v>
      </c>
      <c r="AF34" s="40">
        <f t="shared" si="26"/>
        <v>55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1</v>
      </c>
      <c r="P35" s="15">
        <f t="shared" si="1"/>
        <v>12</v>
      </c>
      <c r="R35" s="38" t="s">
        <v>91</v>
      </c>
      <c r="S35" s="39">
        <f t="shared" ref="S35:AF35" si="27">MAX(S13:S18)</f>
        <v>3</v>
      </c>
      <c r="T35" s="39">
        <f t="shared" si="27"/>
        <v>9</v>
      </c>
      <c r="U35" s="39">
        <f t="shared" si="27"/>
        <v>2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6</v>
      </c>
      <c r="Z35" s="39">
        <f t="shared" si="27"/>
        <v>0</v>
      </c>
      <c r="AA35" s="39">
        <f t="shared" si="27"/>
        <v>2</v>
      </c>
      <c r="AB35" s="39">
        <f t="shared" si="27"/>
        <v>0</v>
      </c>
      <c r="AC35" s="39">
        <f t="shared" si="27"/>
        <v>61</v>
      </c>
      <c r="AD35" s="39">
        <f t="shared" si="27"/>
        <v>0</v>
      </c>
      <c r="AE35" s="40">
        <f t="shared" si="27"/>
        <v>13</v>
      </c>
      <c r="AF35" s="40">
        <f t="shared" si="27"/>
        <v>74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0</v>
      </c>
      <c r="P36" s="15">
        <f t="shared" si="1"/>
        <v>11</v>
      </c>
      <c r="R36" s="38" t="s">
        <v>92</v>
      </c>
      <c r="S36" s="39">
        <f t="shared" ref="S36:AF36" si="28">MAX(S19:S21)</f>
        <v>7</v>
      </c>
      <c r="T36" s="39">
        <f t="shared" si="28"/>
        <v>1</v>
      </c>
      <c r="U36" s="39">
        <f t="shared" si="28"/>
        <v>3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2</v>
      </c>
      <c r="AA36" s="39">
        <f t="shared" si="28"/>
        <v>0</v>
      </c>
      <c r="AB36" s="39">
        <f t="shared" si="28"/>
        <v>0</v>
      </c>
      <c r="AC36" s="39">
        <f t="shared" si="28"/>
        <v>65</v>
      </c>
      <c r="AD36" s="39">
        <f t="shared" si="28"/>
        <v>0</v>
      </c>
      <c r="AE36" s="40">
        <f t="shared" si="28"/>
        <v>12</v>
      </c>
      <c r="AF36" s="40">
        <f t="shared" si="28"/>
        <v>77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2</v>
      </c>
      <c r="P37" s="15">
        <f t="shared" si="1"/>
        <v>14</v>
      </c>
      <c r="R37" s="37" t="s">
        <v>85</v>
      </c>
      <c r="S37" s="35">
        <f t="shared" ref="S37:AF37" si="29">SUM(S10:S12)</f>
        <v>8</v>
      </c>
      <c r="T37" s="16">
        <f t="shared" si="29"/>
        <v>1</v>
      </c>
      <c r="U37" s="16">
        <f t="shared" si="29"/>
        <v>0</v>
      </c>
      <c r="V37" s="16">
        <f t="shared" si="29"/>
        <v>2</v>
      </c>
      <c r="W37" s="16">
        <f t="shared" si="29"/>
        <v>1</v>
      </c>
      <c r="X37" s="16">
        <f t="shared" si="29"/>
        <v>0</v>
      </c>
      <c r="Y37" s="16">
        <f t="shared" si="29"/>
        <v>3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122</v>
      </c>
      <c r="AD37" s="16">
        <f t="shared" si="29"/>
        <v>0</v>
      </c>
      <c r="AE37" s="32">
        <f t="shared" si="29"/>
        <v>15</v>
      </c>
      <c r="AF37" s="32">
        <f t="shared" si="29"/>
        <v>137</v>
      </c>
    </row>
    <row r="38" spans="2:32" ht="23.1" customHeight="1" x14ac:dyDescent="0.25">
      <c r="B38" s="46" t="s">
        <v>65</v>
      </c>
      <c r="C38" s="50">
        <v>0</v>
      </c>
      <c r="D38" s="50">
        <v>9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10</v>
      </c>
      <c r="P38" s="15">
        <f t="shared" si="1"/>
        <v>30</v>
      </c>
      <c r="R38" s="28" t="s">
        <v>86</v>
      </c>
      <c r="S38" s="16">
        <f t="shared" ref="S38:AF38" si="30">SUM(S13:S18)</f>
        <v>10</v>
      </c>
      <c r="T38" s="16">
        <f t="shared" si="30"/>
        <v>10</v>
      </c>
      <c r="U38" s="16">
        <f t="shared" si="30"/>
        <v>6</v>
      </c>
      <c r="V38" s="16">
        <f t="shared" si="30"/>
        <v>2</v>
      </c>
      <c r="W38" s="16">
        <f t="shared" si="30"/>
        <v>0</v>
      </c>
      <c r="X38" s="16">
        <f t="shared" si="30"/>
        <v>0</v>
      </c>
      <c r="Y38" s="16">
        <f t="shared" si="30"/>
        <v>17</v>
      </c>
      <c r="Z38" s="16">
        <f t="shared" si="30"/>
        <v>0</v>
      </c>
      <c r="AA38" s="16">
        <f t="shared" si="30"/>
        <v>2</v>
      </c>
      <c r="AB38" s="16">
        <f t="shared" si="30"/>
        <v>0</v>
      </c>
      <c r="AC38" s="16">
        <f t="shared" si="30"/>
        <v>283</v>
      </c>
      <c r="AD38" s="16">
        <f t="shared" si="30"/>
        <v>0</v>
      </c>
      <c r="AE38" s="32">
        <f t="shared" si="30"/>
        <v>47</v>
      </c>
      <c r="AF38" s="32">
        <f t="shared" si="30"/>
        <v>330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16</v>
      </c>
      <c r="N39" s="50">
        <v>0</v>
      </c>
      <c r="O39" s="15">
        <f t="shared" si="0"/>
        <v>2</v>
      </c>
      <c r="P39" s="15">
        <f t="shared" si="1"/>
        <v>18</v>
      </c>
      <c r="R39" s="29" t="s">
        <v>87</v>
      </c>
      <c r="S39" s="16">
        <f t="shared" ref="S39:AF39" si="31">SUM(S19:S21)</f>
        <v>15</v>
      </c>
      <c r="T39" s="16">
        <f t="shared" si="31"/>
        <v>2</v>
      </c>
      <c r="U39" s="16">
        <f t="shared" si="31"/>
        <v>5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5</v>
      </c>
      <c r="Z39" s="16">
        <f t="shared" si="31"/>
        <v>4</v>
      </c>
      <c r="AA39" s="16">
        <f t="shared" si="31"/>
        <v>0</v>
      </c>
      <c r="AB39" s="16">
        <f t="shared" si="31"/>
        <v>0</v>
      </c>
      <c r="AC39" s="16">
        <f t="shared" si="31"/>
        <v>145</v>
      </c>
      <c r="AD39" s="16">
        <f t="shared" si="31"/>
        <v>0</v>
      </c>
      <c r="AE39" s="32">
        <f t="shared" si="31"/>
        <v>32</v>
      </c>
      <c r="AF39" s="32">
        <f t="shared" si="31"/>
        <v>177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1</v>
      </c>
      <c r="P40" s="15">
        <f t="shared" si="1"/>
        <v>11</v>
      </c>
      <c r="R40" s="5" t="s">
        <v>17</v>
      </c>
      <c r="S40" s="16">
        <f t="shared" ref="S40:AF40" si="32">SUM(S10:S21)</f>
        <v>33</v>
      </c>
      <c r="T40" s="16">
        <f t="shared" si="32"/>
        <v>13</v>
      </c>
      <c r="U40" s="16">
        <f t="shared" si="32"/>
        <v>11</v>
      </c>
      <c r="V40" s="16">
        <f t="shared" si="32"/>
        <v>5</v>
      </c>
      <c r="W40" s="16">
        <f t="shared" si="32"/>
        <v>1</v>
      </c>
      <c r="X40" s="16">
        <f t="shared" si="32"/>
        <v>0</v>
      </c>
      <c r="Y40" s="16">
        <f t="shared" si="32"/>
        <v>25</v>
      </c>
      <c r="Z40" s="16">
        <f t="shared" si="32"/>
        <v>4</v>
      </c>
      <c r="AA40" s="16">
        <f t="shared" si="32"/>
        <v>2</v>
      </c>
      <c r="AB40" s="16">
        <f t="shared" si="32"/>
        <v>0</v>
      </c>
      <c r="AC40" s="16">
        <f t="shared" si="32"/>
        <v>550</v>
      </c>
      <c r="AD40" s="16">
        <f t="shared" si="32"/>
        <v>0</v>
      </c>
      <c r="AE40" s="32">
        <f t="shared" si="32"/>
        <v>94</v>
      </c>
      <c r="AF40" s="32">
        <f t="shared" si="32"/>
        <v>644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0</v>
      </c>
      <c r="P41" s="15">
        <f t="shared" si="1"/>
        <v>15</v>
      </c>
      <c r="R41" s="5" t="s">
        <v>159</v>
      </c>
      <c r="S41" s="16">
        <f>SUM(S10:S33)</f>
        <v>46</v>
      </c>
      <c r="T41" s="16">
        <f t="shared" ref="T41:AF41" si="33">SUM(T10:T33)</f>
        <v>13</v>
      </c>
      <c r="U41" s="16">
        <f t="shared" si="33"/>
        <v>15</v>
      </c>
      <c r="V41" s="16">
        <f t="shared" si="33"/>
        <v>6</v>
      </c>
      <c r="W41" s="16">
        <f t="shared" si="33"/>
        <v>1</v>
      </c>
      <c r="X41" s="16">
        <f t="shared" si="33"/>
        <v>0</v>
      </c>
      <c r="Y41" s="16">
        <f t="shared" si="33"/>
        <v>29</v>
      </c>
      <c r="Z41" s="16">
        <f t="shared" si="33"/>
        <v>5</v>
      </c>
      <c r="AA41" s="16">
        <f t="shared" si="33"/>
        <v>3</v>
      </c>
      <c r="AB41" s="16">
        <f t="shared" si="33"/>
        <v>0</v>
      </c>
      <c r="AC41" s="16">
        <f t="shared" si="33"/>
        <v>709</v>
      </c>
      <c r="AD41" s="16">
        <f t="shared" si="33"/>
        <v>0</v>
      </c>
      <c r="AE41" s="32">
        <f t="shared" si="33"/>
        <v>118</v>
      </c>
      <c r="AF41" s="32">
        <f t="shared" si="33"/>
        <v>827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0</v>
      </c>
      <c r="P42" s="15">
        <f t="shared" si="1"/>
        <v>17</v>
      </c>
      <c r="R42" s="5" t="s">
        <v>160</v>
      </c>
      <c r="S42" s="48">
        <f>S41/S40</f>
        <v>1.393939393939394</v>
      </c>
      <c r="T42" s="48">
        <f t="shared" ref="T42:AF42" si="34">T41/T40</f>
        <v>1</v>
      </c>
      <c r="U42" s="48">
        <f t="shared" si="34"/>
        <v>1.3636363636363635</v>
      </c>
      <c r="V42" s="48">
        <f t="shared" si="34"/>
        <v>1.2</v>
      </c>
      <c r="W42" s="48">
        <f t="shared" si="34"/>
        <v>1</v>
      </c>
      <c r="X42" s="48" t="e">
        <f t="shared" si="34"/>
        <v>#DIV/0!</v>
      </c>
      <c r="Y42" s="48">
        <f t="shared" si="34"/>
        <v>1.1599999999999999</v>
      </c>
      <c r="Z42" s="48">
        <f t="shared" si="34"/>
        <v>1.25</v>
      </c>
      <c r="AA42" s="48">
        <f t="shared" si="34"/>
        <v>1.5</v>
      </c>
      <c r="AB42" s="48" t="e">
        <f t="shared" si="34"/>
        <v>#DIV/0!</v>
      </c>
      <c r="AC42" s="48">
        <f t="shared" si="34"/>
        <v>1.2890909090909091</v>
      </c>
      <c r="AD42" s="48" t="e">
        <f t="shared" si="34"/>
        <v>#DIV/0!</v>
      </c>
      <c r="AE42" s="48">
        <f t="shared" si="34"/>
        <v>1.2553191489361701</v>
      </c>
      <c r="AF42" s="48">
        <f t="shared" si="34"/>
        <v>1.2841614906832297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3</v>
      </c>
      <c r="P43" s="15">
        <f t="shared" si="1"/>
        <v>15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18</v>
      </c>
      <c r="N44" s="50">
        <v>0</v>
      </c>
      <c r="O44" s="15">
        <f t="shared" si="0"/>
        <v>4</v>
      </c>
      <c r="P44" s="15">
        <f t="shared" si="1"/>
        <v>22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2</v>
      </c>
      <c r="P45" s="15">
        <f t="shared" si="1"/>
        <v>10</v>
      </c>
    </row>
    <row r="46" spans="2:32" ht="23.1" customHeight="1" x14ac:dyDescent="0.25">
      <c r="B46" s="46" t="s">
        <v>73</v>
      </c>
      <c r="C46" s="50">
        <v>4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9</v>
      </c>
      <c r="N46" s="50">
        <v>0</v>
      </c>
      <c r="O46" s="15">
        <f t="shared" si="0"/>
        <v>7</v>
      </c>
      <c r="P46" s="15">
        <f t="shared" si="1"/>
        <v>16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1</v>
      </c>
      <c r="P47" s="15">
        <f t="shared" si="1"/>
        <v>17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7</v>
      </c>
      <c r="N48" s="50">
        <v>0</v>
      </c>
      <c r="O48" s="15">
        <f t="shared" si="0"/>
        <v>0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3</v>
      </c>
      <c r="P49" s="15">
        <f t="shared" si="1"/>
        <v>10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3</v>
      </c>
      <c r="P50" s="15">
        <f t="shared" si="1"/>
        <v>9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3</v>
      </c>
      <c r="P51" s="15">
        <f t="shared" si="1"/>
        <v>17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2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9</v>
      </c>
      <c r="N53" s="50">
        <v>0</v>
      </c>
      <c r="O53" s="15">
        <f t="shared" si="0"/>
        <v>1</v>
      </c>
      <c r="P53" s="15">
        <f t="shared" si="1"/>
        <v>10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14</v>
      </c>
      <c r="N54" s="50">
        <v>0</v>
      </c>
      <c r="O54" s="15">
        <f t="shared" si="0"/>
        <v>4</v>
      </c>
      <c r="P54" s="15">
        <f t="shared" si="1"/>
        <v>18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5">
        <f t="shared" si="0"/>
        <v>3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4</v>
      </c>
      <c r="P56" s="15">
        <f t="shared" si="1"/>
        <v>26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1</v>
      </c>
      <c r="P57" s="15">
        <f t="shared" si="1"/>
        <v>15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15</v>
      </c>
      <c r="N58" s="50">
        <v>0</v>
      </c>
      <c r="O58" s="15">
        <f t="shared" ref="O58:O105" si="35">SUM(C58:L58,N58)</f>
        <v>2</v>
      </c>
      <c r="P58" s="15">
        <f t="shared" ref="P58:P105" si="36">SUM(C58:N58)</f>
        <v>17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17</v>
      </c>
      <c r="N59" s="50">
        <v>0</v>
      </c>
      <c r="O59" s="15">
        <f t="shared" si="35"/>
        <v>2</v>
      </c>
      <c r="P59" s="15">
        <f t="shared" si="36"/>
        <v>19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20</v>
      </c>
      <c r="N60" s="50">
        <v>0</v>
      </c>
      <c r="O60" s="15">
        <f t="shared" si="35"/>
        <v>5</v>
      </c>
      <c r="P60" s="15">
        <f t="shared" si="36"/>
        <v>25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18</v>
      </c>
      <c r="N61" s="50">
        <v>0</v>
      </c>
      <c r="O61" s="15">
        <f t="shared" si="35"/>
        <v>1</v>
      </c>
      <c r="P61" s="15">
        <f t="shared" si="36"/>
        <v>19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6</v>
      </c>
      <c r="N62" s="50">
        <v>0</v>
      </c>
      <c r="O62" s="15">
        <f t="shared" si="35"/>
        <v>4</v>
      </c>
      <c r="P62" s="15">
        <f t="shared" si="36"/>
        <v>10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10</v>
      </c>
      <c r="N63" s="50">
        <v>0</v>
      </c>
      <c r="O63" s="15">
        <f t="shared" si="35"/>
        <v>1</v>
      </c>
      <c r="P63" s="15">
        <f t="shared" si="36"/>
        <v>11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1</v>
      </c>
      <c r="L64" s="50">
        <v>0</v>
      </c>
      <c r="M64" s="50">
        <v>8</v>
      </c>
      <c r="N64" s="50">
        <v>0</v>
      </c>
      <c r="O64" s="15">
        <f t="shared" si="35"/>
        <v>1</v>
      </c>
      <c r="P64" s="15">
        <f t="shared" si="36"/>
        <v>9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6</v>
      </c>
      <c r="N65" s="50">
        <v>0</v>
      </c>
      <c r="O65" s="15">
        <f t="shared" si="35"/>
        <v>1</v>
      </c>
      <c r="P65" s="15">
        <f t="shared" si="36"/>
        <v>7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8</v>
      </c>
      <c r="N66" s="50">
        <v>0</v>
      </c>
      <c r="O66" s="15">
        <f t="shared" si="35"/>
        <v>1</v>
      </c>
      <c r="P66" s="15">
        <f t="shared" si="36"/>
        <v>9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5">
        <f t="shared" si="35"/>
        <v>1</v>
      </c>
      <c r="P67" s="15">
        <f t="shared" si="36"/>
        <v>5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</v>
      </c>
      <c r="N68" s="50">
        <v>0</v>
      </c>
      <c r="O68" s="15">
        <f t="shared" si="35"/>
        <v>0</v>
      </c>
      <c r="P68" s="15">
        <f t="shared" si="36"/>
        <v>6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</v>
      </c>
      <c r="N69" s="50">
        <v>0</v>
      </c>
      <c r="O69" s="15">
        <f t="shared" si="35"/>
        <v>1</v>
      </c>
      <c r="P69" s="15">
        <f t="shared" si="36"/>
        <v>3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35"/>
        <v>1</v>
      </c>
      <c r="P70" s="15">
        <f t="shared" si="36"/>
        <v>7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35"/>
        <v>1</v>
      </c>
      <c r="P71" s="15">
        <f t="shared" si="36"/>
        <v>3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3</v>
      </c>
      <c r="N72" s="50">
        <v>0</v>
      </c>
      <c r="O72" s="15">
        <f t="shared" si="35"/>
        <v>1</v>
      </c>
      <c r="P72" s="15">
        <f t="shared" si="36"/>
        <v>4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35"/>
        <v>0</v>
      </c>
      <c r="P73" s="15">
        <f t="shared" si="36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si="35"/>
        <v>0</v>
      </c>
      <c r="P74" s="15">
        <f t="shared" si="36"/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3</v>
      </c>
      <c r="N75" s="50">
        <v>0</v>
      </c>
      <c r="O75" s="15">
        <f t="shared" si="35"/>
        <v>0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</v>
      </c>
      <c r="N77" s="50">
        <v>0</v>
      </c>
      <c r="O77" s="15">
        <f t="shared" si="35"/>
        <v>0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0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0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</v>
      </c>
      <c r="N104" s="50">
        <v>0</v>
      </c>
      <c r="O104" s="15">
        <f t="shared" si="35"/>
        <v>0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3</v>
      </c>
      <c r="N105" s="50">
        <v>0</v>
      </c>
      <c r="O105" s="15">
        <f t="shared" si="35"/>
        <v>0</v>
      </c>
      <c r="P105" s="15">
        <f t="shared" si="36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</v>
      </c>
      <c r="D106" s="16">
        <f t="shared" ref="D106:P106" si="37">SUM(D10:D105)</f>
        <v>13</v>
      </c>
      <c r="E106" s="16">
        <f t="shared" si="37"/>
        <v>15</v>
      </c>
      <c r="F106" s="16">
        <f t="shared" si="37"/>
        <v>6</v>
      </c>
      <c r="G106" s="16">
        <f t="shared" si="37"/>
        <v>1</v>
      </c>
      <c r="H106" s="16">
        <f t="shared" si="37"/>
        <v>0</v>
      </c>
      <c r="I106" s="16">
        <f t="shared" si="37"/>
        <v>29</v>
      </c>
      <c r="J106" s="16">
        <f t="shared" si="37"/>
        <v>5</v>
      </c>
      <c r="K106" s="16">
        <f t="shared" si="37"/>
        <v>3</v>
      </c>
      <c r="L106" s="16">
        <f t="shared" si="37"/>
        <v>0</v>
      </c>
      <c r="M106" s="16">
        <f t="shared" si="37"/>
        <v>709</v>
      </c>
      <c r="N106" s="16">
        <f t="shared" si="37"/>
        <v>0</v>
      </c>
      <c r="O106" s="16">
        <f t="shared" si="37"/>
        <v>118</v>
      </c>
      <c r="P106" s="16">
        <f t="shared" si="37"/>
        <v>827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5.5622732769044739E-2</v>
      </c>
      <c r="D107" s="43">
        <f t="shared" si="38"/>
        <v>1.5719467956469165E-2</v>
      </c>
      <c r="E107" s="43">
        <f t="shared" si="38"/>
        <v>1.8137847642079808E-2</v>
      </c>
      <c r="F107" s="43">
        <f t="shared" si="38"/>
        <v>7.2551390568319227E-3</v>
      </c>
      <c r="G107" s="43">
        <f t="shared" si="38"/>
        <v>1.2091898428053204E-3</v>
      </c>
      <c r="H107" s="43">
        <f t="shared" si="38"/>
        <v>0</v>
      </c>
      <c r="I107" s="43">
        <f t="shared" si="38"/>
        <v>3.5066505441354291E-2</v>
      </c>
      <c r="J107" s="43">
        <f t="shared" si="38"/>
        <v>6.0459492140266021E-3</v>
      </c>
      <c r="K107" s="43">
        <f t="shared" si="38"/>
        <v>3.6275695284159614E-3</v>
      </c>
      <c r="L107" s="43">
        <f t="shared" si="38"/>
        <v>0</v>
      </c>
      <c r="M107" s="43">
        <f t="shared" si="38"/>
        <v>0.85731559854897221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0.38983050847457629</v>
      </c>
      <c r="D108" s="44">
        <f t="shared" ref="D108:N108" si="39">D106/$O$106</f>
        <v>0.11016949152542373</v>
      </c>
      <c r="E108" s="44">
        <f t="shared" si="39"/>
        <v>0.1271186440677966</v>
      </c>
      <c r="F108" s="44">
        <f t="shared" si="39"/>
        <v>5.0847457627118647E-2</v>
      </c>
      <c r="G108" s="44">
        <f t="shared" si="39"/>
        <v>8.4745762711864406E-3</v>
      </c>
      <c r="H108" s="44">
        <f t="shared" si="39"/>
        <v>0</v>
      </c>
      <c r="I108" s="44">
        <f t="shared" si="39"/>
        <v>0.24576271186440679</v>
      </c>
      <c r="J108" s="44">
        <f t="shared" si="39"/>
        <v>4.2372881355932202E-2</v>
      </c>
      <c r="K108" s="44">
        <f t="shared" si="39"/>
        <v>2.5423728813559324E-2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E103" sqref="E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'19.10 KANONI-MITYANA-24h'!D5</f>
        <v>19.10.19</v>
      </c>
      <c r="E5" s="3"/>
      <c r="F5" s="41" t="s">
        <v>1</v>
      </c>
      <c r="G5" s="66" t="str">
        <f>'19.10 KANONI-MITYANA-24h'!G5:H5</f>
        <v>VICA MAIZE MILLERS</v>
      </c>
      <c r="H5" s="67"/>
      <c r="I5" s="14"/>
      <c r="J5" s="2" t="s">
        <v>5</v>
      </c>
      <c r="K5" s="66" t="s">
        <v>175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MITYANA-KANONI'!D6:E6</f>
        <v>MITYANA</v>
      </c>
      <c r="E6" s="67"/>
      <c r="F6" s="2" t="s">
        <v>2</v>
      </c>
      <c r="G6" s="66" t="str">
        <f>'20.10 MITYANA-KANONI'!G6:H6</f>
        <v>KANONI</v>
      </c>
      <c r="H6" s="67"/>
      <c r="J6" s="2" t="s">
        <v>21</v>
      </c>
      <c r="K6" s="66" t="str">
        <f>'19.10 KANONI-MITYANA-24h'!K6:L6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14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46</v>
      </c>
      <c r="AD10" s="17">
        <f t="shared" si="2"/>
        <v>0</v>
      </c>
      <c r="AE10" s="31">
        <f t="shared" si="2"/>
        <v>8</v>
      </c>
      <c r="AF10" s="31">
        <f t="shared" si="2"/>
        <v>54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12</v>
      </c>
      <c r="N11" s="50">
        <v>0</v>
      </c>
      <c r="O11" s="15">
        <f t="shared" si="0"/>
        <v>2</v>
      </c>
      <c r="P11" s="15">
        <f t="shared" si="1"/>
        <v>14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32</v>
      </c>
      <c r="AD11" s="17">
        <f t="shared" si="3"/>
        <v>0</v>
      </c>
      <c r="AE11" s="31">
        <f t="shared" si="3"/>
        <v>5</v>
      </c>
      <c r="AF11" s="31">
        <f t="shared" si="3"/>
        <v>37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1</v>
      </c>
      <c r="P12" s="15">
        <f t="shared" si="1"/>
        <v>16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1">
        <f t="shared" si="4"/>
        <v>7</v>
      </c>
      <c r="AF12" s="31">
        <f t="shared" si="4"/>
        <v>51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4</v>
      </c>
      <c r="P13" s="15">
        <f t="shared" si="1"/>
        <v>10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44</v>
      </c>
      <c r="AD13" s="17">
        <f t="shared" si="5"/>
        <v>0</v>
      </c>
      <c r="AE13" s="31">
        <f t="shared" si="5"/>
        <v>8</v>
      </c>
      <c r="AF13" s="31">
        <f t="shared" si="5"/>
        <v>52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0</v>
      </c>
      <c r="P14" s="15">
        <f t="shared" si="1"/>
        <v>10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37</v>
      </c>
      <c r="AD14" s="17">
        <f t="shared" si="6"/>
        <v>0</v>
      </c>
      <c r="AE14" s="31">
        <f t="shared" si="6"/>
        <v>8</v>
      </c>
      <c r="AF14" s="31">
        <f t="shared" si="6"/>
        <v>45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1</v>
      </c>
      <c r="P15" s="15">
        <f t="shared" si="1"/>
        <v>4</v>
      </c>
      <c r="R15" s="1" t="s">
        <v>11</v>
      </c>
      <c r="S15" s="17">
        <f t="shared" ref="S15:AF15" si="7">SUM(C30:C33)</f>
        <v>3</v>
      </c>
      <c r="T15" s="17">
        <f t="shared" si="7"/>
        <v>3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41</v>
      </c>
      <c r="AD15" s="17">
        <f t="shared" si="7"/>
        <v>0</v>
      </c>
      <c r="AE15" s="31">
        <f t="shared" si="7"/>
        <v>14</v>
      </c>
      <c r="AF15" s="31">
        <f t="shared" si="7"/>
        <v>55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4</v>
      </c>
      <c r="P16" s="15">
        <f t="shared" si="1"/>
        <v>14</v>
      </c>
      <c r="R16" s="1" t="s">
        <v>12</v>
      </c>
      <c r="S16" s="17">
        <f t="shared" ref="S16:AF16" si="8">SUM(C34:C37)</f>
        <v>5</v>
      </c>
      <c r="T16" s="17">
        <f t="shared" si="8"/>
        <v>2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33</v>
      </c>
      <c r="AD16" s="17">
        <f t="shared" si="8"/>
        <v>0</v>
      </c>
      <c r="AE16" s="31">
        <f t="shared" si="8"/>
        <v>15</v>
      </c>
      <c r="AF16" s="31">
        <f t="shared" si="8"/>
        <v>48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0</v>
      </c>
      <c r="P17" s="15">
        <f t="shared" si="1"/>
        <v>9</v>
      </c>
      <c r="R17" s="1" t="s">
        <v>13</v>
      </c>
      <c r="S17" s="17">
        <f t="shared" ref="S17:AF17" si="9">SUM(C38:C41)</f>
        <v>1</v>
      </c>
      <c r="T17" s="17">
        <f t="shared" si="9"/>
        <v>1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46</v>
      </c>
      <c r="AD17" s="17">
        <f t="shared" si="9"/>
        <v>0</v>
      </c>
      <c r="AE17" s="31">
        <f t="shared" si="9"/>
        <v>7</v>
      </c>
      <c r="AF17" s="31">
        <f t="shared" si="9"/>
        <v>53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3</v>
      </c>
      <c r="P18" s="15">
        <f t="shared" si="1"/>
        <v>12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1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38</v>
      </c>
      <c r="AD18" s="17">
        <f t="shared" si="10"/>
        <v>0</v>
      </c>
      <c r="AE18" s="31">
        <f t="shared" si="10"/>
        <v>8</v>
      </c>
      <c r="AF18" s="31">
        <f t="shared" si="10"/>
        <v>46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0</v>
      </c>
      <c r="P19" s="15">
        <f t="shared" si="1"/>
        <v>18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35</v>
      </c>
      <c r="AD19" s="17">
        <f t="shared" si="11"/>
        <v>0</v>
      </c>
      <c r="AE19" s="31">
        <f t="shared" si="11"/>
        <v>7</v>
      </c>
      <c r="AF19" s="31">
        <f t="shared" si="11"/>
        <v>42</v>
      </c>
    </row>
    <row r="20" spans="2:32" ht="23.1" customHeight="1" x14ac:dyDescent="0.25">
      <c r="B20" s="45" t="s">
        <v>47</v>
      </c>
      <c r="C20" s="50">
        <v>2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0"/>
        <v>3</v>
      </c>
      <c r="P20" s="15">
        <f t="shared" si="1"/>
        <v>14</v>
      </c>
      <c r="R20" s="1" t="s">
        <v>16</v>
      </c>
      <c r="S20" s="17">
        <f t="shared" ref="S20:AF20" si="12">SUM(C50:C53)</f>
        <v>4</v>
      </c>
      <c r="T20" s="17">
        <f t="shared" si="12"/>
        <v>1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55</v>
      </c>
      <c r="AD20" s="17">
        <f t="shared" si="12"/>
        <v>0</v>
      </c>
      <c r="AE20" s="31">
        <f t="shared" si="12"/>
        <v>7</v>
      </c>
      <c r="AF20" s="31">
        <f t="shared" si="12"/>
        <v>62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6</v>
      </c>
      <c r="N21" s="50">
        <v>0</v>
      </c>
      <c r="O21" s="15">
        <f t="shared" si="0"/>
        <v>1</v>
      </c>
      <c r="P21" s="15">
        <f t="shared" si="1"/>
        <v>7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46</v>
      </c>
      <c r="AD21" s="17">
        <f t="shared" si="13"/>
        <v>0</v>
      </c>
      <c r="AE21" s="31">
        <f t="shared" si="13"/>
        <v>3</v>
      </c>
      <c r="AF21" s="31">
        <f t="shared" si="13"/>
        <v>49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0</v>
      </c>
      <c r="P22" s="15">
        <f t="shared" si="1"/>
        <v>9</v>
      </c>
      <c r="R22" s="36" t="s">
        <v>146</v>
      </c>
      <c r="S22" s="34">
        <f>SUM(C58:C61)</f>
        <v>5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51</v>
      </c>
      <c r="AD22" s="34">
        <f t="shared" si="14"/>
        <v>0</v>
      </c>
      <c r="AE22" s="31">
        <f t="shared" si="14"/>
        <v>5</v>
      </c>
      <c r="AF22" s="31">
        <f t="shared" si="14"/>
        <v>56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0"/>
        <v>3</v>
      </c>
      <c r="P23" s="15">
        <f t="shared" si="1"/>
        <v>14</v>
      </c>
      <c r="R23" s="36" t="s">
        <v>147</v>
      </c>
      <c r="S23" s="34">
        <f>SUM(C62:C65)</f>
        <v>3</v>
      </c>
      <c r="T23" s="34">
        <f t="shared" ref="T23:AF23" si="15">SUM(D62:D65)</f>
        <v>1</v>
      </c>
      <c r="U23" s="34">
        <f t="shared" si="15"/>
        <v>1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26</v>
      </c>
      <c r="AD23" s="34">
        <f t="shared" si="15"/>
        <v>0</v>
      </c>
      <c r="AE23" s="31">
        <f t="shared" si="15"/>
        <v>6</v>
      </c>
      <c r="AF23" s="31">
        <f t="shared" si="15"/>
        <v>32</v>
      </c>
    </row>
    <row r="24" spans="2:32" ht="23.1" customHeight="1" x14ac:dyDescent="0.25">
      <c r="B24" s="45" t="s">
        <v>51</v>
      </c>
      <c r="C24" s="50">
        <v>2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17</v>
      </c>
      <c r="N24" s="50">
        <v>0</v>
      </c>
      <c r="O24" s="15">
        <f t="shared" si="0"/>
        <v>5</v>
      </c>
      <c r="P24" s="15">
        <f t="shared" si="1"/>
        <v>22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25</v>
      </c>
      <c r="AD24" s="34">
        <f t="shared" si="16"/>
        <v>0</v>
      </c>
      <c r="AE24" s="31">
        <f t="shared" si="16"/>
        <v>3</v>
      </c>
      <c r="AF24" s="31">
        <f t="shared" si="16"/>
        <v>28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0</v>
      </c>
      <c r="P25" s="15">
        <f t="shared" si="1"/>
        <v>7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14</v>
      </c>
      <c r="AD25" s="34">
        <f t="shared" si="17"/>
        <v>0</v>
      </c>
      <c r="AE25" s="31">
        <f t="shared" si="17"/>
        <v>0</v>
      </c>
      <c r="AF25" s="31">
        <f t="shared" si="17"/>
        <v>14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3</v>
      </c>
      <c r="P26" s="15">
        <f t="shared" si="1"/>
        <v>10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2</v>
      </c>
      <c r="AF26" s="31">
        <f t="shared" si="18"/>
        <v>9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3</v>
      </c>
      <c r="P27" s="15">
        <f t="shared" si="1"/>
        <v>18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1</v>
      </c>
      <c r="AF27" s="31">
        <f t="shared" si="19"/>
        <v>2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2</v>
      </c>
      <c r="P28" s="15">
        <f t="shared" si="1"/>
        <v>9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0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0</v>
      </c>
      <c r="P29" s="15">
        <f t="shared" si="1"/>
        <v>8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4</v>
      </c>
      <c r="P30" s="15">
        <f t="shared" si="1"/>
        <v>11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1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3</v>
      </c>
      <c r="P31" s="15">
        <f t="shared" si="1"/>
        <v>16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1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2</v>
      </c>
      <c r="P32" s="15">
        <f t="shared" si="1"/>
        <v>7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0</v>
      </c>
      <c r="AF32" s="31">
        <f t="shared" si="24"/>
        <v>2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5</v>
      </c>
      <c r="P33" s="15">
        <f t="shared" si="1"/>
        <v>21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9</v>
      </c>
      <c r="AD33" s="34">
        <f t="shared" si="25"/>
        <v>0</v>
      </c>
      <c r="AE33" s="31">
        <f t="shared" si="25"/>
        <v>2</v>
      </c>
      <c r="AF33" s="31">
        <f t="shared" si="25"/>
        <v>11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3</v>
      </c>
      <c r="J34" s="50">
        <v>2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5</v>
      </c>
      <c r="P34" s="15">
        <f t="shared" si="1"/>
        <v>11</v>
      </c>
      <c r="R34" s="38" t="s">
        <v>90</v>
      </c>
      <c r="S34" s="39">
        <f t="shared" ref="S34:AF34" si="26">MAX(S10:S12)</f>
        <v>2</v>
      </c>
      <c r="T34" s="39">
        <f t="shared" si="26"/>
        <v>1</v>
      </c>
      <c r="U34" s="39">
        <f t="shared" si="26"/>
        <v>1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6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46</v>
      </c>
      <c r="AD34" s="39">
        <f t="shared" si="26"/>
        <v>0</v>
      </c>
      <c r="AE34" s="40">
        <f t="shared" si="26"/>
        <v>8</v>
      </c>
      <c r="AF34" s="40">
        <f t="shared" si="26"/>
        <v>54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2</v>
      </c>
      <c r="P35" s="15">
        <f t="shared" si="1"/>
        <v>12</v>
      </c>
      <c r="R35" s="38" t="s">
        <v>91</v>
      </c>
      <c r="S35" s="39">
        <f t="shared" ref="S35:AF35" si="27">MAX(S13:S18)</f>
        <v>5</v>
      </c>
      <c r="T35" s="39">
        <f t="shared" si="27"/>
        <v>3</v>
      </c>
      <c r="U35" s="39">
        <f t="shared" si="27"/>
        <v>4</v>
      </c>
      <c r="V35" s="39">
        <f t="shared" si="27"/>
        <v>2</v>
      </c>
      <c r="W35" s="39">
        <f t="shared" si="27"/>
        <v>0</v>
      </c>
      <c r="X35" s="39">
        <f t="shared" si="27"/>
        <v>0</v>
      </c>
      <c r="Y35" s="39">
        <f t="shared" si="27"/>
        <v>4</v>
      </c>
      <c r="Z35" s="39">
        <f t="shared" si="27"/>
        <v>3</v>
      </c>
      <c r="AA35" s="39">
        <f t="shared" si="27"/>
        <v>0</v>
      </c>
      <c r="AB35" s="39">
        <f t="shared" si="27"/>
        <v>0</v>
      </c>
      <c r="AC35" s="39">
        <f t="shared" si="27"/>
        <v>46</v>
      </c>
      <c r="AD35" s="39">
        <f t="shared" si="27"/>
        <v>0</v>
      </c>
      <c r="AE35" s="40">
        <f t="shared" si="27"/>
        <v>15</v>
      </c>
      <c r="AF35" s="40">
        <f t="shared" si="27"/>
        <v>55</v>
      </c>
    </row>
    <row r="36" spans="2:32" ht="23.1" customHeight="1" x14ac:dyDescent="0.25">
      <c r="B36" s="46" t="s">
        <v>63</v>
      </c>
      <c r="C36" s="50">
        <v>2</v>
      </c>
      <c r="D36" s="50">
        <v>2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5</v>
      </c>
      <c r="P36" s="15">
        <f t="shared" si="1"/>
        <v>14</v>
      </c>
      <c r="R36" s="38" t="s">
        <v>92</v>
      </c>
      <c r="S36" s="39">
        <f t="shared" ref="S36:AF36" si="28">MAX(S19:S21)</f>
        <v>4</v>
      </c>
      <c r="T36" s="39">
        <f t="shared" si="28"/>
        <v>1</v>
      </c>
      <c r="U36" s="39">
        <f t="shared" si="28"/>
        <v>2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1</v>
      </c>
      <c r="AA36" s="39">
        <f t="shared" si="28"/>
        <v>0</v>
      </c>
      <c r="AB36" s="39">
        <f t="shared" si="28"/>
        <v>0</v>
      </c>
      <c r="AC36" s="39">
        <f t="shared" si="28"/>
        <v>55</v>
      </c>
      <c r="AD36" s="39">
        <f t="shared" si="28"/>
        <v>0</v>
      </c>
      <c r="AE36" s="40">
        <f t="shared" si="28"/>
        <v>7</v>
      </c>
      <c r="AF36" s="40">
        <f t="shared" si="28"/>
        <v>62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3</v>
      </c>
      <c r="P37" s="15">
        <f t="shared" si="1"/>
        <v>11</v>
      </c>
      <c r="R37" s="37" t="s">
        <v>85</v>
      </c>
      <c r="S37" s="35">
        <f t="shared" ref="S37:AF37" si="29">SUM(S10:S12)</f>
        <v>3</v>
      </c>
      <c r="T37" s="16">
        <f t="shared" si="29"/>
        <v>2</v>
      </c>
      <c r="U37" s="16">
        <f t="shared" si="29"/>
        <v>2</v>
      </c>
      <c r="V37" s="16">
        <f t="shared" si="29"/>
        <v>2</v>
      </c>
      <c r="W37" s="16">
        <f t="shared" si="29"/>
        <v>0</v>
      </c>
      <c r="X37" s="16">
        <f t="shared" si="29"/>
        <v>0</v>
      </c>
      <c r="Y37" s="16">
        <f t="shared" si="29"/>
        <v>8</v>
      </c>
      <c r="Z37" s="16">
        <f t="shared" si="29"/>
        <v>2</v>
      </c>
      <c r="AA37" s="16">
        <f t="shared" si="29"/>
        <v>1</v>
      </c>
      <c r="AB37" s="16">
        <f t="shared" si="29"/>
        <v>0</v>
      </c>
      <c r="AC37" s="16">
        <f t="shared" si="29"/>
        <v>122</v>
      </c>
      <c r="AD37" s="16">
        <f t="shared" si="29"/>
        <v>0</v>
      </c>
      <c r="AE37" s="32">
        <f t="shared" si="29"/>
        <v>20</v>
      </c>
      <c r="AF37" s="32">
        <f t="shared" si="29"/>
        <v>142</v>
      </c>
    </row>
    <row r="38" spans="2:32" ht="23.1" customHeight="1" x14ac:dyDescent="0.25">
      <c r="B38" s="46" t="s">
        <v>65</v>
      </c>
      <c r="C38" s="50">
        <v>0</v>
      </c>
      <c r="D38" s="50">
        <v>1</v>
      </c>
      <c r="E38" s="50">
        <v>0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4</v>
      </c>
      <c r="P38" s="15">
        <f t="shared" si="1"/>
        <v>16</v>
      </c>
      <c r="R38" s="28" t="s">
        <v>86</v>
      </c>
      <c r="S38" s="16">
        <f t="shared" ref="S38:AF38" si="30">SUM(S13:S18)</f>
        <v>17</v>
      </c>
      <c r="T38" s="16">
        <f t="shared" si="30"/>
        <v>8</v>
      </c>
      <c r="U38" s="16">
        <f t="shared" si="30"/>
        <v>9</v>
      </c>
      <c r="V38" s="16">
        <f t="shared" si="30"/>
        <v>5</v>
      </c>
      <c r="W38" s="16">
        <f t="shared" si="30"/>
        <v>0</v>
      </c>
      <c r="X38" s="16">
        <f t="shared" si="30"/>
        <v>0</v>
      </c>
      <c r="Y38" s="16">
        <f t="shared" si="30"/>
        <v>14</v>
      </c>
      <c r="Z38" s="16">
        <f t="shared" si="30"/>
        <v>7</v>
      </c>
      <c r="AA38" s="16">
        <f t="shared" si="30"/>
        <v>0</v>
      </c>
      <c r="AB38" s="16">
        <f t="shared" si="30"/>
        <v>0</v>
      </c>
      <c r="AC38" s="16">
        <f t="shared" si="30"/>
        <v>239</v>
      </c>
      <c r="AD38" s="16">
        <f t="shared" si="30"/>
        <v>0</v>
      </c>
      <c r="AE38" s="32">
        <f t="shared" si="30"/>
        <v>60</v>
      </c>
      <c r="AF38" s="32">
        <f t="shared" si="30"/>
        <v>299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2</v>
      </c>
      <c r="P39" s="15">
        <f t="shared" si="1"/>
        <v>13</v>
      </c>
      <c r="R39" s="29" t="s">
        <v>87</v>
      </c>
      <c r="S39" s="16">
        <f t="shared" ref="S39:AF39" si="31">SUM(S19:S21)</f>
        <v>7</v>
      </c>
      <c r="T39" s="16">
        <f t="shared" si="31"/>
        <v>1</v>
      </c>
      <c r="U39" s="16">
        <f t="shared" si="31"/>
        <v>4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3</v>
      </c>
      <c r="Z39" s="16">
        <f t="shared" si="31"/>
        <v>1</v>
      </c>
      <c r="AA39" s="16">
        <f t="shared" si="31"/>
        <v>0</v>
      </c>
      <c r="AB39" s="16">
        <f t="shared" si="31"/>
        <v>0</v>
      </c>
      <c r="AC39" s="16">
        <f t="shared" si="31"/>
        <v>136</v>
      </c>
      <c r="AD39" s="16">
        <f t="shared" si="31"/>
        <v>0</v>
      </c>
      <c r="AE39" s="32">
        <f t="shared" si="31"/>
        <v>17</v>
      </c>
      <c r="AF39" s="32">
        <f t="shared" si="31"/>
        <v>153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1</v>
      </c>
      <c r="P40" s="15">
        <f t="shared" si="1"/>
        <v>16</v>
      </c>
      <c r="R40" s="5" t="s">
        <v>17</v>
      </c>
      <c r="S40" s="16">
        <f t="shared" ref="S40:AF40" si="32">SUM(S10:S21)</f>
        <v>27</v>
      </c>
      <c r="T40" s="16">
        <f t="shared" si="32"/>
        <v>11</v>
      </c>
      <c r="U40" s="16">
        <f t="shared" si="32"/>
        <v>15</v>
      </c>
      <c r="V40" s="16">
        <f t="shared" si="32"/>
        <v>8</v>
      </c>
      <c r="W40" s="16">
        <f t="shared" si="32"/>
        <v>0</v>
      </c>
      <c r="X40" s="16">
        <f t="shared" si="32"/>
        <v>0</v>
      </c>
      <c r="Y40" s="16">
        <f t="shared" si="32"/>
        <v>25</v>
      </c>
      <c r="Z40" s="16">
        <f t="shared" si="32"/>
        <v>10</v>
      </c>
      <c r="AA40" s="16">
        <f t="shared" si="32"/>
        <v>1</v>
      </c>
      <c r="AB40" s="16">
        <f t="shared" si="32"/>
        <v>0</v>
      </c>
      <c r="AC40" s="16">
        <f t="shared" si="32"/>
        <v>497</v>
      </c>
      <c r="AD40" s="16">
        <f t="shared" si="32"/>
        <v>0</v>
      </c>
      <c r="AE40" s="32">
        <f t="shared" si="32"/>
        <v>97</v>
      </c>
      <c r="AF40" s="32">
        <f t="shared" si="32"/>
        <v>594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0</v>
      </c>
      <c r="P41" s="15">
        <f t="shared" si="1"/>
        <v>8</v>
      </c>
      <c r="R41" s="5" t="s">
        <v>159</v>
      </c>
      <c r="S41" s="16">
        <f>SUM(S10:S33)</f>
        <v>38</v>
      </c>
      <c r="T41" s="16">
        <f t="shared" ref="T41:AF41" si="33">SUM(T10:T33)</f>
        <v>12</v>
      </c>
      <c r="U41" s="16">
        <f t="shared" si="33"/>
        <v>17</v>
      </c>
      <c r="V41" s="16">
        <f t="shared" si="33"/>
        <v>10</v>
      </c>
      <c r="W41" s="16">
        <f t="shared" si="33"/>
        <v>0</v>
      </c>
      <c r="X41" s="16">
        <f t="shared" si="33"/>
        <v>0</v>
      </c>
      <c r="Y41" s="16">
        <f t="shared" si="33"/>
        <v>28</v>
      </c>
      <c r="Z41" s="16">
        <f t="shared" si="33"/>
        <v>10</v>
      </c>
      <c r="AA41" s="16">
        <f t="shared" si="33"/>
        <v>1</v>
      </c>
      <c r="AB41" s="16">
        <f t="shared" si="33"/>
        <v>0</v>
      </c>
      <c r="AC41" s="16">
        <f t="shared" si="33"/>
        <v>634</v>
      </c>
      <c r="AD41" s="16">
        <f t="shared" si="33"/>
        <v>0</v>
      </c>
      <c r="AE41" s="32">
        <f t="shared" si="33"/>
        <v>116</v>
      </c>
      <c r="AF41" s="32">
        <f t="shared" si="33"/>
        <v>750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3</v>
      </c>
      <c r="P42" s="15">
        <f t="shared" si="1"/>
        <v>15</v>
      </c>
      <c r="R42" s="5" t="s">
        <v>160</v>
      </c>
      <c r="S42" s="48">
        <f>S41/S40</f>
        <v>1.4074074074074074</v>
      </c>
      <c r="T42" s="48">
        <f t="shared" ref="T42:AF42" si="34">T41/T40</f>
        <v>1.0909090909090908</v>
      </c>
      <c r="U42" s="48">
        <f t="shared" si="34"/>
        <v>1.1333333333333333</v>
      </c>
      <c r="V42" s="48">
        <f t="shared" si="34"/>
        <v>1.25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1.1200000000000001</v>
      </c>
      <c r="Z42" s="48">
        <f t="shared" si="34"/>
        <v>1</v>
      </c>
      <c r="AA42" s="48">
        <f t="shared" si="34"/>
        <v>1</v>
      </c>
      <c r="AB42" s="48" t="e">
        <f t="shared" si="34"/>
        <v>#DIV/0!</v>
      </c>
      <c r="AC42" s="48">
        <f t="shared" si="34"/>
        <v>1.2756539235412474</v>
      </c>
      <c r="AD42" s="48" t="e">
        <f t="shared" si="34"/>
        <v>#DIV/0!</v>
      </c>
      <c r="AE42" s="48">
        <f t="shared" si="34"/>
        <v>1.1958762886597938</v>
      </c>
      <c r="AF42" s="48">
        <f t="shared" si="34"/>
        <v>1.2626262626262625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2</v>
      </c>
      <c r="P43" s="15">
        <f t="shared" si="1"/>
        <v>8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3</v>
      </c>
      <c r="P44" s="15">
        <f t="shared" si="1"/>
        <v>12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0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3</v>
      </c>
      <c r="P46" s="15">
        <f t="shared" si="1"/>
        <v>13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1</v>
      </c>
      <c r="P47" s="15">
        <f t="shared" si="1"/>
        <v>13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1</v>
      </c>
      <c r="P48" s="15">
        <f t="shared" si="1"/>
        <v>3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2</v>
      </c>
      <c r="P49" s="15">
        <f t="shared" si="1"/>
        <v>13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4</v>
      </c>
      <c r="P50" s="15">
        <f t="shared" si="1"/>
        <v>14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2</v>
      </c>
      <c r="P51" s="15">
        <f t="shared" si="1"/>
        <v>22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15</v>
      </c>
      <c r="N52" s="50">
        <v>0</v>
      </c>
      <c r="O52" s="15">
        <f t="shared" si="0"/>
        <v>0</v>
      </c>
      <c r="P52" s="15">
        <f t="shared" si="1"/>
        <v>15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1</v>
      </c>
      <c r="P53" s="15">
        <f t="shared" si="1"/>
        <v>11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1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2</v>
      </c>
      <c r="P55" s="15">
        <f t="shared" si="1"/>
        <v>8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0</v>
      </c>
      <c r="P56" s="15">
        <f t="shared" si="1"/>
        <v>18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0</v>
      </c>
      <c r="P57" s="15">
        <f t="shared" si="1"/>
        <v>15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7</v>
      </c>
      <c r="N58" s="50">
        <v>0</v>
      </c>
      <c r="O58" s="15">
        <f t="shared" si="0"/>
        <v>1</v>
      </c>
      <c r="P58" s="15">
        <f t="shared" si="1"/>
        <v>8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15</v>
      </c>
      <c r="N59" s="50">
        <v>0</v>
      </c>
      <c r="O59" s="15">
        <f t="shared" si="0"/>
        <v>2</v>
      </c>
      <c r="P59" s="15">
        <f t="shared" si="1"/>
        <v>17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21</v>
      </c>
      <c r="N60" s="50">
        <v>0</v>
      </c>
      <c r="O60" s="15">
        <f t="shared" si="0"/>
        <v>1</v>
      </c>
      <c r="P60" s="15">
        <f t="shared" si="1"/>
        <v>22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8</v>
      </c>
      <c r="N61" s="50">
        <v>0</v>
      </c>
      <c r="O61" s="15">
        <f t="shared" si="0"/>
        <v>1</v>
      </c>
      <c r="P61" s="15">
        <f t="shared" si="1"/>
        <v>9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11</v>
      </c>
      <c r="N62" s="50">
        <v>0</v>
      </c>
      <c r="O62" s="15">
        <f t="shared" si="0"/>
        <v>1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2</v>
      </c>
      <c r="N63" s="50">
        <v>0</v>
      </c>
      <c r="O63" s="15">
        <f t="shared" si="0"/>
        <v>3</v>
      </c>
      <c r="P63" s="15">
        <f t="shared" si="1"/>
        <v>5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3</v>
      </c>
      <c r="N64" s="50">
        <v>0</v>
      </c>
      <c r="O64" s="15">
        <f t="shared" si="0"/>
        <v>1</v>
      </c>
      <c r="P64" s="15">
        <f t="shared" si="1"/>
        <v>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10</v>
      </c>
      <c r="N65" s="50">
        <v>0</v>
      </c>
      <c r="O65" s="15">
        <f t="shared" si="0"/>
        <v>1</v>
      </c>
      <c r="P65" s="15">
        <f t="shared" si="1"/>
        <v>11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3</v>
      </c>
      <c r="N66" s="50">
        <v>0</v>
      </c>
      <c r="O66" s="15">
        <f t="shared" si="0"/>
        <v>1</v>
      </c>
      <c r="P66" s="15">
        <f t="shared" si="1"/>
        <v>4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9</v>
      </c>
      <c r="N67" s="50">
        <v>0</v>
      </c>
      <c r="O67" s="15">
        <f t="shared" si="0"/>
        <v>0</v>
      </c>
      <c r="P67" s="15">
        <f t="shared" si="1"/>
        <v>9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5</v>
      </c>
      <c r="N68" s="50">
        <v>0</v>
      </c>
      <c r="O68" s="15">
        <f t="shared" si="0"/>
        <v>1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8</v>
      </c>
      <c r="N69" s="50">
        <v>0</v>
      </c>
      <c r="O69" s="15">
        <f t="shared" si="0"/>
        <v>1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0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</v>
      </c>
      <c r="N71" s="50">
        <v>0</v>
      </c>
      <c r="O71" s="15">
        <f t="shared" si="0"/>
        <v>0</v>
      </c>
      <c r="P71" s="15">
        <f t="shared" si="1"/>
        <v>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</v>
      </c>
      <c r="N72" s="50">
        <v>0</v>
      </c>
      <c r="O72" s="15">
        <f t="shared" si="0"/>
        <v>0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6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1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0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0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2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0</v>
      </c>
      <c r="P103" s="15">
        <f t="shared" si="36"/>
        <v>3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</v>
      </c>
      <c r="N104" s="50">
        <v>0</v>
      </c>
      <c r="O104" s="15">
        <f t="shared" si="35"/>
        <v>0</v>
      </c>
      <c r="P104" s="15">
        <f t="shared" si="36"/>
        <v>2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0</v>
      </c>
      <c r="P105" s="15">
        <f t="shared" si="36"/>
        <v>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38</v>
      </c>
      <c r="D106" s="16">
        <f t="shared" ref="D106:P106" si="37">SUM(D10:D105)</f>
        <v>12</v>
      </c>
      <c r="E106" s="16">
        <f t="shared" si="37"/>
        <v>17</v>
      </c>
      <c r="F106" s="16">
        <f t="shared" si="37"/>
        <v>10</v>
      </c>
      <c r="G106" s="16">
        <f t="shared" si="37"/>
        <v>0</v>
      </c>
      <c r="H106" s="16">
        <f t="shared" si="37"/>
        <v>0</v>
      </c>
      <c r="I106" s="16">
        <f t="shared" si="37"/>
        <v>28</v>
      </c>
      <c r="J106" s="16">
        <f t="shared" si="37"/>
        <v>10</v>
      </c>
      <c r="K106" s="16">
        <f t="shared" si="37"/>
        <v>1</v>
      </c>
      <c r="L106" s="16">
        <f t="shared" si="37"/>
        <v>0</v>
      </c>
      <c r="M106" s="16">
        <f t="shared" si="37"/>
        <v>634</v>
      </c>
      <c r="N106" s="16">
        <f t="shared" si="37"/>
        <v>0</v>
      </c>
      <c r="O106" s="16">
        <f t="shared" si="37"/>
        <v>116</v>
      </c>
      <c r="P106" s="16">
        <f t="shared" si="37"/>
        <v>750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5.0666666666666665E-2</v>
      </c>
      <c r="D107" s="43">
        <f t="shared" si="38"/>
        <v>1.6E-2</v>
      </c>
      <c r="E107" s="43">
        <f t="shared" si="38"/>
        <v>2.2666666666666668E-2</v>
      </c>
      <c r="F107" s="43">
        <f t="shared" si="38"/>
        <v>1.3333333333333334E-2</v>
      </c>
      <c r="G107" s="43">
        <f t="shared" si="38"/>
        <v>0</v>
      </c>
      <c r="H107" s="43">
        <f t="shared" si="38"/>
        <v>0</v>
      </c>
      <c r="I107" s="43">
        <f t="shared" si="38"/>
        <v>3.7333333333333336E-2</v>
      </c>
      <c r="J107" s="43">
        <f t="shared" si="38"/>
        <v>1.3333333333333334E-2</v>
      </c>
      <c r="K107" s="43">
        <f t="shared" si="38"/>
        <v>1.3333333333333333E-3</v>
      </c>
      <c r="L107" s="43">
        <f t="shared" si="38"/>
        <v>0</v>
      </c>
      <c r="M107" s="43">
        <f t="shared" si="38"/>
        <v>0.84533333333333338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0.32758620689655171</v>
      </c>
      <c r="D108" s="44">
        <f t="shared" ref="D108:N108" si="39">D106/$O$106</f>
        <v>0.10344827586206896</v>
      </c>
      <c r="E108" s="44">
        <f t="shared" si="39"/>
        <v>0.14655172413793102</v>
      </c>
      <c r="F108" s="44">
        <f t="shared" si="39"/>
        <v>8.6206896551724144E-2</v>
      </c>
      <c r="G108" s="44">
        <f t="shared" si="39"/>
        <v>0</v>
      </c>
      <c r="H108" s="44">
        <f t="shared" si="39"/>
        <v>0</v>
      </c>
      <c r="I108" s="44">
        <f t="shared" si="39"/>
        <v>0.2413793103448276</v>
      </c>
      <c r="J108" s="44">
        <f t="shared" si="39"/>
        <v>8.6206896551724144E-2</v>
      </c>
      <c r="K108" s="44">
        <f t="shared" si="39"/>
        <v>8.6206896551724137E-3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6" t="str">
        <f>'17.10 KANONI-MITYANA'!G5:H5</f>
        <v>VICA MAIZE MILLERS</v>
      </c>
      <c r="H5" s="67"/>
      <c r="I5" s="14"/>
      <c r="J5" s="2" t="s">
        <v>5</v>
      </c>
      <c r="K5" s="66" t="str">
        <f>'17.10 KANONI-MITYANA'!K5:L5</f>
        <v>CATHY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KANONI-MITYANA'!D6:E6</f>
        <v>KANONI</v>
      </c>
      <c r="E6" s="67"/>
      <c r="F6" s="2" t="s">
        <v>2</v>
      </c>
      <c r="G6" s="66" t="str">
        <f>'17.10 KANONI-MITYANA'!G6:H6</f>
        <v>MITYANA</v>
      </c>
      <c r="H6" s="67"/>
      <c r="J6" s="2" t="s">
        <v>21</v>
      </c>
      <c r="K6" s="66" t="str">
        <f>'17.10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38</v>
      </c>
      <c r="AD10" s="17">
        <f t="shared" si="2"/>
        <v>0</v>
      </c>
      <c r="AE10" s="31">
        <f t="shared" si="2"/>
        <v>2</v>
      </c>
      <c r="AF10" s="31">
        <f t="shared" si="2"/>
        <v>40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0</v>
      </c>
      <c r="P11" s="15">
        <f t="shared" si="1"/>
        <v>11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37</v>
      </c>
      <c r="AD11" s="17">
        <f t="shared" si="3"/>
        <v>0</v>
      </c>
      <c r="AE11" s="31">
        <f t="shared" si="3"/>
        <v>10</v>
      </c>
      <c r="AF11" s="31">
        <f t="shared" si="3"/>
        <v>47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0</v>
      </c>
      <c r="P12" s="15">
        <f t="shared" si="1"/>
        <v>9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2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59</v>
      </c>
      <c r="AD12" s="17">
        <f t="shared" si="4"/>
        <v>0</v>
      </c>
      <c r="AE12" s="31">
        <f t="shared" si="4"/>
        <v>6</v>
      </c>
      <c r="AF12" s="31">
        <f t="shared" si="4"/>
        <v>65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2</v>
      </c>
      <c r="P13" s="15">
        <f t="shared" si="1"/>
        <v>12</v>
      </c>
      <c r="R13" s="1" t="s">
        <v>9</v>
      </c>
      <c r="S13" s="17">
        <f t="shared" ref="S13:AF13" si="5">SUM(C22:C25)</f>
        <v>4</v>
      </c>
      <c r="T13" s="17">
        <f t="shared" si="5"/>
        <v>1</v>
      </c>
      <c r="U13" s="17">
        <f t="shared" si="5"/>
        <v>1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79</v>
      </c>
      <c r="AD13" s="17">
        <f t="shared" si="5"/>
        <v>0</v>
      </c>
      <c r="AE13" s="31">
        <f t="shared" si="5"/>
        <v>8</v>
      </c>
      <c r="AF13" s="31">
        <f t="shared" si="5"/>
        <v>87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2</v>
      </c>
      <c r="P14" s="15">
        <f t="shared" si="1"/>
        <v>12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67</v>
      </c>
      <c r="AD14" s="17">
        <f t="shared" si="6"/>
        <v>0</v>
      </c>
      <c r="AE14" s="31">
        <f t="shared" si="6"/>
        <v>10</v>
      </c>
      <c r="AF14" s="31">
        <f t="shared" si="6"/>
        <v>77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2</v>
      </c>
      <c r="P15" s="15">
        <f t="shared" si="1"/>
        <v>9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64</v>
      </c>
      <c r="AD15" s="17">
        <f t="shared" si="7"/>
        <v>0</v>
      </c>
      <c r="AE15" s="31">
        <f t="shared" si="7"/>
        <v>7</v>
      </c>
      <c r="AF15" s="31">
        <f t="shared" si="7"/>
        <v>71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4</v>
      </c>
      <c r="P16" s="15">
        <f t="shared" si="1"/>
        <v>15</v>
      </c>
      <c r="R16" s="1" t="s">
        <v>12</v>
      </c>
      <c r="S16" s="17">
        <f t="shared" ref="S16:AF16" si="8">SUM(C34:C37)</f>
        <v>2</v>
      </c>
      <c r="T16" s="17">
        <f t="shared" si="8"/>
        <v>2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57</v>
      </c>
      <c r="AD16" s="17">
        <f t="shared" si="8"/>
        <v>0</v>
      </c>
      <c r="AE16" s="31">
        <f t="shared" si="8"/>
        <v>5</v>
      </c>
      <c r="AF16" s="31">
        <f t="shared" si="8"/>
        <v>62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2</v>
      </c>
      <c r="P17" s="15">
        <f t="shared" si="1"/>
        <v>11</v>
      </c>
      <c r="R17" s="1" t="s">
        <v>13</v>
      </c>
      <c r="S17" s="17">
        <f t="shared" ref="S17:AF17" si="9">SUM(C38:C41)</f>
        <v>3</v>
      </c>
      <c r="T17" s="17">
        <f t="shared" si="9"/>
        <v>1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46</v>
      </c>
      <c r="AD17" s="17">
        <f t="shared" si="9"/>
        <v>0</v>
      </c>
      <c r="AE17" s="31">
        <f t="shared" si="9"/>
        <v>9</v>
      </c>
      <c r="AF17" s="31">
        <f t="shared" si="9"/>
        <v>55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1</v>
      </c>
      <c r="P18" s="15">
        <f t="shared" si="1"/>
        <v>10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76</v>
      </c>
      <c r="AD18" s="17">
        <f t="shared" si="10"/>
        <v>0</v>
      </c>
      <c r="AE18" s="31">
        <f t="shared" si="10"/>
        <v>11</v>
      </c>
      <c r="AF18" s="31">
        <f t="shared" si="10"/>
        <v>87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2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2</v>
      </c>
      <c r="P19" s="15">
        <f t="shared" si="1"/>
        <v>14</v>
      </c>
      <c r="R19" s="1" t="s">
        <v>15</v>
      </c>
      <c r="S19" s="17">
        <f t="shared" ref="S19:AF19" si="11">SUM(C46:C49)</f>
        <v>2</v>
      </c>
      <c r="T19" s="17">
        <f t="shared" si="11"/>
        <v>1</v>
      </c>
      <c r="U19" s="17">
        <f t="shared" si="11"/>
        <v>4</v>
      </c>
      <c r="V19" s="17">
        <f t="shared" si="11"/>
        <v>1</v>
      </c>
      <c r="W19" s="17">
        <f t="shared" si="11"/>
        <v>1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55</v>
      </c>
      <c r="AD19" s="17">
        <f t="shared" si="11"/>
        <v>0</v>
      </c>
      <c r="AE19" s="31">
        <f t="shared" si="11"/>
        <v>12</v>
      </c>
      <c r="AF19" s="31">
        <f t="shared" si="11"/>
        <v>67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18</v>
      </c>
      <c r="N20" s="50">
        <v>0</v>
      </c>
      <c r="O20" s="15">
        <f t="shared" si="0"/>
        <v>2</v>
      </c>
      <c r="P20" s="15">
        <f t="shared" si="1"/>
        <v>20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40</v>
      </c>
      <c r="AD20" s="17">
        <f t="shared" si="12"/>
        <v>0</v>
      </c>
      <c r="AE20" s="31">
        <f t="shared" si="12"/>
        <v>9</v>
      </c>
      <c r="AF20" s="31">
        <f t="shared" si="12"/>
        <v>49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20</v>
      </c>
      <c r="N21" s="50">
        <v>0</v>
      </c>
      <c r="O21" s="15">
        <f t="shared" si="0"/>
        <v>1</v>
      </c>
      <c r="P21" s="15">
        <f t="shared" si="1"/>
        <v>21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63</v>
      </c>
      <c r="AD21" s="17">
        <f t="shared" si="13"/>
        <v>0</v>
      </c>
      <c r="AE21" s="31">
        <f t="shared" si="13"/>
        <v>10</v>
      </c>
      <c r="AF21" s="31">
        <f t="shared" si="13"/>
        <v>73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25</v>
      </c>
      <c r="N22" s="50">
        <v>0</v>
      </c>
      <c r="O22" s="15">
        <f t="shared" si="0"/>
        <v>0</v>
      </c>
      <c r="P22" s="15">
        <f t="shared" si="1"/>
        <v>25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3</v>
      </c>
      <c r="W22" s="39">
        <f t="shared" si="14"/>
        <v>2</v>
      </c>
      <c r="X22" s="39">
        <f t="shared" si="14"/>
        <v>0</v>
      </c>
      <c r="Y22" s="39">
        <f t="shared" si="14"/>
        <v>1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59</v>
      </c>
      <c r="AD22" s="39">
        <f t="shared" si="14"/>
        <v>0</v>
      </c>
      <c r="AE22" s="40">
        <f t="shared" si="14"/>
        <v>10</v>
      </c>
      <c r="AF22" s="40">
        <f t="shared" si="14"/>
        <v>65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15</v>
      </c>
      <c r="N23" s="50">
        <v>0</v>
      </c>
      <c r="O23" s="15">
        <f t="shared" si="0"/>
        <v>0</v>
      </c>
      <c r="P23" s="15">
        <f t="shared" si="1"/>
        <v>15</v>
      </c>
      <c r="R23" s="38" t="s">
        <v>91</v>
      </c>
      <c r="S23" s="39">
        <f>MAX(S13:S18)</f>
        <v>7</v>
      </c>
      <c r="T23" s="39">
        <f t="shared" ref="T23:AF23" si="15">MAX(T13:T18)</f>
        <v>2</v>
      </c>
      <c r="U23" s="39">
        <f t="shared" si="15"/>
        <v>2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79</v>
      </c>
      <c r="AD23" s="39">
        <f t="shared" si="15"/>
        <v>0</v>
      </c>
      <c r="AE23" s="40">
        <f t="shared" si="15"/>
        <v>11</v>
      </c>
      <c r="AF23" s="40">
        <f t="shared" si="15"/>
        <v>87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21</v>
      </c>
      <c r="N24" s="50">
        <v>0</v>
      </c>
      <c r="O24" s="15">
        <f t="shared" si="0"/>
        <v>4</v>
      </c>
      <c r="P24" s="15">
        <f t="shared" si="1"/>
        <v>25</v>
      </c>
      <c r="R24" s="38" t="s">
        <v>92</v>
      </c>
      <c r="S24" s="39">
        <f>MAX(S19:S21)</f>
        <v>4</v>
      </c>
      <c r="T24" s="39">
        <f t="shared" ref="T24:AF24" si="16">MAX(T19:T21)</f>
        <v>1</v>
      </c>
      <c r="U24" s="39">
        <f t="shared" si="16"/>
        <v>4</v>
      </c>
      <c r="V24" s="39">
        <f t="shared" si="16"/>
        <v>1</v>
      </c>
      <c r="W24" s="39">
        <f t="shared" si="16"/>
        <v>1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63</v>
      </c>
      <c r="AD24" s="39">
        <f t="shared" si="16"/>
        <v>0</v>
      </c>
      <c r="AE24" s="40">
        <f t="shared" si="16"/>
        <v>12</v>
      </c>
      <c r="AF24" s="40">
        <f t="shared" si="16"/>
        <v>73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4</v>
      </c>
      <c r="P25" s="15">
        <f t="shared" si="1"/>
        <v>22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0</v>
      </c>
      <c r="V25" s="16">
        <f t="shared" si="17"/>
        <v>4</v>
      </c>
      <c r="W25" s="16">
        <f t="shared" si="17"/>
        <v>2</v>
      </c>
      <c r="X25" s="16">
        <f t="shared" si="17"/>
        <v>0</v>
      </c>
      <c r="Y25" s="16">
        <f t="shared" si="17"/>
        <v>1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134</v>
      </c>
      <c r="AD25" s="16">
        <f t="shared" si="17"/>
        <v>0</v>
      </c>
      <c r="AE25" s="32">
        <f t="shared" si="17"/>
        <v>18</v>
      </c>
      <c r="AF25" s="32">
        <f t="shared" si="17"/>
        <v>152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4</v>
      </c>
      <c r="P26" s="15">
        <f t="shared" si="1"/>
        <v>24</v>
      </c>
      <c r="R26" s="28" t="s">
        <v>86</v>
      </c>
      <c r="S26" s="16">
        <f t="shared" ref="S26:AF26" si="18">SUM(S13:S18)</f>
        <v>19</v>
      </c>
      <c r="T26" s="16">
        <f t="shared" si="18"/>
        <v>4</v>
      </c>
      <c r="U26" s="16">
        <f t="shared" si="18"/>
        <v>4</v>
      </c>
      <c r="V26" s="16">
        <f t="shared" si="18"/>
        <v>5</v>
      </c>
      <c r="W26" s="16">
        <f t="shared" si="18"/>
        <v>0</v>
      </c>
      <c r="X26" s="16">
        <f t="shared" si="18"/>
        <v>0</v>
      </c>
      <c r="Y26" s="16">
        <f t="shared" si="18"/>
        <v>11</v>
      </c>
      <c r="Z26" s="16">
        <f t="shared" si="18"/>
        <v>7</v>
      </c>
      <c r="AA26" s="16">
        <f t="shared" si="18"/>
        <v>0</v>
      </c>
      <c r="AB26" s="16">
        <f t="shared" si="18"/>
        <v>0</v>
      </c>
      <c r="AC26" s="16">
        <f t="shared" si="18"/>
        <v>389</v>
      </c>
      <c r="AD26" s="16">
        <f t="shared" si="18"/>
        <v>0</v>
      </c>
      <c r="AE26" s="32">
        <f t="shared" si="18"/>
        <v>50</v>
      </c>
      <c r="AF26" s="32">
        <f t="shared" si="18"/>
        <v>439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17</v>
      </c>
      <c r="N27" s="50">
        <v>0</v>
      </c>
      <c r="O27" s="15">
        <f t="shared" si="0"/>
        <v>0</v>
      </c>
      <c r="P27" s="15">
        <f t="shared" si="1"/>
        <v>17</v>
      </c>
      <c r="R27" s="29" t="s">
        <v>87</v>
      </c>
      <c r="S27" s="16">
        <f t="shared" ref="S27:AF27" si="19">SUM(S19:S21)</f>
        <v>9</v>
      </c>
      <c r="T27" s="16">
        <f t="shared" si="19"/>
        <v>1</v>
      </c>
      <c r="U27" s="16">
        <f t="shared" si="19"/>
        <v>6</v>
      </c>
      <c r="V27" s="16">
        <f t="shared" si="19"/>
        <v>2</v>
      </c>
      <c r="W27" s="16">
        <f t="shared" si="19"/>
        <v>1</v>
      </c>
      <c r="X27" s="16">
        <f t="shared" si="19"/>
        <v>0</v>
      </c>
      <c r="Y27" s="16">
        <f t="shared" si="19"/>
        <v>9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158</v>
      </c>
      <c r="AD27" s="16">
        <f t="shared" si="19"/>
        <v>0</v>
      </c>
      <c r="AE27" s="32">
        <f t="shared" si="19"/>
        <v>31</v>
      </c>
      <c r="AF27" s="32">
        <f t="shared" si="19"/>
        <v>189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13</v>
      </c>
      <c r="N28" s="50">
        <v>0</v>
      </c>
      <c r="O28" s="15">
        <f t="shared" si="0"/>
        <v>2</v>
      </c>
      <c r="P28" s="15">
        <f t="shared" si="1"/>
        <v>15</v>
      </c>
      <c r="R28" s="5" t="s">
        <v>17</v>
      </c>
      <c r="S28" s="16">
        <f t="shared" ref="S28:AF28" si="20">SUM(S10:S21)</f>
        <v>38</v>
      </c>
      <c r="T28" s="16">
        <f t="shared" si="20"/>
        <v>5</v>
      </c>
      <c r="U28" s="16">
        <f t="shared" si="20"/>
        <v>10</v>
      </c>
      <c r="V28" s="16">
        <f t="shared" si="20"/>
        <v>11</v>
      </c>
      <c r="W28" s="16">
        <f t="shared" si="20"/>
        <v>3</v>
      </c>
      <c r="X28" s="16">
        <f t="shared" si="20"/>
        <v>0</v>
      </c>
      <c r="Y28" s="16">
        <f t="shared" si="20"/>
        <v>21</v>
      </c>
      <c r="Z28" s="16">
        <f t="shared" si="20"/>
        <v>11</v>
      </c>
      <c r="AA28" s="16">
        <f t="shared" si="20"/>
        <v>0</v>
      </c>
      <c r="AB28" s="16">
        <f t="shared" si="20"/>
        <v>0</v>
      </c>
      <c r="AC28" s="16">
        <f t="shared" si="20"/>
        <v>681</v>
      </c>
      <c r="AD28" s="16">
        <f t="shared" si="20"/>
        <v>0</v>
      </c>
      <c r="AE28" s="32">
        <f t="shared" si="20"/>
        <v>99</v>
      </c>
      <c r="AF28" s="32">
        <f t="shared" si="20"/>
        <v>780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4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4</v>
      </c>
      <c r="P30" s="15">
        <f t="shared" si="1"/>
        <v>17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19</v>
      </c>
      <c r="N31" s="50">
        <v>0</v>
      </c>
      <c r="O31" s="15">
        <f t="shared" si="0"/>
        <v>0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2</v>
      </c>
      <c r="P32" s="15">
        <f t="shared" si="1"/>
        <v>20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1</v>
      </c>
      <c r="P33" s="15">
        <f t="shared" si="1"/>
        <v>15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1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0</v>
      </c>
      <c r="P35" s="15">
        <f t="shared" si="1"/>
        <v>12</v>
      </c>
    </row>
    <row r="36" spans="2:20" ht="23.1" customHeight="1" x14ac:dyDescent="0.25">
      <c r="B36" s="24" t="s">
        <v>63</v>
      </c>
      <c r="C36" s="50">
        <v>1</v>
      </c>
      <c r="D36" s="50">
        <v>2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4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24</v>
      </c>
      <c r="N37" s="50">
        <v>0</v>
      </c>
      <c r="O37" s="15">
        <f t="shared" si="0"/>
        <v>0</v>
      </c>
      <c r="P37" s="15">
        <f t="shared" si="1"/>
        <v>24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2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2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3</v>
      </c>
      <c r="P40" s="15">
        <f t="shared" si="1"/>
        <v>19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2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2</v>
      </c>
      <c r="P42" s="15">
        <f t="shared" si="1"/>
        <v>17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3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2</v>
      </c>
      <c r="P44" s="15">
        <f t="shared" si="1"/>
        <v>22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27</v>
      </c>
      <c r="N45" s="50">
        <v>0</v>
      </c>
      <c r="O45" s="15">
        <f t="shared" si="0"/>
        <v>4</v>
      </c>
      <c r="P45" s="15">
        <f t="shared" si="1"/>
        <v>31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1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0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1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11</v>
      </c>
      <c r="N48" s="50">
        <v>0</v>
      </c>
      <c r="O48" s="15">
        <f t="shared" si="0"/>
        <v>4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2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16</v>
      </c>
      <c r="N49" s="50">
        <v>0</v>
      </c>
      <c r="O49" s="15">
        <f t="shared" si="0"/>
        <v>7</v>
      </c>
      <c r="P49" s="15">
        <f t="shared" si="1"/>
        <v>23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1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3</v>
      </c>
      <c r="P51" s="15">
        <f t="shared" si="1"/>
        <v>14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9</v>
      </c>
      <c r="N52" s="50">
        <v>0</v>
      </c>
      <c r="O52" s="15">
        <f t="shared" si="0"/>
        <v>2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3</v>
      </c>
      <c r="P53" s="15">
        <f t="shared" si="1"/>
        <v>11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9</v>
      </c>
      <c r="N54" s="50">
        <v>0</v>
      </c>
      <c r="O54" s="15">
        <f t="shared" si="0"/>
        <v>4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22</v>
      </c>
      <c r="N55" s="50">
        <v>0</v>
      </c>
      <c r="O55" s="15">
        <f t="shared" si="0"/>
        <v>1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3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18</v>
      </c>
      <c r="N57" s="50">
        <v>0</v>
      </c>
      <c r="O57" s="15">
        <f t="shared" si="0"/>
        <v>2</v>
      </c>
      <c r="P57" s="15">
        <f t="shared" si="1"/>
        <v>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</v>
      </c>
      <c r="D58" s="16">
        <f t="shared" si="21"/>
        <v>5</v>
      </c>
      <c r="E58" s="16">
        <f t="shared" si="21"/>
        <v>10</v>
      </c>
      <c r="F58" s="16">
        <f t="shared" si="21"/>
        <v>11</v>
      </c>
      <c r="G58" s="16">
        <f t="shared" si="21"/>
        <v>3</v>
      </c>
      <c r="H58" s="16">
        <f t="shared" si="21"/>
        <v>0</v>
      </c>
      <c r="I58" s="16">
        <f t="shared" si="21"/>
        <v>21</v>
      </c>
      <c r="J58" s="16">
        <f t="shared" si="21"/>
        <v>11</v>
      </c>
      <c r="K58" s="16">
        <f t="shared" si="21"/>
        <v>0</v>
      </c>
      <c r="L58" s="16">
        <f t="shared" si="21"/>
        <v>0</v>
      </c>
      <c r="M58" s="16">
        <f t="shared" si="21"/>
        <v>681</v>
      </c>
      <c r="N58" s="16">
        <f t="shared" si="21"/>
        <v>0</v>
      </c>
      <c r="O58" s="16">
        <f t="shared" si="21"/>
        <v>99</v>
      </c>
      <c r="P58" s="16">
        <f t="shared" si="21"/>
        <v>780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4.8717948717948718E-2</v>
      </c>
      <c r="D59" s="43">
        <f t="shared" si="22"/>
        <v>6.41025641025641E-3</v>
      </c>
      <c r="E59" s="43">
        <f t="shared" si="22"/>
        <v>1.282051282051282E-2</v>
      </c>
      <c r="F59" s="43">
        <f t="shared" si="22"/>
        <v>1.4102564102564103E-2</v>
      </c>
      <c r="G59" s="43">
        <f t="shared" si="22"/>
        <v>3.8461538461538464E-3</v>
      </c>
      <c r="H59" s="43">
        <f t="shared" si="22"/>
        <v>0</v>
      </c>
      <c r="I59" s="43">
        <f t="shared" si="22"/>
        <v>2.6923076923076925E-2</v>
      </c>
      <c r="J59" s="43">
        <f t="shared" si="22"/>
        <v>1.4102564102564103E-2</v>
      </c>
      <c r="K59" s="43">
        <f t="shared" si="22"/>
        <v>0</v>
      </c>
      <c r="L59" s="43">
        <f t="shared" si="22"/>
        <v>0</v>
      </c>
      <c r="M59" s="43">
        <f t="shared" si="22"/>
        <v>0.87307692307692308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0.38383838383838381</v>
      </c>
      <c r="D60" s="44">
        <f t="shared" ref="D60:N60" si="23">D58/$O$58</f>
        <v>5.0505050505050504E-2</v>
      </c>
      <c r="E60" s="44">
        <f t="shared" si="23"/>
        <v>0.10101010101010101</v>
      </c>
      <c r="F60" s="44">
        <f t="shared" si="23"/>
        <v>0.1111111111111111</v>
      </c>
      <c r="G60" s="44">
        <f t="shared" si="23"/>
        <v>3.0303030303030304E-2</v>
      </c>
      <c r="H60" s="44">
        <f t="shared" si="23"/>
        <v>0</v>
      </c>
      <c r="I60" s="44">
        <f t="shared" si="23"/>
        <v>0.21212121212121213</v>
      </c>
      <c r="J60" s="44">
        <f t="shared" si="23"/>
        <v>0.1111111111111111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'20.10 KANONI-MITYANA'!D5</f>
        <v>20.10.19</v>
      </c>
      <c r="E5" s="3"/>
      <c r="F5" s="41" t="s">
        <v>1</v>
      </c>
      <c r="G5" s="66" t="str">
        <f>'17.10 KANONI-MITYANA'!G5:H5</f>
        <v>VICA MAIZE MILLERS</v>
      </c>
      <c r="H5" s="67"/>
      <c r="I5" s="14"/>
      <c r="J5" s="2" t="s">
        <v>5</v>
      </c>
      <c r="K5" s="66" t="s">
        <v>177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MITYANA-KANONI'!D6:E6</f>
        <v>MITYANA</v>
      </c>
      <c r="E6" s="67"/>
      <c r="F6" s="2" t="s">
        <v>2</v>
      </c>
      <c r="G6" s="66" t="str">
        <f>'17.10 MITYANA-KANONI'!G6:H6</f>
        <v>KANONI</v>
      </c>
      <c r="H6" s="67"/>
      <c r="J6" s="2" t="s">
        <v>21</v>
      </c>
      <c r="K6" s="66" t="str">
        <f>'17.10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3</v>
      </c>
      <c r="AF10" s="31">
        <f t="shared" si="2"/>
        <v>36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1</v>
      </c>
      <c r="P11" s="15">
        <f t="shared" si="1"/>
        <v>11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1">
        <f t="shared" si="3"/>
        <v>7</v>
      </c>
      <c r="AF11" s="31">
        <f t="shared" si="3"/>
        <v>46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1</v>
      </c>
      <c r="P12" s="15">
        <f t="shared" si="1"/>
        <v>8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49</v>
      </c>
      <c r="AD12" s="17">
        <f t="shared" si="4"/>
        <v>0</v>
      </c>
      <c r="AE12" s="31">
        <f t="shared" si="4"/>
        <v>13</v>
      </c>
      <c r="AF12" s="31">
        <f t="shared" si="4"/>
        <v>62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1</v>
      </c>
      <c r="T13" s="17">
        <f t="shared" si="5"/>
        <v>2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69</v>
      </c>
      <c r="AD13" s="17">
        <f t="shared" si="5"/>
        <v>0</v>
      </c>
      <c r="AE13" s="31">
        <f t="shared" si="5"/>
        <v>9</v>
      </c>
      <c r="AF13" s="31">
        <f t="shared" si="5"/>
        <v>78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2</v>
      </c>
      <c r="P14" s="15">
        <f t="shared" si="1"/>
        <v>8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61</v>
      </c>
      <c r="AD14" s="17">
        <f t="shared" si="6"/>
        <v>0</v>
      </c>
      <c r="AE14" s="31">
        <f t="shared" si="6"/>
        <v>6</v>
      </c>
      <c r="AF14" s="31">
        <f t="shared" si="6"/>
        <v>67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2</v>
      </c>
      <c r="P15" s="15">
        <f t="shared" si="1"/>
        <v>7</v>
      </c>
      <c r="R15" s="1" t="s">
        <v>11</v>
      </c>
      <c r="S15" s="17">
        <f t="shared" ref="S15:AF15" si="7">SUM(C30:C33)</f>
        <v>2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66</v>
      </c>
      <c r="AD15" s="17">
        <f t="shared" si="7"/>
        <v>0</v>
      </c>
      <c r="AE15" s="31">
        <f t="shared" si="7"/>
        <v>6</v>
      </c>
      <c r="AF15" s="31">
        <f t="shared" si="7"/>
        <v>72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18</v>
      </c>
      <c r="N16" s="50">
        <v>0</v>
      </c>
      <c r="O16" s="15">
        <f t="shared" si="0"/>
        <v>2</v>
      </c>
      <c r="P16" s="15">
        <f t="shared" si="1"/>
        <v>20</v>
      </c>
      <c r="R16" s="1" t="s">
        <v>12</v>
      </c>
      <c r="S16" s="17">
        <f t="shared" ref="S16:AF16" si="8">SUM(C34:C37)</f>
        <v>8</v>
      </c>
      <c r="T16" s="17">
        <f t="shared" si="8"/>
        <v>1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29</v>
      </c>
      <c r="AD16" s="17">
        <f t="shared" si="8"/>
        <v>0</v>
      </c>
      <c r="AE16" s="31">
        <f t="shared" si="8"/>
        <v>11</v>
      </c>
      <c r="AF16" s="31">
        <f t="shared" si="8"/>
        <v>40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1</v>
      </c>
      <c r="P17" s="15">
        <f t="shared" si="1"/>
        <v>11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1</v>
      </c>
      <c r="AB17" s="17">
        <f t="shared" si="9"/>
        <v>3</v>
      </c>
      <c r="AC17" s="17">
        <f t="shared" si="9"/>
        <v>31</v>
      </c>
      <c r="AD17" s="17">
        <f t="shared" si="9"/>
        <v>0</v>
      </c>
      <c r="AE17" s="31">
        <f t="shared" si="9"/>
        <v>12</v>
      </c>
      <c r="AF17" s="31">
        <f t="shared" si="9"/>
        <v>43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2</v>
      </c>
      <c r="P18" s="15">
        <f t="shared" si="1"/>
        <v>7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42</v>
      </c>
      <c r="AD18" s="17">
        <f t="shared" si="10"/>
        <v>0</v>
      </c>
      <c r="AE18" s="31">
        <f t="shared" si="10"/>
        <v>6</v>
      </c>
      <c r="AF18" s="31">
        <f t="shared" si="10"/>
        <v>48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2</v>
      </c>
      <c r="P19" s="15">
        <f t="shared" si="1"/>
        <v>18</v>
      </c>
      <c r="R19" s="1" t="s">
        <v>15</v>
      </c>
      <c r="S19" s="17">
        <f t="shared" ref="S19:AF19" si="11">SUM(C46:C49)</f>
        <v>3</v>
      </c>
      <c r="T19" s="17">
        <f t="shared" si="11"/>
        <v>2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56</v>
      </c>
      <c r="AD19" s="17">
        <f t="shared" si="11"/>
        <v>0</v>
      </c>
      <c r="AE19" s="31">
        <f t="shared" si="11"/>
        <v>10</v>
      </c>
      <c r="AF19" s="31">
        <f t="shared" si="11"/>
        <v>66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18</v>
      </c>
      <c r="N20" s="50">
        <v>0</v>
      </c>
      <c r="O20" s="15">
        <f t="shared" si="0"/>
        <v>6</v>
      </c>
      <c r="P20" s="15">
        <f t="shared" si="1"/>
        <v>24</v>
      </c>
      <c r="R20" s="1" t="s">
        <v>16</v>
      </c>
      <c r="S20" s="17">
        <f t="shared" ref="S20:AF20" si="12">SUM(C50:C53)</f>
        <v>3</v>
      </c>
      <c r="T20" s="17">
        <f t="shared" si="12"/>
        <v>1</v>
      </c>
      <c r="U20" s="17">
        <f t="shared" si="12"/>
        <v>1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61</v>
      </c>
      <c r="AD20" s="17">
        <f t="shared" si="12"/>
        <v>0</v>
      </c>
      <c r="AE20" s="31">
        <f t="shared" si="12"/>
        <v>11</v>
      </c>
      <c r="AF20" s="31">
        <f t="shared" si="12"/>
        <v>72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10</v>
      </c>
      <c r="N21" s="50">
        <v>0</v>
      </c>
      <c r="O21" s="15">
        <f t="shared" si="0"/>
        <v>3</v>
      </c>
      <c r="P21" s="15">
        <f t="shared" si="1"/>
        <v>13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1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65</v>
      </c>
      <c r="AD21" s="17">
        <f t="shared" si="13"/>
        <v>0</v>
      </c>
      <c r="AE21" s="31">
        <f t="shared" si="13"/>
        <v>10</v>
      </c>
      <c r="AF21" s="31">
        <f t="shared" si="13"/>
        <v>75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3</v>
      </c>
      <c r="P22" s="15">
        <f t="shared" si="1"/>
        <v>21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49</v>
      </c>
      <c r="AD22" s="39">
        <f t="shared" si="14"/>
        <v>0</v>
      </c>
      <c r="AE22" s="40">
        <f t="shared" si="14"/>
        <v>13</v>
      </c>
      <c r="AF22" s="40">
        <f t="shared" si="14"/>
        <v>62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22</v>
      </c>
      <c r="N23" s="50">
        <v>0</v>
      </c>
      <c r="O23" s="15">
        <f t="shared" si="0"/>
        <v>1</v>
      </c>
      <c r="P23" s="15">
        <f t="shared" si="1"/>
        <v>23</v>
      </c>
      <c r="R23" s="38" t="s">
        <v>91</v>
      </c>
      <c r="S23" s="39">
        <f>MAX(S13:S18)</f>
        <v>8</v>
      </c>
      <c r="T23" s="39">
        <f t="shared" ref="T23:AF23" si="15">MAX(T13:T18)</f>
        <v>2</v>
      </c>
      <c r="U23" s="39">
        <f t="shared" si="15"/>
        <v>2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2</v>
      </c>
      <c r="Z23" s="39">
        <f t="shared" si="15"/>
        <v>2</v>
      </c>
      <c r="AA23" s="39">
        <f t="shared" si="15"/>
        <v>1</v>
      </c>
      <c r="AB23" s="39">
        <f t="shared" si="15"/>
        <v>3</v>
      </c>
      <c r="AC23" s="39">
        <f t="shared" si="15"/>
        <v>69</v>
      </c>
      <c r="AD23" s="39">
        <f t="shared" si="15"/>
        <v>0</v>
      </c>
      <c r="AE23" s="40">
        <f t="shared" si="15"/>
        <v>12</v>
      </c>
      <c r="AF23" s="40">
        <f t="shared" si="15"/>
        <v>78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1</v>
      </c>
      <c r="P24" s="15">
        <f t="shared" si="1"/>
        <v>11</v>
      </c>
      <c r="R24" s="38" t="s">
        <v>92</v>
      </c>
      <c r="S24" s="39">
        <f>MAX(S19:S21)</f>
        <v>4</v>
      </c>
      <c r="T24" s="39">
        <f t="shared" ref="T24:AF24" si="16">MAX(T19:T21)</f>
        <v>2</v>
      </c>
      <c r="U24" s="39">
        <f t="shared" si="16"/>
        <v>1</v>
      </c>
      <c r="V24" s="39">
        <f t="shared" si="16"/>
        <v>3</v>
      </c>
      <c r="W24" s="39">
        <f t="shared" si="16"/>
        <v>0</v>
      </c>
      <c r="X24" s="39">
        <f t="shared" si="16"/>
        <v>1</v>
      </c>
      <c r="Y24" s="39">
        <f t="shared" si="16"/>
        <v>3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65</v>
      </c>
      <c r="AD24" s="39">
        <f t="shared" si="16"/>
        <v>0</v>
      </c>
      <c r="AE24" s="40">
        <f t="shared" si="16"/>
        <v>11</v>
      </c>
      <c r="AF24" s="40">
        <f t="shared" si="16"/>
        <v>75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19</v>
      </c>
      <c r="N25" s="50">
        <v>0</v>
      </c>
      <c r="O25" s="15">
        <f t="shared" si="0"/>
        <v>4</v>
      </c>
      <c r="P25" s="15">
        <f t="shared" si="1"/>
        <v>23</v>
      </c>
      <c r="R25" s="37" t="s">
        <v>85</v>
      </c>
      <c r="S25" s="35">
        <f t="shared" ref="S25:AF25" si="17">SUM(S10:S12)</f>
        <v>6</v>
      </c>
      <c r="T25" s="16">
        <f t="shared" si="17"/>
        <v>0</v>
      </c>
      <c r="U25" s="16">
        <f t="shared" si="17"/>
        <v>3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5</v>
      </c>
      <c r="AA25" s="16">
        <f t="shared" si="17"/>
        <v>1</v>
      </c>
      <c r="AB25" s="16">
        <f t="shared" si="17"/>
        <v>0</v>
      </c>
      <c r="AC25" s="16">
        <f t="shared" si="17"/>
        <v>121</v>
      </c>
      <c r="AD25" s="16">
        <f t="shared" si="17"/>
        <v>0</v>
      </c>
      <c r="AE25" s="32">
        <f t="shared" si="17"/>
        <v>23</v>
      </c>
      <c r="AF25" s="32">
        <f t="shared" si="17"/>
        <v>144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1</v>
      </c>
      <c r="P26" s="15">
        <f t="shared" si="1"/>
        <v>18</v>
      </c>
      <c r="R26" s="28" t="s">
        <v>86</v>
      </c>
      <c r="S26" s="16">
        <f t="shared" ref="S26:AF26" si="18">SUM(S13:S18)</f>
        <v>20</v>
      </c>
      <c r="T26" s="16">
        <f t="shared" si="18"/>
        <v>5</v>
      </c>
      <c r="U26" s="16">
        <f t="shared" si="18"/>
        <v>4</v>
      </c>
      <c r="V26" s="16">
        <f t="shared" si="18"/>
        <v>2</v>
      </c>
      <c r="W26" s="16">
        <f t="shared" si="18"/>
        <v>1</v>
      </c>
      <c r="X26" s="16">
        <f t="shared" si="18"/>
        <v>0</v>
      </c>
      <c r="Y26" s="16">
        <f t="shared" si="18"/>
        <v>9</v>
      </c>
      <c r="Z26" s="16">
        <f t="shared" si="18"/>
        <v>5</v>
      </c>
      <c r="AA26" s="16">
        <f t="shared" si="18"/>
        <v>1</v>
      </c>
      <c r="AB26" s="16">
        <f t="shared" si="18"/>
        <v>3</v>
      </c>
      <c r="AC26" s="16">
        <f t="shared" si="18"/>
        <v>298</v>
      </c>
      <c r="AD26" s="16">
        <f t="shared" si="18"/>
        <v>0</v>
      </c>
      <c r="AE26" s="32">
        <f t="shared" si="18"/>
        <v>50</v>
      </c>
      <c r="AF26" s="32">
        <f t="shared" si="18"/>
        <v>348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0</v>
      </c>
      <c r="P27" s="15">
        <f t="shared" si="1"/>
        <v>10</v>
      </c>
      <c r="R27" s="29" t="s">
        <v>87</v>
      </c>
      <c r="S27" s="16">
        <f t="shared" ref="S27:AF27" si="19">SUM(S19:S21)</f>
        <v>10</v>
      </c>
      <c r="T27" s="16">
        <f t="shared" si="19"/>
        <v>3</v>
      </c>
      <c r="U27" s="16">
        <f t="shared" si="19"/>
        <v>2</v>
      </c>
      <c r="V27" s="16">
        <f t="shared" si="19"/>
        <v>6</v>
      </c>
      <c r="W27" s="16">
        <f t="shared" si="19"/>
        <v>0</v>
      </c>
      <c r="X27" s="16">
        <f t="shared" si="19"/>
        <v>1</v>
      </c>
      <c r="Y27" s="16">
        <f t="shared" si="19"/>
        <v>5</v>
      </c>
      <c r="Z27" s="16">
        <f t="shared" si="19"/>
        <v>3</v>
      </c>
      <c r="AA27" s="16">
        <f t="shared" si="19"/>
        <v>1</v>
      </c>
      <c r="AB27" s="16">
        <f t="shared" si="19"/>
        <v>0</v>
      </c>
      <c r="AC27" s="16">
        <f t="shared" si="19"/>
        <v>182</v>
      </c>
      <c r="AD27" s="16">
        <f t="shared" si="19"/>
        <v>0</v>
      </c>
      <c r="AE27" s="32">
        <f t="shared" si="19"/>
        <v>31</v>
      </c>
      <c r="AF27" s="32">
        <f t="shared" si="19"/>
        <v>213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4</v>
      </c>
      <c r="P28" s="15">
        <f t="shared" si="1"/>
        <v>19</v>
      </c>
      <c r="R28" s="5" t="s">
        <v>17</v>
      </c>
      <c r="S28" s="16">
        <f t="shared" ref="S28:AF28" si="20">SUM(S10:S21)</f>
        <v>36</v>
      </c>
      <c r="T28" s="16">
        <f t="shared" si="20"/>
        <v>8</v>
      </c>
      <c r="U28" s="16">
        <f t="shared" si="20"/>
        <v>9</v>
      </c>
      <c r="V28" s="16">
        <f t="shared" si="20"/>
        <v>10</v>
      </c>
      <c r="W28" s="16">
        <f t="shared" si="20"/>
        <v>1</v>
      </c>
      <c r="X28" s="16">
        <f t="shared" si="20"/>
        <v>1</v>
      </c>
      <c r="Y28" s="16">
        <f t="shared" si="20"/>
        <v>20</v>
      </c>
      <c r="Z28" s="16">
        <f t="shared" si="20"/>
        <v>13</v>
      </c>
      <c r="AA28" s="16">
        <f t="shared" si="20"/>
        <v>3</v>
      </c>
      <c r="AB28" s="16">
        <f t="shared" si="20"/>
        <v>3</v>
      </c>
      <c r="AC28" s="16">
        <f t="shared" si="20"/>
        <v>601</v>
      </c>
      <c r="AD28" s="16">
        <f t="shared" si="20"/>
        <v>0</v>
      </c>
      <c r="AE28" s="32">
        <f t="shared" si="20"/>
        <v>104</v>
      </c>
      <c r="AF28" s="32">
        <f t="shared" si="20"/>
        <v>705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19</v>
      </c>
      <c r="N29" s="50">
        <v>0</v>
      </c>
      <c r="O29" s="15">
        <f t="shared" si="0"/>
        <v>1</v>
      </c>
      <c r="P29" s="15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1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2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1</v>
      </c>
      <c r="P31" s="15">
        <f t="shared" si="1"/>
        <v>17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1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2</v>
      </c>
      <c r="P33" s="15">
        <f t="shared" si="1"/>
        <v>20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6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0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3</v>
      </c>
      <c r="P36" s="15">
        <f t="shared" si="1"/>
        <v>11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2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1</v>
      </c>
      <c r="L38" s="50">
        <v>1</v>
      </c>
      <c r="M38" s="50">
        <v>10</v>
      </c>
      <c r="N38" s="50">
        <v>0</v>
      </c>
      <c r="O38" s="15">
        <f t="shared" si="0"/>
        <v>4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2</v>
      </c>
      <c r="M39" s="50">
        <v>8</v>
      </c>
      <c r="N39" s="50">
        <v>0</v>
      </c>
      <c r="O39" s="15">
        <f t="shared" si="0"/>
        <v>3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4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1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1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1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3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1</v>
      </c>
      <c r="P45" s="15">
        <f t="shared" si="1"/>
        <v>19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1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4</v>
      </c>
      <c r="P47" s="15">
        <f t="shared" si="1"/>
        <v>22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9</v>
      </c>
      <c r="N48" s="50">
        <v>0</v>
      </c>
      <c r="O48" s="15">
        <f t="shared" si="0"/>
        <v>2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3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1</v>
      </c>
      <c r="I50" s="50">
        <v>1</v>
      </c>
      <c r="J50" s="50">
        <v>1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4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4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17</v>
      </c>
      <c r="N52" s="50">
        <v>0</v>
      </c>
      <c r="O52" s="15">
        <f t="shared" si="0"/>
        <v>1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2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1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19</v>
      </c>
      <c r="N55" s="50">
        <v>0</v>
      </c>
      <c r="O55" s="15">
        <f t="shared" si="0"/>
        <v>3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1</v>
      </c>
      <c r="P56" s="15">
        <f t="shared" si="1"/>
        <v>18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5</v>
      </c>
      <c r="P57" s="15">
        <f t="shared" si="1"/>
        <v>30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</v>
      </c>
      <c r="D58" s="16">
        <f t="shared" si="21"/>
        <v>8</v>
      </c>
      <c r="E58" s="16">
        <f t="shared" si="21"/>
        <v>9</v>
      </c>
      <c r="F58" s="16">
        <f t="shared" si="21"/>
        <v>10</v>
      </c>
      <c r="G58" s="16">
        <f t="shared" si="21"/>
        <v>1</v>
      </c>
      <c r="H58" s="16">
        <f t="shared" si="21"/>
        <v>1</v>
      </c>
      <c r="I58" s="16">
        <f t="shared" si="21"/>
        <v>20</v>
      </c>
      <c r="J58" s="16">
        <f t="shared" si="21"/>
        <v>13</v>
      </c>
      <c r="K58" s="16">
        <f t="shared" si="21"/>
        <v>3</v>
      </c>
      <c r="L58" s="16">
        <f t="shared" si="21"/>
        <v>3</v>
      </c>
      <c r="M58" s="16">
        <f t="shared" si="21"/>
        <v>601</v>
      </c>
      <c r="N58" s="16">
        <f t="shared" si="21"/>
        <v>0</v>
      </c>
      <c r="O58" s="16">
        <f t="shared" si="21"/>
        <v>104</v>
      </c>
      <c r="P58" s="16">
        <f t="shared" si="21"/>
        <v>705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5.106382978723404E-2</v>
      </c>
      <c r="D59" s="43">
        <f t="shared" si="22"/>
        <v>1.1347517730496455E-2</v>
      </c>
      <c r="E59" s="43">
        <f t="shared" si="22"/>
        <v>1.276595744680851E-2</v>
      </c>
      <c r="F59" s="43">
        <f t="shared" si="22"/>
        <v>1.4184397163120567E-2</v>
      </c>
      <c r="G59" s="43">
        <f t="shared" si="22"/>
        <v>1.4184397163120568E-3</v>
      </c>
      <c r="H59" s="43">
        <f t="shared" si="22"/>
        <v>1.4184397163120568E-3</v>
      </c>
      <c r="I59" s="43">
        <f t="shared" si="22"/>
        <v>2.8368794326241134E-2</v>
      </c>
      <c r="J59" s="43">
        <f t="shared" si="22"/>
        <v>1.8439716312056736E-2</v>
      </c>
      <c r="K59" s="43">
        <f t="shared" si="22"/>
        <v>4.2553191489361703E-3</v>
      </c>
      <c r="L59" s="43">
        <f t="shared" si="22"/>
        <v>4.2553191489361703E-3</v>
      </c>
      <c r="M59" s="43">
        <f t="shared" si="22"/>
        <v>0.85248226950354611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0.34615384615384615</v>
      </c>
      <c r="D60" s="44">
        <f t="shared" ref="D60:N60" si="23">D58/$O$58</f>
        <v>7.6923076923076927E-2</v>
      </c>
      <c r="E60" s="44">
        <f t="shared" si="23"/>
        <v>8.6538461538461536E-2</v>
      </c>
      <c r="F60" s="44">
        <f t="shared" si="23"/>
        <v>9.6153846153846159E-2</v>
      </c>
      <c r="G60" s="44">
        <f t="shared" si="23"/>
        <v>9.6153846153846159E-3</v>
      </c>
      <c r="H60" s="44">
        <f t="shared" si="23"/>
        <v>9.6153846153846159E-3</v>
      </c>
      <c r="I60" s="44">
        <f t="shared" si="23"/>
        <v>0.19230769230769232</v>
      </c>
      <c r="J60" s="44">
        <f t="shared" si="23"/>
        <v>0.125</v>
      </c>
      <c r="K60" s="44">
        <f t="shared" si="23"/>
        <v>2.8846153846153848E-2</v>
      </c>
      <c r="L60" s="44">
        <f t="shared" si="23"/>
        <v>2.8846153846153848E-2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6" t="str">
        <f>'17.10 KANONI-MITYANA'!G5:H5</f>
        <v>VICA MAIZE MILLERS</v>
      </c>
      <c r="H5" s="67"/>
      <c r="I5" s="14"/>
      <c r="J5" s="2" t="s">
        <v>5</v>
      </c>
      <c r="K5" s="66" t="s">
        <v>169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KANONI-MITYANA'!D6:E6</f>
        <v>KANONI</v>
      </c>
      <c r="E6" s="67"/>
      <c r="F6" s="2" t="s">
        <v>2</v>
      </c>
      <c r="G6" s="66" t="str">
        <f>'17.10 KANONI-MITYANA'!G6:H6</f>
        <v>MITYANA</v>
      </c>
      <c r="H6" s="67"/>
      <c r="J6" s="2" t="s">
        <v>21</v>
      </c>
      <c r="K6" s="66" t="str">
        <f>'17.10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44</v>
      </c>
      <c r="AD10" s="17">
        <f t="shared" si="2"/>
        <v>0</v>
      </c>
      <c r="AE10" s="31">
        <f t="shared" si="2"/>
        <v>3</v>
      </c>
      <c r="AF10" s="31">
        <f t="shared" si="2"/>
        <v>47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0</v>
      </c>
      <c r="P11" s="15">
        <f t="shared" si="1"/>
        <v>8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40</v>
      </c>
      <c r="AD11" s="17">
        <f t="shared" si="3"/>
        <v>0</v>
      </c>
      <c r="AE11" s="31">
        <f t="shared" si="3"/>
        <v>4</v>
      </c>
      <c r="AF11" s="31">
        <f t="shared" si="3"/>
        <v>44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1</v>
      </c>
      <c r="P12" s="15">
        <f t="shared" si="1"/>
        <v>16</v>
      </c>
      <c r="R12" s="1" t="s">
        <v>8</v>
      </c>
      <c r="S12" s="17">
        <f t="shared" ref="S12:AF12" si="4">SUM(C18:C21)</f>
        <v>5</v>
      </c>
      <c r="T12" s="17">
        <f t="shared" si="4"/>
        <v>1</v>
      </c>
      <c r="U12" s="17">
        <f t="shared" si="4"/>
        <v>1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46</v>
      </c>
      <c r="AD12" s="17">
        <f t="shared" si="4"/>
        <v>0</v>
      </c>
      <c r="AE12" s="31">
        <f t="shared" si="4"/>
        <v>13</v>
      </c>
      <c r="AF12" s="31">
        <f t="shared" si="4"/>
        <v>59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2</v>
      </c>
      <c r="P13" s="15">
        <f t="shared" si="1"/>
        <v>8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52</v>
      </c>
      <c r="AD13" s="17">
        <f t="shared" si="5"/>
        <v>0</v>
      </c>
      <c r="AE13" s="31">
        <f t="shared" si="5"/>
        <v>2</v>
      </c>
      <c r="AF13" s="31">
        <f t="shared" si="5"/>
        <v>54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2</v>
      </c>
      <c r="P14" s="15">
        <f t="shared" si="1"/>
        <v>12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44</v>
      </c>
      <c r="AD14" s="17">
        <f t="shared" si="6"/>
        <v>0</v>
      </c>
      <c r="AE14" s="31">
        <f t="shared" si="6"/>
        <v>6</v>
      </c>
      <c r="AF14" s="31">
        <f t="shared" si="6"/>
        <v>50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1</v>
      </c>
      <c r="P15" s="15">
        <f t="shared" si="1"/>
        <v>16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49</v>
      </c>
      <c r="AD15" s="17">
        <f t="shared" si="7"/>
        <v>0</v>
      </c>
      <c r="AE15" s="31">
        <f t="shared" si="7"/>
        <v>8</v>
      </c>
      <c r="AF15" s="31">
        <f t="shared" si="7"/>
        <v>57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1</v>
      </c>
      <c r="P16" s="15">
        <f t="shared" si="1"/>
        <v>4</v>
      </c>
      <c r="R16" s="1" t="s">
        <v>12</v>
      </c>
      <c r="S16" s="17">
        <f t="shared" ref="S16:AF16" si="8">SUM(C34:C37)</f>
        <v>3</v>
      </c>
      <c r="T16" s="17">
        <f t="shared" si="8"/>
        <v>1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56</v>
      </c>
      <c r="AD16" s="17">
        <f t="shared" si="8"/>
        <v>0</v>
      </c>
      <c r="AE16" s="31">
        <f t="shared" si="8"/>
        <v>5</v>
      </c>
      <c r="AF16" s="31">
        <f t="shared" si="8"/>
        <v>61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0</v>
      </c>
      <c r="P17" s="15">
        <f t="shared" si="1"/>
        <v>12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65</v>
      </c>
      <c r="AD17" s="17">
        <f t="shared" si="9"/>
        <v>0</v>
      </c>
      <c r="AE17" s="31">
        <f t="shared" si="9"/>
        <v>2</v>
      </c>
      <c r="AF17" s="31">
        <f t="shared" si="9"/>
        <v>67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2</v>
      </c>
      <c r="P18" s="15">
        <f t="shared" si="1"/>
        <v>9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3</v>
      </c>
      <c r="AF18" s="31">
        <f t="shared" si="10"/>
        <v>58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3</v>
      </c>
      <c r="P19" s="15">
        <f t="shared" si="1"/>
        <v>15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77</v>
      </c>
      <c r="AD19" s="17">
        <f t="shared" si="11"/>
        <v>0</v>
      </c>
      <c r="AE19" s="31">
        <f t="shared" si="11"/>
        <v>7</v>
      </c>
      <c r="AF19" s="31">
        <f t="shared" si="11"/>
        <v>84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5</v>
      </c>
      <c r="P20" s="15">
        <f t="shared" si="1"/>
        <v>18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92</v>
      </c>
      <c r="AD20" s="17">
        <f t="shared" si="12"/>
        <v>0</v>
      </c>
      <c r="AE20" s="31">
        <f t="shared" si="12"/>
        <v>14</v>
      </c>
      <c r="AF20" s="31">
        <f t="shared" si="12"/>
        <v>106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3</v>
      </c>
      <c r="P21" s="15">
        <f t="shared" si="1"/>
        <v>17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4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98</v>
      </c>
      <c r="AD21" s="17">
        <f t="shared" si="13"/>
        <v>0</v>
      </c>
      <c r="AE21" s="31">
        <f t="shared" si="13"/>
        <v>13</v>
      </c>
      <c r="AF21" s="31">
        <f t="shared" si="13"/>
        <v>111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</v>
      </c>
      <c r="P22" s="15">
        <f t="shared" si="1"/>
        <v>8</v>
      </c>
      <c r="R22" s="38" t="s">
        <v>90</v>
      </c>
      <c r="S22" s="39">
        <f>MAX(S10:S12)</f>
        <v>5</v>
      </c>
      <c r="T22" s="39">
        <f t="shared" ref="T22:AF22" si="14">MAX(T10:T12)</f>
        <v>1</v>
      </c>
      <c r="U22" s="39">
        <f t="shared" si="14"/>
        <v>1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46</v>
      </c>
      <c r="AD22" s="39">
        <f t="shared" si="14"/>
        <v>0</v>
      </c>
      <c r="AE22" s="40">
        <f t="shared" si="14"/>
        <v>13</v>
      </c>
      <c r="AF22" s="40">
        <f t="shared" si="14"/>
        <v>59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0"/>
        <v>0</v>
      </c>
      <c r="P23" s="15">
        <f t="shared" si="1"/>
        <v>11</v>
      </c>
      <c r="R23" s="38" t="s">
        <v>91</v>
      </c>
      <c r="S23" s="39">
        <f>MAX(S13:S18)</f>
        <v>5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65</v>
      </c>
      <c r="AD23" s="39">
        <f t="shared" si="15"/>
        <v>0</v>
      </c>
      <c r="AE23" s="40">
        <f t="shared" si="15"/>
        <v>8</v>
      </c>
      <c r="AF23" s="40">
        <f t="shared" si="15"/>
        <v>67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16</v>
      </c>
      <c r="N24" s="50">
        <v>0</v>
      </c>
      <c r="O24" s="15">
        <f t="shared" si="0"/>
        <v>0</v>
      </c>
      <c r="P24" s="15">
        <f t="shared" si="1"/>
        <v>16</v>
      </c>
      <c r="R24" s="38" t="s">
        <v>92</v>
      </c>
      <c r="S24" s="39">
        <f>MAX(S19:S21)</f>
        <v>3</v>
      </c>
      <c r="T24" s="39">
        <f t="shared" ref="T24:AF24" si="16">MAX(T19:T21)</f>
        <v>1</v>
      </c>
      <c r="U24" s="39">
        <f t="shared" si="16"/>
        <v>4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10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98</v>
      </c>
      <c r="AD24" s="39">
        <f t="shared" si="16"/>
        <v>0</v>
      </c>
      <c r="AE24" s="40">
        <f t="shared" si="16"/>
        <v>14</v>
      </c>
      <c r="AF24" s="40">
        <f t="shared" si="16"/>
        <v>111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1</v>
      </c>
      <c r="P25" s="15">
        <f t="shared" si="1"/>
        <v>19</v>
      </c>
      <c r="R25" s="37" t="s">
        <v>85</v>
      </c>
      <c r="S25" s="35">
        <f t="shared" ref="S25:AF25" si="17">SUM(S10:S12)</f>
        <v>9</v>
      </c>
      <c r="T25" s="16">
        <f t="shared" si="17"/>
        <v>1</v>
      </c>
      <c r="U25" s="16">
        <f t="shared" si="17"/>
        <v>1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130</v>
      </c>
      <c r="AD25" s="16">
        <f t="shared" si="17"/>
        <v>0</v>
      </c>
      <c r="AE25" s="32">
        <f t="shared" si="17"/>
        <v>20</v>
      </c>
      <c r="AF25" s="32">
        <f t="shared" si="17"/>
        <v>150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9</v>
      </c>
      <c r="N26" s="50">
        <v>0</v>
      </c>
      <c r="O26" s="15">
        <f t="shared" si="0"/>
        <v>1</v>
      </c>
      <c r="P26" s="15">
        <f t="shared" si="1"/>
        <v>10</v>
      </c>
      <c r="R26" s="28" t="s">
        <v>86</v>
      </c>
      <c r="S26" s="16">
        <f t="shared" ref="S26:AF26" si="18">SUM(S13:S18)</f>
        <v>10</v>
      </c>
      <c r="T26" s="16">
        <f t="shared" si="18"/>
        <v>2</v>
      </c>
      <c r="U26" s="16">
        <f t="shared" si="18"/>
        <v>2</v>
      </c>
      <c r="V26" s="16">
        <f t="shared" si="18"/>
        <v>2</v>
      </c>
      <c r="W26" s="16">
        <f t="shared" si="18"/>
        <v>0</v>
      </c>
      <c r="X26" s="16">
        <f t="shared" si="18"/>
        <v>0</v>
      </c>
      <c r="Y26" s="16">
        <f t="shared" si="18"/>
        <v>8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321</v>
      </c>
      <c r="AD26" s="16">
        <f t="shared" si="18"/>
        <v>0</v>
      </c>
      <c r="AE26" s="32">
        <f t="shared" si="18"/>
        <v>26</v>
      </c>
      <c r="AF26" s="32">
        <f t="shared" si="18"/>
        <v>347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2</v>
      </c>
      <c r="P27" s="15">
        <f t="shared" si="1"/>
        <v>9</v>
      </c>
      <c r="R27" s="29" t="s">
        <v>87</v>
      </c>
      <c r="S27" s="16">
        <f t="shared" ref="S27:AF27" si="19">SUM(S19:S21)</f>
        <v>6</v>
      </c>
      <c r="T27" s="16">
        <f t="shared" si="19"/>
        <v>1</v>
      </c>
      <c r="U27" s="16">
        <f t="shared" si="19"/>
        <v>8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16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267</v>
      </c>
      <c r="AD27" s="16">
        <f t="shared" si="19"/>
        <v>0</v>
      </c>
      <c r="AE27" s="32">
        <f t="shared" si="19"/>
        <v>34</v>
      </c>
      <c r="AF27" s="32">
        <f t="shared" si="19"/>
        <v>301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1</v>
      </c>
      <c r="P28" s="15">
        <f t="shared" si="1"/>
        <v>13</v>
      </c>
      <c r="R28" s="5" t="s">
        <v>17</v>
      </c>
      <c r="S28" s="16">
        <f t="shared" ref="S28:AF28" si="20">SUM(S10:S21)</f>
        <v>25</v>
      </c>
      <c r="T28" s="16">
        <f t="shared" si="20"/>
        <v>4</v>
      </c>
      <c r="U28" s="16">
        <f t="shared" si="20"/>
        <v>11</v>
      </c>
      <c r="V28" s="16">
        <f t="shared" si="20"/>
        <v>10</v>
      </c>
      <c r="W28" s="16">
        <f t="shared" si="20"/>
        <v>0</v>
      </c>
      <c r="X28" s="16">
        <f t="shared" si="20"/>
        <v>0</v>
      </c>
      <c r="Y28" s="16">
        <f t="shared" si="20"/>
        <v>28</v>
      </c>
      <c r="Z28" s="16">
        <f t="shared" si="20"/>
        <v>2</v>
      </c>
      <c r="AA28" s="16">
        <f t="shared" si="20"/>
        <v>0</v>
      </c>
      <c r="AB28" s="16">
        <f t="shared" si="20"/>
        <v>0</v>
      </c>
      <c r="AC28" s="16">
        <f t="shared" si="20"/>
        <v>718</v>
      </c>
      <c r="AD28" s="16">
        <f t="shared" si="20"/>
        <v>0</v>
      </c>
      <c r="AE28" s="32">
        <f t="shared" si="20"/>
        <v>80</v>
      </c>
      <c r="AF28" s="32">
        <f t="shared" si="20"/>
        <v>798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2</v>
      </c>
      <c r="P29" s="15">
        <f t="shared" si="1"/>
        <v>18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3</v>
      </c>
      <c r="P30" s="15">
        <f t="shared" si="1"/>
        <v>18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1</v>
      </c>
      <c r="P31" s="15">
        <f t="shared" si="1"/>
        <v>13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2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2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0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1</v>
      </c>
      <c r="P35" s="15">
        <f t="shared" si="1"/>
        <v>7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26</v>
      </c>
      <c r="N36" s="50">
        <v>0</v>
      </c>
      <c r="O36" s="15">
        <f t="shared" si="0"/>
        <v>4</v>
      </c>
      <c r="P36" s="15">
        <f t="shared" si="1"/>
        <v>30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14</v>
      </c>
      <c r="N37" s="50">
        <v>0</v>
      </c>
      <c r="O37" s="15">
        <f t="shared" si="0"/>
        <v>0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17</v>
      </c>
      <c r="N38" s="50">
        <v>0</v>
      </c>
      <c r="O38" s="15">
        <f t="shared" si="0"/>
        <v>1</v>
      </c>
      <c r="P38" s="15">
        <f t="shared" si="1"/>
        <v>18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1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0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0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7</v>
      </c>
      <c r="N42" s="50">
        <v>0</v>
      </c>
      <c r="O42" s="15">
        <f t="shared" si="0"/>
        <v>0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1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0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2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26</v>
      </c>
      <c r="N46" s="50">
        <v>0</v>
      </c>
      <c r="O46" s="15">
        <f t="shared" si="0"/>
        <v>1</v>
      </c>
      <c r="P46" s="15">
        <f t="shared" si="1"/>
        <v>27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2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18</v>
      </c>
      <c r="N48" s="50">
        <v>0</v>
      </c>
      <c r="O48" s="15">
        <f t="shared" si="0"/>
        <v>3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22</v>
      </c>
      <c r="N49" s="50">
        <v>0</v>
      </c>
      <c r="O49" s="15">
        <f t="shared" si="0"/>
        <v>1</v>
      </c>
      <c r="P49" s="15">
        <f t="shared" si="1"/>
        <v>23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4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26</v>
      </c>
      <c r="N51" s="50">
        <v>0</v>
      </c>
      <c r="O51" s="15">
        <f t="shared" si="0"/>
        <v>4</v>
      </c>
      <c r="P51" s="15">
        <f t="shared" si="1"/>
        <v>30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22</v>
      </c>
      <c r="N52" s="50">
        <v>0</v>
      </c>
      <c r="O52" s="15">
        <f t="shared" si="0"/>
        <v>3</v>
      </c>
      <c r="P52" s="15">
        <f t="shared" si="1"/>
        <v>25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26</v>
      </c>
      <c r="N53" s="50">
        <v>0</v>
      </c>
      <c r="O53" s="15">
        <f t="shared" si="0"/>
        <v>3</v>
      </c>
      <c r="P53" s="15">
        <f t="shared" si="1"/>
        <v>29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22</v>
      </c>
      <c r="N54" s="50">
        <v>0</v>
      </c>
      <c r="O54" s="15">
        <f t="shared" si="0"/>
        <v>5</v>
      </c>
      <c r="P54" s="15">
        <f t="shared" si="1"/>
        <v>27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22</v>
      </c>
      <c r="N55" s="50">
        <v>0</v>
      </c>
      <c r="O55" s="15">
        <f t="shared" si="0"/>
        <v>2</v>
      </c>
      <c r="P55" s="15">
        <f t="shared" si="1"/>
        <v>24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5</v>
      </c>
      <c r="P56" s="15">
        <f t="shared" si="1"/>
        <v>27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32</v>
      </c>
      <c r="N57" s="50">
        <v>0</v>
      </c>
      <c r="O57" s="15">
        <f t="shared" si="0"/>
        <v>1</v>
      </c>
      <c r="P57" s="15">
        <f t="shared" si="1"/>
        <v>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</v>
      </c>
      <c r="D58" s="16">
        <f t="shared" si="21"/>
        <v>4</v>
      </c>
      <c r="E58" s="16">
        <f t="shared" si="21"/>
        <v>11</v>
      </c>
      <c r="F58" s="16">
        <f t="shared" si="21"/>
        <v>10</v>
      </c>
      <c r="G58" s="16">
        <f t="shared" si="21"/>
        <v>0</v>
      </c>
      <c r="H58" s="16">
        <f t="shared" si="21"/>
        <v>0</v>
      </c>
      <c r="I58" s="16">
        <f t="shared" si="21"/>
        <v>28</v>
      </c>
      <c r="J58" s="16">
        <f t="shared" si="21"/>
        <v>2</v>
      </c>
      <c r="K58" s="16">
        <f t="shared" si="21"/>
        <v>0</v>
      </c>
      <c r="L58" s="16">
        <f t="shared" si="21"/>
        <v>0</v>
      </c>
      <c r="M58" s="16">
        <f t="shared" si="21"/>
        <v>718</v>
      </c>
      <c r="N58" s="16">
        <f t="shared" si="21"/>
        <v>0</v>
      </c>
      <c r="O58" s="16">
        <f t="shared" si="21"/>
        <v>80</v>
      </c>
      <c r="P58" s="16">
        <f t="shared" si="21"/>
        <v>798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3.1328320802005011E-2</v>
      </c>
      <c r="D59" s="43">
        <f t="shared" si="22"/>
        <v>5.0125313283208017E-3</v>
      </c>
      <c r="E59" s="43">
        <f t="shared" si="22"/>
        <v>1.3784461152882205E-2</v>
      </c>
      <c r="F59" s="43">
        <f t="shared" si="22"/>
        <v>1.2531328320802004E-2</v>
      </c>
      <c r="G59" s="43">
        <f t="shared" si="22"/>
        <v>0</v>
      </c>
      <c r="H59" s="43">
        <f t="shared" si="22"/>
        <v>0</v>
      </c>
      <c r="I59" s="43">
        <f t="shared" si="22"/>
        <v>3.5087719298245612E-2</v>
      </c>
      <c r="J59" s="43">
        <f t="shared" si="22"/>
        <v>2.5062656641604009E-3</v>
      </c>
      <c r="K59" s="43">
        <f t="shared" si="22"/>
        <v>0</v>
      </c>
      <c r="L59" s="43">
        <f t="shared" si="22"/>
        <v>0</v>
      </c>
      <c r="M59" s="43">
        <f t="shared" si="22"/>
        <v>0.89974937343358397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0.3125</v>
      </c>
      <c r="D60" s="44">
        <f t="shared" ref="D60:N60" si="23">D58/$O$58</f>
        <v>0.05</v>
      </c>
      <c r="E60" s="44">
        <f t="shared" si="23"/>
        <v>0.13750000000000001</v>
      </c>
      <c r="F60" s="44">
        <f t="shared" si="23"/>
        <v>0.125</v>
      </c>
      <c r="G60" s="44">
        <f t="shared" si="23"/>
        <v>0</v>
      </c>
      <c r="H60" s="44">
        <f t="shared" si="23"/>
        <v>0</v>
      </c>
      <c r="I60" s="44">
        <f t="shared" si="23"/>
        <v>0.35</v>
      </c>
      <c r="J60" s="44">
        <f t="shared" si="23"/>
        <v>2.5000000000000001E-2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'21.10 KANONI-MITYANA'!D5</f>
        <v>21.10.19</v>
      </c>
      <c r="E5" s="3"/>
      <c r="F5" s="41" t="s">
        <v>1</v>
      </c>
      <c r="G5" s="66" t="str">
        <f>'17.10 KANONI-MITYANA'!G5:H5</f>
        <v>VICA MAIZE MILLERS</v>
      </c>
      <c r="H5" s="67"/>
      <c r="I5" s="14"/>
      <c r="J5" s="2" t="s">
        <v>5</v>
      </c>
      <c r="K5" s="66" t="str">
        <f>'17.10 KANONI-MITYANA'!K5:L5</f>
        <v>CATHY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MITYANA-KANONI'!D6:E6</f>
        <v>MITYANA</v>
      </c>
      <c r="E6" s="67"/>
      <c r="F6" s="2" t="s">
        <v>2</v>
      </c>
      <c r="G6" s="66" t="str">
        <f>'17.10 MITYANA-KANONI'!G6:H6</f>
        <v>KANONI</v>
      </c>
      <c r="H6" s="67"/>
      <c r="J6" s="2" t="s">
        <v>21</v>
      </c>
      <c r="K6" s="66" t="str">
        <f>'17.10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17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18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39</v>
      </c>
      <c r="AD10" s="17">
        <f t="shared" si="2"/>
        <v>0</v>
      </c>
      <c r="AE10" s="31">
        <f t="shared" si="2"/>
        <v>4</v>
      </c>
      <c r="AF10" s="31">
        <f t="shared" si="2"/>
        <v>43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0</v>
      </c>
      <c r="P11" s="15">
        <f t="shared" si="1"/>
        <v>5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49</v>
      </c>
      <c r="AD11" s="17">
        <f t="shared" si="3"/>
        <v>0</v>
      </c>
      <c r="AE11" s="31">
        <f t="shared" si="3"/>
        <v>6</v>
      </c>
      <c r="AF11" s="31">
        <f t="shared" si="3"/>
        <v>55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0</v>
      </c>
      <c r="P12" s="15">
        <f t="shared" si="1"/>
        <v>7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54</v>
      </c>
      <c r="AD12" s="17">
        <f t="shared" si="4"/>
        <v>0</v>
      </c>
      <c r="AE12" s="31">
        <f t="shared" si="4"/>
        <v>4</v>
      </c>
      <c r="AF12" s="31">
        <f t="shared" si="4"/>
        <v>58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3</v>
      </c>
      <c r="P13" s="15">
        <f t="shared" si="1"/>
        <v>13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50</v>
      </c>
      <c r="AD13" s="17">
        <f t="shared" si="5"/>
        <v>0</v>
      </c>
      <c r="AE13" s="31">
        <f t="shared" si="5"/>
        <v>7</v>
      </c>
      <c r="AF13" s="31">
        <f t="shared" si="5"/>
        <v>57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2</v>
      </c>
      <c r="P14" s="15">
        <f t="shared" si="1"/>
        <v>12</v>
      </c>
      <c r="R14" s="1" t="s">
        <v>10</v>
      </c>
      <c r="S14" s="17">
        <f t="shared" ref="S14:AF14" si="6">SUM(C26:C29)</f>
        <v>5</v>
      </c>
      <c r="T14" s="17">
        <f t="shared" si="6"/>
        <v>2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41</v>
      </c>
      <c r="AD14" s="17">
        <f t="shared" si="6"/>
        <v>0</v>
      </c>
      <c r="AE14" s="31">
        <f t="shared" si="6"/>
        <v>10</v>
      </c>
      <c r="AF14" s="31">
        <f t="shared" si="6"/>
        <v>51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0</v>
      </c>
      <c r="P15" s="15">
        <f t="shared" si="1"/>
        <v>14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48</v>
      </c>
      <c r="AD15" s="17">
        <f t="shared" si="7"/>
        <v>0</v>
      </c>
      <c r="AE15" s="31">
        <f t="shared" si="7"/>
        <v>11</v>
      </c>
      <c r="AF15" s="31">
        <f t="shared" si="7"/>
        <v>59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2</v>
      </c>
      <c r="P16" s="15">
        <f t="shared" si="1"/>
        <v>17</v>
      </c>
      <c r="R16" s="1" t="s">
        <v>12</v>
      </c>
      <c r="S16" s="17">
        <f t="shared" ref="S16:AF16" si="8">SUM(C34:C37)</f>
        <v>2</v>
      </c>
      <c r="T16" s="17">
        <f t="shared" si="8"/>
        <v>1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58</v>
      </c>
      <c r="AD16" s="17">
        <f t="shared" si="8"/>
        <v>0</v>
      </c>
      <c r="AE16" s="31">
        <f t="shared" si="8"/>
        <v>4</v>
      </c>
      <c r="AF16" s="31">
        <f t="shared" si="8"/>
        <v>62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2</v>
      </c>
      <c r="P17" s="15">
        <f t="shared" si="1"/>
        <v>12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64</v>
      </c>
      <c r="AD17" s="17">
        <f t="shared" si="9"/>
        <v>0</v>
      </c>
      <c r="AE17" s="31">
        <f t="shared" si="9"/>
        <v>10</v>
      </c>
      <c r="AF17" s="31">
        <f t="shared" si="9"/>
        <v>74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1</v>
      </c>
      <c r="P18" s="15">
        <f t="shared" si="1"/>
        <v>9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54</v>
      </c>
      <c r="AD18" s="17">
        <f t="shared" si="10"/>
        <v>0</v>
      </c>
      <c r="AE18" s="31">
        <f t="shared" si="10"/>
        <v>7</v>
      </c>
      <c r="AF18" s="31">
        <f t="shared" si="10"/>
        <v>61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0</v>
      </c>
      <c r="P19" s="15">
        <f t="shared" si="1"/>
        <v>16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62</v>
      </c>
      <c r="AD19" s="17">
        <f t="shared" si="11"/>
        <v>0</v>
      </c>
      <c r="AE19" s="31">
        <f t="shared" si="11"/>
        <v>13</v>
      </c>
      <c r="AF19" s="31">
        <f t="shared" si="11"/>
        <v>75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17</v>
      </c>
      <c r="N20" s="50">
        <v>0</v>
      </c>
      <c r="O20" s="15">
        <f t="shared" si="0"/>
        <v>2</v>
      </c>
      <c r="P20" s="15">
        <f t="shared" si="1"/>
        <v>19</v>
      </c>
      <c r="R20" s="1" t="s">
        <v>16</v>
      </c>
      <c r="S20" s="17">
        <f t="shared" ref="S20:AF20" si="12">SUM(C50:C53)</f>
        <v>4</v>
      </c>
      <c r="T20" s="17">
        <f t="shared" si="12"/>
        <v>1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59</v>
      </c>
      <c r="AD20" s="17">
        <f t="shared" si="12"/>
        <v>0</v>
      </c>
      <c r="AE20" s="31">
        <f t="shared" si="12"/>
        <v>8</v>
      </c>
      <c r="AF20" s="31">
        <f t="shared" si="12"/>
        <v>67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13</v>
      </c>
      <c r="N21" s="50">
        <v>0</v>
      </c>
      <c r="O21" s="15">
        <f t="shared" si="0"/>
        <v>1</v>
      </c>
      <c r="P21" s="15">
        <f t="shared" si="1"/>
        <v>14</v>
      </c>
      <c r="R21" s="36" t="s">
        <v>20</v>
      </c>
      <c r="S21" s="34">
        <f t="shared" ref="S21:AF21" si="13">SUM(C54:C57)</f>
        <v>1</v>
      </c>
      <c r="T21" s="17">
        <f t="shared" si="13"/>
        <v>1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83</v>
      </c>
      <c r="AD21" s="17">
        <f t="shared" si="13"/>
        <v>0</v>
      </c>
      <c r="AE21" s="31">
        <f t="shared" si="13"/>
        <v>5</v>
      </c>
      <c r="AF21" s="31">
        <f t="shared" si="13"/>
        <v>88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2</v>
      </c>
      <c r="P22" s="15">
        <f t="shared" si="1"/>
        <v>10</v>
      </c>
      <c r="R22" s="38" t="s">
        <v>90</v>
      </c>
      <c r="S22" s="39">
        <f>MAX(S10:S12)</f>
        <v>2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54</v>
      </c>
      <c r="AD22" s="39">
        <f t="shared" si="14"/>
        <v>0</v>
      </c>
      <c r="AE22" s="40">
        <f t="shared" si="14"/>
        <v>6</v>
      </c>
      <c r="AF22" s="40">
        <f t="shared" si="14"/>
        <v>58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1</v>
      </c>
      <c r="P23" s="15">
        <f t="shared" si="1"/>
        <v>15</v>
      </c>
      <c r="R23" s="38" t="s">
        <v>91</v>
      </c>
      <c r="S23" s="39">
        <f>MAX(S13:S18)</f>
        <v>5</v>
      </c>
      <c r="T23" s="39">
        <f t="shared" ref="T23:AF23" si="15">MAX(T13:T18)</f>
        <v>2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5</v>
      </c>
      <c r="Z23" s="39">
        <f t="shared" si="15"/>
        <v>2</v>
      </c>
      <c r="AA23" s="39">
        <f t="shared" si="15"/>
        <v>1</v>
      </c>
      <c r="AB23" s="39">
        <f t="shared" si="15"/>
        <v>0</v>
      </c>
      <c r="AC23" s="39">
        <f t="shared" si="15"/>
        <v>64</v>
      </c>
      <c r="AD23" s="39">
        <f t="shared" si="15"/>
        <v>0</v>
      </c>
      <c r="AE23" s="40">
        <f t="shared" si="15"/>
        <v>11</v>
      </c>
      <c r="AF23" s="40">
        <f t="shared" si="15"/>
        <v>74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2</v>
      </c>
      <c r="P24" s="15">
        <f t="shared" si="1"/>
        <v>16</v>
      </c>
      <c r="R24" s="38" t="s">
        <v>92</v>
      </c>
      <c r="S24" s="39">
        <f>MAX(S19:S21)</f>
        <v>4</v>
      </c>
      <c r="T24" s="39">
        <f t="shared" ref="T24:AF24" si="16">MAX(T19:T21)</f>
        <v>1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9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83</v>
      </c>
      <c r="AD24" s="39">
        <f t="shared" si="16"/>
        <v>0</v>
      </c>
      <c r="AE24" s="40">
        <f t="shared" si="16"/>
        <v>13</v>
      </c>
      <c r="AF24" s="40">
        <f t="shared" si="16"/>
        <v>88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2</v>
      </c>
      <c r="P25" s="15">
        <f t="shared" si="1"/>
        <v>16</v>
      </c>
      <c r="R25" s="37" t="s">
        <v>85</v>
      </c>
      <c r="S25" s="35">
        <f t="shared" ref="S25:AF25" si="17">SUM(S10:S12)</f>
        <v>3</v>
      </c>
      <c r="T25" s="16">
        <f t="shared" si="17"/>
        <v>1</v>
      </c>
      <c r="U25" s="16">
        <f t="shared" si="17"/>
        <v>3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142</v>
      </c>
      <c r="AD25" s="16">
        <f t="shared" si="17"/>
        <v>0</v>
      </c>
      <c r="AE25" s="32">
        <f t="shared" si="17"/>
        <v>14</v>
      </c>
      <c r="AF25" s="32">
        <f t="shared" si="17"/>
        <v>156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2</v>
      </c>
      <c r="P26" s="15">
        <f t="shared" si="1"/>
        <v>9</v>
      </c>
      <c r="R26" s="28" t="s">
        <v>86</v>
      </c>
      <c r="S26" s="16">
        <f t="shared" ref="S26:AF26" si="18">SUM(S13:S18)</f>
        <v>21</v>
      </c>
      <c r="T26" s="16">
        <f t="shared" si="18"/>
        <v>4</v>
      </c>
      <c r="U26" s="16">
        <f t="shared" si="18"/>
        <v>3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14</v>
      </c>
      <c r="Z26" s="16">
        <f t="shared" si="18"/>
        <v>5</v>
      </c>
      <c r="AA26" s="16">
        <f t="shared" si="18"/>
        <v>1</v>
      </c>
      <c r="AB26" s="16">
        <f t="shared" si="18"/>
        <v>0</v>
      </c>
      <c r="AC26" s="16">
        <f t="shared" si="18"/>
        <v>315</v>
      </c>
      <c r="AD26" s="16">
        <f t="shared" si="18"/>
        <v>0</v>
      </c>
      <c r="AE26" s="32">
        <f t="shared" si="18"/>
        <v>49</v>
      </c>
      <c r="AF26" s="32">
        <f t="shared" si="18"/>
        <v>364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3</v>
      </c>
      <c r="P27" s="15">
        <f t="shared" si="1"/>
        <v>11</v>
      </c>
      <c r="R27" s="29" t="s">
        <v>87</v>
      </c>
      <c r="S27" s="16">
        <f t="shared" ref="S27:AF27" si="19">SUM(S19:S21)</f>
        <v>7</v>
      </c>
      <c r="T27" s="16">
        <f t="shared" si="19"/>
        <v>2</v>
      </c>
      <c r="U27" s="16">
        <f t="shared" si="19"/>
        <v>1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14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204</v>
      </c>
      <c r="AD27" s="16">
        <f t="shared" si="19"/>
        <v>0</v>
      </c>
      <c r="AE27" s="32">
        <f t="shared" si="19"/>
        <v>26</v>
      </c>
      <c r="AF27" s="32">
        <f t="shared" si="19"/>
        <v>230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13</v>
      </c>
      <c r="N28" s="50">
        <v>0</v>
      </c>
      <c r="O28" s="15">
        <f t="shared" si="0"/>
        <v>3</v>
      </c>
      <c r="P28" s="15">
        <f t="shared" si="1"/>
        <v>16</v>
      </c>
      <c r="R28" s="5" t="s">
        <v>17</v>
      </c>
      <c r="S28" s="16">
        <f t="shared" ref="S28:AF28" si="20">SUM(S10:S21)</f>
        <v>31</v>
      </c>
      <c r="T28" s="16">
        <f t="shared" si="20"/>
        <v>7</v>
      </c>
      <c r="U28" s="16">
        <f t="shared" si="20"/>
        <v>7</v>
      </c>
      <c r="V28" s="16">
        <f t="shared" si="20"/>
        <v>5</v>
      </c>
      <c r="W28" s="16">
        <f t="shared" si="20"/>
        <v>0</v>
      </c>
      <c r="X28" s="16">
        <f t="shared" si="20"/>
        <v>0</v>
      </c>
      <c r="Y28" s="16">
        <f t="shared" si="20"/>
        <v>31</v>
      </c>
      <c r="Z28" s="16">
        <f t="shared" si="20"/>
        <v>7</v>
      </c>
      <c r="AA28" s="16">
        <f t="shared" si="20"/>
        <v>1</v>
      </c>
      <c r="AB28" s="16">
        <f t="shared" si="20"/>
        <v>0</v>
      </c>
      <c r="AC28" s="16">
        <f t="shared" si="20"/>
        <v>661</v>
      </c>
      <c r="AD28" s="16">
        <f t="shared" si="20"/>
        <v>0</v>
      </c>
      <c r="AE28" s="32">
        <f t="shared" si="20"/>
        <v>89</v>
      </c>
      <c r="AF28" s="32">
        <f t="shared" si="20"/>
        <v>750</v>
      </c>
    </row>
    <row r="29" spans="2:32" ht="23.1" customHeight="1" x14ac:dyDescent="0.25">
      <c r="B29" s="23" t="s">
        <v>56</v>
      </c>
      <c r="C29" s="50">
        <v>1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2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1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1</v>
      </c>
      <c r="L31" s="50">
        <v>0</v>
      </c>
      <c r="M31" s="50">
        <v>15</v>
      </c>
      <c r="N31" s="50">
        <v>0</v>
      </c>
      <c r="O31" s="15">
        <f t="shared" si="0"/>
        <v>5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3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2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2</v>
      </c>
      <c r="P34" s="15">
        <f t="shared" si="1"/>
        <v>14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0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19</v>
      </c>
      <c r="N36" s="50">
        <v>0</v>
      </c>
      <c r="O36" s="15">
        <f t="shared" si="0"/>
        <v>2</v>
      </c>
      <c r="P36" s="15">
        <f t="shared" si="1"/>
        <v>21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0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5</v>
      </c>
      <c r="P38" s="15">
        <f t="shared" si="1"/>
        <v>24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2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2</v>
      </c>
      <c r="P40" s="15">
        <f t="shared" si="1"/>
        <v>16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1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2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2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18</v>
      </c>
      <c r="N44" s="50">
        <v>0</v>
      </c>
      <c r="O44" s="15">
        <f t="shared" si="0"/>
        <v>2</v>
      </c>
      <c r="P44" s="15">
        <f t="shared" si="1"/>
        <v>20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1</v>
      </c>
      <c r="P45" s="15">
        <f t="shared" si="1"/>
        <v>19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5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6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5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1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1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1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16</v>
      </c>
      <c r="N51" s="50">
        <v>0</v>
      </c>
      <c r="O51" s="15">
        <f t="shared" si="0"/>
        <v>1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10</v>
      </c>
      <c r="N52" s="50">
        <v>0</v>
      </c>
      <c r="O52" s="15">
        <f t="shared" si="0"/>
        <v>1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21</v>
      </c>
      <c r="N53" s="50">
        <v>0</v>
      </c>
      <c r="O53" s="15">
        <f t="shared" si="0"/>
        <v>5</v>
      </c>
      <c r="P53" s="15">
        <f t="shared" si="1"/>
        <v>26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5">
        <f t="shared" si="0"/>
        <v>1</v>
      </c>
      <c r="P54" s="15">
        <f t="shared" si="1"/>
        <v>18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1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1</v>
      </c>
      <c r="P56" s="15">
        <f t="shared" si="1"/>
        <v>21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2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</v>
      </c>
      <c r="D58" s="16">
        <f t="shared" si="21"/>
        <v>7</v>
      </c>
      <c r="E58" s="16">
        <f t="shared" si="21"/>
        <v>7</v>
      </c>
      <c r="F58" s="16">
        <f t="shared" si="21"/>
        <v>5</v>
      </c>
      <c r="G58" s="16">
        <f t="shared" si="21"/>
        <v>0</v>
      </c>
      <c r="H58" s="16">
        <f t="shared" si="21"/>
        <v>0</v>
      </c>
      <c r="I58" s="16">
        <f t="shared" si="21"/>
        <v>31</v>
      </c>
      <c r="J58" s="16">
        <f t="shared" si="21"/>
        <v>7</v>
      </c>
      <c r="K58" s="16">
        <f t="shared" si="21"/>
        <v>1</v>
      </c>
      <c r="L58" s="16">
        <f t="shared" si="21"/>
        <v>0</v>
      </c>
      <c r="M58" s="16">
        <f t="shared" si="21"/>
        <v>661</v>
      </c>
      <c r="N58" s="16">
        <f t="shared" si="21"/>
        <v>0</v>
      </c>
      <c r="O58" s="16">
        <f t="shared" si="21"/>
        <v>89</v>
      </c>
      <c r="P58" s="16">
        <f t="shared" si="21"/>
        <v>750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4.1333333333333333E-2</v>
      </c>
      <c r="D59" s="43">
        <f t="shared" si="22"/>
        <v>9.3333333333333341E-3</v>
      </c>
      <c r="E59" s="43">
        <f t="shared" si="22"/>
        <v>9.3333333333333341E-3</v>
      </c>
      <c r="F59" s="43">
        <f t="shared" si="22"/>
        <v>6.6666666666666671E-3</v>
      </c>
      <c r="G59" s="43">
        <f t="shared" si="22"/>
        <v>0</v>
      </c>
      <c r="H59" s="43">
        <f t="shared" si="22"/>
        <v>0</v>
      </c>
      <c r="I59" s="43">
        <f t="shared" si="22"/>
        <v>4.1333333333333333E-2</v>
      </c>
      <c r="J59" s="43">
        <f t="shared" si="22"/>
        <v>9.3333333333333341E-3</v>
      </c>
      <c r="K59" s="43">
        <f t="shared" si="22"/>
        <v>1.3333333333333333E-3</v>
      </c>
      <c r="L59" s="43">
        <f t="shared" si="22"/>
        <v>0</v>
      </c>
      <c r="M59" s="43">
        <f t="shared" si="22"/>
        <v>0.8813333333333333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0.34831460674157305</v>
      </c>
      <c r="D60" s="44">
        <f t="shared" ref="D60:N60" si="23">D58/$O$58</f>
        <v>7.8651685393258425E-2</v>
      </c>
      <c r="E60" s="44">
        <f t="shared" si="23"/>
        <v>7.8651685393258425E-2</v>
      </c>
      <c r="F60" s="44">
        <f t="shared" si="23"/>
        <v>5.6179775280898875E-2</v>
      </c>
      <c r="G60" s="44">
        <f t="shared" si="23"/>
        <v>0</v>
      </c>
      <c r="H60" s="44">
        <f t="shared" si="23"/>
        <v>0</v>
      </c>
      <c r="I60" s="44">
        <f t="shared" si="23"/>
        <v>0.34831460674157305</v>
      </c>
      <c r="J60" s="44">
        <f t="shared" si="23"/>
        <v>7.8651685393258425E-2</v>
      </c>
      <c r="K60" s="44">
        <f t="shared" si="23"/>
        <v>1.1235955056179775E-2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179</v>
      </c>
      <c r="E5" s="3"/>
      <c r="F5" s="41" t="s">
        <v>1</v>
      </c>
      <c r="G5" s="66" t="str">
        <f>'21.10 MITYANA-KANONI'!G5:H5</f>
        <v>VICA MAIZE MILLERS</v>
      </c>
      <c r="H5" s="67"/>
      <c r="I5" s="14"/>
      <c r="J5" s="2" t="s">
        <v>5</v>
      </c>
      <c r="K5" s="66" t="s">
        <v>169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KANONI-MITYANA'!D6:E6</f>
        <v>KANONI</v>
      </c>
      <c r="E6" s="67"/>
      <c r="F6" s="2" t="s">
        <v>2</v>
      </c>
      <c r="G6" s="66" t="str">
        <f>'17.10 KANONI-MITYANA'!G6:H6</f>
        <v>MITYANA</v>
      </c>
      <c r="H6" s="67"/>
      <c r="J6" s="2" t="s">
        <v>21</v>
      </c>
      <c r="K6" s="66" t="str">
        <f>'21.10 MITYANA-KANONI'!K6:L6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34</v>
      </c>
      <c r="AD10" s="17">
        <f t="shared" si="2"/>
        <v>0</v>
      </c>
      <c r="AE10" s="31">
        <f t="shared" si="2"/>
        <v>4</v>
      </c>
      <c r="AF10" s="31">
        <f t="shared" si="2"/>
        <v>38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1</v>
      </c>
      <c r="P11" s="15">
        <f t="shared" si="1"/>
        <v>10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42</v>
      </c>
      <c r="AD11" s="17">
        <f t="shared" si="3"/>
        <v>0</v>
      </c>
      <c r="AE11" s="31">
        <f t="shared" si="3"/>
        <v>6</v>
      </c>
      <c r="AF11" s="31">
        <f t="shared" si="3"/>
        <v>48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0</v>
      </c>
      <c r="P12" s="15">
        <f t="shared" si="1"/>
        <v>10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35</v>
      </c>
      <c r="AD12" s="17">
        <f t="shared" si="4"/>
        <v>0</v>
      </c>
      <c r="AE12" s="31">
        <f t="shared" si="4"/>
        <v>5</v>
      </c>
      <c r="AF12" s="31">
        <f t="shared" si="4"/>
        <v>40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3</v>
      </c>
      <c r="P13" s="15">
        <f t="shared" si="1"/>
        <v>7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40</v>
      </c>
      <c r="AD13" s="17">
        <f t="shared" si="5"/>
        <v>0</v>
      </c>
      <c r="AE13" s="31">
        <f t="shared" si="5"/>
        <v>9</v>
      </c>
      <c r="AF13" s="31">
        <f t="shared" si="5"/>
        <v>49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2</v>
      </c>
      <c r="P14" s="15">
        <f t="shared" si="1"/>
        <v>10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47</v>
      </c>
      <c r="AD14" s="17">
        <f t="shared" si="6"/>
        <v>0</v>
      </c>
      <c r="AE14" s="31">
        <f t="shared" si="6"/>
        <v>3</v>
      </c>
      <c r="AF14" s="31">
        <f t="shared" si="6"/>
        <v>50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42</v>
      </c>
      <c r="AD15" s="17">
        <f t="shared" si="7"/>
        <v>0</v>
      </c>
      <c r="AE15" s="31">
        <f t="shared" si="7"/>
        <v>4</v>
      </c>
      <c r="AF15" s="31">
        <f t="shared" si="7"/>
        <v>46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1</v>
      </c>
      <c r="P16" s="15">
        <f t="shared" si="1"/>
        <v>16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49</v>
      </c>
      <c r="AD16" s="17">
        <f t="shared" si="8"/>
        <v>0</v>
      </c>
      <c r="AE16" s="31">
        <f t="shared" si="8"/>
        <v>3</v>
      </c>
      <c r="AF16" s="31">
        <f t="shared" si="8"/>
        <v>52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1</v>
      </c>
      <c r="P17" s="15">
        <f t="shared" si="1"/>
        <v>12</v>
      </c>
      <c r="R17" s="1" t="s">
        <v>13</v>
      </c>
      <c r="S17" s="17">
        <f t="shared" ref="S17:AF17" si="9">SUM(C38:C41)</f>
        <v>4</v>
      </c>
      <c r="T17" s="17">
        <f t="shared" si="9"/>
        <v>1</v>
      </c>
      <c r="U17" s="17">
        <f t="shared" si="9"/>
        <v>0</v>
      </c>
      <c r="V17" s="17">
        <f t="shared" si="9"/>
        <v>2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51</v>
      </c>
      <c r="AD17" s="17">
        <f t="shared" si="9"/>
        <v>0</v>
      </c>
      <c r="AE17" s="31">
        <f t="shared" si="9"/>
        <v>10</v>
      </c>
      <c r="AF17" s="31">
        <f t="shared" si="9"/>
        <v>61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2</v>
      </c>
      <c r="P18" s="15">
        <f t="shared" si="1"/>
        <v>11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67</v>
      </c>
      <c r="AD18" s="17">
        <f t="shared" si="10"/>
        <v>0</v>
      </c>
      <c r="AE18" s="31">
        <f t="shared" si="10"/>
        <v>9</v>
      </c>
      <c r="AF18" s="31">
        <f t="shared" si="10"/>
        <v>76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1</v>
      </c>
      <c r="P19" s="15">
        <f t="shared" si="1"/>
        <v>9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57</v>
      </c>
      <c r="AD19" s="17">
        <f t="shared" si="11"/>
        <v>0</v>
      </c>
      <c r="AE19" s="31">
        <f t="shared" si="11"/>
        <v>7</v>
      </c>
      <c r="AF19" s="31">
        <f t="shared" si="11"/>
        <v>64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0</v>
      </c>
      <c r="P20" s="15">
        <f t="shared" si="1"/>
        <v>7</v>
      </c>
      <c r="R20" s="1" t="s">
        <v>16</v>
      </c>
      <c r="S20" s="17">
        <f t="shared" ref="S20:AF20" si="12">SUM(C50:C53)</f>
        <v>9</v>
      </c>
      <c r="T20" s="17">
        <f t="shared" si="12"/>
        <v>2</v>
      </c>
      <c r="U20" s="17">
        <f t="shared" si="12"/>
        <v>5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68</v>
      </c>
      <c r="AD20" s="17">
        <f t="shared" si="12"/>
        <v>0</v>
      </c>
      <c r="AE20" s="31">
        <f t="shared" si="12"/>
        <v>22</v>
      </c>
      <c r="AF20" s="31">
        <f t="shared" si="12"/>
        <v>90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2</v>
      </c>
      <c r="P21" s="15">
        <f t="shared" si="1"/>
        <v>13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5</v>
      </c>
      <c r="V21" s="17">
        <f t="shared" si="13"/>
        <v>10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74</v>
      </c>
      <c r="AD21" s="17">
        <f t="shared" si="13"/>
        <v>0</v>
      </c>
      <c r="AE21" s="31">
        <f t="shared" si="13"/>
        <v>26</v>
      </c>
      <c r="AF21" s="31">
        <f t="shared" si="13"/>
        <v>100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1</v>
      </c>
      <c r="P22" s="15">
        <f t="shared" si="1"/>
        <v>9</v>
      </c>
      <c r="R22" s="38" t="s">
        <v>90</v>
      </c>
      <c r="S22" s="39">
        <f>MAX(S10:S12)</f>
        <v>2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42</v>
      </c>
      <c r="AD22" s="39">
        <f t="shared" si="14"/>
        <v>0</v>
      </c>
      <c r="AE22" s="40">
        <f t="shared" si="14"/>
        <v>6</v>
      </c>
      <c r="AF22" s="40">
        <f t="shared" si="14"/>
        <v>48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3</v>
      </c>
      <c r="P23" s="15">
        <f t="shared" si="1"/>
        <v>13</v>
      </c>
      <c r="R23" s="38" t="s">
        <v>91</v>
      </c>
      <c r="S23" s="39">
        <f>MAX(S13:S18)</f>
        <v>4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2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67</v>
      </c>
      <c r="AD23" s="39">
        <f t="shared" si="15"/>
        <v>0</v>
      </c>
      <c r="AE23" s="40">
        <f t="shared" si="15"/>
        <v>10</v>
      </c>
      <c r="AF23" s="40">
        <f t="shared" si="15"/>
        <v>76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2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5</v>
      </c>
      <c r="P24" s="15">
        <f t="shared" si="1"/>
        <v>18</v>
      </c>
      <c r="R24" s="38" t="s">
        <v>92</v>
      </c>
      <c r="S24" s="39">
        <f>MAX(S19:S21)</f>
        <v>9</v>
      </c>
      <c r="T24" s="39">
        <f t="shared" ref="T24:AF24" si="16">MAX(T19:T21)</f>
        <v>2</v>
      </c>
      <c r="U24" s="39">
        <f t="shared" si="16"/>
        <v>5</v>
      </c>
      <c r="V24" s="39">
        <f t="shared" si="16"/>
        <v>10</v>
      </c>
      <c r="W24" s="39">
        <f t="shared" si="16"/>
        <v>0</v>
      </c>
      <c r="X24" s="39">
        <f t="shared" si="16"/>
        <v>0</v>
      </c>
      <c r="Y24" s="39">
        <f t="shared" si="16"/>
        <v>5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74</v>
      </c>
      <c r="AD24" s="39">
        <f t="shared" si="16"/>
        <v>0</v>
      </c>
      <c r="AE24" s="40">
        <f t="shared" si="16"/>
        <v>26</v>
      </c>
      <c r="AF24" s="40">
        <f t="shared" si="16"/>
        <v>100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0</v>
      </c>
      <c r="P25" s="15">
        <f t="shared" si="1"/>
        <v>9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1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111</v>
      </c>
      <c r="AD25" s="16">
        <f t="shared" si="17"/>
        <v>0</v>
      </c>
      <c r="AE25" s="32">
        <f t="shared" si="17"/>
        <v>15</v>
      </c>
      <c r="AF25" s="32">
        <f t="shared" si="17"/>
        <v>126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1</v>
      </c>
      <c r="P26" s="15">
        <f t="shared" si="1"/>
        <v>16</v>
      </c>
      <c r="R26" s="28" t="s">
        <v>86</v>
      </c>
      <c r="S26" s="16">
        <f t="shared" ref="S26:AF26" si="18">SUM(S13:S18)</f>
        <v>13</v>
      </c>
      <c r="T26" s="16">
        <f t="shared" si="18"/>
        <v>2</v>
      </c>
      <c r="U26" s="16">
        <f t="shared" si="18"/>
        <v>1</v>
      </c>
      <c r="V26" s="16">
        <f t="shared" si="18"/>
        <v>3</v>
      </c>
      <c r="W26" s="16">
        <f t="shared" si="18"/>
        <v>1</v>
      </c>
      <c r="X26" s="16">
        <f t="shared" si="18"/>
        <v>0</v>
      </c>
      <c r="Y26" s="16">
        <f t="shared" si="18"/>
        <v>15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296</v>
      </c>
      <c r="AD26" s="16">
        <f t="shared" si="18"/>
        <v>0</v>
      </c>
      <c r="AE26" s="32">
        <f t="shared" si="18"/>
        <v>38</v>
      </c>
      <c r="AF26" s="32">
        <f t="shared" si="18"/>
        <v>334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0</v>
      </c>
      <c r="P27" s="15">
        <f t="shared" si="1"/>
        <v>10</v>
      </c>
      <c r="R27" s="29" t="s">
        <v>87</v>
      </c>
      <c r="S27" s="16">
        <f t="shared" ref="S27:AF27" si="19">SUM(S19:S21)</f>
        <v>15</v>
      </c>
      <c r="T27" s="16">
        <f t="shared" si="19"/>
        <v>3</v>
      </c>
      <c r="U27" s="16">
        <f t="shared" si="19"/>
        <v>11</v>
      </c>
      <c r="V27" s="16">
        <f t="shared" si="19"/>
        <v>14</v>
      </c>
      <c r="W27" s="16">
        <f t="shared" si="19"/>
        <v>0</v>
      </c>
      <c r="X27" s="16">
        <f t="shared" si="19"/>
        <v>0</v>
      </c>
      <c r="Y27" s="16">
        <f t="shared" si="19"/>
        <v>9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199</v>
      </c>
      <c r="AD27" s="16">
        <f t="shared" si="19"/>
        <v>0</v>
      </c>
      <c r="AE27" s="32">
        <f t="shared" si="19"/>
        <v>55</v>
      </c>
      <c r="AF27" s="32">
        <f t="shared" si="19"/>
        <v>254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0"/>
        <v>1</v>
      </c>
      <c r="P28" s="15">
        <f t="shared" si="1"/>
        <v>12</v>
      </c>
      <c r="R28" s="5" t="s">
        <v>17</v>
      </c>
      <c r="S28" s="16">
        <f t="shared" ref="S28:AF28" si="20">SUM(S10:S21)</f>
        <v>32</v>
      </c>
      <c r="T28" s="16">
        <f t="shared" si="20"/>
        <v>5</v>
      </c>
      <c r="U28" s="16">
        <f t="shared" si="20"/>
        <v>13</v>
      </c>
      <c r="V28" s="16">
        <f t="shared" si="20"/>
        <v>22</v>
      </c>
      <c r="W28" s="16">
        <f t="shared" si="20"/>
        <v>1</v>
      </c>
      <c r="X28" s="16">
        <f t="shared" si="20"/>
        <v>0</v>
      </c>
      <c r="Y28" s="16">
        <f t="shared" si="20"/>
        <v>29</v>
      </c>
      <c r="Z28" s="16">
        <f t="shared" si="20"/>
        <v>6</v>
      </c>
      <c r="AA28" s="16">
        <f t="shared" si="20"/>
        <v>0</v>
      </c>
      <c r="AB28" s="16">
        <f t="shared" si="20"/>
        <v>0</v>
      </c>
      <c r="AC28" s="16">
        <f t="shared" si="20"/>
        <v>606</v>
      </c>
      <c r="AD28" s="16">
        <f t="shared" si="20"/>
        <v>0</v>
      </c>
      <c r="AE28" s="32">
        <f t="shared" si="20"/>
        <v>108</v>
      </c>
      <c r="AF28" s="32">
        <f t="shared" si="20"/>
        <v>714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1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2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1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0</v>
      </c>
      <c r="P32" s="15">
        <f t="shared" si="1"/>
        <v>14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1</v>
      </c>
      <c r="P33" s="15">
        <f t="shared" si="1"/>
        <v>12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0</v>
      </c>
      <c r="P34" s="15">
        <f t="shared" si="1"/>
        <v>14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17</v>
      </c>
      <c r="N35" s="50">
        <v>0</v>
      </c>
      <c r="O35" s="15">
        <f t="shared" si="0"/>
        <v>2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1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0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1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2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2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3</v>
      </c>
      <c r="P40" s="15">
        <f t="shared" si="1"/>
        <v>13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3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3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2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2</v>
      </c>
      <c r="P44" s="15">
        <f t="shared" si="1"/>
        <v>17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5">
        <f t="shared" si="0"/>
        <v>2</v>
      </c>
      <c r="P45" s="15">
        <f t="shared" si="1"/>
        <v>19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0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14</v>
      </c>
      <c r="N47" s="50">
        <v>0</v>
      </c>
      <c r="O47" s="15">
        <f t="shared" si="0"/>
        <v>3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5">
        <f t="shared" si="0"/>
        <v>2</v>
      </c>
      <c r="P48" s="15">
        <f t="shared" si="1"/>
        <v>18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2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16</v>
      </c>
      <c r="N50" s="50">
        <v>0</v>
      </c>
      <c r="O50" s="15">
        <f t="shared" si="0"/>
        <v>4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5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5</v>
      </c>
      <c r="P52" s="15">
        <f t="shared" si="1"/>
        <v>17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1</v>
      </c>
      <c r="E53" s="50">
        <v>2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21</v>
      </c>
      <c r="N53" s="50">
        <v>0</v>
      </c>
      <c r="O53" s="15">
        <f t="shared" si="0"/>
        <v>8</v>
      </c>
      <c r="P53" s="15">
        <f t="shared" si="1"/>
        <v>29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4</v>
      </c>
      <c r="F54" s="50">
        <v>10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5">
        <f t="shared" si="0"/>
        <v>16</v>
      </c>
      <c r="P54" s="15">
        <f t="shared" si="1"/>
        <v>42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15</v>
      </c>
      <c r="N55" s="50">
        <v>0</v>
      </c>
      <c r="O55" s="15">
        <f t="shared" si="0"/>
        <v>4</v>
      </c>
      <c r="P55" s="15">
        <f t="shared" si="1"/>
        <v>19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15</v>
      </c>
      <c r="N56" s="50">
        <v>0</v>
      </c>
      <c r="O56" s="15">
        <f t="shared" si="0"/>
        <v>2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18</v>
      </c>
      <c r="N57" s="50">
        <v>0</v>
      </c>
      <c r="O57" s="15">
        <f t="shared" si="0"/>
        <v>4</v>
      </c>
      <c r="P57" s="15">
        <f t="shared" si="1"/>
        <v>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</v>
      </c>
      <c r="D58" s="16">
        <f t="shared" si="21"/>
        <v>5</v>
      </c>
      <c r="E58" s="16">
        <f t="shared" si="21"/>
        <v>13</v>
      </c>
      <c r="F58" s="16">
        <f t="shared" si="21"/>
        <v>22</v>
      </c>
      <c r="G58" s="16">
        <f t="shared" si="21"/>
        <v>1</v>
      </c>
      <c r="H58" s="16">
        <f t="shared" si="21"/>
        <v>0</v>
      </c>
      <c r="I58" s="16">
        <f t="shared" si="21"/>
        <v>29</v>
      </c>
      <c r="J58" s="16">
        <f t="shared" si="21"/>
        <v>6</v>
      </c>
      <c r="K58" s="16">
        <f t="shared" si="21"/>
        <v>0</v>
      </c>
      <c r="L58" s="16">
        <f t="shared" si="21"/>
        <v>0</v>
      </c>
      <c r="M58" s="16">
        <f t="shared" si="21"/>
        <v>606</v>
      </c>
      <c r="N58" s="16">
        <f t="shared" si="21"/>
        <v>0</v>
      </c>
      <c r="O58" s="16">
        <f t="shared" si="21"/>
        <v>108</v>
      </c>
      <c r="P58" s="16">
        <f t="shared" si="21"/>
        <v>714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4.4817927170868348E-2</v>
      </c>
      <c r="D59" s="43">
        <f t="shared" si="22"/>
        <v>7.0028011204481795E-3</v>
      </c>
      <c r="E59" s="43">
        <f t="shared" si="22"/>
        <v>1.8207282913165267E-2</v>
      </c>
      <c r="F59" s="43">
        <f t="shared" si="22"/>
        <v>3.081232492997199E-2</v>
      </c>
      <c r="G59" s="43">
        <f t="shared" si="22"/>
        <v>1.4005602240896359E-3</v>
      </c>
      <c r="H59" s="43">
        <f t="shared" si="22"/>
        <v>0</v>
      </c>
      <c r="I59" s="43">
        <f t="shared" si="22"/>
        <v>4.0616246498599441E-2</v>
      </c>
      <c r="J59" s="43">
        <f t="shared" si="22"/>
        <v>8.4033613445378148E-3</v>
      </c>
      <c r="K59" s="43">
        <f t="shared" si="22"/>
        <v>0</v>
      </c>
      <c r="L59" s="43">
        <f t="shared" si="22"/>
        <v>0</v>
      </c>
      <c r="M59" s="43">
        <f t="shared" si="22"/>
        <v>0.84873949579831931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0.29629629629629628</v>
      </c>
      <c r="D60" s="44">
        <f t="shared" ref="D60:N60" si="23">D58/$O$58</f>
        <v>4.6296296296296294E-2</v>
      </c>
      <c r="E60" s="44">
        <f t="shared" si="23"/>
        <v>0.12037037037037036</v>
      </c>
      <c r="F60" s="44">
        <f t="shared" si="23"/>
        <v>0.20370370370370369</v>
      </c>
      <c r="G60" s="44">
        <f t="shared" si="23"/>
        <v>9.2592592592592587E-3</v>
      </c>
      <c r="H60" s="44">
        <f t="shared" si="23"/>
        <v>0</v>
      </c>
      <c r="I60" s="44">
        <f t="shared" si="23"/>
        <v>0.26851851851851855</v>
      </c>
      <c r="J60" s="44">
        <f t="shared" si="23"/>
        <v>5.5555555555555552E-2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'22.10 KANONI-MITYANA'!D5</f>
        <v>22.10.19</v>
      </c>
      <c r="E5" s="3"/>
      <c r="F5" s="41" t="s">
        <v>1</v>
      </c>
      <c r="G5" s="66" t="str">
        <f>'22.10 KANONI-MITYANA'!G5:H5</f>
        <v>VICA MAIZE MILLERS</v>
      </c>
      <c r="H5" s="67"/>
      <c r="I5" s="14"/>
      <c r="J5" s="2" t="s">
        <v>5</v>
      </c>
      <c r="K5" s="66" t="s">
        <v>180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MITYANA-KANONI'!D6:E6</f>
        <v>MITYANA</v>
      </c>
      <c r="E6" s="67"/>
      <c r="F6" s="2" t="s">
        <v>2</v>
      </c>
      <c r="G6" s="66" t="str">
        <f>'17.10 MITYANA-KANONI'!G6:H6</f>
        <v>KANONI</v>
      </c>
      <c r="H6" s="67"/>
      <c r="J6" s="2" t="s">
        <v>21</v>
      </c>
      <c r="K6" s="66" t="str">
        <f>'22.10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30</v>
      </c>
      <c r="AD10" s="17">
        <f t="shared" si="2"/>
        <v>0</v>
      </c>
      <c r="AE10" s="31">
        <f t="shared" si="2"/>
        <v>6</v>
      </c>
      <c r="AF10" s="31">
        <f t="shared" si="2"/>
        <v>36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2</v>
      </c>
      <c r="P11" s="15">
        <f t="shared" si="1"/>
        <v>10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52</v>
      </c>
      <c r="AD11" s="17">
        <f t="shared" si="3"/>
        <v>0</v>
      </c>
      <c r="AE11" s="31">
        <f t="shared" si="3"/>
        <v>7</v>
      </c>
      <c r="AF11" s="31">
        <f t="shared" si="3"/>
        <v>59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1</v>
      </c>
      <c r="P12" s="15">
        <f t="shared" si="1"/>
        <v>12</v>
      </c>
      <c r="R12" s="1" t="s">
        <v>8</v>
      </c>
      <c r="S12" s="17">
        <f t="shared" ref="S12:AF12" si="4">SUM(C18:C21)</f>
        <v>5</v>
      </c>
      <c r="T12" s="17">
        <f t="shared" si="4"/>
        <v>1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36</v>
      </c>
      <c r="AD12" s="17">
        <f t="shared" si="4"/>
        <v>0</v>
      </c>
      <c r="AE12" s="31">
        <f t="shared" si="4"/>
        <v>9</v>
      </c>
      <c r="AF12" s="31">
        <f t="shared" si="4"/>
        <v>45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2</v>
      </c>
      <c r="P13" s="15">
        <f t="shared" si="1"/>
        <v>9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51</v>
      </c>
      <c r="AD13" s="17">
        <f t="shared" si="5"/>
        <v>0</v>
      </c>
      <c r="AE13" s="31">
        <f t="shared" si="5"/>
        <v>9</v>
      </c>
      <c r="AF13" s="31">
        <f t="shared" si="5"/>
        <v>60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16</v>
      </c>
      <c r="N14" s="50">
        <v>0</v>
      </c>
      <c r="O14" s="15">
        <f t="shared" si="0"/>
        <v>1</v>
      </c>
      <c r="P14" s="15">
        <f t="shared" si="1"/>
        <v>17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1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44</v>
      </c>
      <c r="AD14" s="17">
        <f t="shared" si="6"/>
        <v>0</v>
      </c>
      <c r="AE14" s="31">
        <f t="shared" si="6"/>
        <v>12</v>
      </c>
      <c r="AF14" s="31">
        <f t="shared" si="6"/>
        <v>56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2</v>
      </c>
      <c r="P15" s="15">
        <f t="shared" si="1"/>
        <v>13</v>
      </c>
      <c r="R15" s="1" t="s">
        <v>11</v>
      </c>
      <c r="S15" s="17">
        <f t="shared" ref="S15:AF15" si="7">SUM(C30:C33)</f>
        <v>11</v>
      </c>
      <c r="T15" s="17">
        <f t="shared" si="7"/>
        <v>1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54</v>
      </c>
      <c r="AD15" s="17">
        <f t="shared" si="7"/>
        <v>0</v>
      </c>
      <c r="AE15" s="31">
        <f t="shared" si="7"/>
        <v>19</v>
      </c>
      <c r="AF15" s="31">
        <f t="shared" si="7"/>
        <v>73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0"/>
        <v>2</v>
      </c>
      <c r="P16" s="15">
        <f t="shared" si="1"/>
        <v>14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1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46</v>
      </c>
      <c r="AD16" s="17">
        <f t="shared" si="8"/>
        <v>0</v>
      </c>
      <c r="AE16" s="31">
        <f t="shared" si="8"/>
        <v>17</v>
      </c>
      <c r="AF16" s="31">
        <f t="shared" si="8"/>
        <v>63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2</v>
      </c>
      <c r="P17" s="15">
        <f t="shared" si="1"/>
        <v>15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45</v>
      </c>
      <c r="AD17" s="17">
        <f t="shared" si="9"/>
        <v>0</v>
      </c>
      <c r="AE17" s="31">
        <f t="shared" si="9"/>
        <v>3</v>
      </c>
      <c r="AF17" s="31">
        <f t="shared" si="9"/>
        <v>48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4</v>
      </c>
      <c r="P18" s="15">
        <f t="shared" si="1"/>
        <v>8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56</v>
      </c>
      <c r="AD18" s="17">
        <f t="shared" si="10"/>
        <v>0</v>
      </c>
      <c r="AE18" s="31">
        <f t="shared" si="10"/>
        <v>3</v>
      </c>
      <c r="AF18" s="31">
        <f t="shared" si="10"/>
        <v>59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0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2</v>
      </c>
      <c r="AB19" s="17">
        <f t="shared" si="11"/>
        <v>0</v>
      </c>
      <c r="AC19" s="17">
        <f t="shared" si="11"/>
        <v>57</v>
      </c>
      <c r="AD19" s="17">
        <f t="shared" si="11"/>
        <v>0</v>
      </c>
      <c r="AE19" s="31">
        <f t="shared" si="11"/>
        <v>12</v>
      </c>
      <c r="AF19" s="31">
        <f t="shared" si="11"/>
        <v>69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0</v>
      </c>
      <c r="P20" s="15">
        <f t="shared" si="1"/>
        <v>14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0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48</v>
      </c>
      <c r="AD20" s="17">
        <f t="shared" si="12"/>
        <v>0</v>
      </c>
      <c r="AE20" s="31">
        <f t="shared" si="12"/>
        <v>6</v>
      </c>
      <c r="AF20" s="31">
        <f t="shared" si="12"/>
        <v>54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5</v>
      </c>
      <c r="P21" s="15">
        <f t="shared" si="1"/>
        <v>14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1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59</v>
      </c>
      <c r="AD21" s="17">
        <f t="shared" si="13"/>
        <v>0</v>
      </c>
      <c r="AE21" s="31">
        <f t="shared" si="13"/>
        <v>5</v>
      </c>
      <c r="AF21" s="31">
        <f t="shared" si="13"/>
        <v>64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12</v>
      </c>
      <c r="N22" s="50">
        <v>0</v>
      </c>
      <c r="O22" s="15">
        <f t="shared" si="0"/>
        <v>1</v>
      </c>
      <c r="P22" s="15">
        <f t="shared" si="1"/>
        <v>13</v>
      </c>
      <c r="R22" s="38" t="s">
        <v>90</v>
      </c>
      <c r="S22" s="39">
        <f>MAX(S10:S12)</f>
        <v>5</v>
      </c>
      <c r="T22" s="39">
        <f t="shared" ref="T22:AF22" si="14">MAX(T10:T12)</f>
        <v>1</v>
      </c>
      <c r="U22" s="39">
        <f t="shared" si="14"/>
        <v>0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52</v>
      </c>
      <c r="AD22" s="39">
        <f t="shared" si="14"/>
        <v>0</v>
      </c>
      <c r="AE22" s="40">
        <f t="shared" si="14"/>
        <v>9</v>
      </c>
      <c r="AF22" s="40">
        <f t="shared" si="14"/>
        <v>59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2</v>
      </c>
      <c r="P23" s="15">
        <f t="shared" si="1"/>
        <v>15</v>
      </c>
      <c r="R23" s="38" t="s">
        <v>91</v>
      </c>
      <c r="S23" s="39">
        <f>MAX(S13:S18)</f>
        <v>11</v>
      </c>
      <c r="T23" s="39">
        <f t="shared" ref="T23:AF23" si="15">MAX(T13:T18)</f>
        <v>1</v>
      </c>
      <c r="U23" s="39">
        <f t="shared" si="15"/>
        <v>3</v>
      </c>
      <c r="V23" s="39">
        <f t="shared" si="15"/>
        <v>5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56</v>
      </c>
      <c r="AD23" s="39">
        <f t="shared" si="15"/>
        <v>0</v>
      </c>
      <c r="AE23" s="40">
        <f t="shared" si="15"/>
        <v>19</v>
      </c>
      <c r="AF23" s="40">
        <f t="shared" si="15"/>
        <v>73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5">
        <f t="shared" si="0"/>
        <v>5</v>
      </c>
      <c r="P24" s="15">
        <f t="shared" si="1"/>
        <v>20</v>
      </c>
      <c r="R24" s="38" t="s">
        <v>92</v>
      </c>
      <c r="S24" s="39">
        <f>MAX(S19:S21)</f>
        <v>2</v>
      </c>
      <c r="T24" s="39">
        <f t="shared" ref="T24:AF24" si="16">MAX(T19:T21)</f>
        <v>0</v>
      </c>
      <c r="U24" s="39">
        <f t="shared" si="16"/>
        <v>1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7</v>
      </c>
      <c r="Z24" s="39">
        <f t="shared" si="16"/>
        <v>1</v>
      </c>
      <c r="AA24" s="39">
        <f t="shared" si="16"/>
        <v>2</v>
      </c>
      <c r="AB24" s="39">
        <f t="shared" si="16"/>
        <v>0</v>
      </c>
      <c r="AC24" s="39">
        <f t="shared" si="16"/>
        <v>59</v>
      </c>
      <c r="AD24" s="39">
        <f t="shared" si="16"/>
        <v>0</v>
      </c>
      <c r="AE24" s="40">
        <f t="shared" si="16"/>
        <v>12</v>
      </c>
      <c r="AF24" s="40">
        <f t="shared" si="16"/>
        <v>69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1</v>
      </c>
      <c r="P25" s="15">
        <f t="shared" si="1"/>
        <v>12</v>
      </c>
      <c r="R25" s="37" t="s">
        <v>85</v>
      </c>
      <c r="S25" s="35">
        <f t="shared" ref="S25:AF25" si="17">SUM(S10:S12)</f>
        <v>9</v>
      </c>
      <c r="T25" s="16">
        <f t="shared" si="17"/>
        <v>2</v>
      </c>
      <c r="U25" s="16">
        <f t="shared" si="17"/>
        <v>0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118</v>
      </c>
      <c r="AD25" s="16">
        <f t="shared" si="17"/>
        <v>0</v>
      </c>
      <c r="AE25" s="32">
        <f t="shared" si="17"/>
        <v>22</v>
      </c>
      <c r="AF25" s="32">
        <f t="shared" si="17"/>
        <v>140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1</v>
      </c>
      <c r="P26" s="15">
        <f t="shared" si="1"/>
        <v>11</v>
      </c>
      <c r="R26" s="28" t="s">
        <v>86</v>
      </c>
      <c r="S26" s="16">
        <f t="shared" ref="S26:AF26" si="18">SUM(S13:S18)</f>
        <v>27</v>
      </c>
      <c r="T26" s="16">
        <f t="shared" si="18"/>
        <v>1</v>
      </c>
      <c r="U26" s="16">
        <f t="shared" si="18"/>
        <v>6</v>
      </c>
      <c r="V26" s="16">
        <f t="shared" si="18"/>
        <v>12</v>
      </c>
      <c r="W26" s="16">
        <f t="shared" si="18"/>
        <v>1</v>
      </c>
      <c r="X26" s="16">
        <f t="shared" si="18"/>
        <v>0</v>
      </c>
      <c r="Y26" s="16">
        <f t="shared" si="18"/>
        <v>14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296</v>
      </c>
      <c r="AD26" s="16">
        <f t="shared" si="18"/>
        <v>0</v>
      </c>
      <c r="AE26" s="32">
        <f t="shared" si="18"/>
        <v>63</v>
      </c>
      <c r="AF26" s="32">
        <f t="shared" si="18"/>
        <v>359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4</v>
      </c>
      <c r="P27" s="15">
        <f t="shared" si="1"/>
        <v>11</v>
      </c>
      <c r="R27" s="29" t="s">
        <v>87</v>
      </c>
      <c r="S27" s="16">
        <f t="shared" ref="S27:AF27" si="19">SUM(S19:S21)</f>
        <v>4</v>
      </c>
      <c r="T27" s="16">
        <f t="shared" si="19"/>
        <v>0</v>
      </c>
      <c r="U27" s="16">
        <f t="shared" si="19"/>
        <v>2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10</v>
      </c>
      <c r="Z27" s="16">
        <f t="shared" si="19"/>
        <v>1</v>
      </c>
      <c r="AA27" s="16">
        <f t="shared" si="19"/>
        <v>3</v>
      </c>
      <c r="AB27" s="16">
        <f t="shared" si="19"/>
        <v>0</v>
      </c>
      <c r="AC27" s="16">
        <f t="shared" si="19"/>
        <v>164</v>
      </c>
      <c r="AD27" s="16">
        <f t="shared" si="19"/>
        <v>0</v>
      </c>
      <c r="AE27" s="32">
        <f t="shared" si="19"/>
        <v>23</v>
      </c>
      <c r="AF27" s="32">
        <f t="shared" si="19"/>
        <v>187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3</v>
      </c>
      <c r="P28" s="15">
        <f t="shared" si="1"/>
        <v>17</v>
      </c>
      <c r="R28" s="5" t="s">
        <v>17</v>
      </c>
      <c r="S28" s="16">
        <f t="shared" ref="S28:AF28" si="20">SUM(S10:S21)</f>
        <v>40</v>
      </c>
      <c r="T28" s="16">
        <f t="shared" si="20"/>
        <v>3</v>
      </c>
      <c r="U28" s="16">
        <f t="shared" si="20"/>
        <v>8</v>
      </c>
      <c r="V28" s="16">
        <f t="shared" si="20"/>
        <v>18</v>
      </c>
      <c r="W28" s="16">
        <f t="shared" si="20"/>
        <v>1</v>
      </c>
      <c r="X28" s="16">
        <f t="shared" si="20"/>
        <v>0</v>
      </c>
      <c r="Y28" s="16">
        <f t="shared" si="20"/>
        <v>31</v>
      </c>
      <c r="Z28" s="16">
        <f t="shared" si="20"/>
        <v>4</v>
      </c>
      <c r="AA28" s="16">
        <f t="shared" si="20"/>
        <v>3</v>
      </c>
      <c r="AB28" s="16">
        <f t="shared" si="20"/>
        <v>0</v>
      </c>
      <c r="AC28" s="16">
        <f t="shared" si="20"/>
        <v>578</v>
      </c>
      <c r="AD28" s="16">
        <f t="shared" si="20"/>
        <v>0</v>
      </c>
      <c r="AE28" s="32">
        <f t="shared" si="20"/>
        <v>108</v>
      </c>
      <c r="AF28" s="32">
        <f t="shared" si="20"/>
        <v>686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1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4</v>
      </c>
      <c r="P29" s="15">
        <f t="shared" si="1"/>
        <v>17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17</v>
      </c>
      <c r="N30" s="50">
        <v>0</v>
      </c>
      <c r="O30" s="15">
        <f t="shared" si="0"/>
        <v>4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7</v>
      </c>
      <c r="N31" s="50">
        <v>0</v>
      </c>
      <c r="O31" s="15">
        <f t="shared" si="0"/>
        <v>5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6</v>
      </c>
      <c r="P32" s="15">
        <f t="shared" si="1"/>
        <v>20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4</v>
      </c>
      <c r="P33" s="15">
        <f t="shared" si="1"/>
        <v>20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7</v>
      </c>
      <c r="P34" s="15">
        <f t="shared" si="1"/>
        <v>23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9</v>
      </c>
      <c r="N35" s="50">
        <v>0</v>
      </c>
      <c r="O35" s="15">
        <f t="shared" si="0"/>
        <v>0</v>
      </c>
      <c r="P35" s="15">
        <f t="shared" si="1"/>
        <v>9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4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6</v>
      </c>
      <c r="P37" s="15">
        <f t="shared" si="1"/>
        <v>19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0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0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12</v>
      </c>
      <c r="N40" s="50">
        <v>0</v>
      </c>
      <c r="O40" s="15">
        <f t="shared" si="0"/>
        <v>2</v>
      </c>
      <c r="P40" s="15">
        <f t="shared" si="1"/>
        <v>14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1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22</v>
      </c>
      <c r="N42" s="50">
        <v>0</v>
      </c>
      <c r="O42" s="15">
        <f t="shared" si="0"/>
        <v>2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0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1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9</v>
      </c>
      <c r="N45" s="50">
        <v>0</v>
      </c>
      <c r="O45" s="15">
        <f t="shared" si="0"/>
        <v>0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2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2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2</v>
      </c>
      <c r="L48" s="50">
        <v>0</v>
      </c>
      <c r="M48" s="50">
        <v>15</v>
      </c>
      <c r="N48" s="50">
        <v>0</v>
      </c>
      <c r="O48" s="15">
        <f t="shared" si="0"/>
        <v>4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4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0</v>
      </c>
      <c r="M50" s="50">
        <v>12</v>
      </c>
      <c r="N50" s="50">
        <v>0</v>
      </c>
      <c r="O50" s="15">
        <f t="shared" si="0"/>
        <v>2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2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2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5">
        <f t="shared" si="0"/>
        <v>0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1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1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5">
        <f t="shared" si="0"/>
        <v>1</v>
      </c>
      <c r="P56" s="15">
        <f t="shared" si="1"/>
        <v>22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2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</v>
      </c>
      <c r="D58" s="16">
        <f t="shared" si="21"/>
        <v>3</v>
      </c>
      <c r="E58" s="16">
        <f t="shared" si="21"/>
        <v>8</v>
      </c>
      <c r="F58" s="16">
        <f t="shared" si="21"/>
        <v>18</v>
      </c>
      <c r="G58" s="16">
        <f t="shared" si="21"/>
        <v>1</v>
      </c>
      <c r="H58" s="16">
        <f t="shared" si="21"/>
        <v>0</v>
      </c>
      <c r="I58" s="16">
        <f t="shared" si="21"/>
        <v>31</v>
      </c>
      <c r="J58" s="16">
        <f t="shared" si="21"/>
        <v>4</v>
      </c>
      <c r="K58" s="16">
        <f t="shared" si="21"/>
        <v>3</v>
      </c>
      <c r="L58" s="16">
        <f t="shared" si="21"/>
        <v>0</v>
      </c>
      <c r="M58" s="16">
        <f t="shared" si="21"/>
        <v>578</v>
      </c>
      <c r="N58" s="16">
        <f t="shared" si="21"/>
        <v>0</v>
      </c>
      <c r="O58" s="16">
        <f t="shared" si="21"/>
        <v>108</v>
      </c>
      <c r="P58" s="16">
        <f t="shared" si="21"/>
        <v>686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5.8309037900874633E-2</v>
      </c>
      <c r="D59" s="43">
        <f t="shared" si="22"/>
        <v>4.3731778425655978E-3</v>
      </c>
      <c r="E59" s="43">
        <f t="shared" si="22"/>
        <v>1.1661807580174927E-2</v>
      </c>
      <c r="F59" s="43">
        <f t="shared" si="22"/>
        <v>2.6239067055393587E-2</v>
      </c>
      <c r="G59" s="43">
        <f t="shared" si="22"/>
        <v>1.4577259475218659E-3</v>
      </c>
      <c r="H59" s="43">
        <f t="shared" si="22"/>
        <v>0</v>
      </c>
      <c r="I59" s="43">
        <f t="shared" si="22"/>
        <v>4.5189504373177841E-2</v>
      </c>
      <c r="J59" s="43">
        <f t="shared" si="22"/>
        <v>5.8309037900874635E-3</v>
      </c>
      <c r="K59" s="43">
        <f t="shared" si="22"/>
        <v>4.3731778425655978E-3</v>
      </c>
      <c r="L59" s="43">
        <f t="shared" si="22"/>
        <v>0</v>
      </c>
      <c r="M59" s="43">
        <f t="shared" si="22"/>
        <v>0.8425655976676385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0.37037037037037035</v>
      </c>
      <c r="D60" s="44">
        <f t="shared" ref="D60:N60" si="23">D58/$O$58</f>
        <v>2.7777777777777776E-2</v>
      </c>
      <c r="E60" s="44">
        <f t="shared" si="23"/>
        <v>7.407407407407407E-2</v>
      </c>
      <c r="F60" s="44">
        <f t="shared" si="23"/>
        <v>0.16666666666666666</v>
      </c>
      <c r="G60" s="44">
        <f t="shared" si="23"/>
        <v>9.2592592592592587E-3</v>
      </c>
      <c r="H60" s="44">
        <f t="shared" si="23"/>
        <v>0</v>
      </c>
      <c r="I60" s="44">
        <f t="shared" si="23"/>
        <v>0.28703703703703703</v>
      </c>
      <c r="J60" s="44">
        <f t="shared" si="23"/>
        <v>3.7037037037037035E-2</v>
      </c>
      <c r="K60" s="44">
        <f t="shared" si="23"/>
        <v>2.7777777777777776E-2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KANONI-MITYANA'!C3:G3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181</v>
      </c>
      <c r="E5" s="3"/>
      <c r="F5" s="41" t="s">
        <v>1</v>
      </c>
      <c r="G5" s="66" t="str">
        <f>'18.10 MITYANA-KANONI-24h'!G5:H5</f>
        <v>VICA MAIZE MILLERS</v>
      </c>
      <c r="H5" s="67"/>
      <c r="I5" s="14"/>
      <c r="J5" s="2" t="s">
        <v>5</v>
      </c>
      <c r="K5" s="66" t="s">
        <v>169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KANONI-MITYANA'!D6:E6</f>
        <v>KANONI</v>
      </c>
      <c r="E6" s="67"/>
      <c r="F6" s="2" t="s">
        <v>2</v>
      </c>
      <c r="G6" s="66" t="str">
        <f>'17.10 KANONI-MITYANA'!G6:H6</f>
        <v>MITYANA</v>
      </c>
      <c r="H6" s="67"/>
      <c r="J6" s="2" t="s">
        <v>21</v>
      </c>
      <c r="K6" s="66" t="str">
        <f>'18.10 MITYANA-KANONI-24h'!K6:L6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1">
        <f t="shared" si="2"/>
        <v>2</v>
      </c>
      <c r="AF10" s="31">
        <f t="shared" si="2"/>
        <v>43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1</v>
      </c>
      <c r="P11" s="15">
        <f t="shared" si="1"/>
        <v>11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52</v>
      </c>
      <c r="AD11" s="17">
        <f t="shared" si="3"/>
        <v>0</v>
      </c>
      <c r="AE11" s="31">
        <f t="shared" si="3"/>
        <v>6</v>
      </c>
      <c r="AF11" s="31">
        <f t="shared" si="3"/>
        <v>58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1</v>
      </c>
      <c r="P12" s="15">
        <f t="shared" si="1"/>
        <v>11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46</v>
      </c>
      <c r="AD12" s="17">
        <f t="shared" si="4"/>
        <v>0</v>
      </c>
      <c r="AE12" s="31">
        <f t="shared" si="4"/>
        <v>8</v>
      </c>
      <c r="AF12" s="31">
        <f t="shared" si="4"/>
        <v>54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0</v>
      </c>
      <c r="P13" s="15">
        <f t="shared" si="1"/>
        <v>13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47</v>
      </c>
      <c r="AD13" s="17">
        <f t="shared" si="5"/>
        <v>0</v>
      </c>
      <c r="AE13" s="31">
        <f t="shared" si="5"/>
        <v>1</v>
      </c>
      <c r="AF13" s="31">
        <f t="shared" si="5"/>
        <v>48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2</v>
      </c>
      <c r="P14" s="15">
        <f t="shared" si="1"/>
        <v>11</v>
      </c>
      <c r="R14" s="1" t="s">
        <v>10</v>
      </c>
      <c r="S14" s="17">
        <f t="shared" ref="S14:AF14" si="6">SUM(C26:C29)</f>
        <v>0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45</v>
      </c>
      <c r="AD14" s="17">
        <f t="shared" si="6"/>
        <v>0</v>
      </c>
      <c r="AE14" s="31">
        <f t="shared" si="6"/>
        <v>6</v>
      </c>
      <c r="AF14" s="31">
        <f t="shared" si="6"/>
        <v>51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2</v>
      </c>
      <c r="P15" s="15">
        <f t="shared" si="1"/>
        <v>14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1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61</v>
      </c>
      <c r="AD15" s="17">
        <f t="shared" si="7"/>
        <v>0</v>
      </c>
      <c r="AE15" s="31">
        <f t="shared" si="7"/>
        <v>3</v>
      </c>
      <c r="AF15" s="31">
        <f t="shared" si="7"/>
        <v>64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1</v>
      </c>
      <c r="P16" s="15">
        <f t="shared" si="1"/>
        <v>11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1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53</v>
      </c>
      <c r="AD16" s="17">
        <f t="shared" si="8"/>
        <v>0</v>
      </c>
      <c r="AE16" s="31">
        <f t="shared" si="8"/>
        <v>10</v>
      </c>
      <c r="AF16" s="31">
        <f t="shared" si="8"/>
        <v>63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21</v>
      </c>
      <c r="N17" s="50">
        <v>0</v>
      </c>
      <c r="O17" s="15">
        <f t="shared" si="0"/>
        <v>1</v>
      </c>
      <c r="P17" s="15">
        <f t="shared" si="1"/>
        <v>22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36</v>
      </c>
      <c r="AD17" s="17">
        <f t="shared" si="9"/>
        <v>0</v>
      </c>
      <c r="AE17" s="31">
        <f t="shared" si="9"/>
        <v>10</v>
      </c>
      <c r="AF17" s="31">
        <f t="shared" si="9"/>
        <v>46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0</v>
      </c>
      <c r="P18" s="15">
        <f t="shared" si="1"/>
        <v>11</v>
      </c>
      <c r="R18" s="1" t="s">
        <v>14</v>
      </c>
      <c r="S18" s="17">
        <f t="shared" ref="S18:AF18" si="10">SUM(C42:C45)</f>
        <v>5</v>
      </c>
      <c r="T18" s="17">
        <f t="shared" si="10"/>
        <v>1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32</v>
      </c>
      <c r="AD18" s="17">
        <f t="shared" si="10"/>
        <v>0</v>
      </c>
      <c r="AE18" s="31">
        <f t="shared" si="10"/>
        <v>10</v>
      </c>
      <c r="AF18" s="31">
        <f t="shared" si="10"/>
        <v>42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3</v>
      </c>
      <c r="P19" s="15">
        <f t="shared" si="1"/>
        <v>18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74</v>
      </c>
      <c r="AD19" s="17">
        <f t="shared" si="11"/>
        <v>0</v>
      </c>
      <c r="AE19" s="31">
        <f t="shared" si="11"/>
        <v>6</v>
      </c>
      <c r="AF19" s="31">
        <f t="shared" si="11"/>
        <v>80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3</v>
      </c>
      <c r="P20" s="15">
        <f t="shared" si="1"/>
        <v>13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4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58</v>
      </c>
      <c r="AD20" s="17">
        <f t="shared" si="12"/>
        <v>0</v>
      </c>
      <c r="AE20" s="31">
        <f t="shared" si="12"/>
        <v>8</v>
      </c>
      <c r="AF20" s="31">
        <f t="shared" si="12"/>
        <v>66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2</v>
      </c>
      <c r="P21" s="15">
        <f t="shared" si="1"/>
        <v>12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1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65</v>
      </c>
      <c r="AD21" s="17">
        <f t="shared" si="13"/>
        <v>0</v>
      </c>
      <c r="AE21" s="31">
        <f t="shared" si="13"/>
        <v>7</v>
      </c>
      <c r="AF21" s="31">
        <f t="shared" si="13"/>
        <v>72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0</v>
      </c>
      <c r="P22" s="15">
        <f t="shared" si="1"/>
        <v>8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52</v>
      </c>
      <c r="AD22" s="39">
        <f t="shared" si="14"/>
        <v>0</v>
      </c>
      <c r="AE22" s="40">
        <f t="shared" si="14"/>
        <v>8</v>
      </c>
      <c r="AF22" s="40">
        <f t="shared" si="14"/>
        <v>58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0</v>
      </c>
      <c r="P23" s="15">
        <f t="shared" si="1"/>
        <v>9</v>
      </c>
      <c r="R23" s="38" t="s">
        <v>91</v>
      </c>
      <c r="S23" s="39">
        <f>MAX(S13:S18)</f>
        <v>7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61</v>
      </c>
      <c r="AD23" s="39">
        <f t="shared" si="15"/>
        <v>0</v>
      </c>
      <c r="AE23" s="40">
        <f t="shared" si="15"/>
        <v>10</v>
      </c>
      <c r="AF23" s="40">
        <f t="shared" si="15"/>
        <v>64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1</v>
      </c>
      <c r="P24" s="15">
        <f t="shared" si="1"/>
        <v>19</v>
      </c>
      <c r="R24" s="38" t="s">
        <v>92</v>
      </c>
      <c r="S24" s="39">
        <f>MAX(S19:S21)</f>
        <v>3</v>
      </c>
      <c r="T24" s="39">
        <f t="shared" ref="T24:AF24" si="16">MAX(T19:T21)</f>
        <v>1</v>
      </c>
      <c r="U24" s="39">
        <f t="shared" si="16"/>
        <v>4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74</v>
      </c>
      <c r="AD24" s="39">
        <f t="shared" si="16"/>
        <v>0</v>
      </c>
      <c r="AE24" s="40">
        <f t="shared" si="16"/>
        <v>8</v>
      </c>
      <c r="AF24" s="40">
        <f t="shared" si="16"/>
        <v>80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12</v>
      </c>
      <c r="N25" s="50">
        <v>0</v>
      </c>
      <c r="O25" s="15">
        <f t="shared" si="0"/>
        <v>0</v>
      </c>
      <c r="P25" s="15">
        <f t="shared" si="1"/>
        <v>12</v>
      </c>
      <c r="R25" s="37" t="s">
        <v>85</v>
      </c>
      <c r="S25" s="35">
        <f t="shared" ref="S25:AF25" si="17">SUM(S10:S12)</f>
        <v>8</v>
      </c>
      <c r="T25" s="16">
        <f t="shared" si="17"/>
        <v>0</v>
      </c>
      <c r="U25" s="16">
        <f t="shared" si="17"/>
        <v>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139</v>
      </c>
      <c r="AD25" s="16">
        <f t="shared" si="17"/>
        <v>0</v>
      </c>
      <c r="AE25" s="32">
        <f t="shared" si="17"/>
        <v>16</v>
      </c>
      <c r="AF25" s="32">
        <f t="shared" si="17"/>
        <v>155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1</v>
      </c>
      <c r="P26" s="15">
        <f t="shared" si="1"/>
        <v>18</v>
      </c>
      <c r="R26" s="28" t="s">
        <v>86</v>
      </c>
      <c r="S26" s="16">
        <f t="shared" ref="S26:AF26" si="18">SUM(S13:S18)</f>
        <v>17</v>
      </c>
      <c r="T26" s="16">
        <f t="shared" si="18"/>
        <v>2</v>
      </c>
      <c r="U26" s="16">
        <f t="shared" si="18"/>
        <v>3</v>
      </c>
      <c r="V26" s="16">
        <f t="shared" si="18"/>
        <v>4</v>
      </c>
      <c r="W26" s="16">
        <f t="shared" si="18"/>
        <v>1</v>
      </c>
      <c r="X26" s="16">
        <f t="shared" si="18"/>
        <v>0</v>
      </c>
      <c r="Y26" s="16">
        <f t="shared" si="18"/>
        <v>10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274</v>
      </c>
      <c r="AD26" s="16">
        <f t="shared" si="18"/>
        <v>0</v>
      </c>
      <c r="AE26" s="32">
        <f t="shared" si="18"/>
        <v>40</v>
      </c>
      <c r="AF26" s="32">
        <f t="shared" si="18"/>
        <v>314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3</v>
      </c>
      <c r="P27" s="15">
        <f t="shared" si="1"/>
        <v>13</v>
      </c>
      <c r="R27" s="29" t="s">
        <v>87</v>
      </c>
      <c r="S27" s="16">
        <f t="shared" ref="S27:AF27" si="19">SUM(S19:S21)</f>
        <v>5</v>
      </c>
      <c r="T27" s="16">
        <f t="shared" si="19"/>
        <v>1</v>
      </c>
      <c r="U27" s="16">
        <f t="shared" si="19"/>
        <v>5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197</v>
      </c>
      <c r="AD27" s="16">
        <f t="shared" si="19"/>
        <v>0</v>
      </c>
      <c r="AE27" s="32">
        <f t="shared" si="19"/>
        <v>21</v>
      </c>
      <c r="AF27" s="32">
        <f t="shared" si="19"/>
        <v>218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1</v>
      </c>
      <c r="P28" s="15">
        <f t="shared" si="1"/>
        <v>9</v>
      </c>
      <c r="R28" s="5" t="s">
        <v>17</v>
      </c>
      <c r="S28" s="16">
        <f t="shared" ref="S28:AF28" si="20">SUM(S10:S21)</f>
        <v>30</v>
      </c>
      <c r="T28" s="16">
        <f t="shared" si="20"/>
        <v>3</v>
      </c>
      <c r="U28" s="16">
        <f t="shared" si="20"/>
        <v>9</v>
      </c>
      <c r="V28" s="16">
        <f t="shared" si="20"/>
        <v>8</v>
      </c>
      <c r="W28" s="16">
        <f t="shared" si="20"/>
        <v>1</v>
      </c>
      <c r="X28" s="16">
        <f t="shared" si="20"/>
        <v>0</v>
      </c>
      <c r="Y28" s="16">
        <f t="shared" si="20"/>
        <v>19</v>
      </c>
      <c r="Z28" s="16">
        <f t="shared" si="20"/>
        <v>7</v>
      </c>
      <c r="AA28" s="16">
        <f t="shared" si="20"/>
        <v>0</v>
      </c>
      <c r="AB28" s="16">
        <f t="shared" si="20"/>
        <v>0</v>
      </c>
      <c r="AC28" s="16">
        <f t="shared" si="20"/>
        <v>610</v>
      </c>
      <c r="AD28" s="16">
        <f t="shared" si="20"/>
        <v>0</v>
      </c>
      <c r="AE28" s="32">
        <f t="shared" si="20"/>
        <v>77</v>
      </c>
      <c r="AF28" s="32">
        <f t="shared" si="20"/>
        <v>687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1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1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0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1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20</v>
      </c>
      <c r="N32" s="50">
        <v>0</v>
      </c>
      <c r="O32" s="15">
        <f t="shared" si="0"/>
        <v>2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0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1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16</v>
      </c>
      <c r="N35" s="50">
        <v>0</v>
      </c>
      <c r="O35" s="15">
        <f t="shared" si="0"/>
        <v>4</v>
      </c>
      <c r="P35" s="15">
        <f t="shared" si="1"/>
        <v>20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2</v>
      </c>
      <c r="P36" s="15">
        <f t="shared" si="1"/>
        <v>18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3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0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12</v>
      </c>
      <c r="N39" s="50">
        <v>0</v>
      </c>
      <c r="O39" s="15">
        <f t="shared" si="0"/>
        <v>4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2</v>
      </c>
      <c r="P40" s="15">
        <f t="shared" si="1"/>
        <v>13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4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5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4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0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5">
        <f t="shared" si="0"/>
        <v>1</v>
      </c>
      <c r="P45" s="15">
        <f t="shared" si="1"/>
        <v>13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17</v>
      </c>
      <c r="N46" s="50">
        <v>0</v>
      </c>
      <c r="O46" s="15">
        <f t="shared" si="0"/>
        <v>1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30</v>
      </c>
      <c r="N47" s="50">
        <v>0</v>
      </c>
      <c r="O47" s="15">
        <f t="shared" si="0"/>
        <v>2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0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3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0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3</v>
      </c>
      <c r="P51" s="15">
        <f t="shared" si="1"/>
        <v>18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2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3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2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3</v>
      </c>
      <c r="P54" s="15">
        <f t="shared" si="1"/>
        <v>18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2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1</v>
      </c>
      <c r="P56" s="15">
        <f t="shared" si="1"/>
        <v>21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18</v>
      </c>
      <c r="N57" s="50">
        <v>0</v>
      </c>
      <c r="O57" s="15">
        <f t="shared" si="0"/>
        <v>1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</v>
      </c>
      <c r="D58" s="16">
        <f t="shared" si="21"/>
        <v>3</v>
      </c>
      <c r="E58" s="16">
        <f t="shared" si="21"/>
        <v>9</v>
      </c>
      <c r="F58" s="16">
        <f t="shared" si="21"/>
        <v>8</v>
      </c>
      <c r="G58" s="16">
        <f t="shared" si="21"/>
        <v>1</v>
      </c>
      <c r="H58" s="16">
        <f t="shared" si="21"/>
        <v>0</v>
      </c>
      <c r="I58" s="16">
        <f t="shared" si="21"/>
        <v>19</v>
      </c>
      <c r="J58" s="16">
        <f t="shared" si="21"/>
        <v>7</v>
      </c>
      <c r="K58" s="16">
        <f t="shared" si="21"/>
        <v>0</v>
      </c>
      <c r="L58" s="16">
        <f t="shared" si="21"/>
        <v>0</v>
      </c>
      <c r="M58" s="16">
        <f t="shared" si="21"/>
        <v>610</v>
      </c>
      <c r="N58" s="16">
        <f t="shared" si="21"/>
        <v>0</v>
      </c>
      <c r="O58" s="16">
        <f t="shared" si="21"/>
        <v>77</v>
      </c>
      <c r="P58" s="16">
        <f t="shared" si="21"/>
        <v>687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4.3668122270742356E-2</v>
      </c>
      <c r="D59" s="43">
        <f t="shared" si="22"/>
        <v>4.3668122270742356E-3</v>
      </c>
      <c r="E59" s="43">
        <f t="shared" si="22"/>
        <v>1.3100436681222707E-2</v>
      </c>
      <c r="F59" s="43">
        <f t="shared" si="22"/>
        <v>1.1644832605531296E-2</v>
      </c>
      <c r="G59" s="43">
        <f t="shared" si="22"/>
        <v>1.455604075691412E-3</v>
      </c>
      <c r="H59" s="43">
        <f t="shared" si="22"/>
        <v>0</v>
      </c>
      <c r="I59" s="43">
        <f t="shared" si="22"/>
        <v>2.7656477438136828E-2</v>
      </c>
      <c r="J59" s="43">
        <f t="shared" si="22"/>
        <v>1.0189228529839884E-2</v>
      </c>
      <c r="K59" s="43">
        <f t="shared" si="22"/>
        <v>0</v>
      </c>
      <c r="L59" s="43">
        <f t="shared" si="22"/>
        <v>0</v>
      </c>
      <c r="M59" s="43">
        <f t="shared" si="22"/>
        <v>0.88791848617176128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0.38961038961038963</v>
      </c>
      <c r="D60" s="44">
        <f t="shared" ref="D60:N60" si="23">D58/$O$58</f>
        <v>3.896103896103896E-2</v>
      </c>
      <c r="E60" s="44">
        <f t="shared" si="23"/>
        <v>0.11688311688311688</v>
      </c>
      <c r="F60" s="44">
        <f t="shared" si="23"/>
        <v>0.1038961038961039</v>
      </c>
      <c r="G60" s="44">
        <f t="shared" si="23"/>
        <v>1.2987012987012988E-2</v>
      </c>
      <c r="H60" s="44">
        <f t="shared" si="23"/>
        <v>0</v>
      </c>
      <c r="I60" s="44">
        <f t="shared" si="23"/>
        <v>0.24675324675324675</v>
      </c>
      <c r="J60" s="44">
        <f t="shared" si="23"/>
        <v>9.0909090909090912E-2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5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'23.10 KANONI-MITYANA'!D5</f>
        <v>23.10.19</v>
      </c>
      <c r="E5" s="3"/>
      <c r="F5" s="41" t="s">
        <v>1</v>
      </c>
      <c r="G5" s="66" t="str">
        <f>'23.10 KANONI-MITYANA'!G5:H5</f>
        <v>VICA MAIZE MILLERS</v>
      </c>
      <c r="H5" s="67"/>
      <c r="I5" s="14"/>
      <c r="J5" s="2" t="s">
        <v>5</v>
      </c>
      <c r="K5" s="66" t="s">
        <v>180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MITYANA-KANONI'!D6:E6</f>
        <v>MITYANA</v>
      </c>
      <c r="E6" s="67"/>
      <c r="F6" s="2" t="s">
        <v>2</v>
      </c>
      <c r="G6" s="66" t="str">
        <f>'17.10 MITYANA-KANONI'!G6:H6</f>
        <v>KANONI</v>
      </c>
      <c r="H6" s="67"/>
      <c r="J6" s="2" t="s">
        <v>21</v>
      </c>
      <c r="K6" s="66" t="str">
        <f>'23.10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4</v>
      </c>
      <c r="AF10" s="31">
        <f t="shared" si="2"/>
        <v>36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1</v>
      </c>
      <c r="P11" s="15">
        <f t="shared" si="1"/>
        <v>3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48</v>
      </c>
      <c r="AD11" s="17">
        <f t="shared" si="3"/>
        <v>0</v>
      </c>
      <c r="AE11" s="31">
        <f t="shared" si="3"/>
        <v>6</v>
      </c>
      <c r="AF11" s="31">
        <f t="shared" si="3"/>
        <v>54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1</v>
      </c>
      <c r="P12" s="15">
        <f t="shared" si="1"/>
        <v>9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1">
        <f t="shared" si="4"/>
        <v>6</v>
      </c>
      <c r="AF12" s="31">
        <f t="shared" si="4"/>
        <v>50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2</v>
      </c>
      <c r="P13" s="15">
        <f t="shared" si="1"/>
        <v>17</v>
      </c>
      <c r="R13" s="1" t="s">
        <v>9</v>
      </c>
      <c r="S13" s="17">
        <f t="shared" ref="S13:AF13" si="5">SUM(C22:C25)</f>
        <v>2</v>
      </c>
      <c r="T13" s="17">
        <f t="shared" si="5"/>
        <v>1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56</v>
      </c>
      <c r="AD13" s="17">
        <f t="shared" si="5"/>
        <v>0</v>
      </c>
      <c r="AE13" s="31">
        <f t="shared" si="5"/>
        <v>9</v>
      </c>
      <c r="AF13" s="31">
        <f t="shared" si="5"/>
        <v>65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14</v>
      </c>
      <c r="N14" s="50">
        <v>0</v>
      </c>
      <c r="O14" s="15">
        <f t="shared" si="0"/>
        <v>2</v>
      </c>
      <c r="P14" s="15">
        <f t="shared" si="1"/>
        <v>16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47</v>
      </c>
      <c r="AD14" s="17">
        <f t="shared" si="6"/>
        <v>0</v>
      </c>
      <c r="AE14" s="31">
        <f t="shared" si="6"/>
        <v>9</v>
      </c>
      <c r="AF14" s="31">
        <f t="shared" si="6"/>
        <v>56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13</v>
      </c>
      <c r="N15" s="50">
        <v>0</v>
      </c>
      <c r="O15" s="15">
        <f t="shared" si="0"/>
        <v>0</v>
      </c>
      <c r="P15" s="15">
        <f t="shared" si="1"/>
        <v>13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52</v>
      </c>
      <c r="AD15" s="17">
        <f t="shared" si="7"/>
        <v>0</v>
      </c>
      <c r="AE15" s="31">
        <f t="shared" si="7"/>
        <v>5</v>
      </c>
      <c r="AF15" s="31">
        <f t="shared" si="7"/>
        <v>57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2</v>
      </c>
      <c r="P16" s="15">
        <f t="shared" si="1"/>
        <v>12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52</v>
      </c>
      <c r="AD16" s="17">
        <f t="shared" si="8"/>
        <v>0</v>
      </c>
      <c r="AE16" s="31">
        <f t="shared" si="8"/>
        <v>4</v>
      </c>
      <c r="AF16" s="31">
        <f t="shared" si="8"/>
        <v>56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2</v>
      </c>
      <c r="P17" s="15">
        <f t="shared" si="1"/>
        <v>13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41</v>
      </c>
      <c r="AD17" s="17">
        <f t="shared" si="9"/>
        <v>0</v>
      </c>
      <c r="AE17" s="31">
        <f t="shared" si="9"/>
        <v>4</v>
      </c>
      <c r="AF17" s="31">
        <f t="shared" si="9"/>
        <v>45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22</v>
      </c>
      <c r="N18" s="50">
        <v>0</v>
      </c>
      <c r="O18" s="15">
        <f t="shared" si="0"/>
        <v>1</v>
      </c>
      <c r="P18" s="15">
        <f t="shared" si="1"/>
        <v>23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1">
        <f t="shared" si="10"/>
        <v>7</v>
      </c>
      <c r="AF18" s="31">
        <f t="shared" si="10"/>
        <v>59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</v>
      </c>
      <c r="P19" s="15">
        <f t="shared" si="1"/>
        <v>8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42</v>
      </c>
      <c r="AD19" s="17">
        <f t="shared" si="11"/>
        <v>0</v>
      </c>
      <c r="AE19" s="31">
        <f t="shared" si="11"/>
        <v>4</v>
      </c>
      <c r="AF19" s="31">
        <f t="shared" si="11"/>
        <v>46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2</v>
      </c>
      <c r="P20" s="15">
        <f t="shared" si="1"/>
        <v>10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67</v>
      </c>
      <c r="AD20" s="17">
        <f t="shared" si="12"/>
        <v>0</v>
      </c>
      <c r="AE20" s="31">
        <f t="shared" si="12"/>
        <v>8</v>
      </c>
      <c r="AF20" s="31">
        <f t="shared" si="12"/>
        <v>75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2</v>
      </c>
      <c r="P21" s="15">
        <f t="shared" si="1"/>
        <v>9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43</v>
      </c>
      <c r="AD21" s="17">
        <f t="shared" si="13"/>
        <v>0</v>
      </c>
      <c r="AE21" s="31">
        <f t="shared" si="13"/>
        <v>8</v>
      </c>
      <c r="AF21" s="31">
        <f t="shared" si="13"/>
        <v>51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3</v>
      </c>
      <c r="P22" s="15">
        <f t="shared" si="1"/>
        <v>13</v>
      </c>
      <c r="R22" s="38" t="s">
        <v>90</v>
      </c>
      <c r="S22" s="39">
        <f>MAX(S10:S12)</f>
        <v>3</v>
      </c>
      <c r="T22" s="39">
        <f t="shared" ref="T22:AF22" si="14">MAX(T10:T12)</f>
        <v>1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48</v>
      </c>
      <c r="AD22" s="39">
        <f t="shared" si="14"/>
        <v>0</v>
      </c>
      <c r="AE22" s="40">
        <f t="shared" si="14"/>
        <v>6</v>
      </c>
      <c r="AF22" s="40">
        <f t="shared" si="14"/>
        <v>54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19</v>
      </c>
      <c r="N23" s="50">
        <v>0</v>
      </c>
      <c r="O23" s="15">
        <f t="shared" si="0"/>
        <v>3</v>
      </c>
      <c r="P23" s="15">
        <f t="shared" si="1"/>
        <v>22</v>
      </c>
      <c r="R23" s="38" t="s">
        <v>91</v>
      </c>
      <c r="S23" s="39">
        <f>MAX(S13:S18)</f>
        <v>3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1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56</v>
      </c>
      <c r="AD23" s="39">
        <f t="shared" si="15"/>
        <v>0</v>
      </c>
      <c r="AE23" s="40">
        <f t="shared" si="15"/>
        <v>9</v>
      </c>
      <c r="AF23" s="40">
        <f t="shared" si="15"/>
        <v>65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5">
        <f t="shared" si="0"/>
        <v>0</v>
      </c>
      <c r="P24" s="15">
        <f t="shared" si="1"/>
        <v>15</v>
      </c>
      <c r="R24" s="38" t="s">
        <v>92</v>
      </c>
      <c r="S24" s="39">
        <f>MAX(S19:S21)</f>
        <v>4</v>
      </c>
      <c r="T24" s="39">
        <f t="shared" ref="T24:AF24" si="16">MAX(T19:T21)</f>
        <v>0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67</v>
      </c>
      <c r="AD24" s="39">
        <f t="shared" si="16"/>
        <v>0</v>
      </c>
      <c r="AE24" s="40">
        <f t="shared" si="16"/>
        <v>8</v>
      </c>
      <c r="AF24" s="40">
        <f t="shared" si="16"/>
        <v>75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12</v>
      </c>
      <c r="N25" s="50">
        <v>0</v>
      </c>
      <c r="O25" s="15">
        <f t="shared" si="0"/>
        <v>3</v>
      </c>
      <c r="P25" s="15">
        <f t="shared" si="1"/>
        <v>15</v>
      </c>
      <c r="R25" s="37" t="s">
        <v>85</v>
      </c>
      <c r="S25" s="35">
        <f t="shared" ref="S25:AF25" si="17">SUM(S10:S12)</f>
        <v>5</v>
      </c>
      <c r="T25" s="16">
        <f t="shared" si="17"/>
        <v>1</v>
      </c>
      <c r="U25" s="16">
        <f t="shared" si="17"/>
        <v>2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124</v>
      </c>
      <c r="AD25" s="16">
        <f t="shared" si="17"/>
        <v>0</v>
      </c>
      <c r="AE25" s="32">
        <f t="shared" si="17"/>
        <v>16</v>
      </c>
      <c r="AF25" s="32">
        <f t="shared" si="17"/>
        <v>140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0</v>
      </c>
      <c r="F26" s="50">
        <v>0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3</v>
      </c>
      <c r="P26" s="15">
        <f t="shared" si="1"/>
        <v>14</v>
      </c>
      <c r="R26" s="28" t="s">
        <v>86</v>
      </c>
      <c r="S26" s="16">
        <f t="shared" ref="S26:AF26" si="18">SUM(S13:S18)</f>
        <v>10</v>
      </c>
      <c r="T26" s="16">
        <f t="shared" si="18"/>
        <v>3</v>
      </c>
      <c r="U26" s="16">
        <f t="shared" si="18"/>
        <v>2</v>
      </c>
      <c r="V26" s="16">
        <f t="shared" si="18"/>
        <v>2</v>
      </c>
      <c r="W26" s="16">
        <f t="shared" si="18"/>
        <v>0</v>
      </c>
      <c r="X26" s="16">
        <f t="shared" si="18"/>
        <v>1</v>
      </c>
      <c r="Y26" s="16">
        <f t="shared" si="18"/>
        <v>16</v>
      </c>
      <c r="Z26" s="16">
        <f t="shared" si="18"/>
        <v>4</v>
      </c>
      <c r="AA26" s="16">
        <f t="shared" si="18"/>
        <v>0</v>
      </c>
      <c r="AB26" s="16">
        <f t="shared" si="18"/>
        <v>0</v>
      </c>
      <c r="AC26" s="16">
        <f t="shared" si="18"/>
        <v>300</v>
      </c>
      <c r="AD26" s="16">
        <f t="shared" si="18"/>
        <v>0</v>
      </c>
      <c r="AE26" s="32">
        <f t="shared" si="18"/>
        <v>38</v>
      </c>
      <c r="AF26" s="32">
        <f t="shared" si="18"/>
        <v>338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3</v>
      </c>
      <c r="P27" s="15">
        <f t="shared" si="1"/>
        <v>16</v>
      </c>
      <c r="R27" s="29" t="s">
        <v>87</v>
      </c>
      <c r="S27" s="16">
        <f t="shared" ref="S27:AF27" si="19">SUM(S19:S21)</f>
        <v>7</v>
      </c>
      <c r="T27" s="16">
        <f t="shared" si="19"/>
        <v>0</v>
      </c>
      <c r="U27" s="16">
        <f t="shared" si="19"/>
        <v>3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152</v>
      </c>
      <c r="AD27" s="16">
        <f t="shared" si="19"/>
        <v>0</v>
      </c>
      <c r="AE27" s="32">
        <f t="shared" si="19"/>
        <v>20</v>
      </c>
      <c r="AF27" s="32">
        <f t="shared" si="19"/>
        <v>172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1</v>
      </c>
      <c r="P28" s="15">
        <f t="shared" si="1"/>
        <v>10</v>
      </c>
      <c r="R28" s="5" t="s">
        <v>17</v>
      </c>
      <c r="S28" s="16">
        <f t="shared" ref="S28:AF28" si="20">SUM(S10:S21)</f>
        <v>22</v>
      </c>
      <c r="T28" s="16">
        <f t="shared" si="20"/>
        <v>4</v>
      </c>
      <c r="U28" s="16">
        <f t="shared" si="20"/>
        <v>7</v>
      </c>
      <c r="V28" s="16">
        <f t="shared" si="20"/>
        <v>5</v>
      </c>
      <c r="W28" s="16">
        <f t="shared" si="20"/>
        <v>0</v>
      </c>
      <c r="X28" s="16">
        <f t="shared" si="20"/>
        <v>1</v>
      </c>
      <c r="Y28" s="16">
        <f t="shared" si="20"/>
        <v>28</v>
      </c>
      <c r="Z28" s="16">
        <f t="shared" si="20"/>
        <v>7</v>
      </c>
      <c r="AA28" s="16">
        <f t="shared" si="20"/>
        <v>0</v>
      </c>
      <c r="AB28" s="16">
        <f t="shared" si="20"/>
        <v>0</v>
      </c>
      <c r="AC28" s="16">
        <f t="shared" si="20"/>
        <v>576</v>
      </c>
      <c r="AD28" s="16">
        <f t="shared" si="20"/>
        <v>0</v>
      </c>
      <c r="AE28" s="32">
        <f t="shared" si="20"/>
        <v>74</v>
      </c>
      <c r="AF28" s="32">
        <f t="shared" si="20"/>
        <v>650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2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1</v>
      </c>
      <c r="P30" s="15">
        <f t="shared" si="1"/>
        <v>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1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12</v>
      </c>
      <c r="N32" s="50">
        <v>0</v>
      </c>
      <c r="O32" s="15">
        <f t="shared" si="0"/>
        <v>3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19</v>
      </c>
      <c r="N33" s="50">
        <v>0</v>
      </c>
      <c r="O33" s="15">
        <f t="shared" si="0"/>
        <v>0</v>
      </c>
      <c r="P33" s="15">
        <f t="shared" si="1"/>
        <v>19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0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1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15</v>
      </c>
      <c r="N36" s="50">
        <v>0</v>
      </c>
      <c r="O36" s="15">
        <f t="shared" si="0"/>
        <v>1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2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0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0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9</v>
      </c>
      <c r="N40" s="50">
        <v>0</v>
      </c>
      <c r="O40" s="15">
        <f t="shared" si="0"/>
        <v>2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2</v>
      </c>
      <c r="P41" s="15">
        <f t="shared" si="1"/>
        <v>17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9</v>
      </c>
      <c r="N42" s="50">
        <v>0</v>
      </c>
      <c r="O42" s="15">
        <f t="shared" si="0"/>
        <v>1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2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3</v>
      </c>
      <c r="P44" s="15">
        <f t="shared" si="1"/>
        <v>16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1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1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1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1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1</v>
      </c>
      <c r="P49" s="15">
        <f t="shared" si="1"/>
        <v>10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17</v>
      </c>
      <c r="N50" s="50">
        <v>0</v>
      </c>
      <c r="O50" s="15">
        <f>SUM(C50:L50,N50)</f>
        <v>3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2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15</v>
      </c>
      <c r="N52" s="50">
        <v>0</v>
      </c>
      <c r="O52" s="15">
        <f t="shared" si="0"/>
        <v>1</v>
      </c>
      <c r="P52" s="15">
        <f t="shared" si="1"/>
        <v>16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20</v>
      </c>
      <c r="N53" s="50">
        <v>0</v>
      </c>
      <c r="O53" s="15">
        <f t="shared" si="0"/>
        <v>2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1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3</v>
      </c>
      <c r="P55" s="15">
        <f t="shared" si="1"/>
        <v>19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3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1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</v>
      </c>
      <c r="D58" s="16">
        <f t="shared" si="21"/>
        <v>4</v>
      </c>
      <c r="E58" s="16">
        <f t="shared" si="21"/>
        <v>7</v>
      </c>
      <c r="F58" s="16">
        <f t="shared" si="21"/>
        <v>5</v>
      </c>
      <c r="G58" s="16">
        <f t="shared" si="21"/>
        <v>0</v>
      </c>
      <c r="H58" s="16">
        <f t="shared" si="21"/>
        <v>1</v>
      </c>
      <c r="I58" s="16">
        <f t="shared" si="21"/>
        <v>28</v>
      </c>
      <c r="J58" s="16">
        <f t="shared" si="21"/>
        <v>7</v>
      </c>
      <c r="K58" s="16">
        <f t="shared" si="21"/>
        <v>0</v>
      </c>
      <c r="L58" s="16">
        <f t="shared" si="21"/>
        <v>0</v>
      </c>
      <c r="M58" s="16">
        <f t="shared" si="21"/>
        <v>576</v>
      </c>
      <c r="N58" s="16">
        <f t="shared" si="21"/>
        <v>0</v>
      </c>
      <c r="O58" s="16">
        <f t="shared" si="21"/>
        <v>74</v>
      </c>
      <c r="P58" s="16">
        <f t="shared" si="21"/>
        <v>650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3.3846153846153845E-2</v>
      </c>
      <c r="D59" s="43">
        <f t="shared" si="22"/>
        <v>6.1538461538461538E-3</v>
      </c>
      <c r="E59" s="43">
        <f t="shared" si="22"/>
        <v>1.0769230769230769E-2</v>
      </c>
      <c r="F59" s="43">
        <f t="shared" si="22"/>
        <v>7.6923076923076927E-3</v>
      </c>
      <c r="G59" s="43">
        <f t="shared" si="22"/>
        <v>0</v>
      </c>
      <c r="H59" s="43">
        <f t="shared" si="22"/>
        <v>1.5384615384615385E-3</v>
      </c>
      <c r="I59" s="43">
        <f t="shared" si="22"/>
        <v>4.3076923076923075E-2</v>
      </c>
      <c r="J59" s="43">
        <f t="shared" si="22"/>
        <v>1.0769230769230769E-2</v>
      </c>
      <c r="K59" s="43">
        <f t="shared" si="22"/>
        <v>0</v>
      </c>
      <c r="L59" s="43">
        <f t="shared" si="22"/>
        <v>0</v>
      </c>
      <c r="M59" s="43">
        <f t="shared" si="22"/>
        <v>0.88615384615384618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0.29729729729729731</v>
      </c>
      <c r="D60" s="44">
        <f t="shared" ref="D60:N60" si="23">D58/$O$58</f>
        <v>5.4054054054054057E-2</v>
      </c>
      <c r="E60" s="44">
        <f t="shared" si="23"/>
        <v>9.45945945945946E-2</v>
      </c>
      <c r="F60" s="44">
        <f t="shared" si="23"/>
        <v>6.7567567567567571E-2</v>
      </c>
      <c r="G60" s="44">
        <f t="shared" si="23"/>
        <v>0</v>
      </c>
      <c r="H60" s="44">
        <f t="shared" si="23"/>
        <v>1.3513513513513514E-2</v>
      </c>
      <c r="I60" s="44">
        <f t="shared" si="23"/>
        <v>0.3783783783783784</v>
      </c>
      <c r="J60" s="44">
        <f t="shared" si="23"/>
        <v>9.45945945945946E-2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zoomScale="60" workbookViewId="0">
      <selection activeCell="AD45" sqref="AD4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'23.10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'23.10 KANONI-MITYANA'!G5:H5</f>
        <v>VICA MAIZE MILLERS</v>
      </c>
      <c r="H5" s="67"/>
      <c r="I5" s="14"/>
      <c r="J5" s="2" t="s">
        <v>5</v>
      </c>
      <c r="K5" s="66" t="s">
        <v>182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'23.10 KANONI-MITYANA'!D6:E6</f>
        <v>KANONI</v>
      </c>
      <c r="E6" s="67"/>
      <c r="F6" s="2" t="s">
        <v>2</v>
      </c>
      <c r="G6" s="66" t="str">
        <f>'23.10 KANONI-MITYANA'!G6:H6</f>
        <v>MITYANA</v>
      </c>
      <c r="H6" s="67"/>
      <c r="J6" s="2" t="s">
        <v>21</v>
      </c>
      <c r="K6" s="66" t="str">
        <f>'23.10 KANONI-MITYANA'!K6:L6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KANONI-MITYANA'!C10,'18.10 KANONI-MITYANA-24h'!C10,'19.10 KANONI-MITYANA-24h'!C10,'20.10 KANONI-MITYANA'!C10,'21.10 KANONI-MITYANA'!C10,'22.10 KANONI-MITYANA'!C10,'23.10 KANONI-MITYANA'!C10)</f>
        <v>0</v>
      </c>
      <c r="D10" s="49">
        <f>AVERAGE('17.10 KANONI-MITYANA'!D10,'18.10 KANONI-MITYANA-24h'!D10,'19.10 KANONI-MITYANA-24h'!D10,'20.10 KANONI-MITYANA'!D10,'21.10 KANONI-MITYANA'!D10,'22.10 KANONI-MITYANA'!D10,'23.10 KANONI-MITYANA'!D10)</f>
        <v>0</v>
      </c>
      <c r="E10" s="49">
        <f>AVERAGE('17.10 KANONI-MITYANA'!E10,'18.10 KANONI-MITYANA-24h'!E10,'19.10 KANONI-MITYANA-24h'!E10,'20.10 KANONI-MITYANA'!E10,'21.10 KANONI-MITYANA'!E10,'22.10 KANONI-MITYANA'!E10,'23.10 KANONI-MITYANA'!E10)</f>
        <v>0</v>
      </c>
      <c r="F10" s="49">
        <f>AVERAGE('17.10 KANONI-MITYANA'!F10,'18.10 KANONI-MITYANA-24h'!F10,'19.10 KANONI-MITYANA-24h'!F10,'20.10 KANONI-MITYANA'!F10,'21.10 KANONI-MITYANA'!F10,'22.10 KANONI-MITYANA'!F10,'23.10 KANONI-MITYANA'!F10)</f>
        <v>0</v>
      </c>
      <c r="G10" s="49">
        <f>AVERAGE('17.10 KANONI-MITYANA'!G10,'18.10 KANONI-MITYANA-24h'!G10,'19.10 KANONI-MITYANA-24h'!G10,'20.10 KANONI-MITYANA'!G10,'21.10 KANONI-MITYANA'!G10,'22.10 KANONI-MITYANA'!G10,'23.10 KANONI-MITYANA'!G10)</f>
        <v>0</v>
      </c>
      <c r="H10" s="49">
        <f>AVERAGE('17.10 KANONI-MITYANA'!H10,'18.10 KANONI-MITYANA-24h'!H10,'19.10 KANONI-MITYANA-24h'!H10,'20.10 KANONI-MITYANA'!H10,'21.10 KANONI-MITYANA'!H10,'22.10 KANONI-MITYANA'!H10,'23.10 KANONI-MITYANA'!H10)</f>
        <v>0</v>
      </c>
      <c r="I10" s="49">
        <f>AVERAGE('17.10 KANONI-MITYANA'!I10,'18.10 KANONI-MITYANA-24h'!I10,'19.10 KANONI-MITYANA-24h'!I10,'20.10 KANONI-MITYANA'!I10,'21.10 KANONI-MITYANA'!I10,'22.10 KANONI-MITYANA'!I10,'23.10 KANONI-MITYANA'!I10)</f>
        <v>0</v>
      </c>
      <c r="J10" s="49">
        <f>AVERAGE('17.10 KANONI-MITYANA'!J10,'18.10 KANONI-MITYANA-24h'!J10,'19.10 KANONI-MITYANA-24h'!J10,'20.10 KANONI-MITYANA'!J10,'21.10 KANONI-MITYANA'!J10,'22.10 KANONI-MITYANA'!J10,'23.10 KANONI-MITYANA'!J10)</f>
        <v>0</v>
      </c>
      <c r="K10" s="49">
        <f>AVERAGE('17.10 KANONI-MITYANA'!K10,'18.10 KANONI-MITYANA-24h'!K10,'19.10 KANONI-MITYANA-24h'!K10,'20.10 KANONI-MITYANA'!K10,'21.10 KANONI-MITYANA'!K10,'22.10 KANONI-MITYANA'!K10,'23.10 KANONI-MITYANA'!K10)</f>
        <v>0</v>
      </c>
      <c r="L10" s="49">
        <f>AVERAGE('17.10 KANONI-MITYANA'!L10,'18.10 KANONI-MITYANA-24h'!L10,'19.10 KANONI-MITYANA-24h'!L10,'20.10 KANONI-MITYANA'!L10,'21.10 KANONI-MITYANA'!L10,'22.10 KANONI-MITYANA'!L10,'23.10 KANONI-MITYANA'!L10)</f>
        <v>0</v>
      </c>
      <c r="M10" s="49">
        <f>AVERAGE('17.10 KANONI-MITYANA'!M10,'18.10 KANONI-MITYANA-24h'!M10,'19.10 KANONI-MITYANA-24h'!M10,'20.10 KANONI-MITYANA'!M10,'21.10 KANONI-MITYANA'!M10,'22.10 KANONI-MITYANA'!M10,'23.10 KANONI-MITYANA'!M10)</f>
        <v>9.2857142857142865</v>
      </c>
      <c r="N10" s="49">
        <f>AVERAGE('17.10 KANONI-MITYANA'!N10,'18.10 KANONI-MITYANA-24h'!N10,'19.10 KANONI-MITYANA-24h'!N10,'20.10 KANONI-MITYANA'!N10,'21.10 KANONI-MITYANA'!N10,'22.10 KANONI-MITYANA'!N10,'23.10 KANONI-MITYANA'!N10)</f>
        <v>0</v>
      </c>
      <c r="O10" s="15">
        <f t="shared" ref="O10:O73" si="0">SUM(C10:L10,N10)</f>
        <v>0</v>
      </c>
      <c r="P10" s="15">
        <f t="shared" ref="P10:P73" si="1">SUM(C10:N10)</f>
        <v>9.2857142857142865</v>
      </c>
      <c r="R10" s="1" t="s">
        <v>6</v>
      </c>
      <c r="S10" s="17">
        <f t="shared" ref="S10:AF10" si="2">SUM(C10:C13)</f>
        <v>1.4285714285714286</v>
      </c>
      <c r="T10" s="17">
        <f t="shared" si="2"/>
        <v>0</v>
      </c>
      <c r="U10" s="17">
        <f t="shared" si="2"/>
        <v>0.14285714285714285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0.71428571428571419</v>
      </c>
      <c r="Z10" s="17">
        <f t="shared" si="2"/>
        <v>0</v>
      </c>
      <c r="AA10" s="17">
        <f t="shared" si="2"/>
        <v>0.14285714285714285</v>
      </c>
      <c r="AB10" s="17">
        <f t="shared" si="2"/>
        <v>0</v>
      </c>
      <c r="AC10" s="17">
        <f t="shared" si="2"/>
        <v>34.285714285714285</v>
      </c>
      <c r="AD10" s="17">
        <f t="shared" si="2"/>
        <v>0</v>
      </c>
      <c r="AE10" s="31">
        <f t="shared" si="2"/>
        <v>2.4285714285714284</v>
      </c>
      <c r="AF10" s="31">
        <f t="shared" si="2"/>
        <v>36.714285714285722</v>
      </c>
    </row>
    <row r="11" spans="2:32" s="6" customFormat="1" ht="23.1" customHeight="1" x14ac:dyDescent="0.25">
      <c r="B11" s="23" t="s">
        <v>38</v>
      </c>
      <c r="C11" s="49">
        <f>AVERAGE('17.10 KANONI-MITYANA'!C11,'18.10 KANONI-MITYANA-24h'!C11,'19.10 KANONI-MITYANA-24h'!C11,'20.10 KANONI-MITYANA'!C11,'21.10 KANONI-MITYANA'!C11,'22.10 KANONI-MITYANA'!C11,'23.10 KANONI-MITYANA'!C11)</f>
        <v>0.14285714285714285</v>
      </c>
      <c r="D11" s="49">
        <f>AVERAGE('17.10 KANONI-MITYANA'!D11,'18.10 KANONI-MITYANA-24h'!D11,'19.10 KANONI-MITYANA-24h'!D11,'20.10 KANONI-MITYANA'!D11,'21.10 KANONI-MITYANA'!D11,'22.10 KANONI-MITYANA'!D11,'23.10 KANONI-MITYANA'!D11)</f>
        <v>0</v>
      </c>
      <c r="E11" s="49">
        <f>AVERAGE('17.10 KANONI-MITYANA'!E11,'18.10 KANONI-MITYANA-24h'!E11,'19.10 KANONI-MITYANA-24h'!E11,'20.10 KANONI-MITYANA'!E11,'21.10 KANONI-MITYANA'!E11,'22.10 KANONI-MITYANA'!E11,'23.10 KANONI-MITYANA'!E11)</f>
        <v>0.14285714285714285</v>
      </c>
      <c r="F11" s="49">
        <f>AVERAGE('17.10 KANONI-MITYANA'!F11,'18.10 KANONI-MITYANA-24h'!F11,'19.10 KANONI-MITYANA-24h'!F11,'20.10 KANONI-MITYANA'!F11,'21.10 KANONI-MITYANA'!F11,'22.10 KANONI-MITYANA'!F11,'23.10 KANONI-MITYANA'!F11)</f>
        <v>0</v>
      </c>
      <c r="G11" s="49">
        <f>AVERAGE('17.10 KANONI-MITYANA'!G11,'18.10 KANONI-MITYANA-24h'!G11,'19.10 KANONI-MITYANA-24h'!G11,'20.10 KANONI-MITYANA'!G11,'21.10 KANONI-MITYANA'!G11,'22.10 KANONI-MITYANA'!G11,'23.10 KANONI-MITYANA'!G11)</f>
        <v>0</v>
      </c>
      <c r="H11" s="49">
        <f>AVERAGE('17.10 KANONI-MITYANA'!H11,'18.10 KANONI-MITYANA-24h'!H11,'19.10 KANONI-MITYANA-24h'!H11,'20.10 KANONI-MITYANA'!H11,'21.10 KANONI-MITYANA'!H11,'22.10 KANONI-MITYANA'!H11,'23.10 KANONI-MITYANA'!H11)</f>
        <v>0</v>
      </c>
      <c r="I11" s="49">
        <f>AVERAGE('17.10 KANONI-MITYANA'!I11,'18.10 KANONI-MITYANA-24h'!I11,'19.10 KANONI-MITYANA-24h'!I11,'20.10 KANONI-MITYANA'!I11,'21.10 KANONI-MITYANA'!I11,'22.10 KANONI-MITYANA'!I11,'23.10 KANONI-MITYANA'!I11)</f>
        <v>0</v>
      </c>
      <c r="J11" s="49">
        <f>AVERAGE('17.10 KANONI-MITYANA'!J11,'18.10 KANONI-MITYANA-24h'!J11,'19.10 KANONI-MITYANA-24h'!J11,'20.10 KANONI-MITYANA'!J11,'21.10 KANONI-MITYANA'!J11,'22.10 KANONI-MITYANA'!J11,'23.10 KANONI-MITYANA'!J11)</f>
        <v>0</v>
      </c>
      <c r="K11" s="49">
        <f>AVERAGE('17.10 KANONI-MITYANA'!K11,'18.10 KANONI-MITYANA-24h'!K11,'19.10 KANONI-MITYANA-24h'!K11,'20.10 KANONI-MITYANA'!K11,'21.10 KANONI-MITYANA'!K11,'22.10 KANONI-MITYANA'!K11,'23.10 KANONI-MITYANA'!K11)</f>
        <v>0</v>
      </c>
      <c r="L11" s="49">
        <f>AVERAGE('17.10 KANONI-MITYANA'!L11,'18.10 KANONI-MITYANA-24h'!L11,'19.10 KANONI-MITYANA-24h'!L11,'20.10 KANONI-MITYANA'!L11,'21.10 KANONI-MITYANA'!L11,'22.10 KANONI-MITYANA'!L11,'23.10 KANONI-MITYANA'!L11)</f>
        <v>0</v>
      </c>
      <c r="M11" s="49">
        <f>AVERAGE('17.10 KANONI-MITYANA'!M11,'18.10 KANONI-MITYANA-24h'!M11,'19.10 KANONI-MITYANA-24h'!M11,'20.10 KANONI-MITYANA'!M11,'21.10 KANONI-MITYANA'!M11,'22.10 KANONI-MITYANA'!M11,'23.10 KANONI-MITYANA'!M11)</f>
        <v>8.2857142857142865</v>
      </c>
      <c r="N11" s="49">
        <f>AVERAGE('17.10 KANONI-MITYANA'!N11,'18.10 KANONI-MITYANA-24h'!N11,'19.10 KANONI-MITYANA-24h'!N11,'20.10 KANONI-MITYANA'!N11,'21.10 KANONI-MITYANA'!N11,'22.10 KANONI-MITYANA'!N11,'23.10 KANONI-MITYANA'!N11)</f>
        <v>0</v>
      </c>
      <c r="O11" s="15">
        <f t="shared" si="0"/>
        <v>0.2857142857142857</v>
      </c>
      <c r="P11" s="15">
        <f t="shared" si="1"/>
        <v>8.571428571428573</v>
      </c>
      <c r="R11" s="1" t="s">
        <v>7</v>
      </c>
      <c r="S11" s="17">
        <f t="shared" ref="S11:AF11" si="3">SUM(C14:C17)</f>
        <v>3.1428571428571428</v>
      </c>
      <c r="T11" s="17">
        <f t="shared" si="3"/>
        <v>0</v>
      </c>
      <c r="U11" s="17">
        <f t="shared" si="3"/>
        <v>0.2857142857142857</v>
      </c>
      <c r="V11" s="17">
        <f t="shared" si="3"/>
        <v>1.857142857142857</v>
      </c>
      <c r="W11" s="17">
        <f t="shared" si="3"/>
        <v>0</v>
      </c>
      <c r="X11" s="17">
        <f t="shared" si="3"/>
        <v>0</v>
      </c>
      <c r="Y11" s="17">
        <f t="shared" si="3"/>
        <v>0.85714285714285698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39.571428571428569</v>
      </c>
      <c r="AD11" s="17">
        <f t="shared" si="3"/>
        <v>0</v>
      </c>
      <c r="AE11" s="31">
        <f t="shared" si="3"/>
        <v>6.1428571428571423</v>
      </c>
      <c r="AF11" s="31">
        <f t="shared" si="3"/>
        <v>45.714285714285715</v>
      </c>
    </row>
    <row r="12" spans="2:32" ht="23.1" customHeight="1" x14ac:dyDescent="0.25">
      <c r="B12" s="23" t="s">
        <v>39</v>
      </c>
      <c r="C12" s="49">
        <f>AVERAGE('17.10 KANONI-MITYANA'!C12,'18.10 KANONI-MITYANA-24h'!C12,'19.10 KANONI-MITYANA-24h'!C12,'20.10 KANONI-MITYANA'!C12,'21.10 KANONI-MITYANA'!C12,'22.10 KANONI-MITYANA'!C12,'23.10 KANONI-MITYANA'!C12)</f>
        <v>0.2857142857142857</v>
      </c>
      <c r="D12" s="49">
        <f>AVERAGE('17.10 KANONI-MITYANA'!D12,'18.10 KANONI-MITYANA-24h'!D12,'19.10 KANONI-MITYANA-24h'!D12,'20.10 KANONI-MITYANA'!D12,'21.10 KANONI-MITYANA'!D12,'22.10 KANONI-MITYANA'!D12,'23.10 KANONI-MITYANA'!D12)</f>
        <v>0</v>
      </c>
      <c r="E12" s="49">
        <f>AVERAGE('17.10 KANONI-MITYANA'!E12,'18.10 KANONI-MITYANA-24h'!E12,'19.10 KANONI-MITYANA-24h'!E12,'20.10 KANONI-MITYANA'!E12,'21.10 KANONI-MITYANA'!E12,'22.10 KANONI-MITYANA'!E12,'23.10 KANONI-MITYANA'!E12)</f>
        <v>0</v>
      </c>
      <c r="F12" s="49">
        <f>AVERAGE('17.10 KANONI-MITYANA'!F12,'18.10 KANONI-MITYANA-24h'!F12,'19.10 KANONI-MITYANA-24h'!F12,'20.10 KANONI-MITYANA'!F12,'21.10 KANONI-MITYANA'!F12,'22.10 KANONI-MITYANA'!F12,'23.10 KANONI-MITYANA'!F12)</f>
        <v>0</v>
      </c>
      <c r="G12" s="49">
        <f>AVERAGE('17.10 KANONI-MITYANA'!G12,'18.10 KANONI-MITYANA-24h'!G12,'19.10 KANONI-MITYANA-24h'!G12,'20.10 KANONI-MITYANA'!G12,'21.10 KANONI-MITYANA'!G12,'22.10 KANONI-MITYANA'!G12,'23.10 KANONI-MITYANA'!G12)</f>
        <v>0</v>
      </c>
      <c r="H12" s="49">
        <f>AVERAGE('17.10 KANONI-MITYANA'!H12,'18.10 KANONI-MITYANA-24h'!H12,'19.10 KANONI-MITYANA-24h'!H12,'20.10 KANONI-MITYANA'!H12,'21.10 KANONI-MITYANA'!H12,'22.10 KANONI-MITYANA'!H12,'23.10 KANONI-MITYANA'!H12)</f>
        <v>0</v>
      </c>
      <c r="I12" s="49">
        <f>AVERAGE('17.10 KANONI-MITYANA'!I12,'18.10 KANONI-MITYANA-24h'!I12,'19.10 KANONI-MITYANA-24h'!I12,'20.10 KANONI-MITYANA'!I12,'21.10 KANONI-MITYANA'!I12,'22.10 KANONI-MITYANA'!I12,'23.10 KANONI-MITYANA'!I12)</f>
        <v>0.42857142857142855</v>
      </c>
      <c r="J12" s="49">
        <f>AVERAGE('17.10 KANONI-MITYANA'!J12,'18.10 KANONI-MITYANA-24h'!J12,'19.10 KANONI-MITYANA-24h'!J12,'20.10 KANONI-MITYANA'!J12,'21.10 KANONI-MITYANA'!J12,'22.10 KANONI-MITYANA'!J12,'23.10 KANONI-MITYANA'!J12)</f>
        <v>0</v>
      </c>
      <c r="K12" s="49">
        <f>AVERAGE('17.10 KANONI-MITYANA'!K12,'18.10 KANONI-MITYANA-24h'!K12,'19.10 KANONI-MITYANA-24h'!K12,'20.10 KANONI-MITYANA'!K12,'21.10 KANONI-MITYANA'!K12,'22.10 KANONI-MITYANA'!K12,'23.10 KANONI-MITYANA'!K12)</f>
        <v>0.14285714285714285</v>
      </c>
      <c r="L12" s="49">
        <f>AVERAGE('17.10 KANONI-MITYANA'!L12,'18.10 KANONI-MITYANA-24h'!L12,'19.10 KANONI-MITYANA-24h'!L12,'20.10 KANONI-MITYANA'!L12,'21.10 KANONI-MITYANA'!L12,'22.10 KANONI-MITYANA'!L12,'23.10 KANONI-MITYANA'!L12)</f>
        <v>0</v>
      </c>
      <c r="M12" s="49">
        <f>AVERAGE('17.10 KANONI-MITYANA'!M12,'18.10 KANONI-MITYANA-24h'!M12,'19.10 KANONI-MITYANA-24h'!M12,'20.10 KANONI-MITYANA'!M12,'21.10 KANONI-MITYANA'!M12,'22.10 KANONI-MITYANA'!M12,'23.10 KANONI-MITYANA'!M12)</f>
        <v>8.8571428571428577</v>
      </c>
      <c r="N12" s="49">
        <f>AVERAGE('17.10 KANONI-MITYANA'!N12,'18.10 KANONI-MITYANA-24h'!N12,'19.10 KANONI-MITYANA-24h'!N12,'20.10 KANONI-MITYANA'!N12,'21.10 KANONI-MITYANA'!N12,'22.10 KANONI-MITYANA'!N12,'23.10 KANONI-MITYANA'!N12)</f>
        <v>0</v>
      </c>
      <c r="O12" s="15">
        <f t="shared" si="0"/>
        <v>0.85714285714285698</v>
      </c>
      <c r="P12" s="15">
        <f t="shared" si="1"/>
        <v>9.7142857142857153</v>
      </c>
      <c r="R12" s="1" t="s">
        <v>8</v>
      </c>
      <c r="S12" s="17">
        <f t="shared" ref="S12:AF12" si="4">SUM(C18:C21)</f>
        <v>3</v>
      </c>
      <c r="T12" s="17">
        <f t="shared" si="4"/>
        <v>0.2857142857142857</v>
      </c>
      <c r="U12" s="17">
        <f t="shared" si="4"/>
        <v>0.42857142857142855</v>
      </c>
      <c r="V12" s="17">
        <f t="shared" si="4"/>
        <v>1.5714285714285714</v>
      </c>
      <c r="W12" s="17">
        <f t="shared" si="4"/>
        <v>0.42857142857142855</v>
      </c>
      <c r="X12" s="17">
        <f t="shared" si="4"/>
        <v>0</v>
      </c>
      <c r="Y12" s="17">
        <f t="shared" si="4"/>
        <v>1.8571428571428572</v>
      </c>
      <c r="Z12" s="17">
        <f t="shared" si="4"/>
        <v>0.14285714285714285</v>
      </c>
      <c r="AA12" s="17">
        <f t="shared" si="4"/>
        <v>0</v>
      </c>
      <c r="AB12" s="17">
        <f t="shared" si="4"/>
        <v>0</v>
      </c>
      <c r="AC12" s="17">
        <f t="shared" si="4"/>
        <v>43.571428571428577</v>
      </c>
      <c r="AD12" s="17">
        <f t="shared" si="4"/>
        <v>0</v>
      </c>
      <c r="AE12" s="31">
        <f t="shared" si="4"/>
        <v>7.7142857142857135</v>
      </c>
      <c r="AF12" s="31">
        <f t="shared" si="4"/>
        <v>51.285714285714285</v>
      </c>
    </row>
    <row r="13" spans="2:32" ht="23.1" customHeight="1" x14ac:dyDescent="0.25">
      <c r="B13" s="23" t="s">
        <v>40</v>
      </c>
      <c r="C13" s="49">
        <f>AVERAGE('17.10 KANONI-MITYANA'!C13,'18.10 KANONI-MITYANA-24h'!C13,'19.10 KANONI-MITYANA-24h'!C13,'20.10 KANONI-MITYANA'!C13,'21.10 KANONI-MITYANA'!C13,'22.10 KANONI-MITYANA'!C13,'23.10 KANONI-MITYANA'!C13)</f>
        <v>1</v>
      </c>
      <c r="D13" s="49">
        <f>AVERAGE('17.10 KANONI-MITYANA'!D13,'18.10 KANONI-MITYANA-24h'!D13,'19.10 KANONI-MITYANA-24h'!D13,'20.10 KANONI-MITYANA'!D13,'21.10 KANONI-MITYANA'!D13,'22.10 KANONI-MITYANA'!D13,'23.10 KANONI-MITYANA'!D13)</f>
        <v>0</v>
      </c>
      <c r="E13" s="49">
        <f>AVERAGE('17.10 KANONI-MITYANA'!E13,'18.10 KANONI-MITYANA-24h'!E13,'19.10 KANONI-MITYANA-24h'!E13,'20.10 KANONI-MITYANA'!E13,'21.10 KANONI-MITYANA'!E13,'22.10 KANONI-MITYANA'!E13,'23.10 KANONI-MITYANA'!E13)</f>
        <v>0</v>
      </c>
      <c r="F13" s="49">
        <f>AVERAGE('17.10 KANONI-MITYANA'!F13,'18.10 KANONI-MITYANA-24h'!F13,'19.10 KANONI-MITYANA-24h'!F13,'20.10 KANONI-MITYANA'!F13,'21.10 KANONI-MITYANA'!F13,'22.10 KANONI-MITYANA'!F13,'23.10 KANONI-MITYANA'!F13)</f>
        <v>0</v>
      </c>
      <c r="G13" s="49">
        <f>AVERAGE('17.10 KANONI-MITYANA'!G13,'18.10 KANONI-MITYANA-24h'!G13,'19.10 KANONI-MITYANA-24h'!G13,'20.10 KANONI-MITYANA'!G13,'21.10 KANONI-MITYANA'!G13,'22.10 KANONI-MITYANA'!G13,'23.10 KANONI-MITYANA'!G13)</f>
        <v>0</v>
      </c>
      <c r="H13" s="49">
        <f>AVERAGE('17.10 KANONI-MITYANA'!H13,'18.10 KANONI-MITYANA-24h'!H13,'19.10 KANONI-MITYANA-24h'!H13,'20.10 KANONI-MITYANA'!H13,'21.10 KANONI-MITYANA'!H13,'22.10 KANONI-MITYANA'!H13,'23.10 KANONI-MITYANA'!H13)</f>
        <v>0</v>
      </c>
      <c r="I13" s="49">
        <f>AVERAGE('17.10 KANONI-MITYANA'!I13,'18.10 KANONI-MITYANA-24h'!I13,'19.10 KANONI-MITYANA-24h'!I13,'20.10 KANONI-MITYANA'!I13,'21.10 KANONI-MITYANA'!I13,'22.10 KANONI-MITYANA'!I13,'23.10 KANONI-MITYANA'!I13)</f>
        <v>0.2857142857142857</v>
      </c>
      <c r="J13" s="49">
        <f>AVERAGE('17.10 KANONI-MITYANA'!J13,'18.10 KANONI-MITYANA-24h'!J13,'19.10 KANONI-MITYANA-24h'!J13,'20.10 KANONI-MITYANA'!J13,'21.10 KANONI-MITYANA'!J13,'22.10 KANONI-MITYANA'!J13,'23.10 KANONI-MITYANA'!J13)</f>
        <v>0</v>
      </c>
      <c r="K13" s="49">
        <f>AVERAGE('17.10 KANONI-MITYANA'!K13,'18.10 KANONI-MITYANA-24h'!K13,'19.10 KANONI-MITYANA-24h'!K13,'20.10 KANONI-MITYANA'!K13,'21.10 KANONI-MITYANA'!K13,'22.10 KANONI-MITYANA'!K13,'23.10 KANONI-MITYANA'!K13)</f>
        <v>0</v>
      </c>
      <c r="L13" s="49">
        <f>AVERAGE('17.10 KANONI-MITYANA'!L13,'18.10 KANONI-MITYANA-24h'!L13,'19.10 KANONI-MITYANA-24h'!L13,'20.10 KANONI-MITYANA'!L13,'21.10 KANONI-MITYANA'!L13,'22.10 KANONI-MITYANA'!L13,'23.10 KANONI-MITYANA'!L13)</f>
        <v>0</v>
      </c>
      <c r="M13" s="49">
        <f>AVERAGE('17.10 KANONI-MITYANA'!M13,'18.10 KANONI-MITYANA-24h'!M13,'19.10 KANONI-MITYANA-24h'!M13,'20.10 KANONI-MITYANA'!M13,'21.10 KANONI-MITYANA'!M13,'22.10 KANONI-MITYANA'!M13,'23.10 KANONI-MITYANA'!M13)</f>
        <v>7.8571428571428568</v>
      </c>
      <c r="N13" s="49">
        <f>AVERAGE('17.10 KANONI-MITYANA'!N13,'18.10 KANONI-MITYANA-24h'!N13,'19.10 KANONI-MITYANA-24h'!N13,'20.10 KANONI-MITYANA'!N13,'21.10 KANONI-MITYANA'!N13,'22.10 KANONI-MITYANA'!N13,'23.10 KANONI-MITYANA'!N13)</f>
        <v>0</v>
      </c>
      <c r="O13" s="15">
        <f t="shared" si="0"/>
        <v>1.2857142857142856</v>
      </c>
      <c r="P13" s="15">
        <f t="shared" si="1"/>
        <v>9.1428571428571423</v>
      </c>
      <c r="R13" s="1" t="s">
        <v>9</v>
      </c>
      <c r="S13" s="17">
        <f t="shared" ref="S13:AF13" si="5">SUM(C22:C25)</f>
        <v>1.7142857142857142</v>
      </c>
      <c r="T13" s="17">
        <f t="shared" si="5"/>
        <v>0.2857142857142857</v>
      </c>
      <c r="U13" s="17">
        <f t="shared" si="5"/>
        <v>0.2857142857142857</v>
      </c>
      <c r="V13" s="17">
        <f t="shared" si="5"/>
        <v>0.5714285714285714</v>
      </c>
      <c r="W13" s="17">
        <f t="shared" si="5"/>
        <v>0</v>
      </c>
      <c r="X13" s="17">
        <f t="shared" si="5"/>
        <v>0</v>
      </c>
      <c r="Y13" s="17">
        <f t="shared" si="5"/>
        <v>1.1428571428571428</v>
      </c>
      <c r="Z13" s="17">
        <f t="shared" si="5"/>
        <v>0.42857142857142855</v>
      </c>
      <c r="AA13" s="17">
        <f t="shared" si="5"/>
        <v>0.2857142857142857</v>
      </c>
      <c r="AB13" s="17">
        <f t="shared" si="5"/>
        <v>0</v>
      </c>
      <c r="AC13" s="17">
        <f t="shared" si="5"/>
        <v>53</v>
      </c>
      <c r="AD13" s="17">
        <f t="shared" si="5"/>
        <v>0</v>
      </c>
      <c r="AE13" s="31">
        <f t="shared" si="5"/>
        <v>4.7142857142857135</v>
      </c>
      <c r="AF13" s="31">
        <f t="shared" si="5"/>
        <v>57.714285714285708</v>
      </c>
    </row>
    <row r="14" spans="2:32" ht="23.1" customHeight="1" x14ac:dyDescent="0.25">
      <c r="B14" s="23" t="s">
        <v>41</v>
      </c>
      <c r="C14" s="49">
        <f>AVERAGE('17.10 KANONI-MITYANA'!C14,'18.10 KANONI-MITYANA-24h'!C14,'19.10 KANONI-MITYANA-24h'!C14,'20.10 KANONI-MITYANA'!C14,'21.10 KANONI-MITYANA'!C14,'22.10 KANONI-MITYANA'!C14,'23.10 KANONI-MITYANA'!C14)</f>
        <v>0.42857142857142855</v>
      </c>
      <c r="D14" s="49">
        <f>AVERAGE('17.10 KANONI-MITYANA'!D14,'18.10 KANONI-MITYANA-24h'!D14,'19.10 KANONI-MITYANA-24h'!D14,'20.10 KANONI-MITYANA'!D14,'21.10 KANONI-MITYANA'!D14,'22.10 KANONI-MITYANA'!D14,'23.10 KANONI-MITYANA'!D14)</f>
        <v>0</v>
      </c>
      <c r="E14" s="49">
        <f>AVERAGE('17.10 KANONI-MITYANA'!E14,'18.10 KANONI-MITYANA-24h'!E14,'19.10 KANONI-MITYANA-24h'!E14,'20.10 KANONI-MITYANA'!E14,'21.10 KANONI-MITYANA'!E14,'22.10 KANONI-MITYANA'!E14,'23.10 KANONI-MITYANA'!E14)</f>
        <v>0.14285714285714285</v>
      </c>
      <c r="F14" s="49">
        <f>AVERAGE('17.10 KANONI-MITYANA'!F14,'18.10 KANONI-MITYANA-24h'!F14,'19.10 KANONI-MITYANA-24h'!F14,'20.10 KANONI-MITYANA'!F14,'21.10 KANONI-MITYANA'!F14,'22.10 KANONI-MITYANA'!F14,'23.10 KANONI-MITYANA'!F14)</f>
        <v>0.5714285714285714</v>
      </c>
      <c r="G14" s="49">
        <f>AVERAGE('17.10 KANONI-MITYANA'!G14,'18.10 KANONI-MITYANA-24h'!G14,'19.10 KANONI-MITYANA-24h'!G14,'20.10 KANONI-MITYANA'!G14,'21.10 KANONI-MITYANA'!G14,'22.10 KANONI-MITYANA'!G14,'23.10 KANONI-MITYANA'!G14)</f>
        <v>0</v>
      </c>
      <c r="H14" s="49">
        <f>AVERAGE('17.10 KANONI-MITYANA'!H14,'18.10 KANONI-MITYANA-24h'!H14,'19.10 KANONI-MITYANA-24h'!H14,'20.10 KANONI-MITYANA'!H14,'21.10 KANONI-MITYANA'!H14,'22.10 KANONI-MITYANA'!H14,'23.10 KANONI-MITYANA'!H14)</f>
        <v>0</v>
      </c>
      <c r="I14" s="49">
        <f>AVERAGE('17.10 KANONI-MITYANA'!I14,'18.10 KANONI-MITYANA-24h'!I14,'19.10 KANONI-MITYANA-24h'!I14,'20.10 KANONI-MITYANA'!I14,'21.10 KANONI-MITYANA'!I14,'22.10 KANONI-MITYANA'!I14,'23.10 KANONI-MITYANA'!I14)</f>
        <v>0.42857142857142855</v>
      </c>
      <c r="J14" s="49">
        <f>AVERAGE('17.10 KANONI-MITYANA'!J14,'18.10 KANONI-MITYANA-24h'!J14,'19.10 KANONI-MITYANA-24h'!J14,'20.10 KANONI-MITYANA'!J14,'21.10 KANONI-MITYANA'!J14,'22.10 KANONI-MITYANA'!J14,'23.10 KANONI-MITYANA'!J14)</f>
        <v>0</v>
      </c>
      <c r="K14" s="49">
        <f>AVERAGE('17.10 KANONI-MITYANA'!K14,'18.10 KANONI-MITYANA-24h'!K14,'19.10 KANONI-MITYANA-24h'!K14,'20.10 KANONI-MITYANA'!K14,'21.10 KANONI-MITYANA'!K14,'22.10 KANONI-MITYANA'!K14,'23.10 KANONI-MITYANA'!K14)</f>
        <v>0</v>
      </c>
      <c r="L14" s="49">
        <f>AVERAGE('17.10 KANONI-MITYANA'!L14,'18.10 KANONI-MITYANA-24h'!L14,'19.10 KANONI-MITYANA-24h'!L14,'20.10 KANONI-MITYANA'!L14,'21.10 KANONI-MITYANA'!L14,'22.10 KANONI-MITYANA'!L14,'23.10 KANONI-MITYANA'!L14)</f>
        <v>0</v>
      </c>
      <c r="M14" s="49">
        <f>AVERAGE('17.10 KANONI-MITYANA'!M14,'18.10 KANONI-MITYANA-24h'!M14,'19.10 KANONI-MITYANA-24h'!M14,'20.10 KANONI-MITYANA'!M14,'21.10 KANONI-MITYANA'!M14,'22.10 KANONI-MITYANA'!M14,'23.10 KANONI-MITYANA'!M14)</f>
        <v>8.7142857142857135</v>
      </c>
      <c r="N14" s="49">
        <f>AVERAGE('17.10 KANONI-MITYANA'!N14,'18.10 KANONI-MITYANA-24h'!N14,'19.10 KANONI-MITYANA-24h'!N14,'20.10 KANONI-MITYANA'!N14,'21.10 KANONI-MITYANA'!N14,'22.10 KANONI-MITYANA'!N14,'23.10 KANONI-MITYANA'!N14)</f>
        <v>0</v>
      </c>
      <c r="O14" s="15">
        <f t="shared" si="0"/>
        <v>1.5714285714285714</v>
      </c>
      <c r="P14" s="15">
        <f t="shared" si="1"/>
        <v>10.285714285714285</v>
      </c>
      <c r="R14" s="1" t="s">
        <v>10</v>
      </c>
      <c r="S14" s="17">
        <f t="shared" ref="S14:AF14" si="6">SUM(C26:C29)</f>
        <v>0.8571428571428571</v>
      </c>
      <c r="T14" s="17">
        <f t="shared" si="6"/>
        <v>0.2857142857142857</v>
      </c>
      <c r="U14" s="17">
        <f t="shared" si="6"/>
        <v>0.99999999999999978</v>
      </c>
      <c r="V14" s="17">
        <f t="shared" si="6"/>
        <v>0.42857142857142855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0.71428571428571419</v>
      </c>
      <c r="AA14" s="17">
        <f t="shared" si="6"/>
        <v>0</v>
      </c>
      <c r="AB14" s="17">
        <f t="shared" si="6"/>
        <v>0</v>
      </c>
      <c r="AC14" s="17">
        <f t="shared" si="6"/>
        <v>45.714285714285715</v>
      </c>
      <c r="AD14" s="17">
        <f t="shared" si="6"/>
        <v>0</v>
      </c>
      <c r="AE14" s="31">
        <f t="shared" si="6"/>
        <v>5.2857142857142847</v>
      </c>
      <c r="AF14" s="31">
        <f t="shared" si="6"/>
        <v>51</v>
      </c>
    </row>
    <row r="15" spans="2:32" ht="23.1" customHeight="1" x14ac:dyDescent="0.25">
      <c r="B15" s="23" t="s">
        <v>42</v>
      </c>
      <c r="C15" s="49">
        <f>AVERAGE('17.10 KANONI-MITYANA'!C15,'18.10 KANONI-MITYANA-24h'!C15,'19.10 KANONI-MITYANA-24h'!C15,'20.10 KANONI-MITYANA'!C15,'21.10 KANONI-MITYANA'!C15,'22.10 KANONI-MITYANA'!C15,'23.10 KANONI-MITYANA'!C15)</f>
        <v>1.5714285714285714</v>
      </c>
      <c r="D15" s="49">
        <f>AVERAGE('17.10 KANONI-MITYANA'!D15,'18.10 KANONI-MITYANA-24h'!D15,'19.10 KANONI-MITYANA-24h'!D15,'20.10 KANONI-MITYANA'!D15,'21.10 KANONI-MITYANA'!D15,'22.10 KANONI-MITYANA'!D15,'23.10 KANONI-MITYANA'!D15)</f>
        <v>0</v>
      </c>
      <c r="E15" s="49">
        <f>AVERAGE('17.10 KANONI-MITYANA'!E15,'18.10 KANONI-MITYANA-24h'!E15,'19.10 KANONI-MITYANA-24h'!E15,'20.10 KANONI-MITYANA'!E15,'21.10 KANONI-MITYANA'!E15,'22.10 KANONI-MITYANA'!E15,'23.10 KANONI-MITYANA'!E15)</f>
        <v>0</v>
      </c>
      <c r="F15" s="49">
        <f>AVERAGE('17.10 KANONI-MITYANA'!F15,'18.10 KANONI-MITYANA-24h'!F15,'19.10 KANONI-MITYANA-24h'!F15,'20.10 KANONI-MITYANA'!F15,'21.10 KANONI-MITYANA'!F15,'22.10 KANONI-MITYANA'!F15,'23.10 KANONI-MITYANA'!F15)</f>
        <v>0.5714285714285714</v>
      </c>
      <c r="G15" s="49">
        <f>AVERAGE('17.10 KANONI-MITYANA'!G15,'18.10 KANONI-MITYANA-24h'!G15,'19.10 KANONI-MITYANA-24h'!G15,'20.10 KANONI-MITYANA'!G15,'21.10 KANONI-MITYANA'!G15,'22.10 KANONI-MITYANA'!G15,'23.10 KANONI-MITYANA'!G15)</f>
        <v>0</v>
      </c>
      <c r="H15" s="49">
        <f>AVERAGE('17.10 KANONI-MITYANA'!H15,'18.10 KANONI-MITYANA-24h'!H15,'19.10 KANONI-MITYANA-24h'!H15,'20.10 KANONI-MITYANA'!H15,'21.10 KANONI-MITYANA'!H15,'22.10 KANONI-MITYANA'!H15,'23.10 KANONI-MITYANA'!H15)</f>
        <v>0</v>
      </c>
      <c r="I15" s="49">
        <f>AVERAGE('17.10 KANONI-MITYANA'!I15,'18.10 KANONI-MITYANA-24h'!I15,'19.10 KANONI-MITYANA-24h'!I15,'20.10 KANONI-MITYANA'!I15,'21.10 KANONI-MITYANA'!I15,'22.10 KANONI-MITYANA'!I15,'23.10 KANONI-MITYANA'!I15)</f>
        <v>0.14285714285714285</v>
      </c>
      <c r="J15" s="49">
        <f>AVERAGE('17.10 KANONI-MITYANA'!J15,'18.10 KANONI-MITYANA-24h'!J15,'19.10 KANONI-MITYANA-24h'!J15,'20.10 KANONI-MITYANA'!J15,'21.10 KANONI-MITYANA'!J15,'22.10 KANONI-MITYANA'!J15,'23.10 KANONI-MITYANA'!J15)</f>
        <v>0</v>
      </c>
      <c r="K15" s="49">
        <f>AVERAGE('17.10 KANONI-MITYANA'!K15,'18.10 KANONI-MITYANA-24h'!K15,'19.10 KANONI-MITYANA-24h'!K15,'20.10 KANONI-MITYANA'!K15,'21.10 KANONI-MITYANA'!K15,'22.10 KANONI-MITYANA'!K15,'23.10 KANONI-MITYANA'!K15)</f>
        <v>0</v>
      </c>
      <c r="L15" s="49">
        <f>AVERAGE('17.10 KANONI-MITYANA'!L15,'18.10 KANONI-MITYANA-24h'!L15,'19.10 KANONI-MITYANA-24h'!L15,'20.10 KANONI-MITYANA'!L15,'21.10 KANONI-MITYANA'!L15,'22.10 KANONI-MITYANA'!L15,'23.10 KANONI-MITYANA'!L15)</f>
        <v>0</v>
      </c>
      <c r="M15" s="49">
        <f>AVERAGE('17.10 KANONI-MITYANA'!M15,'18.10 KANONI-MITYANA-24h'!M15,'19.10 KANONI-MITYANA-24h'!M15,'20.10 KANONI-MITYANA'!M15,'21.10 KANONI-MITYANA'!M15,'22.10 KANONI-MITYANA'!M15,'23.10 KANONI-MITYANA'!M15)</f>
        <v>10.142857142857142</v>
      </c>
      <c r="N15" s="49">
        <f>AVERAGE('17.10 KANONI-MITYANA'!N15,'18.10 KANONI-MITYANA-24h'!N15,'19.10 KANONI-MITYANA-24h'!N15,'20.10 KANONI-MITYANA'!N15,'21.10 KANONI-MITYANA'!N15,'22.10 KANONI-MITYANA'!N15,'23.10 KANONI-MITYANA'!N15)</f>
        <v>0</v>
      </c>
      <c r="O15" s="15">
        <f t="shared" si="0"/>
        <v>2.2857142857142856</v>
      </c>
      <c r="P15" s="15">
        <f t="shared" si="1"/>
        <v>12.428571428571427</v>
      </c>
      <c r="R15" s="1" t="s">
        <v>11</v>
      </c>
      <c r="S15" s="17">
        <f t="shared" ref="S15:AF15" si="7">SUM(C30:C33)</f>
        <v>1.5714285714285714</v>
      </c>
      <c r="T15" s="17">
        <f t="shared" si="7"/>
        <v>0.14285714285714285</v>
      </c>
      <c r="U15" s="17">
        <f t="shared" si="7"/>
        <v>0.5714285714285714</v>
      </c>
      <c r="V15" s="17">
        <f t="shared" si="7"/>
        <v>0.42857142857142855</v>
      </c>
      <c r="W15" s="17">
        <f t="shared" si="7"/>
        <v>0.14285714285714285</v>
      </c>
      <c r="X15" s="17">
        <f t="shared" si="7"/>
        <v>0</v>
      </c>
      <c r="Y15" s="17">
        <f t="shared" si="7"/>
        <v>2</v>
      </c>
      <c r="Z15" s="17">
        <f t="shared" si="7"/>
        <v>0.5714285714285714</v>
      </c>
      <c r="AA15" s="17">
        <f t="shared" si="7"/>
        <v>0</v>
      </c>
      <c r="AB15" s="17">
        <f t="shared" si="7"/>
        <v>0</v>
      </c>
      <c r="AC15" s="17">
        <f t="shared" si="7"/>
        <v>52</v>
      </c>
      <c r="AD15" s="17">
        <f t="shared" si="7"/>
        <v>0</v>
      </c>
      <c r="AE15" s="31">
        <f t="shared" si="7"/>
        <v>5.428571428571427</v>
      </c>
      <c r="AF15" s="31">
        <f t="shared" si="7"/>
        <v>57.428571428571431</v>
      </c>
    </row>
    <row r="16" spans="2:32" ht="23.1" customHeight="1" x14ac:dyDescent="0.25">
      <c r="B16" s="23" t="s">
        <v>43</v>
      </c>
      <c r="C16" s="49">
        <f>AVERAGE('17.10 KANONI-MITYANA'!C16,'18.10 KANONI-MITYANA-24h'!C16,'19.10 KANONI-MITYANA-24h'!C16,'20.10 KANONI-MITYANA'!C16,'21.10 KANONI-MITYANA'!C16,'22.10 KANONI-MITYANA'!C16,'23.10 KANONI-MITYANA'!C16)</f>
        <v>0.7142857142857143</v>
      </c>
      <c r="D16" s="49">
        <f>AVERAGE('17.10 KANONI-MITYANA'!D16,'18.10 KANONI-MITYANA-24h'!D16,'19.10 KANONI-MITYANA-24h'!D16,'20.10 KANONI-MITYANA'!D16,'21.10 KANONI-MITYANA'!D16,'22.10 KANONI-MITYANA'!D16,'23.10 KANONI-MITYANA'!D16)</f>
        <v>0</v>
      </c>
      <c r="E16" s="49">
        <f>AVERAGE('17.10 KANONI-MITYANA'!E16,'18.10 KANONI-MITYANA-24h'!E16,'19.10 KANONI-MITYANA-24h'!E16,'20.10 KANONI-MITYANA'!E16,'21.10 KANONI-MITYANA'!E16,'22.10 KANONI-MITYANA'!E16,'23.10 KANONI-MITYANA'!E16)</f>
        <v>0</v>
      </c>
      <c r="F16" s="49">
        <f>AVERAGE('17.10 KANONI-MITYANA'!F16,'18.10 KANONI-MITYANA-24h'!F16,'19.10 KANONI-MITYANA-24h'!F16,'20.10 KANONI-MITYANA'!F16,'21.10 KANONI-MITYANA'!F16,'22.10 KANONI-MITYANA'!F16,'23.10 KANONI-MITYANA'!F16)</f>
        <v>0.2857142857142857</v>
      </c>
      <c r="G16" s="49">
        <f>AVERAGE('17.10 KANONI-MITYANA'!G16,'18.10 KANONI-MITYANA-24h'!G16,'19.10 KANONI-MITYANA-24h'!G16,'20.10 KANONI-MITYANA'!G16,'21.10 KANONI-MITYANA'!G16,'22.10 KANONI-MITYANA'!G16,'23.10 KANONI-MITYANA'!G16)</f>
        <v>0</v>
      </c>
      <c r="H16" s="49">
        <f>AVERAGE('17.10 KANONI-MITYANA'!H16,'18.10 KANONI-MITYANA-24h'!H16,'19.10 KANONI-MITYANA-24h'!H16,'20.10 KANONI-MITYANA'!H16,'21.10 KANONI-MITYANA'!H16,'22.10 KANONI-MITYANA'!H16,'23.10 KANONI-MITYANA'!H16)</f>
        <v>0</v>
      </c>
      <c r="I16" s="49">
        <f>AVERAGE('17.10 KANONI-MITYANA'!I16,'18.10 KANONI-MITYANA-24h'!I16,'19.10 KANONI-MITYANA-24h'!I16,'20.10 KANONI-MITYANA'!I16,'21.10 KANONI-MITYANA'!I16,'22.10 KANONI-MITYANA'!I16,'23.10 KANONI-MITYANA'!I16)</f>
        <v>0.14285714285714285</v>
      </c>
      <c r="J16" s="49">
        <f>AVERAGE('17.10 KANONI-MITYANA'!J16,'18.10 KANONI-MITYANA-24h'!J16,'19.10 KANONI-MITYANA-24h'!J16,'20.10 KANONI-MITYANA'!J16,'21.10 KANONI-MITYANA'!J16,'22.10 KANONI-MITYANA'!J16,'23.10 KANONI-MITYANA'!J16)</f>
        <v>0</v>
      </c>
      <c r="K16" s="49">
        <f>AVERAGE('17.10 KANONI-MITYANA'!K16,'18.10 KANONI-MITYANA-24h'!K16,'19.10 KANONI-MITYANA-24h'!K16,'20.10 KANONI-MITYANA'!K16,'21.10 KANONI-MITYANA'!K16,'22.10 KANONI-MITYANA'!K16,'23.10 KANONI-MITYANA'!K16)</f>
        <v>0</v>
      </c>
      <c r="L16" s="49">
        <f>AVERAGE('17.10 KANONI-MITYANA'!L16,'18.10 KANONI-MITYANA-24h'!L16,'19.10 KANONI-MITYANA-24h'!L16,'20.10 KANONI-MITYANA'!L16,'21.10 KANONI-MITYANA'!L16,'22.10 KANONI-MITYANA'!L16,'23.10 KANONI-MITYANA'!L16)</f>
        <v>0</v>
      </c>
      <c r="M16" s="49">
        <f>AVERAGE('17.10 KANONI-MITYANA'!M16,'18.10 KANONI-MITYANA-24h'!M16,'19.10 KANONI-MITYANA-24h'!M16,'20.10 KANONI-MITYANA'!M16,'21.10 KANONI-MITYANA'!M16,'22.10 KANONI-MITYANA'!M16,'23.10 KANONI-MITYANA'!M16)</f>
        <v>10.428571428571429</v>
      </c>
      <c r="N16" s="49">
        <f>AVERAGE('17.10 KANONI-MITYANA'!N16,'18.10 KANONI-MITYANA-24h'!N16,'19.10 KANONI-MITYANA-24h'!N16,'20.10 KANONI-MITYANA'!N16,'21.10 KANONI-MITYANA'!N16,'22.10 KANONI-MITYANA'!N16,'23.10 KANONI-MITYANA'!N16)</f>
        <v>0</v>
      </c>
      <c r="O16" s="15">
        <f t="shared" si="0"/>
        <v>1.1428571428571428</v>
      </c>
      <c r="P16" s="15">
        <f t="shared" si="1"/>
        <v>11.571428571428571</v>
      </c>
      <c r="R16" s="1" t="s">
        <v>12</v>
      </c>
      <c r="S16" s="17">
        <f t="shared" ref="S16:AF16" si="8">SUM(C34:C37)</f>
        <v>2</v>
      </c>
      <c r="T16" s="17">
        <f t="shared" si="8"/>
        <v>0.5714285714285714</v>
      </c>
      <c r="U16" s="17">
        <f t="shared" si="8"/>
        <v>0.71428571428571419</v>
      </c>
      <c r="V16" s="17">
        <f t="shared" si="8"/>
        <v>0.5714285714285714</v>
      </c>
      <c r="W16" s="17">
        <f t="shared" si="8"/>
        <v>0</v>
      </c>
      <c r="X16" s="17">
        <f t="shared" si="8"/>
        <v>0</v>
      </c>
      <c r="Y16" s="17">
        <f t="shared" si="8"/>
        <v>1.5714285714285712</v>
      </c>
      <c r="Z16" s="17">
        <f t="shared" si="8"/>
        <v>0.14285714285714285</v>
      </c>
      <c r="AA16" s="17">
        <f t="shared" si="8"/>
        <v>0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1">
        <f t="shared" si="8"/>
        <v>5.5714285714285712</v>
      </c>
      <c r="AF16" s="31">
        <f t="shared" si="8"/>
        <v>53.571428571428569</v>
      </c>
    </row>
    <row r="17" spans="2:32" ht="23.1" customHeight="1" x14ac:dyDescent="0.25">
      <c r="B17" s="23" t="s">
        <v>44</v>
      </c>
      <c r="C17" s="49">
        <f>AVERAGE('17.10 KANONI-MITYANA'!C17,'18.10 KANONI-MITYANA-24h'!C17,'19.10 KANONI-MITYANA-24h'!C17,'20.10 KANONI-MITYANA'!C17,'21.10 KANONI-MITYANA'!C17,'22.10 KANONI-MITYANA'!C17,'23.10 KANONI-MITYANA'!C17)</f>
        <v>0.42857142857142855</v>
      </c>
      <c r="D17" s="49">
        <f>AVERAGE('17.10 KANONI-MITYANA'!D17,'18.10 KANONI-MITYANA-24h'!D17,'19.10 KANONI-MITYANA-24h'!D17,'20.10 KANONI-MITYANA'!D17,'21.10 KANONI-MITYANA'!D17,'22.10 KANONI-MITYANA'!D17,'23.10 KANONI-MITYANA'!D17)</f>
        <v>0</v>
      </c>
      <c r="E17" s="49">
        <f>AVERAGE('17.10 KANONI-MITYANA'!E17,'18.10 KANONI-MITYANA-24h'!E17,'19.10 KANONI-MITYANA-24h'!E17,'20.10 KANONI-MITYANA'!E17,'21.10 KANONI-MITYANA'!E17,'22.10 KANONI-MITYANA'!E17,'23.10 KANONI-MITYANA'!E17)</f>
        <v>0.14285714285714285</v>
      </c>
      <c r="F17" s="49">
        <f>AVERAGE('17.10 KANONI-MITYANA'!F17,'18.10 KANONI-MITYANA-24h'!F17,'19.10 KANONI-MITYANA-24h'!F17,'20.10 KANONI-MITYANA'!F17,'21.10 KANONI-MITYANA'!F17,'22.10 KANONI-MITYANA'!F17,'23.10 KANONI-MITYANA'!F17)</f>
        <v>0.42857142857142855</v>
      </c>
      <c r="G17" s="49">
        <f>AVERAGE('17.10 KANONI-MITYANA'!G17,'18.10 KANONI-MITYANA-24h'!G17,'19.10 KANONI-MITYANA-24h'!G17,'20.10 KANONI-MITYANA'!G17,'21.10 KANONI-MITYANA'!G17,'22.10 KANONI-MITYANA'!G17,'23.10 KANONI-MITYANA'!G17)</f>
        <v>0</v>
      </c>
      <c r="H17" s="49">
        <f>AVERAGE('17.10 KANONI-MITYANA'!H17,'18.10 KANONI-MITYANA-24h'!H17,'19.10 KANONI-MITYANA-24h'!H17,'20.10 KANONI-MITYANA'!H17,'21.10 KANONI-MITYANA'!H17,'22.10 KANONI-MITYANA'!H17,'23.10 KANONI-MITYANA'!H17)</f>
        <v>0</v>
      </c>
      <c r="I17" s="49">
        <f>AVERAGE('17.10 KANONI-MITYANA'!I17,'18.10 KANONI-MITYANA-24h'!I17,'19.10 KANONI-MITYANA-24h'!I17,'20.10 KANONI-MITYANA'!I17,'21.10 KANONI-MITYANA'!I17,'22.10 KANONI-MITYANA'!I17,'23.10 KANONI-MITYANA'!I17)</f>
        <v>0.14285714285714285</v>
      </c>
      <c r="J17" s="49">
        <f>AVERAGE('17.10 KANONI-MITYANA'!J17,'18.10 KANONI-MITYANA-24h'!J17,'19.10 KANONI-MITYANA-24h'!J17,'20.10 KANONI-MITYANA'!J17,'21.10 KANONI-MITYANA'!J17,'22.10 KANONI-MITYANA'!J17,'23.10 KANONI-MITYANA'!J17)</f>
        <v>0</v>
      </c>
      <c r="K17" s="49">
        <f>AVERAGE('17.10 KANONI-MITYANA'!K17,'18.10 KANONI-MITYANA-24h'!K17,'19.10 KANONI-MITYANA-24h'!K17,'20.10 KANONI-MITYANA'!K17,'21.10 KANONI-MITYANA'!K17,'22.10 KANONI-MITYANA'!K17,'23.10 KANONI-MITYANA'!K17)</f>
        <v>0</v>
      </c>
      <c r="L17" s="49">
        <f>AVERAGE('17.10 KANONI-MITYANA'!L17,'18.10 KANONI-MITYANA-24h'!L17,'19.10 KANONI-MITYANA-24h'!L17,'20.10 KANONI-MITYANA'!L17,'21.10 KANONI-MITYANA'!L17,'22.10 KANONI-MITYANA'!L17,'23.10 KANONI-MITYANA'!L17)</f>
        <v>0</v>
      </c>
      <c r="M17" s="49">
        <f>AVERAGE('17.10 KANONI-MITYANA'!M17,'18.10 KANONI-MITYANA-24h'!M17,'19.10 KANONI-MITYANA-24h'!M17,'20.10 KANONI-MITYANA'!M17,'21.10 KANONI-MITYANA'!M17,'22.10 KANONI-MITYANA'!M17,'23.10 KANONI-MITYANA'!M17)</f>
        <v>10.285714285714286</v>
      </c>
      <c r="N17" s="49">
        <f>AVERAGE('17.10 KANONI-MITYANA'!N17,'18.10 KANONI-MITYANA-24h'!N17,'19.10 KANONI-MITYANA-24h'!N17,'20.10 KANONI-MITYANA'!N17,'21.10 KANONI-MITYANA'!N17,'22.10 KANONI-MITYANA'!N17,'23.10 KANONI-MITYANA'!N17)</f>
        <v>0</v>
      </c>
      <c r="O17" s="15">
        <f t="shared" si="0"/>
        <v>1.1428571428571428</v>
      </c>
      <c r="P17" s="15">
        <f t="shared" si="1"/>
        <v>11.428571428571429</v>
      </c>
      <c r="R17" s="1" t="s">
        <v>13</v>
      </c>
      <c r="S17" s="17">
        <f t="shared" ref="S17:AF17" si="9">SUM(C38:C41)</f>
        <v>3.5714285714285712</v>
      </c>
      <c r="T17" s="17">
        <f t="shared" si="9"/>
        <v>1.7142857142857142</v>
      </c>
      <c r="U17" s="17">
        <f t="shared" si="9"/>
        <v>0.71428571428571419</v>
      </c>
      <c r="V17" s="17">
        <f t="shared" si="9"/>
        <v>0.71428571428571419</v>
      </c>
      <c r="W17" s="17">
        <f t="shared" si="9"/>
        <v>0.14285714285714285</v>
      </c>
      <c r="X17" s="17">
        <f t="shared" si="9"/>
        <v>0</v>
      </c>
      <c r="Y17" s="17">
        <f t="shared" si="9"/>
        <v>1.857142857142857</v>
      </c>
      <c r="Z17" s="17">
        <f t="shared" si="9"/>
        <v>0.5714285714285714</v>
      </c>
      <c r="AA17" s="17">
        <f t="shared" si="9"/>
        <v>0</v>
      </c>
      <c r="AB17" s="17">
        <f t="shared" si="9"/>
        <v>0</v>
      </c>
      <c r="AC17" s="17">
        <f t="shared" si="9"/>
        <v>50.857142857142854</v>
      </c>
      <c r="AD17" s="17">
        <f t="shared" si="9"/>
        <v>0</v>
      </c>
      <c r="AE17" s="31">
        <f t="shared" si="9"/>
        <v>9.2857142857142847</v>
      </c>
      <c r="AF17" s="31">
        <f t="shared" si="9"/>
        <v>60.142857142857146</v>
      </c>
    </row>
    <row r="18" spans="2:32" ht="23.1" customHeight="1" x14ac:dyDescent="0.25">
      <c r="B18" s="23" t="s">
        <v>45</v>
      </c>
      <c r="C18" s="49">
        <f>AVERAGE('17.10 KANONI-MITYANA'!C18,'18.10 KANONI-MITYANA-24h'!C18,'19.10 KANONI-MITYANA-24h'!C18,'20.10 KANONI-MITYANA'!C18,'21.10 KANONI-MITYANA'!C18,'22.10 KANONI-MITYANA'!C18,'23.10 KANONI-MITYANA'!C18)</f>
        <v>0.5714285714285714</v>
      </c>
      <c r="D18" s="49">
        <f>AVERAGE('17.10 KANONI-MITYANA'!D18,'18.10 KANONI-MITYANA-24h'!D18,'19.10 KANONI-MITYANA-24h'!D18,'20.10 KANONI-MITYANA'!D18,'21.10 KANONI-MITYANA'!D18,'22.10 KANONI-MITYANA'!D18,'23.10 KANONI-MITYANA'!D18)</f>
        <v>0</v>
      </c>
      <c r="E18" s="49">
        <f>AVERAGE('17.10 KANONI-MITYANA'!E18,'18.10 KANONI-MITYANA-24h'!E18,'19.10 KANONI-MITYANA-24h'!E18,'20.10 KANONI-MITYANA'!E18,'21.10 KANONI-MITYANA'!E18,'22.10 KANONI-MITYANA'!E18,'23.10 KANONI-MITYANA'!E18)</f>
        <v>0</v>
      </c>
      <c r="F18" s="49">
        <f>AVERAGE('17.10 KANONI-MITYANA'!F18,'18.10 KANONI-MITYANA-24h'!F18,'19.10 KANONI-MITYANA-24h'!F18,'20.10 KANONI-MITYANA'!F18,'21.10 KANONI-MITYANA'!F18,'22.10 KANONI-MITYANA'!F18,'23.10 KANONI-MITYANA'!F18)</f>
        <v>0.7142857142857143</v>
      </c>
      <c r="G18" s="49">
        <f>AVERAGE('17.10 KANONI-MITYANA'!G18,'18.10 KANONI-MITYANA-24h'!G18,'19.10 KANONI-MITYANA-24h'!G18,'20.10 KANONI-MITYANA'!G18,'21.10 KANONI-MITYANA'!G18,'22.10 KANONI-MITYANA'!G18,'23.10 KANONI-MITYANA'!G18)</f>
        <v>0</v>
      </c>
      <c r="H18" s="49">
        <f>AVERAGE('17.10 KANONI-MITYANA'!H18,'18.10 KANONI-MITYANA-24h'!H18,'19.10 KANONI-MITYANA-24h'!H18,'20.10 KANONI-MITYANA'!H18,'21.10 KANONI-MITYANA'!H18,'22.10 KANONI-MITYANA'!H18,'23.10 KANONI-MITYANA'!H18)</f>
        <v>0</v>
      </c>
      <c r="I18" s="49">
        <f>AVERAGE('17.10 KANONI-MITYANA'!I18,'18.10 KANONI-MITYANA-24h'!I18,'19.10 KANONI-MITYANA-24h'!I18,'20.10 KANONI-MITYANA'!I18,'21.10 KANONI-MITYANA'!I18,'22.10 KANONI-MITYANA'!I18,'23.10 KANONI-MITYANA'!I18)</f>
        <v>0.5714285714285714</v>
      </c>
      <c r="J18" s="49">
        <f>AVERAGE('17.10 KANONI-MITYANA'!J18,'18.10 KANONI-MITYANA-24h'!J18,'19.10 KANONI-MITYANA-24h'!J18,'20.10 KANONI-MITYANA'!J18,'21.10 KANONI-MITYANA'!J18,'22.10 KANONI-MITYANA'!J18,'23.10 KANONI-MITYANA'!J18)</f>
        <v>0.14285714285714285</v>
      </c>
      <c r="K18" s="49">
        <f>AVERAGE('17.10 KANONI-MITYANA'!K18,'18.10 KANONI-MITYANA-24h'!K18,'19.10 KANONI-MITYANA-24h'!K18,'20.10 KANONI-MITYANA'!K18,'21.10 KANONI-MITYANA'!K18,'22.10 KANONI-MITYANA'!K18,'23.10 KANONI-MITYANA'!K18)</f>
        <v>0</v>
      </c>
      <c r="L18" s="49">
        <f>AVERAGE('17.10 KANONI-MITYANA'!L18,'18.10 KANONI-MITYANA-24h'!L18,'19.10 KANONI-MITYANA-24h'!L18,'20.10 KANONI-MITYANA'!L18,'21.10 KANONI-MITYANA'!L18,'22.10 KANONI-MITYANA'!L18,'23.10 KANONI-MITYANA'!L18)</f>
        <v>0</v>
      </c>
      <c r="M18" s="49">
        <f>AVERAGE('17.10 KANONI-MITYANA'!M18,'18.10 KANONI-MITYANA-24h'!M18,'19.10 KANONI-MITYANA-24h'!M18,'20.10 KANONI-MITYANA'!M18,'21.10 KANONI-MITYANA'!M18,'22.10 KANONI-MITYANA'!M18,'23.10 KANONI-MITYANA'!M18)</f>
        <v>9.4285714285714288</v>
      </c>
      <c r="N18" s="49">
        <f>AVERAGE('17.10 KANONI-MITYANA'!N18,'18.10 KANONI-MITYANA-24h'!N18,'19.10 KANONI-MITYANA-24h'!N18,'20.10 KANONI-MITYANA'!N18,'21.10 KANONI-MITYANA'!N18,'22.10 KANONI-MITYANA'!N18,'23.10 KANONI-MITYANA'!N18)</f>
        <v>0</v>
      </c>
      <c r="O18" s="15">
        <f t="shared" si="0"/>
        <v>1.9999999999999998</v>
      </c>
      <c r="P18" s="15">
        <f t="shared" si="1"/>
        <v>11.428571428571429</v>
      </c>
      <c r="R18" s="1" t="s">
        <v>14</v>
      </c>
      <c r="S18" s="17">
        <f t="shared" ref="S18:AF18" si="10">SUM(C42:C45)</f>
        <v>3.2857142857142856</v>
      </c>
      <c r="T18" s="17">
        <f t="shared" si="10"/>
        <v>0.14285714285714285</v>
      </c>
      <c r="U18" s="17">
        <f t="shared" si="10"/>
        <v>0.42857142857142855</v>
      </c>
      <c r="V18" s="17">
        <f t="shared" si="10"/>
        <v>0.14285714285714285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0.71428571428571419</v>
      </c>
      <c r="AA18" s="17">
        <f t="shared" si="10"/>
        <v>0</v>
      </c>
      <c r="AB18" s="17">
        <f t="shared" si="10"/>
        <v>0</v>
      </c>
      <c r="AC18" s="17">
        <f t="shared" si="10"/>
        <v>56.285714285714285</v>
      </c>
      <c r="AD18" s="17">
        <f t="shared" si="10"/>
        <v>0</v>
      </c>
      <c r="AE18" s="31">
        <f t="shared" si="10"/>
        <v>7.7142857142857144</v>
      </c>
      <c r="AF18" s="31">
        <f t="shared" si="10"/>
        <v>64</v>
      </c>
    </row>
    <row r="19" spans="2:32" ht="23.1" customHeight="1" x14ac:dyDescent="0.25">
      <c r="B19" s="23" t="s">
        <v>46</v>
      </c>
      <c r="C19" s="49">
        <f>AVERAGE('17.10 KANONI-MITYANA'!C19,'18.10 KANONI-MITYANA-24h'!C19,'19.10 KANONI-MITYANA-24h'!C19,'20.10 KANONI-MITYANA'!C19,'21.10 KANONI-MITYANA'!C19,'22.10 KANONI-MITYANA'!C19,'23.10 KANONI-MITYANA'!C19)</f>
        <v>0.8571428571428571</v>
      </c>
      <c r="D19" s="49">
        <f>AVERAGE('17.10 KANONI-MITYANA'!D19,'18.10 KANONI-MITYANA-24h'!D19,'19.10 KANONI-MITYANA-24h'!D19,'20.10 KANONI-MITYANA'!D19,'21.10 KANONI-MITYANA'!D19,'22.10 KANONI-MITYANA'!D19,'23.10 KANONI-MITYANA'!D19)</f>
        <v>0</v>
      </c>
      <c r="E19" s="49">
        <f>AVERAGE('17.10 KANONI-MITYANA'!E19,'18.10 KANONI-MITYANA-24h'!E19,'19.10 KANONI-MITYANA-24h'!E19,'20.10 KANONI-MITYANA'!E19,'21.10 KANONI-MITYANA'!E19,'22.10 KANONI-MITYANA'!E19,'23.10 KANONI-MITYANA'!E19)</f>
        <v>0</v>
      </c>
      <c r="F19" s="49">
        <f>AVERAGE('17.10 KANONI-MITYANA'!F19,'18.10 KANONI-MITYANA-24h'!F19,'19.10 KANONI-MITYANA-24h'!F19,'20.10 KANONI-MITYANA'!F19,'21.10 KANONI-MITYANA'!F19,'22.10 KANONI-MITYANA'!F19,'23.10 KANONI-MITYANA'!F19)</f>
        <v>0.14285714285714285</v>
      </c>
      <c r="G19" s="49">
        <f>AVERAGE('17.10 KANONI-MITYANA'!G19,'18.10 KANONI-MITYANA-24h'!G19,'19.10 KANONI-MITYANA-24h'!G19,'20.10 KANONI-MITYANA'!G19,'21.10 KANONI-MITYANA'!G19,'22.10 KANONI-MITYANA'!G19,'23.10 KANONI-MITYANA'!G19)</f>
        <v>0.2857142857142857</v>
      </c>
      <c r="H19" s="49">
        <f>AVERAGE('17.10 KANONI-MITYANA'!H19,'18.10 KANONI-MITYANA-24h'!H19,'19.10 KANONI-MITYANA-24h'!H19,'20.10 KANONI-MITYANA'!H19,'21.10 KANONI-MITYANA'!H19,'22.10 KANONI-MITYANA'!H19,'23.10 KANONI-MITYANA'!H19)</f>
        <v>0</v>
      </c>
      <c r="I19" s="49">
        <f>AVERAGE('17.10 KANONI-MITYANA'!I19,'18.10 KANONI-MITYANA-24h'!I19,'19.10 KANONI-MITYANA-24h'!I19,'20.10 KANONI-MITYANA'!I19,'21.10 KANONI-MITYANA'!I19,'22.10 KANONI-MITYANA'!I19,'23.10 KANONI-MITYANA'!I19)</f>
        <v>0.42857142857142855</v>
      </c>
      <c r="J19" s="49">
        <f>AVERAGE('17.10 KANONI-MITYANA'!J19,'18.10 KANONI-MITYANA-24h'!J19,'19.10 KANONI-MITYANA-24h'!J19,'20.10 KANONI-MITYANA'!J19,'21.10 KANONI-MITYANA'!J19,'22.10 KANONI-MITYANA'!J19,'23.10 KANONI-MITYANA'!J19)</f>
        <v>0</v>
      </c>
      <c r="K19" s="49">
        <f>AVERAGE('17.10 KANONI-MITYANA'!K19,'18.10 KANONI-MITYANA-24h'!K19,'19.10 KANONI-MITYANA-24h'!K19,'20.10 KANONI-MITYANA'!K19,'21.10 KANONI-MITYANA'!K19,'22.10 KANONI-MITYANA'!K19,'23.10 KANONI-MITYANA'!K19)</f>
        <v>0</v>
      </c>
      <c r="L19" s="49">
        <f>AVERAGE('17.10 KANONI-MITYANA'!L19,'18.10 KANONI-MITYANA-24h'!L19,'19.10 KANONI-MITYANA-24h'!L19,'20.10 KANONI-MITYANA'!L19,'21.10 KANONI-MITYANA'!L19,'22.10 KANONI-MITYANA'!L19,'23.10 KANONI-MITYANA'!L19)</f>
        <v>0</v>
      </c>
      <c r="M19" s="49">
        <f>AVERAGE('17.10 KANONI-MITYANA'!M19,'18.10 KANONI-MITYANA-24h'!M19,'19.10 KANONI-MITYANA-24h'!M19,'20.10 KANONI-MITYANA'!M19,'21.10 KANONI-MITYANA'!M19,'22.10 KANONI-MITYANA'!M19,'23.10 KANONI-MITYANA'!M19)</f>
        <v>12</v>
      </c>
      <c r="N19" s="49">
        <f>AVERAGE('17.10 KANONI-MITYANA'!N19,'18.10 KANONI-MITYANA-24h'!N19,'19.10 KANONI-MITYANA-24h'!N19,'20.10 KANONI-MITYANA'!N19,'21.10 KANONI-MITYANA'!N19,'22.10 KANONI-MITYANA'!N19,'23.10 KANONI-MITYANA'!N19)</f>
        <v>0</v>
      </c>
      <c r="O19" s="15">
        <f t="shared" si="0"/>
        <v>1.7142857142857142</v>
      </c>
      <c r="P19" s="15">
        <f t="shared" si="1"/>
        <v>13.714285714285714</v>
      </c>
      <c r="R19" s="1" t="s">
        <v>15</v>
      </c>
      <c r="S19" s="17">
        <f t="shared" ref="S19:AF19" si="11">SUM(C46:C49)</f>
        <v>3.4285714285714284</v>
      </c>
      <c r="T19" s="17">
        <f t="shared" si="11"/>
        <v>0.42857142857142855</v>
      </c>
      <c r="U19" s="17">
        <f t="shared" si="11"/>
        <v>1.7142857142857142</v>
      </c>
      <c r="V19" s="17">
        <f t="shared" si="11"/>
        <v>0.2857142857142857</v>
      </c>
      <c r="W19" s="17">
        <f t="shared" si="11"/>
        <v>0.14285714285714285</v>
      </c>
      <c r="X19" s="17">
        <f t="shared" si="11"/>
        <v>0</v>
      </c>
      <c r="Y19" s="17">
        <f t="shared" si="11"/>
        <v>2.5714285714285712</v>
      </c>
      <c r="Z19" s="17">
        <f t="shared" si="11"/>
        <v>0.2857142857142857</v>
      </c>
      <c r="AA19" s="17">
        <f t="shared" si="11"/>
        <v>0</v>
      </c>
      <c r="AB19" s="17">
        <f t="shared" si="11"/>
        <v>0</v>
      </c>
      <c r="AC19" s="17">
        <f t="shared" si="11"/>
        <v>57.571428571428569</v>
      </c>
      <c r="AD19" s="17">
        <f t="shared" si="11"/>
        <v>0.14285714285714285</v>
      </c>
      <c r="AE19" s="31">
        <f t="shared" si="11"/>
        <v>8.9999999999999982</v>
      </c>
      <c r="AF19" s="31">
        <f t="shared" si="11"/>
        <v>66.571428571428569</v>
      </c>
    </row>
    <row r="20" spans="2:32" ht="23.1" customHeight="1" x14ac:dyDescent="0.25">
      <c r="B20" s="23" t="s">
        <v>47</v>
      </c>
      <c r="C20" s="49">
        <f>AVERAGE('17.10 KANONI-MITYANA'!C20,'18.10 KANONI-MITYANA-24h'!C20,'19.10 KANONI-MITYANA-24h'!C20,'20.10 KANONI-MITYANA'!C20,'21.10 KANONI-MITYANA'!C20,'22.10 KANONI-MITYANA'!C20,'23.10 KANONI-MITYANA'!C20)</f>
        <v>0.8571428571428571</v>
      </c>
      <c r="D20" s="49">
        <f>AVERAGE('17.10 KANONI-MITYANA'!D20,'18.10 KANONI-MITYANA-24h'!D20,'19.10 KANONI-MITYANA-24h'!D20,'20.10 KANONI-MITYANA'!D20,'21.10 KANONI-MITYANA'!D20,'22.10 KANONI-MITYANA'!D20,'23.10 KANONI-MITYANA'!D20)</f>
        <v>0.14285714285714285</v>
      </c>
      <c r="E20" s="49">
        <f>AVERAGE('17.10 KANONI-MITYANA'!E20,'18.10 KANONI-MITYANA-24h'!E20,'19.10 KANONI-MITYANA-24h'!E20,'20.10 KANONI-MITYANA'!E20,'21.10 KANONI-MITYANA'!E20,'22.10 KANONI-MITYANA'!E20,'23.10 KANONI-MITYANA'!E20)</f>
        <v>0.14285714285714285</v>
      </c>
      <c r="F20" s="49">
        <f>AVERAGE('17.10 KANONI-MITYANA'!F20,'18.10 KANONI-MITYANA-24h'!F20,'19.10 KANONI-MITYANA-24h'!F20,'20.10 KANONI-MITYANA'!F20,'21.10 KANONI-MITYANA'!F20,'22.10 KANONI-MITYANA'!F20,'23.10 KANONI-MITYANA'!F20)</f>
        <v>0.2857142857142857</v>
      </c>
      <c r="G20" s="49">
        <f>AVERAGE('17.10 KANONI-MITYANA'!G20,'18.10 KANONI-MITYANA-24h'!G20,'19.10 KANONI-MITYANA-24h'!G20,'20.10 KANONI-MITYANA'!G20,'21.10 KANONI-MITYANA'!G20,'22.10 KANONI-MITYANA'!G20,'23.10 KANONI-MITYANA'!G20)</f>
        <v>0.14285714285714285</v>
      </c>
      <c r="H20" s="49">
        <f>AVERAGE('17.10 KANONI-MITYANA'!H20,'18.10 KANONI-MITYANA-24h'!H20,'19.10 KANONI-MITYANA-24h'!H20,'20.10 KANONI-MITYANA'!H20,'21.10 KANONI-MITYANA'!H20,'22.10 KANONI-MITYANA'!H20,'23.10 KANONI-MITYANA'!H20)</f>
        <v>0</v>
      </c>
      <c r="I20" s="49">
        <f>AVERAGE('17.10 KANONI-MITYANA'!I20,'18.10 KANONI-MITYANA-24h'!I20,'19.10 KANONI-MITYANA-24h'!I20,'20.10 KANONI-MITYANA'!I20,'21.10 KANONI-MITYANA'!I20,'22.10 KANONI-MITYANA'!I20,'23.10 KANONI-MITYANA'!I20)</f>
        <v>0.42857142857142855</v>
      </c>
      <c r="J20" s="49">
        <f>AVERAGE('17.10 KANONI-MITYANA'!J20,'18.10 KANONI-MITYANA-24h'!J20,'19.10 KANONI-MITYANA-24h'!J20,'20.10 KANONI-MITYANA'!J20,'21.10 KANONI-MITYANA'!J20,'22.10 KANONI-MITYANA'!J20,'23.10 KANONI-MITYANA'!J20)</f>
        <v>0</v>
      </c>
      <c r="K20" s="49">
        <f>AVERAGE('17.10 KANONI-MITYANA'!K20,'18.10 KANONI-MITYANA-24h'!K20,'19.10 KANONI-MITYANA-24h'!K20,'20.10 KANONI-MITYANA'!K20,'21.10 KANONI-MITYANA'!K20,'22.10 KANONI-MITYANA'!K20,'23.10 KANONI-MITYANA'!K20)</f>
        <v>0</v>
      </c>
      <c r="L20" s="49">
        <f>AVERAGE('17.10 KANONI-MITYANA'!L20,'18.10 KANONI-MITYANA-24h'!L20,'19.10 KANONI-MITYANA-24h'!L20,'20.10 KANONI-MITYANA'!L20,'21.10 KANONI-MITYANA'!L20,'22.10 KANONI-MITYANA'!L20,'23.10 KANONI-MITYANA'!L20)</f>
        <v>0</v>
      </c>
      <c r="M20" s="49">
        <f>AVERAGE('17.10 KANONI-MITYANA'!M20,'18.10 KANONI-MITYANA-24h'!M20,'19.10 KANONI-MITYANA-24h'!M20,'20.10 KANONI-MITYANA'!M20,'21.10 KANONI-MITYANA'!M20,'22.10 KANONI-MITYANA'!M20,'23.10 KANONI-MITYANA'!M20)</f>
        <v>11.428571428571429</v>
      </c>
      <c r="N20" s="49">
        <f>AVERAGE('17.10 KANONI-MITYANA'!N20,'18.10 KANONI-MITYANA-24h'!N20,'19.10 KANONI-MITYANA-24h'!N20,'20.10 KANONI-MITYANA'!N20,'21.10 KANONI-MITYANA'!N20,'22.10 KANONI-MITYANA'!N20,'23.10 KANONI-MITYANA'!N20)</f>
        <v>0</v>
      </c>
      <c r="O20" s="15">
        <f t="shared" si="0"/>
        <v>1.9999999999999998</v>
      </c>
      <c r="P20" s="15">
        <f t="shared" si="1"/>
        <v>13.428571428571429</v>
      </c>
      <c r="R20" s="1" t="s">
        <v>16</v>
      </c>
      <c r="S20" s="17">
        <f t="shared" ref="S20:AF20" si="12">SUM(C50:C53)</f>
        <v>4.1428571428571432</v>
      </c>
      <c r="T20" s="17">
        <f t="shared" si="12"/>
        <v>0.42857142857142855</v>
      </c>
      <c r="U20" s="17">
        <f t="shared" si="12"/>
        <v>2</v>
      </c>
      <c r="V20" s="17">
        <f t="shared" si="12"/>
        <v>0.71428571428571419</v>
      </c>
      <c r="W20" s="17">
        <f t="shared" si="12"/>
        <v>0</v>
      </c>
      <c r="X20" s="17">
        <f t="shared" si="12"/>
        <v>0</v>
      </c>
      <c r="Y20" s="17">
        <f t="shared" si="12"/>
        <v>3.714285714285714</v>
      </c>
      <c r="Z20" s="17">
        <f t="shared" si="12"/>
        <v>0.5714285714285714</v>
      </c>
      <c r="AA20" s="17">
        <f t="shared" si="12"/>
        <v>0</v>
      </c>
      <c r="AB20" s="17">
        <f t="shared" si="12"/>
        <v>0</v>
      </c>
      <c r="AC20" s="17">
        <f t="shared" si="12"/>
        <v>60.428571428571431</v>
      </c>
      <c r="AD20" s="17">
        <f t="shared" si="12"/>
        <v>0</v>
      </c>
      <c r="AE20" s="31">
        <f t="shared" si="12"/>
        <v>11.571428571428571</v>
      </c>
      <c r="AF20" s="31">
        <f t="shared" si="12"/>
        <v>72</v>
      </c>
    </row>
    <row r="21" spans="2:32" ht="23.1" customHeight="1" x14ac:dyDescent="0.25">
      <c r="B21" s="23" t="s">
        <v>48</v>
      </c>
      <c r="C21" s="49">
        <f>AVERAGE('17.10 KANONI-MITYANA'!C21,'18.10 KANONI-MITYANA-24h'!C21,'19.10 KANONI-MITYANA-24h'!C21,'20.10 KANONI-MITYANA'!C21,'21.10 KANONI-MITYANA'!C21,'22.10 KANONI-MITYANA'!C21,'23.10 KANONI-MITYANA'!C21)</f>
        <v>0.7142857142857143</v>
      </c>
      <c r="D21" s="49">
        <f>AVERAGE('17.10 KANONI-MITYANA'!D21,'18.10 KANONI-MITYANA-24h'!D21,'19.10 KANONI-MITYANA-24h'!D21,'20.10 KANONI-MITYANA'!D21,'21.10 KANONI-MITYANA'!D21,'22.10 KANONI-MITYANA'!D21,'23.10 KANONI-MITYANA'!D21)</f>
        <v>0.14285714285714285</v>
      </c>
      <c r="E21" s="49">
        <f>AVERAGE('17.10 KANONI-MITYANA'!E21,'18.10 KANONI-MITYANA-24h'!E21,'19.10 KANONI-MITYANA-24h'!E21,'20.10 KANONI-MITYANA'!E21,'21.10 KANONI-MITYANA'!E21,'22.10 KANONI-MITYANA'!E21,'23.10 KANONI-MITYANA'!E21)</f>
        <v>0.2857142857142857</v>
      </c>
      <c r="F21" s="49">
        <f>AVERAGE('17.10 KANONI-MITYANA'!F21,'18.10 KANONI-MITYANA-24h'!F21,'19.10 KANONI-MITYANA-24h'!F21,'20.10 KANONI-MITYANA'!F21,'21.10 KANONI-MITYANA'!F21,'22.10 KANONI-MITYANA'!F21,'23.10 KANONI-MITYANA'!F21)</f>
        <v>0.42857142857142855</v>
      </c>
      <c r="G21" s="49">
        <f>AVERAGE('17.10 KANONI-MITYANA'!G21,'18.10 KANONI-MITYANA-24h'!G21,'19.10 KANONI-MITYANA-24h'!G21,'20.10 KANONI-MITYANA'!G21,'21.10 KANONI-MITYANA'!G21,'22.10 KANONI-MITYANA'!G21,'23.10 KANONI-MITYANA'!G21)</f>
        <v>0</v>
      </c>
      <c r="H21" s="49">
        <f>AVERAGE('17.10 KANONI-MITYANA'!H21,'18.10 KANONI-MITYANA-24h'!H21,'19.10 KANONI-MITYANA-24h'!H21,'20.10 KANONI-MITYANA'!H21,'21.10 KANONI-MITYANA'!H21,'22.10 KANONI-MITYANA'!H21,'23.10 KANONI-MITYANA'!H21)</f>
        <v>0</v>
      </c>
      <c r="I21" s="49">
        <f>AVERAGE('17.10 KANONI-MITYANA'!I21,'18.10 KANONI-MITYANA-24h'!I21,'19.10 KANONI-MITYANA-24h'!I21,'20.10 KANONI-MITYANA'!I21,'21.10 KANONI-MITYANA'!I21,'22.10 KANONI-MITYANA'!I21,'23.10 KANONI-MITYANA'!I21)</f>
        <v>0.42857142857142855</v>
      </c>
      <c r="J21" s="49">
        <f>AVERAGE('17.10 KANONI-MITYANA'!J21,'18.10 KANONI-MITYANA-24h'!J21,'19.10 KANONI-MITYANA-24h'!J21,'20.10 KANONI-MITYANA'!J21,'21.10 KANONI-MITYANA'!J21,'22.10 KANONI-MITYANA'!J21,'23.10 KANONI-MITYANA'!J21)</f>
        <v>0</v>
      </c>
      <c r="K21" s="49">
        <f>AVERAGE('17.10 KANONI-MITYANA'!K21,'18.10 KANONI-MITYANA-24h'!K21,'19.10 KANONI-MITYANA-24h'!K21,'20.10 KANONI-MITYANA'!K21,'21.10 KANONI-MITYANA'!K21,'22.10 KANONI-MITYANA'!K21,'23.10 KANONI-MITYANA'!K21)</f>
        <v>0</v>
      </c>
      <c r="L21" s="49">
        <f>AVERAGE('17.10 KANONI-MITYANA'!L21,'18.10 KANONI-MITYANA-24h'!L21,'19.10 KANONI-MITYANA-24h'!L21,'20.10 KANONI-MITYANA'!L21,'21.10 KANONI-MITYANA'!L21,'22.10 KANONI-MITYANA'!L21,'23.10 KANONI-MITYANA'!L21)</f>
        <v>0</v>
      </c>
      <c r="M21" s="49">
        <f>AVERAGE('17.10 KANONI-MITYANA'!M21,'18.10 KANONI-MITYANA-24h'!M21,'19.10 KANONI-MITYANA-24h'!M21,'20.10 KANONI-MITYANA'!M21,'21.10 KANONI-MITYANA'!M21,'22.10 KANONI-MITYANA'!M21,'23.10 KANONI-MITYANA'!M21)</f>
        <v>10.714285714285714</v>
      </c>
      <c r="N21" s="49">
        <f>AVERAGE('17.10 KANONI-MITYANA'!N21,'18.10 KANONI-MITYANA-24h'!N21,'19.10 KANONI-MITYANA-24h'!N21,'20.10 KANONI-MITYANA'!N21,'21.10 KANONI-MITYANA'!N21,'22.10 KANONI-MITYANA'!N21,'23.10 KANONI-MITYANA'!N21)</f>
        <v>0</v>
      </c>
      <c r="O21" s="15">
        <f t="shared" si="0"/>
        <v>2</v>
      </c>
      <c r="P21" s="15">
        <f t="shared" si="1"/>
        <v>12.714285714285714</v>
      </c>
      <c r="R21" s="36" t="s">
        <v>20</v>
      </c>
      <c r="S21" s="34">
        <f t="shared" ref="S21:AF21" si="13">SUM(C54:C57)</f>
        <v>2.5714285714285712</v>
      </c>
      <c r="T21" s="17">
        <f t="shared" si="13"/>
        <v>0.42857142857142855</v>
      </c>
      <c r="U21" s="17">
        <f t="shared" si="13"/>
        <v>2.2857142857142856</v>
      </c>
      <c r="V21" s="17">
        <f t="shared" si="13"/>
        <v>2.4285714285714284</v>
      </c>
      <c r="W21" s="17">
        <f t="shared" si="13"/>
        <v>0</v>
      </c>
      <c r="X21" s="17">
        <f t="shared" si="13"/>
        <v>0</v>
      </c>
      <c r="Y21" s="17">
        <f t="shared" si="13"/>
        <v>2.9999999999999996</v>
      </c>
      <c r="Z21" s="17">
        <f t="shared" si="13"/>
        <v>1.1428571428571428</v>
      </c>
      <c r="AA21" s="17">
        <f t="shared" si="13"/>
        <v>0</v>
      </c>
      <c r="AB21" s="17">
        <f t="shared" si="13"/>
        <v>0</v>
      </c>
      <c r="AC21" s="17">
        <f t="shared" si="13"/>
        <v>66.571428571428569</v>
      </c>
      <c r="AD21" s="17">
        <f t="shared" si="13"/>
        <v>0</v>
      </c>
      <c r="AE21" s="31">
        <f t="shared" si="13"/>
        <v>11.857142857142856</v>
      </c>
      <c r="AF21" s="31">
        <f t="shared" si="13"/>
        <v>78.428571428571431</v>
      </c>
    </row>
    <row r="22" spans="2:32" ht="23.1" customHeight="1" x14ac:dyDescent="0.25">
      <c r="B22" s="23" t="s">
        <v>49</v>
      </c>
      <c r="C22" s="49">
        <f>AVERAGE('17.10 KANONI-MITYANA'!C22,'18.10 KANONI-MITYANA-24h'!C22,'19.10 KANONI-MITYANA-24h'!C22,'20.10 KANONI-MITYANA'!C22,'21.10 KANONI-MITYANA'!C22,'22.10 KANONI-MITYANA'!C22,'23.10 KANONI-MITYANA'!C22)</f>
        <v>0.2857142857142857</v>
      </c>
      <c r="D22" s="49">
        <f>AVERAGE('17.10 KANONI-MITYANA'!D22,'18.10 KANONI-MITYANA-24h'!D22,'19.10 KANONI-MITYANA-24h'!D22,'20.10 KANONI-MITYANA'!D22,'21.10 KANONI-MITYANA'!D22,'22.10 KANONI-MITYANA'!D22,'23.10 KANONI-MITYANA'!D22)</f>
        <v>0</v>
      </c>
      <c r="E22" s="49">
        <f>AVERAGE('17.10 KANONI-MITYANA'!E22,'18.10 KANONI-MITYANA-24h'!E22,'19.10 KANONI-MITYANA-24h'!E22,'20.10 KANONI-MITYANA'!E22,'21.10 KANONI-MITYANA'!E22,'22.10 KANONI-MITYANA'!E22,'23.10 KANONI-MITYANA'!E22)</f>
        <v>0.14285714285714285</v>
      </c>
      <c r="F22" s="49">
        <f>AVERAGE('17.10 KANONI-MITYANA'!F22,'18.10 KANONI-MITYANA-24h'!F22,'19.10 KANONI-MITYANA-24h'!F22,'20.10 KANONI-MITYANA'!F22,'21.10 KANONI-MITYANA'!F22,'22.10 KANONI-MITYANA'!F22,'23.10 KANONI-MITYANA'!F22)</f>
        <v>0.14285714285714285</v>
      </c>
      <c r="G22" s="49">
        <f>AVERAGE('17.10 KANONI-MITYANA'!G22,'18.10 KANONI-MITYANA-24h'!G22,'19.10 KANONI-MITYANA-24h'!G22,'20.10 KANONI-MITYANA'!G22,'21.10 KANONI-MITYANA'!G22,'22.10 KANONI-MITYANA'!G22,'23.10 KANONI-MITYANA'!G22)</f>
        <v>0</v>
      </c>
      <c r="H22" s="49">
        <f>AVERAGE('17.10 KANONI-MITYANA'!H22,'18.10 KANONI-MITYANA-24h'!H22,'19.10 KANONI-MITYANA-24h'!H22,'20.10 KANONI-MITYANA'!H22,'21.10 KANONI-MITYANA'!H22,'22.10 KANONI-MITYANA'!H22,'23.10 KANONI-MITYANA'!H22)</f>
        <v>0</v>
      </c>
      <c r="I22" s="49">
        <f>AVERAGE('17.10 KANONI-MITYANA'!I22,'18.10 KANONI-MITYANA-24h'!I22,'19.10 KANONI-MITYANA-24h'!I22,'20.10 KANONI-MITYANA'!I22,'21.10 KANONI-MITYANA'!I22,'22.10 KANONI-MITYANA'!I22,'23.10 KANONI-MITYANA'!I22)</f>
        <v>0.14285714285714285</v>
      </c>
      <c r="J22" s="49">
        <f>AVERAGE('17.10 KANONI-MITYANA'!J22,'18.10 KANONI-MITYANA-24h'!J22,'19.10 KANONI-MITYANA-24h'!J22,'20.10 KANONI-MITYANA'!J22,'21.10 KANONI-MITYANA'!J22,'22.10 KANONI-MITYANA'!J22,'23.10 KANONI-MITYANA'!J22)</f>
        <v>0.14285714285714285</v>
      </c>
      <c r="K22" s="49">
        <f>AVERAGE('17.10 KANONI-MITYANA'!K22,'18.10 KANONI-MITYANA-24h'!K22,'19.10 KANONI-MITYANA-24h'!K22,'20.10 KANONI-MITYANA'!K22,'21.10 KANONI-MITYANA'!K22,'22.10 KANONI-MITYANA'!K22,'23.10 KANONI-MITYANA'!K22)</f>
        <v>0.14285714285714285</v>
      </c>
      <c r="L22" s="49">
        <f>AVERAGE('17.10 KANONI-MITYANA'!L22,'18.10 KANONI-MITYANA-24h'!L22,'19.10 KANONI-MITYANA-24h'!L22,'20.10 KANONI-MITYANA'!L22,'21.10 KANONI-MITYANA'!L22,'22.10 KANONI-MITYANA'!L22,'23.10 KANONI-MITYANA'!L22)</f>
        <v>0</v>
      </c>
      <c r="M22" s="49">
        <f>AVERAGE('17.10 KANONI-MITYANA'!M22,'18.10 KANONI-MITYANA-24h'!M22,'19.10 KANONI-MITYANA-24h'!M22,'20.10 KANONI-MITYANA'!M22,'21.10 KANONI-MITYANA'!M22,'22.10 KANONI-MITYANA'!M22,'23.10 KANONI-MITYANA'!M22)</f>
        <v>12.142857142857142</v>
      </c>
      <c r="N22" s="49">
        <f>AVERAGE('17.10 KANONI-MITYANA'!N22,'18.10 KANONI-MITYANA-24h'!N22,'19.10 KANONI-MITYANA-24h'!N22,'20.10 KANONI-MITYANA'!N22,'21.10 KANONI-MITYANA'!N22,'22.10 KANONI-MITYANA'!N22,'23.10 KANONI-MITYANA'!N22)</f>
        <v>0</v>
      </c>
      <c r="O22" s="15">
        <f t="shared" si="0"/>
        <v>0.99999999999999978</v>
      </c>
      <c r="P22" s="15">
        <f t="shared" si="1"/>
        <v>13.142857142857142</v>
      </c>
      <c r="R22" s="1" t="s">
        <v>146</v>
      </c>
      <c r="S22" s="34">
        <f>SUM(C58:C61)</f>
        <v>5.5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1.5</v>
      </c>
      <c r="Z22" s="34">
        <f t="shared" si="14"/>
        <v>0.5</v>
      </c>
      <c r="AA22" s="34">
        <f t="shared" si="14"/>
        <v>0.5</v>
      </c>
      <c r="AB22" s="34">
        <f t="shared" si="14"/>
        <v>0</v>
      </c>
      <c r="AC22" s="34">
        <f t="shared" si="14"/>
        <v>64</v>
      </c>
      <c r="AD22" s="34">
        <f t="shared" si="14"/>
        <v>0</v>
      </c>
      <c r="AE22" s="31">
        <f t="shared" si="14"/>
        <v>11</v>
      </c>
      <c r="AF22" s="31">
        <f t="shared" si="14"/>
        <v>75</v>
      </c>
    </row>
    <row r="23" spans="2:32" ht="23.1" customHeight="1" x14ac:dyDescent="0.25">
      <c r="B23" s="23" t="s">
        <v>50</v>
      </c>
      <c r="C23" s="49">
        <f>AVERAGE('17.10 KANONI-MITYANA'!C23,'18.10 KANONI-MITYANA-24h'!C23,'19.10 KANONI-MITYANA-24h'!C23,'20.10 KANONI-MITYANA'!C23,'21.10 KANONI-MITYANA'!C23,'22.10 KANONI-MITYANA'!C23,'23.10 KANONI-MITYANA'!C23)</f>
        <v>0.42857142857142855</v>
      </c>
      <c r="D23" s="49">
        <f>AVERAGE('17.10 KANONI-MITYANA'!D23,'18.10 KANONI-MITYANA-24h'!D23,'19.10 KANONI-MITYANA-24h'!D23,'20.10 KANONI-MITYANA'!D23,'21.10 KANONI-MITYANA'!D23,'22.10 KANONI-MITYANA'!D23,'23.10 KANONI-MITYANA'!D23)</f>
        <v>0</v>
      </c>
      <c r="E23" s="49">
        <f>AVERAGE('17.10 KANONI-MITYANA'!E23,'18.10 KANONI-MITYANA-24h'!E23,'19.10 KANONI-MITYANA-24h'!E23,'20.10 KANONI-MITYANA'!E23,'21.10 KANONI-MITYANA'!E23,'22.10 KANONI-MITYANA'!E23,'23.10 KANONI-MITYANA'!E23)</f>
        <v>0</v>
      </c>
      <c r="F23" s="49">
        <f>AVERAGE('17.10 KANONI-MITYANA'!F23,'18.10 KANONI-MITYANA-24h'!F23,'19.10 KANONI-MITYANA-24h'!F23,'20.10 KANONI-MITYANA'!F23,'21.10 KANONI-MITYANA'!F23,'22.10 KANONI-MITYANA'!F23,'23.10 KANONI-MITYANA'!F23)</f>
        <v>0</v>
      </c>
      <c r="G23" s="49">
        <f>AVERAGE('17.10 KANONI-MITYANA'!G23,'18.10 KANONI-MITYANA-24h'!G23,'19.10 KANONI-MITYANA-24h'!G23,'20.10 KANONI-MITYANA'!G23,'21.10 KANONI-MITYANA'!G23,'22.10 KANONI-MITYANA'!G23,'23.10 KANONI-MITYANA'!G23)</f>
        <v>0</v>
      </c>
      <c r="H23" s="49">
        <f>AVERAGE('17.10 KANONI-MITYANA'!H23,'18.10 KANONI-MITYANA-24h'!H23,'19.10 KANONI-MITYANA-24h'!H23,'20.10 KANONI-MITYANA'!H23,'21.10 KANONI-MITYANA'!H23,'22.10 KANONI-MITYANA'!H23,'23.10 KANONI-MITYANA'!H23)</f>
        <v>0</v>
      </c>
      <c r="I23" s="49">
        <f>AVERAGE('17.10 KANONI-MITYANA'!I23,'18.10 KANONI-MITYANA-24h'!I23,'19.10 KANONI-MITYANA-24h'!I23,'20.10 KANONI-MITYANA'!I23,'21.10 KANONI-MITYANA'!I23,'22.10 KANONI-MITYANA'!I23,'23.10 KANONI-MITYANA'!I23)</f>
        <v>0.2857142857142857</v>
      </c>
      <c r="J23" s="49">
        <f>AVERAGE('17.10 KANONI-MITYANA'!J23,'18.10 KANONI-MITYANA-24h'!J23,'19.10 KANONI-MITYANA-24h'!J23,'20.10 KANONI-MITYANA'!J23,'21.10 KANONI-MITYANA'!J23,'22.10 KANONI-MITYANA'!J23,'23.10 KANONI-MITYANA'!J23)</f>
        <v>0</v>
      </c>
      <c r="K23" s="49">
        <f>AVERAGE('17.10 KANONI-MITYANA'!K23,'18.10 KANONI-MITYANA-24h'!K23,'19.10 KANONI-MITYANA-24h'!K23,'20.10 KANONI-MITYANA'!K23,'21.10 KANONI-MITYANA'!K23,'22.10 KANONI-MITYANA'!K23,'23.10 KANONI-MITYANA'!K23)</f>
        <v>0</v>
      </c>
      <c r="L23" s="49">
        <f>AVERAGE('17.10 KANONI-MITYANA'!L23,'18.10 KANONI-MITYANA-24h'!L23,'19.10 KANONI-MITYANA-24h'!L23,'20.10 KANONI-MITYANA'!L23,'21.10 KANONI-MITYANA'!L23,'22.10 KANONI-MITYANA'!L23,'23.10 KANONI-MITYANA'!L23)</f>
        <v>0</v>
      </c>
      <c r="M23" s="49">
        <f>AVERAGE('17.10 KANONI-MITYANA'!M23,'18.10 KANONI-MITYANA-24h'!M23,'19.10 KANONI-MITYANA-24h'!M23,'20.10 KANONI-MITYANA'!M23,'21.10 KANONI-MITYANA'!M23,'22.10 KANONI-MITYANA'!M23,'23.10 KANONI-MITYANA'!M23)</f>
        <v>11</v>
      </c>
      <c r="N23" s="49">
        <f>AVERAGE('17.10 KANONI-MITYANA'!N23,'18.10 KANONI-MITYANA-24h'!N23,'19.10 KANONI-MITYANA-24h'!N23,'20.10 KANONI-MITYANA'!N23,'21.10 KANONI-MITYANA'!N23,'22.10 KANONI-MITYANA'!N23,'23.10 KANONI-MITYANA'!N23)</f>
        <v>0</v>
      </c>
      <c r="O23" s="15">
        <f t="shared" si="0"/>
        <v>0.71428571428571419</v>
      </c>
      <c r="P23" s="15">
        <f t="shared" si="1"/>
        <v>11.714285714285714</v>
      </c>
      <c r="R23" s="1" t="s">
        <v>147</v>
      </c>
      <c r="S23" s="34">
        <f>SUM(C62:C65)</f>
        <v>3</v>
      </c>
      <c r="T23" s="34">
        <f t="shared" ref="T23:AF23" si="15">SUM(D62:D65)</f>
        <v>0.5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0.5</v>
      </c>
      <c r="AA23" s="34">
        <f t="shared" si="15"/>
        <v>1</v>
      </c>
      <c r="AB23" s="34">
        <f t="shared" si="15"/>
        <v>0</v>
      </c>
      <c r="AC23" s="34">
        <f t="shared" si="15"/>
        <v>31.5</v>
      </c>
      <c r="AD23" s="34">
        <f t="shared" si="15"/>
        <v>0</v>
      </c>
      <c r="AE23" s="31">
        <f t="shared" si="15"/>
        <v>8</v>
      </c>
      <c r="AF23" s="31">
        <f t="shared" si="15"/>
        <v>39.5</v>
      </c>
    </row>
    <row r="24" spans="2:32" ht="23.1" customHeight="1" x14ac:dyDescent="0.25">
      <c r="B24" s="23" t="s">
        <v>51</v>
      </c>
      <c r="C24" s="49">
        <f>AVERAGE('17.10 KANONI-MITYANA'!C24,'18.10 KANONI-MITYANA-24h'!C24,'19.10 KANONI-MITYANA-24h'!C24,'20.10 KANONI-MITYANA'!C24,'21.10 KANONI-MITYANA'!C24,'22.10 KANONI-MITYANA'!C24,'23.10 KANONI-MITYANA'!C24)</f>
        <v>0.42857142857142855</v>
      </c>
      <c r="D24" s="49">
        <f>AVERAGE('17.10 KANONI-MITYANA'!D24,'18.10 KANONI-MITYANA-24h'!D24,'19.10 KANONI-MITYANA-24h'!D24,'20.10 KANONI-MITYANA'!D24,'21.10 KANONI-MITYANA'!D24,'22.10 KANONI-MITYANA'!D24,'23.10 KANONI-MITYANA'!D24)</f>
        <v>0.2857142857142857</v>
      </c>
      <c r="E24" s="49">
        <f>AVERAGE('17.10 KANONI-MITYANA'!E24,'18.10 KANONI-MITYANA-24h'!E24,'19.10 KANONI-MITYANA-24h'!E24,'20.10 KANONI-MITYANA'!E24,'21.10 KANONI-MITYANA'!E24,'22.10 KANONI-MITYANA'!E24,'23.10 KANONI-MITYANA'!E24)</f>
        <v>0</v>
      </c>
      <c r="F24" s="49">
        <f>AVERAGE('17.10 KANONI-MITYANA'!F24,'18.10 KANONI-MITYANA-24h'!F24,'19.10 KANONI-MITYANA-24h'!F24,'20.10 KANONI-MITYANA'!F24,'21.10 KANONI-MITYANA'!F24,'22.10 KANONI-MITYANA'!F24,'23.10 KANONI-MITYANA'!F24)</f>
        <v>0.42857142857142855</v>
      </c>
      <c r="G24" s="49">
        <f>AVERAGE('17.10 KANONI-MITYANA'!G24,'18.10 KANONI-MITYANA-24h'!G24,'19.10 KANONI-MITYANA-24h'!G24,'20.10 KANONI-MITYANA'!G24,'21.10 KANONI-MITYANA'!G24,'22.10 KANONI-MITYANA'!G24,'23.10 KANONI-MITYANA'!G24)</f>
        <v>0</v>
      </c>
      <c r="H24" s="49">
        <f>AVERAGE('17.10 KANONI-MITYANA'!H24,'18.10 KANONI-MITYANA-24h'!H24,'19.10 KANONI-MITYANA-24h'!H24,'20.10 KANONI-MITYANA'!H24,'21.10 KANONI-MITYANA'!H24,'22.10 KANONI-MITYANA'!H24,'23.10 KANONI-MITYANA'!H24)</f>
        <v>0</v>
      </c>
      <c r="I24" s="49">
        <f>AVERAGE('17.10 KANONI-MITYANA'!I24,'18.10 KANONI-MITYANA-24h'!I24,'19.10 KANONI-MITYANA-24h'!I24,'20.10 KANONI-MITYANA'!I24,'21.10 KANONI-MITYANA'!I24,'22.10 KANONI-MITYANA'!I24,'23.10 KANONI-MITYANA'!I24)</f>
        <v>0.7142857142857143</v>
      </c>
      <c r="J24" s="49">
        <f>AVERAGE('17.10 KANONI-MITYANA'!J24,'18.10 KANONI-MITYANA-24h'!J24,'19.10 KANONI-MITYANA-24h'!J24,'20.10 KANONI-MITYANA'!J24,'21.10 KANONI-MITYANA'!J24,'22.10 KANONI-MITYANA'!J24,'23.10 KANONI-MITYANA'!J24)</f>
        <v>0.2857142857142857</v>
      </c>
      <c r="K24" s="49">
        <f>AVERAGE('17.10 KANONI-MITYANA'!K24,'18.10 KANONI-MITYANA-24h'!K24,'19.10 KANONI-MITYANA-24h'!K24,'20.10 KANONI-MITYANA'!K24,'21.10 KANONI-MITYANA'!K24,'22.10 KANONI-MITYANA'!K24,'23.10 KANONI-MITYANA'!K24)</f>
        <v>0.14285714285714285</v>
      </c>
      <c r="L24" s="49">
        <f>AVERAGE('17.10 KANONI-MITYANA'!L24,'18.10 KANONI-MITYANA-24h'!L24,'19.10 KANONI-MITYANA-24h'!L24,'20.10 KANONI-MITYANA'!L24,'21.10 KANONI-MITYANA'!L24,'22.10 KANONI-MITYANA'!L24,'23.10 KANONI-MITYANA'!L24)</f>
        <v>0</v>
      </c>
      <c r="M24" s="49">
        <f>AVERAGE('17.10 KANONI-MITYANA'!M24,'18.10 KANONI-MITYANA-24h'!M24,'19.10 KANONI-MITYANA-24h'!M24,'20.10 KANONI-MITYANA'!M24,'21.10 KANONI-MITYANA'!M24,'22.10 KANONI-MITYANA'!M24,'23.10 KANONI-MITYANA'!M24)</f>
        <v>16.428571428571427</v>
      </c>
      <c r="N24" s="49">
        <f>AVERAGE('17.10 KANONI-MITYANA'!N24,'18.10 KANONI-MITYANA-24h'!N24,'19.10 KANONI-MITYANA-24h'!N24,'20.10 KANONI-MITYANA'!N24,'21.10 KANONI-MITYANA'!N24,'22.10 KANONI-MITYANA'!N24,'23.10 KANONI-MITYANA'!N24)</f>
        <v>0</v>
      </c>
      <c r="O24" s="15">
        <f t="shared" si="0"/>
        <v>2.2857142857142856</v>
      </c>
      <c r="P24" s="15">
        <f t="shared" si="1"/>
        <v>18.714285714285712</v>
      </c>
      <c r="R24" s="1" t="s">
        <v>148</v>
      </c>
      <c r="S24" s="34">
        <f>SUM(C66:C69)</f>
        <v>1.5</v>
      </c>
      <c r="T24" s="34">
        <f t="shared" ref="T24:AF24" si="16">SUM(D66:D69)</f>
        <v>0</v>
      </c>
      <c r="U24" s="34">
        <f t="shared" si="16"/>
        <v>0.5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0.5</v>
      </c>
      <c r="AB24" s="34">
        <f t="shared" si="16"/>
        <v>0</v>
      </c>
      <c r="AC24" s="34">
        <f t="shared" si="16"/>
        <v>20</v>
      </c>
      <c r="AD24" s="34">
        <f t="shared" si="16"/>
        <v>0</v>
      </c>
      <c r="AE24" s="31">
        <f t="shared" si="16"/>
        <v>2.5</v>
      </c>
      <c r="AF24" s="31">
        <f t="shared" si="16"/>
        <v>22.5</v>
      </c>
    </row>
    <row r="25" spans="2:32" ht="23.1" customHeight="1" x14ac:dyDescent="0.25">
      <c r="B25" s="23" t="s">
        <v>52</v>
      </c>
      <c r="C25" s="49">
        <f>AVERAGE('17.10 KANONI-MITYANA'!C25,'18.10 KANONI-MITYANA-24h'!C25,'19.10 KANONI-MITYANA-24h'!C25,'20.10 KANONI-MITYANA'!C25,'21.10 KANONI-MITYANA'!C25,'22.10 KANONI-MITYANA'!C25,'23.10 KANONI-MITYANA'!C25)</f>
        <v>0.5714285714285714</v>
      </c>
      <c r="D25" s="49">
        <f>AVERAGE('17.10 KANONI-MITYANA'!D25,'18.10 KANONI-MITYANA-24h'!D25,'19.10 KANONI-MITYANA-24h'!D25,'20.10 KANONI-MITYANA'!D25,'21.10 KANONI-MITYANA'!D25,'22.10 KANONI-MITYANA'!D25,'23.10 KANONI-MITYANA'!D25)</f>
        <v>0</v>
      </c>
      <c r="E25" s="49">
        <f>AVERAGE('17.10 KANONI-MITYANA'!E25,'18.10 KANONI-MITYANA-24h'!E25,'19.10 KANONI-MITYANA-24h'!E25,'20.10 KANONI-MITYANA'!E25,'21.10 KANONI-MITYANA'!E25,'22.10 KANONI-MITYANA'!E25,'23.10 KANONI-MITYANA'!E25)</f>
        <v>0.14285714285714285</v>
      </c>
      <c r="F25" s="49">
        <f>AVERAGE('17.10 KANONI-MITYANA'!F25,'18.10 KANONI-MITYANA-24h'!F25,'19.10 KANONI-MITYANA-24h'!F25,'20.10 KANONI-MITYANA'!F25,'21.10 KANONI-MITYANA'!F25,'22.10 KANONI-MITYANA'!F25,'23.10 KANONI-MITYANA'!F25)</f>
        <v>0</v>
      </c>
      <c r="G25" s="49">
        <f>AVERAGE('17.10 KANONI-MITYANA'!G25,'18.10 KANONI-MITYANA-24h'!G25,'19.10 KANONI-MITYANA-24h'!G25,'20.10 KANONI-MITYANA'!G25,'21.10 KANONI-MITYANA'!G25,'22.10 KANONI-MITYANA'!G25,'23.10 KANONI-MITYANA'!G25)</f>
        <v>0</v>
      </c>
      <c r="H25" s="49">
        <f>AVERAGE('17.10 KANONI-MITYANA'!H25,'18.10 KANONI-MITYANA-24h'!H25,'19.10 KANONI-MITYANA-24h'!H25,'20.10 KANONI-MITYANA'!H25,'21.10 KANONI-MITYANA'!H25,'22.10 KANONI-MITYANA'!H25,'23.10 KANONI-MITYANA'!H25)</f>
        <v>0</v>
      </c>
      <c r="I25" s="49">
        <f>AVERAGE('17.10 KANONI-MITYANA'!I25,'18.10 KANONI-MITYANA-24h'!I25,'19.10 KANONI-MITYANA-24h'!I25,'20.10 KANONI-MITYANA'!I25,'21.10 KANONI-MITYANA'!I25,'22.10 KANONI-MITYANA'!I25,'23.10 KANONI-MITYANA'!I25)</f>
        <v>0</v>
      </c>
      <c r="J25" s="49">
        <f>AVERAGE('17.10 KANONI-MITYANA'!J25,'18.10 KANONI-MITYANA-24h'!J25,'19.10 KANONI-MITYANA-24h'!J25,'20.10 KANONI-MITYANA'!J25,'21.10 KANONI-MITYANA'!J25,'22.10 KANONI-MITYANA'!J25,'23.10 KANONI-MITYANA'!J25)</f>
        <v>0</v>
      </c>
      <c r="K25" s="49">
        <f>AVERAGE('17.10 KANONI-MITYANA'!K25,'18.10 KANONI-MITYANA-24h'!K25,'19.10 KANONI-MITYANA-24h'!K25,'20.10 KANONI-MITYANA'!K25,'21.10 KANONI-MITYANA'!K25,'22.10 KANONI-MITYANA'!K25,'23.10 KANONI-MITYANA'!K25)</f>
        <v>0</v>
      </c>
      <c r="L25" s="49">
        <f>AVERAGE('17.10 KANONI-MITYANA'!L25,'18.10 KANONI-MITYANA-24h'!L25,'19.10 KANONI-MITYANA-24h'!L25,'20.10 KANONI-MITYANA'!L25,'21.10 KANONI-MITYANA'!L25,'22.10 KANONI-MITYANA'!L25,'23.10 KANONI-MITYANA'!L25)</f>
        <v>0</v>
      </c>
      <c r="M25" s="49">
        <f>AVERAGE('17.10 KANONI-MITYANA'!M25,'18.10 KANONI-MITYANA-24h'!M25,'19.10 KANONI-MITYANA-24h'!M25,'20.10 KANONI-MITYANA'!M25,'21.10 KANONI-MITYANA'!M25,'22.10 KANONI-MITYANA'!M25,'23.10 KANONI-MITYANA'!M25)</f>
        <v>13.428571428571429</v>
      </c>
      <c r="N25" s="49">
        <f>AVERAGE('17.10 KANONI-MITYANA'!N25,'18.10 KANONI-MITYANA-24h'!N25,'19.10 KANONI-MITYANA-24h'!N25,'20.10 KANONI-MITYANA'!N25,'21.10 KANONI-MITYANA'!N25,'22.10 KANONI-MITYANA'!N25,'23.10 KANONI-MITYANA'!N25)</f>
        <v>0</v>
      </c>
      <c r="O25" s="15">
        <f t="shared" si="0"/>
        <v>0.71428571428571419</v>
      </c>
      <c r="P25" s="15">
        <f t="shared" si="1"/>
        <v>14.142857142857142</v>
      </c>
      <c r="R25" s="1" t="s">
        <v>149</v>
      </c>
      <c r="S25" s="34">
        <f>SUM(C70:C73)</f>
        <v>1</v>
      </c>
      <c r="T25" s="34">
        <f t="shared" ref="T25:AF25" si="17">SUM(D70:D73)</f>
        <v>0.5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0.5</v>
      </c>
      <c r="AB25" s="34">
        <f t="shared" si="17"/>
        <v>0</v>
      </c>
      <c r="AC25" s="34">
        <f t="shared" si="17"/>
        <v>11.5</v>
      </c>
      <c r="AD25" s="34">
        <f t="shared" si="17"/>
        <v>0</v>
      </c>
      <c r="AE25" s="31">
        <f t="shared" si="17"/>
        <v>3</v>
      </c>
      <c r="AF25" s="31">
        <f t="shared" si="17"/>
        <v>14.5</v>
      </c>
    </row>
    <row r="26" spans="2:32" ht="23.1" customHeight="1" x14ac:dyDescent="0.25">
      <c r="B26" s="23" t="s">
        <v>53</v>
      </c>
      <c r="C26" s="49">
        <f>AVERAGE('17.10 KANONI-MITYANA'!C26,'18.10 KANONI-MITYANA-24h'!C26,'19.10 KANONI-MITYANA-24h'!C26,'20.10 KANONI-MITYANA'!C26,'21.10 KANONI-MITYANA'!C26,'22.10 KANONI-MITYANA'!C26,'23.10 KANONI-MITYANA'!C26)</f>
        <v>0.14285714285714285</v>
      </c>
      <c r="D26" s="49">
        <f>AVERAGE('17.10 KANONI-MITYANA'!D26,'18.10 KANONI-MITYANA-24h'!D26,'19.10 KANONI-MITYANA-24h'!D26,'20.10 KANONI-MITYANA'!D26,'21.10 KANONI-MITYANA'!D26,'22.10 KANONI-MITYANA'!D26,'23.10 KANONI-MITYANA'!D26)</f>
        <v>0</v>
      </c>
      <c r="E26" s="49">
        <f>AVERAGE('17.10 KANONI-MITYANA'!E26,'18.10 KANONI-MITYANA-24h'!E26,'19.10 KANONI-MITYANA-24h'!E26,'20.10 KANONI-MITYANA'!E26,'21.10 KANONI-MITYANA'!E26,'22.10 KANONI-MITYANA'!E26,'23.10 KANONI-MITYANA'!E26)</f>
        <v>0.5714285714285714</v>
      </c>
      <c r="F26" s="49">
        <f>AVERAGE('17.10 KANONI-MITYANA'!F26,'18.10 KANONI-MITYANA-24h'!F26,'19.10 KANONI-MITYANA-24h'!F26,'20.10 KANONI-MITYANA'!F26,'21.10 KANONI-MITYANA'!F26,'22.10 KANONI-MITYANA'!F26,'23.10 KANONI-MITYANA'!F26)</f>
        <v>0.14285714285714285</v>
      </c>
      <c r="G26" s="49">
        <f>AVERAGE('17.10 KANONI-MITYANA'!G26,'18.10 KANONI-MITYANA-24h'!G26,'19.10 KANONI-MITYANA-24h'!G26,'20.10 KANONI-MITYANA'!G26,'21.10 KANONI-MITYANA'!G26,'22.10 KANONI-MITYANA'!G26,'23.10 KANONI-MITYANA'!G26)</f>
        <v>0</v>
      </c>
      <c r="H26" s="49">
        <f>AVERAGE('17.10 KANONI-MITYANA'!H26,'18.10 KANONI-MITYANA-24h'!H26,'19.10 KANONI-MITYANA-24h'!H26,'20.10 KANONI-MITYANA'!H26,'21.10 KANONI-MITYANA'!H26,'22.10 KANONI-MITYANA'!H26,'23.10 KANONI-MITYANA'!H26)</f>
        <v>0</v>
      </c>
      <c r="I26" s="49">
        <f>AVERAGE('17.10 KANONI-MITYANA'!I26,'18.10 KANONI-MITYANA-24h'!I26,'19.10 KANONI-MITYANA-24h'!I26,'20.10 KANONI-MITYANA'!I26,'21.10 KANONI-MITYANA'!I26,'22.10 KANONI-MITYANA'!I26,'23.10 KANONI-MITYANA'!I26)</f>
        <v>0.7142857142857143</v>
      </c>
      <c r="J26" s="49">
        <f>AVERAGE('17.10 KANONI-MITYANA'!J26,'18.10 KANONI-MITYANA-24h'!J26,'19.10 KANONI-MITYANA-24h'!J26,'20.10 KANONI-MITYANA'!J26,'21.10 KANONI-MITYANA'!J26,'22.10 KANONI-MITYANA'!J26,'23.10 KANONI-MITYANA'!J26)</f>
        <v>0.2857142857142857</v>
      </c>
      <c r="K26" s="49">
        <f>AVERAGE('17.10 KANONI-MITYANA'!K26,'18.10 KANONI-MITYANA-24h'!K26,'19.10 KANONI-MITYANA-24h'!K26,'20.10 KANONI-MITYANA'!K26,'21.10 KANONI-MITYANA'!K26,'22.10 KANONI-MITYANA'!K26,'23.10 KANONI-MITYANA'!K26)</f>
        <v>0</v>
      </c>
      <c r="L26" s="49">
        <f>AVERAGE('17.10 KANONI-MITYANA'!L26,'18.10 KANONI-MITYANA-24h'!L26,'19.10 KANONI-MITYANA-24h'!L26,'20.10 KANONI-MITYANA'!L26,'21.10 KANONI-MITYANA'!L26,'22.10 KANONI-MITYANA'!L26,'23.10 KANONI-MITYANA'!L26)</f>
        <v>0</v>
      </c>
      <c r="M26" s="49">
        <f>AVERAGE('17.10 KANONI-MITYANA'!M26,'18.10 KANONI-MITYANA-24h'!M26,'19.10 KANONI-MITYANA-24h'!M26,'20.10 KANONI-MITYANA'!M26,'21.10 KANONI-MITYANA'!M26,'22.10 KANONI-MITYANA'!M26,'23.10 KANONI-MITYANA'!M26)</f>
        <v>12.571428571428571</v>
      </c>
      <c r="N26" s="49">
        <f>AVERAGE('17.10 KANONI-MITYANA'!N26,'18.10 KANONI-MITYANA-24h'!N26,'19.10 KANONI-MITYANA-24h'!N26,'20.10 KANONI-MITYANA'!N26,'21.10 KANONI-MITYANA'!N26,'22.10 KANONI-MITYANA'!N26,'23.10 KANONI-MITYANA'!N26)</f>
        <v>0</v>
      </c>
      <c r="O26" s="15">
        <f t="shared" si="0"/>
        <v>1.8571428571428568</v>
      </c>
      <c r="P26" s="15">
        <f t="shared" si="1"/>
        <v>14.428571428571427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0.5</v>
      </c>
      <c r="Z26" s="34">
        <f t="shared" si="18"/>
        <v>0</v>
      </c>
      <c r="AA26" s="34">
        <f t="shared" si="18"/>
        <v>0.5</v>
      </c>
      <c r="AB26" s="34">
        <f t="shared" si="18"/>
        <v>0</v>
      </c>
      <c r="AC26" s="34">
        <f t="shared" si="18"/>
        <v>7.5</v>
      </c>
      <c r="AD26" s="34">
        <f t="shared" si="18"/>
        <v>0</v>
      </c>
      <c r="AE26" s="31">
        <f t="shared" si="18"/>
        <v>1</v>
      </c>
      <c r="AF26" s="31">
        <f t="shared" si="18"/>
        <v>8.5</v>
      </c>
    </row>
    <row r="27" spans="2:32" ht="23.1" customHeight="1" x14ac:dyDescent="0.25">
      <c r="B27" s="23" t="s">
        <v>54</v>
      </c>
      <c r="C27" s="49">
        <f>AVERAGE('17.10 KANONI-MITYANA'!C27,'18.10 KANONI-MITYANA-24h'!C27,'19.10 KANONI-MITYANA-24h'!C27,'20.10 KANONI-MITYANA'!C27,'21.10 KANONI-MITYANA'!C27,'22.10 KANONI-MITYANA'!C27,'23.10 KANONI-MITYANA'!C27)</f>
        <v>0.14285714285714285</v>
      </c>
      <c r="D27" s="49">
        <f>AVERAGE('17.10 KANONI-MITYANA'!D27,'18.10 KANONI-MITYANA-24h'!D27,'19.10 KANONI-MITYANA-24h'!D27,'20.10 KANONI-MITYANA'!D27,'21.10 KANONI-MITYANA'!D27,'22.10 KANONI-MITYANA'!D27,'23.10 KANONI-MITYANA'!D27)</f>
        <v>0.14285714285714285</v>
      </c>
      <c r="E27" s="49">
        <f>AVERAGE('17.10 KANONI-MITYANA'!E27,'18.10 KANONI-MITYANA-24h'!E27,'19.10 KANONI-MITYANA-24h'!E27,'20.10 KANONI-MITYANA'!E27,'21.10 KANONI-MITYANA'!E27,'22.10 KANONI-MITYANA'!E27,'23.10 KANONI-MITYANA'!E27)</f>
        <v>0.14285714285714285</v>
      </c>
      <c r="F27" s="49">
        <f>AVERAGE('17.10 KANONI-MITYANA'!F27,'18.10 KANONI-MITYANA-24h'!F27,'19.10 KANONI-MITYANA-24h'!F27,'20.10 KANONI-MITYANA'!F27,'21.10 KANONI-MITYANA'!F27,'22.10 KANONI-MITYANA'!F27,'23.10 KANONI-MITYANA'!F27)</f>
        <v>0</v>
      </c>
      <c r="G27" s="49">
        <f>AVERAGE('17.10 KANONI-MITYANA'!G27,'18.10 KANONI-MITYANA-24h'!G27,'19.10 KANONI-MITYANA-24h'!G27,'20.10 KANONI-MITYANA'!G27,'21.10 KANONI-MITYANA'!G27,'22.10 KANONI-MITYANA'!G27,'23.10 KANONI-MITYANA'!G27)</f>
        <v>0</v>
      </c>
      <c r="H27" s="49">
        <f>AVERAGE('17.10 KANONI-MITYANA'!H27,'18.10 KANONI-MITYANA-24h'!H27,'19.10 KANONI-MITYANA-24h'!H27,'20.10 KANONI-MITYANA'!H27,'21.10 KANONI-MITYANA'!H27,'22.10 KANONI-MITYANA'!H27,'23.10 KANONI-MITYANA'!H27)</f>
        <v>0</v>
      </c>
      <c r="I27" s="49">
        <f>AVERAGE('17.10 KANONI-MITYANA'!I27,'18.10 KANONI-MITYANA-24h'!I27,'19.10 KANONI-MITYANA-24h'!I27,'20.10 KANONI-MITYANA'!I27,'21.10 KANONI-MITYANA'!I27,'22.10 KANONI-MITYANA'!I27,'23.10 KANONI-MITYANA'!I27)</f>
        <v>0.42857142857142855</v>
      </c>
      <c r="J27" s="49">
        <f>AVERAGE('17.10 KANONI-MITYANA'!J27,'18.10 KANONI-MITYANA-24h'!J27,'19.10 KANONI-MITYANA-24h'!J27,'20.10 KANONI-MITYANA'!J27,'21.10 KANONI-MITYANA'!J27,'22.10 KANONI-MITYANA'!J27,'23.10 KANONI-MITYANA'!J27)</f>
        <v>0</v>
      </c>
      <c r="K27" s="49">
        <f>AVERAGE('17.10 KANONI-MITYANA'!K27,'18.10 KANONI-MITYANA-24h'!K27,'19.10 KANONI-MITYANA-24h'!K27,'20.10 KANONI-MITYANA'!K27,'21.10 KANONI-MITYANA'!K27,'22.10 KANONI-MITYANA'!K27,'23.10 KANONI-MITYANA'!K27)</f>
        <v>0</v>
      </c>
      <c r="L27" s="49">
        <f>AVERAGE('17.10 KANONI-MITYANA'!L27,'18.10 KANONI-MITYANA-24h'!L27,'19.10 KANONI-MITYANA-24h'!L27,'20.10 KANONI-MITYANA'!L27,'21.10 KANONI-MITYANA'!L27,'22.10 KANONI-MITYANA'!L27,'23.10 KANONI-MITYANA'!L27)</f>
        <v>0</v>
      </c>
      <c r="M27" s="49">
        <f>AVERAGE('17.10 KANONI-MITYANA'!M27,'18.10 KANONI-MITYANA-24h'!M27,'19.10 KANONI-MITYANA-24h'!M27,'20.10 KANONI-MITYANA'!M27,'21.10 KANONI-MITYANA'!M27,'22.10 KANONI-MITYANA'!M27,'23.10 KANONI-MITYANA'!M27)</f>
        <v>10.142857142857142</v>
      </c>
      <c r="N27" s="49">
        <f>AVERAGE('17.10 KANONI-MITYANA'!N27,'18.10 KANONI-MITYANA-24h'!N27,'19.10 KANONI-MITYANA-24h'!N27,'20.10 KANONI-MITYANA'!N27,'21.10 KANONI-MITYANA'!N27,'22.10 KANONI-MITYANA'!N27,'23.10 KANONI-MITYANA'!N27)</f>
        <v>0</v>
      </c>
      <c r="O27" s="15">
        <f t="shared" si="0"/>
        <v>0.8571428571428571</v>
      </c>
      <c r="P27" s="15">
        <f t="shared" si="1"/>
        <v>11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2.5</v>
      </c>
      <c r="AD27" s="34">
        <f t="shared" si="19"/>
        <v>0</v>
      </c>
      <c r="AE27" s="31">
        <f t="shared" si="19"/>
        <v>0.5</v>
      </c>
      <c r="AF27" s="31">
        <f t="shared" si="19"/>
        <v>3</v>
      </c>
    </row>
    <row r="28" spans="2:32" ht="23.1" customHeight="1" x14ac:dyDescent="0.25">
      <c r="B28" s="23" t="s">
        <v>55</v>
      </c>
      <c r="C28" s="49">
        <f>AVERAGE('17.10 KANONI-MITYANA'!C28,'18.10 KANONI-MITYANA-24h'!C28,'19.10 KANONI-MITYANA-24h'!C28,'20.10 KANONI-MITYANA'!C28,'21.10 KANONI-MITYANA'!C28,'22.10 KANONI-MITYANA'!C28,'23.10 KANONI-MITYANA'!C28)</f>
        <v>0.14285714285714285</v>
      </c>
      <c r="D28" s="49">
        <f>AVERAGE('17.10 KANONI-MITYANA'!D28,'18.10 KANONI-MITYANA-24h'!D28,'19.10 KANONI-MITYANA-24h'!D28,'20.10 KANONI-MITYANA'!D28,'21.10 KANONI-MITYANA'!D28,'22.10 KANONI-MITYANA'!D28,'23.10 KANONI-MITYANA'!D28)</f>
        <v>0.14285714285714285</v>
      </c>
      <c r="E28" s="49">
        <f>AVERAGE('17.10 KANONI-MITYANA'!E28,'18.10 KANONI-MITYANA-24h'!E28,'19.10 KANONI-MITYANA-24h'!E28,'20.10 KANONI-MITYANA'!E28,'21.10 KANONI-MITYANA'!E28,'22.10 KANONI-MITYANA'!E28,'23.10 KANONI-MITYANA'!E28)</f>
        <v>0.14285714285714285</v>
      </c>
      <c r="F28" s="49">
        <f>AVERAGE('17.10 KANONI-MITYANA'!F28,'18.10 KANONI-MITYANA-24h'!F28,'19.10 KANONI-MITYANA-24h'!F28,'20.10 KANONI-MITYANA'!F28,'21.10 KANONI-MITYANA'!F28,'22.10 KANONI-MITYANA'!F28,'23.10 KANONI-MITYANA'!F28)</f>
        <v>0.14285714285714285</v>
      </c>
      <c r="G28" s="49">
        <f>AVERAGE('17.10 KANONI-MITYANA'!G28,'18.10 KANONI-MITYANA-24h'!G28,'19.10 KANONI-MITYANA-24h'!G28,'20.10 KANONI-MITYANA'!G28,'21.10 KANONI-MITYANA'!G28,'22.10 KANONI-MITYANA'!G28,'23.10 KANONI-MITYANA'!G28)</f>
        <v>0</v>
      </c>
      <c r="H28" s="49">
        <f>AVERAGE('17.10 KANONI-MITYANA'!H28,'18.10 KANONI-MITYANA-24h'!H28,'19.10 KANONI-MITYANA-24h'!H28,'20.10 KANONI-MITYANA'!H28,'21.10 KANONI-MITYANA'!H28,'22.10 KANONI-MITYANA'!H28,'23.10 KANONI-MITYANA'!H28)</f>
        <v>0</v>
      </c>
      <c r="I28" s="49">
        <f>AVERAGE('17.10 KANONI-MITYANA'!I28,'18.10 KANONI-MITYANA-24h'!I28,'19.10 KANONI-MITYANA-24h'!I28,'20.10 KANONI-MITYANA'!I28,'21.10 KANONI-MITYANA'!I28,'22.10 KANONI-MITYANA'!I28,'23.10 KANONI-MITYANA'!I28)</f>
        <v>0.42857142857142855</v>
      </c>
      <c r="J28" s="49">
        <f>AVERAGE('17.10 KANONI-MITYANA'!J28,'18.10 KANONI-MITYANA-24h'!J28,'19.10 KANONI-MITYANA-24h'!J28,'20.10 KANONI-MITYANA'!J28,'21.10 KANONI-MITYANA'!J28,'22.10 KANONI-MITYANA'!J28,'23.10 KANONI-MITYANA'!J28)</f>
        <v>0.2857142857142857</v>
      </c>
      <c r="K28" s="49">
        <f>AVERAGE('17.10 KANONI-MITYANA'!K28,'18.10 KANONI-MITYANA-24h'!K28,'19.10 KANONI-MITYANA-24h'!K28,'20.10 KANONI-MITYANA'!K28,'21.10 KANONI-MITYANA'!K28,'22.10 KANONI-MITYANA'!K28,'23.10 KANONI-MITYANA'!K28)</f>
        <v>0</v>
      </c>
      <c r="L28" s="49">
        <f>AVERAGE('17.10 KANONI-MITYANA'!L28,'18.10 KANONI-MITYANA-24h'!L28,'19.10 KANONI-MITYANA-24h'!L28,'20.10 KANONI-MITYANA'!L28,'21.10 KANONI-MITYANA'!L28,'22.10 KANONI-MITYANA'!L28,'23.10 KANONI-MITYANA'!L28)</f>
        <v>0</v>
      </c>
      <c r="M28" s="49">
        <f>AVERAGE('17.10 KANONI-MITYANA'!M28,'18.10 KANONI-MITYANA-24h'!M28,'19.10 KANONI-MITYANA-24h'!M28,'20.10 KANONI-MITYANA'!M28,'21.10 KANONI-MITYANA'!M28,'22.10 KANONI-MITYANA'!M28,'23.10 KANONI-MITYANA'!M28)</f>
        <v>10.285714285714286</v>
      </c>
      <c r="N28" s="49">
        <f>AVERAGE('17.10 KANONI-MITYANA'!N28,'18.10 KANONI-MITYANA-24h'!N28,'19.10 KANONI-MITYANA-24h'!N28,'20.10 KANONI-MITYANA'!N28,'21.10 KANONI-MITYANA'!N28,'22.10 KANONI-MITYANA'!N28,'23.10 KANONI-MITYANA'!N28)</f>
        <v>0</v>
      </c>
      <c r="O28" s="15">
        <f t="shared" si="0"/>
        <v>1.2857142857142856</v>
      </c>
      <c r="P28" s="15">
        <f t="shared" si="1"/>
        <v>11.571428571428573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0</v>
      </c>
      <c r="AF28" s="31">
        <f t="shared" si="20"/>
        <v>1</v>
      </c>
    </row>
    <row r="29" spans="2:32" ht="23.1" customHeight="1" x14ac:dyDescent="0.25">
      <c r="B29" s="23" t="s">
        <v>56</v>
      </c>
      <c r="C29" s="49">
        <f>AVERAGE('17.10 KANONI-MITYANA'!C29,'18.10 KANONI-MITYANA-24h'!C29,'19.10 KANONI-MITYANA-24h'!C29,'20.10 KANONI-MITYANA'!C29,'21.10 KANONI-MITYANA'!C29,'22.10 KANONI-MITYANA'!C29,'23.10 KANONI-MITYANA'!C29)</f>
        <v>0.42857142857142855</v>
      </c>
      <c r="D29" s="49">
        <f>AVERAGE('17.10 KANONI-MITYANA'!D29,'18.10 KANONI-MITYANA-24h'!D29,'19.10 KANONI-MITYANA-24h'!D29,'20.10 KANONI-MITYANA'!D29,'21.10 KANONI-MITYANA'!D29,'22.10 KANONI-MITYANA'!D29,'23.10 KANONI-MITYANA'!D29)</f>
        <v>0</v>
      </c>
      <c r="E29" s="49">
        <f>AVERAGE('17.10 KANONI-MITYANA'!E29,'18.10 KANONI-MITYANA-24h'!E29,'19.10 KANONI-MITYANA-24h'!E29,'20.10 KANONI-MITYANA'!E29,'21.10 KANONI-MITYANA'!E29,'22.10 KANONI-MITYANA'!E29,'23.10 KANONI-MITYANA'!E29)</f>
        <v>0.14285714285714285</v>
      </c>
      <c r="F29" s="49">
        <f>AVERAGE('17.10 KANONI-MITYANA'!F29,'18.10 KANONI-MITYANA-24h'!F29,'19.10 KANONI-MITYANA-24h'!F29,'20.10 KANONI-MITYANA'!F29,'21.10 KANONI-MITYANA'!F29,'22.10 KANONI-MITYANA'!F29,'23.10 KANONI-MITYANA'!F29)</f>
        <v>0.14285714285714285</v>
      </c>
      <c r="G29" s="49">
        <f>AVERAGE('17.10 KANONI-MITYANA'!G29,'18.10 KANONI-MITYANA-24h'!G29,'19.10 KANONI-MITYANA-24h'!G29,'20.10 KANONI-MITYANA'!G29,'21.10 KANONI-MITYANA'!G29,'22.10 KANONI-MITYANA'!G29,'23.10 KANONI-MITYANA'!G29)</f>
        <v>0</v>
      </c>
      <c r="H29" s="49">
        <f>AVERAGE('17.10 KANONI-MITYANA'!H29,'18.10 KANONI-MITYANA-24h'!H29,'19.10 KANONI-MITYANA-24h'!H29,'20.10 KANONI-MITYANA'!H29,'21.10 KANONI-MITYANA'!H29,'22.10 KANONI-MITYANA'!H29,'23.10 KANONI-MITYANA'!H29)</f>
        <v>0</v>
      </c>
      <c r="I29" s="49">
        <f>AVERAGE('17.10 KANONI-MITYANA'!I29,'18.10 KANONI-MITYANA-24h'!I29,'19.10 KANONI-MITYANA-24h'!I29,'20.10 KANONI-MITYANA'!I29,'21.10 KANONI-MITYANA'!I29,'22.10 KANONI-MITYANA'!I29,'23.10 KANONI-MITYANA'!I29)</f>
        <v>0.42857142857142855</v>
      </c>
      <c r="J29" s="49">
        <f>AVERAGE('17.10 KANONI-MITYANA'!J29,'18.10 KANONI-MITYANA-24h'!J29,'19.10 KANONI-MITYANA-24h'!J29,'20.10 KANONI-MITYANA'!J29,'21.10 KANONI-MITYANA'!J29,'22.10 KANONI-MITYANA'!J29,'23.10 KANONI-MITYANA'!J29)</f>
        <v>0.14285714285714285</v>
      </c>
      <c r="K29" s="49">
        <f>AVERAGE('17.10 KANONI-MITYANA'!K29,'18.10 KANONI-MITYANA-24h'!K29,'19.10 KANONI-MITYANA-24h'!K29,'20.10 KANONI-MITYANA'!K29,'21.10 KANONI-MITYANA'!K29,'22.10 KANONI-MITYANA'!K29,'23.10 KANONI-MITYANA'!K29)</f>
        <v>0</v>
      </c>
      <c r="L29" s="49">
        <f>AVERAGE('17.10 KANONI-MITYANA'!L29,'18.10 KANONI-MITYANA-24h'!L29,'19.10 KANONI-MITYANA-24h'!L29,'20.10 KANONI-MITYANA'!L29,'21.10 KANONI-MITYANA'!L29,'22.10 KANONI-MITYANA'!L29,'23.10 KANONI-MITYANA'!L29)</f>
        <v>0</v>
      </c>
      <c r="M29" s="49">
        <f>AVERAGE('17.10 KANONI-MITYANA'!M29,'18.10 KANONI-MITYANA-24h'!M29,'19.10 KANONI-MITYANA-24h'!M29,'20.10 KANONI-MITYANA'!M29,'21.10 KANONI-MITYANA'!M29,'22.10 KANONI-MITYANA'!M29,'23.10 KANONI-MITYANA'!M29)</f>
        <v>12.714285714285714</v>
      </c>
      <c r="N29" s="49">
        <f>AVERAGE('17.10 KANONI-MITYANA'!N29,'18.10 KANONI-MITYANA-24h'!N29,'19.10 KANONI-MITYANA-24h'!N29,'20.10 KANONI-MITYANA'!N29,'21.10 KANONI-MITYANA'!N29,'22.10 KANONI-MITYANA'!N29,'23.10 KANONI-MITYANA'!N29)</f>
        <v>0</v>
      </c>
      <c r="O29" s="15">
        <f t="shared" si="0"/>
        <v>1.2857142857142856</v>
      </c>
      <c r="P29" s="15">
        <f t="shared" si="1"/>
        <v>14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AVERAGE('17.10 KANONI-MITYANA'!C30,'18.10 KANONI-MITYANA-24h'!C30,'19.10 KANONI-MITYANA-24h'!C30,'20.10 KANONI-MITYANA'!C30,'21.10 KANONI-MITYANA'!C30,'22.10 KANONI-MITYANA'!C30,'23.10 KANONI-MITYANA'!C30)</f>
        <v>0.42857142857142855</v>
      </c>
      <c r="D30" s="49">
        <f>AVERAGE('17.10 KANONI-MITYANA'!D30,'18.10 KANONI-MITYANA-24h'!D30,'19.10 KANONI-MITYANA-24h'!D30,'20.10 KANONI-MITYANA'!D30,'21.10 KANONI-MITYANA'!D30,'22.10 KANONI-MITYANA'!D30,'23.10 KANONI-MITYANA'!D30)</f>
        <v>0</v>
      </c>
      <c r="E30" s="49">
        <f>AVERAGE('17.10 KANONI-MITYANA'!E30,'18.10 KANONI-MITYANA-24h'!E30,'19.10 KANONI-MITYANA-24h'!E30,'20.10 KANONI-MITYANA'!E30,'21.10 KANONI-MITYANA'!E30,'22.10 KANONI-MITYANA'!E30,'23.10 KANONI-MITYANA'!E30)</f>
        <v>0.2857142857142857</v>
      </c>
      <c r="F30" s="49">
        <f>AVERAGE('17.10 KANONI-MITYANA'!F30,'18.10 KANONI-MITYANA-24h'!F30,'19.10 KANONI-MITYANA-24h'!F30,'20.10 KANONI-MITYANA'!F30,'21.10 KANONI-MITYANA'!F30,'22.10 KANONI-MITYANA'!F30,'23.10 KANONI-MITYANA'!F30)</f>
        <v>0.14285714285714285</v>
      </c>
      <c r="G30" s="49">
        <f>AVERAGE('17.10 KANONI-MITYANA'!G30,'18.10 KANONI-MITYANA-24h'!G30,'19.10 KANONI-MITYANA-24h'!G30,'20.10 KANONI-MITYANA'!G30,'21.10 KANONI-MITYANA'!G30,'22.10 KANONI-MITYANA'!G30,'23.10 KANONI-MITYANA'!G30)</f>
        <v>0</v>
      </c>
      <c r="H30" s="49">
        <f>AVERAGE('17.10 KANONI-MITYANA'!H30,'18.10 KANONI-MITYANA-24h'!H30,'19.10 KANONI-MITYANA-24h'!H30,'20.10 KANONI-MITYANA'!H30,'21.10 KANONI-MITYANA'!H30,'22.10 KANONI-MITYANA'!H30,'23.10 KANONI-MITYANA'!H30)</f>
        <v>0</v>
      </c>
      <c r="I30" s="49">
        <f>AVERAGE('17.10 KANONI-MITYANA'!I30,'18.10 KANONI-MITYANA-24h'!I30,'19.10 KANONI-MITYANA-24h'!I30,'20.10 KANONI-MITYANA'!I30,'21.10 KANONI-MITYANA'!I30,'22.10 KANONI-MITYANA'!I30,'23.10 KANONI-MITYANA'!I30)</f>
        <v>1</v>
      </c>
      <c r="J30" s="49">
        <f>AVERAGE('17.10 KANONI-MITYANA'!J30,'18.10 KANONI-MITYANA-24h'!J30,'19.10 KANONI-MITYANA-24h'!J30,'20.10 KANONI-MITYANA'!J30,'21.10 KANONI-MITYANA'!J30,'22.10 KANONI-MITYANA'!J30,'23.10 KANONI-MITYANA'!J30)</f>
        <v>0.2857142857142857</v>
      </c>
      <c r="K30" s="49">
        <f>AVERAGE('17.10 KANONI-MITYANA'!K30,'18.10 KANONI-MITYANA-24h'!K30,'19.10 KANONI-MITYANA-24h'!K30,'20.10 KANONI-MITYANA'!K30,'21.10 KANONI-MITYANA'!K30,'22.10 KANONI-MITYANA'!K30,'23.10 KANONI-MITYANA'!K30)</f>
        <v>0</v>
      </c>
      <c r="L30" s="49">
        <f>AVERAGE('17.10 KANONI-MITYANA'!L30,'18.10 KANONI-MITYANA-24h'!L30,'19.10 KANONI-MITYANA-24h'!L30,'20.10 KANONI-MITYANA'!L30,'21.10 KANONI-MITYANA'!L30,'22.10 KANONI-MITYANA'!L30,'23.10 KANONI-MITYANA'!L30)</f>
        <v>0</v>
      </c>
      <c r="M30" s="49">
        <f>AVERAGE('17.10 KANONI-MITYANA'!M30,'18.10 KANONI-MITYANA-24h'!M30,'19.10 KANONI-MITYANA-24h'!M30,'20.10 KANONI-MITYANA'!M30,'21.10 KANONI-MITYANA'!M30,'22.10 KANONI-MITYANA'!M30,'23.10 KANONI-MITYANA'!M30)</f>
        <v>12.285714285714286</v>
      </c>
      <c r="N30" s="49">
        <f>AVERAGE('17.10 KANONI-MITYANA'!N30,'18.10 KANONI-MITYANA-24h'!N30,'19.10 KANONI-MITYANA-24h'!N30,'20.10 KANONI-MITYANA'!N30,'21.10 KANONI-MITYANA'!N30,'22.10 KANONI-MITYANA'!N30,'23.10 KANONI-MITYANA'!N30)</f>
        <v>0</v>
      </c>
      <c r="O30" s="15">
        <f t="shared" si="0"/>
        <v>2.1428571428571428</v>
      </c>
      <c r="P30" s="15">
        <f t="shared" si="1"/>
        <v>14.428571428571429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24" t="s">
        <v>58</v>
      </c>
      <c r="C31" s="49">
        <f>AVERAGE('17.10 KANONI-MITYANA'!C31,'18.10 KANONI-MITYANA-24h'!C31,'19.10 KANONI-MITYANA-24h'!C31,'20.10 KANONI-MITYANA'!C31,'21.10 KANONI-MITYANA'!C31,'22.10 KANONI-MITYANA'!C31,'23.10 KANONI-MITYANA'!C31)</f>
        <v>0.14285714285714285</v>
      </c>
      <c r="D31" s="49">
        <f>AVERAGE('17.10 KANONI-MITYANA'!D31,'18.10 KANONI-MITYANA-24h'!D31,'19.10 KANONI-MITYANA-24h'!D31,'20.10 KANONI-MITYANA'!D31,'21.10 KANONI-MITYANA'!D31,'22.10 KANONI-MITYANA'!D31,'23.10 KANONI-MITYANA'!D31)</f>
        <v>0.14285714285714285</v>
      </c>
      <c r="E31" s="49">
        <f>AVERAGE('17.10 KANONI-MITYANA'!E31,'18.10 KANONI-MITYANA-24h'!E31,'19.10 KANONI-MITYANA-24h'!E31,'20.10 KANONI-MITYANA'!E31,'21.10 KANONI-MITYANA'!E31,'22.10 KANONI-MITYANA'!E31,'23.10 KANONI-MITYANA'!E31)</f>
        <v>0</v>
      </c>
      <c r="F31" s="49">
        <f>AVERAGE('17.10 KANONI-MITYANA'!F31,'18.10 KANONI-MITYANA-24h'!F31,'19.10 KANONI-MITYANA-24h'!F31,'20.10 KANONI-MITYANA'!F31,'21.10 KANONI-MITYANA'!F31,'22.10 KANONI-MITYANA'!F31,'23.10 KANONI-MITYANA'!F31)</f>
        <v>0.14285714285714285</v>
      </c>
      <c r="G31" s="49">
        <f>AVERAGE('17.10 KANONI-MITYANA'!G31,'18.10 KANONI-MITYANA-24h'!G31,'19.10 KANONI-MITYANA-24h'!G31,'20.10 KANONI-MITYANA'!G31,'21.10 KANONI-MITYANA'!G31,'22.10 KANONI-MITYANA'!G31,'23.10 KANONI-MITYANA'!G31)</f>
        <v>0</v>
      </c>
      <c r="H31" s="49">
        <f>AVERAGE('17.10 KANONI-MITYANA'!H31,'18.10 KANONI-MITYANA-24h'!H31,'19.10 KANONI-MITYANA-24h'!H31,'20.10 KANONI-MITYANA'!H31,'21.10 KANONI-MITYANA'!H31,'22.10 KANONI-MITYANA'!H31,'23.10 KANONI-MITYANA'!H31)</f>
        <v>0</v>
      </c>
      <c r="I31" s="49">
        <f>AVERAGE('17.10 KANONI-MITYANA'!I31,'18.10 KANONI-MITYANA-24h'!I31,'19.10 KANONI-MITYANA-24h'!I31,'20.10 KANONI-MITYANA'!I31,'21.10 KANONI-MITYANA'!I31,'22.10 KANONI-MITYANA'!I31,'23.10 KANONI-MITYANA'!I31)</f>
        <v>0.14285714285714285</v>
      </c>
      <c r="J31" s="49">
        <f>AVERAGE('17.10 KANONI-MITYANA'!J31,'18.10 KANONI-MITYANA-24h'!J31,'19.10 KANONI-MITYANA-24h'!J31,'20.10 KANONI-MITYANA'!J31,'21.10 KANONI-MITYANA'!J31,'22.10 KANONI-MITYANA'!J31,'23.10 KANONI-MITYANA'!J31)</f>
        <v>0.14285714285714285</v>
      </c>
      <c r="K31" s="49">
        <f>AVERAGE('17.10 KANONI-MITYANA'!K31,'18.10 KANONI-MITYANA-24h'!K31,'19.10 KANONI-MITYANA-24h'!K31,'20.10 KANONI-MITYANA'!K31,'21.10 KANONI-MITYANA'!K31,'22.10 KANONI-MITYANA'!K31,'23.10 KANONI-MITYANA'!K31)</f>
        <v>0</v>
      </c>
      <c r="L31" s="49">
        <f>AVERAGE('17.10 KANONI-MITYANA'!L31,'18.10 KANONI-MITYANA-24h'!L31,'19.10 KANONI-MITYANA-24h'!L31,'20.10 KANONI-MITYANA'!L31,'21.10 KANONI-MITYANA'!L31,'22.10 KANONI-MITYANA'!L31,'23.10 KANONI-MITYANA'!L31)</f>
        <v>0</v>
      </c>
      <c r="M31" s="49">
        <f>AVERAGE('17.10 KANONI-MITYANA'!M31,'18.10 KANONI-MITYANA-24h'!M31,'19.10 KANONI-MITYANA-24h'!M31,'20.10 KANONI-MITYANA'!M31,'21.10 KANONI-MITYANA'!M31,'22.10 KANONI-MITYANA'!M31,'23.10 KANONI-MITYANA'!M31)</f>
        <v>12.428571428571429</v>
      </c>
      <c r="N31" s="49">
        <f>AVERAGE('17.10 KANONI-MITYANA'!N31,'18.10 KANONI-MITYANA-24h'!N31,'19.10 KANONI-MITYANA-24h'!N31,'20.10 KANONI-MITYANA'!N31,'21.10 KANONI-MITYANA'!N31,'22.10 KANONI-MITYANA'!N31,'23.10 KANONI-MITYANA'!N31)</f>
        <v>0</v>
      </c>
      <c r="O31" s="15">
        <f t="shared" si="0"/>
        <v>0.71428571428571419</v>
      </c>
      <c r="P31" s="15">
        <f t="shared" si="1"/>
        <v>13.142857142857142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AVERAGE('17.10 KANONI-MITYANA'!C32,'18.10 KANONI-MITYANA-24h'!C32,'19.10 KANONI-MITYANA-24h'!C32,'20.10 KANONI-MITYANA'!C32,'21.10 KANONI-MITYANA'!C32,'22.10 KANONI-MITYANA'!C32,'23.10 KANONI-MITYANA'!C32)</f>
        <v>0.5714285714285714</v>
      </c>
      <c r="D32" s="49">
        <f>AVERAGE('17.10 KANONI-MITYANA'!D32,'18.10 KANONI-MITYANA-24h'!D32,'19.10 KANONI-MITYANA-24h'!D32,'20.10 KANONI-MITYANA'!D32,'21.10 KANONI-MITYANA'!D32,'22.10 KANONI-MITYANA'!D32,'23.10 KANONI-MITYANA'!D32)</f>
        <v>0</v>
      </c>
      <c r="E32" s="49">
        <f>AVERAGE('17.10 KANONI-MITYANA'!E32,'18.10 KANONI-MITYANA-24h'!E32,'19.10 KANONI-MITYANA-24h'!E32,'20.10 KANONI-MITYANA'!E32,'21.10 KANONI-MITYANA'!E32,'22.10 KANONI-MITYANA'!E32,'23.10 KANONI-MITYANA'!E32)</f>
        <v>0</v>
      </c>
      <c r="F32" s="49">
        <f>AVERAGE('17.10 KANONI-MITYANA'!F32,'18.10 KANONI-MITYANA-24h'!F32,'19.10 KANONI-MITYANA-24h'!F32,'20.10 KANONI-MITYANA'!F32,'21.10 KANONI-MITYANA'!F32,'22.10 KANONI-MITYANA'!F32,'23.10 KANONI-MITYANA'!F32)</f>
        <v>0.14285714285714285</v>
      </c>
      <c r="G32" s="49">
        <f>AVERAGE('17.10 KANONI-MITYANA'!G32,'18.10 KANONI-MITYANA-24h'!G32,'19.10 KANONI-MITYANA-24h'!G32,'20.10 KANONI-MITYANA'!G32,'21.10 KANONI-MITYANA'!G32,'22.10 KANONI-MITYANA'!G32,'23.10 KANONI-MITYANA'!G32)</f>
        <v>0.14285714285714285</v>
      </c>
      <c r="H32" s="49">
        <f>AVERAGE('17.10 KANONI-MITYANA'!H32,'18.10 KANONI-MITYANA-24h'!H32,'19.10 KANONI-MITYANA-24h'!H32,'20.10 KANONI-MITYANA'!H32,'21.10 KANONI-MITYANA'!H32,'22.10 KANONI-MITYANA'!H32,'23.10 KANONI-MITYANA'!H32)</f>
        <v>0</v>
      </c>
      <c r="I32" s="49">
        <f>AVERAGE('17.10 KANONI-MITYANA'!I32,'18.10 KANONI-MITYANA-24h'!I32,'19.10 KANONI-MITYANA-24h'!I32,'20.10 KANONI-MITYANA'!I32,'21.10 KANONI-MITYANA'!I32,'22.10 KANONI-MITYANA'!I32,'23.10 KANONI-MITYANA'!I32)</f>
        <v>0.42857142857142855</v>
      </c>
      <c r="J32" s="49">
        <f>AVERAGE('17.10 KANONI-MITYANA'!J32,'18.10 KANONI-MITYANA-24h'!J32,'19.10 KANONI-MITYANA-24h'!J32,'20.10 KANONI-MITYANA'!J32,'21.10 KANONI-MITYANA'!J32,'22.10 KANONI-MITYANA'!J32,'23.10 KANONI-MITYANA'!J32)</f>
        <v>0.14285714285714285</v>
      </c>
      <c r="K32" s="49">
        <f>AVERAGE('17.10 KANONI-MITYANA'!K32,'18.10 KANONI-MITYANA-24h'!K32,'19.10 KANONI-MITYANA-24h'!K32,'20.10 KANONI-MITYANA'!K32,'21.10 KANONI-MITYANA'!K32,'22.10 KANONI-MITYANA'!K32,'23.10 KANONI-MITYANA'!K32)</f>
        <v>0</v>
      </c>
      <c r="L32" s="49">
        <f>AVERAGE('17.10 KANONI-MITYANA'!L32,'18.10 KANONI-MITYANA-24h'!L32,'19.10 KANONI-MITYANA-24h'!L32,'20.10 KANONI-MITYANA'!L32,'21.10 KANONI-MITYANA'!L32,'22.10 KANONI-MITYANA'!L32,'23.10 KANONI-MITYANA'!L32)</f>
        <v>0</v>
      </c>
      <c r="M32" s="49">
        <f>AVERAGE('17.10 KANONI-MITYANA'!M32,'18.10 KANONI-MITYANA-24h'!M32,'19.10 KANONI-MITYANA-24h'!M32,'20.10 KANONI-MITYANA'!M32,'21.10 KANONI-MITYANA'!M32,'22.10 KANONI-MITYANA'!M32,'23.10 KANONI-MITYANA'!M32)</f>
        <v>13.428571428571429</v>
      </c>
      <c r="N32" s="49">
        <f>AVERAGE('17.10 KANONI-MITYANA'!N32,'18.10 KANONI-MITYANA-24h'!N32,'19.10 KANONI-MITYANA-24h'!N32,'20.10 KANONI-MITYANA'!N32,'21.10 KANONI-MITYANA'!N32,'22.10 KANONI-MITYANA'!N32,'23.10 KANONI-MITYANA'!N32)</f>
        <v>0</v>
      </c>
      <c r="O32" s="15">
        <f t="shared" si="0"/>
        <v>1.4285714285714284</v>
      </c>
      <c r="P32" s="15">
        <f t="shared" si="1"/>
        <v>14.857142857142858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2.5</v>
      </c>
      <c r="AD32" s="34">
        <f t="shared" si="24"/>
        <v>0</v>
      </c>
      <c r="AE32" s="31">
        <f t="shared" si="24"/>
        <v>0</v>
      </c>
      <c r="AF32" s="31">
        <f t="shared" si="24"/>
        <v>2.5</v>
      </c>
    </row>
    <row r="33" spans="2:32" ht="23.1" customHeight="1" x14ac:dyDescent="0.25">
      <c r="B33" s="23" t="s">
        <v>60</v>
      </c>
      <c r="C33" s="49">
        <f>AVERAGE('17.10 KANONI-MITYANA'!C33,'18.10 KANONI-MITYANA-24h'!C33,'19.10 KANONI-MITYANA-24h'!C33,'20.10 KANONI-MITYANA'!C33,'21.10 KANONI-MITYANA'!C33,'22.10 KANONI-MITYANA'!C33,'23.10 KANONI-MITYANA'!C33)</f>
        <v>0.42857142857142855</v>
      </c>
      <c r="D33" s="49">
        <f>AVERAGE('17.10 KANONI-MITYANA'!D33,'18.10 KANONI-MITYANA-24h'!D33,'19.10 KANONI-MITYANA-24h'!D33,'20.10 KANONI-MITYANA'!D33,'21.10 KANONI-MITYANA'!D33,'22.10 KANONI-MITYANA'!D33,'23.10 KANONI-MITYANA'!D33)</f>
        <v>0</v>
      </c>
      <c r="E33" s="49">
        <f>AVERAGE('17.10 KANONI-MITYANA'!E33,'18.10 KANONI-MITYANA-24h'!E33,'19.10 KANONI-MITYANA-24h'!E33,'20.10 KANONI-MITYANA'!E33,'21.10 KANONI-MITYANA'!E33,'22.10 KANONI-MITYANA'!E33,'23.10 KANONI-MITYANA'!E33)</f>
        <v>0.2857142857142857</v>
      </c>
      <c r="F33" s="49">
        <f>AVERAGE('17.10 KANONI-MITYANA'!F33,'18.10 KANONI-MITYANA-24h'!F33,'19.10 KANONI-MITYANA-24h'!F33,'20.10 KANONI-MITYANA'!F33,'21.10 KANONI-MITYANA'!F33,'22.10 KANONI-MITYANA'!F33,'23.10 KANONI-MITYANA'!F33)</f>
        <v>0</v>
      </c>
      <c r="G33" s="49">
        <f>AVERAGE('17.10 KANONI-MITYANA'!G33,'18.10 KANONI-MITYANA-24h'!G33,'19.10 KANONI-MITYANA-24h'!G33,'20.10 KANONI-MITYANA'!G33,'21.10 KANONI-MITYANA'!G33,'22.10 KANONI-MITYANA'!G33,'23.10 KANONI-MITYANA'!G33)</f>
        <v>0</v>
      </c>
      <c r="H33" s="49">
        <f>AVERAGE('17.10 KANONI-MITYANA'!H33,'18.10 KANONI-MITYANA-24h'!H33,'19.10 KANONI-MITYANA-24h'!H33,'20.10 KANONI-MITYANA'!H33,'21.10 KANONI-MITYANA'!H33,'22.10 KANONI-MITYANA'!H33,'23.10 KANONI-MITYANA'!H33)</f>
        <v>0</v>
      </c>
      <c r="I33" s="49">
        <f>AVERAGE('17.10 KANONI-MITYANA'!I33,'18.10 KANONI-MITYANA-24h'!I33,'19.10 KANONI-MITYANA-24h'!I33,'20.10 KANONI-MITYANA'!I33,'21.10 KANONI-MITYANA'!I33,'22.10 KANONI-MITYANA'!I33,'23.10 KANONI-MITYANA'!I33)</f>
        <v>0.42857142857142855</v>
      </c>
      <c r="J33" s="49">
        <f>AVERAGE('17.10 KANONI-MITYANA'!J33,'18.10 KANONI-MITYANA-24h'!J33,'19.10 KANONI-MITYANA-24h'!J33,'20.10 KANONI-MITYANA'!J33,'21.10 KANONI-MITYANA'!J33,'22.10 KANONI-MITYANA'!J33,'23.10 KANONI-MITYANA'!J33)</f>
        <v>0</v>
      </c>
      <c r="K33" s="49">
        <f>AVERAGE('17.10 KANONI-MITYANA'!K33,'18.10 KANONI-MITYANA-24h'!K33,'19.10 KANONI-MITYANA-24h'!K33,'20.10 KANONI-MITYANA'!K33,'21.10 KANONI-MITYANA'!K33,'22.10 KANONI-MITYANA'!K33,'23.10 KANONI-MITYANA'!K33)</f>
        <v>0</v>
      </c>
      <c r="L33" s="49">
        <f>AVERAGE('17.10 KANONI-MITYANA'!L33,'18.10 KANONI-MITYANA-24h'!L33,'19.10 KANONI-MITYANA-24h'!L33,'20.10 KANONI-MITYANA'!L33,'21.10 KANONI-MITYANA'!L33,'22.10 KANONI-MITYANA'!L33,'23.10 KANONI-MITYANA'!L33)</f>
        <v>0</v>
      </c>
      <c r="M33" s="49">
        <f>AVERAGE('17.10 KANONI-MITYANA'!M33,'18.10 KANONI-MITYANA-24h'!M33,'19.10 KANONI-MITYANA-24h'!M33,'20.10 KANONI-MITYANA'!M33,'21.10 KANONI-MITYANA'!M33,'22.10 KANONI-MITYANA'!M33,'23.10 KANONI-MITYANA'!M33)</f>
        <v>13.857142857142858</v>
      </c>
      <c r="N33" s="49">
        <f>AVERAGE('17.10 KANONI-MITYANA'!N33,'18.10 KANONI-MITYANA-24h'!N33,'19.10 KANONI-MITYANA-24h'!N33,'20.10 KANONI-MITYANA'!N33,'21.10 KANONI-MITYANA'!N33,'22.10 KANONI-MITYANA'!N33,'23.10 KANONI-MITYANA'!N33)</f>
        <v>0</v>
      </c>
      <c r="O33" s="15">
        <f t="shared" si="0"/>
        <v>1.1428571428571428</v>
      </c>
      <c r="P33" s="15">
        <f t="shared" si="1"/>
        <v>15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14</v>
      </c>
      <c r="AD33" s="34">
        <f t="shared" si="25"/>
        <v>0</v>
      </c>
      <c r="AE33" s="31">
        <f t="shared" si="25"/>
        <v>0</v>
      </c>
      <c r="AF33" s="31">
        <f t="shared" si="25"/>
        <v>14</v>
      </c>
    </row>
    <row r="34" spans="2:32" ht="23.1" customHeight="1" x14ac:dyDescent="0.25">
      <c r="B34" s="24" t="s">
        <v>61</v>
      </c>
      <c r="C34" s="49">
        <f>AVERAGE('17.10 KANONI-MITYANA'!C34,'18.10 KANONI-MITYANA-24h'!C34,'19.10 KANONI-MITYANA-24h'!C34,'20.10 KANONI-MITYANA'!C34,'21.10 KANONI-MITYANA'!C34,'22.10 KANONI-MITYANA'!C34,'23.10 KANONI-MITYANA'!C34)</f>
        <v>0.14285714285714285</v>
      </c>
      <c r="D34" s="49">
        <f>AVERAGE('17.10 KANONI-MITYANA'!D34,'18.10 KANONI-MITYANA-24h'!D34,'19.10 KANONI-MITYANA-24h'!D34,'20.10 KANONI-MITYANA'!D34,'21.10 KANONI-MITYANA'!D34,'22.10 KANONI-MITYANA'!D34,'23.10 KANONI-MITYANA'!D34)</f>
        <v>0.14285714285714285</v>
      </c>
      <c r="E34" s="49">
        <f>AVERAGE('17.10 KANONI-MITYANA'!E34,'18.10 KANONI-MITYANA-24h'!E34,'19.10 KANONI-MITYANA-24h'!E34,'20.10 KANONI-MITYANA'!E34,'21.10 KANONI-MITYANA'!E34,'22.10 KANONI-MITYANA'!E34,'23.10 KANONI-MITYANA'!E34)</f>
        <v>0.14285714285714285</v>
      </c>
      <c r="F34" s="49">
        <f>AVERAGE('17.10 KANONI-MITYANA'!F34,'18.10 KANONI-MITYANA-24h'!F34,'19.10 KANONI-MITYANA-24h'!F34,'20.10 KANONI-MITYANA'!F34,'21.10 KANONI-MITYANA'!F34,'22.10 KANONI-MITYANA'!F34,'23.10 KANONI-MITYANA'!F34)</f>
        <v>0.2857142857142857</v>
      </c>
      <c r="G34" s="49">
        <f>AVERAGE('17.10 KANONI-MITYANA'!G34,'18.10 KANONI-MITYANA-24h'!G34,'19.10 KANONI-MITYANA-24h'!G34,'20.10 KANONI-MITYANA'!G34,'21.10 KANONI-MITYANA'!G34,'22.10 KANONI-MITYANA'!G34,'23.10 KANONI-MITYANA'!G34)</f>
        <v>0</v>
      </c>
      <c r="H34" s="49">
        <f>AVERAGE('17.10 KANONI-MITYANA'!H34,'18.10 KANONI-MITYANA-24h'!H34,'19.10 KANONI-MITYANA-24h'!H34,'20.10 KANONI-MITYANA'!H34,'21.10 KANONI-MITYANA'!H34,'22.10 KANONI-MITYANA'!H34,'23.10 KANONI-MITYANA'!H34)</f>
        <v>0</v>
      </c>
      <c r="I34" s="49">
        <f>AVERAGE('17.10 KANONI-MITYANA'!I34,'18.10 KANONI-MITYANA-24h'!I34,'19.10 KANONI-MITYANA-24h'!I34,'20.10 KANONI-MITYANA'!I34,'21.10 KANONI-MITYANA'!I34,'22.10 KANONI-MITYANA'!I34,'23.10 KANONI-MITYANA'!I34)</f>
        <v>0.2857142857142857</v>
      </c>
      <c r="J34" s="49">
        <f>AVERAGE('17.10 KANONI-MITYANA'!J34,'18.10 KANONI-MITYANA-24h'!J34,'19.10 KANONI-MITYANA-24h'!J34,'20.10 KANONI-MITYANA'!J34,'21.10 KANONI-MITYANA'!J34,'22.10 KANONI-MITYANA'!J34,'23.10 KANONI-MITYANA'!J34)</f>
        <v>0.14285714285714285</v>
      </c>
      <c r="K34" s="49">
        <f>AVERAGE('17.10 KANONI-MITYANA'!K34,'18.10 KANONI-MITYANA-24h'!K34,'19.10 KANONI-MITYANA-24h'!K34,'20.10 KANONI-MITYANA'!K34,'21.10 KANONI-MITYANA'!K34,'22.10 KANONI-MITYANA'!K34,'23.10 KANONI-MITYANA'!K34)</f>
        <v>0</v>
      </c>
      <c r="L34" s="49">
        <f>AVERAGE('17.10 KANONI-MITYANA'!L34,'18.10 KANONI-MITYANA-24h'!L34,'19.10 KANONI-MITYANA-24h'!L34,'20.10 KANONI-MITYANA'!L34,'21.10 KANONI-MITYANA'!L34,'22.10 KANONI-MITYANA'!L34,'23.10 KANONI-MITYANA'!L34)</f>
        <v>0</v>
      </c>
      <c r="M34" s="49">
        <f>AVERAGE('17.10 KANONI-MITYANA'!M34,'18.10 KANONI-MITYANA-24h'!M34,'19.10 KANONI-MITYANA-24h'!M34,'20.10 KANONI-MITYANA'!M34,'21.10 KANONI-MITYANA'!M34,'22.10 KANONI-MITYANA'!M34,'23.10 KANONI-MITYANA'!M34)</f>
        <v>10</v>
      </c>
      <c r="N34" s="49">
        <f>AVERAGE('17.10 KANONI-MITYANA'!N34,'18.10 KANONI-MITYANA-24h'!N34,'19.10 KANONI-MITYANA-24h'!N34,'20.10 KANONI-MITYANA'!N34,'21.10 KANONI-MITYANA'!N34,'22.10 KANONI-MITYANA'!N34,'23.10 KANONI-MITYANA'!N34)</f>
        <v>0</v>
      </c>
      <c r="O34" s="15">
        <f t="shared" si="0"/>
        <v>1.1428571428571428</v>
      </c>
      <c r="P34" s="15">
        <f t="shared" si="1"/>
        <v>11.142857142857142</v>
      </c>
      <c r="R34" s="51" t="s">
        <v>90</v>
      </c>
      <c r="S34" s="52">
        <f t="shared" ref="S34:AF34" si="26">MAX(S10:S12)</f>
        <v>3.1428571428571428</v>
      </c>
      <c r="T34" s="52">
        <f t="shared" si="26"/>
        <v>0.2857142857142857</v>
      </c>
      <c r="U34" s="52">
        <f t="shared" si="26"/>
        <v>0.42857142857142855</v>
      </c>
      <c r="V34" s="52">
        <f t="shared" si="26"/>
        <v>1.857142857142857</v>
      </c>
      <c r="W34" s="52">
        <f t="shared" si="26"/>
        <v>0.42857142857142855</v>
      </c>
      <c r="X34" s="52">
        <f t="shared" si="26"/>
        <v>0</v>
      </c>
      <c r="Y34" s="52">
        <f t="shared" si="26"/>
        <v>1.8571428571428572</v>
      </c>
      <c r="Z34" s="52">
        <f t="shared" si="26"/>
        <v>0.14285714285714285</v>
      </c>
      <c r="AA34" s="52">
        <f t="shared" si="26"/>
        <v>0.14285714285714285</v>
      </c>
      <c r="AB34" s="52">
        <f t="shared" si="26"/>
        <v>0</v>
      </c>
      <c r="AC34" s="52">
        <f t="shared" si="26"/>
        <v>43.571428571428577</v>
      </c>
      <c r="AD34" s="52">
        <f t="shared" si="26"/>
        <v>0</v>
      </c>
      <c r="AE34" s="40">
        <f t="shared" si="26"/>
        <v>7.7142857142857135</v>
      </c>
      <c r="AF34" s="40">
        <f t="shared" si="26"/>
        <v>51.285714285714285</v>
      </c>
    </row>
    <row r="35" spans="2:32" ht="23.1" customHeight="1" x14ac:dyDescent="0.25">
      <c r="B35" s="24" t="s">
        <v>62</v>
      </c>
      <c r="C35" s="49">
        <f>AVERAGE('17.10 KANONI-MITYANA'!C35,'18.10 KANONI-MITYANA-24h'!C35,'19.10 KANONI-MITYANA-24h'!C35,'20.10 KANONI-MITYANA'!C35,'21.10 KANONI-MITYANA'!C35,'22.10 KANONI-MITYANA'!C35,'23.10 KANONI-MITYANA'!C35)</f>
        <v>0.7142857142857143</v>
      </c>
      <c r="D35" s="49">
        <f>AVERAGE('17.10 KANONI-MITYANA'!D35,'18.10 KANONI-MITYANA-24h'!D35,'19.10 KANONI-MITYANA-24h'!D35,'20.10 KANONI-MITYANA'!D35,'21.10 KANONI-MITYANA'!D35,'22.10 KANONI-MITYANA'!D35,'23.10 KANONI-MITYANA'!D35)</f>
        <v>0</v>
      </c>
      <c r="E35" s="49">
        <f>AVERAGE('17.10 KANONI-MITYANA'!E35,'18.10 KANONI-MITYANA-24h'!E35,'19.10 KANONI-MITYANA-24h'!E35,'20.10 KANONI-MITYANA'!E35,'21.10 KANONI-MITYANA'!E35,'22.10 KANONI-MITYANA'!E35,'23.10 KANONI-MITYANA'!E35)</f>
        <v>0</v>
      </c>
      <c r="F35" s="49">
        <f>AVERAGE('17.10 KANONI-MITYANA'!F35,'18.10 KANONI-MITYANA-24h'!F35,'19.10 KANONI-MITYANA-24h'!F35,'20.10 KANONI-MITYANA'!F35,'21.10 KANONI-MITYANA'!F35,'22.10 KANONI-MITYANA'!F35,'23.10 KANONI-MITYANA'!F35)</f>
        <v>0.2857142857142857</v>
      </c>
      <c r="G35" s="49">
        <f>AVERAGE('17.10 KANONI-MITYANA'!G35,'18.10 KANONI-MITYANA-24h'!G35,'19.10 KANONI-MITYANA-24h'!G35,'20.10 KANONI-MITYANA'!G35,'21.10 KANONI-MITYANA'!G35,'22.10 KANONI-MITYANA'!G35,'23.10 KANONI-MITYANA'!G35)</f>
        <v>0</v>
      </c>
      <c r="H35" s="49">
        <f>AVERAGE('17.10 KANONI-MITYANA'!H35,'18.10 KANONI-MITYANA-24h'!H35,'19.10 KANONI-MITYANA-24h'!H35,'20.10 KANONI-MITYANA'!H35,'21.10 KANONI-MITYANA'!H35,'22.10 KANONI-MITYANA'!H35,'23.10 KANONI-MITYANA'!H35)</f>
        <v>0</v>
      </c>
      <c r="I35" s="49">
        <f>AVERAGE('17.10 KANONI-MITYANA'!I35,'18.10 KANONI-MITYANA-24h'!I35,'19.10 KANONI-MITYANA-24h'!I35,'20.10 KANONI-MITYANA'!I35,'21.10 KANONI-MITYANA'!I35,'22.10 KANONI-MITYANA'!I35,'23.10 KANONI-MITYANA'!I35)</f>
        <v>0.2857142857142857</v>
      </c>
      <c r="J35" s="49">
        <f>AVERAGE('17.10 KANONI-MITYANA'!J35,'18.10 KANONI-MITYANA-24h'!J35,'19.10 KANONI-MITYANA-24h'!J35,'20.10 KANONI-MITYANA'!J35,'21.10 KANONI-MITYANA'!J35,'22.10 KANONI-MITYANA'!J35,'23.10 KANONI-MITYANA'!J35)</f>
        <v>0</v>
      </c>
      <c r="K35" s="49">
        <f>AVERAGE('17.10 KANONI-MITYANA'!K35,'18.10 KANONI-MITYANA-24h'!K35,'19.10 KANONI-MITYANA-24h'!K35,'20.10 KANONI-MITYANA'!K35,'21.10 KANONI-MITYANA'!K35,'22.10 KANONI-MITYANA'!K35,'23.10 KANONI-MITYANA'!K35)</f>
        <v>0</v>
      </c>
      <c r="L35" s="49">
        <f>AVERAGE('17.10 KANONI-MITYANA'!L35,'18.10 KANONI-MITYANA-24h'!L35,'19.10 KANONI-MITYANA-24h'!L35,'20.10 KANONI-MITYANA'!L35,'21.10 KANONI-MITYANA'!L35,'22.10 KANONI-MITYANA'!L35,'23.10 KANONI-MITYANA'!L35)</f>
        <v>0</v>
      </c>
      <c r="M35" s="49">
        <f>AVERAGE('17.10 KANONI-MITYANA'!M35,'18.10 KANONI-MITYANA-24h'!M35,'19.10 KANONI-MITYANA-24h'!M35,'20.10 KANONI-MITYANA'!M35,'21.10 KANONI-MITYANA'!M35,'22.10 KANONI-MITYANA'!M35,'23.10 KANONI-MITYANA'!M35)</f>
        <v>11.571428571428571</v>
      </c>
      <c r="N35" s="49">
        <f>AVERAGE('17.10 KANONI-MITYANA'!N35,'18.10 KANONI-MITYANA-24h'!N35,'19.10 KANONI-MITYANA-24h'!N35,'20.10 KANONI-MITYANA'!N35,'21.10 KANONI-MITYANA'!N35,'22.10 KANONI-MITYANA'!N35,'23.10 KANONI-MITYANA'!N35)</f>
        <v>0</v>
      </c>
      <c r="O35" s="15">
        <f t="shared" si="0"/>
        <v>1.2857142857142856</v>
      </c>
      <c r="P35" s="15">
        <f t="shared" si="1"/>
        <v>12.857142857142858</v>
      </c>
      <c r="R35" s="51" t="s">
        <v>91</v>
      </c>
      <c r="S35" s="52">
        <f t="shared" ref="S35:AF35" si="27">MAX(S13:S18)</f>
        <v>3.5714285714285712</v>
      </c>
      <c r="T35" s="52">
        <f t="shared" si="27"/>
        <v>1.7142857142857142</v>
      </c>
      <c r="U35" s="52">
        <f t="shared" si="27"/>
        <v>0.99999999999999978</v>
      </c>
      <c r="V35" s="52">
        <f t="shared" si="27"/>
        <v>0.71428571428571419</v>
      </c>
      <c r="W35" s="52">
        <f t="shared" si="27"/>
        <v>0.14285714285714285</v>
      </c>
      <c r="X35" s="52">
        <f t="shared" si="27"/>
        <v>0</v>
      </c>
      <c r="Y35" s="52">
        <f t="shared" si="27"/>
        <v>3</v>
      </c>
      <c r="Z35" s="52">
        <f t="shared" si="27"/>
        <v>0.71428571428571419</v>
      </c>
      <c r="AA35" s="52">
        <f t="shared" si="27"/>
        <v>0.2857142857142857</v>
      </c>
      <c r="AB35" s="52">
        <f t="shared" si="27"/>
        <v>0</v>
      </c>
      <c r="AC35" s="52">
        <f t="shared" si="27"/>
        <v>56.285714285714285</v>
      </c>
      <c r="AD35" s="52">
        <f t="shared" si="27"/>
        <v>0</v>
      </c>
      <c r="AE35" s="40">
        <f t="shared" si="27"/>
        <v>9.2857142857142847</v>
      </c>
      <c r="AF35" s="40">
        <f t="shared" si="27"/>
        <v>64</v>
      </c>
    </row>
    <row r="36" spans="2:32" ht="23.1" customHeight="1" x14ac:dyDescent="0.25">
      <c r="B36" s="24" t="s">
        <v>63</v>
      </c>
      <c r="C36" s="49">
        <f>AVERAGE('17.10 KANONI-MITYANA'!C36,'18.10 KANONI-MITYANA-24h'!C36,'19.10 KANONI-MITYANA-24h'!C36,'20.10 KANONI-MITYANA'!C36,'21.10 KANONI-MITYANA'!C36,'22.10 KANONI-MITYANA'!C36,'23.10 KANONI-MITYANA'!C36)</f>
        <v>0.5714285714285714</v>
      </c>
      <c r="D36" s="49">
        <f>AVERAGE('17.10 KANONI-MITYANA'!D36,'18.10 KANONI-MITYANA-24h'!D36,'19.10 KANONI-MITYANA-24h'!D36,'20.10 KANONI-MITYANA'!D36,'21.10 KANONI-MITYANA'!D36,'22.10 KANONI-MITYANA'!D36,'23.10 KANONI-MITYANA'!D36)</f>
        <v>0.42857142857142855</v>
      </c>
      <c r="E36" s="49">
        <f>AVERAGE('17.10 KANONI-MITYANA'!E36,'18.10 KANONI-MITYANA-24h'!E36,'19.10 KANONI-MITYANA-24h'!E36,'20.10 KANONI-MITYANA'!E36,'21.10 KANONI-MITYANA'!E36,'22.10 KANONI-MITYANA'!E36,'23.10 KANONI-MITYANA'!E36)</f>
        <v>0.2857142857142857</v>
      </c>
      <c r="F36" s="49">
        <f>AVERAGE('17.10 KANONI-MITYANA'!F36,'18.10 KANONI-MITYANA-24h'!F36,'19.10 KANONI-MITYANA-24h'!F36,'20.10 KANONI-MITYANA'!F36,'21.10 KANONI-MITYANA'!F36,'22.10 KANONI-MITYANA'!F36,'23.10 KANONI-MITYANA'!F36)</f>
        <v>0</v>
      </c>
      <c r="G36" s="49">
        <f>AVERAGE('17.10 KANONI-MITYANA'!G36,'18.10 KANONI-MITYANA-24h'!G36,'19.10 KANONI-MITYANA-24h'!G36,'20.10 KANONI-MITYANA'!G36,'21.10 KANONI-MITYANA'!G36,'22.10 KANONI-MITYANA'!G36,'23.10 KANONI-MITYANA'!G36)</f>
        <v>0</v>
      </c>
      <c r="H36" s="49">
        <f>AVERAGE('17.10 KANONI-MITYANA'!H36,'18.10 KANONI-MITYANA-24h'!H36,'19.10 KANONI-MITYANA-24h'!H36,'20.10 KANONI-MITYANA'!H36,'21.10 KANONI-MITYANA'!H36,'22.10 KANONI-MITYANA'!H36,'23.10 KANONI-MITYANA'!H36)</f>
        <v>0</v>
      </c>
      <c r="I36" s="49">
        <f>AVERAGE('17.10 KANONI-MITYANA'!I36,'18.10 KANONI-MITYANA-24h'!I36,'19.10 KANONI-MITYANA-24h'!I36,'20.10 KANONI-MITYANA'!I36,'21.10 KANONI-MITYANA'!I36,'22.10 KANONI-MITYANA'!I36,'23.10 KANONI-MITYANA'!I36)</f>
        <v>0.8571428571428571</v>
      </c>
      <c r="J36" s="49">
        <f>AVERAGE('17.10 KANONI-MITYANA'!J36,'18.10 KANONI-MITYANA-24h'!J36,'19.10 KANONI-MITYANA-24h'!J36,'20.10 KANONI-MITYANA'!J36,'21.10 KANONI-MITYANA'!J36,'22.10 KANONI-MITYANA'!J36,'23.10 KANONI-MITYANA'!J36)</f>
        <v>0</v>
      </c>
      <c r="K36" s="49">
        <f>AVERAGE('17.10 KANONI-MITYANA'!K36,'18.10 KANONI-MITYANA-24h'!K36,'19.10 KANONI-MITYANA-24h'!K36,'20.10 KANONI-MITYANA'!K36,'21.10 KANONI-MITYANA'!K36,'22.10 KANONI-MITYANA'!K36,'23.10 KANONI-MITYANA'!K36)</f>
        <v>0</v>
      </c>
      <c r="L36" s="49">
        <f>AVERAGE('17.10 KANONI-MITYANA'!L36,'18.10 KANONI-MITYANA-24h'!L36,'19.10 KANONI-MITYANA-24h'!L36,'20.10 KANONI-MITYANA'!L36,'21.10 KANONI-MITYANA'!L36,'22.10 KANONI-MITYANA'!L36,'23.10 KANONI-MITYANA'!L36)</f>
        <v>0</v>
      </c>
      <c r="M36" s="49">
        <f>AVERAGE('17.10 KANONI-MITYANA'!M36,'18.10 KANONI-MITYANA-24h'!M36,'19.10 KANONI-MITYANA-24h'!M36,'20.10 KANONI-MITYANA'!M36,'21.10 KANONI-MITYANA'!M36,'22.10 KANONI-MITYANA'!M36,'23.10 KANONI-MITYANA'!M36)</f>
        <v>13.428571428571429</v>
      </c>
      <c r="N36" s="49">
        <f>AVERAGE('17.10 KANONI-MITYANA'!N36,'18.10 KANONI-MITYANA-24h'!N36,'19.10 KANONI-MITYANA-24h'!N36,'20.10 KANONI-MITYANA'!N36,'21.10 KANONI-MITYANA'!N36,'22.10 KANONI-MITYANA'!N36,'23.10 KANONI-MITYANA'!N36)</f>
        <v>0</v>
      </c>
      <c r="O36" s="15">
        <f t="shared" si="0"/>
        <v>2.1428571428571428</v>
      </c>
      <c r="P36" s="15">
        <f t="shared" si="1"/>
        <v>15.571428571428571</v>
      </c>
      <c r="R36" s="51" t="s">
        <v>92</v>
      </c>
      <c r="S36" s="52">
        <f t="shared" ref="S36:AF36" si="28">MAX(S19:S21)</f>
        <v>4.1428571428571432</v>
      </c>
      <c r="T36" s="52">
        <f t="shared" si="28"/>
        <v>0.42857142857142855</v>
      </c>
      <c r="U36" s="52">
        <f t="shared" si="28"/>
        <v>2.2857142857142856</v>
      </c>
      <c r="V36" s="52">
        <f t="shared" si="28"/>
        <v>2.4285714285714284</v>
      </c>
      <c r="W36" s="52">
        <f t="shared" si="28"/>
        <v>0.14285714285714285</v>
      </c>
      <c r="X36" s="52">
        <f t="shared" si="28"/>
        <v>0</v>
      </c>
      <c r="Y36" s="52">
        <f t="shared" si="28"/>
        <v>3.714285714285714</v>
      </c>
      <c r="Z36" s="52">
        <f t="shared" si="28"/>
        <v>1.1428571428571428</v>
      </c>
      <c r="AA36" s="52">
        <f t="shared" si="28"/>
        <v>0</v>
      </c>
      <c r="AB36" s="52">
        <f t="shared" si="28"/>
        <v>0</v>
      </c>
      <c r="AC36" s="52">
        <f t="shared" si="28"/>
        <v>66.571428571428569</v>
      </c>
      <c r="AD36" s="52">
        <f t="shared" si="28"/>
        <v>0.14285714285714285</v>
      </c>
      <c r="AE36" s="40">
        <f t="shared" si="28"/>
        <v>11.857142857142856</v>
      </c>
      <c r="AF36" s="40">
        <f t="shared" si="28"/>
        <v>78.428571428571431</v>
      </c>
    </row>
    <row r="37" spans="2:32" ht="23.1" customHeight="1" x14ac:dyDescent="0.25">
      <c r="B37" s="23" t="s">
        <v>64</v>
      </c>
      <c r="C37" s="49">
        <f>AVERAGE('17.10 KANONI-MITYANA'!C37,'18.10 KANONI-MITYANA-24h'!C37,'19.10 KANONI-MITYANA-24h'!C37,'20.10 KANONI-MITYANA'!C37,'21.10 KANONI-MITYANA'!C37,'22.10 KANONI-MITYANA'!C37,'23.10 KANONI-MITYANA'!C37)</f>
        <v>0.5714285714285714</v>
      </c>
      <c r="D37" s="49">
        <f>AVERAGE('17.10 KANONI-MITYANA'!D37,'18.10 KANONI-MITYANA-24h'!D37,'19.10 KANONI-MITYANA-24h'!D37,'20.10 KANONI-MITYANA'!D37,'21.10 KANONI-MITYANA'!D37,'22.10 KANONI-MITYANA'!D37,'23.10 KANONI-MITYANA'!D37)</f>
        <v>0</v>
      </c>
      <c r="E37" s="49">
        <f>AVERAGE('17.10 KANONI-MITYANA'!E37,'18.10 KANONI-MITYANA-24h'!E37,'19.10 KANONI-MITYANA-24h'!E37,'20.10 KANONI-MITYANA'!E37,'21.10 KANONI-MITYANA'!E37,'22.10 KANONI-MITYANA'!E37,'23.10 KANONI-MITYANA'!E37)</f>
        <v>0.2857142857142857</v>
      </c>
      <c r="F37" s="49">
        <f>AVERAGE('17.10 KANONI-MITYANA'!F37,'18.10 KANONI-MITYANA-24h'!F37,'19.10 KANONI-MITYANA-24h'!F37,'20.10 KANONI-MITYANA'!F37,'21.10 KANONI-MITYANA'!F37,'22.10 KANONI-MITYANA'!F37,'23.10 KANONI-MITYANA'!F37)</f>
        <v>0</v>
      </c>
      <c r="G37" s="49">
        <f>AVERAGE('17.10 KANONI-MITYANA'!G37,'18.10 KANONI-MITYANA-24h'!G37,'19.10 KANONI-MITYANA-24h'!G37,'20.10 KANONI-MITYANA'!G37,'21.10 KANONI-MITYANA'!G37,'22.10 KANONI-MITYANA'!G37,'23.10 KANONI-MITYANA'!G37)</f>
        <v>0</v>
      </c>
      <c r="H37" s="49">
        <f>AVERAGE('17.10 KANONI-MITYANA'!H37,'18.10 KANONI-MITYANA-24h'!H37,'19.10 KANONI-MITYANA-24h'!H37,'20.10 KANONI-MITYANA'!H37,'21.10 KANONI-MITYANA'!H37,'22.10 KANONI-MITYANA'!H37,'23.10 KANONI-MITYANA'!H37)</f>
        <v>0</v>
      </c>
      <c r="I37" s="49">
        <f>AVERAGE('17.10 KANONI-MITYANA'!I37,'18.10 KANONI-MITYANA-24h'!I37,'19.10 KANONI-MITYANA-24h'!I37,'20.10 KANONI-MITYANA'!I37,'21.10 KANONI-MITYANA'!I37,'22.10 KANONI-MITYANA'!I37,'23.10 KANONI-MITYANA'!I37)</f>
        <v>0.14285714285714285</v>
      </c>
      <c r="J37" s="49">
        <f>AVERAGE('17.10 KANONI-MITYANA'!J37,'18.10 KANONI-MITYANA-24h'!J37,'19.10 KANONI-MITYANA-24h'!J37,'20.10 KANONI-MITYANA'!J37,'21.10 KANONI-MITYANA'!J37,'22.10 KANONI-MITYANA'!J37,'23.10 KANONI-MITYANA'!J37)</f>
        <v>0</v>
      </c>
      <c r="K37" s="49">
        <f>AVERAGE('17.10 KANONI-MITYANA'!K37,'18.10 KANONI-MITYANA-24h'!K37,'19.10 KANONI-MITYANA-24h'!K37,'20.10 KANONI-MITYANA'!K37,'21.10 KANONI-MITYANA'!K37,'22.10 KANONI-MITYANA'!K37,'23.10 KANONI-MITYANA'!K37)</f>
        <v>0</v>
      </c>
      <c r="L37" s="49">
        <f>AVERAGE('17.10 KANONI-MITYANA'!L37,'18.10 KANONI-MITYANA-24h'!L37,'19.10 KANONI-MITYANA-24h'!L37,'20.10 KANONI-MITYANA'!L37,'21.10 KANONI-MITYANA'!L37,'22.10 KANONI-MITYANA'!L37,'23.10 KANONI-MITYANA'!L37)</f>
        <v>0</v>
      </c>
      <c r="M37" s="49">
        <f>AVERAGE('17.10 KANONI-MITYANA'!M37,'18.10 KANONI-MITYANA-24h'!M37,'19.10 KANONI-MITYANA-24h'!M37,'20.10 KANONI-MITYANA'!M37,'21.10 KANONI-MITYANA'!M37,'22.10 KANONI-MITYANA'!M37,'23.10 KANONI-MITYANA'!M37)</f>
        <v>13</v>
      </c>
      <c r="N37" s="49">
        <f>AVERAGE('17.10 KANONI-MITYANA'!N37,'18.10 KANONI-MITYANA-24h'!N37,'19.10 KANONI-MITYANA-24h'!N37,'20.10 KANONI-MITYANA'!N37,'21.10 KANONI-MITYANA'!N37,'22.10 KANONI-MITYANA'!N37,'23.10 KANONI-MITYANA'!N37)</f>
        <v>0</v>
      </c>
      <c r="O37" s="15">
        <f t="shared" si="0"/>
        <v>1</v>
      </c>
      <c r="P37" s="15">
        <f t="shared" si="1"/>
        <v>14</v>
      </c>
      <c r="R37" s="37" t="s">
        <v>85</v>
      </c>
      <c r="S37" s="53">
        <f t="shared" ref="S37:AF37" si="29">SUM(S10:S12)</f>
        <v>7.5714285714285712</v>
      </c>
      <c r="T37" s="54">
        <f t="shared" si="29"/>
        <v>0.2857142857142857</v>
      </c>
      <c r="U37" s="54">
        <f t="shared" si="29"/>
        <v>0.8571428571428571</v>
      </c>
      <c r="V37" s="54">
        <f t="shared" si="29"/>
        <v>3.4285714285714284</v>
      </c>
      <c r="W37" s="54">
        <f t="shared" si="29"/>
        <v>0.42857142857142855</v>
      </c>
      <c r="X37" s="54">
        <f t="shared" si="29"/>
        <v>0</v>
      </c>
      <c r="Y37" s="54">
        <f t="shared" si="29"/>
        <v>3.4285714285714284</v>
      </c>
      <c r="Z37" s="54">
        <f t="shared" si="29"/>
        <v>0.14285714285714285</v>
      </c>
      <c r="AA37" s="54">
        <f t="shared" si="29"/>
        <v>0.14285714285714285</v>
      </c>
      <c r="AB37" s="54">
        <f t="shared" si="29"/>
        <v>0</v>
      </c>
      <c r="AC37" s="54">
        <f t="shared" si="29"/>
        <v>117.42857142857144</v>
      </c>
      <c r="AD37" s="54">
        <f t="shared" si="29"/>
        <v>0</v>
      </c>
      <c r="AE37" s="55">
        <f t="shared" si="29"/>
        <v>16.285714285714285</v>
      </c>
      <c r="AF37" s="55">
        <f t="shared" si="29"/>
        <v>133.71428571428572</v>
      </c>
    </row>
    <row r="38" spans="2:32" ht="23.1" customHeight="1" x14ac:dyDescent="0.25">
      <c r="B38" s="24" t="s">
        <v>65</v>
      </c>
      <c r="C38" s="49">
        <f>AVERAGE('17.10 KANONI-MITYANA'!C38,'18.10 KANONI-MITYANA-24h'!C38,'19.10 KANONI-MITYANA-24h'!C38,'20.10 KANONI-MITYANA'!C38,'21.10 KANONI-MITYANA'!C38,'22.10 KANONI-MITYANA'!C38,'23.10 KANONI-MITYANA'!C38)</f>
        <v>0.14285714285714285</v>
      </c>
      <c r="D38" s="49">
        <f>AVERAGE('17.10 KANONI-MITYANA'!D38,'18.10 KANONI-MITYANA-24h'!D38,'19.10 KANONI-MITYANA-24h'!D38,'20.10 KANONI-MITYANA'!D38,'21.10 KANONI-MITYANA'!D38,'22.10 KANONI-MITYANA'!D38,'23.10 KANONI-MITYANA'!D38)</f>
        <v>1.2857142857142858</v>
      </c>
      <c r="E38" s="49">
        <f>AVERAGE('17.10 KANONI-MITYANA'!E38,'18.10 KANONI-MITYANA-24h'!E38,'19.10 KANONI-MITYANA-24h'!E38,'20.10 KANONI-MITYANA'!E38,'21.10 KANONI-MITYANA'!E38,'22.10 KANONI-MITYANA'!E38,'23.10 KANONI-MITYANA'!E38)</f>
        <v>0</v>
      </c>
      <c r="F38" s="49">
        <f>AVERAGE('17.10 KANONI-MITYANA'!F38,'18.10 KANONI-MITYANA-24h'!F38,'19.10 KANONI-MITYANA-24h'!F38,'20.10 KANONI-MITYANA'!F38,'21.10 KANONI-MITYANA'!F38,'22.10 KANONI-MITYANA'!F38,'23.10 KANONI-MITYANA'!F38)</f>
        <v>0.2857142857142857</v>
      </c>
      <c r="G38" s="49">
        <f>AVERAGE('17.10 KANONI-MITYANA'!G38,'18.10 KANONI-MITYANA-24h'!G38,'19.10 KANONI-MITYANA-24h'!G38,'20.10 KANONI-MITYANA'!G38,'21.10 KANONI-MITYANA'!G38,'22.10 KANONI-MITYANA'!G38,'23.10 KANONI-MITYANA'!G38)</f>
        <v>0.14285714285714285</v>
      </c>
      <c r="H38" s="49">
        <f>AVERAGE('17.10 KANONI-MITYANA'!H38,'18.10 KANONI-MITYANA-24h'!H38,'19.10 KANONI-MITYANA-24h'!H38,'20.10 KANONI-MITYANA'!H38,'21.10 KANONI-MITYANA'!H38,'22.10 KANONI-MITYANA'!H38,'23.10 KANONI-MITYANA'!H38)</f>
        <v>0</v>
      </c>
      <c r="I38" s="49">
        <f>AVERAGE('17.10 KANONI-MITYANA'!I38,'18.10 KANONI-MITYANA-24h'!I38,'19.10 KANONI-MITYANA-24h'!I38,'20.10 KANONI-MITYANA'!I38,'21.10 KANONI-MITYANA'!I38,'22.10 KANONI-MITYANA'!I38,'23.10 KANONI-MITYANA'!I38)</f>
        <v>0.42857142857142855</v>
      </c>
      <c r="J38" s="49">
        <f>AVERAGE('17.10 KANONI-MITYANA'!J38,'18.10 KANONI-MITYANA-24h'!J38,'19.10 KANONI-MITYANA-24h'!J38,'20.10 KANONI-MITYANA'!J38,'21.10 KANONI-MITYANA'!J38,'22.10 KANONI-MITYANA'!J38,'23.10 KANONI-MITYANA'!J38)</f>
        <v>0.2857142857142857</v>
      </c>
      <c r="K38" s="49">
        <f>AVERAGE('17.10 KANONI-MITYANA'!K38,'18.10 KANONI-MITYANA-24h'!K38,'19.10 KANONI-MITYANA-24h'!K38,'20.10 KANONI-MITYANA'!K38,'21.10 KANONI-MITYANA'!K38,'22.10 KANONI-MITYANA'!K38,'23.10 KANONI-MITYANA'!K38)</f>
        <v>0</v>
      </c>
      <c r="L38" s="49">
        <f>AVERAGE('17.10 KANONI-MITYANA'!L38,'18.10 KANONI-MITYANA-24h'!L38,'19.10 KANONI-MITYANA-24h'!L38,'20.10 KANONI-MITYANA'!L38,'21.10 KANONI-MITYANA'!L38,'22.10 KANONI-MITYANA'!L38,'23.10 KANONI-MITYANA'!L38)</f>
        <v>0</v>
      </c>
      <c r="M38" s="49">
        <f>AVERAGE('17.10 KANONI-MITYANA'!M38,'18.10 KANONI-MITYANA-24h'!M38,'19.10 KANONI-MITYANA-24h'!M38,'20.10 KANONI-MITYANA'!M38,'21.10 KANONI-MITYANA'!M38,'22.10 KANONI-MITYANA'!M38,'23.10 KANONI-MITYANA'!M38)</f>
        <v>12.428571428571429</v>
      </c>
      <c r="N38" s="49">
        <f>AVERAGE('17.10 KANONI-MITYANA'!N38,'18.10 KANONI-MITYANA-24h'!N38,'19.10 KANONI-MITYANA-24h'!N38,'20.10 KANONI-MITYANA'!N38,'21.10 KANONI-MITYANA'!N38,'22.10 KANONI-MITYANA'!N38,'23.10 KANONI-MITYANA'!N38)</f>
        <v>0</v>
      </c>
      <c r="O38" s="15">
        <f t="shared" si="0"/>
        <v>2.5714285714285712</v>
      </c>
      <c r="P38" s="15">
        <f t="shared" si="1"/>
        <v>15</v>
      </c>
      <c r="R38" s="28" t="s">
        <v>86</v>
      </c>
      <c r="S38" s="54">
        <f t="shared" ref="S38:AF38" si="30">SUM(S13:S18)</f>
        <v>13</v>
      </c>
      <c r="T38" s="54">
        <f t="shared" si="30"/>
        <v>3.1428571428571428</v>
      </c>
      <c r="U38" s="54">
        <f t="shared" si="30"/>
        <v>3.714285714285714</v>
      </c>
      <c r="V38" s="54">
        <f t="shared" si="30"/>
        <v>2.8571428571428572</v>
      </c>
      <c r="W38" s="54">
        <f t="shared" si="30"/>
        <v>0.2857142857142857</v>
      </c>
      <c r="X38" s="54">
        <f t="shared" si="30"/>
        <v>0</v>
      </c>
      <c r="Y38" s="54">
        <f t="shared" si="30"/>
        <v>11.571428571428571</v>
      </c>
      <c r="Z38" s="54">
        <f t="shared" si="30"/>
        <v>3.1428571428571423</v>
      </c>
      <c r="AA38" s="54">
        <f t="shared" si="30"/>
        <v>0.2857142857142857</v>
      </c>
      <c r="AB38" s="54">
        <f t="shared" si="30"/>
        <v>0</v>
      </c>
      <c r="AC38" s="54">
        <f t="shared" si="30"/>
        <v>305.85714285714289</v>
      </c>
      <c r="AD38" s="54">
        <f t="shared" si="30"/>
        <v>0</v>
      </c>
      <c r="AE38" s="55">
        <f t="shared" si="30"/>
        <v>37.999999999999993</v>
      </c>
      <c r="AF38" s="55">
        <f t="shared" si="30"/>
        <v>343.85714285714289</v>
      </c>
    </row>
    <row r="39" spans="2:32" ht="23.1" customHeight="1" x14ac:dyDescent="0.25">
      <c r="B39" s="24" t="s">
        <v>66</v>
      </c>
      <c r="C39" s="49">
        <f>AVERAGE('17.10 KANONI-MITYANA'!C39,'18.10 KANONI-MITYANA-24h'!C39,'19.10 KANONI-MITYANA-24h'!C39,'20.10 KANONI-MITYANA'!C39,'21.10 KANONI-MITYANA'!C39,'22.10 KANONI-MITYANA'!C39,'23.10 KANONI-MITYANA'!C39)</f>
        <v>1.2857142857142858</v>
      </c>
      <c r="D39" s="49">
        <f>AVERAGE('17.10 KANONI-MITYANA'!D39,'18.10 KANONI-MITYANA-24h'!D39,'19.10 KANONI-MITYANA-24h'!D39,'20.10 KANONI-MITYANA'!D39,'21.10 KANONI-MITYANA'!D39,'22.10 KANONI-MITYANA'!D39,'23.10 KANONI-MITYANA'!D39)</f>
        <v>0.14285714285714285</v>
      </c>
      <c r="E39" s="49">
        <f>AVERAGE('17.10 KANONI-MITYANA'!E39,'18.10 KANONI-MITYANA-24h'!E39,'19.10 KANONI-MITYANA-24h'!E39,'20.10 KANONI-MITYANA'!E39,'21.10 KANONI-MITYANA'!E39,'22.10 KANONI-MITYANA'!E39,'23.10 KANONI-MITYANA'!E39)</f>
        <v>0.42857142857142855</v>
      </c>
      <c r="F39" s="49">
        <f>AVERAGE('17.10 KANONI-MITYANA'!F39,'18.10 KANONI-MITYANA-24h'!F39,'19.10 KANONI-MITYANA-24h'!F39,'20.10 KANONI-MITYANA'!F39,'21.10 KANONI-MITYANA'!F39,'22.10 KANONI-MITYANA'!F39,'23.10 KANONI-MITYANA'!F39)</f>
        <v>0.2857142857142857</v>
      </c>
      <c r="G39" s="49">
        <f>AVERAGE('17.10 KANONI-MITYANA'!G39,'18.10 KANONI-MITYANA-24h'!G39,'19.10 KANONI-MITYANA-24h'!G39,'20.10 KANONI-MITYANA'!G39,'21.10 KANONI-MITYANA'!G39,'22.10 KANONI-MITYANA'!G39,'23.10 KANONI-MITYANA'!G39)</f>
        <v>0</v>
      </c>
      <c r="H39" s="49">
        <f>AVERAGE('17.10 KANONI-MITYANA'!H39,'18.10 KANONI-MITYANA-24h'!H39,'19.10 KANONI-MITYANA-24h'!H39,'20.10 KANONI-MITYANA'!H39,'21.10 KANONI-MITYANA'!H39,'22.10 KANONI-MITYANA'!H39,'23.10 KANONI-MITYANA'!H39)</f>
        <v>0</v>
      </c>
      <c r="I39" s="49">
        <f>AVERAGE('17.10 KANONI-MITYANA'!I39,'18.10 KANONI-MITYANA-24h'!I39,'19.10 KANONI-MITYANA-24h'!I39,'20.10 KANONI-MITYANA'!I39,'21.10 KANONI-MITYANA'!I39,'22.10 KANONI-MITYANA'!I39,'23.10 KANONI-MITYANA'!I39)</f>
        <v>0.42857142857142855</v>
      </c>
      <c r="J39" s="49">
        <f>AVERAGE('17.10 KANONI-MITYANA'!J39,'18.10 KANONI-MITYANA-24h'!J39,'19.10 KANONI-MITYANA-24h'!J39,'20.10 KANONI-MITYANA'!J39,'21.10 KANONI-MITYANA'!J39,'22.10 KANONI-MITYANA'!J39,'23.10 KANONI-MITYANA'!J39)</f>
        <v>0</v>
      </c>
      <c r="K39" s="49">
        <f>AVERAGE('17.10 KANONI-MITYANA'!K39,'18.10 KANONI-MITYANA-24h'!K39,'19.10 KANONI-MITYANA-24h'!K39,'20.10 KANONI-MITYANA'!K39,'21.10 KANONI-MITYANA'!K39,'22.10 KANONI-MITYANA'!K39,'23.10 KANONI-MITYANA'!K39)</f>
        <v>0</v>
      </c>
      <c r="L39" s="49">
        <f>AVERAGE('17.10 KANONI-MITYANA'!L39,'18.10 KANONI-MITYANA-24h'!L39,'19.10 KANONI-MITYANA-24h'!L39,'20.10 KANONI-MITYANA'!L39,'21.10 KANONI-MITYANA'!L39,'22.10 KANONI-MITYANA'!L39,'23.10 KANONI-MITYANA'!L39)</f>
        <v>0</v>
      </c>
      <c r="M39" s="49">
        <f>AVERAGE('17.10 KANONI-MITYANA'!M39,'18.10 KANONI-MITYANA-24h'!M39,'19.10 KANONI-MITYANA-24h'!M39,'20.10 KANONI-MITYANA'!M39,'21.10 KANONI-MITYANA'!M39,'22.10 KANONI-MITYANA'!M39,'23.10 KANONI-MITYANA'!M39)</f>
        <v>12.142857142857142</v>
      </c>
      <c r="N39" s="49">
        <f>AVERAGE('17.10 KANONI-MITYANA'!N39,'18.10 KANONI-MITYANA-24h'!N39,'19.10 KANONI-MITYANA-24h'!N39,'20.10 KANONI-MITYANA'!N39,'21.10 KANONI-MITYANA'!N39,'22.10 KANONI-MITYANA'!N39,'23.10 KANONI-MITYANA'!N39)</f>
        <v>0</v>
      </c>
      <c r="O39" s="15">
        <f t="shared" si="0"/>
        <v>2.5714285714285712</v>
      </c>
      <c r="P39" s="15">
        <f t="shared" si="1"/>
        <v>14.714285714285714</v>
      </c>
      <c r="R39" s="29" t="s">
        <v>87</v>
      </c>
      <c r="S39" s="54">
        <f t="shared" ref="S39:AF39" si="31">SUM(S19:S21)</f>
        <v>10.142857142857142</v>
      </c>
      <c r="T39" s="54">
        <f t="shared" si="31"/>
        <v>1.2857142857142856</v>
      </c>
      <c r="U39" s="54">
        <f t="shared" si="31"/>
        <v>6</v>
      </c>
      <c r="V39" s="54">
        <f t="shared" si="31"/>
        <v>3.4285714285714284</v>
      </c>
      <c r="W39" s="54">
        <f t="shared" si="31"/>
        <v>0.14285714285714285</v>
      </c>
      <c r="X39" s="54">
        <f t="shared" si="31"/>
        <v>0</v>
      </c>
      <c r="Y39" s="54">
        <f t="shared" si="31"/>
        <v>9.2857142857142847</v>
      </c>
      <c r="Z39" s="54">
        <f t="shared" si="31"/>
        <v>2</v>
      </c>
      <c r="AA39" s="54">
        <f t="shared" si="31"/>
        <v>0</v>
      </c>
      <c r="AB39" s="54">
        <f t="shared" si="31"/>
        <v>0</v>
      </c>
      <c r="AC39" s="54">
        <f t="shared" si="31"/>
        <v>184.57142857142856</v>
      </c>
      <c r="AD39" s="54">
        <f t="shared" si="31"/>
        <v>0.14285714285714285</v>
      </c>
      <c r="AE39" s="55">
        <f t="shared" si="31"/>
        <v>32.428571428571423</v>
      </c>
      <c r="AF39" s="55">
        <f t="shared" si="31"/>
        <v>217</v>
      </c>
    </row>
    <row r="40" spans="2:32" ht="23.1" customHeight="1" x14ac:dyDescent="0.25">
      <c r="B40" s="24" t="s">
        <v>67</v>
      </c>
      <c r="C40" s="49">
        <f>AVERAGE('17.10 KANONI-MITYANA'!C40,'18.10 KANONI-MITYANA-24h'!C40,'19.10 KANONI-MITYANA-24h'!C40,'20.10 KANONI-MITYANA'!C40,'21.10 KANONI-MITYANA'!C40,'22.10 KANONI-MITYANA'!C40,'23.10 KANONI-MITYANA'!C40)</f>
        <v>1.1428571428571428</v>
      </c>
      <c r="D40" s="49">
        <f>AVERAGE('17.10 KANONI-MITYANA'!D40,'18.10 KANONI-MITYANA-24h'!D40,'19.10 KANONI-MITYANA-24h'!D40,'20.10 KANONI-MITYANA'!D40,'21.10 KANONI-MITYANA'!D40,'22.10 KANONI-MITYANA'!D40,'23.10 KANONI-MITYANA'!D40)</f>
        <v>0.14285714285714285</v>
      </c>
      <c r="E40" s="49">
        <f>AVERAGE('17.10 KANONI-MITYANA'!E40,'18.10 KANONI-MITYANA-24h'!E40,'19.10 KANONI-MITYANA-24h'!E40,'20.10 KANONI-MITYANA'!E40,'21.10 KANONI-MITYANA'!E40,'22.10 KANONI-MITYANA'!E40,'23.10 KANONI-MITYANA'!E40)</f>
        <v>0.14285714285714285</v>
      </c>
      <c r="F40" s="49">
        <f>AVERAGE('17.10 KANONI-MITYANA'!F40,'18.10 KANONI-MITYANA-24h'!F40,'19.10 KANONI-MITYANA-24h'!F40,'20.10 KANONI-MITYANA'!F40,'21.10 KANONI-MITYANA'!F40,'22.10 KANONI-MITYANA'!F40,'23.10 KANONI-MITYANA'!F40)</f>
        <v>0.14285714285714285</v>
      </c>
      <c r="G40" s="49">
        <f>AVERAGE('17.10 KANONI-MITYANA'!G40,'18.10 KANONI-MITYANA-24h'!G40,'19.10 KANONI-MITYANA-24h'!G40,'20.10 KANONI-MITYANA'!G40,'21.10 KANONI-MITYANA'!G40,'22.10 KANONI-MITYANA'!G40,'23.10 KANONI-MITYANA'!G40)</f>
        <v>0</v>
      </c>
      <c r="H40" s="49">
        <f>AVERAGE('17.10 KANONI-MITYANA'!H40,'18.10 KANONI-MITYANA-24h'!H40,'19.10 KANONI-MITYANA-24h'!H40,'20.10 KANONI-MITYANA'!H40,'21.10 KANONI-MITYANA'!H40,'22.10 KANONI-MITYANA'!H40,'23.10 KANONI-MITYANA'!H40)</f>
        <v>0</v>
      </c>
      <c r="I40" s="49">
        <f>AVERAGE('17.10 KANONI-MITYANA'!I40,'18.10 KANONI-MITYANA-24h'!I40,'19.10 KANONI-MITYANA-24h'!I40,'20.10 KANONI-MITYANA'!I40,'21.10 KANONI-MITYANA'!I40,'22.10 KANONI-MITYANA'!I40,'23.10 KANONI-MITYANA'!I40)</f>
        <v>0.5714285714285714</v>
      </c>
      <c r="J40" s="49">
        <f>AVERAGE('17.10 KANONI-MITYANA'!J40,'18.10 KANONI-MITYANA-24h'!J40,'19.10 KANONI-MITYANA-24h'!J40,'20.10 KANONI-MITYANA'!J40,'21.10 KANONI-MITYANA'!J40,'22.10 KANONI-MITYANA'!J40,'23.10 KANONI-MITYANA'!J40)</f>
        <v>0.2857142857142857</v>
      </c>
      <c r="K40" s="49">
        <f>AVERAGE('17.10 KANONI-MITYANA'!K40,'18.10 KANONI-MITYANA-24h'!K40,'19.10 KANONI-MITYANA-24h'!K40,'20.10 KANONI-MITYANA'!K40,'21.10 KANONI-MITYANA'!K40,'22.10 KANONI-MITYANA'!K40,'23.10 KANONI-MITYANA'!K40)</f>
        <v>0</v>
      </c>
      <c r="L40" s="49">
        <f>AVERAGE('17.10 KANONI-MITYANA'!L40,'18.10 KANONI-MITYANA-24h'!L40,'19.10 KANONI-MITYANA-24h'!L40,'20.10 KANONI-MITYANA'!L40,'21.10 KANONI-MITYANA'!L40,'22.10 KANONI-MITYANA'!L40,'23.10 KANONI-MITYANA'!L40)</f>
        <v>0</v>
      </c>
      <c r="M40" s="49">
        <f>AVERAGE('17.10 KANONI-MITYANA'!M40,'18.10 KANONI-MITYANA-24h'!M40,'19.10 KANONI-MITYANA-24h'!M40,'20.10 KANONI-MITYANA'!M40,'21.10 KANONI-MITYANA'!M40,'22.10 KANONI-MITYANA'!M40,'23.10 KANONI-MITYANA'!M40)</f>
        <v>13.714285714285714</v>
      </c>
      <c r="N40" s="49">
        <f>AVERAGE('17.10 KANONI-MITYANA'!N40,'18.10 KANONI-MITYANA-24h'!N40,'19.10 KANONI-MITYANA-24h'!N40,'20.10 KANONI-MITYANA'!N40,'21.10 KANONI-MITYANA'!N40,'22.10 KANONI-MITYANA'!N40,'23.10 KANONI-MITYANA'!N40)</f>
        <v>0</v>
      </c>
      <c r="O40" s="15">
        <f t="shared" si="0"/>
        <v>2.4285714285714279</v>
      </c>
      <c r="P40" s="15">
        <f t="shared" si="1"/>
        <v>16.142857142857142</v>
      </c>
      <c r="R40" s="5" t="s">
        <v>17</v>
      </c>
      <c r="S40" s="54">
        <f t="shared" ref="S40:AF40" si="32">SUM(S10:S21)</f>
        <v>30.714285714285708</v>
      </c>
      <c r="T40" s="54">
        <f t="shared" si="32"/>
        <v>4.7142857142857144</v>
      </c>
      <c r="U40" s="54">
        <f t="shared" si="32"/>
        <v>10.571428571428569</v>
      </c>
      <c r="V40" s="54">
        <f t="shared" si="32"/>
        <v>9.7142857142857153</v>
      </c>
      <c r="W40" s="54">
        <f t="shared" si="32"/>
        <v>0.85714285714285698</v>
      </c>
      <c r="X40" s="54">
        <f t="shared" si="32"/>
        <v>0</v>
      </c>
      <c r="Y40" s="54">
        <f t="shared" si="32"/>
        <v>24.285714285714285</v>
      </c>
      <c r="Z40" s="54">
        <f t="shared" si="32"/>
        <v>5.2857142857142847</v>
      </c>
      <c r="AA40" s="54">
        <f t="shared" si="32"/>
        <v>0.42857142857142855</v>
      </c>
      <c r="AB40" s="54">
        <f t="shared" si="32"/>
        <v>0</v>
      </c>
      <c r="AC40" s="54">
        <f t="shared" si="32"/>
        <v>607.85714285714278</v>
      </c>
      <c r="AD40" s="54">
        <f t="shared" si="32"/>
        <v>0.14285714285714285</v>
      </c>
      <c r="AE40" s="55">
        <f t="shared" si="32"/>
        <v>86.714285714285722</v>
      </c>
      <c r="AF40" s="55">
        <f t="shared" si="32"/>
        <v>694.57142857142867</v>
      </c>
    </row>
    <row r="41" spans="2:32" ht="23.1" customHeight="1" x14ac:dyDescent="0.25">
      <c r="B41" s="23" t="s">
        <v>68</v>
      </c>
      <c r="C41" s="49">
        <f>AVERAGE('17.10 KANONI-MITYANA'!C41,'18.10 KANONI-MITYANA-24h'!C41,'19.10 KANONI-MITYANA-24h'!C41,'20.10 KANONI-MITYANA'!C41,'21.10 KANONI-MITYANA'!C41,'22.10 KANONI-MITYANA'!C41,'23.10 KANONI-MITYANA'!C41)</f>
        <v>1</v>
      </c>
      <c r="D41" s="49">
        <f>AVERAGE('17.10 KANONI-MITYANA'!D41,'18.10 KANONI-MITYANA-24h'!D41,'19.10 KANONI-MITYANA-24h'!D41,'20.10 KANONI-MITYANA'!D41,'21.10 KANONI-MITYANA'!D41,'22.10 KANONI-MITYANA'!D41,'23.10 KANONI-MITYANA'!D41)</f>
        <v>0.14285714285714285</v>
      </c>
      <c r="E41" s="49">
        <f>AVERAGE('17.10 KANONI-MITYANA'!E41,'18.10 KANONI-MITYANA-24h'!E41,'19.10 KANONI-MITYANA-24h'!E41,'20.10 KANONI-MITYANA'!E41,'21.10 KANONI-MITYANA'!E41,'22.10 KANONI-MITYANA'!E41,'23.10 KANONI-MITYANA'!E41)</f>
        <v>0.14285714285714285</v>
      </c>
      <c r="F41" s="49">
        <f>AVERAGE('17.10 KANONI-MITYANA'!F41,'18.10 KANONI-MITYANA-24h'!F41,'19.10 KANONI-MITYANA-24h'!F41,'20.10 KANONI-MITYANA'!F41,'21.10 KANONI-MITYANA'!F41,'22.10 KANONI-MITYANA'!F41,'23.10 KANONI-MITYANA'!F41)</f>
        <v>0</v>
      </c>
      <c r="G41" s="49">
        <f>AVERAGE('17.10 KANONI-MITYANA'!G41,'18.10 KANONI-MITYANA-24h'!G41,'19.10 KANONI-MITYANA-24h'!G41,'20.10 KANONI-MITYANA'!G41,'21.10 KANONI-MITYANA'!G41,'22.10 KANONI-MITYANA'!G41,'23.10 KANONI-MITYANA'!G41)</f>
        <v>0</v>
      </c>
      <c r="H41" s="49">
        <f>AVERAGE('17.10 KANONI-MITYANA'!H41,'18.10 KANONI-MITYANA-24h'!H41,'19.10 KANONI-MITYANA-24h'!H41,'20.10 KANONI-MITYANA'!H41,'21.10 KANONI-MITYANA'!H41,'22.10 KANONI-MITYANA'!H41,'23.10 KANONI-MITYANA'!H41)</f>
        <v>0</v>
      </c>
      <c r="I41" s="49">
        <f>AVERAGE('17.10 KANONI-MITYANA'!I41,'18.10 KANONI-MITYANA-24h'!I41,'19.10 KANONI-MITYANA-24h'!I41,'20.10 KANONI-MITYANA'!I41,'21.10 KANONI-MITYANA'!I41,'22.10 KANONI-MITYANA'!I41,'23.10 KANONI-MITYANA'!I41)</f>
        <v>0.42857142857142855</v>
      </c>
      <c r="J41" s="49">
        <f>AVERAGE('17.10 KANONI-MITYANA'!J41,'18.10 KANONI-MITYANA-24h'!J41,'19.10 KANONI-MITYANA-24h'!J41,'20.10 KANONI-MITYANA'!J41,'21.10 KANONI-MITYANA'!J41,'22.10 KANONI-MITYANA'!J41,'23.10 KANONI-MITYANA'!J41)</f>
        <v>0</v>
      </c>
      <c r="K41" s="49">
        <f>AVERAGE('17.10 KANONI-MITYANA'!K41,'18.10 KANONI-MITYANA-24h'!K41,'19.10 KANONI-MITYANA-24h'!K41,'20.10 KANONI-MITYANA'!K41,'21.10 KANONI-MITYANA'!K41,'22.10 KANONI-MITYANA'!K41,'23.10 KANONI-MITYANA'!K41)</f>
        <v>0</v>
      </c>
      <c r="L41" s="49">
        <f>AVERAGE('17.10 KANONI-MITYANA'!L41,'18.10 KANONI-MITYANA-24h'!L41,'19.10 KANONI-MITYANA-24h'!L41,'20.10 KANONI-MITYANA'!L41,'21.10 KANONI-MITYANA'!L41,'22.10 KANONI-MITYANA'!L41,'23.10 KANONI-MITYANA'!L41)</f>
        <v>0</v>
      </c>
      <c r="M41" s="49">
        <f>AVERAGE('17.10 KANONI-MITYANA'!M41,'18.10 KANONI-MITYANA-24h'!M41,'19.10 KANONI-MITYANA-24h'!M41,'20.10 KANONI-MITYANA'!M41,'21.10 KANONI-MITYANA'!M41,'22.10 KANONI-MITYANA'!M41,'23.10 KANONI-MITYANA'!M41)</f>
        <v>12.571428571428571</v>
      </c>
      <c r="N41" s="49">
        <f>AVERAGE('17.10 KANONI-MITYANA'!N41,'18.10 KANONI-MITYANA-24h'!N41,'19.10 KANONI-MITYANA-24h'!N41,'20.10 KANONI-MITYANA'!N41,'21.10 KANONI-MITYANA'!N41,'22.10 KANONI-MITYANA'!N41,'23.10 KANONI-MITYANA'!N41)</f>
        <v>0</v>
      </c>
      <c r="O41" s="15">
        <f t="shared" si="0"/>
        <v>1.7142857142857142</v>
      </c>
      <c r="P41" s="15">
        <f t="shared" si="1"/>
        <v>14.285714285714285</v>
      </c>
      <c r="R41" s="5" t="s">
        <v>183</v>
      </c>
      <c r="S41" s="54">
        <f>SUM(S10:S33)</f>
        <v>42.214285714285708</v>
      </c>
      <c r="T41" s="54">
        <f t="shared" ref="T41:AD41" si="33">SUM(T10:T33)</f>
        <v>5.7142857142857144</v>
      </c>
      <c r="U41" s="54">
        <f t="shared" si="33"/>
        <v>13.071428571428569</v>
      </c>
      <c r="V41" s="54">
        <f t="shared" si="33"/>
        <v>10.714285714285715</v>
      </c>
      <c r="W41" s="54">
        <f t="shared" si="33"/>
        <v>0.85714285714285698</v>
      </c>
      <c r="X41" s="54">
        <f t="shared" si="33"/>
        <v>0</v>
      </c>
      <c r="Y41" s="54">
        <f t="shared" si="33"/>
        <v>30.285714285714285</v>
      </c>
      <c r="Z41" s="54">
        <f t="shared" si="33"/>
        <v>6.2857142857142847</v>
      </c>
      <c r="AA41" s="54">
        <f t="shared" si="33"/>
        <v>3.4285714285714288</v>
      </c>
      <c r="AB41" s="54">
        <f t="shared" si="33"/>
        <v>0</v>
      </c>
      <c r="AC41" s="54">
        <f t="shared" si="33"/>
        <v>763.35714285714278</v>
      </c>
      <c r="AD41" s="54">
        <f t="shared" si="33"/>
        <v>0.14285714285714285</v>
      </c>
      <c r="AE41" s="55">
        <f>SUM(AE10:AE33)</f>
        <v>112.71428571428572</v>
      </c>
      <c r="AF41" s="55">
        <f>SUM(AF10:AF33)</f>
        <v>876.07142857142867</v>
      </c>
    </row>
    <row r="42" spans="2:32" ht="23.1" customHeight="1" x14ac:dyDescent="0.25">
      <c r="B42" s="24" t="s">
        <v>69</v>
      </c>
      <c r="C42" s="49">
        <f>AVERAGE('17.10 KANONI-MITYANA'!C42,'18.10 KANONI-MITYANA-24h'!C42,'19.10 KANONI-MITYANA-24h'!C42,'20.10 KANONI-MITYANA'!C42,'21.10 KANONI-MITYANA'!C42,'22.10 KANONI-MITYANA'!C42,'23.10 KANONI-MITYANA'!C42)</f>
        <v>1</v>
      </c>
      <c r="D42" s="49">
        <f>AVERAGE('17.10 KANONI-MITYANA'!D42,'18.10 KANONI-MITYANA-24h'!D42,'19.10 KANONI-MITYANA-24h'!D42,'20.10 KANONI-MITYANA'!D42,'21.10 KANONI-MITYANA'!D42,'22.10 KANONI-MITYANA'!D42,'23.10 KANONI-MITYANA'!D42)</f>
        <v>0</v>
      </c>
      <c r="E42" s="49">
        <f>AVERAGE('17.10 KANONI-MITYANA'!E42,'18.10 KANONI-MITYANA-24h'!E42,'19.10 KANONI-MITYANA-24h'!E42,'20.10 KANONI-MITYANA'!E42,'21.10 KANONI-MITYANA'!E42,'22.10 KANONI-MITYANA'!E42,'23.10 KANONI-MITYANA'!E42)</f>
        <v>0</v>
      </c>
      <c r="F42" s="49">
        <f>AVERAGE('17.10 KANONI-MITYANA'!F42,'18.10 KANONI-MITYANA-24h'!F42,'19.10 KANONI-MITYANA-24h'!F42,'20.10 KANONI-MITYANA'!F42,'21.10 KANONI-MITYANA'!F42,'22.10 KANONI-MITYANA'!F42,'23.10 KANONI-MITYANA'!F42)</f>
        <v>0</v>
      </c>
      <c r="G42" s="49">
        <f>AVERAGE('17.10 KANONI-MITYANA'!G42,'18.10 KANONI-MITYANA-24h'!G42,'19.10 KANONI-MITYANA-24h'!G42,'20.10 KANONI-MITYANA'!G42,'21.10 KANONI-MITYANA'!G42,'22.10 KANONI-MITYANA'!G42,'23.10 KANONI-MITYANA'!G42)</f>
        <v>0</v>
      </c>
      <c r="H42" s="49">
        <f>AVERAGE('17.10 KANONI-MITYANA'!H42,'18.10 KANONI-MITYANA-24h'!H42,'19.10 KANONI-MITYANA-24h'!H42,'20.10 KANONI-MITYANA'!H42,'21.10 KANONI-MITYANA'!H42,'22.10 KANONI-MITYANA'!H42,'23.10 KANONI-MITYANA'!H42)</f>
        <v>0</v>
      </c>
      <c r="I42" s="49">
        <f>AVERAGE('17.10 KANONI-MITYANA'!I42,'18.10 KANONI-MITYANA-24h'!I42,'19.10 KANONI-MITYANA-24h'!I42,'20.10 KANONI-MITYANA'!I42,'21.10 KANONI-MITYANA'!I42,'22.10 KANONI-MITYANA'!I42,'23.10 KANONI-MITYANA'!I42)</f>
        <v>0.42857142857142855</v>
      </c>
      <c r="J42" s="49">
        <f>AVERAGE('17.10 KANONI-MITYANA'!J42,'18.10 KANONI-MITYANA-24h'!J42,'19.10 KANONI-MITYANA-24h'!J42,'20.10 KANONI-MITYANA'!J42,'21.10 KANONI-MITYANA'!J42,'22.10 KANONI-MITYANA'!J42,'23.10 KANONI-MITYANA'!J42)</f>
        <v>0.14285714285714285</v>
      </c>
      <c r="K42" s="49">
        <f>AVERAGE('17.10 KANONI-MITYANA'!K42,'18.10 KANONI-MITYANA-24h'!K42,'19.10 KANONI-MITYANA-24h'!K42,'20.10 KANONI-MITYANA'!K42,'21.10 KANONI-MITYANA'!K42,'22.10 KANONI-MITYANA'!K42,'23.10 KANONI-MITYANA'!K42)</f>
        <v>0</v>
      </c>
      <c r="L42" s="49">
        <f>AVERAGE('17.10 KANONI-MITYANA'!L42,'18.10 KANONI-MITYANA-24h'!L42,'19.10 KANONI-MITYANA-24h'!L42,'20.10 KANONI-MITYANA'!L42,'21.10 KANONI-MITYANA'!L42,'22.10 KANONI-MITYANA'!L42,'23.10 KANONI-MITYANA'!L42)</f>
        <v>0</v>
      </c>
      <c r="M42" s="49">
        <f>AVERAGE('17.10 KANONI-MITYANA'!M42,'18.10 KANONI-MITYANA-24h'!M42,'19.10 KANONI-MITYANA-24h'!M42,'20.10 KANONI-MITYANA'!M42,'21.10 KANONI-MITYANA'!M42,'22.10 KANONI-MITYANA'!M42,'23.10 KANONI-MITYANA'!M42)</f>
        <v>14.571428571428571</v>
      </c>
      <c r="N42" s="49">
        <f>AVERAGE('17.10 KANONI-MITYANA'!N42,'18.10 KANONI-MITYANA-24h'!N42,'19.10 KANONI-MITYANA-24h'!N42,'20.10 KANONI-MITYANA'!N42,'21.10 KANONI-MITYANA'!N42,'22.10 KANONI-MITYANA'!N42,'23.10 KANONI-MITYANA'!N42)</f>
        <v>0</v>
      </c>
      <c r="O42" s="15">
        <f t="shared" si="0"/>
        <v>1.5714285714285714</v>
      </c>
      <c r="P42" s="15">
        <f t="shared" si="1"/>
        <v>16.142857142857142</v>
      </c>
      <c r="R42" s="5" t="s">
        <v>160</v>
      </c>
      <c r="S42" s="48">
        <f>S41/S40</f>
        <v>1.3744186046511628</v>
      </c>
      <c r="T42" s="48">
        <f t="shared" ref="T42:AF42" si="34">T41/T40</f>
        <v>1.2121212121212122</v>
      </c>
      <c r="U42" s="48">
        <f t="shared" si="34"/>
        <v>1.2364864864864866</v>
      </c>
      <c r="V42" s="48">
        <f t="shared" si="34"/>
        <v>1.1029411764705883</v>
      </c>
      <c r="W42" s="48">
        <f t="shared" si="34"/>
        <v>1</v>
      </c>
      <c r="X42" s="48" t="e">
        <f t="shared" si="34"/>
        <v>#DIV/0!</v>
      </c>
      <c r="Y42" s="48">
        <f t="shared" si="34"/>
        <v>1.2470588235294118</v>
      </c>
      <c r="Z42" s="48">
        <f t="shared" si="34"/>
        <v>1.1891891891891893</v>
      </c>
      <c r="AA42" s="48">
        <f t="shared" si="34"/>
        <v>8.0000000000000018</v>
      </c>
      <c r="AB42" s="48" t="e">
        <f t="shared" si="34"/>
        <v>#DIV/0!</v>
      </c>
      <c r="AC42" s="48">
        <f t="shared" si="34"/>
        <v>1.2558166862514688</v>
      </c>
      <c r="AD42" s="48">
        <f t="shared" si="34"/>
        <v>1</v>
      </c>
      <c r="AE42" s="56">
        <f t="shared" si="34"/>
        <v>1.299835255354201</v>
      </c>
      <c r="AF42" s="56">
        <f t="shared" si="34"/>
        <v>1.2613122171945701</v>
      </c>
    </row>
    <row r="43" spans="2:32" ht="23.1" customHeight="1" x14ac:dyDescent="0.25">
      <c r="B43" s="23" t="s">
        <v>70</v>
      </c>
      <c r="C43" s="49">
        <f>AVERAGE('17.10 KANONI-MITYANA'!C43,'18.10 KANONI-MITYANA-24h'!C43,'19.10 KANONI-MITYANA-24h'!C43,'20.10 KANONI-MITYANA'!C43,'21.10 KANONI-MITYANA'!C43,'22.10 KANONI-MITYANA'!C43,'23.10 KANONI-MITYANA'!C43)</f>
        <v>0.5714285714285714</v>
      </c>
      <c r="D43" s="49">
        <f>AVERAGE('17.10 KANONI-MITYANA'!D43,'18.10 KANONI-MITYANA-24h'!D43,'19.10 KANONI-MITYANA-24h'!D43,'20.10 KANONI-MITYANA'!D43,'21.10 KANONI-MITYANA'!D43,'22.10 KANONI-MITYANA'!D43,'23.10 KANONI-MITYANA'!D43)</f>
        <v>0</v>
      </c>
      <c r="E43" s="49">
        <f>AVERAGE('17.10 KANONI-MITYANA'!E43,'18.10 KANONI-MITYANA-24h'!E43,'19.10 KANONI-MITYANA-24h'!E43,'20.10 KANONI-MITYANA'!E43,'21.10 KANONI-MITYANA'!E43,'22.10 KANONI-MITYANA'!E43,'23.10 KANONI-MITYANA'!E43)</f>
        <v>0.14285714285714285</v>
      </c>
      <c r="F43" s="49">
        <f>AVERAGE('17.10 KANONI-MITYANA'!F43,'18.10 KANONI-MITYANA-24h'!F43,'19.10 KANONI-MITYANA-24h'!F43,'20.10 KANONI-MITYANA'!F43,'21.10 KANONI-MITYANA'!F43,'22.10 KANONI-MITYANA'!F43,'23.10 KANONI-MITYANA'!F43)</f>
        <v>0</v>
      </c>
      <c r="G43" s="49">
        <f>AVERAGE('17.10 KANONI-MITYANA'!G43,'18.10 KANONI-MITYANA-24h'!G43,'19.10 KANONI-MITYANA-24h'!G43,'20.10 KANONI-MITYANA'!G43,'21.10 KANONI-MITYANA'!G43,'22.10 KANONI-MITYANA'!G43,'23.10 KANONI-MITYANA'!G43)</f>
        <v>0</v>
      </c>
      <c r="H43" s="49">
        <f>AVERAGE('17.10 KANONI-MITYANA'!H43,'18.10 KANONI-MITYANA-24h'!H43,'19.10 KANONI-MITYANA-24h'!H43,'20.10 KANONI-MITYANA'!H43,'21.10 KANONI-MITYANA'!H43,'22.10 KANONI-MITYANA'!H43,'23.10 KANONI-MITYANA'!H43)</f>
        <v>0</v>
      </c>
      <c r="I43" s="49">
        <f>AVERAGE('17.10 KANONI-MITYANA'!I43,'18.10 KANONI-MITYANA-24h'!I43,'19.10 KANONI-MITYANA-24h'!I43,'20.10 KANONI-MITYANA'!I43,'21.10 KANONI-MITYANA'!I43,'22.10 KANONI-MITYANA'!I43,'23.10 KANONI-MITYANA'!I43)</f>
        <v>1.4285714285714286</v>
      </c>
      <c r="J43" s="49">
        <f>AVERAGE('17.10 KANONI-MITYANA'!J43,'18.10 KANONI-MITYANA-24h'!J43,'19.10 KANONI-MITYANA-24h'!J43,'20.10 KANONI-MITYANA'!J43,'21.10 KANONI-MITYANA'!J43,'22.10 KANONI-MITYANA'!J43,'23.10 KANONI-MITYANA'!J43)</f>
        <v>0.2857142857142857</v>
      </c>
      <c r="K43" s="49">
        <f>AVERAGE('17.10 KANONI-MITYANA'!K43,'18.10 KANONI-MITYANA-24h'!K43,'19.10 KANONI-MITYANA-24h'!K43,'20.10 KANONI-MITYANA'!K43,'21.10 KANONI-MITYANA'!K43,'22.10 KANONI-MITYANA'!K43,'23.10 KANONI-MITYANA'!K43)</f>
        <v>0</v>
      </c>
      <c r="L43" s="49">
        <f>AVERAGE('17.10 KANONI-MITYANA'!L43,'18.10 KANONI-MITYANA-24h'!L43,'19.10 KANONI-MITYANA-24h'!L43,'20.10 KANONI-MITYANA'!L43,'21.10 KANONI-MITYANA'!L43,'22.10 KANONI-MITYANA'!L43,'23.10 KANONI-MITYANA'!L43)</f>
        <v>0</v>
      </c>
      <c r="M43" s="49">
        <f>AVERAGE('17.10 KANONI-MITYANA'!M43,'18.10 KANONI-MITYANA-24h'!M43,'19.10 KANONI-MITYANA-24h'!M43,'20.10 KANONI-MITYANA'!M43,'21.10 KANONI-MITYANA'!M43,'22.10 KANONI-MITYANA'!M43,'23.10 KANONI-MITYANA'!M43)</f>
        <v>12.857142857142858</v>
      </c>
      <c r="N43" s="49">
        <f>AVERAGE('17.10 KANONI-MITYANA'!N43,'18.10 KANONI-MITYANA-24h'!N43,'19.10 KANONI-MITYANA-24h'!N43,'20.10 KANONI-MITYANA'!N43,'21.10 KANONI-MITYANA'!N43,'22.10 KANONI-MITYANA'!N43,'23.10 KANONI-MITYANA'!N43)</f>
        <v>0</v>
      </c>
      <c r="O43" s="15">
        <f t="shared" si="0"/>
        <v>2.4285714285714284</v>
      </c>
      <c r="P43" s="15">
        <f t="shared" si="1"/>
        <v>15.285714285714286</v>
      </c>
      <c r="R43"/>
      <c r="S43" s="19"/>
      <c r="T43" s="19"/>
    </row>
    <row r="44" spans="2:32" ht="23.1" customHeight="1" x14ac:dyDescent="0.25">
      <c r="B44" s="25" t="s">
        <v>71</v>
      </c>
      <c r="C44" s="49">
        <f>AVERAGE('17.10 KANONI-MITYANA'!C44,'18.10 KANONI-MITYANA-24h'!C44,'19.10 KANONI-MITYANA-24h'!C44,'20.10 KANONI-MITYANA'!C44,'21.10 KANONI-MITYANA'!C44,'22.10 KANONI-MITYANA'!C44,'23.10 KANONI-MITYANA'!C44)</f>
        <v>0.7142857142857143</v>
      </c>
      <c r="D44" s="49">
        <f>AVERAGE('17.10 KANONI-MITYANA'!D44,'18.10 KANONI-MITYANA-24h'!D44,'19.10 KANONI-MITYANA-24h'!D44,'20.10 KANONI-MITYANA'!D44,'21.10 KANONI-MITYANA'!D44,'22.10 KANONI-MITYANA'!D44,'23.10 KANONI-MITYANA'!D44)</f>
        <v>0</v>
      </c>
      <c r="E44" s="49">
        <f>AVERAGE('17.10 KANONI-MITYANA'!E44,'18.10 KANONI-MITYANA-24h'!E44,'19.10 KANONI-MITYANA-24h'!E44,'20.10 KANONI-MITYANA'!E44,'21.10 KANONI-MITYANA'!E44,'22.10 KANONI-MITYANA'!E44,'23.10 KANONI-MITYANA'!E44)</f>
        <v>0.14285714285714285</v>
      </c>
      <c r="F44" s="49">
        <f>AVERAGE('17.10 KANONI-MITYANA'!F44,'18.10 KANONI-MITYANA-24h'!F44,'19.10 KANONI-MITYANA-24h'!F44,'20.10 KANONI-MITYANA'!F44,'21.10 KANONI-MITYANA'!F44,'22.10 KANONI-MITYANA'!F44,'23.10 KANONI-MITYANA'!F44)</f>
        <v>0</v>
      </c>
      <c r="G44" s="49">
        <f>AVERAGE('17.10 KANONI-MITYANA'!G44,'18.10 KANONI-MITYANA-24h'!G44,'19.10 KANONI-MITYANA-24h'!G44,'20.10 KANONI-MITYANA'!G44,'21.10 KANONI-MITYANA'!G44,'22.10 KANONI-MITYANA'!G44,'23.10 KANONI-MITYANA'!G44)</f>
        <v>0</v>
      </c>
      <c r="H44" s="49">
        <f>AVERAGE('17.10 KANONI-MITYANA'!H44,'18.10 KANONI-MITYANA-24h'!H44,'19.10 KANONI-MITYANA-24h'!H44,'20.10 KANONI-MITYANA'!H44,'21.10 KANONI-MITYANA'!H44,'22.10 KANONI-MITYANA'!H44,'23.10 KANONI-MITYANA'!H44)</f>
        <v>0</v>
      </c>
      <c r="I44" s="49">
        <f>AVERAGE('17.10 KANONI-MITYANA'!I44,'18.10 KANONI-MITYANA-24h'!I44,'19.10 KANONI-MITYANA-24h'!I44,'20.10 KANONI-MITYANA'!I44,'21.10 KANONI-MITYANA'!I44,'22.10 KANONI-MITYANA'!I44,'23.10 KANONI-MITYANA'!I44)</f>
        <v>0.7142857142857143</v>
      </c>
      <c r="J44" s="49">
        <f>AVERAGE('17.10 KANONI-MITYANA'!J44,'18.10 KANONI-MITYANA-24h'!J44,'19.10 KANONI-MITYANA-24h'!J44,'20.10 KANONI-MITYANA'!J44,'21.10 KANONI-MITYANA'!J44,'22.10 KANONI-MITYANA'!J44,'23.10 KANONI-MITYANA'!J44)</f>
        <v>0.14285714285714285</v>
      </c>
      <c r="K44" s="49">
        <f>AVERAGE('17.10 KANONI-MITYANA'!K44,'18.10 KANONI-MITYANA-24h'!K44,'19.10 KANONI-MITYANA-24h'!K44,'20.10 KANONI-MITYANA'!K44,'21.10 KANONI-MITYANA'!K44,'22.10 KANONI-MITYANA'!K44,'23.10 KANONI-MITYANA'!K44)</f>
        <v>0</v>
      </c>
      <c r="L44" s="49">
        <f>AVERAGE('17.10 KANONI-MITYANA'!L44,'18.10 KANONI-MITYANA-24h'!L44,'19.10 KANONI-MITYANA-24h'!L44,'20.10 KANONI-MITYANA'!L44,'21.10 KANONI-MITYANA'!L44,'22.10 KANONI-MITYANA'!L44,'23.10 KANONI-MITYANA'!L44)</f>
        <v>0</v>
      </c>
      <c r="M44" s="49">
        <f>AVERAGE('17.10 KANONI-MITYANA'!M44,'18.10 KANONI-MITYANA-24h'!M44,'19.10 KANONI-MITYANA-24h'!M44,'20.10 KANONI-MITYANA'!M44,'21.10 KANONI-MITYANA'!M44,'22.10 KANONI-MITYANA'!M44,'23.10 KANONI-MITYANA'!M44)</f>
        <v>13.571428571428571</v>
      </c>
      <c r="N44" s="49">
        <f>AVERAGE('17.10 KANONI-MITYANA'!N44,'18.10 KANONI-MITYANA-24h'!N44,'19.10 KANONI-MITYANA-24h'!N44,'20.10 KANONI-MITYANA'!N44,'21.10 KANONI-MITYANA'!N44,'22.10 KANONI-MITYANA'!N44,'23.10 KANONI-MITYANA'!N44)</f>
        <v>0</v>
      </c>
      <c r="O44" s="15">
        <f t="shared" si="0"/>
        <v>1.7142857142857144</v>
      </c>
      <c r="P44" s="15">
        <f t="shared" si="1"/>
        <v>15.285714285714285</v>
      </c>
    </row>
    <row r="45" spans="2:32" ht="23.1" customHeight="1" x14ac:dyDescent="0.25">
      <c r="B45" s="23" t="s">
        <v>72</v>
      </c>
      <c r="C45" s="49">
        <f>AVERAGE('17.10 KANONI-MITYANA'!C45,'18.10 KANONI-MITYANA-24h'!C45,'19.10 KANONI-MITYANA-24h'!C45,'20.10 KANONI-MITYANA'!C45,'21.10 KANONI-MITYANA'!C45,'22.10 KANONI-MITYANA'!C45,'23.10 KANONI-MITYANA'!C45)</f>
        <v>1</v>
      </c>
      <c r="D45" s="49">
        <f>AVERAGE('17.10 KANONI-MITYANA'!D45,'18.10 KANONI-MITYANA-24h'!D45,'19.10 KANONI-MITYANA-24h'!D45,'20.10 KANONI-MITYANA'!D45,'21.10 KANONI-MITYANA'!D45,'22.10 KANONI-MITYANA'!D45,'23.10 KANONI-MITYANA'!D45)</f>
        <v>0.14285714285714285</v>
      </c>
      <c r="E45" s="49">
        <f>AVERAGE('17.10 KANONI-MITYANA'!E45,'18.10 KANONI-MITYANA-24h'!E45,'19.10 KANONI-MITYANA-24h'!E45,'20.10 KANONI-MITYANA'!E45,'21.10 KANONI-MITYANA'!E45,'22.10 KANONI-MITYANA'!E45,'23.10 KANONI-MITYANA'!E45)</f>
        <v>0.14285714285714285</v>
      </c>
      <c r="F45" s="49">
        <f>AVERAGE('17.10 KANONI-MITYANA'!F45,'18.10 KANONI-MITYANA-24h'!F45,'19.10 KANONI-MITYANA-24h'!F45,'20.10 KANONI-MITYANA'!F45,'21.10 KANONI-MITYANA'!F45,'22.10 KANONI-MITYANA'!F45,'23.10 KANONI-MITYANA'!F45)</f>
        <v>0.14285714285714285</v>
      </c>
      <c r="G45" s="49">
        <f>AVERAGE('17.10 KANONI-MITYANA'!G45,'18.10 KANONI-MITYANA-24h'!G45,'19.10 KANONI-MITYANA-24h'!G45,'20.10 KANONI-MITYANA'!G45,'21.10 KANONI-MITYANA'!G45,'22.10 KANONI-MITYANA'!G45,'23.10 KANONI-MITYANA'!G45)</f>
        <v>0</v>
      </c>
      <c r="H45" s="49">
        <f>AVERAGE('17.10 KANONI-MITYANA'!H45,'18.10 KANONI-MITYANA-24h'!H45,'19.10 KANONI-MITYANA-24h'!H45,'20.10 KANONI-MITYANA'!H45,'21.10 KANONI-MITYANA'!H45,'22.10 KANONI-MITYANA'!H45,'23.10 KANONI-MITYANA'!H45)</f>
        <v>0</v>
      </c>
      <c r="I45" s="49">
        <f>AVERAGE('17.10 KANONI-MITYANA'!I45,'18.10 KANONI-MITYANA-24h'!I45,'19.10 KANONI-MITYANA-24h'!I45,'20.10 KANONI-MITYANA'!I45,'21.10 KANONI-MITYANA'!I45,'22.10 KANONI-MITYANA'!I45,'23.10 KANONI-MITYANA'!I45)</f>
        <v>0.42857142857142855</v>
      </c>
      <c r="J45" s="49">
        <f>AVERAGE('17.10 KANONI-MITYANA'!J45,'18.10 KANONI-MITYANA-24h'!J45,'19.10 KANONI-MITYANA-24h'!J45,'20.10 KANONI-MITYANA'!J45,'21.10 KANONI-MITYANA'!J45,'22.10 KANONI-MITYANA'!J45,'23.10 KANONI-MITYANA'!J45)</f>
        <v>0.14285714285714285</v>
      </c>
      <c r="K45" s="49">
        <f>AVERAGE('17.10 KANONI-MITYANA'!K45,'18.10 KANONI-MITYANA-24h'!K45,'19.10 KANONI-MITYANA-24h'!K45,'20.10 KANONI-MITYANA'!K45,'21.10 KANONI-MITYANA'!K45,'22.10 KANONI-MITYANA'!K45,'23.10 KANONI-MITYANA'!K45)</f>
        <v>0</v>
      </c>
      <c r="L45" s="49">
        <f>AVERAGE('17.10 KANONI-MITYANA'!L45,'18.10 KANONI-MITYANA-24h'!L45,'19.10 KANONI-MITYANA-24h'!L45,'20.10 KANONI-MITYANA'!L45,'21.10 KANONI-MITYANA'!L45,'22.10 KANONI-MITYANA'!L45,'23.10 KANONI-MITYANA'!L45)</f>
        <v>0</v>
      </c>
      <c r="M45" s="49">
        <f>AVERAGE('17.10 KANONI-MITYANA'!M45,'18.10 KANONI-MITYANA-24h'!M45,'19.10 KANONI-MITYANA-24h'!M45,'20.10 KANONI-MITYANA'!M45,'21.10 KANONI-MITYANA'!M45,'22.10 KANONI-MITYANA'!M45,'23.10 KANONI-MITYANA'!M45)</f>
        <v>15.285714285714286</v>
      </c>
      <c r="N45" s="49">
        <f>AVERAGE('17.10 KANONI-MITYANA'!N45,'18.10 KANONI-MITYANA-24h'!N45,'19.10 KANONI-MITYANA-24h'!N45,'20.10 KANONI-MITYANA'!N45,'21.10 KANONI-MITYANA'!N45,'22.10 KANONI-MITYANA'!N45,'23.10 KANONI-MITYANA'!N45)</f>
        <v>0</v>
      </c>
      <c r="O45" s="15">
        <f t="shared" si="0"/>
        <v>1.9999999999999998</v>
      </c>
      <c r="P45" s="15">
        <f t="shared" si="1"/>
        <v>17.285714285714285</v>
      </c>
    </row>
    <row r="46" spans="2:32" ht="23.1" customHeight="1" x14ac:dyDescent="0.25">
      <c r="B46" s="24" t="s">
        <v>73</v>
      </c>
      <c r="C46" s="49">
        <f>AVERAGE('17.10 KANONI-MITYANA'!C46,'18.10 KANONI-MITYANA-24h'!C46,'19.10 KANONI-MITYANA-24h'!C46,'20.10 KANONI-MITYANA'!C46,'21.10 KANONI-MITYANA'!C46,'22.10 KANONI-MITYANA'!C46,'23.10 KANONI-MITYANA'!C46)</f>
        <v>1</v>
      </c>
      <c r="D46" s="49">
        <f>AVERAGE('17.10 KANONI-MITYANA'!D46,'18.10 KANONI-MITYANA-24h'!D46,'19.10 KANONI-MITYANA-24h'!D46,'20.10 KANONI-MITYANA'!D46,'21.10 KANONI-MITYANA'!D46,'22.10 KANONI-MITYANA'!D46,'23.10 KANONI-MITYANA'!D46)</f>
        <v>0</v>
      </c>
      <c r="E46" s="49">
        <f>AVERAGE('17.10 KANONI-MITYANA'!E46,'18.10 KANONI-MITYANA-24h'!E46,'19.10 KANONI-MITYANA-24h'!E46,'20.10 KANONI-MITYANA'!E46,'21.10 KANONI-MITYANA'!E46,'22.10 KANONI-MITYANA'!E46,'23.10 KANONI-MITYANA'!E46)</f>
        <v>0.5714285714285714</v>
      </c>
      <c r="F46" s="49">
        <f>AVERAGE('17.10 KANONI-MITYANA'!F46,'18.10 KANONI-MITYANA-24h'!F46,'19.10 KANONI-MITYANA-24h'!F46,'20.10 KANONI-MITYANA'!F46,'21.10 KANONI-MITYANA'!F46,'22.10 KANONI-MITYANA'!F46,'23.10 KANONI-MITYANA'!F46)</f>
        <v>0</v>
      </c>
      <c r="G46" s="49">
        <f>AVERAGE('17.10 KANONI-MITYANA'!G46,'18.10 KANONI-MITYANA-24h'!G46,'19.10 KANONI-MITYANA-24h'!G46,'20.10 KANONI-MITYANA'!G46,'21.10 KANONI-MITYANA'!G46,'22.10 KANONI-MITYANA'!G46,'23.10 KANONI-MITYANA'!G46)</f>
        <v>0</v>
      </c>
      <c r="H46" s="49">
        <f>AVERAGE('17.10 KANONI-MITYANA'!H46,'18.10 KANONI-MITYANA-24h'!H46,'19.10 KANONI-MITYANA-24h'!H46,'20.10 KANONI-MITYANA'!H46,'21.10 KANONI-MITYANA'!H46,'22.10 KANONI-MITYANA'!H46,'23.10 KANONI-MITYANA'!H46)</f>
        <v>0</v>
      </c>
      <c r="I46" s="49">
        <f>AVERAGE('17.10 KANONI-MITYANA'!I46,'18.10 KANONI-MITYANA-24h'!I46,'19.10 KANONI-MITYANA-24h'!I46,'20.10 KANONI-MITYANA'!I46,'21.10 KANONI-MITYANA'!I46,'22.10 KANONI-MITYANA'!I46,'23.10 KANONI-MITYANA'!I46)</f>
        <v>0.8571428571428571</v>
      </c>
      <c r="J46" s="49">
        <f>AVERAGE('17.10 KANONI-MITYANA'!J46,'18.10 KANONI-MITYANA-24h'!J46,'19.10 KANONI-MITYANA-24h'!J46,'20.10 KANONI-MITYANA'!J46,'21.10 KANONI-MITYANA'!J46,'22.10 KANONI-MITYANA'!J46,'23.10 KANONI-MITYANA'!J46)</f>
        <v>0.14285714285714285</v>
      </c>
      <c r="K46" s="49">
        <f>AVERAGE('17.10 KANONI-MITYANA'!K46,'18.10 KANONI-MITYANA-24h'!K46,'19.10 KANONI-MITYANA-24h'!K46,'20.10 KANONI-MITYANA'!K46,'21.10 KANONI-MITYANA'!K46,'22.10 KANONI-MITYANA'!K46,'23.10 KANONI-MITYANA'!K46)</f>
        <v>0</v>
      </c>
      <c r="L46" s="49">
        <f>AVERAGE('17.10 KANONI-MITYANA'!L46,'18.10 KANONI-MITYANA-24h'!L46,'19.10 KANONI-MITYANA-24h'!L46,'20.10 KANONI-MITYANA'!L46,'21.10 KANONI-MITYANA'!L46,'22.10 KANONI-MITYANA'!L46,'23.10 KANONI-MITYANA'!L46)</f>
        <v>0</v>
      </c>
      <c r="M46" s="49">
        <f>AVERAGE('17.10 KANONI-MITYANA'!M46,'18.10 KANONI-MITYANA-24h'!M46,'19.10 KANONI-MITYANA-24h'!M46,'20.10 KANONI-MITYANA'!M46,'21.10 KANONI-MITYANA'!M46,'22.10 KANONI-MITYANA'!M46,'23.10 KANONI-MITYANA'!M46)</f>
        <v>15.714285714285714</v>
      </c>
      <c r="N46" s="49">
        <f>AVERAGE('17.10 KANONI-MITYANA'!N46,'18.10 KANONI-MITYANA-24h'!N46,'19.10 KANONI-MITYANA-24h'!N46,'20.10 KANONI-MITYANA'!N46,'21.10 KANONI-MITYANA'!N46,'22.10 KANONI-MITYANA'!N46,'23.10 KANONI-MITYANA'!N46)</f>
        <v>0</v>
      </c>
      <c r="O46" s="15">
        <f t="shared" si="0"/>
        <v>2.5714285714285712</v>
      </c>
      <c r="P46" s="15">
        <f t="shared" si="1"/>
        <v>18.285714285714285</v>
      </c>
      <c r="R46" s="8"/>
      <c r="T46"/>
    </row>
    <row r="47" spans="2:32" ht="23.1" customHeight="1" x14ac:dyDescent="0.25">
      <c r="B47" s="24" t="s">
        <v>74</v>
      </c>
      <c r="C47" s="49">
        <f>AVERAGE('17.10 KANONI-MITYANA'!C47,'18.10 KANONI-MITYANA-24h'!C47,'19.10 KANONI-MITYANA-24h'!C47,'20.10 KANONI-MITYANA'!C47,'21.10 KANONI-MITYANA'!C47,'22.10 KANONI-MITYANA'!C47,'23.10 KANONI-MITYANA'!C47)</f>
        <v>1</v>
      </c>
      <c r="D47" s="49">
        <f>AVERAGE('17.10 KANONI-MITYANA'!D47,'18.10 KANONI-MITYANA-24h'!D47,'19.10 KANONI-MITYANA-24h'!D47,'20.10 KANONI-MITYANA'!D47,'21.10 KANONI-MITYANA'!D47,'22.10 KANONI-MITYANA'!D47,'23.10 KANONI-MITYANA'!D47)</f>
        <v>0</v>
      </c>
      <c r="E47" s="49">
        <f>AVERAGE('17.10 KANONI-MITYANA'!E47,'18.10 KANONI-MITYANA-24h'!E47,'19.10 KANONI-MITYANA-24h'!E47,'20.10 KANONI-MITYANA'!E47,'21.10 KANONI-MITYANA'!E47,'22.10 KANONI-MITYANA'!E47,'23.10 KANONI-MITYANA'!E47)</f>
        <v>0</v>
      </c>
      <c r="F47" s="49">
        <f>AVERAGE('17.10 KANONI-MITYANA'!F47,'18.10 KANONI-MITYANA-24h'!F47,'19.10 KANONI-MITYANA-24h'!F47,'20.10 KANONI-MITYANA'!F47,'21.10 KANONI-MITYANA'!F47,'22.10 KANONI-MITYANA'!F47,'23.10 KANONI-MITYANA'!F47)</f>
        <v>0</v>
      </c>
      <c r="G47" s="49">
        <f>AVERAGE('17.10 KANONI-MITYANA'!G47,'18.10 KANONI-MITYANA-24h'!G47,'19.10 KANONI-MITYANA-24h'!G47,'20.10 KANONI-MITYANA'!G47,'21.10 KANONI-MITYANA'!G47,'22.10 KANONI-MITYANA'!G47,'23.10 KANONI-MITYANA'!G47)</f>
        <v>0</v>
      </c>
      <c r="H47" s="49">
        <f>AVERAGE('17.10 KANONI-MITYANA'!H47,'18.10 KANONI-MITYANA-24h'!H47,'19.10 KANONI-MITYANA-24h'!H47,'20.10 KANONI-MITYANA'!H47,'21.10 KANONI-MITYANA'!H47,'22.10 KANONI-MITYANA'!H47,'23.10 KANONI-MITYANA'!H47)</f>
        <v>0</v>
      </c>
      <c r="I47" s="49">
        <f>AVERAGE('17.10 KANONI-MITYANA'!I47,'18.10 KANONI-MITYANA-24h'!I47,'19.10 KANONI-MITYANA-24h'!I47,'20.10 KANONI-MITYANA'!I47,'21.10 KANONI-MITYANA'!I47,'22.10 KANONI-MITYANA'!I47,'23.10 KANONI-MITYANA'!I47)</f>
        <v>0.5714285714285714</v>
      </c>
      <c r="J47" s="49">
        <f>AVERAGE('17.10 KANONI-MITYANA'!J47,'18.10 KANONI-MITYANA-24h'!J47,'19.10 KANONI-MITYANA-24h'!J47,'20.10 KANONI-MITYANA'!J47,'21.10 KANONI-MITYANA'!J47,'22.10 KANONI-MITYANA'!J47,'23.10 KANONI-MITYANA'!J47)</f>
        <v>0</v>
      </c>
      <c r="K47" s="49">
        <f>AVERAGE('17.10 KANONI-MITYANA'!K47,'18.10 KANONI-MITYANA-24h'!K47,'19.10 KANONI-MITYANA-24h'!K47,'20.10 KANONI-MITYANA'!K47,'21.10 KANONI-MITYANA'!K47,'22.10 KANONI-MITYANA'!K47,'23.10 KANONI-MITYANA'!K47)</f>
        <v>0</v>
      </c>
      <c r="L47" s="49">
        <f>AVERAGE('17.10 KANONI-MITYANA'!L47,'18.10 KANONI-MITYANA-24h'!L47,'19.10 KANONI-MITYANA-24h'!L47,'20.10 KANONI-MITYANA'!L47,'21.10 KANONI-MITYANA'!L47,'22.10 KANONI-MITYANA'!L47,'23.10 KANONI-MITYANA'!L47)</f>
        <v>0</v>
      </c>
      <c r="M47" s="49">
        <f>AVERAGE('17.10 KANONI-MITYANA'!M47,'18.10 KANONI-MITYANA-24h'!M47,'19.10 KANONI-MITYANA-24h'!M47,'20.10 KANONI-MITYANA'!M47,'21.10 KANONI-MITYANA'!M47,'22.10 KANONI-MITYANA'!M47,'23.10 KANONI-MITYANA'!M47)</f>
        <v>15.571428571428571</v>
      </c>
      <c r="N47" s="49">
        <f>AVERAGE('17.10 KANONI-MITYANA'!N47,'18.10 KANONI-MITYANA-24h'!N47,'19.10 KANONI-MITYANA-24h'!N47,'20.10 KANONI-MITYANA'!N47,'21.10 KANONI-MITYANA'!N47,'22.10 KANONI-MITYANA'!N47,'23.10 KANONI-MITYANA'!N47)</f>
        <v>0</v>
      </c>
      <c r="O47" s="15">
        <f t="shared" si="0"/>
        <v>1.5714285714285714</v>
      </c>
      <c r="P47" s="15">
        <f t="shared" si="1"/>
        <v>17.142857142857142</v>
      </c>
      <c r="R47" s="8"/>
      <c r="T47"/>
    </row>
    <row r="48" spans="2:32" ht="23.1" customHeight="1" x14ac:dyDescent="0.25">
      <c r="B48" s="24" t="s">
        <v>75</v>
      </c>
      <c r="C48" s="49">
        <f>AVERAGE('17.10 KANONI-MITYANA'!C48,'18.10 KANONI-MITYANA-24h'!C48,'19.10 KANONI-MITYANA-24h'!C48,'20.10 KANONI-MITYANA'!C48,'21.10 KANONI-MITYANA'!C48,'22.10 KANONI-MITYANA'!C48,'23.10 KANONI-MITYANA'!C48)</f>
        <v>0.5714285714285714</v>
      </c>
      <c r="D48" s="49">
        <f>AVERAGE('17.10 KANONI-MITYANA'!D48,'18.10 KANONI-MITYANA-24h'!D48,'19.10 KANONI-MITYANA-24h'!D48,'20.10 KANONI-MITYANA'!D48,'21.10 KANONI-MITYANA'!D48,'22.10 KANONI-MITYANA'!D48,'23.10 KANONI-MITYANA'!D48)</f>
        <v>0.14285714285714285</v>
      </c>
      <c r="E48" s="49">
        <f>AVERAGE('17.10 KANONI-MITYANA'!E48,'18.10 KANONI-MITYANA-24h'!E48,'19.10 KANONI-MITYANA-24h'!E48,'20.10 KANONI-MITYANA'!E48,'21.10 KANONI-MITYANA'!E48,'22.10 KANONI-MITYANA'!E48,'23.10 KANONI-MITYANA'!E48)</f>
        <v>0.5714285714285714</v>
      </c>
      <c r="F48" s="49">
        <f>AVERAGE('17.10 KANONI-MITYANA'!F48,'18.10 KANONI-MITYANA-24h'!F48,'19.10 KANONI-MITYANA-24h'!F48,'20.10 KANONI-MITYANA'!F48,'21.10 KANONI-MITYANA'!F48,'22.10 KANONI-MITYANA'!F48,'23.10 KANONI-MITYANA'!F48)</f>
        <v>0</v>
      </c>
      <c r="G48" s="49">
        <f>AVERAGE('17.10 KANONI-MITYANA'!G48,'18.10 KANONI-MITYANA-24h'!G48,'19.10 KANONI-MITYANA-24h'!G48,'20.10 KANONI-MITYANA'!G48,'21.10 KANONI-MITYANA'!G48,'22.10 KANONI-MITYANA'!G48,'23.10 KANONI-MITYANA'!G48)</f>
        <v>0.14285714285714285</v>
      </c>
      <c r="H48" s="49">
        <f>AVERAGE('17.10 KANONI-MITYANA'!H48,'18.10 KANONI-MITYANA-24h'!H48,'19.10 KANONI-MITYANA-24h'!H48,'20.10 KANONI-MITYANA'!H48,'21.10 KANONI-MITYANA'!H48,'22.10 KANONI-MITYANA'!H48,'23.10 KANONI-MITYANA'!H48)</f>
        <v>0</v>
      </c>
      <c r="I48" s="49">
        <f>AVERAGE('17.10 KANONI-MITYANA'!I48,'18.10 KANONI-MITYANA-24h'!I48,'19.10 KANONI-MITYANA-24h'!I48,'20.10 KANONI-MITYANA'!I48,'21.10 KANONI-MITYANA'!I48,'22.10 KANONI-MITYANA'!I48,'23.10 KANONI-MITYANA'!I48)</f>
        <v>0.5714285714285714</v>
      </c>
      <c r="J48" s="49">
        <f>AVERAGE('17.10 KANONI-MITYANA'!J48,'18.10 KANONI-MITYANA-24h'!J48,'19.10 KANONI-MITYANA-24h'!J48,'20.10 KANONI-MITYANA'!J48,'21.10 KANONI-MITYANA'!J48,'22.10 KANONI-MITYANA'!J48,'23.10 KANONI-MITYANA'!J48)</f>
        <v>0</v>
      </c>
      <c r="K48" s="49">
        <f>AVERAGE('17.10 KANONI-MITYANA'!K48,'18.10 KANONI-MITYANA-24h'!K48,'19.10 KANONI-MITYANA-24h'!K48,'20.10 KANONI-MITYANA'!K48,'21.10 KANONI-MITYANA'!K48,'22.10 KANONI-MITYANA'!K48,'23.10 KANONI-MITYANA'!K48)</f>
        <v>0</v>
      </c>
      <c r="L48" s="49">
        <f>AVERAGE('17.10 KANONI-MITYANA'!L48,'18.10 KANONI-MITYANA-24h'!L48,'19.10 KANONI-MITYANA-24h'!L48,'20.10 KANONI-MITYANA'!L48,'21.10 KANONI-MITYANA'!L48,'22.10 KANONI-MITYANA'!L48,'23.10 KANONI-MITYANA'!L48)</f>
        <v>0</v>
      </c>
      <c r="M48" s="49">
        <f>AVERAGE('17.10 KANONI-MITYANA'!M48,'18.10 KANONI-MITYANA-24h'!M48,'19.10 KANONI-MITYANA-24h'!M48,'20.10 KANONI-MITYANA'!M48,'21.10 KANONI-MITYANA'!M48,'22.10 KANONI-MITYANA'!M48,'23.10 KANONI-MITYANA'!M48)</f>
        <v>13.142857142857142</v>
      </c>
      <c r="N48" s="49">
        <f>AVERAGE('17.10 KANONI-MITYANA'!N48,'18.10 KANONI-MITYANA-24h'!N48,'19.10 KANONI-MITYANA-24h'!N48,'20.10 KANONI-MITYANA'!N48,'21.10 KANONI-MITYANA'!N48,'22.10 KANONI-MITYANA'!N48,'23.10 KANONI-MITYANA'!N48)</f>
        <v>0.14285714285714285</v>
      </c>
      <c r="O48" s="15">
        <f t="shared" si="0"/>
        <v>2.1428571428571428</v>
      </c>
      <c r="P48" s="15">
        <f t="shared" si="1"/>
        <v>15.285714285714285</v>
      </c>
      <c r="R48" s="8"/>
      <c r="T48"/>
    </row>
    <row r="49" spans="2:20" ht="23.1" customHeight="1" x14ac:dyDescent="0.25">
      <c r="B49" s="23" t="s">
        <v>76</v>
      </c>
      <c r="C49" s="49">
        <f>AVERAGE('17.10 KANONI-MITYANA'!C49,'18.10 KANONI-MITYANA-24h'!C49,'19.10 KANONI-MITYANA-24h'!C49,'20.10 KANONI-MITYANA'!C49,'21.10 KANONI-MITYANA'!C49,'22.10 KANONI-MITYANA'!C49,'23.10 KANONI-MITYANA'!C49)</f>
        <v>0.8571428571428571</v>
      </c>
      <c r="D49" s="49">
        <f>AVERAGE('17.10 KANONI-MITYANA'!D49,'18.10 KANONI-MITYANA-24h'!D49,'19.10 KANONI-MITYANA-24h'!D49,'20.10 KANONI-MITYANA'!D49,'21.10 KANONI-MITYANA'!D49,'22.10 KANONI-MITYANA'!D49,'23.10 KANONI-MITYANA'!D49)</f>
        <v>0.2857142857142857</v>
      </c>
      <c r="E49" s="49">
        <f>AVERAGE('17.10 KANONI-MITYANA'!E49,'18.10 KANONI-MITYANA-24h'!E49,'19.10 KANONI-MITYANA-24h'!E49,'20.10 KANONI-MITYANA'!E49,'21.10 KANONI-MITYANA'!E49,'22.10 KANONI-MITYANA'!E49,'23.10 KANONI-MITYANA'!E49)</f>
        <v>0.5714285714285714</v>
      </c>
      <c r="F49" s="49">
        <f>AVERAGE('17.10 KANONI-MITYANA'!F49,'18.10 KANONI-MITYANA-24h'!F49,'19.10 KANONI-MITYANA-24h'!F49,'20.10 KANONI-MITYANA'!F49,'21.10 KANONI-MITYANA'!F49,'22.10 KANONI-MITYANA'!F49,'23.10 KANONI-MITYANA'!F49)</f>
        <v>0.2857142857142857</v>
      </c>
      <c r="G49" s="49">
        <f>AVERAGE('17.10 KANONI-MITYANA'!G49,'18.10 KANONI-MITYANA-24h'!G49,'19.10 KANONI-MITYANA-24h'!G49,'20.10 KANONI-MITYANA'!G49,'21.10 KANONI-MITYANA'!G49,'22.10 KANONI-MITYANA'!G49,'23.10 KANONI-MITYANA'!G49)</f>
        <v>0</v>
      </c>
      <c r="H49" s="49">
        <f>AVERAGE('17.10 KANONI-MITYANA'!H49,'18.10 KANONI-MITYANA-24h'!H49,'19.10 KANONI-MITYANA-24h'!H49,'20.10 KANONI-MITYANA'!H49,'21.10 KANONI-MITYANA'!H49,'22.10 KANONI-MITYANA'!H49,'23.10 KANONI-MITYANA'!H49)</f>
        <v>0</v>
      </c>
      <c r="I49" s="49">
        <f>AVERAGE('17.10 KANONI-MITYANA'!I49,'18.10 KANONI-MITYANA-24h'!I49,'19.10 KANONI-MITYANA-24h'!I49,'20.10 KANONI-MITYANA'!I49,'21.10 KANONI-MITYANA'!I49,'22.10 KANONI-MITYANA'!I49,'23.10 KANONI-MITYANA'!I49)</f>
        <v>0.5714285714285714</v>
      </c>
      <c r="J49" s="49">
        <f>AVERAGE('17.10 KANONI-MITYANA'!J49,'18.10 KANONI-MITYANA-24h'!J49,'19.10 KANONI-MITYANA-24h'!J49,'20.10 KANONI-MITYANA'!J49,'21.10 KANONI-MITYANA'!J49,'22.10 KANONI-MITYANA'!J49,'23.10 KANONI-MITYANA'!J49)</f>
        <v>0.14285714285714285</v>
      </c>
      <c r="K49" s="49">
        <f>AVERAGE('17.10 KANONI-MITYANA'!K49,'18.10 KANONI-MITYANA-24h'!K49,'19.10 KANONI-MITYANA-24h'!K49,'20.10 KANONI-MITYANA'!K49,'21.10 KANONI-MITYANA'!K49,'22.10 KANONI-MITYANA'!K49,'23.10 KANONI-MITYANA'!K49)</f>
        <v>0</v>
      </c>
      <c r="L49" s="49">
        <f>AVERAGE('17.10 KANONI-MITYANA'!L49,'18.10 KANONI-MITYANA-24h'!L49,'19.10 KANONI-MITYANA-24h'!L49,'20.10 KANONI-MITYANA'!L49,'21.10 KANONI-MITYANA'!L49,'22.10 KANONI-MITYANA'!L49,'23.10 KANONI-MITYANA'!L49)</f>
        <v>0</v>
      </c>
      <c r="M49" s="49">
        <f>AVERAGE('17.10 KANONI-MITYANA'!M49,'18.10 KANONI-MITYANA-24h'!M49,'19.10 KANONI-MITYANA-24h'!M49,'20.10 KANONI-MITYANA'!M49,'21.10 KANONI-MITYANA'!M49,'22.10 KANONI-MITYANA'!M49,'23.10 KANONI-MITYANA'!M49)</f>
        <v>13.142857142857142</v>
      </c>
      <c r="N49" s="49">
        <f>AVERAGE('17.10 KANONI-MITYANA'!N49,'18.10 KANONI-MITYANA-24h'!N49,'19.10 KANONI-MITYANA-24h'!N49,'20.10 KANONI-MITYANA'!N49,'21.10 KANONI-MITYANA'!N49,'22.10 KANONI-MITYANA'!N49,'23.10 KANONI-MITYANA'!N49)</f>
        <v>0</v>
      </c>
      <c r="O49" s="15">
        <f t="shared" si="0"/>
        <v>2.714285714285714</v>
      </c>
      <c r="P49" s="15">
        <f t="shared" si="1"/>
        <v>15.857142857142856</v>
      </c>
      <c r="R49" s="8"/>
      <c r="T49"/>
    </row>
    <row r="50" spans="2:20" ht="23.1" customHeight="1" x14ac:dyDescent="0.25">
      <c r="B50" s="24" t="s">
        <v>77</v>
      </c>
      <c r="C50" s="49">
        <f>AVERAGE('17.10 KANONI-MITYANA'!C50,'18.10 KANONI-MITYANA-24h'!C50,'19.10 KANONI-MITYANA-24h'!C50,'20.10 KANONI-MITYANA'!C50,'21.10 KANONI-MITYANA'!C50,'22.10 KANONI-MITYANA'!C50,'23.10 KANONI-MITYANA'!C50)</f>
        <v>0.5714285714285714</v>
      </c>
      <c r="D50" s="49">
        <f>AVERAGE('17.10 KANONI-MITYANA'!D50,'18.10 KANONI-MITYANA-24h'!D50,'19.10 KANONI-MITYANA-24h'!D50,'20.10 KANONI-MITYANA'!D50,'21.10 KANONI-MITYANA'!D50,'22.10 KANONI-MITYANA'!D50,'23.10 KANONI-MITYANA'!D50)</f>
        <v>0</v>
      </c>
      <c r="E50" s="49">
        <f>AVERAGE('17.10 KANONI-MITYANA'!E50,'18.10 KANONI-MITYANA-24h'!E50,'19.10 KANONI-MITYANA-24h'!E50,'20.10 KANONI-MITYANA'!E50,'21.10 KANONI-MITYANA'!E50,'22.10 KANONI-MITYANA'!E50,'23.10 KANONI-MITYANA'!E50)</f>
        <v>0.42857142857142855</v>
      </c>
      <c r="F50" s="49">
        <f>AVERAGE('17.10 KANONI-MITYANA'!F50,'18.10 KANONI-MITYANA-24h'!F50,'19.10 KANONI-MITYANA-24h'!F50,'20.10 KANONI-MITYANA'!F50,'21.10 KANONI-MITYANA'!F50,'22.10 KANONI-MITYANA'!F50,'23.10 KANONI-MITYANA'!F50)</f>
        <v>0.2857142857142857</v>
      </c>
      <c r="G50" s="49">
        <f>AVERAGE('17.10 KANONI-MITYANA'!G50,'18.10 KANONI-MITYANA-24h'!G50,'19.10 KANONI-MITYANA-24h'!G50,'20.10 KANONI-MITYANA'!G50,'21.10 KANONI-MITYANA'!G50,'22.10 KANONI-MITYANA'!G50,'23.10 KANONI-MITYANA'!G50)</f>
        <v>0</v>
      </c>
      <c r="H50" s="49">
        <f>AVERAGE('17.10 KANONI-MITYANA'!H50,'18.10 KANONI-MITYANA-24h'!H50,'19.10 KANONI-MITYANA-24h'!H50,'20.10 KANONI-MITYANA'!H50,'21.10 KANONI-MITYANA'!H50,'22.10 KANONI-MITYANA'!H50,'23.10 KANONI-MITYANA'!H50)</f>
        <v>0</v>
      </c>
      <c r="I50" s="49">
        <f>AVERAGE('17.10 KANONI-MITYANA'!I50,'18.10 KANONI-MITYANA-24h'!I50,'19.10 KANONI-MITYANA-24h'!I50,'20.10 KANONI-MITYANA'!I50,'21.10 KANONI-MITYANA'!I50,'22.10 KANONI-MITYANA'!I50,'23.10 KANONI-MITYANA'!I50)</f>
        <v>0.7142857142857143</v>
      </c>
      <c r="J50" s="49">
        <f>AVERAGE('17.10 KANONI-MITYANA'!J50,'18.10 KANONI-MITYANA-24h'!J50,'19.10 KANONI-MITYANA-24h'!J50,'20.10 KANONI-MITYANA'!J50,'21.10 KANONI-MITYANA'!J50,'22.10 KANONI-MITYANA'!J50,'23.10 KANONI-MITYANA'!J50)</f>
        <v>0.2857142857142857</v>
      </c>
      <c r="K50" s="49">
        <f>AVERAGE('17.10 KANONI-MITYANA'!K50,'18.10 KANONI-MITYANA-24h'!K50,'19.10 KANONI-MITYANA-24h'!K50,'20.10 KANONI-MITYANA'!K50,'21.10 KANONI-MITYANA'!K50,'22.10 KANONI-MITYANA'!K50,'23.10 KANONI-MITYANA'!K50)</f>
        <v>0</v>
      </c>
      <c r="L50" s="49">
        <f>AVERAGE('17.10 KANONI-MITYANA'!L50,'18.10 KANONI-MITYANA-24h'!L50,'19.10 KANONI-MITYANA-24h'!L50,'20.10 KANONI-MITYANA'!L50,'21.10 KANONI-MITYANA'!L50,'22.10 KANONI-MITYANA'!L50,'23.10 KANONI-MITYANA'!L50)</f>
        <v>0</v>
      </c>
      <c r="M50" s="49">
        <f>AVERAGE('17.10 KANONI-MITYANA'!M50,'18.10 KANONI-MITYANA-24h'!M50,'19.10 KANONI-MITYANA-24h'!M50,'20.10 KANONI-MITYANA'!M50,'21.10 KANONI-MITYANA'!M50,'22.10 KANONI-MITYANA'!M50,'23.10 KANONI-MITYANA'!M50)</f>
        <v>14</v>
      </c>
      <c r="N50" s="49">
        <f>AVERAGE('17.10 KANONI-MITYANA'!N50,'18.10 KANONI-MITYANA-24h'!N50,'19.10 KANONI-MITYANA-24h'!N50,'20.10 KANONI-MITYANA'!N50,'21.10 KANONI-MITYANA'!N50,'22.10 KANONI-MITYANA'!N50,'23.10 KANONI-MITYANA'!N50)</f>
        <v>0</v>
      </c>
      <c r="O50" s="15">
        <f t="shared" si="0"/>
        <v>2.2857142857142856</v>
      </c>
      <c r="P50" s="15">
        <f t="shared" si="1"/>
        <v>16.285714285714285</v>
      </c>
      <c r="R50" s="8"/>
      <c r="T50"/>
    </row>
    <row r="51" spans="2:20" ht="23.1" customHeight="1" x14ac:dyDescent="0.25">
      <c r="B51" s="24" t="s">
        <v>78</v>
      </c>
      <c r="C51" s="49">
        <f>AVERAGE('17.10 KANONI-MITYANA'!C51,'18.10 KANONI-MITYANA-24h'!C51,'19.10 KANONI-MITYANA-24h'!C51,'20.10 KANONI-MITYANA'!C51,'21.10 KANONI-MITYANA'!C51,'22.10 KANONI-MITYANA'!C51,'23.10 KANONI-MITYANA'!C51)</f>
        <v>1.4285714285714286</v>
      </c>
      <c r="D51" s="49">
        <f>AVERAGE('17.10 KANONI-MITYANA'!D51,'18.10 KANONI-MITYANA-24h'!D51,'19.10 KANONI-MITYANA-24h'!D51,'20.10 KANONI-MITYANA'!D51,'21.10 KANONI-MITYANA'!D51,'22.10 KANONI-MITYANA'!D51,'23.10 KANONI-MITYANA'!D51)</f>
        <v>0</v>
      </c>
      <c r="E51" s="49">
        <f>AVERAGE('17.10 KANONI-MITYANA'!E51,'18.10 KANONI-MITYANA-24h'!E51,'19.10 KANONI-MITYANA-24h'!E51,'20.10 KANONI-MITYANA'!E51,'21.10 KANONI-MITYANA'!E51,'22.10 KANONI-MITYANA'!E51,'23.10 KANONI-MITYANA'!E51)</f>
        <v>0.5714285714285714</v>
      </c>
      <c r="F51" s="49">
        <f>AVERAGE('17.10 KANONI-MITYANA'!F51,'18.10 KANONI-MITYANA-24h'!F51,'19.10 KANONI-MITYANA-24h'!F51,'20.10 KANONI-MITYANA'!F51,'21.10 KANONI-MITYANA'!F51,'22.10 KANONI-MITYANA'!F51,'23.10 KANONI-MITYANA'!F51)</f>
        <v>0</v>
      </c>
      <c r="G51" s="49">
        <f>AVERAGE('17.10 KANONI-MITYANA'!G51,'18.10 KANONI-MITYANA-24h'!G51,'19.10 KANONI-MITYANA-24h'!G51,'20.10 KANONI-MITYANA'!G51,'21.10 KANONI-MITYANA'!G51,'22.10 KANONI-MITYANA'!G51,'23.10 KANONI-MITYANA'!G51)</f>
        <v>0</v>
      </c>
      <c r="H51" s="49">
        <f>AVERAGE('17.10 KANONI-MITYANA'!H51,'18.10 KANONI-MITYANA-24h'!H51,'19.10 KANONI-MITYANA-24h'!H51,'20.10 KANONI-MITYANA'!H51,'21.10 KANONI-MITYANA'!H51,'22.10 KANONI-MITYANA'!H51,'23.10 KANONI-MITYANA'!H51)</f>
        <v>0</v>
      </c>
      <c r="I51" s="49">
        <f>AVERAGE('17.10 KANONI-MITYANA'!I51,'18.10 KANONI-MITYANA-24h'!I51,'19.10 KANONI-MITYANA-24h'!I51,'20.10 KANONI-MITYANA'!I51,'21.10 KANONI-MITYANA'!I51,'22.10 KANONI-MITYANA'!I51,'23.10 KANONI-MITYANA'!I51)</f>
        <v>1.2857142857142858</v>
      </c>
      <c r="J51" s="49">
        <f>AVERAGE('17.10 KANONI-MITYANA'!J51,'18.10 KANONI-MITYANA-24h'!J51,'19.10 KANONI-MITYANA-24h'!J51,'20.10 KANONI-MITYANA'!J51,'21.10 KANONI-MITYANA'!J51,'22.10 KANONI-MITYANA'!J51,'23.10 KANONI-MITYANA'!J51)</f>
        <v>0.14285714285714285</v>
      </c>
      <c r="K51" s="49">
        <f>AVERAGE('17.10 KANONI-MITYANA'!K51,'18.10 KANONI-MITYANA-24h'!K51,'19.10 KANONI-MITYANA-24h'!K51,'20.10 KANONI-MITYANA'!K51,'21.10 KANONI-MITYANA'!K51,'22.10 KANONI-MITYANA'!K51,'23.10 KANONI-MITYANA'!K51)</f>
        <v>0</v>
      </c>
      <c r="L51" s="49">
        <f>AVERAGE('17.10 KANONI-MITYANA'!L51,'18.10 KANONI-MITYANA-24h'!L51,'19.10 KANONI-MITYANA-24h'!L51,'20.10 KANONI-MITYANA'!L51,'21.10 KANONI-MITYANA'!L51,'22.10 KANONI-MITYANA'!L51,'23.10 KANONI-MITYANA'!L51)</f>
        <v>0</v>
      </c>
      <c r="M51" s="49">
        <f>AVERAGE('17.10 KANONI-MITYANA'!M51,'18.10 KANONI-MITYANA-24h'!M51,'19.10 KANONI-MITYANA-24h'!M51,'20.10 KANONI-MITYANA'!M51,'21.10 KANONI-MITYANA'!M51,'22.10 KANONI-MITYANA'!M51,'23.10 KANONI-MITYANA'!M51)</f>
        <v>15.428571428571429</v>
      </c>
      <c r="N51" s="49">
        <f>AVERAGE('17.10 KANONI-MITYANA'!N51,'18.10 KANONI-MITYANA-24h'!N51,'19.10 KANONI-MITYANA-24h'!N51,'20.10 KANONI-MITYANA'!N51,'21.10 KANONI-MITYANA'!N51,'22.10 KANONI-MITYANA'!N51,'23.10 KANONI-MITYANA'!N51)</f>
        <v>0</v>
      </c>
      <c r="O51" s="15">
        <f t="shared" si="0"/>
        <v>3.4285714285714284</v>
      </c>
      <c r="P51" s="15">
        <f t="shared" si="1"/>
        <v>18.857142857142858</v>
      </c>
      <c r="R51" s="8"/>
      <c r="T51"/>
    </row>
    <row r="52" spans="2:20" ht="23.1" customHeight="1" x14ac:dyDescent="0.25">
      <c r="B52" s="24" t="s">
        <v>79</v>
      </c>
      <c r="C52" s="49">
        <f>AVERAGE('17.10 KANONI-MITYANA'!C52,'18.10 KANONI-MITYANA-24h'!C52,'19.10 KANONI-MITYANA-24h'!C52,'20.10 KANONI-MITYANA'!C52,'21.10 KANONI-MITYANA'!C52,'22.10 KANONI-MITYANA'!C52,'23.10 KANONI-MITYANA'!C52)</f>
        <v>0.7142857142857143</v>
      </c>
      <c r="D52" s="49">
        <f>AVERAGE('17.10 KANONI-MITYANA'!D52,'18.10 KANONI-MITYANA-24h'!D52,'19.10 KANONI-MITYANA-24h'!D52,'20.10 KANONI-MITYANA'!D52,'21.10 KANONI-MITYANA'!D52,'22.10 KANONI-MITYANA'!D52,'23.10 KANONI-MITYANA'!D52)</f>
        <v>0.14285714285714285</v>
      </c>
      <c r="E52" s="49">
        <f>AVERAGE('17.10 KANONI-MITYANA'!E52,'18.10 KANONI-MITYANA-24h'!E52,'19.10 KANONI-MITYANA-24h'!E52,'20.10 KANONI-MITYANA'!E52,'21.10 KANONI-MITYANA'!E52,'22.10 KANONI-MITYANA'!E52,'23.10 KANONI-MITYANA'!E52)</f>
        <v>0.42857142857142855</v>
      </c>
      <c r="F52" s="49">
        <f>AVERAGE('17.10 KANONI-MITYANA'!F52,'18.10 KANONI-MITYANA-24h'!F52,'19.10 KANONI-MITYANA-24h'!F52,'20.10 KANONI-MITYANA'!F52,'21.10 KANONI-MITYANA'!F52,'22.10 KANONI-MITYANA'!F52,'23.10 KANONI-MITYANA'!F52)</f>
        <v>0.14285714285714285</v>
      </c>
      <c r="G52" s="49">
        <f>AVERAGE('17.10 KANONI-MITYANA'!G52,'18.10 KANONI-MITYANA-24h'!G52,'19.10 KANONI-MITYANA-24h'!G52,'20.10 KANONI-MITYANA'!G52,'21.10 KANONI-MITYANA'!G52,'22.10 KANONI-MITYANA'!G52,'23.10 KANONI-MITYANA'!G52)</f>
        <v>0</v>
      </c>
      <c r="H52" s="49">
        <f>AVERAGE('17.10 KANONI-MITYANA'!H52,'18.10 KANONI-MITYANA-24h'!H52,'19.10 KANONI-MITYANA-24h'!H52,'20.10 KANONI-MITYANA'!H52,'21.10 KANONI-MITYANA'!H52,'22.10 KANONI-MITYANA'!H52,'23.10 KANONI-MITYANA'!H52)</f>
        <v>0</v>
      </c>
      <c r="I52" s="49">
        <f>AVERAGE('17.10 KANONI-MITYANA'!I52,'18.10 KANONI-MITYANA-24h'!I52,'19.10 KANONI-MITYANA-24h'!I52,'20.10 KANONI-MITYANA'!I52,'21.10 KANONI-MITYANA'!I52,'22.10 KANONI-MITYANA'!I52,'23.10 KANONI-MITYANA'!I52)</f>
        <v>1.2857142857142858</v>
      </c>
      <c r="J52" s="49">
        <f>AVERAGE('17.10 KANONI-MITYANA'!J52,'18.10 KANONI-MITYANA-24h'!J52,'19.10 KANONI-MITYANA-24h'!J52,'20.10 KANONI-MITYANA'!J52,'21.10 KANONI-MITYANA'!J52,'22.10 KANONI-MITYANA'!J52,'23.10 KANONI-MITYANA'!J52)</f>
        <v>0.14285714285714285</v>
      </c>
      <c r="K52" s="49">
        <f>AVERAGE('17.10 KANONI-MITYANA'!K52,'18.10 KANONI-MITYANA-24h'!K52,'19.10 KANONI-MITYANA-24h'!K52,'20.10 KANONI-MITYANA'!K52,'21.10 KANONI-MITYANA'!K52,'22.10 KANONI-MITYANA'!K52,'23.10 KANONI-MITYANA'!K52)</f>
        <v>0</v>
      </c>
      <c r="L52" s="49">
        <f>AVERAGE('17.10 KANONI-MITYANA'!L52,'18.10 KANONI-MITYANA-24h'!L52,'19.10 KANONI-MITYANA-24h'!L52,'20.10 KANONI-MITYANA'!L52,'21.10 KANONI-MITYANA'!L52,'22.10 KANONI-MITYANA'!L52,'23.10 KANONI-MITYANA'!L52)</f>
        <v>0</v>
      </c>
      <c r="M52" s="49">
        <f>AVERAGE('17.10 KANONI-MITYANA'!M52,'18.10 KANONI-MITYANA-24h'!M52,'19.10 KANONI-MITYANA-24h'!M52,'20.10 KANONI-MITYANA'!M52,'21.10 KANONI-MITYANA'!M52,'22.10 KANONI-MITYANA'!M52,'23.10 KANONI-MITYANA'!M52)</f>
        <v>14.428571428571429</v>
      </c>
      <c r="N52" s="49">
        <f>AVERAGE('17.10 KANONI-MITYANA'!N52,'18.10 KANONI-MITYANA-24h'!N52,'19.10 KANONI-MITYANA-24h'!N52,'20.10 KANONI-MITYANA'!N52,'21.10 KANONI-MITYANA'!N52,'22.10 KANONI-MITYANA'!N52,'23.10 KANONI-MITYANA'!N52)</f>
        <v>0</v>
      </c>
      <c r="O52" s="15">
        <f t="shared" si="0"/>
        <v>2.8571428571428572</v>
      </c>
      <c r="P52" s="15">
        <f t="shared" si="1"/>
        <v>17.285714285714285</v>
      </c>
      <c r="R52" s="8"/>
      <c r="T52"/>
    </row>
    <row r="53" spans="2:20" ht="23.1" customHeight="1" x14ac:dyDescent="0.25">
      <c r="B53" s="23" t="s">
        <v>80</v>
      </c>
      <c r="C53" s="49">
        <f>AVERAGE('17.10 KANONI-MITYANA'!C53,'18.10 KANONI-MITYANA-24h'!C53,'19.10 KANONI-MITYANA-24h'!C53,'20.10 KANONI-MITYANA'!C53,'21.10 KANONI-MITYANA'!C53,'22.10 KANONI-MITYANA'!C53,'23.10 KANONI-MITYANA'!C53)</f>
        <v>1.4285714285714286</v>
      </c>
      <c r="D53" s="49">
        <f>AVERAGE('17.10 KANONI-MITYANA'!D53,'18.10 KANONI-MITYANA-24h'!D53,'19.10 KANONI-MITYANA-24h'!D53,'20.10 KANONI-MITYANA'!D53,'21.10 KANONI-MITYANA'!D53,'22.10 KANONI-MITYANA'!D53,'23.10 KANONI-MITYANA'!D53)</f>
        <v>0.2857142857142857</v>
      </c>
      <c r="E53" s="49">
        <f>AVERAGE('17.10 KANONI-MITYANA'!E53,'18.10 KANONI-MITYANA-24h'!E53,'19.10 KANONI-MITYANA-24h'!E53,'20.10 KANONI-MITYANA'!E53,'21.10 KANONI-MITYANA'!E53,'22.10 KANONI-MITYANA'!E53,'23.10 KANONI-MITYANA'!E53)</f>
        <v>0.5714285714285714</v>
      </c>
      <c r="F53" s="49">
        <f>AVERAGE('17.10 KANONI-MITYANA'!F53,'18.10 KANONI-MITYANA-24h'!F53,'19.10 KANONI-MITYANA-24h'!F53,'20.10 KANONI-MITYANA'!F53,'21.10 KANONI-MITYANA'!F53,'22.10 KANONI-MITYANA'!F53,'23.10 KANONI-MITYANA'!F53)</f>
        <v>0.2857142857142857</v>
      </c>
      <c r="G53" s="49">
        <f>AVERAGE('17.10 KANONI-MITYANA'!G53,'18.10 KANONI-MITYANA-24h'!G53,'19.10 KANONI-MITYANA-24h'!G53,'20.10 KANONI-MITYANA'!G53,'21.10 KANONI-MITYANA'!G53,'22.10 KANONI-MITYANA'!G53,'23.10 KANONI-MITYANA'!G53)</f>
        <v>0</v>
      </c>
      <c r="H53" s="49">
        <f>AVERAGE('17.10 KANONI-MITYANA'!H53,'18.10 KANONI-MITYANA-24h'!H53,'19.10 KANONI-MITYANA-24h'!H53,'20.10 KANONI-MITYANA'!H53,'21.10 KANONI-MITYANA'!H53,'22.10 KANONI-MITYANA'!H53,'23.10 KANONI-MITYANA'!H53)</f>
        <v>0</v>
      </c>
      <c r="I53" s="49">
        <f>AVERAGE('17.10 KANONI-MITYANA'!I53,'18.10 KANONI-MITYANA-24h'!I53,'19.10 KANONI-MITYANA-24h'!I53,'20.10 KANONI-MITYANA'!I53,'21.10 KANONI-MITYANA'!I53,'22.10 KANONI-MITYANA'!I53,'23.10 KANONI-MITYANA'!I53)</f>
        <v>0.42857142857142855</v>
      </c>
      <c r="J53" s="49">
        <f>AVERAGE('17.10 KANONI-MITYANA'!J53,'18.10 KANONI-MITYANA-24h'!J53,'19.10 KANONI-MITYANA-24h'!J53,'20.10 KANONI-MITYANA'!J53,'21.10 KANONI-MITYANA'!J53,'22.10 KANONI-MITYANA'!J53,'23.10 KANONI-MITYANA'!J53)</f>
        <v>0</v>
      </c>
      <c r="K53" s="49">
        <f>AVERAGE('17.10 KANONI-MITYANA'!K53,'18.10 KANONI-MITYANA-24h'!K53,'19.10 KANONI-MITYANA-24h'!K53,'20.10 KANONI-MITYANA'!K53,'21.10 KANONI-MITYANA'!K53,'22.10 KANONI-MITYANA'!K53,'23.10 KANONI-MITYANA'!K53)</f>
        <v>0</v>
      </c>
      <c r="L53" s="49">
        <f>AVERAGE('17.10 KANONI-MITYANA'!L53,'18.10 KANONI-MITYANA-24h'!L53,'19.10 KANONI-MITYANA-24h'!L53,'20.10 KANONI-MITYANA'!L53,'21.10 KANONI-MITYANA'!L53,'22.10 KANONI-MITYANA'!L53,'23.10 KANONI-MITYANA'!L53)</f>
        <v>0</v>
      </c>
      <c r="M53" s="49">
        <f>AVERAGE('17.10 KANONI-MITYANA'!M53,'18.10 KANONI-MITYANA-24h'!M53,'19.10 KANONI-MITYANA-24h'!M53,'20.10 KANONI-MITYANA'!M53,'21.10 KANONI-MITYANA'!M53,'22.10 KANONI-MITYANA'!M53,'23.10 KANONI-MITYANA'!M53)</f>
        <v>16.571428571428573</v>
      </c>
      <c r="N53" s="49">
        <f>AVERAGE('17.10 KANONI-MITYANA'!N53,'18.10 KANONI-MITYANA-24h'!N53,'19.10 KANONI-MITYANA-24h'!N53,'20.10 KANONI-MITYANA'!N53,'21.10 KANONI-MITYANA'!N53,'22.10 KANONI-MITYANA'!N53,'23.10 KANONI-MITYANA'!N53)</f>
        <v>0</v>
      </c>
      <c r="O53" s="15">
        <f t="shared" si="0"/>
        <v>2.9999999999999996</v>
      </c>
      <c r="P53" s="15">
        <f t="shared" si="1"/>
        <v>19.571428571428573</v>
      </c>
      <c r="R53" s="8"/>
      <c r="T53"/>
    </row>
    <row r="54" spans="2:20" ht="23.1" customHeight="1" x14ac:dyDescent="0.25">
      <c r="B54" s="23" t="s">
        <v>81</v>
      </c>
      <c r="C54" s="49">
        <f>AVERAGE('17.10 KANONI-MITYANA'!C54,'18.10 KANONI-MITYANA-24h'!C54,'19.10 KANONI-MITYANA-24h'!C54,'20.10 KANONI-MITYANA'!C54,'21.10 KANONI-MITYANA'!C54,'22.10 KANONI-MITYANA'!C54,'23.10 KANONI-MITYANA'!C54)</f>
        <v>0.7142857142857143</v>
      </c>
      <c r="D54" s="49">
        <f>AVERAGE('17.10 KANONI-MITYANA'!D54,'18.10 KANONI-MITYANA-24h'!D54,'19.10 KANONI-MITYANA-24h'!D54,'20.10 KANONI-MITYANA'!D54,'21.10 KANONI-MITYANA'!D54,'22.10 KANONI-MITYANA'!D54,'23.10 KANONI-MITYANA'!D54)</f>
        <v>0.14285714285714285</v>
      </c>
      <c r="E54" s="49">
        <f>AVERAGE('17.10 KANONI-MITYANA'!E54,'18.10 KANONI-MITYANA-24h'!E54,'19.10 KANONI-MITYANA-24h'!E54,'20.10 KANONI-MITYANA'!E54,'21.10 KANONI-MITYANA'!E54,'22.10 KANONI-MITYANA'!E54,'23.10 KANONI-MITYANA'!E54)</f>
        <v>1.2857142857142858</v>
      </c>
      <c r="F54" s="49">
        <f>AVERAGE('17.10 KANONI-MITYANA'!F54,'18.10 KANONI-MITYANA-24h'!F54,'19.10 KANONI-MITYANA-24h'!F54,'20.10 KANONI-MITYANA'!F54,'21.10 KANONI-MITYANA'!F54,'22.10 KANONI-MITYANA'!F54,'23.10 KANONI-MITYANA'!F54)</f>
        <v>2.1428571428571428</v>
      </c>
      <c r="G54" s="49">
        <f>AVERAGE('17.10 KANONI-MITYANA'!G54,'18.10 KANONI-MITYANA-24h'!G54,'19.10 KANONI-MITYANA-24h'!G54,'20.10 KANONI-MITYANA'!G54,'21.10 KANONI-MITYANA'!G54,'22.10 KANONI-MITYANA'!G54,'23.10 KANONI-MITYANA'!G54)</f>
        <v>0</v>
      </c>
      <c r="H54" s="49">
        <f>AVERAGE('17.10 KANONI-MITYANA'!H54,'18.10 KANONI-MITYANA-24h'!H54,'19.10 KANONI-MITYANA-24h'!H54,'20.10 KANONI-MITYANA'!H54,'21.10 KANONI-MITYANA'!H54,'22.10 KANONI-MITYANA'!H54,'23.10 KANONI-MITYANA'!H54)</f>
        <v>0</v>
      </c>
      <c r="I54" s="49">
        <f>AVERAGE('17.10 KANONI-MITYANA'!I54,'18.10 KANONI-MITYANA-24h'!I54,'19.10 KANONI-MITYANA-24h'!I54,'20.10 KANONI-MITYANA'!I54,'21.10 KANONI-MITYANA'!I54,'22.10 KANONI-MITYANA'!I54,'23.10 KANONI-MITYANA'!I54)</f>
        <v>1</v>
      </c>
      <c r="J54" s="49">
        <f>AVERAGE('17.10 KANONI-MITYANA'!J54,'18.10 KANONI-MITYANA-24h'!J54,'19.10 KANONI-MITYANA-24h'!J54,'20.10 KANONI-MITYANA'!J54,'21.10 KANONI-MITYANA'!J54,'22.10 KANONI-MITYANA'!J54,'23.10 KANONI-MITYANA'!J54)</f>
        <v>0.2857142857142857</v>
      </c>
      <c r="K54" s="49">
        <f>AVERAGE('17.10 KANONI-MITYANA'!K54,'18.10 KANONI-MITYANA-24h'!K54,'19.10 KANONI-MITYANA-24h'!K54,'20.10 KANONI-MITYANA'!K54,'21.10 KANONI-MITYANA'!K54,'22.10 KANONI-MITYANA'!K54,'23.10 KANONI-MITYANA'!K54)</f>
        <v>0</v>
      </c>
      <c r="L54" s="49">
        <f>AVERAGE('17.10 KANONI-MITYANA'!L54,'18.10 KANONI-MITYANA-24h'!L54,'19.10 KANONI-MITYANA-24h'!L54,'20.10 KANONI-MITYANA'!L54,'21.10 KANONI-MITYANA'!L54,'22.10 KANONI-MITYANA'!L54,'23.10 KANONI-MITYANA'!L54)</f>
        <v>0</v>
      </c>
      <c r="M54" s="49">
        <f>AVERAGE('17.10 KANONI-MITYANA'!M54,'18.10 KANONI-MITYANA-24h'!M54,'19.10 KANONI-MITYANA-24h'!M54,'20.10 KANONI-MITYANA'!M54,'21.10 KANONI-MITYANA'!M54,'22.10 KANONI-MITYANA'!M54,'23.10 KANONI-MITYANA'!M54)</f>
        <v>15.714285714285714</v>
      </c>
      <c r="N54" s="49">
        <f>AVERAGE('17.10 KANONI-MITYANA'!N54,'18.10 KANONI-MITYANA-24h'!N54,'19.10 KANONI-MITYANA-24h'!N54,'20.10 KANONI-MITYANA'!N54,'21.10 KANONI-MITYANA'!N54,'22.10 KANONI-MITYANA'!N54,'23.10 KANONI-MITYANA'!N54)</f>
        <v>0</v>
      </c>
      <c r="O54" s="15">
        <f t="shared" si="0"/>
        <v>5.5714285714285721</v>
      </c>
      <c r="P54" s="15">
        <f t="shared" si="1"/>
        <v>21.285714285714285</v>
      </c>
      <c r="R54" s="8"/>
      <c r="T54"/>
    </row>
    <row r="55" spans="2:20" ht="23.1" customHeight="1" x14ac:dyDescent="0.25">
      <c r="B55" s="23" t="s">
        <v>82</v>
      </c>
      <c r="C55" s="49">
        <f>AVERAGE('17.10 KANONI-MITYANA'!C55,'18.10 KANONI-MITYANA-24h'!C55,'19.10 KANONI-MITYANA-24h'!C55,'20.10 KANONI-MITYANA'!C55,'21.10 KANONI-MITYANA'!C55,'22.10 KANONI-MITYANA'!C55,'23.10 KANONI-MITYANA'!C55)</f>
        <v>0.5714285714285714</v>
      </c>
      <c r="D55" s="49">
        <f>AVERAGE('17.10 KANONI-MITYANA'!D55,'18.10 KANONI-MITYANA-24h'!D55,'19.10 KANONI-MITYANA-24h'!D55,'20.10 KANONI-MITYANA'!D55,'21.10 KANONI-MITYANA'!D55,'22.10 KANONI-MITYANA'!D55,'23.10 KANONI-MITYANA'!D55)</f>
        <v>0.14285714285714285</v>
      </c>
      <c r="E55" s="49">
        <f>AVERAGE('17.10 KANONI-MITYANA'!E55,'18.10 KANONI-MITYANA-24h'!E55,'19.10 KANONI-MITYANA-24h'!E55,'20.10 KANONI-MITYANA'!E55,'21.10 KANONI-MITYANA'!E55,'22.10 KANONI-MITYANA'!E55,'23.10 KANONI-MITYANA'!E55)</f>
        <v>0.2857142857142857</v>
      </c>
      <c r="F55" s="49">
        <f>AVERAGE('17.10 KANONI-MITYANA'!F55,'18.10 KANONI-MITYANA-24h'!F55,'19.10 KANONI-MITYANA-24h'!F55,'20.10 KANONI-MITYANA'!F55,'21.10 KANONI-MITYANA'!F55,'22.10 KANONI-MITYANA'!F55,'23.10 KANONI-MITYANA'!F55)</f>
        <v>0</v>
      </c>
      <c r="G55" s="49">
        <f>AVERAGE('17.10 KANONI-MITYANA'!G55,'18.10 KANONI-MITYANA-24h'!G55,'19.10 KANONI-MITYANA-24h'!G55,'20.10 KANONI-MITYANA'!G55,'21.10 KANONI-MITYANA'!G55,'22.10 KANONI-MITYANA'!G55,'23.10 KANONI-MITYANA'!G55)</f>
        <v>0</v>
      </c>
      <c r="H55" s="49">
        <f>AVERAGE('17.10 KANONI-MITYANA'!H55,'18.10 KANONI-MITYANA-24h'!H55,'19.10 KANONI-MITYANA-24h'!H55,'20.10 KANONI-MITYANA'!H55,'21.10 KANONI-MITYANA'!H55,'22.10 KANONI-MITYANA'!H55,'23.10 KANONI-MITYANA'!H55)</f>
        <v>0</v>
      </c>
      <c r="I55" s="49">
        <f>AVERAGE('17.10 KANONI-MITYANA'!I55,'18.10 KANONI-MITYANA-24h'!I55,'19.10 KANONI-MITYANA-24h'!I55,'20.10 KANONI-MITYANA'!I55,'21.10 KANONI-MITYANA'!I55,'22.10 KANONI-MITYANA'!I55,'23.10 KANONI-MITYANA'!I55)</f>
        <v>1</v>
      </c>
      <c r="J55" s="49">
        <f>AVERAGE('17.10 KANONI-MITYANA'!J55,'18.10 KANONI-MITYANA-24h'!J55,'19.10 KANONI-MITYANA-24h'!J55,'20.10 KANONI-MITYANA'!J55,'21.10 KANONI-MITYANA'!J55,'22.10 KANONI-MITYANA'!J55,'23.10 KANONI-MITYANA'!J55)</f>
        <v>0.42857142857142855</v>
      </c>
      <c r="K55" s="49">
        <f>AVERAGE('17.10 KANONI-MITYANA'!K55,'18.10 KANONI-MITYANA-24h'!K55,'19.10 KANONI-MITYANA-24h'!K55,'20.10 KANONI-MITYANA'!K55,'21.10 KANONI-MITYANA'!K55,'22.10 KANONI-MITYANA'!K55,'23.10 KANONI-MITYANA'!K55)</f>
        <v>0</v>
      </c>
      <c r="L55" s="49">
        <f>AVERAGE('17.10 KANONI-MITYANA'!L55,'18.10 KANONI-MITYANA-24h'!L55,'19.10 KANONI-MITYANA-24h'!L55,'20.10 KANONI-MITYANA'!L55,'21.10 KANONI-MITYANA'!L55,'22.10 KANONI-MITYANA'!L55,'23.10 KANONI-MITYANA'!L55)</f>
        <v>0</v>
      </c>
      <c r="M55" s="49">
        <f>AVERAGE('17.10 KANONI-MITYANA'!M55,'18.10 KANONI-MITYANA-24h'!M55,'19.10 KANONI-MITYANA-24h'!M55,'20.10 KANONI-MITYANA'!M55,'21.10 KANONI-MITYANA'!M55,'22.10 KANONI-MITYANA'!M55,'23.10 KANONI-MITYANA'!M55)</f>
        <v>15.857142857142858</v>
      </c>
      <c r="N55" s="49">
        <f>AVERAGE('17.10 KANONI-MITYANA'!N55,'18.10 KANONI-MITYANA-24h'!N55,'19.10 KANONI-MITYANA-24h'!N55,'20.10 KANONI-MITYANA'!N55,'21.10 KANONI-MITYANA'!N55,'22.10 KANONI-MITYANA'!N55,'23.10 KANONI-MITYANA'!N55)</f>
        <v>0</v>
      </c>
      <c r="O55" s="15">
        <f t="shared" si="0"/>
        <v>2.4285714285714284</v>
      </c>
      <c r="P55" s="15">
        <f t="shared" si="1"/>
        <v>18.285714285714285</v>
      </c>
      <c r="R55" s="8"/>
      <c r="T55"/>
    </row>
    <row r="56" spans="2:20" ht="23.1" customHeight="1" x14ac:dyDescent="0.25">
      <c r="B56" s="23" t="s">
        <v>83</v>
      </c>
      <c r="C56" s="49">
        <f>AVERAGE('17.10 KANONI-MITYANA'!C56,'18.10 KANONI-MITYANA-24h'!C56,'19.10 KANONI-MITYANA-24h'!C56,'20.10 KANONI-MITYANA'!C56,'21.10 KANONI-MITYANA'!C56,'22.10 KANONI-MITYANA'!C56,'23.10 KANONI-MITYANA'!C56)</f>
        <v>0.7142857142857143</v>
      </c>
      <c r="D56" s="49">
        <f>AVERAGE('17.10 KANONI-MITYANA'!D56,'18.10 KANONI-MITYANA-24h'!D56,'19.10 KANONI-MITYANA-24h'!D56,'20.10 KANONI-MITYANA'!D56,'21.10 KANONI-MITYANA'!D56,'22.10 KANONI-MITYANA'!D56,'23.10 KANONI-MITYANA'!D56)</f>
        <v>0</v>
      </c>
      <c r="E56" s="49">
        <f>AVERAGE('17.10 KANONI-MITYANA'!E56,'18.10 KANONI-MITYANA-24h'!E56,'19.10 KANONI-MITYANA-24h'!E56,'20.10 KANONI-MITYANA'!E56,'21.10 KANONI-MITYANA'!E56,'22.10 KANONI-MITYANA'!E56,'23.10 KANONI-MITYANA'!E56)</f>
        <v>0.2857142857142857</v>
      </c>
      <c r="F56" s="49">
        <f>AVERAGE('17.10 KANONI-MITYANA'!F56,'18.10 KANONI-MITYANA-24h'!F56,'19.10 KANONI-MITYANA-24h'!F56,'20.10 KANONI-MITYANA'!F56,'21.10 KANONI-MITYANA'!F56,'22.10 KANONI-MITYANA'!F56,'23.10 KANONI-MITYANA'!F56)</f>
        <v>0.2857142857142857</v>
      </c>
      <c r="G56" s="49">
        <f>AVERAGE('17.10 KANONI-MITYANA'!G56,'18.10 KANONI-MITYANA-24h'!G56,'19.10 KANONI-MITYANA-24h'!G56,'20.10 KANONI-MITYANA'!G56,'21.10 KANONI-MITYANA'!G56,'22.10 KANONI-MITYANA'!G56,'23.10 KANONI-MITYANA'!G56)</f>
        <v>0</v>
      </c>
      <c r="H56" s="49">
        <f>AVERAGE('17.10 KANONI-MITYANA'!H56,'18.10 KANONI-MITYANA-24h'!H56,'19.10 KANONI-MITYANA-24h'!H56,'20.10 KANONI-MITYANA'!H56,'21.10 KANONI-MITYANA'!H56,'22.10 KANONI-MITYANA'!H56,'23.10 KANONI-MITYANA'!H56)</f>
        <v>0</v>
      </c>
      <c r="I56" s="49">
        <f>AVERAGE('17.10 KANONI-MITYANA'!I56,'18.10 KANONI-MITYANA-24h'!I56,'19.10 KANONI-MITYANA-24h'!I56,'20.10 KANONI-MITYANA'!I56,'21.10 KANONI-MITYANA'!I56,'22.10 KANONI-MITYANA'!I56,'23.10 KANONI-MITYANA'!I56)</f>
        <v>0.5714285714285714</v>
      </c>
      <c r="J56" s="49">
        <f>AVERAGE('17.10 KANONI-MITYANA'!J56,'18.10 KANONI-MITYANA-24h'!J56,'19.10 KANONI-MITYANA-24h'!J56,'20.10 KANONI-MITYANA'!J56,'21.10 KANONI-MITYANA'!J56,'22.10 KANONI-MITYANA'!J56,'23.10 KANONI-MITYANA'!J56)</f>
        <v>0.2857142857142857</v>
      </c>
      <c r="K56" s="49">
        <f>AVERAGE('17.10 KANONI-MITYANA'!K56,'18.10 KANONI-MITYANA-24h'!K56,'19.10 KANONI-MITYANA-24h'!K56,'20.10 KANONI-MITYANA'!K56,'21.10 KANONI-MITYANA'!K56,'22.10 KANONI-MITYANA'!K56,'23.10 KANONI-MITYANA'!K56)</f>
        <v>0</v>
      </c>
      <c r="L56" s="49">
        <f>AVERAGE('17.10 KANONI-MITYANA'!L56,'18.10 KANONI-MITYANA-24h'!L56,'19.10 KANONI-MITYANA-24h'!L56,'20.10 KANONI-MITYANA'!L56,'21.10 KANONI-MITYANA'!L56,'22.10 KANONI-MITYANA'!L56,'23.10 KANONI-MITYANA'!L56)</f>
        <v>0</v>
      </c>
      <c r="M56" s="49">
        <f>AVERAGE('17.10 KANONI-MITYANA'!M56,'18.10 KANONI-MITYANA-24h'!M56,'19.10 KANONI-MITYANA-24h'!M56,'20.10 KANONI-MITYANA'!M56,'21.10 KANONI-MITYANA'!M56,'22.10 KANONI-MITYANA'!M56,'23.10 KANONI-MITYANA'!M56)</f>
        <v>17.571428571428573</v>
      </c>
      <c r="N56" s="49">
        <f>AVERAGE('17.10 KANONI-MITYANA'!N56,'18.10 KANONI-MITYANA-24h'!N56,'19.10 KANONI-MITYANA-24h'!N56,'20.10 KANONI-MITYANA'!N56,'21.10 KANONI-MITYANA'!N56,'22.10 KANONI-MITYANA'!N56,'23.10 KANONI-MITYANA'!N56)</f>
        <v>0</v>
      </c>
      <c r="O56" s="15">
        <f t="shared" si="0"/>
        <v>2.1428571428571428</v>
      </c>
      <c r="P56" s="15">
        <f t="shared" si="1"/>
        <v>19.714285714285715</v>
      </c>
      <c r="R56" s="8"/>
      <c r="T56"/>
    </row>
    <row r="57" spans="2:20" ht="23.1" customHeight="1" x14ac:dyDescent="0.25">
      <c r="B57" s="23" t="s">
        <v>84</v>
      </c>
      <c r="C57" s="49">
        <f>AVERAGE('17.10 KANONI-MITYANA'!C57,'18.10 KANONI-MITYANA-24h'!C57,'19.10 KANONI-MITYANA-24h'!C57,'20.10 KANONI-MITYANA'!C57,'21.10 KANONI-MITYANA'!C57,'22.10 KANONI-MITYANA'!C57,'23.10 KANONI-MITYANA'!C57)</f>
        <v>0.5714285714285714</v>
      </c>
      <c r="D57" s="49">
        <f>AVERAGE('17.10 KANONI-MITYANA'!D57,'18.10 KANONI-MITYANA-24h'!D57,'19.10 KANONI-MITYANA-24h'!D57,'20.10 KANONI-MITYANA'!D57,'21.10 KANONI-MITYANA'!D57,'22.10 KANONI-MITYANA'!D57,'23.10 KANONI-MITYANA'!D57)</f>
        <v>0.14285714285714285</v>
      </c>
      <c r="E57" s="49">
        <f>AVERAGE('17.10 KANONI-MITYANA'!E57,'18.10 KANONI-MITYANA-24h'!E57,'19.10 KANONI-MITYANA-24h'!E57,'20.10 KANONI-MITYANA'!E57,'21.10 KANONI-MITYANA'!E57,'22.10 KANONI-MITYANA'!E57,'23.10 KANONI-MITYANA'!E57)</f>
        <v>0.42857142857142855</v>
      </c>
      <c r="F57" s="49">
        <f>AVERAGE('17.10 KANONI-MITYANA'!F57,'18.10 KANONI-MITYANA-24h'!F57,'19.10 KANONI-MITYANA-24h'!F57,'20.10 KANONI-MITYANA'!F57,'21.10 KANONI-MITYANA'!F57,'22.10 KANONI-MITYANA'!F57,'23.10 KANONI-MITYANA'!F57)</f>
        <v>0</v>
      </c>
      <c r="G57" s="49">
        <f>AVERAGE('17.10 KANONI-MITYANA'!G57,'18.10 KANONI-MITYANA-24h'!G57,'19.10 KANONI-MITYANA-24h'!G57,'20.10 KANONI-MITYANA'!G57,'21.10 KANONI-MITYANA'!G57,'22.10 KANONI-MITYANA'!G57,'23.10 KANONI-MITYANA'!G57)</f>
        <v>0</v>
      </c>
      <c r="H57" s="49">
        <f>AVERAGE('17.10 KANONI-MITYANA'!H57,'18.10 KANONI-MITYANA-24h'!H57,'19.10 KANONI-MITYANA-24h'!H57,'20.10 KANONI-MITYANA'!H57,'21.10 KANONI-MITYANA'!H57,'22.10 KANONI-MITYANA'!H57,'23.10 KANONI-MITYANA'!H57)</f>
        <v>0</v>
      </c>
      <c r="I57" s="49">
        <f>AVERAGE('17.10 KANONI-MITYANA'!I57,'18.10 KANONI-MITYANA-24h'!I57,'19.10 KANONI-MITYANA-24h'!I57,'20.10 KANONI-MITYANA'!I57,'21.10 KANONI-MITYANA'!I57,'22.10 KANONI-MITYANA'!I57,'23.10 KANONI-MITYANA'!I57)</f>
        <v>0.42857142857142855</v>
      </c>
      <c r="J57" s="49">
        <f>AVERAGE('17.10 KANONI-MITYANA'!J57,'18.10 KANONI-MITYANA-24h'!J57,'19.10 KANONI-MITYANA-24h'!J57,'20.10 KANONI-MITYANA'!J57,'21.10 KANONI-MITYANA'!J57,'22.10 KANONI-MITYANA'!J57,'23.10 KANONI-MITYANA'!J57)</f>
        <v>0.14285714285714285</v>
      </c>
      <c r="K57" s="49">
        <f>AVERAGE('17.10 KANONI-MITYANA'!K57,'18.10 KANONI-MITYANA-24h'!K57,'19.10 KANONI-MITYANA-24h'!K57,'20.10 KANONI-MITYANA'!K57,'21.10 KANONI-MITYANA'!K57,'22.10 KANONI-MITYANA'!K57,'23.10 KANONI-MITYANA'!K57)</f>
        <v>0</v>
      </c>
      <c r="L57" s="49">
        <f>AVERAGE('17.10 KANONI-MITYANA'!L57,'18.10 KANONI-MITYANA-24h'!L57,'19.10 KANONI-MITYANA-24h'!L57,'20.10 KANONI-MITYANA'!L57,'21.10 KANONI-MITYANA'!L57,'22.10 KANONI-MITYANA'!L57,'23.10 KANONI-MITYANA'!L57)</f>
        <v>0</v>
      </c>
      <c r="M57" s="49">
        <f>AVERAGE('17.10 KANONI-MITYANA'!M57,'18.10 KANONI-MITYANA-24h'!M57,'19.10 KANONI-MITYANA-24h'!M57,'20.10 KANONI-MITYANA'!M57,'21.10 KANONI-MITYANA'!M57,'22.10 KANONI-MITYANA'!M57,'23.10 KANONI-MITYANA'!M57)</f>
        <v>17.428571428571427</v>
      </c>
      <c r="N57" s="49">
        <f>AVERAGE('17.10 KANONI-MITYANA'!N57,'18.10 KANONI-MITYANA-24h'!N57,'19.10 KANONI-MITYANA-24h'!N57,'20.10 KANONI-MITYANA'!N57,'21.10 KANONI-MITYANA'!N57,'22.10 KANONI-MITYANA'!N57,'23.10 KANONI-MITYANA'!N57)</f>
        <v>0</v>
      </c>
      <c r="O57" s="15">
        <f t="shared" si="0"/>
        <v>1.7142857142857142</v>
      </c>
      <c r="P57" s="15">
        <f t="shared" si="1"/>
        <v>19.142857142857142</v>
      </c>
      <c r="R57" s="8"/>
      <c r="T57"/>
    </row>
    <row r="58" spans="2:20" ht="23.1" customHeight="1" x14ac:dyDescent="0.25">
      <c r="B58" s="23" t="s">
        <v>99</v>
      </c>
      <c r="C58" s="49">
        <f>AVERAGE('18.10 KANONI-MITYANA-24h'!C58,'19.10 KANONI-MITYANA-24h'!C58)</f>
        <v>1.5</v>
      </c>
      <c r="D58" s="49">
        <f>AVERAGE('18.10 KANONI-MITYANA-24h'!D58,'19.10 KANONI-MITYANA-24h'!D58)</f>
        <v>0</v>
      </c>
      <c r="E58" s="49">
        <f>AVERAGE('18.10 KANONI-MITYANA-24h'!E58,'19.10 KANONI-MITYANA-24h'!E58)</f>
        <v>1</v>
      </c>
      <c r="F58" s="49">
        <f>AVERAGE('18.10 KANONI-MITYANA-24h'!F58,'19.10 KANONI-MITYANA-24h'!F58)</f>
        <v>0</v>
      </c>
      <c r="G58" s="49">
        <f>AVERAGE('18.10 KANONI-MITYANA-24h'!G58,'19.10 KANONI-MITYANA-24h'!G58)</f>
        <v>0</v>
      </c>
      <c r="H58" s="49">
        <f>AVERAGE('18.10 KANONI-MITYANA-24h'!H58,'19.10 KANONI-MITYANA-24h'!H58)</f>
        <v>0</v>
      </c>
      <c r="I58" s="49">
        <f>AVERAGE('18.10 KANONI-MITYANA-24h'!I58,'19.10 KANONI-MITYANA-24h'!I58)</f>
        <v>0.5</v>
      </c>
      <c r="J58" s="49">
        <f>AVERAGE('18.10 KANONI-MITYANA-24h'!J58,'19.10 KANONI-MITYANA-24h'!J58)</f>
        <v>0</v>
      </c>
      <c r="K58" s="49">
        <f>AVERAGE('18.10 KANONI-MITYANA-24h'!K58,'19.10 KANONI-MITYANA-24h'!K58)</f>
        <v>0.5</v>
      </c>
      <c r="L58" s="49">
        <f>AVERAGE('18.10 KANONI-MITYANA-24h'!L58,'19.10 KANONI-MITYANA-24h'!L58)</f>
        <v>0</v>
      </c>
      <c r="M58" s="49">
        <f>AVERAGE('18.10 KANONI-MITYANA-24h'!M58,'19.10 KANONI-MITYANA-24h'!M58)</f>
        <v>15</v>
      </c>
      <c r="N58" s="49">
        <f>AVERAGE('18.10 KANONI-MITYANA-24h'!N58,'19.10 KANONI-MITYANA-24h'!N58)</f>
        <v>0</v>
      </c>
      <c r="O58" s="15">
        <f t="shared" si="0"/>
        <v>3.5</v>
      </c>
      <c r="P58" s="15">
        <f t="shared" si="1"/>
        <v>18.5</v>
      </c>
      <c r="R58" s="8"/>
      <c r="T58"/>
    </row>
    <row r="59" spans="2:20" ht="23.1" customHeight="1" x14ac:dyDescent="0.25">
      <c r="B59" s="23" t="s">
        <v>100</v>
      </c>
      <c r="C59" s="49">
        <f>AVERAGE('18.10 KANONI-MITYANA-24h'!C59,'19.10 KANONI-MITYANA-24h'!C59)</f>
        <v>0.5</v>
      </c>
      <c r="D59" s="49">
        <f>AVERAGE('18.10 KANONI-MITYANA-24h'!D59,'19.10 KANONI-MITYANA-24h'!D59)</f>
        <v>0</v>
      </c>
      <c r="E59" s="49">
        <f>AVERAGE('18.10 KANONI-MITYANA-24h'!E59,'19.10 KANONI-MITYANA-24h'!E59)</f>
        <v>0.5</v>
      </c>
      <c r="F59" s="49">
        <f>AVERAGE('18.10 KANONI-MITYANA-24h'!F59,'19.10 KANONI-MITYANA-24h'!F59)</f>
        <v>0</v>
      </c>
      <c r="G59" s="49">
        <f>AVERAGE('18.10 KANONI-MITYANA-24h'!G59,'19.10 KANONI-MITYANA-24h'!G59)</f>
        <v>0</v>
      </c>
      <c r="H59" s="49">
        <f>AVERAGE('18.10 KANONI-MITYANA-24h'!H59,'19.10 KANONI-MITYANA-24h'!H59)</f>
        <v>0</v>
      </c>
      <c r="I59" s="49">
        <f>AVERAGE('18.10 KANONI-MITYANA-24h'!I59,'19.10 KANONI-MITYANA-24h'!I59)</f>
        <v>0</v>
      </c>
      <c r="J59" s="49">
        <f>AVERAGE('18.10 KANONI-MITYANA-24h'!J59,'19.10 KANONI-MITYANA-24h'!J59)</f>
        <v>0</v>
      </c>
      <c r="K59" s="49">
        <f>AVERAGE('18.10 KANONI-MITYANA-24h'!K59,'19.10 KANONI-MITYANA-24h'!K59)</f>
        <v>0</v>
      </c>
      <c r="L59" s="49">
        <f>AVERAGE('18.10 KANONI-MITYANA-24h'!L59,'19.10 KANONI-MITYANA-24h'!L59)</f>
        <v>0</v>
      </c>
      <c r="M59" s="49">
        <f>AVERAGE('18.10 KANONI-MITYANA-24h'!M59,'19.10 KANONI-MITYANA-24h'!M59)</f>
        <v>15.5</v>
      </c>
      <c r="N59" s="49">
        <f>AVERAGE('18.10 KANONI-MITYANA-24h'!N59,'19.10 KANONI-MITYANA-24h'!N59)</f>
        <v>0</v>
      </c>
      <c r="O59" s="15">
        <f t="shared" si="0"/>
        <v>1</v>
      </c>
      <c r="P59" s="15">
        <f t="shared" si="1"/>
        <v>16.5</v>
      </c>
      <c r="R59" s="8"/>
      <c r="T59"/>
    </row>
    <row r="60" spans="2:20" ht="23.1" customHeight="1" x14ac:dyDescent="0.25">
      <c r="B60" s="23" t="s">
        <v>101</v>
      </c>
      <c r="C60" s="49">
        <f>AVERAGE('18.10 KANONI-MITYANA-24h'!C60,'19.10 KANONI-MITYANA-24h'!C60)</f>
        <v>3</v>
      </c>
      <c r="D60" s="49">
        <f>AVERAGE('18.10 KANONI-MITYANA-24h'!D60,'19.10 KANONI-MITYANA-24h'!D60)</f>
        <v>0</v>
      </c>
      <c r="E60" s="49">
        <f>AVERAGE('18.10 KANONI-MITYANA-24h'!E60,'19.10 KANONI-MITYANA-24h'!E60)</f>
        <v>0.5</v>
      </c>
      <c r="F60" s="49">
        <f>AVERAGE('18.10 KANONI-MITYANA-24h'!F60,'19.10 KANONI-MITYANA-24h'!F60)</f>
        <v>1</v>
      </c>
      <c r="G60" s="49">
        <f>AVERAGE('18.10 KANONI-MITYANA-24h'!G60,'19.10 KANONI-MITYANA-24h'!G60)</f>
        <v>0</v>
      </c>
      <c r="H60" s="49">
        <f>AVERAGE('18.10 KANONI-MITYANA-24h'!H60,'19.10 KANONI-MITYANA-24h'!H60)</f>
        <v>0</v>
      </c>
      <c r="I60" s="49">
        <f>AVERAGE('18.10 KANONI-MITYANA-24h'!I60,'19.10 KANONI-MITYANA-24h'!I60)</f>
        <v>1</v>
      </c>
      <c r="J60" s="49">
        <f>AVERAGE('18.10 KANONI-MITYANA-24h'!J60,'19.10 KANONI-MITYANA-24h'!J60)</f>
        <v>0</v>
      </c>
      <c r="K60" s="49">
        <f>AVERAGE('18.10 KANONI-MITYANA-24h'!K60,'19.10 KANONI-MITYANA-24h'!K60)</f>
        <v>0</v>
      </c>
      <c r="L60" s="49">
        <f>AVERAGE('18.10 KANONI-MITYANA-24h'!L60,'19.10 KANONI-MITYANA-24h'!L60)</f>
        <v>0</v>
      </c>
      <c r="M60" s="49">
        <f>AVERAGE('18.10 KANONI-MITYANA-24h'!M60,'19.10 KANONI-MITYANA-24h'!M60)</f>
        <v>17.5</v>
      </c>
      <c r="N60" s="49">
        <f>AVERAGE('18.10 KANONI-MITYANA-24h'!N60,'19.10 KANONI-MITYANA-24h'!N60)</f>
        <v>0</v>
      </c>
      <c r="O60" s="15">
        <f t="shared" si="0"/>
        <v>5.5</v>
      </c>
      <c r="P60" s="15">
        <f t="shared" si="1"/>
        <v>23</v>
      </c>
      <c r="R60" s="8"/>
      <c r="T60"/>
    </row>
    <row r="61" spans="2:20" ht="23.1" customHeight="1" x14ac:dyDescent="0.25">
      <c r="B61" s="23" t="s">
        <v>102</v>
      </c>
      <c r="C61" s="49">
        <f>AVERAGE('18.10 KANONI-MITYANA-24h'!C61,'19.10 KANONI-MITYANA-24h'!C61)</f>
        <v>0.5</v>
      </c>
      <c r="D61" s="49">
        <f>AVERAGE('18.10 KANONI-MITYANA-24h'!D61,'19.10 KANONI-MITYANA-24h'!D61)</f>
        <v>0</v>
      </c>
      <c r="E61" s="49">
        <f>AVERAGE('18.10 KANONI-MITYANA-24h'!E61,'19.10 KANONI-MITYANA-24h'!E61)</f>
        <v>0</v>
      </c>
      <c r="F61" s="49">
        <f>AVERAGE('18.10 KANONI-MITYANA-24h'!F61,'19.10 KANONI-MITYANA-24h'!F61)</f>
        <v>0</v>
      </c>
      <c r="G61" s="49">
        <f>AVERAGE('18.10 KANONI-MITYANA-24h'!G61,'19.10 KANONI-MITYANA-24h'!G61)</f>
        <v>0</v>
      </c>
      <c r="H61" s="49">
        <f>AVERAGE('18.10 KANONI-MITYANA-24h'!H61,'19.10 KANONI-MITYANA-24h'!H61)</f>
        <v>0</v>
      </c>
      <c r="I61" s="49">
        <f>AVERAGE('18.10 KANONI-MITYANA-24h'!I61,'19.10 KANONI-MITYANA-24h'!I61)</f>
        <v>0</v>
      </c>
      <c r="J61" s="49">
        <f>AVERAGE('18.10 KANONI-MITYANA-24h'!J61,'19.10 KANONI-MITYANA-24h'!J61)</f>
        <v>0.5</v>
      </c>
      <c r="K61" s="49">
        <f>AVERAGE('18.10 KANONI-MITYANA-24h'!K61,'19.10 KANONI-MITYANA-24h'!K61)</f>
        <v>0</v>
      </c>
      <c r="L61" s="49">
        <f>AVERAGE('18.10 KANONI-MITYANA-24h'!L61,'19.10 KANONI-MITYANA-24h'!L61)</f>
        <v>0</v>
      </c>
      <c r="M61" s="49">
        <f>AVERAGE('18.10 KANONI-MITYANA-24h'!M61,'19.10 KANONI-MITYANA-24h'!M61)</f>
        <v>16</v>
      </c>
      <c r="N61" s="49">
        <f>AVERAGE('18.10 KANONI-MITYANA-24h'!N61,'19.10 KANONI-MITYANA-24h'!N61)</f>
        <v>0</v>
      </c>
      <c r="O61" s="15">
        <f t="shared" si="0"/>
        <v>1</v>
      </c>
      <c r="P61" s="15">
        <f t="shared" si="1"/>
        <v>17</v>
      </c>
      <c r="R61" s="8"/>
      <c r="T61"/>
    </row>
    <row r="62" spans="2:20" ht="23.1" customHeight="1" x14ac:dyDescent="0.25">
      <c r="B62" s="23" t="s">
        <v>107</v>
      </c>
      <c r="C62" s="49">
        <f>AVERAGE('18.10 KANONI-MITYANA-24h'!C62,'19.10 KANONI-MITYANA-24h'!C62)</f>
        <v>2</v>
      </c>
      <c r="D62" s="49">
        <f>AVERAGE('18.10 KANONI-MITYANA-24h'!D62,'19.10 KANONI-MITYANA-24h'!D62)</f>
        <v>0</v>
      </c>
      <c r="E62" s="49">
        <f>AVERAGE('18.10 KANONI-MITYANA-24h'!E62,'19.10 KANONI-MITYANA-24h'!E62)</f>
        <v>0</v>
      </c>
      <c r="F62" s="49">
        <f>AVERAGE('18.10 KANONI-MITYANA-24h'!F62,'19.10 KANONI-MITYANA-24h'!F62)</f>
        <v>0</v>
      </c>
      <c r="G62" s="49">
        <f>AVERAGE('18.10 KANONI-MITYANA-24h'!G62,'19.10 KANONI-MITYANA-24h'!G62)</f>
        <v>0</v>
      </c>
      <c r="H62" s="49">
        <f>AVERAGE('18.10 KANONI-MITYANA-24h'!H62,'19.10 KANONI-MITYANA-24h'!H62)</f>
        <v>0</v>
      </c>
      <c r="I62" s="49">
        <f>AVERAGE('18.10 KANONI-MITYANA-24h'!I62,'19.10 KANONI-MITYANA-24h'!I62)</f>
        <v>1.5</v>
      </c>
      <c r="J62" s="49">
        <f>AVERAGE('18.10 KANONI-MITYANA-24h'!J62,'19.10 KANONI-MITYANA-24h'!J62)</f>
        <v>0</v>
      </c>
      <c r="K62" s="49">
        <f>AVERAGE('18.10 KANONI-MITYANA-24h'!K62,'19.10 KANONI-MITYANA-24h'!K62)</f>
        <v>0.5</v>
      </c>
      <c r="L62" s="49">
        <f>AVERAGE('18.10 KANONI-MITYANA-24h'!L62,'19.10 KANONI-MITYANA-24h'!L62)</f>
        <v>0</v>
      </c>
      <c r="M62" s="49">
        <f>AVERAGE('18.10 KANONI-MITYANA-24h'!M62,'19.10 KANONI-MITYANA-24h'!M62)</f>
        <v>10.5</v>
      </c>
      <c r="N62" s="49">
        <f>AVERAGE('18.10 KANONI-MITYANA-24h'!N62,'19.10 KANONI-MITYANA-24h'!N62)</f>
        <v>0</v>
      </c>
      <c r="O62" s="15">
        <f t="shared" si="0"/>
        <v>4</v>
      </c>
      <c r="P62" s="15">
        <f t="shared" si="1"/>
        <v>14.5</v>
      </c>
      <c r="R62" s="8"/>
      <c r="T62"/>
    </row>
    <row r="63" spans="2:20" ht="23.1" customHeight="1" x14ac:dyDescent="0.25">
      <c r="B63" s="23" t="s">
        <v>108</v>
      </c>
      <c r="C63" s="49">
        <f>AVERAGE('18.10 KANONI-MITYANA-24h'!C63,'19.10 KANONI-MITYANA-24h'!C63)</f>
        <v>0</v>
      </c>
      <c r="D63" s="49">
        <f>AVERAGE('18.10 KANONI-MITYANA-24h'!D63,'19.10 KANONI-MITYANA-24h'!D63)</f>
        <v>0</v>
      </c>
      <c r="E63" s="49">
        <f>AVERAGE('18.10 KANONI-MITYANA-24h'!E63,'19.10 KANONI-MITYANA-24h'!E63)</f>
        <v>0</v>
      </c>
      <c r="F63" s="49">
        <f>AVERAGE('18.10 KANONI-MITYANA-24h'!F63,'19.10 KANONI-MITYANA-24h'!F63)</f>
        <v>0</v>
      </c>
      <c r="G63" s="49">
        <f>AVERAGE('18.10 KANONI-MITYANA-24h'!G63,'19.10 KANONI-MITYANA-24h'!G63)</f>
        <v>0</v>
      </c>
      <c r="H63" s="49">
        <f>AVERAGE('18.10 KANONI-MITYANA-24h'!H63,'19.10 KANONI-MITYANA-24h'!H63)</f>
        <v>0</v>
      </c>
      <c r="I63" s="49">
        <f>AVERAGE('18.10 KANONI-MITYANA-24h'!I63,'19.10 KANONI-MITYANA-24h'!I63)</f>
        <v>1</v>
      </c>
      <c r="J63" s="49">
        <f>AVERAGE('18.10 KANONI-MITYANA-24h'!J63,'19.10 KANONI-MITYANA-24h'!J63)</f>
        <v>0</v>
      </c>
      <c r="K63" s="49">
        <f>AVERAGE('18.10 KANONI-MITYANA-24h'!K63,'19.10 KANONI-MITYANA-24h'!K63)</f>
        <v>0</v>
      </c>
      <c r="L63" s="49">
        <f>AVERAGE('18.10 KANONI-MITYANA-24h'!L63,'19.10 KANONI-MITYANA-24h'!L63)</f>
        <v>0</v>
      </c>
      <c r="M63" s="49">
        <f>AVERAGE('18.10 KANONI-MITYANA-24h'!M63,'19.10 KANONI-MITYANA-24h'!M63)</f>
        <v>7.5</v>
      </c>
      <c r="N63" s="49">
        <f>AVERAGE('18.10 KANONI-MITYANA-24h'!N63,'19.10 KANONI-MITYANA-24h'!N63)</f>
        <v>0</v>
      </c>
      <c r="O63" s="15">
        <f t="shared" si="0"/>
        <v>1</v>
      </c>
      <c r="P63" s="15">
        <f t="shared" si="1"/>
        <v>8.5</v>
      </c>
      <c r="R63" s="8"/>
      <c r="T63"/>
    </row>
    <row r="64" spans="2:20" ht="23.1" customHeight="1" x14ac:dyDescent="0.25">
      <c r="B64" s="23" t="s">
        <v>109</v>
      </c>
      <c r="C64" s="49">
        <f>AVERAGE('18.10 KANONI-MITYANA-24h'!C64,'19.10 KANONI-MITYANA-24h'!C64)</f>
        <v>0</v>
      </c>
      <c r="D64" s="49">
        <f>AVERAGE('18.10 KANONI-MITYANA-24h'!D64,'19.10 KANONI-MITYANA-24h'!D64)</f>
        <v>0.5</v>
      </c>
      <c r="E64" s="49">
        <f>AVERAGE('18.10 KANONI-MITYANA-24h'!E64,'19.10 KANONI-MITYANA-24h'!E64)</f>
        <v>0</v>
      </c>
      <c r="F64" s="49">
        <f>AVERAGE('18.10 KANONI-MITYANA-24h'!F64,'19.10 KANONI-MITYANA-24h'!F64)</f>
        <v>0</v>
      </c>
      <c r="G64" s="49">
        <f>AVERAGE('18.10 KANONI-MITYANA-24h'!G64,'19.10 KANONI-MITYANA-24h'!G64)</f>
        <v>0</v>
      </c>
      <c r="H64" s="49">
        <f>AVERAGE('18.10 KANONI-MITYANA-24h'!H64,'19.10 KANONI-MITYANA-24h'!H64)</f>
        <v>0</v>
      </c>
      <c r="I64" s="49">
        <f>AVERAGE('18.10 KANONI-MITYANA-24h'!I64,'19.10 KANONI-MITYANA-24h'!I64)</f>
        <v>0.5</v>
      </c>
      <c r="J64" s="49">
        <f>AVERAGE('18.10 KANONI-MITYANA-24h'!J64,'19.10 KANONI-MITYANA-24h'!J64)</f>
        <v>0</v>
      </c>
      <c r="K64" s="49">
        <f>AVERAGE('18.10 KANONI-MITYANA-24h'!K64,'19.10 KANONI-MITYANA-24h'!K64)</f>
        <v>0.5</v>
      </c>
      <c r="L64" s="49">
        <f>AVERAGE('18.10 KANONI-MITYANA-24h'!L64,'19.10 KANONI-MITYANA-24h'!L64)</f>
        <v>0</v>
      </c>
      <c r="M64" s="49">
        <f>AVERAGE('18.10 KANONI-MITYANA-24h'!M64,'19.10 KANONI-MITYANA-24h'!M64)</f>
        <v>8</v>
      </c>
      <c r="N64" s="49">
        <f>AVERAGE('18.10 KANONI-MITYANA-24h'!N64,'19.10 KANONI-MITYANA-24h'!N64)</f>
        <v>0</v>
      </c>
      <c r="O64" s="15">
        <f t="shared" si="0"/>
        <v>1.5</v>
      </c>
      <c r="P64" s="15">
        <f t="shared" si="1"/>
        <v>9.5</v>
      </c>
      <c r="R64" s="8"/>
      <c r="T64"/>
    </row>
    <row r="65" spans="2:20" ht="23.1" customHeight="1" x14ac:dyDescent="0.25">
      <c r="B65" s="23" t="s">
        <v>158</v>
      </c>
      <c r="C65" s="49">
        <f>AVERAGE('18.10 KANONI-MITYANA-24h'!C65,'19.10 KANONI-MITYANA-24h'!C65)</f>
        <v>1</v>
      </c>
      <c r="D65" s="49">
        <f>AVERAGE('18.10 KANONI-MITYANA-24h'!D65,'19.10 KANONI-MITYANA-24h'!D65)</f>
        <v>0</v>
      </c>
      <c r="E65" s="49">
        <f>AVERAGE('18.10 KANONI-MITYANA-24h'!E65,'19.10 KANONI-MITYANA-24h'!E65)</f>
        <v>0</v>
      </c>
      <c r="F65" s="49">
        <f>AVERAGE('18.10 KANONI-MITYANA-24h'!F65,'19.10 KANONI-MITYANA-24h'!F65)</f>
        <v>0</v>
      </c>
      <c r="G65" s="49">
        <f>AVERAGE('18.10 KANONI-MITYANA-24h'!G65,'19.10 KANONI-MITYANA-24h'!G65)</f>
        <v>0</v>
      </c>
      <c r="H65" s="49">
        <f>AVERAGE('18.10 KANONI-MITYANA-24h'!H65,'19.10 KANONI-MITYANA-24h'!H65)</f>
        <v>0</v>
      </c>
      <c r="I65" s="49">
        <f>AVERAGE('18.10 KANONI-MITYANA-24h'!I65,'19.10 KANONI-MITYANA-24h'!I65)</f>
        <v>0</v>
      </c>
      <c r="J65" s="49">
        <f>AVERAGE('18.10 KANONI-MITYANA-24h'!J65,'19.10 KANONI-MITYANA-24h'!J65)</f>
        <v>0.5</v>
      </c>
      <c r="K65" s="49">
        <f>AVERAGE('18.10 KANONI-MITYANA-24h'!K65,'19.10 KANONI-MITYANA-24h'!K65)</f>
        <v>0</v>
      </c>
      <c r="L65" s="49">
        <f>AVERAGE('18.10 KANONI-MITYANA-24h'!L65,'19.10 KANONI-MITYANA-24h'!L65)</f>
        <v>0</v>
      </c>
      <c r="M65" s="49">
        <f>AVERAGE('18.10 KANONI-MITYANA-24h'!M65,'19.10 KANONI-MITYANA-24h'!M65)</f>
        <v>5.5</v>
      </c>
      <c r="N65" s="49">
        <f>AVERAGE('18.10 KANONI-MITYANA-24h'!N65,'19.10 KANONI-MITYANA-24h'!N65)</f>
        <v>0</v>
      </c>
      <c r="O65" s="15">
        <f t="shared" si="0"/>
        <v>1.5</v>
      </c>
      <c r="P65" s="15">
        <f t="shared" si="1"/>
        <v>7</v>
      </c>
      <c r="R65" s="8"/>
      <c r="T65"/>
    </row>
    <row r="66" spans="2:20" ht="23.1" customHeight="1" x14ac:dyDescent="0.25">
      <c r="B66" s="23" t="s">
        <v>103</v>
      </c>
      <c r="C66" s="49">
        <f>AVERAGE('18.10 KANONI-MITYANA-24h'!C66,'19.10 KANONI-MITYANA-24h'!C66)</f>
        <v>0</v>
      </c>
      <c r="D66" s="49">
        <f>AVERAGE('18.10 KANONI-MITYANA-24h'!D66,'19.10 KANONI-MITYANA-24h'!D66)</f>
        <v>0</v>
      </c>
      <c r="E66" s="49">
        <f>AVERAGE('18.10 KANONI-MITYANA-24h'!E66,'19.10 KANONI-MITYANA-24h'!E66)</f>
        <v>0.5</v>
      </c>
      <c r="F66" s="49">
        <f>AVERAGE('18.10 KANONI-MITYANA-24h'!F66,'19.10 KANONI-MITYANA-24h'!F66)</f>
        <v>0</v>
      </c>
      <c r="G66" s="49">
        <f>AVERAGE('18.10 KANONI-MITYANA-24h'!G66,'19.10 KANONI-MITYANA-24h'!G66)</f>
        <v>0</v>
      </c>
      <c r="H66" s="49">
        <f>AVERAGE('18.10 KANONI-MITYANA-24h'!H66,'19.10 KANONI-MITYANA-24h'!H66)</f>
        <v>0</v>
      </c>
      <c r="I66" s="49">
        <f>AVERAGE('18.10 KANONI-MITYANA-24h'!I66,'19.10 KANONI-MITYANA-24h'!I66)</f>
        <v>0</v>
      </c>
      <c r="J66" s="49">
        <f>AVERAGE('18.10 KANONI-MITYANA-24h'!J66,'19.10 KANONI-MITYANA-24h'!J66)</f>
        <v>0</v>
      </c>
      <c r="K66" s="49">
        <f>AVERAGE('18.10 KANONI-MITYANA-24h'!K66,'19.10 KANONI-MITYANA-24h'!K66)</f>
        <v>0.5</v>
      </c>
      <c r="L66" s="49">
        <f>AVERAGE('18.10 KANONI-MITYANA-24h'!L66,'19.10 KANONI-MITYANA-24h'!L66)</f>
        <v>0</v>
      </c>
      <c r="M66" s="49">
        <f>AVERAGE('18.10 KANONI-MITYANA-24h'!M66,'19.10 KANONI-MITYANA-24h'!M66)</f>
        <v>5.5</v>
      </c>
      <c r="N66" s="49">
        <f>AVERAGE('18.10 KANONI-MITYANA-24h'!N66,'19.10 KANONI-MITYANA-24h'!N66)</f>
        <v>0</v>
      </c>
      <c r="O66" s="15">
        <f t="shared" si="0"/>
        <v>1</v>
      </c>
      <c r="P66" s="15">
        <f t="shared" si="1"/>
        <v>6.5</v>
      </c>
      <c r="R66" s="8"/>
      <c r="T66"/>
    </row>
    <row r="67" spans="2:20" ht="23.1" customHeight="1" x14ac:dyDescent="0.25">
      <c r="B67" s="23" t="s">
        <v>104</v>
      </c>
      <c r="C67" s="49">
        <f>AVERAGE('18.10 KANONI-MITYANA-24h'!C67,'19.10 KANONI-MITYANA-24h'!C67)</f>
        <v>1</v>
      </c>
      <c r="D67" s="49">
        <f>AVERAGE('18.10 KANONI-MITYANA-24h'!D67,'19.10 KANONI-MITYANA-24h'!D67)</f>
        <v>0</v>
      </c>
      <c r="E67" s="49">
        <f>AVERAGE('18.10 KANONI-MITYANA-24h'!E67,'19.10 KANONI-MITYANA-24h'!E67)</f>
        <v>0</v>
      </c>
      <c r="F67" s="49">
        <f>AVERAGE('18.10 KANONI-MITYANA-24h'!F67,'19.10 KANONI-MITYANA-24h'!F67)</f>
        <v>0</v>
      </c>
      <c r="G67" s="49">
        <f>AVERAGE('18.10 KANONI-MITYANA-24h'!G67,'19.10 KANONI-MITYANA-24h'!G67)</f>
        <v>0</v>
      </c>
      <c r="H67" s="49">
        <f>AVERAGE('18.10 KANONI-MITYANA-24h'!H67,'19.10 KANONI-MITYANA-24h'!H67)</f>
        <v>0</v>
      </c>
      <c r="I67" s="49">
        <f>AVERAGE('18.10 KANONI-MITYANA-24h'!I67,'19.10 KANONI-MITYANA-24h'!I67)</f>
        <v>0</v>
      </c>
      <c r="J67" s="49">
        <f>AVERAGE('18.10 KANONI-MITYANA-24h'!J67,'19.10 KANONI-MITYANA-24h'!J67)</f>
        <v>0</v>
      </c>
      <c r="K67" s="49">
        <f>AVERAGE('18.10 KANONI-MITYANA-24h'!K67,'19.10 KANONI-MITYANA-24h'!K67)</f>
        <v>0</v>
      </c>
      <c r="L67" s="49">
        <f>AVERAGE('18.10 KANONI-MITYANA-24h'!L67,'19.10 KANONI-MITYANA-24h'!L67)</f>
        <v>0</v>
      </c>
      <c r="M67" s="49">
        <f>AVERAGE('18.10 KANONI-MITYANA-24h'!M67,'19.10 KANONI-MITYANA-24h'!M67)</f>
        <v>5.5</v>
      </c>
      <c r="N67" s="49">
        <f>AVERAGE('18.10 KANONI-MITYANA-24h'!N67,'19.10 KANONI-MITYANA-24h'!N67)</f>
        <v>0</v>
      </c>
      <c r="O67" s="15">
        <f t="shared" si="0"/>
        <v>1</v>
      </c>
      <c r="P67" s="15">
        <f t="shared" si="1"/>
        <v>6.5</v>
      </c>
      <c r="R67" s="8"/>
      <c r="T67"/>
    </row>
    <row r="68" spans="2:20" ht="23.1" customHeight="1" x14ac:dyDescent="0.25">
      <c r="B68" s="23" t="s">
        <v>105</v>
      </c>
      <c r="C68" s="49">
        <f>AVERAGE('18.10 KANONI-MITYANA-24h'!C68,'19.10 KANONI-MITYANA-24h'!C68)</f>
        <v>0</v>
      </c>
      <c r="D68" s="49">
        <f>AVERAGE('18.10 KANONI-MITYANA-24h'!D68,'19.10 KANONI-MITYANA-24h'!D68)</f>
        <v>0</v>
      </c>
      <c r="E68" s="49">
        <f>AVERAGE('18.10 KANONI-MITYANA-24h'!E68,'19.10 KANONI-MITYANA-24h'!E68)</f>
        <v>0</v>
      </c>
      <c r="F68" s="49">
        <f>AVERAGE('18.10 KANONI-MITYANA-24h'!F68,'19.10 KANONI-MITYANA-24h'!F68)</f>
        <v>0</v>
      </c>
      <c r="G68" s="49">
        <f>AVERAGE('18.10 KANONI-MITYANA-24h'!G68,'19.10 KANONI-MITYANA-24h'!G68)</f>
        <v>0</v>
      </c>
      <c r="H68" s="49">
        <f>AVERAGE('18.10 KANONI-MITYANA-24h'!H68,'19.10 KANONI-MITYANA-24h'!H68)</f>
        <v>0</v>
      </c>
      <c r="I68" s="49">
        <f>AVERAGE('18.10 KANONI-MITYANA-24h'!I68,'19.10 KANONI-MITYANA-24h'!I68)</f>
        <v>0</v>
      </c>
      <c r="J68" s="49">
        <f>AVERAGE('18.10 KANONI-MITYANA-24h'!J68,'19.10 KANONI-MITYANA-24h'!J68)</f>
        <v>0</v>
      </c>
      <c r="K68" s="49">
        <f>AVERAGE('18.10 KANONI-MITYANA-24h'!K68,'19.10 KANONI-MITYANA-24h'!K68)</f>
        <v>0</v>
      </c>
      <c r="L68" s="49">
        <f>AVERAGE('18.10 KANONI-MITYANA-24h'!L68,'19.10 KANONI-MITYANA-24h'!L68)</f>
        <v>0</v>
      </c>
      <c r="M68" s="49">
        <f>AVERAGE('18.10 KANONI-MITYANA-24h'!M68,'19.10 KANONI-MITYANA-24h'!M68)</f>
        <v>5</v>
      </c>
      <c r="N68" s="49">
        <f>AVERAGE('18.10 KANONI-MITYANA-24h'!N68,'19.10 KANONI-MITYANA-24h'!N68)</f>
        <v>0</v>
      </c>
      <c r="O68" s="15">
        <f t="shared" si="0"/>
        <v>0</v>
      </c>
      <c r="P68" s="15">
        <f t="shared" si="1"/>
        <v>5</v>
      </c>
      <c r="R68" s="8"/>
      <c r="T68"/>
    </row>
    <row r="69" spans="2:20" ht="23.1" customHeight="1" x14ac:dyDescent="0.25">
      <c r="B69" s="23" t="s">
        <v>106</v>
      </c>
      <c r="C69" s="49">
        <f>AVERAGE('18.10 KANONI-MITYANA-24h'!C69,'19.10 KANONI-MITYANA-24h'!C69)</f>
        <v>0.5</v>
      </c>
      <c r="D69" s="49">
        <f>AVERAGE('18.10 KANONI-MITYANA-24h'!D69,'19.10 KANONI-MITYANA-24h'!D69)</f>
        <v>0</v>
      </c>
      <c r="E69" s="49">
        <f>AVERAGE('18.10 KANONI-MITYANA-24h'!E69,'19.10 KANONI-MITYANA-24h'!E69)</f>
        <v>0</v>
      </c>
      <c r="F69" s="49">
        <f>AVERAGE('18.10 KANONI-MITYANA-24h'!F69,'19.10 KANONI-MITYANA-24h'!F69)</f>
        <v>0</v>
      </c>
      <c r="G69" s="49">
        <f>AVERAGE('18.10 KANONI-MITYANA-24h'!G69,'19.10 KANONI-MITYANA-24h'!G69)</f>
        <v>0</v>
      </c>
      <c r="H69" s="49">
        <f>AVERAGE('18.10 KANONI-MITYANA-24h'!H69,'19.10 KANONI-MITYANA-24h'!H69)</f>
        <v>0</v>
      </c>
      <c r="I69" s="49">
        <f>AVERAGE('18.10 KANONI-MITYANA-24h'!I69,'19.10 KANONI-MITYANA-24h'!I69)</f>
        <v>0</v>
      </c>
      <c r="J69" s="49">
        <f>AVERAGE('18.10 KANONI-MITYANA-24h'!J69,'19.10 KANONI-MITYANA-24h'!J69)</f>
        <v>0</v>
      </c>
      <c r="K69" s="49">
        <f>AVERAGE('18.10 KANONI-MITYANA-24h'!K69,'19.10 KANONI-MITYANA-24h'!K69)</f>
        <v>0</v>
      </c>
      <c r="L69" s="49">
        <f>AVERAGE('18.10 KANONI-MITYANA-24h'!L69,'19.10 KANONI-MITYANA-24h'!L69)</f>
        <v>0</v>
      </c>
      <c r="M69" s="49">
        <f>AVERAGE('18.10 KANONI-MITYANA-24h'!M69,'19.10 KANONI-MITYANA-24h'!M69)</f>
        <v>4</v>
      </c>
      <c r="N69" s="49">
        <f>AVERAGE('18.10 KANONI-MITYANA-24h'!N69,'19.10 KANONI-MITYANA-24h'!N69)</f>
        <v>0</v>
      </c>
      <c r="O69" s="15">
        <f t="shared" si="0"/>
        <v>0.5</v>
      </c>
      <c r="P69" s="15">
        <f t="shared" si="1"/>
        <v>4.5</v>
      </c>
      <c r="R69" s="8"/>
      <c r="T69"/>
    </row>
    <row r="70" spans="2:20" ht="23.1" customHeight="1" x14ac:dyDescent="0.25">
      <c r="B70" s="23" t="s">
        <v>110</v>
      </c>
      <c r="C70" s="49">
        <f>AVERAGE('18.10 KANONI-MITYANA-24h'!C70,'19.10 KANONI-MITYANA-24h'!C70)</f>
        <v>0.5</v>
      </c>
      <c r="D70" s="49">
        <f>AVERAGE('18.10 KANONI-MITYANA-24h'!D70,'19.10 KANONI-MITYANA-24h'!D70)</f>
        <v>0</v>
      </c>
      <c r="E70" s="49">
        <f>AVERAGE('18.10 KANONI-MITYANA-24h'!E70,'19.10 KANONI-MITYANA-24h'!E70)</f>
        <v>0</v>
      </c>
      <c r="F70" s="49">
        <f>AVERAGE('18.10 KANONI-MITYANA-24h'!F70,'19.10 KANONI-MITYANA-24h'!F70)</f>
        <v>0</v>
      </c>
      <c r="G70" s="49">
        <f>AVERAGE('18.10 KANONI-MITYANA-24h'!G70,'19.10 KANONI-MITYANA-24h'!G70)</f>
        <v>0</v>
      </c>
      <c r="H70" s="49">
        <f>AVERAGE('18.10 KANONI-MITYANA-24h'!H70,'19.10 KANONI-MITYANA-24h'!H70)</f>
        <v>0</v>
      </c>
      <c r="I70" s="49">
        <f>AVERAGE('18.10 KANONI-MITYANA-24h'!I70,'19.10 KANONI-MITYANA-24h'!I70)</f>
        <v>0</v>
      </c>
      <c r="J70" s="49">
        <f>AVERAGE('18.10 KANONI-MITYANA-24h'!J70,'19.10 KANONI-MITYANA-24h'!J70)</f>
        <v>0</v>
      </c>
      <c r="K70" s="49">
        <f>AVERAGE('18.10 KANONI-MITYANA-24h'!K70,'19.10 KANONI-MITYANA-24h'!K70)</f>
        <v>0</v>
      </c>
      <c r="L70" s="49">
        <f>AVERAGE('18.10 KANONI-MITYANA-24h'!L70,'19.10 KANONI-MITYANA-24h'!L70)</f>
        <v>0</v>
      </c>
      <c r="M70" s="49">
        <f>AVERAGE('18.10 KANONI-MITYANA-24h'!M70,'19.10 KANONI-MITYANA-24h'!M70)</f>
        <v>3.5</v>
      </c>
      <c r="N70" s="49">
        <f>AVERAGE('18.10 KANONI-MITYANA-24h'!N70,'19.10 KANONI-MITYANA-24h'!N70)</f>
        <v>0</v>
      </c>
      <c r="O70" s="15">
        <f t="shared" si="0"/>
        <v>0.5</v>
      </c>
      <c r="P70" s="15">
        <f t="shared" si="1"/>
        <v>4</v>
      </c>
      <c r="R70" s="8"/>
      <c r="T70"/>
    </row>
    <row r="71" spans="2:20" ht="23.1" customHeight="1" x14ac:dyDescent="0.25">
      <c r="B71" s="23" t="s">
        <v>111</v>
      </c>
      <c r="C71" s="49">
        <f>AVERAGE('18.10 KANONI-MITYANA-24h'!C71,'19.10 KANONI-MITYANA-24h'!C71)</f>
        <v>0.5</v>
      </c>
      <c r="D71" s="49">
        <f>AVERAGE('18.10 KANONI-MITYANA-24h'!D71,'19.10 KANONI-MITYANA-24h'!D71)</f>
        <v>0</v>
      </c>
      <c r="E71" s="49">
        <f>AVERAGE('18.10 KANONI-MITYANA-24h'!E71,'19.10 KANONI-MITYANA-24h'!E71)</f>
        <v>0</v>
      </c>
      <c r="F71" s="49">
        <f>AVERAGE('18.10 KANONI-MITYANA-24h'!F71,'19.10 KANONI-MITYANA-24h'!F71)</f>
        <v>0</v>
      </c>
      <c r="G71" s="49">
        <f>AVERAGE('18.10 KANONI-MITYANA-24h'!G71,'19.10 KANONI-MITYANA-24h'!G71)</f>
        <v>0</v>
      </c>
      <c r="H71" s="49">
        <f>AVERAGE('18.10 KANONI-MITYANA-24h'!H71,'19.10 KANONI-MITYANA-24h'!H71)</f>
        <v>0</v>
      </c>
      <c r="I71" s="49">
        <f>AVERAGE('18.10 KANONI-MITYANA-24h'!I71,'19.10 KANONI-MITYANA-24h'!I71)</f>
        <v>0</v>
      </c>
      <c r="J71" s="49">
        <f>AVERAGE('18.10 KANONI-MITYANA-24h'!J71,'19.10 KANONI-MITYANA-24h'!J71)</f>
        <v>0</v>
      </c>
      <c r="K71" s="49">
        <f>AVERAGE('18.10 KANONI-MITYANA-24h'!K71,'19.10 KANONI-MITYANA-24h'!K71)</f>
        <v>0</v>
      </c>
      <c r="L71" s="49">
        <f>AVERAGE('18.10 KANONI-MITYANA-24h'!L71,'19.10 KANONI-MITYANA-24h'!L71)</f>
        <v>0</v>
      </c>
      <c r="M71" s="49">
        <f>AVERAGE('18.10 KANONI-MITYANA-24h'!M71,'19.10 KANONI-MITYANA-24h'!M71)</f>
        <v>2</v>
      </c>
      <c r="N71" s="49">
        <f>AVERAGE('18.10 KANONI-MITYANA-24h'!N71,'19.10 KANONI-MITYANA-24h'!N71)</f>
        <v>0</v>
      </c>
      <c r="O71" s="15">
        <f t="shared" si="0"/>
        <v>0.5</v>
      </c>
      <c r="P71" s="15">
        <f t="shared" si="1"/>
        <v>2.5</v>
      </c>
      <c r="R71" s="8"/>
      <c r="T71"/>
    </row>
    <row r="72" spans="2:20" ht="23.1" customHeight="1" x14ac:dyDescent="0.25">
      <c r="B72" s="23" t="s">
        <v>112</v>
      </c>
      <c r="C72" s="49">
        <f>AVERAGE('18.10 KANONI-MITYANA-24h'!C72,'19.10 KANONI-MITYANA-24h'!C72)</f>
        <v>0</v>
      </c>
      <c r="D72" s="49">
        <f>AVERAGE('18.10 KANONI-MITYANA-24h'!D72,'19.10 KANONI-MITYANA-24h'!D72)</f>
        <v>0</v>
      </c>
      <c r="E72" s="49">
        <f>AVERAGE('18.10 KANONI-MITYANA-24h'!E72,'19.10 KANONI-MITYANA-24h'!E72)</f>
        <v>0</v>
      </c>
      <c r="F72" s="49">
        <f>AVERAGE('18.10 KANONI-MITYANA-24h'!F72,'19.10 KANONI-MITYANA-24h'!F72)</f>
        <v>0</v>
      </c>
      <c r="G72" s="49">
        <f>AVERAGE('18.10 KANONI-MITYANA-24h'!G72,'19.10 KANONI-MITYANA-24h'!G72)</f>
        <v>0</v>
      </c>
      <c r="H72" s="49">
        <f>AVERAGE('18.10 KANONI-MITYANA-24h'!H72,'19.10 KANONI-MITYANA-24h'!H72)</f>
        <v>0</v>
      </c>
      <c r="I72" s="49">
        <f>AVERAGE('18.10 KANONI-MITYANA-24h'!I72,'19.10 KANONI-MITYANA-24h'!I72)</f>
        <v>1</v>
      </c>
      <c r="J72" s="49">
        <f>AVERAGE('18.10 KANONI-MITYANA-24h'!J72,'19.10 KANONI-MITYANA-24h'!J72)</f>
        <v>0</v>
      </c>
      <c r="K72" s="49">
        <f>AVERAGE('18.10 KANONI-MITYANA-24h'!K72,'19.10 KANONI-MITYANA-24h'!K72)</f>
        <v>0.5</v>
      </c>
      <c r="L72" s="49">
        <f>AVERAGE('18.10 KANONI-MITYANA-24h'!L72,'19.10 KANONI-MITYANA-24h'!L72)</f>
        <v>0</v>
      </c>
      <c r="M72" s="49">
        <f>AVERAGE('18.10 KANONI-MITYANA-24h'!M72,'19.10 KANONI-MITYANA-24h'!M72)</f>
        <v>3</v>
      </c>
      <c r="N72" s="49">
        <f>AVERAGE('18.10 KANONI-MITYANA-24h'!N72,'19.10 KANONI-MITYANA-24h'!N72)</f>
        <v>0</v>
      </c>
      <c r="O72" s="15">
        <f t="shared" si="0"/>
        <v>1.5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AVERAGE('18.10 KANONI-MITYANA-24h'!C73,'19.10 KANONI-MITYANA-24h'!C73)</f>
        <v>0</v>
      </c>
      <c r="D73" s="49">
        <f>AVERAGE('18.10 KANONI-MITYANA-24h'!D73,'19.10 KANONI-MITYANA-24h'!D73)</f>
        <v>0.5</v>
      </c>
      <c r="E73" s="49">
        <f>AVERAGE('18.10 KANONI-MITYANA-24h'!E73,'19.10 KANONI-MITYANA-24h'!E73)</f>
        <v>0</v>
      </c>
      <c r="F73" s="49">
        <f>AVERAGE('18.10 KANONI-MITYANA-24h'!F73,'19.10 KANONI-MITYANA-24h'!F73)</f>
        <v>0</v>
      </c>
      <c r="G73" s="49">
        <f>AVERAGE('18.10 KANONI-MITYANA-24h'!G73,'19.10 KANONI-MITYANA-24h'!G73)</f>
        <v>0</v>
      </c>
      <c r="H73" s="49">
        <f>AVERAGE('18.10 KANONI-MITYANA-24h'!H73,'19.10 KANONI-MITYANA-24h'!H73)</f>
        <v>0</v>
      </c>
      <c r="I73" s="49">
        <f>AVERAGE('18.10 KANONI-MITYANA-24h'!I73,'19.10 KANONI-MITYANA-24h'!I73)</f>
        <v>0</v>
      </c>
      <c r="J73" s="49">
        <f>AVERAGE('18.10 KANONI-MITYANA-24h'!J73,'19.10 KANONI-MITYANA-24h'!J73)</f>
        <v>0</v>
      </c>
      <c r="K73" s="49">
        <f>AVERAGE('18.10 KANONI-MITYANA-24h'!K73,'19.10 KANONI-MITYANA-24h'!K73)</f>
        <v>0</v>
      </c>
      <c r="L73" s="49">
        <f>AVERAGE('18.10 KANONI-MITYANA-24h'!L73,'19.10 KANONI-MITYANA-24h'!L73)</f>
        <v>0</v>
      </c>
      <c r="M73" s="49">
        <f>AVERAGE('18.10 KANONI-MITYANA-24h'!M73,'19.10 KANONI-MITYANA-24h'!M73)</f>
        <v>3</v>
      </c>
      <c r="N73" s="49">
        <f>AVERAGE('18.10 KANONI-MITYANA-24h'!N73,'19.10 KANONI-MITYANA-24h'!N73)</f>
        <v>0</v>
      </c>
      <c r="O73" s="15">
        <f t="shared" si="0"/>
        <v>0.5</v>
      </c>
      <c r="P73" s="15">
        <f t="shared" si="1"/>
        <v>3.5</v>
      </c>
      <c r="R73" s="8"/>
      <c r="T73"/>
    </row>
    <row r="74" spans="2:20" ht="23.1" customHeight="1" x14ac:dyDescent="0.25">
      <c r="B74" s="23" t="s">
        <v>114</v>
      </c>
      <c r="C74" s="49">
        <f>AVERAGE('18.10 KANONI-MITYANA-24h'!C74,'19.10 KANONI-MITYANA-24h'!C74)</f>
        <v>0</v>
      </c>
      <c r="D74" s="49">
        <f>AVERAGE('18.10 KANONI-MITYANA-24h'!D74,'19.10 KANONI-MITYANA-24h'!D74)</f>
        <v>0</v>
      </c>
      <c r="E74" s="49">
        <f>AVERAGE('18.10 KANONI-MITYANA-24h'!E74,'19.10 KANONI-MITYANA-24h'!E74)</f>
        <v>0</v>
      </c>
      <c r="F74" s="49">
        <f>AVERAGE('18.10 KANONI-MITYANA-24h'!F74,'19.10 KANONI-MITYANA-24h'!F74)</f>
        <v>0</v>
      </c>
      <c r="G74" s="49">
        <f>AVERAGE('18.10 KANONI-MITYANA-24h'!G74,'19.10 KANONI-MITYANA-24h'!G74)</f>
        <v>0</v>
      </c>
      <c r="H74" s="49">
        <f>AVERAGE('18.10 KANONI-MITYANA-24h'!H74,'19.10 KANONI-MITYANA-24h'!H74)</f>
        <v>0</v>
      </c>
      <c r="I74" s="49">
        <f>AVERAGE('18.10 KANONI-MITYANA-24h'!I74,'19.10 KANONI-MITYANA-24h'!I74)</f>
        <v>0</v>
      </c>
      <c r="J74" s="49">
        <f>AVERAGE('18.10 KANONI-MITYANA-24h'!J74,'19.10 KANONI-MITYANA-24h'!J74)</f>
        <v>0</v>
      </c>
      <c r="K74" s="49">
        <f>AVERAGE('18.10 KANONI-MITYANA-24h'!K74,'19.10 KANONI-MITYANA-24h'!K74)</f>
        <v>0</v>
      </c>
      <c r="L74" s="49">
        <f>AVERAGE('18.10 KANONI-MITYANA-24h'!L74,'19.10 KANONI-MITYANA-24h'!L74)</f>
        <v>0</v>
      </c>
      <c r="M74" s="49">
        <f>AVERAGE('18.10 KANONI-MITYANA-24h'!M74,'19.10 KANONI-MITYANA-24h'!M74)</f>
        <v>1.5</v>
      </c>
      <c r="N74" s="49">
        <f>AVERAGE('18.10 KANONI-MITYANA-24h'!N74,'19.10 KANONI-MITYANA-24h'!N74)</f>
        <v>0</v>
      </c>
      <c r="O74" s="15">
        <f t="shared" ref="O74:O105" si="35">SUM(C74:L74,N74)</f>
        <v>0</v>
      </c>
      <c r="P74" s="15">
        <f t="shared" ref="P74:P105" si="36">SUM(C74:N74)</f>
        <v>1.5</v>
      </c>
      <c r="R74" s="8"/>
      <c r="T74"/>
    </row>
    <row r="75" spans="2:20" ht="23.1" customHeight="1" x14ac:dyDescent="0.25">
      <c r="B75" s="23" t="s">
        <v>115</v>
      </c>
      <c r="C75" s="49">
        <f>AVERAGE('18.10 KANONI-MITYANA-24h'!C75,'19.10 KANONI-MITYANA-24h'!C75)</f>
        <v>0</v>
      </c>
      <c r="D75" s="49">
        <f>AVERAGE('18.10 KANONI-MITYANA-24h'!D75,'19.10 KANONI-MITYANA-24h'!D75)</f>
        <v>0</v>
      </c>
      <c r="E75" s="49">
        <f>AVERAGE('18.10 KANONI-MITYANA-24h'!E75,'19.10 KANONI-MITYANA-24h'!E75)</f>
        <v>0</v>
      </c>
      <c r="F75" s="49">
        <f>AVERAGE('18.10 KANONI-MITYANA-24h'!F75,'19.10 KANONI-MITYANA-24h'!F75)</f>
        <v>0</v>
      </c>
      <c r="G75" s="49">
        <f>AVERAGE('18.10 KANONI-MITYANA-24h'!G75,'19.10 KANONI-MITYANA-24h'!G75)</f>
        <v>0</v>
      </c>
      <c r="H75" s="49">
        <f>AVERAGE('18.10 KANONI-MITYANA-24h'!H75,'19.10 KANONI-MITYANA-24h'!H75)</f>
        <v>0</v>
      </c>
      <c r="I75" s="49">
        <f>AVERAGE('18.10 KANONI-MITYANA-24h'!I75,'19.10 KANONI-MITYANA-24h'!I75)</f>
        <v>0.5</v>
      </c>
      <c r="J75" s="49">
        <f>AVERAGE('18.10 KANONI-MITYANA-24h'!J75,'19.10 KANONI-MITYANA-24h'!J75)</f>
        <v>0</v>
      </c>
      <c r="K75" s="49">
        <f>AVERAGE('18.10 KANONI-MITYANA-24h'!K75,'19.10 KANONI-MITYANA-24h'!K75)</f>
        <v>0.5</v>
      </c>
      <c r="L75" s="49">
        <f>AVERAGE('18.10 KANONI-MITYANA-24h'!L75,'19.10 KANONI-MITYANA-24h'!L75)</f>
        <v>0</v>
      </c>
      <c r="M75" s="49">
        <f>AVERAGE('18.10 KANONI-MITYANA-24h'!M75,'19.10 KANONI-MITYANA-24h'!M75)</f>
        <v>2.5</v>
      </c>
      <c r="N75" s="49">
        <f>AVERAGE('18.10 KANONI-MITYANA-24h'!N75,'19.10 KANONI-MITYANA-24h'!N75)</f>
        <v>0</v>
      </c>
      <c r="O75" s="15">
        <f t="shared" si="35"/>
        <v>1</v>
      </c>
      <c r="P75" s="15">
        <f t="shared" si="36"/>
        <v>3.5</v>
      </c>
      <c r="R75" s="8"/>
      <c r="T75"/>
    </row>
    <row r="76" spans="2:20" ht="23.1" customHeight="1" x14ac:dyDescent="0.25">
      <c r="B76" s="23" t="s">
        <v>116</v>
      </c>
      <c r="C76" s="49">
        <f>AVERAGE('18.10 KANONI-MITYANA-24h'!C76,'19.10 KANONI-MITYANA-24h'!C76)</f>
        <v>0</v>
      </c>
      <c r="D76" s="49">
        <f>AVERAGE('18.10 KANONI-MITYANA-24h'!D76,'19.10 KANONI-MITYANA-24h'!D76)</f>
        <v>0</v>
      </c>
      <c r="E76" s="49">
        <f>AVERAGE('18.10 KANONI-MITYANA-24h'!E76,'19.10 KANONI-MITYANA-24h'!E76)</f>
        <v>0</v>
      </c>
      <c r="F76" s="49">
        <f>AVERAGE('18.10 KANONI-MITYANA-24h'!F76,'19.10 KANONI-MITYANA-24h'!F76)</f>
        <v>0</v>
      </c>
      <c r="G76" s="49">
        <f>AVERAGE('18.10 KANONI-MITYANA-24h'!G76,'19.10 KANONI-MITYANA-24h'!G76)</f>
        <v>0</v>
      </c>
      <c r="H76" s="49">
        <f>AVERAGE('18.10 KANONI-MITYANA-24h'!H76,'19.10 KANONI-MITYANA-24h'!H76)</f>
        <v>0</v>
      </c>
      <c r="I76" s="49">
        <f>AVERAGE('18.10 KANONI-MITYANA-24h'!I76,'19.10 KANONI-MITYANA-24h'!I76)</f>
        <v>0</v>
      </c>
      <c r="J76" s="49">
        <f>AVERAGE('18.10 KANONI-MITYANA-24h'!J76,'19.10 KANONI-MITYANA-24h'!J76)</f>
        <v>0</v>
      </c>
      <c r="K76" s="49">
        <f>AVERAGE('18.10 KANONI-MITYANA-24h'!K76,'19.10 KANONI-MITYANA-24h'!K76)</f>
        <v>0</v>
      </c>
      <c r="L76" s="49">
        <f>AVERAGE('18.10 KANONI-MITYANA-24h'!L76,'19.10 KANONI-MITYANA-24h'!L76)</f>
        <v>0</v>
      </c>
      <c r="M76" s="49">
        <f>AVERAGE('18.10 KANONI-MITYANA-24h'!M76,'19.10 KANONI-MITYANA-24h'!M76)</f>
        <v>0.5</v>
      </c>
      <c r="N76" s="49">
        <f>AVERAGE('18.10 KANONI-MITYANA-24h'!N76,'19.10 KANONI-MITYANA-24h'!N76)</f>
        <v>0</v>
      </c>
      <c r="O76" s="15">
        <f t="shared" si="35"/>
        <v>0</v>
      </c>
      <c r="P76" s="15">
        <f t="shared" si="36"/>
        <v>0.5</v>
      </c>
      <c r="R76" s="8"/>
      <c r="T76"/>
    </row>
    <row r="77" spans="2:20" ht="23.1" customHeight="1" x14ac:dyDescent="0.25">
      <c r="B77" s="23" t="s">
        <v>117</v>
      </c>
      <c r="C77" s="49">
        <f>AVERAGE('18.10 KANONI-MITYANA-24h'!C77,'19.10 KANONI-MITYANA-24h'!C77)</f>
        <v>0</v>
      </c>
      <c r="D77" s="49">
        <f>AVERAGE('18.10 KANONI-MITYANA-24h'!D77,'19.10 KANONI-MITYANA-24h'!D77)</f>
        <v>0</v>
      </c>
      <c r="E77" s="49">
        <f>AVERAGE('18.10 KANONI-MITYANA-24h'!E77,'19.10 KANONI-MITYANA-24h'!E77)</f>
        <v>0</v>
      </c>
      <c r="F77" s="49">
        <f>AVERAGE('18.10 KANONI-MITYANA-24h'!F77,'19.10 KANONI-MITYANA-24h'!F77)</f>
        <v>0</v>
      </c>
      <c r="G77" s="49">
        <f>AVERAGE('18.10 KANONI-MITYANA-24h'!G77,'19.10 KANONI-MITYANA-24h'!G77)</f>
        <v>0</v>
      </c>
      <c r="H77" s="49">
        <f>AVERAGE('18.10 KANONI-MITYANA-24h'!H77,'19.10 KANONI-MITYANA-24h'!H77)</f>
        <v>0</v>
      </c>
      <c r="I77" s="49">
        <f>AVERAGE('18.10 KANONI-MITYANA-24h'!I77,'19.10 KANONI-MITYANA-24h'!I77)</f>
        <v>0</v>
      </c>
      <c r="J77" s="49">
        <f>AVERAGE('18.10 KANONI-MITYANA-24h'!J77,'19.10 KANONI-MITYANA-24h'!J77)</f>
        <v>0</v>
      </c>
      <c r="K77" s="49">
        <f>AVERAGE('18.10 KANONI-MITYANA-24h'!K77,'19.10 KANONI-MITYANA-24h'!K77)</f>
        <v>0</v>
      </c>
      <c r="L77" s="49">
        <f>AVERAGE('18.10 KANONI-MITYANA-24h'!L77,'19.10 KANONI-MITYANA-24h'!L77)</f>
        <v>0</v>
      </c>
      <c r="M77" s="49">
        <f>AVERAGE('18.10 KANONI-MITYANA-24h'!M77,'19.10 KANONI-MITYANA-24h'!M77)</f>
        <v>3</v>
      </c>
      <c r="N77" s="49">
        <f>AVERAGE('18.10 KANONI-MITYANA-24h'!N77,'19.10 KANONI-MITYANA-24h'!N77)</f>
        <v>0</v>
      </c>
      <c r="O77" s="15">
        <f t="shared" si="35"/>
        <v>0</v>
      </c>
      <c r="P77" s="15">
        <f t="shared" si="36"/>
        <v>3</v>
      </c>
      <c r="R77" s="8"/>
      <c r="T77"/>
    </row>
    <row r="78" spans="2:20" ht="23.1" customHeight="1" x14ac:dyDescent="0.25">
      <c r="B78" s="24" t="s">
        <v>118</v>
      </c>
      <c r="C78" s="49">
        <f>AVERAGE('18.10 KANONI-MITYANA-24h'!C78,'19.10 KANONI-MITYANA-24h'!C78)</f>
        <v>0</v>
      </c>
      <c r="D78" s="49">
        <f>AVERAGE('18.10 KANONI-MITYANA-24h'!D78,'19.10 KANONI-MITYANA-24h'!D78)</f>
        <v>0</v>
      </c>
      <c r="E78" s="49">
        <f>AVERAGE('18.10 KANONI-MITYANA-24h'!E78,'19.10 KANONI-MITYANA-24h'!E78)</f>
        <v>0</v>
      </c>
      <c r="F78" s="49">
        <f>AVERAGE('18.10 KANONI-MITYANA-24h'!F78,'19.10 KANONI-MITYANA-24h'!F78)</f>
        <v>0</v>
      </c>
      <c r="G78" s="49">
        <f>AVERAGE('18.10 KANONI-MITYANA-24h'!G78,'19.10 KANONI-MITYANA-24h'!G78)</f>
        <v>0</v>
      </c>
      <c r="H78" s="49">
        <f>AVERAGE('18.10 KANONI-MITYANA-24h'!H78,'19.10 KANONI-MITYANA-24h'!H78)</f>
        <v>0</v>
      </c>
      <c r="I78" s="49">
        <f>AVERAGE('18.10 KANONI-MITYANA-24h'!I78,'19.10 KANONI-MITYANA-24h'!I78)</f>
        <v>0</v>
      </c>
      <c r="J78" s="49">
        <f>AVERAGE('18.10 KANONI-MITYANA-24h'!J78,'19.10 KANONI-MITYANA-24h'!J78)</f>
        <v>0</v>
      </c>
      <c r="K78" s="49">
        <f>AVERAGE('18.10 KANONI-MITYANA-24h'!K78,'19.10 KANONI-MITYANA-24h'!K78)</f>
        <v>0</v>
      </c>
      <c r="L78" s="49">
        <f>AVERAGE('18.10 KANONI-MITYANA-24h'!L78,'19.10 KANONI-MITYANA-24h'!L78)</f>
        <v>0</v>
      </c>
      <c r="M78" s="49">
        <f>AVERAGE('18.10 KANONI-MITYANA-24h'!M78,'19.10 KANONI-MITYANA-24h'!M78)</f>
        <v>0.5</v>
      </c>
      <c r="N78" s="49">
        <f>AVERAGE('18.10 KANONI-MITYANA-24h'!N78,'19.10 KANONI-MITYANA-24h'!N78)</f>
        <v>0</v>
      </c>
      <c r="O78" s="15">
        <f t="shared" si="35"/>
        <v>0</v>
      </c>
      <c r="P78" s="15">
        <f t="shared" si="36"/>
        <v>0.5</v>
      </c>
      <c r="R78" s="8"/>
      <c r="T78"/>
    </row>
    <row r="79" spans="2:20" ht="23.1" customHeight="1" x14ac:dyDescent="0.25">
      <c r="B79" s="23" t="s">
        <v>119</v>
      </c>
      <c r="C79" s="49">
        <f>AVERAGE('18.10 KANONI-MITYANA-24h'!C79,'19.10 KANONI-MITYANA-24h'!C79)</f>
        <v>0.5</v>
      </c>
      <c r="D79" s="49">
        <f>AVERAGE('18.10 KANONI-MITYANA-24h'!D79,'19.10 KANONI-MITYANA-24h'!D79)</f>
        <v>0</v>
      </c>
      <c r="E79" s="49">
        <f>AVERAGE('18.10 KANONI-MITYANA-24h'!E79,'19.10 KANONI-MITYANA-24h'!E79)</f>
        <v>0</v>
      </c>
      <c r="F79" s="49">
        <f>AVERAGE('18.10 KANONI-MITYANA-24h'!F79,'19.10 KANONI-MITYANA-24h'!F79)</f>
        <v>0</v>
      </c>
      <c r="G79" s="49">
        <f>AVERAGE('18.10 KANONI-MITYANA-24h'!G79,'19.10 KANONI-MITYANA-24h'!G79)</f>
        <v>0</v>
      </c>
      <c r="H79" s="49">
        <f>AVERAGE('18.10 KANONI-MITYANA-24h'!H79,'19.10 KANONI-MITYANA-24h'!H79)</f>
        <v>0</v>
      </c>
      <c r="I79" s="49">
        <f>AVERAGE('18.10 KANONI-MITYANA-24h'!I79,'19.10 KANONI-MITYANA-24h'!I79)</f>
        <v>0</v>
      </c>
      <c r="J79" s="49">
        <f>AVERAGE('18.10 KANONI-MITYANA-24h'!J79,'19.10 KANONI-MITYANA-24h'!J79)</f>
        <v>0</v>
      </c>
      <c r="K79" s="49">
        <f>AVERAGE('18.10 KANONI-MITYANA-24h'!K79,'19.10 KANONI-MITYANA-24h'!K79)</f>
        <v>0</v>
      </c>
      <c r="L79" s="49">
        <f>AVERAGE('18.10 KANONI-MITYANA-24h'!L79,'19.10 KANONI-MITYANA-24h'!L79)</f>
        <v>0</v>
      </c>
      <c r="M79" s="49">
        <f>AVERAGE('18.10 KANONI-MITYANA-24h'!M79,'19.10 KANONI-MITYANA-24h'!M79)</f>
        <v>2</v>
      </c>
      <c r="N79" s="49">
        <f>AVERAGE('18.10 KANONI-MITYANA-24h'!N79,'19.10 KANONI-MITYANA-24h'!N79)</f>
        <v>0</v>
      </c>
      <c r="O79" s="15">
        <f t="shared" si="35"/>
        <v>0.5</v>
      </c>
      <c r="P79" s="15">
        <f t="shared" si="36"/>
        <v>2.5</v>
      </c>
      <c r="R79" s="8"/>
      <c r="T79"/>
    </row>
    <row r="80" spans="2:20" ht="23.1" customHeight="1" x14ac:dyDescent="0.25">
      <c r="B80" s="25" t="s">
        <v>120</v>
      </c>
      <c r="C80" s="49">
        <f>AVERAGE('18.10 KANONI-MITYANA-24h'!C80,'19.10 KANONI-MITYANA-24h'!C80)</f>
        <v>0</v>
      </c>
      <c r="D80" s="49">
        <f>AVERAGE('18.10 KANONI-MITYANA-24h'!D80,'19.10 KANONI-MITYANA-24h'!D80)</f>
        <v>0</v>
      </c>
      <c r="E80" s="49">
        <f>AVERAGE('18.10 KANONI-MITYANA-24h'!E80,'19.10 KANONI-MITYANA-24h'!E80)</f>
        <v>0</v>
      </c>
      <c r="F80" s="49">
        <f>AVERAGE('18.10 KANONI-MITYANA-24h'!F80,'19.10 KANONI-MITYANA-24h'!F80)</f>
        <v>0</v>
      </c>
      <c r="G80" s="49">
        <f>AVERAGE('18.10 KANONI-MITYANA-24h'!G80,'19.10 KANONI-MITYANA-24h'!G80)</f>
        <v>0</v>
      </c>
      <c r="H80" s="49">
        <f>AVERAGE('18.10 KANONI-MITYANA-24h'!H80,'19.10 KANONI-MITYANA-24h'!H80)</f>
        <v>0</v>
      </c>
      <c r="I80" s="49">
        <f>AVERAGE('18.10 KANONI-MITYANA-24h'!I80,'19.10 KANONI-MITYANA-24h'!I80)</f>
        <v>0</v>
      </c>
      <c r="J80" s="49">
        <f>AVERAGE('18.10 KANONI-MITYANA-24h'!J80,'19.10 KANONI-MITYANA-24h'!J80)</f>
        <v>0</v>
      </c>
      <c r="K80" s="49">
        <f>AVERAGE('18.10 KANONI-MITYANA-24h'!K80,'19.10 KANONI-MITYANA-24h'!K80)</f>
        <v>0</v>
      </c>
      <c r="L80" s="49">
        <f>AVERAGE('18.10 KANONI-MITYANA-24h'!L80,'19.10 KANONI-MITYANA-24h'!L80)</f>
        <v>0</v>
      </c>
      <c r="M80" s="49">
        <f>AVERAGE('18.10 KANONI-MITYANA-24h'!M80,'19.10 KANONI-MITYANA-24h'!M80)</f>
        <v>0</v>
      </c>
      <c r="N80" s="49">
        <f>AVERAGE('18.10 KANONI-MITYANA-24h'!N80,'19.10 KANONI-MITYANA-24h'!N80)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AVERAGE('18.10 KANONI-MITYANA-24h'!C81,'19.10 KANONI-MITYANA-24h'!C81)</f>
        <v>0</v>
      </c>
      <c r="D81" s="49">
        <f>AVERAGE('18.10 KANONI-MITYANA-24h'!D81,'19.10 KANONI-MITYANA-24h'!D81)</f>
        <v>0</v>
      </c>
      <c r="E81" s="49">
        <f>AVERAGE('18.10 KANONI-MITYANA-24h'!E81,'19.10 KANONI-MITYANA-24h'!E81)</f>
        <v>0</v>
      </c>
      <c r="F81" s="49">
        <f>AVERAGE('18.10 KANONI-MITYANA-24h'!F81,'19.10 KANONI-MITYANA-24h'!F81)</f>
        <v>0</v>
      </c>
      <c r="G81" s="49">
        <f>AVERAGE('18.10 KANONI-MITYANA-24h'!G81,'19.10 KANONI-MITYANA-24h'!G81)</f>
        <v>0</v>
      </c>
      <c r="H81" s="49">
        <f>AVERAGE('18.10 KANONI-MITYANA-24h'!H81,'19.10 KANONI-MITYANA-24h'!H81)</f>
        <v>0</v>
      </c>
      <c r="I81" s="49">
        <f>AVERAGE('18.10 KANONI-MITYANA-24h'!I81,'19.10 KANONI-MITYANA-24h'!I81)</f>
        <v>0</v>
      </c>
      <c r="J81" s="49">
        <f>AVERAGE('18.10 KANONI-MITYANA-24h'!J81,'19.10 KANONI-MITYANA-24h'!J81)</f>
        <v>0</v>
      </c>
      <c r="K81" s="49">
        <f>AVERAGE('18.10 KANONI-MITYANA-24h'!K81,'19.10 KANONI-MITYANA-24h'!K81)</f>
        <v>0</v>
      </c>
      <c r="L81" s="49">
        <f>AVERAGE('18.10 KANONI-MITYANA-24h'!L81,'19.10 KANONI-MITYANA-24h'!L81)</f>
        <v>0</v>
      </c>
      <c r="M81" s="49">
        <f>AVERAGE('18.10 KANONI-MITYANA-24h'!M81,'19.10 KANONI-MITYANA-24h'!M81)</f>
        <v>0</v>
      </c>
      <c r="N81" s="49">
        <f>AVERAGE('18.10 KANONI-MITYANA-24h'!N81,'19.10 KANONI-MITYANA-24h'!N81)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AVERAGE('18.10 KANONI-MITYANA-24h'!C82,'19.10 KANONI-MITYANA-24h'!C82)</f>
        <v>0</v>
      </c>
      <c r="D82" s="49">
        <f>AVERAGE('18.10 KANONI-MITYANA-24h'!D82,'19.10 KANONI-MITYANA-24h'!D82)</f>
        <v>0</v>
      </c>
      <c r="E82" s="49">
        <f>AVERAGE('18.10 KANONI-MITYANA-24h'!E82,'19.10 KANONI-MITYANA-24h'!E82)</f>
        <v>0</v>
      </c>
      <c r="F82" s="49">
        <f>AVERAGE('18.10 KANONI-MITYANA-24h'!F82,'19.10 KANONI-MITYANA-24h'!F82)</f>
        <v>0</v>
      </c>
      <c r="G82" s="49">
        <f>AVERAGE('18.10 KANONI-MITYANA-24h'!G82,'19.10 KANONI-MITYANA-24h'!G82)</f>
        <v>0</v>
      </c>
      <c r="H82" s="49">
        <f>AVERAGE('18.10 KANONI-MITYANA-24h'!H82,'19.10 KANONI-MITYANA-24h'!H82)</f>
        <v>0</v>
      </c>
      <c r="I82" s="49">
        <f>AVERAGE('18.10 KANONI-MITYANA-24h'!I82,'19.10 KANONI-MITYANA-24h'!I82)</f>
        <v>0</v>
      </c>
      <c r="J82" s="49">
        <f>AVERAGE('18.10 KANONI-MITYANA-24h'!J82,'19.10 KANONI-MITYANA-24h'!J82)</f>
        <v>0</v>
      </c>
      <c r="K82" s="49">
        <f>AVERAGE('18.10 KANONI-MITYANA-24h'!K82,'19.10 KANONI-MITYANA-24h'!K82)</f>
        <v>0</v>
      </c>
      <c r="L82" s="49">
        <f>AVERAGE('18.10 KANONI-MITYANA-24h'!L82,'19.10 KANONI-MITYANA-24h'!L82)</f>
        <v>0</v>
      </c>
      <c r="M82" s="49">
        <f>AVERAGE('18.10 KANONI-MITYANA-24h'!M82,'19.10 KANONI-MITYANA-24h'!M82)</f>
        <v>0</v>
      </c>
      <c r="N82" s="49">
        <f>AVERAGE('18.10 KANONI-MITYANA-24h'!N82,'19.10 KANONI-MITYANA-24h'!N82)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AVERAGE('18.10 KANONI-MITYANA-24h'!C83,'19.10 KANONI-MITYANA-24h'!C83)</f>
        <v>0</v>
      </c>
      <c r="D83" s="49">
        <f>AVERAGE('18.10 KANONI-MITYANA-24h'!D83,'19.10 KANONI-MITYANA-24h'!D83)</f>
        <v>0</v>
      </c>
      <c r="E83" s="49">
        <f>AVERAGE('18.10 KANONI-MITYANA-24h'!E83,'19.10 KANONI-MITYANA-24h'!E83)</f>
        <v>0</v>
      </c>
      <c r="F83" s="49">
        <f>AVERAGE('18.10 KANONI-MITYANA-24h'!F83,'19.10 KANONI-MITYANA-24h'!F83)</f>
        <v>0</v>
      </c>
      <c r="G83" s="49">
        <f>AVERAGE('18.10 KANONI-MITYANA-24h'!G83,'19.10 KANONI-MITYANA-24h'!G83)</f>
        <v>0</v>
      </c>
      <c r="H83" s="49">
        <f>AVERAGE('18.10 KANONI-MITYANA-24h'!H83,'19.10 KANONI-MITYANA-24h'!H83)</f>
        <v>0</v>
      </c>
      <c r="I83" s="49">
        <f>AVERAGE('18.10 KANONI-MITYANA-24h'!I83,'19.10 KANONI-MITYANA-24h'!I83)</f>
        <v>0</v>
      </c>
      <c r="J83" s="49">
        <f>AVERAGE('18.10 KANONI-MITYANA-24h'!J83,'19.10 KANONI-MITYANA-24h'!J83)</f>
        <v>0</v>
      </c>
      <c r="K83" s="49">
        <f>AVERAGE('18.10 KANONI-MITYANA-24h'!K83,'19.10 KANONI-MITYANA-24h'!K83)</f>
        <v>0</v>
      </c>
      <c r="L83" s="49">
        <f>AVERAGE('18.10 KANONI-MITYANA-24h'!L83,'19.10 KANONI-MITYANA-24h'!L83)</f>
        <v>0</v>
      </c>
      <c r="M83" s="49">
        <f>AVERAGE('18.10 KANONI-MITYANA-24h'!M83,'19.10 KANONI-MITYANA-24h'!M83)</f>
        <v>0</v>
      </c>
      <c r="N83" s="49">
        <f>AVERAGE('18.10 KANONI-MITYANA-24h'!N83,'19.10 KANONI-MITYANA-24h'!N83)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AVERAGE('18.10 KANONI-MITYANA-24h'!C84,'19.10 KANONI-MITYANA-24h'!C84)</f>
        <v>0</v>
      </c>
      <c r="D84" s="49">
        <f>AVERAGE('18.10 KANONI-MITYANA-24h'!D84,'19.10 KANONI-MITYANA-24h'!D84)</f>
        <v>0</v>
      </c>
      <c r="E84" s="49">
        <f>AVERAGE('18.10 KANONI-MITYANA-24h'!E84,'19.10 KANONI-MITYANA-24h'!E84)</f>
        <v>0</v>
      </c>
      <c r="F84" s="49">
        <f>AVERAGE('18.10 KANONI-MITYANA-24h'!F84,'19.10 KANONI-MITYANA-24h'!F84)</f>
        <v>0</v>
      </c>
      <c r="G84" s="49">
        <f>AVERAGE('18.10 KANONI-MITYANA-24h'!G84,'19.10 KANONI-MITYANA-24h'!G84)</f>
        <v>0</v>
      </c>
      <c r="H84" s="49">
        <f>AVERAGE('18.10 KANONI-MITYANA-24h'!H84,'19.10 KANONI-MITYANA-24h'!H84)</f>
        <v>0</v>
      </c>
      <c r="I84" s="49">
        <f>AVERAGE('18.10 KANONI-MITYANA-24h'!I84,'19.10 KANONI-MITYANA-24h'!I84)</f>
        <v>0</v>
      </c>
      <c r="J84" s="49">
        <f>AVERAGE('18.10 KANONI-MITYANA-24h'!J84,'19.10 KANONI-MITYANA-24h'!J84)</f>
        <v>0</v>
      </c>
      <c r="K84" s="49">
        <f>AVERAGE('18.10 KANONI-MITYANA-24h'!K84,'19.10 KANONI-MITYANA-24h'!K84)</f>
        <v>0</v>
      </c>
      <c r="L84" s="49">
        <f>AVERAGE('18.10 KANONI-MITYANA-24h'!L84,'19.10 KANONI-MITYANA-24h'!L84)</f>
        <v>0</v>
      </c>
      <c r="M84" s="49">
        <f>AVERAGE('18.10 KANONI-MITYANA-24h'!M84,'19.10 KANONI-MITYANA-24h'!M84)</f>
        <v>1</v>
      </c>
      <c r="N84" s="49">
        <f>AVERAGE('18.10 KANONI-MITYANA-24h'!N84,'19.10 KANONI-MITYANA-24h'!N84)</f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23" t="s">
        <v>125</v>
      </c>
      <c r="C85" s="49">
        <f>AVERAGE('18.10 KANONI-MITYANA-24h'!C85,'19.10 KANONI-MITYANA-24h'!C85)</f>
        <v>0</v>
      </c>
      <c r="D85" s="49">
        <f>AVERAGE('18.10 KANONI-MITYANA-24h'!D85,'19.10 KANONI-MITYANA-24h'!D85)</f>
        <v>0</v>
      </c>
      <c r="E85" s="49">
        <f>AVERAGE('18.10 KANONI-MITYANA-24h'!E85,'19.10 KANONI-MITYANA-24h'!E85)</f>
        <v>0</v>
      </c>
      <c r="F85" s="49">
        <f>AVERAGE('18.10 KANONI-MITYANA-24h'!F85,'19.10 KANONI-MITYANA-24h'!F85)</f>
        <v>0</v>
      </c>
      <c r="G85" s="49">
        <f>AVERAGE('18.10 KANONI-MITYANA-24h'!G85,'19.10 KANONI-MITYANA-24h'!G85)</f>
        <v>0</v>
      </c>
      <c r="H85" s="49">
        <f>AVERAGE('18.10 KANONI-MITYANA-24h'!H85,'19.10 KANONI-MITYANA-24h'!H85)</f>
        <v>0</v>
      </c>
      <c r="I85" s="49">
        <f>AVERAGE('18.10 KANONI-MITYANA-24h'!I85,'19.10 KANONI-MITYANA-24h'!I85)</f>
        <v>0</v>
      </c>
      <c r="J85" s="49">
        <f>AVERAGE('18.10 KANONI-MITYANA-24h'!J85,'19.10 KANONI-MITYANA-24h'!J85)</f>
        <v>0</v>
      </c>
      <c r="K85" s="49">
        <f>AVERAGE('18.10 KANONI-MITYANA-24h'!K85,'19.10 KANONI-MITYANA-24h'!K85)</f>
        <v>0</v>
      </c>
      <c r="L85" s="49">
        <f>AVERAGE('18.10 KANONI-MITYANA-24h'!L85,'19.10 KANONI-MITYANA-24h'!L85)</f>
        <v>0</v>
      </c>
      <c r="M85" s="49">
        <f>AVERAGE('18.10 KANONI-MITYANA-24h'!M85,'19.10 KANONI-MITYANA-24h'!M85)</f>
        <v>0</v>
      </c>
      <c r="N85" s="49">
        <f>AVERAGE('18.10 KANONI-MITYANA-24h'!N85,'19.10 KANONI-MITYANA-24h'!N85)</f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24" t="s">
        <v>126</v>
      </c>
      <c r="C86" s="49">
        <f>AVERAGE('18.10 KANONI-MITYANA-24h'!C86,'19.10 KANONI-MITYANA-24h'!C86)</f>
        <v>0</v>
      </c>
      <c r="D86" s="49">
        <f>AVERAGE('18.10 KANONI-MITYANA-24h'!D86,'19.10 KANONI-MITYANA-24h'!D86)</f>
        <v>0</v>
      </c>
      <c r="E86" s="49">
        <f>AVERAGE('18.10 KANONI-MITYANA-24h'!E86,'19.10 KANONI-MITYANA-24h'!E86)</f>
        <v>0</v>
      </c>
      <c r="F86" s="49">
        <f>AVERAGE('18.10 KANONI-MITYANA-24h'!F86,'19.10 KANONI-MITYANA-24h'!F86)</f>
        <v>0</v>
      </c>
      <c r="G86" s="49">
        <f>AVERAGE('18.10 KANONI-MITYANA-24h'!G86,'19.10 KANONI-MITYANA-24h'!G86)</f>
        <v>0</v>
      </c>
      <c r="H86" s="49">
        <f>AVERAGE('18.10 KANONI-MITYANA-24h'!H86,'19.10 KANONI-MITYANA-24h'!H86)</f>
        <v>0</v>
      </c>
      <c r="I86" s="49">
        <f>AVERAGE('18.10 KANONI-MITYANA-24h'!I86,'19.10 KANONI-MITYANA-24h'!I86)</f>
        <v>0</v>
      </c>
      <c r="J86" s="49">
        <f>AVERAGE('18.10 KANONI-MITYANA-24h'!J86,'19.10 KANONI-MITYANA-24h'!J86)</f>
        <v>0</v>
      </c>
      <c r="K86" s="49">
        <f>AVERAGE('18.10 KANONI-MITYANA-24h'!K86,'19.10 KANONI-MITYANA-24h'!K86)</f>
        <v>0</v>
      </c>
      <c r="L86" s="49">
        <f>AVERAGE('18.10 KANONI-MITYANA-24h'!L86,'19.10 KANONI-MITYANA-24h'!L86)</f>
        <v>0</v>
      </c>
      <c r="M86" s="49">
        <f>AVERAGE('18.10 KANONI-MITYANA-24h'!M86,'19.10 KANONI-MITYANA-24h'!M86)</f>
        <v>0</v>
      </c>
      <c r="N86" s="49">
        <f>AVERAGE('18.10 KANONI-MITYANA-24h'!N86,'19.10 KANONI-MITYANA-24h'!N86)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AVERAGE('18.10 KANONI-MITYANA-24h'!C87,'19.10 KANONI-MITYANA-24h'!C87)</f>
        <v>0</v>
      </c>
      <c r="D87" s="49">
        <f>AVERAGE('18.10 KANONI-MITYANA-24h'!D87,'19.10 KANONI-MITYANA-24h'!D87)</f>
        <v>0</v>
      </c>
      <c r="E87" s="49">
        <f>AVERAGE('18.10 KANONI-MITYANA-24h'!E87,'19.10 KANONI-MITYANA-24h'!E87)</f>
        <v>0</v>
      </c>
      <c r="F87" s="49">
        <f>AVERAGE('18.10 KANONI-MITYANA-24h'!F87,'19.10 KANONI-MITYANA-24h'!F87)</f>
        <v>0</v>
      </c>
      <c r="G87" s="49">
        <f>AVERAGE('18.10 KANONI-MITYANA-24h'!G87,'19.10 KANONI-MITYANA-24h'!G87)</f>
        <v>0</v>
      </c>
      <c r="H87" s="49">
        <f>AVERAGE('18.10 KANONI-MITYANA-24h'!H87,'19.10 KANONI-MITYANA-24h'!H87)</f>
        <v>0</v>
      </c>
      <c r="I87" s="49">
        <f>AVERAGE('18.10 KANONI-MITYANA-24h'!I87,'19.10 KANONI-MITYANA-24h'!I87)</f>
        <v>0</v>
      </c>
      <c r="J87" s="49">
        <f>AVERAGE('18.10 KANONI-MITYANA-24h'!J87,'19.10 KANONI-MITYANA-24h'!J87)</f>
        <v>0</v>
      </c>
      <c r="K87" s="49">
        <f>AVERAGE('18.10 KANONI-MITYANA-24h'!K87,'19.10 KANONI-MITYANA-24h'!K87)</f>
        <v>0</v>
      </c>
      <c r="L87" s="49">
        <f>AVERAGE('18.10 KANONI-MITYANA-24h'!L87,'19.10 KANONI-MITYANA-24h'!L87)</f>
        <v>0</v>
      </c>
      <c r="M87" s="49">
        <f>AVERAGE('18.10 KANONI-MITYANA-24h'!M87,'19.10 KANONI-MITYANA-24h'!M87)</f>
        <v>0</v>
      </c>
      <c r="N87" s="49">
        <f>AVERAGE('18.10 KANONI-MITYANA-24h'!N87,'19.10 KANONI-MITYANA-24h'!N87)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AVERAGE('18.10 KANONI-MITYANA-24h'!C88,'19.10 KANONI-MITYANA-24h'!C88)</f>
        <v>0</v>
      </c>
      <c r="D88" s="49">
        <f>AVERAGE('18.10 KANONI-MITYANA-24h'!D88,'19.10 KANONI-MITYANA-24h'!D88)</f>
        <v>0</v>
      </c>
      <c r="E88" s="49">
        <f>AVERAGE('18.10 KANONI-MITYANA-24h'!E88,'19.10 KANONI-MITYANA-24h'!E88)</f>
        <v>0</v>
      </c>
      <c r="F88" s="49">
        <f>AVERAGE('18.10 KANONI-MITYANA-24h'!F88,'19.10 KANONI-MITYANA-24h'!F88)</f>
        <v>0</v>
      </c>
      <c r="G88" s="49">
        <f>AVERAGE('18.10 KANONI-MITYANA-24h'!G88,'19.10 KANONI-MITYANA-24h'!G88)</f>
        <v>0</v>
      </c>
      <c r="H88" s="49">
        <f>AVERAGE('18.10 KANONI-MITYANA-24h'!H88,'19.10 KANONI-MITYANA-24h'!H88)</f>
        <v>0</v>
      </c>
      <c r="I88" s="49">
        <f>AVERAGE('18.10 KANONI-MITYANA-24h'!I88,'19.10 KANONI-MITYANA-24h'!I88)</f>
        <v>0</v>
      </c>
      <c r="J88" s="49">
        <f>AVERAGE('18.10 KANONI-MITYANA-24h'!J88,'19.10 KANONI-MITYANA-24h'!J88)</f>
        <v>0</v>
      </c>
      <c r="K88" s="49">
        <f>AVERAGE('18.10 KANONI-MITYANA-24h'!K88,'19.10 KANONI-MITYANA-24h'!K88)</f>
        <v>0</v>
      </c>
      <c r="L88" s="49">
        <f>AVERAGE('18.10 KANONI-MITYANA-24h'!L88,'19.10 KANONI-MITYANA-24h'!L88)</f>
        <v>0</v>
      </c>
      <c r="M88" s="49">
        <f>AVERAGE('18.10 KANONI-MITYANA-24h'!M88,'19.10 KANONI-MITYANA-24h'!M88)</f>
        <v>0</v>
      </c>
      <c r="N88" s="49">
        <f>AVERAGE('18.10 KANONI-MITYANA-24h'!N88,'19.10 KANONI-MITYANA-24h'!N88)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AVERAGE('18.10 KANONI-MITYANA-24h'!C89,'19.10 KANONI-MITYANA-24h'!C89)</f>
        <v>0</v>
      </c>
      <c r="D89" s="49">
        <f>AVERAGE('18.10 KANONI-MITYANA-24h'!D89,'19.10 KANONI-MITYANA-24h'!D89)</f>
        <v>0</v>
      </c>
      <c r="E89" s="49">
        <f>AVERAGE('18.10 KANONI-MITYANA-24h'!E89,'19.10 KANONI-MITYANA-24h'!E89)</f>
        <v>0</v>
      </c>
      <c r="F89" s="49">
        <f>AVERAGE('18.10 KANONI-MITYANA-24h'!F89,'19.10 KANONI-MITYANA-24h'!F89)</f>
        <v>0</v>
      </c>
      <c r="G89" s="49">
        <f>AVERAGE('18.10 KANONI-MITYANA-24h'!G89,'19.10 KANONI-MITYANA-24h'!G89)</f>
        <v>0</v>
      </c>
      <c r="H89" s="49">
        <f>AVERAGE('18.10 KANONI-MITYANA-24h'!H89,'19.10 KANONI-MITYANA-24h'!H89)</f>
        <v>0</v>
      </c>
      <c r="I89" s="49">
        <f>AVERAGE('18.10 KANONI-MITYANA-24h'!I89,'19.10 KANONI-MITYANA-24h'!I89)</f>
        <v>0</v>
      </c>
      <c r="J89" s="49">
        <f>AVERAGE('18.10 KANONI-MITYANA-24h'!J89,'19.10 KANONI-MITYANA-24h'!J89)</f>
        <v>0</v>
      </c>
      <c r="K89" s="49">
        <f>AVERAGE('18.10 KANONI-MITYANA-24h'!K89,'19.10 KANONI-MITYANA-24h'!K89)</f>
        <v>0</v>
      </c>
      <c r="L89" s="49">
        <f>AVERAGE('18.10 KANONI-MITYANA-24h'!L89,'19.10 KANONI-MITYANA-24h'!L89)</f>
        <v>0</v>
      </c>
      <c r="M89" s="49">
        <f>AVERAGE('18.10 KANONI-MITYANA-24h'!M89,'19.10 KANONI-MITYANA-24h'!M89)</f>
        <v>0</v>
      </c>
      <c r="N89" s="49">
        <f>AVERAGE('18.10 KANONI-MITYANA-24h'!N89,'19.10 KANONI-MITYANA-24h'!N89)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AVERAGE('18.10 KANONI-MITYANA-24h'!C90,'19.10 KANONI-MITYANA-24h'!C90)</f>
        <v>0</v>
      </c>
      <c r="D90" s="49">
        <f>AVERAGE('18.10 KANONI-MITYANA-24h'!D90,'19.10 KANONI-MITYANA-24h'!D90)</f>
        <v>0</v>
      </c>
      <c r="E90" s="49">
        <f>AVERAGE('18.10 KANONI-MITYANA-24h'!E90,'19.10 KANONI-MITYANA-24h'!E90)</f>
        <v>0</v>
      </c>
      <c r="F90" s="49">
        <f>AVERAGE('18.10 KANONI-MITYANA-24h'!F90,'19.10 KANONI-MITYANA-24h'!F90)</f>
        <v>0</v>
      </c>
      <c r="G90" s="49">
        <f>AVERAGE('18.10 KANONI-MITYANA-24h'!G90,'19.10 KANONI-MITYANA-24h'!G90)</f>
        <v>0</v>
      </c>
      <c r="H90" s="49">
        <f>AVERAGE('18.10 KANONI-MITYANA-24h'!H90,'19.10 KANONI-MITYANA-24h'!H90)</f>
        <v>0</v>
      </c>
      <c r="I90" s="49">
        <f>AVERAGE('18.10 KANONI-MITYANA-24h'!I90,'19.10 KANONI-MITYANA-24h'!I90)</f>
        <v>0</v>
      </c>
      <c r="J90" s="49">
        <f>AVERAGE('18.10 KANONI-MITYANA-24h'!J90,'19.10 KANONI-MITYANA-24h'!J90)</f>
        <v>0</v>
      </c>
      <c r="K90" s="49">
        <f>AVERAGE('18.10 KANONI-MITYANA-24h'!K90,'19.10 KANONI-MITYANA-24h'!K90)</f>
        <v>0</v>
      </c>
      <c r="L90" s="49">
        <f>AVERAGE('18.10 KANONI-MITYANA-24h'!L90,'19.10 KANONI-MITYANA-24h'!L90)</f>
        <v>0</v>
      </c>
      <c r="M90" s="49">
        <f>AVERAGE('18.10 KANONI-MITYANA-24h'!M90,'19.10 KANONI-MITYANA-24h'!M90)</f>
        <v>0</v>
      </c>
      <c r="N90" s="49">
        <f>AVERAGE('18.10 KANONI-MITYANA-24h'!N90,'19.10 KANONI-MITYANA-24h'!N90)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AVERAGE('18.10 KANONI-MITYANA-24h'!C91,'19.10 KANONI-MITYANA-24h'!C91)</f>
        <v>0</v>
      </c>
      <c r="D91" s="49">
        <f>AVERAGE('18.10 KANONI-MITYANA-24h'!D91,'19.10 KANONI-MITYANA-24h'!D91)</f>
        <v>0</v>
      </c>
      <c r="E91" s="49">
        <f>AVERAGE('18.10 KANONI-MITYANA-24h'!E91,'19.10 KANONI-MITYANA-24h'!E91)</f>
        <v>0</v>
      </c>
      <c r="F91" s="49">
        <f>AVERAGE('18.10 KANONI-MITYANA-24h'!F91,'19.10 KANONI-MITYANA-24h'!F91)</f>
        <v>0</v>
      </c>
      <c r="G91" s="49">
        <f>AVERAGE('18.10 KANONI-MITYANA-24h'!G91,'19.10 KANONI-MITYANA-24h'!G91)</f>
        <v>0</v>
      </c>
      <c r="H91" s="49">
        <f>AVERAGE('18.10 KANONI-MITYANA-24h'!H91,'19.10 KANONI-MITYANA-24h'!H91)</f>
        <v>0</v>
      </c>
      <c r="I91" s="49">
        <f>AVERAGE('18.10 KANONI-MITYANA-24h'!I91,'19.10 KANONI-MITYANA-24h'!I91)</f>
        <v>0</v>
      </c>
      <c r="J91" s="49">
        <f>AVERAGE('18.10 KANONI-MITYANA-24h'!J91,'19.10 KANONI-MITYANA-24h'!J91)</f>
        <v>0</v>
      </c>
      <c r="K91" s="49">
        <f>AVERAGE('18.10 KANONI-MITYANA-24h'!K91,'19.10 KANONI-MITYANA-24h'!K91)</f>
        <v>0</v>
      </c>
      <c r="L91" s="49">
        <f>AVERAGE('18.10 KANONI-MITYANA-24h'!L91,'19.10 KANONI-MITYANA-24h'!L91)</f>
        <v>0</v>
      </c>
      <c r="M91" s="49">
        <f>AVERAGE('18.10 KANONI-MITYANA-24h'!M91,'19.10 KANONI-MITYANA-24h'!M91)</f>
        <v>0.5</v>
      </c>
      <c r="N91" s="49">
        <f>AVERAGE('18.10 KANONI-MITYANA-24h'!N91,'19.10 KANONI-MITYANA-24h'!N91)</f>
        <v>0</v>
      </c>
      <c r="O91" s="15">
        <f t="shared" si="35"/>
        <v>0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AVERAGE('18.10 KANONI-MITYANA-24h'!C92,'19.10 KANONI-MITYANA-24h'!C92)</f>
        <v>0</v>
      </c>
      <c r="D92" s="49">
        <f>AVERAGE('18.10 KANONI-MITYANA-24h'!D92,'19.10 KANONI-MITYANA-24h'!D92)</f>
        <v>0</v>
      </c>
      <c r="E92" s="49">
        <f>AVERAGE('18.10 KANONI-MITYANA-24h'!E92,'19.10 KANONI-MITYANA-24h'!E92)</f>
        <v>0</v>
      </c>
      <c r="F92" s="49">
        <f>AVERAGE('18.10 KANONI-MITYANA-24h'!F92,'19.10 KANONI-MITYANA-24h'!F92)</f>
        <v>0</v>
      </c>
      <c r="G92" s="49">
        <f>AVERAGE('18.10 KANONI-MITYANA-24h'!G92,'19.10 KANONI-MITYANA-24h'!G92)</f>
        <v>0</v>
      </c>
      <c r="H92" s="49">
        <f>AVERAGE('18.10 KANONI-MITYANA-24h'!H92,'19.10 KANONI-MITYANA-24h'!H92)</f>
        <v>0</v>
      </c>
      <c r="I92" s="49">
        <f>AVERAGE('18.10 KANONI-MITYANA-24h'!I92,'19.10 KANONI-MITYANA-24h'!I92)</f>
        <v>0</v>
      </c>
      <c r="J92" s="49">
        <f>AVERAGE('18.10 KANONI-MITYANA-24h'!J92,'19.10 KANONI-MITYANA-24h'!J92)</f>
        <v>0</v>
      </c>
      <c r="K92" s="49">
        <f>AVERAGE('18.10 KANONI-MITYANA-24h'!K92,'19.10 KANONI-MITYANA-24h'!K92)</f>
        <v>0</v>
      </c>
      <c r="L92" s="49">
        <f>AVERAGE('18.10 KANONI-MITYANA-24h'!L92,'19.10 KANONI-MITYANA-24h'!L92)</f>
        <v>0</v>
      </c>
      <c r="M92" s="49">
        <f>AVERAGE('18.10 KANONI-MITYANA-24h'!M92,'19.10 KANONI-MITYANA-24h'!M92)</f>
        <v>0</v>
      </c>
      <c r="N92" s="49">
        <f>AVERAGE('18.10 KANONI-MITYANA-24h'!N92,'19.10 KANONI-MITYANA-24h'!N92)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AVERAGE('18.10 KANONI-MITYANA-24h'!C93,'19.10 KANONI-MITYANA-24h'!C93)</f>
        <v>0</v>
      </c>
      <c r="D93" s="49">
        <f>AVERAGE('18.10 KANONI-MITYANA-24h'!D93,'19.10 KANONI-MITYANA-24h'!D93)</f>
        <v>0</v>
      </c>
      <c r="E93" s="49">
        <f>AVERAGE('18.10 KANONI-MITYANA-24h'!E93,'19.10 KANONI-MITYANA-24h'!E93)</f>
        <v>0</v>
      </c>
      <c r="F93" s="49">
        <f>AVERAGE('18.10 KANONI-MITYANA-24h'!F93,'19.10 KANONI-MITYANA-24h'!F93)</f>
        <v>0</v>
      </c>
      <c r="G93" s="49">
        <f>AVERAGE('18.10 KANONI-MITYANA-24h'!G93,'19.10 KANONI-MITYANA-24h'!G93)</f>
        <v>0</v>
      </c>
      <c r="H93" s="49">
        <f>AVERAGE('18.10 KANONI-MITYANA-24h'!H93,'19.10 KANONI-MITYANA-24h'!H93)</f>
        <v>0</v>
      </c>
      <c r="I93" s="49">
        <f>AVERAGE('18.10 KANONI-MITYANA-24h'!I93,'19.10 KANONI-MITYANA-24h'!I93)</f>
        <v>0</v>
      </c>
      <c r="J93" s="49">
        <f>AVERAGE('18.10 KANONI-MITYANA-24h'!J93,'19.10 KANONI-MITYANA-24h'!J93)</f>
        <v>0</v>
      </c>
      <c r="K93" s="49">
        <f>AVERAGE('18.10 KANONI-MITYANA-24h'!K93,'19.10 KANONI-MITYANA-24h'!K93)</f>
        <v>0</v>
      </c>
      <c r="L93" s="49">
        <f>AVERAGE('18.10 KANONI-MITYANA-24h'!L93,'19.10 KANONI-MITYANA-24h'!L93)</f>
        <v>0</v>
      </c>
      <c r="M93" s="49">
        <f>AVERAGE('18.10 KANONI-MITYANA-24h'!M93,'19.10 KANONI-MITYANA-24h'!M93)</f>
        <v>0.5</v>
      </c>
      <c r="N93" s="49">
        <f>AVERAGE('18.10 KANONI-MITYANA-24h'!N93,'19.10 KANONI-MITYANA-24h'!N93)</f>
        <v>0</v>
      </c>
      <c r="O93" s="15">
        <f t="shared" si="35"/>
        <v>0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AVERAGE('18.10 KANONI-MITYANA-24h'!C94,'19.10 KANONI-MITYANA-24h'!C94)</f>
        <v>0</v>
      </c>
      <c r="D94" s="49">
        <f>AVERAGE('18.10 KANONI-MITYANA-24h'!D94,'19.10 KANONI-MITYANA-24h'!D94)</f>
        <v>0</v>
      </c>
      <c r="E94" s="49">
        <f>AVERAGE('18.10 KANONI-MITYANA-24h'!E94,'19.10 KANONI-MITYANA-24h'!E94)</f>
        <v>0</v>
      </c>
      <c r="F94" s="49">
        <f>AVERAGE('18.10 KANONI-MITYANA-24h'!F94,'19.10 KANONI-MITYANA-24h'!F94)</f>
        <v>0</v>
      </c>
      <c r="G94" s="49">
        <f>AVERAGE('18.10 KANONI-MITYANA-24h'!G94,'19.10 KANONI-MITYANA-24h'!G94)</f>
        <v>0</v>
      </c>
      <c r="H94" s="49">
        <f>AVERAGE('18.10 KANONI-MITYANA-24h'!H94,'19.10 KANONI-MITYANA-24h'!H94)</f>
        <v>0</v>
      </c>
      <c r="I94" s="49">
        <f>AVERAGE('18.10 KANONI-MITYANA-24h'!I94,'19.10 KANONI-MITYANA-24h'!I94)</f>
        <v>0</v>
      </c>
      <c r="J94" s="49">
        <f>AVERAGE('18.10 KANONI-MITYANA-24h'!J94,'19.10 KANONI-MITYANA-24h'!J94)</f>
        <v>0</v>
      </c>
      <c r="K94" s="49">
        <f>AVERAGE('18.10 KANONI-MITYANA-24h'!K94,'19.10 KANONI-MITYANA-24h'!K94)</f>
        <v>0</v>
      </c>
      <c r="L94" s="49">
        <f>AVERAGE('18.10 KANONI-MITYANA-24h'!L94,'19.10 KANONI-MITYANA-24h'!L94)</f>
        <v>0</v>
      </c>
      <c r="M94" s="49">
        <f>AVERAGE('18.10 KANONI-MITYANA-24h'!M94,'19.10 KANONI-MITYANA-24h'!M94)</f>
        <v>0</v>
      </c>
      <c r="N94" s="49">
        <f>AVERAGE('18.10 KANONI-MITYANA-24h'!N94,'19.10 KANONI-MITYANA-24h'!N94)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AVERAGE('18.10 KANONI-MITYANA-24h'!C95,'19.10 KANONI-MITYANA-24h'!C95)</f>
        <v>0</v>
      </c>
      <c r="D95" s="49">
        <f>AVERAGE('18.10 KANONI-MITYANA-24h'!D95,'19.10 KANONI-MITYANA-24h'!D95)</f>
        <v>0</v>
      </c>
      <c r="E95" s="49">
        <f>AVERAGE('18.10 KANONI-MITYANA-24h'!E95,'19.10 KANONI-MITYANA-24h'!E95)</f>
        <v>0</v>
      </c>
      <c r="F95" s="49">
        <f>AVERAGE('18.10 KANONI-MITYANA-24h'!F95,'19.10 KANONI-MITYANA-24h'!F95)</f>
        <v>0</v>
      </c>
      <c r="G95" s="49">
        <f>AVERAGE('18.10 KANONI-MITYANA-24h'!G95,'19.10 KANONI-MITYANA-24h'!G95)</f>
        <v>0</v>
      </c>
      <c r="H95" s="49">
        <f>AVERAGE('18.10 KANONI-MITYANA-24h'!H95,'19.10 KANONI-MITYANA-24h'!H95)</f>
        <v>0</v>
      </c>
      <c r="I95" s="49">
        <f>AVERAGE('18.10 KANONI-MITYANA-24h'!I95,'19.10 KANONI-MITYANA-24h'!I95)</f>
        <v>0</v>
      </c>
      <c r="J95" s="49">
        <f>AVERAGE('18.10 KANONI-MITYANA-24h'!J95,'19.10 KANONI-MITYANA-24h'!J95)</f>
        <v>0</v>
      </c>
      <c r="K95" s="49">
        <f>AVERAGE('18.10 KANONI-MITYANA-24h'!K95,'19.10 KANONI-MITYANA-24h'!K95)</f>
        <v>0</v>
      </c>
      <c r="L95" s="49">
        <f>AVERAGE('18.10 KANONI-MITYANA-24h'!L95,'19.10 KANONI-MITYANA-24h'!L95)</f>
        <v>0</v>
      </c>
      <c r="M95" s="49">
        <f>AVERAGE('18.10 KANONI-MITYANA-24h'!M95,'19.10 KANONI-MITYANA-24h'!M95)</f>
        <v>0</v>
      </c>
      <c r="N95" s="49">
        <f>AVERAGE('18.10 KANONI-MITYANA-24h'!N95,'19.10 KANONI-MITYANA-24h'!N95)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AVERAGE('18.10 KANONI-MITYANA-24h'!C96,'19.10 KANONI-MITYANA-24h'!C96)</f>
        <v>0</v>
      </c>
      <c r="D96" s="49">
        <f>AVERAGE('18.10 KANONI-MITYANA-24h'!D96,'19.10 KANONI-MITYANA-24h'!D96)</f>
        <v>0</v>
      </c>
      <c r="E96" s="49">
        <f>AVERAGE('18.10 KANONI-MITYANA-24h'!E96,'19.10 KANONI-MITYANA-24h'!E96)</f>
        <v>0</v>
      </c>
      <c r="F96" s="49">
        <f>AVERAGE('18.10 KANONI-MITYANA-24h'!F96,'19.10 KANONI-MITYANA-24h'!F96)</f>
        <v>0</v>
      </c>
      <c r="G96" s="49">
        <f>AVERAGE('18.10 KANONI-MITYANA-24h'!G96,'19.10 KANONI-MITYANA-24h'!G96)</f>
        <v>0</v>
      </c>
      <c r="H96" s="49">
        <f>AVERAGE('18.10 KANONI-MITYANA-24h'!H96,'19.10 KANONI-MITYANA-24h'!H96)</f>
        <v>0</v>
      </c>
      <c r="I96" s="49">
        <f>AVERAGE('18.10 KANONI-MITYANA-24h'!I96,'19.10 KANONI-MITYANA-24h'!I96)</f>
        <v>0</v>
      </c>
      <c r="J96" s="49">
        <f>AVERAGE('18.10 KANONI-MITYANA-24h'!J96,'19.10 KANONI-MITYANA-24h'!J96)</f>
        <v>0</v>
      </c>
      <c r="K96" s="49">
        <f>AVERAGE('18.10 KANONI-MITYANA-24h'!K96,'19.10 KANONI-MITYANA-24h'!K96)</f>
        <v>0</v>
      </c>
      <c r="L96" s="49">
        <f>AVERAGE('18.10 KANONI-MITYANA-24h'!L96,'19.10 KANONI-MITYANA-24h'!L96)</f>
        <v>0</v>
      </c>
      <c r="M96" s="49">
        <f>AVERAGE('18.10 KANONI-MITYANA-24h'!M96,'19.10 KANONI-MITYANA-24h'!M96)</f>
        <v>0</v>
      </c>
      <c r="N96" s="49">
        <f>AVERAGE('18.10 KANONI-MITYANA-24h'!N96,'19.10 KANONI-MITYANA-24h'!N96)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AVERAGE('18.10 KANONI-MITYANA-24h'!C97,'19.10 KANONI-MITYANA-24h'!C97)</f>
        <v>0</v>
      </c>
      <c r="D97" s="49">
        <f>AVERAGE('18.10 KANONI-MITYANA-24h'!D97,'19.10 KANONI-MITYANA-24h'!D97)</f>
        <v>0</v>
      </c>
      <c r="E97" s="49">
        <f>AVERAGE('18.10 KANONI-MITYANA-24h'!E97,'19.10 KANONI-MITYANA-24h'!E97)</f>
        <v>0</v>
      </c>
      <c r="F97" s="49">
        <f>AVERAGE('18.10 KANONI-MITYANA-24h'!F97,'19.10 KANONI-MITYANA-24h'!F97)</f>
        <v>0</v>
      </c>
      <c r="G97" s="49">
        <f>AVERAGE('18.10 KANONI-MITYANA-24h'!G97,'19.10 KANONI-MITYANA-24h'!G97)</f>
        <v>0</v>
      </c>
      <c r="H97" s="49">
        <f>AVERAGE('18.10 KANONI-MITYANA-24h'!H97,'19.10 KANONI-MITYANA-24h'!H97)</f>
        <v>0</v>
      </c>
      <c r="I97" s="49">
        <f>AVERAGE('18.10 KANONI-MITYANA-24h'!I97,'19.10 KANONI-MITYANA-24h'!I97)</f>
        <v>0</v>
      </c>
      <c r="J97" s="49">
        <f>AVERAGE('18.10 KANONI-MITYANA-24h'!J97,'19.10 KANONI-MITYANA-24h'!J97)</f>
        <v>0</v>
      </c>
      <c r="K97" s="49">
        <f>AVERAGE('18.10 KANONI-MITYANA-24h'!K97,'19.10 KANONI-MITYANA-24h'!K97)</f>
        <v>0</v>
      </c>
      <c r="L97" s="49">
        <f>AVERAGE('18.10 KANONI-MITYANA-24h'!L97,'19.10 KANONI-MITYANA-24h'!L97)</f>
        <v>0</v>
      </c>
      <c r="M97" s="49">
        <f>AVERAGE('18.10 KANONI-MITYANA-24h'!M97,'19.10 KANONI-MITYANA-24h'!M97)</f>
        <v>0</v>
      </c>
      <c r="N97" s="49">
        <f>AVERAGE('18.10 KANONI-MITYANA-24h'!N97,'19.10 KANONI-MITYANA-24h'!N97)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AVERAGE('18.10 KANONI-MITYANA-24h'!C98,'19.10 KANONI-MITYANA-24h'!C98)</f>
        <v>0</v>
      </c>
      <c r="D98" s="49">
        <f>AVERAGE('18.10 KANONI-MITYANA-24h'!D98,'19.10 KANONI-MITYANA-24h'!D98)</f>
        <v>0</v>
      </c>
      <c r="E98" s="49">
        <f>AVERAGE('18.10 KANONI-MITYANA-24h'!E98,'19.10 KANONI-MITYANA-24h'!E98)</f>
        <v>0</v>
      </c>
      <c r="F98" s="49">
        <f>AVERAGE('18.10 KANONI-MITYANA-24h'!F98,'19.10 KANONI-MITYANA-24h'!F98)</f>
        <v>0</v>
      </c>
      <c r="G98" s="49">
        <f>AVERAGE('18.10 KANONI-MITYANA-24h'!G98,'19.10 KANONI-MITYANA-24h'!G98)</f>
        <v>0</v>
      </c>
      <c r="H98" s="49">
        <f>AVERAGE('18.10 KANONI-MITYANA-24h'!H98,'19.10 KANONI-MITYANA-24h'!H98)</f>
        <v>0</v>
      </c>
      <c r="I98" s="49">
        <f>AVERAGE('18.10 KANONI-MITYANA-24h'!I98,'19.10 KANONI-MITYANA-24h'!I98)</f>
        <v>0</v>
      </c>
      <c r="J98" s="49">
        <f>AVERAGE('18.10 KANONI-MITYANA-24h'!J98,'19.10 KANONI-MITYANA-24h'!J98)</f>
        <v>0</v>
      </c>
      <c r="K98" s="49">
        <f>AVERAGE('18.10 KANONI-MITYANA-24h'!K98,'19.10 KANONI-MITYANA-24h'!K98)</f>
        <v>0</v>
      </c>
      <c r="L98" s="49">
        <f>AVERAGE('18.10 KANONI-MITYANA-24h'!L98,'19.10 KANONI-MITYANA-24h'!L98)</f>
        <v>0</v>
      </c>
      <c r="M98" s="49">
        <f>AVERAGE('18.10 KANONI-MITYANA-24h'!M98,'19.10 KANONI-MITYANA-24h'!M98)</f>
        <v>0</v>
      </c>
      <c r="N98" s="49">
        <f>AVERAGE('18.10 KANONI-MITYANA-24h'!N98,'19.10 KANONI-MITYANA-24h'!N98)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AVERAGE('18.10 KANONI-MITYANA-24h'!C99,'19.10 KANONI-MITYANA-24h'!C99)</f>
        <v>0</v>
      </c>
      <c r="D99" s="49">
        <f>AVERAGE('18.10 KANONI-MITYANA-24h'!D99,'19.10 KANONI-MITYANA-24h'!D99)</f>
        <v>0</v>
      </c>
      <c r="E99" s="49">
        <f>AVERAGE('18.10 KANONI-MITYANA-24h'!E99,'19.10 KANONI-MITYANA-24h'!E99)</f>
        <v>0</v>
      </c>
      <c r="F99" s="49">
        <f>AVERAGE('18.10 KANONI-MITYANA-24h'!F99,'19.10 KANONI-MITYANA-24h'!F99)</f>
        <v>0</v>
      </c>
      <c r="G99" s="49">
        <f>AVERAGE('18.10 KANONI-MITYANA-24h'!G99,'19.10 KANONI-MITYANA-24h'!G99)</f>
        <v>0</v>
      </c>
      <c r="H99" s="49">
        <f>AVERAGE('18.10 KANONI-MITYANA-24h'!H99,'19.10 KANONI-MITYANA-24h'!H99)</f>
        <v>0</v>
      </c>
      <c r="I99" s="49">
        <f>AVERAGE('18.10 KANONI-MITYANA-24h'!I99,'19.10 KANONI-MITYANA-24h'!I99)</f>
        <v>0</v>
      </c>
      <c r="J99" s="49">
        <f>AVERAGE('18.10 KANONI-MITYANA-24h'!J99,'19.10 KANONI-MITYANA-24h'!J99)</f>
        <v>0</v>
      </c>
      <c r="K99" s="49">
        <f>AVERAGE('18.10 KANONI-MITYANA-24h'!K99,'19.10 KANONI-MITYANA-24h'!K99)</f>
        <v>0</v>
      </c>
      <c r="L99" s="49">
        <f>AVERAGE('18.10 KANONI-MITYANA-24h'!L99,'19.10 KANONI-MITYANA-24h'!L99)</f>
        <v>0</v>
      </c>
      <c r="M99" s="49">
        <f>AVERAGE('18.10 KANONI-MITYANA-24h'!M99,'19.10 KANONI-MITYANA-24h'!M99)</f>
        <v>1</v>
      </c>
      <c r="N99" s="49">
        <f>AVERAGE('18.10 KANONI-MITYANA-24h'!N99,'19.10 KANONI-MITYANA-24h'!N99)</f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AVERAGE('18.10 KANONI-MITYANA-24h'!C100,'19.10 KANONI-MITYANA-24h'!C100)</f>
        <v>0</v>
      </c>
      <c r="D100" s="49">
        <f>AVERAGE('18.10 KANONI-MITYANA-24h'!D100,'19.10 KANONI-MITYANA-24h'!D100)</f>
        <v>0</v>
      </c>
      <c r="E100" s="49">
        <f>AVERAGE('18.10 KANONI-MITYANA-24h'!E100,'19.10 KANONI-MITYANA-24h'!E100)</f>
        <v>0</v>
      </c>
      <c r="F100" s="49">
        <f>AVERAGE('18.10 KANONI-MITYANA-24h'!F100,'19.10 KANONI-MITYANA-24h'!F100)</f>
        <v>0</v>
      </c>
      <c r="G100" s="49">
        <f>AVERAGE('18.10 KANONI-MITYANA-24h'!G100,'19.10 KANONI-MITYANA-24h'!G100)</f>
        <v>0</v>
      </c>
      <c r="H100" s="49">
        <f>AVERAGE('18.10 KANONI-MITYANA-24h'!H100,'19.10 KANONI-MITYANA-24h'!H100)</f>
        <v>0</v>
      </c>
      <c r="I100" s="49">
        <f>AVERAGE('18.10 KANONI-MITYANA-24h'!I100,'19.10 KANONI-MITYANA-24h'!I100)</f>
        <v>0</v>
      </c>
      <c r="J100" s="49">
        <f>AVERAGE('18.10 KANONI-MITYANA-24h'!J100,'19.10 KANONI-MITYANA-24h'!J100)</f>
        <v>0</v>
      </c>
      <c r="K100" s="49">
        <f>AVERAGE('18.10 KANONI-MITYANA-24h'!K100,'19.10 KANONI-MITYANA-24h'!K100)</f>
        <v>0</v>
      </c>
      <c r="L100" s="49">
        <f>AVERAGE('18.10 KANONI-MITYANA-24h'!L100,'19.10 KANONI-MITYANA-24h'!L100)</f>
        <v>0</v>
      </c>
      <c r="M100" s="49">
        <f>AVERAGE('18.10 KANONI-MITYANA-24h'!M100,'19.10 KANONI-MITYANA-24h'!M100)</f>
        <v>0.5</v>
      </c>
      <c r="N100" s="49">
        <f>AVERAGE('18.10 KANONI-MITYANA-24h'!N100,'19.10 KANONI-MITYANA-24h'!N100)</f>
        <v>0</v>
      </c>
      <c r="O100" s="15">
        <f t="shared" si="35"/>
        <v>0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AVERAGE('18.10 KANONI-MITYANA-24h'!C101,'19.10 KANONI-MITYANA-24h'!C101)</f>
        <v>0</v>
      </c>
      <c r="D101" s="49">
        <f>AVERAGE('18.10 KANONI-MITYANA-24h'!D101,'19.10 KANONI-MITYANA-24h'!D101)</f>
        <v>0</v>
      </c>
      <c r="E101" s="49">
        <f>AVERAGE('18.10 KANONI-MITYANA-24h'!E101,'19.10 KANONI-MITYANA-24h'!E101)</f>
        <v>0</v>
      </c>
      <c r="F101" s="49">
        <f>AVERAGE('18.10 KANONI-MITYANA-24h'!F101,'19.10 KANONI-MITYANA-24h'!F101)</f>
        <v>0</v>
      </c>
      <c r="G101" s="49">
        <f>AVERAGE('18.10 KANONI-MITYANA-24h'!G101,'19.10 KANONI-MITYANA-24h'!G101)</f>
        <v>0</v>
      </c>
      <c r="H101" s="49">
        <f>AVERAGE('18.10 KANONI-MITYANA-24h'!H101,'19.10 KANONI-MITYANA-24h'!H101)</f>
        <v>0</v>
      </c>
      <c r="I101" s="49">
        <f>AVERAGE('18.10 KANONI-MITYANA-24h'!I101,'19.10 KANONI-MITYANA-24h'!I101)</f>
        <v>0</v>
      </c>
      <c r="J101" s="49">
        <f>AVERAGE('18.10 KANONI-MITYANA-24h'!J101,'19.10 KANONI-MITYANA-24h'!J101)</f>
        <v>0</v>
      </c>
      <c r="K101" s="49">
        <f>AVERAGE('18.10 KANONI-MITYANA-24h'!K101,'19.10 KANONI-MITYANA-24h'!K101)</f>
        <v>0</v>
      </c>
      <c r="L101" s="49">
        <f>AVERAGE('18.10 KANONI-MITYANA-24h'!L101,'19.10 KANONI-MITYANA-24h'!L101)</f>
        <v>0</v>
      </c>
      <c r="M101" s="49">
        <f>AVERAGE('18.10 KANONI-MITYANA-24h'!M101,'19.10 KANONI-MITYANA-24h'!M101)</f>
        <v>1</v>
      </c>
      <c r="N101" s="49">
        <f>AVERAGE('18.10 KANONI-MITYANA-24h'!N101,'19.10 KANONI-MITYANA-24h'!N101)</f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24" t="s">
        <v>142</v>
      </c>
      <c r="C102" s="49">
        <f>AVERAGE('18.10 KANONI-MITYANA-24h'!C102,'19.10 KANONI-MITYANA-24h'!C102)</f>
        <v>0</v>
      </c>
      <c r="D102" s="49">
        <f>AVERAGE('18.10 KANONI-MITYANA-24h'!D102,'19.10 KANONI-MITYANA-24h'!D102)</f>
        <v>0</v>
      </c>
      <c r="E102" s="49">
        <f>AVERAGE('18.10 KANONI-MITYANA-24h'!E102,'19.10 KANONI-MITYANA-24h'!E102)</f>
        <v>0</v>
      </c>
      <c r="F102" s="49">
        <f>AVERAGE('18.10 KANONI-MITYANA-24h'!F102,'19.10 KANONI-MITYANA-24h'!F102)</f>
        <v>0</v>
      </c>
      <c r="G102" s="49">
        <f>AVERAGE('18.10 KANONI-MITYANA-24h'!G102,'19.10 KANONI-MITYANA-24h'!G102)</f>
        <v>0</v>
      </c>
      <c r="H102" s="49">
        <f>AVERAGE('18.10 KANONI-MITYANA-24h'!H102,'19.10 KANONI-MITYANA-24h'!H102)</f>
        <v>0</v>
      </c>
      <c r="I102" s="49">
        <f>AVERAGE('18.10 KANONI-MITYANA-24h'!I102,'19.10 KANONI-MITYANA-24h'!I102)</f>
        <v>0</v>
      </c>
      <c r="J102" s="49">
        <f>AVERAGE('18.10 KANONI-MITYANA-24h'!J102,'19.10 KANONI-MITYANA-24h'!J102)</f>
        <v>0</v>
      </c>
      <c r="K102" s="49">
        <f>AVERAGE('18.10 KANONI-MITYANA-24h'!K102,'19.10 KANONI-MITYANA-24h'!K102)</f>
        <v>0</v>
      </c>
      <c r="L102" s="49">
        <f>AVERAGE('18.10 KANONI-MITYANA-24h'!L102,'19.10 KANONI-MITYANA-24h'!L102)</f>
        <v>0</v>
      </c>
      <c r="M102" s="49">
        <f>AVERAGE('18.10 KANONI-MITYANA-24h'!M102,'19.10 KANONI-MITYANA-24h'!M102)</f>
        <v>1</v>
      </c>
      <c r="N102" s="49">
        <f>AVERAGE('18.10 KANONI-MITYANA-24h'!N102,'19.10 KANONI-MITYANA-24h'!N102)</f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23" t="s">
        <v>143</v>
      </c>
      <c r="C103" s="49">
        <f>AVERAGE('18.10 KANONI-MITYANA-24h'!C103,'19.10 KANONI-MITYANA-24h'!C103)</f>
        <v>0</v>
      </c>
      <c r="D103" s="49">
        <f>AVERAGE('18.10 KANONI-MITYANA-24h'!D103,'19.10 KANONI-MITYANA-24h'!D103)</f>
        <v>0</v>
      </c>
      <c r="E103" s="49">
        <f>AVERAGE('18.10 KANONI-MITYANA-24h'!E103,'19.10 KANONI-MITYANA-24h'!E103)</f>
        <v>0</v>
      </c>
      <c r="F103" s="49">
        <f>AVERAGE('18.10 KANONI-MITYANA-24h'!F103,'19.10 KANONI-MITYANA-24h'!F103)</f>
        <v>0</v>
      </c>
      <c r="G103" s="49">
        <f>AVERAGE('18.10 KANONI-MITYANA-24h'!G103,'19.10 KANONI-MITYANA-24h'!G103)</f>
        <v>0</v>
      </c>
      <c r="H103" s="49">
        <f>AVERAGE('18.10 KANONI-MITYANA-24h'!H103,'19.10 KANONI-MITYANA-24h'!H103)</f>
        <v>0</v>
      </c>
      <c r="I103" s="49">
        <f>AVERAGE('18.10 KANONI-MITYANA-24h'!I103,'19.10 KANONI-MITYANA-24h'!I103)</f>
        <v>0</v>
      </c>
      <c r="J103" s="49">
        <f>AVERAGE('18.10 KANONI-MITYANA-24h'!J103,'19.10 KANONI-MITYANA-24h'!J103)</f>
        <v>0</v>
      </c>
      <c r="K103" s="49">
        <f>AVERAGE('18.10 KANONI-MITYANA-24h'!K103,'19.10 KANONI-MITYANA-24h'!K103)</f>
        <v>0</v>
      </c>
      <c r="L103" s="49">
        <f>AVERAGE('18.10 KANONI-MITYANA-24h'!L103,'19.10 KANONI-MITYANA-24h'!L103)</f>
        <v>0</v>
      </c>
      <c r="M103" s="49">
        <f>AVERAGE('18.10 KANONI-MITYANA-24h'!M103,'19.10 KANONI-MITYANA-24h'!M103)</f>
        <v>3</v>
      </c>
      <c r="N103" s="49">
        <f>AVERAGE('18.10 KANONI-MITYANA-24h'!N103,'19.10 KANONI-MITYANA-24h'!N103)</f>
        <v>0</v>
      </c>
      <c r="O103" s="15">
        <f t="shared" si="35"/>
        <v>0</v>
      </c>
      <c r="P103" s="15">
        <f t="shared" si="36"/>
        <v>3</v>
      </c>
      <c r="R103" s="8"/>
      <c r="T103"/>
    </row>
    <row r="104" spans="2:20" ht="23.1" customHeight="1" x14ac:dyDescent="0.25">
      <c r="B104" s="25" t="s">
        <v>144</v>
      </c>
      <c r="C104" s="49">
        <f>AVERAGE('18.10 KANONI-MITYANA-24h'!C104,'19.10 KANONI-MITYANA-24h'!C104)</f>
        <v>0</v>
      </c>
      <c r="D104" s="49">
        <f>AVERAGE('18.10 KANONI-MITYANA-24h'!D104,'19.10 KANONI-MITYANA-24h'!D104)</f>
        <v>0</v>
      </c>
      <c r="E104" s="49">
        <f>AVERAGE('18.10 KANONI-MITYANA-24h'!E104,'19.10 KANONI-MITYANA-24h'!E104)</f>
        <v>0</v>
      </c>
      <c r="F104" s="49">
        <f>AVERAGE('18.10 KANONI-MITYANA-24h'!F104,'19.10 KANONI-MITYANA-24h'!F104)</f>
        <v>0</v>
      </c>
      <c r="G104" s="49">
        <f>AVERAGE('18.10 KANONI-MITYANA-24h'!G104,'19.10 KANONI-MITYANA-24h'!G104)</f>
        <v>0</v>
      </c>
      <c r="H104" s="49">
        <f>AVERAGE('18.10 KANONI-MITYANA-24h'!H104,'19.10 KANONI-MITYANA-24h'!H104)</f>
        <v>0</v>
      </c>
      <c r="I104" s="49">
        <f>AVERAGE('18.10 KANONI-MITYANA-24h'!I104,'19.10 KANONI-MITYANA-24h'!I104)</f>
        <v>0</v>
      </c>
      <c r="J104" s="49">
        <f>AVERAGE('18.10 KANONI-MITYANA-24h'!J104,'19.10 KANONI-MITYANA-24h'!J104)</f>
        <v>0</v>
      </c>
      <c r="K104" s="49">
        <f>AVERAGE('18.10 KANONI-MITYANA-24h'!K104,'19.10 KANONI-MITYANA-24h'!K104)</f>
        <v>0</v>
      </c>
      <c r="L104" s="49">
        <f>AVERAGE('18.10 KANONI-MITYANA-24h'!L104,'19.10 KANONI-MITYANA-24h'!L104)</f>
        <v>0</v>
      </c>
      <c r="M104" s="49">
        <f>AVERAGE('18.10 KANONI-MITYANA-24h'!M104,'19.10 KANONI-MITYANA-24h'!M104)</f>
        <v>4</v>
      </c>
      <c r="N104" s="49">
        <f>AVERAGE('18.10 KANONI-MITYANA-24h'!N104,'19.10 KANONI-MITYANA-24h'!N104)</f>
        <v>0</v>
      </c>
      <c r="O104" s="15">
        <f t="shared" si="35"/>
        <v>0</v>
      </c>
      <c r="P104" s="15">
        <f t="shared" si="36"/>
        <v>4</v>
      </c>
      <c r="R104" s="8"/>
      <c r="T104"/>
    </row>
    <row r="105" spans="2:20" ht="23.1" customHeight="1" x14ac:dyDescent="0.25">
      <c r="B105" s="23" t="s">
        <v>145</v>
      </c>
      <c r="C105" s="49">
        <f>AVERAGE('18.10 KANONI-MITYANA-24h'!C105,'19.10 KANONI-MITYANA-24h'!C105)</f>
        <v>0</v>
      </c>
      <c r="D105" s="49">
        <f>AVERAGE('18.10 KANONI-MITYANA-24h'!D105,'19.10 KANONI-MITYANA-24h'!D105)</f>
        <v>0</v>
      </c>
      <c r="E105" s="49">
        <f>AVERAGE('18.10 KANONI-MITYANA-24h'!E105,'19.10 KANONI-MITYANA-24h'!E105)</f>
        <v>0</v>
      </c>
      <c r="F105" s="49">
        <f>AVERAGE('18.10 KANONI-MITYANA-24h'!F105,'19.10 KANONI-MITYANA-24h'!F105)</f>
        <v>0</v>
      </c>
      <c r="G105" s="49">
        <f>AVERAGE('18.10 KANONI-MITYANA-24h'!G105,'19.10 KANONI-MITYANA-24h'!G105)</f>
        <v>0</v>
      </c>
      <c r="H105" s="49">
        <f>AVERAGE('18.10 KANONI-MITYANA-24h'!H105,'19.10 KANONI-MITYANA-24h'!H105)</f>
        <v>0</v>
      </c>
      <c r="I105" s="49">
        <f>AVERAGE('18.10 KANONI-MITYANA-24h'!I105,'19.10 KANONI-MITYANA-24h'!I105)</f>
        <v>0</v>
      </c>
      <c r="J105" s="49">
        <f>AVERAGE('18.10 KANONI-MITYANA-24h'!J105,'19.10 KANONI-MITYANA-24h'!J105)</f>
        <v>0</v>
      </c>
      <c r="K105" s="49">
        <f>AVERAGE('18.10 KANONI-MITYANA-24h'!K105,'19.10 KANONI-MITYANA-24h'!K105)</f>
        <v>0</v>
      </c>
      <c r="L105" s="49">
        <f>AVERAGE('18.10 KANONI-MITYANA-24h'!L105,'19.10 KANONI-MITYANA-24h'!L105)</f>
        <v>0</v>
      </c>
      <c r="M105" s="49">
        <f>AVERAGE('18.10 KANONI-MITYANA-24h'!M105,'19.10 KANONI-MITYANA-24h'!M105)</f>
        <v>6</v>
      </c>
      <c r="N105" s="49">
        <f>AVERAGE('18.10 KANONI-MITYANA-24h'!N105,'19.10 KANONI-MITYANA-24h'!N105)</f>
        <v>0</v>
      </c>
      <c r="O105" s="15">
        <f t="shared" si="35"/>
        <v>0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42.214285714285722</v>
      </c>
      <c r="D106" s="16">
        <f t="shared" ref="D106:P106" si="37">SUM(D10:D105)</f>
        <v>5.7142857142857144</v>
      </c>
      <c r="E106" s="16">
        <f t="shared" si="37"/>
        <v>13.071428571428575</v>
      </c>
      <c r="F106" s="16">
        <f t="shared" si="37"/>
        <v>10.714285714285717</v>
      </c>
      <c r="G106" s="16">
        <f t="shared" si="37"/>
        <v>0.85714285714285698</v>
      </c>
      <c r="H106" s="16">
        <f t="shared" si="37"/>
        <v>0</v>
      </c>
      <c r="I106" s="16">
        <f t="shared" si="37"/>
        <v>30.285714285714288</v>
      </c>
      <c r="J106" s="16">
        <f t="shared" si="37"/>
        <v>6.2857142857142847</v>
      </c>
      <c r="K106" s="16">
        <f t="shared" si="37"/>
        <v>3.4285714285714288</v>
      </c>
      <c r="L106" s="16">
        <f t="shared" si="37"/>
        <v>0</v>
      </c>
      <c r="M106" s="16">
        <f t="shared" si="37"/>
        <v>763.35714285714278</v>
      </c>
      <c r="N106" s="16">
        <f t="shared" si="37"/>
        <v>0.14285714285714285</v>
      </c>
      <c r="O106" s="16">
        <f t="shared" si="37"/>
        <v>112.71428571428571</v>
      </c>
      <c r="P106" s="16">
        <f t="shared" si="37"/>
        <v>876.07142857142878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4.8185894822666123E-2</v>
      </c>
      <c r="D107" s="43">
        <f t="shared" si="38"/>
        <v>6.5226253567060724E-3</v>
      </c>
      <c r="E107" s="43">
        <f t="shared" si="38"/>
        <v>1.4920505503465145E-2</v>
      </c>
      <c r="F107" s="43">
        <f t="shared" si="38"/>
        <v>1.2229922543823889E-2</v>
      </c>
      <c r="G107" s="43">
        <f t="shared" si="38"/>
        <v>9.7839380350591061E-4</v>
      </c>
      <c r="H107" s="43">
        <f t="shared" si="38"/>
        <v>0</v>
      </c>
      <c r="I107" s="43">
        <f t="shared" si="38"/>
        <v>3.4569914390542189E-2</v>
      </c>
      <c r="J107" s="43">
        <f t="shared" si="38"/>
        <v>7.1748878923766791E-3</v>
      </c>
      <c r="K107" s="43">
        <f t="shared" si="38"/>
        <v>3.9135752140236442E-3</v>
      </c>
      <c r="L107" s="43">
        <f t="shared" si="38"/>
        <v>0</v>
      </c>
      <c r="M107" s="43">
        <f t="shared" si="38"/>
        <v>0.87134121483897242</v>
      </c>
      <c r="N107" s="43">
        <f t="shared" si="38"/>
        <v>1.6306563391765179E-4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0.37452471482889743</v>
      </c>
      <c r="D108" s="44">
        <f t="shared" ref="D108:N108" si="39">D106/$O$106</f>
        <v>5.0697084917617243E-2</v>
      </c>
      <c r="E108" s="44">
        <f t="shared" si="39"/>
        <v>0.11596958174904946</v>
      </c>
      <c r="F108" s="44">
        <f t="shared" si="39"/>
        <v>9.5057034220532355E-2</v>
      </c>
      <c r="G108" s="44">
        <f t="shared" si="39"/>
        <v>7.6045627376425846E-3</v>
      </c>
      <c r="H108" s="44">
        <f t="shared" si="39"/>
        <v>0</v>
      </c>
      <c r="I108" s="44">
        <f t="shared" si="39"/>
        <v>0.2686945500633714</v>
      </c>
      <c r="J108" s="44">
        <f t="shared" si="39"/>
        <v>5.5766793409378956E-2</v>
      </c>
      <c r="K108" s="44">
        <f t="shared" si="39"/>
        <v>3.0418250950570346E-2</v>
      </c>
      <c r="L108" s="44">
        <f t="shared" si="39"/>
        <v>0</v>
      </c>
      <c r="M108" s="44"/>
      <c r="N108" s="44">
        <f t="shared" si="39"/>
        <v>1.2674271229404308E-3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AD48" sqref="AD4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'23.10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'23.10 MITYANA-KANONI'!G5:H5</f>
        <v>VICA MAIZE MILLERS</v>
      </c>
      <c r="H5" s="67"/>
      <c r="I5" s="14"/>
      <c r="J5" s="2" t="s">
        <v>5</v>
      </c>
      <c r="K5" s="66" t="s">
        <v>182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'23.10 MITYANA-KANONI'!D6:E6</f>
        <v>MITYANA</v>
      </c>
      <c r="E6" s="67"/>
      <c r="F6" s="2" t="s">
        <v>2</v>
      </c>
      <c r="G6" s="66" t="str">
        <f>'23.10 MITYANA-KANONI'!G6:H6</f>
        <v>KANONI</v>
      </c>
      <c r="H6" s="67"/>
      <c r="J6" s="2" t="s">
        <v>21</v>
      </c>
      <c r="K6" s="66" t="str">
        <f>'23.10 MITYANA-KANONI'!K6:L6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MITYANA-KANONI'!C10,'18.10 MITYANA-KANONI-24h'!C10,'19.10 MITYANA-KANONI-24h'!C10,'20.10 MITYANA-KANONI'!C10,'21.10 MITYANA-KANONI'!C10,'22.10 MITYANA-KANONI'!C10,'23.10 MITYANA-KANONI'!C10)</f>
        <v>0</v>
      </c>
      <c r="D10" s="49">
        <f>AVERAGE('17.10 MITYANA-KANONI'!D10,'18.10 MITYANA-KANONI-24h'!D10,'19.10 MITYANA-KANONI-24h'!D10,'20.10 MITYANA-KANONI'!D10,'21.10 MITYANA-KANONI'!D10,'22.10 MITYANA-KANONI'!D10,'23.10 MITYANA-KANONI'!D10)</f>
        <v>0.14285714285714285</v>
      </c>
      <c r="E10" s="49">
        <f>AVERAGE('17.10 MITYANA-KANONI'!E10,'18.10 MITYANA-KANONI-24h'!E10,'19.10 MITYANA-KANONI-24h'!E10,'20.10 MITYANA-KANONI'!E10,'21.10 MITYANA-KANONI'!E10,'22.10 MITYANA-KANONI'!E10,'23.10 MITYANA-KANONI'!E10)</f>
        <v>0</v>
      </c>
      <c r="F10" s="49">
        <f>AVERAGE('17.10 MITYANA-KANONI'!F10,'18.10 MITYANA-KANONI-24h'!F10,'19.10 MITYANA-KANONI-24h'!F10,'20.10 MITYANA-KANONI'!F10,'21.10 MITYANA-KANONI'!F10,'22.10 MITYANA-KANONI'!F10,'23.10 MITYANA-KANONI'!F10)</f>
        <v>0</v>
      </c>
      <c r="G10" s="49">
        <f>AVERAGE('17.10 MITYANA-KANONI'!G10,'18.10 MITYANA-KANONI-24h'!G10,'19.10 MITYANA-KANONI-24h'!G10,'20.10 MITYANA-KANONI'!G10,'21.10 MITYANA-KANONI'!G10,'22.10 MITYANA-KANONI'!G10,'23.10 MITYANA-KANONI'!G10)</f>
        <v>0</v>
      </c>
      <c r="H10" s="49">
        <f>AVERAGE('17.10 MITYANA-KANONI'!H10,'18.10 MITYANA-KANONI-24h'!H10,'19.10 MITYANA-KANONI-24h'!H10,'20.10 MITYANA-KANONI'!H10,'21.10 MITYANA-KANONI'!H10,'22.10 MITYANA-KANONI'!H10,'23.10 MITYANA-KANONI'!H10)</f>
        <v>0</v>
      </c>
      <c r="I10" s="49">
        <f>AVERAGE('17.10 MITYANA-KANONI'!I10,'18.10 MITYANA-KANONI-24h'!I10,'19.10 MITYANA-KANONI-24h'!I10,'20.10 MITYANA-KANONI'!I10,'21.10 MITYANA-KANONI'!I10,'22.10 MITYANA-KANONI'!I10,'23.10 MITYANA-KANONI'!I10)</f>
        <v>0.2857142857142857</v>
      </c>
      <c r="J10" s="49">
        <f>AVERAGE('17.10 MITYANA-KANONI'!J10,'18.10 MITYANA-KANONI-24h'!J10,'19.10 MITYANA-KANONI-24h'!J10,'20.10 MITYANA-KANONI'!J10,'21.10 MITYANA-KANONI'!J10,'22.10 MITYANA-KANONI'!J10,'23.10 MITYANA-KANONI'!J10)</f>
        <v>0</v>
      </c>
      <c r="K10" s="49">
        <f>AVERAGE('17.10 MITYANA-KANONI'!K10,'18.10 MITYANA-KANONI-24h'!K10,'19.10 MITYANA-KANONI-24h'!K10,'20.10 MITYANA-KANONI'!K10,'21.10 MITYANA-KANONI'!K10,'22.10 MITYANA-KANONI'!K10,'23.10 MITYANA-KANONI'!K10)</f>
        <v>0</v>
      </c>
      <c r="L10" s="49">
        <f>AVERAGE('17.10 MITYANA-KANONI'!L10,'18.10 MITYANA-KANONI-24h'!L10,'19.10 MITYANA-KANONI-24h'!L10,'20.10 MITYANA-KANONI'!L10,'21.10 MITYANA-KANONI'!L10,'22.10 MITYANA-KANONI'!L10,'23.10 MITYANA-KANONI'!L10)</f>
        <v>0</v>
      </c>
      <c r="M10" s="49">
        <f>AVERAGE('17.10 MITYANA-KANONI'!M10,'18.10 MITYANA-KANONI-24h'!M10,'19.10 MITYANA-KANONI-24h'!M10,'20.10 MITYANA-KANONI'!M10,'21.10 MITYANA-KANONI'!M10,'22.10 MITYANA-KANONI'!M10,'23.10 MITYANA-KANONI'!M10)</f>
        <v>8.1428571428571423</v>
      </c>
      <c r="N10" s="49">
        <f>AVERAGE('17.10 MITYANA-KANONI'!N10,'18.10 MITYANA-KANONI-24h'!N10,'19.10 MITYANA-KANONI-24h'!N10,'20.10 MITYANA-KANONI'!N10,'21.10 MITYANA-KANONI'!N10,'22.10 MITYANA-KANONI'!N10,'23.10 MITYANA-KANONI'!N10)</f>
        <v>0</v>
      </c>
      <c r="O10" s="15">
        <f t="shared" ref="O10:O73" si="0">SUM(C10:L10,N10)</f>
        <v>0.42857142857142855</v>
      </c>
      <c r="P10" s="15">
        <f t="shared" ref="P10:P73" si="1">SUM(C10:N10)</f>
        <v>8.5714285714285712</v>
      </c>
      <c r="R10" s="1" t="s">
        <v>6</v>
      </c>
      <c r="S10" s="17">
        <f t="shared" ref="S10:AF10" si="2">SUM(C10:C13)</f>
        <v>0.5714285714285714</v>
      </c>
      <c r="T10" s="17">
        <f t="shared" si="2"/>
        <v>0.42857142857142855</v>
      </c>
      <c r="U10" s="17">
        <f t="shared" si="2"/>
        <v>0.14285714285714285</v>
      </c>
      <c r="V10" s="17">
        <f t="shared" si="2"/>
        <v>0.71428571428571419</v>
      </c>
      <c r="W10" s="17">
        <f t="shared" si="2"/>
        <v>0</v>
      </c>
      <c r="X10" s="17">
        <f t="shared" si="2"/>
        <v>0</v>
      </c>
      <c r="Y10" s="17">
        <f t="shared" si="2"/>
        <v>1.857142857142857</v>
      </c>
      <c r="Z10" s="17">
        <f t="shared" si="2"/>
        <v>0.42857142857142855</v>
      </c>
      <c r="AA10" s="17">
        <f t="shared" si="2"/>
        <v>0.14285714285714285</v>
      </c>
      <c r="AB10" s="17">
        <f t="shared" si="2"/>
        <v>0</v>
      </c>
      <c r="AC10" s="17">
        <f t="shared" si="2"/>
        <v>33.857142857142861</v>
      </c>
      <c r="AD10" s="17">
        <f t="shared" si="2"/>
        <v>0</v>
      </c>
      <c r="AE10" s="31">
        <f t="shared" si="2"/>
        <v>4.2857142857142856</v>
      </c>
      <c r="AF10" s="31">
        <f t="shared" si="2"/>
        <v>38.142857142857139</v>
      </c>
    </row>
    <row r="11" spans="2:32" s="6" customFormat="1" ht="23.1" customHeight="1" x14ac:dyDescent="0.25">
      <c r="B11" s="23" t="s">
        <v>38</v>
      </c>
      <c r="C11" s="49">
        <f>AVERAGE('17.10 MITYANA-KANONI'!C11,'18.10 MITYANA-KANONI-24h'!C11,'19.10 MITYANA-KANONI-24h'!C11,'20.10 MITYANA-KANONI'!C11,'21.10 MITYANA-KANONI'!C11,'22.10 MITYANA-KANONI'!C11,'23.10 MITYANA-KANONI'!C11)</f>
        <v>0.14285714285714285</v>
      </c>
      <c r="D11" s="49">
        <f>AVERAGE('17.10 MITYANA-KANONI'!D11,'18.10 MITYANA-KANONI-24h'!D11,'19.10 MITYANA-KANONI-24h'!D11,'20.10 MITYANA-KANONI'!D11,'21.10 MITYANA-KANONI'!D11,'22.10 MITYANA-KANONI'!D11,'23.10 MITYANA-KANONI'!D11)</f>
        <v>0</v>
      </c>
      <c r="E11" s="49">
        <f>AVERAGE('17.10 MITYANA-KANONI'!E11,'18.10 MITYANA-KANONI-24h'!E11,'19.10 MITYANA-KANONI-24h'!E11,'20.10 MITYANA-KANONI'!E11,'21.10 MITYANA-KANONI'!E11,'22.10 MITYANA-KANONI'!E11,'23.10 MITYANA-KANONI'!E11)</f>
        <v>0</v>
      </c>
      <c r="F11" s="49">
        <f>AVERAGE('17.10 MITYANA-KANONI'!F11,'18.10 MITYANA-KANONI-24h'!F11,'19.10 MITYANA-KANONI-24h'!F11,'20.10 MITYANA-KANONI'!F11,'21.10 MITYANA-KANONI'!F11,'22.10 MITYANA-KANONI'!F11,'23.10 MITYANA-KANONI'!F11)</f>
        <v>0.14285714285714285</v>
      </c>
      <c r="G11" s="49">
        <f>AVERAGE('17.10 MITYANA-KANONI'!G11,'18.10 MITYANA-KANONI-24h'!G11,'19.10 MITYANA-KANONI-24h'!G11,'20.10 MITYANA-KANONI'!G11,'21.10 MITYANA-KANONI'!G11,'22.10 MITYANA-KANONI'!G11,'23.10 MITYANA-KANONI'!G11)</f>
        <v>0</v>
      </c>
      <c r="H11" s="49">
        <f>AVERAGE('17.10 MITYANA-KANONI'!H11,'18.10 MITYANA-KANONI-24h'!H11,'19.10 MITYANA-KANONI-24h'!H11,'20.10 MITYANA-KANONI'!H11,'21.10 MITYANA-KANONI'!H11,'22.10 MITYANA-KANONI'!H11,'23.10 MITYANA-KANONI'!H11)</f>
        <v>0</v>
      </c>
      <c r="I11" s="49">
        <f>AVERAGE('17.10 MITYANA-KANONI'!I11,'18.10 MITYANA-KANONI-24h'!I11,'19.10 MITYANA-KANONI-24h'!I11,'20.10 MITYANA-KANONI'!I11,'21.10 MITYANA-KANONI'!I11,'22.10 MITYANA-KANONI'!I11,'23.10 MITYANA-KANONI'!I11)</f>
        <v>0.42857142857142855</v>
      </c>
      <c r="J11" s="49">
        <f>AVERAGE('17.10 MITYANA-KANONI'!J11,'18.10 MITYANA-KANONI-24h'!J11,'19.10 MITYANA-KANONI-24h'!J11,'20.10 MITYANA-KANONI'!J11,'21.10 MITYANA-KANONI'!J11,'22.10 MITYANA-KANONI'!J11,'23.10 MITYANA-KANONI'!J11)</f>
        <v>0.14285714285714285</v>
      </c>
      <c r="K11" s="49">
        <f>AVERAGE('17.10 MITYANA-KANONI'!K11,'18.10 MITYANA-KANONI-24h'!K11,'19.10 MITYANA-KANONI-24h'!K11,'20.10 MITYANA-KANONI'!K11,'21.10 MITYANA-KANONI'!K11,'22.10 MITYANA-KANONI'!K11,'23.10 MITYANA-KANONI'!K11)</f>
        <v>0.14285714285714285</v>
      </c>
      <c r="L11" s="49">
        <f>AVERAGE('17.10 MITYANA-KANONI'!L11,'18.10 MITYANA-KANONI-24h'!L11,'19.10 MITYANA-KANONI-24h'!L11,'20.10 MITYANA-KANONI'!L11,'21.10 MITYANA-KANONI'!L11,'22.10 MITYANA-KANONI'!L11,'23.10 MITYANA-KANONI'!L11)</f>
        <v>0</v>
      </c>
      <c r="M11" s="49">
        <f>AVERAGE('17.10 MITYANA-KANONI'!M11,'18.10 MITYANA-KANONI-24h'!M11,'19.10 MITYANA-KANONI-24h'!M11,'20.10 MITYANA-KANONI'!M11,'21.10 MITYANA-KANONI'!M11,'22.10 MITYANA-KANONI'!M11,'23.10 MITYANA-KANONI'!M11)</f>
        <v>6.8571428571428568</v>
      </c>
      <c r="N11" s="49">
        <f>AVERAGE('17.10 MITYANA-KANONI'!N11,'18.10 MITYANA-KANONI-24h'!N11,'19.10 MITYANA-KANONI-24h'!N11,'20.10 MITYANA-KANONI'!N11,'21.10 MITYANA-KANONI'!N11,'22.10 MITYANA-KANONI'!N11,'23.10 MITYANA-KANONI'!N11)</f>
        <v>0</v>
      </c>
      <c r="O11" s="15">
        <f t="shared" si="0"/>
        <v>0.99999999999999978</v>
      </c>
      <c r="P11" s="15">
        <f t="shared" si="1"/>
        <v>7.8571428571428568</v>
      </c>
      <c r="R11" s="1" t="s">
        <v>7</v>
      </c>
      <c r="S11" s="17">
        <f t="shared" ref="S11:AF11" si="3">SUM(C14:C17)</f>
        <v>1.2857142857142856</v>
      </c>
      <c r="T11" s="17">
        <f t="shared" si="3"/>
        <v>0.42857142857142855</v>
      </c>
      <c r="U11" s="17">
        <f t="shared" si="3"/>
        <v>1</v>
      </c>
      <c r="V11" s="17">
        <f t="shared" si="3"/>
        <v>0.2857142857142857</v>
      </c>
      <c r="W11" s="17">
        <f t="shared" si="3"/>
        <v>0</v>
      </c>
      <c r="X11" s="17">
        <f t="shared" si="3"/>
        <v>0</v>
      </c>
      <c r="Y11" s="17">
        <f t="shared" si="3"/>
        <v>1.857142857142857</v>
      </c>
      <c r="Z11" s="17">
        <f t="shared" si="3"/>
        <v>0.5714285714285714</v>
      </c>
      <c r="AA11" s="17">
        <f t="shared" si="3"/>
        <v>0</v>
      </c>
      <c r="AB11" s="17">
        <f t="shared" si="3"/>
        <v>0</v>
      </c>
      <c r="AC11" s="17">
        <f t="shared" si="3"/>
        <v>43</v>
      </c>
      <c r="AD11" s="17">
        <f t="shared" si="3"/>
        <v>0</v>
      </c>
      <c r="AE11" s="31">
        <f t="shared" si="3"/>
        <v>5.4285714285714288</v>
      </c>
      <c r="AF11" s="31">
        <f t="shared" si="3"/>
        <v>48.428571428571423</v>
      </c>
    </row>
    <row r="12" spans="2:32" ht="23.1" customHeight="1" x14ac:dyDescent="0.25">
      <c r="B12" s="23" t="s">
        <v>39</v>
      </c>
      <c r="C12" s="49">
        <f>AVERAGE('17.10 MITYANA-KANONI'!C12,'18.10 MITYANA-KANONI-24h'!C12,'19.10 MITYANA-KANONI-24h'!C12,'20.10 MITYANA-KANONI'!C12,'21.10 MITYANA-KANONI'!C12,'22.10 MITYANA-KANONI'!C12,'23.10 MITYANA-KANONI'!C12)</f>
        <v>0.2857142857142857</v>
      </c>
      <c r="D12" s="49">
        <f>AVERAGE('17.10 MITYANA-KANONI'!D12,'18.10 MITYANA-KANONI-24h'!D12,'19.10 MITYANA-KANONI-24h'!D12,'20.10 MITYANA-KANONI'!D12,'21.10 MITYANA-KANONI'!D12,'22.10 MITYANA-KANONI'!D12,'23.10 MITYANA-KANONI'!D12)</f>
        <v>0.14285714285714285</v>
      </c>
      <c r="E12" s="49">
        <f>AVERAGE('17.10 MITYANA-KANONI'!E12,'18.10 MITYANA-KANONI-24h'!E12,'19.10 MITYANA-KANONI-24h'!E12,'20.10 MITYANA-KANONI'!E12,'21.10 MITYANA-KANONI'!E12,'22.10 MITYANA-KANONI'!E12,'23.10 MITYANA-KANONI'!E12)</f>
        <v>0</v>
      </c>
      <c r="F12" s="49">
        <f>AVERAGE('17.10 MITYANA-KANONI'!F12,'18.10 MITYANA-KANONI-24h'!F12,'19.10 MITYANA-KANONI-24h'!F12,'20.10 MITYANA-KANONI'!F12,'21.10 MITYANA-KANONI'!F12,'22.10 MITYANA-KANONI'!F12,'23.10 MITYANA-KANONI'!F12)</f>
        <v>0</v>
      </c>
      <c r="G12" s="49">
        <f>AVERAGE('17.10 MITYANA-KANONI'!G12,'18.10 MITYANA-KANONI-24h'!G12,'19.10 MITYANA-KANONI-24h'!G12,'20.10 MITYANA-KANONI'!G12,'21.10 MITYANA-KANONI'!G12,'22.10 MITYANA-KANONI'!G12,'23.10 MITYANA-KANONI'!G12)</f>
        <v>0</v>
      </c>
      <c r="H12" s="49">
        <f>AVERAGE('17.10 MITYANA-KANONI'!H12,'18.10 MITYANA-KANONI-24h'!H12,'19.10 MITYANA-KANONI-24h'!H12,'20.10 MITYANA-KANONI'!H12,'21.10 MITYANA-KANONI'!H12,'22.10 MITYANA-KANONI'!H12,'23.10 MITYANA-KANONI'!H12)</f>
        <v>0</v>
      </c>
      <c r="I12" s="49">
        <f>AVERAGE('17.10 MITYANA-KANONI'!I12,'18.10 MITYANA-KANONI-24h'!I12,'19.10 MITYANA-KANONI-24h'!I12,'20.10 MITYANA-KANONI'!I12,'21.10 MITYANA-KANONI'!I12,'22.10 MITYANA-KANONI'!I12,'23.10 MITYANA-KANONI'!I12)</f>
        <v>0.2857142857142857</v>
      </c>
      <c r="J12" s="49">
        <f>AVERAGE('17.10 MITYANA-KANONI'!J12,'18.10 MITYANA-KANONI-24h'!J12,'19.10 MITYANA-KANONI-24h'!J12,'20.10 MITYANA-KANONI'!J12,'21.10 MITYANA-KANONI'!J12,'22.10 MITYANA-KANONI'!J12,'23.10 MITYANA-KANONI'!J12)</f>
        <v>0.14285714285714285</v>
      </c>
      <c r="K12" s="49">
        <f>AVERAGE('17.10 MITYANA-KANONI'!K12,'18.10 MITYANA-KANONI-24h'!K12,'19.10 MITYANA-KANONI-24h'!K12,'20.10 MITYANA-KANONI'!K12,'21.10 MITYANA-KANONI'!K12,'22.10 MITYANA-KANONI'!K12,'23.10 MITYANA-KANONI'!K12)</f>
        <v>0</v>
      </c>
      <c r="L12" s="49">
        <f>AVERAGE('17.10 MITYANA-KANONI'!L12,'18.10 MITYANA-KANONI-24h'!L12,'19.10 MITYANA-KANONI-24h'!L12,'20.10 MITYANA-KANONI'!L12,'21.10 MITYANA-KANONI'!L12,'22.10 MITYANA-KANONI'!L12,'23.10 MITYANA-KANONI'!L12)</f>
        <v>0</v>
      </c>
      <c r="M12" s="49">
        <f>AVERAGE('17.10 MITYANA-KANONI'!M12,'18.10 MITYANA-KANONI-24h'!M12,'19.10 MITYANA-KANONI-24h'!M12,'20.10 MITYANA-KANONI'!M12,'21.10 MITYANA-KANONI'!M12,'22.10 MITYANA-KANONI'!M12,'23.10 MITYANA-KANONI'!M12)</f>
        <v>9.8571428571428577</v>
      </c>
      <c r="N12" s="49">
        <f>AVERAGE('17.10 MITYANA-KANONI'!N12,'18.10 MITYANA-KANONI-24h'!N12,'19.10 MITYANA-KANONI-24h'!N12,'20.10 MITYANA-KANONI'!N12,'21.10 MITYANA-KANONI'!N12,'22.10 MITYANA-KANONI'!N12,'23.10 MITYANA-KANONI'!N12)</f>
        <v>0</v>
      </c>
      <c r="O12" s="15">
        <f t="shared" si="0"/>
        <v>0.85714285714285698</v>
      </c>
      <c r="P12" s="15">
        <f t="shared" si="1"/>
        <v>10.714285714285715</v>
      </c>
      <c r="R12" s="1" t="s">
        <v>8</v>
      </c>
      <c r="S12" s="17">
        <f t="shared" ref="S12:AF12" si="4">SUM(C18:C21)</f>
        <v>3.4285714285714288</v>
      </c>
      <c r="T12" s="17">
        <f t="shared" si="4"/>
        <v>0.2857142857142857</v>
      </c>
      <c r="U12" s="17">
        <f t="shared" si="4"/>
        <v>0.5714285714285714</v>
      </c>
      <c r="V12" s="17">
        <f t="shared" si="4"/>
        <v>0.71428571428571419</v>
      </c>
      <c r="W12" s="17">
        <f t="shared" si="4"/>
        <v>0</v>
      </c>
      <c r="X12" s="17">
        <f t="shared" si="4"/>
        <v>0</v>
      </c>
      <c r="Y12" s="17">
        <f t="shared" si="4"/>
        <v>1.714285714285714</v>
      </c>
      <c r="Z12" s="17">
        <f t="shared" si="4"/>
        <v>0.5714285714285714</v>
      </c>
      <c r="AA12" s="17">
        <f t="shared" si="4"/>
        <v>0.42857142857142855</v>
      </c>
      <c r="AB12" s="17">
        <f t="shared" si="4"/>
        <v>0</v>
      </c>
      <c r="AC12" s="17">
        <f t="shared" si="4"/>
        <v>46.142857142857146</v>
      </c>
      <c r="AD12" s="17">
        <f t="shared" si="4"/>
        <v>0</v>
      </c>
      <c r="AE12" s="31">
        <f t="shared" si="4"/>
        <v>7.7142857142857135</v>
      </c>
      <c r="AF12" s="31">
        <f t="shared" si="4"/>
        <v>53.857142857142854</v>
      </c>
    </row>
    <row r="13" spans="2:32" ht="23.1" customHeight="1" x14ac:dyDescent="0.25">
      <c r="B13" s="23" t="s">
        <v>40</v>
      </c>
      <c r="C13" s="49">
        <f>AVERAGE('17.10 MITYANA-KANONI'!C13,'18.10 MITYANA-KANONI-24h'!C13,'19.10 MITYANA-KANONI-24h'!C13,'20.10 MITYANA-KANONI'!C13,'21.10 MITYANA-KANONI'!C13,'22.10 MITYANA-KANONI'!C13,'23.10 MITYANA-KANONI'!C13)</f>
        <v>0.14285714285714285</v>
      </c>
      <c r="D13" s="49">
        <f>AVERAGE('17.10 MITYANA-KANONI'!D13,'18.10 MITYANA-KANONI-24h'!D13,'19.10 MITYANA-KANONI-24h'!D13,'20.10 MITYANA-KANONI'!D13,'21.10 MITYANA-KANONI'!D13,'22.10 MITYANA-KANONI'!D13,'23.10 MITYANA-KANONI'!D13)</f>
        <v>0.14285714285714285</v>
      </c>
      <c r="E13" s="49">
        <f>AVERAGE('17.10 MITYANA-KANONI'!E13,'18.10 MITYANA-KANONI-24h'!E13,'19.10 MITYANA-KANONI-24h'!E13,'20.10 MITYANA-KANONI'!E13,'21.10 MITYANA-KANONI'!E13,'22.10 MITYANA-KANONI'!E13,'23.10 MITYANA-KANONI'!E13)</f>
        <v>0.14285714285714285</v>
      </c>
      <c r="F13" s="49">
        <f>AVERAGE('17.10 MITYANA-KANONI'!F13,'18.10 MITYANA-KANONI-24h'!F13,'19.10 MITYANA-KANONI-24h'!F13,'20.10 MITYANA-KANONI'!F13,'21.10 MITYANA-KANONI'!F13,'22.10 MITYANA-KANONI'!F13,'23.10 MITYANA-KANONI'!F13)</f>
        <v>0.5714285714285714</v>
      </c>
      <c r="G13" s="49">
        <f>AVERAGE('17.10 MITYANA-KANONI'!G13,'18.10 MITYANA-KANONI-24h'!G13,'19.10 MITYANA-KANONI-24h'!G13,'20.10 MITYANA-KANONI'!G13,'21.10 MITYANA-KANONI'!G13,'22.10 MITYANA-KANONI'!G13,'23.10 MITYANA-KANONI'!G13)</f>
        <v>0</v>
      </c>
      <c r="H13" s="49">
        <f>AVERAGE('17.10 MITYANA-KANONI'!H13,'18.10 MITYANA-KANONI-24h'!H13,'19.10 MITYANA-KANONI-24h'!H13,'20.10 MITYANA-KANONI'!H13,'21.10 MITYANA-KANONI'!H13,'22.10 MITYANA-KANONI'!H13,'23.10 MITYANA-KANONI'!H13)</f>
        <v>0</v>
      </c>
      <c r="I13" s="49">
        <f>AVERAGE('17.10 MITYANA-KANONI'!I13,'18.10 MITYANA-KANONI-24h'!I13,'19.10 MITYANA-KANONI-24h'!I13,'20.10 MITYANA-KANONI'!I13,'21.10 MITYANA-KANONI'!I13,'22.10 MITYANA-KANONI'!I13,'23.10 MITYANA-KANONI'!I13)</f>
        <v>0.8571428571428571</v>
      </c>
      <c r="J13" s="49">
        <f>AVERAGE('17.10 MITYANA-KANONI'!J13,'18.10 MITYANA-KANONI-24h'!J13,'19.10 MITYANA-KANONI-24h'!J13,'20.10 MITYANA-KANONI'!J13,'21.10 MITYANA-KANONI'!J13,'22.10 MITYANA-KANONI'!J13,'23.10 MITYANA-KANONI'!J13)</f>
        <v>0.14285714285714285</v>
      </c>
      <c r="K13" s="49">
        <f>AVERAGE('17.10 MITYANA-KANONI'!K13,'18.10 MITYANA-KANONI-24h'!K13,'19.10 MITYANA-KANONI-24h'!K13,'20.10 MITYANA-KANONI'!K13,'21.10 MITYANA-KANONI'!K13,'22.10 MITYANA-KANONI'!K13,'23.10 MITYANA-KANONI'!K13)</f>
        <v>0</v>
      </c>
      <c r="L13" s="49">
        <f>AVERAGE('17.10 MITYANA-KANONI'!L13,'18.10 MITYANA-KANONI-24h'!L13,'19.10 MITYANA-KANONI-24h'!L13,'20.10 MITYANA-KANONI'!L13,'21.10 MITYANA-KANONI'!L13,'22.10 MITYANA-KANONI'!L13,'23.10 MITYANA-KANONI'!L13)</f>
        <v>0</v>
      </c>
      <c r="M13" s="49">
        <f>AVERAGE('17.10 MITYANA-KANONI'!M13,'18.10 MITYANA-KANONI-24h'!M13,'19.10 MITYANA-KANONI-24h'!M13,'20.10 MITYANA-KANONI'!M13,'21.10 MITYANA-KANONI'!M13,'22.10 MITYANA-KANONI'!M13,'23.10 MITYANA-KANONI'!M13)</f>
        <v>9</v>
      </c>
      <c r="N13" s="49">
        <f>AVERAGE('17.10 MITYANA-KANONI'!N13,'18.10 MITYANA-KANONI-24h'!N13,'19.10 MITYANA-KANONI-24h'!N13,'20.10 MITYANA-KANONI'!N13,'21.10 MITYANA-KANONI'!N13,'22.10 MITYANA-KANONI'!N13,'23.10 MITYANA-KANONI'!N13)</f>
        <v>0</v>
      </c>
      <c r="O13" s="15">
        <f t="shared" si="0"/>
        <v>2</v>
      </c>
      <c r="P13" s="15">
        <f t="shared" si="1"/>
        <v>11</v>
      </c>
      <c r="R13" s="1" t="s">
        <v>9</v>
      </c>
      <c r="S13" s="17">
        <f t="shared" ref="S13:AF13" si="5">SUM(C22:C25)</f>
        <v>3.2857142857142856</v>
      </c>
      <c r="T13" s="17">
        <f t="shared" si="5"/>
        <v>0.71428571428571419</v>
      </c>
      <c r="U13" s="17">
        <f t="shared" si="5"/>
        <v>1.4285714285714284</v>
      </c>
      <c r="V13" s="17">
        <f t="shared" si="5"/>
        <v>0.2857142857142857</v>
      </c>
      <c r="W13" s="17">
        <f t="shared" si="5"/>
        <v>0</v>
      </c>
      <c r="X13" s="17">
        <f t="shared" si="5"/>
        <v>0</v>
      </c>
      <c r="Y13" s="17">
        <f t="shared" si="5"/>
        <v>2.2857142857142856</v>
      </c>
      <c r="Z13" s="17">
        <f t="shared" si="5"/>
        <v>0.5714285714285714</v>
      </c>
      <c r="AA13" s="17">
        <f t="shared" si="5"/>
        <v>0</v>
      </c>
      <c r="AB13" s="17">
        <f t="shared" si="5"/>
        <v>0</v>
      </c>
      <c r="AC13" s="17">
        <f t="shared" si="5"/>
        <v>47.857142857142861</v>
      </c>
      <c r="AD13" s="17">
        <f t="shared" si="5"/>
        <v>0</v>
      </c>
      <c r="AE13" s="31">
        <f t="shared" si="5"/>
        <v>8.5714285714285712</v>
      </c>
      <c r="AF13" s="31">
        <f t="shared" si="5"/>
        <v>56.428571428571423</v>
      </c>
    </row>
    <row r="14" spans="2:32" ht="23.1" customHeight="1" x14ac:dyDescent="0.25">
      <c r="B14" s="23" t="s">
        <v>41</v>
      </c>
      <c r="C14" s="49">
        <f>AVERAGE('17.10 MITYANA-KANONI'!C14,'18.10 MITYANA-KANONI-24h'!C14,'19.10 MITYANA-KANONI-24h'!C14,'20.10 MITYANA-KANONI'!C14,'21.10 MITYANA-KANONI'!C14,'22.10 MITYANA-KANONI'!C14,'23.10 MITYANA-KANONI'!C14)</f>
        <v>0.2857142857142857</v>
      </c>
      <c r="D14" s="49">
        <f>AVERAGE('17.10 MITYANA-KANONI'!D14,'18.10 MITYANA-KANONI-24h'!D14,'19.10 MITYANA-KANONI-24h'!D14,'20.10 MITYANA-KANONI'!D14,'21.10 MITYANA-KANONI'!D14,'22.10 MITYANA-KANONI'!D14,'23.10 MITYANA-KANONI'!D14)</f>
        <v>0</v>
      </c>
      <c r="E14" s="49">
        <f>AVERAGE('17.10 MITYANA-KANONI'!E14,'18.10 MITYANA-KANONI-24h'!E14,'19.10 MITYANA-KANONI-24h'!E14,'20.10 MITYANA-KANONI'!E14,'21.10 MITYANA-KANONI'!E14,'22.10 MITYANA-KANONI'!E14,'23.10 MITYANA-KANONI'!E14)</f>
        <v>0</v>
      </c>
      <c r="F14" s="49">
        <f>AVERAGE('17.10 MITYANA-KANONI'!F14,'18.10 MITYANA-KANONI-24h'!F14,'19.10 MITYANA-KANONI-24h'!F14,'20.10 MITYANA-KANONI'!F14,'21.10 MITYANA-KANONI'!F14,'22.10 MITYANA-KANONI'!F14,'23.10 MITYANA-KANONI'!F14)</f>
        <v>0</v>
      </c>
      <c r="G14" s="49">
        <f>AVERAGE('17.10 MITYANA-KANONI'!G14,'18.10 MITYANA-KANONI-24h'!G14,'19.10 MITYANA-KANONI-24h'!G14,'20.10 MITYANA-KANONI'!G14,'21.10 MITYANA-KANONI'!G14,'22.10 MITYANA-KANONI'!G14,'23.10 MITYANA-KANONI'!G14)</f>
        <v>0</v>
      </c>
      <c r="H14" s="49">
        <f>AVERAGE('17.10 MITYANA-KANONI'!H14,'18.10 MITYANA-KANONI-24h'!H14,'19.10 MITYANA-KANONI-24h'!H14,'20.10 MITYANA-KANONI'!H14,'21.10 MITYANA-KANONI'!H14,'22.10 MITYANA-KANONI'!H14,'23.10 MITYANA-KANONI'!H14)</f>
        <v>0</v>
      </c>
      <c r="I14" s="49">
        <f>AVERAGE('17.10 MITYANA-KANONI'!I14,'18.10 MITYANA-KANONI-24h'!I14,'19.10 MITYANA-KANONI-24h'!I14,'20.10 MITYANA-KANONI'!I14,'21.10 MITYANA-KANONI'!I14,'22.10 MITYANA-KANONI'!I14,'23.10 MITYANA-KANONI'!I14)</f>
        <v>0.5714285714285714</v>
      </c>
      <c r="J14" s="49">
        <f>AVERAGE('17.10 MITYANA-KANONI'!J14,'18.10 MITYANA-KANONI-24h'!J14,'19.10 MITYANA-KANONI-24h'!J14,'20.10 MITYANA-KANONI'!J14,'21.10 MITYANA-KANONI'!J14,'22.10 MITYANA-KANONI'!J14,'23.10 MITYANA-KANONI'!J14)</f>
        <v>0.2857142857142857</v>
      </c>
      <c r="K14" s="49">
        <f>AVERAGE('17.10 MITYANA-KANONI'!K14,'18.10 MITYANA-KANONI-24h'!K14,'19.10 MITYANA-KANONI-24h'!K14,'20.10 MITYANA-KANONI'!K14,'21.10 MITYANA-KANONI'!K14,'22.10 MITYANA-KANONI'!K14,'23.10 MITYANA-KANONI'!K14)</f>
        <v>0</v>
      </c>
      <c r="L14" s="49">
        <f>AVERAGE('17.10 MITYANA-KANONI'!L14,'18.10 MITYANA-KANONI-24h'!L14,'19.10 MITYANA-KANONI-24h'!L14,'20.10 MITYANA-KANONI'!L14,'21.10 MITYANA-KANONI'!L14,'22.10 MITYANA-KANONI'!L14,'23.10 MITYANA-KANONI'!L14)</f>
        <v>0</v>
      </c>
      <c r="M14" s="49">
        <f>AVERAGE('17.10 MITYANA-KANONI'!M14,'18.10 MITYANA-KANONI-24h'!M14,'19.10 MITYANA-KANONI-24h'!M14,'20.10 MITYANA-KANONI'!M14,'21.10 MITYANA-KANONI'!M14,'22.10 MITYANA-KANONI'!M14,'23.10 MITYANA-KANONI'!M14)</f>
        <v>10.142857142857142</v>
      </c>
      <c r="N14" s="49">
        <f>AVERAGE('17.10 MITYANA-KANONI'!N14,'18.10 MITYANA-KANONI-24h'!N14,'19.10 MITYANA-KANONI-24h'!N14,'20.10 MITYANA-KANONI'!N14,'21.10 MITYANA-KANONI'!N14,'22.10 MITYANA-KANONI'!N14,'23.10 MITYANA-KANONI'!N14)</f>
        <v>0</v>
      </c>
      <c r="O14" s="15">
        <f t="shared" si="0"/>
        <v>1.1428571428571428</v>
      </c>
      <c r="P14" s="15">
        <f t="shared" si="1"/>
        <v>11.285714285714285</v>
      </c>
      <c r="R14" s="1" t="s">
        <v>10</v>
      </c>
      <c r="S14" s="17">
        <f t="shared" ref="S14:AF14" si="6">SUM(C26:C29)</f>
        <v>3.5714285714285716</v>
      </c>
      <c r="T14" s="17">
        <f t="shared" si="6"/>
        <v>0.5714285714285714</v>
      </c>
      <c r="U14" s="17">
        <f t="shared" si="6"/>
        <v>0.5714285714285714</v>
      </c>
      <c r="V14" s="17">
        <f t="shared" si="6"/>
        <v>0.5714285714285714</v>
      </c>
      <c r="W14" s="17">
        <f t="shared" si="6"/>
        <v>0.14285714285714285</v>
      </c>
      <c r="X14" s="17">
        <f t="shared" si="6"/>
        <v>0.14285714285714285</v>
      </c>
      <c r="Y14" s="17">
        <f t="shared" si="6"/>
        <v>2.8571428571428568</v>
      </c>
      <c r="Z14" s="17">
        <f t="shared" si="6"/>
        <v>0.42857142857142855</v>
      </c>
      <c r="AA14" s="17">
        <f t="shared" si="6"/>
        <v>0</v>
      </c>
      <c r="AB14" s="17">
        <f t="shared" si="6"/>
        <v>0</v>
      </c>
      <c r="AC14" s="17">
        <f t="shared" si="6"/>
        <v>44.428571428571431</v>
      </c>
      <c r="AD14" s="17">
        <f t="shared" si="6"/>
        <v>0</v>
      </c>
      <c r="AE14" s="31">
        <f t="shared" si="6"/>
        <v>8.8571428571428577</v>
      </c>
      <c r="AF14" s="31">
        <f t="shared" si="6"/>
        <v>53.285714285714292</v>
      </c>
    </row>
    <row r="15" spans="2:32" ht="23.1" customHeight="1" x14ac:dyDescent="0.25">
      <c r="B15" s="23" t="s">
        <v>42</v>
      </c>
      <c r="C15" s="49">
        <f>AVERAGE('17.10 MITYANA-KANONI'!C15,'18.10 MITYANA-KANONI-24h'!C15,'19.10 MITYANA-KANONI-24h'!C15,'20.10 MITYANA-KANONI'!C15,'21.10 MITYANA-KANONI'!C15,'22.10 MITYANA-KANONI'!C15,'23.10 MITYANA-KANONI'!C15)</f>
        <v>0.5714285714285714</v>
      </c>
      <c r="D15" s="49">
        <f>AVERAGE('17.10 MITYANA-KANONI'!D15,'18.10 MITYANA-KANONI-24h'!D15,'19.10 MITYANA-KANONI-24h'!D15,'20.10 MITYANA-KANONI'!D15,'21.10 MITYANA-KANONI'!D15,'22.10 MITYANA-KANONI'!D15,'23.10 MITYANA-KANONI'!D15)</f>
        <v>0.2857142857142857</v>
      </c>
      <c r="E15" s="49">
        <f>AVERAGE('17.10 MITYANA-KANONI'!E15,'18.10 MITYANA-KANONI-24h'!E15,'19.10 MITYANA-KANONI-24h'!E15,'20.10 MITYANA-KANONI'!E15,'21.10 MITYANA-KANONI'!E15,'22.10 MITYANA-KANONI'!E15,'23.10 MITYANA-KANONI'!E15)</f>
        <v>0.14285714285714285</v>
      </c>
      <c r="F15" s="49">
        <f>AVERAGE('17.10 MITYANA-KANONI'!F15,'18.10 MITYANA-KANONI-24h'!F15,'19.10 MITYANA-KANONI-24h'!F15,'20.10 MITYANA-KANONI'!F15,'21.10 MITYANA-KANONI'!F15,'22.10 MITYANA-KANONI'!F15,'23.10 MITYANA-KANONI'!F15)</f>
        <v>0</v>
      </c>
      <c r="G15" s="49">
        <f>AVERAGE('17.10 MITYANA-KANONI'!G15,'18.10 MITYANA-KANONI-24h'!G15,'19.10 MITYANA-KANONI-24h'!G15,'20.10 MITYANA-KANONI'!G15,'21.10 MITYANA-KANONI'!G15,'22.10 MITYANA-KANONI'!G15,'23.10 MITYANA-KANONI'!G15)</f>
        <v>0</v>
      </c>
      <c r="H15" s="49">
        <f>AVERAGE('17.10 MITYANA-KANONI'!H15,'18.10 MITYANA-KANONI-24h'!H15,'19.10 MITYANA-KANONI-24h'!H15,'20.10 MITYANA-KANONI'!H15,'21.10 MITYANA-KANONI'!H15,'22.10 MITYANA-KANONI'!H15,'23.10 MITYANA-KANONI'!H15)</f>
        <v>0</v>
      </c>
      <c r="I15" s="49">
        <f>AVERAGE('17.10 MITYANA-KANONI'!I15,'18.10 MITYANA-KANONI-24h'!I15,'19.10 MITYANA-KANONI-24h'!I15,'20.10 MITYANA-KANONI'!I15,'21.10 MITYANA-KANONI'!I15,'22.10 MITYANA-KANONI'!I15,'23.10 MITYANA-KANONI'!I15)</f>
        <v>0</v>
      </c>
      <c r="J15" s="49">
        <f>AVERAGE('17.10 MITYANA-KANONI'!J15,'18.10 MITYANA-KANONI-24h'!J15,'19.10 MITYANA-KANONI-24h'!J15,'20.10 MITYANA-KANONI'!J15,'21.10 MITYANA-KANONI'!J15,'22.10 MITYANA-KANONI'!J15,'23.10 MITYANA-KANONI'!J15)</f>
        <v>0</v>
      </c>
      <c r="K15" s="49">
        <f>AVERAGE('17.10 MITYANA-KANONI'!K15,'18.10 MITYANA-KANONI-24h'!K15,'19.10 MITYANA-KANONI-24h'!K15,'20.10 MITYANA-KANONI'!K15,'21.10 MITYANA-KANONI'!K15,'22.10 MITYANA-KANONI'!K15,'23.10 MITYANA-KANONI'!K15)</f>
        <v>0</v>
      </c>
      <c r="L15" s="49">
        <f>AVERAGE('17.10 MITYANA-KANONI'!L15,'18.10 MITYANA-KANONI-24h'!L15,'19.10 MITYANA-KANONI-24h'!L15,'20.10 MITYANA-KANONI'!L15,'21.10 MITYANA-KANONI'!L15,'22.10 MITYANA-KANONI'!L15,'23.10 MITYANA-KANONI'!L15)</f>
        <v>0</v>
      </c>
      <c r="M15" s="49">
        <f>AVERAGE('17.10 MITYANA-KANONI'!M15,'18.10 MITYANA-KANONI-24h'!M15,'19.10 MITYANA-KANONI-24h'!M15,'20.10 MITYANA-KANONI'!M15,'21.10 MITYANA-KANONI'!M15,'22.10 MITYANA-KANONI'!M15,'23.10 MITYANA-KANONI'!M15)</f>
        <v>10.142857142857142</v>
      </c>
      <c r="N15" s="49">
        <f>AVERAGE('17.10 MITYANA-KANONI'!N15,'18.10 MITYANA-KANONI-24h'!N15,'19.10 MITYANA-KANONI-24h'!N15,'20.10 MITYANA-KANONI'!N15,'21.10 MITYANA-KANONI'!N15,'22.10 MITYANA-KANONI'!N15,'23.10 MITYANA-KANONI'!N15)</f>
        <v>0</v>
      </c>
      <c r="O15" s="15">
        <f t="shared" si="0"/>
        <v>1</v>
      </c>
      <c r="P15" s="15">
        <f t="shared" si="1"/>
        <v>11.142857142857142</v>
      </c>
      <c r="R15" s="1" t="s">
        <v>11</v>
      </c>
      <c r="S15" s="17">
        <f t="shared" ref="S15:AF15" si="7">SUM(C30:C33)</f>
        <v>4.5714285714285712</v>
      </c>
      <c r="T15" s="17">
        <f t="shared" si="7"/>
        <v>0.71428571428571419</v>
      </c>
      <c r="U15" s="17">
        <f t="shared" si="7"/>
        <v>0.85714285714285698</v>
      </c>
      <c r="V15" s="17">
        <f t="shared" si="7"/>
        <v>1</v>
      </c>
      <c r="W15" s="17">
        <f t="shared" si="7"/>
        <v>0.14285714285714285</v>
      </c>
      <c r="X15" s="17">
        <f t="shared" si="7"/>
        <v>0</v>
      </c>
      <c r="Y15" s="17">
        <f t="shared" si="7"/>
        <v>2.1428571428571428</v>
      </c>
      <c r="Z15" s="17">
        <f t="shared" si="7"/>
        <v>0.42857142857142855</v>
      </c>
      <c r="AA15" s="17">
        <f t="shared" si="7"/>
        <v>0.14285714285714285</v>
      </c>
      <c r="AB15" s="17">
        <f t="shared" si="7"/>
        <v>0</v>
      </c>
      <c r="AC15" s="17">
        <f t="shared" si="7"/>
        <v>50.714285714285722</v>
      </c>
      <c r="AD15" s="17">
        <f t="shared" si="7"/>
        <v>0</v>
      </c>
      <c r="AE15" s="31">
        <f t="shared" si="7"/>
        <v>10</v>
      </c>
      <c r="AF15" s="31">
        <f t="shared" si="7"/>
        <v>60.714285714285715</v>
      </c>
    </row>
    <row r="16" spans="2:32" ht="23.1" customHeight="1" x14ac:dyDescent="0.25">
      <c r="B16" s="23" t="s">
        <v>43</v>
      </c>
      <c r="C16" s="49">
        <f>AVERAGE('17.10 MITYANA-KANONI'!C16,'18.10 MITYANA-KANONI-24h'!C16,'19.10 MITYANA-KANONI-24h'!C16,'20.10 MITYANA-KANONI'!C16,'21.10 MITYANA-KANONI'!C16,'22.10 MITYANA-KANONI'!C16,'23.10 MITYANA-KANONI'!C16)</f>
        <v>0.14285714285714285</v>
      </c>
      <c r="D16" s="49">
        <f>AVERAGE('17.10 MITYANA-KANONI'!D16,'18.10 MITYANA-KANONI-24h'!D16,'19.10 MITYANA-KANONI-24h'!D16,'20.10 MITYANA-KANONI'!D16,'21.10 MITYANA-KANONI'!D16,'22.10 MITYANA-KANONI'!D16,'23.10 MITYANA-KANONI'!D16)</f>
        <v>0.14285714285714285</v>
      </c>
      <c r="E16" s="49">
        <f>AVERAGE('17.10 MITYANA-KANONI'!E16,'18.10 MITYANA-KANONI-24h'!E16,'19.10 MITYANA-KANONI-24h'!E16,'20.10 MITYANA-KANONI'!E16,'21.10 MITYANA-KANONI'!E16,'22.10 MITYANA-KANONI'!E16,'23.10 MITYANA-KANONI'!E16)</f>
        <v>0.2857142857142857</v>
      </c>
      <c r="F16" s="49">
        <f>AVERAGE('17.10 MITYANA-KANONI'!F16,'18.10 MITYANA-KANONI-24h'!F16,'19.10 MITYANA-KANONI-24h'!F16,'20.10 MITYANA-KANONI'!F16,'21.10 MITYANA-KANONI'!F16,'22.10 MITYANA-KANONI'!F16,'23.10 MITYANA-KANONI'!F16)</f>
        <v>0.2857142857142857</v>
      </c>
      <c r="G16" s="49">
        <f>AVERAGE('17.10 MITYANA-KANONI'!G16,'18.10 MITYANA-KANONI-24h'!G16,'19.10 MITYANA-KANONI-24h'!G16,'20.10 MITYANA-KANONI'!G16,'21.10 MITYANA-KANONI'!G16,'22.10 MITYANA-KANONI'!G16,'23.10 MITYANA-KANONI'!G16)</f>
        <v>0</v>
      </c>
      <c r="H16" s="49">
        <f>AVERAGE('17.10 MITYANA-KANONI'!H16,'18.10 MITYANA-KANONI-24h'!H16,'19.10 MITYANA-KANONI-24h'!H16,'20.10 MITYANA-KANONI'!H16,'21.10 MITYANA-KANONI'!H16,'22.10 MITYANA-KANONI'!H16,'23.10 MITYANA-KANONI'!H16)</f>
        <v>0</v>
      </c>
      <c r="I16" s="49">
        <f>AVERAGE('17.10 MITYANA-KANONI'!I16,'18.10 MITYANA-KANONI-24h'!I16,'19.10 MITYANA-KANONI-24h'!I16,'20.10 MITYANA-KANONI'!I16,'21.10 MITYANA-KANONI'!I16,'22.10 MITYANA-KANONI'!I16,'23.10 MITYANA-KANONI'!I16)</f>
        <v>0.8571428571428571</v>
      </c>
      <c r="J16" s="49">
        <f>AVERAGE('17.10 MITYANA-KANONI'!J16,'18.10 MITYANA-KANONI-24h'!J16,'19.10 MITYANA-KANONI-24h'!J16,'20.10 MITYANA-KANONI'!J16,'21.10 MITYANA-KANONI'!J16,'22.10 MITYANA-KANONI'!J16,'23.10 MITYANA-KANONI'!J16)</f>
        <v>0.14285714285714285</v>
      </c>
      <c r="K16" s="49">
        <f>AVERAGE('17.10 MITYANA-KANONI'!K16,'18.10 MITYANA-KANONI-24h'!K16,'19.10 MITYANA-KANONI-24h'!K16,'20.10 MITYANA-KANONI'!K16,'21.10 MITYANA-KANONI'!K16,'22.10 MITYANA-KANONI'!K16,'23.10 MITYANA-KANONI'!K16)</f>
        <v>0</v>
      </c>
      <c r="L16" s="49">
        <f>AVERAGE('17.10 MITYANA-KANONI'!L16,'18.10 MITYANA-KANONI-24h'!L16,'19.10 MITYANA-KANONI-24h'!L16,'20.10 MITYANA-KANONI'!L16,'21.10 MITYANA-KANONI'!L16,'22.10 MITYANA-KANONI'!L16,'23.10 MITYANA-KANONI'!L16)</f>
        <v>0</v>
      </c>
      <c r="M16" s="49">
        <f>AVERAGE('17.10 MITYANA-KANONI'!M16,'18.10 MITYANA-KANONI-24h'!M16,'19.10 MITYANA-KANONI-24h'!M16,'20.10 MITYANA-KANONI'!M16,'21.10 MITYANA-KANONI'!M16,'22.10 MITYANA-KANONI'!M16,'23.10 MITYANA-KANONI'!M16)</f>
        <v>12.571428571428571</v>
      </c>
      <c r="N16" s="49">
        <f>AVERAGE('17.10 MITYANA-KANONI'!N16,'18.10 MITYANA-KANONI-24h'!N16,'19.10 MITYANA-KANONI-24h'!N16,'20.10 MITYANA-KANONI'!N16,'21.10 MITYANA-KANONI'!N16,'22.10 MITYANA-KANONI'!N16,'23.10 MITYANA-KANONI'!N16)</f>
        <v>0</v>
      </c>
      <c r="O16" s="15">
        <f t="shared" si="0"/>
        <v>1.857142857142857</v>
      </c>
      <c r="P16" s="15">
        <f t="shared" si="1"/>
        <v>14.428571428571429</v>
      </c>
      <c r="R16" s="1" t="s">
        <v>12</v>
      </c>
      <c r="S16" s="17">
        <f t="shared" ref="S16:AF16" si="8">SUM(C34:C37)</f>
        <v>3.5714285714285712</v>
      </c>
      <c r="T16" s="17">
        <f t="shared" si="8"/>
        <v>0.5714285714285714</v>
      </c>
      <c r="U16" s="17">
        <f t="shared" si="8"/>
        <v>0.85714285714285698</v>
      </c>
      <c r="V16" s="17">
        <f t="shared" si="8"/>
        <v>0.8571428571428571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0.8571428571428571</v>
      </c>
      <c r="AA16" s="17">
        <f t="shared" si="8"/>
        <v>0</v>
      </c>
      <c r="AB16" s="17">
        <f t="shared" si="8"/>
        <v>0.2857142857142857</v>
      </c>
      <c r="AC16" s="17">
        <f t="shared" si="8"/>
        <v>45.285714285714285</v>
      </c>
      <c r="AD16" s="17">
        <f t="shared" si="8"/>
        <v>0</v>
      </c>
      <c r="AE16" s="31">
        <f t="shared" si="8"/>
        <v>8.9999999999999982</v>
      </c>
      <c r="AF16" s="31">
        <f t="shared" si="8"/>
        <v>54.285714285714278</v>
      </c>
    </row>
    <row r="17" spans="2:32" ht="23.1" customHeight="1" x14ac:dyDescent="0.25">
      <c r="B17" s="23" t="s">
        <v>44</v>
      </c>
      <c r="C17" s="49">
        <f>AVERAGE('17.10 MITYANA-KANONI'!C17,'18.10 MITYANA-KANONI-24h'!C17,'19.10 MITYANA-KANONI-24h'!C17,'20.10 MITYANA-KANONI'!C17,'21.10 MITYANA-KANONI'!C17,'22.10 MITYANA-KANONI'!C17,'23.10 MITYANA-KANONI'!C17)</f>
        <v>0.2857142857142857</v>
      </c>
      <c r="D17" s="49">
        <f>AVERAGE('17.10 MITYANA-KANONI'!D17,'18.10 MITYANA-KANONI-24h'!D17,'19.10 MITYANA-KANONI-24h'!D17,'20.10 MITYANA-KANONI'!D17,'21.10 MITYANA-KANONI'!D17,'22.10 MITYANA-KANONI'!D17,'23.10 MITYANA-KANONI'!D17)</f>
        <v>0</v>
      </c>
      <c r="E17" s="49">
        <f>AVERAGE('17.10 MITYANA-KANONI'!E17,'18.10 MITYANA-KANONI-24h'!E17,'19.10 MITYANA-KANONI-24h'!E17,'20.10 MITYANA-KANONI'!E17,'21.10 MITYANA-KANONI'!E17,'22.10 MITYANA-KANONI'!E17,'23.10 MITYANA-KANONI'!E17)</f>
        <v>0.5714285714285714</v>
      </c>
      <c r="F17" s="49">
        <f>AVERAGE('17.10 MITYANA-KANONI'!F17,'18.10 MITYANA-KANONI-24h'!F17,'19.10 MITYANA-KANONI-24h'!F17,'20.10 MITYANA-KANONI'!F17,'21.10 MITYANA-KANONI'!F17,'22.10 MITYANA-KANONI'!F17,'23.10 MITYANA-KANONI'!F17)</f>
        <v>0</v>
      </c>
      <c r="G17" s="49">
        <f>AVERAGE('17.10 MITYANA-KANONI'!G17,'18.10 MITYANA-KANONI-24h'!G17,'19.10 MITYANA-KANONI-24h'!G17,'20.10 MITYANA-KANONI'!G17,'21.10 MITYANA-KANONI'!G17,'22.10 MITYANA-KANONI'!G17,'23.10 MITYANA-KANONI'!G17)</f>
        <v>0</v>
      </c>
      <c r="H17" s="49">
        <f>AVERAGE('17.10 MITYANA-KANONI'!H17,'18.10 MITYANA-KANONI-24h'!H17,'19.10 MITYANA-KANONI-24h'!H17,'20.10 MITYANA-KANONI'!H17,'21.10 MITYANA-KANONI'!H17,'22.10 MITYANA-KANONI'!H17,'23.10 MITYANA-KANONI'!H17)</f>
        <v>0</v>
      </c>
      <c r="I17" s="49">
        <f>AVERAGE('17.10 MITYANA-KANONI'!I17,'18.10 MITYANA-KANONI-24h'!I17,'19.10 MITYANA-KANONI-24h'!I17,'20.10 MITYANA-KANONI'!I17,'21.10 MITYANA-KANONI'!I17,'22.10 MITYANA-KANONI'!I17,'23.10 MITYANA-KANONI'!I17)</f>
        <v>0.42857142857142855</v>
      </c>
      <c r="J17" s="49">
        <f>AVERAGE('17.10 MITYANA-KANONI'!J17,'18.10 MITYANA-KANONI-24h'!J17,'19.10 MITYANA-KANONI-24h'!J17,'20.10 MITYANA-KANONI'!J17,'21.10 MITYANA-KANONI'!J17,'22.10 MITYANA-KANONI'!J17,'23.10 MITYANA-KANONI'!J17)</f>
        <v>0.14285714285714285</v>
      </c>
      <c r="K17" s="49">
        <f>AVERAGE('17.10 MITYANA-KANONI'!K17,'18.10 MITYANA-KANONI-24h'!K17,'19.10 MITYANA-KANONI-24h'!K17,'20.10 MITYANA-KANONI'!K17,'21.10 MITYANA-KANONI'!K17,'22.10 MITYANA-KANONI'!K17,'23.10 MITYANA-KANONI'!K17)</f>
        <v>0</v>
      </c>
      <c r="L17" s="49">
        <f>AVERAGE('17.10 MITYANA-KANONI'!L17,'18.10 MITYANA-KANONI-24h'!L17,'19.10 MITYANA-KANONI-24h'!L17,'20.10 MITYANA-KANONI'!L17,'21.10 MITYANA-KANONI'!L17,'22.10 MITYANA-KANONI'!L17,'23.10 MITYANA-KANONI'!L17)</f>
        <v>0</v>
      </c>
      <c r="M17" s="49">
        <f>AVERAGE('17.10 MITYANA-KANONI'!M17,'18.10 MITYANA-KANONI-24h'!M17,'19.10 MITYANA-KANONI-24h'!M17,'20.10 MITYANA-KANONI'!M17,'21.10 MITYANA-KANONI'!M17,'22.10 MITYANA-KANONI'!M17,'23.10 MITYANA-KANONI'!M17)</f>
        <v>10.142857142857142</v>
      </c>
      <c r="N17" s="49">
        <f>AVERAGE('17.10 MITYANA-KANONI'!N17,'18.10 MITYANA-KANONI-24h'!N17,'19.10 MITYANA-KANONI-24h'!N17,'20.10 MITYANA-KANONI'!N17,'21.10 MITYANA-KANONI'!N17,'22.10 MITYANA-KANONI'!N17,'23.10 MITYANA-KANONI'!N17)</f>
        <v>0</v>
      </c>
      <c r="O17" s="15">
        <f t="shared" si="0"/>
        <v>1.4285714285714284</v>
      </c>
      <c r="P17" s="15">
        <f t="shared" si="1"/>
        <v>11.571428571428571</v>
      </c>
      <c r="R17" s="1" t="s">
        <v>13</v>
      </c>
      <c r="S17" s="17">
        <f t="shared" ref="S17:AF17" si="9">SUM(C38:C41)</f>
        <v>2.8571428571428568</v>
      </c>
      <c r="T17" s="17">
        <f t="shared" si="9"/>
        <v>0.2857142857142857</v>
      </c>
      <c r="U17" s="17">
        <f t="shared" si="9"/>
        <v>0.2857142857142857</v>
      </c>
      <c r="V17" s="17">
        <f t="shared" si="9"/>
        <v>0.5714285714285714</v>
      </c>
      <c r="W17" s="17">
        <f t="shared" si="9"/>
        <v>0</v>
      </c>
      <c r="X17" s="17">
        <f t="shared" si="9"/>
        <v>0</v>
      </c>
      <c r="Y17" s="17">
        <f t="shared" si="9"/>
        <v>1.5714285714285712</v>
      </c>
      <c r="Z17" s="17">
        <f t="shared" si="9"/>
        <v>0.99999999999999989</v>
      </c>
      <c r="AA17" s="17">
        <f t="shared" si="9"/>
        <v>0.14285714285714285</v>
      </c>
      <c r="AB17" s="17">
        <f t="shared" si="9"/>
        <v>0.42857142857142855</v>
      </c>
      <c r="AC17" s="17">
        <f t="shared" si="9"/>
        <v>45.285714285714278</v>
      </c>
      <c r="AD17" s="17">
        <f t="shared" si="9"/>
        <v>0</v>
      </c>
      <c r="AE17" s="31">
        <f t="shared" si="9"/>
        <v>7.1428571428571415</v>
      </c>
      <c r="AF17" s="31">
        <f t="shared" si="9"/>
        <v>52.428571428571431</v>
      </c>
    </row>
    <row r="18" spans="2:32" ht="23.1" customHeight="1" x14ac:dyDescent="0.25">
      <c r="B18" s="23" t="s">
        <v>45</v>
      </c>
      <c r="C18" s="49">
        <f>AVERAGE('17.10 MITYANA-KANONI'!C18,'18.10 MITYANA-KANONI-24h'!C18,'19.10 MITYANA-KANONI-24h'!C18,'20.10 MITYANA-KANONI'!C18,'21.10 MITYANA-KANONI'!C18,'22.10 MITYANA-KANONI'!C18,'23.10 MITYANA-KANONI'!C18)</f>
        <v>0.2857142857142857</v>
      </c>
      <c r="D18" s="49">
        <f>AVERAGE('17.10 MITYANA-KANONI'!D18,'18.10 MITYANA-KANONI-24h'!D18,'19.10 MITYANA-KANONI-24h'!D18,'20.10 MITYANA-KANONI'!D18,'21.10 MITYANA-KANONI'!D18,'22.10 MITYANA-KANONI'!D18,'23.10 MITYANA-KANONI'!D18)</f>
        <v>0.14285714285714285</v>
      </c>
      <c r="E18" s="49">
        <f>AVERAGE('17.10 MITYANA-KANONI'!E18,'18.10 MITYANA-KANONI-24h'!E18,'19.10 MITYANA-KANONI-24h'!E18,'20.10 MITYANA-KANONI'!E18,'21.10 MITYANA-KANONI'!E18,'22.10 MITYANA-KANONI'!E18,'23.10 MITYANA-KANONI'!E18)</f>
        <v>0.14285714285714285</v>
      </c>
      <c r="F18" s="49">
        <f>AVERAGE('17.10 MITYANA-KANONI'!F18,'18.10 MITYANA-KANONI-24h'!F18,'19.10 MITYANA-KANONI-24h'!F18,'20.10 MITYANA-KANONI'!F18,'21.10 MITYANA-KANONI'!F18,'22.10 MITYANA-KANONI'!F18,'23.10 MITYANA-KANONI'!F18)</f>
        <v>0.14285714285714285</v>
      </c>
      <c r="G18" s="49">
        <f>AVERAGE('17.10 MITYANA-KANONI'!G18,'18.10 MITYANA-KANONI-24h'!G18,'19.10 MITYANA-KANONI-24h'!G18,'20.10 MITYANA-KANONI'!G18,'21.10 MITYANA-KANONI'!G18,'22.10 MITYANA-KANONI'!G18,'23.10 MITYANA-KANONI'!G18)</f>
        <v>0</v>
      </c>
      <c r="H18" s="49">
        <f>AVERAGE('17.10 MITYANA-KANONI'!H18,'18.10 MITYANA-KANONI-24h'!H18,'19.10 MITYANA-KANONI-24h'!H18,'20.10 MITYANA-KANONI'!H18,'21.10 MITYANA-KANONI'!H18,'22.10 MITYANA-KANONI'!H18,'23.10 MITYANA-KANONI'!H18)</f>
        <v>0</v>
      </c>
      <c r="I18" s="49">
        <f>AVERAGE('17.10 MITYANA-KANONI'!I18,'18.10 MITYANA-KANONI-24h'!I18,'19.10 MITYANA-KANONI-24h'!I18,'20.10 MITYANA-KANONI'!I18,'21.10 MITYANA-KANONI'!I18,'22.10 MITYANA-KANONI'!I18,'23.10 MITYANA-KANONI'!I18)</f>
        <v>1</v>
      </c>
      <c r="J18" s="49">
        <f>AVERAGE('17.10 MITYANA-KANONI'!J18,'18.10 MITYANA-KANONI-24h'!J18,'19.10 MITYANA-KANONI-24h'!J18,'20.10 MITYANA-KANONI'!J18,'21.10 MITYANA-KANONI'!J18,'22.10 MITYANA-KANONI'!J18,'23.10 MITYANA-KANONI'!J18)</f>
        <v>0.2857142857142857</v>
      </c>
      <c r="K18" s="49">
        <f>AVERAGE('17.10 MITYANA-KANONI'!K18,'18.10 MITYANA-KANONI-24h'!K18,'19.10 MITYANA-KANONI-24h'!K18,'20.10 MITYANA-KANONI'!K18,'21.10 MITYANA-KANONI'!K18,'22.10 MITYANA-KANONI'!K18,'23.10 MITYANA-KANONI'!K18)</f>
        <v>0</v>
      </c>
      <c r="L18" s="49">
        <f>AVERAGE('17.10 MITYANA-KANONI'!L18,'18.10 MITYANA-KANONI-24h'!L18,'19.10 MITYANA-KANONI-24h'!L18,'20.10 MITYANA-KANONI'!L18,'21.10 MITYANA-KANONI'!L18,'22.10 MITYANA-KANONI'!L18,'23.10 MITYANA-KANONI'!L18)</f>
        <v>0</v>
      </c>
      <c r="M18" s="49">
        <f>AVERAGE('17.10 MITYANA-KANONI'!M18,'18.10 MITYANA-KANONI-24h'!M18,'19.10 MITYANA-KANONI-24h'!M18,'20.10 MITYANA-KANONI'!M18,'21.10 MITYANA-KANONI'!M18,'22.10 MITYANA-KANONI'!M18,'23.10 MITYANA-KANONI'!M18)</f>
        <v>11.428571428571429</v>
      </c>
      <c r="N18" s="49">
        <f>AVERAGE('17.10 MITYANA-KANONI'!N18,'18.10 MITYANA-KANONI-24h'!N18,'19.10 MITYANA-KANONI-24h'!N18,'20.10 MITYANA-KANONI'!N18,'21.10 MITYANA-KANONI'!N18,'22.10 MITYANA-KANONI'!N18,'23.10 MITYANA-KANONI'!N18)</f>
        <v>0</v>
      </c>
      <c r="O18" s="15">
        <f t="shared" si="0"/>
        <v>2</v>
      </c>
      <c r="P18" s="15">
        <f t="shared" si="1"/>
        <v>13.428571428571429</v>
      </c>
      <c r="R18" s="1" t="s">
        <v>14</v>
      </c>
      <c r="S18" s="17">
        <f t="shared" ref="S18:AF18" si="10">SUM(C42:C45)</f>
        <v>1.7142857142857144</v>
      </c>
      <c r="T18" s="17">
        <f t="shared" si="10"/>
        <v>0.71428571428571419</v>
      </c>
      <c r="U18" s="17">
        <f t="shared" si="10"/>
        <v>0.42857142857142855</v>
      </c>
      <c r="V18" s="17">
        <f t="shared" si="10"/>
        <v>0.71428571428571419</v>
      </c>
      <c r="W18" s="17">
        <f t="shared" si="10"/>
        <v>0</v>
      </c>
      <c r="X18" s="17">
        <f t="shared" si="10"/>
        <v>0</v>
      </c>
      <c r="Y18" s="17">
        <f t="shared" si="10"/>
        <v>2.1428571428571428</v>
      </c>
      <c r="Z18" s="17">
        <f t="shared" si="10"/>
        <v>0.71428571428571419</v>
      </c>
      <c r="AA18" s="17">
        <f t="shared" si="10"/>
        <v>0</v>
      </c>
      <c r="AB18" s="17">
        <f t="shared" si="10"/>
        <v>0</v>
      </c>
      <c r="AC18" s="17">
        <f t="shared" si="10"/>
        <v>46.714285714285715</v>
      </c>
      <c r="AD18" s="17">
        <f t="shared" si="10"/>
        <v>0</v>
      </c>
      <c r="AE18" s="31">
        <f t="shared" si="10"/>
        <v>6.4285714285714279</v>
      </c>
      <c r="AF18" s="31">
        <f t="shared" si="10"/>
        <v>53.142857142857139</v>
      </c>
    </row>
    <row r="19" spans="2:32" ht="23.1" customHeight="1" x14ac:dyDescent="0.25">
      <c r="B19" s="23" t="s">
        <v>46</v>
      </c>
      <c r="C19" s="49">
        <f>AVERAGE('17.10 MITYANA-KANONI'!C19,'18.10 MITYANA-KANONI-24h'!C19,'19.10 MITYANA-KANONI-24h'!C19,'20.10 MITYANA-KANONI'!C19,'21.10 MITYANA-KANONI'!C19,'22.10 MITYANA-KANONI'!C19,'23.10 MITYANA-KANONI'!C19)</f>
        <v>0.2857142857142857</v>
      </c>
      <c r="D19" s="49">
        <f>AVERAGE('17.10 MITYANA-KANONI'!D19,'18.10 MITYANA-KANONI-24h'!D19,'19.10 MITYANA-KANONI-24h'!D19,'20.10 MITYANA-KANONI'!D19,'21.10 MITYANA-KANONI'!D19,'22.10 MITYANA-KANONI'!D19,'23.10 MITYANA-KANONI'!D19)</f>
        <v>0</v>
      </c>
      <c r="E19" s="49">
        <f>AVERAGE('17.10 MITYANA-KANONI'!E19,'18.10 MITYANA-KANONI-24h'!E19,'19.10 MITYANA-KANONI-24h'!E19,'20.10 MITYANA-KANONI'!E19,'21.10 MITYANA-KANONI'!E19,'22.10 MITYANA-KANONI'!E19,'23.10 MITYANA-KANONI'!E19)</f>
        <v>0.2857142857142857</v>
      </c>
      <c r="F19" s="49">
        <f>AVERAGE('17.10 MITYANA-KANONI'!F19,'18.10 MITYANA-KANONI-24h'!F19,'19.10 MITYANA-KANONI-24h'!F19,'20.10 MITYANA-KANONI'!F19,'21.10 MITYANA-KANONI'!F19,'22.10 MITYANA-KANONI'!F19,'23.10 MITYANA-KANONI'!F19)</f>
        <v>0</v>
      </c>
      <c r="G19" s="49">
        <f>AVERAGE('17.10 MITYANA-KANONI'!G19,'18.10 MITYANA-KANONI-24h'!G19,'19.10 MITYANA-KANONI-24h'!G19,'20.10 MITYANA-KANONI'!G19,'21.10 MITYANA-KANONI'!G19,'22.10 MITYANA-KANONI'!G19,'23.10 MITYANA-KANONI'!G19)</f>
        <v>0</v>
      </c>
      <c r="H19" s="49">
        <f>AVERAGE('17.10 MITYANA-KANONI'!H19,'18.10 MITYANA-KANONI-24h'!H19,'19.10 MITYANA-KANONI-24h'!H19,'20.10 MITYANA-KANONI'!H19,'21.10 MITYANA-KANONI'!H19,'22.10 MITYANA-KANONI'!H19,'23.10 MITYANA-KANONI'!H19)</f>
        <v>0</v>
      </c>
      <c r="I19" s="49">
        <f>AVERAGE('17.10 MITYANA-KANONI'!I19,'18.10 MITYANA-KANONI-24h'!I19,'19.10 MITYANA-KANONI-24h'!I19,'20.10 MITYANA-KANONI'!I19,'21.10 MITYANA-KANONI'!I19,'22.10 MITYANA-KANONI'!I19,'23.10 MITYANA-KANONI'!I19)</f>
        <v>0.14285714285714285</v>
      </c>
      <c r="J19" s="49">
        <f>AVERAGE('17.10 MITYANA-KANONI'!J19,'18.10 MITYANA-KANONI-24h'!J19,'19.10 MITYANA-KANONI-24h'!J19,'20.10 MITYANA-KANONI'!J19,'21.10 MITYANA-KANONI'!J19,'22.10 MITYANA-KANONI'!J19,'23.10 MITYANA-KANONI'!J19)</f>
        <v>0.14285714285714285</v>
      </c>
      <c r="K19" s="49">
        <f>AVERAGE('17.10 MITYANA-KANONI'!K19,'18.10 MITYANA-KANONI-24h'!K19,'19.10 MITYANA-KANONI-24h'!K19,'20.10 MITYANA-KANONI'!K19,'21.10 MITYANA-KANONI'!K19,'22.10 MITYANA-KANONI'!K19,'23.10 MITYANA-KANONI'!K19)</f>
        <v>0</v>
      </c>
      <c r="L19" s="49">
        <f>AVERAGE('17.10 MITYANA-KANONI'!L19,'18.10 MITYANA-KANONI-24h'!L19,'19.10 MITYANA-KANONI-24h'!L19,'20.10 MITYANA-KANONI'!L19,'21.10 MITYANA-KANONI'!L19,'22.10 MITYANA-KANONI'!L19,'23.10 MITYANA-KANONI'!L19)</f>
        <v>0</v>
      </c>
      <c r="M19" s="49">
        <f>AVERAGE('17.10 MITYANA-KANONI'!M19,'18.10 MITYANA-KANONI-24h'!M19,'19.10 MITYANA-KANONI-24h'!M19,'20.10 MITYANA-KANONI'!M19,'21.10 MITYANA-KANONI'!M19,'22.10 MITYANA-KANONI'!M19,'23.10 MITYANA-KANONI'!M19)</f>
        <v>12.857142857142858</v>
      </c>
      <c r="N19" s="49">
        <f>AVERAGE('17.10 MITYANA-KANONI'!N19,'18.10 MITYANA-KANONI-24h'!N19,'19.10 MITYANA-KANONI-24h'!N19,'20.10 MITYANA-KANONI'!N19,'21.10 MITYANA-KANONI'!N19,'22.10 MITYANA-KANONI'!N19,'23.10 MITYANA-KANONI'!N19)</f>
        <v>0</v>
      </c>
      <c r="O19" s="15">
        <f t="shared" si="0"/>
        <v>0.85714285714285698</v>
      </c>
      <c r="P19" s="15">
        <f t="shared" si="1"/>
        <v>13.714285714285715</v>
      </c>
      <c r="R19" s="1" t="s">
        <v>15</v>
      </c>
      <c r="S19" s="17">
        <f t="shared" ref="S19:AF19" si="11">SUM(C46:C49)</f>
        <v>2</v>
      </c>
      <c r="T19" s="17">
        <f t="shared" si="11"/>
        <v>0.42857142857142855</v>
      </c>
      <c r="U19" s="17">
        <f t="shared" si="11"/>
        <v>1.1428571428571428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3.8571428571428568</v>
      </c>
      <c r="Z19" s="17">
        <f t="shared" si="11"/>
        <v>0.8571428571428571</v>
      </c>
      <c r="AA19" s="17">
        <f t="shared" si="11"/>
        <v>0.42857142857142855</v>
      </c>
      <c r="AB19" s="17">
        <f t="shared" si="11"/>
        <v>0</v>
      </c>
      <c r="AC19" s="17">
        <f t="shared" si="11"/>
        <v>50.285714285714285</v>
      </c>
      <c r="AD19" s="17">
        <f t="shared" si="11"/>
        <v>0</v>
      </c>
      <c r="AE19" s="31">
        <f t="shared" si="11"/>
        <v>9.7142857142857135</v>
      </c>
      <c r="AF19" s="31">
        <f t="shared" si="11"/>
        <v>59.999999999999993</v>
      </c>
    </row>
    <row r="20" spans="2:32" ht="23.1" customHeight="1" x14ac:dyDescent="0.25">
      <c r="B20" s="23" t="s">
        <v>47</v>
      </c>
      <c r="C20" s="49">
        <f>AVERAGE('17.10 MITYANA-KANONI'!C20,'18.10 MITYANA-KANONI-24h'!C20,'19.10 MITYANA-KANONI-24h'!C20,'20.10 MITYANA-KANONI'!C20,'21.10 MITYANA-KANONI'!C20,'22.10 MITYANA-KANONI'!C20,'23.10 MITYANA-KANONI'!C20)</f>
        <v>1.4285714285714286</v>
      </c>
      <c r="D20" s="49">
        <f>AVERAGE('17.10 MITYANA-KANONI'!D20,'18.10 MITYANA-KANONI-24h'!D20,'19.10 MITYANA-KANONI-24h'!D20,'20.10 MITYANA-KANONI'!D20,'21.10 MITYANA-KANONI'!D20,'22.10 MITYANA-KANONI'!D20,'23.10 MITYANA-KANONI'!D20)</f>
        <v>0.14285714285714285</v>
      </c>
      <c r="E20" s="49">
        <f>AVERAGE('17.10 MITYANA-KANONI'!E20,'18.10 MITYANA-KANONI-24h'!E20,'19.10 MITYANA-KANONI-24h'!E20,'20.10 MITYANA-KANONI'!E20,'21.10 MITYANA-KANONI'!E20,'22.10 MITYANA-KANONI'!E20,'23.10 MITYANA-KANONI'!E20)</f>
        <v>0.14285714285714285</v>
      </c>
      <c r="F20" s="49">
        <f>AVERAGE('17.10 MITYANA-KANONI'!F20,'18.10 MITYANA-KANONI-24h'!F20,'19.10 MITYANA-KANONI-24h'!F20,'20.10 MITYANA-KANONI'!F20,'21.10 MITYANA-KANONI'!F20,'22.10 MITYANA-KANONI'!F20,'23.10 MITYANA-KANONI'!F20)</f>
        <v>0.14285714285714285</v>
      </c>
      <c r="G20" s="49">
        <f>AVERAGE('17.10 MITYANA-KANONI'!G20,'18.10 MITYANA-KANONI-24h'!G20,'19.10 MITYANA-KANONI-24h'!G20,'20.10 MITYANA-KANONI'!G20,'21.10 MITYANA-KANONI'!G20,'22.10 MITYANA-KANONI'!G20,'23.10 MITYANA-KANONI'!G20)</f>
        <v>0</v>
      </c>
      <c r="H20" s="49">
        <f>AVERAGE('17.10 MITYANA-KANONI'!H20,'18.10 MITYANA-KANONI-24h'!H20,'19.10 MITYANA-KANONI-24h'!H20,'20.10 MITYANA-KANONI'!H20,'21.10 MITYANA-KANONI'!H20,'22.10 MITYANA-KANONI'!H20,'23.10 MITYANA-KANONI'!H20)</f>
        <v>0</v>
      </c>
      <c r="I20" s="49">
        <f>AVERAGE('17.10 MITYANA-KANONI'!I20,'18.10 MITYANA-KANONI-24h'!I20,'19.10 MITYANA-KANONI-24h'!I20,'20.10 MITYANA-KANONI'!I20,'21.10 MITYANA-KANONI'!I20,'22.10 MITYANA-KANONI'!I20,'23.10 MITYANA-KANONI'!I20)</f>
        <v>0.2857142857142857</v>
      </c>
      <c r="J20" s="49">
        <f>AVERAGE('17.10 MITYANA-KANONI'!J20,'18.10 MITYANA-KANONI-24h'!J20,'19.10 MITYANA-KANONI-24h'!J20,'20.10 MITYANA-KANONI'!J20,'21.10 MITYANA-KANONI'!J20,'22.10 MITYANA-KANONI'!J20,'23.10 MITYANA-KANONI'!J20)</f>
        <v>0.14285714285714285</v>
      </c>
      <c r="K20" s="49">
        <f>AVERAGE('17.10 MITYANA-KANONI'!K20,'18.10 MITYANA-KANONI-24h'!K20,'19.10 MITYANA-KANONI-24h'!K20,'20.10 MITYANA-KANONI'!K20,'21.10 MITYANA-KANONI'!K20,'22.10 MITYANA-KANONI'!K20,'23.10 MITYANA-KANONI'!K20)</f>
        <v>0</v>
      </c>
      <c r="L20" s="49">
        <f>AVERAGE('17.10 MITYANA-KANONI'!L20,'18.10 MITYANA-KANONI-24h'!L20,'19.10 MITYANA-KANONI-24h'!L20,'20.10 MITYANA-KANONI'!L20,'21.10 MITYANA-KANONI'!L20,'22.10 MITYANA-KANONI'!L20,'23.10 MITYANA-KANONI'!L20)</f>
        <v>0</v>
      </c>
      <c r="M20" s="49">
        <f>AVERAGE('17.10 MITYANA-KANONI'!M20,'18.10 MITYANA-KANONI-24h'!M20,'19.10 MITYANA-KANONI-24h'!M20,'20.10 MITYANA-KANONI'!M20,'21.10 MITYANA-KANONI'!M20,'22.10 MITYANA-KANONI'!M20,'23.10 MITYANA-KANONI'!M20)</f>
        <v>12.142857142857142</v>
      </c>
      <c r="N20" s="49">
        <f>AVERAGE('17.10 MITYANA-KANONI'!N20,'18.10 MITYANA-KANONI-24h'!N20,'19.10 MITYANA-KANONI-24h'!N20,'20.10 MITYANA-KANONI'!N20,'21.10 MITYANA-KANONI'!N20,'22.10 MITYANA-KANONI'!N20,'23.10 MITYANA-KANONI'!N20)</f>
        <v>0</v>
      </c>
      <c r="O20" s="15">
        <f t="shared" si="0"/>
        <v>2.2857142857142856</v>
      </c>
      <c r="P20" s="15">
        <f t="shared" si="1"/>
        <v>14.428571428571427</v>
      </c>
      <c r="R20" s="1" t="s">
        <v>16</v>
      </c>
      <c r="S20" s="17">
        <f t="shared" ref="S20:AF20" si="12">SUM(C50:C53)</f>
        <v>2.8571428571428572</v>
      </c>
      <c r="T20" s="17">
        <f t="shared" si="12"/>
        <v>0.42857142857142855</v>
      </c>
      <c r="U20" s="17">
        <f t="shared" si="12"/>
        <v>0.71428571428571419</v>
      </c>
      <c r="V20" s="17">
        <f t="shared" si="12"/>
        <v>0.71428571428571419</v>
      </c>
      <c r="W20" s="17">
        <f t="shared" si="12"/>
        <v>0</v>
      </c>
      <c r="X20" s="17">
        <f t="shared" si="12"/>
        <v>0.14285714285714285</v>
      </c>
      <c r="Y20" s="17">
        <f t="shared" si="12"/>
        <v>2</v>
      </c>
      <c r="Z20" s="17">
        <f t="shared" si="12"/>
        <v>0.71428571428571419</v>
      </c>
      <c r="AA20" s="17">
        <f t="shared" si="12"/>
        <v>0.14285714285714285</v>
      </c>
      <c r="AB20" s="17">
        <f t="shared" si="12"/>
        <v>0</v>
      </c>
      <c r="AC20" s="17">
        <f t="shared" si="12"/>
        <v>56</v>
      </c>
      <c r="AD20" s="17">
        <f t="shared" si="12"/>
        <v>0</v>
      </c>
      <c r="AE20" s="31">
        <f t="shared" si="12"/>
        <v>7.7142857142857135</v>
      </c>
      <c r="AF20" s="31">
        <f t="shared" si="12"/>
        <v>63.714285714285708</v>
      </c>
    </row>
    <row r="21" spans="2:32" ht="23.1" customHeight="1" x14ac:dyDescent="0.25">
      <c r="B21" s="23" t="s">
        <v>48</v>
      </c>
      <c r="C21" s="49">
        <f>AVERAGE('17.10 MITYANA-KANONI'!C21,'18.10 MITYANA-KANONI-24h'!C21,'19.10 MITYANA-KANONI-24h'!C21,'20.10 MITYANA-KANONI'!C21,'21.10 MITYANA-KANONI'!C21,'22.10 MITYANA-KANONI'!C21,'23.10 MITYANA-KANONI'!C21)</f>
        <v>1.4285714285714286</v>
      </c>
      <c r="D21" s="49">
        <f>AVERAGE('17.10 MITYANA-KANONI'!D21,'18.10 MITYANA-KANONI-24h'!D21,'19.10 MITYANA-KANONI-24h'!D21,'20.10 MITYANA-KANONI'!D21,'21.10 MITYANA-KANONI'!D21,'22.10 MITYANA-KANONI'!D21,'23.10 MITYANA-KANONI'!D21)</f>
        <v>0</v>
      </c>
      <c r="E21" s="49">
        <f>AVERAGE('17.10 MITYANA-KANONI'!E21,'18.10 MITYANA-KANONI-24h'!E21,'19.10 MITYANA-KANONI-24h'!E21,'20.10 MITYANA-KANONI'!E21,'21.10 MITYANA-KANONI'!E21,'22.10 MITYANA-KANONI'!E21,'23.10 MITYANA-KANONI'!E21)</f>
        <v>0</v>
      </c>
      <c r="F21" s="49">
        <f>AVERAGE('17.10 MITYANA-KANONI'!F21,'18.10 MITYANA-KANONI-24h'!F21,'19.10 MITYANA-KANONI-24h'!F21,'20.10 MITYANA-KANONI'!F21,'21.10 MITYANA-KANONI'!F21,'22.10 MITYANA-KANONI'!F21,'23.10 MITYANA-KANONI'!F21)</f>
        <v>0.42857142857142855</v>
      </c>
      <c r="G21" s="49">
        <f>AVERAGE('17.10 MITYANA-KANONI'!G21,'18.10 MITYANA-KANONI-24h'!G21,'19.10 MITYANA-KANONI-24h'!G21,'20.10 MITYANA-KANONI'!G21,'21.10 MITYANA-KANONI'!G21,'22.10 MITYANA-KANONI'!G21,'23.10 MITYANA-KANONI'!G21)</f>
        <v>0</v>
      </c>
      <c r="H21" s="49">
        <f>AVERAGE('17.10 MITYANA-KANONI'!H21,'18.10 MITYANA-KANONI-24h'!H21,'19.10 MITYANA-KANONI-24h'!H21,'20.10 MITYANA-KANONI'!H21,'21.10 MITYANA-KANONI'!H21,'22.10 MITYANA-KANONI'!H21,'23.10 MITYANA-KANONI'!H21)</f>
        <v>0</v>
      </c>
      <c r="I21" s="49">
        <f>AVERAGE('17.10 MITYANA-KANONI'!I21,'18.10 MITYANA-KANONI-24h'!I21,'19.10 MITYANA-KANONI-24h'!I21,'20.10 MITYANA-KANONI'!I21,'21.10 MITYANA-KANONI'!I21,'22.10 MITYANA-KANONI'!I21,'23.10 MITYANA-KANONI'!I21)</f>
        <v>0.2857142857142857</v>
      </c>
      <c r="J21" s="49">
        <f>AVERAGE('17.10 MITYANA-KANONI'!J21,'18.10 MITYANA-KANONI-24h'!J21,'19.10 MITYANA-KANONI-24h'!J21,'20.10 MITYANA-KANONI'!J21,'21.10 MITYANA-KANONI'!J21,'22.10 MITYANA-KANONI'!J21,'23.10 MITYANA-KANONI'!J21)</f>
        <v>0</v>
      </c>
      <c r="K21" s="49">
        <f>AVERAGE('17.10 MITYANA-KANONI'!K21,'18.10 MITYANA-KANONI-24h'!K21,'19.10 MITYANA-KANONI-24h'!K21,'20.10 MITYANA-KANONI'!K21,'21.10 MITYANA-KANONI'!K21,'22.10 MITYANA-KANONI'!K21,'23.10 MITYANA-KANONI'!K21)</f>
        <v>0.42857142857142855</v>
      </c>
      <c r="L21" s="49">
        <f>AVERAGE('17.10 MITYANA-KANONI'!L21,'18.10 MITYANA-KANONI-24h'!L21,'19.10 MITYANA-KANONI-24h'!L21,'20.10 MITYANA-KANONI'!L21,'21.10 MITYANA-KANONI'!L21,'22.10 MITYANA-KANONI'!L21,'23.10 MITYANA-KANONI'!L21)</f>
        <v>0</v>
      </c>
      <c r="M21" s="49">
        <f>AVERAGE('17.10 MITYANA-KANONI'!M21,'18.10 MITYANA-KANONI-24h'!M21,'19.10 MITYANA-KANONI-24h'!M21,'20.10 MITYANA-KANONI'!M21,'21.10 MITYANA-KANONI'!M21,'22.10 MITYANA-KANONI'!M21,'23.10 MITYANA-KANONI'!M21)</f>
        <v>9.7142857142857135</v>
      </c>
      <c r="N21" s="49">
        <f>AVERAGE('17.10 MITYANA-KANONI'!N21,'18.10 MITYANA-KANONI-24h'!N21,'19.10 MITYANA-KANONI-24h'!N21,'20.10 MITYANA-KANONI'!N21,'21.10 MITYANA-KANONI'!N21,'22.10 MITYANA-KANONI'!N21,'23.10 MITYANA-KANONI'!N21)</f>
        <v>0</v>
      </c>
      <c r="O21" s="15">
        <f t="shared" si="0"/>
        <v>2.5714285714285712</v>
      </c>
      <c r="P21" s="15">
        <f t="shared" si="1"/>
        <v>12.285714285714285</v>
      </c>
      <c r="R21" s="36" t="s">
        <v>20</v>
      </c>
      <c r="S21" s="34">
        <f t="shared" ref="S21:AF21" si="13">SUM(C54:C57)</f>
        <v>2.4285714285714284</v>
      </c>
      <c r="T21" s="17">
        <f t="shared" si="13"/>
        <v>0.2857142857142857</v>
      </c>
      <c r="U21" s="17">
        <f t="shared" si="13"/>
        <v>0.5714285714285714</v>
      </c>
      <c r="V21" s="17">
        <f t="shared" si="13"/>
        <v>0.99999999999999989</v>
      </c>
      <c r="W21" s="17">
        <f t="shared" si="13"/>
        <v>0</v>
      </c>
      <c r="X21" s="17">
        <f t="shared" si="13"/>
        <v>0</v>
      </c>
      <c r="Y21" s="17">
        <f t="shared" si="13"/>
        <v>1.2857142857142856</v>
      </c>
      <c r="Z21" s="17">
        <f t="shared" si="13"/>
        <v>0.2857142857142857</v>
      </c>
      <c r="AA21" s="17">
        <f t="shared" si="13"/>
        <v>0</v>
      </c>
      <c r="AB21" s="17">
        <f t="shared" si="13"/>
        <v>0</v>
      </c>
      <c r="AC21" s="17">
        <f t="shared" si="13"/>
        <v>56.285714285714285</v>
      </c>
      <c r="AD21" s="17">
        <f t="shared" si="13"/>
        <v>0</v>
      </c>
      <c r="AE21" s="31">
        <f t="shared" si="13"/>
        <v>5.8571428571428568</v>
      </c>
      <c r="AF21" s="31">
        <f t="shared" si="13"/>
        <v>62.142857142857139</v>
      </c>
    </row>
    <row r="22" spans="2:32" ht="23.1" customHeight="1" x14ac:dyDescent="0.25">
      <c r="B22" s="23" t="s">
        <v>49</v>
      </c>
      <c r="C22" s="49">
        <f>AVERAGE('17.10 MITYANA-KANONI'!C22,'18.10 MITYANA-KANONI-24h'!C22,'19.10 MITYANA-KANONI-24h'!C22,'20.10 MITYANA-KANONI'!C22,'21.10 MITYANA-KANONI'!C22,'22.10 MITYANA-KANONI'!C22,'23.10 MITYANA-KANONI'!C22)</f>
        <v>0.5714285714285714</v>
      </c>
      <c r="D22" s="49">
        <f>AVERAGE('17.10 MITYANA-KANONI'!D22,'18.10 MITYANA-KANONI-24h'!D22,'19.10 MITYANA-KANONI-24h'!D22,'20.10 MITYANA-KANONI'!D22,'21.10 MITYANA-KANONI'!D22,'22.10 MITYANA-KANONI'!D22,'23.10 MITYANA-KANONI'!D22)</f>
        <v>0.14285714285714285</v>
      </c>
      <c r="E22" s="49">
        <f>AVERAGE('17.10 MITYANA-KANONI'!E22,'18.10 MITYANA-KANONI-24h'!E22,'19.10 MITYANA-KANONI-24h'!E22,'20.10 MITYANA-KANONI'!E22,'21.10 MITYANA-KANONI'!E22,'22.10 MITYANA-KANONI'!E22,'23.10 MITYANA-KANONI'!E22)</f>
        <v>0.14285714285714285</v>
      </c>
      <c r="F22" s="49">
        <f>AVERAGE('17.10 MITYANA-KANONI'!F22,'18.10 MITYANA-KANONI-24h'!F22,'19.10 MITYANA-KANONI-24h'!F22,'20.10 MITYANA-KANONI'!F22,'21.10 MITYANA-KANONI'!F22,'22.10 MITYANA-KANONI'!F22,'23.10 MITYANA-KANONI'!F22)</f>
        <v>0.14285714285714285</v>
      </c>
      <c r="G22" s="49">
        <f>AVERAGE('17.10 MITYANA-KANONI'!G22,'18.10 MITYANA-KANONI-24h'!G22,'19.10 MITYANA-KANONI-24h'!G22,'20.10 MITYANA-KANONI'!G22,'21.10 MITYANA-KANONI'!G22,'22.10 MITYANA-KANONI'!G22,'23.10 MITYANA-KANONI'!G22)</f>
        <v>0</v>
      </c>
      <c r="H22" s="49">
        <f>AVERAGE('17.10 MITYANA-KANONI'!H22,'18.10 MITYANA-KANONI-24h'!H22,'19.10 MITYANA-KANONI-24h'!H22,'20.10 MITYANA-KANONI'!H22,'21.10 MITYANA-KANONI'!H22,'22.10 MITYANA-KANONI'!H22,'23.10 MITYANA-KANONI'!H22)</f>
        <v>0</v>
      </c>
      <c r="I22" s="49">
        <f>AVERAGE('17.10 MITYANA-KANONI'!I22,'18.10 MITYANA-KANONI-24h'!I22,'19.10 MITYANA-KANONI-24h'!I22,'20.10 MITYANA-KANONI'!I22,'21.10 MITYANA-KANONI'!I22,'22.10 MITYANA-KANONI'!I22,'23.10 MITYANA-KANONI'!I22)</f>
        <v>0.42857142857142855</v>
      </c>
      <c r="J22" s="49">
        <f>AVERAGE('17.10 MITYANA-KANONI'!J22,'18.10 MITYANA-KANONI-24h'!J22,'19.10 MITYANA-KANONI-24h'!J22,'20.10 MITYANA-KANONI'!J22,'21.10 MITYANA-KANONI'!J22,'22.10 MITYANA-KANONI'!J22,'23.10 MITYANA-KANONI'!J22)</f>
        <v>0</v>
      </c>
      <c r="K22" s="49">
        <f>AVERAGE('17.10 MITYANA-KANONI'!K22,'18.10 MITYANA-KANONI-24h'!K22,'19.10 MITYANA-KANONI-24h'!K22,'20.10 MITYANA-KANONI'!K22,'21.10 MITYANA-KANONI'!K22,'22.10 MITYANA-KANONI'!K22,'23.10 MITYANA-KANONI'!K22)</f>
        <v>0</v>
      </c>
      <c r="L22" s="49">
        <f>AVERAGE('17.10 MITYANA-KANONI'!L22,'18.10 MITYANA-KANONI-24h'!L22,'19.10 MITYANA-KANONI-24h'!L22,'20.10 MITYANA-KANONI'!L22,'21.10 MITYANA-KANONI'!L22,'22.10 MITYANA-KANONI'!L22,'23.10 MITYANA-KANONI'!L22)</f>
        <v>0</v>
      </c>
      <c r="M22" s="49">
        <f>AVERAGE('17.10 MITYANA-KANONI'!M22,'18.10 MITYANA-KANONI-24h'!M22,'19.10 MITYANA-KANONI-24h'!M22,'20.10 MITYANA-KANONI'!M22,'21.10 MITYANA-KANONI'!M22,'22.10 MITYANA-KANONI'!M22,'23.10 MITYANA-KANONI'!M22)</f>
        <v>9.8571428571428577</v>
      </c>
      <c r="N22" s="49">
        <f>AVERAGE('17.10 MITYANA-KANONI'!N22,'18.10 MITYANA-KANONI-24h'!N22,'19.10 MITYANA-KANONI-24h'!N22,'20.10 MITYANA-KANONI'!N22,'21.10 MITYANA-KANONI'!N22,'22.10 MITYANA-KANONI'!N22,'23.10 MITYANA-KANONI'!N22)</f>
        <v>0</v>
      </c>
      <c r="O22" s="15">
        <f t="shared" si="0"/>
        <v>1.4285714285714284</v>
      </c>
      <c r="P22" s="15">
        <f t="shared" si="1"/>
        <v>11.285714285714286</v>
      </c>
      <c r="R22" s="1" t="s">
        <v>146</v>
      </c>
      <c r="S22" s="34">
        <f>SUM(C58:C61)</f>
        <v>4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50</v>
      </c>
      <c r="AD22" s="34">
        <f t="shared" si="14"/>
        <v>0</v>
      </c>
      <c r="AE22" s="31">
        <f t="shared" si="14"/>
        <v>4.5</v>
      </c>
      <c r="AF22" s="31">
        <f t="shared" si="14"/>
        <v>54.5</v>
      </c>
    </row>
    <row r="23" spans="2:32" ht="23.1" customHeight="1" x14ac:dyDescent="0.25">
      <c r="B23" s="23" t="s">
        <v>50</v>
      </c>
      <c r="C23" s="49">
        <f>AVERAGE('17.10 MITYANA-KANONI'!C23,'18.10 MITYANA-KANONI-24h'!C23,'19.10 MITYANA-KANONI-24h'!C23,'20.10 MITYANA-KANONI'!C23,'21.10 MITYANA-KANONI'!C23,'22.10 MITYANA-KANONI'!C23,'23.10 MITYANA-KANONI'!C23)</f>
        <v>0.7142857142857143</v>
      </c>
      <c r="D23" s="49">
        <f>AVERAGE('17.10 MITYANA-KANONI'!D23,'18.10 MITYANA-KANONI-24h'!D23,'19.10 MITYANA-KANONI-24h'!D23,'20.10 MITYANA-KANONI'!D23,'21.10 MITYANA-KANONI'!D23,'22.10 MITYANA-KANONI'!D23,'23.10 MITYANA-KANONI'!D23)</f>
        <v>0.14285714285714285</v>
      </c>
      <c r="E23" s="49">
        <f>AVERAGE('17.10 MITYANA-KANONI'!E23,'18.10 MITYANA-KANONI-24h'!E23,'19.10 MITYANA-KANONI-24h'!E23,'20.10 MITYANA-KANONI'!E23,'21.10 MITYANA-KANONI'!E23,'22.10 MITYANA-KANONI'!E23,'23.10 MITYANA-KANONI'!E23)</f>
        <v>0.5714285714285714</v>
      </c>
      <c r="F23" s="49">
        <f>AVERAGE('17.10 MITYANA-KANONI'!F23,'18.10 MITYANA-KANONI-24h'!F23,'19.10 MITYANA-KANONI-24h'!F23,'20.10 MITYANA-KANONI'!F23,'21.10 MITYANA-KANONI'!F23,'22.10 MITYANA-KANONI'!F23,'23.10 MITYANA-KANONI'!F23)</f>
        <v>0</v>
      </c>
      <c r="G23" s="49">
        <f>AVERAGE('17.10 MITYANA-KANONI'!G23,'18.10 MITYANA-KANONI-24h'!G23,'19.10 MITYANA-KANONI-24h'!G23,'20.10 MITYANA-KANONI'!G23,'21.10 MITYANA-KANONI'!G23,'22.10 MITYANA-KANONI'!G23,'23.10 MITYANA-KANONI'!G23)</f>
        <v>0</v>
      </c>
      <c r="H23" s="49">
        <f>AVERAGE('17.10 MITYANA-KANONI'!H23,'18.10 MITYANA-KANONI-24h'!H23,'19.10 MITYANA-KANONI-24h'!H23,'20.10 MITYANA-KANONI'!H23,'21.10 MITYANA-KANONI'!H23,'22.10 MITYANA-KANONI'!H23,'23.10 MITYANA-KANONI'!H23)</f>
        <v>0</v>
      </c>
      <c r="I23" s="49">
        <f>AVERAGE('17.10 MITYANA-KANONI'!I23,'18.10 MITYANA-KANONI-24h'!I23,'19.10 MITYANA-KANONI-24h'!I23,'20.10 MITYANA-KANONI'!I23,'21.10 MITYANA-KANONI'!I23,'22.10 MITYANA-KANONI'!I23,'23.10 MITYANA-KANONI'!I23)</f>
        <v>0.7142857142857143</v>
      </c>
      <c r="J23" s="49">
        <f>AVERAGE('17.10 MITYANA-KANONI'!J23,'18.10 MITYANA-KANONI-24h'!J23,'19.10 MITYANA-KANONI-24h'!J23,'20.10 MITYANA-KANONI'!J23,'21.10 MITYANA-KANONI'!J23,'22.10 MITYANA-KANONI'!J23,'23.10 MITYANA-KANONI'!J23)</f>
        <v>0.14285714285714285</v>
      </c>
      <c r="K23" s="49">
        <f>AVERAGE('17.10 MITYANA-KANONI'!K23,'18.10 MITYANA-KANONI-24h'!K23,'19.10 MITYANA-KANONI-24h'!K23,'20.10 MITYANA-KANONI'!K23,'21.10 MITYANA-KANONI'!K23,'22.10 MITYANA-KANONI'!K23,'23.10 MITYANA-KANONI'!K23)</f>
        <v>0</v>
      </c>
      <c r="L23" s="49">
        <f>AVERAGE('17.10 MITYANA-KANONI'!L23,'18.10 MITYANA-KANONI-24h'!L23,'19.10 MITYANA-KANONI-24h'!L23,'20.10 MITYANA-KANONI'!L23,'21.10 MITYANA-KANONI'!L23,'22.10 MITYANA-KANONI'!L23,'23.10 MITYANA-KANONI'!L23)</f>
        <v>0</v>
      </c>
      <c r="M23" s="49">
        <f>AVERAGE('17.10 MITYANA-KANONI'!M23,'18.10 MITYANA-KANONI-24h'!M23,'19.10 MITYANA-KANONI-24h'!M23,'20.10 MITYANA-KANONI'!M23,'21.10 MITYANA-KANONI'!M23,'22.10 MITYANA-KANONI'!M23,'23.10 MITYANA-KANONI'!M23)</f>
        <v>13</v>
      </c>
      <c r="N23" s="49">
        <f>AVERAGE('17.10 MITYANA-KANONI'!N23,'18.10 MITYANA-KANONI-24h'!N23,'19.10 MITYANA-KANONI-24h'!N23,'20.10 MITYANA-KANONI'!N23,'21.10 MITYANA-KANONI'!N23,'22.10 MITYANA-KANONI'!N23,'23.10 MITYANA-KANONI'!N23)</f>
        <v>0</v>
      </c>
      <c r="O23" s="15">
        <f t="shared" si="0"/>
        <v>2.2857142857142856</v>
      </c>
      <c r="P23" s="15">
        <f t="shared" si="1"/>
        <v>15.285714285714285</v>
      </c>
      <c r="R23" s="1" t="s">
        <v>147</v>
      </c>
      <c r="S23" s="34">
        <f>SUM(C62:C65)</f>
        <v>2.5</v>
      </c>
      <c r="T23" s="34">
        <f t="shared" ref="T23:AF23" si="15">SUM(D62:D65)</f>
        <v>0.5</v>
      </c>
      <c r="U23" s="34">
        <f t="shared" si="15"/>
        <v>1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30.5</v>
      </c>
      <c r="AD23" s="34">
        <f t="shared" si="15"/>
        <v>0</v>
      </c>
      <c r="AE23" s="31">
        <f t="shared" si="15"/>
        <v>4.5</v>
      </c>
      <c r="AF23" s="31">
        <f t="shared" si="15"/>
        <v>35</v>
      </c>
    </row>
    <row r="24" spans="2:32" ht="23.1" customHeight="1" x14ac:dyDescent="0.25">
      <c r="B24" s="23" t="s">
        <v>51</v>
      </c>
      <c r="C24" s="49">
        <f>AVERAGE('17.10 MITYANA-KANONI'!C24,'18.10 MITYANA-KANONI-24h'!C24,'19.10 MITYANA-KANONI-24h'!C24,'20.10 MITYANA-KANONI'!C24,'21.10 MITYANA-KANONI'!C24,'22.10 MITYANA-KANONI'!C24,'23.10 MITYANA-KANONI'!C24)</f>
        <v>1.1428571428571428</v>
      </c>
      <c r="D24" s="49">
        <f>AVERAGE('17.10 MITYANA-KANONI'!D24,'18.10 MITYANA-KANONI-24h'!D24,'19.10 MITYANA-KANONI-24h'!D24,'20.10 MITYANA-KANONI'!D24,'21.10 MITYANA-KANONI'!D24,'22.10 MITYANA-KANONI'!D24,'23.10 MITYANA-KANONI'!D24)</f>
        <v>0.2857142857142857</v>
      </c>
      <c r="E24" s="49">
        <f>AVERAGE('17.10 MITYANA-KANONI'!E24,'18.10 MITYANA-KANONI-24h'!E24,'19.10 MITYANA-KANONI-24h'!E24,'20.10 MITYANA-KANONI'!E24,'21.10 MITYANA-KANONI'!E24,'22.10 MITYANA-KANONI'!E24,'23.10 MITYANA-KANONI'!E24)</f>
        <v>0.2857142857142857</v>
      </c>
      <c r="F24" s="49">
        <f>AVERAGE('17.10 MITYANA-KANONI'!F24,'18.10 MITYANA-KANONI-24h'!F24,'19.10 MITYANA-KANONI-24h'!F24,'20.10 MITYANA-KANONI'!F24,'21.10 MITYANA-KANONI'!F24,'22.10 MITYANA-KANONI'!F24,'23.10 MITYANA-KANONI'!F24)</f>
        <v>0</v>
      </c>
      <c r="G24" s="49">
        <f>AVERAGE('17.10 MITYANA-KANONI'!G24,'18.10 MITYANA-KANONI-24h'!G24,'19.10 MITYANA-KANONI-24h'!G24,'20.10 MITYANA-KANONI'!G24,'21.10 MITYANA-KANONI'!G24,'22.10 MITYANA-KANONI'!G24,'23.10 MITYANA-KANONI'!G24)</f>
        <v>0</v>
      </c>
      <c r="H24" s="49">
        <f>AVERAGE('17.10 MITYANA-KANONI'!H24,'18.10 MITYANA-KANONI-24h'!H24,'19.10 MITYANA-KANONI-24h'!H24,'20.10 MITYANA-KANONI'!H24,'21.10 MITYANA-KANONI'!H24,'22.10 MITYANA-KANONI'!H24,'23.10 MITYANA-KANONI'!H24)</f>
        <v>0</v>
      </c>
      <c r="I24" s="49">
        <f>AVERAGE('17.10 MITYANA-KANONI'!I24,'18.10 MITYANA-KANONI-24h'!I24,'19.10 MITYANA-KANONI-24h'!I24,'20.10 MITYANA-KANONI'!I24,'21.10 MITYANA-KANONI'!I24,'22.10 MITYANA-KANONI'!I24,'23.10 MITYANA-KANONI'!I24)</f>
        <v>0.8571428571428571</v>
      </c>
      <c r="J24" s="49">
        <f>AVERAGE('17.10 MITYANA-KANONI'!J24,'18.10 MITYANA-KANONI-24h'!J24,'19.10 MITYANA-KANONI-24h'!J24,'20.10 MITYANA-KANONI'!J24,'21.10 MITYANA-KANONI'!J24,'22.10 MITYANA-KANONI'!J24,'23.10 MITYANA-KANONI'!J24)</f>
        <v>0.14285714285714285</v>
      </c>
      <c r="K24" s="49">
        <f>AVERAGE('17.10 MITYANA-KANONI'!K24,'18.10 MITYANA-KANONI-24h'!K24,'19.10 MITYANA-KANONI-24h'!K24,'20.10 MITYANA-KANONI'!K24,'21.10 MITYANA-KANONI'!K24,'22.10 MITYANA-KANONI'!K24,'23.10 MITYANA-KANONI'!K24)</f>
        <v>0</v>
      </c>
      <c r="L24" s="49">
        <f>AVERAGE('17.10 MITYANA-KANONI'!L24,'18.10 MITYANA-KANONI-24h'!L24,'19.10 MITYANA-KANONI-24h'!L24,'20.10 MITYANA-KANONI'!L24,'21.10 MITYANA-KANONI'!L24,'22.10 MITYANA-KANONI'!L24,'23.10 MITYANA-KANONI'!L24)</f>
        <v>0</v>
      </c>
      <c r="M24" s="49">
        <f>AVERAGE('17.10 MITYANA-KANONI'!M24,'18.10 MITYANA-KANONI-24h'!M24,'19.10 MITYANA-KANONI-24h'!M24,'20.10 MITYANA-KANONI'!M24,'21.10 MITYANA-KANONI'!M24,'22.10 MITYANA-KANONI'!M24,'23.10 MITYANA-KANONI'!M24)</f>
        <v>13.571428571428571</v>
      </c>
      <c r="N24" s="49">
        <f>AVERAGE('17.10 MITYANA-KANONI'!N24,'18.10 MITYANA-KANONI-24h'!N24,'19.10 MITYANA-KANONI-24h'!N24,'20.10 MITYANA-KANONI'!N24,'21.10 MITYANA-KANONI'!N24,'22.10 MITYANA-KANONI'!N24,'23.10 MITYANA-KANONI'!N24)</f>
        <v>0</v>
      </c>
      <c r="O24" s="15">
        <f t="shared" si="0"/>
        <v>2.714285714285714</v>
      </c>
      <c r="P24" s="15">
        <f t="shared" si="1"/>
        <v>16.285714285714285</v>
      </c>
      <c r="R24" s="1" t="s">
        <v>148</v>
      </c>
      <c r="S24" s="34">
        <f>SUM(C66:C69)</f>
        <v>2.5</v>
      </c>
      <c r="T24" s="34">
        <f t="shared" ref="T24:AF24" si="16">SUM(D66:D69)</f>
        <v>0</v>
      </c>
      <c r="U24" s="34">
        <f t="shared" si="16"/>
        <v>0.5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26</v>
      </c>
      <c r="AD24" s="34">
        <f t="shared" si="16"/>
        <v>0</v>
      </c>
      <c r="AE24" s="31">
        <f t="shared" si="16"/>
        <v>4.5</v>
      </c>
      <c r="AF24" s="31">
        <f t="shared" si="16"/>
        <v>30.5</v>
      </c>
    </row>
    <row r="25" spans="2:32" ht="23.1" customHeight="1" x14ac:dyDescent="0.25">
      <c r="B25" s="23" t="s">
        <v>52</v>
      </c>
      <c r="C25" s="49">
        <f>AVERAGE('17.10 MITYANA-KANONI'!C25,'18.10 MITYANA-KANONI-24h'!C25,'19.10 MITYANA-KANONI-24h'!C25,'20.10 MITYANA-KANONI'!C25,'21.10 MITYANA-KANONI'!C25,'22.10 MITYANA-KANONI'!C25,'23.10 MITYANA-KANONI'!C25)</f>
        <v>0.8571428571428571</v>
      </c>
      <c r="D25" s="49">
        <f>AVERAGE('17.10 MITYANA-KANONI'!D25,'18.10 MITYANA-KANONI-24h'!D25,'19.10 MITYANA-KANONI-24h'!D25,'20.10 MITYANA-KANONI'!D25,'21.10 MITYANA-KANONI'!D25,'22.10 MITYANA-KANONI'!D25,'23.10 MITYANA-KANONI'!D25)</f>
        <v>0.14285714285714285</v>
      </c>
      <c r="E25" s="49">
        <f>AVERAGE('17.10 MITYANA-KANONI'!E25,'18.10 MITYANA-KANONI-24h'!E25,'19.10 MITYANA-KANONI-24h'!E25,'20.10 MITYANA-KANONI'!E25,'21.10 MITYANA-KANONI'!E25,'22.10 MITYANA-KANONI'!E25,'23.10 MITYANA-KANONI'!E25)</f>
        <v>0.42857142857142855</v>
      </c>
      <c r="F25" s="49">
        <f>AVERAGE('17.10 MITYANA-KANONI'!F25,'18.10 MITYANA-KANONI-24h'!F25,'19.10 MITYANA-KANONI-24h'!F25,'20.10 MITYANA-KANONI'!F25,'21.10 MITYANA-KANONI'!F25,'22.10 MITYANA-KANONI'!F25,'23.10 MITYANA-KANONI'!F25)</f>
        <v>0.14285714285714285</v>
      </c>
      <c r="G25" s="49">
        <f>AVERAGE('17.10 MITYANA-KANONI'!G25,'18.10 MITYANA-KANONI-24h'!G25,'19.10 MITYANA-KANONI-24h'!G25,'20.10 MITYANA-KANONI'!G25,'21.10 MITYANA-KANONI'!G25,'22.10 MITYANA-KANONI'!G25,'23.10 MITYANA-KANONI'!G25)</f>
        <v>0</v>
      </c>
      <c r="H25" s="49">
        <f>AVERAGE('17.10 MITYANA-KANONI'!H25,'18.10 MITYANA-KANONI-24h'!H25,'19.10 MITYANA-KANONI-24h'!H25,'20.10 MITYANA-KANONI'!H25,'21.10 MITYANA-KANONI'!H25,'22.10 MITYANA-KANONI'!H25,'23.10 MITYANA-KANONI'!H25)</f>
        <v>0</v>
      </c>
      <c r="I25" s="49">
        <f>AVERAGE('17.10 MITYANA-KANONI'!I25,'18.10 MITYANA-KANONI-24h'!I25,'19.10 MITYANA-KANONI-24h'!I25,'20.10 MITYANA-KANONI'!I25,'21.10 MITYANA-KANONI'!I25,'22.10 MITYANA-KANONI'!I25,'23.10 MITYANA-KANONI'!I25)</f>
        <v>0.2857142857142857</v>
      </c>
      <c r="J25" s="49">
        <f>AVERAGE('17.10 MITYANA-KANONI'!J25,'18.10 MITYANA-KANONI-24h'!J25,'19.10 MITYANA-KANONI-24h'!J25,'20.10 MITYANA-KANONI'!J25,'21.10 MITYANA-KANONI'!J25,'22.10 MITYANA-KANONI'!J25,'23.10 MITYANA-KANONI'!J25)</f>
        <v>0.2857142857142857</v>
      </c>
      <c r="K25" s="49">
        <f>AVERAGE('17.10 MITYANA-KANONI'!K25,'18.10 MITYANA-KANONI-24h'!K25,'19.10 MITYANA-KANONI-24h'!K25,'20.10 MITYANA-KANONI'!K25,'21.10 MITYANA-KANONI'!K25,'22.10 MITYANA-KANONI'!K25,'23.10 MITYANA-KANONI'!K25)</f>
        <v>0</v>
      </c>
      <c r="L25" s="49">
        <f>AVERAGE('17.10 MITYANA-KANONI'!L25,'18.10 MITYANA-KANONI-24h'!L25,'19.10 MITYANA-KANONI-24h'!L25,'20.10 MITYANA-KANONI'!L25,'21.10 MITYANA-KANONI'!L25,'22.10 MITYANA-KANONI'!L25,'23.10 MITYANA-KANONI'!L25)</f>
        <v>0</v>
      </c>
      <c r="M25" s="49">
        <f>AVERAGE('17.10 MITYANA-KANONI'!M25,'18.10 MITYANA-KANONI-24h'!M25,'19.10 MITYANA-KANONI-24h'!M25,'20.10 MITYANA-KANONI'!M25,'21.10 MITYANA-KANONI'!M25,'22.10 MITYANA-KANONI'!M25,'23.10 MITYANA-KANONI'!M25)</f>
        <v>11.428571428571429</v>
      </c>
      <c r="N25" s="49">
        <f>AVERAGE('17.10 MITYANA-KANONI'!N25,'18.10 MITYANA-KANONI-24h'!N25,'19.10 MITYANA-KANONI-24h'!N25,'20.10 MITYANA-KANONI'!N25,'21.10 MITYANA-KANONI'!N25,'22.10 MITYANA-KANONI'!N25,'23.10 MITYANA-KANONI'!N25)</f>
        <v>0</v>
      </c>
      <c r="O25" s="15">
        <f t="shared" si="0"/>
        <v>2.1428571428571428</v>
      </c>
      <c r="P25" s="15">
        <f t="shared" si="1"/>
        <v>13.571428571428571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0</v>
      </c>
      <c r="AF25" s="31">
        <f t="shared" si="17"/>
        <v>13</v>
      </c>
    </row>
    <row r="26" spans="2:32" ht="23.1" customHeight="1" x14ac:dyDescent="0.25">
      <c r="B26" s="23" t="s">
        <v>53</v>
      </c>
      <c r="C26" s="49">
        <f>AVERAGE('17.10 MITYANA-KANONI'!C26,'18.10 MITYANA-KANONI-24h'!C26,'19.10 MITYANA-KANONI-24h'!C26,'20.10 MITYANA-KANONI'!C26,'21.10 MITYANA-KANONI'!C26,'22.10 MITYANA-KANONI'!C26,'23.10 MITYANA-KANONI'!C26)</f>
        <v>0.7142857142857143</v>
      </c>
      <c r="D26" s="49">
        <f>AVERAGE('17.10 MITYANA-KANONI'!D26,'18.10 MITYANA-KANONI-24h'!D26,'19.10 MITYANA-KANONI-24h'!D26,'20.10 MITYANA-KANONI'!D26,'21.10 MITYANA-KANONI'!D26,'22.10 MITYANA-KANONI'!D26,'23.10 MITYANA-KANONI'!D26)</f>
        <v>0.2857142857142857</v>
      </c>
      <c r="E26" s="49">
        <f>AVERAGE('17.10 MITYANA-KANONI'!E26,'18.10 MITYANA-KANONI-24h'!E26,'19.10 MITYANA-KANONI-24h'!E26,'20.10 MITYANA-KANONI'!E26,'21.10 MITYANA-KANONI'!E26,'22.10 MITYANA-KANONI'!E26,'23.10 MITYANA-KANONI'!E26)</f>
        <v>0.2857142857142857</v>
      </c>
      <c r="F26" s="49">
        <f>AVERAGE('17.10 MITYANA-KANONI'!F26,'18.10 MITYANA-KANONI-24h'!F26,'19.10 MITYANA-KANONI-24h'!F26,'20.10 MITYANA-KANONI'!F26,'21.10 MITYANA-KANONI'!F26,'22.10 MITYANA-KANONI'!F26,'23.10 MITYANA-KANONI'!F26)</f>
        <v>0</v>
      </c>
      <c r="G26" s="49">
        <f>AVERAGE('17.10 MITYANA-KANONI'!G26,'18.10 MITYANA-KANONI-24h'!G26,'19.10 MITYANA-KANONI-24h'!G26,'20.10 MITYANA-KANONI'!G26,'21.10 MITYANA-KANONI'!G26,'22.10 MITYANA-KANONI'!G26,'23.10 MITYANA-KANONI'!G26)</f>
        <v>0</v>
      </c>
      <c r="H26" s="49">
        <f>AVERAGE('17.10 MITYANA-KANONI'!H26,'18.10 MITYANA-KANONI-24h'!H26,'19.10 MITYANA-KANONI-24h'!H26,'20.10 MITYANA-KANONI'!H26,'21.10 MITYANA-KANONI'!H26,'22.10 MITYANA-KANONI'!H26,'23.10 MITYANA-KANONI'!H26)</f>
        <v>0.14285714285714285</v>
      </c>
      <c r="I26" s="49">
        <f>AVERAGE('17.10 MITYANA-KANONI'!I26,'18.10 MITYANA-KANONI-24h'!I26,'19.10 MITYANA-KANONI-24h'!I26,'20.10 MITYANA-KANONI'!I26,'21.10 MITYANA-KANONI'!I26,'22.10 MITYANA-KANONI'!I26,'23.10 MITYANA-KANONI'!I26)</f>
        <v>0.2857142857142857</v>
      </c>
      <c r="J26" s="49">
        <f>AVERAGE('17.10 MITYANA-KANONI'!J26,'18.10 MITYANA-KANONI-24h'!J26,'19.10 MITYANA-KANONI-24h'!J26,'20.10 MITYANA-KANONI'!J26,'21.10 MITYANA-KANONI'!J26,'22.10 MITYANA-KANONI'!J26,'23.10 MITYANA-KANONI'!J26)</f>
        <v>0.14285714285714285</v>
      </c>
      <c r="K26" s="49">
        <f>AVERAGE('17.10 MITYANA-KANONI'!K26,'18.10 MITYANA-KANONI-24h'!K26,'19.10 MITYANA-KANONI-24h'!K26,'20.10 MITYANA-KANONI'!K26,'21.10 MITYANA-KANONI'!K26,'22.10 MITYANA-KANONI'!K26,'23.10 MITYANA-KANONI'!K26)</f>
        <v>0</v>
      </c>
      <c r="L26" s="49">
        <f>AVERAGE('17.10 MITYANA-KANONI'!L26,'18.10 MITYANA-KANONI-24h'!L26,'19.10 MITYANA-KANONI-24h'!L26,'20.10 MITYANA-KANONI'!L26,'21.10 MITYANA-KANONI'!L26,'22.10 MITYANA-KANONI'!L26,'23.10 MITYANA-KANONI'!L26)</f>
        <v>0</v>
      </c>
      <c r="M26" s="49">
        <f>AVERAGE('17.10 MITYANA-KANONI'!M26,'18.10 MITYANA-KANONI-24h'!M26,'19.10 MITYANA-KANONI-24h'!M26,'20.10 MITYANA-KANONI'!M26,'21.10 MITYANA-KANONI'!M26,'22.10 MITYANA-KANONI'!M26,'23.10 MITYANA-KANONI'!M26)</f>
        <v>10.428571428571429</v>
      </c>
      <c r="N26" s="49">
        <f>AVERAGE('17.10 MITYANA-KANONI'!N26,'18.10 MITYANA-KANONI-24h'!N26,'19.10 MITYANA-KANONI-24h'!N26,'20.10 MITYANA-KANONI'!N26,'21.10 MITYANA-KANONI'!N26,'22.10 MITYANA-KANONI'!N26,'23.10 MITYANA-KANONI'!N26)</f>
        <v>0</v>
      </c>
      <c r="O26" s="15">
        <f t="shared" si="0"/>
        <v>1.8571428571428568</v>
      </c>
      <c r="P26" s="15">
        <f t="shared" si="1"/>
        <v>12.285714285714285</v>
      </c>
      <c r="R26" s="1" t="s">
        <v>150</v>
      </c>
      <c r="S26" s="34">
        <f>SUM(C74:C77)</f>
        <v>0.5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0.5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0.5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2.5</v>
      </c>
      <c r="AF26" s="31">
        <f t="shared" si="18"/>
        <v>8.5</v>
      </c>
    </row>
    <row r="27" spans="2:32" ht="23.1" customHeight="1" x14ac:dyDescent="0.25">
      <c r="B27" s="23" t="s">
        <v>54</v>
      </c>
      <c r="C27" s="49">
        <f>AVERAGE('17.10 MITYANA-KANONI'!C27,'18.10 MITYANA-KANONI-24h'!C27,'19.10 MITYANA-KANONI-24h'!C27,'20.10 MITYANA-KANONI'!C27,'21.10 MITYANA-KANONI'!C27,'22.10 MITYANA-KANONI'!C27,'23.10 MITYANA-KANONI'!C27)</f>
        <v>0.8571428571428571</v>
      </c>
      <c r="D27" s="49">
        <f>AVERAGE('17.10 MITYANA-KANONI'!D27,'18.10 MITYANA-KANONI-24h'!D27,'19.10 MITYANA-KANONI-24h'!D27,'20.10 MITYANA-KANONI'!D27,'21.10 MITYANA-KANONI'!D27,'22.10 MITYANA-KANONI'!D27,'23.10 MITYANA-KANONI'!D27)</f>
        <v>0.14285714285714285</v>
      </c>
      <c r="E27" s="49">
        <f>AVERAGE('17.10 MITYANA-KANONI'!E27,'18.10 MITYANA-KANONI-24h'!E27,'19.10 MITYANA-KANONI-24h'!E27,'20.10 MITYANA-KANONI'!E27,'21.10 MITYANA-KANONI'!E27,'22.10 MITYANA-KANONI'!E27,'23.10 MITYANA-KANONI'!E27)</f>
        <v>0</v>
      </c>
      <c r="F27" s="49">
        <f>AVERAGE('17.10 MITYANA-KANONI'!F27,'18.10 MITYANA-KANONI-24h'!F27,'19.10 MITYANA-KANONI-24h'!F27,'20.10 MITYANA-KANONI'!F27,'21.10 MITYANA-KANONI'!F27,'22.10 MITYANA-KANONI'!F27,'23.10 MITYANA-KANONI'!F27)</f>
        <v>0</v>
      </c>
      <c r="G27" s="49">
        <f>AVERAGE('17.10 MITYANA-KANONI'!G27,'18.10 MITYANA-KANONI-24h'!G27,'19.10 MITYANA-KANONI-24h'!G27,'20.10 MITYANA-KANONI'!G27,'21.10 MITYANA-KANONI'!G27,'22.10 MITYANA-KANONI'!G27,'23.10 MITYANA-KANONI'!G27)</f>
        <v>0</v>
      </c>
      <c r="H27" s="49">
        <f>AVERAGE('17.10 MITYANA-KANONI'!H27,'18.10 MITYANA-KANONI-24h'!H27,'19.10 MITYANA-KANONI-24h'!H27,'20.10 MITYANA-KANONI'!H27,'21.10 MITYANA-KANONI'!H27,'22.10 MITYANA-KANONI'!H27,'23.10 MITYANA-KANONI'!H27)</f>
        <v>0</v>
      </c>
      <c r="I27" s="49">
        <f>AVERAGE('17.10 MITYANA-KANONI'!I27,'18.10 MITYANA-KANONI-24h'!I27,'19.10 MITYANA-KANONI-24h'!I27,'20.10 MITYANA-KANONI'!I27,'21.10 MITYANA-KANONI'!I27,'22.10 MITYANA-KANONI'!I27,'23.10 MITYANA-KANONI'!I27)</f>
        <v>1</v>
      </c>
      <c r="J27" s="49">
        <f>AVERAGE('17.10 MITYANA-KANONI'!J27,'18.10 MITYANA-KANONI-24h'!J27,'19.10 MITYANA-KANONI-24h'!J27,'20.10 MITYANA-KANONI'!J27,'21.10 MITYANA-KANONI'!J27,'22.10 MITYANA-KANONI'!J27,'23.10 MITYANA-KANONI'!J27)</f>
        <v>0.14285714285714285</v>
      </c>
      <c r="K27" s="49">
        <f>AVERAGE('17.10 MITYANA-KANONI'!K27,'18.10 MITYANA-KANONI-24h'!K27,'19.10 MITYANA-KANONI-24h'!K27,'20.10 MITYANA-KANONI'!K27,'21.10 MITYANA-KANONI'!K27,'22.10 MITYANA-KANONI'!K27,'23.10 MITYANA-KANONI'!K27)</f>
        <v>0</v>
      </c>
      <c r="L27" s="49">
        <f>AVERAGE('17.10 MITYANA-KANONI'!L27,'18.10 MITYANA-KANONI-24h'!L27,'19.10 MITYANA-KANONI-24h'!L27,'20.10 MITYANA-KANONI'!L27,'21.10 MITYANA-KANONI'!L27,'22.10 MITYANA-KANONI'!L27,'23.10 MITYANA-KANONI'!L27)</f>
        <v>0</v>
      </c>
      <c r="M27" s="49">
        <f>AVERAGE('17.10 MITYANA-KANONI'!M27,'18.10 MITYANA-KANONI-24h'!M27,'19.10 MITYANA-KANONI-24h'!M27,'20.10 MITYANA-KANONI'!M27,'21.10 MITYANA-KANONI'!M27,'22.10 MITYANA-KANONI'!M27,'23.10 MITYANA-KANONI'!M27)</f>
        <v>9.5714285714285712</v>
      </c>
      <c r="N27" s="49">
        <f>AVERAGE('17.10 MITYANA-KANONI'!N27,'18.10 MITYANA-KANONI-24h'!N27,'19.10 MITYANA-KANONI-24h'!N27,'20.10 MITYANA-KANONI'!N27,'21.10 MITYANA-KANONI'!N27,'22.10 MITYANA-KANONI'!N27,'23.10 MITYANA-KANONI'!N27)</f>
        <v>0</v>
      </c>
      <c r="O27" s="15">
        <f t="shared" si="0"/>
        <v>2.1428571428571428</v>
      </c>
      <c r="P27" s="15">
        <f t="shared" si="1"/>
        <v>11.714285714285714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0.5</v>
      </c>
      <c r="AF27" s="31">
        <f t="shared" si="19"/>
        <v>2.5</v>
      </c>
    </row>
    <row r="28" spans="2:32" ht="23.1" customHeight="1" x14ac:dyDescent="0.25">
      <c r="B28" s="23" t="s">
        <v>55</v>
      </c>
      <c r="C28" s="49">
        <f>AVERAGE('17.10 MITYANA-KANONI'!C28,'18.10 MITYANA-KANONI-24h'!C28,'19.10 MITYANA-KANONI-24h'!C28,'20.10 MITYANA-KANONI'!C28,'21.10 MITYANA-KANONI'!C28,'22.10 MITYANA-KANONI'!C28,'23.10 MITYANA-KANONI'!C28)</f>
        <v>1.2857142857142858</v>
      </c>
      <c r="D28" s="49">
        <f>AVERAGE('17.10 MITYANA-KANONI'!D28,'18.10 MITYANA-KANONI-24h'!D28,'19.10 MITYANA-KANONI-24h'!D28,'20.10 MITYANA-KANONI'!D28,'21.10 MITYANA-KANONI'!D28,'22.10 MITYANA-KANONI'!D28,'23.10 MITYANA-KANONI'!D28)</f>
        <v>0</v>
      </c>
      <c r="E28" s="49">
        <f>AVERAGE('17.10 MITYANA-KANONI'!E28,'18.10 MITYANA-KANONI-24h'!E28,'19.10 MITYANA-KANONI-24h'!E28,'20.10 MITYANA-KANONI'!E28,'21.10 MITYANA-KANONI'!E28,'22.10 MITYANA-KANONI'!E28,'23.10 MITYANA-KANONI'!E28)</f>
        <v>0.2857142857142857</v>
      </c>
      <c r="F28" s="49">
        <f>AVERAGE('17.10 MITYANA-KANONI'!F28,'18.10 MITYANA-KANONI-24h'!F28,'19.10 MITYANA-KANONI-24h'!F28,'20.10 MITYANA-KANONI'!F28,'21.10 MITYANA-KANONI'!F28,'22.10 MITYANA-KANONI'!F28,'23.10 MITYANA-KANONI'!F28)</f>
        <v>0.2857142857142857</v>
      </c>
      <c r="G28" s="49">
        <f>AVERAGE('17.10 MITYANA-KANONI'!G28,'18.10 MITYANA-KANONI-24h'!G28,'19.10 MITYANA-KANONI-24h'!G28,'20.10 MITYANA-KANONI'!G28,'21.10 MITYANA-KANONI'!G28,'22.10 MITYANA-KANONI'!G28,'23.10 MITYANA-KANONI'!G28)</f>
        <v>0</v>
      </c>
      <c r="H28" s="49">
        <f>AVERAGE('17.10 MITYANA-KANONI'!H28,'18.10 MITYANA-KANONI-24h'!H28,'19.10 MITYANA-KANONI-24h'!H28,'20.10 MITYANA-KANONI'!H28,'21.10 MITYANA-KANONI'!H28,'22.10 MITYANA-KANONI'!H28,'23.10 MITYANA-KANONI'!H28)</f>
        <v>0</v>
      </c>
      <c r="I28" s="49">
        <f>AVERAGE('17.10 MITYANA-KANONI'!I28,'18.10 MITYANA-KANONI-24h'!I28,'19.10 MITYANA-KANONI-24h'!I28,'20.10 MITYANA-KANONI'!I28,'21.10 MITYANA-KANONI'!I28,'22.10 MITYANA-KANONI'!I28,'23.10 MITYANA-KANONI'!I28)</f>
        <v>1</v>
      </c>
      <c r="J28" s="49">
        <f>AVERAGE('17.10 MITYANA-KANONI'!J28,'18.10 MITYANA-KANONI-24h'!J28,'19.10 MITYANA-KANONI-24h'!J28,'20.10 MITYANA-KANONI'!J28,'21.10 MITYANA-KANONI'!J28,'22.10 MITYANA-KANONI'!J28,'23.10 MITYANA-KANONI'!J28)</f>
        <v>0.14285714285714285</v>
      </c>
      <c r="K28" s="49">
        <f>AVERAGE('17.10 MITYANA-KANONI'!K28,'18.10 MITYANA-KANONI-24h'!K28,'19.10 MITYANA-KANONI-24h'!K28,'20.10 MITYANA-KANONI'!K28,'21.10 MITYANA-KANONI'!K28,'22.10 MITYANA-KANONI'!K28,'23.10 MITYANA-KANONI'!K28)</f>
        <v>0</v>
      </c>
      <c r="L28" s="49">
        <f>AVERAGE('17.10 MITYANA-KANONI'!L28,'18.10 MITYANA-KANONI-24h'!L28,'19.10 MITYANA-KANONI-24h'!L28,'20.10 MITYANA-KANONI'!L28,'21.10 MITYANA-KANONI'!L28,'22.10 MITYANA-KANONI'!L28,'23.10 MITYANA-KANONI'!L28)</f>
        <v>0</v>
      </c>
      <c r="M28" s="49">
        <f>AVERAGE('17.10 MITYANA-KANONI'!M28,'18.10 MITYANA-KANONI-24h'!M28,'19.10 MITYANA-KANONI-24h'!M28,'20.10 MITYANA-KANONI'!M28,'21.10 MITYANA-KANONI'!M28,'22.10 MITYANA-KANONI'!M28,'23.10 MITYANA-KANONI'!M28)</f>
        <v>11.857142857142858</v>
      </c>
      <c r="N28" s="49">
        <f>AVERAGE('17.10 MITYANA-KANONI'!N28,'18.10 MITYANA-KANONI-24h'!N28,'19.10 MITYANA-KANONI-24h'!N28,'20.10 MITYANA-KANONI'!N28,'21.10 MITYANA-KANONI'!N28,'22.10 MITYANA-KANONI'!N28,'23.10 MITYANA-KANONI'!N28)</f>
        <v>0</v>
      </c>
      <c r="O28" s="15">
        <f t="shared" si="0"/>
        <v>3</v>
      </c>
      <c r="P28" s="15">
        <f t="shared" si="1"/>
        <v>14.857142857142858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0</v>
      </c>
      <c r="AF28" s="31">
        <f t="shared" si="20"/>
        <v>2</v>
      </c>
    </row>
    <row r="29" spans="2:32" ht="23.1" customHeight="1" x14ac:dyDescent="0.25">
      <c r="B29" s="23" t="s">
        <v>56</v>
      </c>
      <c r="C29" s="49">
        <f>AVERAGE('17.10 MITYANA-KANONI'!C29,'18.10 MITYANA-KANONI-24h'!C29,'19.10 MITYANA-KANONI-24h'!C29,'20.10 MITYANA-KANONI'!C29,'21.10 MITYANA-KANONI'!C29,'22.10 MITYANA-KANONI'!C29,'23.10 MITYANA-KANONI'!C29)</f>
        <v>0.7142857142857143</v>
      </c>
      <c r="D29" s="49">
        <f>AVERAGE('17.10 MITYANA-KANONI'!D29,'18.10 MITYANA-KANONI-24h'!D29,'19.10 MITYANA-KANONI-24h'!D29,'20.10 MITYANA-KANONI'!D29,'21.10 MITYANA-KANONI'!D29,'22.10 MITYANA-KANONI'!D29,'23.10 MITYANA-KANONI'!D29)</f>
        <v>0.14285714285714285</v>
      </c>
      <c r="E29" s="49">
        <f>AVERAGE('17.10 MITYANA-KANONI'!E29,'18.10 MITYANA-KANONI-24h'!E29,'19.10 MITYANA-KANONI-24h'!E29,'20.10 MITYANA-KANONI'!E29,'21.10 MITYANA-KANONI'!E29,'22.10 MITYANA-KANONI'!E29,'23.10 MITYANA-KANONI'!E29)</f>
        <v>0</v>
      </c>
      <c r="F29" s="49">
        <f>AVERAGE('17.10 MITYANA-KANONI'!F29,'18.10 MITYANA-KANONI-24h'!F29,'19.10 MITYANA-KANONI-24h'!F29,'20.10 MITYANA-KANONI'!F29,'21.10 MITYANA-KANONI'!F29,'22.10 MITYANA-KANONI'!F29,'23.10 MITYANA-KANONI'!F29)</f>
        <v>0.2857142857142857</v>
      </c>
      <c r="G29" s="49">
        <f>AVERAGE('17.10 MITYANA-KANONI'!G29,'18.10 MITYANA-KANONI-24h'!G29,'19.10 MITYANA-KANONI-24h'!G29,'20.10 MITYANA-KANONI'!G29,'21.10 MITYANA-KANONI'!G29,'22.10 MITYANA-KANONI'!G29,'23.10 MITYANA-KANONI'!G29)</f>
        <v>0.14285714285714285</v>
      </c>
      <c r="H29" s="49">
        <f>AVERAGE('17.10 MITYANA-KANONI'!H29,'18.10 MITYANA-KANONI-24h'!H29,'19.10 MITYANA-KANONI-24h'!H29,'20.10 MITYANA-KANONI'!H29,'21.10 MITYANA-KANONI'!H29,'22.10 MITYANA-KANONI'!H29,'23.10 MITYANA-KANONI'!H29)</f>
        <v>0</v>
      </c>
      <c r="I29" s="49">
        <f>AVERAGE('17.10 MITYANA-KANONI'!I29,'18.10 MITYANA-KANONI-24h'!I29,'19.10 MITYANA-KANONI-24h'!I29,'20.10 MITYANA-KANONI'!I29,'21.10 MITYANA-KANONI'!I29,'22.10 MITYANA-KANONI'!I29,'23.10 MITYANA-KANONI'!I29)</f>
        <v>0.5714285714285714</v>
      </c>
      <c r="J29" s="49">
        <f>AVERAGE('17.10 MITYANA-KANONI'!J29,'18.10 MITYANA-KANONI-24h'!J29,'19.10 MITYANA-KANONI-24h'!J29,'20.10 MITYANA-KANONI'!J29,'21.10 MITYANA-KANONI'!J29,'22.10 MITYANA-KANONI'!J29,'23.10 MITYANA-KANONI'!J29)</f>
        <v>0</v>
      </c>
      <c r="K29" s="49">
        <f>AVERAGE('17.10 MITYANA-KANONI'!K29,'18.10 MITYANA-KANONI-24h'!K29,'19.10 MITYANA-KANONI-24h'!K29,'20.10 MITYANA-KANONI'!K29,'21.10 MITYANA-KANONI'!K29,'22.10 MITYANA-KANONI'!K29,'23.10 MITYANA-KANONI'!K29)</f>
        <v>0</v>
      </c>
      <c r="L29" s="49">
        <f>AVERAGE('17.10 MITYANA-KANONI'!L29,'18.10 MITYANA-KANONI-24h'!L29,'19.10 MITYANA-KANONI-24h'!L29,'20.10 MITYANA-KANONI'!L29,'21.10 MITYANA-KANONI'!L29,'22.10 MITYANA-KANONI'!L29,'23.10 MITYANA-KANONI'!L29)</f>
        <v>0</v>
      </c>
      <c r="M29" s="49">
        <f>AVERAGE('17.10 MITYANA-KANONI'!M29,'18.10 MITYANA-KANONI-24h'!M29,'19.10 MITYANA-KANONI-24h'!M29,'20.10 MITYANA-KANONI'!M29,'21.10 MITYANA-KANONI'!M29,'22.10 MITYANA-KANONI'!M29,'23.10 MITYANA-KANONI'!M29)</f>
        <v>12.571428571428571</v>
      </c>
      <c r="N29" s="49">
        <f>AVERAGE('17.10 MITYANA-KANONI'!N29,'18.10 MITYANA-KANONI-24h'!N29,'19.10 MITYANA-KANONI-24h'!N29,'20.10 MITYANA-KANONI'!N29,'21.10 MITYANA-KANONI'!N29,'22.10 MITYANA-KANONI'!N29,'23.10 MITYANA-KANONI'!N29)</f>
        <v>0</v>
      </c>
      <c r="O29" s="15">
        <f t="shared" si="0"/>
        <v>1.857142857142857</v>
      </c>
      <c r="P29" s="15">
        <f t="shared" si="1"/>
        <v>14.428571428571429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AVERAGE('17.10 MITYANA-KANONI'!C30,'18.10 MITYANA-KANONI-24h'!C30,'19.10 MITYANA-KANONI-24h'!C30,'20.10 MITYANA-KANONI'!C30,'21.10 MITYANA-KANONI'!C30,'22.10 MITYANA-KANONI'!C30,'23.10 MITYANA-KANONI'!C30)</f>
        <v>1.1428571428571428</v>
      </c>
      <c r="D30" s="49">
        <f>AVERAGE('17.10 MITYANA-KANONI'!D30,'18.10 MITYANA-KANONI-24h'!D30,'19.10 MITYANA-KANONI-24h'!D30,'20.10 MITYANA-KANONI'!D30,'21.10 MITYANA-KANONI'!D30,'22.10 MITYANA-KANONI'!D30,'23.10 MITYANA-KANONI'!D30)</f>
        <v>0</v>
      </c>
      <c r="E30" s="49">
        <f>AVERAGE('17.10 MITYANA-KANONI'!E30,'18.10 MITYANA-KANONI-24h'!E30,'19.10 MITYANA-KANONI-24h'!E30,'20.10 MITYANA-KANONI'!E30,'21.10 MITYANA-KANONI'!E30,'22.10 MITYANA-KANONI'!E30,'23.10 MITYANA-KANONI'!E30)</f>
        <v>0.42857142857142855</v>
      </c>
      <c r="F30" s="49">
        <f>AVERAGE('17.10 MITYANA-KANONI'!F30,'18.10 MITYANA-KANONI-24h'!F30,'19.10 MITYANA-KANONI-24h'!F30,'20.10 MITYANA-KANONI'!F30,'21.10 MITYANA-KANONI'!F30,'22.10 MITYANA-KANONI'!F30,'23.10 MITYANA-KANONI'!F30)</f>
        <v>0.14285714285714285</v>
      </c>
      <c r="G30" s="49">
        <f>AVERAGE('17.10 MITYANA-KANONI'!G30,'18.10 MITYANA-KANONI-24h'!G30,'19.10 MITYANA-KANONI-24h'!G30,'20.10 MITYANA-KANONI'!G30,'21.10 MITYANA-KANONI'!G30,'22.10 MITYANA-KANONI'!G30,'23.10 MITYANA-KANONI'!G30)</f>
        <v>0.14285714285714285</v>
      </c>
      <c r="H30" s="49">
        <f>AVERAGE('17.10 MITYANA-KANONI'!H30,'18.10 MITYANA-KANONI-24h'!H30,'19.10 MITYANA-KANONI-24h'!H30,'20.10 MITYANA-KANONI'!H30,'21.10 MITYANA-KANONI'!H30,'22.10 MITYANA-KANONI'!H30,'23.10 MITYANA-KANONI'!H30)</f>
        <v>0</v>
      </c>
      <c r="I30" s="49">
        <f>AVERAGE('17.10 MITYANA-KANONI'!I30,'18.10 MITYANA-KANONI-24h'!I30,'19.10 MITYANA-KANONI-24h'!I30,'20.10 MITYANA-KANONI'!I30,'21.10 MITYANA-KANONI'!I30,'22.10 MITYANA-KANONI'!I30,'23.10 MITYANA-KANONI'!I30)</f>
        <v>0.42857142857142855</v>
      </c>
      <c r="J30" s="49">
        <f>AVERAGE('17.10 MITYANA-KANONI'!J30,'18.10 MITYANA-KANONI-24h'!J30,'19.10 MITYANA-KANONI-24h'!J30,'20.10 MITYANA-KANONI'!J30,'21.10 MITYANA-KANONI'!J30,'22.10 MITYANA-KANONI'!J30,'23.10 MITYANA-KANONI'!J30)</f>
        <v>0.14285714285714285</v>
      </c>
      <c r="K30" s="49">
        <f>AVERAGE('17.10 MITYANA-KANONI'!K30,'18.10 MITYANA-KANONI-24h'!K30,'19.10 MITYANA-KANONI-24h'!K30,'20.10 MITYANA-KANONI'!K30,'21.10 MITYANA-KANONI'!K30,'22.10 MITYANA-KANONI'!K30,'23.10 MITYANA-KANONI'!K30)</f>
        <v>0</v>
      </c>
      <c r="L30" s="49">
        <f>AVERAGE('17.10 MITYANA-KANONI'!L30,'18.10 MITYANA-KANONI-24h'!L30,'19.10 MITYANA-KANONI-24h'!L30,'20.10 MITYANA-KANONI'!L30,'21.10 MITYANA-KANONI'!L30,'22.10 MITYANA-KANONI'!L30,'23.10 MITYANA-KANONI'!L30)</f>
        <v>0</v>
      </c>
      <c r="M30" s="49">
        <f>AVERAGE('17.10 MITYANA-KANONI'!M30,'18.10 MITYANA-KANONI-24h'!M30,'19.10 MITYANA-KANONI-24h'!M30,'20.10 MITYANA-KANONI'!M30,'21.10 MITYANA-KANONI'!M30,'22.10 MITYANA-KANONI'!M30,'23.10 MITYANA-KANONI'!M30)</f>
        <v>11.857142857142858</v>
      </c>
      <c r="N30" s="49">
        <f>AVERAGE('17.10 MITYANA-KANONI'!N30,'18.10 MITYANA-KANONI-24h'!N30,'19.10 MITYANA-KANONI-24h'!N30,'20.10 MITYANA-KANONI'!N30,'21.10 MITYANA-KANONI'!N30,'22.10 MITYANA-KANONI'!N30,'23.10 MITYANA-KANONI'!N30)</f>
        <v>0</v>
      </c>
      <c r="O30" s="15">
        <f t="shared" si="0"/>
        <v>2.4285714285714284</v>
      </c>
      <c r="P30" s="15">
        <f t="shared" si="1"/>
        <v>14.285714285714286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24" t="s">
        <v>58</v>
      </c>
      <c r="C31" s="49">
        <f>AVERAGE('17.10 MITYANA-KANONI'!C31,'18.10 MITYANA-KANONI-24h'!C31,'19.10 MITYANA-KANONI-24h'!C31,'20.10 MITYANA-KANONI'!C31,'21.10 MITYANA-KANONI'!C31,'22.10 MITYANA-KANONI'!C31,'23.10 MITYANA-KANONI'!C31)</f>
        <v>1.1428571428571428</v>
      </c>
      <c r="D31" s="49">
        <f>AVERAGE('17.10 MITYANA-KANONI'!D31,'18.10 MITYANA-KANONI-24h'!D31,'19.10 MITYANA-KANONI-24h'!D31,'20.10 MITYANA-KANONI'!D31,'21.10 MITYANA-KANONI'!D31,'22.10 MITYANA-KANONI'!D31,'23.10 MITYANA-KANONI'!D31)</f>
        <v>0.14285714285714285</v>
      </c>
      <c r="E31" s="49">
        <f>AVERAGE('17.10 MITYANA-KANONI'!E31,'18.10 MITYANA-KANONI-24h'!E31,'19.10 MITYANA-KANONI-24h'!E31,'20.10 MITYANA-KANONI'!E31,'21.10 MITYANA-KANONI'!E31,'22.10 MITYANA-KANONI'!E31,'23.10 MITYANA-KANONI'!E31)</f>
        <v>0.14285714285714285</v>
      </c>
      <c r="F31" s="49">
        <f>AVERAGE('17.10 MITYANA-KANONI'!F31,'18.10 MITYANA-KANONI-24h'!F31,'19.10 MITYANA-KANONI-24h'!F31,'20.10 MITYANA-KANONI'!F31,'21.10 MITYANA-KANONI'!F31,'22.10 MITYANA-KANONI'!F31,'23.10 MITYANA-KANONI'!F31)</f>
        <v>0.2857142857142857</v>
      </c>
      <c r="G31" s="49">
        <f>AVERAGE('17.10 MITYANA-KANONI'!G31,'18.10 MITYANA-KANONI-24h'!G31,'19.10 MITYANA-KANONI-24h'!G31,'20.10 MITYANA-KANONI'!G31,'21.10 MITYANA-KANONI'!G31,'22.10 MITYANA-KANONI'!G31,'23.10 MITYANA-KANONI'!G31)</f>
        <v>0</v>
      </c>
      <c r="H31" s="49">
        <f>AVERAGE('17.10 MITYANA-KANONI'!H31,'18.10 MITYANA-KANONI-24h'!H31,'19.10 MITYANA-KANONI-24h'!H31,'20.10 MITYANA-KANONI'!H31,'21.10 MITYANA-KANONI'!H31,'22.10 MITYANA-KANONI'!H31,'23.10 MITYANA-KANONI'!H31)</f>
        <v>0</v>
      </c>
      <c r="I31" s="49">
        <f>AVERAGE('17.10 MITYANA-KANONI'!I31,'18.10 MITYANA-KANONI-24h'!I31,'19.10 MITYANA-KANONI-24h'!I31,'20.10 MITYANA-KANONI'!I31,'21.10 MITYANA-KANONI'!I31,'22.10 MITYANA-KANONI'!I31,'23.10 MITYANA-KANONI'!I31)</f>
        <v>0.5714285714285714</v>
      </c>
      <c r="J31" s="49">
        <f>AVERAGE('17.10 MITYANA-KANONI'!J31,'18.10 MITYANA-KANONI-24h'!J31,'19.10 MITYANA-KANONI-24h'!J31,'20.10 MITYANA-KANONI'!J31,'21.10 MITYANA-KANONI'!J31,'22.10 MITYANA-KANONI'!J31,'23.10 MITYANA-KANONI'!J31)</f>
        <v>0.14285714285714285</v>
      </c>
      <c r="K31" s="49">
        <f>AVERAGE('17.10 MITYANA-KANONI'!K31,'18.10 MITYANA-KANONI-24h'!K31,'19.10 MITYANA-KANONI-24h'!K31,'20.10 MITYANA-KANONI'!K31,'21.10 MITYANA-KANONI'!K31,'22.10 MITYANA-KANONI'!K31,'23.10 MITYANA-KANONI'!K31)</f>
        <v>0.14285714285714285</v>
      </c>
      <c r="L31" s="49">
        <f>AVERAGE('17.10 MITYANA-KANONI'!L31,'18.10 MITYANA-KANONI-24h'!L31,'19.10 MITYANA-KANONI-24h'!L31,'20.10 MITYANA-KANONI'!L31,'21.10 MITYANA-KANONI'!L31,'22.10 MITYANA-KANONI'!L31,'23.10 MITYANA-KANONI'!L31)</f>
        <v>0</v>
      </c>
      <c r="M31" s="49">
        <f>AVERAGE('17.10 MITYANA-KANONI'!M31,'18.10 MITYANA-KANONI-24h'!M31,'19.10 MITYANA-KANONI-24h'!M31,'20.10 MITYANA-KANONI'!M31,'21.10 MITYANA-KANONI'!M31,'22.10 MITYANA-KANONI'!M31,'23.10 MITYANA-KANONI'!M31)</f>
        <v>13</v>
      </c>
      <c r="N31" s="49">
        <f>AVERAGE('17.10 MITYANA-KANONI'!N31,'18.10 MITYANA-KANONI-24h'!N31,'19.10 MITYANA-KANONI-24h'!N31,'20.10 MITYANA-KANONI'!N31,'21.10 MITYANA-KANONI'!N31,'22.10 MITYANA-KANONI'!N31,'23.10 MITYANA-KANONI'!N31)</f>
        <v>0</v>
      </c>
      <c r="O31" s="15">
        <f t="shared" si="0"/>
        <v>2.5714285714285712</v>
      </c>
      <c r="P31" s="15">
        <f t="shared" si="1"/>
        <v>15.571428571428571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AVERAGE('17.10 MITYANA-KANONI'!C32,'18.10 MITYANA-KANONI-24h'!C32,'19.10 MITYANA-KANONI-24h'!C32,'20.10 MITYANA-KANONI'!C32,'21.10 MITYANA-KANONI'!C32,'22.10 MITYANA-KANONI'!C32,'23.10 MITYANA-KANONI'!C32)</f>
        <v>1.1428571428571428</v>
      </c>
      <c r="D32" s="49">
        <f>AVERAGE('17.10 MITYANA-KANONI'!D32,'18.10 MITYANA-KANONI-24h'!D32,'19.10 MITYANA-KANONI-24h'!D32,'20.10 MITYANA-KANONI'!D32,'21.10 MITYANA-KANONI'!D32,'22.10 MITYANA-KANONI'!D32,'23.10 MITYANA-KANONI'!D32)</f>
        <v>0.2857142857142857</v>
      </c>
      <c r="E32" s="49">
        <f>AVERAGE('17.10 MITYANA-KANONI'!E32,'18.10 MITYANA-KANONI-24h'!E32,'19.10 MITYANA-KANONI-24h'!E32,'20.10 MITYANA-KANONI'!E32,'21.10 MITYANA-KANONI'!E32,'22.10 MITYANA-KANONI'!E32,'23.10 MITYANA-KANONI'!E32)</f>
        <v>0.14285714285714285</v>
      </c>
      <c r="F32" s="49">
        <f>AVERAGE('17.10 MITYANA-KANONI'!F32,'18.10 MITYANA-KANONI-24h'!F32,'19.10 MITYANA-KANONI-24h'!F32,'20.10 MITYANA-KANONI'!F32,'21.10 MITYANA-KANONI'!F32,'22.10 MITYANA-KANONI'!F32,'23.10 MITYANA-KANONI'!F32)</f>
        <v>0.14285714285714285</v>
      </c>
      <c r="G32" s="49">
        <f>AVERAGE('17.10 MITYANA-KANONI'!G32,'18.10 MITYANA-KANONI-24h'!G32,'19.10 MITYANA-KANONI-24h'!G32,'20.10 MITYANA-KANONI'!G32,'21.10 MITYANA-KANONI'!G32,'22.10 MITYANA-KANONI'!G32,'23.10 MITYANA-KANONI'!G32)</f>
        <v>0</v>
      </c>
      <c r="H32" s="49">
        <f>AVERAGE('17.10 MITYANA-KANONI'!H32,'18.10 MITYANA-KANONI-24h'!H32,'19.10 MITYANA-KANONI-24h'!H32,'20.10 MITYANA-KANONI'!H32,'21.10 MITYANA-KANONI'!H32,'22.10 MITYANA-KANONI'!H32,'23.10 MITYANA-KANONI'!H32)</f>
        <v>0</v>
      </c>
      <c r="I32" s="49">
        <f>AVERAGE('17.10 MITYANA-KANONI'!I32,'18.10 MITYANA-KANONI-24h'!I32,'19.10 MITYANA-KANONI-24h'!I32,'20.10 MITYANA-KANONI'!I32,'21.10 MITYANA-KANONI'!I32,'22.10 MITYANA-KANONI'!I32,'23.10 MITYANA-KANONI'!I32)</f>
        <v>0.7142857142857143</v>
      </c>
      <c r="J32" s="49">
        <f>AVERAGE('17.10 MITYANA-KANONI'!J32,'18.10 MITYANA-KANONI-24h'!J32,'19.10 MITYANA-KANONI-24h'!J32,'20.10 MITYANA-KANONI'!J32,'21.10 MITYANA-KANONI'!J32,'22.10 MITYANA-KANONI'!J32,'23.10 MITYANA-KANONI'!J32)</f>
        <v>0</v>
      </c>
      <c r="K32" s="49">
        <f>AVERAGE('17.10 MITYANA-KANONI'!K32,'18.10 MITYANA-KANONI-24h'!K32,'19.10 MITYANA-KANONI-24h'!K32,'20.10 MITYANA-KANONI'!K32,'21.10 MITYANA-KANONI'!K32,'22.10 MITYANA-KANONI'!K32,'23.10 MITYANA-KANONI'!K32)</f>
        <v>0</v>
      </c>
      <c r="L32" s="49">
        <f>AVERAGE('17.10 MITYANA-KANONI'!L32,'18.10 MITYANA-KANONI-24h'!L32,'19.10 MITYANA-KANONI-24h'!L32,'20.10 MITYANA-KANONI'!L32,'21.10 MITYANA-KANONI'!L32,'22.10 MITYANA-KANONI'!L32,'23.10 MITYANA-KANONI'!L32)</f>
        <v>0</v>
      </c>
      <c r="M32" s="49">
        <f>AVERAGE('17.10 MITYANA-KANONI'!M32,'18.10 MITYANA-KANONI-24h'!M32,'19.10 MITYANA-KANONI-24h'!M32,'20.10 MITYANA-KANONI'!M32,'21.10 MITYANA-KANONI'!M32,'22.10 MITYANA-KANONI'!M32,'23.10 MITYANA-KANONI'!M32)</f>
        <v>12</v>
      </c>
      <c r="N32" s="49">
        <f>AVERAGE('17.10 MITYANA-KANONI'!N32,'18.10 MITYANA-KANONI-24h'!N32,'19.10 MITYANA-KANONI-24h'!N32,'20.10 MITYANA-KANONI'!N32,'21.10 MITYANA-KANONI'!N32,'22.10 MITYANA-KANONI'!N32,'23.10 MITYANA-KANONI'!N32)</f>
        <v>0</v>
      </c>
      <c r="O32" s="15">
        <f t="shared" si="0"/>
        <v>2.4285714285714284</v>
      </c>
      <c r="P32" s="15">
        <f t="shared" si="1"/>
        <v>14.428571428571429</v>
      </c>
      <c r="R32" s="1" t="s">
        <v>156</v>
      </c>
      <c r="S32" s="34">
        <f>SUM(C98:C101)</f>
        <v>0.5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0.5</v>
      </c>
      <c r="AF32" s="31">
        <f t="shared" si="24"/>
        <v>2.5</v>
      </c>
    </row>
    <row r="33" spans="2:32" ht="23.1" customHeight="1" x14ac:dyDescent="0.25">
      <c r="B33" s="23" t="s">
        <v>60</v>
      </c>
      <c r="C33" s="49">
        <f>AVERAGE('17.10 MITYANA-KANONI'!C33,'18.10 MITYANA-KANONI-24h'!C33,'19.10 MITYANA-KANONI-24h'!C33,'20.10 MITYANA-KANONI'!C33,'21.10 MITYANA-KANONI'!C33,'22.10 MITYANA-KANONI'!C33,'23.10 MITYANA-KANONI'!C33)</f>
        <v>1.1428571428571428</v>
      </c>
      <c r="D33" s="49">
        <f>AVERAGE('17.10 MITYANA-KANONI'!D33,'18.10 MITYANA-KANONI-24h'!D33,'19.10 MITYANA-KANONI-24h'!D33,'20.10 MITYANA-KANONI'!D33,'21.10 MITYANA-KANONI'!D33,'22.10 MITYANA-KANONI'!D33,'23.10 MITYANA-KANONI'!D33)</f>
        <v>0.2857142857142857</v>
      </c>
      <c r="E33" s="49">
        <f>AVERAGE('17.10 MITYANA-KANONI'!E33,'18.10 MITYANA-KANONI-24h'!E33,'19.10 MITYANA-KANONI-24h'!E33,'20.10 MITYANA-KANONI'!E33,'21.10 MITYANA-KANONI'!E33,'22.10 MITYANA-KANONI'!E33,'23.10 MITYANA-KANONI'!E33)</f>
        <v>0.14285714285714285</v>
      </c>
      <c r="F33" s="49">
        <f>AVERAGE('17.10 MITYANA-KANONI'!F33,'18.10 MITYANA-KANONI-24h'!F33,'19.10 MITYANA-KANONI-24h'!F33,'20.10 MITYANA-KANONI'!F33,'21.10 MITYANA-KANONI'!F33,'22.10 MITYANA-KANONI'!F33,'23.10 MITYANA-KANONI'!F33)</f>
        <v>0.42857142857142855</v>
      </c>
      <c r="G33" s="49">
        <f>AVERAGE('17.10 MITYANA-KANONI'!G33,'18.10 MITYANA-KANONI-24h'!G33,'19.10 MITYANA-KANONI-24h'!G33,'20.10 MITYANA-KANONI'!G33,'21.10 MITYANA-KANONI'!G33,'22.10 MITYANA-KANONI'!G33,'23.10 MITYANA-KANONI'!G33)</f>
        <v>0</v>
      </c>
      <c r="H33" s="49">
        <f>AVERAGE('17.10 MITYANA-KANONI'!H33,'18.10 MITYANA-KANONI-24h'!H33,'19.10 MITYANA-KANONI-24h'!H33,'20.10 MITYANA-KANONI'!H33,'21.10 MITYANA-KANONI'!H33,'22.10 MITYANA-KANONI'!H33,'23.10 MITYANA-KANONI'!H33)</f>
        <v>0</v>
      </c>
      <c r="I33" s="49">
        <f>AVERAGE('17.10 MITYANA-KANONI'!I33,'18.10 MITYANA-KANONI-24h'!I33,'19.10 MITYANA-KANONI-24h'!I33,'20.10 MITYANA-KANONI'!I33,'21.10 MITYANA-KANONI'!I33,'22.10 MITYANA-KANONI'!I33,'23.10 MITYANA-KANONI'!I33)</f>
        <v>0.42857142857142855</v>
      </c>
      <c r="J33" s="49">
        <f>AVERAGE('17.10 MITYANA-KANONI'!J33,'18.10 MITYANA-KANONI-24h'!J33,'19.10 MITYANA-KANONI-24h'!J33,'20.10 MITYANA-KANONI'!J33,'21.10 MITYANA-KANONI'!J33,'22.10 MITYANA-KANONI'!J33,'23.10 MITYANA-KANONI'!J33)</f>
        <v>0.14285714285714285</v>
      </c>
      <c r="K33" s="49">
        <f>AVERAGE('17.10 MITYANA-KANONI'!K33,'18.10 MITYANA-KANONI-24h'!K33,'19.10 MITYANA-KANONI-24h'!K33,'20.10 MITYANA-KANONI'!K33,'21.10 MITYANA-KANONI'!K33,'22.10 MITYANA-KANONI'!K33,'23.10 MITYANA-KANONI'!K33)</f>
        <v>0</v>
      </c>
      <c r="L33" s="49">
        <f>AVERAGE('17.10 MITYANA-KANONI'!L33,'18.10 MITYANA-KANONI-24h'!L33,'19.10 MITYANA-KANONI-24h'!L33,'20.10 MITYANA-KANONI'!L33,'21.10 MITYANA-KANONI'!L33,'22.10 MITYANA-KANONI'!L33,'23.10 MITYANA-KANONI'!L33)</f>
        <v>0</v>
      </c>
      <c r="M33" s="49">
        <f>AVERAGE('17.10 MITYANA-KANONI'!M33,'18.10 MITYANA-KANONI-24h'!M33,'19.10 MITYANA-KANONI-24h'!M33,'20.10 MITYANA-KANONI'!M33,'21.10 MITYANA-KANONI'!M33,'22.10 MITYANA-KANONI'!M33,'23.10 MITYANA-KANONI'!M33)</f>
        <v>13.857142857142858</v>
      </c>
      <c r="N33" s="49">
        <f>AVERAGE('17.10 MITYANA-KANONI'!N33,'18.10 MITYANA-KANONI-24h'!N33,'19.10 MITYANA-KANONI-24h'!N33,'20.10 MITYANA-KANONI'!N33,'21.10 MITYANA-KANONI'!N33,'22.10 MITYANA-KANONI'!N33,'23.10 MITYANA-KANONI'!N33)</f>
        <v>0</v>
      </c>
      <c r="O33" s="15">
        <f t="shared" si="0"/>
        <v>2.5714285714285712</v>
      </c>
      <c r="P33" s="15">
        <f t="shared" si="1"/>
        <v>16.428571428571431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12.5</v>
      </c>
      <c r="AD33" s="34">
        <f t="shared" si="25"/>
        <v>0</v>
      </c>
      <c r="AE33" s="31">
        <f t="shared" si="25"/>
        <v>1</v>
      </c>
      <c r="AF33" s="31">
        <f t="shared" si="25"/>
        <v>13.5</v>
      </c>
    </row>
    <row r="34" spans="2:32" ht="23.1" customHeight="1" x14ac:dyDescent="0.25">
      <c r="B34" s="24" t="s">
        <v>61</v>
      </c>
      <c r="C34" s="49">
        <f>AVERAGE('17.10 MITYANA-KANONI'!C34,'18.10 MITYANA-KANONI-24h'!C34,'19.10 MITYANA-KANONI-24h'!C34,'20.10 MITYANA-KANONI'!C34,'21.10 MITYANA-KANONI'!C34,'22.10 MITYANA-KANONI'!C34,'23.10 MITYANA-KANONI'!C34)</f>
        <v>1.4285714285714286</v>
      </c>
      <c r="D34" s="49">
        <f>AVERAGE('17.10 MITYANA-KANONI'!D34,'18.10 MITYANA-KANONI-24h'!D34,'19.10 MITYANA-KANONI-24h'!D34,'20.10 MITYANA-KANONI'!D34,'21.10 MITYANA-KANONI'!D34,'22.10 MITYANA-KANONI'!D34,'23.10 MITYANA-KANONI'!D34)</f>
        <v>0.14285714285714285</v>
      </c>
      <c r="E34" s="49">
        <f>AVERAGE('17.10 MITYANA-KANONI'!E34,'18.10 MITYANA-KANONI-24h'!E34,'19.10 MITYANA-KANONI-24h'!E34,'20.10 MITYANA-KANONI'!E34,'21.10 MITYANA-KANONI'!E34,'22.10 MITYANA-KANONI'!E34,'23.10 MITYANA-KANONI'!E34)</f>
        <v>0.14285714285714285</v>
      </c>
      <c r="F34" s="49">
        <f>AVERAGE('17.10 MITYANA-KANONI'!F34,'18.10 MITYANA-KANONI-24h'!F34,'19.10 MITYANA-KANONI-24h'!F34,'20.10 MITYANA-KANONI'!F34,'21.10 MITYANA-KANONI'!F34,'22.10 MITYANA-KANONI'!F34,'23.10 MITYANA-KANONI'!F34)</f>
        <v>0.42857142857142855</v>
      </c>
      <c r="G34" s="49">
        <f>AVERAGE('17.10 MITYANA-KANONI'!G34,'18.10 MITYANA-KANONI-24h'!G34,'19.10 MITYANA-KANONI-24h'!G34,'20.10 MITYANA-KANONI'!G34,'21.10 MITYANA-KANONI'!G34,'22.10 MITYANA-KANONI'!G34,'23.10 MITYANA-KANONI'!G34)</f>
        <v>0</v>
      </c>
      <c r="H34" s="49">
        <f>AVERAGE('17.10 MITYANA-KANONI'!H34,'18.10 MITYANA-KANONI-24h'!H34,'19.10 MITYANA-KANONI-24h'!H34,'20.10 MITYANA-KANONI'!H34,'21.10 MITYANA-KANONI'!H34,'22.10 MITYANA-KANONI'!H34,'23.10 MITYANA-KANONI'!H34)</f>
        <v>0</v>
      </c>
      <c r="I34" s="49">
        <f>AVERAGE('17.10 MITYANA-KANONI'!I34,'18.10 MITYANA-KANONI-24h'!I34,'19.10 MITYANA-KANONI-24h'!I34,'20.10 MITYANA-KANONI'!I34,'21.10 MITYANA-KANONI'!I34,'22.10 MITYANA-KANONI'!I34,'23.10 MITYANA-KANONI'!I34)</f>
        <v>0.7142857142857143</v>
      </c>
      <c r="J34" s="49">
        <f>AVERAGE('17.10 MITYANA-KANONI'!J34,'18.10 MITYANA-KANONI-24h'!J34,'19.10 MITYANA-KANONI-24h'!J34,'20.10 MITYANA-KANONI'!J34,'21.10 MITYANA-KANONI'!J34,'22.10 MITYANA-KANONI'!J34,'23.10 MITYANA-KANONI'!J34)</f>
        <v>0.42857142857142855</v>
      </c>
      <c r="K34" s="49">
        <f>AVERAGE('17.10 MITYANA-KANONI'!K34,'18.10 MITYANA-KANONI-24h'!K34,'19.10 MITYANA-KANONI-24h'!K34,'20.10 MITYANA-KANONI'!K34,'21.10 MITYANA-KANONI'!K34,'22.10 MITYANA-KANONI'!K34,'23.10 MITYANA-KANONI'!K34)</f>
        <v>0</v>
      </c>
      <c r="L34" s="49">
        <f>AVERAGE('17.10 MITYANA-KANONI'!L34,'18.10 MITYANA-KANONI-24h'!L34,'19.10 MITYANA-KANONI-24h'!L34,'20.10 MITYANA-KANONI'!L34,'21.10 MITYANA-KANONI'!L34,'22.10 MITYANA-KANONI'!L34,'23.10 MITYANA-KANONI'!L34)</f>
        <v>0.2857142857142857</v>
      </c>
      <c r="M34" s="49">
        <f>AVERAGE('17.10 MITYANA-KANONI'!M34,'18.10 MITYANA-KANONI-24h'!M34,'19.10 MITYANA-KANONI-24h'!M34,'20.10 MITYANA-KANONI'!M34,'21.10 MITYANA-KANONI'!M34,'22.10 MITYANA-KANONI'!M34,'23.10 MITYANA-KANONI'!M34)</f>
        <v>10.142857142857142</v>
      </c>
      <c r="N34" s="49">
        <f>AVERAGE('17.10 MITYANA-KANONI'!N34,'18.10 MITYANA-KANONI-24h'!N34,'19.10 MITYANA-KANONI-24h'!N34,'20.10 MITYANA-KANONI'!N34,'21.10 MITYANA-KANONI'!N34,'22.10 MITYANA-KANONI'!N34,'23.10 MITYANA-KANONI'!N34)</f>
        <v>0</v>
      </c>
      <c r="O34" s="15">
        <f t="shared" si="0"/>
        <v>3.5714285714285712</v>
      </c>
      <c r="P34" s="15">
        <f t="shared" si="1"/>
        <v>13.714285714285714</v>
      </c>
      <c r="R34" s="51" t="s">
        <v>90</v>
      </c>
      <c r="S34" s="52">
        <f t="shared" ref="S34:AF34" si="26">MAX(S10:S12)</f>
        <v>3.4285714285714288</v>
      </c>
      <c r="T34" s="52">
        <f t="shared" si="26"/>
        <v>0.42857142857142855</v>
      </c>
      <c r="U34" s="52">
        <f t="shared" si="26"/>
        <v>1</v>
      </c>
      <c r="V34" s="52">
        <f t="shared" si="26"/>
        <v>0.71428571428571419</v>
      </c>
      <c r="W34" s="52">
        <f t="shared" si="26"/>
        <v>0</v>
      </c>
      <c r="X34" s="52">
        <f t="shared" si="26"/>
        <v>0</v>
      </c>
      <c r="Y34" s="52">
        <f t="shared" si="26"/>
        <v>1.857142857142857</v>
      </c>
      <c r="Z34" s="52">
        <f t="shared" si="26"/>
        <v>0.5714285714285714</v>
      </c>
      <c r="AA34" s="52">
        <f t="shared" si="26"/>
        <v>0.42857142857142855</v>
      </c>
      <c r="AB34" s="52">
        <f t="shared" si="26"/>
        <v>0</v>
      </c>
      <c r="AC34" s="52">
        <f t="shared" si="26"/>
        <v>46.142857142857146</v>
      </c>
      <c r="AD34" s="52">
        <f t="shared" si="26"/>
        <v>0</v>
      </c>
      <c r="AE34" s="40">
        <f t="shared" si="26"/>
        <v>7.7142857142857135</v>
      </c>
      <c r="AF34" s="40">
        <f t="shared" si="26"/>
        <v>53.857142857142854</v>
      </c>
    </row>
    <row r="35" spans="2:32" ht="23.1" customHeight="1" x14ac:dyDescent="0.25">
      <c r="B35" s="24" t="s">
        <v>62</v>
      </c>
      <c r="C35" s="49">
        <f>AVERAGE('17.10 MITYANA-KANONI'!C35,'18.10 MITYANA-KANONI-24h'!C35,'19.10 MITYANA-KANONI-24h'!C35,'20.10 MITYANA-KANONI'!C35,'21.10 MITYANA-KANONI'!C35,'22.10 MITYANA-KANONI'!C35,'23.10 MITYANA-KANONI'!C35)</f>
        <v>0.2857142857142857</v>
      </c>
      <c r="D35" s="49">
        <f>AVERAGE('17.10 MITYANA-KANONI'!D35,'18.10 MITYANA-KANONI-24h'!D35,'19.10 MITYANA-KANONI-24h'!D35,'20.10 MITYANA-KANONI'!D35,'21.10 MITYANA-KANONI'!D35,'22.10 MITYANA-KANONI'!D35,'23.10 MITYANA-KANONI'!D35)</f>
        <v>0</v>
      </c>
      <c r="E35" s="49">
        <f>AVERAGE('17.10 MITYANA-KANONI'!E35,'18.10 MITYANA-KANONI-24h'!E35,'19.10 MITYANA-KANONI-24h'!E35,'20.10 MITYANA-KANONI'!E35,'21.10 MITYANA-KANONI'!E35,'22.10 MITYANA-KANONI'!E35,'23.10 MITYANA-KANONI'!E35)</f>
        <v>0.14285714285714285</v>
      </c>
      <c r="F35" s="49">
        <f>AVERAGE('17.10 MITYANA-KANONI'!F35,'18.10 MITYANA-KANONI-24h'!F35,'19.10 MITYANA-KANONI-24h'!F35,'20.10 MITYANA-KANONI'!F35,'21.10 MITYANA-KANONI'!F35,'22.10 MITYANA-KANONI'!F35,'23.10 MITYANA-KANONI'!F35)</f>
        <v>0</v>
      </c>
      <c r="G35" s="49">
        <f>AVERAGE('17.10 MITYANA-KANONI'!G35,'18.10 MITYANA-KANONI-24h'!G35,'19.10 MITYANA-KANONI-24h'!G35,'20.10 MITYANA-KANONI'!G35,'21.10 MITYANA-KANONI'!G35,'22.10 MITYANA-KANONI'!G35,'23.10 MITYANA-KANONI'!G35)</f>
        <v>0</v>
      </c>
      <c r="H35" s="49">
        <f>AVERAGE('17.10 MITYANA-KANONI'!H35,'18.10 MITYANA-KANONI-24h'!H35,'19.10 MITYANA-KANONI-24h'!H35,'20.10 MITYANA-KANONI'!H35,'21.10 MITYANA-KANONI'!H35,'22.10 MITYANA-KANONI'!H35,'23.10 MITYANA-KANONI'!H35)</f>
        <v>0</v>
      </c>
      <c r="I35" s="49">
        <f>AVERAGE('17.10 MITYANA-KANONI'!I35,'18.10 MITYANA-KANONI-24h'!I35,'19.10 MITYANA-KANONI-24h'!I35,'20.10 MITYANA-KANONI'!I35,'21.10 MITYANA-KANONI'!I35,'22.10 MITYANA-KANONI'!I35,'23.10 MITYANA-KANONI'!I35)</f>
        <v>0.14285714285714285</v>
      </c>
      <c r="J35" s="49">
        <f>AVERAGE('17.10 MITYANA-KANONI'!J35,'18.10 MITYANA-KANONI-24h'!J35,'19.10 MITYANA-KANONI-24h'!J35,'20.10 MITYANA-KANONI'!J35,'21.10 MITYANA-KANONI'!J35,'22.10 MITYANA-KANONI'!J35,'23.10 MITYANA-KANONI'!J35)</f>
        <v>0</v>
      </c>
      <c r="K35" s="49">
        <f>AVERAGE('17.10 MITYANA-KANONI'!K35,'18.10 MITYANA-KANONI-24h'!K35,'19.10 MITYANA-KANONI-24h'!K35,'20.10 MITYANA-KANONI'!K35,'21.10 MITYANA-KANONI'!K35,'22.10 MITYANA-KANONI'!K35,'23.10 MITYANA-KANONI'!K35)</f>
        <v>0</v>
      </c>
      <c r="L35" s="49">
        <f>AVERAGE('17.10 MITYANA-KANONI'!L35,'18.10 MITYANA-KANONI-24h'!L35,'19.10 MITYANA-KANONI-24h'!L35,'20.10 MITYANA-KANONI'!L35,'21.10 MITYANA-KANONI'!L35,'22.10 MITYANA-KANONI'!L35,'23.10 MITYANA-KANONI'!L35)</f>
        <v>0</v>
      </c>
      <c r="M35" s="49">
        <f>AVERAGE('17.10 MITYANA-KANONI'!M35,'18.10 MITYANA-KANONI-24h'!M35,'19.10 MITYANA-KANONI-24h'!M35,'20.10 MITYANA-KANONI'!M35,'21.10 MITYANA-KANONI'!M35,'22.10 MITYANA-KANONI'!M35,'23.10 MITYANA-KANONI'!M35)</f>
        <v>11.428571428571429</v>
      </c>
      <c r="N35" s="49">
        <f>AVERAGE('17.10 MITYANA-KANONI'!N35,'18.10 MITYANA-KANONI-24h'!N35,'19.10 MITYANA-KANONI-24h'!N35,'20.10 MITYANA-KANONI'!N35,'21.10 MITYANA-KANONI'!N35,'22.10 MITYANA-KANONI'!N35,'23.10 MITYANA-KANONI'!N35)</f>
        <v>0</v>
      </c>
      <c r="O35" s="15">
        <f t="shared" si="0"/>
        <v>0.5714285714285714</v>
      </c>
      <c r="P35" s="15">
        <f t="shared" si="1"/>
        <v>12</v>
      </c>
      <c r="R35" s="51" t="s">
        <v>91</v>
      </c>
      <c r="S35" s="52">
        <f t="shared" ref="S35:AF35" si="27">MAX(S13:S18)</f>
        <v>4.5714285714285712</v>
      </c>
      <c r="T35" s="52">
        <f t="shared" si="27"/>
        <v>0.71428571428571419</v>
      </c>
      <c r="U35" s="52">
        <f t="shared" si="27"/>
        <v>1.4285714285714284</v>
      </c>
      <c r="V35" s="52">
        <f t="shared" si="27"/>
        <v>1</v>
      </c>
      <c r="W35" s="52">
        <f t="shared" si="27"/>
        <v>0.14285714285714285</v>
      </c>
      <c r="X35" s="52">
        <f t="shared" si="27"/>
        <v>0.14285714285714285</v>
      </c>
      <c r="Y35" s="52">
        <f t="shared" si="27"/>
        <v>2.8571428571428568</v>
      </c>
      <c r="Z35" s="52">
        <f t="shared" si="27"/>
        <v>0.99999999999999989</v>
      </c>
      <c r="AA35" s="52">
        <f t="shared" si="27"/>
        <v>0.14285714285714285</v>
      </c>
      <c r="AB35" s="52">
        <f t="shared" si="27"/>
        <v>0.42857142857142855</v>
      </c>
      <c r="AC35" s="52">
        <f t="shared" si="27"/>
        <v>50.714285714285722</v>
      </c>
      <c r="AD35" s="52">
        <f t="shared" si="27"/>
        <v>0</v>
      </c>
      <c r="AE35" s="40">
        <f t="shared" si="27"/>
        <v>10</v>
      </c>
      <c r="AF35" s="40">
        <f t="shared" si="27"/>
        <v>60.714285714285715</v>
      </c>
    </row>
    <row r="36" spans="2:32" ht="23.1" customHeight="1" x14ac:dyDescent="0.25">
      <c r="B36" s="24" t="s">
        <v>63</v>
      </c>
      <c r="C36" s="49">
        <f>AVERAGE('17.10 MITYANA-KANONI'!C36,'18.10 MITYANA-KANONI-24h'!C36,'19.10 MITYANA-KANONI-24h'!C36,'20.10 MITYANA-KANONI'!C36,'21.10 MITYANA-KANONI'!C36,'22.10 MITYANA-KANONI'!C36,'23.10 MITYANA-KANONI'!C36)</f>
        <v>1.2857142857142858</v>
      </c>
      <c r="D36" s="49">
        <f>AVERAGE('17.10 MITYANA-KANONI'!D36,'18.10 MITYANA-KANONI-24h'!D36,'19.10 MITYANA-KANONI-24h'!D36,'20.10 MITYANA-KANONI'!D36,'21.10 MITYANA-KANONI'!D36,'22.10 MITYANA-KANONI'!D36,'23.10 MITYANA-KANONI'!D36)</f>
        <v>0.42857142857142855</v>
      </c>
      <c r="E36" s="49">
        <f>AVERAGE('17.10 MITYANA-KANONI'!E36,'18.10 MITYANA-KANONI-24h'!E36,'19.10 MITYANA-KANONI-24h'!E36,'20.10 MITYANA-KANONI'!E36,'21.10 MITYANA-KANONI'!E36,'22.10 MITYANA-KANONI'!E36,'23.10 MITYANA-KANONI'!E36)</f>
        <v>0.42857142857142855</v>
      </c>
      <c r="F36" s="49">
        <f>AVERAGE('17.10 MITYANA-KANONI'!F36,'18.10 MITYANA-KANONI-24h'!F36,'19.10 MITYANA-KANONI-24h'!F36,'20.10 MITYANA-KANONI'!F36,'21.10 MITYANA-KANONI'!F36,'22.10 MITYANA-KANONI'!F36,'23.10 MITYANA-KANONI'!F36)</f>
        <v>0.14285714285714285</v>
      </c>
      <c r="G36" s="49">
        <f>AVERAGE('17.10 MITYANA-KANONI'!G36,'18.10 MITYANA-KANONI-24h'!G36,'19.10 MITYANA-KANONI-24h'!G36,'20.10 MITYANA-KANONI'!G36,'21.10 MITYANA-KANONI'!G36,'22.10 MITYANA-KANONI'!G36,'23.10 MITYANA-KANONI'!G36)</f>
        <v>0</v>
      </c>
      <c r="H36" s="49">
        <f>AVERAGE('17.10 MITYANA-KANONI'!H36,'18.10 MITYANA-KANONI-24h'!H36,'19.10 MITYANA-KANONI-24h'!H36,'20.10 MITYANA-KANONI'!H36,'21.10 MITYANA-KANONI'!H36,'22.10 MITYANA-KANONI'!H36,'23.10 MITYANA-KANONI'!H36)</f>
        <v>0</v>
      </c>
      <c r="I36" s="49">
        <f>AVERAGE('17.10 MITYANA-KANONI'!I36,'18.10 MITYANA-KANONI-24h'!I36,'19.10 MITYANA-KANONI-24h'!I36,'20.10 MITYANA-KANONI'!I36,'21.10 MITYANA-KANONI'!I36,'22.10 MITYANA-KANONI'!I36,'23.10 MITYANA-KANONI'!I36)</f>
        <v>0.2857142857142857</v>
      </c>
      <c r="J36" s="49">
        <f>AVERAGE('17.10 MITYANA-KANONI'!J36,'18.10 MITYANA-KANONI-24h'!J36,'19.10 MITYANA-KANONI-24h'!J36,'20.10 MITYANA-KANONI'!J36,'21.10 MITYANA-KANONI'!J36,'22.10 MITYANA-KANONI'!J36,'23.10 MITYANA-KANONI'!J36)</f>
        <v>0.14285714285714285</v>
      </c>
      <c r="K36" s="49">
        <f>AVERAGE('17.10 MITYANA-KANONI'!K36,'18.10 MITYANA-KANONI-24h'!K36,'19.10 MITYANA-KANONI-24h'!K36,'20.10 MITYANA-KANONI'!K36,'21.10 MITYANA-KANONI'!K36,'22.10 MITYANA-KANONI'!K36,'23.10 MITYANA-KANONI'!K36)</f>
        <v>0</v>
      </c>
      <c r="L36" s="49">
        <f>AVERAGE('17.10 MITYANA-KANONI'!L36,'18.10 MITYANA-KANONI-24h'!L36,'19.10 MITYANA-KANONI-24h'!L36,'20.10 MITYANA-KANONI'!L36,'21.10 MITYANA-KANONI'!L36,'22.10 MITYANA-KANONI'!L36,'23.10 MITYANA-KANONI'!L36)</f>
        <v>0</v>
      </c>
      <c r="M36" s="49">
        <f>AVERAGE('17.10 MITYANA-KANONI'!M36,'18.10 MITYANA-KANONI-24h'!M36,'19.10 MITYANA-KANONI-24h'!M36,'20.10 MITYANA-KANONI'!M36,'21.10 MITYANA-KANONI'!M36,'22.10 MITYANA-KANONI'!M36,'23.10 MITYANA-KANONI'!M36)</f>
        <v>11.714285714285714</v>
      </c>
      <c r="N36" s="49">
        <f>AVERAGE('17.10 MITYANA-KANONI'!N36,'18.10 MITYANA-KANONI-24h'!N36,'19.10 MITYANA-KANONI-24h'!N36,'20.10 MITYANA-KANONI'!N36,'21.10 MITYANA-KANONI'!N36,'22.10 MITYANA-KANONI'!N36,'23.10 MITYANA-KANONI'!N36)</f>
        <v>0</v>
      </c>
      <c r="O36" s="15">
        <f t="shared" si="0"/>
        <v>2.714285714285714</v>
      </c>
      <c r="P36" s="15">
        <f t="shared" si="1"/>
        <v>14.428571428571427</v>
      </c>
      <c r="R36" s="51" t="s">
        <v>92</v>
      </c>
      <c r="S36" s="52">
        <f t="shared" ref="S36:AF36" si="28">MAX(S19:S21)</f>
        <v>2.8571428571428572</v>
      </c>
      <c r="T36" s="52">
        <f t="shared" si="28"/>
        <v>0.42857142857142855</v>
      </c>
      <c r="U36" s="52">
        <f t="shared" si="28"/>
        <v>1.1428571428571428</v>
      </c>
      <c r="V36" s="52">
        <f t="shared" si="28"/>
        <v>1</v>
      </c>
      <c r="W36" s="52">
        <f t="shared" si="28"/>
        <v>0</v>
      </c>
      <c r="X36" s="52">
        <f t="shared" si="28"/>
        <v>0.14285714285714285</v>
      </c>
      <c r="Y36" s="52">
        <f t="shared" si="28"/>
        <v>3.8571428571428568</v>
      </c>
      <c r="Z36" s="52">
        <f t="shared" si="28"/>
        <v>0.8571428571428571</v>
      </c>
      <c r="AA36" s="52">
        <f t="shared" si="28"/>
        <v>0.42857142857142855</v>
      </c>
      <c r="AB36" s="52">
        <f t="shared" si="28"/>
        <v>0</v>
      </c>
      <c r="AC36" s="52">
        <f t="shared" si="28"/>
        <v>56.285714285714285</v>
      </c>
      <c r="AD36" s="52">
        <f t="shared" si="28"/>
        <v>0</v>
      </c>
      <c r="AE36" s="40">
        <f t="shared" si="28"/>
        <v>9.7142857142857135</v>
      </c>
      <c r="AF36" s="40">
        <f t="shared" si="28"/>
        <v>63.714285714285708</v>
      </c>
    </row>
    <row r="37" spans="2:32" ht="23.1" customHeight="1" x14ac:dyDescent="0.25">
      <c r="B37" s="23" t="s">
        <v>64</v>
      </c>
      <c r="C37" s="49">
        <f>AVERAGE('17.10 MITYANA-KANONI'!C37,'18.10 MITYANA-KANONI-24h'!C37,'19.10 MITYANA-KANONI-24h'!C37,'20.10 MITYANA-KANONI'!C37,'21.10 MITYANA-KANONI'!C37,'22.10 MITYANA-KANONI'!C37,'23.10 MITYANA-KANONI'!C37)</f>
        <v>0.5714285714285714</v>
      </c>
      <c r="D37" s="49">
        <f>AVERAGE('17.10 MITYANA-KANONI'!D37,'18.10 MITYANA-KANONI-24h'!D37,'19.10 MITYANA-KANONI-24h'!D37,'20.10 MITYANA-KANONI'!D37,'21.10 MITYANA-KANONI'!D37,'22.10 MITYANA-KANONI'!D37,'23.10 MITYANA-KANONI'!D37)</f>
        <v>0</v>
      </c>
      <c r="E37" s="49">
        <f>AVERAGE('17.10 MITYANA-KANONI'!E37,'18.10 MITYANA-KANONI-24h'!E37,'19.10 MITYANA-KANONI-24h'!E37,'20.10 MITYANA-KANONI'!E37,'21.10 MITYANA-KANONI'!E37,'22.10 MITYANA-KANONI'!E37,'23.10 MITYANA-KANONI'!E37)</f>
        <v>0.14285714285714285</v>
      </c>
      <c r="F37" s="49">
        <f>AVERAGE('17.10 MITYANA-KANONI'!F37,'18.10 MITYANA-KANONI-24h'!F37,'19.10 MITYANA-KANONI-24h'!F37,'20.10 MITYANA-KANONI'!F37,'21.10 MITYANA-KANONI'!F37,'22.10 MITYANA-KANONI'!F37,'23.10 MITYANA-KANONI'!F37)</f>
        <v>0.2857142857142857</v>
      </c>
      <c r="G37" s="49">
        <f>AVERAGE('17.10 MITYANA-KANONI'!G37,'18.10 MITYANA-KANONI-24h'!G37,'19.10 MITYANA-KANONI-24h'!G37,'20.10 MITYANA-KANONI'!G37,'21.10 MITYANA-KANONI'!G37,'22.10 MITYANA-KANONI'!G37,'23.10 MITYANA-KANONI'!G37)</f>
        <v>0</v>
      </c>
      <c r="H37" s="49">
        <f>AVERAGE('17.10 MITYANA-KANONI'!H37,'18.10 MITYANA-KANONI-24h'!H37,'19.10 MITYANA-KANONI-24h'!H37,'20.10 MITYANA-KANONI'!H37,'21.10 MITYANA-KANONI'!H37,'22.10 MITYANA-KANONI'!H37,'23.10 MITYANA-KANONI'!H37)</f>
        <v>0</v>
      </c>
      <c r="I37" s="49">
        <f>AVERAGE('17.10 MITYANA-KANONI'!I37,'18.10 MITYANA-KANONI-24h'!I37,'19.10 MITYANA-KANONI-24h'!I37,'20.10 MITYANA-KANONI'!I37,'21.10 MITYANA-KANONI'!I37,'22.10 MITYANA-KANONI'!I37,'23.10 MITYANA-KANONI'!I37)</f>
        <v>0.8571428571428571</v>
      </c>
      <c r="J37" s="49">
        <f>AVERAGE('17.10 MITYANA-KANONI'!J37,'18.10 MITYANA-KANONI-24h'!J37,'19.10 MITYANA-KANONI-24h'!J37,'20.10 MITYANA-KANONI'!J37,'21.10 MITYANA-KANONI'!J37,'22.10 MITYANA-KANONI'!J37,'23.10 MITYANA-KANONI'!J37)</f>
        <v>0.2857142857142857</v>
      </c>
      <c r="K37" s="49">
        <f>AVERAGE('17.10 MITYANA-KANONI'!K37,'18.10 MITYANA-KANONI-24h'!K37,'19.10 MITYANA-KANONI-24h'!K37,'20.10 MITYANA-KANONI'!K37,'21.10 MITYANA-KANONI'!K37,'22.10 MITYANA-KANONI'!K37,'23.10 MITYANA-KANONI'!K37)</f>
        <v>0</v>
      </c>
      <c r="L37" s="49">
        <f>AVERAGE('17.10 MITYANA-KANONI'!L37,'18.10 MITYANA-KANONI-24h'!L37,'19.10 MITYANA-KANONI-24h'!L37,'20.10 MITYANA-KANONI'!L37,'21.10 MITYANA-KANONI'!L37,'22.10 MITYANA-KANONI'!L37,'23.10 MITYANA-KANONI'!L37)</f>
        <v>0</v>
      </c>
      <c r="M37" s="49">
        <f>AVERAGE('17.10 MITYANA-KANONI'!M37,'18.10 MITYANA-KANONI-24h'!M37,'19.10 MITYANA-KANONI-24h'!M37,'20.10 MITYANA-KANONI'!M37,'21.10 MITYANA-KANONI'!M37,'22.10 MITYANA-KANONI'!M37,'23.10 MITYANA-KANONI'!M37)</f>
        <v>12</v>
      </c>
      <c r="N37" s="49">
        <f>AVERAGE('17.10 MITYANA-KANONI'!N37,'18.10 MITYANA-KANONI-24h'!N37,'19.10 MITYANA-KANONI-24h'!N37,'20.10 MITYANA-KANONI'!N37,'21.10 MITYANA-KANONI'!N37,'22.10 MITYANA-KANONI'!N37,'23.10 MITYANA-KANONI'!N37)</f>
        <v>0</v>
      </c>
      <c r="O37" s="15">
        <f t="shared" si="0"/>
        <v>2.1428571428571428</v>
      </c>
      <c r="P37" s="15">
        <f t="shared" si="1"/>
        <v>14.142857142857142</v>
      </c>
      <c r="R37" s="37" t="s">
        <v>85</v>
      </c>
      <c r="S37" s="53">
        <f t="shared" ref="S37:AF37" si="29">SUM(S10:S12)</f>
        <v>5.2857142857142856</v>
      </c>
      <c r="T37" s="54">
        <f t="shared" si="29"/>
        <v>1.1428571428571428</v>
      </c>
      <c r="U37" s="54">
        <f t="shared" si="29"/>
        <v>1.7142857142857142</v>
      </c>
      <c r="V37" s="54">
        <f t="shared" si="29"/>
        <v>1.714285714285714</v>
      </c>
      <c r="W37" s="54">
        <f t="shared" si="29"/>
        <v>0</v>
      </c>
      <c r="X37" s="54">
        <f t="shared" si="29"/>
        <v>0</v>
      </c>
      <c r="Y37" s="54">
        <f t="shared" si="29"/>
        <v>5.4285714285714279</v>
      </c>
      <c r="Z37" s="54">
        <f t="shared" si="29"/>
        <v>1.5714285714285714</v>
      </c>
      <c r="AA37" s="54">
        <f t="shared" si="29"/>
        <v>0.5714285714285714</v>
      </c>
      <c r="AB37" s="54">
        <f t="shared" si="29"/>
        <v>0</v>
      </c>
      <c r="AC37" s="54">
        <f t="shared" si="29"/>
        <v>123</v>
      </c>
      <c r="AD37" s="54">
        <f t="shared" si="29"/>
        <v>0</v>
      </c>
      <c r="AE37" s="55">
        <f t="shared" si="29"/>
        <v>17.428571428571431</v>
      </c>
      <c r="AF37" s="55">
        <f t="shared" si="29"/>
        <v>140.42857142857142</v>
      </c>
    </row>
    <row r="38" spans="2:32" ht="23.1" customHeight="1" x14ac:dyDescent="0.25">
      <c r="B38" s="24" t="s">
        <v>65</v>
      </c>
      <c r="C38" s="49">
        <f>AVERAGE('17.10 MITYANA-KANONI'!C38,'18.10 MITYANA-KANONI-24h'!C38,'19.10 MITYANA-KANONI-24h'!C38,'20.10 MITYANA-KANONI'!C38,'21.10 MITYANA-KANONI'!C38,'22.10 MITYANA-KANONI'!C38,'23.10 MITYANA-KANONI'!C38)</f>
        <v>0.5714285714285714</v>
      </c>
      <c r="D38" s="49">
        <f>AVERAGE('17.10 MITYANA-KANONI'!D38,'18.10 MITYANA-KANONI-24h'!D38,'19.10 MITYANA-KANONI-24h'!D38,'20.10 MITYANA-KANONI'!D38,'21.10 MITYANA-KANONI'!D38,'22.10 MITYANA-KANONI'!D38,'23.10 MITYANA-KANONI'!D38)</f>
        <v>0.14285714285714285</v>
      </c>
      <c r="E38" s="49">
        <f>AVERAGE('17.10 MITYANA-KANONI'!E38,'18.10 MITYANA-KANONI-24h'!E38,'19.10 MITYANA-KANONI-24h'!E38,'20.10 MITYANA-KANONI'!E38,'21.10 MITYANA-KANONI'!E38,'22.10 MITYANA-KANONI'!E38,'23.10 MITYANA-KANONI'!E38)</f>
        <v>0</v>
      </c>
      <c r="F38" s="49">
        <f>AVERAGE('17.10 MITYANA-KANONI'!F38,'18.10 MITYANA-KANONI-24h'!F38,'19.10 MITYANA-KANONI-24h'!F38,'20.10 MITYANA-KANONI'!F38,'21.10 MITYANA-KANONI'!F38,'22.10 MITYANA-KANONI'!F38,'23.10 MITYANA-KANONI'!F38)</f>
        <v>0.14285714285714285</v>
      </c>
      <c r="G38" s="49">
        <f>AVERAGE('17.10 MITYANA-KANONI'!G38,'18.10 MITYANA-KANONI-24h'!G38,'19.10 MITYANA-KANONI-24h'!G38,'20.10 MITYANA-KANONI'!G38,'21.10 MITYANA-KANONI'!G38,'22.10 MITYANA-KANONI'!G38,'23.10 MITYANA-KANONI'!G38)</f>
        <v>0</v>
      </c>
      <c r="H38" s="49">
        <f>AVERAGE('17.10 MITYANA-KANONI'!H38,'18.10 MITYANA-KANONI-24h'!H38,'19.10 MITYANA-KANONI-24h'!H38,'20.10 MITYANA-KANONI'!H38,'21.10 MITYANA-KANONI'!H38,'22.10 MITYANA-KANONI'!H38,'23.10 MITYANA-KANONI'!H38)</f>
        <v>0</v>
      </c>
      <c r="I38" s="49">
        <f>AVERAGE('17.10 MITYANA-KANONI'!I38,'18.10 MITYANA-KANONI-24h'!I38,'19.10 MITYANA-KANONI-24h'!I38,'20.10 MITYANA-KANONI'!I38,'21.10 MITYANA-KANONI'!I38,'22.10 MITYANA-KANONI'!I38,'23.10 MITYANA-KANONI'!I38)</f>
        <v>0.5714285714285714</v>
      </c>
      <c r="J38" s="49">
        <f>AVERAGE('17.10 MITYANA-KANONI'!J38,'18.10 MITYANA-KANONI-24h'!J38,'19.10 MITYANA-KANONI-24h'!J38,'20.10 MITYANA-KANONI'!J38,'21.10 MITYANA-KANONI'!J38,'22.10 MITYANA-KANONI'!J38,'23.10 MITYANA-KANONI'!J38)</f>
        <v>0.42857142857142855</v>
      </c>
      <c r="K38" s="49">
        <f>AVERAGE('17.10 MITYANA-KANONI'!K38,'18.10 MITYANA-KANONI-24h'!K38,'19.10 MITYANA-KANONI-24h'!K38,'20.10 MITYANA-KANONI'!K38,'21.10 MITYANA-KANONI'!K38,'22.10 MITYANA-KANONI'!K38,'23.10 MITYANA-KANONI'!K38)</f>
        <v>0.14285714285714285</v>
      </c>
      <c r="L38" s="49">
        <f>AVERAGE('17.10 MITYANA-KANONI'!L38,'18.10 MITYANA-KANONI-24h'!L38,'19.10 MITYANA-KANONI-24h'!L38,'20.10 MITYANA-KANONI'!L38,'21.10 MITYANA-KANONI'!L38,'22.10 MITYANA-KANONI'!L38,'23.10 MITYANA-KANONI'!L38)</f>
        <v>0.14285714285714285</v>
      </c>
      <c r="M38" s="49">
        <f>AVERAGE('17.10 MITYANA-KANONI'!M38,'18.10 MITYANA-KANONI-24h'!M38,'19.10 MITYANA-KANONI-24h'!M38,'20.10 MITYANA-KANONI'!M38,'21.10 MITYANA-KANONI'!M38,'22.10 MITYANA-KANONI'!M38,'23.10 MITYANA-KANONI'!M38)</f>
        <v>11</v>
      </c>
      <c r="N38" s="49">
        <f>AVERAGE('17.10 MITYANA-KANONI'!N38,'18.10 MITYANA-KANONI-24h'!N38,'19.10 MITYANA-KANONI-24h'!N38,'20.10 MITYANA-KANONI'!N38,'21.10 MITYANA-KANONI'!N38,'22.10 MITYANA-KANONI'!N38,'23.10 MITYANA-KANONI'!N38)</f>
        <v>0</v>
      </c>
      <c r="O38" s="15">
        <f t="shared" si="0"/>
        <v>2.1428571428571428</v>
      </c>
      <c r="P38" s="15">
        <f t="shared" si="1"/>
        <v>13.142857142857142</v>
      </c>
      <c r="R38" s="28" t="s">
        <v>86</v>
      </c>
      <c r="S38" s="54">
        <f t="shared" ref="S38:AF38" si="30">SUM(S13:S18)</f>
        <v>19.571428571428573</v>
      </c>
      <c r="T38" s="54">
        <f t="shared" si="30"/>
        <v>3.5714285714285712</v>
      </c>
      <c r="U38" s="54">
        <f t="shared" si="30"/>
        <v>4.4285714285714279</v>
      </c>
      <c r="V38" s="54">
        <f t="shared" si="30"/>
        <v>4</v>
      </c>
      <c r="W38" s="54">
        <f t="shared" si="30"/>
        <v>0.2857142857142857</v>
      </c>
      <c r="X38" s="54">
        <f t="shared" si="30"/>
        <v>0.14285714285714285</v>
      </c>
      <c r="Y38" s="54">
        <f t="shared" si="30"/>
        <v>12.999999999999998</v>
      </c>
      <c r="Z38" s="54">
        <f t="shared" si="30"/>
        <v>4</v>
      </c>
      <c r="AA38" s="54">
        <f t="shared" si="30"/>
        <v>0.2857142857142857</v>
      </c>
      <c r="AB38" s="54">
        <f t="shared" si="30"/>
        <v>0.71428571428571419</v>
      </c>
      <c r="AC38" s="54">
        <f t="shared" si="30"/>
        <v>280.28571428571428</v>
      </c>
      <c r="AD38" s="54">
        <f t="shared" si="30"/>
        <v>0</v>
      </c>
      <c r="AE38" s="55">
        <f t="shared" si="30"/>
        <v>50</v>
      </c>
      <c r="AF38" s="55">
        <f t="shared" si="30"/>
        <v>330.28571428571433</v>
      </c>
    </row>
    <row r="39" spans="2:32" ht="23.1" customHeight="1" x14ac:dyDescent="0.25">
      <c r="B39" s="24" t="s">
        <v>66</v>
      </c>
      <c r="C39" s="49">
        <f>AVERAGE('17.10 MITYANA-KANONI'!C39,'18.10 MITYANA-KANONI-24h'!C39,'19.10 MITYANA-KANONI-24h'!C39,'20.10 MITYANA-KANONI'!C39,'21.10 MITYANA-KANONI'!C39,'22.10 MITYANA-KANONI'!C39,'23.10 MITYANA-KANONI'!C39)</f>
        <v>1</v>
      </c>
      <c r="D39" s="49">
        <f>AVERAGE('17.10 MITYANA-KANONI'!D39,'18.10 MITYANA-KANONI-24h'!D39,'19.10 MITYANA-KANONI-24h'!D39,'20.10 MITYANA-KANONI'!D39,'21.10 MITYANA-KANONI'!D39,'22.10 MITYANA-KANONI'!D39,'23.10 MITYANA-KANONI'!D39)</f>
        <v>0</v>
      </c>
      <c r="E39" s="49">
        <f>AVERAGE('17.10 MITYANA-KANONI'!E39,'18.10 MITYANA-KANONI-24h'!E39,'19.10 MITYANA-KANONI-24h'!E39,'20.10 MITYANA-KANONI'!E39,'21.10 MITYANA-KANONI'!E39,'22.10 MITYANA-KANONI'!E39,'23.10 MITYANA-KANONI'!E39)</f>
        <v>0</v>
      </c>
      <c r="F39" s="49">
        <f>AVERAGE('17.10 MITYANA-KANONI'!F39,'18.10 MITYANA-KANONI-24h'!F39,'19.10 MITYANA-KANONI-24h'!F39,'20.10 MITYANA-KANONI'!F39,'21.10 MITYANA-KANONI'!F39,'22.10 MITYANA-KANONI'!F39,'23.10 MITYANA-KANONI'!F39)</f>
        <v>0.14285714285714285</v>
      </c>
      <c r="G39" s="49">
        <f>AVERAGE('17.10 MITYANA-KANONI'!G39,'18.10 MITYANA-KANONI-24h'!G39,'19.10 MITYANA-KANONI-24h'!G39,'20.10 MITYANA-KANONI'!G39,'21.10 MITYANA-KANONI'!G39,'22.10 MITYANA-KANONI'!G39,'23.10 MITYANA-KANONI'!G39)</f>
        <v>0</v>
      </c>
      <c r="H39" s="49">
        <f>AVERAGE('17.10 MITYANA-KANONI'!H39,'18.10 MITYANA-KANONI-24h'!H39,'19.10 MITYANA-KANONI-24h'!H39,'20.10 MITYANA-KANONI'!H39,'21.10 MITYANA-KANONI'!H39,'22.10 MITYANA-KANONI'!H39,'23.10 MITYANA-KANONI'!H39)</f>
        <v>0</v>
      </c>
      <c r="I39" s="49">
        <f>AVERAGE('17.10 MITYANA-KANONI'!I39,'18.10 MITYANA-KANONI-24h'!I39,'19.10 MITYANA-KANONI-24h'!I39,'20.10 MITYANA-KANONI'!I39,'21.10 MITYANA-KANONI'!I39,'22.10 MITYANA-KANONI'!I39,'23.10 MITYANA-KANONI'!I39)</f>
        <v>0.5714285714285714</v>
      </c>
      <c r="J39" s="49">
        <f>AVERAGE('17.10 MITYANA-KANONI'!J39,'18.10 MITYANA-KANONI-24h'!J39,'19.10 MITYANA-KANONI-24h'!J39,'20.10 MITYANA-KANONI'!J39,'21.10 MITYANA-KANONI'!J39,'22.10 MITYANA-KANONI'!J39,'23.10 MITYANA-KANONI'!J39)</f>
        <v>0</v>
      </c>
      <c r="K39" s="49">
        <f>AVERAGE('17.10 MITYANA-KANONI'!K39,'18.10 MITYANA-KANONI-24h'!K39,'19.10 MITYANA-KANONI-24h'!K39,'20.10 MITYANA-KANONI'!K39,'21.10 MITYANA-KANONI'!K39,'22.10 MITYANA-KANONI'!K39,'23.10 MITYANA-KANONI'!K39)</f>
        <v>0</v>
      </c>
      <c r="L39" s="49">
        <f>AVERAGE('17.10 MITYANA-KANONI'!L39,'18.10 MITYANA-KANONI-24h'!L39,'19.10 MITYANA-KANONI-24h'!L39,'20.10 MITYANA-KANONI'!L39,'21.10 MITYANA-KANONI'!L39,'22.10 MITYANA-KANONI'!L39,'23.10 MITYANA-KANONI'!L39)</f>
        <v>0.2857142857142857</v>
      </c>
      <c r="M39" s="49">
        <f>AVERAGE('17.10 MITYANA-KANONI'!M39,'18.10 MITYANA-KANONI-24h'!M39,'19.10 MITYANA-KANONI-24h'!M39,'20.10 MITYANA-KANONI'!M39,'21.10 MITYANA-KANONI'!M39,'22.10 MITYANA-KANONI'!M39,'23.10 MITYANA-KANONI'!M39)</f>
        <v>11.571428571428571</v>
      </c>
      <c r="N39" s="49">
        <f>AVERAGE('17.10 MITYANA-KANONI'!N39,'18.10 MITYANA-KANONI-24h'!N39,'19.10 MITYANA-KANONI-24h'!N39,'20.10 MITYANA-KANONI'!N39,'21.10 MITYANA-KANONI'!N39,'22.10 MITYANA-KANONI'!N39,'23.10 MITYANA-KANONI'!N39)</f>
        <v>0</v>
      </c>
      <c r="O39" s="15">
        <f t="shared" si="0"/>
        <v>2</v>
      </c>
      <c r="P39" s="15">
        <f t="shared" si="1"/>
        <v>13.571428571428571</v>
      </c>
      <c r="R39" s="29" t="s">
        <v>87</v>
      </c>
      <c r="S39" s="54">
        <f t="shared" ref="S39:AF39" si="31">SUM(S19:S21)</f>
        <v>7.2857142857142865</v>
      </c>
      <c r="T39" s="54">
        <f t="shared" si="31"/>
        <v>1.1428571428571428</v>
      </c>
      <c r="U39" s="54">
        <f t="shared" si="31"/>
        <v>2.4285714285714284</v>
      </c>
      <c r="V39" s="54">
        <f t="shared" si="31"/>
        <v>2.714285714285714</v>
      </c>
      <c r="W39" s="54">
        <f t="shared" si="31"/>
        <v>0</v>
      </c>
      <c r="X39" s="54">
        <f t="shared" si="31"/>
        <v>0.14285714285714285</v>
      </c>
      <c r="Y39" s="54">
        <f t="shared" si="31"/>
        <v>7.1428571428571423</v>
      </c>
      <c r="Z39" s="54">
        <f t="shared" si="31"/>
        <v>1.8571428571428568</v>
      </c>
      <c r="AA39" s="54">
        <f t="shared" si="31"/>
        <v>0.5714285714285714</v>
      </c>
      <c r="AB39" s="54">
        <f t="shared" si="31"/>
        <v>0</v>
      </c>
      <c r="AC39" s="54">
        <f t="shared" si="31"/>
        <v>162.57142857142856</v>
      </c>
      <c r="AD39" s="54">
        <f t="shared" si="31"/>
        <v>0</v>
      </c>
      <c r="AE39" s="55">
        <f t="shared" si="31"/>
        <v>23.285714285714285</v>
      </c>
      <c r="AF39" s="55">
        <f t="shared" si="31"/>
        <v>185.85714285714283</v>
      </c>
    </row>
    <row r="40" spans="2:32" ht="23.1" customHeight="1" x14ac:dyDescent="0.25">
      <c r="B40" s="24" t="s">
        <v>67</v>
      </c>
      <c r="C40" s="49">
        <f>AVERAGE('17.10 MITYANA-KANONI'!C40,'18.10 MITYANA-KANONI-24h'!C40,'19.10 MITYANA-KANONI-24h'!C40,'20.10 MITYANA-KANONI'!C40,'21.10 MITYANA-KANONI'!C40,'22.10 MITYANA-KANONI'!C40,'23.10 MITYANA-KANONI'!C40)</f>
        <v>0.7142857142857143</v>
      </c>
      <c r="D40" s="49">
        <f>AVERAGE('17.10 MITYANA-KANONI'!D40,'18.10 MITYANA-KANONI-24h'!D40,'19.10 MITYANA-KANONI-24h'!D40,'20.10 MITYANA-KANONI'!D40,'21.10 MITYANA-KANONI'!D40,'22.10 MITYANA-KANONI'!D40,'23.10 MITYANA-KANONI'!D40)</f>
        <v>0.14285714285714285</v>
      </c>
      <c r="E40" s="49">
        <f>AVERAGE('17.10 MITYANA-KANONI'!E40,'18.10 MITYANA-KANONI-24h'!E40,'19.10 MITYANA-KANONI-24h'!E40,'20.10 MITYANA-KANONI'!E40,'21.10 MITYANA-KANONI'!E40,'22.10 MITYANA-KANONI'!E40,'23.10 MITYANA-KANONI'!E40)</f>
        <v>0.14285714285714285</v>
      </c>
      <c r="F40" s="49">
        <f>AVERAGE('17.10 MITYANA-KANONI'!F40,'18.10 MITYANA-KANONI-24h'!F40,'19.10 MITYANA-KANONI-24h'!F40,'20.10 MITYANA-KANONI'!F40,'21.10 MITYANA-KANONI'!F40,'22.10 MITYANA-KANONI'!F40,'23.10 MITYANA-KANONI'!F40)</f>
        <v>0.2857142857142857</v>
      </c>
      <c r="G40" s="49">
        <f>AVERAGE('17.10 MITYANA-KANONI'!G40,'18.10 MITYANA-KANONI-24h'!G40,'19.10 MITYANA-KANONI-24h'!G40,'20.10 MITYANA-KANONI'!G40,'21.10 MITYANA-KANONI'!G40,'22.10 MITYANA-KANONI'!G40,'23.10 MITYANA-KANONI'!G40)</f>
        <v>0</v>
      </c>
      <c r="H40" s="49">
        <f>AVERAGE('17.10 MITYANA-KANONI'!H40,'18.10 MITYANA-KANONI-24h'!H40,'19.10 MITYANA-KANONI-24h'!H40,'20.10 MITYANA-KANONI'!H40,'21.10 MITYANA-KANONI'!H40,'22.10 MITYANA-KANONI'!H40,'23.10 MITYANA-KANONI'!H40)</f>
        <v>0</v>
      </c>
      <c r="I40" s="49">
        <f>AVERAGE('17.10 MITYANA-KANONI'!I40,'18.10 MITYANA-KANONI-24h'!I40,'19.10 MITYANA-KANONI-24h'!I40,'20.10 MITYANA-KANONI'!I40,'21.10 MITYANA-KANONI'!I40,'22.10 MITYANA-KANONI'!I40,'23.10 MITYANA-KANONI'!I40)</f>
        <v>0.14285714285714285</v>
      </c>
      <c r="J40" s="49">
        <f>AVERAGE('17.10 MITYANA-KANONI'!J40,'18.10 MITYANA-KANONI-24h'!J40,'19.10 MITYANA-KANONI-24h'!J40,'20.10 MITYANA-KANONI'!J40,'21.10 MITYANA-KANONI'!J40,'22.10 MITYANA-KANONI'!J40,'23.10 MITYANA-KANONI'!J40)</f>
        <v>0.2857142857142857</v>
      </c>
      <c r="K40" s="49">
        <f>AVERAGE('17.10 MITYANA-KANONI'!K40,'18.10 MITYANA-KANONI-24h'!K40,'19.10 MITYANA-KANONI-24h'!K40,'20.10 MITYANA-KANONI'!K40,'21.10 MITYANA-KANONI'!K40,'22.10 MITYANA-KANONI'!K40,'23.10 MITYANA-KANONI'!K40)</f>
        <v>0</v>
      </c>
      <c r="L40" s="49">
        <f>AVERAGE('17.10 MITYANA-KANONI'!L40,'18.10 MITYANA-KANONI-24h'!L40,'19.10 MITYANA-KANONI-24h'!L40,'20.10 MITYANA-KANONI'!L40,'21.10 MITYANA-KANONI'!L40,'22.10 MITYANA-KANONI'!L40,'23.10 MITYANA-KANONI'!L40)</f>
        <v>0</v>
      </c>
      <c r="M40" s="49">
        <f>AVERAGE('17.10 MITYANA-KANONI'!M40,'18.10 MITYANA-KANONI-24h'!M40,'19.10 MITYANA-KANONI-24h'!M40,'20.10 MITYANA-KANONI'!M40,'21.10 MITYANA-KANONI'!M40,'22.10 MITYANA-KANONI'!M40,'23.10 MITYANA-KANONI'!M40)</f>
        <v>12.142857142857142</v>
      </c>
      <c r="N40" s="49">
        <f>AVERAGE('17.10 MITYANA-KANONI'!N40,'18.10 MITYANA-KANONI-24h'!N40,'19.10 MITYANA-KANONI-24h'!N40,'20.10 MITYANA-KANONI'!N40,'21.10 MITYANA-KANONI'!N40,'22.10 MITYANA-KANONI'!N40,'23.10 MITYANA-KANONI'!N40)</f>
        <v>0</v>
      </c>
      <c r="O40" s="15">
        <f t="shared" si="0"/>
        <v>1.714285714285714</v>
      </c>
      <c r="P40" s="15">
        <f t="shared" si="1"/>
        <v>13.857142857142856</v>
      </c>
      <c r="R40" s="5" t="s">
        <v>17</v>
      </c>
      <c r="S40" s="54">
        <f t="shared" ref="S40:AF40" si="32">SUM(S10:S21)</f>
        <v>32.142857142857146</v>
      </c>
      <c r="T40" s="54">
        <f t="shared" si="32"/>
        <v>5.8571428571428568</v>
      </c>
      <c r="U40" s="54">
        <f t="shared" si="32"/>
        <v>8.5714285714285712</v>
      </c>
      <c r="V40" s="54">
        <f t="shared" si="32"/>
        <v>8.428571428571427</v>
      </c>
      <c r="W40" s="54">
        <f t="shared" si="32"/>
        <v>0.2857142857142857</v>
      </c>
      <c r="X40" s="54">
        <f t="shared" si="32"/>
        <v>0.2857142857142857</v>
      </c>
      <c r="Y40" s="54">
        <f t="shared" si="32"/>
        <v>25.571428571428569</v>
      </c>
      <c r="Z40" s="54">
        <f t="shared" si="32"/>
        <v>7.4285714285714279</v>
      </c>
      <c r="AA40" s="54">
        <f t="shared" si="32"/>
        <v>1.4285714285714284</v>
      </c>
      <c r="AB40" s="54">
        <f t="shared" si="32"/>
        <v>0.71428571428571419</v>
      </c>
      <c r="AC40" s="54">
        <f t="shared" si="32"/>
        <v>565.85714285714289</v>
      </c>
      <c r="AD40" s="54">
        <f t="shared" si="32"/>
        <v>0</v>
      </c>
      <c r="AE40" s="55">
        <f t="shared" si="32"/>
        <v>90.714285714285708</v>
      </c>
      <c r="AF40" s="55">
        <f t="shared" si="32"/>
        <v>656.57142857142844</v>
      </c>
    </row>
    <row r="41" spans="2:32" ht="23.1" customHeight="1" x14ac:dyDescent="0.25">
      <c r="B41" s="23" t="s">
        <v>68</v>
      </c>
      <c r="C41" s="49">
        <f>AVERAGE('17.10 MITYANA-KANONI'!C41,'18.10 MITYANA-KANONI-24h'!C41,'19.10 MITYANA-KANONI-24h'!C41,'20.10 MITYANA-KANONI'!C41,'21.10 MITYANA-KANONI'!C41,'22.10 MITYANA-KANONI'!C41,'23.10 MITYANA-KANONI'!C41)</f>
        <v>0.5714285714285714</v>
      </c>
      <c r="D41" s="49">
        <f>AVERAGE('17.10 MITYANA-KANONI'!D41,'18.10 MITYANA-KANONI-24h'!D41,'19.10 MITYANA-KANONI-24h'!D41,'20.10 MITYANA-KANONI'!D41,'21.10 MITYANA-KANONI'!D41,'22.10 MITYANA-KANONI'!D41,'23.10 MITYANA-KANONI'!D41)</f>
        <v>0</v>
      </c>
      <c r="E41" s="49">
        <f>AVERAGE('17.10 MITYANA-KANONI'!E41,'18.10 MITYANA-KANONI-24h'!E41,'19.10 MITYANA-KANONI-24h'!E41,'20.10 MITYANA-KANONI'!E41,'21.10 MITYANA-KANONI'!E41,'22.10 MITYANA-KANONI'!E41,'23.10 MITYANA-KANONI'!E41)</f>
        <v>0.14285714285714285</v>
      </c>
      <c r="F41" s="49">
        <f>AVERAGE('17.10 MITYANA-KANONI'!F41,'18.10 MITYANA-KANONI-24h'!F41,'19.10 MITYANA-KANONI-24h'!F41,'20.10 MITYANA-KANONI'!F41,'21.10 MITYANA-KANONI'!F41,'22.10 MITYANA-KANONI'!F41,'23.10 MITYANA-KANONI'!F41)</f>
        <v>0</v>
      </c>
      <c r="G41" s="49">
        <f>AVERAGE('17.10 MITYANA-KANONI'!G41,'18.10 MITYANA-KANONI-24h'!G41,'19.10 MITYANA-KANONI-24h'!G41,'20.10 MITYANA-KANONI'!G41,'21.10 MITYANA-KANONI'!G41,'22.10 MITYANA-KANONI'!G41,'23.10 MITYANA-KANONI'!G41)</f>
        <v>0</v>
      </c>
      <c r="H41" s="49">
        <f>AVERAGE('17.10 MITYANA-KANONI'!H41,'18.10 MITYANA-KANONI-24h'!H41,'19.10 MITYANA-KANONI-24h'!H41,'20.10 MITYANA-KANONI'!H41,'21.10 MITYANA-KANONI'!H41,'22.10 MITYANA-KANONI'!H41,'23.10 MITYANA-KANONI'!H41)</f>
        <v>0</v>
      </c>
      <c r="I41" s="49">
        <f>AVERAGE('17.10 MITYANA-KANONI'!I41,'18.10 MITYANA-KANONI-24h'!I41,'19.10 MITYANA-KANONI-24h'!I41,'20.10 MITYANA-KANONI'!I41,'21.10 MITYANA-KANONI'!I41,'22.10 MITYANA-KANONI'!I41,'23.10 MITYANA-KANONI'!I41)</f>
        <v>0.2857142857142857</v>
      </c>
      <c r="J41" s="49">
        <f>AVERAGE('17.10 MITYANA-KANONI'!J41,'18.10 MITYANA-KANONI-24h'!J41,'19.10 MITYANA-KANONI-24h'!J41,'20.10 MITYANA-KANONI'!J41,'21.10 MITYANA-KANONI'!J41,'22.10 MITYANA-KANONI'!J41,'23.10 MITYANA-KANONI'!J41)</f>
        <v>0.2857142857142857</v>
      </c>
      <c r="K41" s="49">
        <f>AVERAGE('17.10 MITYANA-KANONI'!K41,'18.10 MITYANA-KANONI-24h'!K41,'19.10 MITYANA-KANONI-24h'!K41,'20.10 MITYANA-KANONI'!K41,'21.10 MITYANA-KANONI'!K41,'22.10 MITYANA-KANONI'!K41,'23.10 MITYANA-KANONI'!K41)</f>
        <v>0</v>
      </c>
      <c r="L41" s="49">
        <f>AVERAGE('17.10 MITYANA-KANONI'!L41,'18.10 MITYANA-KANONI-24h'!L41,'19.10 MITYANA-KANONI-24h'!L41,'20.10 MITYANA-KANONI'!L41,'21.10 MITYANA-KANONI'!L41,'22.10 MITYANA-KANONI'!L41,'23.10 MITYANA-KANONI'!L41)</f>
        <v>0</v>
      </c>
      <c r="M41" s="49">
        <f>AVERAGE('17.10 MITYANA-KANONI'!M41,'18.10 MITYANA-KANONI-24h'!M41,'19.10 MITYANA-KANONI-24h'!M41,'20.10 MITYANA-KANONI'!M41,'21.10 MITYANA-KANONI'!M41,'22.10 MITYANA-KANONI'!M41,'23.10 MITYANA-KANONI'!M41)</f>
        <v>10.571428571428571</v>
      </c>
      <c r="N41" s="49">
        <f>AVERAGE('17.10 MITYANA-KANONI'!N41,'18.10 MITYANA-KANONI-24h'!N41,'19.10 MITYANA-KANONI-24h'!N41,'20.10 MITYANA-KANONI'!N41,'21.10 MITYANA-KANONI'!N41,'22.10 MITYANA-KANONI'!N41,'23.10 MITYANA-KANONI'!N41)</f>
        <v>0</v>
      </c>
      <c r="O41" s="15">
        <f t="shared" si="0"/>
        <v>1.2857142857142856</v>
      </c>
      <c r="P41" s="15">
        <f t="shared" si="1"/>
        <v>11.857142857142858</v>
      </c>
      <c r="R41" s="5" t="s">
        <v>183</v>
      </c>
      <c r="S41" s="54">
        <f>SUM(S10:S33)</f>
        <v>42.642857142857146</v>
      </c>
      <c r="T41" s="54">
        <f t="shared" ref="T41:AD41" si="33">SUM(T10:T33)</f>
        <v>6.3571428571428568</v>
      </c>
      <c r="U41" s="54">
        <f t="shared" si="33"/>
        <v>10.571428571428571</v>
      </c>
      <c r="V41" s="54">
        <f t="shared" si="33"/>
        <v>9.428571428571427</v>
      </c>
      <c r="W41" s="54">
        <f t="shared" si="33"/>
        <v>0.2857142857142857</v>
      </c>
      <c r="X41" s="54">
        <f t="shared" si="33"/>
        <v>0.2857142857142857</v>
      </c>
      <c r="Y41" s="54">
        <f t="shared" si="33"/>
        <v>29.071428571428569</v>
      </c>
      <c r="Z41" s="54">
        <f t="shared" si="33"/>
        <v>7.4285714285714279</v>
      </c>
      <c r="AA41" s="54">
        <f t="shared" si="33"/>
        <v>1.9285714285714284</v>
      </c>
      <c r="AB41" s="54">
        <f t="shared" si="33"/>
        <v>0.71428571428571419</v>
      </c>
      <c r="AC41" s="54">
        <f t="shared" si="33"/>
        <v>710.85714285714289</v>
      </c>
      <c r="AD41" s="54">
        <f t="shared" si="33"/>
        <v>0</v>
      </c>
      <c r="AE41" s="55">
        <f>SUM(AE10:AE33)</f>
        <v>108.71428571428571</v>
      </c>
      <c r="AF41" s="55">
        <f>SUM(AF10:AF33)</f>
        <v>819.57142857142844</v>
      </c>
    </row>
    <row r="42" spans="2:32" ht="23.1" customHeight="1" x14ac:dyDescent="0.25">
      <c r="B42" s="24" t="s">
        <v>69</v>
      </c>
      <c r="C42" s="49">
        <f>AVERAGE('17.10 MITYANA-KANONI'!C42,'18.10 MITYANA-KANONI-24h'!C42,'19.10 MITYANA-KANONI-24h'!C42,'20.10 MITYANA-KANONI'!C42,'21.10 MITYANA-KANONI'!C42,'22.10 MITYANA-KANONI'!C42,'23.10 MITYANA-KANONI'!C42)</f>
        <v>0.42857142857142855</v>
      </c>
      <c r="D42" s="49">
        <f>AVERAGE('17.10 MITYANA-KANONI'!D42,'18.10 MITYANA-KANONI-24h'!D42,'19.10 MITYANA-KANONI-24h'!D42,'20.10 MITYANA-KANONI'!D42,'21.10 MITYANA-KANONI'!D42,'22.10 MITYANA-KANONI'!D42,'23.10 MITYANA-KANONI'!D42)</f>
        <v>0.2857142857142857</v>
      </c>
      <c r="E42" s="49">
        <f>AVERAGE('17.10 MITYANA-KANONI'!E42,'18.10 MITYANA-KANONI-24h'!E42,'19.10 MITYANA-KANONI-24h'!E42,'20.10 MITYANA-KANONI'!E42,'21.10 MITYANA-KANONI'!E42,'22.10 MITYANA-KANONI'!E42,'23.10 MITYANA-KANONI'!E42)</f>
        <v>0.14285714285714285</v>
      </c>
      <c r="F42" s="49">
        <f>AVERAGE('17.10 MITYANA-KANONI'!F42,'18.10 MITYANA-KANONI-24h'!F42,'19.10 MITYANA-KANONI-24h'!F42,'20.10 MITYANA-KANONI'!F42,'21.10 MITYANA-KANONI'!F42,'22.10 MITYANA-KANONI'!F42,'23.10 MITYANA-KANONI'!F42)</f>
        <v>0.2857142857142857</v>
      </c>
      <c r="G42" s="49">
        <f>AVERAGE('17.10 MITYANA-KANONI'!G42,'18.10 MITYANA-KANONI-24h'!G42,'19.10 MITYANA-KANONI-24h'!G42,'20.10 MITYANA-KANONI'!G42,'21.10 MITYANA-KANONI'!G42,'22.10 MITYANA-KANONI'!G42,'23.10 MITYANA-KANONI'!G42)</f>
        <v>0</v>
      </c>
      <c r="H42" s="49">
        <f>AVERAGE('17.10 MITYANA-KANONI'!H42,'18.10 MITYANA-KANONI-24h'!H42,'19.10 MITYANA-KANONI-24h'!H42,'20.10 MITYANA-KANONI'!H42,'21.10 MITYANA-KANONI'!H42,'22.10 MITYANA-KANONI'!H42,'23.10 MITYANA-KANONI'!H42)</f>
        <v>0</v>
      </c>
      <c r="I42" s="49">
        <f>AVERAGE('17.10 MITYANA-KANONI'!I42,'18.10 MITYANA-KANONI-24h'!I42,'19.10 MITYANA-KANONI-24h'!I42,'20.10 MITYANA-KANONI'!I42,'21.10 MITYANA-KANONI'!I42,'22.10 MITYANA-KANONI'!I42,'23.10 MITYANA-KANONI'!I42)</f>
        <v>0.42857142857142855</v>
      </c>
      <c r="J42" s="49">
        <f>AVERAGE('17.10 MITYANA-KANONI'!J42,'18.10 MITYANA-KANONI-24h'!J42,'19.10 MITYANA-KANONI-24h'!J42,'20.10 MITYANA-KANONI'!J42,'21.10 MITYANA-KANONI'!J42,'22.10 MITYANA-KANONI'!J42,'23.10 MITYANA-KANONI'!J42)</f>
        <v>0.14285714285714285</v>
      </c>
      <c r="K42" s="49">
        <f>AVERAGE('17.10 MITYANA-KANONI'!K42,'18.10 MITYANA-KANONI-24h'!K42,'19.10 MITYANA-KANONI-24h'!K42,'20.10 MITYANA-KANONI'!K42,'21.10 MITYANA-KANONI'!K42,'22.10 MITYANA-KANONI'!K42,'23.10 MITYANA-KANONI'!K42)</f>
        <v>0</v>
      </c>
      <c r="L42" s="49">
        <f>AVERAGE('17.10 MITYANA-KANONI'!L42,'18.10 MITYANA-KANONI-24h'!L42,'19.10 MITYANA-KANONI-24h'!L42,'20.10 MITYANA-KANONI'!L42,'21.10 MITYANA-KANONI'!L42,'22.10 MITYANA-KANONI'!L42,'23.10 MITYANA-KANONI'!L42)</f>
        <v>0</v>
      </c>
      <c r="M42" s="49">
        <f>AVERAGE('17.10 MITYANA-KANONI'!M42,'18.10 MITYANA-KANONI-24h'!M42,'19.10 MITYANA-KANONI-24h'!M42,'20.10 MITYANA-KANONI'!M42,'21.10 MITYANA-KANONI'!M42,'22.10 MITYANA-KANONI'!M42,'23.10 MITYANA-KANONI'!M42)</f>
        <v>11.571428571428571</v>
      </c>
      <c r="N42" s="49">
        <f>AVERAGE('17.10 MITYANA-KANONI'!N42,'18.10 MITYANA-KANONI-24h'!N42,'19.10 MITYANA-KANONI-24h'!N42,'20.10 MITYANA-KANONI'!N42,'21.10 MITYANA-KANONI'!N42,'22.10 MITYANA-KANONI'!N42,'23.10 MITYANA-KANONI'!N42)</f>
        <v>0</v>
      </c>
      <c r="O42" s="15">
        <f t="shared" si="0"/>
        <v>1.7142857142857142</v>
      </c>
      <c r="P42" s="15">
        <f t="shared" si="1"/>
        <v>13.285714285714285</v>
      </c>
      <c r="R42" s="5" t="s">
        <v>160</v>
      </c>
      <c r="S42" s="48">
        <f>S41/S40</f>
        <v>1.3266666666666667</v>
      </c>
      <c r="T42" s="48">
        <f t="shared" ref="T42:AF42" si="34">T41/T40</f>
        <v>1.0853658536585367</v>
      </c>
      <c r="U42" s="48">
        <f t="shared" si="34"/>
        <v>1.2333333333333334</v>
      </c>
      <c r="V42" s="48">
        <f t="shared" si="34"/>
        <v>1.1186440677966103</v>
      </c>
      <c r="W42" s="48">
        <f t="shared" si="34"/>
        <v>1</v>
      </c>
      <c r="X42" s="48">
        <f t="shared" si="34"/>
        <v>1</v>
      </c>
      <c r="Y42" s="48">
        <f t="shared" si="34"/>
        <v>1.1368715083798884</v>
      </c>
      <c r="Z42" s="48">
        <f t="shared" si="34"/>
        <v>1</v>
      </c>
      <c r="AA42" s="48">
        <f t="shared" si="34"/>
        <v>1.35</v>
      </c>
      <c r="AB42" s="48">
        <f t="shared" si="34"/>
        <v>1</v>
      </c>
      <c r="AC42" s="48">
        <f t="shared" si="34"/>
        <v>1.2562484221156274</v>
      </c>
      <c r="AD42" s="48" t="e">
        <f t="shared" si="34"/>
        <v>#DIV/0!</v>
      </c>
      <c r="AE42" s="56">
        <f t="shared" si="34"/>
        <v>1.1984251968503936</v>
      </c>
      <c r="AF42" s="56">
        <f t="shared" si="34"/>
        <v>1.2482593559617059</v>
      </c>
    </row>
    <row r="43" spans="2:32" ht="23.1" customHeight="1" x14ac:dyDescent="0.25">
      <c r="B43" s="23" t="s">
        <v>70</v>
      </c>
      <c r="C43" s="49">
        <f>AVERAGE('17.10 MITYANA-KANONI'!C43,'18.10 MITYANA-KANONI-24h'!C43,'19.10 MITYANA-KANONI-24h'!C43,'20.10 MITYANA-KANONI'!C43,'21.10 MITYANA-KANONI'!C43,'22.10 MITYANA-KANONI'!C43,'23.10 MITYANA-KANONI'!C43)</f>
        <v>0</v>
      </c>
      <c r="D43" s="49">
        <f>AVERAGE('17.10 MITYANA-KANONI'!D43,'18.10 MITYANA-KANONI-24h'!D43,'19.10 MITYANA-KANONI-24h'!D43,'20.10 MITYANA-KANONI'!D43,'21.10 MITYANA-KANONI'!D43,'22.10 MITYANA-KANONI'!D43,'23.10 MITYANA-KANONI'!D43)</f>
        <v>0</v>
      </c>
      <c r="E43" s="49">
        <f>AVERAGE('17.10 MITYANA-KANONI'!E43,'18.10 MITYANA-KANONI-24h'!E43,'19.10 MITYANA-KANONI-24h'!E43,'20.10 MITYANA-KANONI'!E43,'21.10 MITYANA-KANONI'!E43,'22.10 MITYANA-KANONI'!E43,'23.10 MITYANA-KANONI'!E43)</f>
        <v>0</v>
      </c>
      <c r="F43" s="49">
        <f>AVERAGE('17.10 MITYANA-KANONI'!F43,'18.10 MITYANA-KANONI-24h'!F43,'19.10 MITYANA-KANONI-24h'!F43,'20.10 MITYANA-KANONI'!F43,'21.10 MITYANA-KANONI'!F43,'22.10 MITYANA-KANONI'!F43,'23.10 MITYANA-KANONI'!F43)</f>
        <v>0.14285714285714285</v>
      </c>
      <c r="G43" s="49">
        <f>AVERAGE('17.10 MITYANA-KANONI'!G43,'18.10 MITYANA-KANONI-24h'!G43,'19.10 MITYANA-KANONI-24h'!G43,'20.10 MITYANA-KANONI'!G43,'21.10 MITYANA-KANONI'!G43,'22.10 MITYANA-KANONI'!G43,'23.10 MITYANA-KANONI'!G43)</f>
        <v>0</v>
      </c>
      <c r="H43" s="49">
        <f>AVERAGE('17.10 MITYANA-KANONI'!H43,'18.10 MITYANA-KANONI-24h'!H43,'19.10 MITYANA-KANONI-24h'!H43,'20.10 MITYANA-KANONI'!H43,'21.10 MITYANA-KANONI'!H43,'22.10 MITYANA-KANONI'!H43,'23.10 MITYANA-KANONI'!H43)</f>
        <v>0</v>
      </c>
      <c r="I43" s="49">
        <f>AVERAGE('17.10 MITYANA-KANONI'!I43,'18.10 MITYANA-KANONI-24h'!I43,'19.10 MITYANA-KANONI-24h'!I43,'20.10 MITYANA-KANONI'!I43,'21.10 MITYANA-KANONI'!I43,'22.10 MITYANA-KANONI'!I43,'23.10 MITYANA-KANONI'!I43)</f>
        <v>0.5714285714285714</v>
      </c>
      <c r="J43" s="49">
        <f>AVERAGE('17.10 MITYANA-KANONI'!J43,'18.10 MITYANA-KANONI-24h'!J43,'19.10 MITYANA-KANONI-24h'!J43,'20.10 MITYANA-KANONI'!J43,'21.10 MITYANA-KANONI'!J43,'22.10 MITYANA-KANONI'!J43,'23.10 MITYANA-KANONI'!J43)</f>
        <v>0.2857142857142857</v>
      </c>
      <c r="K43" s="49">
        <f>AVERAGE('17.10 MITYANA-KANONI'!K43,'18.10 MITYANA-KANONI-24h'!K43,'19.10 MITYANA-KANONI-24h'!K43,'20.10 MITYANA-KANONI'!K43,'21.10 MITYANA-KANONI'!K43,'22.10 MITYANA-KANONI'!K43,'23.10 MITYANA-KANONI'!K43)</f>
        <v>0</v>
      </c>
      <c r="L43" s="49">
        <f>AVERAGE('17.10 MITYANA-KANONI'!L43,'18.10 MITYANA-KANONI-24h'!L43,'19.10 MITYANA-KANONI-24h'!L43,'20.10 MITYANA-KANONI'!L43,'21.10 MITYANA-KANONI'!L43,'22.10 MITYANA-KANONI'!L43,'23.10 MITYANA-KANONI'!L43)</f>
        <v>0</v>
      </c>
      <c r="M43" s="49">
        <f>AVERAGE('17.10 MITYANA-KANONI'!M43,'18.10 MITYANA-KANONI-24h'!M43,'19.10 MITYANA-KANONI-24h'!M43,'20.10 MITYANA-KANONI'!M43,'21.10 MITYANA-KANONI'!M43,'22.10 MITYANA-KANONI'!M43,'23.10 MITYANA-KANONI'!M43)</f>
        <v>10.571428571428571</v>
      </c>
      <c r="N43" s="49">
        <f>AVERAGE('17.10 MITYANA-KANONI'!N43,'18.10 MITYANA-KANONI-24h'!N43,'19.10 MITYANA-KANONI-24h'!N43,'20.10 MITYANA-KANONI'!N43,'21.10 MITYANA-KANONI'!N43,'22.10 MITYANA-KANONI'!N43,'23.10 MITYANA-KANONI'!N43)</f>
        <v>0</v>
      </c>
      <c r="O43" s="15">
        <f t="shared" si="0"/>
        <v>0.99999999999999989</v>
      </c>
      <c r="P43" s="15">
        <f t="shared" si="1"/>
        <v>11.571428571428571</v>
      </c>
      <c r="R43"/>
      <c r="S43" s="19"/>
      <c r="T43" s="19"/>
    </row>
    <row r="44" spans="2:32" ht="23.1" customHeight="1" x14ac:dyDescent="0.25">
      <c r="B44" s="25" t="s">
        <v>71</v>
      </c>
      <c r="C44" s="49">
        <f>AVERAGE('17.10 MITYANA-KANONI'!C44,'18.10 MITYANA-KANONI-24h'!C44,'19.10 MITYANA-KANONI-24h'!C44,'20.10 MITYANA-KANONI'!C44,'21.10 MITYANA-KANONI'!C44,'22.10 MITYANA-KANONI'!C44,'23.10 MITYANA-KANONI'!C44)</f>
        <v>0.5714285714285714</v>
      </c>
      <c r="D44" s="49">
        <f>AVERAGE('17.10 MITYANA-KANONI'!D44,'18.10 MITYANA-KANONI-24h'!D44,'19.10 MITYANA-KANONI-24h'!D44,'20.10 MITYANA-KANONI'!D44,'21.10 MITYANA-KANONI'!D44,'22.10 MITYANA-KANONI'!D44,'23.10 MITYANA-KANONI'!D44)</f>
        <v>0.42857142857142855</v>
      </c>
      <c r="E44" s="49">
        <f>AVERAGE('17.10 MITYANA-KANONI'!E44,'18.10 MITYANA-KANONI-24h'!E44,'19.10 MITYANA-KANONI-24h'!E44,'20.10 MITYANA-KANONI'!E44,'21.10 MITYANA-KANONI'!E44,'22.10 MITYANA-KANONI'!E44,'23.10 MITYANA-KANONI'!E44)</f>
        <v>0.2857142857142857</v>
      </c>
      <c r="F44" s="49">
        <f>AVERAGE('17.10 MITYANA-KANONI'!F44,'18.10 MITYANA-KANONI-24h'!F44,'19.10 MITYANA-KANONI-24h'!F44,'20.10 MITYANA-KANONI'!F44,'21.10 MITYANA-KANONI'!F44,'22.10 MITYANA-KANONI'!F44,'23.10 MITYANA-KANONI'!F44)</f>
        <v>0.14285714285714285</v>
      </c>
      <c r="G44" s="49">
        <f>AVERAGE('17.10 MITYANA-KANONI'!G44,'18.10 MITYANA-KANONI-24h'!G44,'19.10 MITYANA-KANONI-24h'!G44,'20.10 MITYANA-KANONI'!G44,'21.10 MITYANA-KANONI'!G44,'22.10 MITYANA-KANONI'!G44,'23.10 MITYANA-KANONI'!G44)</f>
        <v>0</v>
      </c>
      <c r="H44" s="49">
        <f>AVERAGE('17.10 MITYANA-KANONI'!H44,'18.10 MITYANA-KANONI-24h'!H44,'19.10 MITYANA-KANONI-24h'!H44,'20.10 MITYANA-KANONI'!H44,'21.10 MITYANA-KANONI'!H44,'22.10 MITYANA-KANONI'!H44,'23.10 MITYANA-KANONI'!H44)</f>
        <v>0</v>
      </c>
      <c r="I44" s="49">
        <f>AVERAGE('17.10 MITYANA-KANONI'!I44,'18.10 MITYANA-KANONI-24h'!I44,'19.10 MITYANA-KANONI-24h'!I44,'20.10 MITYANA-KANONI'!I44,'21.10 MITYANA-KANONI'!I44,'22.10 MITYANA-KANONI'!I44,'23.10 MITYANA-KANONI'!I44)</f>
        <v>0.5714285714285714</v>
      </c>
      <c r="J44" s="49">
        <f>AVERAGE('17.10 MITYANA-KANONI'!J44,'18.10 MITYANA-KANONI-24h'!J44,'19.10 MITYANA-KANONI-24h'!J44,'20.10 MITYANA-KANONI'!J44,'21.10 MITYANA-KANONI'!J44,'22.10 MITYANA-KANONI'!J44,'23.10 MITYANA-KANONI'!J44)</f>
        <v>0.14285714285714285</v>
      </c>
      <c r="K44" s="49">
        <f>AVERAGE('17.10 MITYANA-KANONI'!K44,'18.10 MITYANA-KANONI-24h'!K44,'19.10 MITYANA-KANONI-24h'!K44,'20.10 MITYANA-KANONI'!K44,'21.10 MITYANA-KANONI'!K44,'22.10 MITYANA-KANONI'!K44,'23.10 MITYANA-KANONI'!K44)</f>
        <v>0</v>
      </c>
      <c r="L44" s="49">
        <f>AVERAGE('17.10 MITYANA-KANONI'!L44,'18.10 MITYANA-KANONI-24h'!L44,'19.10 MITYANA-KANONI-24h'!L44,'20.10 MITYANA-KANONI'!L44,'21.10 MITYANA-KANONI'!L44,'22.10 MITYANA-KANONI'!L44,'23.10 MITYANA-KANONI'!L44)</f>
        <v>0</v>
      </c>
      <c r="M44" s="49">
        <f>AVERAGE('17.10 MITYANA-KANONI'!M44,'18.10 MITYANA-KANONI-24h'!M44,'19.10 MITYANA-KANONI-24h'!M44,'20.10 MITYANA-KANONI'!M44,'21.10 MITYANA-KANONI'!M44,'22.10 MITYANA-KANONI'!M44,'23.10 MITYANA-KANONI'!M44)</f>
        <v>10.857142857142858</v>
      </c>
      <c r="N44" s="49">
        <f>AVERAGE('17.10 MITYANA-KANONI'!N44,'18.10 MITYANA-KANONI-24h'!N44,'19.10 MITYANA-KANONI-24h'!N44,'20.10 MITYANA-KANONI'!N44,'21.10 MITYANA-KANONI'!N44,'22.10 MITYANA-KANONI'!N44,'23.10 MITYANA-KANONI'!N44)</f>
        <v>0</v>
      </c>
      <c r="O44" s="15">
        <f t="shared" si="0"/>
        <v>2.1428571428571428</v>
      </c>
      <c r="P44" s="15">
        <f t="shared" si="1"/>
        <v>13</v>
      </c>
    </row>
    <row r="45" spans="2:32" ht="23.1" customHeight="1" x14ac:dyDescent="0.25">
      <c r="B45" s="23" t="s">
        <v>72</v>
      </c>
      <c r="C45" s="49">
        <f>AVERAGE('17.10 MITYANA-KANONI'!C45,'18.10 MITYANA-KANONI-24h'!C45,'19.10 MITYANA-KANONI-24h'!C45,'20.10 MITYANA-KANONI'!C45,'21.10 MITYANA-KANONI'!C45,'22.10 MITYANA-KANONI'!C45,'23.10 MITYANA-KANONI'!C45)</f>
        <v>0.7142857142857143</v>
      </c>
      <c r="D45" s="49">
        <f>AVERAGE('17.10 MITYANA-KANONI'!D45,'18.10 MITYANA-KANONI-24h'!D45,'19.10 MITYANA-KANONI-24h'!D45,'20.10 MITYANA-KANONI'!D45,'21.10 MITYANA-KANONI'!D45,'22.10 MITYANA-KANONI'!D45,'23.10 MITYANA-KANONI'!D45)</f>
        <v>0</v>
      </c>
      <c r="E45" s="49">
        <f>AVERAGE('17.10 MITYANA-KANONI'!E45,'18.10 MITYANA-KANONI-24h'!E45,'19.10 MITYANA-KANONI-24h'!E45,'20.10 MITYANA-KANONI'!E45,'21.10 MITYANA-KANONI'!E45,'22.10 MITYANA-KANONI'!E45,'23.10 MITYANA-KANONI'!E45)</f>
        <v>0</v>
      </c>
      <c r="F45" s="49">
        <f>AVERAGE('17.10 MITYANA-KANONI'!F45,'18.10 MITYANA-KANONI-24h'!F45,'19.10 MITYANA-KANONI-24h'!F45,'20.10 MITYANA-KANONI'!F45,'21.10 MITYANA-KANONI'!F45,'22.10 MITYANA-KANONI'!F45,'23.10 MITYANA-KANONI'!F45)</f>
        <v>0.14285714285714285</v>
      </c>
      <c r="G45" s="49">
        <f>AVERAGE('17.10 MITYANA-KANONI'!G45,'18.10 MITYANA-KANONI-24h'!G45,'19.10 MITYANA-KANONI-24h'!G45,'20.10 MITYANA-KANONI'!G45,'21.10 MITYANA-KANONI'!G45,'22.10 MITYANA-KANONI'!G45,'23.10 MITYANA-KANONI'!G45)</f>
        <v>0</v>
      </c>
      <c r="H45" s="49">
        <f>AVERAGE('17.10 MITYANA-KANONI'!H45,'18.10 MITYANA-KANONI-24h'!H45,'19.10 MITYANA-KANONI-24h'!H45,'20.10 MITYANA-KANONI'!H45,'21.10 MITYANA-KANONI'!H45,'22.10 MITYANA-KANONI'!H45,'23.10 MITYANA-KANONI'!H45)</f>
        <v>0</v>
      </c>
      <c r="I45" s="49">
        <f>AVERAGE('17.10 MITYANA-KANONI'!I45,'18.10 MITYANA-KANONI-24h'!I45,'19.10 MITYANA-KANONI-24h'!I45,'20.10 MITYANA-KANONI'!I45,'21.10 MITYANA-KANONI'!I45,'22.10 MITYANA-KANONI'!I45,'23.10 MITYANA-KANONI'!I45)</f>
        <v>0.5714285714285714</v>
      </c>
      <c r="J45" s="49">
        <f>AVERAGE('17.10 MITYANA-KANONI'!J45,'18.10 MITYANA-KANONI-24h'!J45,'19.10 MITYANA-KANONI-24h'!J45,'20.10 MITYANA-KANONI'!J45,'21.10 MITYANA-KANONI'!J45,'22.10 MITYANA-KANONI'!J45,'23.10 MITYANA-KANONI'!J45)</f>
        <v>0.14285714285714285</v>
      </c>
      <c r="K45" s="49">
        <f>AVERAGE('17.10 MITYANA-KANONI'!K45,'18.10 MITYANA-KANONI-24h'!K45,'19.10 MITYANA-KANONI-24h'!K45,'20.10 MITYANA-KANONI'!K45,'21.10 MITYANA-KANONI'!K45,'22.10 MITYANA-KANONI'!K45,'23.10 MITYANA-KANONI'!K45)</f>
        <v>0</v>
      </c>
      <c r="L45" s="49">
        <f>AVERAGE('17.10 MITYANA-KANONI'!L45,'18.10 MITYANA-KANONI-24h'!L45,'19.10 MITYANA-KANONI-24h'!L45,'20.10 MITYANA-KANONI'!L45,'21.10 MITYANA-KANONI'!L45,'22.10 MITYANA-KANONI'!L45,'23.10 MITYANA-KANONI'!L45)</f>
        <v>0</v>
      </c>
      <c r="M45" s="49">
        <f>AVERAGE('17.10 MITYANA-KANONI'!M45,'18.10 MITYANA-KANONI-24h'!M45,'19.10 MITYANA-KANONI-24h'!M45,'20.10 MITYANA-KANONI'!M45,'21.10 MITYANA-KANONI'!M45,'22.10 MITYANA-KANONI'!M45,'23.10 MITYANA-KANONI'!M45)</f>
        <v>13.714285714285714</v>
      </c>
      <c r="N45" s="49">
        <f>AVERAGE('17.10 MITYANA-KANONI'!N45,'18.10 MITYANA-KANONI-24h'!N45,'19.10 MITYANA-KANONI-24h'!N45,'20.10 MITYANA-KANONI'!N45,'21.10 MITYANA-KANONI'!N45,'22.10 MITYANA-KANONI'!N45,'23.10 MITYANA-KANONI'!N45)</f>
        <v>0</v>
      </c>
      <c r="O45" s="15">
        <f t="shared" si="0"/>
        <v>1.5714285714285714</v>
      </c>
      <c r="P45" s="15">
        <f t="shared" si="1"/>
        <v>15.285714285714285</v>
      </c>
    </row>
    <row r="46" spans="2:32" ht="23.1" customHeight="1" x14ac:dyDescent="0.25">
      <c r="B46" s="24" t="s">
        <v>73</v>
      </c>
      <c r="C46" s="49">
        <f>AVERAGE('17.10 MITYANA-KANONI'!C46,'18.10 MITYANA-KANONI-24h'!C46,'19.10 MITYANA-KANONI-24h'!C46,'20.10 MITYANA-KANONI'!C46,'21.10 MITYANA-KANONI'!C46,'22.10 MITYANA-KANONI'!C46,'23.10 MITYANA-KANONI'!C46)</f>
        <v>0.42857142857142855</v>
      </c>
      <c r="D46" s="49">
        <f>AVERAGE('17.10 MITYANA-KANONI'!D46,'18.10 MITYANA-KANONI-24h'!D46,'19.10 MITYANA-KANONI-24h'!D46,'20.10 MITYANA-KANONI'!D46,'21.10 MITYANA-KANONI'!D46,'22.10 MITYANA-KANONI'!D46,'23.10 MITYANA-KANONI'!D46)</f>
        <v>0</v>
      </c>
      <c r="E46" s="49">
        <f>AVERAGE('17.10 MITYANA-KANONI'!E46,'18.10 MITYANA-KANONI-24h'!E46,'19.10 MITYANA-KANONI-24h'!E46,'20.10 MITYANA-KANONI'!E46,'21.10 MITYANA-KANONI'!E46,'22.10 MITYANA-KANONI'!E46,'23.10 MITYANA-KANONI'!E46)</f>
        <v>0.2857142857142857</v>
      </c>
      <c r="F46" s="49">
        <f>AVERAGE('17.10 MITYANA-KANONI'!F46,'18.10 MITYANA-KANONI-24h'!F46,'19.10 MITYANA-KANONI-24h'!F46,'20.10 MITYANA-KANONI'!F46,'21.10 MITYANA-KANONI'!F46,'22.10 MITYANA-KANONI'!F46,'23.10 MITYANA-KANONI'!F46)</f>
        <v>0.2857142857142857</v>
      </c>
      <c r="G46" s="49">
        <f>AVERAGE('17.10 MITYANA-KANONI'!G46,'18.10 MITYANA-KANONI-24h'!G46,'19.10 MITYANA-KANONI-24h'!G46,'20.10 MITYANA-KANONI'!G46,'21.10 MITYANA-KANONI'!G46,'22.10 MITYANA-KANONI'!G46,'23.10 MITYANA-KANONI'!G46)</f>
        <v>0</v>
      </c>
      <c r="H46" s="49">
        <f>AVERAGE('17.10 MITYANA-KANONI'!H46,'18.10 MITYANA-KANONI-24h'!H46,'19.10 MITYANA-KANONI-24h'!H46,'20.10 MITYANA-KANONI'!H46,'21.10 MITYANA-KANONI'!H46,'22.10 MITYANA-KANONI'!H46,'23.10 MITYANA-KANONI'!H46)</f>
        <v>0</v>
      </c>
      <c r="I46" s="49">
        <f>AVERAGE('17.10 MITYANA-KANONI'!I46,'18.10 MITYANA-KANONI-24h'!I46,'19.10 MITYANA-KANONI-24h'!I46,'20.10 MITYANA-KANONI'!I46,'21.10 MITYANA-KANONI'!I46,'22.10 MITYANA-KANONI'!I46,'23.10 MITYANA-KANONI'!I46)</f>
        <v>1.2857142857142858</v>
      </c>
      <c r="J46" s="49">
        <f>AVERAGE('17.10 MITYANA-KANONI'!J46,'18.10 MITYANA-KANONI-24h'!J46,'19.10 MITYANA-KANONI-24h'!J46,'20.10 MITYANA-KANONI'!J46,'21.10 MITYANA-KANONI'!J46,'22.10 MITYANA-KANONI'!J46,'23.10 MITYANA-KANONI'!J46)</f>
        <v>0.5714285714285714</v>
      </c>
      <c r="K46" s="49">
        <f>AVERAGE('17.10 MITYANA-KANONI'!K46,'18.10 MITYANA-KANONI-24h'!K46,'19.10 MITYANA-KANONI-24h'!K46,'20.10 MITYANA-KANONI'!K46,'21.10 MITYANA-KANONI'!K46,'22.10 MITYANA-KANONI'!K46,'23.10 MITYANA-KANONI'!K46)</f>
        <v>0</v>
      </c>
      <c r="L46" s="49">
        <f>AVERAGE('17.10 MITYANA-KANONI'!L46,'18.10 MITYANA-KANONI-24h'!L46,'19.10 MITYANA-KANONI-24h'!L46,'20.10 MITYANA-KANONI'!L46,'21.10 MITYANA-KANONI'!L46,'22.10 MITYANA-KANONI'!L46,'23.10 MITYANA-KANONI'!L46)</f>
        <v>0</v>
      </c>
      <c r="M46" s="49">
        <f>AVERAGE('17.10 MITYANA-KANONI'!M46,'18.10 MITYANA-KANONI-24h'!M46,'19.10 MITYANA-KANONI-24h'!M46,'20.10 MITYANA-KANONI'!M46,'21.10 MITYANA-KANONI'!M46,'22.10 MITYANA-KANONI'!M46,'23.10 MITYANA-KANONI'!M46)</f>
        <v>12.285714285714286</v>
      </c>
      <c r="N46" s="49">
        <f>AVERAGE('17.10 MITYANA-KANONI'!N46,'18.10 MITYANA-KANONI-24h'!N46,'19.10 MITYANA-KANONI-24h'!N46,'20.10 MITYANA-KANONI'!N46,'21.10 MITYANA-KANONI'!N46,'22.10 MITYANA-KANONI'!N46,'23.10 MITYANA-KANONI'!N46)</f>
        <v>0</v>
      </c>
      <c r="O46" s="15">
        <f t="shared" si="0"/>
        <v>2.8571428571428568</v>
      </c>
      <c r="P46" s="15">
        <f t="shared" si="1"/>
        <v>15.142857142857142</v>
      </c>
      <c r="R46" s="8"/>
      <c r="T46"/>
    </row>
    <row r="47" spans="2:32" ht="23.1" customHeight="1" x14ac:dyDescent="0.25">
      <c r="B47" s="24" t="s">
        <v>74</v>
      </c>
      <c r="C47" s="49">
        <f>AVERAGE('17.10 MITYANA-KANONI'!C47,'18.10 MITYANA-KANONI-24h'!C47,'19.10 MITYANA-KANONI-24h'!C47,'20.10 MITYANA-KANONI'!C47,'21.10 MITYANA-KANONI'!C47,'22.10 MITYANA-KANONI'!C47,'23.10 MITYANA-KANONI'!C47)</f>
        <v>0.5714285714285714</v>
      </c>
      <c r="D47" s="49">
        <f>AVERAGE('17.10 MITYANA-KANONI'!D47,'18.10 MITYANA-KANONI-24h'!D47,'19.10 MITYANA-KANONI-24h'!D47,'20.10 MITYANA-KANONI'!D47,'21.10 MITYANA-KANONI'!D47,'22.10 MITYANA-KANONI'!D47,'23.10 MITYANA-KANONI'!D47)</f>
        <v>0.14285714285714285</v>
      </c>
      <c r="E47" s="49">
        <f>AVERAGE('17.10 MITYANA-KANONI'!E47,'18.10 MITYANA-KANONI-24h'!E47,'19.10 MITYANA-KANONI-24h'!E47,'20.10 MITYANA-KANONI'!E47,'21.10 MITYANA-KANONI'!E47,'22.10 MITYANA-KANONI'!E47,'23.10 MITYANA-KANONI'!E47)</f>
        <v>0.2857142857142857</v>
      </c>
      <c r="F47" s="49">
        <f>AVERAGE('17.10 MITYANA-KANONI'!F47,'18.10 MITYANA-KANONI-24h'!F47,'19.10 MITYANA-KANONI-24h'!F47,'20.10 MITYANA-KANONI'!F47,'21.10 MITYANA-KANONI'!F47,'22.10 MITYANA-KANONI'!F47,'23.10 MITYANA-KANONI'!F47)</f>
        <v>0.2857142857142857</v>
      </c>
      <c r="G47" s="49">
        <f>AVERAGE('17.10 MITYANA-KANONI'!G47,'18.10 MITYANA-KANONI-24h'!G47,'19.10 MITYANA-KANONI-24h'!G47,'20.10 MITYANA-KANONI'!G47,'21.10 MITYANA-KANONI'!G47,'22.10 MITYANA-KANONI'!G47,'23.10 MITYANA-KANONI'!G47)</f>
        <v>0</v>
      </c>
      <c r="H47" s="49">
        <f>AVERAGE('17.10 MITYANA-KANONI'!H47,'18.10 MITYANA-KANONI-24h'!H47,'19.10 MITYANA-KANONI-24h'!H47,'20.10 MITYANA-KANONI'!H47,'21.10 MITYANA-KANONI'!H47,'22.10 MITYANA-KANONI'!H47,'23.10 MITYANA-KANONI'!H47)</f>
        <v>0</v>
      </c>
      <c r="I47" s="49">
        <f>AVERAGE('17.10 MITYANA-KANONI'!I47,'18.10 MITYANA-KANONI-24h'!I47,'19.10 MITYANA-KANONI-24h'!I47,'20.10 MITYANA-KANONI'!I47,'21.10 MITYANA-KANONI'!I47,'22.10 MITYANA-KANONI'!I47,'23.10 MITYANA-KANONI'!I47)</f>
        <v>1</v>
      </c>
      <c r="J47" s="49">
        <f>AVERAGE('17.10 MITYANA-KANONI'!J47,'18.10 MITYANA-KANONI-24h'!J47,'19.10 MITYANA-KANONI-24h'!J47,'20.10 MITYANA-KANONI'!J47,'21.10 MITYANA-KANONI'!J47,'22.10 MITYANA-KANONI'!J47,'23.10 MITYANA-KANONI'!J47)</f>
        <v>0.2857142857142857</v>
      </c>
      <c r="K47" s="49">
        <f>AVERAGE('17.10 MITYANA-KANONI'!K47,'18.10 MITYANA-KANONI-24h'!K47,'19.10 MITYANA-KANONI-24h'!K47,'20.10 MITYANA-KANONI'!K47,'21.10 MITYANA-KANONI'!K47,'22.10 MITYANA-KANONI'!K47,'23.10 MITYANA-KANONI'!K47)</f>
        <v>0</v>
      </c>
      <c r="L47" s="49">
        <f>AVERAGE('17.10 MITYANA-KANONI'!L47,'18.10 MITYANA-KANONI-24h'!L47,'19.10 MITYANA-KANONI-24h'!L47,'20.10 MITYANA-KANONI'!L47,'21.10 MITYANA-KANONI'!L47,'22.10 MITYANA-KANONI'!L47,'23.10 MITYANA-KANONI'!L47)</f>
        <v>0</v>
      </c>
      <c r="M47" s="49">
        <f>AVERAGE('17.10 MITYANA-KANONI'!M47,'18.10 MITYANA-KANONI-24h'!M47,'19.10 MITYANA-KANONI-24h'!M47,'20.10 MITYANA-KANONI'!M47,'21.10 MITYANA-KANONI'!M47,'22.10 MITYANA-KANONI'!M47,'23.10 MITYANA-KANONI'!M47)</f>
        <v>15.428571428571429</v>
      </c>
      <c r="N47" s="49">
        <f>AVERAGE('17.10 MITYANA-KANONI'!N47,'18.10 MITYANA-KANONI-24h'!N47,'19.10 MITYANA-KANONI-24h'!N47,'20.10 MITYANA-KANONI'!N47,'21.10 MITYANA-KANONI'!N47,'22.10 MITYANA-KANONI'!N47,'23.10 MITYANA-KANONI'!N47)</f>
        <v>0</v>
      </c>
      <c r="O47" s="15">
        <f t="shared" si="0"/>
        <v>2.5714285714285712</v>
      </c>
      <c r="P47" s="15">
        <f t="shared" si="1"/>
        <v>18</v>
      </c>
      <c r="R47" s="8"/>
      <c r="T47"/>
    </row>
    <row r="48" spans="2:32" ht="23.1" customHeight="1" x14ac:dyDescent="0.25">
      <c r="B48" s="24" t="s">
        <v>75</v>
      </c>
      <c r="C48" s="49">
        <f>AVERAGE('17.10 MITYANA-KANONI'!C48,'18.10 MITYANA-KANONI-24h'!C48,'19.10 MITYANA-KANONI-24h'!C48,'20.10 MITYANA-KANONI'!C48,'21.10 MITYANA-KANONI'!C48,'22.10 MITYANA-KANONI'!C48,'23.10 MITYANA-KANONI'!C48)</f>
        <v>0.2857142857142857</v>
      </c>
      <c r="D48" s="49">
        <f>AVERAGE('17.10 MITYANA-KANONI'!D48,'18.10 MITYANA-KANONI-24h'!D48,'19.10 MITYANA-KANONI-24h'!D48,'20.10 MITYANA-KANONI'!D48,'21.10 MITYANA-KANONI'!D48,'22.10 MITYANA-KANONI'!D48,'23.10 MITYANA-KANONI'!D48)</f>
        <v>0.2857142857142857</v>
      </c>
      <c r="E48" s="49">
        <f>AVERAGE('17.10 MITYANA-KANONI'!E48,'18.10 MITYANA-KANONI-24h'!E48,'19.10 MITYANA-KANONI-24h'!E48,'20.10 MITYANA-KANONI'!E48,'21.10 MITYANA-KANONI'!E48,'22.10 MITYANA-KANONI'!E48,'23.10 MITYANA-KANONI'!E48)</f>
        <v>0.2857142857142857</v>
      </c>
      <c r="F48" s="49">
        <f>AVERAGE('17.10 MITYANA-KANONI'!F48,'18.10 MITYANA-KANONI-24h'!F48,'19.10 MITYANA-KANONI-24h'!F48,'20.10 MITYANA-KANONI'!F48,'21.10 MITYANA-KANONI'!F48,'22.10 MITYANA-KANONI'!F48,'23.10 MITYANA-KANONI'!F48)</f>
        <v>0.42857142857142855</v>
      </c>
      <c r="G48" s="49">
        <f>AVERAGE('17.10 MITYANA-KANONI'!G48,'18.10 MITYANA-KANONI-24h'!G48,'19.10 MITYANA-KANONI-24h'!G48,'20.10 MITYANA-KANONI'!G48,'21.10 MITYANA-KANONI'!G48,'22.10 MITYANA-KANONI'!G48,'23.10 MITYANA-KANONI'!G48)</f>
        <v>0</v>
      </c>
      <c r="H48" s="49">
        <f>AVERAGE('17.10 MITYANA-KANONI'!H48,'18.10 MITYANA-KANONI-24h'!H48,'19.10 MITYANA-KANONI-24h'!H48,'20.10 MITYANA-KANONI'!H48,'21.10 MITYANA-KANONI'!H48,'22.10 MITYANA-KANONI'!H48,'23.10 MITYANA-KANONI'!H48)</f>
        <v>0</v>
      </c>
      <c r="I48" s="49">
        <f>AVERAGE('17.10 MITYANA-KANONI'!I48,'18.10 MITYANA-KANONI-24h'!I48,'19.10 MITYANA-KANONI-24h'!I48,'20.10 MITYANA-KANONI'!I48,'21.10 MITYANA-KANONI'!I48,'22.10 MITYANA-KANONI'!I48,'23.10 MITYANA-KANONI'!I48)</f>
        <v>0.5714285714285714</v>
      </c>
      <c r="J48" s="49">
        <f>AVERAGE('17.10 MITYANA-KANONI'!J48,'18.10 MITYANA-KANONI-24h'!J48,'19.10 MITYANA-KANONI-24h'!J48,'20.10 MITYANA-KANONI'!J48,'21.10 MITYANA-KANONI'!J48,'22.10 MITYANA-KANONI'!J48,'23.10 MITYANA-KANONI'!J48)</f>
        <v>0</v>
      </c>
      <c r="K48" s="49">
        <f>AVERAGE('17.10 MITYANA-KANONI'!K48,'18.10 MITYANA-KANONI-24h'!K48,'19.10 MITYANA-KANONI-24h'!K48,'20.10 MITYANA-KANONI'!K48,'21.10 MITYANA-KANONI'!K48,'22.10 MITYANA-KANONI'!K48,'23.10 MITYANA-KANONI'!K48)</f>
        <v>0.42857142857142855</v>
      </c>
      <c r="L48" s="49">
        <f>AVERAGE('17.10 MITYANA-KANONI'!L48,'18.10 MITYANA-KANONI-24h'!L48,'19.10 MITYANA-KANONI-24h'!L48,'20.10 MITYANA-KANONI'!L48,'21.10 MITYANA-KANONI'!L48,'22.10 MITYANA-KANONI'!L48,'23.10 MITYANA-KANONI'!L48)</f>
        <v>0</v>
      </c>
      <c r="M48" s="49">
        <f>AVERAGE('17.10 MITYANA-KANONI'!M48,'18.10 MITYANA-KANONI-24h'!M48,'19.10 MITYANA-KANONI-24h'!M48,'20.10 MITYANA-KANONI'!M48,'21.10 MITYANA-KANONI'!M48,'22.10 MITYANA-KANONI'!M48,'23.10 MITYANA-KANONI'!M48)</f>
        <v>9.8571428571428577</v>
      </c>
      <c r="N48" s="49">
        <f>AVERAGE('17.10 MITYANA-KANONI'!N48,'18.10 MITYANA-KANONI-24h'!N48,'19.10 MITYANA-KANONI-24h'!N48,'20.10 MITYANA-KANONI'!N48,'21.10 MITYANA-KANONI'!N48,'22.10 MITYANA-KANONI'!N48,'23.10 MITYANA-KANONI'!N48)</f>
        <v>0</v>
      </c>
      <c r="O48" s="15">
        <f t="shared" si="0"/>
        <v>2.2857142857142856</v>
      </c>
      <c r="P48" s="15">
        <f t="shared" si="1"/>
        <v>12.142857142857142</v>
      </c>
      <c r="R48" s="8"/>
      <c r="T48"/>
    </row>
    <row r="49" spans="2:20" ht="23.1" customHeight="1" x14ac:dyDescent="0.25">
      <c r="B49" s="23" t="s">
        <v>76</v>
      </c>
      <c r="C49" s="49">
        <f>AVERAGE('17.10 MITYANA-KANONI'!C49,'18.10 MITYANA-KANONI-24h'!C49,'19.10 MITYANA-KANONI-24h'!C49,'20.10 MITYANA-KANONI'!C49,'21.10 MITYANA-KANONI'!C49,'22.10 MITYANA-KANONI'!C49,'23.10 MITYANA-KANONI'!C49)</f>
        <v>0.7142857142857143</v>
      </c>
      <c r="D49" s="49">
        <f>AVERAGE('17.10 MITYANA-KANONI'!D49,'18.10 MITYANA-KANONI-24h'!D49,'19.10 MITYANA-KANONI-24h'!D49,'20.10 MITYANA-KANONI'!D49,'21.10 MITYANA-KANONI'!D49,'22.10 MITYANA-KANONI'!D49,'23.10 MITYANA-KANONI'!D49)</f>
        <v>0</v>
      </c>
      <c r="E49" s="49">
        <f>AVERAGE('17.10 MITYANA-KANONI'!E49,'18.10 MITYANA-KANONI-24h'!E49,'19.10 MITYANA-KANONI-24h'!E49,'20.10 MITYANA-KANONI'!E49,'21.10 MITYANA-KANONI'!E49,'22.10 MITYANA-KANONI'!E49,'23.10 MITYANA-KANONI'!E49)</f>
        <v>0.2857142857142857</v>
      </c>
      <c r="F49" s="49">
        <f>AVERAGE('17.10 MITYANA-KANONI'!F49,'18.10 MITYANA-KANONI-24h'!F49,'19.10 MITYANA-KANONI-24h'!F49,'20.10 MITYANA-KANONI'!F49,'21.10 MITYANA-KANONI'!F49,'22.10 MITYANA-KANONI'!F49,'23.10 MITYANA-KANONI'!F49)</f>
        <v>0</v>
      </c>
      <c r="G49" s="49">
        <f>AVERAGE('17.10 MITYANA-KANONI'!G49,'18.10 MITYANA-KANONI-24h'!G49,'19.10 MITYANA-KANONI-24h'!G49,'20.10 MITYANA-KANONI'!G49,'21.10 MITYANA-KANONI'!G49,'22.10 MITYANA-KANONI'!G49,'23.10 MITYANA-KANONI'!G49)</f>
        <v>0</v>
      </c>
      <c r="H49" s="49">
        <f>AVERAGE('17.10 MITYANA-KANONI'!H49,'18.10 MITYANA-KANONI-24h'!H49,'19.10 MITYANA-KANONI-24h'!H49,'20.10 MITYANA-KANONI'!H49,'21.10 MITYANA-KANONI'!H49,'22.10 MITYANA-KANONI'!H49,'23.10 MITYANA-KANONI'!H49)</f>
        <v>0</v>
      </c>
      <c r="I49" s="49">
        <f>AVERAGE('17.10 MITYANA-KANONI'!I49,'18.10 MITYANA-KANONI-24h'!I49,'19.10 MITYANA-KANONI-24h'!I49,'20.10 MITYANA-KANONI'!I49,'21.10 MITYANA-KANONI'!I49,'22.10 MITYANA-KANONI'!I49,'23.10 MITYANA-KANONI'!I49)</f>
        <v>1</v>
      </c>
      <c r="J49" s="49">
        <f>AVERAGE('17.10 MITYANA-KANONI'!J49,'18.10 MITYANA-KANONI-24h'!J49,'19.10 MITYANA-KANONI-24h'!J49,'20.10 MITYANA-KANONI'!J49,'21.10 MITYANA-KANONI'!J49,'22.10 MITYANA-KANONI'!J49,'23.10 MITYANA-KANONI'!J49)</f>
        <v>0</v>
      </c>
      <c r="K49" s="49">
        <f>AVERAGE('17.10 MITYANA-KANONI'!K49,'18.10 MITYANA-KANONI-24h'!K49,'19.10 MITYANA-KANONI-24h'!K49,'20.10 MITYANA-KANONI'!K49,'21.10 MITYANA-KANONI'!K49,'22.10 MITYANA-KANONI'!K49,'23.10 MITYANA-KANONI'!K49)</f>
        <v>0</v>
      </c>
      <c r="L49" s="49">
        <f>AVERAGE('17.10 MITYANA-KANONI'!L49,'18.10 MITYANA-KANONI-24h'!L49,'19.10 MITYANA-KANONI-24h'!L49,'20.10 MITYANA-KANONI'!L49,'21.10 MITYANA-KANONI'!L49,'22.10 MITYANA-KANONI'!L49,'23.10 MITYANA-KANONI'!L49)</f>
        <v>0</v>
      </c>
      <c r="M49" s="49">
        <f>AVERAGE('17.10 MITYANA-KANONI'!M49,'18.10 MITYANA-KANONI-24h'!M49,'19.10 MITYANA-KANONI-24h'!M49,'20.10 MITYANA-KANONI'!M49,'21.10 MITYANA-KANONI'!M49,'22.10 MITYANA-KANONI'!M49,'23.10 MITYANA-KANONI'!M49)</f>
        <v>12.714285714285714</v>
      </c>
      <c r="N49" s="49">
        <f>AVERAGE('17.10 MITYANA-KANONI'!N49,'18.10 MITYANA-KANONI-24h'!N49,'19.10 MITYANA-KANONI-24h'!N49,'20.10 MITYANA-KANONI'!N49,'21.10 MITYANA-KANONI'!N49,'22.10 MITYANA-KANONI'!N49,'23.10 MITYANA-KANONI'!N49)</f>
        <v>0</v>
      </c>
      <c r="O49" s="15">
        <f t="shared" si="0"/>
        <v>2</v>
      </c>
      <c r="P49" s="15">
        <f t="shared" si="1"/>
        <v>14.714285714285714</v>
      </c>
      <c r="R49" s="8"/>
      <c r="T49"/>
    </row>
    <row r="50" spans="2:20" ht="23.1" customHeight="1" x14ac:dyDescent="0.25">
      <c r="B50" s="24" t="s">
        <v>77</v>
      </c>
      <c r="C50" s="49">
        <f>AVERAGE('17.10 MITYANA-KANONI'!C50,'18.10 MITYANA-KANONI-24h'!C50,'19.10 MITYANA-KANONI-24h'!C50,'20.10 MITYANA-KANONI'!C50,'21.10 MITYANA-KANONI'!C50,'22.10 MITYANA-KANONI'!C50,'23.10 MITYANA-KANONI'!C50)</f>
        <v>0.7142857142857143</v>
      </c>
      <c r="D50" s="49">
        <f>AVERAGE('17.10 MITYANA-KANONI'!D50,'18.10 MITYANA-KANONI-24h'!D50,'19.10 MITYANA-KANONI-24h'!D50,'20.10 MITYANA-KANONI'!D50,'21.10 MITYANA-KANONI'!D50,'22.10 MITYANA-KANONI'!D50,'23.10 MITYANA-KANONI'!D50)</f>
        <v>0</v>
      </c>
      <c r="E50" s="49">
        <f>AVERAGE('17.10 MITYANA-KANONI'!E50,'18.10 MITYANA-KANONI-24h'!E50,'19.10 MITYANA-KANONI-24h'!E50,'20.10 MITYANA-KANONI'!E50,'21.10 MITYANA-KANONI'!E50,'22.10 MITYANA-KANONI'!E50,'23.10 MITYANA-KANONI'!E50)</f>
        <v>0.42857142857142855</v>
      </c>
      <c r="F50" s="49">
        <f>AVERAGE('17.10 MITYANA-KANONI'!F50,'18.10 MITYANA-KANONI-24h'!F50,'19.10 MITYANA-KANONI-24h'!F50,'20.10 MITYANA-KANONI'!F50,'21.10 MITYANA-KANONI'!F50,'22.10 MITYANA-KANONI'!F50,'23.10 MITYANA-KANONI'!F50)</f>
        <v>0.2857142857142857</v>
      </c>
      <c r="G50" s="49">
        <f>AVERAGE('17.10 MITYANA-KANONI'!G50,'18.10 MITYANA-KANONI-24h'!G50,'19.10 MITYANA-KANONI-24h'!G50,'20.10 MITYANA-KANONI'!G50,'21.10 MITYANA-KANONI'!G50,'22.10 MITYANA-KANONI'!G50,'23.10 MITYANA-KANONI'!G50)</f>
        <v>0</v>
      </c>
      <c r="H50" s="49">
        <f>AVERAGE('17.10 MITYANA-KANONI'!H50,'18.10 MITYANA-KANONI-24h'!H50,'19.10 MITYANA-KANONI-24h'!H50,'20.10 MITYANA-KANONI'!H50,'21.10 MITYANA-KANONI'!H50,'22.10 MITYANA-KANONI'!H50,'23.10 MITYANA-KANONI'!H50)</f>
        <v>0.14285714285714285</v>
      </c>
      <c r="I50" s="49">
        <f>AVERAGE('17.10 MITYANA-KANONI'!I50,'18.10 MITYANA-KANONI-24h'!I50,'19.10 MITYANA-KANONI-24h'!I50,'20.10 MITYANA-KANONI'!I50,'21.10 MITYANA-KANONI'!I50,'22.10 MITYANA-KANONI'!I50,'23.10 MITYANA-KANONI'!I50)</f>
        <v>0.5714285714285714</v>
      </c>
      <c r="J50" s="49">
        <f>AVERAGE('17.10 MITYANA-KANONI'!J50,'18.10 MITYANA-KANONI-24h'!J50,'19.10 MITYANA-KANONI-24h'!J50,'20.10 MITYANA-KANONI'!J50,'21.10 MITYANA-KANONI'!J50,'22.10 MITYANA-KANONI'!J50,'23.10 MITYANA-KANONI'!J50)</f>
        <v>0.42857142857142855</v>
      </c>
      <c r="K50" s="49">
        <f>AVERAGE('17.10 MITYANA-KANONI'!K50,'18.10 MITYANA-KANONI-24h'!K50,'19.10 MITYANA-KANONI-24h'!K50,'20.10 MITYANA-KANONI'!K50,'21.10 MITYANA-KANONI'!K50,'22.10 MITYANA-KANONI'!K50,'23.10 MITYANA-KANONI'!K50)</f>
        <v>0.14285714285714285</v>
      </c>
      <c r="L50" s="49">
        <f>AVERAGE('17.10 MITYANA-KANONI'!L50,'18.10 MITYANA-KANONI-24h'!L50,'19.10 MITYANA-KANONI-24h'!L50,'20.10 MITYANA-KANONI'!L50,'21.10 MITYANA-KANONI'!L50,'22.10 MITYANA-KANONI'!L50,'23.10 MITYANA-KANONI'!L50)</f>
        <v>0</v>
      </c>
      <c r="M50" s="49">
        <f>AVERAGE('17.10 MITYANA-KANONI'!M50,'18.10 MITYANA-KANONI-24h'!M50,'19.10 MITYANA-KANONI-24h'!M50,'20.10 MITYANA-KANONI'!M50,'21.10 MITYANA-KANONI'!M50,'22.10 MITYANA-KANONI'!M50,'23.10 MITYANA-KANONI'!M50)</f>
        <v>12.428571428571429</v>
      </c>
      <c r="N50" s="49">
        <f>AVERAGE('17.10 MITYANA-KANONI'!N50,'18.10 MITYANA-KANONI-24h'!N50,'19.10 MITYANA-KANONI-24h'!N50,'20.10 MITYANA-KANONI'!N50,'21.10 MITYANA-KANONI'!N50,'22.10 MITYANA-KANONI'!N50,'23.10 MITYANA-KANONI'!N50)</f>
        <v>0</v>
      </c>
      <c r="O50" s="15">
        <f t="shared" si="0"/>
        <v>2.7142857142857135</v>
      </c>
      <c r="P50" s="15">
        <f t="shared" si="1"/>
        <v>15.142857142857142</v>
      </c>
      <c r="R50" s="8"/>
      <c r="T50"/>
    </row>
    <row r="51" spans="2:20" ht="23.1" customHeight="1" x14ac:dyDescent="0.25">
      <c r="B51" s="24" t="s">
        <v>78</v>
      </c>
      <c r="C51" s="49">
        <f>AVERAGE('17.10 MITYANA-KANONI'!C51,'18.10 MITYANA-KANONI-24h'!C51,'19.10 MITYANA-KANONI-24h'!C51,'20.10 MITYANA-KANONI'!C51,'21.10 MITYANA-KANONI'!C51,'22.10 MITYANA-KANONI'!C51,'23.10 MITYANA-KANONI'!C51)</f>
        <v>0.7142857142857143</v>
      </c>
      <c r="D51" s="49">
        <f>AVERAGE('17.10 MITYANA-KANONI'!D51,'18.10 MITYANA-KANONI-24h'!D51,'19.10 MITYANA-KANONI-24h'!D51,'20.10 MITYANA-KANONI'!D51,'21.10 MITYANA-KANONI'!D51,'22.10 MITYANA-KANONI'!D51,'23.10 MITYANA-KANONI'!D51)</f>
        <v>0.14285714285714285</v>
      </c>
      <c r="E51" s="49">
        <f>AVERAGE('17.10 MITYANA-KANONI'!E51,'18.10 MITYANA-KANONI-24h'!E51,'19.10 MITYANA-KANONI-24h'!E51,'20.10 MITYANA-KANONI'!E51,'21.10 MITYANA-KANONI'!E51,'22.10 MITYANA-KANONI'!E51,'23.10 MITYANA-KANONI'!E51)</f>
        <v>0.14285714285714285</v>
      </c>
      <c r="F51" s="49">
        <f>AVERAGE('17.10 MITYANA-KANONI'!F51,'18.10 MITYANA-KANONI-24h'!F51,'19.10 MITYANA-KANONI-24h'!F51,'20.10 MITYANA-KANONI'!F51,'21.10 MITYANA-KANONI'!F51,'22.10 MITYANA-KANONI'!F51,'23.10 MITYANA-KANONI'!F51)</f>
        <v>0.2857142857142857</v>
      </c>
      <c r="G51" s="49">
        <f>AVERAGE('17.10 MITYANA-KANONI'!G51,'18.10 MITYANA-KANONI-24h'!G51,'19.10 MITYANA-KANONI-24h'!G51,'20.10 MITYANA-KANONI'!G51,'21.10 MITYANA-KANONI'!G51,'22.10 MITYANA-KANONI'!G51,'23.10 MITYANA-KANONI'!G51)</f>
        <v>0</v>
      </c>
      <c r="H51" s="49">
        <f>AVERAGE('17.10 MITYANA-KANONI'!H51,'18.10 MITYANA-KANONI-24h'!H51,'19.10 MITYANA-KANONI-24h'!H51,'20.10 MITYANA-KANONI'!H51,'21.10 MITYANA-KANONI'!H51,'22.10 MITYANA-KANONI'!H51,'23.10 MITYANA-KANONI'!H51)</f>
        <v>0</v>
      </c>
      <c r="I51" s="49">
        <f>AVERAGE('17.10 MITYANA-KANONI'!I51,'18.10 MITYANA-KANONI-24h'!I51,'19.10 MITYANA-KANONI-24h'!I51,'20.10 MITYANA-KANONI'!I51,'21.10 MITYANA-KANONI'!I51,'22.10 MITYANA-KANONI'!I51,'23.10 MITYANA-KANONI'!I51)</f>
        <v>0.5714285714285714</v>
      </c>
      <c r="J51" s="49">
        <f>AVERAGE('17.10 MITYANA-KANONI'!J51,'18.10 MITYANA-KANONI-24h'!J51,'19.10 MITYANA-KANONI-24h'!J51,'20.10 MITYANA-KANONI'!J51,'21.10 MITYANA-KANONI'!J51,'22.10 MITYANA-KANONI'!J51,'23.10 MITYANA-KANONI'!J51)</f>
        <v>0.14285714285714285</v>
      </c>
      <c r="K51" s="49">
        <f>AVERAGE('17.10 MITYANA-KANONI'!K51,'18.10 MITYANA-KANONI-24h'!K51,'19.10 MITYANA-KANONI-24h'!K51,'20.10 MITYANA-KANONI'!K51,'21.10 MITYANA-KANONI'!K51,'22.10 MITYANA-KANONI'!K51,'23.10 MITYANA-KANONI'!K51)</f>
        <v>0</v>
      </c>
      <c r="L51" s="49">
        <f>AVERAGE('17.10 MITYANA-KANONI'!L51,'18.10 MITYANA-KANONI-24h'!L51,'19.10 MITYANA-KANONI-24h'!L51,'20.10 MITYANA-KANONI'!L51,'21.10 MITYANA-KANONI'!L51,'22.10 MITYANA-KANONI'!L51,'23.10 MITYANA-KANONI'!L51)</f>
        <v>0</v>
      </c>
      <c r="M51" s="49">
        <f>AVERAGE('17.10 MITYANA-KANONI'!M51,'18.10 MITYANA-KANONI-24h'!M51,'19.10 MITYANA-KANONI-24h'!M51,'20.10 MITYANA-KANONI'!M51,'21.10 MITYANA-KANONI'!M51,'22.10 MITYANA-KANONI'!M51,'23.10 MITYANA-KANONI'!M51)</f>
        <v>15.714285714285714</v>
      </c>
      <c r="N51" s="49">
        <f>AVERAGE('17.10 MITYANA-KANONI'!N51,'18.10 MITYANA-KANONI-24h'!N51,'19.10 MITYANA-KANONI-24h'!N51,'20.10 MITYANA-KANONI'!N51,'21.10 MITYANA-KANONI'!N51,'22.10 MITYANA-KANONI'!N51,'23.10 MITYANA-KANONI'!N51)</f>
        <v>0</v>
      </c>
      <c r="O51" s="15">
        <f t="shared" si="0"/>
        <v>1.9999999999999998</v>
      </c>
      <c r="P51" s="15">
        <f t="shared" si="1"/>
        <v>17.714285714285712</v>
      </c>
      <c r="R51" s="8"/>
      <c r="T51"/>
    </row>
    <row r="52" spans="2:20" ht="23.1" customHeight="1" x14ac:dyDescent="0.25">
      <c r="B52" s="24" t="s">
        <v>79</v>
      </c>
      <c r="C52" s="49">
        <f>AVERAGE('17.10 MITYANA-KANONI'!C52,'18.10 MITYANA-KANONI-24h'!C52,'19.10 MITYANA-KANONI-24h'!C52,'20.10 MITYANA-KANONI'!C52,'21.10 MITYANA-KANONI'!C52,'22.10 MITYANA-KANONI'!C52,'23.10 MITYANA-KANONI'!C52)</f>
        <v>0.5714285714285714</v>
      </c>
      <c r="D52" s="49">
        <f>AVERAGE('17.10 MITYANA-KANONI'!D52,'18.10 MITYANA-KANONI-24h'!D52,'19.10 MITYANA-KANONI-24h'!D52,'20.10 MITYANA-KANONI'!D52,'21.10 MITYANA-KANONI'!D52,'22.10 MITYANA-KANONI'!D52,'23.10 MITYANA-KANONI'!D52)</f>
        <v>0</v>
      </c>
      <c r="E52" s="49">
        <f>AVERAGE('17.10 MITYANA-KANONI'!E52,'18.10 MITYANA-KANONI-24h'!E52,'19.10 MITYANA-KANONI-24h'!E52,'20.10 MITYANA-KANONI'!E52,'21.10 MITYANA-KANONI'!E52,'22.10 MITYANA-KANONI'!E52,'23.10 MITYANA-KANONI'!E52)</f>
        <v>0.14285714285714285</v>
      </c>
      <c r="F52" s="49">
        <f>AVERAGE('17.10 MITYANA-KANONI'!F52,'18.10 MITYANA-KANONI-24h'!F52,'19.10 MITYANA-KANONI-24h'!F52,'20.10 MITYANA-KANONI'!F52,'21.10 MITYANA-KANONI'!F52,'22.10 MITYANA-KANONI'!F52,'23.10 MITYANA-KANONI'!F52)</f>
        <v>0.14285714285714285</v>
      </c>
      <c r="G52" s="49">
        <f>AVERAGE('17.10 MITYANA-KANONI'!G52,'18.10 MITYANA-KANONI-24h'!G52,'19.10 MITYANA-KANONI-24h'!G52,'20.10 MITYANA-KANONI'!G52,'21.10 MITYANA-KANONI'!G52,'22.10 MITYANA-KANONI'!G52,'23.10 MITYANA-KANONI'!G52)</f>
        <v>0</v>
      </c>
      <c r="H52" s="49">
        <f>AVERAGE('17.10 MITYANA-KANONI'!H52,'18.10 MITYANA-KANONI-24h'!H52,'19.10 MITYANA-KANONI-24h'!H52,'20.10 MITYANA-KANONI'!H52,'21.10 MITYANA-KANONI'!H52,'22.10 MITYANA-KANONI'!H52,'23.10 MITYANA-KANONI'!H52)</f>
        <v>0</v>
      </c>
      <c r="I52" s="49">
        <f>AVERAGE('17.10 MITYANA-KANONI'!I52,'18.10 MITYANA-KANONI-24h'!I52,'19.10 MITYANA-KANONI-24h'!I52,'20.10 MITYANA-KANONI'!I52,'21.10 MITYANA-KANONI'!I52,'22.10 MITYANA-KANONI'!I52,'23.10 MITYANA-KANONI'!I52)</f>
        <v>0.42857142857142855</v>
      </c>
      <c r="J52" s="49">
        <f>AVERAGE('17.10 MITYANA-KANONI'!J52,'18.10 MITYANA-KANONI-24h'!J52,'19.10 MITYANA-KANONI-24h'!J52,'20.10 MITYANA-KANONI'!J52,'21.10 MITYANA-KANONI'!J52,'22.10 MITYANA-KANONI'!J52,'23.10 MITYANA-KANONI'!J52)</f>
        <v>0</v>
      </c>
      <c r="K52" s="49">
        <f>AVERAGE('17.10 MITYANA-KANONI'!K52,'18.10 MITYANA-KANONI-24h'!K52,'19.10 MITYANA-KANONI-24h'!K52,'20.10 MITYANA-KANONI'!K52,'21.10 MITYANA-KANONI'!K52,'22.10 MITYANA-KANONI'!K52,'23.10 MITYANA-KANONI'!K52)</f>
        <v>0</v>
      </c>
      <c r="L52" s="49">
        <f>AVERAGE('17.10 MITYANA-KANONI'!L52,'18.10 MITYANA-KANONI-24h'!L52,'19.10 MITYANA-KANONI-24h'!L52,'20.10 MITYANA-KANONI'!L52,'21.10 MITYANA-KANONI'!L52,'22.10 MITYANA-KANONI'!L52,'23.10 MITYANA-KANONI'!L52)</f>
        <v>0</v>
      </c>
      <c r="M52" s="49">
        <f>AVERAGE('17.10 MITYANA-KANONI'!M52,'18.10 MITYANA-KANONI-24h'!M52,'19.10 MITYANA-KANONI-24h'!M52,'20.10 MITYANA-KANONI'!M52,'21.10 MITYANA-KANONI'!M52,'22.10 MITYANA-KANONI'!M52,'23.10 MITYANA-KANONI'!M52)</f>
        <v>14</v>
      </c>
      <c r="N52" s="49">
        <f>AVERAGE('17.10 MITYANA-KANONI'!N52,'18.10 MITYANA-KANONI-24h'!N52,'19.10 MITYANA-KANONI-24h'!N52,'20.10 MITYANA-KANONI'!N52,'21.10 MITYANA-KANONI'!N52,'22.10 MITYANA-KANONI'!N52,'23.10 MITYANA-KANONI'!N52)</f>
        <v>0</v>
      </c>
      <c r="O52" s="15">
        <f t="shared" si="0"/>
        <v>1.2857142857142856</v>
      </c>
      <c r="P52" s="15">
        <f t="shared" si="1"/>
        <v>15.285714285714285</v>
      </c>
      <c r="R52" s="8"/>
      <c r="T52"/>
    </row>
    <row r="53" spans="2:20" ht="23.1" customHeight="1" x14ac:dyDescent="0.25">
      <c r="B53" s="23" t="s">
        <v>80</v>
      </c>
      <c r="C53" s="49">
        <f>AVERAGE('17.10 MITYANA-KANONI'!C53,'18.10 MITYANA-KANONI-24h'!C53,'19.10 MITYANA-KANONI-24h'!C53,'20.10 MITYANA-KANONI'!C53,'21.10 MITYANA-KANONI'!C53,'22.10 MITYANA-KANONI'!C53,'23.10 MITYANA-KANONI'!C53)</f>
        <v>0.8571428571428571</v>
      </c>
      <c r="D53" s="49">
        <f>AVERAGE('17.10 MITYANA-KANONI'!D53,'18.10 MITYANA-KANONI-24h'!D53,'19.10 MITYANA-KANONI-24h'!D53,'20.10 MITYANA-KANONI'!D53,'21.10 MITYANA-KANONI'!D53,'22.10 MITYANA-KANONI'!D53,'23.10 MITYANA-KANONI'!D53)</f>
        <v>0.2857142857142857</v>
      </c>
      <c r="E53" s="49">
        <f>AVERAGE('17.10 MITYANA-KANONI'!E53,'18.10 MITYANA-KANONI-24h'!E53,'19.10 MITYANA-KANONI-24h'!E53,'20.10 MITYANA-KANONI'!E53,'21.10 MITYANA-KANONI'!E53,'22.10 MITYANA-KANONI'!E53,'23.10 MITYANA-KANONI'!E53)</f>
        <v>0</v>
      </c>
      <c r="F53" s="49">
        <f>AVERAGE('17.10 MITYANA-KANONI'!F53,'18.10 MITYANA-KANONI-24h'!F53,'19.10 MITYANA-KANONI-24h'!F53,'20.10 MITYANA-KANONI'!F53,'21.10 MITYANA-KANONI'!F53,'22.10 MITYANA-KANONI'!F53,'23.10 MITYANA-KANONI'!F53)</f>
        <v>0</v>
      </c>
      <c r="G53" s="49">
        <f>AVERAGE('17.10 MITYANA-KANONI'!G53,'18.10 MITYANA-KANONI-24h'!G53,'19.10 MITYANA-KANONI-24h'!G53,'20.10 MITYANA-KANONI'!G53,'21.10 MITYANA-KANONI'!G53,'22.10 MITYANA-KANONI'!G53,'23.10 MITYANA-KANONI'!G53)</f>
        <v>0</v>
      </c>
      <c r="H53" s="49">
        <f>AVERAGE('17.10 MITYANA-KANONI'!H53,'18.10 MITYANA-KANONI-24h'!H53,'19.10 MITYANA-KANONI-24h'!H53,'20.10 MITYANA-KANONI'!H53,'21.10 MITYANA-KANONI'!H53,'22.10 MITYANA-KANONI'!H53,'23.10 MITYANA-KANONI'!H53)</f>
        <v>0</v>
      </c>
      <c r="I53" s="49">
        <f>AVERAGE('17.10 MITYANA-KANONI'!I53,'18.10 MITYANA-KANONI-24h'!I53,'19.10 MITYANA-KANONI-24h'!I53,'20.10 MITYANA-KANONI'!I53,'21.10 MITYANA-KANONI'!I53,'22.10 MITYANA-KANONI'!I53,'23.10 MITYANA-KANONI'!I53)</f>
        <v>0.42857142857142855</v>
      </c>
      <c r="J53" s="49">
        <f>AVERAGE('17.10 MITYANA-KANONI'!J53,'18.10 MITYANA-KANONI-24h'!J53,'19.10 MITYANA-KANONI-24h'!J53,'20.10 MITYANA-KANONI'!J53,'21.10 MITYANA-KANONI'!J53,'22.10 MITYANA-KANONI'!J53,'23.10 MITYANA-KANONI'!J53)</f>
        <v>0.14285714285714285</v>
      </c>
      <c r="K53" s="49">
        <f>AVERAGE('17.10 MITYANA-KANONI'!K53,'18.10 MITYANA-KANONI-24h'!K53,'19.10 MITYANA-KANONI-24h'!K53,'20.10 MITYANA-KANONI'!K53,'21.10 MITYANA-KANONI'!K53,'22.10 MITYANA-KANONI'!K53,'23.10 MITYANA-KANONI'!K53)</f>
        <v>0</v>
      </c>
      <c r="L53" s="49">
        <f>AVERAGE('17.10 MITYANA-KANONI'!L53,'18.10 MITYANA-KANONI-24h'!L53,'19.10 MITYANA-KANONI-24h'!L53,'20.10 MITYANA-KANONI'!L53,'21.10 MITYANA-KANONI'!L53,'22.10 MITYANA-KANONI'!L53,'23.10 MITYANA-KANONI'!L53)</f>
        <v>0</v>
      </c>
      <c r="M53" s="49">
        <f>AVERAGE('17.10 MITYANA-KANONI'!M53,'18.10 MITYANA-KANONI-24h'!M53,'19.10 MITYANA-KANONI-24h'!M53,'20.10 MITYANA-KANONI'!M53,'21.10 MITYANA-KANONI'!M53,'22.10 MITYANA-KANONI'!M53,'23.10 MITYANA-KANONI'!M53)</f>
        <v>13.857142857142858</v>
      </c>
      <c r="N53" s="49">
        <f>AVERAGE('17.10 MITYANA-KANONI'!N53,'18.10 MITYANA-KANONI-24h'!N53,'19.10 MITYANA-KANONI-24h'!N53,'20.10 MITYANA-KANONI'!N53,'21.10 MITYANA-KANONI'!N53,'22.10 MITYANA-KANONI'!N53,'23.10 MITYANA-KANONI'!N53)</f>
        <v>0</v>
      </c>
      <c r="O53" s="15">
        <f t="shared" si="0"/>
        <v>1.7142857142857142</v>
      </c>
      <c r="P53" s="15">
        <f t="shared" si="1"/>
        <v>15.571428571428571</v>
      </c>
      <c r="R53" s="8"/>
      <c r="T53"/>
    </row>
    <row r="54" spans="2:20" ht="23.1" customHeight="1" x14ac:dyDescent="0.25">
      <c r="B54" s="23" t="s">
        <v>81</v>
      </c>
      <c r="C54" s="49">
        <f>AVERAGE('17.10 MITYANA-KANONI'!C54,'18.10 MITYANA-KANONI-24h'!C54,'19.10 MITYANA-KANONI-24h'!C54,'20.10 MITYANA-KANONI'!C54,'21.10 MITYANA-KANONI'!C54,'22.10 MITYANA-KANONI'!C54,'23.10 MITYANA-KANONI'!C54)</f>
        <v>0.2857142857142857</v>
      </c>
      <c r="D54" s="49">
        <f>AVERAGE('17.10 MITYANA-KANONI'!D54,'18.10 MITYANA-KANONI-24h'!D54,'19.10 MITYANA-KANONI-24h'!D54,'20.10 MITYANA-KANONI'!D54,'21.10 MITYANA-KANONI'!D54,'22.10 MITYANA-KANONI'!D54,'23.10 MITYANA-KANONI'!D54)</f>
        <v>0.14285714285714285</v>
      </c>
      <c r="E54" s="49">
        <f>AVERAGE('17.10 MITYANA-KANONI'!E54,'18.10 MITYANA-KANONI-24h'!E54,'19.10 MITYANA-KANONI-24h'!E54,'20.10 MITYANA-KANONI'!E54,'21.10 MITYANA-KANONI'!E54,'22.10 MITYANA-KANONI'!E54,'23.10 MITYANA-KANONI'!E54)</f>
        <v>0</v>
      </c>
      <c r="F54" s="49">
        <f>AVERAGE('17.10 MITYANA-KANONI'!F54,'18.10 MITYANA-KANONI-24h'!F54,'19.10 MITYANA-KANONI-24h'!F54,'20.10 MITYANA-KANONI'!F54,'21.10 MITYANA-KANONI'!F54,'22.10 MITYANA-KANONI'!F54,'23.10 MITYANA-KANONI'!F54)</f>
        <v>0.2857142857142857</v>
      </c>
      <c r="G54" s="49">
        <f>AVERAGE('17.10 MITYANA-KANONI'!G54,'18.10 MITYANA-KANONI-24h'!G54,'19.10 MITYANA-KANONI-24h'!G54,'20.10 MITYANA-KANONI'!G54,'21.10 MITYANA-KANONI'!G54,'22.10 MITYANA-KANONI'!G54,'23.10 MITYANA-KANONI'!G54)</f>
        <v>0</v>
      </c>
      <c r="H54" s="49">
        <f>AVERAGE('17.10 MITYANA-KANONI'!H54,'18.10 MITYANA-KANONI-24h'!H54,'19.10 MITYANA-KANONI-24h'!H54,'20.10 MITYANA-KANONI'!H54,'21.10 MITYANA-KANONI'!H54,'22.10 MITYANA-KANONI'!H54,'23.10 MITYANA-KANONI'!H54)</f>
        <v>0</v>
      </c>
      <c r="I54" s="49">
        <f>AVERAGE('17.10 MITYANA-KANONI'!I54,'18.10 MITYANA-KANONI-24h'!I54,'19.10 MITYANA-KANONI-24h'!I54,'20.10 MITYANA-KANONI'!I54,'21.10 MITYANA-KANONI'!I54,'22.10 MITYANA-KANONI'!I54,'23.10 MITYANA-KANONI'!I54)</f>
        <v>0.42857142857142855</v>
      </c>
      <c r="J54" s="49">
        <f>AVERAGE('17.10 MITYANA-KANONI'!J54,'18.10 MITYANA-KANONI-24h'!J54,'19.10 MITYANA-KANONI-24h'!J54,'20.10 MITYANA-KANONI'!J54,'21.10 MITYANA-KANONI'!J54,'22.10 MITYANA-KANONI'!J54,'23.10 MITYANA-KANONI'!J54)</f>
        <v>0</v>
      </c>
      <c r="K54" s="49">
        <f>AVERAGE('17.10 MITYANA-KANONI'!K54,'18.10 MITYANA-KANONI-24h'!K54,'19.10 MITYANA-KANONI-24h'!K54,'20.10 MITYANA-KANONI'!K54,'21.10 MITYANA-KANONI'!K54,'22.10 MITYANA-KANONI'!K54,'23.10 MITYANA-KANONI'!K54)</f>
        <v>0</v>
      </c>
      <c r="L54" s="49">
        <f>AVERAGE('17.10 MITYANA-KANONI'!L54,'18.10 MITYANA-KANONI-24h'!L54,'19.10 MITYANA-KANONI-24h'!L54,'20.10 MITYANA-KANONI'!L54,'21.10 MITYANA-KANONI'!L54,'22.10 MITYANA-KANONI'!L54,'23.10 MITYANA-KANONI'!L54)</f>
        <v>0</v>
      </c>
      <c r="M54" s="49">
        <f>AVERAGE('17.10 MITYANA-KANONI'!M54,'18.10 MITYANA-KANONI-24h'!M54,'19.10 MITYANA-KANONI-24h'!M54,'20.10 MITYANA-KANONI'!M54,'21.10 MITYANA-KANONI'!M54,'22.10 MITYANA-KANONI'!M54,'23.10 MITYANA-KANONI'!M54)</f>
        <v>9.5714285714285712</v>
      </c>
      <c r="N54" s="49">
        <f>AVERAGE('17.10 MITYANA-KANONI'!N54,'18.10 MITYANA-KANONI-24h'!N54,'19.10 MITYANA-KANONI-24h'!N54,'20.10 MITYANA-KANONI'!N54,'21.10 MITYANA-KANONI'!N54,'22.10 MITYANA-KANONI'!N54,'23.10 MITYANA-KANONI'!N54)</f>
        <v>0</v>
      </c>
      <c r="O54" s="15">
        <f t="shared" si="0"/>
        <v>1.1428571428571428</v>
      </c>
      <c r="P54" s="15">
        <f t="shared" si="1"/>
        <v>10.714285714285714</v>
      </c>
      <c r="R54" s="8"/>
      <c r="T54"/>
    </row>
    <row r="55" spans="2:20" ht="23.1" customHeight="1" x14ac:dyDescent="0.25">
      <c r="B55" s="23" t="s">
        <v>82</v>
      </c>
      <c r="C55" s="49">
        <f>AVERAGE('17.10 MITYANA-KANONI'!C55,'18.10 MITYANA-KANONI-24h'!C55,'19.10 MITYANA-KANONI-24h'!C55,'20.10 MITYANA-KANONI'!C55,'21.10 MITYANA-KANONI'!C55,'22.10 MITYANA-KANONI'!C55,'23.10 MITYANA-KANONI'!C55)</f>
        <v>0.5714285714285714</v>
      </c>
      <c r="D55" s="49">
        <f>AVERAGE('17.10 MITYANA-KANONI'!D55,'18.10 MITYANA-KANONI-24h'!D55,'19.10 MITYANA-KANONI-24h'!D55,'20.10 MITYANA-KANONI'!D55,'21.10 MITYANA-KANONI'!D55,'22.10 MITYANA-KANONI'!D55,'23.10 MITYANA-KANONI'!D55)</f>
        <v>0.14285714285714285</v>
      </c>
      <c r="E55" s="49">
        <f>AVERAGE('17.10 MITYANA-KANONI'!E55,'18.10 MITYANA-KANONI-24h'!E55,'19.10 MITYANA-KANONI-24h'!E55,'20.10 MITYANA-KANONI'!E55,'21.10 MITYANA-KANONI'!E55,'22.10 MITYANA-KANONI'!E55,'23.10 MITYANA-KANONI'!E55)</f>
        <v>0.42857142857142855</v>
      </c>
      <c r="F55" s="49">
        <f>AVERAGE('17.10 MITYANA-KANONI'!F55,'18.10 MITYANA-KANONI-24h'!F55,'19.10 MITYANA-KANONI-24h'!F55,'20.10 MITYANA-KANONI'!F55,'21.10 MITYANA-KANONI'!F55,'22.10 MITYANA-KANONI'!F55,'23.10 MITYANA-KANONI'!F55)</f>
        <v>0.14285714285714285</v>
      </c>
      <c r="G55" s="49">
        <f>AVERAGE('17.10 MITYANA-KANONI'!G55,'18.10 MITYANA-KANONI-24h'!G55,'19.10 MITYANA-KANONI-24h'!G55,'20.10 MITYANA-KANONI'!G55,'21.10 MITYANA-KANONI'!G55,'22.10 MITYANA-KANONI'!G55,'23.10 MITYANA-KANONI'!G55)</f>
        <v>0</v>
      </c>
      <c r="H55" s="49">
        <f>AVERAGE('17.10 MITYANA-KANONI'!H55,'18.10 MITYANA-KANONI-24h'!H55,'19.10 MITYANA-KANONI-24h'!H55,'20.10 MITYANA-KANONI'!H55,'21.10 MITYANA-KANONI'!H55,'22.10 MITYANA-KANONI'!H55,'23.10 MITYANA-KANONI'!H55)</f>
        <v>0</v>
      </c>
      <c r="I55" s="49">
        <f>AVERAGE('17.10 MITYANA-KANONI'!I55,'18.10 MITYANA-KANONI-24h'!I55,'19.10 MITYANA-KANONI-24h'!I55,'20.10 MITYANA-KANONI'!I55,'21.10 MITYANA-KANONI'!I55,'22.10 MITYANA-KANONI'!I55,'23.10 MITYANA-KANONI'!I55)</f>
        <v>0.14285714285714285</v>
      </c>
      <c r="J55" s="49">
        <f>AVERAGE('17.10 MITYANA-KANONI'!J55,'18.10 MITYANA-KANONI-24h'!J55,'19.10 MITYANA-KANONI-24h'!J55,'20.10 MITYANA-KANONI'!J55,'21.10 MITYANA-KANONI'!J55,'22.10 MITYANA-KANONI'!J55,'23.10 MITYANA-KANONI'!J55)</f>
        <v>0.2857142857142857</v>
      </c>
      <c r="K55" s="49">
        <f>AVERAGE('17.10 MITYANA-KANONI'!K55,'18.10 MITYANA-KANONI-24h'!K55,'19.10 MITYANA-KANONI-24h'!K55,'20.10 MITYANA-KANONI'!K55,'21.10 MITYANA-KANONI'!K55,'22.10 MITYANA-KANONI'!K55,'23.10 MITYANA-KANONI'!K55)</f>
        <v>0</v>
      </c>
      <c r="L55" s="49">
        <f>AVERAGE('17.10 MITYANA-KANONI'!L55,'18.10 MITYANA-KANONI-24h'!L55,'19.10 MITYANA-KANONI-24h'!L55,'20.10 MITYANA-KANONI'!L55,'21.10 MITYANA-KANONI'!L55,'22.10 MITYANA-KANONI'!L55,'23.10 MITYANA-KANONI'!L55)</f>
        <v>0</v>
      </c>
      <c r="M55" s="49">
        <f>AVERAGE('17.10 MITYANA-KANONI'!M55,'18.10 MITYANA-KANONI-24h'!M55,'19.10 MITYANA-KANONI-24h'!M55,'20.10 MITYANA-KANONI'!M55,'21.10 MITYANA-KANONI'!M55,'22.10 MITYANA-KANONI'!M55,'23.10 MITYANA-KANONI'!M55)</f>
        <v>12.714285714285714</v>
      </c>
      <c r="N55" s="49">
        <f>AVERAGE('17.10 MITYANA-KANONI'!N55,'18.10 MITYANA-KANONI-24h'!N55,'19.10 MITYANA-KANONI-24h'!N55,'20.10 MITYANA-KANONI'!N55,'21.10 MITYANA-KANONI'!N55,'22.10 MITYANA-KANONI'!N55,'23.10 MITYANA-KANONI'!N55)</f>
        <v>0</v>
      </c>
      <c r="O55" s="15">
        <f t="shared" si="0"/>
        <v>1.714285714285714</v>
      </c>
      <c r="P55" s="15">
        <f t="shared" si="1"/>
        <v>14.428571428571427</v>
      </c>
      <c r="R55" s="8"/>
      <c r="T55"/>
    </row>
    <row r="56" spans="2:20" ht="23.1" customHeight="1" x14ac:dyDescent="0.25">
      <c r="B56" s="23" t="s">
        <v>83</v>
      </c>
      <c r="C56" s="49">
        <f>AVERAGE('17.10 MITYANA-KANONI'!C56,'18.10 MITYANA-KANONI-24h'!C56,'19.10 MITYANA-KANONI-24h'!C56,'20.10 MITYANA-KANONI'!C56,'21.10 MITYANA-KANONI'!C56,'22.10 MITYANA-KANONI'!C56,'23.10 MITYANA-KANONI'!C56)</f>
        <v>0.7142857142857143</v>
      </c>
      <c r="D56" s="49">
        <f>AVERAGE('17.10 MITYANA-KANONI'!D56,'18.10 MITYANA-KANONI-24h'!D56,'19.10 MITYANA-KANONI-24h'!D56,'20.10 MITYANA-KANONI'!D56,'21.10 MITYANA-KANONI'!D56,'22.10 MITYANA-KANONI'!D56,'23.10 MITYANA-KANONI'!D56)</f>
        <v>0</v>
      </c>
      <c r="E56" s="49">
        <f>AVERAGE('17.10 MITYANA-KANONI'!E56,'18.10 MITYANA-KANONI-24h'!E56,'19.10 MITYANA-KANONI-24h'!E56,'20.10 MITYANA-KANONI'!E56,'21.10 MITYANA-KANONI'!E56,'22.10 MITYANA-KANONI'!E56,'23.10 MITYANA-KANONI'!E56)</f>
        <v>0</v>
      </c>
      <c r="F56" s="49">
        <f>AVERAGE('17.10 MITYANA-KANONI'!F56,'18.10 MITYANA-KANONI-24h'!F56,'19.10 MITYANA-KANONI-24h'!F56,'20.10 MITYANA-KANONI'!F56,'21.10 MITYANA-KANONI'!F56,'22.10 MITYANA-KANONI'!F56,'23.10 MITYANA-KANONI'!F56)</f>
        <v>0.2857142857142857</v>
      </c>
      <c r="G56" s="49">
        <f>AVERAGE('17.10 MITYANA-KANONI'!G56,'18.10 MITYANA-KANONI-24h'!G56,'19.10 MITYANA-KANONI-24h'!G56,'20.10 MITYANA-KANONI'!G56,'21.10 MITYANA-KANONI'!G56,'22.10 MITYANA-KANONI'!G56,'23.10 MITYANA-KANONI'!G56)</f>
        <v>0</v>
      </c>
      <c r="H56" s="49">
        <f>AVERAGE('17.10 MITYANA-KANONI'!H56,'18.10 MITYANA-KANONI-24h'!H56,'19.10 MITYANA-KANONI-24h'!H56,'20.10 MITYANA-KANONI'!H56,'21.10 MITYANA-KANONI'!H56,'22.10 MITYANA-KANONI'!H56,'23.10 MITYANA-KANONI'!H56)</f>
        <v>0</v>
      </c>
      <c r="I56" s="49">
        <f>AVERAGE('17.10 MITYANA-KANONI'!I56,'18.10 MITYANA-KANONI-24h'!I56,'19.10 MITYANA-KANONI-24h'!I56,'20.10 MITYANA-KANONI'!I56,'21.10 MITYANA-KANONI'!I56,'22.10 MITYANA-KANONI'!I56,'23.10 MITYANA-KANONI'!I56)</f>
        <v>0.2857142857142857</v>
      </c>
      <c r="J56" s="49">
        <f>AVERAGE('17.10 MITYANA-KANONI'!J56,'18.10 MITYANA-KANONI-24h'!J56,'19.10 MITYANA-KANONI-24h'!J56,'20.10 MITYANA-KANONI'!J56,'21.10 MITYANA-KANONI'!J56,'22.10 MITYANA-KANONI'!J56,'23.10 MITYANA-KANONI'!J56)</f>
        <v>0</v>
      </c>
      <c r="K56" s="49">
        <f>AVERAGE('17.10 MITYANA-KANONI'!K56,'18.10 MITYANA-KANONI-24h'!K56,'19.10 MITYANA-KANONI-24h'!K56,'20.10 MITYANA-KANONI'!K56,'21.10 MITYANA-KANONI'!K56,'22.10 MITYANA-KANONI'!K56,'23.10 MITYANA-KANONI'!K56)</f>
        <v>0</v>
      </c>
      <c r="L56" s="49">
        <f>AVERAGE('17.10 MITYANA-KANONI'!L56,'18.10 MITYANA-KANONI-24h'!L56,'19.10 MITYANA-KANONI-24h'!L56,'20.10 MITYANA-KANONI'!L56,'21.10 MITYANA-KANONI'!L56,'22.10 MITYANA-KANONI'!L56,'23.10 MITYANA-KANONI'!L56)</f>
        <v>0</v>
      </c>
      <c r="M56" s="49">
        <f>AVERAGE('17.10 MITYANA-KANONI'!M56,'18.10 MITYANA-KANONI-24h'!M56,'19.10 MITYANA-KANONI-24h'!M56,'20.10 MITYANA-KANONI'!M56,'21.10 MITYANA-KANONI'!M56,'22.10 MITYANA-KANONI'!M56,'23.10 MITYANA-KANONI'!M56)</f>
        <v>16.714285714285715</v>
      </c>
      <c r="N56" s="49">
        <f>AVERAGE('17.10 MITYANA-KANONI'!N56,'18.10 MITYANA-KANONI-24h'!N56,'19.10 MITYANA-KANONI-24h'!N56,'20.10 MITYANA-KANONI'!N56,'21.10 MITYANA-KANONI'!N56,'22.10 MITYANA-KANONI'!N56,'23.10 MITYANA-KANONI'!N56)</f>
        <v>0</v>
      </c>
      <c r="O56" s="15">
        <f t="shared" si="0"/>
        <v>1.2857142857142856</v>
      </c>
      <c r="P56" s="15">
        <f t="shared" si="1"/>
        <v>18</v>
      </c>
      <c r="R56" s="8"/>
      <c r="T56"/>
    </row>
    <row r="57" spans="2:20" ht="23.1" customHeight="1" x14ac:dyDescent="0.25">
      <c r="B57" s="23" t="s">
        <v>84</v>
      </c>
      <c r="C57" s="49">
        <f>AVERAGE('17.10 MITYANA-KANONI'!C57,'18.10 MITYANA-KANONI-24h'!C57,'19.10 MITYANA-KANONI-24h'!C57,'20.10 MITYANA-KANONI'!C57,'21.10 MITYANA-KANONI'!C57,'22.10 MITYANA-KANONI'!C57,'23.10 MITYANA-KANONI'!C57)</f>
        <v>0.8571428571428571</v>
      </c>
      <c r="D57" s="49">
        <f>AVERAGE('17.10 MITYANA-KANONI'!D57,'18.10 MITYANA-KANONI-24h'!D57,'19.10 MITYANA-KANONI-24h'!D57,'20.10 MITYANA-KANONI'!D57,'21.10 MITYANA-KANONI'!D57,'22.10 MITYANA-KANONI'!D57,'23.10 MITYANA-KANONI'!D57)</f>
        <v>0</v>
      </c>
      <c r="E57" s="49">
        <f>AVERAGE('17.10 MITYANA-KANONI'!E57,'18.10 MITYANA-KANONI-24h'!E57,'19.10 MITYANA-KANONI-24h'!E57,'20.10 MITYANA-KANONI'!E57,'21.10 MITYANA-KANONI'!E57,'22.10 MITYANA-KANONI'!E57,'23.10 MITYANA-KANONI'!E57)</f>
        <v>0.14285714285714285</v>
      </c>
      <c r="F57" s="49">
        <f>AVERAGE('17.10 MITYANA-KANONI'!F57,'18.10 MITYANA-KANONI-24h'!F57,'19.10 MITYANA-KANONI-24h'!F57,'20.10 MITYANA-KANONI'!F57,'21.10 MITYANA-KANONI'!F57,'22.10 MITYANA-KANONI'!F57,'23.10 MITYANA-KANONI'!F57)</f>
        <v>0.2857142857142857</v>
      </c>
      <c r="G57" s="49">
        <f>AVERAGE('17.10 MITYANA-KANONI'!G57,'18.10 MITYANA-KANONI-24h'!G57,'19.10 MITYANA-KANONI-24h'!G57,'20.10 MITYANA-KANONI'!G57,'21.10 MITYANA-KANONI'!G57,'22.10 MITYANA-KANONI'!G57,'23.10 MITYANA-KANONI'!G57)</f>
        <v>0</v>
      </c>
      <c r="H57" s="49">
        <f>AVERAGE('17.10 MITYANA-KANONI'!H57,'18.10 MITYANA-KANONI-24h'!H57,'19.10 MITYANA-KANONI-24h'!H57,'20.10 MITYANA-KANONI'!H57,'21.10 MITYANA-KANONI'!H57,'22.10 MITYANA-KANONI'!H57,'23.10 MITYANA-KANONI'!H57)</f>
        <v>0</v>
      </c>
      <c r="I57" s="49">
        <f>AVERAGE('17.10 MITYANA-KANONI'!I57,'18.10 MITYANA-KANONI-24h'!I57,'19.10 MITYANA-KANONI-24h'!I57,'20.10 MITYANA-KANONI'!I57,'21.10 MITYANA-KANONI'!I57,'22.10 MITYANA-KANONI'!I57,'23.10 MITYANA-KANONI'!I57)</f>
        <v>0.42857142857142855</v>
      </c>
      <c r="J57" s="49">
        <f>AVERAGE('17.10 MITYANA-KANONI'!J57,'18.10 MITYANA-KANONI-24h'!J57,'19.10 MITYANA-KANONI-24h'!J57,'20.10 MITYANA-KANONI'!J57,'21.10 MITYANA-KANONI'!J57,'22.10 MITYANA-KANONI'!J57,'23.10 MITYANA-KANONI'!J57)</f>
        <v>0</v>
      </c>
      <c r="K57" s="49">
        <f>AVERAGE('17.10 MITYANA-KANONI'!K57,'18.10 MITYANA-KANONI-24h'!K57,'19.10 MITYANA-KANONI-24h'!K57,'20.10 MITYANA-KANONI'!K57,'21.10 MITYANA-KANONI'!K57,'22.10 MITYANA-KANONI'!K57,'23.10 MITYANA-KANONI'!K57)</f>
        <v>0</v>
      </c>
      <c r="L57" s="49">
        <f>AVERAGE('17.10 MITYANA-KANONI'!L57,'18.10 MITYANA-KANONI-24h'!L57,'19.10 MITYANA-KANONI-24h'!L57,'20.10 MITYANA-KANONI'!L57,'21.10 MITYANA-KANONI'!L57,'22.10 MITYANA-KANONI'!L57,'23.10 MITYANA-KANONI'!L57)</f>
        <v>0</v>
      </c>
      <c r="M57" s="49">
        <f>AVERAGE('17.10 MITYANA-KANONI'!M57,'18.10 MITYANA-KANONI-24h'!M57,'19.10 MITYANA-KANONI-24h'!M57,'20.10 MITYANA-KANONI'!M57,'21.10 MITYANA-KANONI'!M57,'22.10 MITYANA-KANONI'!M57,'23.10 MITYANA-KANONI'!M57)</f>
        <v>17.285714285714285</v>
      </c>
      <c r="N57" s="49">
        <f>AVERAGE('17.10 MITYANA-KANONI'!N57,'18.10 MITYANA-KANONI-24h'!N57,'19.10 MITYANA-KANONI-24h'!N57,'20.10 MITYANA-KANONI'!N57,'21.10 MITYANA-KANONI'!N57,'22.10 MITYANA-KANONI'!N57,'23.10 MITYANA-KANONI'!N57)</f>
        <v>0</v>
      </c>
      <c r="O57" s="15">
        <f t="shared" si="0"/>
        <v>1.7142857142857142</v>
      </c>
      <c r="P57" s="15">
        <f t="shared" si="1"/>
        <v>19</v>
      </c>
      <c r="R57" s="8"/>
      <c r="T57"/>
    </row>
    <row r="58" spans="2:20" ht="23.1" customHeight="1" x14ac:dyDescent="0.25">
      <c r="B58" s="23" t="s">
        <v>99</v>
      </c>
      <c r="C58" s="49">
        <f>AVERAGE('18.10 MITYANA-KANONI-24h'!C58,'19.10 MITYANA-KANONI-24h'!C58)</f>
        <v>1</v>
      </c>
      <c r="D58" s="49">
        <f>AVERAGE('18.10 MITYANA-KANONI-24h'!D58,'19.10 MITYANA-KANONI-24h'!D58)</f>
        <v>0</v>
      </c>
      <c r="E58" s="49">
        <f>AVERAGE('18.10 MITYANA-KANONI-24h'!E58,'19.10 MITYANA-KANONI-24h'!E58)</f>
        <v>0</v>
      </c>
      <c r="F58" s="49">
        <f>AVERAGE('18.10 MITYANA-KANONI-24h'!F58,'19.10 MITYANA-KANONI-24h'!F58)</f>
        <v>0</v>
      </c>
      <c r="G58" s="49">
        <f>AVERAGE('18.10 MITYANA-KANONI-24h'!G58,'19.10 MITYANA-KANONI-24h'!G58)</f>
        <v>0</v>
      </c>
      <c r="H58" s="49">
        <f>AVERAGE('18.10 MITYANA-KANONI-24h'!H58,'19.10 MITYANA-KANONI-24h'!H58)</f>
        <v>0</v>
      </c>
      <c r="I58" s="49">
        <f>AVERAGE('18.10 MITYANA-KANONI-24h'!I58,'19.10 MITYANA-KANONI-24h'!I58)</f>
        <v>0</v>
      </c>
      <c r="J58" s="49">
        <f>AVERAGE('18.10 MITYANA-KANONI-24h'!J58,'19.10 MITYANA-KANONI-24h'!J58)</f>
        <v>0</v>
      </c>
      <c r="K58" s="49">
        <f>AVERAGE('18.10 MITYANA-KANONI-24h'!K58,'19.10 MITYANA-KANONI-24h'!K58)</f>
        <v>0</v>
      </c>
      <c r="L58" s="49">
        <f>AVERAGE('18.10 MITYANA-KANONI-24h'!L58,'19.10 MITYANA-KANONI-24h'!L58)</f>
        <v>0</v>
      </c>
      <c r="M58" s="49">
        <f>AVERAGE('18.10 MITYANA-KANONI-24h'!M58,'19.10 MITYANA-KANONI-24h'!M58)</f>
        <v>7.5</v>
      </c>
      <c r="N58" s="49">
        <f>AVERAGE('18.10 MITYANA-KANONI-24h'!N58,'19.10 MITYANA-KANONI-24h'!N58)</f>
        <v>0</v>
      </c>
      <c r="O58" s="15">
        <f t="shared" si="0"/>
        <v>1</v>
      </c>
      <c r="P58" s="15">
        <f t="shared" si="1"/>
        <v>8.5</v>
      </c>
      <c r="R58" s="8"/>
      <c r="T58"/>
    </row>
    <row r="59" spans="2:20" ht="23.1" customHeight="1" x14ac:dyDescent="0.25">
      <c r="B59" s="23" t="s">
        <v>100</v>
      </c>
      <c r="C59" s="49">
        <f>AVERAGE('18.10 MITYANA-KANONI-24h'!C59,'19.10 MITYANA-KANONI-24h'!C59)</f>
        <v>1.5</v>
      </c>
      <c r="D59" s="49">
        <f>AVERAGE('18.10 MITYANA-KANONI-24h'!D59,'19.10 MITYANA-KANONI-24h'!D59)</f>
        <v>0</v>
      </c>
      <c r="E59" s="49">
        <f>AVERAGE('18.10 MITYANA-KANONI-24h'!E59,'19.10 MITYANA-KANONI-24h'!E59)</f>
        <v>0</v>
      </c>
      <c r="F59" s="49">
        <f>AVERAGE('18.10 MITYANA-KANONI-24h'!F59,'19.10 MITYANA-KANONI-24h'!F59)</f>
        <v>0</v>
      </c>
      <c r="G59" s="49">
        <f>AVERAGE('18.10 MITYANA-KANONI-24h'!G59,'19.10 MITYANA-KANONI-24h'!G59)</f>
        <v>0</v>
      </c>
      <c r="H59" s="49">
        <f>AVERAGE('18.10 MITYANA-KANONI-24h'!H59,'19.10 MITYANA-KANONI-24h'!H59)</f>
        <v>0</v>
      </c>
      <c r="I59" s="49">
        <f>AVERAGE('18.10 MITYANA-KANONI-24h'!I59,'19.10 MITYANA-KANONI-24h'!I59)</f>
        <v>0</v>
      </c>
      <c r="J59" s="49">
        <f>AVERAGE('18.10 MITYANA-KANONI-24h'!J59,'19.10 MITYANA-KANONI-24h'!J59)</f>
        <v>0</v>
      </c>
      <c r="K59" s="49">
        <f>AVERAGE('18.10 MITYANA-KANONI-24h'!K59,'19.10 MITYANA-KANONI-24h'!K59)</f>
        <v>0</v>
      </c>
      <c r="L59" s="49">
        <f>AVERAGE('18.10 MITYANA-KANONI-24h'!L59,'19.10 MITYANA-KANONI-24h'!L59)</f>
        <v>0</v>
      </c>
      <c r="M59" s="49">
        <f>AVERAGE('18.10 MITYANA-KANONI-24h'!M59,'19.10 MITYANA-KANONI-24h'!M59)</f>
        <v>15</v>
      </c>
      <c r="N59" s="49">
        <f>AVERAGE('18.10 MITYANA-KANONI-24h'!N59,'19.10 MITYANA-KANONI-24h'!N59)</f>
        <v>0</v>
      </c>
      <c r="O59" s="15">
        <f t="shared" si="0"/>
        <v>1.5</v>
      </c>
      <c r="P59" s="15">
        <f t="shared" si="1"/>
        <v>16.5</v>
      </c>
      <c r="R59" s="8"/>
      <c r="T59"/>
    </row>
    <row r="60" spans="2:20" ht="23.1" customHeight="1" x14ac:dyDescent="0.25">
      <c r="B60" s="23" t="s">
        <v>101</v>
      </c>
      <c r="C60" s="49">
        <f>AVERAGE('18.10 MITYANA-KANONI-24h'!C60,'19.10 MITYANA-KANONI-24h'!C60)</f>
        <v>1</v>
      </c>
      <c r="D60" s="49">
        <f>AVERAGE('18.10 MITYANA-KANONI-24h'!D60,'19.10 MITYANA-KANONI-24h'!D60)</f>
        <v>0</v>
      </c>
      <c r="E60" s="49">
        <f>AVERAGE('18.10 MITYANA-KANONI-24h'!E60,'19.10 MITYANA-KANONI-24h'!E60)</f>
        <v>0</v>
      </c>
      <c r="F60" s="49">
        <f>AVERAGE('18.10 MITYANA-KANONI-24h'!F60,'19.10 MITYANA-KANONI-24h'!F60)</f>
        <v>0</v>
      </c>
      <c r="G60" s="49">
        <f>AVERAGE('18.10 MITYANA-KANONI-24h'!G60,'19.10 MITYANA-KANONI-24h'!G60)</f>
        <v>0</v>
      </c>
      <c r="H60" s="49">
        <f>AVERAGE('18.10 MITYANA-KANONI-24h'!H60,'19.10 MITYANA-KANONI-24h'!H60)</f>
        <v>0</v>
      </c>
      <c r="I60" s="49">
        <f>AVERAGE('18.10 MITYANA-KANONI-24h'!I60,'19.10 MITYANA-KANONI-24h'!I60)</f>
        <v>0</v>
      </c>
      <c r="J60" s="49">
        <f>AVERAGE('18.10 MITYANA-KANONI-24h'!J60,'19.10 MITYANA-KANONI-24h'!J60)</f>
        <v>0</v>
      </c>
      <c r="K60" s="49">
        <f>AVERAGE('18.10 MITYANA-KANONI-24h'!K60,'19.10 MITYANA-KANONI-24h'!K60)</f>
        <v>0</v>
      </c>
      <c r="L60" s="49">
        <f>AVERAGE('18.10 MITYANA-KANONI-24h'!L60,'19.10 MITYANA-KANONI-24h'!L60)</f>
        <v>0</v>
      </c>
      <c r="M60" s="49">
        <f>AVERAGE('18.10 MITYANA-KANONI-24h'!M60,'19.10 MITYANA-KANONI-24h'!M60)</f>
        <v>18</v>
      </c>
      <c r="N60" s="49">
        <f>AVERAGE('18.10 MITYANA-KANONI-24h'!N60,'19.10 MITYANA-KANONI-24h'!N60)</f>
        <v>0</v>
      </c>
      <c r="O60" s="15">
        <f t="shared" si="0"/>
        <v>1</v>
      </c>
      <c r="P60" s="15">
        <f t="shared" si="1"/>
        <v>19</v>
      </c>
      <c r="R60" s="8"/>
      <c r="T60"/>
    </row>
    <row r="61" spans="2:20" ht="23.1" customHeight="1" x14ac:dyDescent="0.25">
      <c r="B61" s="23" t="s">
        <v>102</v>
      </c>
      <c r="C61" s="49">
        <f>AVERAGE('18.10 MITYANA-KANONI-24h'!C61,'19.10 MITYANA-KANONI-24h'!C61)</f>
        <v>0.5</v>
      </c>
      <c r="D61" s="49">
        <f>AVERAGE('18.10 MITYANA-KANONI-24h'!D61,'19.10 MITYANA-KANONI-24h'!D61)</f>
        <v>0</v>
      </c>
      <c r="E61" s="49">
        <f>AVERAGE('18.10 MITYANA-KANONI-24h'!E61,'19.10 MITYANA-KANONI-24h'!E61)</f>
        <v>0</v>
      </c>
      <c r="F61" s="49">
        <f>AVERAGE('18.10 MITYANA-KANONI-24h'!F61,'19.10 MITYANA-KANONI-24h'!F61)</f>
        <v>0</v>
      </c>
      <c r="G61" s="49">
        <f>AVERAGE('18.10 MITYANA-KANONI-24h'!G61,'19.10 MITYANA-KANONI-24h'!G61)</f>
        <v>0</v>
      </c>
      <c r="H61" s="49">
        <f>AVERAGE('18.10 MITYANA-KANONI-24h'!H61,'19.10 MITYANA-KANONI-24h'!H61)</f>
        <v>0</v>
      </c>
      <c r="I61" s="49">
        <f>AVERAGE('18.10 MITYANA-KANONI-24h'!I61,'19.10 MITYANA-KANONI-24h'!I61)</f>
        <v>0.5</v>
      </c>
      <c r="J61" s="49">
        <f>AVERAGE('18.10 MITYANA-KANONI-24h'!J61,'19.10 MITYANA-KANONI-24h'!J61)</f>
        <v>0</v>
      </c>
      <c r="K61" s="49">
        <f>AVERAGE('18.10 MITYANA-KANONI-24h'!K61,'19.10 MITYANA-KANONI-24h'!K61)</f>
        <v>0</v>
      </c>
      <c r="L61" s="49">
        <f>AVERAGE('18.10 MITYANA-KANONI-24h'!L61,'19.10 MITYANA-KANONI-24h'!L61)</f>
        <v>0</v>
      </c>
      <c r="M61" s="49">
        <f>AVERAGE('18.10 MITYANA-KANONI-24h'!M61,'19.10 MITYANA-KANONI-24h'!M61)</f>
        <v>9.5</v>
      </c>
      <c r="N61" s="49">
        <f>AVERAGE('18.10 MITYANA-KANONI-24h'!N61,'19.10 MITYANA-KANONI-24h'!N61)</f>
        <v>0</v>
      </c>
      <c r="O61" s="15">
        <f t="shared" si="0"/>
        <v>1</v>
      </c>
      <c r="P61" s="15">
        <f t="shared" si="1"/>
        <v>10.5</v>
      </c>
      <c r="R61" s="8"/>
      <c r="T61"/>
    </row>
    <row r="62" spans="2:20" ht="23.1" customHeight="1" x14ac:dyDescent="0.25">
      <c r="B62" s="23" t="s">
        <v>107</v>
      </c>
      <c r="C62" s="49">
        <f>AVERAGE('18.10 MITYANA-KANONI-24h'!C62,'19.10 MITYANA-KANONI-24h'!C62)</f>
        <v>0</v>
      </c>
      <c r="D62" s="49">
        <f>AVERAGE('18.10 MITYANA-KANONI-24h'!D62,'19.10 MITYANA-KANONI-24h'!D62)</f>
        <v>0</v>
      </c>
      <c r="E62" s="49">
        <f>AVERAGE('18.10 MITYANA-KANONI-24h'!E62,'19.10 MITYANA-KANONI-24h'!E62)</f>
        <v>0</v>
      </c>
      <c r="F62" s="49">
        <f>AVERAGE('18.10 MITYANA-KANONI-24h'!F62,'19.10 MITYANA-KANONI-24h'!F62)</f>
        <v>0.5</v>
      </c>
      <c r="G62" s="49">
        <f>AVERAGE('18.10 MITYANA-KANONI-24h'!G62,'19.10 MITYANA-KANONI-24h'!G62)</f>
        <v>0</v>
      </c>
      <c r="H62" s="49">
        <f>AVERAGE('18.10 MITYANA-KANONI-24h'!H62,'19.10 MITYANA-KANONI-24h'!H62)</f>
        <v>0</v>
      </c>
      <c r="I62" s="49">
        <f>AVERAGE('18.10 MITYANA-KANONI-24h'!I62,'19.10 MITYANA-KANONI-24h'!I62)</f>
        <v>0</v>
      </c>
      <c r="J62" s="49">
        <f>AVERAGE('18.10 MITYANA-KANONI-24h'!J62,'19.10 MITYANA-KANONI-24h'!J62)</f>
        <v>0</v>
      </c>
      <c r="K62" s="49">
        <f>AVERAGE('18.10 MITYANA-KANONI-24h'!K62,'19.10 MITYANA-KANONI-24h'!K62)</f>
        <v>0</v>
      </c>
      <c r="L62" s="49">
        <f>AVERAGE('18.10 MITYANA-KANONI-24h'!L62,'19.10 MITYANA-KANONI-24h'!L62)</f>
        <v>0</v>
      </c>
      <c r="M62" s="49">
        <f>AVERAGE('18.10 MITYANA-KANONI-24h'!M62,'19.10 MITYANA-KANONI-24h'!M62)</f>
        <v>12.5</v>
      </c>
      <c r="N62" s="49">
        <f>AVERAGE('18.10 MITYANA-KANONI-24h'!N62,'19.10 MITYANA-KANONI-24h'!N62)</f>
        <v>0</v>
      </c>
      <c r="O62" s="15">
        <f t="shared" si="0"/>
        <v>0.5</v>
      </c>
      <c r="P62" s="15">
        <f t="shared" si="1"/>
        <v>13</v>
      </c>
      <c r="R62" s="8"/>
      <c r="T62"/>
    </row>
    <row r="63" spans="2:20" ht="23.1" customHeight="1" x14ac:dyDescent="0.25">
      <c r="B63" s="23" t="s">
        <v>108</v>
      </c>
      <c r="C63" s="49">
        <f>AVERAGE('18.10 MITYANA-KANONI-24h'!C63,'19.10 MITYANA-KANONI-24h'!C63)</f>
        <v>1</v>
      </c>
      <c r="D63" s="49">
        <f>AVERAGE('18.10 MITYANA-KANONI-24h'!D63,'19.10 MITYANA-KANONI-24h'!D63)</f>
        <v>0.5</v>
      </c>
      <c r="E63" s="49">
        <f>AVERAGE('18.10 MITYANA-KANONI-24h'!E63,'19.10 MITYANA-KANONI-24h'!E63)</f>
        <v>0.5</v>
      </c>
      <c r="F63" s="49">
        <f>AVERAGE('18.10 MITYANA-KANONI-24h'!F63,'19.10 MITYANA-KANONI-24h'!F63)</f>
        <v>0</v>
      </c>
      <c r="G63" s="49">
        <f>AVERAGE('18.10 MITYANA-KANONI-24h'!G63,'19.10 MITYANA-KANONI-24h'!G63)</f>
        <v>0</v>
      </c>
      <c r="H63" s="49">
        <f>AVERAGE('18.10 MITYANA-KANONI-24h'!H63,'19.10 MITYANA-KANONI-24h'!H63)</f>
        <v>0</v>
      </c>
      <c r="I63" s="49">
        <f>AVERAGE('18.10 MITYANA-KANONI-24h'!I63,'19.10 MITYANA-KANONI-24h'!I63)</f>
        <v>0</v>
      </c>
      <c r="J63" s="49">
        <f>AVERAGE('18.10 MITYANA-KANONI-24h'!J63,'19.10 MITYANA-KANONI-24h'!J63)</f>
        <v>0</v>
      </c>
      <c r="K63" s="49">
        <f>AVERAGE('18.10 MITYANA-KANONI-24h'!K63,'19.10 MITYANA-KANONI-24h'!K63)</f>
        <v>0</v>
      </c>
      <c r="L63" s="49">
        <f>AVERAGE('18.10 MITYANA-KANONI-24h'!L63,'19.10 MITYANA-KANONI-24h'!L63)</f>
        <v>0</v>
      </c>
      <c r="M63" s="49">
        <f>AVERAGE('18.10 MITYANA-KANONI-24h'!M63,'19.10 MITYANA-KANONI-24h'!M63)</f>
        <v>5.5</v>
      </c>
      <c r="N63" s="49">
        <f>AVERAGE('18.10 MITYANA-KANONI-24h'!N63,'19.10 MITYANA-KANONI-24h'!N63)</f>
        <v>0</v>
      </c>
      <c r="O63" s="15">
        <f t="shared" si="0"/>
        <v>2</v>
      </c>
      <c r="P63" s="15">
        <f t="shared" si="1"/>
        <v>7.5</v>
      </c>
      <c r="R63" s="8"/>
      <c r="T63"/>
    </row>
    <row r="64" spans="2:20" ht="23.1" customHeight="1" x14ac:dyDescent="0.25">
      <c r="B64" s="23" t="s">
        <v>109</v>
      </c>
      <c r="C64" s="49">
        <f>AVERAGE('18.10 MITYANA-KANONI-24h'!C64,'19.10 MITYANA-KANONI-24h'!C64)</f>
        <v>1.5</v>
      </c>
      <c r="D64" s="49">
        <f>AVERAGE('18.10 MITYANA-KANONI-24h'!D64,'19.10 MITYANA-KANONI-24h'!D64)</f>
        <v>0</v>
      </c>
      <c r="E64" s="49">
        <f>AVERAGE('18.10 MITYANA-KANONI-24h'!E64,'19.10 MITYANA-KANONI-24h'!E64)</f>
        <v>0</v>
      </c>
      <c r="F64" s="49">
        <f>AVERAGE('18.10 MITYANA-KANONI-24h'!F64,'19.10 MITYANA-KANONI-24h'!F64)</f>
        <v>0</v>
      </c>
      <c r="G64" s="49">
        <f>AVERAGE('18.10 MITYANA-KANONI-24h'!G64,'19.10 MITYANA-KANONI-24h'!G64)</f>
        <v>0</v>
      </c>
      <c r="H64" s="49">
        <f>AVERAGE('18.10 MITYANA-KANONI-24h'!H64,'19.10 MITYANA-KANONI-24h'!H64)</f>
        <v>0</v>
      </c>
      <c r="I64" s="49">
        <f>AVERAGE('18.10 MITYANA-KANONI-24h'!I64,'19.10 MITYANA-KANONI-24h'!I64)</f>
        <v>0</v>
      </c>
      <c r="J64" s="49">
        <f>AVERAGE('18.10 MITYANA-KANONI-24h'!J64,'19.10 MITYANA-KANONI-24h'!J64)</f>
        <v>0</v>
      </c>
      <c r="K64" s="49">
        <f>AVERAGE('18.10 MITYANA-KANONI-24h'!K64,'19.10 MITYANA-KANONI-24h'!K64)</f>
        <v>0</v>
      </c>
      <c r="L64" s="49">
        <f>AVERAGE('18.10 MITYANA-KANONI-24h'!L64,'19.10 MITYANA-KANONI-24h'!L64)</f>
        <v>0</v>
      </c>
      <c r="M64" s="49">
        <f>AVERAGE('18.10 MITYANA-KANONI-24h'!M64,'19.10 MITYANA-KANONI-24h'!M64)</f>
        <v>5</v>
      </c>
      <c r="N64" s="49">
        <f>AVERAGE('18.10 MITYANA-KANONI-24h'!N64,'19.10 MITYANA-KANONI-24h'!N64)</f>
        <v>0</v>
      </c>
      <c r="O64" s="15">
        <f t="shared" si="0"/>
        <v>1.5</v>
      </c>
      <c r="P64" s="15">
        <f t="shared" si="1"/>
        <v>6.5</v>
      </c>
      <c r="R64" s="8"/>
      <c r="T64"/>
    </row>
    <row r="65" spans="2:20" ht="23.1" customHeight="1" x14ac:dyDescent="0.25">
      <c r="B65" s="23" t="s">
        <v>158</v>
      </c>
      <c r="C65" s="49">
        <f>AVERAGE('18.10 MITYANA-KANONI-24h'!C65,'19.10 MITYANA-KANONI-24h'!C65)</f>
        <v>0</v>
      </c>
      <c r="D65" s="49">
        <f>AVERAGE('18.10 MITYANA-KANONI-24h'!D65,'19.10 MITYANA-KANONI-24h'!D65)</f>
        <v>0</v>
      </c>
      <c r="E65" s="49">
        <f>AVERAGE('18.10 MITYANA-KANONI-24h'!E65,'19.10 MITYANA-KANONI-24h'!E65)</f>
        <v>0.5</v>
      </c>
      <c r="F65" s="49">
        <f>AVERAGE('18.10 MITYANA-KANONI-24h'!F65,'19.10 MITYANA-KANONI-24h'!F65)</f>
        <v>0</v>
      </c>
      <c r="G65" s="49">
        <f>AVERAGE('18.10 MITYANA-KANONI-24h'!G65,'19.10 MITYANA-KANONI-24h'!G65)</f>
        <v>0</v>
      </c>
      <c r="H65" s="49">
        <f>AVERAGE('18.10 MITYANA-KANONI-24h'!H65,'19.10 MITYANA-KANONI-24h'!H65)</f>
        <v>0</v>
      </c>
      <c r="I65" s="49">
        <f>AVERAGE('18.10 MITYANA-KANONI-24h'!I65,'19.10 MITYANA-KANONI-24h'!I65)</f>
        <v>0</v>
      </c>
      <c r="J65" s="49">
        <f>AVERAGE('18.10 MITYANA-KANONI-24h'!J65,'19.10 MITYANA-KANONI-24h'!J65)</f>
        <v>0</v>
      </c>
      <c r="K65" s="49">
        <f>AVERAGE('18.10 MITYANA-KANONI-24h'!K65,'19.10 MITYANA-KANONI-24h'!K65)</f>
        <v>0</v>
      </c>
      <c r="L65" s="49">
        <f>AVERAGE('18.10 MITYANA-KANONI-24h'!L65,'19.10 MITYANA-KANONI-24h'!L65)</f>
        <v>0</v>
      </c>
      <c r="M65" s="49">
        <f>AVERAGE('18.10 MITYANA-KANONI-24h'!M65,'19.10 MITYANA-KANONI-24h'!M65)</f>
        <v>7.5</v>
      </c>
      <c r="N65" s="49">
        <f>AVERAGE('18.10 MITYANA-KANONI-24h'!N65,'19.10 MITYANA-KANONI-24h'!N65)</f>
        <v>0</v>
      </c>
      <c r="O65" s="15">
        <f t="shared" si="0"/>
        <v>0.5</v>
      </c>
      <c r="P65" s="15">
        <f t="shared" si="1"/>
        <v>8</v>
      </c>
      <c r="R65" s="8"/>
      <c r="T65"/>
    </row>
    <row r="66" spans="2:20" ht="23.1" customHeight="1" x14ac:dyDescent="0.25">
      <c r="B66" s="23" t="s">
        <v>103</v>
      </c>
      <c r="C66" s="49">
        <f>AVERAGE('18.10 MITYANA-KANONI-24h'!C66,'19.10 MITYANA-KANONI-24h'!C66)</f>
        <v>0.5</v>
      </c>
      <c r="D66" s="49">
        <f>AVERAGE('18.10 MITYANA-KANONI-24h'!D66,'19.10 MITYANA-KANONI-24h'!D66)</f>
        <v>0</v>
      </c>
      <c r="E66" s="49">
        <f>AVERAGE('18.10 MITYANA-KANONI-24h'!E66,'19.10 MITYANA-KANONI-24h'!E66)</f>
        <v>0.5</v>
      </c>
      <c r="F66" s="49">
        <f>AVERAGE('18.10 MITYANA-KANONI-24h'!F66,'19.10 MITYANA-KANONI-24h'!F66)</f>
        <v>0</v>
      </c>
      <c r="G66" s="49">
        <f>AVERAGE('18.10 MITYANA-KANONI-24h'!G66,'19.10 MITYANA-KANONI-24h'!G66)</f>
        <v>0</v>
      </c>
      <c r="H66" s="49">
        <f>AVERAGE('18.10 MITYANA-KANONI-24h'!H66,'19.10 MITYANA-KANONI-24h'!H66)</f>
        <v>0</v>
      </c>
      <c r="I66" s="49">
        <f>AVERAGE('18.10 MITYANA-KANONI-24h'!I66,'19.10 MITYANA-KANONI-24h'!I66)</f>
        <v>0</v>
      </c>
      <c r="J66" s="49">
        <f>AVERAGE('18.10 MITYANA-KANONI-24h'!J66,'19.10 MITYANA-KANONI-24h'!J66)</f>
        <v>0</v>
      </c>
      <c r="K66" s="49">
        <f>AVERAGE('18.10 MITYANA-KANONI-24h'!K66,'19.10 MITYANA-KANONI-24h'!K66)</f>
        <v>0</v>
      </c>
      <c r="L66" s="49">
        <f>AVERAGE('18.10 MITYANA-KANONI-24h'!L66,'19.10 MITYANA-KANONI-24h'!L66)</f>
        <v>0</v>
      </c>
      <c r="M66" s="49">
        <f>AVERAGE('18.10 MITYANA-KANONI-24h'!M66,'19.10 MITYANA-KANONI-24h'!M66)</f>
        <v>4.5</v>
      </c>
      <c r="N66" s="49">
        <f>AVERAGE('18.10 MITYANA-KANONI-24h'!N66,'19.10 MITYANA-KANONI-24h'!N66)</f>
        <v>0</v>
      </c>
      <c r="O66" s="15">
        <f t="shared" si="0"/>
        <v>1</v>
      </c>
      <c r="P66" s="15">
        <f t="shared" si="1"/>
        <v>5.5</v>
      </c>
      <c r="R66" s="8"/>
      <c r="T66"/>
    </row>
    <row r="67" spans="2:20" ht="23.1" customHeight="1" x14ac:dyDescent="0.25">
      <c r="B67" s="23" t="s">
        <v>104</v>
      </c>
      <c r="C67" s="49">
        <f>AVERAGE('18.10 MITYANA-KANONI-24h'!C67,'19.10 MITYANA-KANONI-24h'!C67)</f>
        <v>0.5</v>
      </c>
      <c r="D67" s="49">
        <f>AVERAGE('18.10 MITYANA-KANONI-24h'!D67,'19.10 MITYANA-KANONI-24h'!D67)</f>
        <v>0</v>
      </c>
      <c r="E67" s="49">
        <f>AVERAGE('18.10 MITYANA-KANONI-24h'!E67,'19.10 MITYANA-KANONI-24h'!E67)</f>
        <v>0</v>
      </c>
      <c r="F67" s="49">
        <f>AVERAGE('18.10 MITYANA-KANONI-24h'!F67,'19.10 MITYANA-KANONI-24h'!F67)</f>
        <v>0</v>
      </c>
      <c r="G67" s="49">
        <f>AVERAGE('18.10 MITYANA-KANONI-24h'!G67,'19.10 MITYANA-KANONI-24h'!G67)</f>
        <v>0</v>
      </c>
      <c r="H67" s="49">
        <f>AVERAGE('18.10 MITYANA-KANONI-24h'!H67,'19.10 MITYANA-KANONI-24h'!H67)</f>
        <v>0</v>
      </c>
      <c r="I67" s="49">
        <f>AVERAGE('18.10 MITYANA-KANONI-24h'!I67,'19.10 MITYANA-KANONI-24h'!I67)</f>
        <v>1</v>
      </c>
      <c r="J67" s="49">
        <f>AVERAGE('18.10 MITYANA-KANONI-24h'!J67,'19.10 MITYANA-KANONI-24h'!J67)</f>
        <v>0</v>
      </c>
      <c r="K67" s="49">
        <f>AVERAGE('18.10 MITYANA-KANONI-24h'!K67,'19.10 MITYANA-KANONI-24h'!K67)</f>
        <v>0</v>
      </c>
      <c r="L67" s="49">
        <f>AVERAGE('18.10 MITYANA-KANONI-24h'!L67,'19.10 MITYANA-KANONI-24h'!L67)</f>
        <v>0</v>
      </c>
      <c r="M67" s="49">
        <f>AVERAGE('18.10 MITYANA-KANONI-24h'!M67,'19.10 MITYANA-KANONI-24h'!M67)</f>
        <v>8.5</v>
      </c>
      <c r="N67" s="49">
        <f>AVERAGE('18.10 MITYANA-KANONI-24h'!N67,'19.10 MITYANA-KANONI-24h'!N67)</f>
        <v>0</v>
      </c>
      <c r="O67" s="15">
        <f t="shared" si="0"/>
        <v>1.5</v>
      </c>
      <c r="P67" s="15">
        <f t="shared" si="1"/>
        <v>10</v>
      </c>
      <c r="R67" s="8"/>
      <c r="T67"/>
    </row>
    <row r="68" spans="2:20" ht="23.1" customHeight="1" x14ac:dyDescent="0.25">
      <c r="B68" s="23" t="s">
        <v>105</v>
      </c>
      <c r="C68" s="49">
        <f>AVERAGE('18.10 MITYANA-KANONI-24h'!C68,'19.10 MITYANA-KANONI-24h'!C68)</f>
        <v>1</v>
      </c>
      <c r="D68" s="49">
        <f>AVERAGE('18.10 MITYANA-KANONI-24h'!D68,'19.10 MITYANA-KANONI-24h'!D68)</f>
        <v>0</v>
      </c>
      <c r="E68" s="49">
        <f>AVERAGE('18.10 MITYANA-KANONI-24h'!E68,'19.10 MITYANA-KANONI-24h'!E68)</f>
        <v>0</v>
      </c>
      <c r="F68" s="49">
        <f>AVERAGE('18.10 MITYANA-KANONI-24h'!F68,'19.10 MITYANA-KANONI-24h'!F68)</f>
        <v>0</v>
      </c>
      <c r="G68" s="49">
        <f>AVERAGE('18.10 MITYANA-KANONI-24h'!G68,'19.10 MITYANA-KANONI-24h'!G68)</f>
        <v>0</v>
      </c>
      <c r="H68" s="49">
        <f>AVERAGE('18.10 MITYANA-KANONI-24h'!H68,'19.10 MITYANA-KANONI-24h'!H68)</f>
        <v>0</v>
      </c>
      <c r="I68" s="49">
        <f>AVERAGE('18.10 MITYANA-KANONI-24h'!I68,'19.10 MITYANA-KANONI-24h'!I68)</f>
        <v>0.5</v>
      </c>
      <c r="J68" s="49">
        <f>AVERAGE('18.10 MITYANA-KANONI-24h'!J68,'19.10 MITYANA-KANONI-24h'!J68)</f>
        <v>0</v>
      </c>
      <c r="K68" s="49">
        <f>AVERAGE('18.10 MITYANA-KANONI-24h'!K68,'19.10 MITYANA-KANONI-24h'!K68)</f>
        <v>0</v>
      </c>
      <c r="L68" s="49">
        <f>AVERAGE('18.10 MITYANA-KANONI-24h'!L68,'19.10 MITYANA-KANONI-24h'!L68)</f>
        <v>0</v>
      </c>
      <c r="M68" s="49">
        <f>AVERAGE('18.10 MITYANA-KANONI-24h'!M68,'19.10 MITYANA-KANONI-24h'!M68)</f>
        <v>6.5</v>
      </c>
      <c r="N68" s="49">
        <f>AVERAGE('18.10 MITYANA-KANONI-24h'!N68,'19.10 MITYANA-KANONI-24h'!N68)</f>
        <v>0</v>
      </c>
      <c r="O68" s="15">
        <f t="shared" si="0"/>
        <v>1.5</v>
      </c>
      <c r="P68" s="15">
        <f t="shared" si="1"/>
        <v>8</v>
      </c>
      <c r="R68" s="8"/>
      <c r="T68"/>
    </row>
    <row r="69" spans="2:20" ht="23.1" customHeight="1" x14ac:dyDescent="0.25">
      <c r="B69" s="23" t="s">
        <v>106</v>
      </c>
      <c r="C69" s="49">
        <f>AVERAGE('18.10 MITYANA-KANONI-24h'!C69,'19.10 MITYANA-KANONI-24h'!C69)</f>
        <v>0.5</v>
      </c>
      <c r="D69" s="49">
        <f>AVERAGE('18.10 MITYANA-KANONI-24h'!D69,'19.10 MITYANA-KANONI-24h'!D69)</f>
        <v>0</v>
      </c>
      <c r="E69" s="49">
        <f>AVERAGE('18.10 MITYANA-KANONI-24h'!E69,'19.10 MITYANA-KANONI-24h'!E69)</f>
        <v>0</v>
      </c>
      <c r="F69" s="49">
        <f>AVERAGE('18.10 MITYANA-KANONI-24h'!F69,'19.10 MITYANA-KANONI-24h'!F69)</f>
        <v>0</v>
      </c>
      <c r="G69" s="49">
        <f>AVERAGE('18.10 MITYANA-KANONI-24h'!G69,'19.10 MITYANA-KANONI-24h'!G69)</f>
        <v>0</v>
      </c>
      <c r="H69" s="49">
        <f>AVERAGE('18.10 MITYANA-KANONI-24h'!H69,'19.10 MITYANA-KANONI-24h'!H69)</f>
        <v>0</v>
      </c>
      <c r="I69" s="49">
        <f>AVERAGE('18.10 MITYANA-KANONI-24h'!I69,'19.10 MITYANA-KANONI-24h'!I69)</f>
        <v>0</v>
      </c>
      <c r="J69" s="49">
        <f>AVERAGE('18.10 MITYANA-KANONI-24h'!J69,'19.10 MITYANA-KANONI-24h'!J69)</f>
        <v>0</v>
      </c>
      <c r="K69" s="49">
        <f>AVERAGE('18.10 MITYANA-KANONI-24h'!K69,'19.10 MITYANA-KANONI-24h'!K69)</f>
        <v>0</v>
      </c>
      <c r="L69" s="49">
        <f>AVERAGE('18.10 MITYANA-KANONI-24h'!L69,'19.10 MITYANA-KANONI-24h'!L69)</f>
        <v>0</v>
      </c>
      <c r="M69" s="49">
        <f>AVERAGE('18.10 MITYANA-KANONI-24h'!M69,'19.10 MITYANA-KANONI-24h'!M69)</f>
        <v>6.5</v>
      </c>
      <c r="N69" s="49">
        <f>AVERAGE('18.10 MITYANA-KANONI-24h'!N69,'19.10 MITYANA-KANONI-24h'!N69)</f>
        <v>0</v>
      </c>
      <c r="O69" s="15">
        <f t="shared" si="0"/>
        <v>0.5</v>
      </c>
      <c r="P69" s="15">
        <f t="shared" si="1"/>
        <v>7</v>
      </c>
      <c r="R69" s="8"/>
      <c r="T69"/>
    </row>
    <row r="70" spans="2:20" ht="23.1" customHeight="1" x14ac:dyDescent="0.25">
      <c r="B70" s="23" t="s">
        <v>110</v>
      </c>
      <c r="C70" s="49">
        <f>AVERAGE('18.10 MITYANA-KANONI-24h'!C70,'19.10 MITYANA-KANONI-24h'!C70)</f>
        <v>0</v>
      </c>
      <c r="D70" s="49">
        <f>AVERAGE('18.10 MITYANA-KANONI-24h'!D70,'19.10 MITYANA-KANONI-24h'!D70)</f>
        <v>0</v>
      </c>
      <c r="E70" s="49">
        <f>AVERAGE('18.10 MITYANA-KANONI-24h'!E70,'19.10 MITYANA-KANONI-24h'!E70)</f>
        <v>0</v>
      </c>
      <c r="F70" s="49">
        <f>AVERAGE('18.10 MITYANA-KANONI-24h'!F70,'19.10 MITYANA-KANONI-24h'!F70)</f>
        <v>0</v>
      </c>
      <c r="G70" s="49">
        <f>AVERAGE('18.10 MITYANA-KANONI-24h'!G70,'19.10 MITYANA-KANONI-24h'!G70)</f>
        <v>0</v>
      </c>
      <c r="H70" s="49">
        <f>AVERAGE('18.10 MITYANA-KANONI-24h'!H70,'19.10 MITYANA-KANONI-24h'!H70)</f>
        <v>0</v>
      </c>
      <c r="I70" s="49">
        <f>AVERAGE('18.10 MITYANA-KANONI-24h'!I70,'19.10 MITYANA-KANONI-24h'!I70)</f>
        <v>0</v>
      </c>
      <c r="J70" s="49">
        <f>AVERAGE('18.10 MITYANA-KANONI-24h'!J70,'19.10 MITYANA-KANONI-24h'!J70)</f>
        <v>0</v>
      </c>
      <c r="K70" s="49">
        <f>AVERAGE('18.10 MITYANA-KANONI-24h'!K70,'19.10 MITYANA-KANONI-24h'!K70)</f>
        <v>0</v>
      </c>
      <c r="L70" s="49">
        <f>AVERAGE('18.10 MITYANA-KANONI-24h'!L70,'19.10 MITYANA-KANONI-24h'!L70)</f>
        <v>0</v>
      </c>
      <c r="M70" s="49">
        <f>AVERAGE('18.10 MITYANA-KANONI-24h'!M70,'19.10 MITYANA-KANONI-24h'!M70)</f>
        <v>6</v>
      </c>
      <c r="N70" s="49">
        <f>AVERAGE('18.10 MITYANA-KANONI-24h'!N70,'19.10 MITYANA-KANONI-24h'!N70)</f>
        <v>0</v>
      </c>
      <c r="O70" s="15">
        <f t="shared" si="0"/>
        <v>0</v>
      </c>
      <c r="P70" s="15">
        <f t="shared" si="1"/>
        <v>6</v>
      </c>
      <c r="R70" s="8"/>
      <c r="T70"/>
    </row>
    <row r="71" spans="2:20" ht="23.1" customHeight="1" x14ac:dyDescent="0.25">
      <c r="B71" s="23" t="s">
        <v>111</v>
      </c>
      <c r="C71" s="49">
        <f>AVERAGE('18.10 MITYANA-KANONI-24h'!C71,'19.10 MITYANA-KANONI-24h'!C71)</f>
        <v>0</v>
      </c>
      <c r="D71" s="49">
        <f>AVERAGE('18.10 MITYANA-KANONI-24h'!D71,'19.10 MITYANA-KANONI-24h'!D71)</f>
        <v>0</v>
      </c>
      <c r="E71" s="49">
        <f>AVERAGE('18.10 MITYANA-KANONI-24h'!E71,'19.10 MITYANA-KANONI-24h'!E71)</f>
        <v>0</v>
      </c>
      <c r="F71" s="49">
        <f>AVERAGE('18.10 MITYANA-KANONI-24h'!F71,'19.10 MITYANA-KANONI-24h'!F71)</f>
        <v>0</v>
      </c>
      <c r="G71" s="49">
        <f>AVERAGE('18.10 MITYANA-KANONI-24h'!G71,'19.10 MITYANA-KANONI-24h'!G71)</f>
        <v>0</v>
      </c>
      <c r="H71" s="49">
        <f>AVERAGE('18.10 MITYANA-KANONI-24h'!H71,'19.10 MITYANA-KANONI-24h'!H71)</f>
        <v>0</v>
      </c>
      <c r="I71" s="49">
        <f>AVERAGE('18.10 MITYANA-KANONI-24h'!I71,'19.10 MITYANA-KANONI-24h'!I71)</f>
        <v>0</v>
      </c>
      <c r="J71" s="49">
        <f>AVERAGE('18.10 MITYANA-KANONI-24h'!J71,'19.10 MITYANA-KANONI-24h'!J71)</f>
        <v>0</v>
      </c>
      <c r="K71" s="49">
        <f>AVERAGE('18.10 MITYANA-KANONI-24h'!K71,'19.10 MITYANA-KANONI-24h'!K71)</f>
        <v>0</v>
      </c>
      <c r="L71" s="49">
        <f>AVERAGE('18.10 MITYANA-KANONI-24h'!L71,'19.10 MITYANA-KANONI-24h'!L71)</f>
        <v>0</v>
      </c>
      <c r="M71" s="49">
        <f>AVERAGE('18.10 MITYANA-KANONI-24h'!M71,'19.10 MITYANA-KANONI-24h'!M71)</f>
        <v>1.5</v>
      </c>
      <c r="N71" s="49">
        <f>AVERAGE('18.10 MITYANA-KANONI-24h'!N71,'19.10 MITYANA-KANONI-24h'!N71)</f>
        <v>0</v>
      </c>
      <c r="O71" s="15">
        <f t="shared" si="0"/>
        <v>0</v>
      </c>
      <c r="P71" s="15">
        <f t="shared" si="1"/>
        <v>1.5</v>
      </c>
      <c r="R71" s="8"/>
      <c r="T71"/>
    </row>
    <row r="72" spans="2:20" ht="23.1" customHeight="1" x14ac:dyDescent="0.25">
      <c r="B72" s="23" t="s">
        <v>112</v>
      </c>
      <c r="C72" s="49">
        <f>AVERAGE('18.10 MITYANA-KANONI-24h'!C72,'19.10 MITYANA-KANONI-24h'!C72)</f>
        <v>0</v>
      </c>
      <c r="D72" s="49">
        <f>AVERAGE('18.10 MITYANA-KANONI-24h'!D72,'19.10 MITYANA-KANONI-24h'!D72)</f>
        <v>0</v>
      </c>
      <c r="E72" s="49">
        <f>AVERAGE('18.10 MITYANA-KANONI-24h'!E72,'19.10 MITYANA-KANONI-24h'!E72)</f>
        <v>0</v>
      </c>
      <c r="F72" s="49">
        <f>AVERAGE('18.10 MITYANA-KANONI-24h'!F72,'19.10 MITYANA-KANONI-24h'!F72)</f>
        <v>0</v>
      </c>
      <c r="G72" s="49">
        <f>AVERAGE('18.10 MITYANA-KANONI-24h'!G72,'19.10 MITYANA-KANONI-24h'!G72)</f>
        <v>0</v>
      </c>
      <c r="H72" s="49">
        <f>AVERAGE('18.10 MITYANA-KANONI-24h'!H72,'19.10 MITYANA-KANONI-24h'!H72)</f>
        <v>0</v>
      </c>
      <c r="I72" s="49">
        <f>AVERAGE('18.10 MITYANA-KANONI-24h'!I72,'19.10 MITYANA-KANONI-24h'!I72)</f>
        <v>0</v>
      </c>
      <c r="J72" s="49">
        <f>AVERAGE('18.10 MITYANA-KANONI-24h'!J72,'19.10 MITYANA-KANONI-24h'!J72)</f>
        <v>0</v>
      </c>
      <c r="K72" s="49">
        <f>AVERAGE('18.10 MITYANA-KANONI-24h'!K72,'19.10 MITYANA-KANONI-24h'!K72)</f>
        <v>0</v>
      </c>
      <c r="L72" s="49">
        <f>AVERAGE('18.10 MITYANA-KANONI-24h'!L72,'19.10 MITYANA-KANONI-24h'!L72)</f>
        <v>0</v>
      </c>
      <c r="M72" s="49">
        <f>AVERAGE('18.10 MITYANA-KANONI-24h'!M72,'19.10 MITYANA-KANONI-24h'!M72)</f>
        <v>3.5</v>
      </c>
      <c r="N72" s="49">
        <f>AVERAGE('18.10 MITYANA-KANONI-24h'!N72,'19.10 MITYANA-KANONI-24h'!N72)</f>
        <v>0</v>
      </c>
      <c r="O72" s="15">
        <f t="shared" si="0"/>
        <v>0</v>
      </c>
      <c r="P72" s="15">
        <f t="shared" si="1"/>
        <v>3.5</v>
      </c>
      <c r="R72" s="8"/>
      <c r="T72"/>
    </row>
    <row r="73" spans="2:20" ht="23.1" customHeight="1" x14ac:dyDescent="0.25">
      <c r="B73" s="23" t="s">
        <v>113</v>
      </c>
      <c r="C73" s="49">
        <f>AVERAGE('18.10 MITYANA-KANONI-24h'!C73,'19.10 MITYANA-KANONI-24h'!C73)</f>
        <v>0</v>
      </c>
      <c r="D73" s="49">
        <f>AVERAGE('18.10 MITYANA-KANONI-24h'!D73,'19.10 MITYANA-KANONI-24h'!D73)</f>
        <v>0</v>
      </c>
      <c r="E73" s="49">
        <f>AVERAGE('18.10 MITYANA-KANONI-24h'!E73,'19.10 MITYANA-KANONI-24h'!E73)</f>
        <v>0</v>
      </c>
      <c r="F73" s="49">
        <f>AVERAGE('18.10 MITYANA-KANONI-24h'!F73,'19.10 MITYANA-KANONI-24h'!F73)</f>
        <v>0</v>
      </c>
      <c r="G73" s="49">
        <f>AVERAGE('18.10 MITYANA-KANONI-24h'!G73,'19.10 MITYANA-KANONI-24h'!G73)</f>
        <v>0</v>
      </c>
      <c r="H73" s="49">
        <f>AVERAGE('18.10 MITYANA-KANONI-24h'!H73,'19.10 MITYANA-KANONI-24h'!H73)</f>
        <v>0</v>
      </c>
      <c r="I73" s="49">
        <f>AVERAGE('18.10 MITYANA-KANONI-24h'!I73,'19.10 MITYANA-KANONI-24h'!I73)</f>
        <v>0</v>
      </c>
      <c r="J73" s="49">
        <f>AVERAGE('18.10 MITYANA-KANONI-24h'!J73,'19.10 MITYANA-KANONI-24h'!J73)</f>
        <v>0</v>
      </c>
      <c r="K73" s="49">
        <f>AVERAGE('18.10 MITYANA-KANONI-24h'!K73,'19.10 MITYANA-KANONI-24h'!K73)</f>
        <v>0</v>
      </c>
      <c r="L73" s="49">
        <f>AVERAGE('18.10 MITYANA-KANONI-24h'!L73,'19.10 MITYANA-KANONI-24h'!L73)</f>
        <v>0</v>
      </c>
      <c r="M73" s="49">
        <f>AVERAGE('18.10 MITYANA-KANONI-24h'!M73,'19.10 MITYANA-KANONI-24h'!M73)</f>
        <v>2</v>
      </c>
      <c r="N73" s="49">
        <f>AVERAGE('18.10 MITYANA-KANONI-24h'!N73,'19.10 MITYANA-KANONI-24h'!N73)</f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23" t="s">
        <v>114</v>
      </c>
      <c r="C74" s="49">
        <f>AVERAGE('18.10 MITYANA-KANONI-24h'!C74,'19.10 MITYANA-KANONI-24h'!C74)</f>
        <v>0.5</v>
      </c>
      <c r="D74" s="49">
        <f>AVERAGE('18.10 MITYANA-KANONI-24h'!D74,'19.10 MITYANA-KANONI-24h'!D74)</f>
        <v>0</v>
      </c>
      <c r="E74" s="49">
        <f>AVERAGE('18.10 MITYANA-KANONI-24h'!E74,'19.10 MITYANA-KANONI-24h'!E74)</f>
        <v>0</v>
      </c>
      <c r="F74" s="49">
        <f>AVERAGE('18.10 MITYANA-KANONI-24h'!F74,'19.10 MITYANA-KANONI-24h'!F74)</f>
        <v>0</v>
      </c>
      <c r="G74" s="49">
        <f>AVERAGE('18.10 MITYANA-KANONI-24h'!G74,'19.10 MITYANA-KANONI-24h'!G74)</f>
        <v>0</v>
      </c>
      <c r="H74" s="49">
        <f>AVERAGE('18.10 MITYANA-KANONI-24h'!H74,'19.10 MITYANA-KANONI-24h'!H74)</f>
        <v>0</v>
      </c>
      <c r="I74" s="49">
        <f>AVERAGE('18.10 MITYANA-KANONI-24h'!I74,'19.10 MITYANA-KANONI-24h'!I74)</f>
        <v>0</v>
      </c>
      <c r="J74" s="49">
        <f>AVERAGE('18.10 MITYANA-KANONI-24h'!J74,'19.10 MITYANA-KANONI-24h'!J74)</f>
        <v>0</v>
      </c>
      <c r="K74" s="49">
        <f>AVERAGE('18.10 MITYANA-KANONI-24h'!K74,'19.10 MITYANA-KANONI-24h'!K74)</f>
        <v>0</v>
      </c>
      <c r="L74" s="49">
        <f>AVERAGE('18.10 MITYANA-KANONI-24h'!L74,'19.10 MITYANA-KANONI-24h'!L74)</f>
        <v>0</v>
      </c>
      <c r="M74" s="49">
        <f>AVERAGE('18.10 MITYANA-KANONI-24h'!M74,'19.10 MITYANA-KANONI-24h'!M74)</f>
        <v>4</v>
      </c>
      <c r="N74" s="49">
        <f>AVERAGE('18.10 MITYANA-KANONI-24h'!N74,'19.10 MITYANA-KANONI-24h'!N74)</f>
        <v>0</v>
      </c>
      <c r="O74" s="15">
        <f t="shared" ref="O74:O105" si="35">SUM(C74:L74,N74)</f>
        <v>0.5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AVERAGE('18.10 MITYANA-KANONI-24h'!C75,'19.10 MITYANA-KANONI-24h'!C75)</f>
        <v>0</v>
      </c>
      <c r="D75" s="49">
        <f>AVERAGE('18.10 MITYANA-KANONI-24h'!D75,'19.10 MITYANA-KANONI-24h'!D75)</f>
        <v>0</v>
      </c>
      <c r="E75" s="49">
        <f>AVERAGE('18.10 MITYANA-KANONI-24h'!E75,'19.10 MITYANA-KANONI-24h'!E75)</f>
        <v>0</v>
      </c>
      <c r="F75" s="49">
        <f>AVERAGE('18.10 MITYANA-KANONI-24h'!F75,'19.10 MITYANA-KANONI-24h'!F75)</f>
        <v>0.5</v>
      </c>
      <c r="G75" s="49">
        <f>AVERAGE('18.10 MITYANA-KANONI-24h'!G75,'19.10 MITYANA-KANONI-24h'!G75)</f>
        <v>0</v>
      </c>
      <c r="H75" s="49">
        <f>AVERAGE('18.10 MITYANA-KANONI-24h'!H75,'19.10 MITYANA-KANONI-24h'!H75)</f>
        <v>0</v>
      </c>
      <c r="I75" s="49">
        <f>AVERAGE('18.10 MITYANA-KANONI-24h'!I75,'19.10 MITYANA-KANONI-24h'!I75)</f>
        <v>0.5</v>
      </c>
      <c r="J75" s="49">
        <f>AVERAGE('18.10 MITYANA-KANONI-24h'!J75,'19.10 MITYANA-KANONI-24h'!J75)</f>
        <v>0</v>
      </c>
      <c r="K75" s="49">
        <f>AVERAGE('18.10 MITYANA-KANONI-24h'!K75,'19.10 MITYANA-KANONI-24h'!K75)</f>
        <v>0.5</v>
      </c>
      <c r="L75" s="49">
        <f>AVERAGE('18.10 MITYANA-KANONI-24h'!L75,'19.10 MITYANA-KANONI-24h'!L75)</f>
        <v>0</v>
      </c>
      <c r="M75" s="49">
        <f>AVERAGE('18.10 MITYANA-KANONI-24h'!M75,'19.10 MITYANA-KANONI-24h'!M75)</f>
        <v>0.5</v>
      </c>
      <c r="N75" s="49">
        <f>AVERAGE('18.10 MITYANA-KANONI-24h'!N75,'19.10 MITYANA-KANONI-24h'!N75)</f>
        <v>0</v>
      </c>
      <c r="O75" s="15">
        <f t="shared" si="35"/>
        <v>1.5</v>
      </c>
      <c r="P75" s="15">
        <f t="shared" si="36"/>
        <v>2</v>
      </c>
      <c r="R75" s="8"/>
      <c r="T75"/>
    </row>
    <row r="76" spans="2:20" ht="23.1" customHeight="1" x14ac:dyDescent="0.25">
      <c r="B76" s="23" t="s">
        <v>116</v>
      </c>
      <c r="C76" s="49">
        <f>AVERAGE('18.10 MITYANA-KANONI-24h'!C76,'19.10 MITYANA-KANONI-24h'!C76)</f>
        <v>0</v>
      </c>
      <c r="D76" s="49">
        <f>AVERAGE('18.10 MITYANA-KANONI-24h'!D76,'19.10 MITYANA-KANONI-24h'!D76)</f>
        <v>0</v>
      </c>
      <c r="E76" s="49">
        <f>AVERAGE('18.10 MITYANA-KANONI-24h'!E76,'19.10 MITYANA-KANONI-24h'!E76)</f>
        <v>0</v>
      </c>
      <c r="F76" s="49">
        <f>AVERAGE('18.10 MITYANA-KANONI-24h'!F76,'19.10 MITYANA-KANONI-24h'!F76)</f>
        <v>0</v>
      </c>
      <c r="G76" s="49">
        <f>AVERAGE('18.10 MITYANA-KANONI-24h'!G76,'19.10 MITYANA-KANONI-24h'!G76)</f>
        <v>0</v>
      </c>
      <c r="H76" s="49">
        <f>AVERAGE('18.10 MITYANA-KANONI-24h'!H76,'19.10 MITYANA-KANONI-24h'!H76)</f>
        <v>0</v>
      </c>
      <c r="I76" s="49">
        <f>AVERAGE('18.10 MITYANA-KANONI-24h'!I76,'19.10 MITYANA-KANONI-24h'!I76)</f>
        <v>0.5</v>
      </c>
      <c r="J76" s="49">
        <f>AVERAGE('18.10 MITYANA-KANONI-24h'!J76,'19.10 MITYANA-KANONI-24h'!J76)</f>
        <v>0</v>
      </c>
      <c r="K76" s="49">
        <f>AVERAGE('18.10 MITYANA-KANONI-24h'!K76,'19.10 MITYANA-KANONI-24h'!K76)</f>
        <v>0</v>
      </c>
      <c r="L76" s="49">
        <f>AVERAGE('18.10 MITYANA-KANONI-24h'!L76,'19.10 MITYANA-KANONI-24h'!L76)</f>
        <v>0</v>
      </c>
      <c r="M76" s="49">
        <f>AVERAGE('18.10 MITYANA-KANONI-24h'!M76,'19.10 MITYANA-KANONI-24h'!M76)</f>
        <v>0.5</v>
      </c>
      <c r="N76" s="49">
        <f>AVERAGE('18.10 MITYANA-KANONI-24h'!N76,'19.10 MITYANA-KANONI-24h'!N76)</f>
        <v>0</v>
      </c>
      <c r="O76" s="15">
        <f t="shared" si="35"/>
        <v>0.5</v>
      </c>
      <c r="P76" s="15">
        <f t="shared" si="36"/>
        <v>1</v>
      </c>
      <c r="R76" s="8"/>
      <c r="T76"/>
    </row>
    <row r="77" spans="2:20" ht="23.1" customHeight="1" x14ac:dyDescent="0.25">
      <c r="B77" s="23" t="s">
        <v>117</v>
      </c>
      <c r="C77" s="49">
        <f>AVERAGE('18.10 MITYANA-KANONI-24h'!C77,'19.10 MITYANA-KANONI-24h'!C77)</f>
        <v>0</v>
      </c>
      <c r="D77" s="49">
        <f>AVERAGE('18.10 MITYANA-KANONI-24h'!D77,'19.10 MITYANA-KANONI-24h'!D77)</f>
        <v>0</v>
      </c>
      <c r="E77" s="49">
        <f>AVERAGE('18.10 MITYANA-KANONI-24h'!E77,'19.10 MITYANA-KANONI-24h'!E77)</f>
        <v>0</v>
      </c>
      <c r="F77" s="49">
        <f>AVERAGE('18.10 MITYANA-KANONI-24h'!F77,'19.10 MITYANA-KANONI-24h'!F77)</f>
        <v>0</v>
      </c>
      <c r="G77" s="49">
        <f>AVERAGE('18.10 MITYANA-KANONI-24h'!G77,'19.10 MITYANA-KANONI-24h'!G77)</f>
        <v>0</v>
      </c>
      <c r="H77" s="49">
        <f>AVERAGE('18.10 MITYANA-KANONI-24h'!H77,'19.10 MITYANA-KANONI-24h'!H77)</f>
        <v>0</v>
      </c>
      <c r="I77" s="49">
        <f>AVERAGE('18.10 MITYANA-KANONI-24h'!I77,'19.10 MITYANA-KANONI-24h'!I77)</f>
        <v>0</v>
      </c>
      <c r="J77" s="49">
        <f>AVERAGE('18.10 MITYANA-KANONI-24h'!J77,'19.10 MITYANA-KANONI-24h'!J77)</f>
        <v>0</v>
      </c>
      <c r="K77" s="49">
        <f>AVERAGE('18.10 MITYANA-KANONI-24h'!K77,'19.10 MITYANA-KANONI-24h'!K77)</f>
        <v>0</v>
      </c>
      <c r="L77" s="49">
        <f>AVERAGE('18.10 MITYANA-KANONI-24h'!L77,'19.10 MITYANA-KANONI-24h'!L77)</f>
        <v>0</v>
      </c>
      <c r="M77" s="49">
        <f>AVERAGE('18.10 MITYANA-KANONI-24h'!M77,'19.10 MITYANA-KANONI-24h'!M77)</f>
        <v>1</v>
      </c>
      <c r="N77" s="49">
        <f>AVERAGE('18.10 MITYANA-KANONI-24h'!N77,'19.10 MITYANA-KANONI-24h'!N77)</f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24" t="s">
        <v>118</v>
      </c>
      <c r="C78" s="49">
        <f>AVERAGE('18.10 MITYANA-KANONI-24h'!C78,'19.10 MITYANA-KANONI-24h'!C78)</f>
        <v>0</v>
      </c>
      <c r="D78" s="49">
        <f>AVERAGE('18.10 MITYANA-KANONI-24h'!D78,'19.10 MITYANA-KANONI-24h'!D78)</f>
        <v>0</v>
      </c>
      <c r="E78" s="49">
        <f>AVERAGE('18.10 MITYANA-KANONI-24h'!E78,'19.10 MITYANA-KANONI-24h'!E78)</f>
        <v>0</v>
      </c>
      <c r="F78" s="49">
        <f>AVERAGE('18.10 MITYANA-KANONI-24h'!F78,'19.10 MITYANA-KANONI-24h'!F78)</f>
        <v>0</v>
      </c>
      <c r="G78" s="49">
        <f>AVERAGE('18.10 MITYANA-KANONI-24h'!G78,'19.10 MITYANA-KANONI-24h'!G78)</f>
        <v>0</v>
      </c>
      <c r="H78" s="49">
        <f>AVERAGE('18.10 MITYANA-KANONI-24h'!H78,'19.10 MITYANA-KANONI-24h'!H78)</f>
        <v>0</v>
      </c>
      <c r="I78" s="49">
        <f>AVERAGE('18.10 MITYANA-KANONI-24h'!I78,'19.10 MITYANA-KANONI-24h'!I78)</f>
        <v>0</v>
      </c>
      <c r="J78" s="49">
        <f>AVERAGE('18.10 MITYANA-KANONI-24h'!J78,'19.10 MITYANA-KANONI-24h'!J78)</f>
        <v>0</v>
      </c>
      <c r="K78" s="49">
        <f>AVERAGE('18.10 MITYANA-KANONI-24h'!K78,'19.10 MITYANA-KANONI-24h'!K78)</f>
        <v>0</v>
      </c>
      <c r="L78" s="49">
        <f>AVERAGE('18.10 MITYANA-KANONI-24h'!L78,'19.10 MITYANA-KANONI-24h'!L78)</f>
        <v>0</v>
      </c>
      <c r="M78" s="49">
        <f>AVERAGE('18.10 MITYANA-KANONI-24h'!M78,'19.10 MITYANA-KANONI-24h'!M78)</f>
        <v>1</v>
      </c>
      <c r="N78" s="49">
        <f>AVERAGE('18.10 MITYANA-KANONI-24h'!N78,'19.10 MITYANA-KANONI-24h'!N78)</f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AVERAGE('18.10 MITYANA-KANONI-24h'!C79,'19.10 MITYANA-KANONI-24h'!C79)</f>
        <v>0</v>
      </c>
      <c r="D79" s="49">
        <f>AVERAGE('18.10 MITYANA-KANONI-24h'!D79,'19.10 MITYANA-KANONI-24h'!D79)</f>
        <v>0</v>
      </c>
      <c r="E79" s="49">
        <f>AVERAGE('18.10 MITYANA-KANONI-24h'!E79,'19.10 MITYANA-KANONI-24h'!E79)</f>
        <v>0</v>
      </c>
      <c r="F79" s="49">
        <f>AVERAGE('18.10 MITYANA-KANONI-24h'!F79,'19.10 MITYANA-KANONI-24h'!F79)</f>
        <v>0</v>
      </c>
      <c r="G79" s="49">
        <f>AVERAGE('18.10 MITYANA-KANONI-24h'!G79,'19.10 MITYANA-KANONI-24h'!G79)</f>
        <v>0</v>
      </c>
      <c r="H79" s="49">
        <f>AVERAGE('18.10 MITYANA-KANONI-24h'!H79,'19.10 MITYANA-KANONI-24h'!H79)</f>
        <v>0</v>
      </c>
      <c r="I79" s="49">
        <f>AVERAGE('18.10 MITYANA-KANONI-24h'!I79,'19.10 MITYANA-KANONI-24h'!I79)</f>
        <v>0</v>
      </c>
      <c r="J79" s="49">
        <f>AVERAGE('18.10 MITYANA-KANONI-24h'!J79,'19.10 MITYANA-KANONI-24h'!J79)</f>
        <v>0</v>
      </c>
      <c r="K79" s="49">
        <f>AVERAGE('18.10 MITYANA-KANONI-24h'!K79,'19.10 MITYANA-KANONI-24h'!K79)</f>
        <v>0</v>
      </c>
      <c r="L79" s="49">
        <f>AVERAGE('18.10 MITYANA-KANONI-24h'!L79,'19.10 MITYANA-KANONI-24h'!L79)</f>
        <v>0</v>
      </c>
      <c r="M79" s="49">
        <f>AVERAGE('18.10 MITYANA-KANONI-24h'!M79,'19.10 MITYANA-KANONI-24h'!M79)</f>
        <v>0.5</v>
      </c>
      <c r="N79" s="49">
        <f>AVERAGE('18.10 MITYANA-KANONI-24h'!N79,'19.10 MITYANA-KANONI-24h'!N79)</f>
        <v>0</v>
      </c>
      <c r="O79" s="15">
        <f t="shared" si="35"/>
        <v>0</v>
      </c>
      <c r="P79" s="15">
        <f t="shared" si="36"/>
        <v>0.5</v>
      </c>
      <c r="R79" s="8"/>
      <c r="T79"/>
    </row>
    <row r="80" spans="2:20" ht="23.1" customHeight="1" x14ac:dyDescent="0.25">
      <c r="B80" s="25" t="s">
        <v>120</v>
      </c>
      <c r="C80" s="49">
        <f>AVERAGE('18.10 MITYANA-KANONI-24h'!C80,'19.10 MITYANA-KANONI-24h'!C80)</f>
        <v>0.5</v>
      </c>
      <c r="D80" s="49">
        <f>AVERAGE('18.10 MITYANA-KANONI-24h'!D80,'19.10 MITYANA-KANONI-24h'!D80)</f>
        <v>0</v>
      </c>
      <c r="E80" s="49">
        <f>AVERAGE('18.10 MITYANA-KANONI-24h'!E80,'19.10 MITYANA-KANONI-24h'!E80)</f>
        <v>0</v>
      </c>
      <c r="F80" s="49">
        <f>AVERAGE('18.10 MITYANA-KANONI-24h'!F80,'19.10 MITYANA-KANONI-24h'!F80)</f>
        <v>0</v>
      </c>
      <c r="G80" s="49">
        <f>AVERAGE('18.10 MITYANA-KANONI-24h'!G80,'19.10 MITYANA-KANONI-24h'!G80)</f>
        <v>0</v>
      </c>
      <c r="H80" s="49">
        <f>AVERAGE('18.10 MITYANA-KANONI-24h'!H80,'19.10 MITYANA-KANONI-24h'!H80)</f>
        <v>0</v>
      </c>
      <c r="I80" s="49">
        <f>AVERAGE('18.10 MITYANA-KANONI-24h'!I80,'19.10 MITYANA-KANONI-24h'!I80)</f>
        <v>0</v>
      </c>
      <c r="J80" s="49">
        <f>AVERAGE('18.10 MITYANA-KANONI-24h'!J80,'19.10 MITYANA-KANONI-24h'!J80)</f>
        <v>0</v>
      </c>
      <c r="K80" s="49">
        <f>AVERAGE('18.10 MITYANA-KANONI-24h'!K80,'19.10 MITYANA-KANONI-24h'!K80)</f>
        <v>0</v>
      </c>
      <c r="L80" s="49">
        <f>AVERAGE('18.10 MITYANA-KANONI-24h'!L80,'19.10 MITYANA-KANONI-24h'!L80)</f>
        <v>0</v>
      </c>
      <c r="M80" s="49">
        <f>AVERAGE('18.10 MITYANA-KANONI-24h'!M80,'19.10 MITYANA-KANONI-24h'!M80)</f>
        <v>0</v>
      </c>
      <c r="N80" s="49">
        <f>AVERAGE('18.10 MITYANA-KANONI-24h'!N80,'19.10 MITYANA-KANONI-24h'!N80)</f>
        <v>0</v>
      </c>
      <c r="O80" s="15">
        <f t="shared" si="35"/>
        <v>0.5</v>
      </c>
      <c r="P80" s="15">
        <f t="shared" si="36"/>
        <v>0.5</v>
      </c>
      <c r="R80" s="8"/>
      <c r="T80"/>
    </row>
    <row r="81" spans="2:20" ht="23.1" customHeight="1" x14ac:dyDescent="0.25">
      <c r="B81" s="23" t="s">
        <v>121</v>
      </c>
      <c r="C81" s="49">
        <f>AVERAGE('18.10 MITYANA-KANONI-24h'!C81,'19.10 MITYANA-KANONI-24h'!C81)</f>
        <v>0</v>
      </c>
      <c r="D81" s="49">
        <f>AVERAGE('18.10 MITYANA-KANONI-24h'!D81,'19.10 MITYANA-KANONI-24h'!D81)</f>
        <v>0</v>
      </c>
      <c r="E81" s="49">
        <f>AVERAGE('18.10 MITYANA-KANONI-24h'!E81,'19.10 MITYANA-KANONI-24h'!E81)</f>
        <v>0</v>
      </c>
      <c r="F81" s="49">
        <f>AVERAGE('18.10 MITYANA-KANONI-24h'!F81,'19.10 MITYANA-KANONI-24h'!F81)</f>
        <v>0</v>
      </c>
      <c r="G81" s="49">
        <f>AVERAGE('18.10 MITYANA-KANONI-24h'!G81,'19.10 MITYANA-KANONI-24h'!G81)</f>
        <v>0</v>
      </c>
      <c r="H81" s="49">
        <f>AVERAGE('18.10 MITYANA-KANONI-24h'!H81,'19.10 MITYANA-KANONI-24h'!H81)</f>
        <v>0</v>
      </c>
      <c r="I81" s="49">
        <f>AVERAGE('18.10 MITYANA-KANONI-24h'!I81,'19.10 MITYANA-KANONI-24h'!I81)</f>
        <v>0</v>
      </c>
      <c r="J81" s="49">
        <f>AVERAGE('18.10 MITYANA-KANONI-24h'!J81,'19.10 MITYANA-KANONI-24h'!J81)</f>
        <v>0</v>
      </c>
      <c r="K81" s="49">
        <f>AVERAGE('18.10 MITYANA-KANONI-24h'!K81,'19.10 MITYANA-KANONI-24h'!K81)</f>
        <v>0</v>
      </c>
      <c r="L81" s="49">
        <f>AVERAGE('18.10 MITYANA-KANONI-24h'!L81,'19.10 MITYANA-KANONI-24h'!L81)</f>
        <v>0</v>
      </c>
      <c r="M81" s="49">
        <f>AVERAGE('18.10 MITYANA-KANONI-24h'!M81,'19.10 MITYANA-KANONI-24h'!M81)</f>
        <v>0.5</v>
      </c>
      <c r="N81" s="49">
        <f>AVERAGE('18.10 MITYANA-KANONI-24h'!N81,'19.10 MITYANA-KANONI-24h'!N81)</f>
        <v>0</v>
      </c>
      <c r="O81" s="15">
        <f t="shared" si="35"/>
        <v>0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AVERAGE('18.10 MITYANA-KANONI-24h'!C82,'19.10 MITYANA-KANONI-24h'!C82)</f>
        <v>0</v>
      </c>
      <c r="D82" s="49">
        <f>AVERAGE('18.10 MITYANA-KANONI-24h'!D82,'19.10 MITYANA-KANONI-24h'!D82)</f>
        <v>0</v>
      </c>
      <c r="E82" s="49">
        <f>AVERAGE('18.10 MITYANA-KANONI-24h'!E82,'19.10 MITYANA-KANONI-24h'!E82)</f>
        <v>0</v>
      </c>
      <c r="F82" s="49">
        <f>AVERAGE('18.10 MITYANA-KANONI-24h'!F82,'19.10 MITYANA-KANONI-24h'!F82)</f>
        <v>0</v>
      </c>
      <c r="G82" s="49">
        <f>AVERAGE('18.10 MITYANA-KANONI-24h'!G82,'19.10 MITYANA-KANONI-24h'!G82)</f>
        <v>0</v>
      </c>
      <c r="H82" s="49">
        <f>AVERAGE('18.10 MITYANA-KANONI-24h'!H82,'19.10 MITYANA-KANONI-24h'!H82)</f>
        <v>0</v>
      </c>
      <c r="I82" s="49">
        <f>AVERAGE('18.10 MITYANA-KANONI-24h'!I82,'19.10 MITYANA-KANONI-24h'!I82)</f>
        <v>0</v>
      </c>
      <c r="J82" s="49">
        <f>AVERAGE('18.10 MITYANA-KANONI-24h'!J82,'19.10 MITYANA-KANONI-24h'!J82)</f>
        <v>0</v>
      </c>
      <c r="K82" s="49">
        <f>AVERAGE('18.10 MITYANA-KANONI-24h'!K82,'19.10 MITYANA-KANONI-24h'!K82)</f>
        <v>0</v>
      </c>
      <c r="L82" s="49">
        <f>AVERAGE('18.10 MITYANA-KANONI-24h'!L82,'19.10 MITYANA-KANONI-24h'!L82)</f>
        <v>0</v>
      </c>
      <c r="M82" s="49">
        <f>AVERAGE('18.10 MITYANA-KANONI-24h'!M82,'19.10 MITYANA-KANONI-24h'!M82)</f>
        <v>0</v>
      </c>
      <c r="N82" s="49">
        <f>AVERAGE('18.10 MITYANA-KANONI-24h'!N82,'19.10 MITYANA-KANONI-24h'!N82)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AVERAGE('18.10 MITYANA-KANONI-24h'!C83,'19.10 MITYANA-KANONI-24h'!C83)</f>
        <v>0</v>
      </c>
      <c r="D83" s="49">
        <f>AVERAGE('18.10 MITYANA-KANONI-24h'!D83,'19.10 MITYANA-KANONI-24h'!D83)</f>
        <v>0</v>
      </c>
      <c r="E83" s="49">
        <f>AVERAGE('18.10 MITYANA-KANONI-24h'!E83,'19.10 MITYANA-KANONI-24h'!E83)</f>
        <v>0</v>
      </c>
      <c r="F83" s="49">
        <f>AVERAGE('18.10 MITYANA-KANONI-24h'!F83,'19.10 MITYANA-KANONI-24h'!F83)</f>
        <v>0</v>
      </c>
      <c r="G83" s="49">
        <f>AVERAGE('18.10 MITYANA-KANONI-24h'!G83,'19.10 MITYANA-KANONI-24h'!G83)</f>
        <v>0</v>
      </c>
      <c r="H83" s="49">
        <f>AVERAGE('18.10 MITYANA-KANONI-24h'!H83,'19.10 MITYANA-KANONI-24h'!H83)</f>
        <v>0</v>
      </c>
      <c r="I83" s="49">
        <f>AVERAGE('18.10 MITYANA-KANONI-24h'!I83,'19.10 MITYANA-KANONI-24h'!I83)</f>
        <v>0</v>
      </c>
      <c r="J83" s="49">
        <f>AVERAGE('18.10 MITYANA-KANONI-24h'!J83,'19.10 MITYANA-KANONI-24h'!J83)</f>
        <v>0</v>
      </c>
      <c r="K83" s="49">
        <f>AVERAGE('18.10 MITYANA-KANONI-24h'!K83,'19.10 MITYANA-KANONI-24h'!K83)</f>
        <v>0</v>
      </c>
      <c r="L83" s="49">
        <f>AVERAGE('18.10 MITYANA-KANONI-24h'!L83,'19.10 MITYANA-KANONI-24h'!L83)</f>
        <v>0</v>
      </c>
      <c r="M83" s="49">
        <f>AVERAGE('18.10 MITYANA-KANONI-24h'!M83,'19.10 MITYANA-KANONI-24h'!M83)</f>
        <v>0.5</v>
      </c>
      <c r="N83" s="49">
        <f>AVERAGE('18.10 MITYANA-KANONI-24h'!N83,'19.10 MITYANA-KANONI-24h'!N83)</f>
        <v>0</v>
      </c>
      <c r="O83" s="15">
        <f t="shared" si="35"/>
        <v>0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AVERAGE('18.10 MITYANA-KANONI-24h'!C84,'19.10 MITYANA-KANONI-24h'!C84)</f>
        <v>0</v>
      </c>
      <c r="D84" s="49">
        <f>AVERAGE('18.10 MITYANA-KANONI-24h'!D84,'19.10 MITYANA-KANONI-24h'!D84)</f>
        <v>0</v>
      </c>
      <c r="E84" s="49">
        <f>AVERAGE('18.10 MITYANA-KANONI-24h'!E84,'19.10 MITYANA-KANONI-24h'!E84)</f>
        <v>0</v>
      </c>
      <c r="F84" s="49">
        <f>AVERAGE('18.10 MITYANA-KANONI-24h'!F84,'19.10 MITYANA-KANONI-24h'!F84)</f>
        <v>0</v>
      </c>
      <c r="G84" s="49">
        <f>AVERAGE('18.10 MITYANA-KANONI-24h'!G84,'19.10 MITYANA-KANONI-24h'!G84)</f>
        <v>0</v>
      </c>
      <c r="H84" s="49">
        <f>AVERAGE('18.10 MITYANA-KANONI-24h'!H84,'19.10 MITYANA-KANONI-24h'!H84)</f>
        <v>0</v>
      </c>
      <c r="I84" s="49">
        <f>AVERAGE('18.10 MITYANA-KANONI-24h'!I84,'19.10 MITYANA-KANONI-24h'!I84)</f>
        <v>0</v>
      </c>
      <c r="J84" s="49">
        <f>AVERAGE('18.10 MITYANA-KANONI-24h'!J84,'19.10 MITYANA-KANONI-24h'!J84)</f>
        <v>0</v>
      </c>
      <c r="K84" s="49">
        <f>AVERAGE('18.10 MITYANA-KANONI-24h'!K84,'19.10 MITYANA-KANONI-24h'!K84)</f>
        <v>0</v>
      </c>
      <c r="L84" s="49">
        <f>AVERAGE('18.10 MITYANA-KANONI-24h'!L84,'19.10 MITYANA-KANONI-24h'!L84)</f>
        <v>0</v>
      </c>
      <c r="M84" s="49">
        <f>AVERAGE('18.10 MITYANA-KANONI-24h'!M84,'19.10 MITYANA-KANONI-24h'!M84)</f>
        <v>1</v>
      </c>
      <c r="N84" s="49">
        <f>AVERAGE('18.10 MITYANA-KANONI-24h'!N84,'19.10 MITYANA-KANONI-24h'!N84)</f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23" t="s">
        <v>125</v>
      </c>
      <c r="C85" s="49">
        <f>AVERAGE('18.10 MITYANA-KANONI-24h'!C85,'19.10 MITYANA-KANONI-24h'!C85)</f>
        <v>0</v>
      </c>
      <c r="D85" s="49">
        <f>AVERAGE('18.10 MITYANA-KANONI-24h'!D85,'19.10 MITYANA-KANONI-24h'!D85)</f>
        <v>0</v>
      </c>
      <c r="E85" s="49">
        <f>AVERAGE('18.10 MITYANA-KANONI-24h'!E85,'19.10 MITYANA-KANONI-24h'!E85)</f>
        <v>0</v>
      </c>
      <c r="F85" s="49">
        <f>AVERAGE('18.10 MITYANA-KANONI-24h'!F85,'19.10 MITYANA-KANONI-24h'!F85)</f>
        <v>0</v>
      </c>
      <c r="G85" s="49">
        <f>AVERAGE('18.10 MITYANA-KANONI-24h'!G85,'19.10 MITYANA-KANONI-24h'!G85)</f>
        <v>0</v>
      </c>
      <c r="H85" s="49">
        <f>AVERAGE('18.10 MITYANA-KANONI-24h'!H85,'19.10 MITYANA-KANONI-24h'!H85)</f>
        <v>0</v>
      </c>
      <c r="I85" s="49">
        <f>AVERAGE('18.10 MITYANA-KANONI-24h'!I85,'19.10 MITYANA-KANONI-24h'!I85)</f>
        <v>0</v>
      </c>
      <c r="J85" s="49">
        <f>AVERAGE('18.10 MITYANA-KANONI-24h'!J85,'19.10 MITYANA-KANONI-24h'!J85)</f>
        <v>0</v>
      </c>
      <c r="K85" s="49">
        <f>AVERAGE('18.10 MITYANA-KANONI-24h'!K85,'19.10 MITYANA-KANONI-24h'!K85)</f>
        <v>0</v>
      </c>
      <c r="L85" s="49">
        <f>AVERAGE('18.10 MITYANA-KANONI-24h'!L85,'19.10 MITYANA-KANONI-24h'!L85)</f>
        <v>0</v>
      </c>
      <c r="M85" s="49">
        <f>AVERAGE('18.10 MITYANA-KANONI-24h'!M85,'19.10 MITYANA-KANONI-24h'!M85)</f>
        <v>0.5</v>
      </c>
      <c r="N85" s="49">
        <f>AVERAGE('18.10 MITYANA-KANONI-24h'!N85,'19.10 MITYANA-KANONI-24h'!N85)</f>
        <v>0</v>
      </c>
      <c r="O85" s="15">
        <f t="shared" si="35"/>
        <v>0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AVERAGE('18.10 MITYANA-KANONI-24h'!C86,'19.10 MITYANA-KANONI-24h'!C86)</f>
        <v>0</v>
      </c>
      <c r="D86" s="49">
        <f>AVERAGE('18.10 MITYANA-KANONI-24h'!D86,'19.10 MITYANA-KANONI-24h'!D86)</f>
        <v>0</v>
      </c>
      <c r="E86" s="49">
        <f>AVERAGE('18.10 MITYANA-KANONI-24h'!E86,'19.10 MITYANA-KANONI-24h'!E86)</f>
        <v>0</v>
      </c>
      <c r="F86" s="49">
        <f>AVERAGE('18.10 MITYANA-KANONI-24h'!F86,'19.10 MITYANA-KANONI-24h'!F86)</f>
        <v>0</v>
      </c>
      <c r="G86" s="49">
        <f>AVERAGE('18.10 MITYANA-KANONI-24h'!G86,'19.10 MITYANA-KANONI-24h'!G86)</f>
        <v>0</v>
      </c>
      <c r="H86" s="49">
        <f>AVERAGE('18.10 MITYANA-KANONI-24h'!H86,'19.10 MITYANA-KANONI-24h'!H86)</f>
        <v>0</v>
      </c>
      <c r="I86" s="49">
        <f>AVERAGE('18.10 MITYANA-KANONI-24h'!I86,'19.10 MITYANA-KANONI-24h'!I86)</f>
        <v>0</v>
      </c>
      <c r="J86" s="49">
        <f>AVERAGE('18.10 MITYANA-KANONI-24h'!J86,'19.10 MITYANA-KANONI-24h'!J86)</f>
        <v>0</v>
      </c>
      <c r="K86" s="49">
        <f>AVERAGE('18.10 MITYANA-KANONI-24h'!K86,'19.10 MITYANA-KANONI-24h'!K86)</f>
        <v>0</v>
      </c>
      <c r="L86" s="49">
        <f>AVERAGE('18.10 MITYANA-KANONI-24h'!L86,'19.10 MITYANA-KANONI-24h'!L86)</f>
        <v>0</v>
      </c>
      <c r="M86" s="49">
        <f>AVERAGE('18.10 MITYANA-KANONI-24h'!M86,'19.10 MITYANA-KANONI-24h'!M86)</f>
        <v>0</v>
      </c>
      <c r="N86" s="49">
        <f>AVERAGE('18.10 MITYANA-KANONI-24h'!N86,'19.10 MITYANA-KANONI-24h'!N86)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AVERAGE('18.10 MITYANA-KANONI-24h'!C87,'19.10 MITYANA-KANONI-24h'!C87)</f>
        <v>0</v>
      </c>
      <c r="D87" s="49">
        <f>AVERAGE('18.10 MITYANA-KANONI-24h'!D87,'19.10 MITYANA-KANONI-24h'!D87)</f>
        <v>0</v>
      </c>
      <c r="E87" s="49">
        <f>AVERAGE('18.10 MITYANA-KANONI-24h'!E87,'19.10 MITYANA-KANONI-24h'!E87)</f>
        <v>0</v>
      </c>
      <c r="F87" s="49">
        <f>AVERAGE('18.10 MITYANA-KANONI-24h'!F87,'19.10 MITYANA-KANONI-24h'!F87)</f>
        <v>0</v>
      </c>
      <c r="G87" s="49">
        <f>AVERAGE('18.10 MITYANA-KANONI-24h'!G87,'19.10 MITYANA-KANONI-24h'!G87)</f>
        <v>0</v>
      </c>
      <c r="H87" s="49">
        <f>AVERAGE('18.10 MITYANA-KANONI-24h'!H87,'19.10 MITYANA-KANONI-24h'!H87)</f>
        <v>0</v>
      </c>
      <c r="I87" s="49">
        <f>AVERAGE('18.10 MITYANA-KANONI-24h'!I87,'19.10 MITYANA-KANONI-24h'!I87)</f>
        <v>0</v>
      </c>
      <c r="J87" s="49">
        <f>AVERAGE('18.10 MITYANA-KANONI-24h'!J87,'19.10 MITYANA-KANONI-24h'!J87)</f>
        <v>0</v>
      </c>
      <c r="K87" s="49">
        <f>AVERAGE('18.10 MITYANA-KANONI-24h'!K87,'19.10 MITYANA-KANONI-24h'!K87)</f>
        <v>0</v>
      </c>
      <c r="L87" s="49">
        <f>AVERAGE('18.10 MITYANA-KANONI-24h'!L87,'19.10 MITYANA-KANONI-24h'!L87)</f>
        <v>0</v>
      </c>
      <c r="M87" s="49">
        <f>AVERAGE('18.10 MITYANA-KANONI-24h'!M87,'19.10 MITYANA-KANONI-24h'!M87)</f>
        <v>0</v>
      </c>
      <c r="N87" s="49">
        <f>AVERAGE('18.10 MITYANA-KANONI-24h'!N87,'19.10 MITYANA-KANONI-24h'!N87)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AVERAGE('18.10 MITYANA-KANONI-24h'!C88,'19.10 MITYANA-KANONI-24h'!C88)</f>
        <v>0</v>
      </c>
      <c r="D88" s="49">
        <f>AVERAGE('18.10 MITYANA-KANONI-24h'!D88,'19.10 MITYANA-KANONI-24h'!D88)</f>
        <v>0</v>
      </c>
      <c r="E88" s="49">
        <f>AVERAGE('18.10 MITYANA-KANONI-24h'!E88,'19.10 MITYANA-KANONI-24h'!E88)</f>
        <v>0</v>
      </c>
      <c r="F88" s="49">
        <f>AVERAGE('18.10 MITYANA-KANONI-24h'!F88,'19.10 MITYANA-KANONI-24h'!F88)</f>
        <v>0</v>
      </c>
      <c r="G88" s="49">
        <f>AVERAGE('18.10 MITYANA-KANONI-24h'!G88,'19.10 MITYANA-KANONI-24h'!G88)</f>
        <v>0</v>
      </c>
      <c r="H88" s="49">
        <f>AVERAGE('18.10 MITYANA-KANONI-24h'!H88,'19.10 MITYANA-KANONI-24h'!H88)</f>
        <v>0</v>
      </c>
      <c r="I88" s="49">
        <f>AVERAGE('18.10 MITYANA-KANONI-24h'!I88,'19.10 MITYANA-KANONI-24h'!I88)</f>
        <v>0</v>
      </c>
      <c r="J88" s="49">
        <f>AVERAGE('18.10 MITYANA-KANONI-24h'!J88,'19.10 MITYANA-KANONI-24h'!J88)</f>
        <v>0</v>
      </c>
      <c r="K88" s="49">
        <f>AVERAGE('18.10 MITYANA-KANONI-24h'!K88,'19.10 MITYANA-KANONI-24h'!K88)</f>
        <v>0</v>
      </c>
      <c r="L88" s="49">
        <f>AVERAGE('18.10 MITYANA-KANONI-24h'!L88,'19.10 MITYANA-KANONI-24h'!L88)</f>
        <v>0</v>
      </c>
      <c r="M88" s="49">
        <f>AVERAGE('18.10 MITYANA-KANONI-24h'!M88,'19.10 MITYANA-KANONI-24h'!M88)</f>
        <v>0</v>
      </c>
      <c r="N88" s="49">
        <f>AVERAGE('18.10 MITYANA-KANONI-24h'!N88,'19.10 MITYANA-KANONI-24h'!N88)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AVERAGE('18.10 MITYANA-KANONI-24h'!C89,'19.10 MITYANA-KANONI-24h'!C89)</f>
        <v>0</v>
      </c>
      <c r="D89" s="49">
        <f>AVERAGE('18.10 MITYANA-KANONI-24h'!D89,'19.10 MITYANA-KANONI-24h'!D89)</f>
        <v>0</v>
      </c>
      <c r="E89" s="49">
        <f>AVERAGE('18.10 MITYANA-KANONI-24h'!E89,'19.10 MITYANA-KANONI-24h'!E89)</f>
        <v>0</v>
      </c>
      <c r="F89" s="49">
        <f>AVERAGE('18.10 MITYANA-KANONI-24h'!F89,'19.10 MITYANA-KANONI-24h'!F89)</f>
        <v>0</v>
      </c>
      <c r="G89" s="49">
        <f>AVERAGE('18.10 MITYANA-KANONI-24h'!G89,'19.10 MITYANA-KANONI-24h'!G89)</f>
        <v>0</v>
      </c>
      <c r="H89" s="49">
        <f>AVERAGE('18.10 MITYANA-KANONI-24h'!H89,'19.10 MITYANA-KANONI-24h'!H89)</f>
        <v>0</v>
      </c>
      <c r="I89" s="49">
        <f>AVERAGE('18.10 MITYANA-KANONI-24h'!I89,'19.10 MITYANA-KANONI-24h'!I89)</f>
        <v>0</v>
      </c>
      <c r="J89" s="49">
        <f>AVERAGE('18.10 MITYANA-KANONI-24h'!J89,'19.10 MITYANA-KANONI-24h'!J89)</f>
        <v>0</v>
      </c>
      <c r="K89" s="49">
        <f>AVERAGE('18.10 MITYANA-KANONI-24h'!K89,'19.10 MITYANA-KANONI-24h'!K89)</f>
        <v>0</v>
      </c>
      <c r="L89" s="49">
        <f>AVERAGE('18.10 MITYANA-KANONI-24h'!L89,'19.10 MITYANA-KANONI-24h'!L89)</f>
        <v>0</v>
      </c>
      <c r="M89" s="49">
        <f>AVERAGE('18.10 MITYANA-KANONI-24h'!M89,'19.10 MITYANA-KANONI-24h'!M89)</f>
        <v>0</v>
      </c>
      <c r="N89" s="49">
        <f>AVERAGE('18.10 MITYANA-KANONI-24h'!N89,'19.10 MITYANA-KANONI-24h'!N89)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AVERAGE('18.10 MITYANA-KANONI-24h'!C90,'19.10 MITYANA-KANONI-24h'!C90)</f>
        <v>0</v>
      </c>
      <c r="D90" s="49">
        <f>AVERAGE('18.10 MITYANA-KANONI-24h'!D90,'19.10 MITYANA-KANONI-24h'!D90)</f>
        <v>0</v>
      </c>
      <c r="E90" s="49">
        <f>AVERAGE('18.10 MITYANA-KANONI-24h'!E90,'19.10 MITYANA-KANONI-24h'!E90)</f>
        <v>0</v>
      </c>
      <c r="F90" s="49">
        <f>AVERAGE('18.10 MITYANA-KANONI-24h'!F90,'19.10 MITYANA-KANONI-24h'!F90)</f>
        <v>0</v>
      </c>
      <c r="G90" s="49">
        <f>AVERAGE('18.10 MITYANA-KANONI-24h'!G90,'19.10 MITYANA-KANONI-24h'!G90)</f>
        <v>0</v>
      </c>
      <c r="H90" s="49">
        <f>AVERAGE('18.10 MITYANA-KANONI-24h'!H90,'19.10 MITYANA-KANONI-24h'!H90)</f>
        <v>0</v>
      </c>
      <c r="I90" s="49">
        <f>AVERAGE('18.10 MITYANA-KANONI-24h'!I90,'19.10 MITYANA-KANONI-24h'!I90)</f>
        <v>0</v>
      </c>
      <c r="J90" s="49">
        <f>AVERAGE('18.10 MITYANA-KANONI-24h'!J90,'19.10 MITYANA-KANONI-24h'!J90)</f>
        <v>0</v>
      </c>
      <c r="K90" s="49">
        <f>AVERAGE('18.10 MITYANA-KANONI-24h'!K90,'19.10 MITYANA-KANONI-24h'!K90)</f>
        <v>0</v>
      </c>
      <c r="L90" s="49">
        <f>AVERAGE('18.10 MITYANA-KANONI-24h'!L90,'19.10 MITYANA-KANONI-24h'!L90)</f>
        <v>0</v>
      </c>
      <c r="M90" s="49">
        <f>AVERAGE('18.10 MITYANA-KANONI-24h'!M90,'19.10 MITYANA-KANONI-24h'!M90)</f>
        <v>0</v>
      </c>
      <c r="N90" s="49">
        <f>AVERAGE('18.10 MITYANA-KANONI-24h'!N90,'19.10 MITYANA-KANONI-24h'!N90)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AVERAGE('18.10 MITYANA-KANONI-24h'!C91,'19.10 MITYANA-KANONI-24h'!C91)</f>
        <v>0</v>
      </c>
      <c r="D91" s="49">
        <f>AVERAGE('18.10 MITYANA-KANONI-24h'!D91,'19.10 MITYANA-KANONI-24h'!D91)</f>
        <v>0</v>
      </c>
      <c r="E91" s="49">
        <f>AVERAGE('18.10 MITYANA-KANONI-24h'!E91,'19.10 MITYANA-KANONI-24h'!E91)</f>
        <v>0</v>
      </c>
      <c r="F91" s="49">
        <f>AVERAGE('18.10 MITYANA-KANONI-24h'!F91,'19.10 MITYANA-KANONI-24h'!F91)</f>
        <v>0</v>
      </c>
      <c r="G91" s="49">
        <f>AVERAGE('18.10 MITYANA-KANONI-24h'!G91,'19.10 MITYANA-KANONI-24h'!G91)</f>
        <v>0</v>
      </c>
      <c r="H91" s="49">
        <f>AVERAGE('18.10 MITYANA-KANONI-24h'!H91,'19.10 MITYANA-KANONI-24h'!H91)</f>
        <v>0</v>
      </c>
      <c r="I91" s="49">
        <f>AVERAGE('18.10 MITYANA-KANONI-24h'!I91,'19.10 MITYANA-KANONI-24h'!I91)</f>
        <v>0</v>
      </c>
      <c r="J91" s="49">
        <f>AVERAGE('18.10 MITYANA-KANONI-24h'!J91,'19.10 MITYANA-KANONI-24h'!J91)</f>
        <v>0</v>
      </c>
      <c r="K91" s="49">
        <f>AVERAGE('18.10 MITYANA-KANONI-24h'!K91,'19.10 MITYANA-KANONI-24h'!K91)</f>
        <v>0</v>
      </c>
      <c r="L91" s="49">
        <f>AVERAGE('18.10 MITYANA-KANONI-24h'!L91,'19.10 MITYANA-KANONI-24h'!L91)</f>
        <v>0</v>
      </c>
      <c r="M91" s="49">
        <f>AVERAGE('18.10 MITYANA-KANONI-24h'!M91,'19.10 MITYANA-KANONI-24h'!M91)</f>
        <v>0.5</v>
      </c>
      <c r="N91" s="49">
        <f>AVERAGE('18.10 MITYANA-KANONI-24h'!N91,'19.10 MITYANA-KANONI-24h'!N91)</f>
        <v>0</v>
      </c>
      <c r="O91" s="15">
        <f t="shared" si="35"/>
        <v>0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AVERAGE('18.10 MITYANA-KANONI-24h'!C92,'19.10 MITYANA-KANONI-24h'!C92)</f>
        <v>0</v>
      </c>
      <c r="D92" s="49">
        <f>AVERAGE('18.10 MITYANA-KANONI-24h'!D92,'19.10 MITYANA-KANONI-24h'!D92)</f>
        <v>0</v>
      </c>
      <c r="E92" s="49">
        <f>AVERAGE('18.10 MITYANA-KANONI-24h'!E92,'19.10 MITYANA-KANONI-24h'!E92)</f>
        <v>0</v>
      </c>
      <c r="F92" s="49">
        <f>AVERAGE('18.10 MITYANA-KANONI-24h'!F92,'19.10 MITYANA-KANONI-24h'!F92)</f>
        <v>0</v>
      </c>
      <c r="G92" s="49">
        <f>AVERAGE('18.10 MITYANA-KANONI-24h'!G92,'19.10 MITYANA-KANONI-24h'!G92)</f>
        <v>0</v>
      </c>
      <c r="H92" s="49">
        <f>AVERAGE('18.10 MITYANA-KANONI-24h'!H92,'19.10 MITYANA-KANONI-24h'!H92)</f>
        <v>0</v>
      </c>
      <c r="I92" s="49">
        <f>AVERAGE('18.10 MITYANA-KANONI-24h'!I92,'19.10 MITYANA-KANONI-24h'!I92)</f>
        <v>0</v>
      </c>
      <c r="J92" s="49">
        <f>AVERAGE('18.10 MITYANA-KANONI-24h'!J92,'19.10 MITYANA-KANONI-24h'!J92)</f>
        <v>0</v>
      </c>
      <c r="K92" s="49">
        <f>AVERAGE('18.10 MITYANA-KANONI-24h'!K92,'19.10 MITYANA-KANONI-24h'!K92)</f>
        <v>0</v>
      </c>
      <c r="L92" s="49">
        <f>AVERAGE('18.10 MITYANA-KANONI-24h'!L92,'19.10 MITYANA-KANONI-24h'!L92)</f>
        <v>0</v>
      </c>
      <c r="M92" s="49">
        <f>AVERAGE('18.10 MITYANA-KANONI-24h'!M92,'19.10 MITYANA-KANONI-24h'!M92)</f>
        <v>0</v>
      </c>
      <c r="N92" s="49">
        <f>AVERAGE('18.10 MITYANA-KANONI-24h'!N92,'19.10 MITYANA-KANONI-24h'!N92)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AVERAGE('18.10 MITYANA-KANONI-24h'!C93,'19.10 MITYANA-KANONI-24h'!C93)</f>
        <v>0</v>
      </c>
      <c r="D93" s="49">
        <f>AVERAGE('18.10 MITYANA-KANONI-24h'!D93,'19.10 MITYANA-KANONI-24h'!D93)</f>
        <v>0</v>
      </c>
      <c r="E93" s="49">
        <f>AVERAGE('18.10 MITYANA-KANONI-24h'!E93,'19.10 MITYANA-KANONI-24h'!E93)</f>
        <v>0</v>
      </c>
      <c r="F93" s="49">
        <f>AVERAGE('18.10 MITYANA-KANONI-24h'!F93,'19.10 MITYANA-KANONI-24h'!F93)</f>
        <v>0</v>
      </c>
      <c r="G93" s="49">
        <f>AVERAGE('18.10 MITYANA-KANONI-24h'!G93,'19.10 MITYANA-KANONI-24h'!G93)</f>
        <v>0</v>
      </c>
      <c r="H93" s="49">
        <f>AVERAGE('18.10 MITYANA-KANONI-24h'!H93,'19.10 MITYANA-KANONI-24h'!H93)</f>
        <v>0</v>
      </c>
      <c r="I93" s="49">
        <f>AVERAGE('18.10 MITYANA-KANONI-24h'!I93,'19.10 MITYANA-KANONI-24h'!I93)</f>
        <v>0</v>
      </c>
      <c r="J93" s="49">
        <f>AVERAGE('18.10 MITYANA-KANONI-24h'!J93,'19.10 MITYANA-KANONI-24h'!J93)</f>
        <v>0</v>
      </c>
      <c r="K93" s="49">
        <f>AVERAGE('18.10 MITYANA-KANONI-24h'!K93,'19.10 MITYANA-KANONI-24h'!K93)</f>
        <v>0</v>
      </c>
      <c r="L93" s="49">
        <f>AVERAGE('18.10 MITYANA-KANONI-24h'!L93,'19.10 MITYANA-KANONI-24h'!L93)</f>
        <v>0</v>
      </c>
      <c r="M93" s="49">
        <f>AVERAGE('18.10 MITYANA-KANONI-24h'!M93,'19.10 MITYANA-KANONI-24h'!M93)</f>
        <v>0.5</v>
      </c>
      <c r="N93" s="49">
        <f>AVERAGE('18.10 MITYANA-KANONI-24h'!N93,'19.10 MITYANA-KANONI-24h'!N93)</f>
        <v>0</v>
      </c>
      <c r="O93" s="15">
        <f t="shared" si="35"/>
        <v>0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AVERAGE('18.10 MITYANA-KANONI-24h'!C94,'19.10 MITYANA-KANONI-24h'!C94)</f>
        <v>0</v>
      </c>
      <c r="D94" s="49">
        <f>AVERAGE('18.10 MITYANA-KANONI-24h'!D94,'19.10 MITYANA-KANONI-24h'!D94)</f>
        <v>0</v>
      </c>
      <c r="E94" s="49">
        <f>AVERAGE('18.10 MITYANA-KANONI-24h'!E94,'19.10 MITYANA-KANONI-24h'!E94)</f>
        <v>0</v>
      </c>
      <c r="F94" s="49">
        <f>AVERAGE('18.10 MITYANA-KANONI-24h'!F94,'19.10 MITYANA-KANONI-24h'!F94)</f>
        <v>0</v>
      </c>
      <c r="G94" s="49">
        <f>AVERAGE('18.10 MITYANA-KANONI-24h'!G94,'19.10 MITYANA-KANONI-24h'!G94)</f>
        <v>0</v>
      </c>
      <c r="H94" s="49">
        <f>AVERAGE('18.10 MITYANA-KANONI-24h'!H94,'19.10 MITYANA-KANONI-24h'!H94)</f>
        <v>0</v>
      </c>
      <c r="I94" s="49">
        <f>AVERAGE('18.10 MITYANA-KANONI-24h'!I94,'19.10 MITYANA-KANONI-24h'!I94)</f>
        <v>0</v>
      </c>
      <c r="J94" s="49">
        <f>AVERAGE('18.10 MITYANA-KANONI-24h'!J94,'19.10 MITYANA-KANONI-24h'!J94)</f>
        <v>0</v>
      </c>
      <c r="K94" s="49">
        <f>AVERAGE('18.10 MITYANA-KANONI-24h'!K94,'19.10 MITYANA-KANONI-24h'!K94)</f>
        <v>0</v>
      </c>
      <c r="L94" s="49">
        <f>AVERAGE('18.10 MITYANA-KANONI-24h'!L94,'19.10 MITYANA-KANONI-24h'!L94)</f>
        <v>0</v>
      </c>
      <c r="M94" s="49">
        <f>AVERAGE('18.10 MITYANA-KANONI-24h'!M94,'19.10 MITYANA-KANONI-24h'!M94)</f>
        <v>0</v>
      </c>
      <c r="N94" s="49">
        <f>AVERAGE('18.10 MITYANA-KANONI-24h'!N94,'19.10 MITYANA-KANONI-24h'!N94)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AVERAGE('18.10 MITYANA-KANONI-24h'!C95,'19.10 MITYANA-KANONI-24h'!C95)</f>
        <v>0</v>
      </c>
      <c r="D95" s="49">
        <f>AVERAGE('18.10 MITYANA-KANONI-24h'!D95,'19.10 MITYANA-KANONI-24h'!D95)</f>
        <v>0</v>
      </c>
      <c r="E95" s="49">
        <f>AVERAGE('18.10 MITYANA-KANONI-24h'!E95,'19.10 MITYANA-KANONI-24h'!E95)</f>
        <v>0</v>
      </c>
      <c r="F95" s="49">
        <f>AVERAGE('18.10 MITYANA-KANONI-24h'!F95,'19.10 MITYANA-KANONI-24h'!F95)</f>
        <v>0</v>
      </c>
      <c r="G95" s="49">
        <f>AVERAGE('18.10 MITYANA-KANONI-24h'!G95,'19.10 MITYANA-KANONI-24h'!G95)</f>
        <v>0</v>
      </c>
      <c r="H95" s="49">
        <f>AVERAGE('18.10 MITYANA-KANONI-24h'!H95,'19.10 MITYANA-KANONI-24h'!H95)</f>
        <v>0</v>
      </c>
      <c r="I95" s="49">
        <f>AVERAGE('18.10 MITYANA-KANONI-24h'!I95,'19.10 MITYANA-KANONI-24h'!I95)</f>
        <v>0</v>
      </c>
      <c r="J95" s="49">
        <f>AVERAGE('18.10 MITYANA-KANONI-24h'!J95,'19.10 MITYANA-KANONI-24h'!J95)</f>
        <v>0</v>
      </c>
      <c r="K95" s="49">
        <f>AVERAGE('18.10 MITYANA-KANONI-24h'!K95,'19.10 MITYANA-KANONI-24h'!K95)</f>
        <v>0</v>
      </c>
      <c r="L95" s="49">
        <f>AVERAGE('18.10 MITYANA-KANONI-24h'!L95,'19.10 MITYANA-KANONI-24h'!L95)</f>
        <v>0</v>
      </c>
      <c r="M95" s="49">
        <f>AVERAGE('18.10 MITYANA-KANONI-24h'!M95,'19.10 MITYANA-KANONI-24h'!M95)</f>
        <v>0</v>
      </c>
      <c r="N95" s="49">
        <f>AVERAGE('18.10 MITYANA-KANONI-24h'!N95,'19.10 MITYANA-KANONI-24h'!N95)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AVERAGE('18.10 MITYANA-KANONI-24h'!C96,'19.10 MITYANA-KANONI-24h'!C96)</f>
        <v>0</v>
      </c>
      <c r="D96" s="49">
        <f>AVERAGE('18.10 MITYANA-KANONI-24h'!D96,'19.10 MITYANA-KANONI-24h'!D96)</f>
        <v>0</v>
      </c>
      <c r="E96" s="49">
        <f>AVERAGE('18.10 MITYANA-KANONI-24h'!E96,'19.10 MITYANA-KANONI-24h'!E96)</f>
        <v>0</v>
      </c>
      <c r="F96" s="49">
        <f>AVERAGE('18.10 MITYANA-KANONI-24h'!F96,'19.10 MITYANA-KANONI-24h'!F96)</f>
        <v>0</v>
      </c>
      <c r="G96" s="49">
        <f>AVERAGE('18.10 MITYANA-KANONI-24h'!G96,'19.10 MITYANA-KANONI-24h'!G96)</f>
        <v>0</v>
      </c>
      <c r="H96" s="49">
        <f>AVERAGE('18.10 MITYANA-KANONI-24h'!H96,'19.10 MITYANA-KANONI-24h'!H96)</f>
        <v>0</v>
      </c>
      <c r="I96" s="49">
        <f>AVERAGE('18.10 MITYANA-KANONI-24h'!I96,'19.10 MITYANA-KANONI-24h'!I96)</f>
        <v>0</v>
      </c>
      <c r="J96" s="49">
        <f>AVERAGE('18.10 MITYANA-KANONI-24h'!J96,'19.10 MITYANA-KANONI-24h'!J96)</f>
        <v>0</v>
      </c>
      <c r="K96" s="49">
        <f>AVERAGE('18.10 MITYANA-KANONI-24h'!K96,'19.10 MITYANA-KANONI-24h'!K96)</f>
        <v>0</v>
      </c>
      <c r="L96" s="49">
        <f>AVERAGE('18.10 MITYANA-KANONI-24h'!L96,'19.10 MITYANA-KANONI-24h'!L96)</f>
        <v>0</v>
      </c>
      <c r="M96" s="49">
        <f>AVERAGE('18.10 MITYANA-KANONI-24h'!M96,'19.10 MITYANA-KANONI-24h'!M96)</f>
        <v>0</v>
      </c>
      <c r="N96" s="49">
        <f>AVERAGE('18.10 MITYANA-KANONI-24h'!N96,'19.10 MITYANA-KANONI-24h'!N96)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AVERAGE('18.10 MITYANA-KANONI-24h'!C97,'19.10 MITYANA-KANONI-24h'!C97)</f>
        <v>0</v>
      </c>
      <c r="D97" s="49">
        <f>AVERAGE('18.10 MITYANA-KANONI-24h'!D97,'19.10 MITYANA-KANONI-24h'!D97)</f>
        <v>0</v>
      </c>
      <c r="E97" s="49">
        <f>AVERAGE('18.10 MITYANA-KANONI-24h'!E97,'19.10 MITYANA-KANONI-24h'!E97)</f>
        <v>0</v>
      </c>
      <c r="F97" s="49">
        <f>AVERAGE('18.10 MITYANA-KANONI-24h'!F97,'19.10 MITYANA-KANONI-24h'!F97)</f>
        <v>0</v>
      </c>
      <c r="G97" s="49">
        <f>AVERAGE('18.10 MITYANA-KANONI-24h'!G97,'19.10 MITYANA-KANONI-24h'!G97)</f>
        <v>0</v>
      </c>
      <c r="H97" s="49">
        <f>AVERAGE('18.10 MITYANA-KANONI-24h'!H97,'19.10 MITYANA-KANONI-24h'!H97)</f>
        <v>0</v>
      </c>
      <c r="I97" s="49">
        <f>AVERAGE('18.10 MITYANA-KANONI-24h'!I97,'19.10 MITYANA-KANONI-24h'!I97)</f>
        <v>0</v>
      </c>
      <c r="J97" s="49">
        <f>AVERAGE('18.10 MITYANA-KANONI-24h'!J97,'19.10 MITYANA-KANONI-24h'!J97)</f>
        <v>0</v>
      </c>
      <c r="K97" s="49">
        <f>AVERAGE('18.10 MITYANA-KANONI-24h'!K97,'19.10 MITYANA-KANONI-24h'!K97)</f>
        <v>0</v>
      </c>
      <c r="L97" s="49">
        <f>AVERAGE('18.10 MITYANA-KANONI-24h'!L97,'19.10 MITYANA-KANONI-24h'!L97)</f>
        <v>0</v>
      </c>
      <c r="M97" s="49">
        <f>AVERAGE('18.10 MITYANA-KANONI-24h'!M97,'19.10 MITYANA-KANONI-24h'!M97)</f>
        <v>0</v>
      </c>
      <c r="N97" s="49">
        <f>AVERAGE('18.10 MITYANA-KANONI-24h'!N97,'19.10 MITYANA-KANONI-24h'!N97)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AVERAGE('18.10 MITYANA-KANONI-24h'!C98,'19.10 MITYANA-KANONI-24h'!C98)</f>
        <v>0.5</v>
      </c>
      <c r="D98" s="49">
        <f>AVERAGE('18.10 MITYANA-KANONI-24h'!D98,'19.10 MITYANA-KANONI-24h'!D98)</f>
        <v>0</v>
      </c>
      <c r="E98" s="49">
        <f>AVERAGE('18.10 MITYANA-KANONI-24h'!E98,'19.10 MITYANA-KANONI-24h'!E98)</f>
        <v>0</v>
      </c>
      <c r="F98" s="49">
        <f>AVERAGE('18.10 MITYANA-KANONI-24h'!F98,'19.10 MITYANA-KANONI-24h'!F98)</f>
        <v>0</v>
      </c>
      <c r="G98" s="49">
        <f>AVERAGE('18.10 MITYANA-KANONI-24h'!G98,'19.10 MITYANA-KANONI-24h'!G98)</f>
        <v>0</v>
      </c>
      <c r="H98" s="49">
        <f>AVERAGE('18.10 MITYANA-KANONI-24h'!H98,'19.10 MITYANA-KANONI-24h'!H98)</f>
        <v>0</v>
      </c>
      <c r="I98" s="49">
        <f>AVERAGE('18.10 MITYANA-KANONI-24h'!I98,'19.10 MITYANA-KANONI-24h'!I98)</f>
        <v>0</v>
      </c>
      <c r="J98" s="49">
        <f>AVERAGE('18.10 MITYANA-KANONI-24h'!J98,'19.10 MITYANA-KANONI-24h'!J98)</f>
        <v>0</v>
      </c>
      <c r="K98" s="49">
        <f>AVERAGE('18.10 MITYANA-KANONI-24h'!K98,'19.10 MITYANA-KANONI-24h'!K98)</f>
        <v>0</v>
      </c>
      <c r="L98" s="49">
        <f>AVERAGE('18.10 MITYANA-KANONI-24h'!L98,'19.10 MITYANA-KANONI-24h'!L98)</f>
        <v>0</v>
      </c>
      <c r="M98" s="49">
        <f>AVERAGE('18.10 MITYANA-KANONI-24h'!M98,'19.10 MITYANA-KANONI-24h'!M98)</f>
        <v>0</v>
      </c>
      <c r="N98" s="49">
        <f>AVERAGE('18.10 MITYANA-KANONI-24h'!N98,'19.10 MITYANA-KANONI-24h'!N98)</f>
        <v>0</v>
      </c>
      <c r="O98" s="15">
        <f t="shared" si="35"/>
        <v>0.5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AVERAGE('18.10 MITYANA-KANONI-24h'!C99,'19.10 MITYANA-KANONI-24h'!C99)</f>
        <v>0</v>
      </c>
      <c r="D99" s="49">
        <f>AVERAGE('18.10 MITYANA-KANONI-24h'!D99,'19.10 MITYANA-KANONI-24h'!D99)</f>
        <v>0</v>
      </c>
      <c r="E99" s="49">
        <f>AVERAGE('18.10 MITYANA-KANONI-24h'!E99,'19.10 MITYANA-KANONI-24h'!E99)</f>
        <v>0</v>
      </c>
      <c r="F99" s="49">
        <f>AVERAGE('18.10 MITYANA-KANONI-24h'!F99,'19.10 MITYANA-KANONI-24h'!F99)</f>
        <v>0</v>
      </c>
      <c r="G99" s="49">
        <f>AVERAGE('18.10 MITYANA-KANONI-24h'!G99,'19.10 MITYANA-KANONI-24h'!G99)</f>
        <v>0</v>
      </c>
      <c r="H99" s="49">
        <f>AVERAGE('18.10 MITYANA-KANONI-24h'!H99,'19.10 MITYANA-KANONI-24h'!H99)</f>
        <v>0</v>
      </c>
      <c r="I99" s="49">
        <f>AVERAGE('18.10 MITYANA-KANONI-24h'!I99,'19.10 MITYANA-KANONI-24h'!I99)</f>
        <v>0</v>
      </c>
      <c r="J99" s="49">
        <f>AVERAGE('18.10 MITYANA-KANONI-24h'!J99,'19.10 MITYANA-KANONI-24h'!J99)</f>
        <v>0</v>
      </c>
      <c r="K99" s="49">
        <f>AVERAGE('18.10 MITYANA-KANONI-24h'!K99,'19.10 MITYANA-KANONI-24h'!K99)</f>
        <v>0</v>
      </c>
      <c r="L99" s="49">
        <f>AVERAGE('18.10 MITYANA-KANONI-24h'!L99,'19.10 MITYANA-KANONI-24h'!L99)</f>
        <v>0</v>
      </c>
      <c r="M99" s="49">
        <f>AVERAGE('18.10 MITYANA-KANONI-24h'!M99,'19.10 MITYANA-KANONI-24h'!M99)</f>
        <v>0</v>
      </c>
      <c r="N99" s="49">
        <f>AVERAGE('18.10 MITYANA-KANONI-24h'!N99,'19.10 MITYANA-KANONI-24h'!N99)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AVERAGE('18.10 MITYANA-KANONI-24h'!C100,'19.10 MITYANA-KANONI-24h'!C100)</f>
        <v>0</v>
      </c>
      <c r="D100" s="49">
        <f>AVERAGE('18.10 MITYANA-KANONI-24h'!D100,'19.10 MITYANA-KANONI-24h'!D100)</f>
        <v>0</v>
      </c>
      <c r="E100" s="49">
        <f>AVERAGE('18.10 MITYANA-KANONI-24h'!E100,'19.10 MITYANA-KANONI-24h'!E100)</f>
        <v>0</v>
      </c>
      <c r="F100" s="49">
        <f>AVERAGE('18.10 MITYANA-KANONI-24h'!F100,'19.10 MITYANA-KANONI-24h'!F100)</f>
        <v>0</v>
      </c>
      <c r="G100" s="49">
        <f>AVERAGE('18.10 MITYANA-KANONI-24h'!G100,'19.10 MITYANA-KANONI-24h'!G100)</f>
        <v>0</v>
      </c>
      <c r="H100" s="49">
        <f>AVERAGE('18.10 MITYANA-KANONI-24h'!H100,'19.10 MITYANA-KANONI-24h'!H100)</f>
        <v>0</v>
      </c>
      <c r="I100" s="49">
        <f>AVERAGE('18.10 MITYANA-KANONI-24h'!I100,'19.10 MITYANA-KANONI-24h'!I100)</f>
        <v>0</v>
      </c>
      <c r="J100" s="49">
        <f>AVERAGE('18.10 MITYANA-KANONI-24h'!J100,'19.10 MITYANA-KANONI-24h'!J100)</f>
        <v>0</v>
      </c>
      <c r="K100" s="49">
        <f>AVERAGE('18.10 MITYANA-KANONI-24h'!K100,'19.10 MITYANA-KANONI-24h'!K100)</f>
        <v>0</v>
      </c>
      <c r="L100" s="49">
        <f>AVERAGE('18.10 MITYANA-KANONI-24h'!L100,'19.10 MITYANA-KANONI-24h'!L100)</f>
        <v>0</v>
      </c>
      <c r="M100" s="49">
        <f>AVERAGE('18.10 MITYANA-KANONI-24h'!M100,'19.10 MITYANA-KANONI-24h'!M100)</f>
        <v>0.5</v>
      </c>
      <c r="N100" s="49">
        <f>AVERAGE('18.10 MITYANA-KANONI-24h'!N100,'19.10 MITYANA-KANONI-24h'!N100)</f>
        <v>0</v>
      </c>
      <c r="O100" s="15">
        <f t="shared" si="35"/>
        <v>0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AVERAGE('18.10 MITYANA-KANONI-24h'!C101,'19.10 MITYANA-KANONI-24h'!C101)</f>
        <v>0</v>
      </c>
      <c r="D101" s="49">
        <f>AVERAGE('18.10 MITYANA-KANONI-24h'!D101,'19.10 MITYANA-KANONI-24h'!D101)</f>
        <v>0</v>
      </c>
      <c r="E101" s="49">
        <f>AVERAGE('18.10 MITYANA-KANONI-24h'!E101,'19.10 MITYANA-KANONI-24h'!E101)</f>
        <v>0</v>
      </c>
      <c r="F101" s="49">
        <f>AVERAGE('18.10 MITYANA-KANONI-24h'!F101,'19.10 MITYANA-KANONI-24h'!F101)</f>
        <v>0</v>
      </c>
      <c r="G101" s="49">
        <f>AVERAGE('18.10 MITYANA-KANONI-24h'!G101,'19.10 MITYANA-KANONI-24h'!G101)</f>
        <v>0</v>
      </c>
      <c r="H101" s="49">
        <f>AVERAGE('18.10 MITYANA-KANONI-24h'!H101,'19.10 MITYANA-KANONI-24h'!H101)</f>
        <v>0</v>
      </c>
      <c r="I101" s="49">
        <f>AVERAGE('18.10 MITYANA-KANONI-24h'!I101,'19.10 MITYANA-KANONI-24h'!I101)</f>
        <v>0</v>
      </c>
      <c r="J101" s="49">
        <f>AVERAGE('18.10 MITYANA-KANONI-24h'!J101,'19.10 MITYANA-KANONI-24h'!J101)</f>
        <v>0</v>
      </c>
      <c r="K101" s="49">
        <f>AVERAGE('18.10 MITYANA-KANONI-24h'!K101,'19.10 MITYANA-KANONI-24h'!K101)</f>
        <v>0</v>
      </c>
      <c r="L101" s="49">
        <f>AVERAGE('18.10 MITYANA-KANONI-24h'!L101,'19.10 MITYANA-KANONI-24h'!L101)</f>
        <v>0</v>
      </c>
      <c r="M101" s="49">
        <f>AVERAGE('18.10 MITYANA-KANONI-24h'!M101,'19.10 MITYANA-KANONI-24h'!M101)</f>
        <v>1.5</v>
      </c>
      <c r="N101" s="49">
        <f>AVERAGE('18.10 MITYANA-KANONI-24h'!N101,'19.10 MITYANA-KANONI-24h'!N101)</f>
        <v>0</v>
      </c>
      <c r="O101" s="15">
        <f t="shared" si="35"/>
        <v>0</v>
      </c>
      <c r="P101" s="15">
        <f t="shared" si="36"/>
        <v>1.5</v>
      </c>
      <c r="R101" s="8"/>
      <c r="T101"/>
    </row>
    <row r="102" spans="2:20" ht="23.1" customHeight="1" x14ac:dyDescent="0.25">
      <c r="B102" s="24" t="s">
        <v>142</v>
      </c>
      <c r="C102" s="49">
        <f>AVERAGE('18.10 MITYANA-KANONI-24h'!C102,'19.10 MITYANA-KANONI-24h'!C102)</f>
        <v>0</v>
      </c>
      <c r="D102" s="49">
        <f>AVERAGE('18.10 MITYANA-KANONI-24h'!D102,'19.10 MITYANA-KANONI-24h'!D102)</f>
        <v>0</v>
      </c>
      <c r="E102" s="49">
        <f>AVERAGE('18.10 MITYANA-KANONI-24h'!E102,'19.10 MITYANA-KANONI-24h'!E102)</f>
        <v>0.5</v>
      </c>
      <c r="F102" s="49">
        <f>AVERAGE('18.10 MITYANA-KANONI-24h'!F102,'19.10 MITYANA-KANONI-24h'!F102)</f>
        <v>0</v>
      </c>
      <c r="G102" s="49">
        <f>AVERAGE('18.10 MITYANA-KANONI-24h'!G102,'19.10 MITYANA-KANONI-24h'!G102)</f>
        <v>0</v>
      </c>
      <c r="H102" s="49">
        <f>AVERAGE('18.10 MITYANA-KANONI-24h'!H102,'19.10 MITYANA-KANONI-24h'!H102)</f>
        <v>0</v>
      </c>
      <c r="I102" s="49">
        <f>AVERAGE('18.10 MITYANA-KANONI-24h'!I102,'19.10 MITYANA-KANONI-24h'!I102)</f>
        <v>0.5</v>
      </c>
      <c r="J102" s="49">
        <f>AVERAGE('18.10 MITYANA-KANONI-24h'!J102,'19.10 MITYANA-KANONI-24h'!J102)</f>
        <v>0</v>
      </c>
      <c r="K102" s="49">
        <f>AVERAGE('18.10 MITYANA-KANONI-24h'!K102,'19.10 MITYANA-KANONI-24h'!K102)</f>
        <v>0</v>
      </c>
      <c r="L102" s="49">
        <f>AVERAGE('18.10 MITYANA-KANONI-24h'!L102,'19.10 MITYANA-KANONI-24h'!L102)</f>
        <v>0</v>
      </c>
      <c r="M102" s="49">
        <f>AVERAGE('18.10 MITYANA-KANONI-24h'!M102,'19.10 MITYANA-KANONI-24h'!M102)</f>
        <v>1</v>
      </c>
      <c r="N102" s="49">
        <f>AVERAGE('18.10 MITYANA-KANONI-24h'!N102,'19.10 MITYANA-KANONI-24h'!N102)</f>
        <v>0</v>
      </c>
      <c r="O102" s="15">
        <f t="shared" si="35"/>
        <v>1</v>
      </c>
      <c r="P102" s="15">
        <f t="shared" si="36"/>
        <v>2</v>
      </c>
      <c r="R102" s="8"/>
      <c r="T102"/>
    </row>
    <row r="103" spans="2:20" ht="23.1" customHeight="1" x14ac:dyDescent="0.25">
      <c r="B103" s="23" t="s">
        <v>143</v>
      </c>
      <c r="C103" s="49">
        <f>AVERAGE('18.10 MITYANA-KANONI-24h'!C103,'19.10 MITYANA-KANONI-24h'!C103)</f>
        <v>0</v>
      </c>
      <c r="D103" s="49">
        <f>AVERAGE('18.10 MITYANA-KANONI-24h'!D103,'19.10 MITYANA-KANONI-24h'!D103)</f>
        <v>0</v>
      </c>
      <c r="E103" s="49">
        <f>AVERAGE('18.10 MITYANA-KANONI-24h'!E103,'19.10 MITYANA-KANONI-24h'!E103)</f>
        <v>0</v>
      </c>
      <c r="F103" s="49">
        <f>AVERAGE('18.10 MITYANA-KANONI-24h'!F103,'19.10 MITYANA-KANONI-24h'!F103)</f>
        <v>0</v>
      </c>
      <c r="G103" s="49">
        <f>AVERAGE('18.10 MITYANA-KANONI-24h'!G103,'19.10 MITYANA-KANONI-24h'!G103)</f>
        <v>0</v>
      </c>
      <c r="H103" s="49">
        <f>AVERAGE('18.10 MITYANA-KANONI-24h'!H103,'19.10 MITYANA-KANONI-24h'!H103)</f>
        <v>0</v>
      </c>
      <c r="I103" s="49">
        <f>AVERAGE('18.10 MITYANA-KANONI-24h'!I103,'19.10 MITYANA-KANONI-24h'!I103)</f>
        <v>0</v>
      </c>
      <c r="J103" s="49">
        <f>AVERAGE('18.10 MITYANA-KANONI-24h'!J103,'19.10 MITYANA-KANONI-24h'!J103)</f>
        <v>0</v>
      </c>
      <c r="K103" s="49">
        <f>AVERAGE('18.10 MITYANA-KANONI-24h'!K103,'19.10 MITYANA-KANONI-24h'!K103)</f>
        <v>0</v>
      </c>
      <c r="L103" s="49">
        <f>AVERAGE('18.10 MITYANA-KANONI-24h'!L103,'19.10 MITYANA-KANONI-24h'!L103)</f>
        <v>0</v>
      </c>
      <c r="M103" s="49">
        <f>AVERAGE('18.10 MITYANA-KANONI-24h'!M103,'19.10 MITYANA-KANONI-24h'!M103)</f>
        <v>2</v>
      </c>
      <c r="N103" s="49">
        <f>AVERAGE('18.10 MITYANA-KANONI-24h'!N103,'19.10 MITYANA-KANONI-24h'!N103)</f>
        <v>0</v>
      </c>
      <c r="O103" s="15">
        <f t="shared" si="35"/>
        <v>0</v>
      </c>
      <c r="P103" s="15">
        <f t="shared" si="36"/>
        <v>2</v>
      </c>
      <c r="R103" s="8"/>
      <c r="T103"/>
    </row>
    <row r="104" spans="2:20" ht="23.1" customHeight="1" x14ac:dyDescent="0.25">
      <c r="B104" s="25" t="s">
        <v>144</v>
      </c>
      <c r="C104" s="49">
        <f>AVERAGE('18.10 MITYANA-KANONI-24h'!C104,'19.10 MITYANA-KANONI-24h'!C104)</f>
        <v>0</v>
      </c>
      <c r="D104" s="49">
        <f>AVERAGE('18.10 MITYANA-KANONI-24h'!D104,'19.10 MITYANA-KANONI-24h'!D104)</f>
        <v>0</v>
      </c>
      <c r="E104" s="49">
        <f>AVERAGE('18.10 MITYANA-KANONI-24h'!E104,'19.10 MITYANA-KANONI-24h'!E104)</f>
        <v>0</v>
      </c>
      <c r="F104" s="49">
        <f>AVERAGE('18.10 MITYANA-KANONI-24h'!F104,'19.10 MITYANA-KANONI-24h'!F104)</f>
        <v>0</v>
      </c>
      <c r="G104" s="49">
        <f>AVERAGE('18.10 MITYANA-KANONI-24h'!G104,'19.10 MITYANA-KANONI-24h'!G104)</f>
        <v>0</v>
      </c>
      <c r="H104" s="49">
        <f>AVERAGE('18.10 MITYANA-KANONI-24h'!H104,'19.10 MITYANA-KANONI-24h'!H104)</f>
        <v>0</v>
      </c>
      <c r="I104" s="49">
        <f>AVERAGE('18.10 MITYANA-KANONI-24h'!I104,'19.10 MITYANA-KANONI-24h'!I104)</f>
        <v>0</v>
      </c>
      <c r="J104" s="49">
        <f>AVERAGE('18.10 MITYANA-KANONI-24h'!J104,'19.10 MITYANA-KANONI-24h'!J104)</f>
        <v>0</v>
      </c>
      <c r="K104" s="49">
        <f>AVERAGE('18.10 MITYANA-KANONI-24h'!K104,'19.10 MITYANA-KANONI-24h'!K104)</f>
        <v>0</v>
      </c>
      <c r="L104" s="49">
        <f>AVERAGE('18.10 MITYANA-KANONI-24h'!L104,'19.10 MITYANA-KANONI-24h'!L104)</f>
        <v>0</v>
      </c>
      <c r="M104" s="49">
        <f>AVERAGE('18.10 MITYANA-KANONI-24h'!M104,'19.10 MITYANA-KANONI-24h'!M104)</f>
        <v>5</v>
      </c>
      <c r="N104" s="49">
        <f>AVERAGE('18.10 MITYANA-KANONI-24h'!N104,'19.10 MITYANA-KANONI-24h'!N104)</f>
        <v>0</v>
      </c>
      <c r="O104" s="15">
        <f t="shared" si="35"/>
        <v>0</v>
      </c>
      <c r="P104" s="15">
        <f t="shared" si="36"/>
        <v>5</v>
      </c>
      <c r="R104" s="8"/>
      <c r="T104"/>
    </row>
    <row r="105" spans="2:20" ht="23.1" customHeight="1" x14ac:dyDescent="0.25">
      <c r="B105" s="23" t="s">
        <v>145</v>
      </c>
      <c r="C105" s="49">
        <f>AVERAGE('18.10 MITYANA-KANONI-24h'!C105,'19.10 MITYANA-KANONI-24h'!C105)</f>
        <v>0</v>
      </c>
      <c r="D105" s="49">
        <f>AVERAGE('18.10 MITYANA-KANONI-24h'!D105,'19.10 MITYANA-KANONI-24h'!D105)</f>
        <v>0</v>
      </c>
      <c r="E105" s="49">
        <f>AVERAGE('18.10 MITYANA-KANONI-24h'!E105,'19.10 MITYANA-KANONI-24h'!E105)</f>
        <v>0</v>
      </c>
      <c r="F105" s="49">
        <f>AVERAGE('18.10 MITYANA-KANONI-24h'!F105,'19.10 MITYANA-KANONI-24h'!F105)</f>
        <v>0</v>
      </c>
      <c r="G105" s="49">
        <f>AVERAGE('18.10 MITYANA-KANONI-24h'!G105,'19.10 MITYANA-KANONI-24h'!G105)</f>
        <v>0</v>
      </c>
      <c r="H105" s="49">
        <f>AVERAGE('18.10 MITYANA-KANONI-24h'!H105,'19.10 MITYANA-KANONI-24h'!H105)</f>
        <v>0</v>
      </c>
      <c r="I105" s="49">
        <f>AVERAGE('18.10 MITYANA-KANONI-24h'!I105,'19.10 MITYANA-KANONI-24h'!I105)</f>
        <v>0</v>
      </c>
      <c r="J105" s="49">
        <f>AVERAGE('18.10 MITYANA-KANONI-24h'!J105,'19.10 MITYANA-KANONI-24h'!J105)</f>
        <v>0</v>
      </c>
      <c r="K105" s="49">
        <f>AVERAGE('18.10 MITYANA-KANONI-24h'!K105,'19.10 MITYANA-KANONI-24h'!K105)</f>
        <v>0</v>
      </c>
      <c r="L105" s="49">
        <f>AVERAGE('18.10 MITYANA-KANONI-24h'!L105,'19.10 MITYANA-KANONI-24h'!L105)</f>
        <v>0</v>
      </c>
      <c r="M105" s="49">
        <f>AVERAGE('18.10 MITYANA-KANONI-24h'!M105,'19.10 MITYANA-KANONI-24h'!M105)</f>
        <v>4.5</v>
      </c>
      <c r="N105" s="49">
        <f>AVERAGE('18.10 MITYANA-KANONI-24h'!N105,'19.10 MITYANA-KANONI-24h'!N105)</f>
        <v>0</v>
      </c>
      <c r="O105" s="15">
        <f t="shared" si="35"/>
        <v>0</v>
      </c>
      <c r="P105" s="15">
        <f t="shared" si="36"/>
        <v>4.5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42.642857142857146</v>
      </c>
      <c r="D106" s="16">
        <f t="shared" ref="D106:P106" si="37">SUM(D10:D105)</f>
        <v>6.3571428571428577</v>
      </c>
      <c r="E106" s="16">
        <f t="shared" si="37"/>
        <v>10.571428571428573</v>
      </c>
      <c r="F106" s="16">
        <f t="shared" si="37"/>
        <v>9.4285714285714306</v>
      </c>
      <c r="G106" s="16">
        <f t="shared" si="37"/>
        <v>0.2857142857142857</v>
      </c>
      <c r="H106" s="16">
        <f t="shared" si="37"/>
        <v>0.2857142857142857</v>
      </c>
      <c r="I106" s="16">
        <f t="shared" si="37"/>
        <v>29.071428571428569</v>
      </c>
      <c r="J106" s="16">
        <f t="shared" si="37"/>
        <v>7.4285714285714288</v>
      </c>
      <c r="K106" s="16">
        <f t="shared" si="37"/>
        <v>1.9285714285714284</v>
      </c>
      <c r="L106" s="16">
        <f t="shared" si="37"/>
        <v>0.71428571428571419</v>
      </c>
      <c r="M106" s="16">
        <f t="shared" si="37"/>
        <v>710.85714285714278</v>
      </c>
      <c r="N106" s="16">
        <f t="shared" si="37"/>
        <v>0</v>
      </c>
      <c r="O106" s="16">
        <f t="shared" si="37"/>
        <v>108.71428571428571</v>
      </c>
      <c r="P106" s="16">
        <f t="shared" si="37"/>
        <v>819.57142857142844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5.2030678054732452E-2</v>
      </c>
      <c r="D107" s="43">
        <f t="shared" si="38"/>
        <v>7.7566672476904325E-3</v>
      </c>
      <c r="E107" s="43">
        <f t="shared" si="38"/>
        <v>1.2898727557957124E-2</v>
      </c>
      <c r="F107" s="43">
        <f t="shared" si="38"/>
        <v>1.1504270524664463E-2</v>
      </c>
      <c r="G107" s="43">
        <f t="shared" si="38"/>
        <v>3.4861425832316545E-4</v>
      </c>
      <c r="H107" s="43">
        <f t="shared" si="38"/>
        <v>3.4861425832316545E-4</v>
      </c>
      <c r="I107" s="43">
        <f t="shared" si="38"/>
        <v>3.5471500784382083E-2</v>
      </c>
      <c r="J107" s="43">
        <f t="shared" si="38"/>
        <v>9.0639707164023031E-3</v>
      </c>
      <c r="K107" s="43">
        <f t="shared" si="38"/>
        <v>2.3531462436813667E-3</v>
      </c>
      <c r="L107" s="43">
        <f t="shared" si="38"/>
        <v>8.7153564580791354E-4</v>
      </c>
      <c r="M107" s="43">
        <f t="shared" si="38"/>
        <v>0.86735227470803555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0.3922470433639948</v>
      </c>
      <c r="D108" s="44">
        <f t="shared" ref="D108:N108" si="39">D106/$O$106</f>
        <v>5.8475689881734565E-2</v>
      </c>
      <c r="E108" s="44">
        <f t="shared" si="39"/>
        <v>9.7240473061760854E-2</v>
      </c>
      <c r="F108" s="44">
        <f t="shared" si="39"/>
        <v>8.6727989487516449E-2</v>
      </c>
      <c r="G108" s="44">
        <f t="shared" si="39"/>
        <v>2.6281208935611039E-3</v>
      </c>
      <c r="H108" s="44">
        <f t="shared" si="39"/>
        <v>2.6281208935611039E-3</v>
      </c>
      <c r="I108" s="44">
        <f t="shared" si="39"/>
        <v>0.26741130091984233</v>
      </c>
      <c r="J108" s="44">
        <f t="shared" si="39"/>
        <v>6.8331143232588709E-2</v>
      </c>
      <c r="K108" s="44">
        <f t="shared" si="39"/>
        <v>1.7739816031537448E-2</v>
      </c>
      <c r="L108" s="44">
        <f t="shared" si="39"/>
        <v>6.5703022339027592E-3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P106" sqref="P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'23.10 MITYANA-KANONI'!C3:G3</f>
        <v>MCC - C3 - STN83 - KANONI-MITYANA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162</v>
      </c>
      <c r="E5" s="69"/>
      <c r="F5" s="41" t="s">
        <v>1</v>
      </c>
      <c r="G5" s="66" t="str">
        <f>'Avg Week Mityana-Kanoni'!G5:H5</f>
        <v>VICA MAIZE MILLERS</v>
      </c>
      <c r="H5" s="67"/>
      <c r="I5" s="14"/>
      <c r="J5" s="2" t="s">
        <v>5</v>
      </c>
      <c r="K5" s="66" t="str">
        <f>'Avg Week Mityana-Kanoni'!K5:L5</f>
        <v>XXXX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Mityana-Kanoni'!K6:L6</f>
        <v>LAWRENCE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Kanoni-Mityana'!C10+'Avg Week Mityana-Kanoni'!C10</f>
        <v>0</v>
      </c>
      <c r="D10" s="49">
        <f>'Avg Week Kanoni-Mityana'!D10+'Avg Week Mityana-Kanoni'!D10</f>
        <v>0.14285714285714285</v>
      </c>
      <c r="E10" s="49">
        <f>'Avg Week Kanoni-Mityana'!E10+'Avg Week Mityana-Kanoni'!E10</f>
        <v>0</v>
      </c>
      <c r="F10" s="49">
        <f>'Avg Week Kanoni-Mityana'!F10+'Avg Week Mityana-Kanoni'!F10</f>
        <v>0</v>
      </c>
      <c r="G10" s="49">
        <f>'Avg Week Kanoni-Mityana'!G10+'Avg Week Mityana-Kanoni'!G10</f>
        <v>0</v>
      </c>
      <c r="H10" s="49">
        <f>'Avg Week Kanoni-Mityana'!H10+'Avg Week Mityana-Kanoni'!H10</f>
        <v>0</v>
      </c>
      <c r="I10" s="49">
        <f>'Avg Week Kanoni-Mityana'!I10+'Avg Week Mityana-Kanoni'!I10</f>
        <v>0.2857142857142857</v>
      </c>
      <c r="J10" s="49">
        <f>'Avg Week Kanoni-Mityana'!J10+'Avg Week Mityana-Kanoni'!J10</f>
        <v>0</v>
      </c>
      <c r="K10" s="49">
        <f>'Avg Week Kanoni-Mityana'!K10+'Avg Week Mityana-Kanoni'!K10</f>
        <v>0</v>
      </c>
      <c r="L10" s="49">
        <f>'Avg Week Kanoni-Mityana'!L10+'Avg Week Mityana-Kanoni'!L10</f>
        <v>0</v>
      </c>
      <c r="M10" s="49">
        <f>'Avg Week Kanoni-Mityana'!M10+'Avg Week Mityana-Kanoni'!M10</f>
        <v>17.428571428571431</v>
      </c>
      <c r="N10" s="49">
        <f>'Avg Week Kanoni-Mityana'!N10+'Avg Week Mityana-Kanoni'!N10</f>
        <v>0</v>
      </c>
      <c r="O10" s="15">
        <f t="shared" ref="O10:O73" si="0">SUM(C10:L10,N10)</f>
        <v>0.42857142857142855</v>
      </c>
      <c r="P10" s="15">
        <f t="shared" ref="P10:P73" si="1">SUM(C10:N10)</f>
        <v>17.857142857142858</v>
      </c>
      <c r="R10" s="1" t="s">
        <v>6</v>
      </c>
      <c r="S10" s="17">
        <f t="shared" ref="S10:AF10" si="2">SUM(C10:C13)</f>
        <v>2</v>
      </c>
      <c r="T10" s="17">
        <f t="shared" si="2"/>
        <v>0.42857142857142855</v>
      </c>
      <c r="U10" s="17">
        <f t="shared" si="2"/>
        <v>0.2857142857142857</v>
      </c>
      <c r="V10" s="17">
        <f t="shared" si="2"/>
        <v>0.71428571428571419</v>
      </c>
      <c r="W10" s="17">
        <f t="shared" si="2"/>
        <v>0</v>
      </c>
      <c r="X10" s="17">
        <f t="shared" si="2"/>
        <v>0</v>
      </c>
      <c r="Y10" s="17">
        <f t="shared" si="2"/>
        <v>2.5714285714285712</v>
      </c>
      <c r="Z10" s="17">
        <f t="shared" si="2"/>
        <v>0.42857142857142855</v>
      </c>
      <c r="AA10" s="17">
        <f t="shared" si="2"/>
        <v>0.2857142857142857</v>
      </c>
      <c r="AB10" s="17">
        <f t="shared" si="2"/>
        <v>0</v>
      </c>
      <c r="AC10" s="17">
        <f t="shared" si="2"/>
        <v>68.142857142857139</v>
      </c>
      <c r="AD10" s="17">
        <f t="shared" si="2"/>
        <v>0</v>
      </c>
      <c r="AE10" s="31">
        <f t="shared" si="2"/>
        <v>6.7142857142857135</v>
      </c>
      <c r="AF10" s="31">
        <f t="shared" si="2"/>
        <v>74.857142857142861</v>
      </c>
    </row>
    <row r="11" spans="2:32" s="6" customFormat="1" ht="23.1" customHeight="1" x14ac:dyDescent="0.25">
      <c r="B11" s="23" t="s">
        <v>38</v>
      </c>
      <c r="C11" s="49">
        <f>'Avg Week Kanoni-Mityana'!C11+'Avg Week Mityana-Kanoni'!C11</f>
        <v>0.2857142857142857</v>
      </c>
      <c r="D11" s="49">
        <f>'Avg Week Kanoni-Mityana'!D11+'Avg Week Mityana-Kanoni'!D11</f>
        <v>0</v>
      </c>
      <c r="E11" s="49">
        <f>'Avg Week Kanoni-Mityana'!E11+'Avg Week Mityana-Kanoni'!E11</f>
        <v>0.14285714285714285</v>
      </c>
      <c r="F11" s="49">
        <f>'Avg Week Kanoni-Mityana'!F11+'Avg Week Mityana-Kanoni'!F11</f>
        <v>0.14285714285714285</v>
      </c>
      <c r="G11" s="49">
        <f>'Avg Week Kanoni-Mityana'!G11+'Avg Week Mityana-Kanoni'!G11</f>
        <v>0</v>
      </c>
      <c r="H11" s="49">
        <f>'Avg Week Kanoni-Mityana'!H11+'Avg Week Mityana-Kanoni'!H11</f>
        <v>0</v>
      </c>
      <c r="I11" s="49">
        <f>'Avg Week Kanoni-Mityana'!I11+'Avg Week Mityana-Kanoni'!I11</f>
        <v>0.42857142857142855</v>
      </c>
      <c r="J11" s="49">
        <f>'Avg Week Kanoni-Mityana'!J11+'Avg Week Mityana-Kanoni'!J11</f>
        <v>0.14285714285714285</v>
      </c>
      <c r="K11" s="49">
        <f>'Avg Week Kanoni-Mityana'!K11+'Avg Week Mityana-Kanoni'!K11</f>
        <v>0.14285714285714285</v>
      </c>
      <c r="L11" s="49">
        <f>'Avg Week Kanoni-Mityana'!L11+'Avg Week Mityana-Kanoni'!L11</f>
        <v>0</v>
      </c>
      <c r="M11" s="49">
        <f>'Avg Week Kanoni-Mityana'!M11+'Avg Week Mityana-Kanoni'!M11</f>
        <v>15.142857142857142</v>
      </c>
      <c r="N11" s="49">
        <f>'Avg Week Kanoni-Mityana'!N11+'Avg Week Mityana-Kanoni'!N11</f>
        <v>0</v>
      </c>
      <c r="O11" s="15">
        <f t="shared" si="0"/>
        <v>1.2857142857142856</v>
      </c>
      <c r="P11" s="15">
        <f t="shared" si="1"/>
        <v>16.428571428571427</v>
      </c>
      <c r="R11" s="1" t="s">
        <v>7</v>
      </c>
      <c r="S11" s="17">
        <f t="shared" ref="S11:AF11" si="3">SUM(C14:C17)</f>
        <v>4.4285714285714279</v>
      </c>
      <c r="T11" s="17">
        <f t="shared" si="3"/>
        <v>0.42857142857142855</v>
      </c>
      <c r="U11" s="17">
        <f t="shared" si="3"/>
        <v>1.2857142857142856</v>
      </c>
      <c r="V11" s="17">
        <f t="shared" si="3"/>
        <v>2.1428571428571428</v>
      </c>
      <c r="W11" s="17">
        <f t="shared" si="3"/>
        <v>0</v>
      </c>
      <c r="X11" s="17">
        <f t="shared" si="3"/>
        <v>0</v>
      </c>
      <c r="Y11" s="17">
        <f t="shared" si="3"/>
        <v>2.7142857142857144</v>
      </c>
      <c r="Z11" s="17">
        <f t="shared" si="3"/>
        <v>0.5714285714285714</v>
      </c>
      <c r="AA11" s="17">
        <f t="shared" si="3"/>
        <v>0</v>
      </c>
      <c r="AB11" s="17">
        <f t="shared" si="3"/>
        <v>0</v>
      </c>
      <c r="AC11" s="17">
        <f t="shared" si="3"/>
        <v>82.571428571428569</v>
      </c>
      <c r="AD11" s="17">
        <f t="shared" si="3"/>
        <v>0</v>
      </c>
      <c r="AE11" s="31">
        <f t="shared" si="3"/>
        <v>11.571428571428569</v>
      </c>
      <c r="AF11" s="31">
        <f t="shared" si="3"/>
        <v>94.142857142857139</v>
      </c>
    </row>
    <row r="12" spans="2:32" ht="23.1" customHeight="1" x14ac:dyDescent="0.25">
      <c r="B12" s="23" t="s">
        <v>39</v>
      </c>
      <c r="C12" s="49">
        <f>'Avg Week Kanoni-Mityana'!C12+'Avg Week Mityana-Kanoni'!C12</f>
        <v>0.5714285714285714</v>
      </c>
      <c r="D12" s="49">
        <f>'Avg Week Kanoni-Mityana'!D12+'Avg Week Mityana-Kanoni'!D12</f>
        <v>0.14285714285714285</v>
      </c>
      <c r="E12" s="49">
        <f>'Avg Week Kanoni-Mityana'!E12+'Avg Week Mityana-Kanoni'!E12</f>
        <v>0</v>
      </c>
      <c r="F12" s="49">
        <f>'Avg Week Kanoni-Mityana'!F12+'Avg Week Mityana-Kanoni'!F12</f>
        <v>0</v>
      </c>
      <c r="G12" s="49">
        <f>'Avg Week Kanoni-Mityana'!G12+'Avg Week Mityana-Kanoni'!G12</f>
        <v>0</v>
      </c>
      <c r="H12" s="49">
        <f>'Avg Week Kanoni-Mityana'!H12+'Avg Week Mityana-Kanoni'!H12</f>
        <v>0</v>
      </c>
      <c r="I12" s="49">
        <f>'Avg Week Kanoni-Mityana'!I12+'Avg Week Mityana-Kanoni'!I12</f>
        <v>0.71428571428571419</v>
      </c>
      <c r="J12" s="49">
        <f>'Avg Week Kanoni-Mityana'!J12+'Avg Week Mityana-Kanoni'!J12</f>
        <v>0.14285714285714285</v>
      </c>
      <c r="K12" s="49">
        <f>'Avg Week Kanoni-Mityana'!K12+'Avg Week Mityana-Kanoni'!K12</f>
        <v>0.14285714285714285</v>
      </c>
      <c r="L12" s="49">
        <f>'Avg Week Kanoni-Mityana'!L12+'Avg Week Mityana-Kanoni'!L12</f>
        <v>0</v>
      </c>
      <c r="M12" s="49">
        <f>'Avg Week Kanoni-Mityana'!M12+'Avg Week Mityana-Kanoni'!M12</f>
        <v>18.714285714285715</v>
      </c>
      <c r="N12" s="49">
        <f>'Avg Week Kanoni-Mityana'!N12+'Avg Week Mityana-Kanoni'!N12</f>
        <v>0</v>
      </c>
      <c r="O12" s="15">
        <f t="shared" si="0"/>
        <v>1.714285714285714</v>
      </c>
      <c r="P12" s="15">
        <f t="shared" si="1"/>
        <v>20.428571428571431</v>
      </c>
      <c r="R12" s="1" t="s">
        <v>8</v>
      </c>
      <c r="S12" s="17">
        <f t="shared" ref="S12:AF12" si="4">SUM(C18:C21)</f>
        <v>6.4285714285714288</v>
      </c>
      <c r="T12" s="17">
        <f t="shared" si="4"/>
        <v>0.5714285714285714</v>
      </c>
      <c r="U12" s="17">
        <f t="shared" si="4"/>
        <v>0.99999999999999989</v>
      </c>
      <c r="V12" s="17">
        <f t="shared" si="4"/>
        <v>2.2857142857142856</v>
      </c>
      <c r="W12" s="17">
        <f t="shared" si="4"/>
        <v>0.42857142857142855</v>
      </c>
      <c r="X12" s="17">
        <f t="shared" si="4"/>
        <v>0</v>
      </c>
      <c r="Y12" s="17">
        <f t="shared" si="4"/>
        <v>3.5714285714285712</v>
      </c>
      <c r="Z12" s="17">
        <f t="shared" si="4"/>
        <v>0.71428571428571419</v>
      </c>
      <c r="AA12" s="17">
        <f t="shared" si="4"/>
        <v>0.42857142857142855</v>
      </c>
      <c r="AB12" s="17">
        <f t="shared" si="4"/>
        <v>0</v>
      </c>
      <c r="AC12" s="17">
        <f t="shared" si="4"/>
        <v>89.714285714285708</v>
      </c>
      <c r="AD12" s="17">
        <f t="shared" si="4"/>
        <v>0</v>
      </c>
      <c r="AE12" s="31">
        <f t="shared" si="4"/>
        <v>15.428571428571427</v>
      </c>
      <c r="AF12" s="31">
        <f t="shared" si="4"/>
        <v>105.14285714285714</v>
      </c>
    </row>
    <row r="13" spans="2:32" ht="23.1" customHeight="1" x14ac:dyDescent="0.25">
      <c r="B13" s="23" t="s">
        <v>40</v>
      </c>
      <c r="C13" s="49">
        <f>'Avg Week Kanoni-Mityana'!C13+'Avg Week Mityana-Kanoni'!C13</f>
        <v>1.1428571428571428</v>
      </c>
      <c r="D13" s="49">
        <f>'Avg Week Kanoni-Mityana'!D13+'Avg Week Mityana-Kanoni'!D13</f>
        <v>0.14285714285714285</v>
      </c>
      <c r="E13" s="49">
        <f>'Avg Week Kanoni-Mityana'!E13+'Avg Week Mityana-Kanoni'!E13</f>
        <v>0.14285714285714285</v>
      </c>
      <c r="F13" s="49">
        <f>'Avg Week Kanoni-Mityana'!F13+'Avg Week Mityana-Kanoni'!F13</f>
        <v>0.5714285714285714</v>
      </c>
      <c r="G13" s="49">
        <f>'Avg Week Kanoni-Mityana'!G13+'Avg Week Mityana-Kanoni'!G13</f>
        <v>0</v>
      </c>
      <c r="H13" s="49">
        <f>'Avg Week Kanoni-Mityana'!H13+'Avg Week Mityana-Kanoni'!H13</f>
        <v>0</v>
      </c>
      <c r="I13" s="49">
        <f>'Avg Week Kanoni-Mityana'!I13+'Avg Week Mityana-Kanoni'!I13</f>
        <v>1.1428571428571428</v>
      </c>
      <c r="J13" s="49">
        <f>'Avg Week Kanoni-Mityana'!J13+'Avg Week Mityana-Kanoni'!J13</f>
        <v>0.14285714285714285</v>
      </c>
      <c r="K13" s="49">
        <f>'Avg Week Kanoni-Mityana'!K13+'Avg Week Mityana-Kanoni'!K13</f>
        <v>0</v>
      </c>
      <c r="L13" s="49">
        <f>'Avg Week Kanoni-Mityana'!L13+'Avg Week Mityana-Kanoni'!L13</f>
        <v>0</v>
      </c>
      <c r="M13" s="49">
        <f>'Avg Week Kanoni-Mityana'!M13+'Avg Week Mityana-Kanoni'!M13</f>
        <v>16.857142857142858</v>
      </c>
      <c r="N13" s="49">
        <f>'Avg Week Kanoni-Mityana'!N13+'Avg Week Mityana-Kanoni'!N13</f>
        <v>0</v>
      </c>
      <c r="O13" s="15">
        <f t="shared" si="0"/>
        <v>3.2857142857142851</v>
      </c>
      <c r="P13" s="15">
        <f t="shared" si="1"/>
        <v>20.142857142857142</v>
      </c>
      <c r="R13" s="1" t="s">
        <v>9</v>
      </c>
      <c r="S13" s="17">
        <f t="shared" ref="S13:AF13" si="5">SUM(C22:C25)</f>
        <v>5</v>
      </c>
      <c r="T13" s="17">
        <f t="shared" si="5"/>
        <v>1</v>
      </c>
      <c r="U13" s="17">
        <f t="shared" si="5"/>
        <v>1.7142857142857142</v>
      </c>
      <c r="V13" s="17">
        <f t="shared" si="5"/>
        <v>0.85714285714285698</v>
      </c>
      <c r="W13" s="17">
        <f t="shared" si="5"/>
        <v>0</v>
      </c>
      <c r="X13" s="17">
        <f t="shared" si="5"/>
        <v>0</v>
      </c>
      <c r="Y13" s="17">
        <f t="shared" si="5"/>
        <v>3.4285714285714284</v>
      </c>
      <c r="Z13" s="17">
        <f t="shared" si="5"/>
        <v>0.99999999999999989</v>
      </c>
      <c r="AA13" s="17">
        <f t="shared" si="5"/>
        <v>0.2857142857142857</v>
      </c>
      <c r="AB13" s="17">
        <f t="shared" si="5"/>
        <v>0</v>
      </c>
      <c r="AC13" s="17">
        <f t="shared" si="5"/>
        <v>100.85714285714286</v>
      </c>
      <c r="AD13" s="17">
        <f t="shared" si="5"/>
        <v>0</v>
      </c>
      <c r="AE13" s="31">
        <f t="shared" si="5"/>
        <v>13.285714285714283</v>
      </c>
      <c r="AF13" s="31">
        <f t="shared" si="5"/>
        <v>114.14285714285714</v>
      </c>
    </row>
    <row r="14" spans="2:32" ht="23.1" customHeight="1" x14ac:dyDescent="0.25">
      <c r="B14" s="23" t="s">
        <v>41</v>
      </c>
      <c r="C14" s="49">
        <f>'Avg Week Kanoni-Mityana'!C14+'Avg Week Mityana-Kanoni'!C14</f>
        <v>0.71428571428571419</v>
      </c>
      <c r="D14" s="49">
        <f>'Avg Week Kanoni-Mityana'!D14+'Avg Week Mityana-Kanoni'!D14</f>
        <v>0</v>
      </c>
      <c r="E14" s="49">
        <f>'Avg Week Kanoni-Mityana'!E14+'Avg Week Mityana-Kanoni'!E14</f>
        <v>0.14285714285714285</v>
      </c>
      <c r="F14" s="49">
        <f>'Avg Week Kanoni-Mityana'!F14+'Avg Week Mityana-Kanoni'!F14</f>
        <v>0.5714285714285714</v>
      </c>
      <c r="G14" s="49">
        <f>'Avg Week Kanoni-Mityana'!G14+'Avg Week Mityana-Kanoni'!G14</f>
        <v>0</v>
      </c>
      <c r="H14" s="49">
        <f>'Avg Week Kanoni-Mityana'!H14+'Avg Week Mityana-Kanoni'!H14</f>
        <v>0</v>
      </c>
      <c r="I14" s="49">
        <f>'Avg Week Kanoni-Mityana'!I14+'Avg Week Mityana-Kanoni'!I14</f>
        <v>1</v>
      </c>
      <c r="J14" s="49">
        <f>'Avg Week Kanoni-Mityana'!J14+'Avg Week Mityana-Kanoni'!J14</f>
        <v>0.2857142857142857</v>
      </c>
      <c r="K14" s="49">
        <f>'Avg Week Kanoni-Mityana'!K14+'Avg Week Mityana-Kanoni'!K14</f>
        <v>0</v>
      </c>
      <c r="L14" s="49">
        <f>'Avg Week Kanoni-Mityana'!L14+'Avg Week Mityana-Kanoni'!L14</f>
        <v>0</v>
      </c>
      <c r="M14" s="49">
        <f>'Avg Week Kanoni-Mityana'!M14+'Avg Week Mityana-Kanoni'!M14</f>
        <v>18.857142857142854</v>
      </c>
      <c r="N14" s="49">
        <f>'Avg Week Kanoni-Mityana'!N14+'Avg Week Mityana-Kanoni'!N14</f>
        <v>0</v>
      </c>
      <c r="O14" s="15">
        <f t="shared" si="0"/>
        <v>2.714285714285714</v>
      </c>
      <c r="P14" s="15">
        <f t="shared" si="1"/>
        <v>21.571428571428569</v>
      </c>
      <c r="R14" s="1" t="s">
        <v>10</v>
      </c>
      <c r="S14" s="17">
        <f t="shared" ref="S14:AF14" si="6">SUM(C26:C29)</f>
        <v>4.4285714285714288</v>
      </c>
      <c r="T14" s="17">
        <f t="shared" si="6"/>
        <v>0.85714285714285698</v>
      </c>
      <c r="U14" s="17">
        <f t="shared" si="6"/>
        <v>1.5714285714285714</v>
      </c>
      <c r="V14" s="17">
        <f t="shared" si="6"/>
        <v>1</v>
      </c>
      <c r="W14" s="17">
        <f t="shared" si="6"/>
        <v>0.14285714285714285</v>
      </c>
      <c r="X14" s="17">
        <f t="shared" si="6"/>
        <v>0.14285714285714285</v>
      </c>
      <c r="Y14" s="17">
        <f t="shared" si="6"/>
        <v>4.8571428571428577</v>
      </c>
      <c r="Z14" s="17">
        <f t="shared" si="6"/>
        <v>1.1428571428571428</v>
      </c>
      <c r="AA14" s="17">
        <f t="shared" si="6"/>
        <v>0</v>
      </c>
      <c r="AB14" s="17">
        <f t="shared" si="6"/>
        <v>0</v>
      </c>
      <c r="AC14" s="17">
        <f t="shared" si="6"/>
        <v>90.142857142857139</v>
      </c>
      <c r="AD14" s="17">
        <f t="shared" si="6"/>
        <v>0</v>
      </c>
      <c r="AE14" s="31">
        <f t="shared" si="6"/>
        <v>14.142857142857142</v>
      </c>
      <c r="AF14" s="31">
        <f t="shared" si="6"/>
        <v>104.28571428571429</v>
      </c>
    </row>
    <row r="15" spans="2:32" ht="23.1" customHeight="1" x14ac:dyDescent="0.25">
      <c r="B15" s="23" t="s">
        <v>42</v>
      </c>
      <c r="C15" s="49">
        <f>'Avg Week Kanoni-Mityana'!C15+'Avg Week Mityana-Kanoni'!C15</f>
        <v>2.1428571428571428</v>
      </c>
      <c r="D15" s="49">
        <f>'Avg Week Kanoni-Mityana'!D15+'Avg Week Mityana-Kanoni'!D15</f>
        <v>0.2857142857142857</v>
      </c>
      <c r="E15" s="49">
        <f>'Avg Week Kanoni-Mityana'!E15+'Avg Week Mityana-Kanoni'!E15</f>
        <v>0.14285714285714285</v>
      </c>
      <c r="F15" s="49">
        <f>'Avg Week Kanoni-Mityana'!F15+'Avg Week Mityana-Kanoni'!F15</f>
        <v>0.5714285714285714</v>
      </c>
      <c r="G15" s="49">
        <f>'Avg Week Kanoni-Mityana'!G15+'Avg Week Mityana-Kanoni'!G15</f>
        <v>0</v>
      </c>
      <c r="H15" s="49">
        <f>'Avg Week Kanoni-Mityana'!H15+'Avg Week Mityana-Kanoni'!H15</f>
        <v>0</v>
      </c>
      <c r="I15" s="49">
        <f>'Avg Week Kanoni-Mityana'!I15+'Avg Week Mityana-Kanoni'!I15</f>
        <v>0.14285714285714285</v>
      </c>
      <c r="J15" s="49">
        <f>'Avg Week Kanoni-Mityana'!J15+'Avg Week Mityana-Kanoni'!J15</f>
        <v>0</v>
      </c>
      <c r="K15" s="49">
        <f>'Avg Week Kanoni-Mityana'!K15+'Avg Week Mityana-Kanoni'!K15</f>
        <v>0</v>
      </c>
      <c r="L15" s="49">
        <f>'Avg Week Kanoni-Mityana'!L15+'Avg Week Mityana-Kanoni'!L15</f>
        <v>0</v>
      </c>
      <c r="M15" s="49">
        <f>'Avg Week Kanoni-Mityana'!M15+'Avg Week Mityana-Kanoni'!M15</f>
        <v>20.285714285714285</v>
      </c>
      <c r="N15" s="49">
        <f>'Avg Week Kanoni-Mityana'!N15+'Avg Week Mityana-Kanoni'!N15</f>
        <v>0</v>
      </c>
      <c r="O15" s="15">
        <f t="shared" si="0"/>
        <v>3.2857142857142851</v>
      </c>
      <c r="P15" s="15">
        <f t="shared" si="1"/>
        <v>23.571428571428569</v>
      </c>
      <c r="R15" s="1" t="s">
        <v>11</v>
      </c>
      <c r="S15" s="17">
        <f t="shared" ref="S15:AF15" si="7">SUM(C30:C33)</f>
        <v>6.1428571428571423</v>
      </c>
      <c r="T15" s="17">
        <f t="shared" si="7"/>
        <v>0.8571428571428571</v>
      </c>
      <c r="U15" s="17">
        <f t="shared" si="7"/>
        <v>1.4285714285714284</v>
      </c>
      <c r="V15" s="17">
        <f t="shared" si="7"/>
        <v>1.4285714285714284</v>
      </c>
      <c r="W15" s="17">
        <f t="shared" si="7"/>
        <v>0.2857142857142857</v>
      </c>
      <c r="X15" s="17">
        <f t="shared" si="7"/>
        <v>0</v>
      </c>
      <c r="Y15" s="17">
        <f t="shared" si="7"/>
        <v>4.1428571428571423</v>
      </c>
      <c r="Z15" s="17">
        <f t="shared" si="7"/>
        <v>0.99999999999999978</v>
      </c>
      <c r="AA15" s="17">
        <f t="shared" si="7"/>
        <v>0.14285714285714285</v>
      </c>
      <c r="AB15" s="17">
        <f t="shared" si="7"/>
        <v>0</v>
      </c>
      <c r="AC15" s="17">
        <f t="shared" si="7"/>
        <v>102.71428571428572</v>
      </c>
      <c r="AD15" s="17">
        <f t="shared" si="7"/>
        <v>0</v>
      </c>
      <c r="AE15" s="31">
        <f t="shared" si="7"/>
        <v>15.428571428571425</v>
      </c>
      <c r="AF15" s="31">
        <f t="shared" si="7"/>
        <v>118.14285714285715</v>
      </c>
    </row>
    <row r="16" spans="2:32" ht="23.1" customHeight="1" x14ac:dyDescent="0.25">
      <c r="B16" s="23" t="s">
        <v>43</v>
      </c>
      <c r="C16" s="49">
        <f>'Avg Week Kanoni-Mityana'!C16+'Avg Week Mityana-Kanoni'!C16</f>
        <v>0.85714285714285721</v>
      </c>
      <c r="D16" s="49">
        <f>'Avg Week Kanoni-Mityana'!D16+'Avg Week Mityana-Kanoni'!D16</f>
        <v>0.14285714285714285</v>
      </c>
      <c r="E16" s="49">
        <f>'Avg Week Kanoni-Mityana'!E16+'Avg Week Mityana-Kanoni'!E16</f>
        <v>0.2857142857142857</v>
      </c>
      <c r="F16" s="49">
        <f>'Avg Week Kanoni-Mityana'!F16+'Avg Week Mityana-Kanoni'!F16</f>
        <v>0.5714285714285714</v>
      </c>
      <c r="G16" s="49">
        <f>'Avg Week Kanoni-Mityana'!G16+'Avg Week Mityana-Kanoni'!G16</f>
        <v>0</v>
      </c>
      <c r="H16" s="49">
        <f>'Avg Week Kanoni-Mityana'!H16+'Avg Week Mityana-Kanoni'!H16</f>
        <v>0</v>
      </c>
      <c r="I16" s="49">
        <f>'Avg Week Kanoni-Mityana'!I16+'Avg Week Mityana-Kanoni'!I16</f>
        <v>1</v>
      </c>
      <c r="J16" s="49">
        <f>'Avg Week Kanoni-Mityana'!J16+'Avg Week Mityana-Kanoni'!J16</f>
        <v>0.14285714285714285</v>
      </c>
      <c r="K16" s="49">
        <f>'Avg Week Kanoni-Mityana'!K16+'Avg Week Mityana-Kanoni'!K16</f>
        <v>0</v>
      </c>
      <c r="L16" s="49">
        <f>'Avg Week Kanoni-Mityana'!L16+'Avg Week Mityana-Kanoni'!L16</f>
        <v>0</v>
      </c>
      <c r="M16" s="49">
        <f>'Avg Week Kanoni-Mityana'!M16+'Avg Week Mityana-Kanoni'!M16</f>
        <v>23</v>
      </c>
      <c r="N16" s="49">
        <f>'Avg Week Kanoni-Mityana'!N16+'Avg Week Mityana-Kanoni'!N16</f>
        <v>0</v>
      </c>
      <c r="O16" s="15">
        <f t="shared" si="0"/>
        <v>2.9999999999999996</v>
      </c>
      <c r="P16" s="15">
        <f t="shared" si="1"/>
        <v>26</v>
      </c>
      <c r="R16" s="1" t="s">
        <v>12</v>
      </c>
      <c r="S16" s="17">
        <f t="shared" ref="S16:AF16" si="8">SUM(C34:C37)</f>
        <v>5.5714285714285712</v>
      </c>
      <c r="T16" s="17">
        <f t="shared" si="8"/>
        <v>1.1428571428571428</v>
      </c>
      <c r="U16" s="17">
        <f t="shared" si="8"/>
        <v>1.5714285714285714</v>
      </c>
      <c r="V16" s="17">
        <f t="shared" si="8"/>
        <v>1.4285714285714284</v>
      </c>
      <c r="W16" s="17">
        <f t="shared" si="8"/>
        <v>0</v>
      </c>
      <c r="X16" s="17">
        <f t="shared" si="8"/>
        <v>0</v>
      </c>
      <c r="Y16" s="17">
        <f t="shared" si="8"/>
        <v>3.5714285714285712</v>
      </c>
      <c r="Z16" s="17">
        <f t="shared" si="8"/>
        <v>0.99999999999999989</v>
      </c>
      <c r="AA16" s="17">
        <f t="shared" si="8"/>
        <v>0</v>
      </c>
      <c r="AB16" s="17">
        <f t="shared" si="8"/>
        <v>0.2857142857142857</v>
      </c>
      <c r="AC16" s="17">
        <f t="shared" si="8"/>
        <v>93.285714285714278</v>
      </c>
      <c r="AD16" s="17">
        <f t="shared" si="8"/>
        <v>0</v>
      </c>
      <c r="AE16" s="31">
        <f t="shared" si="8"/>
        <v>14.571428571428569</v>
      </c>
      <c r="AF16" s="31">
        <f t="shared" si="8"/>
        <v>107.85714285714285</v>
      </c>
    </row>
    <row r="17" spans="2:32" ht="23.1" customHeight="1" x14ac:dyDescent="0.25">
      <c r="B17" s="23" t="s">
        <v>44</v>
      </c>
      <c r="C17" s="49">
        <f>'Avg Week Kanoni-Mityana'!C17+'Avg Week Mityana-Kanoni'!C17</f>
        <v>0.71428571428571419</v>
      </c>
      <c r="D17" s="49">
        <f>'Avg Week Kanoni-Mityana'!D17+'Avg Week Mityana-Kanoni'!D17</f>
        <v>0</v>
      </c>
      <c r="E17" s="49">
        <f>'Avg Week Kanoni-Mityana'!E17+'Avg Week Mityana-Kanoni'!E17</f>
        <v>0.71428571428571419</v>
      </c>
      <c r="F17" s="49">
        <f>'Avg Week Kanoni-Mityana'!F17+'Avg Week Mityana-Kanoni'!F17</f>
        <v>0.42857142857142855</v>
      </c>
      <c r="G17" s="49">
        <f>'Avg Week Kanoni-Mityana'!G17+'Avg Week Mityana-Kanoni'!G17</f>
        <v>0</v>
      </c>
      <c r="H17" s="49">
        <f>'Avg Week Kanoni-Mityana'!H17+'Avg Week Mityana-Kanoni'!H17</f>
        <v>0</v>
      </c>
      <c r="I17" s="49">
        <f>'Avg Week Kanoni-Mityana'!I17+'Avg Week Mityana-Kanoni'!I17</f>
        <v>0.5714285714285714</v>
      </c>
      <c r="J17" s="49">
        <f>'Avg Week Kanoni-Mityana'!J17+'Avg Week Mityana-Kanoni'!J17</f>
        <v>0.14285714285714285</v>
      </c>
      <c r="K17" s="49">
        <f>'Avg Week Kanoni-Mityana'!K17+'Avg Week Mityana-Kanoni'!K17</f>
        <v>0</v>
      </c>
      <c r="L17" s="49">
        <f>'Avg Week Kanoni-Mityana'!L17+'Avg Week Mityana-Kanoni'!L17</f>
        <v>0</v>
      </c>
      <c r="M17" s="49">
        <f>'Avg Week Kanoni-Mityana'!M17+'Avg Week Mityana-Kanoni'!M17</f>
        <v>20.428571428571431</v>
      </c>
      <c r="N17" s="49">
        <f>'Avg Week Kanoni-Mityana'!N17+'Avg Week Mityana-Kanoni'!N17</f>
        <v>0</v>
      </c>
      <c r="O17" s="15">
        <f t="shared" si="0"/>
        <v>2.5714285714285712</v>
      </c>
      <c r="P17" s="15">
        <f t="shared" si="1"/>
        <v>23</v>
      </c>
      <c r="R17" s="1" t="s">
        <v>13</v>
      </c>
      <c r="S17" s="17">
        <f t="shared" ref="S17:AF17" si="9">SUM(C38:C41)</f>
        <v>6.4285714285714288</v>
      </c>
      <c r="T17" s="17">
        <f t="shared" si="9"/>
        <v>2</v>
      </c>
      <c r="U17" s="17">
        <f t="shared" si="9"/>
        <v>0.99999999999999989</v>
      </c>
      <c r="V17" s="17">
        <f t="shared" si="9"/>
        <v>1.2857142857142856</v>
      </c>
      <c r="W17" s="17">
        <f t="shared" si="9"/>
        <v>0.14285714285714285</v>
      </c>
      <c r="X17" s="17">
        <f t="shared" si="9"/>
        <v>0</v>
      </c>
      <c r="Y17" s="17">
        <f t="shared" si="9"/>
        <v>3.4285714285714288</v>
      </c>
      <c r="Z17" s="17">
        <f t="shared" si="9"/>
        <v>1.5714285714285712</v>
      </c>
      <c r="AA17" s="17">
        <f t="shared" si="9"/>
        <v>0.14285714285714285</v>
      </c>
      <c r="AB17" s="17">
        <f t="shared" si="9"/>
        <v>0.42857142857142855</v>
      </c>
      <c r="AC17" s="17">
        <f t="shared" si="9"/>
        <v>96.142857142857139</v>
      </c>
      <c r="AD17" s="17">
        <f t="shared" si="9"/>
        <v>0</v>
      </c>
      <c r="AE17" s="31">
        <f t="shared" si="9"/>
        <v>16.428571428571427</v>
      </c>
      <c r="AF17" s="31">
        <f t="shared" si="9"/>
        <v>112.57142857142857</v>
      </c>
    </row>
    <row r="18" spans="2:32" ht="23.1" customHeight="1" x14ac:dyDescent="0.25">
      <c r="B18" s="23" t="s">
        <v>45</v>
      </c>
      <c r="C18" s="49">
        <f>'Avg Week Kanoni-Mityana'!C18+'Avg Week Mityana-Kanoni'!C18</f>
        <v>0.8571428571428571</v>
      </c>
      <c r="D18" s="49">
        <f>'Avg Week Kanoni-Mityana'!D18+'Avg Week Mityana-Kanoni'!D18</f>
        <v>0.14285714285714285</v>
      </c>
      <c r="E18" s="49">
        <f>'Avg Week Kanoni-Mityana'!E18+'Avg Week Mityana-Kanoni'!E18</f>
        <v>0.14285714285714285</v>
      </c>
      <c r="F18" s="49">
        <f>'Avg Week Kanoni-Mityana'!F18+'Avg Week Mityana-Kanoni'!F18</f>
        <v>0.85714285714285721</v>
      </c>
      <c r="G18" s="49">
        <f>'Avg Week Kanoni-Mityana'!G18+'Avg Week Mityana-Kanoni'!G18</f>
        <v>0</v>
      </c>
      <c r="H18" s="49">
        <f>'Avg Week Kanoni-Mityana'!H18+'Avg Week Mityana-Kanoni'!H18</f>
        <v>0</v>
      </c>
      <c r="I18" s="49">
        <f>'Avg Week Kanoni-Mityana'!I18+'Avg Week Mityana-Kanoni'!I18</f>
        <v>1.5714285714285714</v>
      </c>
      <c r="J18" s="49">
        <f>'Avg Week Kanoni-Mityana'!J18+'Avg Week Mityana-Kanoni'!J18</f>
        <v>0.42857142857142855</v>
      </c>
      <c r="K18" s="49">
        <f>'Avg Week Kanoni-Mityana'!K18+'Avg Week Mityana-Kanoni'!K18</f>
        <v>0</v>
      </c>
      <c r="L18" s="49">
        <f>'Avg Week Kanoni-Mityana'!L18+'Avg Week Mityana-Kanoni'!L18</f>
        <v>0</v>
      </c>
      <c r="M18" s="49">
        <f>'Avg Week Kanoni-Mityana'!M18+'Avg Week Mityana-Kanoni'!M18</f>
        <v>20.857142857142858</v>
      </c>
      <c r="N18" s="49">
        <f>'Avg Week Kanoni-Mityana'!N18+'Avg Week Mityana-Kanoni'!N18</f>
        <v>0</v>
      </c>
      <c r="O18" s="15">
        <f t="shared" si="0"/>
        <v>3.9999999999999996</v>
      </c>
      <c r="P18" s="15">
        <f t="shared" si="1"/>
        <v>24.857142857142858</v>
      </c>
      <c r="R18" s="1" t="s">
        <v>14</v>
      </c>
      <c r="S18" s="17">
        <f t="shared" ref="S18:AF18" si="10">SUM(C42:C45)</f>
        <v>5</v>
      </c>
      <c r="T18" s="17">
        <f t="shared" si="10"/>
        <v>0.85714285714285698</v>
      </c>
      <c r="U18" s="17">
        <f t="shared" si="10"/>
        <v>0.85714285714285698</v>
      </c>
      <c r="V18" s="17">
        <f t="shared" si="10"/>
        <v>0.8571428571428571</v>
      </c>
      <c r="W18" s="17">
        <f t="shared" si="10"/>
        <v>0</v>
      </c>
      <c r="X18" s="17">
        <f t="shared" si="10"/>
        <v>0</v>
      </c>
      <c r="Y18" s="17">
        <f t="shared" si="10"/>
        <v>5.1428571428571423</v>
      </c>
      <c r="Z18" s="17">
        <f t="shared" si="10"/>
        <v>1.4285714285714284</v>
      </c>
      <c r="AA18" s="17">
        <f t="shared" si="10"/>
        <v>0</v>
      </c>
      <c r="AB18" s="17">
        <f t="shared" si="10"/>
        <v>0</v>
      </c>
      <c r="AC18" s="17">
        <f t="shared" si="10"/>
        <v>103</v>
      </c>
      <c r="AD18" s="17">
        <f t="shared" si="10"/>
        <v>0</v>
      </c>
      <c r="AE18" s="31">
        <f t="shared" si="10"/>
        <v>14.142857142857141</v>
      </c>
      <c r="AF18" s="31">
        <f t="shared" si="10"/>
        <v>117.14285714285714</v>
      </c>
    </row>
    <row r="19" spans="2:32" ht="23.1" customHeight="1" x14ac:dyDescent="0.25">
      <c r="B19" s="23" t="s">
        <v>46</v>
      </c>
      <c r="C19" s="49">
        <f>'Avg Week Kanoni-Mityana'!C19+'Avg Week Mityana-Kanoni'!C19</f>
        <v>1.1428571428571428</v>
      </c>
      <c r="D19" s="49">
        <f>'Avg Week Kanoni-Mityana'!D19+'Avg Week Mityana-Kanoni'!D19</f>
        <v>0</v>
      </c>
      <c r="E19" s="49">
        <f>'Avg Week Kanoni-Mityana'!E19+'Avg Week Mityana-Kanoni'!E19</f>
        <v>0.2857142857142857</v>
      </c>
      <c r="F19" s="49">
        <f>'Avg Week Kanoni-Mityana'!F19+'Avg Week Mityana-Kanoni'!F19</f>
        <v>0.14285714285714285</v>
      </c>
      <c r="G19" s="49">
        <f>'Avg Week Kanoni-Mityana'!G19+'Avg Week Mityana-Kanoni'!G19</f>
        <v>0.2857142857142857</v>
      </c>
      <c r="H19" s="49">
        <f>'Avg Week Kanoni-Mityana'!H19+'Avg Week Mityana-Kanoni'!H19</f>
        <v>0</v>
      </c>
      <c r="I19" s="49">
        <f>'Avg Week Kanoni-Mityana'!I19+'Avg Week Mityana-Kanoni'!I19</f>
        <v>0.5714285714285714</v>
      </c>
      <c r="J19" s="49">
        <f>'Avg Week Kanoni-Mityana'!J19+'Avg Week Mityana-Kanoni'!J19</f>
        <v>0.14285714285714285</v>
      </c>
      <c r="K19" s="49">
        <f>'Avg Week Kanoni-Mityana'!K19+'Avg Week Mityana-Kanoni'!K19</f>
        <v>0</v>
      </c>
      <c r="L19" s="49">
        <f>'Avg Week Kanoni-Mityana'!L19+'Avg Week Mityana-Kanoni'!L19</f>
        <v>0</v>
      </c>
      <c r="M19" s="49">
        <f>'Avg Week Kanoni-Mityana'!M19+'Avg Week Mityana-Kanoni'!M19</f>
        <v>24.857142857142858</v>
      </c>
      <c r="N19" s="49">
        <f>'Avg Week Kanoni-Mityana'!N19+'Avg Week Mityana-Kanoni'!N19</f>
        <v>0</v>
      </c>
      <c r="O19" s="15">
        <f t="shared" si="0"/>
        <v>2.5714285714285707</v>
      </c>
      <c r="P19" s="15">
        <f t="shared" si="1"/>
        <v>27.428571428571427</v>
      </c>
      <c r="R19" s="1" t="s">
        <v>15</v>
      </c>
      <c r="S19" s="17">
        <f t="shared" ref="S19:AF19" si="11">SUM(C46:C49)</f>
        <v>5.4285714285714288</v>
      </c>
      <c r="T19" s="17">
        <f t="shared" si="11"/>
        <v>0.8571428571428571</v>
      </c>
      <c r="U19" s="17">
        <f t="shared" si="11"/>
        <v>2.8571428571428572</v>
      </c>
      <c r="V19" s="17">
        <f t="shared" si="11"/>
        <v>1.2857142857142856</v>
      </c>
      <c r="W19" s="17">
        <f t="shared" si="11"/>
        <v>0.14285714285714285</v>
      </c>
      <c r="X19" s="17">
        <f t="shared" si="11"/>
        <v>0</v>
      </c>
      <c r="Y19" s="17">
        <f t="shared" si="11"/>
        <v>6.4285714285714288</v>
      </c>
      <c r="Z19" s="17">
        <f t="shared" si="11"/>
        <v>1.1428571428571428</v>
      </c>
      <c r="AA19" s="17">
        <f t="shared" si="11"/>
        <v>0.42857142857142855</v>
      </c>
      <c r="AB19" s="17">
        <f t="shared" si="11"/>
        <v>0</v>
      </c>
      <c r="AC19" s="17">
        <f t="shared" si="11"/>
        <v>107.85714285714286</v>
      </c>
      <c r="AD19" s="17">
        <f t="shared" si="11"/>
        <v>0.14285714285714285</v>
      </c>
      <c r="AE19" s="31">
        <f t="shared" si="11"/>
        <v>18.714285714285712</v>
      </c>
      <c r="AF19" s="31">
        <f t="shared" si="11"/>
        <v>126.57142857142857</v>
      </c>
    </row>
    <row r="20" spans="2:32" ht="23.1" customHeight="1" x14ac:dyDescent="0.25">
      <c r="B20" s="23" t="s">
        <v>47</v>
      </c>
      <c r="C20" s="49">
        <f>'Avg Week Kanoni-Mityana'!C20+'Avg Week Mityana-Kanoni'!C20</f>
        <v>2.2857142857142856</v>
      </c>
      <c r="D20" s="49">
        <f>'Avg Week Kanoni-Mityana'!D20+'Avg Week Mityana-Kanoni'!D20</f>
        <v>0.2857142857142857</v>
      </c>
      <c r="E20" s="49">
        <f>'Avg Week Kanoni-Mityana'!E20+'Avg Week Mityana-Kanoni'!E20</f>
        <v>0.2857142857142857</v>
      </c>
      <c r="F20" s="49">
        <f>'Avg Week Kanoni-Mityana'!F20+'Avg Week Mityana-Kanoni'!F20</f>
        <v>0.42857142857142855</v>
      </c>
      <c r="G20" s="49">
        <f>'Avg Week Kanoni-Mityana'!G20+'Avg Week Mityana-Kanoni'!G20</f>
        <v>0.14285714285714285</v>
      </c>
      <c r="H20" s="49">
        <f>'Avg Week Kanoni-Mityana'!H20+'Avg Week Mityana-Kanoni'!H20</f>
        <v>0</v>
      </c>
      <c r="I20" s="49">
        <f>'Avg Week Kanoni-Mityana'!I20+'Avg Week Mityana-Kanoni'!I20</f>
        <v>0.71428571428571419</v>
      </c>
      <c r="J20" s="49">
        <f>'Avg Week Kanoni-Mityana'!J20+'Avg Week Mityana-Kanoni'!J20</f>
        <v>0.14285714285714285</v>
      </c>
      <c r="K20" s="49">
        <f>'Avg Week Kanoni-Mityana'!K20+'Avg Week Mityana-Kanoni'!K20</f>
        <v>0</v>
      </c>
      <c r="L20" s="49">
        <f>'Avg Week Kanoni-Mityana'!L20+'Avg Week Mityana-Kanoni'!L20</f>
        <v>0</v>
      </c>
      <c r="M20" s="49">
        <f>'Avg Week Kanoni-Mityana'!M20+'Avg Week Mityana-Kanoni'!M20</f>
        <v>23.571428571428569</v>
      </c>
      <c r="N20" s="49">
        <f>'Avg Week Kanoni-Mityana'!N20+'Avg Week Mityana-Kanoni'!N20</f>
        <v>0</v>
      </c>
      <c r="O20" s="15">
        <f t="shared" si="0"/>
        <v>4.2857142857142856</v>
      </c>
      <c r="P20" s="15">
        <f t="shared" si="1"/>
        <v>27.857142857142854</v>
      </c>
      <c r="R20" s="1" t="s">
        <v>16</v>
      </c>
      <c r="S20" s="17">
        <f t="shared" ref="S20:AF20" si="12">SUM(C50:C53)</f>
        <v>6.9999999999999991</v>
      </c>
      <c r="T20" s="17">
        <f t="shared" si="12"/>
        <v>0.8571428571428571</v>
      </c>
      <c r="U20" s="17">
        <f t="shared" si="12"/>
        <v>2.7142857142857135</v>
      </c>
      <c r="V20" s="17">
        <f t="shared" si="12"/>
        <v>1.4285714285714284</v>
      </c>
      <c r="W20" s="17">
        <f t="shared" si="12"/>
        <v>0</v>
      </c>
      <c r="X20" s="17">
        <f t="shared" si="12"/>
        <v>0.14285714285714285</v>
      </c>
      <c r="Y20" s="17">
        <f t="shared" si="12"/>
        <v>5.7142857142857144</v>
      </c>
      <c r="Z20" s="17">
        <f t="shared" si="12"/>
        <v>1.2857142857142856</v>
      </c>
      <c r="AA20" s="17">
        <f t="shared" si="12"/>
        <v>0.14285714285714285</v>
      </c>
      <c r="AB20" s="17">
        <f t="shared" si="12"/>
        <v>0</v>
      </c>
      <c r="AC20" s="17">
        <f t="shared" si="12"/>
        <v>116.42857142857143</v>
      </c>
      <c r="AD20" s="17">
        <f t="shared" si="12"/>
        <v>0</v>
      </c>
      <c r="AE20" s="31">
        <f t="shared" si="12"/>
        <v>19.285714285714285</v>
      </c>
      <c r="AF20" s="31">
        <f t="shared" si="12"/>
        <v>135.71428571428572</v>
      </c>
    </row>
    <row r="21" spans="2:32" ht="23.1" customHeight="1" x14ac:dyDescent="0.25">
      <c r="B21" s="23" t="s">
        <v>48</v>
      </c>
      <c r="C21" s="49">
        <f>'Avg Week Kanoni-Mityana'!C21+'Avg Week Mityana-Kanoni'!C21</f>
        <v>2.1428571428571428</v>
      </c>
      <c r="D21" s="49">
        <f>'Avg Week Kanoni-Mityana'!D21+'Avg Week Mityana-Kanoni'!D21</f>
        <v>0.14285714285714285</v>
      </c>
      <c r="E21" s="49">
        <f>'Avg Week Kanoni-Mityana'!E21+'Avg Week Mityana-Kanoni'!E21</f>
        <v>0.2857142857142857</v>
      </c>
      <c r="F21" s="49">
        <f>'Avg Week Kanoni-Mityana'!F21+'Avg Week Mityana-Kanoni'!F21</f>
        <v>0.8571428571428571</v>
      </c>
      <c r="G21" s="49">
        <f>'Avg Week Kanoni-Mityana'!G21+'Avg Week Mityana-Kanoni'!G21</f>
        <v>0</v>
      </c>
      <c r="H21" s="49">
        <f>'Avg Week Kanoni-Mityana'!H21+'Avg Week Mityana-Kanoni'!H21</f>
        <v>0</v>
      </c>
      <c r="I21" s="49">
        <f>'Avg Week Kanoni-Mityana'!I21+'Avg Week Mityana-Kanoni'!I21</f>
        <v>0.71428571428571419</v>
      </c>
      <c r="J21" s="49">
        <f>'Avg Week Kanoni-Mityana'!J21+'Avg Week Mityana-Kanoni'!J21</f>
        <v>0</v>
      </c>
      <c r="K21" s="49">
        <f>'Avg Week Kanoni-Mityana'!K21+'Avg Week Mityana-Kanoni'!K21</f>
        <v>0.42857142857142855</v>
      </c>
      <c r="L21" s="49">
        <f>'Avg Week Kanoni-Mityana'!L21+'Avg Week Mityana-Kanoni'!L21</f>
        <v>0</v>
      </c>
      <c r="M21" s="49">
        <f>'Avg Week Kanoni-Mityana'!M21+'Avg Week Mityana-Kanoni'!M21</f>
        <v>20.428571428571427</v>
      </c>
      <c r="N21" s="49">
        <f>'Avg Week Kanoni-Mityana'!N21+'Avg Week Mityana-Kanoni'!N21</f>
        <v>0</v>
      </c>
      <c r="O21" s="15">
        <f t="shared" si="0"/>
        <v>4.5714285714285712</v>
      </c>
      <c r="P21" s="15">
        <f t="shared" si="1"/>
        <v>25</v>
      </c>
      <c r="R21" s="36" t="s">
        <v>20</v>
      </c>
      <c r="S21" s="34">
        <f t="shared" ref="S21:AF21" si="13">SUM(C54:C57)</f>
        <v>5</v>
      </c>
      <c r="T21" s="17">
        <f t="shared" si="13"/>
        <v>0.71428571428571419</v>
      </c>
      <c r="U21" s="17">
        <f t="shared" si="13"/>
        <v>2.8571428571428568</v>
      </c>
      <c r="V21" s="17">
        <f t="shared" si="13"/>
        <v>3.4285714285714279</v>
      </c>
      <c r="W21" s="17">
        <f t="shared" si="13"/>
        <v>0</v>
      </c>
      <c r="X21" s="17">
        <f t="shared" si="13"/>
        <v>0</v>
      </c>
      <c r="Y21" s="17">
        <f t="shared" si="13"/>
        <v>4.2857142857142856</v>
      </c>
      <c r="Z21" s="17">
        <f t="shared" si="13"/>
        <v>1.4285714285714284</v>
      </c>
      <c r="AA21" s="17">
        <f t="shared" si="13"/>
        <v>0</v>
      </c>
      <c r="AB21" s="17">
        <f t="shared" si="13"/>
        <v>0</v>
      </c>
      <c r="AC21" s="17">
        <f t="shared" si="13"/>
        <v>122.85714285714285</v>
      </c>
      <c r="AD21" s="17">
        <f t="shared" si="13"/>
        <v>0</v>
      </c>
      <c r="AE21" s="31">
        <f t="shared" si="13"/>
        <v>17.714285714285715</v>
      </c>
      <c r="AF21" s="31">
        <f t="shared" si="13"/>
        <v>140.57142857142856</v>
      </c>
    </row>
    <row r="22" spans="2:32" ht="23.1" customHeight="1" x14ac:dyDescent="0.25">
      <c r="B22" s="23" t="s">
        <v>49</v>
      </c>
      <c r="C22" s="49">
        <f>'Avg Week Kanoni-Mityana'!C22+'Avg Week Mityana-Kanoni'!C22</f>
        <v>0.8571428571428571</v>
      </c>
      <c r="D22" s="49">
        <f>'Avg Week Kanoni-Mityana'!D22+'Avg Week Mityana-Kanoni'!D22</f>
        <v>0.14285714285714285</v>
      </c>
      <c r="E22" s="49">
        <f>'Avg Week Kanoni-Mityana'!E22+'Avg Week Mityana-Kanoni'!E22</f>
        <v>0.2857142857142857</v>
      </c>
      <c r="F22" s="49">
        <f>'Avg Week Kanoni-Mityana'!F22+'Avg Week Mityana-Kanoni'!F22</f>
        <v>0.2857142857142857</v>
      </c>
      <c r="G22" s="49">
        <f>'Avg Week Kanoni-Mityana'!G22+'Avg Week Mityana-Kanoni'!G22</f>
        <v>0</v>
      </c>
      <c r="H22" s="49">
        <f>'Avg Week Kanoni-Mityana'!H22+'Avg Week Mityana-Kanoni'!H22</f>
        <v>0</v>
      </c>
      <c r="I22" s="49">
        <f>'Avg Week Kanoni-Mityana'!I22+'Avg Week Mityana-Kanoni'!I22</f>
        <v>0.5714285714285714</v>
      </c>
      <c r="J22" s="49">
        <f>'Avg Week Kanoni-Mityana'!J22+'Avg Week Mityana-Kanoni'!J22</f>
        <v>0.14285714285714285</v>
      </c>
      <c r="K22" s="49">
        <f>'Avg Week Kanoni-Mityana'!K22+'Avg Week Mityana-Kanoni'!K22</f>
        <v>0.14285714285714285</v>
      </c>
      <c r="L22" s="49">
        <f>'Avg Week Kanoni-Mityana'!L22+'Avg Week Mityana-Kanoni'!L22</f>
        <v>0</v>
      </c>
      <c r="M22" s="49">
        <f>'Avg Week Kanoni-Mityana'!M22+'Avg Week Mityana-Kanoni'!M22</f>
        <v>22</v>
      </c>
      <c r="N22" s="49">
        <f>'Avg Week Kanoni-Mityana'!N22+'Avg Week Mityana-Kanoni'!N22</f>
        <v>0</v>
      </c>
      <c r="O22" s="15">
        <f t="shared" si="0"/>
        <v>2.4285714285714279</v>
      </c>
      <c r="P22" s="15">
        <f t="shared" si="1"/>
        <v>24.428571428571427</v>
      </c>
      <c r="R22" s="1" t="s">
        <v>146</v>
      </c>
      <c r="S22" s="34">
        <f>SUM(C58:C61)</f>
        <v>9.5</v>
      </c>
      <c r="T22" s="34">
        <f t="shared" ref="T22:AF22" si="14">SUM(D58:D61)</f>
        <v>0</v>
      </c>
      <c r="U22" s="34">
        <f t="shared" si="14"/>
        <v>2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0.5</v>
      </c>
      <c r="AA22" s="34">
        <f t="shared" si="14"/>
        <v>0.5</v>
      </c>
      <c r="AB22" s="34">
        <f t="shared" si="14"/>
        <v>0</v>
      </c>
      <c r="AC22" s="34">
        <f t="shared" si="14"/>
        <v>114</v>
      </c>
      <c r="AD22" s="34">
        <f t="shared" si="14"/>
        <v>0</v>
      </c>
      <c r="AE22" s="31">
        <f t="shared" si="14"/>
        <v>15.5</v>
      </c>
      <c r="AF22" s="31">
        <f t="shared" si="14"/>
        <v>129.5</v>
      </c>
    </row>
    <row r="23" spans="2:32" ht="23.1" customHeight="1" x14ac:dyDescent="0.25">
      <c r="B23" s="23" t="s">
        <v>50</v>
      </c>
      <c r="C23" s="49">
        <f>'Avg Week Kanoni-Mityana'!C23+'Avg Week Mityana-Kanoni'!C23</f>
        <v>1.1428571428571428</v>
      </c>
      <c r="D23" s="49">
        <f>'Avg Week Kanoni-Mityana'!D23+'Avg Week Mityana-Kanoni'!D23</f>
        <v>0.14285714285714285</v>
      </c>
      <c r="E23" s="49">
        <f>'Avg Week Kanoni-Mityana'!E23+'Avg Week Mityana-Kanoni'!E23</f>
        <v>0.5714285714285714</v>
      </c>
      <c r="F23" s="49">
        <f>'Avg Week Kanoni-Mityana'!F23+'Avg Week Mityana-Kanoni'!F23</f>
        <v>0</v>
      </c>
      <c r="G23" s="49">
        <f>'Avg Week Kanoni-Mityana'!G23+'Avg Week Mityana-Kanoni'!G23</f>
        <v>0</v>
      </c>
      <c r="H23" s="49">
        <f>'Avg Week Kanoni-Mityana'!H23+'Avg Week Mityana-Kanoni'!H23</f>
        <v>0</v>
      </c>
      <c r="I23" s="49">
        <f>'Avg Week Kanoni-Mityana'!I23+'Avg Week Mityana-Kanoni'!I23</f>
        <v>1</v>
      </c>
      <c r="J23" s="49">
        <f>'Avg Week Kanoni-Mityana'!J23+'Avg Week Mityana-Kanoni'!J23</f>
        <v>0.14285714285714285</v>
      </c>
      <c r="K23" s="49">
        <f>'Avg Week Kanoni-Mityana'!K23+'Avg Week Mityana-Kanoni'!K23</f>
        <v>0</v>
      </c>
      <c r="L23" s="49">
        <f>'Avg Week Kanoni-Mityana'!L23+'Avg Week Mityana-Kanoni'!L23</f>
        <v>0</v>
      </c>
      <c r="M23" s="49">
        <f>'Avg Week Kanoni-Mityana'!M23+'Avg Week Mityana-Kanoni'!M23</f>
        <v>24</v>
      </c>
      <c r="N23" s="49">
        <f>'Avg Week Kanoni-Mityana'!N23+'Avg Week Mityana-Kanoni'!N23</f>
        <v>0</v>
      </c>
      <c r="O23" s="15">
        <f t="shared" si="0"/>
        <v>2.9999999999999996</v>
      </c>
      <c r="P23" s="15">
        <f t="shared" si="1"/>
        <v>27</v>
      </c>
      <c r="R23" s="1" t="s">
        <v>147</v>
      </c>
      <c r="S23" s="34">
        <f>SUM(C62:C65)</f>
        <v>5.5</v>
      </c>
      <c r="T23" s="34">
        <f t="shared" ref="T23:AF23" si="15">SUM(D62:D65)</f>
        <v>1</v>
      </c>
      <c r="U23" s="34">
        <f t="shared" si="15"/>
        <v>1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0.5</v>
      </c>
      <c r="AA23" s="34">
        <f t="shared" si="15"/>
        <v>1</v>
      </c>
      <c r="AB23" s="34">
        <f t="shared" si="15"/>
        <v>0</v>
      </c>
      <c r="AC23" s="34">
        <f t="shared" si="15"/>
        <v>62</v>
      </c>
      <c r="AD23" s="34">
        <f t="shared" si="15"/>
        <v>0</v>
      </c>
      <c r="AE23" s="31">
        <f t="shared" si="15"/>
        <v>12.5</v>
      </c>
      <c r="AF23" s="31">
        <f t="shared" si="15"/>
        <v>74.5</v>
      </c>
    </row>
    <row r="24" spans="2:32" ht="23.1" customHeight="1" x14ac:dyDescent="0.25">
      <c r="B24" s="23" t="s">
        <v>51</v>
      </c>
      <c r="C24" s="49">
        <f>'Avg Week Kanoni-Mityana'!C24+'Avg Week Mityana-Kanoni'!C24</f>
        <v>1.5714285714285714</v>
      </c>
      <c r="D24" s="49">
        <f>'Avg Week Kanoni-Mityana'!D24+'Avg Week Mityana-Kanoni'!D24</f>
        <v>0.5714285714285714</v>
      </c>
      <c r="E24" s="49">
        <f>'Avg Week Kanoni-Mityana'!E24+'Avg Week Mityana-Kanoni'!E24</f>
        <v>0.2857142857142857</v>
      </c>
      <c r="F24" s="49">
        <f>'Avg Week Kanoni-Mityana'!F24+'Avg Week Mityana-Kanoni'!F24</f>
        <v>0.42857142857142855</v>
      </c>
      <c r="G24" s="49">
        <f>'Avg Week Kanoni-Mityana'!G24+'Avg Week Mityana-Kanoni'!G24</f>
        <v>0</v>
      </c>
      <c r="H24" s="49">
        <f>'Avg Week Kanoni-Mityana'!H24+'Avg Week Mityana-Kanoni'!H24</f>
        <v>0</v>
      </c>
      <c r="I24" s="49">
        <f>'Avg Week Kanoni-Mityana'!I24+'Avg Week Mityana-Kanoni'!I24</f>
        <v>1.5714285714285714</v>
      </c>
      <c r="J24" s="49">
        <f>'Avg Week Kanoni-Mityana'!J24+'Avg Week Mityana-Kanoni'!J24</f>
        <v>0.42857142857142855</v>
      </c>
      <c r="K24" s="49">
        <f>'Avg Week Kanoni-Mityana'!K24+'Avg Week Mityana-Kanoni'!K24</f>
        <v>0.14285714285714285</v>
      </c>
      <c r="L24" s="49">
        <f>'Avg Week Kanoni-Mityana'!L24+'Avg Week Mityana-Kanoni'!L24</f>
        <v>0</v>
      </c>
      <c r="M24" s="49">
        <f>'Avg Week Kanoni-Mityana'!M24+'Avg Week Mityana-Kanoni'!M24</f>
        <v>30</v>
      </c>
      <c r="N24" s="49">
        <f>'Avg Week Kanoni-Mityana'!N24+'Avg Week Mityana-Kanoni'!N24</f>
        <v>0</v>
      </c>
      <c r="O24" s="15">
        <f t="shared" si="0"/>
        <v>5</v>
      </c>
      <c r="P24" s="15">
        <f t="shared" si="1"/>
        <v>35</v>
      </c>
      <c r="R24" s="1" t="s">
        <v>148</v>
      </c>
      <c r="S24" s="34">
        <f>SUM(C66:C69)</f>
        <v>4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0</v>
      </c>
      <c r="AA24" s="34">
        <f t="shared" si="16"/>
        <v>0.5</v>
      </c>
      <c r="AB24" s="34">
        <f t="shared" si="16"/>
        <v>0</v>
      </c>
      <c r="AC24" s="34">
        <f t="shared" si="16"/>
        <v>46</v>
      </c>
      <c r="AD24" s="34">
        <f t="shared" si="16"/>
        <v>0</v>
      </c>
      <c r="AE24" s="31">
        <f t="shared" si="16"/>
        <v>7</v>
      </c>
      <c r="AF24" s="31">
        <f t="shared" si="16"/>
        <v>53</v>
      </c>
    </row>
    <row r="25" spans="2:32" ht="23.1" customHeight="1" x14ac:dyDescent="0.25">
      <c r="B25" s="23" t="s">
        <v>52</v>
      </c>
      <c r="C25" s="49">
        <f>'Avg Week Kanoni-Mityana'!C25+'Avg Week Mityana-Kanoni'!C25</f>
        <v>1.4285714285714284</v>
      </c>
      <c r="D25" s="49">
        <f>'Avg Week Kanoni-Mityana'!D25+'Avg Week Mityana-Kanoni'!D25</f>
        <v>0.14285714285714285</v>
      </c>
      <c r="E25" s="49">
        <f>'Avg Week Kanoni-Mityana'!E25+'Avg Week Mityana-Kanoni'!E25</f>
        <v>0.5714285714285714</v>
      </c>
      <c r="F25" s="49">
        <f>'Avg Week Kanoni-Mityana'!F25+'Avg Week Mityana-Kanoni'!F25</f>
        <v>0.14285714285714285</v>
      </c>
      <c r="G25" s="49">
        <f>'Avg Week Kanoni-Mityana'!G25+'Avg Week Mityana-Kanoni'!G25</f>
        <v>0</v>
      </c>
      <c r="H25" s="49">
        <f>'Avg Week Kanoni-Mityana'!H25+'Avg Week Mityana-Kanoni'!H25</f>
        <v>0</v>
      </c>
      <c r="I25" s="49">
        <f>'Avg Week Kanoni-Mityana'!I25+'Avg Week Mityana-Kanoni'!I25</f>
        <v>0.2857142857142857</v>
      </c>
      <c r="J25" s="49">
        <f>'Avg Week Kanoni-Mityana'!J25+'Avg Week Mityana-Kanoni'!J25</f>
        <v>0.2857142857142857</v>
      </c>
      <c r="K25" s="49">
        <f>'Avg Week Kanoni-Mityana'!K25+'Avg Week Mityana-Kanoni'!K25</f>
        <v>0</v>
      </c>
      <c r="L25" s="49">
        <f>'Avg Week Kanoni-Mityana'!L25+'Avg Week Mityana-Kanoni'!L25</f>
        <v>0</v>
      </c>
      <c r="M25" s="49">
        <f>'Avg Week Kanoni-Mityana'!M25+'Avg Week Mityana-Kanoni'!M25</f>
        <v>24.857142857142858</v>
      </c>
      <c r="N25" s="49">
        <f>'Avg Week Kanoni-Mityana'!N25+'Avg Week Mityana-Kanoni'!N25</f>
        <v>0</v>
      </c>
      <c r="O25" s="15">
        <f t="shared" si="0"/>
        <v>2.8571428571428563</v>
      </c>
      <c r="P25" s="15">
        <f t="shared" si="1"/>
        <v>27.714285714285715</v>
      </c>
      <c r="R25" s="1" t="s">
        <v>149</v>
      </c>
      <c r="S25" s="34">
        <f>SUM(C70:C73)</f>
        <v>1</v>
      </c>
      <c r="T25" s="34">
        <f t="shared" ref="T25:AF25" si="17">SUM(D70:D73)</f>
        <v>0.5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0.5</v>
      </c>
      <c r="AB25" s="34">
        <f t="shared" si="17"/>
        <v>0</v>
      </c>
      <c r="AC25" s="34">
        <f t="shared" si="17"/>
        <v>24.5</v>
      </c>
      <c r="AD25" s="34">
        <f t="shared" si="17"/>
        <v>0</v>
      </c>
      <c r="AE25" s="31">
        <f t="shared" si="17"/>
        <v>3</v>
      </c>
      <c r="AF25" s="31">
        <f t="shared" si="17"/>
        <v>27.5</v>
      </c>
    </row>
    <row r="26" spans="2:32" ht="23.1" customHeight="1" x14ac:dyDescent="0.25">
      <c r="B26" s="23" t="s">
        <v>53</v>
      </c>
      <c r="C26" s="49">
        <f>'Avg Week Kanoni-Mityana'!C26+'Avg Week Mityana-Kanoni'!C26</f>
        <v>0.85714285714285721</v>
      </c>
      <c r="D26" s="49">
        <f>'Avg Week Kanoni-Mityana'!D26+'Avg Week Mityana-Kanoni'!D26</f>
        <v>0.2857142857142857</v>
      </c>
      <c r="E26" s="49">
        <f>'Avg Week Kanoni-Mityana'!E26+'Avg Week Mityana-Kanoni'!E26</f>
        <v>0.8571428571428571</v>
      </c>
      <c r="F26" s="49">
        <f>'Avg Week Kanoni-Mityana'!F26+'Avg Week Mityana-Kanoni'!F26</f>
        <v>0.14285714285714285</v>
      </c>
      <c r="G26" s="49">
        <f>'Avg Week Kanoni-Mityana'!G26+'Avg Week Mityana-Kanoni'!G26</f>
        <v>0</v>
      </c>
      <c r="H26" s="49">
        <f>'Avg Week Kanoni-Mityana'!H26+'Avg Week Mityana-Kanoni'!H26</f>
        <v>0.14285714285714285</v>
      </c>
      <c r="I26" s="49">
        <f>'Avg Week Kanoni-Mityana'!I26+'Avg Week Mityana-Kanoni'!I26</f>
        <v>1</v>
      </c>
      <c r="J26" s="49">
        <f>'Avg Week Kanoni-Mityana'!J26+'Avg Week Mityana-Kanoni'!J26</f>
        <v>0.42857142857142855</v>
      </c>
      <c r="K26" s="49">
        <f>'Avg Week Kanoni-Mityana'!K26+'Avg Week Mityana-Kanoni'!K26</f>
        <v>0</v>
      </c>
      <c r="L26" s="49">
        <f>'Avg Week Kanoni-Mityana'!L26+'Avg Week Mityana-Kanoni'!L26</f>
        <v>0</v>
      </c>
      <c r="M26" s="49">
        <f>'Avg Week Kanoni-Mityana'!M26+'Avg Week Mityana-Kanoni'!M26</f>
        <v>23</v>
      </c>
      <c r="N26" s="49">
        <f>'Avg Week Kanoni-Mityana'!N26+'Avg Week Mityana-Kanoni'!N26</f>
        <v>0</v>
      </c>
      <c r="O26" s="15">
        <f t="shared" si="0"/>
        <v>3.714285714285714</v>
      </c>
      <c r="P26" s="15">
        <f t="shared" si="1"/>
        <v>26.714285714285715</v>
      </c>
      <c r="R26" s="1" t="s">
        <v>150</v>
      </c>
      <c r="S26" s="34">
        <f>SUM(C74:C77)</f>
        <v>0.5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0.5</v>
      </c>
      <c r="W26" s="34">
        <f t="shared" si="18"/>
        <v>0</v>
      </c>
      <c r="X26" s="34">
        <f t="shared" si="18"/>
        <v>0</v>
      </c>
      <c r="Y26" s="34">
        <f t="shared" si="18"/>
        <v>1.5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13.5</v>
      </c>
      <c r="AD26" s="34">
        <f t="shared" si="18"/>
        <v>0</v>
      </c>
      <c r="AE26" s="31">
        <f t="shared" si="18"/>
        <v>3.5</v>
      </c>
      <c r="AF26" s="31">
        <f t="shared" si="18"/>
        <v>17</v>
      </c>
    </row>
    <row r="27" spans="2:32" ht="23.1" customHeight="1" x14ac:dyDescent="0.25">
      <c r="B27" s="23" t="s">
        <v>54</v>
      </c>
      <c r="C27" s="49">
        <f>'Avg Week Kanoni-Mityana'!C27+'Avg Week Mityana-Kanoni'!C27</f>
        <v>1</v>
      </c>
      <c r="D27" s="49">
        <f>'Avg Week Kanoni-Mityana'!D27+'Avg Week Mityana-Kanoni'!D27</f>
        <v>0.2857142857142857</v>
      </c>
      <c r="E27" s="49">
        <f>'Avg Week Kanoni-Mityana'!E27+'Avg Week Mityana-Kanoni'!E27</f>
        <v>0.14285714285714285</v>
      </c>
      <c r="F27" s="49">
        <f>'Avg Week Kanoni-Mityana'!F27+'Avg Week Mityana-Kanoni'!F27</f>
        <v>0</v>
      </c>
      <c r="G27" s="49">
        <f>'Avg Week Kanoni-Mityana'!G27+'Avg Week Mityana-Kanoni'!G27</f>
        <v>0</v>
      </c>
      <c r="H27" s="49">
        <f>'Avg Week Kanoni-Mityana'!H27+'Avg Week Mityana-Kanoni'!H27</f>
        <v>0</v>
      </c>
      <c r="I27" s="49">
        <f>'Avg Week Kanoni-Mityana'!I27+'Avg Week Mityana-Kanoni'!I27</f>
        <v>1.4285714285714286</v>
      </c>
      <c r="J27" s="49">
        <f>'Avg Week Kanoni-Mityana'!J27+'Avg Week Mityana-Kanoni'!J27</f>
        <v>0.14285714285714285</v>
      </c>
      <c r="K27" s="49">
        <f>'Avg Week Kanoni-Mityana'!K27+'Avg Week Mityana-Kanoni'!K27</f>
        <v>0</v>
      </c>
      <c r="L27" s="49">
        <f>'Avg Week Kanoni-Mityana'!L27+'Avg Week Mityana-Kanoni'!L27</f>
        <v>0</v>
      </c>
      <c r="M27" s="49">
        <f>'Avg Week Kanoni-Mityana'!M27+'Avg Week Mityana-Kanoni'!M27</f>
        <v>19.714285714285715</v>
      </c>
      <c r="N27" s="49">
        <f>'Avg Week Kanoni-Mityana'!N27+'Avg Week Mityana-Kanoni'!N27</f>
        <v>0</v>
      </c>
      <c r="O27" s="15">
        <f t="shared" si="0"/>
        <v>2.9999999999999996</v>
      </c>
      <c r="P27" s="15">
        <f t="shared" si="1"/>
        <v>22.714285714285715</v>
      </c>
      <c r="R27" s="1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4.5</v>
      </c>
      <c r="AD27" s="34">
        <f t="shared" si="19"/>
        <v>0</v>
      </c>
      <c r="AE27" s="31">
        <f t="shared" si="19"/>
        <v>1</v>
      </c>
      <c r="AF27" s="31">
        <f t="shared" si="19"/>
        <v>5.5</v>
      </c>
    </row>
    <row r="28" spans="2:32" ht="23.1" customHeight="1" x14ac:dyDescent="0.25">
      <c r="B28" s="23" t="s">
        <v>55</v>
      </c>
      <c r="C28" s="49">
        <f>'Avg Week Kanoni-Mityana'!C28+'Avg Week Mityana-Kanoni'!C28</f>
        <v>1.4285714285714286</v>
      </c>
      <c r="D28" s="49">
        <f>'Avg Week Kanoni-Mityana'!D28+'Avg Week Mityana-Kanoni'!D28</f>
        <v>0.14285714285714285</v>
      </c>
      <c r="E28" s="49">
        <f>'Avg Week Kanoni-Mityana'!E28+'Avg Week Mityana-Kanoni'!E28</f>
        <v>0.42857142857142855</v>
      </c>
      <c r="F28" s="49">
        <f>'Avg Week Kanoni-Mityana'!F28+'Avg Week Mityana-Kanoni'!F28</f>
        <v>0.42857142857142855</v>
      </c>
      <c r="G28" s="49">
        <f>'Avg Week Kanoni-Mityana'!G28+'Avg Week Mityana-Kanoni'!G28</f>
        <v>0</v>
      </c>
      <c r="H28" s="49">
        <f>'Avg Week Kanoni-Mityana'!H28+'Avg Week Mityana-Kanoni'!H28</f>
        <v>0</v>
      </c>
      <c r="I28" s="49">
        <f>'Avg Week Kanoni-Mityana'!I28+'Avg Week Mityana-Kanoni'!I28</f>
        <v>1.4285714285714286</v>
      </c>
      <c r="J28" s="49">
        <f>'Avg Week Kanoni-Mityana'!J28+'Avg Week Mityana-Kanoni'!J28</f>
        <v>0.42857142857142855</v>
      </c>
      <c r="K28" s="49">
        <f>'Avg Week Kanoni-Mityana'!K28+'Avg Week Mityana-Kanoni'!K28</f>
        <v>0</v>
      </c>
      <c r="L28" s="49">
        <f>'Avg Week Kanoni-Mityana'!L28+'Avg Week Mityana-Kanoni'!L28</f>
        <v>0</v>
      </c>
      <c r="M28" s="49">
        <f>'Avg Week Kanoni-Mityana'!M28+'Avg Week Mityana-Kanoni'!M28</f>
        <v>22.142857142857146</v>
      </c>
      <c r="N28" s="49">
        <f>'Avg Week Kanoni-Mityana'!N28+'Avg Week Mityana-Kanoni'!N28</f>
        <v>0</v>
      </c>
      <c r="O28" s="15">
        <f t="shared" si="0"/>
        <v>4.2857142857142856</v>
      </c>
      <c r="P28" s="15">
        <f t="shared" si="1"/>
        <v>26.428571428571431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</v>
      </c>
      <c r="AD28" s="34">
        <f t="shared" si="20"/>
        <v>0</v>
      </c>
      <c r="AE28" s="31">
        <f t="shared" si="20"/>
        <v>0</v>
      </c>
      <c r="AF28" s="31">
        <f t="shared" si="20"/>
        <v>3</v>
      </c>
    </row>
    <row r="29" spans="2:32" ht="23.1" customHeight="1" x14ac:dyDescent="0.25">
      <c r="B29" s="23" t="s">
        <v>56</v>
      </c>
      <c r="C29" s="49">
        <f>'Avg Week Kanoni-Mityana'!C29+'Avg Week Mityana-Kanoni'!C29</f>
        <v>1.1428571428571428</v>
      </c>
      <c r="D29" s="49">
        <f>'Avg Week Kanoni-Mityana'!D29+'Avg Week Mityana-Kanoni'!D29</f>
        <v>0.14285714285714285</v>
      </c>
      <c r="E29" s="49">
        <f>'Avg Week Kanoni-Mityana'!E29+'Avg Week Mityana-Kanoni'!E29</f>
        <v>0.14285714285714285</v>
      </c>
      <c r="F29" s="49">
        <f>'Avg Week Kanoni-Mityana'!F29+'Avg Week Mityana-Kanoni'!F29</f>
        <v>0.42857142857142855</v>
      </c>
      <c r="G29" s="49">
        <f>'Avg Week Kanoni-Mityana'!G29+'Avg Week Mityana-Kanoni'!G29</f>
        <v>0.14285714285714285</v>
      </c>
      <c r="H29" s="49">
        <f>'Avg Week Kanoni-Mityana'!H29+'Avg Week Mityana-Kanoni'!H29</f>
        <v>0</v>
      </c>
      <c r="I29" s="49">
        <f>'Avg Week Kanoni-Mityana'!I29+'Avg Week Mityana-Kanoni'!I29</f>
        <v>1</v>
      </c>
      <c r="J29" s="49">
        <f>'Avg Week Kanoni-Mityana'!J29+'Avg Week Mityana-Kanoni'!J29</f>
        <v>0.14285714285714285</v>
      </c>
      <c r="K29" s="49">
        <f>'Avg Week Kanoni-Mityana'!K29+'Avg Week Mityana-Kanoni'!K29</f>
        <v>0</v>
      </c>
      <c r="L29" s="49">
        <f>'Avg Week Kanoni-Mityana'!L29+'Avg Week Mityana-Kanoni'!L29</f>
        <v>0</v>
      </c>
      <c r="M29" s="49">
        <f>'Avg Week Kanoni-Mityana'!M29+'Avg Week Mityana-Kanoni'!M29</f>
        <v>25.285714285714285</v>
      </c>
      <c r="N29" s="49">
        <f>'Avg Week Kanoni-Mityana'!N29+'Avg Week Mityana-Kanoni'!N29</f>
        <v>0</v>
      </c>
      <c r="O29" s="15">
        <f t="shared" si="0"/>
        <v>3.1428571428571428</v>
      </c>
      <c r="P29" s="15">
        <f t="shared" si="1"/>
        <v>28.428571428571427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'Avg Week Kanoni-Mityana'!C30+'Avg Week Mityana-Kanoni'!C30</f>
        <v>1.5714285714285714</v>
      </c>
      <c r="D30" s="49">
        <f>'Avg Week Kanoni-Mityana'!D30+'Avg Week Mityana-Kanoni'!D30</f>
        <v>0</v>
      </c>
      <c r="E30" s="49">
        <f>'Avg Week Kanoni-Mityana'!E30+'Avg Week Mityana-Kanoni'!E30</f>
        <v>0.71428571428571419</v>
      </c>
      <c r="F30" s="49">
        <f>'Avg Week Kanoni-Mityana'!F30+'Avg Week Mityana-Kanoni'!F30</f>
        <v>0.2857142857142857</v>
      </c>
      <c r="G30" s="49">
        <f>'Avg Week Kanoni-Mityana'!G30+'Avg Week Mityana-Kanoni'!G30</f>
        <v>0.14285714285714285</v>
      </c>
      <c r="H30" s="49">
        <f>'Avg Week Kanoni-Mityana'!H30+'Avg Week Mityana-Kanoni'!H30</f>
        <v>0</v>
      </c>
      <c r="I30" s="49">
        <f>'Avg Week Kanoni-Mityana'!I30+'Avg Week Mityana-Kanoni'!I30</f>
        <v>1.4285714285714286</v>
      </c>
      <c r="J30" s="49">
        <f>'Avg Week Kanoni-Mityana'!J30+'Avg Week Mityana-Kanoni'!J30</f>
        <v>0.42857142857142855</v>
      </c>
      <c r="K30" s="49">
        <f>'Avg Week Kanoni-Mityana'!K30+'Avg Week Mityana-Kanoni'!K30</f>
        <v>0</v>
      </c>
      <c r="L30" s="49">
        <f>'Avg Week Kanoni-Mityana'!L30+'Avg Week Mityana-Kanoni'!L30</f>
        <v>0</v>
      </c>
      <c r="M30" s="49">
        <f>'Avg Week Kanoni-Mityana'!M30+'Avg Week Mityana-Kanoni'!M30</f>
        <v>24.142857142857146</v>
      </c>
      <c r="N30" s="49">
        <f>'Avg Week Kanoni-Mityana'!N30+'Avg Week Mityana-Kanoni'!N30</f>
        <v>0</v>
      </c>
      <c r="O30" s="15">
        <f t="shared" si="0"/>
        <v>4.5714285714285712</v>
      </c>
      <c r="P30" s="15">
        <f t="shared" si="1"/>
        <v>28.714285714285715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0</v>
      </c>
      <c r="AF30" s="31">
        <f t="shared" si="22"/>
        <v>2</v>
      </c>
    </row>
    <row r="31" spans="2:32" ht="23.1" customHeight="1" x14ac:dyDescent="0.25">
      <c r="B31" s="24" t="s">
        <v>58</v>
      </c>
      <c r="C31" s="49">
        <f>'Avg Week Kanoni-Mityana'!C31+'Avg Week Mityana-Kanoni'!C31</f>
        <v>1.2857142857142856</v>
      </c>
      <c r="D31" s="49">
        <f>'Avg Week Kanoni-Mityana'!D31+'Avg Week Mityana-Kanoni'!D31</f>
        <v>0.2857142857142857</v>
      </c>
      <c r="E31" s="49">
        <f>'Avg Week Kanoni-Mityana'!E31+'Avg Week Mityana-Kanoni'!E31</f>
        <v>0.14285714285714285</v>
      </c>
      <c r="F31" s="49">
        <f>'Avg Week Kanoni-Mityana'!F31+'Avg Week Mityana-Kanoni'!F31</f>
        <v>0.42857142857142855</v>
      </c>
      <c r="G31" s="49">
        <f>'Avg Week Kanoni-Mityana'!G31+'Avg Week Mityana-Kanoni'!G31</f>
        <v>0</v>
      </c>
      <c r="H31" s="49">
        <f>'Avg Week Kanoni-Mityana'!H31+'Avg Week Mityana-Kanoni'!H31</f>
        <v>0</v>
      </c>
      <c r="I31" s="49">
        <f>'Avg Week Kanoni-Mityana'!I31+'Avg Week Mityana-Kanoni'!I31</f>
        <v>0.71428571428571419</v>
      </c>
      <c r="J31" s="49">
        <f>'Avg Week Kanoni-Mityana'!J31+'Avg Week Mityana-Kanoni'!J31</f>
        <v>0.2857142857142857</v>
      </c>
      <c r="K31" s="49">
        <f>'Avg Week Kanoni-Mityana'!K31+'Avg Week Mityana-Kanoni'!K31</f>
        <v>0.14285714285714285</v>
      </c>
      <c r="L31" s="49">
        <f>'Avg Week Kanoni-Mityana'!L31+'Avg Week Mityana-Kanoni'!L31</f>
        <v>0</v>
      </c>
      <c r="M31" s="49">
        <f>'Avg Week Kanoni-Mityana'!M31+'Avg Week Mityana-Kanoni'!M31</f>
        <v>25.428571428571431</v>
      </c>
      <c r="N31" s="49">
        <f>'Avg Week Kanoni-Mityana'!N31+'Avg Week Mityana-Kanoni'!N31</f>
        <v>0</v>
      </c>
      <c r="O31" s="15">
        <f t="shared" si="0"/>
        <v>3.2857142857142851</v>
      </c>
      <c r="P31" s="15">
        <f t="shared" si="1"/>
        <v>28.714285714285715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24" t="s">
        <v>59</v>
      </c>
      <c r="C32" s="49">
        <f>'Avg Week Kanoni-Mityana'!C32+'Avg Week Mityana-Kanoni'!C32</f>
        <v>1.7142857142857142</v>
      </c>
      <c r="D32" s="49">
        <f>'Avg Week Kanoni-Mityana'!D32+'Avg Week Mityana-Kanoni'!D32</f>
        <v>0.2857142857142857</v>
      </c>
      <c r="E32" s="49">
        <f>'Avg Week Kanoni-Mityana'!E32+'Avg Week Mityana-Kanoni'!E32</f>
        <v>0.14285714285714285</v>
      </c>
      <c r="F32" s="49">
        <f>'Avg Week Kanoni-Mityana'!F32+'Avg Week Mityana-Kanoni'!F32</f>
        <v>0.2857142857142857</v>
      </c>
      <c r="G32" s="49">
        <f>'Avg Week Kanoni-Mityana'!G32+'Avg Week Mityana-Kanoni'!G32</f>
        <v>0.14285714285714285</v>
      </c>
      <c r="H32" s="49">
        <f>'Avg Week Kanoni-Mityana'!H32+'Avg Week Mityana-Kanoni'!H32</f>
        <v>0</v>
      </c>
      <c r="I32" s="49">
        <f>'Avg Week Kanoni-Mityana'!I32+'Avg Week Mityana-Kanoni'!I32</f>
        <v>1.1428571428571428</v>
      </c>
      <c r="J32" s="49">
        <f>'Avg Week Kanoni-Mityana'!J32+'Avg Week Mityana-Kanoni'!J32</f>
        <v>0.14285714285714285</v>
      </c>
      <c r="K32" s="49">
        <f>'Avg Week Kanoni-Mityana'!K32+'Avg Week Mityana-Kanoni'!K32</f>
        <v>0</v>
      </c>
      <c r="L32" s="49">
        <f>'Avg Week Kanoni-Mityana'!L32+'Avg Week Mityana-Kanoni'!L32</f>
        <v>0</v>
      </c>
      <c r="M32" s="49">
        <f>'Avg Week Kanoni-Mityana'!M32+'Avg Week Mityana-Kanoni'!M32</f>
        <v>25.428571428571431</v>
      </c>
      <c r="N32" s="49">
        <f>'Avg Week Kanoni-Mityana'!N32+'Avg Week Mityana-Kanoni'!N32</f>
        <v>0</v>
      </c>
      <c r="O32" s="15">
        <f t="shared" si="0"/>
        <v>3.8571428571428568</v>
      </c>
      <c r="P32" s="15">
        <f t="shared" si="1"/>
        <v>29.285714285714288</v>
      </c>
      <c r="R32" s="1" t="s">
        <v>156</v>
      </c>
      <c r="S32" s="34">
        <f>SUM(C98:C101)</f>
        <v>0.5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4.5</v>
      </c>
      <c r="AD32" s="34">
        <f t="shared" si="24"/>
        <v>0</v>
      </c>
      <c r="AE32" s="31">
        <f t="shared" si="24"/>
        <v>0.5</v>
      </c>
      <c r="AF32" s="31">
        <f t="shared" si="24"/>
        <v>5</v>
      </c>
    </row>
    <row r="33" spans="2:32" ht="23.1" customHeight="1" x14ac:dyDescent="0.25">
      <c r="B33" s="23" t="s">
        <v>60</v>
      </c>
      <c r="C33" s="49">
        <f>'Avg Week Kanoni-Mityana'!C33+'Avg Week Mityana-Kanoni'!C33</f>
        <v>1.5714285714285714</v>
      </c>
      <c r="D33" s="49">
        <f>'Avg Week Kanoni-Mityana'!D33+'Avg Week Mityana-Kanoni'!D33</f>
        <v>0.2857142857142857</v>
      </c>
      <c r="E33" s="49">
        <f>'Avg Week Kanoni-Mityana'!E33+'Avg Week Mityana-Kanoni'!E33</f>
        <v>0.42857142857142855</v>
      </c>
      <c r="F33" s="49">
        <f>'Avg Week Kanoni-Mityana'!F33+'Avg Week Mityana-Kanoni'!F33</f>
        <v>0.42857142857142855</v>
      </c>
      <c r="G33" s="49">
        <f>'Avg Week Kanoni-Mityana'!G33+'Avg Week Mityana-Kanoni'!G33</f>
        <v>0</v>
      </c>
      <c r="H33" s="49">
        <f>'Avg Week Kanoni-Mityana'!H33+'Avg Week Mityana-Kanoni'!H33</f>
        <v>0</v>
      </c>
      <c r="I33" s="49">
        <f>'Avg Week Kanoni-Mityana'!I33+'Avg Week Mityana-Kanoni'!I33</f>
        <v>0.8571428571428571</v>
      </c>
      <c r="J33" s="49">
        <f>'Avg Week Kanoni-Mityana'!J33+'Avg Week Mityana-Kanoni'!J33</f>
        <v>0.14285714285714285</v>
      </c>
      <c r="K33" s="49">
        <f>'Avg Week Kanoni-Mityana'!K33+'Avg Week Mityana-Kanoni'!K33</f>
        <v>0</v>
      </c>
      <c r="L33" s="49">
        <f>'Avg Week Kanoni-Mityana'!L33+'Avg Week Mityana-Kanoni'!L33</f>
        <v>0</v>
      </c>
      <c r="M33" s="49">
        <f>'Avg Week Kanoni-Mityana'!M33+'Avg Week Mityana-Kanoni'!M33</f>
        <v>27.714285714285715</v>
      </c>
      <c r="N33" s="49">
        <f>'Avg Week Kanoni-Mityana'!N33+'Avg Week Mityana-Kanoni'!N33</f>
        <v>0</v>
      </c>
      <c r="O33" s="15">
        <f t="shared" si="0"/>
        <v>3.714285714285714</v>
      </c>
      <c r="P33" s="15">
        <f t="shared" si="1"/>
        <v>31.428571428571431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0.5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26.5</v>
      </c>
      <c r="AD33" s="34">
        <f t="shared" si="25"/>
        <v>0</v>
      </c>
      <c r="AE33" s="31">
        <f t="shared" si="25"/>
        <v>1</v>
      </c>
      <c r="AF33" s="31">
        <f t="shared" si="25"/>
        <v>27.5</v>
      </c>
    </row>
    <row r="34" spans="2:32" ht="23.1" customHeight="1" x14ac:dyDescent="0.25">
      <c r="B34" s="24" t="s">
        <v>61</v>
      </c>
      <c r="C34" s="49">
        <f>'Avg Week Kanoni-Mityana'!C34+'Avg Week Mityana-Kanoni'!C34</f>
        <v>1.5714285714285714</v>
      </c>
      <c r="D34" s="49">
        <f>'Avg Week Kanoni-Mityana'!D34+'Avg Week Mityana-Kanoni'!D34</f>
        <v>0.2857142857142857</v>
      </c>
      <c r="E34" s="49">
        <f>'Avg Week Kanoni-Mityana'!E34+'Avg Week Mityana-Kanoni'!E34</f>
        <v>0.2857142857142857</v>
      </c>
      <c r="F34" s="49">
        <f>'Avg Week Kanoni-Mityana'!F34+'Avg Week Mityana-Kanoni'!F34</f>
        <v>0.71428571428571419</v>
      </c>
      <c r="G34" s="49">
        <f>'Avg Week Kanoni-Mityana'!G34+'Avg Week Mityana-Kanoni'!G34</f>
        <v>0</v>
      </c>
      <c r="H34" s="49">
        <f>'Avg Week Kanoni-Mityana'!H34+'Avg Week Mityana-Kanoni'!H34</f>
        <v>0</v>
      </c>
      <c r="I34" s="49">
        <f>'Avg Week Kanoni-Mityana'!I34+'Avg Week Mityana-Kanoni'!I34</f>
        <v>1</v>
      </c>
      <c r="J34" s="49">
        <f>'Avg Week Kanoni-Mityana'!J34+'Avg Week Mityana-Kanoni'!J34</f>
        <v>0.5714285714285714</v>
      </c>
      <c r="K34" s="49">
        <f>'Avg Week Kanoni-Mityana'!K34+'Avg Week Mityana-Kanoni'!K34</f>
        <v>0</v>
      </c>
      <c r="L34" s="49">
        <f>'Avg Week Kanoni-Mityana'!L34+'Avg Week Mityana-Kanoni'!L34</f>
        <v>0.2857142857142857</v>
      </c>
      <c r="M34" s="49">
        <f>'Avg Week Kanoni-Mityana'!M34+'Avg Week Mityana-Kanoni'!M34</f>
        <v>20.142857142857142</v>
      </c>
      <c r="N34" s="49">
        <f>'Avg Week Kanoni-Mityana'!N34+'Avg Week Mityana-Kanoni'!N34</f>
        <v>0</v>
      </c>
      <c r="O34" s="15">
        <f t="shared" si="0"/>
        <v>4.7142857142857135</v>
      </c>
      <c r="P34" s="15">
        <f t="shared" si="1"/>
        <v>24.857142857142854</v>
      </c>
      <c r="R34" s="51" t="s">
        <v>90</v>
      </c>
      <c r="S34" s="52">
        <f t="shared" ref="S34:AF34" si="26">MAX(S10:S12)</f>
        <v>6.4285714285714288</v>
      </c>
      <c r="T34" s="52">
        <f t="shared" si="26"/>
        <v>0.5714285714285714</v>
      </c>
      <c r="U34" s="52">
        <f t="shared" si="26"/>
        <v>1.2857142857142856</v>
      </c>
      <c r="V34" s="52">
        <f t="shared" si="26"/>
        <v>2.2857142857142856</v>
      </c>
      <c r="W34" s="52">
        <f t="shared" si="26"/>
        <v>0.42857142857142855</v>
      </c>
      <c r="X34" s="52">
        <f t="shared" si="26"/>
        <v>0</v>
      </c>
      <c r="Y34" s="52">
        <f t="shared" si="26"/>
        <v>3.5714285714285712</v>
      </c>
      <c r="Z34" s="52">
        <f t="shared" si="26"/>
        <v>0.71428571428571419</v>
      </c>
      <c r="AA34" s="52">
        <f t="shared" si="26"/>
        <v>0.42857142857142855</v>
      </c>
      <c r="AB34" s="52">
        <f t="shared" si="26"/>
        <v>0</v>
      </c>
      <c r="AC34" s="52">
        <f t="shared" si="26"/>
        <v>89.714285714285708</v>
      </c>
      <c r="AD34" s="52">
        <f t="shared" si="26"/>
        <v>0</v>
      </c>
      <c r="AE34" s="40">
        <f t="shared" si="26"/>
        <v>15.428571428571427</v>
      </c>
      <c r="AF34" s="40">
        <f t="shared" si="26"/>
        <v>105.14285714285714</v>
      </c>
    </row>
    <row r="35" spans="2:32" ht="23.1" customHeight="1" x14ac:dyDescent="0.25">
      <c r="B35" s="24" t="s">
        <v>62</v>
      </c>
      <c r="C35" s="49">
        <f>'Avg Week Kanoni-Mityana'!C35+'Avg Week Mityana-Kanoni'!C35</f>
        <v>1</v>
      </c>
      <c r="D35" s="49">
        <f>'Avg Week Kanoni-Mityana'!D35+'Avg Week Mityana-Kanoni'!D35</f>
        <v>0</v>
      </c>
      <c r="E35" s="49">
        <f>'Avg Week Kanoni-Mityana'!E35+'Avg Week Mityana-Kanoni'!E35</f>
        <v>0.14285714285714285</v>
      </c>
      <c r="F35" s="49">
        <f>'Avg Week Kanoni-Mityana'!F35+'Avg Week Mityana-Kanoni'!F35</f>
        <v>0.2857142857142857</v>
      </c>
      <c r="G35" s="49">
        <f>'Avg Week Kanoni-Mityana'!G35+'Avg Week Mityana-Kanoni'!G35</f>
        <v>0</v>
      </c>
      <c r="H35" s="49">
        <f>'Avg Week Kanoni-Mityana'!H35+'Avg Week Mityana-Kanoni'!H35</f>
        <v>0</v>
      </c>
      <c r="I35" s="49">
        <f>'Avg Week Kanoni-Mityana'!I35+'Avg Week Mityana-Kanoni'!I35</f>
        <v>0.42857142857142855</v>
      </c>
      <c r="J35" s="49">
        <f>'Avg Week Kanoni-Mityana'!J35+'Avg Week Mityana-Kanoni'!J35</f>
        <v>0</v>
      </c>
      <c r="K35" s="49">
        <f>'Avg Week Kanoni-Mityana'!K35+'Avg Week Mityana-Kanoni'!K35</f>
        <v>0</v>
      </c>
      <c r="L35" s="49">
        <f>'Avg Week Kanoni-Mityana'!L35+'Avg Week Mityana-Kanoni'!L35</f>
        <v>0</v>
      </c>
      <c r="M35" s="49">
        <f>'Avg Week Kanoni-Mityana'!M35+'Avg Week Mityana-Kanoni'!M35</f>
        <v>23</v>
      </c>
      <c r="N35" s="49">
        <f>'Avg Week Kanoni-Mityana'!N35+'Avg Week Mityana-Kanoni'!N35</f>
        <v>0</v>
      </c>
      <c r="O35" s="15">
        <f t="shared" si="0"/>
        <v>1.857142857142857</v>
      </c>
      <c r="P35" s="15">
        <f t="shared" si="1"/>
        <v>24.857142857142858</v>
      </c>
      <c r="R35" s="51" t="s">
        <v>91</v>
      </c>
      <c r="S35" s="52">
        <f t="shared" ref="S35:AF35" si="27">MAX(S13:S18)</f>
        <v>6.4285714285714288</v>
      </c>
      <c r="T35" s="52">
        <f t="shared" si="27"/>
        <v>2</v>
      </c>
      <c r="U35" s="52">
        <f t="shared" si="27"/>
        <v>1.7142857142857142</v>
      </c>
      <c r="V35" s="52">
        <f t="shared" si="27"/>
        <v>1.4285714285714284</v>
      </c>
      <c r="W35" s="52">
        <f t="shared" si="27"/>
        <v>0.2857142857142857</v>
      </c>
      <c r="X35" s="52">
        <f t="shared" si="27"/>
        <v>0.14285714285714285</v>
      </c>
      <c r="Y35" s="52">
        <f t="shared" si="27"/>
        <v>5.1428571428571423</v>
      </c>
      <c r="Z35" s="52">
        <f t="shared" si="27"/>
        <v>1.5714285714285712</v>
      </c>
      <c r="AA35" s="52">
        <f t="shared" si="27"/>
        <v>0.2857142857142857</v>
      </c>
      <c r="AB35" s="52">
        <f t="shared" si="27"/>
        <v>0.42857142857142855</v>
      </c>
      <c r="AC35" s="52">
        <f t="shared" si="27"/>
        <v>103</v>
      </c>
      <c r="AD35" s="52">
        <f t="shared" si="27"/>
        <v>0</v>
      </c>
      <c r="AE35" s="40">
        <f t="shared" si="27"/>
        <v>16.428571428571427</v>
      </c>
      <c r="AF35" s="40">
        <f t="shared" si="27"/>
        <v>118.14285714285715</v>
      </c>
    </row>
    <row r="36" spans="2:32" ht="23.1" customHeight="1" x14ac:dyDescent="0.25">
      <c r="B36" s="24" t="s">
        <v>63</v>
      </c>
      <c r="C36" s="49">
        <f>'Avg Week Kanoni-Mityana'!C36+'Avg Week Mityana-Kanoni'!C36</f>
        <v>1.8571428571428572</v>
      </c>
      <c r="D36" s="49">
        <f>'Avg Week Kanoni-Mityana'!D36+'Avg Week Mityana-Kanoni'!D36</f>
        <v>0.8571428571428571</v>
      </c>
      <c r="E36" s="49">
        <f>'Avg Week Kanoni-Mityana'!E36+'Avg Week Mityana-Kanoni'!E36</f>
        <v>0.71428571428571419</v>
      </c>
      <c r="F36" s="49">
        <f>'Avg Week Kanoni-Mityana'!F36+'Avg Week Mityana-Kanoni'!F36</f>
        <v>0.14285714285714285</v>
      </c>
      <c r="G36" s="49">
        <f>'Avg Week Kanoni-Mityana'!G36+'Avg Week Mityana-Kanoni'!G36</f>
        <v>0</v>
      </c>
      <c r="H36" s="49">
        <f>'Avg Week Kanoni-Mityana'!H36+'Avg Week Mityana-Kanoni'!H36</f>
        <v>0</v>
      </c>
      <c r="I36" s="49">
        <f>'Avg Week Kanoni-Mityana'!I36+'Avg Week Mityana-Kanoni'!I36</f>
        <v>1.1428571428571428</v>
      </c>
      <c r="J36" s="49">
        <f>'Avg Week Kanoni-Mityana'!J36+'Avg Week Mityana-Kanoni'!J36</f>
        <v>0.14285714285714285</v>
      </c>
      <c r="K36" s="49">
        <f>'Avg Week Kanoni-Mityana'!K36+'Avg Week Mityana-Kanoni'!K36</f>
        <v>0</v>
      </c>
      <c r="L36" s="49">
        <f>'Avg Week Kanoni-Mityana'!L36+'Avg Week Mityana-Kanoni'!L36</f>
        <v>0</v>
      </c>
      <c r="M36" s="49">
        <f>'Avg Week Kanoni-Mityana'!M36+'Avg Week Mityana-Kanoni'!M36</f>
        <v>25.142857142857142</v>
      </c>
      <c r="N36" s="49">
        <f>'Avg Week Kanoni-Mityana'!N36+'Avg Week Mityana-Kanoni'!N36</f>
        <v>0</v>
      </c>
      <c r="O36" s="15">
        <f t="shared" si="0"/>
        <v>4.8571428571428577</v>
      </c>
      <c r="P36" s="15">
        <f t="shared" si="1"/>
        <v>30</v>
      </c>
      <c r="R36" s="51" t="s">
        <v>92</v>
      </c>
      <c r="S36" s="52">
        <f t="shared" ref="S36:AF36" si="28">MAX(S19:S21)</f>
        <v>6.9999999999999991</v>
      </c>
      <c r="T36" s="52">
        <f t="shared" si="28"/>
        <v>0.8571428571428571</v>
      </c>
      <c r="U36" s="52">
        <f t="shared" si="28"/>
        <v>2.8571428571428572</v>
      </c>
      <c r="V36" s="52">
        <f t="shared" si="28"/>
        <v>3.4285714285714279</v>
      </c>
      <c r="W36" s="52">
        <f t="shared" si="28"/>
        <v>0.14285714285714285</v>
      </c>
      <c r="X36" s="52">
        <f t="shared" si="28"/>
        <v>0.14285714285714285</v>
      </c>
      <c r="Y36" s="52">
        <f t="shared" si="28"/>
        <v>6.4285714285714288</v>
      </c>
      <c r="Z36" s="52">
        <f t="shared" si="28"/>
        <v>1.4285714285714284</v>
      </c>
      <c r="AA36" s="52">
        <f t="shared" si="28"/>
        <v>0.42857142857142855</v>
      </c>
      <c r="AB36" s="52">
        <f t="shared" si="28"/>
        <v>0</v>
      </c>
      <c r="AC36" s="52">
        <f t="shared" si="28"/>
        <v>122.85714285714285</v>
      </c>
      <c r="AD36" s="52">
        <f t="shared" si="28"/>
        <v>0.14285714285714285</v>
      </c>
      <c r="AE36" s="40">
        <f t="shared" si="28"/>
        <v>19.285714285714285</v>
      </c>
      <c r="AF36" s="40">
        <f t="shared" si="28"/>
        <v>140.57142857142856</v>
      </c>
    </row>
    <row r="37" spans="2:32" ht="23.1" customHeight="1" x14ac:dyDescent="0.25">
      <c r="B37" s="23" t="s">
        <v>64</v>
      </c>
      <c r="C37" s="49">
        <f>'Avg Week Kanoni-Mityana'!C37+'Avg Week Mityana-Kanoni'!C37</f>
        <v>1.1428571428571428</v>
      </c>
      <c r="D37" s="49">
        <f>'Avg Week Kanoni-Mityana'!D37+'Avg Week Mityana-Kanoni'!D37</f>
        <v>0</v>
      </c>
      <c r="E37" s="49">
        <f>'Avg Week Kanoni-Mityana'!E37+'Avg Week Mityana-Kanoni'!E37</f>
        <v>0.42857142857142855</v>
      </c>
      <c r="F37" s="49">
        <f>'Avg Week Kanoni-Mityana'!F37+'Avg Week Mityana-Kanoni'!F37</f>
        <v>0.2857142857142857</v>
      </c>
      <c r="G37" s="49">
        <f>'Avg Week Kanoni-Mityana'!G37+'Avg Week Mityana-Kanoni'!G37</f>
        <v>0</v>
      </c>
      <c r="H37" s="49">
        <f>'Avg Week Kanoni-Mityana'!H37+'Avg Week Mityana-Kanoni'!H37</f>
        <v>0</v>
      </c>
      <c r="I37" s="49">
        <f>'Avg Week Kanoni-Mityana'!I37+'Avg Week Mityana-Kanoni'!I37</f>
        <v>1</v>
      </c>
      <c r="J37" s="49">
        <f>'Avg Week Kanoni-Mityana'!J37+'Avg Week Mityana-Kanoni'!J37</f>
        <v>0.2857142857142857</v>
      </c>
      <c r="K37" s="49">
        <f>'Avg Week Kanoni-Mityana'!K37+'Avg Week Mityana-Kanoni'!K37</f>
        <v>0</v>
      </c>
      <c r="L37" s="49">
        <f>'Avg Week Kanoni-Mityana'!L37+'Avg Week Mityana-Kanoni'!L37</f>
        <v>0</v>
      </c>
      <c r="M37" s="49">
        <f>'Avg Week Kanoni-Mityana'!M37+'Avg Week Mityana-Kanoni'!M37</f>
        <v>25</v>
      </c>
      <c r="N37" s="49">
        <f>'Avg Week Kanoni-Mityana'!N37+'Avg Week Mityana-Kanoni'!N37</f>
        <v>0</v>
      </c>
      <c r="O37" s="15">
        <f t="shared" si="0"/>
        <v>3.1428571428571428</v>
      </c>
      <c r="P37" s="15">
        <f t="shared" si="1"/>
        <v>28.142857142857142</v>
      </c>
      <c r="R37" s="37" t="s">
        <v>85</v>
      </c>
      <c r="S37" s="53">
        <f t="shared" ref="S37:AF37" si="29">SUM(S10:S12)</f>
        <v>12.857142857142858</v>
      </c>
      <c r="T37" s="54">
        <f t="shared" si="29"/>
        <v>1.4285714285714284</v>
      </c>
      <c r="U37" s="54">
        <f t="shared" si="29"/>
        <v>2.5714285714285712</v>
      </c>
      <c r="V37" s="54">
        <f t="shared" si="29"/>
        <v>5.1428571428571423</v>
      </c>
      <c r="W37" s="54">
        <f t="shared" si="29"/>
        <v>0.42857142857142855</v>
      </c>
      <c r="X37" s="54">
        <f t="shared" si="29"/>
        <v>0</v>
      </c>
      <c r="Y37" s="54">
        <f t="shared" si="29"/>
        <v>8.8571428571428577</v>
      </c>
      <c r="Z37" s="54">
        <f t="shared" si="29"/>
        <v>1.7142857142857142</v>
      </c>
      <c r="AA37" s="54">
        <f t="shared" si="29"/>
        <v>0.71428571428571419</v>
      </c>
      <c r="AB37" s="54">
        <f t="shared" si="29"/>
        <v>0</v>
      </c>
      <c r="AC37" s="54">
        <f t="shared" si="29"/>
        <v>240.42857142857144</v>
      </c>
      <c r="AD37" s="54">
        <f t="shared" si="29"/>
        <v>0</v>
      </c>
      <c r="AE37" s="55">
        <f t="shared" si="29"/>
        <v>33.714285714285708</v>
      </c>
      <c r="AF37" s="55">
        <f t="shared" si="29"/>
        <v>274.14285714285711</v>
      </c>
    </row>
    <row r="38" spans="2:32" ht="23.1" customHeight="1" x14ac:dyDescent="0.25">
      <c r="B38" s="24" t="s">
        <v>65</v>
      </c>
      <c r="C38" s="49">
        <f>'Avg Week Kanoni-Mityana'!C38+'Avg Week Mityana-Kanoni'!C38</f>
        <v>0.71428571428571419</v>
      </c>
      <c r="D38" s="49">
        <f>'Avg Week Kanoni-Mityana'!D38+'Avg Week Mityana-Kanoni'!D38</f>
        <v>1.4285714285714286</v>
      </c>
      <c r="E38" s="49">
        <f>'Avg Week Kanoni-Mityana'!E38+'Avg Week Mityana-Kanoni'!E38</f>
        <v>0</v>
      </c>
      <c r="F38" s="49">
        <f>'Avg Week Kanoni-Mityana'!F38+'Avg Week Mityana-Kanoni'!F38</f>
        <v>0.42857142857142855</v>
      </c>
      <c r="G38" s="49">
        <f>'Avg Week Kanoni-Mityana'!G38+'Avg Week Mityana-Kanoni'!G38</f>
        <v>0.14285714285714285</v>
      </c>
      <c r="H38" s="49">
        <f>'Avg Week Kanoni-Mityana'!H38+'Avg Week Mityana-Kanoni'!H38</f>
        <v>0</v>
      </c>
      <c r="I38" s="49">
        <f>'Avg Week Kanoni-Mityana'!I38+'Avg Week Mityana-Kanoni'!I38</f>
        <v>1</v>
      </c>
      <c r="J38" s="49">
        <f>'Avg Week Kanoni-Mityana'!J38+'Avg Week Mityana-Kanoni'!J38</f>
        <v>0.71428571428571419</v>
      </c>
      <c r="K38" s="49">
        <f>'Avg Week Kanoni-Mityana'!K38+'Avg Week Mityana-Kanoni'!K38</f>
        <v>0.14285714285714285</v>
      </c>
      <c r="L38" s="49">
        <f>'Avg Week Kanoni-Mityana'!L38+'Avg Week Mityana-Kanoni'!L38</f>
        <v>0.14285714285714285</v>
      </c>
      <c r="M38" s="49">
        <f>'Avg Week Kanoni-Mityana'!M38+'Avg Week Mityana-Kanoni'!M38</f>
        <v>23.428571428571431</v>
      </c>
      <c r="N38" s="49">
        <f>'Avg Week Kanoni-Mityana'!N38+'Avg Week Mityana-Kanoni'!N38</f>
        <v>0</v>
      </c>
      <c r="O38" s="15">
        <f t="shared" si="0"/>
        <v>4.7142857142857144</v>
      </c>
      <c r="P38" s="15">
        <f t="shared" si="1"/>
        <v>28.142857142857146</v>
      </c>
      <c r="R38" s="28" t="s">
        <v>86</v>
      </c>
      <c r="S38" s="54">
        <f t="shared" ref="S38:AF38" si="30">SUM(S13:S18)</f>
        <v>32.571428571428569</v>
      </c>
      <c r="T38" s="54">
        <f t="shared" si="30"/>
        <v>6.7142857142857135</v>
      </c>
      <c r="U38" s="54">
        <f t="shared" si="30"/>
        <v>8.1428571428571423</v>
      </c>
      <c r="V38" s="54">
        <f t="shared" si="30"/>
        <v>6.8571428571428559</v>
      </c>
      <c r="W38" s="54">
        <f t="shared" si="30"/>
        <v>0.5714285714285714</v>
      </c>
      <c r="X38" s="54">
        <f t="shared" si="30"/>
        <v>0.14285714285714285</v>
      </c>
      <c r="Y38" s="54">
        <f t="shared" si="30"/>
        <v>24.571428571428573</v>
      </c>
      <c r="Z38" s="54">
        <f t="shared" si="30"/>
        <v>7.1428571428571423</v>
      </c>
      <c r="AA38" s="54">
        <f t="shared" si="30"/>
        <v>0.5714285714285714</v>
      </c>
      <c r="AB38" s="54">
        <f t="shared" si="30"/>
        <v>0.71428571428571419</v>
      </c>
      <c r="AC38" s="54">
        <f t="shared" si="30"/>
        <v>586.14285714285711</v>
      </c>
      <c r="AD38" s="54">
        <f t="shared" si="30"/>
        <v>0</v>
      </c>
      <c r="AE38" s="55">
        <f t="shared" si="30"/>
        <v>87.999999999999986</v>
      </c>
      <c r="AF38" s="55">
        <f t="shared" si="30"/>
        <v>674.14285714285711</v>
      </c>
    </row>
    <row r="39" spans="2:32" ht="23.1" customHeight="1" x14ac:dyDescent="0.25">
      <c r="B39" s="24" t="s">
        <v>66</v>
      </c>
      <c r="C39" s="49">
        <f>'Avg Week Kanoni-Mityana'!C39+'Avg Week Mityana-Kanoni'!C39</f>
        <v>2.2857142857142856</v>
      </c>
      <c r="D39" s="49">
        <f>'Avg Week Kanoni-Mityana'!D39+'Avg Week Mityana-Kanoni'!D39</f>
        <v>0.14285714285714285</v>
      </c>
      <c r="E39" s="49">
        <f>'Avg Week Kanoni-Mityana'!E39+'Avg Week Mityana-Kanoni'!E39</f>
        <v>0.42857142857142855</v>
      </c>
      <c r="F39" s="49">
        <f>'Avg Week Kanoni-Mityana'!F39+'Avg Week Mityana-Kanoni'!F39</f>
        <v>0.42857142857142855</v>
      </c>
      <c r="G39" s="49">
        <f>'Avg Week Kanoni-Mityana'!G39+'Avg Week Mityana-Kanoni'!G39</f>
        <v>0</v>
      </c>
      <c r="H39" s="49">
        <f>'Avg Week Kanoni-Mityana'!H39+'Avg Week Mityana-Kanoni'!H39</f>
        <v>0</v>
      </c>
      <c r="I39" s="49">
        <f>'Avg Week Kanoni-Mityana'!I39+'Avg Week Mityana-Kanoni'!I39</f>
        <v>1</v>
      </c>
      <c r="J39" s="49">
        <f>'Avg Week Kanoni-Mityana'!J39+'Avg Week Mityana-Kanoni'!J39</f>
        <v>0</v>
      </c>
      <c r="K39" s="49">
        <f>'Avg Week Kanoni-Mityana'!K39+'Avg Week Mityana-Kanoni'!K39</f>
        <v>0</v>
      </c>
      <c r="L39" s="49">
        <f>'Avg Week Kanoni-Mityana'!L39+'Avg Week Mityana-Kanoni'!L39</f>
        <v>0.2857142857142857</v>
      </c>
      <c r="M39" s="49">
        <f>'Avg Week Kanoni-Mityana'!M39+'Avg Week Mityana-Kanoni'!M39</f>
        <v>23.714285714285715</v>
      </c>
      <c r="N39" s="49">
        <f>'Avg Week Kanoni-Mityana'!N39+'Avg Week Mityana-Kanoni'!N39</f>
        <v>0</v>
      </c>
      <c r="O39" s="15">
        <f t="shared" si="0"/>
        <v>4.5714285714285703</v>
      </c>
      <c r="P39" s="15">
        <f t="shared" si="1"/>
        <v>28.285714285714285</v>
      </c>
      <c r="R39" s="29" t="s">
        <v>87</v>
      </c>
      <c r="S39" s="54">
        <f t="shared" ref="S39:AF39" si="31">SUM(S19:S21)</f>
        <v>17.428571428571427</v>
      </c>
      <c r="T39" s="54">
        <f t="shared" si="31"/>
        <v>2.4285714285714284</v>
      </c>
      <c r="U39" s="54">
        <f t="shared" si="31"/>
        <v>8.428571428571427</v>
      </c>
      <c r="V39" s="54">
        <f t="shared" si="31"/>
        <v>6.1428571428571423</v>
      </c>
      <c r="W39" s="54">
        <f t="shared" si="31"/>
        <v>0.14285714285714285</v>
      </c>
      <c r="X39" s="54">
        <f t="shared" si="31"/>
        <v>0.14285714285714285</v>
      </c>
      <c r="Y39" s="54">
        <f t="shared" si="31"/>
        <v>16.428571428571427</v>
      </c>
      <c r="Z39" s="54">
        <f t="shared" si="31"/>
        <v>3.8571428571428568</v>
      </c>
      <c r="AA39" s="54">
        <f t="shared" si="31"/>
        <v>0.5714285714285714</v>
      </c>
      <c r="AB39" s="54">
        <f t="shared" si="31"/>
        <v>0</v>
      </c>
      <c r="AC39" s="54">
        <f t="shared" si="31"/>
        <v>347.14285714285711</v>
      </c>
      <c r="AD39" s="54">
        <f t="shared" si="31"/>
        <v>0.14285714285714285</v>
      </c>
      <c r="AE39" s="55">
        <f t="shared" si="31"/>
        <v>55.714285714285715</v>
      </c>
      <c r="AF39" s="55">
        <f t="shared" si="31"/>
        <v>402.85714285714283</v>
      </c>
    </row>
    <row r="40" spans="2:32" ht="23.1" customHeight="1" x14ac:dyDescent="0.25">
      <c r="B40" s="24" t="s">
        <v>67</v>
      </c>
      <c r="C40" s="49">
        <f>'Avg Week Kanoni-Mityana'!C40+'Avg Week Mityana-Kanoni'!C40</f>
        <v>1.8571428571428572</v>
      </c>
      <c r="D40" s="49">
        <f>'Avg Week Kanoni-Mityana'!D40+'Avg Week Mityana-Kanoni'!D40</f>
        <v>0.2857142857142857</v>
      </c>
      <c r="E40" s="49">
        <f>'Avg Week Kanoni-Mityana'!E40+'Avg Week Mityana-Kanoni'!E40</f>
        <v>0.2857142857142857</v>
      </c>
      <c r="F40" s="49">
        <f>'Avg Week Kanoni-Mityana'!F40+'Avg Week Mityana-Kanoni'!F40</f>
        <v>0.42857142857142855</v>
      </c>
      <c r="G40" s="49">
        <f>'Avg Week Kanoni-Mityana'!G40+'Avg Week Mityana-Kanoni'!G40</f>
        <v>0</v>
      </c>
      <c r="H40" s="49">
        <f>'Avg Week Kanoni-Mityana'!H40+'Avg Week Mityana-Kanoni'!H40</f>
        <v>0</v>
      </c>
      <c r="I40" s="49">
        <f>'Avg Week Kanoni-Mityana'!I40+'Avg Week Mityana-Kanoni'!I40</f>
        <v>0.71428571428571419</v>
      </c>
      <c r="J40" s="49">
        <f>'Avg Week Kanoni-Mityana'!J40+'Avg Week Mityana-Kanoni'!J40</f>
        <v>0.5714285714285714</v>
      </c>
      <c r="K40" s="49">
        <f>'Avg Week Kanoni-Mityana'!K40+'Avg Week Mityana-Kanoni'!K40</f>
        <v>0</v>
      </c>
      <c r="L40" s="49">
        <f>'Avg Week Kanoni-Mityana'!L40+'Avg Week Mityana-Kanoni'!L40</f>
        <v>0</v>
      </c>
      <c r="M40" s="49">
        <f>'Avg Week Kanoni-Mityana'!M40+'Avg Week Mityana-Kanoni'!M40</f>
        <v>25.857142857142854</v>
      </c>
      <c r="N40" s="49">
        <f>'Avg Week Kanoni-Mityana'!N40+'Avg Week Mityana-Kanoni'!N40</f>
        <v>0</v>
      </c>
      <c r="O40" s="15">
        <f t="shared" si="0"/>
        <v>4.1428571428571423</v>
      </c>
      <c r="P40" s="15">
        <f t="shared" si="1"/>
        <v>29.999999999999996</v>
      </c>
      <c r="R40" s="5" t="s">
        <v>17</v>
      </c>
      <c r="S40" s="54">
        <f t="shared" ref="S40:AF40" si="32">SUM(S10:S21)</f>
        <v>62.857142857142861</v>
      </c>
      <c r="T40" s="54">
        <f t="shared" si="32"/>
        <v>10.571428571428571</v>
      </c>
      <c r="U40" s="54">
        <f t="shared" si="32"/>
        <v>19.142857142857142</v>
      </c>
      <c r="V40" s="54">
        <f t="shared" si="32"/>
        <v>18.142857142857142</v>
      </c>
      <c r="W40" s="54">
        <f t="shared" si="32"/>
        <v>1.1428571428571428</v>
      </c>
      <c r="X40" s="54">
        <f t="shared" si="32"/>
        <v>0.2857142857142857</v>
      </c>
      <c r="Y40" s="54">
        <f t="shared" si="32"/>
        <v>49.857142857142861</v>
      </c>
      <c r="Z40" s="54">
        <f t="shared" si="32"/>
        <v>12.714285714285714</v>
      </c>
      <c r="AA40" s="54">
        <f t="shared" si="32"/>
        <v>1.857142857142857</v>
      </c>
      <c r="AB40" s="54">
        <f t="shared" si="32"/>
        <v>0.71428571428571419</v>
      </c>
      <c r="AC40" s="54">
        <f t="shared" si="32"/>
        <v>1173.7142857142856</v>
      </c>
      <c r="AD40" s="54">
        <f t="shared" si="32"/>
        <v>0.14285714285714285</v>
      </c>
      <c r="AE40" s="55">
        <f t="shared" si="32"/>
        <v>177.42857142857142</v>
      </c>
      <c r="AF40" s="55">
        <f t="shared" si="32"/>
        <v>1351.1428571428573</v>
      </c>
    </row>
    <row r="41" spans="2:32" ht="23.1" customHeight="1" x14ac:dyDescent="0.25">
      <c r="B41" s="23" t="s">
        <v>68</v>
      </c>
      <c r="C41" s="49">
        <f>'Avg Week Kanoni-Mityana'!C41+'Avg Week Mityana-Kanoni'!C41</f>
        <v>1.5714285714285714</v>
      </c>
      <c r="D41" s="49">
        <f>'Avg Week Kanoni-Mityana'!D41+'Avg Week Mityana-Kanoni'!D41</f>
        <v>0.14285714285714285</v>
      </c>
      <c r="E41" s="49">
        <f>'Avg Week Kanoni-Mityana'!E41+'Avg Week Mityana-Kanoni'!E41</f>
        <v>0.2857142857142857</v>
      </c>
      <c r="F41" s="49">
        <f>'Avg Week Kanoni-Mityana'!F41+'Avg Week Mityana-Kanoni'!F41</f>
        <v>0</v>
      </c>
      <c r="G41" s="49">
        <f>'Avg Week Kanoni-Mityana'!G41+'Avg Week Mityana-Kanoni'!G41</f>
        <v>0</v>
      </c>
      <c r="H41" s="49">
        <f>'Avg Week Kanoni-Mityana'!H41+'Avg Week Mityana-Kanoni'!H41</f>
        <v>0</v>
      </c>
      <c r="I41" s="49">
        <f>'Avg Week Kanoni-Mityana'!I41+'Avg Week Mityana-Kanoni'!I41</f>
        <v>0.71428571428571419</v>
      </c>
      <c r="J41" s="49">
        <f>'Avg Week Kanoni-Mityana'!J41+'Avg Week Mityana-Kanoni'!J41</f>
        <v>0.2857142857142857</v>
      </c>
      <c r="K41" s="49">
        <f>'Avg Week Kanoni-Mityana'!K41+'Avg Week Mityana-Kanoni'!K41</f>
        <v>0</v>
      </c>
      <c r="L41" s="49">
        <f>'Avg Week Kanoni-Mityana'!L41+'Avg Week Mityana-Kanoni'!L41</f>
        <v>0</v>
      </c>
      <c r="M41" s="49">
        <f>'Avg Week Kanoni-Mityana'!M41+'Avg Week Mityana-Kanoni'!M41</f>
        <v>23.142857142857142</v>
      </c>
      <c r="N41" s="49">
        <f>'Avg Week Kanoni-Mityana'!N41+'Avg Week Mityana-Kanoni'!N41</f>
        <v>0</v>
      </c>
      <c r="O41" s="15">
        <f t="shared" si="0"/>
        <v>3</v>
      </c>
      <c r="P41" s="15">
        <f t="shared" si="1"/>
        <v>26.142857142857142</v>
      </c>
      <c r="R41" s="5" t="s">
        <v>183</v>
      </c>
      <c r="S41" s="54">
        <f>SUM(S10:S33)</f>
        <v>84.857142857142861</v>
      </c>
      <c r="T41" s="54">
        <f t="shared" ref="T41:AD41" si="33">SUM(T10:T33)</f>
        <v>12.071428571428571</v>
      </c>
      <c r="U41" s="54">
        <f t="shared" si="33"/>
        <v>23.642857142857142</v>
      </c>
      <c r="V41" s="54">
        <f t="shared" si="33"/>
        <v>20.142857142857142</v>
      </c>
      <c r="W41" s="54">
        <f t="shared" si="33"/>
        <v>1.1428571428571428</v>
      </c>
      <c r="X41" s="54">
        <f t="shared" si="33"/>
        <v>0.2857142857142857</v>
      </c>
      <c r="Y41" s="54">
        <f t="shared" si="33"/>
        <v>59.357142857142861</v>
      </c>
      <c r="Z41" s="54">
        <f t="shared" si="33"/>
        <v>13.714285714285714</v>
      </c>
      <c r="AA41" s="54">
        <f t="shared" si="33"/>
        <v>5.3571428571428568</v>
      </c>
      <c r="AB41" s="54">
        <f t="shared" si="33"/>
        <v>0.71428571428571419</v>
      </c>
      <c r="AC41" s="54">
        <f t="shared" si="33"/>
        <v>1474.2142857142856</v>
      </c>
      <c r="AD41" s="54">
        <f t="shared" si="33"/>
        <v>0.14285714285714285</v>
      </c>
      <c r="AE41" s="55">
        <f>SUM(AE10:AE33)</f>
        <v>221.42857142857142</v>
      </c>
      <c r="AF41" s="55">
        <f>SUM(AF10:AF33)</f>
        <v>1695.6428571428573</v>
      </c>
    </row>
    <row r="42" spans="2:32" ht="23.1" customHeight="1" x14ac:dyDescent="0.25">
      <c r="B42" s="24" t="s">
        <v>69</v>
      </c>
      <c r="C42" s="49">
        <f>'Avg Week Kanoni-Mityana'!C42+'Avg Week Mityana-Kanoni'!C42</f>
        <v>1.4285714285714286</v>
      </c>
      <c r="D42" s="49">
        <f>'Avg Week Kanoni-Mityana'!D42+'Avg Week Mityana-Kanoni'!D42</f>
        <v>0.2857142857142857</v>
      </c>
      <c r="E42" s="49">
        <f>'Avg Week Kanoni-Mityana'!E42+'Avg Week Mityana-Kanoni'!E42</f>
        <v>0.14285714285714285</v>
      </c>
      <c r="F42" s="49">
        <f>'Avg Week Kanoni-Mityana'!F42+'Avg Week Mityana-Kanoni'!F42</f>
        <v>0.2857142857142857</v>
      </c>
      <c r="G42" s="49">
        <f>'Avg Week Kanoni-Mityana'!G42+'Avg Week Mityana-Kanoni'!G42</f>
        <v>0</v>
      </c>
      <c r="H42" s="49">
        <f>'Avg Week Kanoni-Mityana'!H42+'Avg Week Mityana-Kanoni'!H42</f>
        <v>0</v>
      </c>
      <c r="I42" s="49">
        <f>'Avg Week Kanoni-Mityana'!I42+'Avg Week Mityana-Kanoni'!I42</f>
        <v>0.8571428571428571</v>
      </c>
      <c r="J42" s="49">
        <f>'Avg Week Kanoni-Mityana'!J42+'Avg Week Mityana-Kanoni'!J42</f>
        <v>0.2857142857142857</v>
      </c>
      <c r="K42" s="49">
        <f>'Avg Week Kanoni-Mityana'!K42+'Avg Week Mityana-Kanoni'!K42</f>
        <v>0</v>
      </c>
      <c r="L42" s="49">
        <f>'Avg Week Kanoni-Mityana'!L42+'Avg Week Mityana-Kanoni'!L42</f>
        <v>0</v>
      </c>
      <c r="M42" s="49">
        <f>'Avg Week Kanoni-Mityana'!M42+'Avg Week Mityana-Kanoni'!M42</f>
        <v>26.142857142857142</v>
      </c>
      <c r="N42" s="49">
        <f>'Avg Week Kanoni-Mityana'!N42+'Avg Week Mityana-Kanoni'!N42</f>
        <v>0</v>
      </c>
      <c r="O42" s="15">
        <f t="shared" si="0"/>
        <v>3.2857142857142856</v>
      </c>
      <c r="P42" s="15">
        <f t="shared" si="1"/>
        <v>29.428571428571427</v>
      </c>
      <c r="R42" s="5" t="s">
        <v>160</v>
      </c>
      <c r="S42" s="48">
        <f>S41/S40</f>
        <v>1.3499999999999999</v>
      </c>
      <c r="T42" s="48">
        <f t="shared" ref="T42:AF42" si="34">T41/T40</f>
        <v>1.1418918918918919</v>
      </c>
      <c r="U42" s="48">
        <f t="shared" si="34"/>
        <v>1.2350746268656716</v>
      </c>
      <c r="V42" s="48">
        <f t="shared" si="34"/>
        <v>1.110236220472441</v>
      </c>
      <c r="W42" s="48">
        <f t="shared" si="34"/>
        <v>1</v>
      </c>
      <c r="X42" s="48">
        <f t="shared" si="34"/>
        <v>1</v>
      </c>
      <c r="Y42" s="48">
        <f t="shared" si="34"/>
        <v>1.1905444126074498</v>
      </c>
      <c r="Z42" s="48">
        <f t="shared" si="34"/>
        <v>1.0786516853932584</v>
      </c>
      <c r="AA42" s="48">
        <f t="shared" si="34"/>
        <v>2.8846153846153846</v>
      </c>
      <c r="AB42" s="48">
        <f t="shared" si="34"/>
        <v>1</v>
      </c>
      <c r="AC42" s="48">
        <f t="shared" si="34"/>
        <v>1.256024829600779</v>
      </c>
      <c r="AD42" s="48">
        <f t="shared" si="34"/>
        <v>1</v>
      </c>
      <c r="AE42" s="56">
        <f t="shared" si="34"/>
        <v>1.2479871175523349</v>
      </c>
      <c r="AF42" s="56">
        <f t="shared" si="34"/>
        <v>1.2549693381264537</v>
      </c>
    </row>
    <row r="43" spans="2:32" ht="23.1" customHeight="1" x14ac:dyDescent="0.25">
      <c r="B43" s="23" t="s">
        <v>70</v>
      </c>
      <c r="C43" s="49">
        <f>'Avg Week Kanoni-Mityana'!C43+'Avg Week Mityana-Kanoni'!C43</f>
        <v>0.5714285714285714</v>
      </c>
      <c r="D43" s="49">
        <f>'Avg Week Kanoni-Mityana'!D43+'Avg Week Mityana-Kanoni'!D43</f>
        <v>0</v>
      </c>
      <c r="E43" s="49">
        <f>'Avg Week Kanoni-Mityana'!E43+'Avg Week Mityana-Kanoni'!E43</f>
        <v>0.14285714285714285</v>
      </c>
      <c r="F43" s="49">
        <f>'Avg Week Kanoni-Mityana'!F43+'Avg Week Mityana-Kanoni'!F43</f>
        <v>0.14285714285714285</v>
      </c>
      <c r="G43" s="49">
        <f>'Avg Week Kanoni-Mityana'!G43+'Avg Week Mityana-Kanoni'!G43</f>
        <v>0</v>
      </c>
      <c r="H43" s="49">
        <f>'Avg Week Kanoni-Mityana'!H43+'Avg Week Mityana-Kanoni'!H43</f>
        <v>0</v>
      </c>
      <c r="I43" s="49">
        <f>'Avg Week Kanoni-Mityana'!I43+'Avg Week Mityana-Kanoni'!I43</f>
        <v>2</v>
      </c>
      <c r="J43" s="49">
        <f>'Avg Week Kanoni-Mityana'!J43+'Avg Week Mityana-Kanoni'!J43</f>
        <v>0.5714285714285714</v>
      </c>
      <c r="K43" s="49">
        <f>'Avg Week Kanoni-Mityana'!K43+'Avg Week Mityana-Kanoni'!K43</f>
        <v>0</v>
      </c>
      <c r="L43" s="49">
        <f>'Avg Week Kanoni-Mityana'!L43+'Avg Week Mityana-Kanoni'!L43</f>
        <v>0</v>
      </c>
      <c r="M43" s="49">
        <f>'Avg Week Kanoni-Mityana'!M43+'Avg Week Mityana-Kanoni'!M43</f>
        <v>23.428571428571431</v>
      </c>
      <c r="N43" s="49">
        <f>'Avg Week Kanoni-Mityana'!N43+'Avg Week Mityana-Kanoni'!N43</f>
        <v>0</v>
      </c>
      <c r="O43" s="15">
        <f t="shared" si="0"/>
        <v>3.4285714285714279</v>
      </c>
      <c r="P43" s="15">
        <f t="shared" si="1"/>
        <v>26.857142857142858</v>
      </c>
      <c r="R43"/>
      <c r="S43" s="19"/>
      <c r="T43" s="19"/>
    </row>
    <row r="44" spans="2:32" ht="23.1" customHeight="1" x14ac:dyDescent="0.25">
      <c r="B44" s="25" t="s">
        <v>71</v>
      </c>
      <c r="C44" s="49">
        <f>'Avg Week Kanoni-Mityana'!C44+'Avg Week Mityana-Kanoni'!C44</f>
        <v>1.2857142857142856</v>
      </c>
      <c r="D44" s="49">
        <f>'Avg Week Kanoni-Mityana'!D44+'Avg Week Mityana-Kanoni'!D44</f>
        <v>0.42857142857142855</v>
      </c>
      <c r="E44" s="49">
        <f>'Avg Week Kanoni-Mityana'!E44+'Avg Week Mityana-Kanoni'!E44</f>
        <v>0.42857142857142855</v>
      </c>
      <c r="F44" s="49">
        <f>'Avg Week Kanoni-Mityana'!F44+'Avg Week Mityana-Kanoni'!F44</f>
        <v>0.14285714285714285</v>
      </c>
      <c r="G44" s="49">
        <f>'Avg Week Kanoni-Mityana'!G44+'Avg Week Mityana-Kanoni'!G44</f>
        <v>0</v>
      </c>
      <c r="H44" s="49">
        <f>'Avg Week Kanoni-Mityana'!H44+'Avg Week Mityana-Kanoni'!H44</f>
        <v>0</v>
      </c>
      <c r="I44" s="49">
        <f>'Avg Week Kanoni-Mityana'!I44+'Avg Week Mityana-Kanoni'!I44</f>
        <v>1.2857142857142856</v>
      </c>
      <c r="J44" s="49">
        <f>'Avg Week Kanoni-Mityana'!J44+'Avg Week Mityana-Kanoni'!J44</f>
        <v>0.2857142857142857</v>
      </c>
      <c r="K44" s="49">
        <f>'Avg Week Kanoni-Mityana'!K44+'Avg Week Mityana-Kanoni'!K44</f>
        <v>0</v>
      </c>
      <c r="L44" s="49">
        <f>'Avg Week Kanoni-Mityana'!L44+'Avg Week Mityana-Kanoni'!L44</f>
        <v>0</v>
      </c>
      <c r="M44" s="49">
        <f>'Avg Week Kanoni-Mityana'!M44+'Avg Week Mityana-Kanoni'!M44</f>
        <v>24.428571428571431</v>
      </c>
      <c r="N44" s="49">
        <f>'Avg Week Kanoni-Mityana'!N44+'Avg Week Mityana-Kanoni'!N44</f>
        <v>0</v>
      </c>
      <c r="O44" s="15">
        <f t="shared" si="0"/>
        <v>3.8571428571428568</v>
      </c>
      <c r="P44" s="15">
        <f t="shared" si="1"/>
        <v>28.285714285714288</v>
      </c>
    </row>
    <row r="45" spans="2:32" ht="23.1" customHeight="1" x14ac:dyDescent="0.25">
      <c r="B45" s="23" t="s">
        <v>72</v>
      </c>
      <c r="C45" s="49">
        <f>'Avg Week Kanoni-Mityana'!C45+'Avg Week Mityana-Kanoni'!C45</f>
        <v>1.7142857142857144</v>
      </c>
      <c r="D45" s="49">
        <f>'Avg Week Kanoni-Mityana'!D45+'Avg Week Mityana-Kanoni'!D45</f>
        <v>0.14285714285714285</v>
      </c>
      <c r="E45" s="49">
        <f>'Avg Week Kanoni-Mityana'!E45+'Avg Week Mityana-Kanoni'!E45</f>
        <v>0.14285714285714285</v>
      </c>
      <c r="F45" s="49">
        <f>'Avg Week Kanoni-Mityana'!F45+'Avg Week Mityana-Kanoni'!F45</f>
        <v>0.2857142857142857</v>
      </c>
      <c r="G45" s="49">
        <f>'Avg Week Kanoni-Mityana'!G45+'Avg Week Mityana-Kanoni'!G45</f>
        <v>0</v>
      </c>
      <c r="H45" s="49">
        <f>'Avg Week Kanoni-Mityana'!H45+'Avg Week Mityana-Kanoni'!H45</f>
        <v>0</v>
      </c>
      <c r="I45" s="49">
        <f>'Avg Week Kanoni-Mityana'!I45+'Avg Week Mityana-Kanoni'!I45</f>
        <v>1</v>
      </c>
      <c r="J45" s="49">
        <f>'Avg Week Kanoni-Mityana'!J45+'Avg Week Mityana-Kanoni'!J45</f>
        <v>0.2857142857142857</v>
      </c>
      <c r="K45" s="49">
        <f>'Avg Week Kanoni-Mityana'!K45+'Avg Week Mityana-Kanoni'!K45</f>
        <v>0</v>
      </c>
      <c r="L45" s="49">
        <f>'Avg Week Kanoni-Mityana'!L45+'Avg Week Mityana-Kanoni'!L45</f>
        <v>0</v>
      </c>
      <c r="M45" s="49">
        <f>'Avg Week Kanoni-Mityana'!M45+'Avg Week Mityana-Kanoni'!M45</f>
        <v>29</v>
      </c>
      <c r="N45" s="49">
        <f>'Avg Week Kanoni-Mityana'!N45+'Avg Week Mityana-Kanoni'!N45</f>
        <v>0</v>
      </c>
      <c r="O45" s="15">
        <f t="shared" si="0"/>
        <v>3.5714285714285712</v>
      </c>
      <c r="P45" s="15">
        <f t="shared" si="1"/>
        <v>32.571428571428569</v>
      </c>
    </row>
    <row r="46" spans="2:32" ht="23.1" customHeight="1" x14ac:dyDescent="0.25">
      <c r="B46" s="24" t="s">
        <v>73</v>
      </c>
      <c r="C46" s="49">
        <f>'Avg Week Kanoni-Mityana'!C46+'Avg Week Mityana-Kanoni'!C46</f>
        <v>1.4285714285714286</v>
      </c>
      <c r="D46" s="49">
        <f>'Avg Week Kanoni-Mityana'!D46+'Avg Week Mityana-Kanoni'!D46</f>
        <v>0</v>
      </c>
      <c r="E46" s="49">
        <f>'Avg Week Kanoni-Mityana'!E46+'Avg Week Mityana-Kanoni'!E46</f>
        <v>0.8571428571428571</v>
      </c>
      <c r="F46" s="49">
        <f>'Avg Week Kanoni-Mityana'!F46+'Avg Week Mityana-Kanoni'!F46</f>
        <v>0.2857142857142857</v>
      </c>
      <c r="G46" s="49">
        <f>'Avg Week Kanoni-Mityana'!G46+'Avg Week Mityana-Kanoni'!G46</f>
        <v>0</v>
      </c>
      <c r="H46" s="49">
        <f>'Avg Week Kanoni-Mityana'!H46+'Avg Week Mityana-Kanoni'!H46</f>
        <v>0</v>
      </c>
      <c r="I46" s="49">
        <f>'Avg Week Kanoni-Mityana'!I46+'Avg Week Mityana-Kanoni'!I46</f>
        <v>2.1428571428571428</v>
      </c>
      <c r="J46" s="49">
        <f>'Avg Week Kanoni-Mityana'!J46+'Avg Week Mityana-Kanoni'!J46</f>
        <v>0.71428571428571419</v>
      </c>
      <c r="K46" s="49">
        <f>'Avg Week Kanoni-Mityana'!K46+'Avg Week Mityana-Kanoni'!K46</f>
        <v>0</v>
      </c>
      <c r="L46" s="49">
        <f>'Avg Week Kanoni-Mityana'!L46+'Avg Week Mityana-Kanoni'!L46</f>
        <v>0</v>
      </c>
      <c r="M46" s="49">
        <f>'Avg Week Kanoni-Mityana'!M46+'Avg Week Mityana-Kanoni'!M46</f>
        <v>28</v>
      </c>
      <c r="N46" s="49">
        <f>'Avg Week Kanoni-Mityana'!N46+'Avg Week Mityana-Kanoni'!N46</f>
        <v>0</v>
      </c>
      <c r="O46" s="15">
        <f t="shared" si="0"/>
        <v>5.4285714285714279</v>
      </c>
      <c r="P46" s="15">
        <f t="shared" si="1"/>
        <v>33.428571428571431</v>
      </c>
      <c r="R46" s="8"/>
      <c r="T46"/>
    </row>
    <row r="47" spans="2:32" ht="23.1" customHeight="1" x14ac:dyDescent="0.25">
      <c r="B47" s="24" t="s">
        <v>74</v>
      </c>
      <c r="C47" s="49">
        <f>'Avg Week Kanoni-Mityana'!C47+'Avg Week Mityana-Kanoni'!C47</f>
        <v>1.5714285714285714</v>
      </c>
      <c r="D47" s="49">
        <f>'Avg Week Kanoni-Mityana'!D47+'Avg Week Mityana-Kanoni'!D47</f>
        <v>0.14285714285714285</v>
      </c>
      <c r="E47" s="49">
        <f>'Avg Week Kanoni-Mityana'!E47+'Avg Week Mityana-Kanoni'!E47</f>
        <v>0.2857142857142857</v>
      </c>
      <c r="F47" s="49">
        <f>'Avg Week Kanoni-Mityana'!F47+'Avg Week Mityana-Kanoni'!F47</f>
        <v>0.2857142857142857</v>
      </c>
      <c r="G47" s="49">
        <f>'Avg Week Kanoni-Mityana'!G47+'Avg Week Mityana-Kanoni'!G47</f>
        <v>0</v>
      </c>
      <c r="H47" s="49">
        <f>'Avg Week Kanoni-Mityana'!H47+'Avg Week Mityana-Kanoni'!H47</f>
        <v>0</v>
      </c>
      <c r="I47" s="49">
        <f>'Avg Week Kanoni-Mityana'!I47+'Avg Week Mityana-Kanoni'!I47</f>
        <v>1.5714285714285714</v>
      </c>
      <c r="J47" s="49">
        <f>'Avg Week Kanoni-Mityana'!J47+'Avg Week Mityana-Kanoni'!J47</f>
        <v>0.2857142857142857</v>
      </c>
      <c r="K47" s="49">
        <f>'Avg Week Kanoni-Mityana'!K47+'Avg Week Mityana-Kanoni'!K47</f>
        <v>0</v>
      </c>
      <c r="L47" s="49">
        <f>'Avg Week Kanoni-Mityana'!L47+'Avg Week Mityana-Kanoni'!L47</f>
        <v>0</v>
      </c>
      <c r="M47" s="49">
        <f>'Avg Week Kanoni-Mityana'!M47+'Avg Week Mityana-Kanoni'!M47</f>
        <v>31</v>
      </c>
      <c r="N47" s="49">
        <f>'Avg Week Kanoni-Mityana'!N47+'Avg Week Mityana-Kanoni'!N47</f>
        <v>0</v>
      </c>
      <c r="O47" s="15">
        <f t="shared" si="0"/>
        <v>4.1428571428571423</v>
      </c>
      <c r="P47" s="15">
        <f t="shared" si="1"/>
        <v>35.142857142857139</v>
      </c>
      <c r="R47" s="8"/>
      <c r="T47"/>
    </row>
    <row r="48" spans="2:32" ht="23.1" customHeight="1" x14ac:dyDescent="0.25">
      <c r="B48" s="24" t="s">
        <v>75</v>
      </c>
      <c r="C48" s="49">
        <f>'Avg Week Kanoni-Mityana'!C48+'Avg Week Mityana-Kanoni'!C48</f>
        <v>0.8571428571428571</v>
      </c>
      <c r="D48" s="49">
        <f>'Avg Week Kanoni-Mityana'!D48+'Avg Week Mityana-Kanoni'!D48</f>
        <v>0.42857142857142855</v>
      </c>
      <c r="E48" s="49">
        <f>'Avg Week Kanoni-Mityana'!E48+'Avg Week Mityana-Kanoni'!E48</f>
        <v>0.8571428571428571</v>
      </c>
      <c r="F48" s="49">
        <f>'Avg Week Kanoni-Mityana'!F48+'Avg Week Mityana-Kanoni'!F48</f>
        <v>0.42857142857142855</v>
      </c>
      <c r="G48" s="49">
        <f>'Avg Week Kanoni-Mityana'!G48+'Avg Week Mityana-Kanoni'!G48</f>
        <v>0.14285714285714285</v>
      </c>
      <c r="H48" s="49">
        <f>'Avg Week Kanoni-Mityana'!H48+'Avg Week Mityana-Kanoni'!H48</f>
        <v>0</v>
      </c>
      <c r="I48" s="49">
        <f>'Avg Week Kanoni-Mityana'!I48+'Avg Week Mityana-Kanoni'!I48</f>
        <v>1.1428571428571428</v>
      </c>
      <c r="J48" s="49">
        <f>'Avg Week Kanoni-Mityana'!J48+'Avg Week Mityana-Kanoni'!J48</f>
        <v>0</v>
      </c>
      <c r="K48" s="49">
        <f>'Avg Week Kanoni-Mityana'!K48+'Avg Week Mityana-Kanoni'!K48</f>
        <v>0.42857142857142855</v>
      </c>
      <c r="L48" s="49">
        <f>'Avg Week Kanoni-Mityana'!L48+'Avg Week Mityana-Kanoni'!L48</f>
        <v>0</v>
      </c>
      <c r="M48" s="49">
        <f>'Avg Week Kanoni-Mityana'!M48+'Avg Week Mityana-Kanoni'!M48</f>
        <v>23</v>
      </c>
      <c r="N48" s="49">
        <f>'Avg Week Kanoni-Mityana'!N48+'Avg Week Mityana-Kanoni'!N48</f>
        <v>0.14285714285714285</v>
      </c>
      <c r="O48" s="15">
        <f t="shared" si="0"/>
        <v>4.4285714285714288</v>
      </c>
      <c r="P48" s="15">
        <f t="shared" si="1"/>
        <v>27.428571428571427</v>
      </c>
      <c r="R48" s="8"/>
      <c r="T48"/>
    </row>
    <row r="49" spans="2:20" ht="23.1" customHeight="1" x14ac:dyDescent="0.25">
      <c r="B49" s="23" t="s">
        <v>76</v>
      </c>
      <c r="C49" s="49">
        <f>'Avg Week Kanoni-Mityana'!C49+'Avg Week Mityana-Kanoni'!C49</f>
        <v>1.5714285714285714</v>
      </c>
      <c r="D49" s="49">
        <f>'Avg Week Kanoni-Mityana'!D49+'Avg Week Mityana-Kanoni'!D49</f>
        <v>0.2857142857142857</v>
      </c>
      <c r="E49" s="49">
        <f>'Avg Week Kanoni-Mityana'!E49+'Avg Week Mityana-Kanoni'!E49</f>
        <v>0.8571428571428571</v>
      </c>
      <c r="F49" s="49">
        <f>'Avg Week Kanoni-Mityana'!F49+'Avg Week Mityana-Kanoni'!F49</f>
        <v>0.2857142857142857</v>
      </c>
      <c r="G49" s="49">
        <f>'Avg Week Kanoni-Mityana'!G49+'Avg Week Mityana-Kanoni'!G49</f>
        <v>0</v>
      </c>
      <c r="H49" s="49">
        <f>'Avg Week Kanoni-Mityana'!H49+'Avg Week Mityana-Kanoni'!H49</f>
        <v>0</v>
      </c>
      <c r="I49" s="49">
        <f>'Avg Week Kanoni-Mityana'!I49+'Avg Week Mityana-Kanoni'!I49</f>
        <v>1.5714285714285714</v>
      </c>
      <c r="J49" s="49">
        <f>'Avg Week Kanoni-Mityana'!J49+'Avg Week Mityana-Kanoni'!J49</f>
        <v>0.14285714285714285</v>
      </c>
      <c r="K49" s="49">
        <f>'Avg Week Kanoni-Mityana'!K49+'Avg Week Mityana-Kanoni'!K49</f>
        <v>0</v>
      </c>
      <c r="L49" s="49">
        <f>'Avg Week Kanoni-Mityana'!L49+'Avg Week Mityana-Kanoni'!L49</f>
        <v>0</v>
      </c>
      <c r="M49" s="49">
        <f>'Avg Week Kanoni-Mityana'!M49+'Avg Week Mityana-Kanoni'!M49</f>
        <v>25.857142857142854</v>
      </c>
      <c r="N49" s="49">
        <f>'Avg Week Kanoni-Mityana'!N49+'Avg Week Mityana-Kanoni'!N49</f>
        <v>0</v>
      </c>
      <c r="O49" s="15">
        <f t="shared" si="0"/>
        <v>4.7142857142857144</v>
      </c>
      <c r="P49" s="15">
        <f t="shared" si="1"/>
        <v>30.571428571428569</v>
      </c>
      <c r="R49" s="8"/>
      <c r="T49"/>
    </row>
    <row r="50" spans="2:20" ht="23.1" customHeight="1" x14ac:dyDescent="0.25">
      <c r="B50" s="24" t="s">
        <v>77</v>
      </c>
      <c r="C50" s="49">
        <f>'Avg Week Kanoni-Mityana'!C50+'Avg Week Mityana-Kanoni'!C50</f>
        <v>1.2857142857142856</v>
      </c>
      <c r="D50" s="49">
        <f>'Avg Week Kanoni-Mityana'!D50+'Avg Week Mityana-Kanoni'!D50</f>
        <v>0</v>
      </c>
      <c r="E50" s="49">
        <f>'Avg Week Kanoni-Mityana'!E50+'Avg Week Mityana-Kanoni'!E50</f>
        <v>0.8571428571428571</v>
      </c>
      <c r="F50" s="49">
        <f>'Avg Week Kanoni-Mityana'!F50+'Avg Week Mityana-Kanoni'!F50</f>
        <v>0.5714285714285714</v>
      </c>
      <c r="G50" s="49">
        <f>'Avg Week Kanoni-Mityana'!G50+'Avg Week Mityana-Kanoni'!G50</f>
        <v>0</v>
      </c>
      <c r="H50" s="49">
        <f>'Avg Week Kanoni-Mityana'!H50+'Avg Week Mityana-Kanoni'!H50</f>
        <v>0.14285714285714285</v>
      </c>
      <c r="I50" s="49">
        <f>'Avg Week Kanoni-Mityana'!I50+'Avg Week Mityana-Kanoni'!I50</f>
        <v>1.2857142857142856</v>
      </c>
      <c r="J50" s="49">
        <f>'Avg Week Kanoni-Mityana'!J50+'Avg Week Mityana-Kanoni'!J50</f>
        <v>0.71428571428571419</v>
      </c>
      <c r="K50" s="49">
        <f>'Avg Week Kanoni-Mityana'!K50+'Avg Week Mityana-Kanoni'!K50</f>
        <v>0.14285714285714285</v>
      </c>
      <c r="L50" s="49">
        <f>'Avg Week Kanoni-Mityana'!L50+'Avg Week Mityana-Kanoni'!L50</f>
        <v>0</v>
      </c>
      <c r="M50" s="49">
        <f>'Avg Week Kanoni-Mityana'!M50+'Avg Week Mityana-Kanoni'!M50</f>
        <v>26.428571428571431</v>
      </c>
      <c r="N50" s="49">
        <f>'Avg Week Kanoni-Mityana'!N50+'Avg Week Mityana-Kanoni'!N50</f>
        <v>0</v>
      </c>
      <c r="O50" s="15">
        <f t="shared" si="0"/>
        <v>5</v>
      </c>
      <c r="P50" s="15">
        <f t="shared" si="1"/>
        <v>31.428571428571431</v>
      </c>
      <c r="R50" s="8"/>
      <c r="T50"/>
    </row>
    <row r="51" spans="2:20" ht="23.1" customHeight="1" x14ac:dyDescent="0.25">
      <c r="B51" s="24" t="s">
        <v>78</v>
      </c>
      <c r="C51" s="49">
        <f>'Avg Week Kanoni-Mityana'!C51+'Avg Week Mityana-Kanoni'!C51</f>
        <v>2.1428571428571428</v>
      </c>
      <c r="D51" s="49">
        <f>'Avg Week Kanoni-Mityana'!D51+'Avg Week Mityana-Kanoni'!D51</f>
        <v>0.14285714285714285</v>
      </c>
      <c r="E51" s="49">
        <f>'Avg Week Kanoni-Mityana'!E51+'Avg Week Mityana-Kanoni'!E51</f>
        <v>0.71428571428571419</v>
      </c>
      <c r="F51" s="49">
        <f>'Avg Week Kanoni-Mityana'!F51+'Avg Week Mityana-Kanoni'!F51</f>
        <v>0.2857142857142857</v>
      </c>
      <c r="G51" s="49">
        <f>'Avg Week Kanoni-Mityana'!G51+'Avg Week Mityana-Kanoni'!G51</f>
        <v>0</v>
      </c>
      <c r="H51" s="49">
        <f>'Avg Week Kanoni-Mityana'!H51+'Avg Week Mityana-Kanoni'!H51</f>
        <v>0</v>
      </c>
      <c r="I51" s="49">
        <f>'Avg Week Kanoni-Mityana'!I51+'Avg Week Mityana-Kanoni'!I51</f>
        <v>1.8571428571428572</v>
      </c>
      <c r="J51" s="49">
        <f>'Avg Week Kanoni-Mityana'!J51+'Avg Week Mityana-Kanoni'!J51</f>
        <v>0.2857142857142857</v>
      </c>
      <c r="K51" s="49">
        <f>'Avg Week Kanoni-Mityana'!K51+'Avg Week Mityana-Kanoni'!K51</f>
        <v>0</v>
      </c>
      <c r="L51" s="49">
        <f>'Avg Week Kanoni-Mityana'!L51+'Avg Week Mityana-Kanoni'!L51</f>
        <v>0</v>
      </c>
      <c r="M51" s="49">
        <f>'Avg Week Kanoni-Mityana'!M51+'Avg Week Mityana-Kanoni'!M51</f>
        <v>31.142857142857142</v>
      </c>
      <c r="N51" s="49">
        <f>'Avg Week Kanoni-Mityana'!N51+'Avg Week Mityana-Kanoni'!N51</f>
        <v>0</v>
      </c>
      <c r="O51" s="15">
        <f t="shared" si="0"/>
        <v>5.4285714285714279</v>
      </c>
      <c r="P51" s="15">
        <f t="shared" si="1"/>
        <v>36.571428571428569</v>
      </c>
      <c r="R51" s="8"/>
      <c r="T51"/>
    </row>
    <row r="52" spans="2:20" ht="23.1" customHeight="1" x14ac:dyDescent="0.25">
      <c r="B52" s="24" t="s">
        <v>79</v>
      </c>
      <c r="C52" s="49">
        <f>'Avg Week Kanoni-Mityana'!C52+'Avg Week Mityana-Kanoni'!C52</f>
        <v>1.2857142857142856</v>
      </c>
      <c r="D52" s="49">
        <f>'Avg Week Kanoni-Mityana'!D52+'Avg Week Mityana-Kanoni'!D52</f>
        <v>0.14285714285714285</v>
      </c>
      <c r="E52" s="49">
        <f>'Avg Week Kanoni-Mityana'!E52+'Avg Week Mityana-Kanoni'!E52</f>
        <v>0.5714285714285714</v>
      </c>
      <c r="F52" s="49">
        <f>'Avg Week Kanoni-Mityana'!F52+'Avg Week Mityana-Kanoni'!F52</f>
        <v>0.2857142857142857</v>
      </c>
      <c r="G52" s="49">
        <f>'Avg Week Kanoni-Mityana'!G52+'Avg Week Mityana-Kanoni'!G52</f>
        <v>0</v>
      </c>
      <c r="H52" s="49">
        <f>'Avg Week Kanoni-Mityana'!H52+'Avg Week Mityana-Kanoni'!H52</f>
        <v>0</v>
      </c>
      <c r="I52" s="49">
        <f>'Avg Week Kanoni-Mityana'!I52+'Avg Week Mityana-Kanoni'!I52</f>
        <v>1.7142857142857144</v>
      </c>
      <c r="J52" s="49">
        <f>'Avg Week Kanoni-Mityana'!J52+'Avg Week Mityana-Kanoni'!J52</f>
        <v>0.14285714285714285</v>
      </c>
      <c r="K52" s="49">
        <f>'Avg Week Kanoni-Mityana'!K52+'Avg Week Mityana-Kanoni'!K52</f>
        <v>0</v>
      </c>
      <c r="L52" s="49">
        <f>'Avg Week Kanoni-Mityana'!L52+'Avg Week Mityana-Kanoni'!L52</f>
        <v>0</v>
      </c>
      <c r="M52" s="49">
        <f>'Avg Week Kanoni-Mityana'!M52+'Avg Week Mityana-Kanoni'!M52</f>
        <v>28.428571428571431</v>
      </c>
      <c r="N52" s="49">
        <f>'Avg Week Kanoni-Mityana'!N52+'Avg Week Mityana-Kanoni'!N52</f>
        <v>0</v>
      </c>
      <c r="O52" s="15">
        <f t="shared" si="0"/>
        <v>4.1428571428571432</v>
      </c>
      <c r="P52" s="15">
        <f t="shared" si="1"/>
        <v>32.571428571428577</v>
      </c>
      <c r="R52" s="8"/>
      <c r="T52"/>
    </row>
    <row r="53" spans="2:20" ht="23.1" customHeight="1" x14ac:dyDescent="0.25">
      <c r="B53" s="23" t="s">
        <v>80</v>
      </c>
      <c r="C53" s="49">
        <f>'Avg Week Kanoni-Mityana'!C53+'Avg Week Mityana-Kanoni'!C53</f>
        <v>2.2857142857142856</v>
      </c>
      <c r="D53" s="49">
        <f>'Avg Week Kanoni-Mityana'!D53+'Avg Week Mityana-Kanoni'!D53</f>
        <v>0.5714285714285714</v>
      </c>
      <c r="E53" s="49">
        <f>'Avg Week Kanoni-Mityana'!E53+'Avg Week Mityana-Kanoni'!E53</f>
        <v>0.5714285714285714</v>
      </c>
      <c r="F53" s="49">
        <f>'Avg Week Kanoni-Mityana'!F53+'Avg Week Mityana-Kanoni'!F53</f>
        <v>0.2857142857142857</v>
      </c>
      <c r="G53" s="49">
        <f>'Avg Week Kanoni-Mityana'!G53+'Avg Week Mityana-Kanoni'!G53</f>
        <v>0</v>
      </c>
      <c r="H53" s="49">
        <f>'Avg Week Kanoni-Mityana'!H53+'Avg Week Mityana-Kanoni'!H53</f>
        <v>0</v>
      </c>
      <c r="I53" s="49">
        <f>'Avg Week Kanoni-Mityana'!I53+'Avg Week Mityana-Kanoni'!I53</f>
        <v>0.8571428571428571</v>
      </c>
      <c r="J53" s="49">
        <f>'Avg Week Kanoni-Mityana'!J53+'Avg Week Mityana-Kanoni'!J53</f>
        <v>0.14285714285714285</v>
      </c>
      <c r="K53" s="49">
        <f>'Avg Week Kanoni-Mityana'!K53+'Avg Week Mityana-Kanoni'!K53</f>
        <v>0</v>
      </c>
      <c r="L53" s="49">
        <f>'Avg Week Kanoni-Mityana'!L53+'Avg Week Mityana-Kanoni'!L53</f>
        <v>0</v>
      </c>
      <c r="M53" s="49">
        <f>'Avg Week Kanoni-Mityana'!M53+'Avg Week Mityana-Kanoni'!M53</f>
        <v>30.428571428571431</v>
      </c>
      <c r="N53" s="49">
        <f>'Avg Week Kanoni-Mityana'!N53+'Avg Week Mityana-Kanoni'!N53</f>
        <v>0</v>
      </c>
      <c r="O53" s="15">
        <f t="shared" si="0"/>
        <v>4.7142857142857135</v>
      </c>
      <c r="P53" s="15">
        <f t="shared" si="1"/>
        <v>35.142857142857146</v>
      </c>
      <c r="R53" s="8"/>
      <c r="T53"/>
    </row>
    <row r="54" spans="2:20" ht="23.1" customHeight="1" x14ac:dyDescent="0.25">
      <c r="B54" s="23" t="s">
        <v>81</v>
      </c>
      <c r="C54" s="49">
        <f>'Avg Week Kanoni-Mityana'!C54+'Avg Week Mityana-Kanoni'!C54</f>
        <v>1</v>
      </c>
      <c r="D54" s="49">
        <f>'Avg Week Kanoni-Mityana'!D54+'Avg Week Mityana-Kanoni'!D54</f>
        <v>0.2857142857142857</v>
      </c>
      <c r="E54" s="49">
        <f>'Avg Week Kanoni-Mityana'!E54+'Avg Week Mityana-Kanoni'!E54</f>
        <v>1.2857142857142858</v>
      </c>
      <c r="F54" s="49">
        <f>'Avg Week Kanoni-Mityana'!F54+'Avg Week Mityana-Kanoni'!F54</f>
        <v>2.4285714285714284</v>
      </c>
      <c r="G54" s="49">
        <f>'Avg Week Kanoni-Mityana'!G54+'Avg Week Mityana-Kanoni'!G54</f>
        <v>0</v>
      </c>
      <c r="H54" s="49">
        <f>'Avg Week Kanoni-Mityana'!H54+'Avg Week Mityana-Kanoni'!H54</f>
        <v>0</v>
      </c>
      <c r="I54" s="49">
        <f>'Avg Week Kanoni-Mityana'!I54+'Avg Week Mityana-Kanoni'!I54</f>
        <v>1.4285714285714286</v>
      </c>
      <c r="J54" s="49">
        <f>'Avg Week Kanoni-Mityana'!J54+'Avg Week Mityana-Kanoni'!J54</f>
        <v>0.2857142857142857</v>
      </c>
      <c r="K54" s="49">
        <f>'Avg Week Kanoni-Mityana'!K54+'Avg Week Mityana-Kanoni'!K54</f>
        <v>0</v>
      </c>
      <c r="L54" s="49">
        <f>'Avg Week Kanoni-Mityana'!L54+'Avg Week Mityana-Kanoni'!L54</f>
        <v>0</v>
      </c>
      <c r="M54" s="49">
        <f>'Avg Week Kanoni-Mityana'!M54+'Avg Week Mityana-Kanoni'!M54</f>
        <v>25.285714285714285</v>
      </c>
      <c r="N54" s="49">
        <f>'Avg Week Kanoni-Mityana'!N54+'Avg Week Mityana-Kanoni'!N54</f>
        <v>0</v>
      </c>
      <c r="O54" s="15">
        <f t="shared" si="0"/>
        <v>6.7142857142857144</v>
      </c>
      <c r="P54" s="15">
        <f t="shared" si="1"/>
        <v>32</v>
      </c>
      <c r="R54" s="8"/>
      <c r="T54"/>
    </row>
    <row r="55" spans="2:20" ht="23.1" customHeight="1" x14ac:dyDescent="0.25">
      <c r="B55" s="23" t="s">
        <v>82</v>
      </c>
      <c r="C55" s="49">
        <f>'Avg Week Kanoni-Mityana'!C55+'Avg Week Mityana-Kanoni'!C55</f>
        <v>1.1428571428571428</v>
      </c>
      <c r="D55" s="49">
        <f>'Avg Week Kanoni-Mityana'!D55+'Avg Week Mityana-Kanoni'!D55</f>
        <v>0.2857142857142857</v>
      </c>
      <c r="E55" s="49">
        <f>'Avg Week Kanoni-Mityana'!E55+'Avg Week Mityana-Kanoni'!E55</f>
        <v>0.71428571428571419</v>
      </c>
      <c r="F55" s="49">
        <f>'Avg Week Kanoni-Mityana'!F55+'Avg Week Mityana-Kanoni'!F55</f>
        <v>0.14285714285714285</v>
      </c>
      <c r="G55" s="49">
        <f>'Avg Week Kanoni-Mityana'!G55+'Avg Week Mityana-Kanoni'!G55</f>
        <v>0</v>
      </c>
      <c r="H55" s="49">
        <f>'Avg Week Kanoni-Mityana'!H55+'Avg Week Mityana-Kanoni'!H55</f>
        <v>0</v>
      </c>
      <c r="I55" s="49">
        <f>'Avg Week Kanoni-Mityana'!I55+'Avg Week Mityana-Kanoni'!I55</f>
        <v>1.1428571428571428</v>
      </c>
      <c r="J55" s="49">
        <f>'Avg Week Kanoni-Mityana'!J55+'Avg Week Mityana-Kanoni'!J55</f>
        <v>0.71428571428571419</v>
      </c>
      <c r="K55" s="49">
        <f>'Avg Week Kanoni-Mityana'!K55+'Avg Week Mityana-Kanoni'!K55</f>
        <v>0</v>
      </c>
      <c r="L55" s="49">
        <f>'Avg Week Kanoni-Mityana'!L55+'Avg Week Mityana-Kanoni'!L55</f>
        <v>0</v>
      </c>
      <c r="M55" s="49">
        <f>'Avg Week Kanoni-Mityana'!M55+'Avg Week Mityana-Kanoni'!M55</f>
        <v>28.571428571428569</v>
      </c>
      <c r="N55" s="49">
        <f>'Avg Week Kanoni-Mityana'!N55+'Avg Week Mityana-Kanoni'!N55</f>
        <v>0</v>
      </c>
      <c r="O55" s="15">
        <f t="shared" si="0"/>
        <v>4.1428571428571423</v>
      </c>
      <c r="P55" s="15">
        <f t="shared" si="1"/>
        <v>32.714285714285708</v>
      </c>
      <c r="R55" s="8"/>
      <c r="T55"/>
    </row>
    <row r="56" spans="2:20" ht="23.1" customHeight="1" x14ac:dyDescent="0.25">
      <c r="B56" s="23" t="s">
        <v>83</v>
      </c>
      <c r="C56" s="49">
        <f>'Avg Week Kanoni-Mityana'!C56+'Avg Week Mityana-Kanoni'!C56</f>
        <v>1.4285714285714286</v>
      </c>
      <c r="D56" s="49">
        <f>'Avg Week Kanoni-Mityana'!D56+'Avg Week Mityana-Kanoni'!D56</f>
        <v>0</v>
      </c>
      <c r="E56" s="49">
        <f>'Avg Week Kanoni-Mityana'!E56+'Avg Week Mityana-Kanoni'!E56</f>
        <v>0.2857142857142857</v>
      </c>
      <c r="F56" s="49">
        <f>'Avg Week Kanoni-Mityana'!F56+'Avg Week Mityana-Kanoni'!F56</f>
        <v>0.5714285714285714</v>
      </c>
      <c r="G56" s="49">
        <f>'Avg Week Kanoni-Mityana'!G56+'Avg Week Mityana-Kanoni'!G56</f>
        <v>0</v>
      </c>
      <c r="H56" s="49">
        <f>'Avg Week Kanoni-Mityana'!H56+'Avg Week Mityana-Kanoni'!H56</f>
        <v>0</v>
      </c>
      <c r="I56" s="49">
        <f>'Avg Week Kanoni-Mityana'!I56+'Avg Week Mityana-Kanoni'!I56</f>
        <v>0.8571428571428571</v>
      </c>
      <c r="J56" s="49">
        <f>'Avg Week Kanoni-Mityana'!J56+'Avg Week Mityana-Kanoni'!J56</f>
        <v>0.2857142857142857</v>
      </c>
      <c r="K56" s="49">
        <f>'Avg Week Kanoni-Mityana'!K56+'Avg Week Mityana-Kanoni'!K56</f>
        <v>0</v>
      </c>
      <c r="L56" s="49">
        <f>'Avg Week Kanoni-Mityana'!L56+'Avg Week Mityana-Kanoni'!L56</f>
        <v>0</v>
      </c>
      <c r="M56" s="49">
        <f>'Avg Week Kanoni-Mityana'!M56+'Avg Week Mityana-Kanoni'!M56</f>
        <v>34.285714285714292</v>
      </c>
      <c r="N56" s="49">
        <f>'Avg Week Kanoni-Mityana'!N56+'Avg Week Mityana-Kanoni'!N56</f>
        <v>0</v>
      </c>
      <c r="O56" s="15">
        <f t="shared" si="0"/>
        <v>3.4285714285714284</v>
      </c>
      <c r="P56" s="15">
        <f t="shared" si="1"/>
        <v>37.714285714285722</v>
      </c>
      <c r="R56" s="8"/>
      <c r="T56"/>
    </row>
    <row r="57" spans="2:20" ht="23.1" customHeight="1" x14ac:dyDescent="0.25">
      <c r="B57" s="23" t="s">
        <v>84</v>
      </c>
      <c r="C57" s="49">
        <f>'Avg Week Kanoni-Mityana'!C57+'Avg Week Mityana-Kanoni'!C57</f>
        <v>1.4285714285714284</v>
      </c>
      <c r="D57" s="49">
        <f>'Avg Week Kanoni-Mityana'!D57+'Avg Week Mityana-Kanoni'!D57</f>
        <v>0.14285714285714285</v>
      </c>
      <c r="E57" s="49">
        <f>'Avg Week Kanoni-Mityana'!E57+'Avg Week Mityana-Kanoni'!E57</f>
        <v>0.5714285714285714</v>
      </c>
      <c r="F57" s="49">
        <f>'Avg Week Kanoni-Mityana'!F57+'Avg Week Mityana-Kanoni'!F57</f>
        <v>0.2857142857142857</v>
      </c>
      <c r="G57" s="49">
        <f>'Avg Week Kanoni-Mityana'!G57+'Avg Week Mityana-Kanoni'!G57</f>
        <v>0</v>
      </c>
      <c r="H57" s="49">
        <f>'Avg Week Kanoni-Mityana'!H57+'Avg Week Mityana-Kanoni'!H57</f>
        <v>0</v>
      </c>
      <c r="I57" s="49">
        <f>'Avg Week Kanoni-Mityana'!I57+'Avg Week Mityana-Kanoni'!I57</f>
        <v>0.8571428571428571</v>
      </c>
      <c r="J57" s="49">
        <f>'Avg Week Kanoni-Mityana'!J57+'Avg Week Mityana-Kanoni'!J57</f>
        <v>0.14285714285714285</v>
      </c>
      <c r="K57" s="49">
        <f>'Avg Week Kanoni-Mityana'!K57+'Avg Week Mityana-Kanoni'!K57</f>
        <v>0</v>
      </c>
      <c r="L57" s="49">
        <f>'Avg Week Kanoni-Mityana'!L57+'Avg Week Mityana-Kanoni'!L57</f>
        <v>0</v>
      </c>
      <c r="M57" s="49">
        <f>'Avg Week Kanoni-Mityana'!M57+'Avg Week Mityana-Kanoni'!M57</f>
        <v>34.714285714285708</v>
      </c>
      <c r="N57" s="49">
        <f>'Avg Week Kanoni-Mityana'!N57+'Avg Week Mityana-Kanoni'!N57</f>
        <v>0</v>
      </c>
      <c r="O57" s="15">
        <f t="shared" si="0"/>
        <v>3.4285714285714279</v>
      </c>
      <c r="P57" s="15">
        <f t="shared" si="1"/>
        <v>38.142857142857139</v>
      </c>
      <c r="R57" s="8"/>
      <c r="T57"/>
    </row>
    <row r="58" spans="2:20" ht="23.1" customHeight="1" x14ac:dyDescent="0.25">
      <c r="B58" s="23" t="s">
        <v>99</v>
      </c>
      <c r="C58" s="49">
        <f>'Avg Week Kanoni-Mityana'!C58+'Avg Week Mityana-Kanoni'!C58</f>
        <v>2.5</v>
      </c>
      <c r="D58" s="49">
        <f>'Avg Week Kanoni-Mityana'!D58+'Avg Week Mityana-Kanoni'!D58</f>
        <v>0</v>
      </c>
      <c r="E58" s="49">
        <f>'Avg Week Kanoni-Mityana'!E58+'Avg Week Mityana-Kanoni'!E58</f>
        <v>1</v>
      </c>
      <c r="F58" s="49">
        <f>'Avg Week Kanoni-Mityana'!F58+'Avg Week Mityana-Kanoni'!F58</f>
        <v>0</v>
      </c>
      <c r="G58" s="49">
        <f>'Avg Week Kanoni-Mityana'!G58+'Avg Week Mityana-Kanoni'!G58</f>
        <v>0</v>
      </c>
      <c r="H58" s="49">
        <f>'Avg Week Kanoni-Mityana'!H58+'Avg Week Mityana-Kanoni'!H58</f>
        <v>0</v>
      </c>
      <c r="I58" s="49">
        <f>'Avg Week Kanoni-Mityana'!I58+'Avg Week Mityana-Kanoni'!I58</f>
        <v>0.5</v>
      </c>
      <c r="J58" s="49">
        <f>'Avg Week Kanoni-Mityana'!J58+'Avg Week Mityana-Kanoni'!J58</f>
        <v>0</v>
      </c>
      <c r="K58" s="49">
        <f>'Avg Week Kanoni-Mityana'!K58+'Avg Week Mityana-Kanoni'!K58</f>
        <v>0.5</v>
      </c>
      <c r="L58" s="49">
        <f>'Avg Week Kanoni-Mityana'!L58+'Avg Week Mityana-Kanoni'!L58</f>
        <v>0</v>
      </c>
      <c r="M58" s="49">
        <f>'Avg Week Kanoni-Mityana'!M58+'Avg Week Mityana-Kanoni'!M58</f>
        <v>22.5</v>
      </c>
      <c r="N58" s="49">
        <f>'Avg Week Kanoni-Mityana'!N58+'Avg Week Mityana-Kanoni'!N58</f>
        <v>0</v>
      </c>
      <c r="O58" s="15">
        <f t="shared" si="0"/>
        <v>4.5</v>
      </c>
      <c r="P58" s="15">
        <f t="shared" si="1"/>
        <v>27</v>
      </c>
      <c r="R58" s="8"/>
      <c r="T58"/>
    </row>
    <row r="59" spans="2:20" ht="23.1" customHeight="1" x14ac:dyDescent="0.25">
      <c r="B59" s="23" t="s">
        <v>100</v>
      </c>
      <c r="C59" s="49">
        <f>'Avg Week Kanoni-Mityana'!C59+'Avg Week Mityana-Kanoni'!C59</f>
        <v>2</v>
      </c>
      <c r="D59" s="49">
        <f>'Avg Week Kanoni-Mityana'!D59+'Avg Week Mityana-Kanoni'!D59</f>
        <v>0</v>
      </c>
      <c r="E59" s="49">
        <f>'Avg Week Kanoni-Mityana'!E59+'Avg Week Mityana-Kanoni'!E59</f>
        <v>0.5</v>
      </c>
      <c r="F59" s="49">
        <f>'Avg Week Kanoni-Mityana'!F59+'Avg Week Mityana-Kanoni'!F59</f>
        <v>0</v>
      </c>
      <c r="G59" s="49">
        <f>'Avg Week Kanoni-Mityana'!G59+'Avg Week Mityana-Kanoni'!G59</f>
        <v>0</v>
      </c>
      <c r="H59" s="49">
        <f>'Avg Week Kanoni-Mityana'!H59+'Avg Week Mityana-Kanoni'!H59</f>
        <v>0</v>
      </c>
      <c r="I59" s="49">
        <f>'Avg Week Kanoni-Mityana'!I59+'Avg Week Mityana-Kanoni'!I59</f>
        <v>0</v>
      </c>
      <c r="J59" s="49">
        <f>'Avg Week Kanoni-Mityana'!J59+'Avg Week Mityana-Kanoni'!J59</f>
        <v>0</v>
      </c>
      <c r="K59" s="49">
        <f>'Avg Week Kanoni-Mityana'!K59+'Avg Week Mityana-Kanoni'!K59</f>
        <v>0</v>
      </c>
      <c r="L59" s="49">
        <f>'Avg Week Kanoni-Mityana'!L59+'Avg Week Mityana-Kanoni'!L59</f>
        <v>0</v>
      </c>
      <c r="M59" s="49">
        <f>'Avg Week Kanoni-Mityana'!M59+'Avg Week Mityana-Kanoni'!M59</f>
        <v>30.5</v>
      </c>
      <c r="N59" s="49">
        <f>'Avg Week Kanoni-Mityana'!N59+'Avg Week Mityana-Kanoni'!N59</f>
        <v>0</v>
      </c>
      <c r="O59" s="15">
        <f t="shared" si="0"/>
        <v>2.5</v>
      </c>
      <c r="P59" s="15">
        <f t="shared" si="1"/>
        <v>33</v>
      </c>
      <c r="R59" s="8"/>
      <c r="T59"/>
    </row>
    <row r="60" spans="2:20" ht="23.1" customHeight="1" x14ac:dyDescent="0.25">
      <c r="B60" s="23" t="s">
        <v>101</v>
      </c>
      <c r="C60" s="49">
        <f>'Avg Week Kanoni-Mityana'!C60+'Avg Week Mityana-Kanoni'!C60</f>
        <v>4</v>
      </c>
      <c r="D60" s="49">
        <f>'Avg Week Kanoni-Mityana'!D60+'Avg Week Mityana-Kanoni'!D60</f>
        <v>0</v>
      </c>
      <c r="E60" s="49">
        <f>'Avg Week Kanoni-Mityana'!E60+'Avg Week Mityana-Kanoni'!E60</f>
        <v>0.5</v>
      </c>
      <c r="F60" s="49">
        <f>'Avg Week Kanoni-Mityana'!F60+'Avg Week Mityana-Kanoni'!F60</f>
        <v>1</v>
      </c>
      <c r="G60" s="49">
        <f>'Avg Week Kanoni-Mityana'!G60+'Avg Week Mityana-Kanoni'!G60</f>
        <v>0</v>
      </c>
      <c r="H60" s="49">
        <f>'Avg Week Kanoni-Mityana'!H60+'Avg Week Mityana-Kanoni'!H60</f>
        <v>0</v>
      </c>
      <c r="I60" s="49">
        <f>'Avg Week Kanoni-Mityana'!I60+'Avg Week Mityana-Kanoni'!I60</f>
        <v>1</v>
      </c>
      <c r="J60" s="49">
        <f>'Avg Week Kanoni-Mityana'!J60+'Avg Week Mityana-Kanoni'!J60</f>
        <v>0</v>
      </c>
      <c r="K60" s="49">
        <f>'Avg Week Kanoni-Mityana'!K60+'Avg Week Mityana-Kanoni'!K60</f>
        <v>0</v>
      </c>
      <c r="L60" s="49">
        <f>'Avg Week Kanoni-Mityana'!L60+'Avg Week Mityana-Kanoni'!L60</f>
        <v>0</v>
      </c>
      <c r="M60" s="49">
        <f>'Avg Week Kanoni-Mityana'!M60+'Avg Week Mityana-Kanoni'!M60</f>
        <v>35.5</v>
      </c>
      <c r="N60" s="49">
        <f>'Avg Week Kanoni-Mityana'!N60+'Avg Week Mityana-Kanoni'!N60</f>
        <v>0</v>
      </c>
      <c r="O60" s="15">
        <f t="shared" si="0"/>
        <v>6.5</v>
      </c>
      <c r="P60" s="15">
        <f t="shared" si="1"/>
        <v>42</v>
      </c>
      <c r="R60" s="8"/>
      <c r="T60"/>
    </row>
    <row r="61" spans="2:20" ht="23.1" customHeight="1" x14ac:dyDescent="0.25">
      <c r="B61" s="23" t="s">
        <v>102</v>
      </c>
      <c r="C61" s="49">
        <f>'Avg Week Kanoni-Mityana'!C61+'Avg Week Mityana-Kanoni'!C61</f>
        <v>1</v>
      </c>
      <c r="D61" s="49">
        <f>'Avg Week Kanoni-Mityana'!D61+'Avg Week Mityana-Kanoni'!D61</f>
        <v>0</v>
      </c>
      <c r="E61" s="49">
        <f>'Avg Week Kanoni-Mityana'!E61+'Avg Week Mityana-Kanoni'!E61</f>
        <v>0</v>
      </c>
      <c r="F61" s="49">
        <f>'Avg Week Kanoni-Mityana'!F61+'Avg Week Mityana-Kanoni'!F61</f>
        <v>0</v>
      </c>
      <c r="G61" s="49">
        <f>'Avg Week Kanoni-Mityana'!G61+'Avg Week Mityana-Kanoni'!G61</f>
        <v>0</v>
      </c>
      <c r="H61" s="49">
        <f>'Avg Week Kanoni-Mityana'!H61+'Avg Week Mityana-Kanoni'!H61</f>
        <v>0</v>
      </c>
      <c r="I61" s="49">
        <f>'Avg Week Kanoni-Mityana'!I61+'Avg Week Mityana-Kanoni'!I61</f>
        <v>0.5</v>
      </c>
      <c r="J61" s="49">
        <f>'Avg Week Kanoni-Mityana'!J61+'Avg Week Mityana-Kanoni'!J61</f>
        <v>0.5</v>
      </c>
      <c r="K61" s="49">
        <f>'Avg Week Kanoni-Mityana'!K61+'Avg Week Mityana-Kanoni'!K61</f>
        <v>0</v>
      </c>
      <c r="L61" s="49">
        <f>'Avg Week Kanoni-Mityana'!L61+'Avg Week Mityana-Kanoni'!L61</f>
        <v>0</v>
      </c>
      <c r="M61" s="49">
        <f>'Avg Week Kanoni-Mityana'!M61+'Avg Week Mityana-Kanoni'!M61</f>
        <v>25.5</v>
      </c>
      <c r="N61" s="49">
        <f>'Avg Week Kanoni-Mityana'!N61+'Avg Week Mityana-Kanoni'!N61</f>
        <v>0</v>
      </c>
      <c r="O61" s="15">
        <f t="shared" si="0"/>
        <v>2</v>
      </c>
      <c r="P61" s="15">
        <f t="shared" si="1"/>
        <v>27.5</v>
      </c>
      <c r="R61" s="8"/>
      <c r="T61"/>
    </row>
    <row r="62" spans="2:20" ht="23.1" customHeight="1" x14ac:dyDescent="0.25">
      <c r="B62" s="23" t="s">
        <v>107</v>
      </c>
      <c r="C62" s="49">
        <f>'Avg Week Kanoni-Mityana'!C62+'Avg Week Mityana-Kanoni'!C62</f>
        <v>2</v>
      </c>
      <c r="D62" s="49">
        <f>'Avg Week Kanoni-Mityana'!D62+'Avg Week Mityana-Kanoni'!D62</f>
        <v>0</v>
      </c>
      <c r="E62" s="49">
        <f>'Avg Week Kanoni-Mityana'!E62+'Avg Week Mityana-Kanoni'!E62</f>
        <v>0</v>
      </c>
      <c r="F62" s="49">
        <f>'Avg Week Kanoni-Mityana'!F62+'Avg Week Mityana-Kanoni'!F62</f>
        <v>0.5</v>
      </c>
      <c r="G62" s="49">
        <f>'Avg Week Kanoni-Mityana'!G62+'Avg Week Mityana-Kanoni'!G62</f>
        <v>0</v>
      </c>
      <c r="H62" s="49">
        <f>'Avg Week Kanoni-Mityana'!H62+'Avg Week Mityana-Kanoni'!H62</f>
        <v>0</v>
      </c>
      <c r="I62" s="49">
        <f>'Avg Week Kanoni-Mityana'!I62+'Avg Week Mityana-Kanoni'!I62</f>
        <v>1.5</v>
      </c>
      <c r="J62" s="49">
        <f>'Avg Week Kanoni-Mityana'!J62+'Avg Week Mityana-Kanoni'!J62</f>
        <v>0</v>
      </c>
      <c r="K62" s="49">
        <f>'Avg Week Kanoni-Mityana'!K62+'Avg Week Mityana-Kanoni'!K62</f>
        <v>0.5</v>
      </c>
      <c r="L62" s="49">
        <f>'Avg Week Kanoni-Mityana'!L62+'Avg Week Mityana-Kanoni'!L62</f>
        <v>0</v>
      </c>
      <c r="M62" s="49">
        <f>'Avg Week Kanoni-Mityana'!M62+'Avg Week Mityana-Kanoni'!M62</f>
        <v>23</v>
      </c>
      <c r="N62" s="49">
        <f>'Avg Week Kanoni-Mityana'!N62+'Avg Week Mityana-Kanoni'!N62</f>
        <v>0</v>
      </c>
      <c r="O62" s="15">
        <f t="shared" si="0"/>
        <v>4.5</v>
      </c>
      <c r="P62" s="15">
        <f t="shared" si="1"/>
        <v>27.5</v>
      </c>
      <c r="R62" s="8"/>
      <c r="T62"/>
    </row>
    <row r="63" spans="2:20" ht="23.1" customHeight="1" x14ac:dyDescent="0.25">
      <c r="B63" s="23" t="s">
        <v>108</v>
      </c>
      <c r="C63" s="49">
        <f>'Avg Week Kanoni-Mityana'!C63+'Avg Week Mityana-Kanoni'!C63</f>
        <v>1</v>
      </c>
      <c r="D63" s="49">
        <f>'Avg Week Kanoni-Mityana'!D63+'Avg Week Mityana-Kanoni'!D63</f>
        <v>0.5</v>
      </c>
      <c r="E63" s="49">
        <f>'Avg Week Kanoni-Mityana'!E63+'Avg Week Mityana-Kanoni'!E63</f>
        <v>0.5</v>
      </c>
      <c r="F63" s="49">
        <f>'Avg Week Kanoni-Mityana'!F63+'Avg Week Mityana-Kanoni'!F63</f>
        <v>0</v>
      </c>
      <c r="G63" s="49">
        <f>'Avg Week Kanoni-Mityana'!G63+'Avg Week Mityana-Kanoni'!G63</f>
        <v>0</v>
      </c>
      <c r="H63" s="49">
        <f>'Avg Week Kanoni-Mityana'!H63+'Avg Week Mityana-Kanoni'!H63</f>
        <v>0</v>
      </c>
      <c r="I63" s="49">
        <f>'Avg Week Kanoni-Mityana'!I63+'Avg Week Mityana-Kanoni'!I63</f>
        <v>1</v>
      </c>
      <c r="J63" s="49">
        <f>'Avg Week Kanoni-Mityana'!J63+'Avg Week Mityana-Kanoni'!J63</f>
        <v>0</v>
      </c>
      <c r="K63" s="49">
        <f>'Avg Week Kanoni-Mityana'!K63+'Avg Week Mityana-Kanoni'!K63</f>
        <v>0</v>
      </c>
      <c r="L63" s="49">
        <f>'Avg Week Kanoni-Mityana'!L63+'Avg Week Mityana-Kanoni'!L63</f>
        <v>0</v>
      </c>
      <c r="M63" s="49">
        <f>'Avg Week Kanoni-Mityana'!M63+'Avg Week Mityana-Kanoni'!M63</f>
        <v>13</v>
      </c>
      <c r="N63" s="49">
        <f>'Avg Week Kanoni-Mityana'!N63+'Avg Week Mityana-Kanoni'!N63</f>
        <v>0</v>
      </c>
      <c r="O63" s="15">
        <f t="shared" si="0"/>
        <v>3</v>
      </c>
      <c r="P63" s="15">
        <f t="shared" si="1"/>
        <v>16</v>
      </c>
      <c r="R63" s="8"/>
      <c r="T63"/>
    </row>
    <row r="64" spans="2:20" ht="23.1" customHeight="1" x14ac:dyDescent="0.25">
      <c r="B64" s="23" t="s">
        <v>109</v>
      </c>
      <c r="C64" s="49">
        <f>'Avg Week Kanoni-Mityana'!C64+'Avg Week Mityana-Kanoni'!C64</f>
        <v>1.5</v>
      </c>
      <c r="D64" s="49">
        <f>'Avg Week Kanoni-Mityana'!D64+'Avg Week Mityana-Kanoni'!D64</f>
        <v>0.5</v>
      </c>
      <c r="E64" s="49">
        <f>'Avg Week Kanoni-Mityana'!E64+'Avg Week Mityana-Kanoni'!E64</f>
        <v>0</v>
      </c>
      <c r="F64" s="49">
        <f>'Avg Week Kanoni-Mityana'!F64+'Avg Week Mityana-Kanoni'!F64</f>
        <v>0</v>
      </c>
      <c r="G64" s="49">
        <f>'Avg Week Kanoni-Mityana'!G64+'Avg Week Mityana-Kanoni'!G64</f>
        <v>0</v>
      </c>
      <c r="H64" s="49">
        <f>'Avg Week Kanoni-Mityana'!H64+'Avg Week Mityana-Kanoni'!H64</f>
        <v>0</v>
      </c>
      <c r="I64" s="49">
        <f>'Avg Week Kanoni-Mityana'!I64+'Avg Week Mityana-Kanoni'!I64</f>
        <v>0.5</v>
      </c>
      <c r="J64" s="49">
        <f>'Avg Week Kanoni-Mityana'!J64+'Avg Week Mityana-Kanoni'!J64</f>
        <v>0</v>
      </c>
      <c r="K64" s="49">
        <f>'Avg Week Kanoni-Mityana'!K64+'Avg Week Mityana-Kanoni'!K64</f>
        <v>0.5</v>
      </c>
      <c r="L64" s="49">
        <f>'Avg Week Kanoni-Mityana'!L64+'Avg Week Mityana-Kanoni'!L64</f>
        <v>0</v>
      </c>
      <c r="M64" s="49">
        <f>'Avg Week Kanoni-Mityana'!M64+'Avg Week Mityana-Kanoni'!M64</f>
        <v>13</v>
      </c>
      <c r="N64" s="49">
        <f>'Avg Week Kanoni-Mityana'!N64+'Avg Week Mityana-Kanoni'!N64</f>
        <v>0</v>
      </c>
      <c r="O64" s="15">
        <f t="shared" si="0"/>
        <v>3</v>
      </c>
      <c r="P64" s="15">
        <f t="shared" si="1"/>
        <v>16</v>
      </c>
      <c r="R64" s="8"/>
      <c r="T64"/>
    </row>
    <row r="65" spans="2:20" ht="23.1" customHeight="1" x14ac:dyDescent="0.25">
      <c r="B65" s="23" t="s">
        <v>158</v>
      </c>
      <c r="C65" s="49">
        <f>'Avg Week Kanoni-Mityana'!C65+'Avg Week Mityana-Kanoni'!C65</f>
        <v>1</v>
      </c>
      <c r="D65" s="49">
        <f>'Avg Week Kanoni-Mityana'!D65+'Avg Week Mityana-Kanoni'!D65</f>
        <v>0</v>
      </c>
      <c r="E65" s="49">
        <f>'Avg Week Kanoni-Mityana'!E65+'Avg Week Mityana-Kanoni'!E65</f>
        <v>0.5</v>
      </c>
      <c r="F65" s="49">
        <f>'Avg Week Kanoni-Mityana'!F65+'Avg Week Mityana-Kanoni'!F65</f>
        <v>0</v>
      </c>
      <c r="G65" s="49">
        <f>'Avg Week Kanoni-Mityana'!G65+'Avg Week Mityana-Kanoni'!G65</f>
        <v>0</v>
      </c>
      <c r="H65" s="49">
        <f>'Avg Week Kanoni-Mityana'!H65+'Avg Week Mityana-Kanoni'!H65</f>
        <v>0</v>
      </c>
      <c r="I65" s="49">
        <f>'Avg Week Kanoni-Mityana'!I65+'Avg Week Mityana-Kanoni'!I65</f>
        <v>0</v>
      </c>
      <c r="J65" s="49">
        <f>'Avg Week Kanoni-Mityana'!J65+'Avg Week Mityana-Kanoni'!J65</f>
        <v>0.5</v>
      </c>
      <c r="K65" s="49">
        <f>'Avg Week Kanoni-Mityana'!K65+'Avg Week Mityana-Kanoni'!K65</f>
        <v>0</v>
      </c>
      <c r="L65" s="49">
        <f>'Avg Week Kanoni-Mityana'!L65+'Avg Week Mityana-Kanoni'!L65</f>
        <v>0</v>
      </c>
      <c r="M65" s="49">
        <f>'Avg Week Kanoni-Mityana'!M65+'Avg Week Mityana-Kanoni'!M65</f>
        <v>13</v>
      </c>
      <c r="N65" s="49">
        <f>'Avg Week Kanoni-Mityana'!N65+'Avg Week Mityana-Kanoni'!N65</f>
        <v>0</v>
      </c>
      <c r="O65" s="15">
        <f t="shared" si="0"/>
        <v>2</v>
      </c>
      <c r="P65" s="15">
        <f t="shared" si="1"/>
        <v>15</v>
      </c>
      <c r="R65" s="8"/>
      <c r="T65"/>
    </row>
    <row r="66" spans="2:20" ht="23.1" customHeight="1" x14ac:dyDescent="0.25">
      <c r="B66" s="23" t="s">
        <v>103</v>
      </c>
      <c r="C66" s="49">
        <f>'Avg Week Kanoni-Mityana'!C66+'Avg Week Mityana-Kanoni'!C66</f>
        <v>0.5</v>
      </c>
      <c r="D66" s="49">
        <f>'Avg Week Kanoni-Mityana'!D66+'Avg Week Mityana-Kanoni'!D66</f>
        <v>0</v>
      </c>
      <c r="E66" s="49">
        <f>'Avg Week Kanoni-Mityana'!E66+'Avg Week Mityana-Kanoni'!E66</f>
        <v>1</v>
      </c>
      <c r="F66" s="49">
        <f>'Avg Week Kanoni-Mityana'!F66+'Avg Week Mityana-Kanoni'!F66</f>
        <v>0</v>
      </c>
      <c r="G66" s="49">
        <f>'Avg Week Kanoni-Mityana'!G66+'Avg Week Mityana-Kanoni'!G66</f>
        <v>0</v>
      </c>
      <c r="H66" s="49">
        <f>'Avg Week Kanoni-Mityana'!H66+'Avg Week Mityana-Kanoni'!H66</f>
        <v>0</v>
      </c>
      <c r="I66" s="49">
        <f>'Avg Week Kanoni-Mityana'!I66+'Avg Week Mityana-Kanoni'!I66</f>
        <v>0</v>
      </c>
      <c r="J66" s="49">
        <f>'Avg Week Kanoni-Mityana'!J66+'Avg Week Mityana-Kanoni'!J66</f>
        <v>0</v>
      </c>
      <c r="K66" s="49">
        <f>'Avg Week Kanoni-Mityana'!K66+'Avg Week Mityana-Kanoni'!K66</f>
        <v>0.5</v>
      </c>
      <c r="L66" s="49">
        <f>'Avg Week Kanoni-Mityana'!L66+'Avg Week Mityana-Kanoni'!L66</f>
        <v>0</v>
      </c>
      <c r="M66" s="49">
        <f>'Avg Week Kanoni-Mityana'!M66+'Avg Week Mityana-Kanoni'!M66</f>
        <v>10</v>
      </c>
      <c r="N66" s="49">
        <f>'Avg Week Kanoni-Mityana'!N66+'Avg Week Mityana-Kanoni'!N66</f>
        <v>0</v>
      </c>
      <c r="O66" s="15">
        <f t="shared" si="0"/>
        <v>2</v>
      </c>
      <c r="P66" s="15">
        <f t="shared" si="1"/>
        <v>12</v>
      </c>
      <c r="R66" s="8"/>
      <c r="T66"/>
    </row>
    <row r="67" spans="2:20" ht="23.1" customHeight="1" x14ac:dyDescent="0.25">
      <c r="B67" s="23" t="s">
        <v>104</v>
      </c>
      <c r="C67" s="49">
        <f>'Avg Week Kanoni-Mityana'!C67+'Avg Week Mityana-Kanoni'!C67</f>
        <v>1.5</v>
      </c>
      <c r="D67" s="49">
        <f>'Avg Week Kanoni-Mityana'!D67+'Avg Week Mityana-Kanoni'!D67</f>
        <v>0</v>
      </c>
      <c r="E67" s="49">
        <f>'Avg Week Kanoni-Mityana'!E67+'Avg Week Mityana-Kanoni'!E67</f>
        <v>0</v>
      </c>
      <c r="F67" s="49">
        <f>'Avg Week Kanoni-Mityana'!F67+'Avg Week Mityana-Kanoni'!F67</f>
        <v>0</v>
      </c>
      <c r="G67" s="49">
        <f>'Avg Week Kanoni-Mityana'!G67+'Avg Week Mityana-Kanoni'!G67</f>
        <v>0</v>
      </c>
      <c r="H67" s="49">
        <f>'Avg Week Kanoni-Mityana'!H67+'Avg Week Mityana-Kanoni'!H67</f>
        <v>0</v>
      </c>
      <c r="I67" s="49">
        <f>'Avg Week Kanoni-Mityana'!I67+'Avg Week Mityana-Kanoni'!I67</f>
        <v>1</v>
      </c>
      <c r="J67" s="49">
        <f>'Avg Week Kanoni-Mityana'!J67+'Avg Week Mityana-Kanoni'!J67</f>
        <v>0</v>
      </c>
      <c r="K67" s="49">
        <f>'Avg Week Kanoni-Mityana'!K67+'Avg Week Mityana-Kanoni'!K67</f>
        <v>0</v>
      </c>
      <c r="L67" s="49">
        <f>'Avg Week Kanoni-Mityana'!L67+'Avg Week Mityana-Kanoni'!L67</f>
        <v>0</v>
      </c>
      <c r="M67" s="49">
        <f>'Avg Week Kanoni-Mityana'!M67+'Avg Week Mityana-Kanoni'!M67</f>
        <v>14</v>
      </c>
      <c r="N67" s="49">
        <f>'Avg Week Kanoni-Mityana'!N67+'Avg Week Mityana-Kanoni'!N67</f>
        <v>0</v>
      </c>
      <c r="O67" s="15">
        <f t="shared" si="0"/>
        <v>2.5</v>
      </c>
      <c r="P67" s="15">
        <f t="shared" si="1"/>
        <v>16.5</v>
      </c>
      <c r="R67" s="8"/>
      <c r="T67"/>
    </row>
    <row r="68" spans="2:20" ht="23.1" customHeight="1" x14ac:dyDescent="0.25">
      <c r="B68" s="23" t="s">
        <v>105</v>
      </c>
      <c r="C68" s="49">
        <f>'Avg Week Kanoni-Mityana'!C68+'Avg Week Mityana-Kanoni'!C68</f>
        <v>1</v>
      </c>
      <c r="D68" s="49">
        <f>'Avg Week Kanoni-Mityana'!D68+'Avg Week Mityana-Kanoni'!D68</f>
        <v>0</v>
      </c>
      <c r="E68" s="49">
        <f>'Avg Week Kanoni-Mityana'!E68+'Avg Week Mityana-Kanoni'!E68</f>
        <v>0</v>
      </c>
      <c r="F68" s="49">
        <f>'Avg Week Kanoni-Mityana'!F68+'Avg Week Mityana-Kanoni'!F68</f>
        <v>0</v>
      </c>
      <c r="G68" s="49">
        <f>'Avg Week Kanoni-Mityana'!G68+'Avg Week Mityana-Kanoni'!G68</f>
        <v>0</v>
      </c>
      <c r="H68" s="49">
        <f>'Avg Week Kanoni-Mityana'!H68+'Avg Week Mityana-Kanoni'!H68</f>
        <v>0</v>
      </c>
      <c r="I68" s="49">
        <f>'Avg Week Kanoni-Mityana'!I68+'Avg Week Mityana-Kanoni'!I68</f>
        <v>0.5</v>
      </c>
      <c r="J68" s="49">
        <f>'Avg Week Kanoni-Mityana'!J68+'Avg Week Mityana-Kanoni'!J68</f>
        <v>0</v>
      </c>
      <c r="K68" s="49">
        <f>'Avg Week Kanoni-Mityana'!K68+'Avg Week Mityana-Kanoni'!K68</f>
        <v>0</v>
      </c>
      <c r="L68" s="49">
        <f>'Avg Week Kanoni-Mityana'!L68+'Avg Week Mityana-Kanoni'!L68</f>
        <v>0</v>
      </c>
      <c r="M68" s="49">
        <f>'Avg Week Kanoni-Mityana'!M68+'Avg Week Mityana-Kanoni'!M68</f>
        <v>11.5</v>
      </c>
      <c r="N68" s="49">
        <f>'Avg Week Kanoni-Mityana'!N68+'Avg Week Mityana-Kanoni'!N68</f>
        <v>0</v>
      </c>
      <c r="O68" s="15">
        <f t="shared" si="0"/>
        <v>1.5</v>
      </c>
      <c r="P68" s="15">
        <f t="shared" si="1"/>
        <v>13</v>
      </c>
      <c r="R68" s="8"/>
      <c r="T68"/>
    </row>
    <row r="69" spans="2:20" ht="23.1" customHeight="1" x14ac:dyDescent="0.25">
      <c r="B69" s="23" t="s">
        <v>106</v>
      </c>
      <c r="C69" s="49">
        <f>'Avg Week Kanoni-Mityana'!C69+'Avg Week Mityana-Kanoni'!C69</f>
        <v>1</v>
      </c>
      <c r="D69" s="49">
        <f>'Avg Week Kanoni-Mityana'!D69+'Avg Week Mityana-Kanoni'!D69</f>
        <v>0</v>
      </c>
      <c r="E69" s="49">
        <f>'Avg Week Kanoni-Mityana'!E69+'Avg Week Mityana-Kanoni'!E69</f>
        <v>0</v>
      </c>
      <c r="F69" s="49">
        <f>'Avg Week Kanoni-Mityana'!F69+'Avg Week Mityana-Kanoni'!F69</f>
        <v>0</v>
      </c>
      <c r="G69" s="49">
        <f>'Avg Week Kanoni-Mityana'!G69+'Avg Week Mityana-Kanoni'!G69</f>
        <v>0</v>
      </c>
      <c r="H69" s="49">
        <f>'Avg Week Kanoni-Mityana'!H69+'Avg Week Mityana-Kanoni'!H69</f>
        <v>0</v>
      </c>
      <c r="I69" s="49">
        <f>'Avg Week Kanoni-Mityana'!I69+'Avg Week Mityana-Kanoni'!I69</f>
        <v>0</v>
      </c>
      <c r="J69" s="49">
        <f>'Avg Week Kanoni-Mityana'!J69+'Avg Week Mityana-Kanoni'!J69</f>
        <v>0</v>
      </c>
      <c r="K69" s="49">
        <f>'Avg Week Kanoni-Mityana'!K69+'Avg Week Mityana-Kanoni'!K69</f>
        <v>0</v>
      </c>
      <c r="L69" s="49">
        <f>'Avg Week Kanoni-Mityana'!L69+'Avg Week Mityana-Kanoni'!L69</f>
        <v>0</v>
      </c>
      <c r="M69" s="49">
        <f>'Avg Week Kanoni-Mityana'!M69+'Avg Week Mityana-Kanoni'!M69</f>
        <v>10.5</v>
      </c>
      <c r="N69" s="49">
        <f>'Avg Week Kanoni-Mityana'!N69+'Avg Week Mityana-Kanoni'!N69</f>
        <v>0</v>
      </c>
      <c r="O69" s="15">
        <f t="shared" si="0"/>
        <v>1</v>
      </c>
      <c r="P69" s="15">
        <f t="shared" si="1"/>
        <v>11.5</v>
      </c>
      <c r="R69" s="8"/>
      <c r="T69"/>
    </row>
    <row r="70" spans="2:20" ht="23.1" customHeight="1" x14ac:dyDescent="0.25">
      <c r="B70" s="23" t="s">
        <v>110</v>
      </c>
      <c r="C70" s="49">
        <f>'Avg Week Kanoni-Mityana'!C70+'Avg Week Mityana-Kanoni'!C70</f>
        <v>0.5</v>
      </c>
      <c r="D70" s="49">
        <f>'Avg Week Kanoni-Mityana'!D70+'Avg Week Mityana-Kanoni'!D70</f>
        <v>0</v>
      </c>
      <c r="E70" s="49">
        <f>'Avg Week Kanoni-Mityana'!E70+'Avg Week Mityana-Kanoni'!E70</f>
        <v>0</v>
      </c>
      <c r="F70" s="49">
        <f>'Avg Week Kanoni-Mityana'!F70+'Avg Week Mityana-Kanoni'!F70</f>
        <v>0</v>
      </c>
      <c r="G70" s="49">
        <f>'Avg Week Kanoni-Mityana'!G70+'Avg Week Mityana-Kanoni'!G70</f>
        <v>0</v>
      </c>
      <c r="H70" s="49">
        <f>'Avg Week Kanoni-Mityana'!H70+'Avg Week Mityana-Kanoni'!H70</f>
        <v>0</v>
      </c>
      <c r="I70" s="49">
        <f>'Avg Week Kanoni-Mityana'!I70+'Avg Week Mityana-Kanoni'!I70</f>
        <v>0</v>
      </c>
      <c r="J70" s="49">
        <f>'Avg Week Kanoni-Mityana'!J70+'Avg Week Mityana-Kanoni'!J70</f>
        <v>0</v>
      </c>
      <c r="K70" s="49">
        <f>'Avg Week Kanoni-Mityana'!K70+'Avg Week Mityana-Kanoni'!K70</f>
        <v>0</v>
      </c>
      <c r="L70" s="49">
        <f>'Avg Week Kanoni-Mityana'!L70+'Avg Week Mityana-Kanoni'!L70</f>
        <v>0</v>
      </c>
      <c r="M70" s="49">
        <f>'Avg Week Kanoni-Mityana'!M70+'Avg Week Mityana-Kanoni'!M70</f>
        <v>9.5</v>
      </c>
      <c r="N70" s="49">
        <f>'Avg Week Kanoni-Mityana'!N70+'Avg Week Mityana-Kanoni'!N70</f>
        <v>0</v>
      </c>
      <c r="O70" s="15">
        <f t="shared" si="0"/>
        <v>0.5</v>
      </c>
      <c r="P70" s="15">
        <f t="shared" si="1"/>
        <v>10</v>
      </c>
      <c r="R70" s="8"/>
      <c r="T70"/>
    </row>
    <row r="71" spans="2:20" ht="23.1" customHeight="1" x14ac:dyDescent="0.25">
      <c r="B71" s="23" t="s">
        <v>111</v>
      </c>
      <c r="C71" s="49">
        <f>'Avg Week Kanoni-Mityana'!C71+'Avg Week Mityana-Kanoni'!C71</f>
        <v>0.5</v>
      </c>
      <c r="D71" s="49">
        <f>'Avg Week Kanoni-Mityana'!D71+'Avg Week Mityana-Kanoni'!D71</f>
        <v>0</v>
      </c>
      <c r="E71" s="49">
        <f>'Avg Week Kanoni-Mityana'!E71+'Avg Week Mityana-Kanoni'!E71</f>
        <v>0</v>
      </c>
      <c r="F71" s="49">
        <f>'Avg Week Kanoni-Mityana'!F71+'Avg Week Mityana-Kanoni'!F71</f>
        <v>0</v>
      </c>
      <c r="G71" s="49">
        <f>'Avg Week Kanoni-Mityana'!G71+'Avg Week Mityana-Kanoni'!G71</f>
        <v>0</v>
      </c>
      <c r="H71" s="49">
        <f>'Avg Week Kanoni-Mityana'!H71+'Avg Week Mityana-Kanoni'!H71</f>
        <v>0</v>
      </c>
      <c r="I71" s="49">
        <f>'Avg Week Kanoni-Mityana'!I71+'Avg Week Mityana-Kanoni'!I71</f>
        <v>0</v>
      </c>
      <c r="J71" s="49">
        <f>'Avg Week Kanoni-Mityana'!J71+'Avg Week Mityana-Kanoni'!J71</f>
        <v>0</v>
      </c>
      <c r="K71" s="49">
        <f>'Avg Week Kanoni-Mityana'!K71+'Avg Week Mityana-Kanoni'!K71</f>
        <v>0</v>
      </c>
      <c r="L71" s="49">
        <f>'Avg Week Kanoni-Mityana'!L71+'Avg Week Mityana-Kanoni'!L71</f>
        <v>0</v>
      </c>
      <c r="M71" s="49">
        <f>'Avg Week Kanoni-Mityana'!M71+'Avg Week Mityana-Kanoni'!M71</f>
        <v>3.5</v>
      </c>
      <c r="N71" s="49">
        <f>'Avg Week Kanoni-Mityana'!N71+'Avg Week Mityana-Kanoni'!N71</f>
        <v>0</v>
      </c>
      <c r="O71" s="15">
        <f t="shared" si="0"/>
        <v>0.5</v>
      </c>
      <c r="P71" s="15">
        <f t="shared" si="1"/>
        <v>4</v>
      </c>
      <c r="R71" s="8"/>
      <c r="T71"/>
    </row>
    <row r="72" spans="2:20" ht="23.1" customHeight="1" x14ac:dyDescent="0.25">
      <c r="B72" s="23" t="s">
        <v>112</v>
      </c>
      <c r="C72" s="49">
        <f>'Avg Week Kanoni-Mityana'!C72+'Avg Week Mityana-Kanoni'!C72</f>
        <v>0</v>
      </c>
      <c r="D72" s="49">
        <f>'Avg Week Kanoni-Mityana'!D72+'Avg Week Mityana-Kanoni'!D72</f>
        <v>0</v>
      </c>
      <c r="E72" s="49">
        <f>'Avg Week Kanoni-Mityana'!E72+'Avg Week Mityana-Kanoni'!E72</f>
        <v>0</v>
      </c>
      <c r="F72" s="49">
        <f>'Avg Week Kanoni-Mityana'!F72+'Avg Week Mityana-Kanoni'!F72</f>
        <v>0</v>
      </c>
      <c r="G72" s="49">
        <f>'Avg Week Kanoni-Mityana'!G72+'Avg Week Mityana-Kanoni'!G72</f>
        <v>0</v>
      </c>
      <c r="H72" s="49">
        <f>'Avg Week Kanoni-Mityana'!H72+'Avg Week Mityana-Kanoni'!H72</f>
        <v>0</v>
      </c>
      <c r="I72" s="49">
        <f>'Avg Week Kanoni-Mityana'!I72+'Avg Week Mityana-Kanoni'!I72</f>
        <v>1</v>
      </c>
      <c r="J72" s="49">
        <f>'Avg Week Kanoni-Mityana'!J72+'Avg Week Mityana-Kanoni'!J72</f>
        <v>0</v>
      </c>
      <c r="K72" s="49">
        <f>'Avg Week Kanoni-Mityana'!K72+'Avg Week Mityana-Kanoni'!K72</f>
        <v>0.5</v>
      </c>
      <c r="L72" s="49">
        <f>'Avg Week Kanoni-Mityana'!L72+'Avg Week Mityana-Kanoni'!L72</f>
        <v>0</v>
      </c>
      <c r="M72" s="49">
        <f>'Avg Week Kanoni-Mityana'!M72+'Avg Week Mityana-Kanoni'!M72</f>
        <v>6.5</v>
      </c>
      <c r="N72" s="49">
        <f>'Avg Week Kanoni-Mityana'!N72+'Avg Week Mityana-Kanoni'!N72</f>
        <v>0</v>
      </c>
      <c r="O72" s="15">
        <f t="shared" si="0"/>
        <v>1.5</v>
      </c>
      <c r="P72" s="15">
        <f t="shared" si="1"/>
        <v>8</v>
      </c>
      <c r="R72" s="8"/>
      <c r="T72"/>
    </row>
    <row r="73" spans="2:20" ht="23.1" customHeight="1" x14ac:dyDescent="0.25">
      <c r="B73" s="23" t="s">
        <v>113</v>
      </c>
      <c r="C73" s="49">
        <f>'Avg Week Kanoni-Mityana'!C73+'Avg Week Mityana-Kanoni'!C73</f>
        <v>0</v>
      </c>
      <c r="D73" s="49">
        <f>'Avg Week Kanoni-Mityana'!D73+'Avg Week Mityana-Kanoni'!D73</f>
        <v>0.5</v>
      </c>
      <c r="E73" s="49">
        <f>'Avg Week Kanoni-Mityana'!E73+'Avg Week Mityana-Kanoni'!E73</f>
        <v>0</v>
      </c>
      <c r="F73" s="49">
        <f>'Avg Week Kanoni-Mityana'!F73+'Avg Week Mityana-Kanoni'!F73</f>
        <v>0</v>
      </c>
      <c r="G73" s="49">
        <f>'Avg Week Kanoni-Mityana'!G73+'Avg Week Mityana-Kanoni'!G73</f>
        <v>0</v>
      </c>
      <c r="H73" s="49">
        <f>'Avg Week Kanoni-Mityana'!H73+'Avg Week Mityana-Kanoni'!H73</f>
        <v>0</v>
      </c>
      <c r="I73" s="49">
        <f>'Avg Week Kanoni-Mityana'!I73+'Avg Week Mityana-Kanoni'!I73</f>
        <v>0</v>
      </c>
      <c r="J73" s="49">
        <f>'Avg Week Kanoni-Mityana'!J73+'Avg Week Mityana-Kanoni'!J73</f>
        <v>0</v>
      </c>
      <c r="K73" s="49">
        <f>'Avg Week Kanoni-Mityana'!K73+'Avg Week Mityana-Kanoni'!K73</f>
        <v>0</v>
      </c>
      <c r="L73" s="49">
        <f>'Avg Week Kanoni-Mityana'!L73+'Avg Week Mityana-Kanoni'!L73</f>
        <v>0</v>
      </c>
      <c r="M73" s="49">
        <f>'Avg Week Kanoni-Mityana'!M73+'Avg Week Mityana-Kanoni'!M73</f>
        <v>5</v>
      </c>
      <c r="N73" s="49">
        <f>'Avg Week Kanoni-Mityana'!N73+'Avg Week Mityana-Kanoni'!N73</f>
        <v>0</v>
      </c>
      <c r="O73" s="15">
        <f t="shared" si="0"/>
        <v>0.5</v>
      </c>
      <c r="P73" s="15">
        <f t="shared" si="1"/>
        <v>5.5</v>
      </c>
      <c r="R73" s="8"/>
      <c r="T73"/>
    </row>
    <row r="74" spans="2:20" ht="23.1" customHeight="1" x14ac:dyDescent="0.25">
      <c r="B74" s="23" t="s">
        <v>114</v>
      </c>
      <c r="C74" s="49">
        <f>'Avg Week Kanoni-Mityana'!C74+'Avg Week Mityana-Kanoni'!C74</f>
        <v>0.5</v>
      </c>
      <c r="D74" s="49">
        <f>'Avg Week Kanoni-Mityana'!D74+'Avg Week Mityana-Kanoni'!D74</f>
        <v>0</v>
      </c>
      <c r="E74" s="49">
        <f>'Avg Week Kanoni-Mityana'!E74+'Avg Week Mityana-Kanoni'!E74</f>
        <v>0</v>
      </c>
      <c r="F74" s="49">
        <f>'Avg Week Kanoni-Mityana'!F74+'Avg Week Mityana-Kanoni'!F74</f>
        <v>0</v>
      </c>
      <c r="G74" s="49">
        <f>'Avg Week Kanoni-Mityana'!G74+'Avg Week Mityana-Kanoni'!G74</f>
        <v>0</v>
      </c>
      <c r="H74" s="49">
        <f>'Avg Week Kanoni-Mityana'!H74+'Avg Week Mityana-Kanoni'!H74</f>
        <v>0</v>
      </c>
      <c r="I74" s="49">
        <f>'Avg Week Kanoni-Mityana'!I74+'Avg Week Mityana-Kanoni'!I74</f>
        <v>0</v>
      </c>
      <c r="J74" s="49">
        <f>'Avg Week Kanoni-Mityana'!J74+'Avg Week Mityana-Kanoni'!J74</f>
        <v>0</v>
      </c>
      <c r="K74" s="49">
        <f>'Avg Week Kanoni-Mityana'!K74+'Avg Week Mityana-Kanoni'!K74</f>
        <v>0</v>
      </c>
      <c r="L74" s="49">
        <f>'Avg Week Kanoni-Mityana'!L74+'Avg Week Mityana-Kanoni'!L74</f>
        <v>0</v>
      </c>
      <c r="M74" s="49">
        <f>'Avg Week Kanoni-Mityana'!M74+'Avg Week Mityana-Kanoni'!M74</f>
        <v>5.5</v>
      </c>
      <c r="N74" s="49">
        <f>'Avg Week Kanoni-Mityana'!N74+'Avg Week Mityana-Kanoni'!N74</f>
        <v>0</v>
      </c>
      <c r="O74" s="15">
        <f t="shared" ref="O74:O105" si="35">SUM(C74:L74,N74)</f>
        <v>0.5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23" t="s">
        <v>115</v>
      </c>
      <c r="C75" s="49">
        <f>'Avg Week Kanoni-Mityana'!C75+'Avg Week Mityana-Kanoni'!C75</f>
        <v>0</v>
      </c>
      <c r="D75" s="49">
        <f>'Avg Week Kanoni-Mityana'!D75+'Avg Week Mityana-Kanoni'!D75</f>
        <v>0</v>
      </c>
      <c r="E75" s="49">
        <f>'Avg Week Kanoni-Mityana'!E75+'Avg Week Mityana-Kanoni'!E75</f>
        <v>0</v>
      </c>
      <c r="F75" s="49">
        <f>'Avg Week Kanoni-Mityana'!F75+'Avg Week Mityana-Kanoni'!F75</f>
        <v>0.5</v>
      </c>
      <c r="G75" s="49">
        <f>'Avg Week Kanoni-Mityana'!G75+'Avg Week Mityana-Kanoni'!G75</f>
        <v>0</v>
      </c>
      <c r="H75" s="49">
        <f>'Avg Week Kanoni-Mityana'!H75+'Avg Week Mityana-Kanoni'!H75</f>
        <v>0</v>
      </c>
      <c r="I75" s="49">
        <f>'Avg Week Kanoni-Mityana'!I75+'Avg Week Mityana-Kanoni'!I75</f>
        <v>1</v>
      </c>
      <c r="J75" s="49">
        <f>'Avg Week Kanoni-Mityana'!J75+'Avg Week Mityana-Kanoni'!J75</f>
        <v>0</v>
      </c>
      <c r="K75" s="49">
        <f>'Avg Week Kanoni-Mityana'!K75+'Avg Week Mityana-Kanoni'!K75</f>
        <v>1</v>
      </c>
      <c r="L75" s="49">
        <f>'Avg Week Kanoni-Mityana'!L75+'Avg Week Mityana-Kanoni'!L75</f>
        <v>0</v>
      </c>
      <c r="M75" s="49">
        <f>'Avg Week Kanoni-Mityana'!M75+'Avg Week Mityana-Kanoni'!M75</f>
        <v>3</v>
      </c>
      <c r="N75" s="49">
        <f>'Avg Week Kanoni-Mityana'!N75+'Avg Week Mityana-Kanoni'!N75</f>
        <v>0</v>
      </c>
      <c r="O75" s="15">
        <f t="shared" si="35"/>
        <v>2.5</v>
      </c>
      <c r="P75" s="15">
        <f t="shared" si="36"/>
        <v>5.5</v>
      </c>
      <c r="R75" s="8"/>
      <c r="T75"/>
    </row>
    <row r="76" spans="2:20" ht="23.1" customHeight="1" x14ac:dyDescent="0.25">
      <c r="B76" s="23" t="s">
        <v>116</v>
      </c>
      <c r="C76" s="49">
        <f>'Avg Week Kanoni-Mityana'!C76+'Avg Week Mityana-Kanoni'!C76</f>
        <v>0</v>
      </c>
      <c r="D76" s="49">
        <f>'Avg Week Kanoni-Mityana'!D76+'Avg Week Mityana-Kanoni'!D76</f>
        <v>0</v>
      </c>
      <c r="E76" s="49">
        <f>'Avg Week Kanoni-Mityana'!E76+'Avg Week Mityana-Kanoni'!E76</f>
        <v>0</v>
      </c>
      <c r="F76" s="49">
        <f>'Avg Week Kanoni-Mityana'!F76+'Avg Week Mityana-Kanoni'!F76</f>
        <v>0</v>
      </c>
      <c r="G76" s="49">
        <f>'Avg Week Kanoni-Mityana'!G76+'Avg Week Mityana-Kanoni'!G76</f>
        <v>0</v>
      </c>
      <c r="H76" s="49">
        <f>'Avg Week Kanoni-Mityana'!H76+'Avg Week Mityana-Kanoni'!H76</f>
        <v>0</v>
      </c>
      <c r="I76" s="49">
        <f>'Avg Week Kanoni-Mityana'!I76+'Avg Week Mityana-Kanoni'!I76</f>
        <v>0.5</v>
      </c>
      <c r="J76" s="49">
        <f>'Avg Week Kanoni-Mityana'!J76+'Avg Week Mityana-Kanoni'!J76</f>
        <v>0</v>
      </c>
      <c r="K76" s="49">
        <f>'Avg Week Kanoni-Mityana'!K76+'Avg Week Mityana-Kanoni'!K76</f>
        <v>0</v>
      </c>
      <c r="L76" s="49">
        <f>'Avg Week Kanoni-Mityana'!L76+'Avg Week Mityana-Kanoni'!L76</f>
        <v>0</v>
      </c>
      <c r="M76" s="49">
        <f>'Avg Week Kanoni-Mityana'!M76+'Avg Week Mityana-Kanoni'!M76</f>
        <v>1</v>
      </c>
      <c r="N76" s="49">
        <f>'Avg Week Kanoni-Mityana'!N76+'Avg Week Mityana-Kanoni'!N76</f>
        <v>0</v>
      </c>
      <c r="O76" s="15">
        <f t="shared" si="35"/>
        <v>0.5</v>
      </c>
      <c r="P76" s="15">
        <f t="shared" si="36"/>
        <v>1.5</v>
      </c>
      <c r="R76" s="8"/>
      <c r="T76"/>
    </row>
    <row r="77" spans="2:20" ht="23.1" customHeight="1" x14ac:dyDescent="0.25">
      <c r="B77" s="23" t="s">
        <v>117</v>
      </c>
      <c r="C77" s="49">
        <f>'Avg Week Kanoni-Mityana'!C77+'Avg Week Mityana-Kanoni'!C77</f>
        <v>0</v>
      </c>
      <c r="D77" s="49">
        <f>'Avg Week Kanoni-Mityana'!D77+'Avg Week Mityana-Kanoni'!D77</f>
        <v>0</v>
      </c>
      <c r="E77" s="49">
        <f>'Avg Week Kanoni-Mityana'!E77+'Avg Week Mityana-Kanoni'!E77</f>
        <v>0</v>
      </c>
      <c r="F77" s="49">
        <f>'Avg Week Kanoni-Mityana'!F77+'Avg Week Mityana-Kanoni'!F77</f>
        <v>0</v>
      </c>
      <c r="G77" s="49">
        <f>'Avg Week Kanoni-Mityana'!G77+'Avg Week Mityana-Kanoni'!G77</f>
        <v>0</v>
      </c>
      <c r="H77" s="49">
        <f>'Avg Week Kanoni-Mityana'!H77+'Avg Week Mityana-Kanoni'!H77</f>
        <v>0</v>
      </c>
      <c r="I77" s="49">
        <f>'Avg Week Kanoni-Mityana'!I77+'Avg Week Mityana-Kanoni'!I77</f>
        <v>0</v>
      </c>
      <c r="J77" s="49">
        <f>'Avg Week Kanoni-Mityana'!J77+'Avg Week Mityana-Kanoni'!J77</f>
        <v>0</v>
      </c>
      <c r="K77" s="49">
        <f>'Avg Week Kanoni-Mityana'!K77+'Avg Week Mityana-Kanoni'!K77</f>
        <v>0</v>
      </c>
      <c r="L77" s="49">
        <f>'Avg Week Kanoni-Mityana'!L77+'Avg Week Mityana-Kanoni'!L77</f>
        <v>0</v>
      </c>
      <c r="M77" s="49">
        <f>'Avg Week Kanoni-Mityana'!M77+'Avg Week Mityana-Kanoni'!M77</f>
        <v>4</v>
      </c>
      <c r="N77" s="49">
        <f>'Avg Week Kanoni-Mityana'!N77+'Avg Week Mityana-Kanoni'!N77</f>
        <v>0</v>
      </c>
      <c r="O77" s="15">
        <f t="shared" si="35"/>
        <v>0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'Avg Week Kanoni-Mityana'!C78+'Avg Week Mityana-Kanoni'!C78</f>
        <v>0</v>
      </c>
      <c r="D78" s="49">
        <f>'Avg Week Kanoni-Mityana'!D78+'Avg Week Mityana-Kanoni'!D78</f>
        <v>0</v>
      </c>
      <c r="E78" s="49">
        <f>'Avg Week Kanoni-Mityana'!E78+'Avg Week Mityana-Kanoni'!E78</f>
        <v>0</v>
      </c>
      <c r="F78" s="49">
        <f>'Avg Week Kanoni-Mityana'!F78+'Avg Week Mityana-Kanoni'!F78</f>
        <v>0</v>
      </c>
      <c r="G78" s="49">
        <f>'Avg Week Kanoni-Mityana'!G78+'Avg Week Mityana-Kanoni'!G78</f>
        <v>0</v>
      </c>
      <c r="H78" s="49">
        <f>'Avg Week Kanoni-Mityana'!H78+'Avg Week Mityana-Kanoni'!H78</f>
        <v>0</v>
      </c>
      <c r="I78" s="49">
        <f>'Avg Week Kanoni-Mityana'!I78+'Avg Week Mityana-Kanoni'!I78</f>
        <v>0</v>
      </c>
      <c r="J78" s="49">
        <f>'Avg Week Kanoni-Mityana'!J78+'Avg Week Mityana-Kanoni'!J78</f>
        <v>0</v>
      </c>
      <c r="K78" s="49">
        <f>'Avg Week Kanoni-Mityana'!K78+'Avg Week Mityana-Kanoni'!K78</f>
        <v>0</v>
      </c>
      <c r="L78" s="49">
        <f>'Avg Week Kanoni-Mityana'!L78+'Avg Week Mityana-Kanoni'!L78</f>
        <v>0</v>
      </c>
      <c r="M78" s="49">
        <f>'Avg Week Kanoni-Mityana'!M78+'Avg Week Mityana-Kanoni'!M78</f>
        <v>1.5</v>
      </c>
      <c r="N78" s="49">
        <f>'Avg Week Kanoni-Mityana'!N78+'Avg Week Mityana-Kanoni'!N78</f>
        <v>0</v>
      </c>
      <c r="O78" s="15">
        <f t="shared" si="35"/>
        <v>0</v>
      </c>
      <c r="P78" s="15">
        <f t="shared" si="36"/>
        <v>1.5</v>
      </c>
      <c r="R78" s="8"/>
      <c r="T78"/>
    </row>
    <row r="79" spans="2:20" ht="23.1" customHeight="1" x14ac:dyDescent="0.25">
      <c r="B79" s="23" t="s">
        <v>119</v>
      </c>
      <c r="C79" s="49">
        <f>'Avg Week Kanoni-Mityana'!C79+'Avg Week Mityana-Kanoni'!C79</f>
        <v>0.5</v>
      </c>
      <c r="D79" s="49">
        <f>'Avg Week Kanoni-Mityana'!D79+'Avg Week Mityana-Kanoni'!D79</f>
        <v>0</v>
      </c>
      <c r="E79" s="49">
        <f>'Avg Week Kanoni-Mityana'!E79+'Avg Week Mityana-Kanoni'!E79</f>
        <v>0</v>
      </c>
      <c r="F79" s="49">
        <f>'Avg Week Kanoni-Mityana'!F79+'Avg Week Mityana-Kanoni'!F79</f>
        <v>0</v>
      </c>
      <c r="G79" s="49">
        <f>'Avg Week Kanoni-Mityana'!G79+'Avg Week Mityana-Kanoni'!G79</f>
        <v>0</v>
      </c>
      <c r="H79" s="49">
        <f>'Avg Week Kanoni-Mityana'!H79+'Avg Week Mityana-Kanoni'!H79</f>
        <v>0</v>
      </c>
      <c r="I79" s="49">
        <f>'Avg Week Kanoni-Mityana'!I79+'Avg Week Mityana-Kanoni'!I79</f>
        <v>0</v>
      </c>
      <c r="J79" s="49">
        <f>'Avg Week Kanoni-Mityana'!J79+'Avg Week Mityana-Kanoni'!J79</f>
        <v>0</v>
      </c>
      <c r="K79" s="49">
        <f>'Avg Week Kanoni-Mityana'!K79+'Avg Week Mityana-Kanoni'!K79</f>
        <v>0</v>
      </c>
      <c r="L79" s="49">
        <f>'Avg Week Kanoni-Mityana'!L79+'Avg Week Mityana-Kanoni'!L79</f>
        <v>0</v>
      </c>
      <c r="M79" s="49">
        <f>'Avg Week Kanoni-Mityana'!M79+'Avg Week Mityana-Kanoni'!M79</f>
        <v>2.5</v>
      </c>
      <c r="N79" s="49">
        <f>'Avg Week Kanoni-Mityana'!N79+'Avg Week Mityana-Kanoni'!N79</f>
        <v>0</v>
      </c>
      <c r="O79" s="15">
        <f t="shared" si="35"/>
        <v>0.5</v>
      </c>
      <c r="P79" s="15">
        <f t="shared" si="36"/>
        <v>3</v>
      </c>
      <c r="R79" s="8"/>
      <c r="T79"/>
    </row>
    <row r="80" spans="2:20" ht="23.1" customHeight="1" x14ac:dyDescent="0.25">
      <c r="B80" s="25" t="s">
        <v>120</v>
      </c>
      <c r="C80" s="49">
        <f>'Avg Week Kanoni-Mityana'!C80+'Avg Week Mityana-Kanoni'!C80</f>
        <v>0.5</v>
      </c>
      <c r="D80" s="49">
        <f>'Avg Week Kanoni-Mityana'!D80+'Avg Week Mityana-Kanoni'!D80</f>
        <v>0</v>
      </c>
      <c r="E80" s="49">
        <f>'Avg Week Kanoni-Mityana'!E80+'Avg Week Mityana-Kanoni'!E80</f>
        <v>0</v>
      </c>
      <c r="F80" s="49">
        <f>'Avg Week Kanoni-Mityana'!F80+'Avg Week Mityana-Kanoni'!F80</f>
        <v>0</v>
      </c>
      <c r="G80" s="49">
        <f>'Avg Week Kanoni-Mityana'!G80+'Avg Week Mityana-Kanoni'!G80</f>
        <v>0</v>
      </c>
      <c r="H80" s="49">
        <f>'Avg Week Kanoni-Mityana'!H80+'Avg Week Mityana-Kanoni'!H80</f>
        <v>0</v>
      </c>
      <c r="I80" s="49">
        <f>'Avg Week Kanoni-Mityana'!I80+'Avg Week Mityana-Kanoni'!I80</f>
        <v>0</v>
      </c>
      <c r="J80" s="49">
        <f>'Avg Week Kanoni-Mityana'!J80+'Avg Week Mityana-Kanoni'!J80</f>
        <v>0</v>
      </c>
      <c r="K80" s="49">
        <f>'Avg Week Kanoni-Mityana'!K80+'Avg Week Mityana-Kanoni'!K80</f>
        <v>0</v>
      </c>
      <c r="L80" s="49">
        <f>'Avg Week Kanoni-Mityana'!L80+'Avg Week Mityana-Kanoni'!L80</f>
        <v>0</v>
      </c>
      <c r="M80" s="49">
        <f>'Avg Week Kanoni-Mityana'!M80+'Avg Week Mityana-Kanoni'!M80</f>
        <v>0</v>
      </c>
      <c r="N80" s="49">
        <f>'Avg Week Kanoni-Mityana'!N80+'Avg Week Mityana-Kanoni'!N80</f>
        <v>0</v>
      </c>
      <c r="O80" s="15">
        <f t="shared" si="35"/>
        <v>0.5</v>
      </c>
      <c r="P80" s="15">
        <f t="shared" si="36"/>
        <v>0.5</v>
      </c>
      <c r="R80" s="8"/>
      <c r="T80"/>
    </row>
    <row r="81" spans="2:20" ht="23.1" customHeight="1" x14ac:dyDescent="0.25">
      <c r="B81" s="23" t="s">
        <v>121</v>
      </c>
      <c r="C81" s="49">
        <f>'Avg Week Kanoni-Mityana'!C81+'Avg Week Mityana-Kanoni'!C81</f>
        <v>0</v>
      </c>
      <c r="D81" s="49">
        <f>'Avg Week Kanoni-Mityana'!D81+'Avg Week Mityana-Kanoni'!D81</f>
        <v>0</v>
      </c>
      <c r="E81" s="49">
        <f>'Avg Week Kanoni-Mityana'!E81+'Avg Week Mityana-Kanoni'!E81</f>
        <v>0</v>
      </c>
      <c r="F81" s="49">
        <f>'Avg Week Kanoni-Mityana'!F81+'Avg Week Mityana-Kanoni'!F81</f>
        <v>0</v>
      </c>
      <c r="G81" s="49">
        <f>'Avg Week Kanoni-Mityana'!G81+'Avg Week Mityana-Kanoni'!G81</f>
        <v>0</v>
      </c>
      <c r="H81" s="49">
        <f>'Avg Week Kanoni-Mityana'!H81+'Avg Week Mityana-Kanoni'!H81</f>
        <v>0</v>
      </c>
      <c r="I81" s="49">
        <f>'Avg Week Kanoni-Mityana'!I81+'Avg Week Mityana-Kanoni'!I81</f>
        <v>0</v>
      </c>
      <c r="J81" s="49">
        <f>'Avg Week Kanoni-Mityana'!J81+'Avg Week Mityana-Kanoni'!J81</f>
        <v>0</v>
      </c>
      <c r="K81" s="49">
        <f>'Avg Week Kanoni-Mityana'!K81+'Avg Week Mityana-Kanoni'!K81</f>
        <v>0</v>
      </c>
      <c r="L81" s="49">
        <f>'Avg Week Kanoni-Mityana'!L81+'Avg Week Mityana-Kanoni'!L81</f>
        <v>0</v>
      </c>
      <c r="M81" s="49">
        <f>'Avg Week Kanoni-Mityana'!M81+'Avg Week Mityana-Kanoni'!M81</f>
        <v>0.5</v>
      </c>
      <c r="N81" s="49">
        <f>'Avg Week Kanoni-Mityana'!N81+'Avg Week Mityana-Kanoni'!N81</f>
        <v>0</v>
      </c>
      <c r="O81" s="15">
        <f t="shared" si="35"/>
        <v>0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'Avg Week Kanoni-Mityana'!C82+'Avg Week Mityana-Kanoni'!C82</f>
        <v>0</v>
      </c>
      <c r="D82" s="49">
        <f>'Avg Week Kanoni-Mityana'!D82+'Avg Week Mityana-Kanoni'!D82</f>
        <v>0</v>
      </c>
      <c r="E82" s="49">
        <f>'Avg Week Kanoni-Mityana'!E82+'Avg Week Mityana-Kanoni'!E82</f>
        <v>0</v>
      </c>
      <c r="F82" s="49">
        <f>'Avg Week Kanoni-Mityana'!F82+'Avg Week Mityana-Kanoni'!F82</f>
        <v>0</v>
      </c>
      <c r="G82" s="49">
        <f>'Avg Week Kanoni-Mityana'!G82+'Avg Week Mityana-Kanoni'!G82</f>
        <v>0</v>
      </c>
      <c r="H82" s="49">
        <f>'Avg Week Kanoni-Mityana'!H82+'Avg Week Mityana-Kanoni'!H82</f>
        <v>0</v>
      </c>
      <c r="I82" s="49">
        <f>'Avg Week Kanoni-Mityana'!I82+'Avg Week Mityana-Kanoni'!I82</f>
        <v>0</v>
      </c>
      <c r="J82" s="49">
        <f>'Avg Week Kanoni-Mityana'!J82+'Avg Week Mityana-Kanoni'!J82</f>
        <v>0</v>
      </c>
      <c r="K82" s="49">
        <f>'Avg Week Kanoni-Mityana'!K82+'Avg Week Mityana-Kanoni'!K82</f>
        <v>0</v>
      </c>
      <c r="L82" s="49">
        <f>'Avg Week Kanoni-Mityana'!L82+'Avg Week Mityana-Kanoni'!L82</f>
        <v>0</v>
      </c>
      <c r="M82" s="49">
        <f>'Avg Week Kanoni-Mityana'!M82+'Avg Week Mityana-Kanoni'!M82</f>
        <v>0</v>
      </c>
      <c r="N82" s="49">
        <f>'Avg Week Kanoni-Mityana'!N82+'Avg Week Mityana-Kanoni'!N82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'Avg Week Kanoni-Mityana'!C83+'Avg Week Mityana-Kanoni'!C83</f>
        <v>0</v>
      </c>
      <c r="D83" s="49">
        <f>'Avg Week Kanoni-Mityana'!D83+'Avg Week Mityana-Kanoni'!D83</f>
        <v>0</v>
      </c>
      <c r="E83" s="49">
        <f>'Avg Week Kanoni-Mityana'!E83+'Avg Week Mityana-Kanoni'!E83</f>
        <v>0</v>
      </c>
      <c r="F83" s="49">
        <f>'Avg Week Kanoni-Mityana'!F83+'Avg Week Mityana-Kanoni'!F83</f>
        <v>0</v>
      </c>
      <c r="G83" s="49">
        <f>'Avg Week Kanoni-Mityana'!G83+'Avg Week Mityana-Kanoni'!G83</f>
        <v>0</v>
      </c>
      <c r="H83" s="49">
        <f>'Avg Week Kanoni-Mityana'!H83+'Avg Week Mityana-Kanoni'!H83</f>
        <v>0</v>
      </c>
      <c r="I83" s="49">
        <f>'Avg Week Kanoni-Mityana'!I83+'Avg Week Mityana-Kanoni'!I83</f>
        <v>0</v>
      </c>
      <c r="J83" s="49">
        <f>'Avg Week Kanoni-Mityana'!J83+'Avg Week Mityana-Kanoni'!J83</f>
        <v>0</v>
      </c>
      <c r="K83" s="49">
        <f>'Avg Week Kanoni-Mityana'!K83+'Avg Week Mityana-Kanoni'!K83</f>
        <v>0</v>
      </c>
      <c r="L83" s="49">
        <f>'Avg Week Kanoni-Mityana'!L83+'Avg Week Mityana-Kanoni'!L83</f>
        <v>0</v>
      </c>
      <c r="M83" s="49">
        <f>'Avg Week Kanoni-Mityana'!M83+'Avg Week Mityana-Kanoni'!M83</f>
        <v>0.5</v>
      </c>
      <c r="N83" s="49">
        <f>'Avg Week Kanoni-Mityana'!N83+'Avg Week Mityana-Kanoni'!N83</f>
        <v>0</v>
      </c>
      <c r="O83" s="15">
        <f t="shared" si="35"/>
        <v>0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'Avg Week Kanoni-Mityana'!C84+'Avg Week Mityana-Kanoni'!C84</f>
        <v>0</v>
      </c>
      <c r="D84" s="49">
        <f>'Avg Week Kanoni-Mityana'!D84+'Avg Week Mityana-Kanoni'!D84</f>
        <v>0</v>
      </c>
      <c r="E84" s="49">
        <f>'Avg Week Kanoni-Mityana'!E84+'Avg Week Mityana-Kanoni'!E84</f>
        <v>0</v>
      </c>
      <c r="F84" s="49">
        <f>'Avg Week Kanoni-Mityana'!F84+'Avg Week Mityana-Kanoni'!F84</f>
        <v>0</v>
      </c>
      <c r="G84" s="49">
        <f>'Avg Week Kanoni-Mityana'!G84+'Avg Week Mityana-Kanoni'!G84</f>
        <v>0</v>
      </c>
      <c r="H84" s="49">
        <f>'Avg Week Kanoni-Mityana'!H84+'Avg Week Mityana-Kanoni'!H84</f>
        <v>0</v>
      </c>
      <c r="I84" s="49">
        <f>'Avg Week Kanoni-Mityana'!I84+'Avg Week Mityana-Kanoni'!I84</f>
        <v>0</v>
      </c>
      <c r="J84" s="49">
        <f>'Avg Week Kanoni-Mityana'!J84+'Avg Week Mityana-Kanoni'!J84</f>
        <v>0</v>
      </c>
      <c r="K84" s="49">
        <f>'Avg Week Kanoni-Mityana'!K84+'Avg Week Mityana-Kanoni'!K84</f>
        <v>0</v>
      </c>
      <c r="L84" s="49">
        <f>'Avg Week Kanoni-Mityana'!L84+'Avg Week Mityana-Kanoni'!L84</f>
        <v>0</v>
      </c>
      <c r="M84" s="49">
        <f>'Avg Week Kanoni-Mityana'!M84+'Avg Week Mityana-Kanoni'!M84</f>
        <v>2</v>
      </c>
      <c r="N84" s="49">
        <f>'Avg Week Kanoni-Mityana'!N84+'Avg Week Mityana-Kanoni'!N84</f>
        <v>0</v>
      </c>
      <c r="O84" s="15">
        <f t="shared" si="35"/>
        <v>0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'Avg Week Kanoni-Mityana'!C85+'Avg Week Mityana-Kanoni'!C85</f>
        <v>0</v>
      </c>
      <c r="D85" s="49">
        <f>'Avg Week Kanoni-Mityana'!D85+'Avg Week Mityana-Kanoni'!D85</f>
        <v>0</v>
      </c>
      <c r="E85" s="49">
        <f>'Avg Week Kanoni-Mityana'!E85+'Avg Week Mityana-Kanoni'!E85</f>
        <v>0</v>
      </c>
      <c r="F85" s="49">
        <f>'Avg Week Kanoni-Mityana'!F85+'Avg Week Mityana-Kanoni'!F85</f>
        <v>0</v>
      </c>
      <c r="G85" s="49">
        <f>'Avg Week Kanoni-Mityana'!G85+'Avg Week Mityana-Kanoni'!G85</f>
        <v>0</v>
      </c>
      <c r="H85" s="49">
        <f>'Avg Week Kanoni-Mityana'!H85+'Avg Week Mityana-Kanoni'!H85</f>
        <v>0</v>
      </c>
      <c r="I85" s="49">
        <f>'Avg Week Kanoni-Mityana'!I85+'Avg Week Mityana-Kanoni'!I85</f>
        <v>0</v>
      </c>
      <c r="J85" s="49">
        <f>'Avg Week Kanoni-Mityana'!J85+'Avg Week Mityana-Kanoni'!J85</f>
        <v>0</v>
      </c>
      <c r="K85" s="49">
        <f>'Avg Week Kanoni-Mityana'!K85+'Avg Week Mityana-Kanoni'!K85</f>
        <v>0</v>
      </c>
      <c r="L85" s="49">
        <f>'Avg Week Kanoni-Mityana'!L85+'Avg Week Mityana-Kanoni'!L85</f>
        <v>0</v>
      </c>
      <c r="M85" s="49">
        <f>'Avg Week Kanoni-Mityana'!M85+'Avg Week Mityana-Kanoni'!M85</f>
        <v>0.5</v>
      </c>
      <c r="N85" s="49">
        <f>'Avg Week Kanoni-Mityana'!N85+'Avg Week Mityana-Kanoni'!N85</f>
        <v>0</v>
      </c>
      <c r="O85" s="15">
        <f t="shared" si="35"/>
        <v>0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'Avg Week Kanoni-Mityana'!C86+'Avg Week Mityana-Kanoni'!C86</f>
        <v>0</v>
      </c>
      <c r="D86" s="49">
        <f>'Avg Week Kanoni-Mityana'!D86+'Avg Week Mityana-Kanoni'!D86</f>
        <v>0</v>
      </c>
      <c r="E86" s="49">
        <f>'Avg Week Kanoni-Mityana'!E86+'Avg Week Mityana-Kanoni'!E86</f>
        <v>0</v>
      </c>
      <c r="F86" s="49">
        <f>'Avg Week Kanoni-Mityana'!F86+'Avg Week Mityana-Kanoni'!F86</f>
        <v>0</v>
      </c>
      <c r="G86" s="49">
        <f>'Avg Week Kanoni-Mityana'!G86+'Avg Week Mityana-Kanoni'!G86</f>
        <v>0</v>
      </c>
      <c r="H86" s="49">
        <f>'Avg Week Kanoni-Mityana'!H86+'Avg Week Mityana-Kanoni'!H86</f>
        <v>0</v>
      </c>
      <c r="I86" s="49">
        <f>'Avg Week Kanoni-Mityana'!I86+'Avg Week Mityana-Kanoni'!I86</f>
        <v>0</v>
      </c>
      <c r="J86" s="49">
        <f>'Avg Week Kanoni-Mityana'!J86+'Avg Week Mityana-Kanoni'!J86</f>
        <v>0</v>
      </c>
      <c r="K86" s="49">
        <f>'Avg Week Kanoni-Mityana'!K86+'Avg Week Mityana-Kanoni'!K86</f>
        <v>0</v>
      </c>
      <c r="L86" s="49">
        <f>'Avg Week Kanoni-Mityana'!L86+'Avg Week Mityana-Kanoni'!L86</f>
        <v>0</v>
      </c>
      <c r="M86" s="49">
        <f>'Avg Week Kanoni-Mityana'!M86+'Avg Week Mityana-Kanoni'!M86</f>
        <v>0</v>
      </c>
      <c r="N86" s="49">
        <f>'Avg Week Kanoni-Mityana'!N86+'Avg Week Mityana-Kanoni'!N86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'Avg Week Kanoni-Mityana'!C87+'Avg Week Mityana-Kanoni'!C87</f>
        <v>0</v>
      </c>
      <c r="D87" s="49">
        <f>'Avg Week Kanoni-Mityana'!D87+'Avg Week Mityana-Kanoni'!D87</f>
        <v>0</v>
      </c>
      <c r="E87" s="49">
        <f>'Avg Week Kanoni-Mityana'!E87+'Avg Week Mityana-Kanoni'!E87</f>
        <v>0</v>
      </c>
      <c r="F87" s="49">
        <f>'Avg Week Kanoni-Mityana'!F87+'Avg Week Mityana-Kanoni'!F87</f>
        <v>0</v>
      </c>
      <c r="G87" s="49">
        <f>'Avg Week Kanoni-Mityana'!G87+'Avg Week Mityana-Kanoni'!G87</f>
        <v>0</v>
      </c>
      <c r="H87" s="49">
        <f>'Avg Week Kanoni-Mityana'!H87+'Avg Week Mityana-Kanoni'!H87</f>
        <v>0</v>
      </c>
      <c r="I87" s="49">
        <f>'Avg Week Kanoni-Mityana'!I87+'Avg Week Mityana-Kanoni'!I87</f>
        <v>0</v>
      </c>
      <c r="J87" s="49">
        <f>'Avg Week Kanoni-Mityana'!J87+'Avg Week Mityana-Kanoni'!J87</f>
        <v>0</v>
      </c>
      <c r="K87" s="49">
        <f>'Avg Week Kanoni-Mityana'!K87+'Avg Week Mityana-Kanoni'!K87</f>
        <v>0</v>
      </c>
      <c r="L87" s="49">
        <f>'Avg Week Kanoni-Mityana'!L87+'Avg Week Mityana-Kanoni'!L87</f>
        <v>0</v>
      </c>
      <c r="M87" s="49">
        <f>'Avg Week Kanoni-Mityana'!M87+'Avg Week Mityana-Kanoni'!M87</f>
        <v>0</v>
      </c>
      <c r="N87" s="49">
        <f>'Avg Week Kanoni-Mityana'!N87+'Avg Week Mityana-Kanoni'!N87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'Avg Week Kanoni-Mityana'!C88+'Avg Week Mityana-Kanoni'!C88</f>
        <v>0</v>
      </c>
      <c r="D88" s="49">
        <f>'Avg Week Kanoni-Mityana'!D88+'Avg Week Mityana-Kanoni'!D88</f>
        <v>0</v>
      </c>
      <c r="E88" s="49">
        <f>'Avg Week Kanoni-Mityana'!E88+'Avg Week Mityana-Kanoni'!E88</f>
        <v>0</v>
      </c>
      <c r="F88" s="49">
        <f>'Avg Week Kanoni-Mityana'!F88+'Avg Week Mityana-Kanoni'!F88</f>
        <v>0</v>
      </c>
      <c r="G88" s="49">
        <f>'Avg Week Kanoni-Mityana'!G88+'Avg Week Mityana-Kanoni'!G88</f>
        <v>0</v>
      </c>
      <c r="H88" s="49">
        <f>'Avg Week Kanoni-Mityana'!H88+'Avg Week Mityana-Kanoni'!H88</f>
        <v>0</v>
      </c>
      <c r="I88" s="49">
        <f>'Avg Week Kanoni-Mityana'!I88+'Avg Week Mityana-Kanoni'!I88</f>
        <v>0</v>
      </c>
      <c r="J88" s="49">
        <f>'Avg Week Kanoni-Mityana'!J88+'Avg Week Mityana-Kanoni'!J88</f>
        <v>0</v>
      </c>
      <c r="K88" s="49">
        <f>'Avg Week Kanoni-Mityana'!K88+'Avg Week Mityana-Kanoni'!K88</f>
        <v>0</v>
      </c>
      <c r="L88" s="49">
        <f>'Avg Week Kanoni-Mityana'!L88+'Avg Week Mityana-Kanoni'!L88</f>
        <v>0</v>
      </c>
      <c r="M88" s="49">
        <f>'Avg Week Kanoni-Mityana'!M88+'Avg Week Mityana-Kanoni'!M88</f>
        <v>0</v>
      </c>
      <c r="N88" s="49">
        <f>'Avg Week Kanoni-Mityana'!N88+'Avg Week Mityana-Kanoni'!N88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Week Kanoni-Mityana'!C89+'Avg Week Mityana-Kanoni'!C89</f>
        <v>0</v>
      </c>
      <c r="D89" s="49">
        <f>'Avg Week Kanoni-Mityana'!D89+'Avg Week Mityana-Kanoni'!D89</f>
        <v>0</v>
      </c>
      <c r="E89" s="49">
        <f>'Avg Week Kanoni-Mityana'!E89+'Avg Week Mityana-Kanoni'!E89</f>
        <v>0</v>
      </c>
      <c r="F89" s="49">
        <f>'Avg Week Kanoni-Mityana'!F89+'Avg Week Mityana-Kanoni'!F89</f>
        <v>0</v>
      </c>
      <c r="G89" s="49">
        <f>'Avg Week Kanoni-Mityana'!G89+'Avg Week Mityana-Kanoni'!G89</f>
        <v>0</v>
      </c>
      <c r="H89" s="49">
        <f>'Avg Week Kanoni-Mityana'!H89+'Avg Week Mityana-Kanoni'!H89</f>
        <v>0</v>
      </c>
      <c r="I89" s="49">
        <f>'Avg Week Kanoni-Mityana'!I89+'Avg Week Mityana-Kanoni'!I89</f>
        <v>0</v>
      </c>
      <c r="J89" s="49">
        <f>'Avg Week Kanoni-Mityana'!J89+'Avg Week Mityana-Kanoni'!J89</f>
        <v>0</v>
      </c>
      <c r="K89" s="49">
        <f>'Avg Week Kanoni-Mityana'!K89+'Avg Week Mityana-Kanoni'!K89</f>
        <v>0</v>
      </c>
      <c r="L89" s="49">
        <f>'Avg Week Kanoni-Mityana'!L89+'Avg Week Mityana-Kanoni'!L89</f>
        <v>0</v>
      </c>
      <c r="M89" s="49">
        <f>'Avg Week Kanoni-Mityana'!M89+'Avg Week Mityana-Kanoni'!M89</f>
        <v>0</v>
      </c>
      <c r="N89" s="49">
        <f>'Avg Week Kanoni-Mityana'!N89+'Avg Week Mityana-Kanoni'!N89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'Avg Week Kanoni-Mityana'!C90+'Avg Week Mityana-Kanoni'!C90</f>
        <v>0</v>
      </c>
      <c r="D90" s="49">
        <f>'Avg Week Kanoni-Mityana'!D90+'Avg Week Mityana-Kanoni'!D90</f>
        <v>0</v>
      </c>
      <c r="E90" s="49">
        <f>'Avg Week Kanoni-Mityana'!E90+'Avg Week Mityana-Kanoni'!E90</f>
        <v>0</v>
      </c>
      <c r="F90" s="49">
        <f>'Avg Week Kanoni-Mityana'!F90+'Avg Week Mityana-Kanoni'!F90</f>
        <v>0</v>
      </c>
      <c r="G90" s="49">
        <f>'Avg Week Kanoni-Mityana'!G90+'Avg Week Mityana-Kanoni'!G90</f>
        <v>0</v>
      </c>
      <c r="H90" s="49">
        <f>'Avg Week Kanoni-Mityana'!H90+'Avg Week Mityana-Kanoni'!H90</f>
        <v>0</v>
      </c>
      <c r="I90" s="49">
        <f>'Avg Week Kanoni-Mityana'!I90+'Avg Week Mityana-Kanoni'!I90</f>
        <v>0</v>
      </c>
      <c r="J90" s="49">
        <f>'Avg Week Kanoni-Mityana'!J90+'Avg Week Mityana-Kanoni'!J90</f>
        <v>0</v>
      </c>
      <c r="K90" s="49">
        <f>'Avg Week Kanoni-Mityana'!K90+'Avg Week Mityana-Kanoni'!K90</f>
        <v>0</v>
      </c>
      <c r="L90" s="49">
        <f>'Avg Week Kanoni-Mityana'!L90+'Avg Week Mityana-Kanoni'!L90</f>
        <v>0</v>
      </c>
      <c r="M90" s="49">
        <f>'Avg Week Kanoni-Mityana'!M90+'Avg Week Mityana-Kanoni'!M90</f>
        <v>0</v>
      </c>
      <c r="N90" s="49">
        <f>'Avg Week Kanoni-Mityana'!N90+'Avg Week Mityana-Kanoni'!N90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'Avg Week Kanoni-Mityana'!C91+'Avg Week Mityana-Kanoni'!C91</f>
        <v>0</v>
      </c>
      <c r="D91" s="49">
        <f>'Avg Week Kanoni-Mityana'!D91+'Avg Week Mityana-Kanoni'!D91</f>
        <v>0</v>
      </c>
      <c r="E91" s="49">
        <f>'Avg Week Kanoni-Mityana'!E91+'Avg Week Mityana-Kanoni'!E91</f>
        <v>0</v>
      </c>
      <c r="F91" s="49">
        <f>'Avg Week Kanoni-Mityana'!F91+'Avg Week Mityana-Kanoni'!F91</f>
        <v>0</v>
      </c>
      <c r="G91" s="49">
        <f>'Avg Week Kanoni-Mityana'!G91+'Avg Week Mityana-Kanoni'!G91</f>
        <v>0</v>
      </c>
      <c r="H91" s="49">
        <f>'Avg Week Kanoni-Mityana'!H91+'Avg Week Mityana-Kanoni'!H91</f>
        <v>0</v>
      </c>
      <c r="I91" s="49">
        <f>'Avg Week Kanoni-Mityana'!I91+'Avg Week Mityana-Kanoni'!I91</f>
        <v>0</v>
      </c>
      <c r="J91" s="49">
        <f>'Avg Week Kanoni-Mityana'!J91+'Avg Week Mityana-Kanoni'!J91</f>
        <v>0</v>
      </c>
      <c r="K91" s="49">
        <f>'Avg Week Kanoni-Mityana'!K91+'Avg Week Mityana-Kanoni'!K91</f>
        <v>0</v>
      </c>
      <c r="L91" s="49">
        <f>'Avg Week Kanoni-Mityana'!L91+'Avg Week Mityana-Kanoni'!L91</f>
        <v>0</v>
      </c>
      <c r="M91" s="49">
        <f>'Avg Week Kanoni-Mityana'!M91+'Avg Week Mityana-Kanoni'!M91</f>
        <v>1</v>
      </c>
      <c r="N91" s="49">
        <f>'Avg Week Kanoni-Mityana'!N91+'Avg Week Mityana-Kanoni'!N91</f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'Avg Week Kanoni-Mityana'!C92+'Avg Week Mityana-Kanoni'!C92</f>
        <v>0</v>
      </c>
      <c r="D92" s="49">
        <f>'Avg Week Kanoni-Mityana'!D92+'Avg Week Mityana-Kanoni'!D92</f>
        <v>0</v>
      </c>
      <c r="E92" s="49">
        <f>'Avg Week Kanoni-Mityana'!E92+'Avg Week Mityana-Kanoni'!E92</f>
        <v>0</v>
      </c>
      <c r="F92" s="49">
        <f>'Avg Week Kanoni-Mityana'!F92+'Avg Week Mityana-Kanoni'!F92</f>
        <v>0</v>
      </c>
      <c r="G92" s="49">
        <f>'Avg Week Kanoni-Mityana'!G92+'Avg Week Mityana-Kanoni'!G92</f>
        <v>0</v>
      </c>
      <c r="H92" s="49">
        <f>'Avg Week Kanoni-Mityana'!H92+'Avg Week Mityana-Kanoni'!H92</f>
        <v>0</v>
      </c>
      <c r="I92" s="49">
        <f>'Avg Week Kanoni-Mityana'!I92+'Avg Week Mityana-Kanoni'!I92</f>
        <v>0</v>
      </c>
      <c r="J92" s="49">
        <f>'Avg Week Kanoni-Mityana'!J92+'Avg Week Mityana-Kanoni'!J92</f>
        <v>0</v>
      </c>
      <c r="K92" s="49">
        <f>'Avg Week Kanoni-Mityana'!K92+'Avg Week Mityana-Kanoni'!K92</f>
        <v>0</v>
      </c>
      <c r="L92" s="49">
        <f>'Avg Week Kanoni-Mityana'!L92+'Avg Week Mityana-Kanoni'!L92</f>
        <v>0</v>
      </c>
      <c r="M92" s="49">
        <f>'Avg Week Kanoni-Mityana'!M92+'Avg Week Mityana-Kanoni'!M92</f>
        <v>0</v>
      </c>
      <c r="N92" s="49">
        <f>'Avg Week Kanoni-Mityana'!N92+'Avg Week Mityana-Kanoni'!N92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'Avg Week Kanoni-Mityana'!C93+'Avg Week Mityana-Kanoni'!C93</f>
        <v>0</v>
      </c>
      <c r="D93" s="49">
        <f>'Avg Week Kanoni-Mityana'!D93+'Avg Week Mityana-Kanoni'!D93</f>
        <v>0</v>
      </c>
      <c r="E93" s="49">
        <f>'Avg Week Kanoni-Mityana'!E93+'Avg Week Mityana-Kanoni'!E93</f>
        <v>0</v>
      </c>
      <c r="F93" s="49">
        <f>'Avg Week Kanoni-Mityana'!F93+'Avg Week Mityana-Kanoni'!F93</f>
        <v>0</v>
      </c>
      <c r="G93" s="49">
        <f>'Avg Week Kanoni-Mityana'!G93+'Avg Week Mityana-Kanoni'!G93</f>
        <v>0</v>
      </c>
      <c r="H93" s="49">
        <f>'Avg Week Kanoni-Mityana'!H93+'Avg Week Mityana-Kanoni'!H93</f>
        <v>0</v>
      </c>
      <c r="I93" s="49">
        <f>'Avg Week Kanoni-Mityana'!I93+'Avg Week Mityana-Kanoni'!I93</f>
        <v>0</v>
      </c>
      <c r="J93" s="49">
        <f>'Avg Week Kanoni-Mityana'!J93+'Avg Week Mityana-Kanoni'!J93</f>
        <v>0</v>
      </c>
      <c r="K93" s="49">
        <f>'Avg Week Kanoni-Mityana'!K93+'Avg Week Mityana-Kanoni'!K93</f>
        <v>0</v>
      </c>
      <c r="L93" s="49">
        <f>'Avg Week Kanoni-Mityana'!L93+'Avg Week Mityana-Kanoni'!L93</f>
        <v>0</v>
      </c>
      <c r="M93" s="49">
        <f>'Avg Week Kanoni-Mityana'!M93+'Avg Week Mityana-Kanoni'!M93</f>
        <v>1</v>
      </c>
      <c r="N93" s="49">
        <f>'Avg Week Kanoni-Mityana'!N93+'Avg Week Mityana-Kanoni'!N93</f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'Avg Week Kanoni-Mityana'!C94+'Avg Week Mityana-Kanoni'!C94</f>
        <v>0</v>
      </c>
      <c r="D94" s="49">
        <f>'Avg Week Kanoni-Mityana'!D94+'Avg Week Mityana-Kanoni'!D94</f>
        <v>0</v>
      </c>
      <c r="E94" s="49">
        <f>'Avg Week Kanoni-Mityana'!E94+'Avg Week Mityana-Kanoni'!E94</f>
        <v>0</v>
      </c>
      <c r="F94" s="49">
        <f>'Avg Week Kanoni-Mityana'!F94+'Avg Week Mityana-Kanoni'!F94</f>
        <v>0</v>
      </c>
      <c r="G94" s="49">
        <f>'Avg Week Kanoni-Mityana'!G94+'Avg Week Mityana-Kanoni'!G94</f>
        <v>0</v>
      </c>
      <c r="H94" s="49">
        <f>'Avg Week Kanoni-Mityana'!H94+'Avg Week Mityana-Kanoni'!H94</f>
        <v>0</v>
      </c>
      <c r="I94" s="49">
        <f>'Avg Week Kanoni-Mityana'!I94+'Avg Week Mityana-Kanoni'!I94</f>
        <v>0</v>
      </c>
      <c r="J94" s="49">
        <f>'Avg Week Kanoni-Mityana'!J94+'Avg Week Mityana-Kanoni'!J94</f>
        <v>0</v>
      </c>
      <c r="K94" s="49">
        <f>'Avg Week Kanoni-Mityana'!K94+'Avg Week Mityana-Kanoni'!K94</f>
        <v>0</v>
      </c>
      <c r="L94" s="49">
        <f>'Avg Week Kanoni-Mityana'!L94+'Avg Week Mityana-Kanoni'!L94</f>
        <v>0</v>
      </c>
      <c r="M94" s="49">
        <f>'Avg Week Kanoni-Mityana'!M94+'Avg Week Mityana-Kanoni'!M94</f>
        <v>0</v>
      </c>
      <c r="N94" s="49">
        <f>'Avg Week Kanoni-Mityana'!N94+'Avg Week Mityana-Kanoni'!N94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'Avg Week Kanoni-Mityana'!C95+'Avg Week Mityana-Kanoni'!C95</f>
        <v>0</v>
      </c>
      <c r="D95" s="49">
        <f>'Avg Week Kanoni-Mityana'!D95+'Avg Week Mityana-Kanoni'!D95</f>
        <v>0</v>
      </c>
      <c r="E95" s="49">
        <f>'Avg Week Kanoni-Mityana'!E95+'Avg Week Mityana-Kanoni'!E95</f>
        <v>0</v>
      </c>
      <c r="F95" s="49">
        <f>'Avg Week Kanoni-Mityana'!F95+'Avg Week Mityana-Kanoni'!F95</f>
        <v>0</v>
      </c>
      <c r="G95" s="49">
        <f>'Avg Week Kanoni-Mityana'!G95+'Avg Week Mityana-Kanoni'!G95</f>
        <v>0</v>
      </c>
      <c r="H95" s="49">
        <f>'Avg Week Kanoni-Mityana'!H95+'Avg Week Mityana-Kanoni'!H95</f>
        <v>0</v>
      </c>
      <c r="I95" s="49">
        <f>'Avg Week Kanoni-Mityana'!I95+'Avg Week Mityana-Kanoni'!I95</f>
        <v>0</v>
      </c>
      <c r="J95" s="49">
        <f>'Avg Week Kanoni-Mityana'!J95+'Avg Week Mityana-Kanoni'!J95</f>
        <v>0</v>
      </c>
      <c r="K95" s="49">
        <f>'Avg Week Kanoni-Mityana'!K95+'Avg Week Mityana-Kanoni'!K95</f>
        <v>0</v>
      </c>
      <c r="L95" s="49">
        <f>'Avg Week Kanoni-Mityana'!L95+'Avg Week Mityana-Kanoni'!L95</f>
        <v>0</v>
      </c>
      <c r="M95" s="49">
        <f>'Avg Week Kanoni-Mityana'!M95+'Avg Week Mityana-Kanoni'!M95</f>
        <v>0</v>
      </c>
      <c r="N95" s="49">
        <f>'Avg Week Kanoni-Mityana'!N95+'Avg Week Mityana-Kanoni'!N95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'Avg Week Kanoni-Mityana'!C96+'Avg Week Mityana-Kanoni'!C96</f>
        <v>0</v>
      </c>
      <c r="D96" s="49">
        <f>'Avg Week Kanoni-Mityana'!D96+'Avg Week Mityana-Kanoni'!D96</f>
        <v>0</v>
      </c>
      <c r="E96" s="49">
        <f>'Avg Week Kanoni-Mityana'!E96+'Avg Week Mityana-Kanoni'!E96</f>
        <v>0</v>
      </c>
      <c r="F96" s="49">
        <f>'Avg Week Kanoni-Mityana'!F96+'Avg Week Mityana-Kanoni'!F96</f>
        <v>0</v>
      </c>
      <c r="G96" s="49">
        <f>'Avg Week Kanoni-Mityana'!G96+'Avg Week Mityana-Kanoni'!G96</f>
        <v>0</v>
      </c>
      <c r="H96" s="49">
        <f>'Avg Week Kanoni-Mityana'!H96+'Avg Week Mityana-Kanoni'!H96</f>
        <v>0</v>
      </c>
      <c r="I96" s="49">
        <f>'Avg Week Kanoni-Mityana'!I96+'Avg Week Mityana-Kanoni'!I96</f>
        <v>0</v>
      </c>
      <c r="J96" s="49">
        <f>'Avg Week Kanoni-Mityana'!J96+'Avg Week Mityana-Kanoni'!J96</f>
        <v>0</v>
      </c>
      <c r="K96" s="49">
        <f>'Avg Week Kanoni-Mityana'!K96+'Avg Week Mityana-Kanoni'!K96</f>
        <v>0</v>
      </c>
      <c r="L96" s="49">
        <f>'Avg Week Kanoni-Mityana'!L96+'Avg Week Mityana-Kanoni'!L96</f>
        <v>0</v>
      </c>
      <c r="M96" s="49">
        <f>'Avg Week Kanoni-Mityana'!M96+'Avg Week Mityana-Kanoni'!M96</f>
        <v>0</v>
      </c>
      <c r="N96" s="49">
        <f>'Avg Week Kanoni-Mityana'!N96+'Avg Week Mityana-Kanoni'!N96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'Avg Week Kanoni-Mityana'!C97+'Avg Week Mityana-Kanoni'!C97</f>
        <v>0</v>
      </c>
      <c r="D97" s="49">
        <f>'Avg Week Kanoni-Mityana'!D97+'Avg Week Mityana-Kanoni'!D97</f>
        <v>0</v>
      </c>
      <c r="E97" s="49">
        <f>'Avg Week Kanoni-Mityana'!E97+'Avg Week Mityana-Kanoni'!E97</f>
        <v>0</v>
      </c>
      <c r="F97" s="49">
        <f>'Avg Week Kanoni-Mityana'!F97+'Avg Week Mityana-Kanoni'!F97</f>
        <v>0</v>
      </c>
      <c r="G97" s="49">
        <f>'Avg Week Kanoni-Mityana'!G97+'Avg Week Mityana-Kanoni'!G97</f>
        <v>0</v>
      </c>
      <c r="H97" s="49">
        <f>'Avg Week Kanoni-Mityana'!H97+'Avg Week Mityana-Kanoni'!H97</f>
        <v>0</v>
      </c>
      <c r="I97" s="49">
        <f>'Avg Week Kanoni-Mityana'!I97+'Avg Week Mityana-Kanoni'!I97</f>
        <v>0</v>
      </c>
      <c r="J97" s="49">
        <f>'Avg Week Kanoni-Mityana'!J97+'Avg Week Mityana-Kanoni'!J97</f>
        <v>0</v>
      </c>
      <c r="K97" s="49">
        <f>'Avg Week Kanoni-Mityana'!K97+'Avg Week Mityana-Kanoni'!K97</f>
        <v>0</v>
      </c>
      <c r="L97" s="49">
        <f>'Avg Week Kanoni-Mityana'!L97+'Avg Week Mityana-Kanoni'!L97</f>
        <v>0</v>
      </c>
      <c r="M97" s="49">
        <f>'Avg Week Kanoni-Mityana'!M97+'Avg Week Mityana-Kanoni'!M97</f>
        <v>0</v>
      </c>
      <c r="N97" s="49">
        <f>'Avg Week Kanoni-Mityana'!N97+'Avg Week Mityana-Kanoni'!N97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'Avg Week Kanoni-Mityana'!C98+'Avg Week Mityana-Kanoni'!C98</f>
        <v>0.5</v>
      </c>
      <c r="D98" s="49">
        <f>'Avg Week Kanoni-Mityana'!D98+'Avg Week Mityana-Kanoni'!D98</f>
        <v>0</v>
      </c>
      <c r="E98" s="49">
        <f>'Avg Week Kanoni-Mityana'!E98+'Avg Week Mityana-Kanoni'!E98</f>
        <v>0</v>
      </c>
      <c r="F98" s="49">
        <f>'Avg Week Kanoni-Mityana'!F98+'Avg Week Mityana-Kanoni'!F98</f>
        <v>0</v>
      </c>
      <c r="G98" s="49">
        <f>'Avg Week Kanoni-Mityana'!G98+'Avg Week Mityana-Kanoni'!G98</f>
        <v>0</v>
      </c>
      <c r="H98" s="49">
        <f>'Avg Week Kanoni-Mityana'!H98+'Avg Week Mityana-Kanoni'!H98</f>
        <v>0</v>
      </c>
      <c r="I98" s="49">
        <f>'Avg Week Kanoni-Mityana'!I98+'Avg Week Mityana-Kanoni'!I98</f>
        <v>0</v>
      </c>
      <c r="J98" s="49">
        <f>'Avg Week Kanoni-Mityana'!J98+'Avg Week Mityana-Kanoni'!J98</f>
        <v>0</v>
      </c>
      <c r="K98" s="49">
        <f>'Avg Week Kanoni-Mityana'!K98+'Avg Week Mityana-Kanoni'!K98</f>
        <v>0</v>
      </c>
      <c r="L98" s="49">
        <f>'Avg Week Kanoni-Mityana'!L98+'Avg Week Mityana-Kanoni'!L98</f>
        <v>0</v>
      </c>
      <c r="M98" s="49">
        <f>'Avg Week Kanoni-Mityana'!M98+'Avg Week Mityana-Kanoni'!M98</f>
        <v>0</v>
      </c>
      <c r="N98" s="49">
        <f>'Avg Week Kanoni-Mityana'!N98+'Avg Week Mityana-Kanoni'!N98</f>
        <v>0</v>
      </c>
      <c r="O98" s="15">
        <f t="shared" si="35"/>
        <v>0.5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'Avg Week Kanoni-Mityana'!C99+'Avg Week Mityana-Kanoni'!C99</f>
        <v>0</v>
      </c>
      <c r="D99" s="49">
        <f>'Avg Week Kanoni-Mityana'!D99+'Avg Week Mityana-Kanoni'!D99</f>
        <v>0</v>
      </c>
      <c r="E99" s="49">
        <f>'Avg Week Kanoni-Mityana'!E99+'Avg Week Mityana-Kanoni'!E99</f>
        <v>0</v>
      </c>
      <c r="F99" s="49">
        <f>'Avg Week Kanoni-Mityana'!F99+'Avg Week Mityana-Kanoni'!F99</f>
        <v>0</v>
      </c>
      <c r="G99" s="49">
        <f>'Avg Week Kanoni-Mityana'!G99+'Avg Week Mityana-Kanoni'!G99</f>
        <v>0</v>
      </c>
      <c r="H99" s="49">
        <f>'Avg Week Kanoni-Mityana'!H99+'Avg Week Mityana-Kanoni'!H99</f>
        <v>0</v>
      </c>
      <c r="I99" s="49">
        <f>'Avg Week Kanoni-Mityana'!I99+'Avg Week Mityana-Kanoni'!I99</f>
        <v>0</v>
      </c>
      <c r="J99" s="49">
        <f>'Avg Week Kanoni-Mityana'!J99+'Avg Week Mityana-Kanoni'!J99</f>
        <v>0</v>
      </c>
      <c r="K99" s="49">
        <f>'Avg Week Kanoni-Mityana'!K99+'Avg Week Mityana-Kanoni'!K99</f>
        <v>0</v>
      </c>
      <c r="L99" s="49">
        <f>'Avg Week Kanoni-Mityana'!L99+'Avg Week Mityana-Kanoni'!L99</f>
        <v>0</v>
      </c>
      <c r="M99" s="49">
        <f>'Avg Week Kanoni-Mityana'!M99+'Avg Week Mityana-Kanoni'!M99</f>
        <v>1</v>
      </c>
      <c r="N99" s="49">
        <f>'Avg Week Kanoni-Mityana'!N99+'Avg Week Mityana-Kanoni'!N99</f>
        <v>0</v>
      </c>
      <c r="O99" s="15">
        <f t="shared" si="35"/>
        <v>0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'Avg Week Kanoni-Mityana'!C100+'Avg Week Mityana-Kanoni'!C100</f>
        <v>0</v>
      </c>
      <c r="D100" s="49">
        <f>'Avg Week Kanoni-Mityana'!D100+'Avg Week Mityana-Kanoni'!D100</f>
        <v>0</v>
      </c>
      <c r="E100" s="49">
        <f>'Avg Week Kanoni-Mityana'!E100+'Avg Week Mityana-Kanoni'!E100</f>
        <v>0</v>
      </c>
      <c r="F100" s="49">
        <f>'Avg Week Kanoni-Mityana'!F100+'Avg Week Mityana-Kanoni'!F100</f>
        <v>0</v>
      </c>
      <c r="G100" s="49">
        <f>'Avg Week Kanoni-Mityana'!G100+'Avg Week Mityana-Kanoni'!G100</f>
        <v>0</v>
      </c>
      <c r="H100" s="49">
        <f>'Avg Week Kanoni-Mityana'!H100+'Avg Week Mityana-Kanoni'!H100</f>
        <v>0</v>
      </c>
      <c r="I100" s="49">
        <f>'Avg Week Kanoni-Mityana'!I100+'Avg Week Mityana-Kanoni'!I100</f>
        <v>0</v>
      </c>
      <c r="J100" s="49">
        <f>'Avg Week Kanoni-Mityana'!J100+'Avg Week Mityana-Kanoni'!J100</f>
        <v>0</v>
      </c>
      <c r="K100" s="49">
        <f>'Avg Week Kanoni-Mityana'!K100+'Avg Week Mityana-Kanoni'!K100</f>
        <v>0</v>
      </c>
      <c r="L100" s="49">
        <f>'Avg Week Kanoni-Mityana'!L100+'Avg Week Mityana-Kanoni'!L100</f>
        <v>0</v>
      </c>
      <c r="M100" s="49">
        <f>'Avg Week Kanoni-Mityana'!M100+'Avg Week Mityana-Kanoni'!M100</f>
        <v>1</v>
      </c>
      <c r="N100" s="49">
        <f>'Avg Week Kanoni-Mityana'!N100+'Avg Week Mityana-Kanoni'!N100</f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'Avg Week Kanoni-Mityana'!C101+'Avg Week Mityana-Kanoni'!C101</f>
        <v>0</v>
      </c>
      <c r="D101" s="49">
        <f>'Avg Week Kanoni-Mityana'!D101+'Avg Week Mityana-Kanoni'!D101</f>
        <v>0</v>
      </c>
      <c r="E101" s="49">
        <f>'Avg Week Kanoni-Mityana'!E101+'Avg Week Mityana-Kanoni'!E101</f>
        <v>0</v>
      </c>
      <c r="F101" s="49">
        <f>'Avg Week Kanoni-Mityana'!F101+'Avg Week Mityana-Kanoni'!F101</f>
        <v>0</v>
      </c>
      <c r="G101" s="49">
        <f>'Avg Week Kanoni-Mityana'!G101+'Avg Week Mityana-Kanoni'!G101</f>
        <v>0</v>
      </c>
      <c r="H101" s="49">
        <f>'Avg Week Kanoni-Mityana'!H101+'Avg Week Mityana-Kanoni'!H101</f>
        <v>0</v>
      </c>
      <c r="I101" s="49">
        <f>'Avg Week Kanoni-Mityana'!I101+'Avg Week Mityana-Kanoni'!I101</f>
        <v>0</v>
      </c>
      <c r="J101" s="49">
        <f>'Avg Week Kanoni-Mityana'!J101+'Avg Week Mityana-Kanoni'!J101</f>
        <v>0</v>
      </c>
      <c r="K101" s="49">
        <f>'Avg Week Kanoni-Mityana'!K101+'Avg Week Mityana-Kanoni'!K101</f>
        <v>0</v>
      </c>
      <c r="L101" s="49">
        <f>'Avg Week Kanoni-Mityana'!L101+'Avg Week Mityana-Kanoni'!L101</f>
        <v>0</v>
      </c>
      <c r="M101" s="49">
        <f>'Avg Week Kanoni-Mityana'!M101+'Avg Week Mityana-Kanoni'!M101</f>
        <v>2.5</v>
      </c>
      <c r="N101" s="49">
        <f>'Avg Week Kanoni-Mityana'!N101+'Avg Week Mityana-Kanoni'!N101</f>
        <v>0</v>
      </c>
      <c r="O101" s="15">
        <f t="shared" si="35"/>
        <v>0</v>
      </c>
      <c r="P101" s="15">
        <f t="shared" si="36"/>
        <v>2.5</v>
      </c>
      <c r="R101" s="8"/>
      <c r="T101"/>
    </row>
    <row r="102" spans="2:20" ht="23.1" customHeight="1" x14ac:dyDescent="0.25">
      <c r="B102" s="24" t="s">
        <v>142</v>
      </c>
      <c r="C102" s="49">
        <f>'Avg Week Kanoni-Mityana'!C102+'Avg Week Mityana-Kanoni'!C102</f>
        <v>0</v>
      </c>
      <c r="D102" s="49">
        <f>'Avg Week Kanoni-Mityana'!D102+'Avg Week Mityana-Kanoni'!D102</f>
        <v>0</v>
      </c>
      <c r="E102" s="49">
        <f>'Avg Week Kanoni-Mityana'!E102+'Avg Week Mityana-Kanoni'!E102</f>
        <v>0.5</v>
      </c>
      <c r="F102" s="49">
        <f>'Avg Week Kanoni-Mityana'!F102+'Avg Week Mityana-Kanoni'!F102</f>
        <v>0</v>
      </c>
      <c r="G102" s="49">
        <f>'Avg Week Kanoni-Mityana'!G102+'Avg Week Mityana-Kanoni'!G102</f>
        <v>0</v>
      </c>
      <c r="H102" s="49">
        <f>'Avg Week Kanoni-Mityana'!H102+'Avg Week Mityana-Kanoni'!H102</f>
        <v>0</v>
      </c>
      <c r="I102" s="49">
        <f>'Avg Week Kanoni-Mityana'!I102+'Avg Week Mityana-Kanoni'!I102</f>
        <v>0.5</v>
      </c>
      <c r="J102" s="49">
        <f>'Avg Week Kanoni-Mityana'!J102+'Avg Week Mityana-Kanoni'!J102</f>
        <v>0</v>
      </c>
      <c r="K102" s="49">
        <f>'Avg Week Kanoni-Mityana'!K102+'Avg Week Mityana-Kanoni'!K102</f>
        <v>0</v>
      </c>
      <c r="L102" s="49">
        <f>'Avg Week Kanoni-Mityana'!L102+'Avg Week Mityana-Kanoni'!L102</f>
        <v>0</v>
      </c>
      <c r="M102" s="49">
        <f>'Avg Week Kanoni-Mityana'!M102+'Avg Week Mityana-Kanoni'!M102</f>
        <v>2</v>
      </c>
      <c r="N102" s="49">
        <f>'Avg Week Kanoni-Mityana'!N102+'Avg Week Mityana-Kanoni'!N102</f>
        <v>0</v>
      </c>
      <c r="O102" s="15">
        <f t="shared" si="35"/>
        <v>1</v>
      </c>
      <c r="P102" s="15">
        <f t="shared" si="36"/>
        <v>3</v>
      </c>
      <c r="R102" s="8"/>
      <c r="T102"/>
    </row>
    <row r="103" spans="2:20" ht="23.1" customHeight="1" x14ac:dyDescent="0.25">
      <c r="B103" s="23" t="s">
        <v>143</v>
      </c>
      <c r="C103" s="49">
        <f>'Avg Week Kanoni-Mityana'!C103+'Avg Week Mityana-Kanoni'!C103</f>
        <v>0</v>
      </c>
      <c r="D103" s="49">
        <f>'Avg Week Kanoni-Mityana'!D103+'Avg Week Mityana-Kanoni'!D103</f>
        <v>0</v>
      </c>
      <c r="E103" s="49">
        <f>'Avg Week Kanoni-Mityana'!E103+'Avg Week Mityana-Kanoni'!E103</f>
        <v>0</v>
      </c>
      <c r="F103" s="49">
        <f>'Avg Week Kanoni-Mityana'!F103+'Avg Week Mityana-Kanoni'!F103</f>
        <v>0</v>
      </c>
      <c r="G103" s="49">
        <f>'Avg Week Kanoni-Mityana'!G103+'Avg Week Mityana-Kanoni'!G103</f>
        <v>0</v>
      </c>
      <c r="H103" s="49">
        <f>'Avg Week Kanoni-Mityana'!H103+'Avg Week Mityana-Kanoni'!H103</f>
        <v>0</v>
      </c>
      <c r="I103" s="49">
        <f>'Avg Week Kanoni-Mityana'!I103+'Avg Week Mityana-Kanoni'!I103</f>
        <v>0</v>
      </c>
      <c r="J103" s="49">
        <f>'Avg Week Kanoni-Mityana'!J103+'Avg Week Mityana-Kanoni'!J103</f>
        <v>0</v>
      </c>
      <c r="K103" s="49">
        <f>'Avg Week Kanoni-Mityana'!K103+'Avg Week Mityana-Kanoni'!K103</f>
        <v>0</v>
      </c>
      <c r="L103" s="49">
        <f>'Avg Week Kanoni-Mityana'!L103+'Avg Week Mityana-Kanoni'!L103</f>
        <v>0</v>
      </c>
      <c r="M103" s="49">
        <f>'Avg Week Kanoni-Mityana'!M103+'Avg Week Mityana-Kanoni'!M103</f>
        <v>5</v>
      </c>
      <c r="N103" s="49">
        <f>'Avg Week Kanoni-Mityana'!N103+'Avg Week Mityana-Kanoni'!N103</f>
        <v>0</v>
      </c>
      <c r="O103" s="15">
        <f t="shared" si="35"/>
        <v>0</v>
      </c>
      <c r="P103" s="15">
        <f t="shared" si="36"/>
        <v>5</v>
      </c>
      <c r="R103" s="8"/>
      <c r="T103"/>
    </row>
    <row r="104" spans="2:20" ht="23.1" customHeight="1" x14ac:dyDescent="0.25">
      <c r="B104" s="25" t="s">
        <v>144</v>
      </c>
      <c r="C104" s="49">
        <f>'Avg Week Kanoni-Mityana'!C104+'Avg Week Mityana-Kanoni'!C104</f>
        <v>0</v>
      </c>
      <c r="D104" s="49">
        <f>'Avg Week Kanoni-Mityana'!D104+'Avg Week Mityana-Kanoni'!D104</f>
        <v>0</v>
      </c>
      <c r="E104" s="49">
        <f>'Avg Week Kanoni-Mityana'!E104+'Avg Week Mityana-Kanoni'!E104</f>
        <v>0</v>
      </c>
      <c r="F104" s="49">
        <f>'Avg Week Kanoni-Mityana'!F104+'Avg Week Mityana-Kanoni'!F104</f>
        <v>0</v>
      </c>
      <c r="G104" s="49">
        <f>'Avg Week Kanoni-Mityana'!G104+'Avg Week Mityana-Kanoni'!G104</f>
        <v>0</v>
      </c>
      <c r="H104" s="49">
        <f>'Avg Week Kanoni-Mityana'!H104+'Avg Week Mityana-Kanoni'!H104</f>
        <v>0</v>
      </c>
      <c r="I104" s="49">
        <f>'Avg Week Kanoni-Mityana'!I104+'Avg Week Mityana-Kanoni'!I104</f>
        <v>0</v>
      </c>
      <c r="J104" s="49">
        <f>'Avg Week Kanoni-Mityana'!J104+'Avg Week Mityana-Kanoni'!J104</f>
        <v>0</v>
      </c>
      <c r="K104" s="49">
        <f>'Avg Week Kanoni-Mityana'!K104+'Avg Week Mityana-Kanoni'!K104</f>
        <v>0</v>
      </c>
      <c r="L104" s="49">
        <f>'Avg Week Kanoni-Mityana'!L104+'Avg Week Mityana-Kanoni'!L104</f>
        <v>0</v>
      </c>
      <c r="M104" s="49">
        <f>'Avg Week Kanoni-Mityana'!M104+'Avg Week Mityana-Kanoni'!M104</f>
        <v>9</v>
      </c>
      <c r="N104" s="49">
        <f>'Avg Week Kanoni-Mityana'!N104+'Avg Week Mityana-Kanoni'!N104</f>
        <v>0</v>
      </c>
      <c r="O104" s="15">
        <f t="shared" si="35"/>
        <v>0</v>
      </c>
      <c r="P104" s="15">
        <f t="shared" si="36"/>
        <v>9</v>
      </c>
      <c r="R104" s="8"/>
      <c r="T104"/>
    </row>
    <row r="105" spans="2:20" ht="23.1" customHeight="1" x14ac:dyDescent="0.25">
      <c r="B105" s="23" t="s">
        <v>145</v>
      </c>
      <c r="C105" s="49">
        <f>'Avg Week Kanoni-Mityana'!C105+'Avg Week Mityana-Kanoni'!C105</f>
        <v>0</v>
      </c>
      <c r="D105" s="49">
        <f>'Avg Week Kanoni-Mityana'!D105+'Avg Week Mityana-Kanoni'!D105</f>
        <v>0</v>
      </c>
      <c r="E105" s="49">
        <f>'Avg Week Kanoni-Mityana'!E105+'Avg Week Mityana-Kanoni'!E105</f>
        <v>0</v>
      </c>
      <c r="F105" s="49">
        <f>'Avg Week Kanoni-Mityana'!F105+'Avg Week Mityana-Kanoni'!F105</f>
        <v>0</v>
      </c>
      <c r="G105" s="49">
        <f>'Avg Week Kanoni-Mityana'!G105+'Avg Week Mityana-Kanoni'!G105</f>
        <v>0</v>
      </c>
      <c r="H105" s="49">
        <f>'Avg Week Kanoni-Mityana'!H105+'Avg Week Mityana-Kanoni'!H105</f>
        <v>0</v>
      </c>
      <c r="I105" s="49">
        <f>'Avg Week Kanoni-Mityana'!I105+'Avg Week Mityana-Kanoni'!I105</f>
        <v>0</v>
      </c>
      <c r="J105" s="49">
        <f>'Avg Week Kanoni-Mityana'!J105+'Avg Week Mityana-Kanoni'!J105</f>
        <v>0</v>
      </c>
      <c r="K105" s="49">
        <f>'Avg Week Kanoni-Mityana'!K105+'Avg Week Mityana-Kanoni'!K105</f>
        <v>0</v>
      </c>
      <c r="L105" s="49">
        <f>'Avg Week Kanoni-Mityana'!L105+'Avg Week Mityana-Kanoni'!L105</f>
        <v>0</v>
      </c>
      <c r="M105" s="49">
        <f>'Avg Week Kanoni-Mityana'!M105+'Avg Week Mityana-Kanoni'!M105</f>
        <v>10.5</v>
      </c>
      <c r="N105" s="49">
        <f>'Avg Week Kanoni-Mityana'!N105+'Avg Week Mityana-Kanoni'!N105</f>
        <v>0</v>
      </c>
      <c r="O105" s="15">
        <f t="shared" si="35"/>
        <v>0</v>
      </c>
      <c r="P105" s="15">
        <f t="shared" si="36"/>
        <v>10.5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84.857142857142861</v>
      </c>
      <c r="D106" s="16">
        <f t="shared" ref="D106:P106" si="37">SUM(D10:D105)</f>
        <v>12.071428571428571</v>
      </c>
      <c r="E106" s="16">
        <f t="shared" si="37"/>
        <v>23.642857142857146</v>
      </c>
      <c r="F106" s="16">
        <f t="shared" si="37"/>
        <v>20.142857142857149</v>
      </c>
      <c r="G106" s="16">
        <f t="shared" si="37"/>
        <v>1.1428571428571426</v>
      </c>
      <c r="H106" s="16">
        <f t="shared" si="37"/>
        <v>0.2857142857142857</v>
      </c>
      <c r="I106" s="16">
        <f t="shared" si="37"/>
        <v>59.357142857142847</v>
      </c>
      <c r="J106" s="16">
        <f t="shared" si="37"/>
        <v>13.714285714285714</v>
      </c>
      <c r="K106" s="16">
        <f t="shared" si="37"/>
        <v>5.3571428571428568</v>
      </c>
      <c r="L106" s="16">
        <f t="shared" si="37"/>
        <v>0.71428571428571419</v>
      </c>
      <c r="M106" s="16">
        <f t="shared" si="37"/>
        <v>1474.2142857142858</v>
      </c>
      <c r="N106" s="16">
        <f t="shared" si="37"/>
        <v>0.14285714285714285</v>
      </c>
      <c r="O106" s="16">
        <f t="shared" si="37"/>
        <v>221.42857142857139</v>
      </c>
      <c r="P106" s="16">
        <f t="shared" si="37"/>
        <v>1695.6428571428576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5.00442310122583E-2</v>
      </c>
      <c r="D107" s="43">
        <f t="shared" si="38"/>
        <v>7.119086734908798E-3</v>
      </c>
      <c r="E107" s="43">
        <f t="shared" si="38"/>
        <v>1.3943300054762204E-2</v>
      </c>
      <c r="F107" s="43">
        <f t="shared" si="38"/>
        <v>1.1879186149374448E-2</v>
      </c>
      <c r="G107" s="43">
        <f t="shared" si="38"/>
        <v>6.739963772694718E-4</v>
      </c>
      <c r="H107" s="43">
        <f t="shared" si="38"/>
        <v>1.68499094317368E-4</v>
      </c>
      <c r="I107" s="43">
        <f t="shared" si="38"/>
        <v>3.5005686844433198E-2</v>
      </c>
      <c r="J107" s="43">
        <f t="shared" si="38"/>
        <v>8.0879565272336633E-3</v>
      </c>
      <c r="K107" s="43">
        <f t="shared" si="38"/>
        <v>3.15935801845065E-3</v>
      </c>
      <c r="L107" s="43">
        <f t="shared" si="38"/>
        <v>4.2124773579341993E-4</v>
      </c>
      <c r="M107" s="43">
        <f t="shared" si="38"/>
        <v>0.86941320190403959</v>
      </c>
      <c r="N107" s="43">
        <f t="shared" si="38"/>
        <v>8.4249547158684002E-5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0.38322580645161297</v>
      </c>
      <c r="D108" s="44">
        <f t="shared" ref="D108:N108" si="39">D106/$O$106</f>
        <v>5.4516129032258075E-2</v>
      </c>
      <c r="E108" s="44">
        <f t="shared" si="39"/>
        <v>0.10677419354838713</v>
      </c>
      <c r="F108" s="44">
        <f t="shared" si="39"/>
        <v>9.0967741935483917E-2</v>
      </c>
      <c r="G108" s="44">
        <f t="shared" si="39"/>
        <v>5.1612903225806452E-3</v>
      </c>
      <c r="H108" s="44">
        <f t="shared" si="39"/>
        <v>1.2903225806451615E-3</v>
      </c>
      <c r="I108" s="44">
        <f t="shared" si="39"/>
        <v>0.26806451612903226</v>
      </c>
      <c r="J108" s="44">
        <f t="shared" si="39"/>
        <v>6.1935483870967749E-2</v>
      </c>
      <c r="K108" s="44">
        <f t="shared" si="39"/>
        <v>2.4193548387096777E-2</v>
      </c>
      <c r="L108" s="44">
        <f t="shared" si="39"/>
        <v>3.2258064516129032E-3</v>
      </c>
      <c r="M108" s="44"/>
      <c r="N108" s="44">
        <f t="shared" si="39"/>
        <v>6.4516129032258075E-4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KANONI-MITYANA</vt:lpstr>
      <vt:lpstr>17.10 MITYANA-KANONI</vt:lpstr>
      <vt:lpstr>18.10 KANONI-MITYANA-24h</vt:lpstr>
      <vt:lpstr>18.10 MITYANA-KANONI-24h</vt:lpstr>
      <vt:lpstr>19.10 KANONI-MITYANA-24h</vt:lpstr>
      <vt:lpstr>19.10 MITYANA-KANONI-24h</vt:lpstr>
      <vt:lpstr>20.10 KANONI-MITYANA</vt:lpstr>
      <vt:lpstr>20.10 MITYANA-KANONI</vt:lpstr>
      <vt:lpstr>21.10 KANONI-MITYANA</vt:lpstr>
      <vt:lpstr>21.10 MITYANA-KANONI</vt:lpstr>
      <vt:lpstr>22.10 KANONI-MITYANA</vt:lpstr>
      <vt:lpstr>22.10 MITYANA-KANONI</vt:lpstr>
      <vt:lpstr>23.10 KANONI-MITYANA</vt:lpstr>
      <vt:lpstr>23.10 MITYANA-KANONI</vt:lpstr>
      <vt:lpstr>Avg Week Kanoni-Mityana</vt:lpstr>
      <vt:lpstr>Avg Week Mityana-Kanoni</vt:lpstr>
      <vt:lpstr>Avg Week Kanoni-Mityana-2Dir</vt:lpstr>
      <vt:lpstr>'17.10 KANONI-MITYANA'!Print_Area</vt:lpstr>
      <vt:lpstr>'17.10 MITYANA-KANONI'!Print_Area</vt:lpstr>
      <vt:lpstr>'18.10 KANONI-MITYANA-24h'!Print_Area</vt:lpstr>
      <vt:lpstr>'18.10 MITYANA-KANONI-24h'!Print_Area</vt:lpstr>
      <vt:lpstr>'19.10 KANONI-MITYANA-24h'!Print_Area</vt:lpstr>
      <vt:lpstr>'19.10 MITYANA-KANONI-24h'!Print_Area</vt:lpstr>
      <vt:lpstr>'20.10 KANONI-MITYANA'!Print_Area</vt:lpstr>
      <vt:lpstr>'20.10 MITYANA-KANONI'!Print_Area</vt:lpstr>
      <vt:lpstr>'21.10 KANONI-MITYANA'!Print_Area</vt:lpstr>
      <vt:lpstr>'21.10 MITYANA-KANONI'!Print_Area</vt:lpstr>
      <vt:lpstr>'22.10 KANONI-MITYANA'!Print_Area</vt:lpstr>
      <vt:lpstr>'22.10 MITYANA-KANONI'!Print_Area</vt:lpstr>
      <vt:lpstr>'23.10 KANONI-MITYANA'!Print_Area</vt:lpstr>
      <vt:lpstr>'23.10 MITYANA-KANONI'!Print_Area</vt:lpstr>
      <vt:lpstr>'Avg Week Kanoni-Mityana'!Print_Area</vt:lpstr>
      <vt:lpstr>'Avg Week Kanoni-Mityana-2Dir'!Print_Area</vt:lpstr>
      <vt:lpstr>'Avg Week Mityana-Kanoni'!Print_Area</vt:lpstr>
      <vt:lpstr>'17.10 KANONI-MITYANA'!Print_Titles</vt:lpstr>
      <vt:lpstr>'17.10 MITYANA-KANONI'!Print_Titles</vt:lpstr>
      <vt:lpstr>'18.10 KANONI-MITYANA-24h'!Print_Titles</vt:lpstr>
      <vt:lpstr>'18.10 MITYANA-KANONI-24h'!Print_Titles</vt:lpstr>
      <vt:lpstr>'19.10 KANONI-MITYANA-24h'!Print_Titles</vt:lpstr>
      <vt:lpstr>'19.10 MITYANA-KANONI-24h'!Print_Titles</vt:lpstr>
      <vt:lpstr>'20.10 KANONI-MITYANA'!Print_Titles</vt:lpstr>
      <vt:lpstr>'20.10 MITYANA-KANONI'!Print_Titles</vt:lpstr>
      <vt:lpstr>'21.10 KANONI-MITYANA'!Print_Titles</vt:lpstr>
      <vt:lpstr>'21.10 MITYANA-KANONI'!Print_Titles</vt:lpstr>
      <vt:lpstr>'22.10 KANONI-MITYANA'!Print_Titles</vt:lpstr>
      <vt:lpstr>'22.10 MITYANA-KANONI'!Print_Titles</vt:lpstr>
      <vt:lpstr>'23.10 KANONI-MITYANA'!Print_Titles</vt:lpstr>
      <vt:lpstr>'23.10 MITYANA-KANONI'!Print_Titles</vt:lpstr>
      <vt:lpstr>'Avg Week Kanoni-Mityana'!Print_Titles</vt:lpstr>
      <vt:lpstr>'Avg Week Kanoni-Mityana-2Dir'!Print_Titles</vt:lpstr>
      <vt:lpstr>'Avg Week Mityana-Kanoni'!Print_Titles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2019-11-29T06:27:35Z</dcterms:modified>
</cp:coreProperties>
</file>