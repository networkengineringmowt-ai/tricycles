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9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10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MCC-OD\C-3 Analysis Complete\STN87-KAMPALA-GULU ROAD\MCC\"/>
    </mc:Choice>
  </mc:AlternateContent>
  <xr:revisionPtr revIDLastSave="0" documentId="13_ncr:1_{00FD2711-BE07-4E1A-AB5C-2AFAFA7F4922}" xr6:coauthVersionLast="45" xr6:coauthVersionMax="45" xr10:uidLastSave="{00000000-0000-0000-0000-000000000000}"/>
  <bookViews>
    <workbookView xWindow="-120" yWindow="-120" windowWidth="20730" windowHeight="11160" tabRatio="871" firstSheet="12" activeTab="16" xr2:uid="{00000000-000D-0000-FFFF-FFFF00000000}"/>
  </bookViews>
  <sheets>
    <sheet name="20.8 Kampala-Luweero" sheetId="93" r:id="rId1"/>
    <sheet name="20.8 Luwero-Kampala" sheetId="94" r:id="rId2"/>
    <sheet name="21.8 Kampala-Luweero" sheetId="95" r:id="rId3"/>
    <sheet name="21.8 Luweero-Kampala" sheetId="96" r:id="rId4"/>
    <sheet name="22.8 Kampala-Luweero" sheetId="97" r:id="rId5"/>
    <sheet name=" 22.8 Luweero-Kampala" sheetId="98" r:id="rId6"/>
    <sheet name="23.8 Kampala-Luweero" sheetId="99" r:id="rId7"/>
    <sheet name="23.Luweero-Kamplaa" sheetId="100" r:id="rId8"/>
    <sheet name="24.8 Luweero-Kampala" sheetId="109" r:id="rId9"/>
    <sheet name="24.8 Kampala-Luweero" sheetId="101" r:id="rId10"/>
    <sheet name="25.8 Kampala-Luweero 24Hrs" sheetId="105" r:id="rId11"/>
    <sheet name="25.8 Luwero-Kampala-24 HRS" sheetId="110" r:id="rId12"/>
    <sheet name="26.8 Kampala-Luweero" sheetId="103" r:id="rId13"/>
    <sheet name="26.8 Luweero-Kampala" sheetId="104" r:id="rId14"/>
    <sheet name="Avg Week KAMPALA-GULU" sheetId="107" r:id="rId15"/>
    <sheet name="Avg Week GULU-KAMPALA" sheetId="108" r:id="rId16"/>
    <sheet name="Avg Week KAMPALA-GULU-2Dir" sheetId="111" r:id="rId17"/>
  </sheets>
  <externalReferences>
    <externalReference r:id="rId18"/>
  </externalReferences>
  <definedNames>
    <definedName name="_xlnm.Print_Area" localSheetId="5">' 22.8 Luweero-Kampala'!$A$1:$AF$60</definedName>
    <definedName name="_xlnm.Print_Area" localSheetId="0">'20.8 Kampala-Luweero'!$A$1:$AF$60</definedName>
    <definedName name="_xlnm.Print_Area" localSheetId="1">'20.8 Luwero-Kampala'!$A$1:$AF$60</definedName>
    <definedName name="_xlnm.Print_Area" localSheetId="2">'21.8 Kampala-Luweero'!$A$1:$AF$60</definedName>
    <definedName name="_xlnm.Print_Area" localSheetId="3">'21.8 Luweero-Kampala'!$A$1:$AF$60</definedName>
    <definedName name="_xlnm.Print_Area" localSheetId="4">'22.8 Kampala-Luweero'!$A$1:$AF$60</definedName>
    <definedName name="_xlnm.Print_Area" localSheetId="6">'23.8 Kampala-Luweero'!$A$1:$AF$60</definedName>
    <definedName name="_xlnm.Print_Area" localSheetId="7">'23.Luweero-Kamplaa'!$A$1:$AF$60</definedName>
    <definedName name="_xlnm.Print_Area" localSheetId="9">'24.8 Kampala-Luweero'!$A$1:$AF$108</definedName>
    <definedName name="_xlnm.Print_Area" localSheetId="8">'24.8 Luweero-Kampala'!$A$1:$AF$108</definedName>
    <definedName name="_xlnm.Print_Area" localSheetId="10">'25.8 Kampala-Luweero 24Hrs'!$A$1:$AF$108</definedName>
    <definedName name="_xlnm.Print_Area" localSheetId="11">'25.8 Luwero-Kampala-24 HRS'!$A$1:$AF$108</definedName>
    <definedName name="_xlnm.Print_Area" localSheetId="12">'26.8 Kampala-Luweero'!$A$1:$AF$60</definedName>
    <definedName name="_xlnm.Print_Area" localSheetId="13">'26.8 Luweero-Kampala'!$A$1:$AF$60</definedName>
    <definedName name="_xlnm.Print_Area" localSheetId="15">'Avg Week GULU-KAMPALA'!$A$1:$AF$108</definedName>
    <definedName name="_xlnm.Print_Area" localSheetId="14">'Avg Week KAMPALA-GULU'!$A$1:$AF$108</definedName>
    <definedName name="_xlnm.Print_Area" localSheetId="16">'Avg Week KAMPALA-GULU-2Dir'!$A$1:$AF$108</definedName>
    <definedName name="_xlnm.Print_Titles" localSheetId="5">' 22.8 Luweero-Kampala'!$1:$8</definedName>
    <definedName name="_xlnm.Print_Titles" localSheetId="0">'20.8 Kampala-Luweero'!$1:$8</definedName>
    <definedName name="_xlnm.Print_Titles" localSheetId="1">'20.8 Luwero-Kampala'!$1:$8</definedName>
    <definedName name="_xlnm.Print_Titles" localSheetId="2">'21.8 Kampala-Luweero'!$1:$8</definedName>
    <definedName name="_xlnm.Print_Titles" localSheetId="3">'21.8 Luweero-Kampala'!$1:$8</definedName>
    <definedName name="_xlnm.Print_Titles" localSheetId="4">'22.8 Kampala-Luweero'!$1:$8</definedName>
    <definedName name="_xlnm.Print_Titles" localSheetId="6">'23.8 Kampala-Luweero'!$1:$8</definedName>
    <definedName name="_xlnm.Print_Titles" localSheetId="7">'23.Luweero-Kamplaa'!$1:$8</definedName>
    <definedName name="_xlnm.Print_Titles" localSheetId="9">'24.8 Kampala-Luweero'!$1:$8</definedName>
    <definedName name="_xlnm.Print_Titles" localSheetId="8">'24.8 Luweero-Kampala'!$1:$8</definedName>
    <definedName name="_xlnm.Print_Titles" localSheetId="10">'25.8 Kampala-Luweero 24Hrs'!$1:$8</definedName>
    <definedName name="_xlnm.Print_Titles" localSheetId="11">'25.8 Luwero-Kampala-24 HRS'!$1:$8</definedName>
    <definedName name="_xlnm.Print_Titles" localSheetId="12">'26.8 Kampala-Luweero'!$1:$8</definedName>
    <definedName name="_xlnm.Print_Titles" localSheetId="13">'26.8 Luweero-Kampala'!$1:$8</definedName>
    <definedName name="_xlnm.Print_Titles" localSheetId="15">'Avg Week GULU-KAMPALA'!$1:$8</definedName>
    <definedName name="_xlnm.Print_Titles" localSheetId="14">'Avg Week KAMPALA-GULU'!$1:$8</definedName>
    <definedName name="_xlnm.Print_Titles" localSheetId="16">'Avg Week KAMPALA-GULU-2Dir'!$1:$8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59" i="108" l="1"/>
  <c r="D59" i="108"/>
  <c r="E59" i="108"/>
  <c r="F59" i="108"/>
  <c r="G59" i="108"/>
  <c r="H59" i="108"/>
  <c r="I59" i="108"/>
  <c r="J59" i="108"/>
  <c r="K59" i="108"/>
  <c r="L59" i="108"/>
  <c r="M59" i="108"/>
  <c r="N59" i="108"/>
  <c r="C60" i="108"/>
  <c r="D60" i="108"/>
  <c r="E60" i="108"/>
  <c r="F60" i="108"/>
  <c r="G60" i="108"/>
  <c r="H60" i="108"/>
  <c r="I60" i="108"/>
  <c r="J60" i="108"/>
  <c r="K60" i="108"/>
  <c r="L60" i="108"/>
  <c r="M60" i="108"/>
  <c r="N60" i="108"/>
  <c r="C61" i="108"/>
  <c r="D61" i="108"/>
  <c r="E61" i="108"/>
  <c r="F61" i="108"/>
  <c r="G61" i="108"/>
  <c r="H61" i="108"/>
  <c r="I61" i="108"/>
  <c r="J61" i="108"/>
  <c r="K61" i="108"/>
  <c r="L61" i="108"/>
  <c r="M61" i="108"/>
  <c r="N61" i="108"/>
  <c r="C62" i="108"/>
  <c r="D62" i="108"/>
  <c r="E62" i="108"/>
  <c r="F62" i="108"/>
  <c r="G62" i="108"/>
  <c r="H62" i="108"/>
  <c r="I62" i="108"/>
  <c r="J62" i="108"/>
  <c r="K62" i="108"/>
  <c r="L62" i="108"/>
  <c r="M62" i="108"/>
  <c r="N62" i="108"/>
  <c r="C63" i="108"/>
  <c r="D63" i="108"/>
  <c r="E63" i="108"/>
  <c r="F63" i="108"/>
  <c r="G63" i="108"/>
  <c r="H63" i="108"/>
  <c r="I63" i="108"/>
  <c r="J63" i="108"/>
  <c r="K63" i="108"/>
  <c r="L63" i="108"/>
  <c r="M63" i="108"/>
  <c r="N63" i="108"/>
  <c r="C64" i="108"/>
  <c r="D64" i="108"/>
  <c r="E64" i="108"/>
  <c r="F64" i="108"/>
  <c r="G64" i="108"/>
  <c r="H64" i="108"/>
  <c r="I64" i="108"/>
  <c r="J64" i="108"/>
  <c r="K64" i="108"/>
  <c r="L64" i="108"/>
  <c r="M64" i="108"/>
  <c r="N64" i="108"/>
  <c r="C65" i="108"/>
  <c r="D65" i="108"/>
  <c r="E65" i="108"/>
  <c r="F65" i="108"/>
  <c r="G65" i="108"/>
  <c r="H65" i="108"/>
  <c r="I65" i="108"/>
  <c r="J65" i="108"/>
  <c r="K65" i="108"/>
  <c r="L65" i="108"/>
  <c r="M65" i="108"/>
  <c r="N65" i="108"/>
  <c r="C66" i="108"/>
  <c r="D66" i="108"/>
  <c r="E66" i="108"/>
  <c r="F66" i="108"/>
  <c r="G66" i="108"/>
  <c r="H66" i="108"/>
  <c r="I66" i="108"/>
  <c r="J66" i="108"/>
  <c r="K66" i="108"/>
  <c r="L66" i="108"/>
  <c r="M66" i="108"/>
  <c r="N66" i="108"/>
  <c r="C67" i="108"/>
  <c r="D67" i="108"/>
  <c r="E67" i="108"/>
  <c r="F67" i="108"/>
  <c r="G67" i="108"/>
  <c r="H67" i="108"/>
  <c r="I67" i="108"/>
  <c r="J67" i="108"/>
  <c r="K67" i="108"/>
  <c r="L67" i="108"/>
  <c r="M67" i="108"/>
  <c r="N67" i="108"/>
  <c r="C68" i="108"/>
  <c r="D68" i="108"/>
  <c r="E68" i="108"/>
  <c r="F68" i="108"/>
  <c r="G68" i="108"/>
  <c r="H68" i="108"/>
  <c r="I68" i="108"/>
  <c r="J68" i="108"/>
  <c r="K68" i="108"/>
  <c r="L68" i="108"/>
  <c r="M68" i="108"/>
  <c r="N68" i="108"/>
  <c r="C69" i="108"/>
  <c r="D69" i="108"/>
  <c r="E69" i="108"/>
  <c r="F69" i="108"/>
  <c r="G69" i="108"/>
  <c r="H69" i="108"/>
  <c r="I69" i="108"/>
  <c r="J69" i="108"/>
  <c r="K69" i="108"/>
  <c r="L69" i="108"/>
  <c r="M69" i="108"/>
  <c r="N69" i="108"/>
  <c r="C70" i="108"/>
  <c r="D70" i="108"/>
  <c r="E70" i="108"/>
  <c r="F70" i="108"/>
  <c r="G70" i="108"/>
  <c r="H70" i="108"/>
  <c r="I70" i="108"/>
  <c r="J70" i="108"/>
  <c r="K70" i="108"/>
  <c r="L70" i="108"/>
  <c r="M70" i="108"/>
  <c r="N70" i="108"/>
  <c r="C71" i="108"/>
  <c r="D71" i="108"/>
  <c r="E71" i="108"/>
  <c r="F71" i="108"/>
  <c r="G71" i="108"/>
  <c r="H71" i="108"/>
  <c r="I71" i="108"/>
  <c r="J71" i="108"/>
  <c r="K71" i="108"/>
  <c r="L71" i="108"/>
  <c r="M71" i="108"/>
  <c r="N71" i="108"/>
  <c r="C72" i="108"/>
  <c r="D72" i="108"/>
  <c r="E72" i="108"/>
  <c r="F72" i="108"/>
  <c r="G72" i="108"/>
  <c r="H72" i="108"/>
  <c r="I72" i="108"/>
  <c r="J72" i="108"/>
  <c r="K72" i="108"/>
  <c r="L72" i="108"/>
  <c r="M72" i="108"/>
  <c r="N72" i="108"/>
  <c r="C73" i="108"/>
  <c r="D73" i="108"/>
  <c r="E73" i="108"/>
  <c r="F73" i="108"/>
  <c r="G73" i="108"/>
  <c r="H73" i="108"/>
  <c r="I73" i="108"/>
  <c r="J73" i="108"/>
  <c r="K73" i="108"/>
  <c r="L73" i="108"/>
  <c r="M73" i="108"/>
  <c r="N73" i="108"/>
  <c r="C74" i="108"/>
  <c r="D74" i="108"/>
  <c r="E74" i="108"/>
  <c r="F74" i="108"/>
  <c r="G74" i="108"/>
  <c r="H74" i="108"/>
  <c r="I74" i="108"/>
  <c r="J74" i="108"/>
  <c r="K74" i="108"/>
  <c r="L74" i="108"/>
  <c r="M74" i="108"/>
  <c r="N74" i="108"/>
  <c r="C75" i="108"/>
  <c r="D75" i="108"/>
  <c r="E75" i="108"/>
  <c r="F75" i="108"/>
  <c r="G75" i="108"/>
  <c r="H75" i="108"/>
  <c r="I75" i="108"/>
  <c r="J75" i="108"/>
  <c r="K75" i="108"/>
  <c r="L75" i="108"/>
  <c r="M75" i="108"/>
  <c r="N75" i="108"/>
  <c r="C76" i="108"/>
  <c r="D76" i="108"/>
  <c r="E76" i="108"/>
  <c r="F76" i="108"/>
  <c r="G76" i="108"/>
  <c r="H76" i="108"/>
  <c r="I76" i="108"/>
  <c r="J76" i="108"/>
  <c r="K76" i="108"/>
  <c r="L76" i="108"/>
  <c r="M76" i="108"/>
  <c r="N76" i="108"/>
  <c r="C77" i="108"/>
  <c r="D77" i="108"/>
  <c r="E77" i="108"/>
  <c r="F77" i="108"/>
  <c r="G77" i="108"/>
  <c r="H77" i="108"/>
  <c r="I77" i="108"/>
  <c r="J77" i="108"/>
  <c r="K77" i="108"/>
  <c r="L77" i="108"/>
  <c r="M77" i="108"/>
  <c r="N77" i="108"/>
  <c r="C78" i="108"/>
  <c r="D78" i="108"/>
  <c r="E78" i="108"/>
  <c r="F78" i="108"/>
  <c r="G78" i="108"/>
  <c r="H78" i="108"/>
  <c r="I78" i="108"/>
  <c r="J78" i="108"/>
  <c r="K78" i="108"/>
  <c r="L78" i="108"/>
  <c r="M78" i="108"/>
  <c r="N78" i="108"/>
  <c r="C79" i="108"/>
  <c r="D79" i="108"/>
  <c r="E79" i="108"/>
  <c r="F79" i="108"/>
  <c r="G79" i="108"/>
  <c r="H79" i="108"/>
  <c r="I79" i="108"/>
  <c r="J79" i="108"/>
  <c r="K79" i="108"/>
  <c r="L79" i="108"/>
  <c r="M79" i="108"/>
  <c r="N79" i="108"/>
  <c r="C80" i="108"/>
  <c r="D80" i="108"/>
  <c r="E80" i="108"/>
  <c r="F80" i="108"/>
  <c r="G80" i="108"/>
  <c r="H80" i="108"/>
  <c r="I80" i="108"/>
  <c r="J80" i="108"/>
  <c r="K80" i="108"/>
  <c r="L80" i="108"/>
  <c r="M80" i="108"/>
  <c r="N80" i="108"/>
  <c r="C81" i="108"/>
  <c r="D81" i="108"/>
  <c r="E81" i="108"/>
  <c r="F81" i="108"/>
  <c r="G81" i="108"/>
  <c r="H81" i="108"/>
  <c r="I81" i="108"/>
  <c r="J81" i="108"/>
  <c r="K81" i="108"/>
  <c r="L81" i="108"/>
  <c r="M81" i="108"/>
  <c r="N81" i="108"/>
  <c r="C82" i="108"/>
  <c r="D82" i="108"/>
  <c r="E82" i="108"/>
  <c r="F82" i="108"/>
  <c r="G82" i="108"/>
  <c r="H82" i="108"/>
  <c r="I82" i="108"/>
  <c r="J82" i="108"/>
  <c r="K82" i="108"/>
  <c r="L82" i="108"/>
  <c r="M82" i="108"/>
  <c r="N82" i="108"/>
  <c r="C83" i="108"/>
  <c r="D83" i="108"/>
  <c r="E83" i="108"/>
  <c r="F83" i="108"/>
  <c r="G83" i="108"/>
  <c r="H83" i="108"/>
  <c r="I83" i="108"/>
  <c r="J83" i="108"/>
  <c r="K83" i="108"/>
  <c r="L83" i="108"/>
  <c r="M83" i="108"/>
  <c r="N83" i="108"/>
  <c r="C84" i="108"/>
  <c r="D84" i="108"/>
  <c r="E84" i="108"/>
  <c r="F84" i="108"/>
  <c r="G84" i="108"/>
  <c r="H84" i="108"/>
  <c r="I84" i="108"/>
  <c r="J84" i="108"/>
  <c r="K84" i="108"/>
  <c r="L84" i="108"/>
  <c r="M84" i="108"/>
  <c r="N84" i="108"/>
  <c r="C85" i="108"/>
  <c r="D85" i="108"/>
  <c r="E85" i="108"/>
  <c r="F85" i="108"/>
  <c r="G85" i="108"/>
  <c r="H85" i="108"/>
  <c r="I85" i="108"/>
  <c r="J85" i="108"/>
  <c r="K85" i="108"/>
  <c r="L85" i="108"/>
  <c r="M85" i="108"/>
  <c r="N85" i="108"/>
  <c r="C86" i="108"/>
  <c r="D86" i="108"/>
  <c r="E86" i="108"/>
  <c r="F86" i="108"/>
  <c r="G86" i="108"/>
  <c r="H86" i="108"/>
  <c r="I86" i="108"/>
  <c r="J86" i="108"/>
  <c r="K86" i="108"/>
  <c r="L86" i="108"/>
  <c r="M86" i="108"/>
  <c r="N86" i="108"/>
  <c r="C87" i="108"/>
  <c r="D87" i="108"/>
  <c r="E87" i="108"/>
  <c r="F87" i="108"/>
  <c r="G87" i="108"/>
  <c r="H87" i="108"/>
  <c r="I87" i="108"/>
  <c r="J87" i="108"/>
  <c r="K87" i="108"/>
  <c r="L87" i="108"/>
  <c r="M87" i="108"/>
  <c r="N87" i="108"/>
  <c r="C88" i="108"/>
  <c r="D88" i="108"/>
  <c r="E88" i="108"/>
  <c r="F88" i="108"/>
  <c r="G88" i="108"/>
  <c r="H88" i="108"/>
  <c r="I88" i="108"/>
  <c r="J88" i="108"/>
  <c r="K88" i="108"/>
  <c r="L88" i="108"/>
  <c r="M88" i="108"/>
  <c r="N88" i="108"/>
  <c r="C89" i="108"/>
  <c r="D89" i="108"/>
  <c r="E89" i="108"/>
  <c r="F89" i="108"/>
  <c r="G89" i="108"/>
  <c r="H89" i="108"/>
  <c r="I89" i="108"/>
  <c r="J89" i="108"/>
  <c r="K89" i="108"/>
  <c r="L89" i="108"/>
  <c r="M89" i="108"/>
  <c r="N89" i="108"/>
  <c r="C90" i="108"/>
  <c r="D90" i="108"/>
  <c r="E90" i="108"/>
  <c r="F90" i="108"/>
  <c r="G90" i="108"/>
  <c r="H90" i="108"/>
  <c r="I90" i="108"/>
  <c r="J90" i="108"/>
  <c r="K90" i="108"/>
  <c r="L90" i="108"/>
  <c r="M90" i="108"/>
  <c r="N90" i="108"/>
  <c r="C91" i="108"/>
  <c r="D91" i="108"/>
  <c r="E91" i="108"/>
  <c r="F91" i="108"/>
  <c r="G91" i="108"/>
  <c r="H91" i="108"/>
  <c r="I91" i="108"/>
  <c r="J91" i="108"/>
  <c r="K91" i="108"/>
  <c r="L91" i="108"/>
  <c r="M91" i="108"/>
  <c r="N91" i="108"/>
  <c r="C92" i="108"/>
  <c r="D92" i="108"/>
  <c r="E92" i="108"/>
  <c r="F92" i="108"/>
  <c r="G92" i="108"/>
  <c r="H92" i="108"/>
  <c r="I92" i="108"/>
  <c r="J92" i="108"/>
  <c r="K92" i="108"/>
  <c r="L92" i="108"/>
  <c r="M92" i="108"/>
  <c r="N92" i="108"/>
  <c r="C93" i="108"/>
  <c r="D93" i="108"/>
  <c r="E93" i="108"/>
  <c r="F93" i="108"/>
  <c r="G93" i="108"/>
  <c r="H93" i="108"/>
  <c r="I93" i="108"/>
  <c r="J93" i="108"/>
  <c r="K93" i="108"/>
  <c r="L93" i="108"/>
  <c r="M93" i="108"/>
  <c r="N93" i="108"/>
  <c r="C94" i="108"/>
  <c r="D94" i="108"/>
  <c r="E94" i="108"/>
  <c r="F94" i="108"/>
  <c r="G94" i="108"/>
  <c r="H94" i="108"/>
  <c r="I94" i="108"/>
  <c r="J94" i="108"/>
  <c r="K94" i="108"/>
  <c r="L94" i="108"/>
  <c r="M94" i="108"/>
  <c r="N94" i="108"/>
  <c r="C95" i="108"/>
  <c r="D95" i="108"/>
  <c r="E95" i="108"/>
  <c r="F95" i="108"/>
  <c r="G95" i="108"/>
  <c r="H95" i="108"/>
  <c r="I95" i="108"/>
  <c r="J95" i="108"/>
  <c r="K95" i="108"/>
  <c r="L95" i="108"/>
  <c r="M95" i="108"/>
  <c r="N95" i="108"/>
  <c r="C96" i="108"/>
  <c r="D96" i="108"/>
  <c r="E96" i="108"/>
  <c r="F96" i="108"/>
  <c r="G96" i="108"/>
  <c r="H96" i="108"/>
  <c r="I96" i="108"/>
  <c r="J96" i="108"/>
  <c r="K96" i="108"/>
  <c r="L96" i="108"/>
  <c r="M96" i="108"/>
  <c r="N96" i="108"/>
  <c r="C97" i="108"/>
  <c r="D97" i="108"/>
  <c r="E97" i="108"/>
  <c r="F97" i="108"/>
  <c r="G97" i="108"/>
  <c r="H97" i="108"/>
  <c r="I97" i="108"/>
  <c r="J97" i="108"/>
  <c r="K97" i="108"/>
  <c r="L97" i="108"/>
  <c r="M97" i="108"/>
  <c r="N97" i="108"/>
  <c r="C98" i="108"/>
  <c r="D98" i="108"/>
  <c r="E98" i="108"/>
  <c r="F98" i="108"/>
  <c r="G98" i="108"/>
  <c r="H98" i="108"/>
  <c r="I98" i="108"/>
  <c r="J98" i="108"/>
  <c r="K98" i="108"/>
  <c r="L98" i="108"/>
  <c r="M98" i="108"/>
  <c r="N98" i="108"/>
  <c r="C99" i="108"/>
  <c r="D99" i="108"/>
  <c r="E99" i="108"/>
  <c r="F99" i="108"/>
  <c r="G99" i="108"/>
  <c r="H99" i="108"/>
  <c r="I99" i="108"/>
  <c r="J99" i="108"/>
  <c r="K99" i="108"/>
  <c r="L99" i="108"/>
  <c r="M99" i="108"/>
  <c r="N99" i="108"/>
  <c r="C100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C101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C102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C103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C104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C105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N105" i="111" s="1"/>
  <c r="D58" i="108"/>
  <c r="E58" i="108"/>
  <c r="F58" i="108"/>
  <c r="G58" i="108"/>
  <c r="H58" i="108"/>
  <c r="I58" i="108"/>
  <c r="J58" i="108"/>
  <c r="K58" i="108"/>
  <c r="L58" i="108"/>
  <c r="M58" i="108"/>
  <c r="N58" i="108"/>
  <c r="C58" i="108"/>
  <c r="D58" i="107"/>
  <c r="E58" i="107"/>
  <c r="F58" i="107"/>
  <c r="G58" i="107"/>
  <c r="H58" i="107"/>
  <c r="I58" i="107"/>
  <c r="J58" i="107"/>
  <c r="J58" i="111" s="1"/>
  <c r="K58" i="107"/>
  <c r="K58" i="111" s="1"/>
  <c r="L58" i="107"/>
  <c r="M58" i="107"/>
  <c r="N58" i="107"/>
  <c r="D59" i="107"/>
  <c r="E59" i="107"/>
  <c r="F59" i="107"/>
  <c r="F59" i="111" s="1"/>
  <c r="G59" i="107"/>
  <c r="G59" i="111" s="1"/>
  <c r="H59" i="107"/>
  <c r="I59" i="107"/>
  <c r="I59" i="111" s="1"/>
  <c r="J59" i="107"/>
  <c r="K59" i="107"/>
  <c r="K59" i="111" s="1"/>
  <c r="L59" i="107"/>
  <c r="M59" i="107"/>
  <c r="M59" i="111" s="1"/>
  <c r="N59" i="107"/>
  <c r="N59" i="111" s="1"/>
  <c r="D60" i="107"/>
  <c r="D60" i="111" s="1"/>
  <c r="E60" i="107"/>
  <c r="E60" i="111" s="1"/>
  <c r="F60" i="107"/>
  <c r="G60" i="107"/>
  <c r="H60" i="107"/>
  <c r="I60" i="107"/>
  <c r="I60" i="111" s="1"/>
  <c r="J60" i="107"/>
  <c r="J60" i="111" s="1"/>
  <c r="K60" i="107"/>
  <c r="K60" i="111" s="1"/>
  <c r="L60" i="107"/>
  <c r="M60" i="107"/>
  <c r="M60" i="111" s="1"/>
  <c r="N60" i="107"/>
  <c r="N60" i="111" s="1"/>
  <c r="D61" i="107"/>
  <c r="D61" i="111" s="1"/>
  <c r="E61" i="107"/>
  <c r="E61" i="111" s="1"/>
  <c r="F61" i="107"/>
  <c r="F61" i="111" s="1"/>
  <c r="G61" i="107"/>
  <c r="G61" i="111" s="1"/>
  <c r="H61" i="107"/>
  <c r="H61" i="111" s="1"/>
  <c r="I61" i="107"/>
  <c r="I61" i="111" s="1"/>
  <c r="J61" i="107"/>
  <c r="J61" i="111" s="1"/>
  <c r="K61" i="107"/>
  <c r="K61" i="111" s="1"/>
  <c r="L61" i="107"/>
  <c r="L61" i="111" s="1"/>
  <c r="M61" i="107"/>
  <c r="M61" i="111" s="1"/>
  <c r="N61" i="107"/>
  <c r="N61" i="111" s="1"/>
  <c r="D62" i="107"/>
  <c r="E62" i="107"/>
  <c r="F62" i="107"/>
  <c r="G62" i="107"/>
  <c r="G62" i="111" s="1"/>
  <c r="H62" i="107"/>
  <c r="I62" i="107"/>
  <c r="I62" i="111" s="1"/>
  <c r="J62" i="107"/>
  <c r="J62" i="111" s="1"/>
  <c r="K62" i="107"/>
  <c r="L62" i="107"/>
  <c r="L62" i="111" s="1"/>
  <c r="M62" i="107"/>
  <c r="N62" i="107"/>
  <c r="N62" i="111" s="1"/>
  <c r="D63" i="107"/>
  <c r="E63" i="107"/>
  <c r="E63" i="111" s="1"/>
  <c r="F63" i="107"/>
  <c r="F63" i="111" s="1"/>
  <c r="G63" i="107"/>
  <c r="H63" i="107"/>
  <c r="I63" i="107"/>
  <c r="J63" i="107"/>
  <c r="K63" i="107"/>
  <c r="K63" i="111" s="1"/>
  <c r="L63" i="107"/>
  <c r="M63" i="107"/>
  <c r="M63" i="111" s="1"/>
  <c r="N63" i="107"/>
  <c r="N63" i="111" s="1"/>
  <c r="D64" i="107"/>
  <c r="E64" i="107"/>
  <c r="F64" i="107"/>
  <c r="G64" i="107"/>
  <c r="G64" i="111" s="1"/>
  <c r="H64" i="107"/>
  <c r="I64" i="107"/>
  <c r="I64" i="111" s="1"/>
  <c r="J64" i="107"/>
  <c r="J64" i="111" s="1"/>
  <c r="K64" i="107"/>
  <c r="L64" i="107"/>
  <c r="M64" i="107"/>
  <c r="N64" i="107"/>
  <c r="N64" i="111" s="1"/>
  <c r="D65" i="107"/>
  <c r="E65" i="107"/>
  <c r="E65" i="111" s="1"/>
  <c r="F65" i="107"/>
  <c r="F65" i="111" s="1"/>
  <c r="G65" i="107"/>
  <c r="H65" i="107"/>
  <c r="I65" i="107"/>
  <c r="J65" i="107"/>
  <c r="K65" i="107"/>
  <c r="K65" i="111" s="1"/>
  <c r="L65" i="107"/>
  <c r="M65" i="107"/>
  <c r="M65" i="111" s="1"/>
  <c r="N65" i="107"/>
  <c r="N65" i="111" s="1"/>
  <c r="D66" i="107"/>
  <c r="E66" i="107"/>
  <c r="F66" i="107"/>
  <c r="G66" i="107"/>
  <c r="H66" i="107"/>
  <c r="I66" i="107"/>
  <c r="I66" i="111" s="1"/>
  <c r="J66" i="107"/>
  <c r="J66" i="111" s="1"/>
  <c r="K66" i="107"/>
  <c r="K66" i="111" s="1"/>
  <c r="L66" i="107"/>
  <c r="M66" i="107"/>
  <c r="N66" i="107"/>
  <c r="N66" i="111" s="1"/>
  <c r="D67" i="107"/>
  <c r="E67" i="107"/>
  <c r="F67" i="107"/>
  <c r="F67" i="111" s="1"/>
  <c r="G67" i="107"/>
  <c r="G67" i="111" s="1"/>
  <c r="H67" i="107"/>
  <c r="H67" i="111" s="1"/>
  <c r="I67" i="107"/>
  <c r="I67" i="111" s="1"/>
  <c r="J67" i="107"/>
  <c r="K67" i="107"/>
  <c r="K67" i="111" s="1"/>
  <c r="L67" i="107"/>
  <c r="M67" i="107"/>
  <c r="M67" i="111" s="1"/>
  <c r="N67" i="107"/>
  <c r="N67" i="111" s="1"/>
  <c r="D68" i="107"/>
  <c r="D68" i="111" s="1"/>
  <c r="E68" i="107"/>
  <c r="E68" i="111" s="1"/>
  <c r="F68" i="107"/>
  <c r="G68" i="107"/>
  <c r="H68" i="107"/>
  <c r="I68" i="107"/>
  <c r="I68" i="111" s="1"/>
  <c r="J68" i="107"/>
  <c r="J68" i="111" s="1"/>
  <c r="K68" i="107"/>
  <c r="K68" i="111" s="1"/>
  <c r="L68" i="107"/>
  <c r="L68" i="111" s="1"/>
  <c r="M68" i="107"/>
  <c r="M68" i="111" s="1"/>
  <c r="N68" i="107"/>
  <c r="N68" i="111" s="1"/>
  <c r="D69" i="107"/>
  <c r="D69" i="111" s="1"/>
  <c r="E69" i="107"/>
  <c r="E69" i="111" s="1"/>
  <c r="F69" i="107"/>
  <c r="F69" i="111" s="1"/>
  <c r="G69" i="107"/>
  <c r="G69" i="111" s="1"/>
  <c r="H69" i="107"/>
  <c r="H69" i="111" s="1"/>
  <c r="I69" i="107"/>
  <c r="I69" i="111" s="1"/>
  <c r="J69" i="107"/>
  <c r="J69" i="111" s="1"/>
  <c r="K69" i="107"/>
  <c r="K69" i="111" s="1"/>
  <c r="L69" i="107"/>
  <c r="L69" i="111" s="1"/>
  <c r="M69" i="107"/>
  <c r="M69" i="111" s="1"/>
  <c r="N69" i="107"/>
  <c r="N69" i="111" s="1"/>
  <c r="D70" i="107"/>
  <c r="E70" i="107"/>
  <c r="F70" i="107"/>
  <c r="G70" i="107"/>
  <c r="G70" i="111" s="1"/>
  <c r="H70" i="107"/>
  <c r="I70" i="107"/>
  <c r="I70" i="111" s="1"/>
  <c r="J70" i="107"/>
  <c r="J70" i="111" s="1"/>
  <c r="K70" i="107"/>
  <c r="L70" i="107"/>
  <c r="M70" i="107"/>
  <c r="N70" i="107"/>
  <c r="N70" i="111" s="1"/>
  <c r="D71" i="107"/>
  <c r="E71" i="107"/>
  <c r="E71" i="111" s="1"/>
  <c r="F71" i="107"/>
  <c r="F71" i="111" s="1"/>
  <c r="G71" i="107"/>
  <c r="H71" i="107"/>
  <c r="I71" i="107"/>
  <c r="J71" i="107"/>
  <c r="K71" i="107"/>
  <c r="K71" i="111" s="1"/>
  <c r="L71" i="107"/>
  <c r="M71" i="107"/>
  <c r="M71" i="111" s="1"/>
  <c r="N71" i="107"/>
  <c r="N71" i="111" s="1"/>
  <c r="D72" i="107"/>
  <c r="E72" i="107"/>
  <c r="F72" i="107"/>
  <c r="G72" i="107"/>
  <c r="G72" i="111" s="1"/>
  <c r="H72" i="107"/>
  <c r="I72" i="107"/>
  <c r="I72" i="111" s="1"/>
  <c r="J72" i="107"/>
  <c r="J72" i="111" s="1"/>
  <c r="K72" i="107"/>
  <c r="L72" i="107"/>
  <c r="M72" i="107"/>
  <c r="N72" i="107"/>
  <c r="N72" i="111" s="1"/>
  <c r="D73" i="107"/>
  <c r="E73" i="107"/>
  <c r="E73" i="111" s="1"/>
  <c r="F73" i="107"/>
  <c r="F73" i="111" s="1"/>
  <c r="G73" i="107"/>
  <c r="H73" i="107"/>
  <c r="I73" i="107"/>
  <c r="J73" i="107"/>
  <c r="K73" i="107"/>
  <c r="K73" i="111" s="1"/>
  <c r="L73" i="107"/>
  <c r="M73" i="107"/>
  <c r="M73" i="111" s="1"/>
  <c r="N73" i="107"/>
  <c r="N73" i="111" s="1"/>
  <c r="D74" i="107"/>
  <c r="E74" i="107"/>
  <c r="F74" i="107"/>
  <c r="G74" i="107"/>
  <c r="H74" i="107"/>
  <c r="I74" i="107"/>
  <c r="I74" i="111" s="1"/>
  <c r="J74" i="107"/>
  <c r="J74" i="111" s="1"/>
  <c r="K74" i="107"/>
  <c r="K74" i="111" s="1"/>
  <c r="L74" i="107"/>
  <c r="M74" i="107"/>
  <c r="N74" i="107"/>
  <c r="N74" i="111" s="1"/>
  <c r="D75" i="107"/>
  <c r="E75" i="107"/>
  <c r="F75" i="107"/>
  <c r="F75" i="111" s="1"/>
  <c r="G75" i="107"/>
  <c r="H75" i="107"/>
  <c r="I75" i="107"/>
  <c r="I75" i="111" s="1"/>
  <c r="J75" i="107"/>
  <c r="K75" i="107"/>
  <c r="K75" i="111" s="1"/>
  <c r="L75" i="107"/>
  <c r="M75" i="107"/>
  <c r="M75" i="111" s="1"/>
  <c r="N75" i="107"/>
  <c r="N75" i="111" s="1"/>
  <c r="D76" i="107"/>
  <c r="D76" i="111" s="1"/>
  <c r="E76" i="107"/>
  <c r="E76" i="111" s="1"/>
  <c r="F76" i="107"/>
  <c r="G76" i="107"/>
  <c r="H76" i="107"/>
  <c r="I76" i="107"/>
  <c r="I76" i="111" s="1"/>
  <c r="J76" i="107"/>
  <c r="J76" i="111" s="1"/>
  <c r="K76" i="107"/>
  <c r="K76" i="111" s="1"/>
  <c r="L76" i="107"/>
  <c r="L76" i="111" s="1"/>
  <c r="M76" i="107"/>
  <c r="M76" i="111" s="1"/>
  <c r="N76" i="107"/>
  <c r="N76" i="111" s="1"/>
  <c r="D77" i="107"/>
  <c r="D77" i="111" s="1"/>
  <c r="E77" i="107"/>
  <c r="E77" i="111" s="1"/>
  <c r="F77" i="107"/>
  <c r="F77" i="111" s="1"/>
  <c r="G77" i="107"/>
  <c r="G77" i="111" s="1"/>
  <c r="H77" i="107"/>
  <c r="H77" i="111" s="1"/>
  <c r="I77" i="107"/>
  <c r="I77" i="111" s="1"/>
  <c r="J77" i="107"/>
  <c r="J77" i="111" s="1"/>
  <c r="K77" i="107"/>
  <c r="K77" i="111" s="1"/>
  <c r="L77" i="107"/>
  <c r="L77" i="111" s="1"/>
  <c r="M77" i="107"/>
  <c r="M77" i="111" s="1"/>
  <c r="N77" i="107"/>
  <c r="N77" i="111" s="1"/>
  <c r="D78" i="107"/>
  <c r="E78" i="107"/>
  <c r="F78" i="107"/>
  <c r="G78" i="107"/>
  <c r="G78" i="111" s="1"/>
  <c r="H78" i="107"/>
  <c r="I78" i="107"/>
  <c r="I78" i="111" s="1"/>
  <c r="J78" i="107"/>
  <c r="J78" i="111" s="1"/>
  <c r="K78" i="107"/>
  <c r="L78" i="107"/>
  <c r="M78" i="107"/>
  <c r="N78" i="107"/>
  <c r="N78" i="111" s="1"/>
  <c r="D79" i="107"/>
  <c r="E79" i="107"/>
  <c r="E79" i="111" s="1"/>
  <c r="F79" i="107"/>
  <c r="F79" i="111" s="1"/>
  <c r="G79" i="107"/>
  <c r="H79" i="107"/>
  <c r="I79" i="107"/>
  <c r="J79" i="107"/>
  <c r="K79" i="107"/>
  <c r="K79" i="111" s="1"/>
  <c r="L79" i="107"/>
  <c r="M79" i="107"/>
  <c r="M79" i="111" s="1"/>
  <c r="N79" i="107"/>
  <c r="N79" i="111" s="1"/>
  <c r="D80" i="107"/>
  <c r="E80" i="107"/>
  <c r="F80" i="107"/>
  <c r="G80" i="107"/>
  <c r="G80" i="111" s="1"/>
  <c r="H80" i="107"/>
  <c r="I80" i="107"/>
  <c r="I80" i="111" s="1"/>
  <c r="J80" i="107"/>
  <c r="J80" i="111" s="1"/>
  <c r="K80" i="107"/>
  <c r="L80" i="107"/>
  <c r="M80" i="107"/>
  <c r="N80" i="107"/>
  <c r="N80" i="111" s="1"/>
  <c r="D81" i="107"/>
  <c r="E81" i="107"/>
  <c r="E81" i="111" s="1"/>
  <c r="F81" i="107"/>
  <c r="F81" i="111" s="1"/>
  <c r="G81" i="107"/>
  <c r="H81" i="107"/>
  <c r="H81" i="111" s="1"/>
  <c r="I81" i="107"/>
  <c r="J81" i="107"/>
  <c r="K81" i="107"/>
  <c r="K81" i="111" s="1"/>
  <c r="L81" i="107"/>
  <c r="M81" i="107"/>
  <c r="M81" i="111" s="1"/>
  <c r="N81" i="107"/>
  <c r="N81" i="111" s="1"/>
  <c r="D82" i="107"/>
  <c r="E82" i="107"/>
  <c r="F82" i="107"/>
  <c r="G82" i="107"/>
  <c r="H82" i="107"/>
  <c r="I82" i="107"/>
  <c r="I82" i="111" s="1"/>
  <c r="J82" i="107"/>
  <c r="J82" i="111" s="1"/>
  <c r="K82" i="107"/>
  <c r="L82" i="107"/>
  <c r="M82" i="107"/>
  <c r="N82" i="107"/>
  <c r="N82" i="111" s="1"/>
  <c r="D83" i="107"/>
  <c r="E83" i="107"/>
  <c r="F83" i="107"/>
  <c r="F83" i="111" s="1"/>
  <c r="G83" i="107"/>
  <c r="G83" i="111" s="1"/>
  <c r="H83" i="107"/>
  <c r="I83" i="107"/>
  <c r="I83" i="111" s="1"/>
  <c r="J83" i="107"/>
  <c r="K83" i="107"/>
  <c r="K83" i="111" s="1"/>
  <c r="L83" i="107"/>
  <c r="M83" i="107"/>
  <c r="M83" i="111" s="1"/>
  <c r="N83" i="107"/>
  <c r="N83" i="111" s="1"/>
  <c r="D84" i="107"/>
  <c r="E84" i="107"/>
  <c r="E84" i="111" s="1"/>
  <c r="F84" i="107"/>
  <c r="G84" i="107"/>
  <c r="H84" i="107"/>
  <c r="I84" i="107"/>
  <c r="I84" i="111" s="1"/>
  <c r="J84" i="107"/>
  <c r="J84" i="111" s="1"/>
  <c r="K84" i="107"/>
  <c r="K84" i="111" s="1"/>
  <c r="L84" i="107"/>
  <c r="L84" i="111" s="1"/>
  <c r="M84" i="107"/>
  <c r="M84" i="111" s="1"/>
  <c r="N84" i="107"/>
  <c r="N84" i="111" s="1"/>
  <c r="D85" i="107"/>
  <c r="D85" i="111" s="1"/>
  <c r="E85" i="107"/>
  <c r="E85" i="111" s="1"/>
  <c r="F85" i="107"/>
  <c r="F85" i="111" s="1"/>
  <c r="G85" i="107"/>
  <c r="G85" i="111" s="1"/>
  <c r="H85" i="107"/>
  <c r="H85" i="111" s="1"/>
  <c r="I85" i="107"/>
  <c r="I85" i="111" s="1"/>
  <c r="J85" i="107"/>
  <c r="J85" i="111" s="1"/>
  <c r="K85" i="107"/>
  <c r="K85" i="111" s="1"/>
  <c r="L85" i="107"/>
  <c r="L85" i="111" s="1"/>
  <c r="M85" i="107"/>
  <c r="M85" i="111" s="1"/>
  <c r="N85" i="107"/>
  <c r="N85" i="111" s="1"/>
  <c r="D86" i="107"/>
  <c r="E86" i="107"/>
  <c r="F86" i="107"/>
  <c r="G86" i="107"/>
  <c r="G86" i="111" s="1"/>
  <c r="H86" i="107"/>
  <c r="I86" i="107"/>
  <c r="I86" i="111" s="1"/>
  <c r="J86" i="107"/>
  <c r="J86" i="111" s="1"/>
  <c r="K86" i="107"/>
  <c r="L86" i="107"/>
  <c r="M86" i="107"/>
  <c r="N86" i="107"/>
  <c r="N86" i="111" s="1"/>
  <c r="D87" i="107"/>
  <c r="E87" i="107"/>
  <c r="E87" i="111" s="1"/>
  <c r="F87" i="107"/>
  <c r="F87" i="111" s="1"/>
  <c r="G87" i="107"/>
  <c r="H87" i="107"/>
  <c r="I87" i="107"/>
  <c r="J87" i="107"/>
  <c r="K87" i="107"/>
  <c r="K87" i="111" s="1"/>
  <c r="L87" i="107"/>
  <c r="M87" i="107"/>
  <c r="M87" i="111" s="1"/>
  <c r="N87" i="107"/>
  <c r="N87" i="111" s="1"/>
  <c r="D88" i="107"/>
  <c r="E88" i="107"/>
  <c r="F88" i="107"/>
  <c r="G88" i="107"/>
  <c r="H88" i="107"/>
  <c r="I88" i="107"/>
  <c r="I88" i="111" s="1"/>
  <c r="J88" i="107"/>
  <c r="J88" i="111" s="1"/>
  <c r="K88" i="107"/>
  <c r="L88" i="107"/>
  <c r="M88" i="107"/>
  <c r="N88" i="107"/>
  <c r="N88" i="111" s="1"/>
  <c r="D89" i="107"/>
  <c r="E89" i="107"/>
  <c r="E89" i="111" s="1"/>
  <c r="F89" i="107"/>
  <c r="F89" i="111" s="1"/>
  <c r="G89" i="107"/>
  <c r="H89" i="107"/>
  <c r="H89" i="111" s="1"/>
  <c r="I89" i="107"/>
  <c r="J89" i="107"/>
  <c r="K89" i="107"/>
  <c r="K89" i="111" s="1"/>
  <c r="L89" i="107"/>
  <c r="M89" i="107"/>
  <c r="M89" i="111" s="1"/>
  <c r="N89" i="107"/>
  <c r="N89" i="111" s="1"/>
  <c r="D90" i="107"/>
  <c r="E90" i="107"/>
  <c r="F90" i="107"/>
  <c r="G90" i="107"/>
  <c r="H90" i="107"/>
  <c r="I90" i="107"/>
  <c r="I90" i="111" s="1"/>
  <c r="J90" i="107"/>
  <c r="J90" i="111" s="1"/>
  <c r="K90" i="107"/>
  <c r="K90" i="111" s="1"/>
  <c r="L90" i="107"/>
  <c r="M90" i="107"/>
  <c r="N90" i="107"/>
  <c r="N90" i="111" s="1"/>
  <c r="D91" i="107"/>
  <c r="E91" i="107"/>
  <c r="F91" i="107"/>
  <c r="F91" i="111" s="1"/>
  <c r="G91" i="107"/>
  <c r="G91" i="111" s="1"/>
  <c r="H91" i="107"/>
  <c r="I91" i="107"/>
  <c r="I91" i="111" s="1"/>
  <c r="J91" i="107"/>
  <c r="K91" i="107"/>
  <c r="L91" i="107"/>
  <c r="M91" i="107"/>
  <c r="M91" i="111" s="1"/>
  <c r="N91" i="107"/>
  <c r="N91" i="111" s="1"/>
  <c r="D92" i="107"/>
  <c r="D92" i="111" s="1"/>
  <c r="E92" i="107"/>
  <c r="E92" i="111" s="1"/>
  <c r="F92" i="107"/>
  <c r="G92" i="107"/>
  <c r="H92" i="107"/>
  <c r="I92" i="107"/>
  <c r="I92" i="111" s="1"/>
  <c r="J92" i="107"/>
  <c r="J92" i="111" s="1"/>
  <c r="K92" i="107"/>
  <c r="L92" i="107"/>
  <c r="M92" i="107"/>
  <c r="M92" i="111" s="1"/>
  <c r="N92" i="107"/>
  <c r="N92" i="111" s="1"/>
  <c r="D93" i="107"/>
  <c r="D93" i="111" s="1"/>
  <c r="E93" i="107"/>
  <c r="E93" i="111" s="1"/>
  <c r="F93" i="107"/>
  <c r="F93" i="111" s="1"/>
  <c r="G93" i="107"/>
  <c r="G93" i="111" s="1"/>
  <c r="H93" i="107"/>
  <c r="H93" i="111" s="1"/>
  <c r="I93" i="107"/>
  <c r="I93" i="111" s="1"/>
  <c r="J93" i="107"/>
  <c r="J93" i="111" s="1"/>
  <c r="K93" i="107"/>
  <c r="K93" i="111" s="1"/>
  <c r="L93" i="107"/>
  <c r="L93" i="111" s="1"/>
  <c r="M93" i="107"/>
  <c r="M93" i="111" s="1"/>
  <c r="N93" i="107"/>
  <c r="N93" i="111" s="1"/>
  <c r="D94" i="107"/>
  <c r="E94" i="107"/>
  <c r="F94" i="107"/>
  <c r="G94" i="107"/>
  <c r="G94" i="111" s="1"/>
  <c r="H94" i="107"/>
  <c r="I94" i="107"/>
  <c r="I94" i="111" s="1"/>
  <c r="J94" i="107"/>
  <c r="J94" i="111" s="1"/>
  <c r="K94" i="107"/>
  <c r="L94" i="107"/>
  <c r="M94" i="107"/>
  <c r="N94" i="107"/>
  <c r="N94" i="111" s="1"/>
  <c r="D95" i="107"/>
  <c r="E95" i="107"/>
  <c r="E95" i="111" s="1"/>
  <c r="F95" i="107"/>
  <c r="F95" i="111" s="1"/>
  <c r="G95" i="107"/>
  <c r="H95" i="107"/>
  <c r="I95" i="107"/>
  <c r="J95" i="107"/>
  <c r="K95" i="107"/>
  <c r="K95" i="111" s="1"/>
  <c r="L95" i="107"/>
  <c r="M95" i="107"/>
  <c r="M95" i="111" s="1"/>
  <c r="N95" i="107"/>
  <c r="N95" i="111" s="1"/>
  <c r="D96" i="107"/>
  <c r="E96" i="107"/>
  <c r="F96" i="107"/>
  <c r="G96" i="107"/>
  <c r="H96" i="107"/>
  <c r="I96" i="107"/>
  <c r="I96" i="111" s="1"/>
  <c r="J96" i="107"/>
  <c r="J96" i="111" s="1"/>
  <c r="K96" i="107"/>
  <c r="L96" i="107"/>
  <c r="M96" i="107"/>
  <c r="N96" i="107"/>
  <c r="N96" i="111" s="1"/>
  <c r="D97" i="107"/>
  <c r="E97" i="107"/>
  <c r="E97" i="111" s="1"/>
  <c r="F97" i="107"/>
  <c r="F97" i="111" s="1"/>
  <c r="G97" i="107"/>
  <c r="H97" i="107"/>
  <c r="H97" i="111" s="1"/>
  <c r="I97" i="107"/>
  <c r="J97" i="107"/>
  <c r="K97" i="107"/>
  <c r="K97" i="111" s="1"/>
  <c r="L97" i="107"/>
  <c r="M97" i="107"/>
  <c r="M97" i="111" s="1"/>
  <c r="N97" i="107"/>
  <c r="N97" i="111" s="1"/>
  <c r="D98" i="107"/>
  <c r="E98" i="107"/>
  <c r="F98" i="107"/>
  <c r="G98" i="107"/>
  <c r="H98" i="107"/>
  <c r="I98" i="107"/>
  <c r="I98" i="111" s="1"/>
  <c r="J98" i="107"/>
  <c r="J98" i="111" s="1"/>
  <c r="K98" i="107"/>
  <c r="K98" i="111" s="1"/>
  <c r="L98" i="107"/>
  <c r="M98" i="107"/>
  <c r="N98" i="107"/>
  <c r="N98" i="111" s="1"/>
  <c r="D99" i="107"/>
  <c r="E99" i="107"/>
  <c r="F99" i="107"/>
  <c r="F99" i="111" s="1"/>
  <c r="G99" i="107"/>
  <c r="G99" i="111" s="1"/>
  <c r="H99" i="107"/>
  <c r="I99" i="107"/>
  <c r="I99" i="111" s="1"/>
  <c r="J99" i="107"/>
  <c r="K99" i="107"/>
  <c r="L99" i="107"/>
  <c r="M99" i="107"/>
  <c r="M99" i="111" s="1"/>
  <c r="N99" i="107"/>
  <c r="N99" i="111" s="1"/>
  <c r="D100" i="107"/>
  <c r="D100" i="111" s="1"/>
  <c r="E100" i="107"/>
  <c r="E100" i="111" s="1"/>
  <c r="F100" i="107"/>
  <c r="G100" i="107"/>
  <c r="H100" i="107"/>
  <c r="I100" i="107"/>
  <c r="I100" i="111" s="1"/>
  <c r="J100" i="107"/>
  <c r="J100" i="111" s="1"/>
  <c r="K100" i="107"/>
  <c r="L100" i="107"/>
  <c r="L100" i="111" s="1"/>
  <c r="M100" i="107"/>
  <c r="M100" i="111" s="1"/>
  <c r="N100" i="107"/>
  <c r="N100" i="111" s="1"/>
  <c r="D101" i="107"/>
  <c r="D101" i="111" s="1"/>
  <c r="E101" i="107"/>
  <c r="E101" i="111" s="1"/>
  <c r="F101" i="107"/>
  <c r="F101" i="111" s="1"/>
  <c r="G101" i="107"/>
  <c r="G101" i="111" s="1"/>
  <c r="H101" i="107"/>
  <c r="H101" i="111" s="1"/>
  <c r="I101" i="107"/>
  <c r="I101" i="111" s="1"/>
  <c r="J101" i="107"/>
  <c r="J101" i="111" s="1"/>
  <c r="K101" i="107"/>
  <c r="K101" i="111" s="1"/>
  <c r="L101" i="107"/>
  <c r="L101" i="111" s="1"/>
  <c r="M101" i="107"/>
  <c r="M101" i="111" s="1"/>
  <c r="N101" i="107"/>
  <c r="N101" i="111" s="1"/>
  <c r="D102" i="107"/>
  <c r="E102" i="107"/>
  <c r="F102" i="107"/>
  <c r="G102" i="107"/>
  <c r="G102" i="111" s="1"/>
  <c r="H102" i="107"/>
  <c r="I102" i="107"/>
  <c r="I102" i="111" s="1"/>
  <c r="J102" i="107"/>
  <c r="J102" i="111" s="1"/>
  <c r="K102" i="107"/>
  <c r="L102" i="107"/>
  <c r="M102" i="107"/>
  <c r="N102" i="107"/>
  <c r="N102" i="111" s="1"/>
  <c r="D103" i="107"/>
  <c r="E103" i="107"/>
  <c r="E103" i="111" s="1"/>
  <c r="F103" i="107"/>
  <c r="G103" i="107"/>
  <c r="H103" i="107"/>
  <c r="I103" i="107"/>
  <c r="J103" i="107"/>
  <c r="K103" i="107"/>
  <c r="K103" i="111" s="1"/>
  <c r="L103" i="107"/>
  <c r="M103" i="107"/>
  <c r="N103" i="107"/>
  <c r="N103" i="111" s="1"/>
  <c r="D104" i="107"/>
  <c r="E104" i="107"/>
  <c r="F104" i="107"/>
  <c r="G104" i="107"/>
  <c r="H104" i="107"/>
  <c r="I104" i="107"/>
  <c r="I104" i="111" s="1"/>
  <c r="J104" i="107"/>
  <c r="J104" i="111" s="1"/>
  <c r="K104" i="107"/>
  <c r="L104" i="107"/>
  <c r="M104" i="107"/>
  <c r="N104" i="107"/>
  <c r="N104" i="111" s="1"/>
  <c r="D105" i="107"/>
  <c r="E105" i="107"/>
  <c r="E105" i="111" s="1"/>
  <c r="F105" i="107"/>
  <c r="G105" i="107"/>
  <c r="H105" i="107"/>
  <c r="H105" i="111" s="1"/>
  <c r="I105" i="107"/>
  <c r="J105" i="107"/>
  <c r="K105" i="107"/>
  <c r="L105" i="107"/>
  <c r="M105" i="107"/>
  <c r="N105" i="107"/>
  <c r="C59" i="107"/>
  <c r="C59" i="111" s="1"/>
  <c r="C60" i="107"/>
  <c r="C61" i="107"/>
  <c r="C62" i="107"/>
  <c r="C63" i="107"/>
  <c r="C64" i="107"/>
  <c r="C65" i="107"/>
  <c r="C66" i="107"/>
  <c r="C67" i="107"/>
  <c r="C67" i="111" s="1"/>
  <c r="C68" i="107"/>
  <c r="C69" i="107"/>
  <c r="C69" i="111" s="1"/>
  <c r="C70" i="107"/>
  <c r="C71" i="107"/>
  <c r="C71" i="111" s="1"/>
  <c r="C72" i="107"/>
  <c r="C73" i="107"/>
  <c r="C74" i="107"/>
  <c r="C75" i="107"/>
  <c r="C75" i="111" s="1"/>
  <c r="C76" i="107"/>
  <c r="C77" i="107"/>
  <c r="C77" i="111" s="1"/>
  <c r="C78" i="107"/>
  <c r="C79" i="107"/>
  <c r="C79" i="111" s="1"/>
  <c r="C80" i="107"/>
  <c r="C81" i="107"/>
  <c r="C81" i="111" s="1"/>
  <c r="C82" i="107"/>
  <c r="C82" i="111" s="1"/>
  <c r="C83" i="107"/>
  <c r="C83" i="111" s="1"/>
  <c r="C84" i="107"/>
  <c r="C85" i="107"/>
  <c r="C85" i="111" s="1"/>
  <c r="C86" i="107"/>
  <c r="C87" i="107"/>
  <c r="C87" i="111" s="1"/>
  <c r="C88" i="107"/>
  <c r="C89" i="107"/>
  <c r="C90" i="107"/>
  <c r="C91" i="107"/>
  <c r="C91" i="111" s="1"/>
  <c r="C92" i="107"/>
  <c r="C93" i="107"/>
  <c r="C94" i="107"/>
  <c r="C95" i="107"/>
  <c r="C95" i="111" s="1"/>
  <c r="C96" i="107"/>
  <c r="C97" i="107"/>
  <c r="C98" i="107"/>
  <c r="C99" i="107"/>
  <c r="C99" i="111" s="1"/>
  <c r="C100" i="107"/>
  <c r="C101" i="107"/>
  <c r="C102" i="107"/>
  <c r="C103" i="107"/>
  <c r="C103" i="111" s="1"/>
  <c r="C104" i="107"/>
  <c r="C105" i="107"/>
  <c r="C105" i="111" s="1"/>
  <c r="C58" i="107"/>
  <c r="M105" i="111" l="1"/>
  <c r="AC33" i="111" s="1"/>
  <c r="F105" i="111"/>
  <c r="F103" i="111"/>
  <c r="C63" i="111"/>
  <c r="C61" i="111"/>
  <c r="P61" i="111" s="1"/>
  <c r="F86" i="111"/>
  <c r="G104" i="111"/>
  <c r="J103" i="111"/>
  <c r="M102" i="111"/>
  <c r="E102" i="111"/>
  <c r="K100" i="111"/>
  <c r="G96" i="111"/>
  <c r="J95" i="111"/>
  <c r="Z31" i="111" s="1"/>
  <c r="M94" i="111"/>
  <c r="E94" i="111"/>
  <c r="K92" i="111"/>
  <c r="G88" i="111"/>
  <c r="J87" i="111"/>
  <c r="M86" i="111"/>
  <c r="E86" i="111"/>
  <c r="U29" i="111" s="1"/>
  <c r="J79" i="111"/>
  <c r="Z27" i="111" s="1"/>
  <c r="M78" i="111"/>
  <c r="E78" i="111"/>
  <c r="J71" i="111"/>
  <c r="M70" i="111"/>
  <c r="E70" i="111"/>
  <c r="J63" i="111"/>
  <c r="M62" i="111"/>
  <c r="AC23" i="111" s="1"/>
  <c r="E62" i="111"/>
  <c r="U23" i="111" s="1"/>
  <c r="F78" i="111"/>
  <c r="F70" i="111"/>
  <c r="F62" i="111"/>
  <c r="F88" i="111"/>
  <c r="I63" i="111"/>
  <c r="H58" i="111"/>
  <c r="F94" i="111"/>
  <c r="F104" i="111"/>
  <c r="F80" i="111"/>
  <c r="F72" i="111"/>
  <c r="F64" i="111"/>
  <c r="J105" i="111"/>
  <c r="M104" i="111"/>
  <c r="E104" i="111"/>
  <c r="U33" i="111" s="1"/>
  <c r="G98" i="111"/>
  <c r="W32" i="111" s="1"/>
  <c r="J97" i="111"/>
  <c r="M96" i="111"/>
  <c r="E96" i="111"/>
  <c r="G90" i="111"/>
  <c r="J89" i="111"/>
  <c r="M88" i="111"/>
  <c r="E88" i="111"/>
  <c r="G82" i="111"/>
  <c r="J81" i="111"/>
  <c r="M80" i="111"/>
  <c r="E80" i="111"/>
  <c r="G74" i="111"/>
  <c r="J73" i="111"/>
  <c r="M72" i="111"/>
  <c r="E72" i="111"/>
  <c r="G66" i="111"/>
  <c r="J65" i="111"/>
  <c r="Z23" i="111" s="1"/>
  <c r="M64" i="111"/>
  <c r="E64" i="111"/>
  <c r="G58" i="111"/>
  <c r="K105" i="111"/>
  <c r="F96" i="111"/>
  <c r="I71" i="111"/>
  <c r="C101" i="111"/>
  <c r="I105" i="111"/>
  <c r="F98" i="111"/>
  <c r="I89" i="111"/>
  <c r="F82" i="111"/>
  <c r="I73" i="111"/>
  <c r="F66" i="111"/>
  <c r="I65" i="111"/>
  <c r="F58" i="111"/>
  <c r="F102" i="111"/>
  <c r="V33" i="111" s="1"/>
  <c r="I103" i="111"/>
  <c r="I95" i="111"/>
  <c r="I87" i="111"/>
  <c r="I79" i="111"/>
  <c r="C93" i="111"/>
  <c r="K99" i="111"/>
  <c r="I97" i="111"/>
  <c r="K91" i="111"/>
  <c r="AA30" i="111" s="1"/>
  <c r="F90" i="111"/>
  <c r="I81" i="111"/>
  <c r="F74" i="111"/>
  <c r="K104" i="111"/>
  <c r="G100" i="111"/>
  <c r="J99" i="111"/>
  <c r="M98" i="111"/>
  <c r="AC32" i="111" s="1"/>
  <c r="E98" i="111"/>
  <c r="U32" i="111" s="1"/>
  <c r="K96" i="111"/>
  <c r="G92" i="111"/>
  <c r="J91" i="111"/>
  <c r="M90" i="111"/>
  <c r="E90" i="111"/>
  <c r="K88" i="111"/>
  <c r="G84" i="111"/>
  <c r="J83" i="111"/>
  <c r="Z28" i="111" s="1"/>
  <c r="M82" i="111"/>
  <c r="E82" i="111"/>
  <c r="K80" i="111"/>
  <c r="G76" i="111"/>
  <c r="J75" i="111"/>
  <c r="M74" i="111"/>
  <c r="E74" i="111"/>
  <c r="U26" i="111" s="1"/>
  <c r="K72" i="111"/>
  <c r="G68" i="111"/>
  <c r="J67" i="111"/>
  <c r="M66" i="111"/>
  <c r="E66" i="111"/>
  <c r="K64" i="111"/>
  <c r="G60" i="111"/>
  <c r="J59" i="111"/>
  <c r="Z22" i="111" s="1"/>
  <c r="F100" i="111"/>
  <c r="V32" i="111" s="1"/>
  <c r="F92" i="111"/>
  <c r="F84" i="111"/>
  <c r="F76" i="111"/>
  <c r="F68" i="111"/>
  <c r="F60" i="111"/>
  <c r="O103" i="108"/>
  <c r="O95" i="108"/>
  <c r="P87" i="108"/>
  <c r="P79" i="108"/>
  <c r="O71" i="108"/>
  <c r="K82" i="111"/>
  <c r="P102" i="107"/>
  <c r="O86" i="107"/>
  <c r="L103" i="111"/>
  <c r="L95" i="111"/>
  <c r="D95" i="111"/>
  <c r="L87" i="111"/>
  <c r="D87" i="111"/>
  <c r="D79" i="111"/>
  <c r="L71" i="111"/>
  <c r="L63" i="111"/>
  <c r="D63" i="111"/>
  <c r="O58" i="108"/>
  <c r="H96" i="111"/>
  <c r="H88" i="111"/>
  <c r="H80" i="111"/>
  <c r="H72" i="111"/>
  <c r="H64" i="111"/>
  <c r="L105" i="111"/>
  <c r="D97" i="111"/>
  <c r="L89" i="111"/>
  <c r="D89" i="111"/>
  <c r="L81" i="111"/>
  <c r="D81" i="111"/>
  <c r="L73" i="111"/>
  <c r="D73" i="111"/>
  <c r="L65" i="111"/>
  <c r="D65" i="111"/>
  <c r="I58" i="111"/>
  <c r="Y22" i="111" s="1"/>
  <c r="P103" i="108"/>
  <c r="P95" i="108"/>
  <c r="O87" i="108"/>
  <c r="O79" i="108"/>
  <c r="P71" i="108"/>
  <c r="O63" i="108"/>
  <c r="D105" i="111"/>
  <c r="H98" i="111"/>
  <c r="H90" i="111"/>
  <c r="H82" i="111"/>
  <c r="H74" i="111"/>
  <c r="H66" i="111"/>
  <c r="L97" i="111"/>
  <c r="N58" i="111"/>
  <c r="H104" i="111"/>
  <c r="D103" i="111"/>
  <c r="O94" i="107"/>
  <c r="L92" i="111"/>
  <c r="H91" i="111"/>
  <c r="C90" i="111"/>
  <c r="D84" i="111"/>
  <c r="O78" i="107"/>
  <c r="O79" i="107"/>
  <c r="L79" i="111"/>
  <c r="H75" i="111"/>
  <c r="G75" i="111"/>
  <c r="P74" i="107"/>
  <c r="P73" i="107"/>
  <c r="C74" i="111"/>
  <c r="C73" i="111"/>
  <c r="O70" i="107"/>
  <c r="D71" i="111"/>
  <c r="P66" i="107"/>
  <c r="P65" i="107"/>
  <c r="L60" i="111"/>
  <c r="O62" i="107"/>
  <c r="H59" i="111"/>
  <c r="P58" i="107"/>
  <c r="C58" i="111"/>
  <c r="P94" i="107"/>
  <c r="P95" i="107"/>
  <c r="P98" i="107"/>
  <c r="P90" i="107"/>
  <c r="H99" i="111"/>
  <c r="H83" i="111"/>
  <c r="O103" i="107"/>
  <c r="O71" i="107"/>
  <c r="P87" i="107"/>
  <c r="P104" i="108"/>
  <c r="P102" i="108"/>
  <c r="P100" i="108"/>
  <c r="P98" i="108"/>
  <c r="P96" i="108"/>
  <c r="P94" i="108"/>
  <c r="P92" i="108"/>
  <c r="P88" i="108"/>
  <c r="O86" i="108"/>
  <c r="AE29" i="108" s="1"/>
  <c r="P84" i="108"/>
  <c r="P82" i="108"/>
  <c r="P80" i="108"/>
  <c r="P78" i="108"/>
  <c r="P76" i="108"/>
  <c r="P74" i="108"/>
  <c r="P72" i="108"/>
  <c r="O70" i="108"/>
  <c r="P68" i="108"/>
  <c r="P66" i="108"/>
  <c r="P64" i="108"/>
  <c r="O62" i="108"/>
  <c r="C100" i="111"/>
  <c r="P100" i="107"/>
  <c r="O100" i="107"/>
  <c r="C76" i="111"/>
  <c r="S26" i="111" s="1"/>
  <c r="P76" i="107"/>
  <c r="O76" i="107"/>
  <c r="P97" i="107"/>
  <c r="P86" i="107"/>
  <c r="C96" i="111"/>
  <c r="P96" i="107"/>
  <c r="O96" i="107"/>
  <c r="O95" i="107"/>
  <c r="O63" i="107"/>
  <c r="P79" i="107"/>
  <c r="C92" i="111"/>
  <c r="P92" i="107"/>
  <c r="O92" i="107"/>
  <c r="C68" i="111"/>
  <c r="P68" i="107"/>
  <c r="O68" i="107"/>
  <c r="P89" i="107"/>
  <c r="O102" i="107"/>
  <c r="C88" i="111"/>
  <c r="P88" i="107"/>
  <c r="O88" i="107"/>
  <c r="C64" i="111"/>
  <c r="P64" i="107"/>
  <c r="O64" i="107"/>
  <c r="D102" i="111"/>
  <c r="D86" i="111"/>
  <c r="L78" i="111"/>
  <c r="D70" i="111"/>
  <c r="P70" i="107"/>
  <c r="P71" i="107"/>
  <c r="O99" i="108"/>
  <c r="P91" i="108"/>
  <c r="P83" i="108"/>
  <c r="P75" i="108"/>
  <c r="O67" i="108"/>
  <c r="P65" i="108"/>
  <c r="O59" i="108"/>
  <c r="C84" i="111"/>
  <c r="P84" i="107"/>
  <c r="O84" i="107"/>
  <c r="C60" i="111"/>
  <c r="P60" i="107"/>
  <c r="O60" i="107"/>
  <c r="P105" i="107"/>
  <c r="C104" i="111"/>
  <c r="P104" i="107"/>
  <c r="O104" i="107"/>
  <c r="C80" i="111"/>
  <c r="P80" i="107"/>
  <c r="O80" i="107"/>
  <c r="C72" i="111"/>
  <c r="P72" i="107"/>
  <c r="O72" i="107"/>
  <c r="L102" i="111"/>
  <c r="E99" i="111"/>
  <c r="P99" i="107"/>
  <c r="O99" i="107"/>
  <c r="L94" i="111"/>
  <c r="D94" i="111"/>
  <c r="E91" i="111"/>
  <c r="U30" i="111" s="1"/>
  <c r="P91" i="107"/>
  <c r="O91" i="107"/>
  <c r="L86" i="111"/>
  <c r="E83" i="111"/>
  <c r="U28" i="111" s="1"/>
  <c r="P83" i="107"/>
  <c r="O83" i="107"/>
  <c r="D78" i="111"/>
  <c r="P78" i="107"/>
  <c r="E75" i="111"/>
  <c r="P75" i="107"/>
  <c r="O75" i="107"/>
  <c r="L70" i="111"/>
  <c r="AB25" i="111" s="1"/>
  <c r="E67" i="111"/>
  <c r="P67" i="107"/>
  <c r="O67" i="107"/>
  <c r="D62" i="111"/>
  <c r="P62" i="107"/>
  <c r="E59" i="111"/>
  <c r="O59" i="107"/>
  <c r="P59" i="107"/>
  <c r="O87" i="107"/>
  <c r="P103" i="107"/>
  <c r="P63" i="107"/>
  <c r="P105" i="108"/>
  <c r="P101" i="108"/>
  <c r="P97" i="108"/>
  <c r="P93" i="108"/>
  <c r="P89" i="108"/>
  <c r="P85" i="108"/>
  <c r="P81" i="108"/>
  <c r="P77" i="108"/>
  <c r="P73" i="108"/>
  <c r="P69" i="108"/>
  <c r="O61" i="108"/>
  <c r="O94" i="108"/>
  <c r="O78" i="108"/>
  <c r="P86" i="108"/>
  <c r="P70" i="108"/>
  <c r="C102" i="111"/>
  <c r="C94" i="111"/>
  <c r="C86" i="111"/>
  <c r="C78" i="111"/>
  <c r="C70" i="111"/>
  <c r="S25" i="111" s="1"/>
  <c r="C62" i="111"/>
  <c r="H103" i="111"/>
  <c r="K102" i="111"/>
  <c r="AA33" i="111" s="1"/>
  <c r="L99" i="111"/>
  <c r="D99" i="111"/>
  <c r="H95" i="111"/>
  <c r="K94" i="111"/>
  <c r="AA31" i="111" s="1"/>
  <c r="L91" i="111"/>
  <c r="AB30" i="111" s="1"/>
  <c r="D91" i="111"/>
  <c r="H87" i="111"/>
  <c r="K86" i="111"/>
  <c r="AA29" i="111" s="1"/>
  <c r="L83" i="111"/>
  <c r="D83" i="111"/>
  <c r="H79" i="111"/>
  <c r="K78" i="111"/>
  <c r="L75" i="111"/>
  <c r="AB26" i="111" s="1"/>
  <c r="D75" i="111"/>
  <c r="O75" i="111" s="1"/>
  <c r="H71" i="111"/>
  <c r="K70" i="111"/>
  <c r="L67" i="111"/>
  <c r="D67" i="111"/>
  <c r="H63" i="111"/>
  <c r="K62" i="111"/>
  <c r="L59" i="111"/>
  <c r="D59" i="111"/>
  <c r="O59" i="111" s="1"/>
  <c r="O101" i="107"/>
  <c r="O93" i="107"/>
  <c r="O85" i="107"/>
  <c r="O77" i="107"/>
  <c r="O69" i="107"/>
  <c r="O61" i="107"/>
  <c r="P101" i="107"/>
  <c r="P93" i="107"/>
  <c r="P85" i="107"/>
  <c r="P77" i="107"/>
  <c r="P69" i="107"/>
  <c r="P61" i="107"/>
  <c r="O101" i="108"/>
  <c r="O93" i="108"/>
  <c r="O85" i="108"/>
  <c r="O77" i="108"/>
  <c r="AE26" i="108" s="1"/>
  <c r="O69" i="108"/>
  <c r="C98" i="111"/>
  <c r="C66" i="111"/>
  <c r="P62" i="108"/>
  <c r="P60" i="108"/>
  <c r="O102" i="108"/>
  <c r="P101" i="111"/>
  <c r="O101" i="111"/>
  <c r="P93" i="111"/>
  <c r="O93" i="111"/>
  <c r="P85" i="111"/>
  <c r="O85" i="111"/>
  <c r="P77" i="111"/>
  <c r="O77" i="111"/>
  <c r="P69" i="111"/>
  <c r="O69" i="111"/>
  <c r="L104" i="111"/>
  <c r="D104" i="111"/>
  <c r="G103" i="111"/>
  <c r="H100" i="111"/>
  <c r="L96" i="111"/>
  <c r="D96" i="111"/>
  <c r="G95" i="111"/>
  <c r="H92" i="111"/>
  <c r="L88" i="111"/>
  <c r="D88" i="111"/>
  <c r="G87" i="111"/>
  <c r="H84" i="111"/>
  <c r="L80" i="111"/>
  <c r="D80" i="111"/>
  <c r="G79" i="111"/>
  <c r="H76" i="111"/>
  <c r="L72" i="111"/>
  <c r="D72" i="111"/>
  <c r="G71" i="111"/>
  <c r="H68" i="111"/>
  <c r="L64" i="111"/>
  <c r="D64" i="111"/>
  <c r="G63" i="111"/>
  <c r="H60" i="111"/>
  <c r="X22" i="111" s="1"/>
  <c r="O100" i="108"/>
  <c r="O92" i="108"/>
  <c r="O84" i="108"/>
  <c r="O76" i="108"/>
  <c r="O68" i="108"/>
  <c r="O60" i="108"/>
  <c r="C97" i="111"/>
  <c r="C65" i="111"/>
  <c r="H73" i="111"/>
  <c r="M58" i="111"/>
  <c r="AC22" i="111" s="1"/>
  <c r="O75" i="108"/>
  <c r="P99" i="108"/>
  <c r="P67" i="108"/>
  <c r="G105" i="111"/>
  <c r="O105" i="111" s="1"/>
  <c r="H102" i="111"/>
  <c r="X33" i="111" s="1"/>
  <c r="D98" i="111"/>
  <c r="L90" i="111"/>
  <c r="D90" i="111"/>
  <c r="G89" i="111"/>
  <c r="H86" i="111"/>
  <c r="L82" i="111"/>
  <c r="D82" i="111"/>
  <c r="O82" i="111" s="1"/>
  <c r="G81" i="111"/>
  <c r="H78" i="111"/>
  <c r="X27" i="111" s="1"/>
  <c r="L74" i="111"/>
  <c r="D74" i="111"/>
  <c r="G73" i="111"/>
  <c r="H70" i="111"/>
  <c r="L66" i="111"/>
  <c r="D66" i="111"/>
  <c r="G65" i="111"/>
  <c r="W23" i="111" s="1"/>
  <c r="H62" i="111"/>
  <c r="L58" i="111"/>
  <c r="D58" i="111"/>
  <c r="O98" i="107"/>
  <c r="O90" i="107"/>
  <c r="O82" i="107"/>
  <c r="O74" i="107"/>
  <c r="O66" i="107"/>
  <c r="O58" i="107"/>
  <c r="P82" i="107"/>
  <c r="P63" i="108"/>
  <c r="P61" i="108"/>
  <c r="P59" i="108"/>
  <c r="O98" i="108"/>
  <c r="O90" i="108"/>
  <c r="O82" i="108"/>
  <c r="O74" i="108"/>
  <c r="O66" i="108"/>
  <c r="P90" i="108"/>
  <c r="C89" i="111"/>
  <c r="S29" i="111" s="1"/>
  <c r="H65" i="111"/>
  <c r="O83" i="108"/>
  <c r="AE28" i="108" s="1"/>
  <c r="H94" i="111"/>
  <c r="X31" i="111" s="1"/>
  <c r="O105" i="107"/>
  <c r="O97" i="107"/>
  <c r="O89" i="107"/>
  <c r="O81" i="107"/>
  <c r="O73" i="107"/>
  <c r="O65" i="107"/>
  <c r="P81" i="107"/>
  <c r="P58" i="108"/>
  <c r="O105" i="108"/>
  <c r="O97" i="108"/>
  <c r="O89" i="108"/>
  <c r="O81" i="108"/>
  <c r="O73" i="108"/>
  <c r="O65" i="108"/>
  <c r="E58" i="111"/>
  <c r="O91" i="108"/>
  <c r="L98" i="111"/>
  <c r="G97" i="111"/>
  <c r="O104" i="108"/>
  <c r="O96" i="108"/>
  <c r="O88" i="108"/>
  <c r="O80" i="108"/>
  <c r="O72" i="108"/>
  <c r="O64" i="108"/>
  <c r="AD33" i="107"/>
  <c r="AC33" i="107"/>
  <c r="AB33" i="107"/>
  <c r="AA33" i="107"/>
  <c r="Z33" i="107"/>
  <c r="Y33" i="107"/>
  <c r="X33" i="107"/>
  <c r="W33" i="107"/>
  <c r="V33" i="107"/>
  <c r="U33" i="107"/>
  <c r="T33" i="107"/>
  <c r="S33" i="107"/>
  <c r="AD32" i="107"/>
  <c r="AC32" i="107"/>
  <c r="AB32" i="107"/>
  <c r="AA32" i="107"/>
  <c r="Z32" i="107"/>
  <c r="Y32" i="107"/>
  <c r="X32" i="107"/>
  <c r="W32" i="107"/>
  <c r="V32" i="107"/>
  <c r="U32" i="107"/>
  <c r="T32" i="107"/>
  <c r="S32" i="107"/>
  <c r="AD31" i="107"/>
  <c r="AC31" i="107"/>
  <c r="AB31" i="107"/>
  <c r="AA31" i="107"/>
  <c r="Z31" i="107"/>
  <c r="Y31" i="107"/>
  <c r="X31" i="107"/>
  <c r="W31" i="107"/>
  <c r="V31" i="107"/>
  <c r="U31" i="107"/>
  <c r="T31" i="107"/>
  <c r="S31" i="107"/>
  <c r="AD30" i="107"/>
  <c r="AC30" i="107"/>
  <c r="AB30" i="107"/>
  <c r="AA30" i="107"/>
  <c r="Z30" i="107"/>
  <c r="Y30" i="107"/>
  <c r="X30" i="107"/>
  <c r="W30" i="107"/>
  <c r="V30" i="107"/>
  <c r="U30" i="107"/>
  <c r="T30" i="107"/>
  <c r="S30" i="107"/>
  <c r="AD29" i="107"/>
  <c r="AC29" i="107"/>
  <c r="AB29" i="107"/>
  <c r="AA29" i="107"/>
  <c r="Z29" i="107"/>
  <c r="Y29" i="107"/>
  <c r="X29" i="107"/>
  <c r="W29" i="107"/>
  <c r="V29" i="107"/>
  <c r="U29" i="107"/>
  <c r="T29" i="107"/>
  <c r="S29" i="107"/>
  <c r="AD28" i="107"/>
  <c r="AC28" i="107"/>
  <c r="AB28" i="107"/>
  <c r="AA28" i="107"/>
  <c r="Z28" i="107"/>
  <c r="Y28" i="107"/>
  <c r="X28" i="107"/>
  <c r="W28" i="107"/>
  <c r="V28" i="107"/>
  <c r="U28" i="107"/>
  <c r="T28" i="107"/>
  <c r="S28" i="107"/>
  <c r="AD27" i="107"/>
  <c r="AC27" i="107"/>
  <c r="AB27" i="107"/>
  <c r="AA27" i="107"/>
  <c r="Z27" i="107"/>
  <c r="Y27" i="107"/>
  <c r="X27" i="107"/>
  <c r="W27" i="107"/>
  <c r="V27" i="107"/>
  <c r="U27" i="107"/>
  <c r="T27" i="107"/>
  <c r="S27" i="107"/>
  <c r="AD26" i="107"/>
  <c r="AC26" i="107"/>
  <c r="AB26" i="107"/>
  <c r="AA26" i="107"/>
  <c r="Z26" i="107"/>
  <c r="Y26" i="107"/>
  <c r="X26" i="107"/>
  <c r="W26" i="107"/>
  <c r="V26" i="107"/>
  <c r="U26" i="107"/>
  <c r="T26" i="107"/>
  <c r="S26" i="107"/>
  <c r="AD25" i="107"/>
  <c r="AC25" i="107"/>
  <c r="AB25" i="107"/>
  <c r="AA25" i="107"/>
  <c r="Z25" i="107"/>
  <c r="Y25" i="107"/>
  <c r="X25" i="107"/>
  <c r="W25" i="107"/>
  <c r="V25" i="107"/>
  <c r="U25" i="107"/>
  <c r="T25" i="107"/>
  <c r="S25" i="107"/>
  <c r="AD24" i="107"/>
  <c r="AC24" i="107"/>
  <c r="AB24" i="107"/>
  <c r="AA24" i="107"/>
  <c r="Z24" i="107"/>
  <c r="Y24" i="107"/>
  <c r="X24" i="107"/>
  <c r="W24" i="107"/>
  <c r="V24" i="107"/>
  <c r="U24" i="107"/>
  <c r="T24" i="107"/>
  <c r="S24" i="107"/>
  <c r="AD23" i="107"/>
  <c r="AC23" i="107"/>
  <c r="AB23" i="107"/>
  <c r="AA23" i="107"/>
  <c r="Z23" i="107"/>
  <c r="Y23" i="107"/>
  <c r="X23" i="107"/>
  <c r="W23" i="107"/>
  <c r="V23" i="107"/>
  <c r="U23" i="107"/>
  <c r="T23" i="107"/>
  <c r="S23" i="107"/>
  <c r="AD22" i="107"/>
  <c r="AC22" i="107"/>
  <c r="AB22" i="107"/>
  <c r="AA22" i="107"/>
  <c r="Z22" i="107"/>
  <c r="Y22" i="107"/>
  <c r="X22" i="107"/>
  <c r="W22" i="107"/>
  <c r="V22" i="107"/>
  <c r="U22" i="107"/>
  <c r="T22" i="107"/>
  <c r="S22" i="107"/>
  <c r="AD33" i="108"/>
  <c r="AC33" i="108"/>
  <c r="AB33" i="108"/>
  <c r="AA33" i="108"/>
  <c r="Z33" i="108"/>
  <c r="Y33" i="108"/>
  <c r="X33" i="108"/>
  <c r="W33" i="108"/>
  <c r="V33" i="108"/>
  <c r="U33" i="108"/>
  <c r="T33" i="108"/>
  <c r="S33" i="108"/>
  <c r="AD32" i="108"/>
  <c r="AC32" i="108"/>
  <c r="AB32" i="108"/>
  <c r="AA32" i="108"/>
  <c r="Z32" i="108"/>
  <c r="Y32" i="108"/>
  <c r="X32" i="108"/>
  <c r="W32" i="108"/>
  <c r="V32" i="108"/>
  <c r="U32" i="108"/>
  <c r="T32" i="108"/>
  <c r="S32" i="108"/>
  <c r="AD31" i="108"/>
  <c r="AC31" i="108"/>
  <c r="AB31" i="108"/>
  <c r="AA31" i="108"/>
  <c r="Z31" i="108"/>
  <c r="Y31" i="108"/>
  <c r="X31" i="108"/>
  <c r="W31" i="108"/>
  <c r="V31" i="108"/>
  <c r="U31" i="108"/>
  <c r="T31" i="108"/>
  <c r="S31" i="108"/>
  <c r="AD30" i="108"/>
  <c r="AC30" i="108"/>
  <c r="AB30" i="108"/>
  <c r="AA30" i="108"/>
  <c r="Z30" i="108"/>
  <c r="Y30" i="108"/>
  <c r="X30" i="108"/>
  <c r="W30" i="108"/>
  <c r="V30" i="108"/>
  <c r="U30" i="108"/>
  <c r="T30" i="108"/>
  <c r="S30" i="108"/>
  <c r="AD29" i="108"/>
  <c r="AC29" i="108"/>
  <c r="AB29" i="108"/>
  <c r="AA29" i="108"/>
  <c r="Z29" i="108"/>
  <c r="Y29" i="108"/>
  <c r="X29" i="108"/>
  <c r="W29" i="108"/>
  <c r="V29" i="108"/>
  <c r="U29" i="108"/>
  <c r="T29" i="108"/>
  <c r="S29" i="108"/>
  <c r="AF28" i="108"/>
  <c r="AD28" i="108"/>
  <c r="AC28" i="108"/>
  <c r="AB28" i="108"/>
  <c r="AA28" i="108"/>
  <c r="Z28" i="108"/>
  <c r="Y28" i="108"/>
  <c r="X28" i="108"/>
  <c r="W28" i="108"/>
  <c r="V28" i="108"/>
  <c r="U28" i="108"/>
  <c r="T28" i="108"/>
  <c r="S28" i="108"/>
  <c r="AD27" i="108"/>
  <c r="AC27" i="108"/>
  <c r="AB27" i="108"/>
  <c r="AA27" i="108"/>
  <c r="Z27" i="108"/>
  <c r="Y27" i="108"/>
  <c r="X27" i="108"/>
  <c r="W27" i="108"/>
  <c r="V27" i="108"/>
  <c r="U27" i="108"/>
  <c r="T27" i="108"/>
  <c r="S27" i="108"/>
  <c r="AD26" i="108"/>
  <c r="AC26" i="108"/>
  <c r="AB26" i="108"/>
  <c r="AA26" i="108"/>
  <c r="Z26" i="108"/>
  <c r="Y26" i="108"/>
  <c r="X26" i="108"/>
  <c r="W26" i="108"/>
  <c r="V26" i="108"/>
  <c r="U26" i="108"/>
  <c r="T26" i="108"/>
  <c r="S26" i="108"/>
  <c r="AD25" i="108"/>
  <c r="AC25" i="108"/>
  <c r="AB25" i="108"/>
  <c r="AA25" i="108"/>
  <c r="Z25" i="108"/>
  <c r="Y25" i="108"/>
  <c r="X25" i="108"/>
  <c r="W25" i="108"/>
  <c r="V25" i="108"/>
  <c r="U25" i="108"/>
  <c r="T25" i="108"/>
  <c r="S25" i="108"/>
  <c r="AE24" i="108"/>
  <c r="AD24" i="108"/>
  <c r="AC24" i="108"/>
  <c r="AB24" i="108"/>
  <c r="AA24" i="108"/>
  <c r="Z24" i="108"/>
  <c r="Y24" i="108"/>
  <c r="X24" i="108"/>
  <c r="W24" i="108"/>
  <c r="V24" i="108"/>
  <c r="U24" i="108"/>
  <c r="T24" i="108"/>
  <c r="S24" i="108"/>
  <c r="AD23" i="108"/>
  <c r="AC23" i="108"/>
  <c r="AB23" i="108"/>
  <c r="AA23" i="108"/>
  <c r="Z23" i="108"/>
  <c r="Y23" i="108"/>
  <c r="X23" i="108"/>
  <c r="W23" i="108"/>
  <c r="V23" i="108"/>
  <c r="U23" i="108"/>
  <c r="T23" i="108"/>
  <c r="S23" i="108"/>
  <c r="AD22" i="108"/>
  <c r="AC22" i="108"/>
  <c r="AB22" i="108"/>
  <c r="AA22" i="108"/>
  <c r="Z22" i="108"/>
  <c r="Y22" i="108"/>
  <c r="X22" i="108"/>
  <c r="W22" i="108"/>
  <c r="V22" i="108"/>
  <c r="U22" i="108"/>
  <c r="T22" i="108"/>
  <c r="S22" i="108"/>
  <c r="AD33" i="111"/>
  <c r="Z33" i="111"/>
  <c r="Y33" i="111"/>
  <c r="AD32" i="111"/>
  <c r="AA32" i="111"/>
  <c r="Z32" i="111"/>
  <c r="Y32" i="111"/>
  <c r="X32" i="111"/>
  <c r="AD31" i="111"/>
  <c r="AC31" i="111"/>
  <c r="Y31" i="111"/>
  <c r="V31" i="111"/>
  <c r="U31" i="111"/>
  <c r="AD30" i="111"/>
  <c r="AC30" i="111"/>
  <c r="Z30" i="111"/>
  <c r="Y30" i="111"/>
  <c r="W30" i="111"/>
  <c r="V30" i="111"/>
  <c r="S30" i="111"/>
  <c r="AD29" i="111"/>
  <c r="AC29" i="111"/>
  <c r="Z29" i="111"/>
  <c r="Y29" i="111"/>
  <c r="W29" i="111"/>
  <c r="V29" i="111"/>
  <c r="AD28" i="111"/>
  <c r="AC28" i="111"/>
  <c r="AA28" i="111"/>
  <c r="Y28" i="111"/>
  <c r="W28" i="111"/>
  <c r="V28" i="111"/>
  <c r="S28" i="111"/>
  <c r="AD27" i="111"/>
  <c r="AC27" i="111"/>
  <c r="AA27" i="111"/>
  <c r="Y27" i="111"/>
  <c r="V27" i="111"/>
  <c r="U27" i="111"/>
  <c r="AD26" i="111"/>
  <c r="AC26" i="111"/>
  <c r="AA26" i="111"/>
  <c r="Z26" i="111"/>
  <c r="Y26" i="111"/>
  <c r="W26" i="111"/>
  <c r="V26" i="111"/>
  <c r="AD25" i="111"/>
  <c r="AC25" i="111"/>
  <c r="Z25" i="111"/>
  <c r="Y25" i="111"/>
  <c r="W25" i="111"/>
  <c r="V25" i="111"/>
  <c r="U25" i="111"/>
  <c r="AD24" i="111"/>
  <c r="AC24" i="111"/>
  <c r="AA24" i="111"/>
  <c r="Z24" i="111"/>
  <c r="Y24" i="111"/>
  <c r="W24" i="111"/>
  <c r="V24" i="111"/>
  <c r="U24" i="111"/>
  <c r="AD23" i="111"/>
  <c r="AA23" i="111"/>
  <c r="Y23" i="111"/>
  <c r="V23" i="111"/>
  <c r="AD22" i="111"/>
  <c r="AA22" i="111"/>
  <c r="W22" i="111"/>
  <c r="V22" i="111"/>
  <c r="U22" i="111"/>
  <c r="AE33" i="108" l="1"/>
  <c r="S24" i="111"/>
  <c r="S22" i="111"/>
  <c r="O61" i="111"/>
  <c r="AE22" i="108"/>
  <c r="T30" i="111"/>
  <c r="AE30" i="108"/>
  <c r="T25" i="111"/>
  <c r="P99" i="111"/>
  <c r="W31" i="111"/>
  <c r="X30" i="111"/>
  <c r="AA25" i="111"/>
  <c r="AF24" i="108"/>
  <c r="AF32" i="108"/>
  <c r="X26" i="111"/>
  <c r="O95" i="111"/>
  <c r="AF31" i="108"/>
  <c r="S27" i="111"/>
  <c r="AB22" i="111"/>
  <c r="T29" i="111"/>
  <c r="AE23" i="108"/>
  <c r="AF27" i="108"/>
  <c r="AF23" i="108"/>
  <c r="T23" i="111"/>
  <c r="AB33" i="111"/>
  <c r="AB24" i="111"/>
  <c r="AB28" i="111"/>
  <c r="P82" i="111"/>
  <c r="P81" i="111"/>
  <c r="P79" i="111"/>
  <c r="AE27" i="108"/>
  <c r="AB23" i="111"/>
  <c r="AB31" i="111"/>
  <c r="O91" i="111"/>
  <c r="AE32" i="108"/>
  <c r="W33" i="111"/>
  <c r="X23" i="111"/>
  <c r="AF22" i="108"/>
  <c r="X29" i="111"/>
  <c r="X24" i="111"/>
  <c r="X28" i="111"/>
  <c r="AF30" i="108"/>
  <c r="O71" i="111"/>
  <c r="P87" i="111"/>
  <c r="P63" i="111"/>
  <c r="S32" i="111"/>
  <c r="AE32" i="107"/>
  <c r="AE33" i="107"/>
  <c r="O103" i="111"/>
  <c r="P103" i="111"/>
  <c r="AF33" i="107"/>
  <c r="AF32" i="107"/>
  <c r="T33" i="111"/>
  <c r="P59" i="111"/>
  <c r="AB32" i="111"/>
  <c r="O99" i="111"/>
  <c r="P95" i="111"/>
  <c r="AF31" i="107"/>
  <c r="P90" i="111"/>
  <c r="AE30" i="107"/>
  <c r="AF30" i="107"/>
  <c r="AE28" i="107"/>
  <c r="O87" i="111"/>
  <c r="AB29" i="111"/>
  <c r="AE29" i="107"/>
  <c r="AF28" i="107"/>
  <c r="AE27" i="107"/>
  <c r="AF26" i="107"/>
  <c r="AF27" i="107"/>
  <c r="AB27" i="111"/>
  <c r="P74" i="111"/>
  <c r="P75" i="111"/>
  <c r="O74" i="111"/>
  <c r="T26" i="111"/>
  <c r="AE26" i="107"/>
  <c r="AF25" i="107"/>
  <c r="P71" i="111"/>
  <c r="AE24" i="107"/>
  <c r="AF24" i="107"/>
  <c r="O63" i="111"/>
  <c r="AF23" i="107"/>
  <c r="AE22" i="107"/>
  <c r="P58" i="111"/>
  <c r="T22" i="111"/>
  <c r="T32" i="111"/>
  <c r="P66" i="111"/>
  <c r="O66" i="111"/>
  <c r="P102" i="111"/>
  <c r="O102" i="111"/>
  <c r="S33" i="111"/>
  <c r="T27" i="111"/>
  <c r="T31" i="111"/>
  <c r="P84" i="111"/>
  <c r="O84" i="111"/>
  <c r="AE23" i="107"/>
  <c r="O67" i="111"/>
  <c r="T24" i="111"/>
  <c r="T28" i="111"/>
  <c r="P83" i="111"/>
  <c r="O83" i="111"/>
  <c r="P94" i="111"/>
  <c r="O94" i="111"/>
  <c r="S31" i="111"/>
  <c r="AE31" i="108"/>
  <c r="P67" i="111"/>
  <c r="O81" i="111"/>
  <c r="W27" i="111"/>
  <c r="AF33" i="108"/>
  <c r="AE25" i="108"/>
  <c r="P91" i="111"/>
  <c r="P62" i="111"/>
  <c r="O62" i="111"/>
  <c r="S23" i="111"/>
  <c r="AF22" i="107"/>
  <c r="AF25" i="108"/>
  <c r="AF29" i="108"/>
  <c r="X25" i="111"/>
  <c r="AF26" i="108"/>
  <c r="AE25" i="107"/>
  <c r="AE31" i="107"/>
  <c r="O73" i="111"/>
  <c r="P60" i="111"/>
  <c r="O60" i="111"/>
  <c r="AF29" i="107"/>
  <c r="P100" i="111"/>
  <c r="O100" i="111"/>
  <c r="P65" i="111"/>
  <c r="O65" i="111"/>
  <c r="P98" i="111"/>
  <c r="O98" i="111"/>
  <c r="O80" i="111"/>
  <c r="P80" i="111"/>
  <c r="O58" i="111"/>
  <c r="O90" i="111"/>
  <c r="P97" i="111"/>
  <c r="O97" i="111"/>
  <c r="P64" i="111"/>
  <c r="O64" i="111"/>
  <c r="P68" i="111"/>
  <c r="O68" i="111"/>
  <c r="O89" i="111"/>
  <c r="P89" i="111"/>
  <c r="P70" i="111"/>
  <c r="O70" i="111"/>
  <c r="P104" i="111"/>
  <c r="O104" i="111"/>
  <c r="P73" i="111"/>
  <c r="O79" i="111"/>
  <c r="P78" i="111"/>
  <c r="O78" i="111"/>
  <c r="O88" i="111"/>
  <c r="P88" i="111"/>
  <c r="P92" i="111"/>
  <c r="O92" i="111"/>
  <c r="P96" i="111"/>
  <c r="O96" i="111"/>
  <c r="P76" i="111"/>
  <c r="O76" i="111"/>
  <c r="P86" i="111"/>
  <c r="O86" i="111"/>
  <c r="P72" i="111"/>
  <c r="O72" i="111"/>
  <c r="P105" i="111"/>
  <c r="AF32" i="111" l="1"/>
  <c r="AE30" i="111"/>
  <c r="AF30" i="111"/>
  <c r="AE29" i="111"/>
  <c r="AE28" i="111"/>
  <c r="AE26" i="111"/>
  <c r="AF26" i="111"/>
  <c r="AF27" i="111"/>
  <c r="AE24" i="111"/>
  <c r="AE22" i="111"/>
  <c r="AF22" i="111"/>
  <c r="AF29" i="111"/>
  <c r="AF25" i="111"/>
  <c r="AE23" i="111"/>
  <c r="AE33" i="111"/>
  <c r="AE25" i="111"/>
  <c r="AE27" i="111"/>
  <c r="AF23" i="111"/>
  <c r="AF33" i="111"/>
  <c r="AE31" i="111"/>
  <c r="AF31" i="111"/>
  <c r="AF24" i="111"/>
  <c r="AE32" i="111"/>
  <c r="AF28" i="111"/>
  <c r="L11" i="93"/>
  <c r="L12" i="93"/>
  <c r="L13" i="93"/>
  <c r="L14" i="93"/>
  <c r="L15" i="93"/>
  <c r="L16" i="93"/>
  <c r="L17" i="93"/>
  <c r="L18" i="93"/>
  <c r="L19" i="93"/>
  <c r="L20" i="93"/>
  <c r="L21" i="93"/>
  <c r="L22" i="93"/>
  <c r="L23" i="93"/>
  <c r="L24" i="93"/>
  <c r="L25" i="93"/>
  <c r="L26" i="93"/>
  <c r="L27" i="93"/>
  <c r="L28" i="93"/>
  <c r="L29" i="93"/>
  <c r="L30" i="93"/>
  <c r="L31" i="93"/>
  <c r="L32" i="93"/>
  <c r="L33" i="93"/>
  <c r="L34" i="93"/>
  <c r="L35" i="93"/>
  <c r="L36" i="93"/>
  <c r="L37" i="93"/>
  <c r="L38" i="93"/>
  <c r="L39" i="93"/>
  <c r="L40" i="93"/>
  <c r="L41" i="93"/>
  <c r="L42" i="93"/>
  <c r="L43" i="93"/>
  <c r="L44" i="93"/>
  <c r="L45" i="93"/>
  <c r="L46" i="93"/>
  <c r="L47" i="93"/>
  <c r="L48" i="93"/>
  <c r="L49" i="93"/>
  <c r="L50" i="93"/>
  <c r="L51" i="93"/>
  <c r="L52" i="93"/>
  <c r="L53" i="93"/>
  <c r="L54" i="93"/>
  <c r="L55" i="93"/>
  <c r="L56" i="93"/>
  <c r="L57" i="93"/>
  <c r="L10" i="93"/>
  <c r="C58" i="93" l="1"/>
  <c r="O48" i="101" l="1"/>
  <c r="P48" i="101"/>
  <c r="C3" i="94" l="1"/>
  <c r="K6" i="98" l="1"/>
  <c r="K6" i="99" s="1"/>
  <c r="K6" i="100" s="1"/>
  <c r="K6" i="101" s="1"/>
  <c r="K6" i="109" s="1"/>
  <c r="K6" i="105" s="1"/>
  <c r="K6" i="110" s="1"/>
  <c r="K6" i="103" s="1"/>
  <c r="K5" i="98"/>
  <c r="K5" i="99" s="1"/>
  <c r="K5" i="100" s="1"/>
  <c r="K5" i="101" s="1"/>
  <c r="K5" i="109" s="1"/>
  <c r="K5" i="105" s="1"/>
  <c r="K5" i="110" s="1"/>
  <c r="K5" i="103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K5" i="96"/>
  <c r="G5" i="96"/>
  <c r="K6" i="95"/>
  <c r="K5" i="95"/>
  <c r="G5" i="95"/>
  <c r="K6" i="94"/>
  <c r="K5" i="94"/>
  <c r="G5" i="94"/>
  <c r="G6" i="108"/>
  <c r="G6" i="109"/>
  <c r="G6" i="103"/>
  <c r="G6" i="107" s="1"/>
  <c r="G6" i="105"/>
  <c r="G6" i="101"/>
  <c r="G6" i="99"/>
  <c r="G6" i="97"/>
  <c r="G6" i="95"/>
  <c r="D6" i="108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K6" i="107" l="1"/>
  <c r="K6" i="104"/>
  <c r="K6" i="108" s="1"/>
  <c r="K6" i="111" s="1"/>
  <c r="K5" i="104"/>
  <c r="K5" i="108" s="1"/>
  <c r="K5" i="111" s="1"/>
  <c r="K5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Z19" i="105"/>
  <c r="Y19" i="105"/>
  <c r="X19" i="105"/>
  <c r="W19" i="105"/>
  <c r="W39" i="105" s="1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C19" i="103"/>
  <c r="AB19" i="103"/>
  <c r="AB27" i="103" s="1"/>
  <c r="AA19" i="103"/>
  <c r="AA27" i="103" s="1"/>
  <c r="Z19" i="103"/>
  <c r="Z27" i="103" s="1"/>
  <c r="Y19" i="103"/>
  <c r="X19" i="103"/>
  <c r="X27" i="103" s="1"/>
  <c r="W19" i="103"/>
  <c r="V19" i="103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C19" i="99"/>
  <c r="AB19" i="99"/>
  <c r="AA19" i="99"/>
  <c r="Z19" i="99"/>
  <c r="Y19" i="99"/>
  <c r="X19" i="99"/>
  <c r="W19" i="99"/>
  <c r="W27" i="99" s="1"/>
  <c r="V19" i="99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Y19" i="97"/>
  <c r="X19" i="97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AA26" i="95" s="1"/>
  <c r="W13" i="95"/>
  <c r="V13" i="95"/>
  <c r="U13" i="95"/>
  <c r="T13" i="95"/>
  <c r="AD21" i="95"/>
  <c r="AC20" i="95"/>
  <c r="T19" i="95"/>
  <c r="AC39" i="109" l="1"/>
  <c r="V27" i="103"/>
  <c r="X27" i="97"/>
  <c r="V27" i="99"/>
  <c r="AD27" i="99"/>
  <c r="V39" i="101"/>
  <c r="W27" i="103"/>
  <c r="AA39" i="105"/>
  <c r="U39" i="109"/>
  <c r="AD27" i="103"/>
  <c r="Z39" i="105"/>
  <c r="Z27" i="97"/>
  <c r="AD38" i="101"/>
  <c r="Y27" i="103"/>
  <c r="Y39" i="109"/>
  <c r="AA27" i="99"/>
  <c r="X39" i="105"/>
  <c r="AD39" i="105"/>
  <c r="AA39" i="101"/>
  <c r="X26" i="98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Z19" i="108" s="1"/>
  <c r="L46" i="108"/>
  <c r="AB19" i="108" s="1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Z20" i="108" s="1"/>
  <c r="L50" i="108"/>
  <c r="AB20" i="108" s="1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Z21" i="108" s="1"/>
  <c r="L54" i="108"/>
  <c r="AB21" i="108" s="1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AA11" i="108" s="1"/>
  <c r="M14" i="108"/>
  <c r="AC11" i="108" s="1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AC14" i="108" s="1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W16" i="108" s="1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W18" i="108" s="1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AA18" i="108" s="1"/>
  <c r="M54" i="108"/>
  <c r="AC21" i="108" s="1"/>
  <c r="M50" i="108"/>
  <c r="M46" i="108"/>
  <c r="C42" i="108"/>
  <c r="C34" i="108"/>
  <c r="S16" i="108" s="1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U21" i="108" s="1"/>
  <c r="E50" i="108"/>
  <c r="C46" i="108"/>
  <c r="C38" i="108"/>
  <c r="S17" i="108" s="1"/>
  <c r="C30" i="108"/>
  <c r="S15" i="108" s="1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Y20" i="108" s="1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W13" i="108" s="1"/>
  <c r="I22" i="108"/>
  <c r="Y13" i="108" s="1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W20" i="108" s="1"/>
  <c r="C50" i="108"/>
  <c r="K46" i="108"/>
  <c r="G46" i="108"/>
  <c r="G38" i="108"/>
  <c r="W17" i="108" s="1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AB13" i="108" s="1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Z14" i="108" s="1"/>
  <c r="L26" i="108"/>
  <c r="AB14" i="108" s="1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Z15" i="108" s="1"/>
  <c r="L30" i="108"/>
  <c r="AB15" i="108" s="1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Z16" i="108" s="1"/>
  <c r="L34" i="108"/>
  <c r="AB16" i="108" s="1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Z17" i="108" s="1"/>
  <c r="L38" i="108"/>
  <c r="AB17" i="108" s="1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Z18" i="108" s="1"/>
  <c r="L42" i="108"/>
  <c r="AB18" i="108" s="1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U38" i="109" s="1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V39" i="109" s="1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X26" i="103" s="1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AB13" i="103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S11" i="107" s="1"/>
  <c r="D14" i="107"/>
  <c r="E14" i="107"/>
  <c r="F14" i="107"/>
  <c r="G14" i="107"/>
  <c r="H14" i="107"/>
  <c r="I14" i="107"/>
  <c r="J14" i="107"/>
  <c r="K14" i="107"/>
  <c r="AA11" i="107" s="1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AA15" i="107" s="1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S21" i="107" s="1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AA21" i="107" l="1"/>
  <c r="AA18" i="107"/>
  <c r="S14" i="107"/>
  <c r="S13" i="107"/>
  <c r="S12" i="107"/>
  <c r="AB36" i="108"/>
  <c r="AB39" i="108"/>
  <c r="AD11" i="108"/>
  <c r="Z21" i="107"/>
  <c r="Z19" i="107"/>
  <c r="Z17" i="107"/>
  <c r="Z14" i="107"/>
  <c r="Z13" i="107"/>
  <c r="Z12" i="107"/>
  <c r="Z11" i="107"/>
  <c r="AB38" i="108"/>
  <c r="AB35" i="108"/>
  <c r="V13" i="108"/>
  <c r="U18" i="108"/>
  <c r="AA12" i="108"/>
  <c r="Z39" i="108"/>
  <c r="Z36" i="108"/>
  <c r="AD12" i="108"/>
  <c r="J106" i="107"/>
  <c r="Z10" i="107"/>
  <c r="Y21" i="107"/>
  <c r="Y20" i="107"/>
  <c r="Y36" i="107" s="1"/>
  <c r="Y19" i="107"/>
  <c r="Y18" i="107"/>
  <c r="Y17" i="107"/>
  <c r="Y16" i="107"/>
  <c r="Y15" i="107"/>
  <c r="Y14" i="107"/>
  <c r="Y13" i="107"/>
  <c r="Y12" i="107"/>
  <c r="Y11" i="107"/>
  <c r="X36" i="101"/>
  <c r="S35" i="110"/>
  <c r="X18" i="108"/>
  <c r="X17" i="108"/>
  <c r="X16" i="108"/>
  <c r="X15" i="108"/>
  <c r="X14" i="108"/>
  <c r="X13" i="108"/>
  <c r="X11" i="108"/>
  <c r="W14" i="108"/>
  <c r="W38" i="108" s="1"/>
  <c r="S21" i="108"/>
  <c r="U13" i="108"/>
  <c r="V11" i="108"/>
  <c r="S19" i="108"/>
  <c r="F106" i="108"/>
  <c r="V10" i="108"/>
  <c r="Y19" i="108"/>
  <c r="S38" i="110"/>
  <c r="Y14" i="108"/>
  <c r="Y38" i="108" s="1"/>
  <c r="Y12" i="108"/>
  <c r="Y11" i="108"/>
  <c r="M106" i="108"/>
  <c r="AC10" i="108"/>
  <c r="X21" i="108"/>
  <c r="X20" i="108"/>
  <c r="X19" i="108"/>
  <c r="Z12" i="108"/>
  <c r="D106" i="107"/>
  <c r="T10" i="107"/>
  <c r="S17" i="107"/>
  <c r="AA13" i="107"/>
  <c r="AA12" i="107"/>
  <c r="N106" i="108"/>
  <c r="AD10" i="108"/>
  <c r="AC12" i="108"/>
  <c r="K106" i="107"/>
  <c r="AA10" i="107"/>
  <c r="Z20" i="107"/>
  <c r="Z18" i="107"/>
  <c r="Z16" i="107"/>
  <c r="Z15" i="107"/>
  <c r="AB11" i="108"/>
  <c r="AA20" i="108"/>
  <c r="J106" i="108"/>
  <c r="Z10" i="108"/>
  <c r="U16" i="108"/>
  <c r="Z11" i="108"/>
  <c r="I106" i="107"/>
  <c r="Y10" i="107"/>
  <c r="X21" i="107"/>
  <c r="X20" i="107"/>
  <c r="X19" i="107"/>
  <c r="X18" i="107"/>
  <c r="X17" i="107"/>
  <c r="X16" i="107"/>
  <c r="X15" i="107"/>
  <c r="X14" i="107"/>
  <c r="X13" i="107"/>
  <c r="X12" i="107"/>
  <c r="X11" i="107"/>
  <c r="X26" i="96"/>
  <c r="AF25" i="101"/>
  <c r="D106" i="108"/>
  <c r="T10" i="108"/>
  <c r="V19" i="108"/>
  <c r="V18" i="108"/>
  <c r="V17" i="108"/>
  <c r="V16" i="108"/>
  <c r="V15" i="108"/>
  <c r="V14" i="108"/>
  <c r="T13" i="108"/>
  <c r="T11" i="108"/>
  <c r="W15" i="108"/>
  <c r="W21" i="108"/>
  <c r="S13" i="108"/>
  <c r="U20" i="108"/>
  <c r="S14" i="108"/>
  <c r="AA16" i="108"/>
  <c r="U19" i="108"/>
  <c r="U39" i="108" s="1"/>
  <c r="U14" i="108"/>
  <c r="W12" i="108"/>
  <c r="W11" i="108"/>
  <c r="K106" i="108"/>
  <c r="AA10" i="108"/>
  <c r="V21" i="108"/>
  <c r="V20" i="108"/>
  <c r="S20" i="107"/>
  <c r="AA19" i="107"/>
  <c r="AA17" i="107"/>
  <c r="AA16" i="107"/>
  <c r="AA14" i="107"/>
  <c r="W17" i="107"/>
  <c r="T18" i="108"/>
  <c r="T17" i="108"/>
  <c r="T16" i="108"/>
  <c r="T15" i="108"/>
  <c r="T14" i="108"/>
  <c r="AC17" i="108"/>
  <c r="U12" i="108"/>
  <c r="T21" i="108"/>
  <c r="T20" i="108"/>
  <c r="H106" i="107"/>
  <c r="X10" i="107"/>
  <c r="W21" i="107"/>
  <c r="W20" i="107"/>
  <c r="W16" i="107"/>
  <c r="W15" i="107"/>
  <c r="W13" i="107"/>
  <c r="H106" i="108"/>
  <c r="X10" i="108"/>
  <c r="Y36" i="108"/>
  <c r="AC15" i="108"/>
  <c r="U11" i="108"/>
  <c r="C106" i="107"/>
  <c r="S10" i="107"/>
  <c r="V21" i="107"/>
  <c r="AD20" i="107"/>
  <c r="V19" i="107"/>
  <c r="AD18" i="107"/>
  <c r="V17" i="107"/>
  <c r="AD16" i="107"/>
  <c r="V15" i="107"/>
  <c r="AD14" i="107"/>
  <c r="V13" i="107"/>
  <c r="AD12" i="107"/>
  <c r="V12" i="107"/>
  <c r="AD11" i="107"/>
  <c r="V11" i="107"/>
  <c r="X23" i="103"/>
  <c r="L106" i="108"/>
  <c r="AB10" i="108"/>
  <c r="AB12" i="108"/>
  <c r="W19" i="108"/>
  <c r="Y21" i="108"/>
  <c r="AA21" i="108"/>
  <c r="S18" i="108"/>
  <c r="AA15" i="108"/>
  <c r="AA17" i="108"/>
  <c r="Y15" i="108"/>
  <c r="S12" i="108"/>
  <c r="S11" i="108"/>
  <c r="G106" i="108"/>
  <c r="W10" i="108"/>
  <c r="L106" i="107"/>
  <c r="AB10" i="107"/>
  <c r="AA20" i="107"/>
  <c r="S19" i="107"/>
  <c r="S18" i="107"/>
  <c r="S16" i="107"/>
  <c r="S15" i="107"/>
  <c r="W19" i="107"/>
  <c r="W14" i="107"/>
  <c r="W12" i="107"/>
  <c r="W11" i="107"/>
  <c r="AB26" i="103"/>
  <c r="Y38" i="105"/>
  <c r="T19" i="108"/>
  <c r="I106" i="108"/>
  <c r="Y10" i="108"/>
  <c r="G106" i="107"/>
  <c r="W10" i="107"/>
  <c r="AD21" i="107"/>
  <c r="V20" i="107"/>
  <c r="AD19" i="107"/>
  <c r="V18" i="107"/>
  <c r="AD17" i="107"/>
  <c r="V16" i="107"/>
  <c r="AD15" i="107"/>
  <c r="V14" i="107"/>
  <c r="AD13" i="107"/>
  <c r="N106" i="107"/>
  <c r="AD10" i="107"/>
  <c r="F106" i="107"/>
  <c r="V10" i="107"/>
  <c r="AC21" i="107"/>
  <c r="U21" i="107"/>
  <c r="AC20" i="107"/>
  <c r="U20" i="107"/>
  <c r="AC19" i="107"/>
  <c r="U19" i="107"/>
  <c r="AC18" i="107"/>
  <c r="U18" i="107"/>
  <c r="AC17" i="107"/>
  <c r="U17" i="107"/>
  <c r="AC16" i="107"/>
  <c r="U16" i="107"/>
  <c r="AC15" i="107"/>
  <c r="U15" i="107"/>
  <c r="AC14" i="107"/>
  <c r="U14" i="107"/>
  <c r="AC13" i="107"/>
  <c r="U13" i="107"/>
  <c r="AC12" i="107"/>
  <c r="U12" i="107"/>
  <c r="AC11" i="107"/>
  <c r="U11" i="107"/>
  <c r="Z26" i="95"/>
  <c r="T36" i="105"/>
  <c r="C106" i="108"/>
  <c r="S10" i="108"/>
  <c r="X12" i="108"/>
  <c r="AA19" i="108"/>
  <c r="AC13" i="108"/>
  <c r="AC38" i="108" s="1"/>
  <c r="AC19" i="108"/>
  <c r="AC18" i="108"/>
  <c r="Y17" i="108"/>
  <c r="AC16" i="108"/>
  <c r="U15" i="108"/>
  <c r="E106" i="108"/>
  <c r="U10" i="108"/>
  <c r="AD13" i="108"/>
  <c r="W18" i="107"/>
  <c r="M106" i="107"/>
  <c r="AC10" i="107"/>
  <c r="E106" i="107"/>
  <c r="U10" i="107"/>
  <c r="AB21" i="107"/>
  <c r="T21" i="107"/>
  <c r="AB20" i="107"/>
  <c r="T20" i="107"/>
  <c r="AB19" i="107"/>
  <c r="T19" i="107"/>
  <c r="AB18" i="107"/>
  <c r="T18" i="107"/>
  <c r="AB17" i="107"/>
  <c r="T17" i="107"/>
  <c r="AB16" i="107"/>
  <c r="T16" i="107"/>
  <c r="AB15" i="107"/>
  <c r="T15" i="107"/>
  <c r="AB14" i="107"/>
  <c r="T14" i="107"/>
  <c r="AB13" i="107"/>
  <c r="T13" i="107"/>
  <c r="AB12" i="107"/>
  <c r="T12" i="107"/>
  <c r="AB11" i="107"/>
  <c r="T11" i="107"/>
  <c r="AF28" i="101"/>
  <c r="AD18" i="108"/>
  <c r="AD17" i="108"/>
  <c r="AD16" i="108"/>
  <c r="AD15" i="108"/>
  <c r="AD14" i="108"/>
  <c r="T12" i="108"/>
  <c r="S20" i="108"/>
  <c r="AA13" i="108"/>
  <c r="V12" i="108"/>
  <c r="AC20" i="108"/>
  <c r="AC36" i="108" s="1"/>
  <c r="AA14" i="108"/>
  <c r="Y18" i="108"/>
  <c r="U17" i="108"/>
  <c r="Y16" i="108"/>
  <c r="AD21" i="108"/>
  <c r="AD20" i="108"/>
  <c r="AD19" i="108"/>
  <c r="Z13" i="108"/>
  <c r="AB26" i="98"/>
  <c r="AF32" i="101"/>
  <c r="AF33" i="101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S20" i="111" s="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S18" i="111" s="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AB20" i="111" s="1"/>
  <c r="H50" i="111"/>
  <c r="X20" i="111" s="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AB18" i="111" s="1"/>
  <c r="H42" i="111"/>
  <c r="X18" i="111" s="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AB16" i="111" s="1"/>
  <c r="H34" i="111"/>
  <c r="X16" i="111" s="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AB14" i="111" s="1"/>
  <c r="H26" i="111"/>
  <c r="X14" i="111" s="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X12" i="111" s="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W13" i="111" s="1"/>
  <c r="C22" i="111"/>
  <c r="S13" i="111" s="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W11" i="111" s="1"/>
  <c r="C14" i="111"/>
  <c r="S11" i="111" s="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AD21" i="111" s="1"/>
  <c r="J54" i="111"/>
  <c r="Z21" i="111" s="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AD19" i="111" s="1"/>
  <c r="J46" i="111"/>
  <c r="Z19" i="111" s="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AD17" i="111" s="1"/>
  <c r="J38" i="111"/>
  <c r="Z17" i="111" s="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AD15" i="111" s="1"/>
  <c r="J30" i="111"/>
  <c r="Z15" i="111" s="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Z13" i="111" s="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AB12" i="111" s="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AB11" i="111" s="1"/>
  <c r="J14" i="111"/>
  <c r="Z11" i="111" s="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S21" i="111" s="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W20" i="111" s="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W16" i="111" s="1"/>
  <c r="C34" i="111"/>
  <c r="S16" i="111" s="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S15" i="111" s="1"/>
  <c r="K29" i="111"/>
  <c r="G29" i="111"/>
  <c r="C29" i="111"/>
  <c r="K28" i="111"/>
  <c r="G28" i="111"/>
  <c r="C28" i="111"/>
  <c r="K27" i="111"/>
  <c r="G27" i="111"/>
  <c r="C27" i="111"/>
  <c r="I26" i="111"/>
  <c r="G26" i="111"/>
  <c r="W14" i="111" s="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U12" i="111" s="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AF13" i="108" s="1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AE17" i="108" s="1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AF14" i="108" s="1"/>
  <c r="U24" i="94"/>
  <c r="AC26" i="94"/>
  <c r="O51" i="108"/>
  <c r="O47" i="108"/>
  <c r="O26" i="108"/>
  <c r="O22" i="108"/>
  <c r="O18" i="108"/>
  <c r="P54" i="108"/>
  <c r="O50" i="108"/>
  <c r="AE20" i="108" s="1"/>
  <c r="O44" i="108"/>
  <c r="O46" i="108"/>
  <c r="O45" i="108"/>
  <c r="P41" i="108"/>
  <c r="P39" i="108"/>
  <c r="O37" i="108"/>
  <c r="O32" i="108"/>
  <c r="P30" i="108"/>
  <c r="AF15" i="108" s="1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P42" i="108"/>
  <c r="P34" i="108"/>
  <c r="O54" i="108"/>
  <c r="O42" i="108"/>
  <c r="O34" i="108"/>
  <c r="P18" i="108"/>
  <c r="AF12" i="108" s="1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P42" i="107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P34" i="107"/>
  <c r="O30" i="107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S42" i="110" l="1"/>
  <c r="AF21" i="108"/>
  <c r="AF17" i="107"/>
  <c r="AE17" i="107"/>
  <c r="AF15" i="107"/>
  <c r="U35" i="107"/>
  <c r="AE14" i="107"/>
  <c r="T13" i="111"/>
  <c r="AE13" i="107"/>
  <c r="AF13" i="107"/>
  <c r="T11" i="111"/>
  <c r="S40" i="108"/>
  <c r="S34" i="108"/>
  <c r="S37" i="108"/>
  <c r="S41" i="108"/>
  <c r="S42" i="108" s="1"/>
  <c r="W15" i="111"/>
  <c r="W38" i="111" s="1"/>
  <c r="AC35" i="107"/>
  <c r="W36" i="107"/>
  <c r="W39" i="107"/>
  <c r="X40" i="107"/>
  <c r="X34" i="107"/>
  <c r="X41" i="107"/>
  <c r="X37" i="107"/>
  <c r="X36" i="108"/>
  <c r="X39" i="108"/>
  <c r="V22" i="93"/>
  <c r="AE24" i="98"/>
  <c r="O106" i="107"/>
  <c r="H108" i="107" s="1"/>
  <c r="AE10" i="107"/>
  <c r="AF14" i="107"/>
  <c r="AF12" i="107"/>
  <c r="AE16" i="108"/>
  <c r="AE13" i="108"/>
  <c r="Y12" i="111"/>
  <c r="Y14" i="111"/>
  <c r="AC16" i="111"/>
  <c r="W17" i="111"/>
  <c r="Y19" i="111"/>
  <c r="U21" i="111"/>
  <c r="T12" i="111"/>
  <c r="AA11" i="111"/>
  <c r="AA13" i="111"/>
  <c r="Y15" i="111"/>
  <c r="C106" i="111"/>
  <c r="S10" i="111"/>
  <c r="Y18" i="111"/>
  <c r="U20" i="111"/>
  <c r="J106" i="111"/>
  <c r="Z10" i="111"/>
  <c r="T36" i="107"/>
  <c r="T39" i="107"/>
  <c r="AC34" i="107"/>
  <c r="AC40" i="107"/>
  <c r="AC37" i="107"/>
  <c r="AC41" i="107"/>
  <c r="U38" i="107"/>
  <c r="V41" i="107"/>
  <c r="V40" i="107"/>
  <c r="V34" i="107"/>
  <c r="V37" i="107"/>
  <c r="V39" i="107"/>
  <c r="V36" i="107"/>
  <c r="X40" i="108"/>
  <c r="X37" i="108"/>
  <c r="X34" i="108"/>
  <c r="X41" i="108"/>
  <c r="X42" i="108" s="1"/>
  <c r="Y35" i="108"/>
  <c r="Y39" i="108"/>
  <c r="S35" i="111"/>
  <c r="AD39" i="108"/>
  <c r="AD36" i="108"/>
  <c r="U40" i="107"/>
  <c r="U37" i="107"/>
  <c r="U34" i="107"/>
  <c r="U41" i="107"/>
  <c r="AA36" i="107"/>
  <c r="AA39" i="107"/>
  <c r="T40" i="108"/>
  <c r="T34" i="108"/>
  <c r="T37" i="108"/>
  <c r="T41" i="108"/>
  <c r="AF19" i="108"/>
  <c r="AB13" i="111"/>
  <c r="U18" i="111"/>
  <c r="W40" i="108"/>
  <c r="W41" i="108"/>
  <c r="W34" i="108"/>
  <c r="W37" i="108"/>
  <c r="P106" i="107"/>
  <c r="C107" i="107" s="1"/>
  <c r="AF10" i="107"/>
  <c r="AE18" i="108"/>
  <c r="AE14" i="108"/>
  <c r="P106" i="108"/>
  <c r="H107" i="108" s="1"/>
  <c r="AF10" i="108"/>
  <c r="AC12" i="111"/>
  <c r="Y17" i="111"/>
  <c r="AA19" i="111"/>
  <c r="AC21" i="111"/>
  <c r="V12" i="111"/>
  <c r="V14" i="111"/>
  <c r="V16" i="111"/>
  <c r="V18" i="111"/>
  <c r="V20" i="111"/>
  <c r="AA15" i="111"/>
  <c r="T15" i="111"/>
  <c r="T17" i="111"/>
  <c r="T19" i="111"/>
  <c r="T21" i="111"/>
  <c r="AA18" i="111"/>
  <c r="AA20" i="111"/>
  <c r="L106" i="111"/>
  <c r="AB10" i="111"/>
  <c r="AB36" i="107"/>
  <c r="AB39" i="107"/>
  <c r="AC38" i="107"/>
  <c r="T36" i="108"/>
  <c r="T39" i="108"/>
  <c r="W36" i="108"/>
  <c r="W39" i="108"/>
  <c r="Z41" i="108"/>
  <c r="Z40" i="108"/>
  <c r="Z34" i="108"/>
  <c r="Z37" i="108"/>
  <c r="V41" i="108"/>
  <c r="V42" i="108" s="1"/>
  <c r="V37" i="108"/>
  <c r="V40" i="108"/>
  <c r="V34" i="108"/>
  <c r="X38" i="108"/>
  <c r="X35" i="108"/>
  <c r="Y39" i="107"/>
  <c r="Z35" i="107"/>
  <c r="Z38" i="107"/>
  <c r="U38" i="108"/>
  <c r="AD41" i="108"/>
  <c r="AD40" i="108"/>
  <c r="AD37" i="108"/>
  <c r="AD34" i="108"/>
  <c r="S19" i="111"/>
  <c r="Z12" i="111"/>
  <c r="M106" i="111"/>
  <c r="AC10" i="111"/>
  <c r="D106" i="111"/>
  <c r="T10" i="111"/>
  <c r="Y41" i="108"/>
  <c r="Y37" i="108"/>
  <c r="Y34" i="108"/>
  <c r="Y40" i="108"/>
  <c r="T38" i="108"/>
  <c r="T35" i="108"/>
  <c r="AE11" i="107"/>
  <c r="AE21" i="108"/>
  <c r="AE15" i="108"/>
  <c r="AC17" i="111"/>
  <c r="AC19" i="111"/>
  <c r="Z14" i="111"/>
  <c r="Z35" i="111" s="1"/>
  <c r="Z16" i="111"/>
  <c r="Z18" i="111"/>
  <c r="Z20" i="111"/>
  <c r="S12" i="111"/>
  <c r="S14" i="111"/>
  <c r="S38" i="111" s="1"/>
  <c r="V11" i="111"/>
  <c r="X13" i="111"/>
  <c r="X15" i="111"/>
  <c r="X17" i="111"/>
  <c r="X19" i="111"/>
  <c r="X21" i="111"/>
  <c r="S17" i="111"/>
  <c r="AC20" i="111"/>
  <c r="AC39" i="108"/>
  <c r="U39" i="107"/>
  <c r="AD41" i="107"/>
  <c r="AD40" i="107"/>
  <c r="AD34" i="107"/>
  <c r="AD37" i="107"/>
  <c r="AD39" i="107"/>
  <c r="AD36" i="107"/>
  <c r="V35" i="107"/>
  <c r="V38" i="107"/>
  <c r="W38" i="107"/>
  <c r="W35" i="107"/>
  <c r="AA40" i="108"/>
  <c r="AA37" i="108"/>
  <c r="AA41" i="108"/>
  <c r="AA42" i="108" s="1"/>
  <c r="AA34" i="108"/>
  <c r="U36" i="108"/>
  <c r="X36" i="107"/>
  <c r="X39" i="107"/>
  <c r="AA35" i="107"/>
  <c r="AA38" i="107"/>
  <c r="AC41" i="108"/>
  <c r="AC37" i="108"/>
  <c r="AC40" i="108"/>
  <c r="AC34" i="108"/>
  <c r="S38" i="107"/>
  <c r="S35" i="107"/>
  <c r="Z39" i="111"/>
  <c r="Z36" i="111"/>
  <c r="AE12" i="108"/>
  <c r="AA38" i="108"/>
  <c r="AA35" i="108"/>
  <c r="AE16" i="107"/>
  <c r="AF16" i="108"/>
  <c r="AF38" i="108" s="1"/>
  <c r="AE19" i="108"/>
  <c r="O106" i="108"/>
  <c r="H108" i="108" s="1"/>
  <c r="AE10" i="108"/>
  <c r="G106" i="111"/>
  <c r="W10" i="111"/>
  <c r="U11" i="111"/>
  <c r="U13" i="111"/>
  <c r="U15" i="111"/>
  <c r="F106" i="111"/>
  <c r="V10" i="111"/>
  <c r="AD12" i="111"/>
  <c r="AD14" i="111"/>
  <c r="AD16" i="111"/>
  <c r="AD18" i="111"/>
  <c r="AD20" i="111"/>
  <c r="AD39" i="111" s="1"/>
  <c r="W12" i="111"/>
  <c r="U14" i="111"/>
  <c r="U16" i="111"/>
  <c r="X11" i="111"/>
  <c r="AD13" i="111"/>
  <c r="AB15" i="111"/>
  <c r="AB17" i="111"/>
  <c r="AB19" i="111"/>
  <c r="AB21" i="111"/>
  <c r="U17" i="111"/>
  <c r="U19" i="111"/>
  <c r="W21" i="111"/>
  <c r="AD35" i="108"/>
  <c r="AD38" i="108"/>
  <c r="AC35" i="108"/>
  <c r="AC39" i="107"/>
  <c r="S39" i="107"/>
  <c r="S36" i="107"/>
  <c r="AB40" i="108"/>
  <c r="AB37" i="108"/>
  <c r="AB34" i="108"/>
  <c r="AB41" i="108"/>
  <c r="S40" i="107"/>
  <c r="S41" i="107"/>
  <c r="S42" i="107" s="1"/>
  <c r="S37" i="107"/>
  <c r="S34" i="107"/>
  <c r="S38" i="108"/>
  <c r="S35" i="108"/>
  <c r="W35" i="108"/>
  <c r="AA40" i="107"/>
  <c r="AA37" i="107"/>
  <c r="AA41" i="107"/>
  <c r="AA42" i="107" s="1"/>
  <c r="AA34" i="107"/>
  <c r="S36" i="108"/>
  <c r="S39" i="108"/>
  <c r="Y35" i="107"/>
  <c r="AE11" i="108"/>
  <c r="I106" i="111"/>
  <c r="Y10" i="111"/>
  <c r="AE15" i="107"/>
  <c r="AE38" i="107" s="1"/>
  <c r="AE12" i="107"/>
  <c r="AF18" i="107"/>
  <c r="AF19" i="107"/>
  <c r="AF20" i="107"/>
  <c r="AE21" i="107"/>
  <c r="AF18" i="108"/>
  <c r="AF11" i="108"/>
  <c r="AF17" i="108"/>
  <c r="K106" i="111"/>
  <c r="AA10" i="111"/>
  <c r="Y11" i="111"/>
  <c r="Y13" i="111"/>
  <c r="AC15" i="111"/>
  <c r="W18" i="111"/>
  <c r="Y20" i="111"/>
  <c r="H106" i="111"/>
  <c r="X10" i="111"/>
  <c r="AA12" i="111"/>
  <c r="AA14" i="111"/>
  <c r="Y16" i="111"/>
  <c r="AD11" i="111"/>
  <c r="AA17" i="111"/>
  <c r="W19" i="111"/>
  <c r="Y21" i="111"/>
  <c r="T38" i="107"/>
  <c r="T35" i="107"/>
  <c r="U41" i="108"/>
  <c r="U34" i="108"/>
  <c r="U40" i="108"/>
  <c r="U37" i="108"/>
  <c r="AA36" i="108"/>
  <c r="AA39" i="108"/>
  <c r="U36" i="107"/>
  <c r="AD35" i="107"/>
  <c r="AD38" i="107"/>
  <c r="X38" i="107"/>
  <c r="X35" i="107"/>
  <c r="T40" i="107"/>
  <c r="T34" i="107"/>
  <c r="T41" i="107"/>
  <c r="T37" i="107"/>
  <c r="Y38" i="107"/>
  <c r="Z41" i="107"/>
  <c r="Z40" i="107"/>
  <c r="Z34" i="107"/>
  <c r="Z37" i="107"/>
  <c r="V35" i="108"/>
  <c r="V38" i="108"/>
  <c r="Z39" i="107"/>
  <c r="Z36" i="107"/>
  <c r="AF16" i="107"/>
  <c r="AE18" i="107"/>
  <c r="AE19" i="107"/>
  <c r="AE20" i="107"/>
  <c r="AF21" i="107"/>
  <c r="AF11" i="107"/>
  <c r="AF20" i="108"/>
  <c r="AC11" i="111"/>
  <c r="AC13" i="111"/>
  <c r="AC18" i="111"/>
  <c r="N106" i="111"/>
  <c r="AD10" i="111"/>
  <c r="V13" i="111"/>
  <c r="V15" i="111"/>
  <c r="V17" i="111"/>
  <c r="V19" i="111"/>
  <c r="V21" i="111"/>
  <c r="AC14" i="111"/>
  <c r="AA16" i="111"/>
  <c r="T14" i="111"/>
  <c r="T16" i="111"/>
  <c r="T18" i="111"/>
  <c r="T20" i="111"/>
  <c r="E106" i="111"/>
  <c r="U10" i="111"/>
  <c r="AA21" i="111"/>
  <c r="Z35" i="108"/>
  <c r="Z38" i="108"/>
  <c r="AB38" i="107"/>
  <c r="AB35" i="107"/>
  <c r="AC36" i="107"/>
  <c r="W40" i="107"/>
  <c r="W41" i="107"/>
  <c r="W42" i="107" s="1"/>
  <c r="W34" i="107"/>
  <c r="W37" i="107"/>
  <c r="AB40" i="107"/>
  <c r="AB34" i="107"/>
  <c r="AB37" i="107"/>
  <c r="AB41" i="107"/>
  <c r="V39" i="108"/>
  <c r="V36" i="108"/>
  <c r="Y40" i="107"/>
  <c r="Y37" i="107"/>
  <c r="Y41" i="107"/>
  <c r="Y34" i="107"/>
  <c r="U35" i="108"/>
  <c r="O47" i="111"/>
  <c r="O52" i="111"/>
  <c r="O12" i="111"/>
  <c r="P26" i="111"/>
  <c r="P46" i="111"/>
  <c r="P10" i="111"/>
  <c r="O22" i="111"/>
  <c r="AE13" i="111" s="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F107" i="105"/>
  <c r="E107" i="105"/>
  <c r="D107" i="105"/>
  <c r="C107" i="105"/>
  <c r="AF35" i="105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C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U42" i="108" l="1"/>
  <c r="Y42" i="108"/>
  <c r="AC42" i="108"/>
  <c r="AD42" i="108"/>
  <c r="AE21" i="111"/>
  <c r="AF38" i="107"/>
  <c r="AE35" i="107"/>
  <c r="T38" i="111"/>
  <c r="T35" i="111"/>
  <c r="Z42" i="107"/>
  <c r="AD42" i="107"/>
  <c r="U40" i="111"/>
  <c r="U41" i="111"/>
  <c r="U37" i="111"/>
  <c r="U34" i="111"/>
  <c r="Z40" i="111"/>
  <c r="Z37" i="111"/>
  <c r="Z34" i="111"/>
  <c r="Z41" i="111"/>
  <c r="T36" i="111"/>
  <c r="T39" i="111"/>
  <c r="AD36" i="111"/>
  <c r="AF20" i="111"/>
  <c r="AF15" i="111"/>
  <c r="AE11" i="111"/>
  <c r="AE16" i="111"/>
  <c r="AB42" i="107"/>
  <c r="Z38" i="111"/>
  <c r="X38" i="111"/>
  <c r="X35" i="111"/>
  <c r="AC39" i="111"/>
  <c r="AC36" i="111"/>
  <c r="S36" i="111"/>
  <c r="S39" i="111"/>
  <c r="AF40" i="107"/>
  <c r="AF34" i="107"/>
  <c r="AF37" i="107"/>
  <c r="AF41" i="107"/>
  <c r="AC42" i="107"/>
  <c r="AF35" i="107"/>
  <c r="AF21" i="111"/>
  <c r="Y34" i="111"/>
  <c r="Y37" i="111"/>
  <c r="Y41" i="111"/>
  <c r="Y40" i="111"/>
  <c r="AE17" i="111"/>
  <c r="V39" i="111"/>
  <c r="V36" i="111"/>
  <c r="AB36" i="111"/>
  <c r="AB39" i="111"/>
  <c r="U35" i="111"/>
  <c r="U38" i="111"/>
  <c r="AE12" i="111"/>
  <c r="AE20" i="111"/>
  <c r="Y35" i="111"/>
  <c r="Y38" i="111"/>
  <c r="AB42" i="108"/>
  <c r="W40" i="111"/>
  <c r="W41" i="111"/>
  <c r="W42" i="111" s="1"/>
  <c r="W34" i="111"/>
  <c r="W37" i="111"/>
  <c r="Z42" i="108"/>
  <c r="AA36" i="111"/>
  <c r="AA39" i="111"/>
  <c r="AB38" i="111"/>
  <c r="AB35" i="111"/>
  <c r="AF35" i="108"/>
  <c r="Y39" i="111"/>
  <c r="Y36" i="111"/>
  <c r="X42" i="107"/>
  <c r="AE14" i="111"/>
  <c r="V35" i="111"/>
  <c r="V38" i="111"/>
  <c r="AF36" i="107"/>
  <c r="AF39" i="107"/>
  <c r="AD35" i="111"/>
  <c r="AD38" i="111"/>
  <c r="W35" i="111"/>
  <c r="AB40" i="111"/>
  <c r="AB34" i="111"/>
  <c r="AB37" i="111"/>
  <c r="AB41" i="111"/>
  <c r="AB42" i="111" s="1"/>
  <c r="AF36" i="108"/>
  <c r="AF39" i="108"/>
  <c r="S40" i="111"/>
  <c r="S41" i="111"/>
  <c r="S42" i="111" s="1"/>
  <c r="S37" i="111"/>
  <c r="S34" i="111"/>
  <c r="AE40" i="107"/>
  <c r="AE41" i="107"/>
  <c r="AE34" i="107"/>
  <c r="O106" i="111"/>
  <c r="K108" i="111" s="1"/>
  <c r="AE10" i="111"/>
  <c r="AF11" i="111"/>
  <c r="AE19" i="111"/>
  <c r="AF16" i="111"/>
  <c r="AE18" i="111"/>
  <c r="P106" i="111"/>
  <c r="N107" i="111" s="1"/>
  <c r="AF10" i="111"/>
  <c r="AD41" i="111"/>
  <c r="AD40" i="111"/>
  <c r="AD37" i="111"/>
  <c r="AD34" i="111"/>
  <c r="T42" i="107"/>
  <c r="AA40" i="111"/>
  <c r="AA41" i="111"/>
  <c r="AA42" i="111" s="1"/>
  <c r="AA34" i="111"/>
  <c r="AA37" i="111"/>
  <c r="AE40" i="108"/>
  <c r="AE41" i="108"/>
  <c r="AE42" i="108" s="1"/>
  <c r="AE37" i="108"/>
  <c r="AE34" i="108"/>
  <c r="T40" i="111"/>
  <c r="T41" i="111"/>
  <c r="T34" i="111"/>
  <c r="T37" i="111"/>
  <c r="T42" i="108"/>
  <c r="AC35" i="111"/>
  <c r="AC38" i="111"/>
  <c r="AF13" i="111"/>
  <c r="AF19" i="111"/>
  <c r="AE39" i="107"/>
  <c r="AE36" i="107"/>
  <c r="W36" i="111"/>
  <c r="W39" i="111"/>
  <c r="X40" i="111"/>
  <c r="X41" i="111"/>
  <c r="X42" i="111" s="1"/>
  <c r="X37" i="111"/>
  <c r="X34" i="111"/>
  <c r="U39" i="111"/>
  <c r="U36" i="111"/>
  <c r="V40" i="111"/>
  <c r="V37" i="111"/>
  <c r="V34" i="111"/>
  <c r="V41" i="111"/>
  <c r="AE37" i="107"/>
  <c r="AF40" i="108"/>
  <c r="AF41" i="108"/>
  <c r="AF42" i="108" s="1"/>
  <c r="AF37" i="108"/>
  <c r="AF34" i="108"/>
  <c r="W42" i="108"/>
  <c r="U42" i="107"/>
  <c r="AE38" i="108"/>
  <c r="AE35" i="108"/>
  <c r="AF12" i="111"/>
  <c r="AF18" i="111"/>
  <c r="AE15" i="111"/>
  <c r="AF17" i="111"/>
  <c r="AF14" i="111"/>
  <c r="Y42" i="107"/>
  <c r="AE36" i="108"/>
  <c r="AE39" i="108"/>
  <c r="X36" i="111"/>
  <c r="X39" i="111"/>
  <c r="AC34" i="111"/>
  <c r="AC40" i="111"/>
  <c r="AC41" i="111"/>
  <c r="AC37" i="111"/>
  <c r="V42" i="107"/>
  <c r="AA38" i="111"/>
  <c r="AA35" i="111"/>
  <c r="G59" i="93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L59" i="93"/>
  <c r="F59" i="93"/>
  <c r="J59" i="93"/>
  <c r="E59" i="93"/>
  <c r="H59" i="93"/>
  <c r="K59" i="93"/>
  <c r="N59" i="93"/>
  <c r="I59" i="93"/>
  <c r="AE38" i="111" l="1"/>
  <c r="AE35" i="111"/>
  <c r="T42" i="111"/>
  <c r="AE42" i="107"/>
  <c r="AC42" i="111"/>
  <c r="U42" i="111"/>
  <c r="AF38" i="111"/>
  <c r="AF35" i="111"/>
  <c r="V42" i="111"/>
  <c r="AE36" i="111"/>
  <c r="AE39" i="111"/>
  <c r="AF36" i="111"/>
  <c r="AF39" i="111"/>
  <c r="Z42" i="111"/>
  <c r="AD42" i="111"/>
  <c r="AE40" i="111"/>
  <c r="AE37" i="111"/>
  <c r="AE41" i="111"/>
  <c r="AE34" i="111"/>
  <c r="AF42" i="107"/>
  <c r="AF40" i="111"/>
  <c r="AF37" i="111"/>
  <c r="AF34" i="111"/>
  <c r="AF41" i="111"/>
  <c r="Y42" i="111"/>
  <c r="K107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  <c r="AE42" i="111" l="1"/>
  <c r="AF42" i="111"/>
</calcChain>
</file>

<file path=xl/sharedStrings.xml><?xml version="1.0" encoding="utf-8"?>
<sst xmlns="http://schemas.openxmlformats.org/spreadsheetml/2006/main" count="2334" uniqueCount="181">
  <si>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</si>
  <si>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</si>
  <si>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</si>
  <si>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</si>
  <si>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</si>
  <si>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</si>
  <si>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</si>
  <si>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</si>
  <si>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</si>
  <si>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</si>
  <si>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</si>
  <si>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</si>
  <si>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</si>
  <si>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</si>
  <si>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</si>
  <si>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</si>
  <si>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</si>
  <si>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</si>
  <si>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</si>
  <si>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</si>
  <si>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</si>
  <si>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</si>
  <si>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</si>
  <si>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</si>
  <si>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</si>
  <si>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</si>
  <si>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</si>
  <si>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</si>
  <si>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</si>
  <si>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</si>
  <si>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</si>
  <si>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</si>
  <si>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</si>
  <si>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</si>
  <si>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</si>
  <si>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</si>
  <si>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</si>
  <si>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</si>
  <si>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</si>
  <si>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</si>
  <si>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</si>
  <si>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</si>
  <si>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</si>
  <si>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</si>
  <si>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</si>
  <si>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</si>
  <si>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</si>
  <si>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</si>
  <si>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</si>
  <si>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</si>
  <si>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</si>
  <si>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</si>
  <si>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</si>
  <si>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</si>
  <si>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</si>
  <si>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</si>
  <si>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</si>
  <si>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</si>
  <si>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</si>
  <si>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</si>
  <si>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</si>
  <si>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</si>
  <si>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</si>
  <si>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</si>
  <si>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</si>
  <si>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</si>
  <si>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</si>
  <si>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</si>
  <si>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</si>
  <si>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</si>
  <si>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</si>
  <si>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</si>
  <si>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</si>
  <si>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</si>
  <si>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</si>
  <si>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</si>
  <si>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</si>
  <si>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</si>
  <si>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</si>
  <si>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</si>
  <si>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</si>
  <si>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</si>
  <si>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</si>
  <si>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</si>
  <si>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</si>
  <si>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</si>
  <si>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</si>
  <si>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</si>
  <si>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</si>
  <si>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</si>
  <si>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</si>
  <si>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</si>
  <si>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</si>
  <si>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</si>
  <si>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</si>
  <si>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</si>
  <si>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</si>
  <si>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</si>
  <si>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</si>
  <si>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</si>
  <si>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</si>
  <si>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</si>
  <si>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</si>
  <si>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</si>
  <si>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</si>
  <si>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</si>
  <si>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</si>
  <si>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</si>
  <si>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</si>
  <si>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</si>
  <si>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</si>
  <si>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</si>
  <si>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</si>
  <si>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</si>
  <si>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</si>
  <si>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</si>
  <si>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</si>
  <si>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</si>
  <si>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</si>
  <si>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</si>
  <si>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</si>
  <si>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</si>
  <si>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</si>
  <si>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</si>
  <si>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</si>
  <si>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</si>
  <si>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</si>
  <si>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</si>
  <si>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</si>
  <si>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</si>
  <si>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</si>
  <si>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</si>
  <si>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</si>
  <si>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</si>
  <si>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</si>
  <si>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</si>
  <si>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</si>
  <si>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</si>
  <si>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</si>
  <si>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</si>
  <si>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</si>
  <si>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</si>
  <si>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</si>
  <si>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</si>
  <si>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</si>
  <si>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</si>
  <si>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</si>
  <si>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</si>
  <si>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</si>
  <si>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</si>
  <si>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</si>
  <si>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</si>
  <si>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</si>
  <si>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</si>
  <si>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</si>
  <si>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</si>
  <si>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</si>
  <si>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</si>
  <si>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</si>
  <si>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</si>
  <si>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</si>
  <si>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</si>
  <si>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</si>
  <si>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Nsambya</t>
  </si>
  <si>
    <t>Clocktower</t>
  </si>
  <si>
    <t>Martin, Tracy</t>
  </si>
  <si>
    <t>Godfrey, Ibrahim N, Oliver</t>
  </si>
  <si>
    <t>MCC - C3 - STN87 - Kampala-Gulu Road</t>
  </si>
  <si>
    <t>Kampala</t>
  </si>
  <si>
    <t>Luwero</t>
  </si>
  <si>
    <t>20.08.19</t>
  </si>
  <si>
    <t>Luweero</t>
  </si>
  <si>
    <t>21.08.19</t>
  </si>
  <si>
    <t>22.08.19</t>
  </si>
  <si>
    <t>23.08.19</t>
  </si>
  <si>
    <t>24.08.19</t>
  </si>
  <si>
    <t>25.08.19</t>
  </si>
  <si>
    <t>LUWERO</t>
  </si>
  <si>
    <t>KAMPALA</t>
  </si>
  <si>
    <t>26.08.19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</si>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</sst>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&quot;-&quot;_);_(@_)"/>
    <numFmt numFmtId="165" formatCode="0.0%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164" fontId="1" fillId="0" borderId="8" xfId="2" applyFont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'20.8 Kampala-Luweero'!$AE$9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'20.8 Kampala-Luweero'!$R$10:$R$21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'20.8 Kampala-Luweero'!$AE$10:$AE$21</c:f>
              <c:numCache>
                <c:formatCode>0</c:formatCode>
                <c:ptCount val="12"/>
                <c:pt idx="0">
                  <c:v>156</c:v>
                </c:pt>
                <c:pt idx="1">
                  <c:v>181</c:v>
                </c:pt>
                <c:pt idx="2">
                  <c:v>208</c:v>
                </c:pt>
                <c:pt idx="3">
                  <c:v>211</c:v>
                </c:pt>
                <c:pt idx="4">
                  <c:v>204</c:v>
                </c:pt>
                <c:pt idx="5">
                  <c:v>231</c:v>
                </c:pt>
                <c:pt idx="6">
                  <c:v>226</c:v>
                </c:pt>
                <c:pt idx="7">
                  <c:v>215</c:v>
                </c:pt>
                <c:pt idx="8">
                  <c:v>218</c:v>
                </c:pt>
                <c:pt idx="9">
                  <c:v>222</c:v>
                </c:pt>
                <c:pt idx="10">
                  <c:v>188</c:v>
                </c:pt>
                <c:pt idx="11">
                  <c:v>201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'20.8 Kampala-Luweero'!$AF$9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'20.8 Kampala-Luweero'!$R$10:$R$21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'20.8 Kampala-Luweero'!$AF$10:$AF$21</c:f>
              <c:numCache>
                <c:formatCode>0</c:formatCode>
                <c:ptCount val="12"/>
                <c:pt idx="0">
                  <c:v>396</c:v>
                </c:pt>
                <c:pt idx="1">
                  <c:v>514</c:v>
                </c:pt>
                <c:pt idx="2">
                  <c:v>505</c:v>
                </c:pt>
                <c:pt idx="3">
                  <c:v>524</c:v>
                </c:pt>
                <c:pt idx="4">
                  <c:v>487</c:v>
                </c:pt>
                <c:pt idx="5">
                  <c:v>456</c:v>
                </c:pt>
                <c:pt idx="6">
                  <c:v>480</c:v>
                </c:pt>
                <c:pt idx="7">
                  <c:v>504</c:v>
                </c:pt>
                <c:pt idx="8">
                  <c:v>473</c:v>
                </c:pt>
                <c:pt idx="9">
                  <c:v>419</c:v>
                </c:pt>
                <c:pt idx="10">
                  <c:v>455</c:v>
                </c:pt>
                <c:pt idx="11">
                  <c:v>423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26347072"/>
        <c:axId val="-1926346528"/>
      </c:lineChart>
      <c:catAx>
        <c:axId val="-19263470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26346528"/>
        <c:crosses val="autoZero"/>
        <c:auto val="1"/>
        <c:lblAlgn val="ctr"/>
        <c:lblOffset val="100"/>
        <c:noMultiLvlLbl val="0"/>
      </c:catAx>
      <c:valAx>
        <c:axId val="-19263465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26347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'20.8 Kampala-Luweero'!$C$9:$N$9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'20.8 Kampala-Luweero'!$C$59:$N$59</c:f>
              <c:numCache>
                <c:formatCode>0.0%</c:formatCode>
                <c:ptCount val="12"/>
                <c:pt idx="0">
                  <c:v>7.7359829666430097E-2</c:v>
                </c:pt>
                <c:pt idx="1">
                  <c:v>0</c:v>
                </c:pt>
                <c:pt idx="2">
                  <c:v>0.13076650106458482</c:v>
                </c:pt>
                <c:pt idx="3">
                  <c:v>0.12526614620298085</c:v>
                </c:pt>
                <c:pt idx="4">
                  <c:v>1.0645848119233499E-3</c:v>
                </c:pt>
                <c:pt idx="5">
                  <c:v>9.5812633073101491E-3</c:v>
                </c:pt>
                <c:pt idx="6">
                  <c:v>7.594038325053229E-2</c:v>
                </c:pt>
                <c:pt idx="7">
                  <c:v>6.0326472675656497E-3</c:v>
                </c:pt>
                <c:pt idx="8">
                  <c:v>1.7743080198722497E-3</c:v>
                </c:pt>
                <c:pt idx="9">
                  <c:v>8.516678495386799E-3</c:v>
                </c:pt>
                <c:pt idx="10">
                  <c:v>0.56334279630943929</c:v>
                </c:pt>
                <c:pt idx="11">
                  <c:v>3.5486160397444998E-4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'20.8 Kampala-Luweero'!$C$9:$N$9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'20.8 Kampala-Luweero'!$C$60:$N$60</c:f>
              <c:numCache>
                <c:formatCode>0.00%</c:formatCode>
                <c:ptCount val="12"/>
                <c:pt idx="0">
                  <c:v>0.17716375457131248</c:v>
                </c:pt>
                <c:pt idx="1">
                  <c:v>0</c:v>
                </c:pt>
                <c:pt idx="2">
                  <c:v>0.29947175944737914</c:v>
                </c:pt>
                <c:pt idx="3">
                  <c:v>0.28687525396180413</c:v>
                </c:pt>
                <c:pt idx="4">
                  <c:v>2.4380333197887038E-3</c:v>
                </c:pt>
                <c:pt idx="5">
                  <c:v>2.1942299878098336E-2</c:v>
                </c:pt>
                <c:pt idx="6">
                  <c:v>0.17391304347826086</c:v>
                </c:pt>
                <c:pt idx="7">
                  <c:v>1.3815522145469321E-2</c:v>
                </c:pt>
                <c:pt idx="8">
                  <c:v>4.0633888663145065E-3</c:v>
                </c:pt>
                <c:pt idx="9">
                  <c:v>1.950426655830963E-2</c:v>
                </c:pt>
                <c:pt idx="11">
                  <c:v>8.1267777326290123E-4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'20.8 Luwero-Kampala'!$AE$9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'20.8 Luwero-Kampala'!$R$10:$R$21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'20.8 Luwero-Kampala'!$AE$10:$AE$21</c:f>
              <c:numCache>
                <c:formatCode>0</c:formatCode>
                <c:ptCount val="12"/>
                <c:pt idx="0">
                  <c:v>99</c:v>
                </c:pt>
                <c:pt idx="1">
                  <c:v>135</c:v>
                </c:pt>
                <c:pt idx="2">
                  <c:v>161</c:v>
                </c:pt>
                <c:pt idx="3">
                  <c:v>165</c:v>
                </c:pt>
                <c:pt idx="4">
                  <c:v>150</c:v>
                </c:pt>
                <c:pt idx="5">
                  <c:v>168</c:v>
                </c:pt>
                <c:pt idx="6">
                  <c:v>183</c:v>
                </c:pt>
                <c:pt idx="7">
                  <c:v>194</c:v>
                </c:pt>
                <c:pt idx="8">
                  <c:v>185</c:v>
                </c:pt>
                <c:pt idx="9">
                  <c:v>222</c:v>
                </c:pt>
                <c:pt idx="10">
                  <c:v>228</c:v>
                </c:pt>
                <c:pt idx="11">
                  <c:v>207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'20.8 Luwero-Kampala'!$AF$9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'20.8 Luwero-Kampala'!$R$10:$R$21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'20.8 Luwero-Kampala'!$AF$10:$AF$21</c:f>
              <c:numCache>
                <c:formatCode>0</c:formatCode>
                <c:ptCount val="12"/>
                <c:pt idx="0">
                  <c:v>275</c:v>
                </c:pt>
                <c:pt idx="1">
                  <c:v>406</c:v>
                </c:pt>
                <c:pt idx="2">
                  <c:v>415</c:v>
                </c:pt>
                <c:pt idx="3">
                  <c:v>444</c:v>
                </c:pt>
                <c:pt idx="4">
                  <c:v>410</c:v>
                </c:pt>
                <c:pt idx="5">
                  <c:v>407</c:v>
                </c:pt>
                <c:pt idx="6">
                  <c:v>413</c:v>
                </c:pt>
                <c:pt idx="7">
                  <c:v>456</c:v>
                </c:pt>
                <c:pt idx="8">
                  <c:v>419</c:v>
                </c:pt>
                <c:pt idx="9">
                  <c:v>513</c:v>
                </c:pt>
                <c:pt idx="10">
                  <c:v>553</c:v>
                </c:pt>
                <c:pt idx="11">
                  <c:v>431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092367808"/>
        <c:axId val="-2092380864"/>
      </c:lineChart>
      <c:catAx>
        <c:axId val="-20923678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2092380864"/>
        <c:crosses val="autoZero"/>
        <c:auto val="1"/>
        <c:lblAlgn val="ctr"/>
        <c:lblOffset val="100"/>
        <c:noMultiLvlLbl val="0"/>
      </c:catAx>
      <c:valAx>
        <c:axId val="-20923808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2092367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'20.8 Luwero-Kampala'!$C$9:$N$9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'20.8 Luwero-Kampala'!$C$59:$N$59</c:f>
              <c:numCache>
                <c:formatCode>0.0%</c:formatCode>
                <c:ptCount val="12"/>
                <c:pt idx="0">
                  <c:v>6.1454686892259823E-2</c:v>
                </c:pt>
                <c:pt idx="1">
                  <c:v>0</c:v>
                </c:pt>
                <c:pt idx="2">
                  <c:v>0.12252042007001167</c:v>
                </c:pt>
                <c:pt idx="3">
                  <c:v>0.1277712952158693</c:v>
                </c:pt>
                <c:pt idx="4">
                  <c:v>1.750291715285881E-3</c:v>
                </c:pt>
                <c:pt idx="5">
                  <c:v>8.7514585764294044E-3</c:v>
                </c:pt>
                <c:pt idx="6">
                  <c:v>6.3010501750291714E-2</c:v>
                </c:pt>
                <c:pt idx="7">
                  <c:v>4.6674445740956822E-3</c:v>
                </c:pt>
                <c:pt idx="8">
                  <c:v>1.1668611435239206E-3</c:v>
                </c:pt>
                <c:pt idx="9">
                  <c:v>1.6336056009334889E-2</c:v>
                </c:pt>
                <c:pt idx="10">
                  <c:v>0.59218203033838979</c:v>
                </c:pt>
                <c:pt idx="11">
                  <c:v>3.8895371450797355E-4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'20.8 Luwero-Kampala'!$S$9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'20.8 Luwero-Kampala'!$R$10:$R$21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'20.8 Luwero-Kampala'!$S$10:$S$21</c:f>
              <c:numCache>
                <c:formatCode>0</c:formatCode>
                <c:ptCount val="12"/>
                <c:pt idx="0">
                  <c:v>12</c:v>
                </c:pt>
                <c:pt idx="1">
                  <c:v>14</c:v>
                </c:pt>
                <c:pt idx="2">
                  <c:v>27</c:v>
                </c:pt>
                <c:pt idx="3">
                  <c:v>28</c:v>
                </c:pt>
                <c:pt idx="4">
                  <c:v>23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16</c:v>
                </c:pt>
                <c:pt idx="9">
                  <c:v>36</c:v>
                </c:pt>
                <c:pt idx="10">
                  <c:v>46</c:v>
                </c:pt>
                <c:pt idx="11">
                  <c:v>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'20.8 Luwero-Kampala'!$T$9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'20.8 Luwero-Kampala'!$R$10:$R$21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'20.8 Luwero-Kampala'!$T$10:$T$21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'20.8 Luwero-Kampala'!$U$9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'20.8 Luwero-Kampala'!$U$10:$U$21</c:f>
              <c:numCache>
                <c:formatCode>0</c:formatCode>
                <c:ptCount val="12"/>
                <c:pt idx="0">
                  <c:v>20</c:v>
                </c:pt>
                <c:pt idx="1">
                  <c:v>43</c:v>
                </c:pt>
                <c:pt idx="2">
                  <c:v>30</c:v>
                </c:pt>
                <c:pt idx="3">
                  <c:v>36</c:v>
                </c:pt>
                <c:pt idx="4">
                  <c:v>43</c:v>
                </c:pt>
                <c:pt idx="5">
                  <c:v>49</c:v>
                </c:pt>
                <c:pt idx="6">
                  <c:v>58</c:v>
                </c:pt>
                <c:pt idx="7">
                  <c:v>66</c:v>
                </c:pt>
                <c:pt idx="8">
                  <c:v>67</c:v>
                </c:pt>
                <c:pt idx="9">
                  <c:v>81</c:v>
                </c:pt>
                <c:pt idx="10">
                  <c:v>65</c:v>
                </c:pt>
                <c:pt idx="11">
                  <c:v>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'20.8 Luwero-Kampala'!$V$9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'20.8 Luwero-Kampala'!$V$10:$V$21</c:f>
              <c:numCache>
                <c:formatCode>0</c:formatCode>
                <c:ptCount val="12"/>
                <c:pt idx="0">
                  <c:v>42</c:v>
                </c:pt>
                <c:pt idx="1">
                  <c:v>50</c:v>
                </c:pt>
                <c:pt idx="2">
                  <c:v>61</c:v>
                </c:pt>
                <c:pt idx="3">
                  <c:v>61</c:v>
                </c:pt>
                <c:pt idx="4">
                  <c:v>52</c:v>
                </c:pt>
                <c:pt idx="5">
                  <c:v>55</c:v>
                </c:pt>
                <c:pt idx="6">
                  <c:v>53</c:v>
                </c:pt>
                <c:pt idx="7">
                  <c:v>47</c:v>
                </c:pt>
                <c:pt idx="8">
                  <c:v>63</c:v>
                </c:pt>
                <c:pt idx="9">
                  <c:v>55</c:v>
                </c:pt>
                <c:pt idx="10">
                  <c:v>67</c:v>
                </c:pt>
                <c:pt idx="11">
                  <c:v>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'20.8 Luwero-Kampala'!$W$9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'20.8 Luwero-Kampala'!$W$10:$W$21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'20.8 Luwero-Kampala'!$X$9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'20.8 Luwero-Kampala'!$X$10:$X$21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  <c:pt idx="4">
                  <c:v>4</c:v>
                </c:pt>
                <c:pt idx="5">
                  <c:v>2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8</c:v>
                </c:pt>
                <c:pt idx="10">
                  <c:v>5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'20.8 Luwero-Kampala'!$Y$9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'20.8 Luwero-Kampala'!$Y$10:$Y$21</c:f>
              <c:numCache>
                <c:formatCode>0</c:formatCode>
                <c:ptCount val="12"/>
                <c:pt idx="0">
                  <c:v>15</c:v>
                </c:pt>
                <c:pt idx="1">
                  <c:v>14</c:v>
                </c:pt>
                <c:pt idx="2">
                  <c:v>30</c:v>
                </c:pt>
                <c:pt idx="3">
                  <c:v>23</c:v>
                </c:pt>
                <c:pt idx="4">
                  <c:v>21</c:v>
                </c:pt>
                <c:pt idx="5">
                  <c:v>29</c:v>
                </c:pt>
                <c:pt idx="6">
                  <c:v>32</c:v>
                </c:pt>
                <c:pt idx="7">
                  <c:v>35</c:v>
                </c:pt>
                <c:pt idx="8">
                  <c:v>27</c:v>
                </c:pt>
                <c:pt idx="9">
                  <c:v>25</c:v>
                </c:pt>
                <c:pt idx="10">
                  <c:v>37</c:v>
                </c:pt>
                <c:pt idx="1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'20.8 Luwero-Kampala'!$Z$9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'20.8 Luwero-Kampala'!$Z$10:$Z$21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'20.8 Luwero-Kampala'!$AA$9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'20.8 Luwero-Kampala'!$AA$10:$AA$21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'20.8 Luwero-Kampala'!$AB$9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'20.8 Luwero-Kampala'!$AB$10:$AB$21</c:f>
              <c:numCache>
                <c:formatCode>0</c:formatCode>
                <c:ptCount val="12"/>
                <c:pt idx="0">
                  <c:v>5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3</c:v>
                </c:pt>
                <c:pt idx="5">
                  <c:v>3</c:v>
                </c:pt>
                <c:pt idx="6">
                  <c:v>9</c:v>
                </c:pt>
                <c:pt idx="7">
                  <c:v>9</c:v>
                </c:pt>
                <c:pt idx="8">
                  <c:v>5</c:v>
                </c:pt>
                <c:pt idx="9">
                  <c:v>13</c:v>
                </c:pt>
                <c:pt idx="10">
                  <c:v>4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'20.8 Luwero-Kampala'!$AC$9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'20.8 Luwero-Kampala'!$AC$10:$AC$21</c:f>
              <c:numCache>
                <c:formatCode>0</c:formatCode>
                <c:ptCount val="12"/>
                <c:pt idx="0">
                  <c:v>176</c:v>
                </c:pt>
                <c:pt idx="1">
                  <c:v>271</c:v>
                </c:pt>
                <c:pt idx="2">
                  <c:v>254</c:v>
                </c:pt>
                <c:pt idx="3">
                  <c:v>279</c:v>
                </c:pt>
                <c:pt idx="4">
                  <c:v>260</c:v>
                </c:pt>
                <c:pt idx="5">
                  <c:v>239</c:v>
                </c:pt>
                <c:pt idx="6">
                  <c:v>230</c:v>
                </c:pt>
                <c:pt idx="7">
                  <c:v>262</c:v>
                </c:pt>
                <c:pt idx="8">
                  <c:v>234</c:v>
                </c:pt>
                <c:pt idx="9">
                  <c:v>291</c:v>
                </c:pt>
                <c:pt idx="10">
                  <c:v>325</c:v>
                </c:pt>
                <c:pt idx="11">
                  <c:v>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'20.8 Luwero-Kampala'!$AD$9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'20.8 Luwero-Kampala'!$AD$10:$AD$21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01237456"/>
        <c:axId val="-1901230384"/>
      </c:lineChart>
      <c:catAx>
        <c:axId val="-1901237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01230384"/>
        <c:crosses val="autoZero"/>
        <c:auto val="1"/>
        <c:lblAlgn val="ctr"/>
        <c:lblOffset val="100"/>
        <c:noMultiLvlLbl val="0"/>
      </c:catAx>
      <c:valAx>
        <c:axId val="-190123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01237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'20.8 Luwero-Kampala'!$C$9:$N$9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'20.8 Luwero-Kampala'!$C$60:$N$60</c:f>
              <c:numCache>
                <c:formatCode>0.00%</c:formatCode>
                <c:ptCount val="12"/>
                <c:pt idx="0">
                  <c:v>0.15069146399618502</c:v>
                </c:pt>
                <c:pt idx="1">
                  <c:v>0</c:v>
                </c:pt>
                <c:pt idx="2">
                  <c:v>0.30042918454935624</c:v>
                </c:pt>
                <c:pt idx="3">
                  <c:v>0.31330472103004292</c:v>
                </c:pt>
                <c:pt idx="4">
                  <c:v>4.2918454935622317E-3</c:v>
                </c:pt>
                <c:pt idx="5">
                  <c:v>2.1459227467811159E-2</c:v>
                </c:pt>
                <c:pt idx="6">
                  <c:v>0.15450643776824036</c:v>
                </c:pt>
                <c:pt idx="7">
                  <c:v>1.1444921316165951E-2</c:v>
                </c:pt>
                <c:pt idx="8">
                  <c:v>2.8612303290414878E-3</c:v>
                </c:pt>
                <c:pt idx="9">
                  <c:v>4.005722460658083E-2</c:v>
                </c:pt>
                <c:pt idx="11">
                  <c:v>9.5374344301382924E-4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'21.8 Kampala-Luweero'!$AE$9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'21.8 Kampala-Luweero'!$R$10:$R$21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'21.8 Kampala-Luweero'!$AE$10:$AE$21</c:f>
              <c:numCache>
                <c:formatCode>0</c:formatCode>
                <c:ptCount val="12"/>
                <c:pt idx="0">
                  <c:v>141</c:v>
                </c:pt>
                <c:pt idx="1">
                  <c:v>180</c:v>
                </c:pt>
                <c:pt idx="2">
                  <c:v>208</c:v>
                </c:pt>
                <c:pt idx="3">
                  <c:v>222</c:v>
                </c:pt>
                <c:pt idx="4">
                  <c:v>198</c:v>
                </c:pt>
                <c:pt idx="5">
                  <c:v>206</c:v>
                </c:pt>
                <c:pt idx="6">
                  <c:v>218</c:v>
                </c:pt>
                <c:pt idx="7">
                  <c:v>190</c:v>
                </c:pt>
                <c:pt idx="8">
                  <c:v>207</c:v>
                </c:pt>
                <c:pt idx="9">
                  <c:v>194</c:v>
                </c:pt>
                <c:pt idx="10">
                  <c:v>224</c:v>
                </c:pt>
                <c:pt idx="11">
                  <c:v>195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'21.8 Kampala-Luweero'!$AF$9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'21.8 Kampala-Luweero'!$R$10:$R$21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'21.8 Kampala-Luweero'!$AF$10:$AF$21</c:f>
              <c:numCache>
                <c:formatCode>0</c:formatCode>
                <c:ptCount val="12"/>
                <c:pt idx="0">
                  <c:v>293</c:v>
                </c:pt>
                <c:pt idx="1">
                  <c:v>489</c:v>
                </c:pt>
                <c:pt idx="2">
                  <c:v>484</c:v>
                </c:pt>
                <c:pt idx="3">
                  <c:v>486</c:v>
                </c:pt>
                <c:pt idx="4">
                  <c:v>467</c:v>
                </c:pt>
                <c:pt idx="5">
                  <c:v>444</c:v>
                </c:pt>
                <c:pt idx="6">
                  <c:v>479</c:v>
                </c:pt>
                <c:pt idx="7">
                  <c:v>417</c:v>
                </c:pt>
                <c:pt idx="8">
                  <c:v>442</c:v>
                </c:pt>
                <c:pt idx="9">
                  <c:v>464</c:v>
                </c:pt>
                <c:pt idx="10">
                  <c:v>486</c:v>
                </c:pt>
                <c:pt idx="11">
                  <c:v>471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1240720"/>
        <c:axId val="-1901235824"/>
      </c:lineChart>
      <c:catAx>
        <c:axId val="-19012407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01235824"/>
        <c:crosses val="autoZero"/>
        <c:auto val="1"/>
        <c:lblAlgn val="ctr"/>
        <c:lblOffset val="100"/>
        <c:noMultiLvlLbl val="0"/>
      </c:catAx>
      <c:valAx>
        <c:axId val="-1901235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01240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'21.8 Kampala-Luweero'!$C$9:$N$9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'21.8 Kampala-Luweero'!$C$59:$N$59</c:f>
              <c:numCache>
                <c:formatCode>0.0%</c:formatCode>
                <c:ptCount val="12"/>
                <c:pt idx="0">
                  <c:v>7.026927333087421E-2</c:v>
                </c:pt>
                <c:pt idx="1">
                  <c:v>0</c:v>
                </c:pt>
                <c:pt idx="2">
                  <c:v>0.14736259682773883</c:v>
                </c:pt>
                <c:pt idx="3">
                  <c:v>0.11545555145702693</c:v>
                </c:pt>
                <c:pt idx="4">
                  <c:v>1.8443378827001106E-3</c:v>
                </c:pt>
                <c:pt idx="5">
                  <c:v>9.5905569900405756E-3</c:v>
                </c:pt>
                <c:pt idx="6">
                  <c:v>7.1191442272224265E-2</c:v>
                </c:pt>
                <c:pt idx="7">
                  <c:v>4.7952784950202878E-3</c:v>
                </c:pt>
                <c:pt idx="8">
                  <c:v>2.2132054592401327E-3</c:v>
                </c:pt>
                <c:pt idx="9">
                  <c:v>1.6783474732571007E-2</c:v>
                </c:pt>
                <c:pt idx="10">
                  <c:v>0.56049428255256362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'21.8 Kampala-Luweero'!$S$9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'21.8 Kampala-Luweero'!$R$10:$R$21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'21.8 Kampala-Luweero'!$S$10:$S$21</c:f>
              <c:numCache>
                <c:formatCode>0</c:formatCode>
                <c:ptCount val="12"/>
                <c:pt idx="0">
                  <c:v>24</c:v>
                </c:pt>
                <c:pt idx="1">
                  <c:v>26</c:v>
                </c:pt>
                <c:pt idx="2">
                  <c:v>34</c:v>
                </c:pt>
                <c:pt idx="3">
                  <c:v>47</c:v>
                </c:pt>
                <c:pt idx="4">
                  <c:v>38</c:v>
                </c:pt>
                <c:pt idx="5">
                  <c:v>25</c:v>
                </c:pt>
                <c:pt idx="6">
                  <c:v>29</c:v>
                </c:pt>
                <c:pt idx="7">
                  <c:v>22</c:v>
                </c:pt>
                <c:pt idx="8">
                  <c:v>19</c:v>
                </c:pt>
                <c:pt idx="9">
                  <c:v>31</c:v>
                </c:pt>
                <c:pt idx="10">
                  <c:v>50</c:v>
                </c:pt>
                <c:pt idx="11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'21.8 Kampala-Luweero'!$T$9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'21.8 Kampala-Luweero'!$R$10:$R$21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'21.8 Kampala-Luweero'!$T$10:$T$21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'21.8 Kampala-Luweero'!$U$9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'21.8 Kampala-Luweero'!$U$10:$U$21</c:f>
              <c:numCache>
                <c:formatCode>0</c:formatCode>
                <c:ptCount val="12"/>
                <c:pt idx="0">
                  <c:v>60</c:v>
                </c:pt>
                <c:pt idx="1">
                  <c:v>75</c:v>
                </c:pt>
                <c:pt idx="2">
                  <c:v>89</c:v>
                </c:pt>
                <c:pt idx="3">
                  <c:v>79</c:v>
                </c:pt>
                <c:pt idx="4">
                  <c:v>73</c:v>
                </c:pt>
                <c:pt idx="5">
                  <c:v>83</c:v>
                </c:pt>
                <c:pt idx="6">
                  <c:v>77</c:v>
                </c:pt>
                <c:pt idx="7">
                  <c:v>52</c:v>
                </c:pt>
                <c:pt idx="8">
                  <c:v>71</c:v>
                </c:pt>
                <c:pt idx="9">
                  <c:v>39</c:v>
                </c:pt>
                <c:pt idx="10">
                  <c:v>53</c:v>
                </c:pt>
                <c:pt idx="11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'21.8 Kampala-Luweero'!$V$9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'21.8 Kampala-Luweero'!$V$10:$V$21</c:f>
              <c:numCache>
                <c:formatCode>0</c:formatCode>
                <c:ptCount val="12"/>
                <c:pt idx="0">
                  <c:v>31</c:v>
                </c:pt>
                <c:pt idx="1">
                  <c:v>41</c:v>
                </c:pt>
                <c:pt idx="2">
                  <c:v>54</c:v>
                </c:pt>
                <c:pt idx="3">
                  <c:v>51</c:v>
                </c:pt>
                <c:pt idx="4">
                  <c:v>45</c:v>
                </c:pt>
                <c:pt idx="5">
                  <c:v>54</c:v>
                </c:pt>
                <c:pt idx="6">
                  <c:v>53</c:v>
                </c:pt>
                <c:pt idx="7">
                  <c:v>55</c:v>
                </c:pt>
                <c:pt idx="8">
                  <c:v>69</c:v>
                </c:pt>
                <c:pt idx="9">
                  <c:v>53</c:v>
                </c:pt>
                <c:pt idx="10">
                  <c:v>61</c:v>
                </c:pt>
                <c:pt idx="11">
                  <c:v>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'21.8 Kampala-Luweero'!$W$9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'21.8 Kampala-Luweero'!$W$10:$W$21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'21.8 Kampala-Luweero'!$X$9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'21.8 Kampala-Luweero'!$X$10:$X$21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6</c:v>
                </c:pt>
                <c:pt idx="5">
                  <c:v>3</c:v>
                </c:pt>
                <c:pt idx="6">
                  <c:v>10</c:v>
                </c:pt>
                <c:pt idx="7">
                  <c:v>7</c:v>
                </c:pt>
                <c:pt idx="8">
                  <c:v>3</c:v>
                </c:pt>
                <c:pt idx="9">
                  <c:v>5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'21.8 Kampala-Luweero'!$Y$9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'21.8 Kampala-Luweero'!$Y$10:$Y$21</c:f>
              <c:numCache>
                <c:formatCode>0</c:formatCode>
                <c:ptCount val="12"/>
                <c:pt idx="0">
                  <c:v>19</c:v>
                </c:pt>
                <c:pt idx="1">
                  <c:v>29</c:v>
                </c:pt>
                <c:pt idx="2">
                  <c:v>21</c:v>
                </c:pt>
                <c:pt idx="3">
                  <c:v>28</c:v>
                </c:pt>
                <c:pt idx="4">
                  <c:v>30</c:v>
                </c:pt>
                <c:pt idx="5">
                  <c:v>30</c:v>
                </c:pt>
                <c:pt idx="6">
                  <c:v>30</c:v>
                </c:pt>
                <c:pt idx="7">
                  <c:v>42</c:v>
                </c:pt>
                <c:pt idx="8">
                  <c:v>28</c:v>
                </c:pt>
                <c:pt idx="9">
                  <c:v>49</c:v>
                </c:pt>
                <c:pt idx="10">
                  <c:v>40</c:v>
                </c:pt>
                <c:pt idx="1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'21.8 Kampala-Luweero'!$Z$9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'21.8 Kampala-Luweero'!$Z$10:$Z$21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1</c:v>
                </c:pt>
                <c:pt idx="5">
                  <c:v>0</c:v>
                </c:pt>
                <c:pt idx="6">
                  <c:v>8</c:v>
                </c:pt>
                <c:pt idx="7">
                  <c:v>7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'21.8 Kampala-Luweero'!$AA$9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'21.8 Kampala-Luweero'!$AA$10:$AA$21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'21.8 Kampala-Luweero'!$AB$9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'21.8 Kampala-Luweero'!$AB$10:$AB$21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7</c:v>
                </c:pt>
                <c:pt idx="3">
                  <c:v>7</c:v>
                </c:pt>
                <c:pt idx="4">
                  <c:v>4</c:v>
                </c:pt>
                <c:pt idx="5">
                  <c:v>10</c:v>
                </c:pt>
                <c:pt idx="6">
                  <c:v>10</c:v>
                </c:pt>
                <c:pt idx="7">
                  <c:v>3</c:v>
                </c:pt>
                <c:pt idx="8">
                  <c:v>11</c:v>
                </c:pt>
                <c:pt idx="9">
                  <c:v>13</c:v>
                </c:pt>
                <c:pt idx="10">
                  <c:v>13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'21.8 Kampala-Luweero'!$AC$9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'21.8 Kampala-Luweero'!$AC$10:$AC$21</c:f>
              <c:numCache>
                <c:formatCode>0</c:formatCode>
                <c:ptCount val="12"/>
                <c:pt idx="0">
                  <c:v>152</c:v>
                </c:pt>
                <c:pt idx="1">
                  <c:v>309</c:v>
                </c:pt>
                <c:pt idx="2">
                  <c:v>276</c:v>
                </c:pt>
                <c:pt idx="3">
                  <c:v>264</c:v>
                </c:pt>
                <c:pt idx="4">
                  <c:v>269</c:v>
                </c:pt>
                <c:pt idx="5">
                  <c:v>238</c:v>
                </c:pt>
                <c:pt idx="6">
                  <c:v>261</c:v>
                </c:pt>
                <c:pt idx="7">
                  <c:v>227</c:v>
                </c:pt>
                <c:pt idx="8">
                  <c:v>235</c:v>
                </c:pt>
                <c:pt idx="9">
                  <c:v>270</c:v>
                </c:pt>
                <c:pt idx="10">
                  <c:v>262</c:v>
                </c:pt>
                <c:pt idx="11">
                  <c:v>276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'21.8 Kampala-Luweero'!$AD$9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'21.8 Kampala-Luweero'!$AD$10:$AD$21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01236912"/>
        <c:axId val="-1901243440"/>
      </c:lineChart>
      <c:catAx>
        <c:axId val="-1901236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01243440"/>
        <c:crosses val="autoZero"/>
        <c:auto val="1"/>
        <c:lblAlgn val="ctr"/>
        <c:lblOffset val="100"/>
        <c:noMultiLvlLbl val="0"/>
      </c:catAx>
      <c:valAx>
        <c:axId val="-190124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0123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'21.8 Kampala-Luweero'!$C$9:$N$9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'21.8 Kampala-Luweero'!$C$60:$N$60</c:f>
              <c:numCache>
                <c:formatCode>0.00%</c:formatCode>
                <c:ptCount val="12"/>
                <c:pt idx="0">
                  <c:v>0.15988250104909776</c:v>
                </c:pt>
                <c:pt idx="1">
                  <c:v>0</c:v>
                </c:pt>
                <c:pt idx="2">
                  <c:v>0.33529164918170373</c:v>
                </c:pt>
                <c:pt idx="3">
                  <c:v>0.26269408308854386</c:v>
                </c:pt>
                <c:pt idx="4">
                  <c:v>4.1963911036508603E-3</c:v>
                </c:pt>
                <c:pt idx="5">
                  <c:v>2.1821233738984473E-2</c:v>
                </c:pt>
                <c:pt idx="6">
                  <c:v>0.16198069660092321</c:v>
                </c:pt>
                <c:pt idx="7">
                  <c:v>1.0910616869492237E-2</c:v>
                </c:pt>
                <c:pt idx="8">
                  <c:v>5.035669324381032E-3</c:v>
                </c:pt>
                <c:pt idx="9">
                  <c:v>3.8187159043222826E-2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'21.8 Luweero-Kampala'!$AE$9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'21.8 Luweero-Kampala'!$R$10:$R$21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'21.8 Luweero-Kampala'!$AE$10:$AE$21</c:f>
              <c:numCache>
                <c:formatCode>0</c:formatCode>
                <c:ptCount val="12"/>
                <c:pt idx="0">
                  <c:v>94</c:v>
                </c:pt>
                <c:pt idx="1">
                  <c:v>139</c:v>
                </c:pt>
                <c:pt idx="2">
                  <c:v>128</c:v>
                </c:pt>
                <c:pt idx="3">
                  <c:v>159</c:v>
                </c:pt>
                <c:pt idx="4">
                  <c:v>175</c:v>
                </c:pt>
                <c:pt idx="5">
                  <c:v>161</c:v>
                </c:pt>
                <c:pt idx="6">
                  <c:v>165</c:v>
                </c:pt>
                <c:pt idx="7">
                  <c:v>189</c:v>
                </c:pt>
                <c:pt idx="8">
                  <c:v>216</c:v>
                </c:pt>
                <c:pt idx="9">
                  <c:v>200</c:v>
                </c:pt>
                <c:pt idx="10">
                  <c:v>244</c:v>
                </c:pt>
                <c:pt idx="11">
                  <c:v>259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'21.8 Luweero-Kampala'!$AF$9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'21.8 Luweero-Kampala'!$R$10:$R$21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'21.8 Luweero-Kampala'!$AF$10:$AF$21</c:f>
              <c:numCache>
                <c:formatCode>0</c:formatCode>
                <c:ptCount val="12"/>
                <c:pt idx="0">
                  <c:v>206</c:v>
                </c:pt>
                <c:pt idx="1">
                  <c:v>383</c:v>
                </c:pt>
                <c:pt idx="2">
                  <c:v>379</c:v>
                </c:pt>
                <c:pt idx="3">
                  <c:v>414</c:v>
                </c:pt>
                <c:pt idx="4">
                  <c:v>431</c:v>
                </c:pt>
                <c:pt idx="5">
                  <c:v>421</c:v>
                </c:pt>
                <c:pt idx="6">
                  <c:v>419</c:v>
                </c:pt>
                <c:pt idx="7">
                  <c:v>417</c:v>
                </c:pt>
                <c:pt idx="8">
                  <c:v>457</c:v>
                </c:pt>
                <c:pt idx="9">
                  <c:v>436</c:v>
                </c:pt>
                <c:pt idx="10">
                  <c:v>494</c:v>
                </c:pt>
                <c:pt idx="11">
                  <c:v>572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1233648"/>
        <c:axId val="-1901244528"/>
      </c:lineChart>
      <c:catAx>
        <c:axId val="-19012336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01244528"/>
        <c:crosses val="autoZero"/>
        <c:auto val="1"/>
        <c:lblAlgn val="ctr"/>
        <c:lblOffset val="100"/>
        <c:noMultiLvlLbl val="0"/>
      </c:catAx>
      <c:valAx>
        <c:axId val="-19012445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01233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'21.8 Luweero-Kampala'!$C$9:$N$9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'21.8 Luweero-Kampala'!$C$59:$N$59</c:f>
              <c:numCache>
                <c:formatCode>0.0%</c:formatCode>
                <c:ptCount val="12"/>
                <c:pt idx="0">
                  <c:v>9.3855637303638897E-2</c:v>
                </c:pt>
                <c:pt idx="1">
                  <c:v>0</c:v>
                </c:pt>
                <c:pt idx="2">
                  <c:v>0.12925034798170609</c:v>
                </c:pt>
                <c:pt idx="3">
                  <c:v>0.12328494730562736</c:v>
                </c:pt>
                <c:pt idx="4">
                  <c:v>1.1930801352157488E-3</c:v>
                </c:pt>
                <c:pt idx="5">
                  <c:v>8.9481010141181146E-3</c:v>
                </c:pt>
                <c:pt idx="6">
                  <c:v>6.2636707098826808E-2</c:v>
                </c:pt>
                <c:pt idx="7">
                  <c:v>3.1815470272419963E-3</c:v>
                </c:pt>
                <c:pt idx="8">
                  <c:v>9.9423344601312397E-4</c:v>
                </c:pt>
                <c:pt idx="9">
                  <c:v>0</c:v>
                </c:pt>
                <c:pt idx="10">
                  <c:v>0.57665539868761184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'21.8 Luweero-Kampala'!$S$9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'21.8 Luweero-Kampala'!$R$10:$R$21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'21.8 Luweero-Kampala'!$S$10:$S$21</c:f>
              <c:numCache>
                <c:formatCode>0</c:formatCode>
                <c:ptCount val="12"/>
                <c:pt idx="0">
                  <c:v>17</c:v>
                </c:pt>
                <c:pt idx="1">
                  <c:v>23</c:v>
                </c:pt>
                <c:pt idx="2">
                  <c:v>20</c:v>
                </c:pt>
                <c:pt idx="3">
                  <c:v>31</c:v>
                </c:pt>
                <c:pt idx="4">
                  <c:v>36</c:v>
                </c:pt>
                <c:pt idx="5">
                  <c:v>38</c:v>
                </c:pt>
                <c:pt idx="6">
                  <c:v>44</c:v>
                </c:pt>
                <c:pt idx="7">
                  <c:v>44</c:v>
                </c:pt>
                <c:pt idx="8">
                  <c:v>46</c:v>
                </c:pt>
                <c:pt idx="9">
                  <c:v>54</c:v>
                </c:pt>
                <c:pt idx="10">
                  <c:v>53</c:v>
                </c:pt>
                <c:pt idx="11">
                  <c:v>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'21.8 Luweero-Kampala'!$T$9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'21.8 Luweero-Kampala'!$R$10:$R$21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'21.8 Luweero-Kampala'!$T$10:$T$21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'21.8 Luweero-Kampala'!$U$9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'21.8 Luweero-Kampala'!$U$10:$U$21</c:f>
              <c:numCache>
                <c:formatCode>0</c:formatCode>
                <c:ptCount val="12"/>
                <c:pt idx="0">
                  <c:v>19</c:v>
                </c:pt>
                <c:pt idx="1">
                  <c:v>42</c:v>
                </c:pt>
                <c:pt idx="2">
                  <c:v>37</c:v>
                </c:pt>
                <c:pt idx="3">
                  <c:v>49</c:v>
                </c:pt>
                <c:pt idx="4">
                  <c:v>61</c:v>
                </c:pt>
                <c:pt idx="5">
                  <c:v>45</c:v>
                </c:pt>
                <c:pt idx="6">
                  <c:v>43</c:v>
                </c:pt>
                <c:pt idx="7">
                  <c:v>60</c:v>
                </c:pt>
                <c:pt idx="8">
                  <c:v>67</c:v>
                </c:pt>
                <c:pt idx="9">
                  <c:v>55</c:v>
                </c:pt>
                <c:pt idx="10">
                  <c:v>85</c:v>
                </c:pt>
                <c:pt idx="1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'21.8 Luweero-Kampala'!$V$9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'21.8 Luweero-Kampala'!$V$10:$V$21</c:f>
              <c:numCache>
                <c:formatCode>0</c:formatCode>
                <c:ptCount val="12"/>
                <c:pt idx="0">
                  <c:v>40</c:v>
                </c:pt>
                <c:pt idx="1">
                  <c:v>54</c:v>
                </c:pt>
                <c:pt idx="2">
                  <c:v>46</c:v>
                </c:pt>
                <c:pt idx="3">
                  <c:v>52</c:v>
                </c:pt>
                <c:pt idx="4">
                  <c:v>45</c:v>
                </c:pt>
                <c:pt idx="5">
                  <c:v>41</c:v>
                </c:pt>
                <c:pt idx="6">
                  <c:v>52</c:v>
                </c:pt>
                <c:pt idx="7">
                  <c:v>48</c:v>
                </c:pt>
                <c:pt idx="8">
                  <c:v>71</c:v>
                </c:pt>
                <c:pt idx="9">
                  <c:v>53</c:v>
                </c:pt>
                <c:pt idx="10">
                  <c:v>58</c:v>
                </c:pt>
                <c:pt idx="11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'21.8 Luweero-Kampala'!$W$9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'21.8 Luweero-Kampala'!$W$10:$W$21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'21.8 Luweero-Kampala'!$X$9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'21.8 Luweero-Kampala'!$X$10:$X$21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6</c:v>
                </c:pt>
                <c:pt idx="7">
                  <c:v>7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'21.8 Luweero-Kampala'!$Y$9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'21.8 Luweero-Kampala'!$Y$10:$Y$21</c:f>
              <c:numCache>
                <c:formatCode>0</c:formatCode>
                <c:ptCount val="12"/>
                <c:pt idx="0">
                  <c:v>13</c:v>
                </c:pt>
                <c:pt idx="1">
                  <c:v>17</c:v>
                </c:pt>
                <c:pt idx="2">
                  <c:v>22</c:v>
                </c:pt>
                <c:pt idx="3">
                  <c:v>24</c:v>
                </c:pt>
                <c:pt idx="4">
                  <c:v>29</c:v>
                </c:pt>
                <c:pt idx="5">
                  <c:v>33</c:v>
                </c:pt>
                <c:pt idx="6">
                  <c:v>18</c:v>
                </c:pt>
                <c:pt idx="7">
                  <c:v>26</c:v>
                </c:pt>
                <c:pt idx="8">
                  <c:v>27</c:v>
                </c:pt>
                <c:pt idx="9">
                  <c:v>33</c:v>
                </c:pt>
                <c:pt idx="10">
                  <c:v>40</c:v>
                </c:pt>
                <c:pt idx="1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'21.8 Luweero-Kampala'!$Z$9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'21.8 Luweero-Kampala'!$Z$10:$Z$21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'21.8 Luweero-Kampala'!$AA$9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'21.8 Luweero-Kampala'!$AA$10:$AA$21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'21.8 Luweero-Kampala'!$AB$9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'21.8 Luweero-Kampala'!$AB$10:$AB$21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'21.8 Luweero-Kampala'!$AC$9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'21.8 Luweero-Kampala'!$AC$10:$AC$21</c:f>
              <c:numCache>
                <c:formatCode>0</c:formatCode>
                <c:ptCount val="12"/>
                <c:pt idx="0">
                  <c:v>112</c:v>
                </c:pt>
                <c:pt idx="1">
                  <c:v>244</c:v>
                </c:pt>
                <c:pt idx="2">
                  <c:v>251</c:v>
                </c:pt>
                <c:pt idx="3">
                  <c:v>255</c:v>
                </c:pt>
                <c:pt idx="4">
                  <c:v>256</c:v>
                </c:pt>
                <c:pt idx="5">
                  <c:v>260</c:v>
                </c:pt>
                <c:pt idx="6">
                  <c:v>254</c:v>
                </c:pt>
                <c:pt idx="7">
                  <c:v>228</c:v>
                </c:pt>
                <c:pt idx="8">
                  <c:v>241</c:v>
                </c:pt>
                <c:pt idx="9">
                  <c:v>236</c:v>
                </c:pt>
                <c:pt idx="10">
                  <c:v>250</c:v>
                </c:pt>
                <c:pt idx="11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'21.8 Luweero-Kampala'!$AD$9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'21.8 Luweero-Kampala'!$AD$10:$AD$21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01241264"/>
        <c:axId val="-1901234736"/>
      </c:lineChart>
      <c:catAx>
        <c:axId val="-1901241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01234736"/>
        <c:crosses val="autoZero"/>
        <c:auto val="1"/>
        <c:lblAlgn val="ctr"/>
        <c:lblOffset val="100"/>
        <c:noMultiLvlLbl val="0"/>
      </c:catAx>
      <c:valAx>
        <c:axId val="-190123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0124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'21.8 Luweero-Kampala'!$C$9:$N$9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'21.8 Luweero-Kampala'!$C$60:$N$60</c:f>
              <c:numCache>
                <c:formatCode>0.00%</c:formatCode>
                <c:ptCount val="12"/>
                <c:pt idx="0">
                  <c:v>0.2217003287928605</c:v>
                </c:pt>
                <c:pt idx="1">
                  <c:v>0</c:v>
                </c:pt>
                <c:pt idx="2">
                  <c:v>0.30530765617660871</c:v>
                </c:pt>
                <c:pt idx="3">
                  <c:v>0.2912165335838422</c:v>
                </c:pt>
                <c:pt idx="4">
                  <c:v>2.8182245185533112E-3</c:v>
                </c:pt>
                <c:pt idx="5">
                  <c:v>2.1136683889149837E-2</c:v>
                </c:pt>
                <c:pt idx="6">
                  <c:v>0.14795678722404884</c:v>
                </c:pt>
                <c:pt idx="7">
                  <c:v>7.5152653828088308E-3</c:v>
                </c:pt>
                <c:pt idx="8">
                  <c:v>2.3485204321277596E-3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'22.8 Kampala-Luweero'!$AE$9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'22.8 Kampala-Luweero'!$R$10:$R$21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'22.8 Kampala-Luweero'!$AE$10:$AE$21</c:f>
              <c:numCache>
                <c:formatCode>0</c:formatCode>
                <c:ptCount val="12"/>
                <c:pt idx="0">
                  <c:v>155</c:v>
                </c:pt>
                <c:pt idx="1">
                  <c:v>178</c:v>
                </c:pt>
                <c:pt idx="2">
                  <c:v>199</c:v>
                </c:pt>
                <c:pt idx="3">
                  <c:v>181</c:v>
                </c:pt>
                <c:pt idx="4">
                  <c:v>147</c:v>
                </c:pt>
                <c:pt idx="5">
                  <c:v>234</c:v>
                </c:pt>
                <c:pt idx="6">
                  <c:v>204</c:v>
                </c:pt>
                <c:pt idx="7">
                  <c:v>230</c:v>
                </c:pt>
                <c:pt idx="8">
                  <c:v>211</c:v>
                </c:pt>
                <c:pt idx="9">
                  <c:v>241</c:v>
                </c:pt>
                <c:pt idx="10">
                  <c:v>211</c:v>
                </c:pt>
                <c:pt idx="11">
                  <c:v>156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'22.8 Kampala-Luweero'!$AF$9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'22.8 Kampala-Luweero'!$R$10:$R$21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'22.8 Kampala-Luweero'!$AF$10:$AF$21</c:f>
              <c:numCache>
                <c:formatCode>0</c:formatCode>
                <c:ptCount val="12"/>
                <c:pt idx="0">
                  <c:v>407</c:v>
                </c:pt>
                <c:pt idx="1">
                  <c:v>473</c:v>
                </c:pt>
                <c:pt idx="2">
                  <c:v>477</c:v>
                </c:pt>
                <c:pt idx="3">
                  <c:v>465</c:v>
                </c:pt>
                <c:pt idx="4">
                  <c:v>417</c:v>
                </c:pt>
                <c:pt idx="5">
                  <c:v>451</c:v>
                </c:pt>
                <c:pt idx="6">
                  <c:v>439</c:v>
                </c:pt>
                <c:pt idx="7">
                  <c:v>446</c:v>
                </c:pt>
                <c:pt idx="8">
                  <c:v>492</c:v>
                </c:pt>
                <c:pt idx="9">
                  <c:v>502</c:v>
                </c:pt>
                <c:pt idx="10">
                  <c:v>506</c:v>
                </c:pt>
                <c:pt idx="11">
                  <c:v>345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27974720"/>
        <c:axId val="-1927976352"/>
      </c:lineChart>
      <c:catAx>
        <c:axId val="-19279747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27976352"/>
        <c:crosses val="autoZero"/>
        <c:auto val="1"/>
        <c:lblAlgn val="ctr"/>
        <c:lblOffset val="100"/>
        <c:noMultiLvlLbl val="0"/>
      </c:catAx>
      <c:valAx>
        <c:axId val="-19279763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27974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'22.8 Kampala-Luweero'!$C$9:$N$9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'22.8 Kampala-Luweero'!$C$59:$N$59</c:f>
              <c:numCache>
                <c:formatCode>0.0%</c:formatCode>
                <c:ptCount val="12"/>
                <c:pt idx="0">
                  <c:v>8.9667896678966796E-2</c:v>
                </c:pt>
                <c:pt idx="1">
                  <c:v>0</c:v>
                </c:pt>
                <c:pt idx="2">
                  <c:v>0.11752767527675277</c:v>
                </c:pt>
                <c:pt idx="3">
                  <c:v>0.12472324723247233</c:v>
                </c:pt>
                <c:pt idx="4">
                  <c:v>1.8450184501845018E-3</c:v>
                </c:pt>
                <c:pt idx="5">
                  <c:v>9.9630996309963103E-3</c:v>
                </c:pt>
                <c:pt idx="6">
                  <c:v>6.5129151291512921E-2</c:v>
                </c:pt>
                <c:pt idx="7">
                  <c:v>4.9815498154981552E-3</c:v>
                </c:pt>
                <c:pt idx="8">
                  <c:v>2.0295202952029519E-3</c:v>
                </c:pt>
                <c:pt idx="9">
                  <c:v>1.6789667896678968E-2</c:v>
                </c:pt>
                <c:pt idx="10">
                  <c:v>0.56697416974169745</c:v>
                </c:pt>
                <c:pt idx="11">
                  <c:v>3.6900369003690036E-4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'22.8 Kampala-Luweero'!$S$9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'22.8 Kampala-Luweero'!$R$10:$R$21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'22.8 Kampala-Luweero'!$S$10:$S$21</c:f>
              <c:numCache>
                <c:formatCode>0</c:formatCode>
                <c:ptCount val="12"/>
                <c:pt idx="0">
                  <c:v>26</c:v>
                </c:pt>
                <c:pt idx="1">
                  <c:v>28</c:v>
                </c:pt>
                <c:pt idx="2">
                  <c:v>51</c:v>
                </c:pt>
                <c:pt idx="3">
                  <c:v>29</c:v>
                </c:pt>
                <c:pt idx="4">
                  <c:v>17</c:v>
                </c:pt>
                <c:pt idx="5">
                  <c:v>33</c:v>
                </c:pt>
                <c:pt idx="6">
                  <c:v>59</c:v>
                </c:pt>
                <c:pt idx="7">
                  <c:v>55</c:v>
                </c:pt>
                <c:pt idx="8">
                  <c:v>45</c:v>
                </c:pt>
                <c:pt idx="9">
                  <c:v>47</c:v>
                </c:pt>
                <c:pt idx="10">
                  <c:v>57</c:v>
                </c:pt>
                <c:pt idx="11">
                  <c:v>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'22.8 Kampala-Luweero'!$T$9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'22.8 Kampala-Luweero'!$R$10:$R$21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'22.8 Kampala-Luweero'!$T$10:$T$21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'22.8 Kampala-Luweero'!$U$9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'22.8 Kampala-Luweero'!$U$10:$U$21</c:f>
              <c:numCache>
                <c:formatCode>0</c:formatCode>
                <c:ptCount val="12"/>
                <c:pt idx="0">
                  <c:v>52</c:v>
                </c:pt>
                <c:pt idx="1">
                  <c:v>51</c:v>
                </c:pt>
                <c:pt idx="2">
                  <c:v>68</c:v>
                </c:pt>
                <c:pt idx="3">
                  <c:v>61</c:v>
                </c:pt>
                <c:pt idx="4">
                  <c:v>53</c:v>
                </c:pt>
                <c:pt idx="5">
                  <c:v>91</c:v>
                </c:pt>
                <c:pt idx="6">
                  <c:v>42</c:v>
                </c:pt>
                <c:pt idx="7">
                  <c:v>57</c:v>
                </c:pt>
                <c:pt idx="8">
                  <c:v>56</c:v>
                </c:pt>
                <c:pt idx="9">
                  <c:v>58</c:v>
                </c:pt>
                <c:pt idx="10">
                  <c:v>34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'22.8 Kampala-Luweero'!$V$9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'22.8 Kampala-Luweero'!$V$10:$V$21</c:f>
              <c:numCache>
                <c:formatCode>0</c:formatCode>
                <c:ptCount val="12"/>
                <c:pt idx="0">
                  <c:v>37</c:v>
                </c:pt>
                <c:pt idx="1">
                  <c:v>55</c:v>
                </c:pt>
                <c:pt idx="2">
                  <c:v>50</c:v>
                </c:pt>
                <c:pt idx="3">
                  <c:v>59</c:v>
                </c:pt>
                <c:pt idx="4">
                  <c:v>50</c:v>
                </c:pt>
                <c:pt idx="5">
                  <c:v>62</c:v>
                </c:pt>
                <c:pt idx="6">
                  <c:v>54</c:v>
                </c:pt>
                <c:pt idx="7">
                  <c:v>66</c:v>
                </c:pt>
                <c:pt idx="8">
                  <c:v>59</c:v>
                </c:pt>
                <c:pt idx="9">
                  <c:v>78</c:v>
                </c:pt>
                <c:pt idx="10">
                  <c:v>59</c:v>
                </c:pt>
                <c:pt idx="11">
                  <c:v>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'22.8 Kampala-Luweero'!$W$9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'22.8 Kampala-Luweero'!$W$10:$W$21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'22.8 Kampala-Luweero'!$X$9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'22.8 Kampala-Luweero'!$X$10:$X$21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3</c:v>
                </c:pt>
                <c:pt idx="9">
                  <c:v>5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'22.8 Kampala-Luweero'!$Y$9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'22.8 Kampala-Luweero'!$Y$10:$Y$21</c:f>
              <c:numCache>
                <c:formatCode>0</c:formatCode>
                <c:ptCount val="12"/>
                <c:pt idx="0">
                  <c:v>30</c:v>
                </c:pt>
                <c:pt idx="1">
                  <c:v>33</c:v>
                </c:pt>
                <c:pt idx="2">
                  <c:v>21</c:v>
                </c:pt>
                <c:pt idx="3">
                  <c:v>24</c:v>
                </c:pt>
                <c:pt idx="4">
                  <c:v>19</c:v>
                </c:pt>
                <c:pt idx="5">
                  <c:v>29</c:v>
                </c:pt>
                <c:pt idx="6">
                  <c:v>32</c:v>
                </c:pt>
                <c:pt idx="7">
                  <c:v>26</c:v>
                </c:pt>
                <c:pt idx="8">
                  <c:v>35</c:v>
                </c:pt>
                <c:pt idx="9">
                  <c:v>36</c:v>
                </c:pt>
                <c:pt idx="10">
                  <c:v>34</c:v>
                </c:pt>
                <c:pt idx="1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'22.8 Kampala-Luweero'!$Z$9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'22.8 Kampala-Luweero'!$Z$10:$Z$21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5</c:v>
                </c:pt>
                <c:pt idx="6">
                  <c:v>2</c:v>
                </c:pt>
                <c:pt idx="7">
                  <c:v>4</c:v>
                </c:pt>
                <c:pt idx="8">
                  <c:v>1</c:v>
                </c:pt>
                <c:pt idx="9">
                  <c:v>4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'22.8 Kampala-Luweero'!$AA$9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'22.8 Kampala-Luweero'!$AA$10:$AA$21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'22.8 Kampala-Luweero'!$AB$9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'22.8 Kampala-Luweero'!$AB$10:$AB$21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7</c:v>
                </c:pt>
                <c:pt idx="6">
                  <c:v>6</c:v>
                </c:pt>
                <c:pt idx="7">
                  <c:v>12</c:v>
                </c:pt>
                <c:pt idx="8">
                  <c:v>10</c:v>
                </c:pt>
                <c:pt idx="9">
                  <c:v>10</c:v>
                </c:pt>
                <c:pt idx="10">
                  <c:v>19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'22.8 Kampala-Luweero'!$AC$9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'22.8 Kampala-Luweero'!$AC$10:$AC$21</c:f>
              <c:numCache>
                <c:formatCode>0</c:formatCode>
                <c:ptCount val="12"/>
                <c:pt idx="0">
                  <c:v>252</c:v>
                </c:pt>
                <c:pt idx="1">
                  <c:v>295</c:v>
                </c:pt>
                <c:pt idx="2">
                  <c:v>278</c:v>
                </c:pt>
                <c:pt idx="3">
                  <c:v>284</c:v>
                </c:pt>
                <c:pt idx="4">
                  <c:v>270</c:v>
                </c:pt>
                <c:pt idx="5">
                  <c:v>217</c:v>
                </c:pt>
                <c:pt idx="6">
                  <c:v>235</c:v>
                </c:pt>
                <c:pt idx="7">
                  <c:v>216</c:v>
                </c:pt>
                <c:pt idx="8">
                  <c:v>281</c:v>
                </c:pt>
                <c:pt idx="9">
                  <c:v>261</c:v>
                </c:pt>
                <c:pt idx="10">
                  <c:v>295</c:v>
                </c:pt>
                <c:pt idx="11">
                  <c:v>189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'22.8 Kampala-Luweero'!$AD$9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'22.8 Kampala-Luweero'!$AD$10:$AD$21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27984512"/>
        <c:axId val="-1927970912"/>
      </c:lineChart>
      <c:catAx>
        <c:axId val="-1927984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27970912"/>
        <c:crosses val="autoZero"/>
        <c:auto val="1"/>
        <c:lblAlgn val="ctr"/>
        <c:lblOffset val="100"/>
        <c:noMultiLvlLbl val="0"/>
      </c:catAx>
      <c:valAx>
        <c:axId val="-192797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27984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'22.8 Kampala-Luweero'!$C$9:$N$9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'22.8 Kampala-Luweero'!$C$60:$N$60</c:f>
              <c:numCache>
                <c:formatCode>0.00%</c:formatCode>
                <c:ptCount val="12"/>
                <c:pt idx="0">
                  <c:v>0.20707285896889646</c:v>
                </c:pt>
                <c:pt idx="1">
                  <c:v>0</c:v>
                </c:pt>
                <c:pt idx="2">
                  <c:v>0.27141031103536428</c:v>
                </c:pt>
                <c:pt idx="3">
                  <c:v>0.28802726885385599</c:v>
                </c:pt>
                <c:pt idx="4">
                  <c:v>4.2607584149978693E-3</c:v>
                </c:pt>
                <c:pt idx="5">
                  <c:v>2.3008095440988495E-2</c:v>
                </c:pt>
                <c:pt idx="6">
                  <c:v>0.15040477204942479</c:v>
                </c:pt>
                <c:pt idx="7">
                  <c:v>1.1504047720494247E-2</c:v>
                </c:pt>
                <c:pt idx="8">
                  <c:v>4.6868342564976564E-3</c:v>
                </c:pt>
                <c:pt idx="9">
                  <c:v>3.8772901576480612E-2</c:v>
                </c:pt>
                <c:pt idx="11">
                  <c:v>8.5215168299957388E-4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 22.8 Luweero-Kampala'!$AE$9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 22.8 Luweero-Kampala'!$R$10:$R$21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 22.8 Luweero-Kampala'!$AE$10:$AE$21</c:f>
              <c:numCache>
                <c:formatCode>0</c:formatCode>
                <c:ptCount val="12"/>
                <c:pt idx="0">
                  <c:v>116</c:v>
                </c:pt>
                <c:pt idx="1">
                  <c:v>145</c:v>
                </c:pt>
                <c:pt idx="2">
                  <c:v>142</c:v>
                </c:pt>
                <c:pt idx="3">
                  <c:v>152</c:v>
                </c:pt>
                <c:pt idx="4">
                  <c:v>160</c:v>
                </c:pt>
                <c:pt idx="5">
                  <c:v>159</c:v>
                </c:pt>
                <c:pt idx="6">
                  <c:v>182</c:v>
                </c:pt>
                <c:pt idx="7">
                  <c:v>169</c:v>
                </c:pt>
                <c:pt idx="8">
                  <c:v>239</c:v>
                </c:pt>
                <c:pt idx="9">
                  <c:v>223</c:v>
                </c:pt>
                <c:pt idx="10">
                  <c:v>224</c:v>
                </c:pt>
                <c:pt idx="11">
                  <c:v>265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 22.8 Luweero-Kampala'!$AF$9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 22.8 Luweero-Kampala'!$R$10:$R$21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 22.8 Luweero-Kampala'!$AF$10:$AF$21</c:f>
              <c:numCache>
                <c:formatCode>0</c:formatCode>
                <c:ptCount val="12"/>
                <c:pt idx="0">
                  <c:v>313</c:v>
                </c:pt>
                <c:pt idx="1">
                  <c:v>387</c:v>
                </c:pt>
                <c:pt idx="2">
                  <c:v>397</c:v>
                </c:pt>
                <c:pt idx="3">
                  <c:v>415</c:v>
                </c:pt>
                <c:pt idx="4">
                  <c:v>452</c:v>
                </c:pt>
                <c:pt idx="5">
                  <c:v>392</c:v>
                </c:pt>
                <c:pt idx="6">
                  <c:v>441</c:v>
                </c:pt>
                <c:pt idx="7">
                  <c:v>363</c:v>
                </c:pt>
                <c:pt idx="8">
                  <c:v>502</c:v>
                </c:pt>
                <c:pt idx="9">
                  <c:v>487</c:v>
                </c:pt>
                <c:pt idx="10">
                  <c:v>504</c:v>
                </c:pt>
                <c:pt idx="11">
                  <c:v>470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27986144"/>
        <c:axId val="-1927985600"/>
      </c:lineChart>
      <c:catAx>
        <c:axId val="-19279861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27985600"/>
        <c:crosses val="autoZero"/>
        <c:auto val="1"/>
        <c:lblAlgn val="ctr"/>
        <c:lblOffset val="100"/>
        <c:noMultiLvlLbl val="0"/>
      </c:catAx>
      <c:valAx>
        <c:axId val="-19279856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27986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 22.8 Luweero-Kampala'!$C$9:$N$9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 22.8 Luweero-Kampala'!$C$59:$N$59</c:f>
              <c:numCache>
                <c:formatCode>0.0%</c:formatCode>
                <c:ptCount val="12"/>
                <c:pt idx="0">
                  <c:v>5.6412258442318952E-2</c:v>
                </c:pt>
                <c:pt idx="1">
                  <c:v>0</c:v>
                </c:pt>
                <c:pt idx="2">
                  <c:v>0.16220964278742925</c:v>
                </c:pt>
                <c:pt idx="3">
                  <c:v>0.12629318758539917</c:v>
                </c:pt>
                <c:pt idx="4">
                  <c:v>1.1711887565879367E-3</c:v>
                </c:pt>
                <c:pt idx="5">
                  <c:v>8.0031231700175686E-3</c:v>
                </c:pt>
                <c:pt idx="6">
                  <c:v>5.3874682803045089E-2</c:v>
                </c:pt>
                <c:pt idx="7">
                  <c:v>3.1231700175678315E-3</c:v>
                </c:pt>
                <c:pt idx="8">
                  <c:v>1.3663868826859261E-3</c:v>
                </c:pt>
                <c:pt idx="9">
                  <c:v>1.1907085691977357E-2</c:v>
                </c:pt>
                <c:pt idx="10">
                  <c:v>0.57524887761077492</c:v>
                </c:pt>
                <c:pt idx="11">
                  <c:v>3.9039625219597894E-4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 22.8 Luweero-Kampala'!$C$9:$N$9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 22.8 Luweero-Kampala'!$C$60:$N$60</c:f>
              <c:numCache>
                <c:formatCode>0.00%</c:formatCode>
                <c:ptCount val="12"/>
                <c:pt idx="0">
                  <c:v>0.1328125</c:v>
                </c:pt>
                <c:pt idx="1">
                  <c:v>0</c:v>
                </c:pt>
                <c:pt idx="2">
                  <c:v>0.38189338235294118</c:v>
                </c:pt>
                <c:pt idx="3">
                  <c:v>0.29733455882352944</c:v>
                </c:pt>
                <c:pt idx="4">
                  <c:v>2.7573529411764708E-3</c:v>
                </c:pt>
                <c:pt idx="5">
                  <c:v>1.8841911764705881E-2</c:v>
                </c:pt>
                <c:pt idx="6">
                  <c:v>0.12683823529411764</c:v>
                </c:pt>
                <c:pt idx="7">
                  <c:v>7.3529411764705881E-3</c:v>
                </c:pt>
                <c:pt idx="8">
                  <c:v>3.2169117647058822E-3</c:v>
                </c:pt>
                <c:pt idx="9">
                  <c:v>2.8033088235294119E-2</c:v>
                </c:pt>
                <c:pt idx="11">
                  <c:v>9.1911764705882352E-4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'23.8 Kampala-Luweero'!$AE$9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'23.8 Kampala-Luweero'!$R$10:$R$21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'23.8 Kampala-Luweero'!$AE$10:$AE$21</c:f>
              <c:numCache>
                <c:formatCode>0</c:formatCode>
                <c:ptCount val="12"/>
                <c:pt idx="0">
                  <c:v>128</c:v>
                </c:pt>
                <c:pt idx="1">
                  <c:v>202</c:v>
                </c:pt>
                <c:pt idx="2">
                  <c:v>165</c:v>
                </c:pt>
                <c:pt idx="3">
                  <c:v>196</c:v>
                </c:pt>
                <c:pt idx="4">
                  <c:v>224</c:v>
                </c:pt>
                <c:pt idx="5">
                  <c:v>245</c:v>
                </c:pt>
                <c:pt idx="6">
                  <c:v>263</c:v>
                </c:pt>
                <c:pt idx="7">
                  <c:v>249</c:v>
                </c:pt>
                <c:pt idx="8">
                  <c:v>237</c:v>
                </c:pt>
                <c:pt idx="9">
                  <c:v>255</c:v>
                </c:pt>
                <c:pt idx="10">
                  <c:v>244</c:v>
                </c:pt>
                <c:pt idx="11">
                  <c:v>222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'23.8 Kampala-Luweero'!$AF$9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'23.8 Kampala-Luweero'!$R$10:$R$21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'23.8 Kampala-Luweero'!$AF$10:$AF$21</c:f>
              <c:numCache>
                <c:formatCode>0</c:formatCode>
                <c:ptCount val="12"/>
                <c:pt idx="0">
                  <c:v>370</c:v>
                </c:pt>
                <c:pt idx="1">
                  <c:v>506</c:v>
                </c:pt>
                <c:pt idx="2">
                  <c:v>468</c:v>
                </c:pt>
                <c:pt idx="3">
                  <c:v>495</c:v>
                </c:pt>
                <c:pt idx="4">
                  <c:v>482</c:v>
                </c:pt>
                <c:pt idx="5">
                  <c:v>533</c:v>
                </c:pt>
                <c:pt idx="6">
                  <c:v>557</c:v>
                </c:pt>
                <c:pt idx="7">
                  <c:v>472</c:v>
                </c:pt>
                <c:pt idx="8">
                  <c:v>510</c:v>
                </c:pt>
                <c:pt idx="9">
                  <c:v>515</c:v>
                </c:pt>
                <c:pt idx="10">
                  <c:v>477</c:v>
                </c:pt>
                <c:pt idx="11">
                  <c:v>497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27982336"/>
        <c:axId val="-1927981248"/>
      </c:lineChart>
      <c:catAx>
        <c:axId val="-19279823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27981248"/>
        <c:crosses val="autoZero"/>
        <c:auto val="1"/>
        <c:lblAlgn val="ctr"/>
        <c:lblOffset val="100"/>
        <c:noMultiLvlLbl val="0"/>
      </c:catAx>
      <c:valAx>
        <c:axId val="-19279812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27982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'23.8 Kampala-Luweero'!$C$9:$N$9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'23.8 Kampala-Luweero'!$C$59:$N$59</c:f>
              <c:numCache>
                <c:formatCode>0.0%</c:formatCode>
                <c:ptCount val="12"/>
                <c:pt idx="0">
                  <c:v>8.5685141108466506E-2</c:v>
                </c:pt>
                <c:pt idx="1">
                  <c:v>0</c:v>
                </c:pt>
                <c:pt idx="2">
                  <c:v>0.13379802788167289</c:v>
                </c:pt>
                <c:pt idx="3">
                  <c:v>0.11951717103026181</c:v>
                </c:pt>
                <c:pt idx="4">
                  <c:v>2.7201632097925877E-3</c:v>
                </c:pt>
                <c:pt idx="5">
                  <c:v>9.1805508330499823E-3</c:v>
                </c:pt>
                <c:pt idx="6">
                  <c:v>7.1744304658279495E-2</c:v>
                </c:pt>
                <c:pt idx="7">
                  <c:v>6.9704182250935054E-3</c:v>
                </c:pt>
                <c:pt idx="8">
                  <c:v>2.2101326079564773E-3</c:v>
                </c:pt>
                <c:pt idx="9">
                  <c:v>1.4960897653859231E-2</c:v>
                </c:pt>
                <c:pt idx="10">
                  <c:v>0.55287317239034339</c:v>
                </c:pt>
                <c:pt idx="11">
                  <c:v>3.4002040122407346E-4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'23.8 Kampala-Luweero'!$S$9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'23.8 Kampala-Luweero'!$R$10:$R$21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'23.8 Kampala-Luweero'!$S$10:$S$21</c:f>
              <c:numCache>
                <c:formatCode>0</c:formatCode>
                <c:ptCount val="12"/>
                <c:pt idx="0">
                  <c:v>33</c:v>
                </c:pt>
                <c:pt idx="1">
                  <c:v>46</c:v>
                </c:pt>
                <c:pt idx="2">
                  <c:v>48</c:v>
                </c:pt>
                <c:pt idx="3">
                  <c:v>47</c:v>
                </c:pt>
                <c:pt idx="4">
                  <c:v>47</c:v>
                </c:pt>
                <c:pt idx="5">
                  <c:v>48</c:v>
                </c:pt>
                <c:pt idx="6">
                  <c:v>38</c:v>
                </c:pt>
                <c:pt idx="7">
                  <c:v>27</c:v>
                </c:pt>
                <c:pt idx="8">
                  <c:v>38</c:v>
                </c:pt>
                <c:pt idx="9">
                  <c:v>48</c:v>
                </c:pt>
                <c:pt idx="10">
                  <c:v>37</c:v>
                </c:pt>
                <c:pt idx="11">
                  <c:v>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'23.8 Kampala-Luweero'!$T$9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'23.8 Kampala-Luweero'!$R$10:$R$21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'23.8 Kampala-Luweero'!$T$10:$T$21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'23.8 Kampala-Luweero'!$U$9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'23.8 Kampala-Luweero'!$U$10:$U$21</c:f>
              <c:numCache>
                <c:formatCode>0</c:formatCode>
                <c:ptCount val="12"/>
                <c:pt idx="0">
                  <c:v>28</c:v>
                </c:pt>
                <c:pt idx="1">
                  <c:v>53</c:v>
                </c:pt>
                <c:pt idx="2">
                  <c:v>37</c:v>
                </c:pt>
                <c:pt idx="3">
                  <c:v>65</c:v>
                </c:pt>
                <c:pt idx="4">
                  <c:v>64</c:v>
                </c:pt>
                <c:pt idx="5">
                  <c:v>80</c:v>
                </c:pt>
                <c:pt idx="6">
                  <c:v>100</c:v>
                </c:pt>
                <c:pt idx="7">
                  <c:v>79</c:v>
                </c:pt>
                <c:pt idx="8">
                  <c:v>76</c:v>
                </c:pt>
                <c:pt idx="9">
                  <c:v>79</c:v>
                </c:pt>
                <c:pt idx="10">
                  <c:v>73</c:v>
                </c:pt>
                <c:pt idx="11">
                  <c:v>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'23.8 Kampala-Luweero'!$V$9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'23.8 Kampala-Luweero'!$V$10:$V$21</c:f>
              <c:numCache>
                <c:formatCode>0</c:formatCode>
                <c:ptCount val="12"/>
                <c:pt idx="0">
                  <c:v>23</c:v>
                </c:pt>
                <c:pt idx="1">
                  <c:v>47</c:v>
                </c:pt>
                <c:pt idx="2">
                  <c:v>46</c:v>
                </c:pt>
                <c:pt idx="3">
                  <c:v>47</c:v>
                </c:pt>
                <c:pt idx="4">
                  <c:v>64</c:v>
                </c:pt>
                <c:pt idx="5">
                  <c:v>65</c:v>
                </c:pt>
                <c:pt idx="6">
                  <c:v>70</c:v>
                </c:pt>
                <c:pt idx="7">
                  <c:v>76</c:v>
                </c:pt>
                <c:pt idx="8">
                  <c:v>70</c:v>
                </c:pt>
                <c:pt idx="9">
                  <c:v>70</c:v>
                </c:pt>
                <c:pt idx="10">
                  <c:v>67</c:v>
                </c:pt>
                <c:pt idx="11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'23.8 Kampala-Luweero'!$W$9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'23.8 Kampala-Luweero'!$W$10:$W$21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3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'23.8 Kampala-Luweero'!$X$9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'23.8 Kampala-Luweero'!$X$10:$X$21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3</c:v>
                </c:pt>
                <c:pt idx="10">
                  <c:v>6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'23.8 Kampala-Luweero'!$Y$9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'23.8 Kampala-Luweero'!$Y$10:$Y$21</c:f>
              <c:numCache>
                <c:formatCode>0</c:formatCode>
                <c:ptCount val="12"/>
                <c:pt idx="0">
                  <c:v>26</c:v>
                </c:pt>
                <c:pt idx="1">
                  <c:v>38</c:v>
                </c:pt>
                <c:pt idx="2">
                  <c:v>23</c:v>
                </c:pt>
                <c:pt idx="3">
                  <c:v>30</c:v>
                </c:pt>
                <c:pt idx="4">
                  <c:v>39</c:v>
                </c:pt>
                <c:pt idx="5">
                  <c:v>33</c:v>
                </c:pt>
                <c:pt idx="6">
                  <c:v>34</c:v>
                </c:pt>
                <c:pt idx="7">
                  <c:v>36</c:v>
                </c:pt>
                <c:pt idx="8">
                  <c:v>34</c:v>
                </c:pt>
                <c:pt idx="9">
                  <c:v>41</c:v>
                </c:pt>
                <c:pt idx="10">
                  <c:v>41</c:v>
                </c:pt>
                <c:pt idx="11">
                  <c:v>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'23.8 Kampala-Luweero'!$Z$9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'23.8 Kampala-Luweero'!$Z$10:$Z$21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3</c:v>
                </c:pt>
                <c:pt idx="5">
                  <c:v>4</c:v>
                </c:pt>
                <c:pt idx="6">
                  <c:v>3</c:v>
                </c:pt>
                <c:pt idx="7">
                  <c:v>4</c:v>
                </c:pt>
                <c:pt idx="8">
                  <c:v>3</c:v>
                </c:pt>
                <c:pt idx="9">
                  <c:v>5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'23.8 Kampala-Luweero'!$AA$9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'23.8 Kampala-Luweero'!$AA$10:$AA$21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'23.8 Kampala-Luweero'!$AB$9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'23.8 Kampala-Luweero'!$AB$10:$AB$21</c:f>
              <c:numCache>
                <c:formatCode>0</c:formatCode>
                <c:ptCount val="12"/>
                <c:pt idx="0">
                  <c:v>11</c:v>
                </c:pt>
                <c:pt idx="1">
                  <c:v>8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6</c:v>
                </c:pt>
                <c:pt idx="6">
                  <c:v>9</c:v>
                </c:pt>
                <c:pt idx="7">
                  <c:v>16</c:v>
                </c:pt>
                <c:pt idx="8">
                  <c:v>4</c:v>
                </c:pt>
                <c:pt idx="9">
                  <c:v>8</c:v>
                </c:pt>
                <c:pt idx="10">
                  <c:v>12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'23.8 Kampala-Luweero'!$AC$9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'23.8 Kampala-Luweero'!$AC$10:$AC$21</c:f>
              <c:numCache>
                <c:formatCode>0</c:formatCode>
                <c:ptCount val="12"/>
                <c:pt idx="0">
                  <c:v>242</c:v>
                </c:pt>
                <c:pt idx="1">
                  <c:v>304</c:v>
                </c:pt>
                <c:pt idx="2">
                  <c:v>303</c:v>
                </c:pt>
                <c:pt idx="3">
                  <c:v>299</c:v>
                </c:pt>
                <c:pt idx="4">
                  <c:v>258</c:v>
                </c:pt>
                <c:pt idx="5">
                  <c:v>288</c:v>
                </c:pt>
                <c:pt idx="6">
                  <c:v>294</c:v>
                </c:pt>
                <c:pt idx="7">
                  <c:v>223</c:v>
                </c:pt>
                <c:pt idx="8">
                  <c:v>273</c:v>
                </c:pt>
                <c:pt idx="9">
                  <c:v>260</c:v>
                </c:pt>
                <c:pt idx="10">
                  <c:v>233</c:v>
                </c:pt>
                <c:pt idx="11">
                  <c:v>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'23.8 Kampala-Luweero'!$AD$9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'23.8 Kampala-Luweero'!$AD$10:$AD$21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27983424"/>
        <c:axId val="-1896963120"/>
      </c:lineChart>
      <c:catAx>
        <c:axId val="-1927983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896963120"/>
        <c:crosses val="autoZero"/>
        <c:auto val="1"/>
        <c:lblAlgn val="ctr"/>
        <c:lblOffset val="100"/>
        <c:noMultiLvlLbl val="0"/>
      </c:catAx>
      <c:valAx>
        <c:axId val="-189696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27983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'23.8 Kampala-Luweero'!$C$9:$N$9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'23.8 Kampala-Luweero'!$C$60:$N$60</c:f>
              <c:numCache>
                <c:formatCode>0.00%</c:formatCode>
                <c:ptCount val="12"/>
                <c:pt idx="0">
                  <c:v>0.19163498098859316</c:v>
                </c:pt>
                <c:pt idx="1">
                  <c:v>0</c:v>
                </c:pt>
                <c:pt idx="2">
                  <c:v>0.29923954372623573</c:v>
                </c:pt>
                <c:pt idx="3">
                  <c:v>0.2673003802281369</c:v>
                </c:pt>
                <c:pt idx="4">
                  <c:v>6.0836501901140681E-3</c:v>
                </c:pt>
                <c:pt idx="5">
                  <c:v>2.0532319391634982E-2</c:v>
                </c:pt>
                <c:pt idx="6">
                  <c:v>0.16045627376425856</c:v>
                </c:pt>
                <c:pt idx="7">
                  <c:v>1.55893536121673E-2</c:v>
                </c:pt>
                <c:pt idx="8">
                  <c:v>4.9429657794676802E-3</c:v>
                </c:pt>
                <c:pt idx="9">
                  <c:v>3.3460076045627375E-2</c:v>
                </c:pt>
                <c:pt idx="11">
                  <c:v>7.6045627376425851E-4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'23.Luweero-Kamplaa'!$AE$9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'23.Luweero-Kamplaa'!$R$10:$R$21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'23.Luweero-Kamplaa'!$AE$10:$AE$21</c:f>
              <c:numCache>
                <c:formatCode>0</c:formatCode>
                <c:ptCount val="12"/>
                <c:pt idx="0">
                  <c:v>105</c:v>
                </c:pt>
                <c:pt idx="1">
                  <c:v>142</c:v>
                </c:pt>
                <c:pt idx="2">
                  <c:v>161</c:v>
                </c:pt>
                <c:pt idx="3">
                  <c:v>168</c:v>
                </c:pt>
                <c:pt idx="4">
                  <c:v>164</c:v>
                </c:pt>
                <c:pt idx="5">
                  <c:v>169</c:v>
                </c:pt>
                <c:pt idx="6">
                  <c:v>193</c:v>
                </c:pt>
                <c:pt idx="7">
                  <c:v>250</c:v>
                </c:pt>
                <c:pt idx="8">
                  <c:v>205</c:v>
                </c:pt>
                <c:pt idx="9">
                  <c:v>242</c:v>
                </c:pt>
                <c:pt idx="10">
                  <c:v>251</c:v>
                </c:pt>
                <c:pt idx="11">
                  <c:v>279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'23.Luweero-Kamplaa'!$AF$9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'23.Luweero-Kamplaa'!$R$10:$R$21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'23.Luweero-Kamplaa'!$AF$10:$AF$21</c:f>
              <c:numCache>
                <c:formatCode>0</c:formatCode>
                <c:ptCount val="12"/>
                <c:pt idx="0">
                  <c:v>280</c:v>
                </c:pt>
                <c:pt idx="1">
                  <c:v>394</c:v>
                </c:pt>
                <c:pt idx="2">
                  <c:v>410</c:v>
                </c:pt>
                <c:pt idx="3">
                  <c:v>442</c:v>
                </c:pt>
                <c:pt idx="4">
                  <c:v>416</c:v>
                </c:pt>
                <c:pt idx="5">
                  <c:v>451</c:v>
                </c:pt>
                <c:pt idx="6">
                  <c:v>459</c:v>
                </c:pt>
                <c:pt idx="7">
                  <c:v>515</c:v>
                </c:pt>
                <c:pt idx="8">
                  <c:v>454</c:v>
                </c:pt>
                <c:pt idx="9">
                  <c:v>482</c:v>
                </c:pt>
                <c:pt idx="10">
                  <c:v>529</c:v>
                </c:pt>
                <c:pt idx="11">
                  <c:v>567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96962032"/>
        <c:axId val="-1896958224"/>
      </c:lineChart>
      <c:catAx>
        <c:axId val="-18969620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896958224"/>
        <c:crosses val="autoZero"/>
        <c:auto val="1"/>
        <c:lblAlgn val="ctr"/>
        <c:lblOffset val="100"/>
        <c:noMultiLvlLbl val="0"/>
      </c:catAx>
      <c:valAx>
        <c:axId val="-18969582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896962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'23.Luweero-Kamplaa'!$C$9:$N$9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'23.Luweero-Kamplaa'!$C$59:$N$59</c:f>
              <c:numCache>
                <c:formatCode>0.0%</c:formatCode>
                <c:ptCount val="12"/>
                <c:pt idx="0">
                  <c:v>7.2976477125393596E-2</c:v>
                </c:pt>
                <c:pt idx="1">
                  <c:v>0</c:v>
                </c:pt>
                <c:pt idx="2">
                  <c:v>0.14873124652713465</c:v>
                </c:pt>
                <c:pt idx="3">
                  <c:v>0.12057788479348028</c:v>
                </c:pt>
                <c:pt idx="4">
                  <c:v>1.8521948508983144E-3</c:v>
                </c:pt>
                <c:pt idx="5">
                  <c:v>8.7053157992220773E-3</c:v>
                </c:pt>
                <c:pt idx="6">
                  <c:v>6.0381552139285054E-2</c:v>
                </c:pt>
                <c:pt idx="7">
                  <c:v>3.5191702167067978E-3</c:v>
                </c:pt>
                <c:pt idx="8">
                  <c:v>1.2965363956288201E-3</c:v>
                </c:pt>
                <c:pt idx="9">
                  <c:v>1.3150583441378033E-2</c:v>
                </c:pt>
                <c:pt idx="10">
                  <c:v>0.56862381922578253</c:v>
                </c:pt>
                <c:pt idx="11">
                  <c:v>1.8521948508983145E-4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'23.Luweero-Kamplaa'!$S$9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'23.Luweero-Kamplaa'!$R$10:$R$21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'23.Luweero-Kamplaa'!$S$10:$S$21</c:f>
              <c:numCache>
                <c:formatCode>0</c:formatCode>
                <c:ptCount val="12"/>
                <c:pt idx="0">
                  <c:v>20</c:v>
                </c:pt>
                <c:pt idx="1">
                  <c:v>26</c:v>
                </c:pt>
                <c:pt idx="2">
                  <c:v>31</c:v>
                </c:pt>
                <c:pt idx="3">
                  <c:v>26</c:v>
                </c:pt>
                <c:pt idx="4">
                  <c:v>35</c:v>
                </c:pt>
                <c:pt idx="5">
                  <c:v>32</c:v>
                </c:pt>
                <c:pt idx="6">
                  <c:v>37</c:v>
                </c:pt>
                <c:pt idx="7">
                  <c:v>40</c:v>
                </c:pt>
                <c:pt idx="8">
                  <c:v>34</c:v>
                </c:pt>
                <c:pt idx="9">
                  <c:v>36</c:v>
                </c:pt>
                <c:pt idx="10">
                  <c:v>41</c:v>
                </c:pt>
                <c:pt idx="11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'23.Luweero-Kamplaa'!$T$9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'23.Luweero-Kamplaa'!$R$10:$R$21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'23.Luweero-Kamplaa'!$T$10:$T$21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'23.Luweero-Kamplaa'!$U$9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'23.Luweero-Kamplaa'!$U$10:$U$21</c:f>
              <c:numCache>
                <c:formatCode>0</c:formatCode>
                <c:ptCount val="12"/>
                <c:pt idx="0">
                  <c:v>26</c:v>
                </c:pt>
                <c:pt idx="1">
                  <c:v>34</c:v>
                </c:pt>
                <c:pt idx="2">
                  <c:v>43</c:v>
                </c:pt>
                <c:pt idx="3">
                  <c:v>64</c:v>
                </c:pt>
                <c:pt idx="4">
                  <c:v>60</c:v>
                </c:pt>
                <c:pt idx="5">
                  <c:v>43</c:v>
                </c:pt>
                <c:pt idx="6">
                  <c:v>67</c:v>
                </c:pt>
                <c:pt idx="7">
                  <c:v>89</c:v>
                </c:pt>
                <c:pt idx="8">
                  <c:v>75</c:v>
                </c:pt>
                <c:pt idx="9">
                  <c:v>88</c:v>
                </c:pt>
                <c:pt idx="10">
                  <c:v>95</c:v>
                </c:pt>
                <c:pt idx="11">
                  <c:v>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'23.Luweero-Kamplaa'!$V$9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'23.Luweero-Kamplaa'!$V$10:$V$21</c:f>
              <c:numCache>
                <c:formatCode>0</c:formatCode>
                <c:ptCount val="12"/>
                <c:pt idx="0">
                  <c:v>33</c:v>
                </c:pt>
                <c:pt idx="1">
                  <c:v>55</c:v>
                </c:pt>
                <c:pt idx="2">
                  <c:v>56</c:v>
                </c:pt>
                <c:pt idx="3">
                  <c:v>47</c:v>
                </c:pt>
                <c:pt idx="4">
                  <c:v>47</c:v>
                </c:pt>
                <c:pt idx="5">
                  <c:v>55</c:v>
                </c:pt>
                <c:pt idx="6">
                  <c:v>48</c:v>
                </c:pt>
                <c:pt idx="7">
                  <c:v>61</c:v>
                </c:pt>
                <c:pt idx="8">
                  <c:v>59</c:v>
                </c:pt>
                <c:pt idx="9">
                  <c:v>71</c:v>
                </c:pt>
                <c:pt idx="10">
                  <c:v>65</c:v>
                </c:pt>
                <c:pt idx="11">
                  <c:v>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'23.Luweero-Kamplaa'!$W$9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'23.Luweero-Kamplaa'!$W$10:$W$21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'23.Luweero-Kamplaa'!$X$9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'23.Luweero-Kamplaa'!$X$10:$X$21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4</c:v>
                </c:pt>
                <c:pt idx="6">
                  <c:v>1</c:v>
                </c:pt>
                <c:pt idx="7">
                  <c:v>9</c:v>
                </c:pt>
                <c:pt idx="8">
                  <c:v>8</c:v>
                </c:pt>
                <c:pt idx="9">
                  <c:v>5</c:v>
                </c:pt>
                <c:pt idx="10">
                  <c:v>6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'23.Luweero-Kamplaa'!$Y$9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'23.Luweero-Kamplaa'!$Y$10:$Y$21</c:f>
              <c:numCache>
                <c:formatCode>0</c:formatCode>
                <c:ptCount val="12"/>
                <c:pt idx="0">
                  <c:v>14</c:v>
                </c:pt>
                <c:pt idx="1">
                  <c:v>19</c:v>
                </c:pt>
                <c:pt idx="2">
                  <c:v>24</c:v>
                </c:pt>
                <c:pt idx="3">
                  <c:v>22</c:v>
                </c:pt>
                <c:pt idx="4">
                  <c:v>17</c:v>
                </c:pt>
                <c:pt idx="5">
                  <c:v>27</c:v>
                </c:pt>
                <c:pt idx="6">
                  <c:v>30</c:v>
                </c:pt>
                <c:pt idx="7">
                  <c:v>37</c:v>
                </c:pt>
                <c:pt idx="8">
                  <c:v>22</c:v>
                </c:pt>
                <c:pt idx="9">
                  <c:v>30</c:v>
                </c:pt>
                <c:pt idx="10">
                  <c:v>34</c:v>
                </c:pt>
                <c:pt idx="11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'23.Luweero-Kamplaa'!$Z$9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'23.Luweero-Kamplaa'!$Z$10:$Z$21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'23.Luweero-Kamplaa'!$AA$9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'23.Luweero-Kamplaa'!$AA$10:$AA$21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'23.Luweero-Kamplaa'!$AB$9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'23.Luweero-Kamplaa'!$AB$10:$AB$21</c:f>
              <c:numCache>
                <c:formatCode>0</c:formatCode>
                <c:ptCount val="12"/>
                <c:pt idx="0">
                  <c:v>7</c:v>
                </c:pt>
                <c:pt idx="1">
                  <c:v>6</c:v>
                </c:pt>
                <c:pt idx="2">
                  <c:v>6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9</c:v>
                </c:pt>
                <c:pt idx="8">
                  <c:v>6</c:v>
                </c:pt>
                <c:pt idx="9">
                  <c:v>8</c:v>
                </c:pt>
                <c:pt idx="10">
                  <c:v>9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'23.Luweero-Kamplaa'!$AC$9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'23.Luweero-Kamplaa'!$AC$10:$AC$21</c:f>
              <c:numCache>
                <c:formatCode>0</c:formatCode>
                <c:ptCount val="12"/>
                <c:pt idx="0">
                  <c:v>175</c:v>
                </c:pt>
                <c:pt idx="1">
                  <c:v>252</c:v>
                </c:pt>
                <c:pt idx="2">
                  <c:v>249</c:v>
                </c:pt>
                <c:pt idx="3">
                  <c:v>274</c:v>
                </c:pt>
                <c:pt idx="4">
                  <c:v>252</c:v>
                </c:pt>
                <c:pt idx="5">
                  <c:v>282</c:v>
                </c:pt>
                <c:pt idx="6">
                  <c:v>266</c:v>
                </c:pt>
                <c:pt idx="7">
                  <c:v>265</c:v>
                </c:pt>
                <c:pt idx="8">
                  <c:v>249</c:v>
                </c:pt>
                <c:pt idx="9">
                  <c:v>240</c:v>
                </c:pt>
                <c:pt idx="10">
                  <c:v>278</c:v>
                </c:pt>
                <c:pt idx="11">
                  <c:v>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'23.Luweero-Kamplaa'!$AD$9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'23.Luweero-Kamplaa'!$AD$10:$AD$21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896953328"/>
        <c:axId val="-1896954960"/>
      </c:lineChart>
      <c:catAx>
        <c:axId val="-1896953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896954960"/>
        <c:crosses val="autoZero"/>
        <c:auto val="1"/>
        <c:lblAlgn val="ctr"/>
        <c:lblOffset val="100"/>
        <c:noMultiLvlLbl val="0"/>
      </c:catAx>
      <c:valAx>
        <c:axId val="-189695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896953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'23.Luweero-Kamplaa'!$C$9:$N$9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'23.Luweero-Kamplaa'!$C$60:$N$60</c:f>
              <c:numCache>
                <c:formatCode>0.00%</c:formatCode>
                <c:ptCount val="12"/>
                <c:pt idx="0">
                  <c:v>0.16917131816230141</c:v>
                </c:pt>
                <c:pt idx="1">
                  <c:v>0</c:v>
                </c:pt>
                <c:pt idx="2">
                  <c:v>0.34478316874194931</c:v>
                </c:pt>
                <c:pt idx="3">
                  <c:v>0.27951910691283816</c:v>
                </c:pt>
                <c:pt idx="4">
                  <c:v>4.2936882782310002E-3</c:v>
                </c:pt>
                <c:pt idx="5">
                  <c:v>2.0180334907685702E-2</c:v>
                </c:pt>
                <c:pt idx="6">
                  <c:v>0.13997423787033061</c:v>
                </c:pt>
                <c:pt idx="7">
                  <c:v>8.1580077286389011E-3</c:v>
                </c:pt>
                <c:pt idx="8">
                  <c:v>3.0055817947617003E-3</c:v>
                </c:pt>
                <c:pt idx="9">
                  <c:v>3.0485186775440102E-2</c:v>
                </c:pt>
                <c:pt idx="11">
                  <c:v>4.2936882782310007E-4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'24.8 Luweero-Kampala'!$AE$9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'24.8 Luweero-Kampala'!$R$10:$R$33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'24.8 Luweero-Kampala'!$AE$10:$AE$33</c:f>
              <c:numCache>
                <c:formatCode>0</c:formatCode>
                <c:ptCount val="24"/>
                <c:pt idx="0">
                  <c:v>106</c:v>
                </c:pt>
                <c:pt idx="1">
                  <c:v>142</c:v>
                </c:pt>
                <c:pt idx="2">
                  <c:v>142</c:v>
                </c:pt>
                <c:pt idx="3">
                  <c:v>171</c:v>
                </c:pt>
                <c:pt idx="4">
                  <c:v>156</c:v>
                </c:pt>
                <c:pt idx="5">
                  <c:v>161</c:v>
                </c:pt>
                <c:pt idx="6">
                  <c:v>186</c:v>
                </c:pt>
                <c:pt idx="7">
                  <c:v>200</c:v>
                </c:pt>
                <c:pt idx="8">
                  <c:v>198</c:v>
                </c:pt>
                <c:pt idx="9">
                  <c:v>209</c:v>
                </c:pt>
                <c:pt idx="10">
                  <c:v>204</c:v>
                </c:pt>
                <c:pt idx="11">
                  <c:v>218</c:v>
                </c:pt>
                <c:pt idx="12">
                  <c:v>146</c:v>
                </c:pt>
                <c:pt idx="13">
                  <c:v>115</c:v>
                </c:pt>
                <c:pt idx="14">
                  <c:v>87</c:v>
                </c:pt>
                <c:pt idx="15">
                  <c:v>63</c:v>
                </c:pt>
                <c:pt idx="16">
                  <c:v>40</c:v>
                </c:pt>
                <c:pt idx="17">
                  <c:v>33</c:v>
                </c:pt>
                <c:pt idx="18">
                  <c:v>22</c:v>
                </c:pt>
                <c:pt idx="19">
                  <c:v>17</c:v>
                </c:pt>
                <c:pt idx="20">
                  <c:v>14</c:v>
                </c:pt>
                <c:pt idx="21">
                  <c:v>10</c:v>
                </c:pt>
                <c:pt idx="22">
                  <c:v>25</c:v>
                </c:pt>
                <c:pt idx="23">
                  <c:v>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'24.8 Luweero-Kampala'!$AF$9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'24.8 Luweero-Kampala'!$R$10:$R$33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'24.8 Luweero-Kampala'!$AF$10:$AF$33</c:f>
              <c:numCache>
                <c:formatCode>0</c:formatCode>
                <c:ptCount val="24"/>
                <c:pt idx="0">
                  <c:v>277</c:v>
                </c:pt>
                <c:pt idx="1">
                  <c:v>358</c:v>
                </c:pt>
                <c:pt idx="2">
                  <c:v>380</c:v>
                </c:pt>
                <c:pt idx="3">
                  <c:v>448</c:v>
                </c:pt>
                <c:pt idx="4">
                  <c:v>375</c:v>
                </c:pt>
                <c:pt idx="5">
                  <c:v>391</c:v>
                </c:pt>
                <c:pt idx="6">
                  <c:v>406</c:v>
                </c:pt>
                <c:pt idx="7">
                  <c:v>443</c:v>
                </c:pt>
                <c:pt idx="8">
                  <c:v>432</c:v>
                </c:pt>
                <c:pt idx="9">
                  <c:v>438</c:v>
                </c:pt>
                <c:pt idx="10">
                  <c:v>511</c:v>
                </c:pt>
                <c:pt idx="11">
                  <c:v>498</c:v>
                </c:pt>
                <c:pt idx="12">
                  <c:v>383</c:v>
                </c:pt>
                <c:pt idx="13">
                  <c:v>280</c:v>
                </c:pt>
                <c:pt idx="14">
                  <c:v>175</c:v>
                </c:pt>
                <c:pt idx="15">
                  <c:v>97</c:v>
                </c:pt>
                <c:pt idx="16">
                  <c:v>56</c:v>
                </c:pt>
                <c:pt idx="17">
                  <c:v>46</c:v>
                </c:pt>
                <c:pt idx="18">
                  <c:v>27</c:v>
                </c:pt>
                <c:pt idx="19">
                  <c:v>19</c:v>
                </c:pt>
                <c:pt idx="20">
                  <c:v>17</c:v>
                </c:pt>
                <c:pt idx="21">
                  <c:v>12</c:v>
                </c:pt>
                <c:pt idx="22">
                  <c:v>29</c:v>
                </c:pt>
                <c:pt idx="23">
                  <c:v>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96966928"/>
        <c:axId val="-1896966384"/>
      </c:lineChart>
      <c:catAx>
        <c:axId val="-18969669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896966384"/>
        <c:crosses val="autoZero"/>
        <c:auto val="1"/>
        <c:lblAlgn val="ctr"/>
        <c:lblOffset val="100"/>
        <c:noMultiLvlLbl val="0"/>
      </c:catAx>
      <c:valAx>
        <c:axId val="-1896966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89696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'24.8 Luweero-Kampala'!$C$9:$N$9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'24.8 Luweero-Kampala'!$C$107:$N$107</c:f>
              <c:numCache>
                <c:formatCode>0.0%</c:formatCode>
                <c:ptCount val="12"/>
                <c:pt idx="0">
                  <c:v>7.3631519457451958E-2</c:v>
                </c:pt>
                <c:pt idx="1">
                  <c:v>4.5212336508961733E-3</c:v>
                </c:pt>
                <c:pt idx="2">
                  <c:v>0.13079283061521071</c:v>
                </c:pt>
                <c:pt idx="3">
                  <c:v>0.11190053285968028</c:v>
                </c:pt>
                <c:pt idx="4">
                  <c:v>6.4589052155659618E-3</c:v>
                </c:pt>
                <c:pt idx="5">
                  <c:v>1.2917810431131924E-2</c:v>
                </c:pt>
                <c:pt idx="6">
                  <c:v>6.6849668981107696E-2</c:v>
                </c:pt>
                <c:pt idx="7">
                  <c:v>5.0056515420636204E-3</c:v>
                </c:pt>
                <c:pt idx="8">
                  <c:v>2.4220894558372357E-3</c:v>
                </c:pt>
                <c:pt idx="9">
                  <c:v>2.6158566123042144E-2</c:v>
                </c:pt>
                <c:pt idx="10">
                  <c:v>0.55934119166801222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'24.8 Luweero-Kampala'!$C$9:$N$9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'24.8 Luweero-Kampala'!$C$108:$N$108</c:f>
              <c:numCache>
                <c:formatCode>0.00%</c:formatCode>
                <c:ptCount val="12"/>
                <c:pt idx="0">
                  <c:v>0.16709417368999632</c:v>
                </c:pt>
                <c:pt idx="1">
                  <c:v>1.0260168559912056E-2</c:v>
                </c:pt>
                <c:pt idx="2">
                  <c:v>0.29681201905459875</c:v>
                </c:pt>
                <c:pt idx="3">
                  <c:v>0.25393917185782339</c:v>
                </c:pt>
                <c:pt idx="4">
                  <c:v>1.4657383657017223E-2</c:v>
                </c:pt>
                <c:pt idx="5">
                  <c:v>2.9314767314034446E-2</c:v>
                </c:pt>
                <c:pt idx="6">
                  <c:v>0.15170392085012827</c:v>
                </c:pt>
                <c:pt idx="7">
                  <c:v>1.1359472334188348E-2</c:v>
                </c:pt>
                <c:pt idx="8">
                  <c:v>5.496518871381458E-3</c:v>
                </c:pt>
                <c:pt idx="9">
                  <c:v>5.9362403810919749E-2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'24.8 Kampala-Luweero'!$AE$9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'24.8 Kampala-Luweero'!$R$10:$R$33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'24.8 Kampala-Luweero'!$AE$10:$AE$33</c:f>
              <c:numCache>
                <c:formatCode>0</c:formatCode>
                <c:ptCount val="24"/>
                <c:pt idx="0">
                  <c:v>157</c:v>
                </c:pt>
                <c:pt idx="1">
                  <c:v>184</c:v>
                </c:pt>
                <c:pt idx="2">
                  <c:v>213</c:v>
                </c:pt>
                <c:pt idx="3">
                  <c:v>226</c:v>
                </c:pt>
                <c:pt idx="4">
                  <c:v>203</c:v>
                </c:pt>
                <c:pt idx="5">
                  <c:v>230</c:v>
                </c:pt>
                <c:pt idx="6">
                  <c:v>215</c:v>
                </c:pt>
                <c:pt idx="7">
                  <c:v>198</c:v>
                </c:pt>
                <c:pt idx="8">
                  <c:v>199</c:v>
                </c:pt>
                <c:pt idx="9">
                  <c:v>195</c:v>
                </c:pt>
                <c:pt idx="10">
                  <c:v>178</c:v>
                </c:pt>
                <c:pt idx="11">
                  <c:v>166</c:v>
                </c:pt>
                <c:pt idx="12">
                  <c:v>146</c:v>
                </c:pt>
                <c:pt idx="13">
                  <c:v>115</c:v>
                </c:pt>
                <c:pt idx="14">
                  <c:v>87</c:v>
                </c:pt>
                <c:pt idx="15">
                  <c:v>63</c:v>
                </c:pt>
                <c:pt idx="16">
                  <c:v>40</c:v>
                </c:pt>
                <c:pt idx="17">
                  <c:v>33</c:v>
                </c:pt>
                <c:pt idx="18">
                  <c:v>22</c:v>
                </c:pt>
                <c:pt idx="19">
                  <c:v>17</c:v>
                </c:pt>
                <c:pt idx="20">
                  <c:v>14</c:v>
                </c:pt>
                <c:pt idx="21">
                  <c:v>10</c:v>
                </c:pt>
                <c:pt idx="22">
                  <c:v>25</c:v>
                </c:pt>
                <c:pt idx="23">
                  <c:v>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'24.8 Kampala-Luweero'!$AF$9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'24.8 Kampala-Luweero'!$R$10:$R$33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'24.8 Kampala-Luweero'!$AF$10:$AF$33</c:f>
              <c:numCache>
                <c:formatCode>0</c:formatCode>
                <c:ptCount val="24"/>
                <c:pt idx="0">
                  <c:v>399</c:v>
                </c:pt>
                <c:pt idx="1">
                  <c:v>446</c:v>
                </c:pt>
                <c:pt idx="2">
                  <c:v>477</c:v>
                </c:pt>
                <c:pt idx="3">
                  <c:v>486</c:v>
                </c:pt>
                <c:pt idx="4">
                  <c:v>437</c:v>
                </c:pt>
                <c:pt idx="5">
                  <c:v>489</c:v>
                </c:pt>
                <c:pt idx="6">
                  <c:v>448</c:v>
                </c:pt>
                <c:pt idx="7">
                  <c:v>406</c:v>
                </c:pt>
                <c:pt idx="8">
                  <c:v>439</c:v>
                </c:pt>
                <c:pt idx="9">
                  <c:v>428</c:v>
                </c:pt>
                <c:pt idx="10">
                  <c:v>489</c:v>
                </c:pt>
                <c:pt idx="11">
                  <c:v>479</c:v>
                </c:pt>
                <c:pt idx="12">
                  <c:v>383</c:v>
                </c:pt>
                <c:pt idx="13">
                  <c:v>280</c:v>
                </c:pt>
                <c:pt idx="14">
                  <c:v>175</c:v>
                </c:pt>
                <c:pt idx="15">
                  <c:v>97</c:v>
                </c:pt>
                <c:pt idx="16">
                  <c:v>56</c:v>
                </c:pt>
                <c:pt idx="17">
                  <c:v>46</c:v>
                </c:pt>
                <c:pt idx="18">
                  <c:v>27</c:v>
                </c:pt>
                <c:pt idx="19">
                  <c:v>19</c:v>
                </c:pt>
                <c:pt idx="20">
                  <c:v>17</c:v>
                </c:pt>
                <c:pt idx="21">
                  <c:v>12</c:v>
                </c:pt>
                <c:pt idx="22">
                  <c:v>29</c:v>
                </c:pt>
                <c:pt idx="23">
                  <c:v>113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96963664"/>
        <c:axId val="-1896956048"/>
      </c:lineChart>
      <c:catAx>
        <c:axId val="-1896963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896956048"/>
        <c:crosses val="autoZero"/>
        <c:auto val="1"/>
        <c:lblAlgn val="ctr"/>
        <c:lblOffset val="100"/>
        <c:noMultiLvlLbl val="0"/>
      </c:catAx>
      <c:valAx>
        <c:axId val="-18969560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896963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'24.8 Kampala-Luweero'!$C$9:$N$9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'24.8 Kampala-Luweero'!$C$107:$N$107</c:f>
              <c:numCache>
                <c:formatCode>0.0%</c:formatCode>
                <c:ptCount val="12"/>
                <c:pt idx="0">
                  <c:v>8.5517447955668707E-2</c:v>
                </c:pt>
                <c:pt idx="1">
                  <c:v>4.0587090010483752E-2</c:v>
                </c:pt>
                <c:pt idx="2">
                  <c:v>9.0609555189456348E-2</c:v>
                </c:pt>
                <c:pt idx="3">
                  <c:v>0.1141231091807698</c:v>
                </c:pt>
                <c:pt idx="4">
                  <c:v>7.0390894114123106E-3</c:v>
                </c:pt>
                <c:pt idx="5">
                  <c:v>1.3628875243372772E-2</c:v>
                </c:pt>
                <c:pt idx="6">
                  <c:v>7.1289501273026815E-2</c:v>
                </c:pt>
                <c:pt idx="7">
                  <c:v>5.6911786730567621E-3</c:v>
                </c:pt>
                <c:pt idx="8">
                  <c:v>2.2465178972592482E-3</c:v>
                </c:pt>
                <c:pt idx="9">
                  <c:v>2.1267036094054215E-2</c:v>
                </c:pt>
                <c:pt idx="10">
                  <c:v>0.54770106335180468</c:v>
                </c:pt>
                <c:pt idx="11">
                  <c:v>2.9953571963456643E-4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'24.8 Kampala-Luweero'!$C$9:$N$9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'24.8 Kampala-Luweero'!$C$108:$N$108</c:f>
              <c:numCache>
                <c:formatCode>0.00%</c:formatCode>
                <c:ptCount val="12"/>
                <c:pt idx="0">
                  <c:v>0.18907284768211921</c:v>
                </c:pt>
                <c:pt idx="1">
                  <c:v>8.9735099337748342E-2</c:v>
                </c:pt>
                <c:pt idx="2">
                  <c:v>0.20033112582781457</c:v>
                </c:pt>
                <c:pt idx="3">
                  <c:v>0.25231788079470197</c:v>
                </c:pt>
                <c:pt idx="4">
                  <c:v>1.5562913907284768E-2</c:v>
                </c:pt>
                <c:pt idx="5">
                  <c:v>3.0132450331125826E-2</c:v>
                </c:pt>
                <c:pt idx="6">
                  <c:v>0.15761589403973511</c:v>
                </c:pt>
                <c:pt idx="7">
                  <c:v>1.2582781456953643E-2</c:v>
                </c:pt>
                <c:pt idx="8">
                  <c:v>4.9668874172185433E-3</c:v>
                </c:pt>
                <c:pt idx="9">
                  <c:v>4.7019867549668873E-2</c:v>
                </c:pt>
                <c:pt idx="11">
                  <c:v>6.6225165562913907E-4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'25.8 Kampala-Luweero 24Hrs'!$AE$9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'25.8 Kampala-Luweero 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'25.8 Kampala-Luweero 24Hrs'!$AE$10:$AE$33</c:f>
              <c:numCache>
                <c:formatCode>0</c:formatCode>
                <c:ptCount val="24"/>
                <c:pt idx="0">
                  <c:v>104</c:v>
                </c:pt>
                <c:pt idx="1">
                  <c:v>147</c:v>
                </c:pt>
                <c:pt idx="2">
                  <c:v>199</c:v>
                </c:pt>
                <c:pt idx="3">
                  <c:v>191</c:v>
                </c:pt>
                <c:pt idx="4">
                  <c:v>218</c:v>
                </c:pt>
                <c:pt idx="5">
                  <c:v>254</c:v>
                </c:pt>
                <c:pt idx="6">
                  <c:v>267</c:v>
                </c:pt>
                <c:pt idx="7">
                  <c:v>239</c:v>
                </c:pt>
                <c:pt idx="8">
                  <c:v>196</c:v>
                </c:pt>
                <c:pt idx="9">
                  <c:v>200</c:v>
                </c:pt>
                <c:pt idx="10">
                  <c:v>183</c:v>
                </c:pt>
                <c:pt idx="11">
                  <c:v>155</c:v>
                </c:pt>
                <c:pt idx="12">
                  <c:v>146</c:v>
                </c:pt>
                <c:pt idx="13">
                  <c:v>115</c:v>
                </c:pt>
                <c:pt idx="14">
                  <c:v>87</c:v>
                </c:pt>
                <c:pt idx="15">
                  <c:v>63</c:v>
                </c:pt>
                <c:pt idx="16">
                  <c:v>40</c:v>
                </c:pt>
                <c:pt idx="17">
                  <c:v>33</c:v>
                </c:pt>
                <c:pt idx="18">
                  <c:v>22</c:v>
                </c:pt>
                <c:pt idx="19">
                  <c:v>17</c:v>
                </c:pt>
                <c:pt idx="20">
                  <c:v>14</c:v>
                </c:pt>
                <c:pt idx="21">
                  <c:v>10</c:v>
                </c:pt>
                <c:pt idx="22">
                  <c:v>25</c:v>
                </c:pt>
                <c:pt idx="23">
                  <c:v>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'25.8 Kampala-Luweero 24Hrs'!$AF$9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'25.8 Kampala-Luweero 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'25.8 Kampala-Luweero 24Hrs'!$AF$10:$AF$33</c:f>
              <c:numCache>
                <c:formatCode>0</c:formatCode>
                <c:ptCount val="24"/>
                <c:pt idx="0">
                  <c:v>307</c:v>
                </c:pt>
                <c:pt idx="1">
                  <c:v>405</c:v>
                </c:pt>
                <c:pt idx="2">
                  <c:v>510</c:v>
                </c:pt>
                <c:pt idx="3">
                  <c:v>493</c:v>
                </c:pt>
                <c:pt idx="4">
                  <c:v>509</c:v>
                </c:pt>
                <c:pt idx="5">
                  <c:v>480</c:v>
                </c:pt>
                <c:pt idx="6">
                  <c:v>527</c:v>
                </c:pt>
                <c:pt idx="7">
                  <c:v>486</c:v>
                </c:pt>
                <c:pt idx="8">
                  <c:v>468</c:v>
                </c:pt>
                <c:pt idx="9">
                  <c:v>481</c:v>
                </c:pt>
                <c:pt idx="10">
                  <c:v>486</c:v>
                </c:pt>
                <c:pt idx="11">
                  <c:v>437</c:v>
                </c:pt>
                <c:pt idx="12">
                  <c:v>383</c:v>
                </c:pt>
                <c:pt idx="13">
                  <c:v>280</c:v>
                </c:pt>
                <c:pt idx="14">
                  <c:v>175</c:v>
                </c:pt>
                <c:pt idx="15">
                  <c:v>97</c:v>
                </c:pt>
                <c:pt idx="16">
                  <c:v>56</c:v>
                </c:pt>
                <c:pt idx="17">
                  <c:v>46</c:v>
                </c:pt>
                <c:pt idx="18">
                  <c:v>27</c:v>
                </c:pt>
                <c:pt idx="19">
                  <c:v>19</c:v>
                </c:pt>
                <c:pt idx="20">
                  <c:v>17</c:v>
                </c:pt>
                <c:pt idx="21">
                  <c:v>12</c:v>
                </c:pt>
                <c:pt idx="22">
                  <c:v>29</c:v>
                </c:pt>
                <c:pt idx="23">
                  <c:v>102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95302304"/>
        <c:axId val="-1895295776"/>
      </c:lineChart>
      <c:catAx>
        <c:axId val="-18953023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895295776"/>
        <c:crosses val="autoZero"/>
        <c:auto val="1"/>
        <c:lblAlgn val="ctr"/>
        <c:lblOffset val="100"/>
        <c:noMultiLvlLbl val="0"/>
      </c:catAx>
      <c:valAx>
        <c:axId val="-1895295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895302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'25.8 Kampala-Luweero 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'25.8 Kampala-Luweero 24Hrs'!$C$107:$N$107</c:f>
              <c:numCache>
                <c:formatCode>0.0%</c:formatCode>
                <c:ptCount val="12"/>
                <c:pt idx="0">
                  <c:v>8.4309133489461355E-2</c:v>
                </c:pt>
                <c:pt idx="1">
                  <c:v>4.8302107728337238E-3</c:v>
                </c:pt>
                <c:pt idx="2">
                  <c:v>0.12309718969555035</c:v>
                </c:pt>
                <c:pt idx="3">
                  <c:v>0.11665690866510539</c:v>
                </c:pt>
                <c:pt idx="4">
                  <c:v>6.4402810304449651E-3</c:v>
                </c:pt>
                <c:pt idx="5">
                  <c:v>1.288056206088993E-2</c:v>
                </c:pt>
                <c:pt idx="6">
                  <c:v>6.6159250585480098E-2</c:v>
                </c:pt>
                <c:pt idx="7">
                  <c:v>3.5128805620608899E-3</c:v>
                </c:pt>
                <c:pt idx="8">
                  <c:v>2.34192037470726E-3</c:v>
                </c:pt>
                <c:pt idx="9">
                  <c:v>1.8588992974238876E-2</c:v>
                </c:pt>
                <c:pt idx="10">
                  <c:v>0.56118266978922715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'25.8 Kampala-Luweero 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'25.8 Kampala-Luweero 24Hrs'!$C$108:$N$108</c:f>
              <c:numCache>
                <c:formatCode>0.00%</c:formatCode>
                <c:ptCount val="12"/>
                <c:pt idx="0">
                  <c:v>0.19212808539026016</c:v>
                </c:pt>
                <c:pt idx="1">
                  <c:v>1.1007338225483656E-2</c:v>
                </c:pt>
                <c:pt idx="2">
                  <c:v>0.28052034689793193</c:v>
                </c:pt>
                <c:pt idx="3">
                  <c:v>0.26584389593062041</c:v>
                </c:pt>
                <c:pt idx="4">
                  <c:v>1.4676450967311541E-2</c:v>
                </c:pt>
                <c:pt idx="5">
                  <c:v>2.9352901934623081E-2</c:v>
                </c:pt>
                <c:pt idx="6">
                  <c:v>0.15076717811874582</c:v>
                </c:pt>
                <c:pt idx="7">
                  <c:v>8.0053368912608412E-3</c:v>
                </c:pt>
                <c:pt idx="8">
                  <c:v>5.3368912608405599E-3</c:v>
                </c:pt>
                <c:pt idx="9">
                  <c:v>4.236157438292195E-2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'25.8 Luwero-Kampala-24 HRS'!$AE$9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'25.8 Luwero-Kampala-24 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'25.8 Luwero-Kampala-24 HRS'!$AE$10:$AE$33</c:f>
              <c:numCache>
                <c:formatCode>0</c:formatCode>
                <c:ptCount val="24"/>
                <c:pt idx="0">
                  <c:v>97</c:v>
                </c:pt>
                <c:pt idx="1">
                  <c:v>103</c:v>
                </c:pt>
                <c:pt idx="2">
                  <c:v>134</c:v>
                </c:pt>
                <c:pt idx="3">
                  <c:v>141</c:v>
                </c:pt>
                <c:pt idx="4">
                  <c:v>169</c:v>
                </c:pt>
                <c:pt idx="5">
                  <c:v>150</c:v>
                </c:pt>
                <c:pt idx="6">
                  <c:v>187</c:v>
                </c:pt>
                <c:pt idx="7">
                  <c:v>207</c:v>
                </c:pt>
                <c:pt idx="8">
                  <c:v>214</c:v>
                </c:pt>
                <c:pt idx="9">
                  <c:v>250</c:v>
                </c:pt>
                <c:pt idx="10">
                  <c:v>275</c:v>
                </c:pt>
                <c:pt idx="11">
                  <c:v>279</c:v>
                </c:pt>
                <c:pt idx="12">
                  <c:v>181</c:v>
                </c:pt>
                <c:pt idx="13">
                  <c:v>137</c:v>
                </c:pt>
                <c:pt idx="14">
                  <c:v>92</c:v>
                </c:pt>
                <c:pt idx="15">
                  <c:v>64</c:v>
                </c:pt>
                <c:pt idx="16">
                  <c:v>40</c:v>
                </c:pt>
                <c:pt idx="17">
                  <c:v>33</c:v>
                </c:pt>
                <c:pt idx="18">
                  <c:v>22</c:v>
                </c:pt>
                <c:pt idx="19">
                  <c:v>17</c:v>
                </c:pt>
                <c:pt idx="20">
                  <c:v>14</c:v>
                </c:pt>
                <c:pt idx="21">
                  <c:v>9</c:v>
                </c:pt>
                <c:pt idx="22">
                  <c:v>24</c:v>
                </c:pt>
                <c:pt idx="23">
                  <c:v>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'25.8 Luwero-Kampala-24 HRS'!$AF$9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'25.8 Luwero-Kampala-24 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'25.8 Luwero-Kampala-24 HRS'!$AF$10:$AF$33</c:f>
              <c:numCache>
                <c:formatCode>0</c:formatCode>
                <c:ptCount val="24"/>
                <c:pt idx="0">
                  <c:v>258</c:v>
                </c:pt>
                <c:pt idx="1">
                  <c:v>322</c:v>
                </c:pt>
                <c:pt idx="2">
                  <c:v>400</c:v>
                </c:pt>
                <c:pt idx="3">
                  <c:v>408</c:v>
                </c:pt>
                <c:pt idx="4">
                  <c:v>438</c:v>
                </c:pt>
                <c:pt idx="5">
                  <c:v>392</c:v>
                </c:pt>
                <c:pt idx="6">
                  <c:v>464</c:v>
                </c:pt>
                <c:pt idx="7">
                  <c:v>488</c:v>
                </c:pt>
                <c:pt idx="8">
                  <c:v>466</c:v>
                </c:pt>
                <c:pt idx="9">
                  <c:v>524</c:v>
                </c:pt>
                <c:pt idx="10">
                  <c:v>583</c:v>
                </c:pt>
                <c:pt idx="11">
                  <c:v>544</c:v>
                </c:pt>
                <c:pt idx="12">
                  <c:v>418</c:v>
                </c:pt>
                <c:pt idx="13">
                  <c:v>302</c:v>
                </c:pt>
                <c:pt idx="14">
                  <c:v>180</c:v>
                </c:pt>
                <c:pt idx="15">
                  <c:v>98</c:v>
                </c:pt>
                <c:pt idx="16">
                  <c:v>56</c:v>
                </c:pt>
                <c:pt idx="17">
                  <c:v>46</c:v>
                </c:pt>
                <c:pt idx="18">
                  <c:v>27</c:v>
                </c:pt>
                <c:pt idx="19">
                  <c:v>19</c:v>
                </c:pt>
                <c:pt idx="20">
                  <c:v>17</c:v>
                </c:pt>
                <c:pt idx="21">
                  <c:v>11</c:v>
                </c:pt>
                <c:pt idx="22">
                  <c:v>28</c:v>
                </c:pt>
                <c:pt idx="23">
                  <c:v>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95306112"/>
        <c:axId val="-1895301216"/>
      </c:lineChart>
      <c:catAx>
        <c:axId val="-18953061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895301216"/>
        <c:crosses val="autoZero"/>
        <c:auto val="1"/>
        <c:lblAlgn val="ctr"/>
        <c:lblOffset val="100"/>
        <c:noMultiLvlLbl val="0"/>
      </c:catAx>
      <c:valAx>
        <c:axId val="-18953012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89530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'25.8 Luwero-Kampala-24 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'25.8 Luwero-Kampala-24 HRS'!$C$107:$N$107</c:f>
              <c:numCache>
                <c:formatCode>0.0%</c:formatCode>
                <c:ptCount val="12"/>
                <c:pt idx="0">
                  <c:v>8.463997564317248E-2</c:v>
                </c:pt>
                <c:pt idx="1">
                  <c:v>4.1102146445425487E-3</c:v>
                </c:pt>
                <c:pt idx="2">
                  <c:v>0.12421982036839702</c:v>
                </c:pt>
                <c:pt idx="3">
                  <c:v>0.11736946262749277</c:v>
                </c:pt>
                <c:pt idx="4">
                  <c:v>7.1548180849444363E-3</c:v>
                </c:pt>
                <c:pt idx="5">
                  <c:v>1.2635104277667834E-2</c:v>
                </c:pt>
                <c:pt idx="6">
                  <c:v>6.3479981732379356E-2</c:v>
                </c:pt>
                <c:pt idx="7">
                  <c:v>4.4146749885827369E-3</c:v>
                </c:pt>
                <c:pt idx="8">
                  <c:v>1.8267620642411326E-3</c:v>
                </c:pt>
                <c:pt idx="9">
                  <c:v>1.9942152534632364E-2</c:v>
                </c:pt>
                <c:pt idx="10">
                  <c:v>0.56020703303394737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'25.8 Luwero-Kampala-24 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'25.8 Luwero-Kampala-24 HRS'!$C$108:$N$108</c:f>
              <c:numCache>
                <c:formatCode>0.00%</c:formatCode>
                <c:ptCount val="12"/>
                <c:pt idx="0">
                  <c:v>0.19245413637937003</c:v>
                </c:pt>
                <c:pt idx="1">
                  <c:v>9.3457943925233638E-3</c:v>
                </c:pt>
                <c:pt idx="2">
                  <c:v>0.28245067497403947</c:v>
                </c:pt>
                <c:pt idx="3">
                  <c:v>0.26687435098650053</c:v>
                </c:pt>
                <c:pt idx="4">
                  <c:v>1.6268605053651783E-2</c:v>
                </c:pt>
                <c:pt idx="5">
                  <c:v>2.8729664243682937E-2</c:v>
                </c:pt>
                <c:pt idx="6">
                  <c:v>0.14434060228452752</c:v>
                </c:pt>
                <c:pt idx="7">
                  <c:v>1.0038075458636206E-2</c:v>
                </c:pt>
                <c:pt idx="8">
                  <c:v>4.1536863966770508E-3</c:v>
                </c:pt>
                <c:pt idx="9">
                  <c:v>4.534440983039114E-2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'26.8 Kampala-Luweero'!$AE$9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'26.8 Kampala-Luweero'!$R$10:$R$21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'26.8 Kampala-Luweero'!$AE$10:$AE$21</c:f>
              <c:numCache>
                <c:formatCode>0</c:formatCode>
                <c:ptCount val="12"/>
                <c:pt idx="0">
                  <c:v>147</c:v>
                </c:pt>
                <c:pt idx="1">
                  <c:v>191</c:v>
                </c:pt>
                <c:pt idx="2">
                  <c:v>219</c:v>
                </c:pt>
                <c:pt idx="3">
                  <c:v>213</c:v>
                </c:pt>
                <c:pt idx="4">
                  <c:v>250</c:v>
                </c:pt>
                <c:pt idx="5">
                  <c:v>234</c:v>
                </c:pt>
                <c:pt idx="6">
                  <c:v>232</c:v>
                </c:pt>
                <c:pt idx="7">
                  <c:v>230</c:v>
                </c:pt>
                <c:pt idx="8">
                  <c:v>224</c:v>
                </c:pt>
                <c:pt idx="9">
                  <c:v>234</c:v>
                </c:pt>
                <c:pt idx="10">
                  <c:v>234</c:v>
                </c:pt>
                <c:pt idx="11">
                  <c:v>206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'26.8 Kampala-Luweero'!$AF$9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'26.8 Kampala-Luweero'!$R$10:$R$21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'26.8 Kampala-Luweero'!$AF$10:$AF$21</c:f>
              <c:numCache>
                <c:formatCode>0</c:formatCode>
                <c:ptCount val="12"/>
                <c:pt idx="0">
                  <c:v>314</c:v>
                </c:pt>
                <c:pt idx="1">
                  <c:v>462</c:v>
                </c:pt>
                <c:pt idx="2">
                  <c:v>552</c:v>
                </c:pt>
                <c:pt idx="3">
                  <c:v>526</c:v>
                </c:pt>
                <c:pt idx="4">
                  <c:v>584</c:v>
                </c:pt>
                <c:pt idx="5">
                  <c:v>503</c:v>
                </c:pt>
                <c:pt idx="6">
                  <c:v>480</c:v>
                </c:pt>
                <c:pt idx="7">
                  <c:v>508</c:v>
                </c:pt>
                <c:pt idx="8">
                  <c:v>377</c:v>
                </c:pt>
                <c:pt idx="9">
                  <c:v>522</c:v>
                </c:pt>
                <c:pt idx="10">
                  <c:v>540</c:v>
                </c:pt>
                <c:pt idx="11">
                  <c:v>473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95299584"/>
        <c:axId val="-1895307744"/>
      </c:lineChart>
      <c:catAx>
        <c:axId val="-18952995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895307744"/>
        <c:crosses val="autoZero"/>
        <c:auto val="1"/>
        <c:lblAlgn val="ctr"/>
        <c:lblOffset val="100"/>
        <c:noMultiLvlLbl val="0"/>
      </c:catAx>
      <c:valAx>
        <c:axId val="-18953077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895299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'26.8 Kampala-Luweero'!$C$9:$N$9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'26.8 Kampala-Luweero'!$C$59:$N$59</c:f>
              <c:numCache>
                <c:formatCode>0.0%</c:formatCode>
                <c:ptCount val="12"/>
                <c:pt idx="0">
                  <c:v>8.217770929635336E-2</c:v>
                </c:pt>
                <c:pt idx="1">
                  <c:v>0</c:v>
                </c:pt>
                <c:pt idx="2">
                  <c:v>0.13405238828967642</c:v>
                </c:pt>
                <c:pt idx="3">
                  <c:v>0.13405238828967642</c:v>
                </c:pt>
                <c:pt idx="4">
                  <c:v>8.5601780517034754E-4</c:v>
                </c:pt>
                <c:pt idx="5">
                  <c:v>1.0101010101010102E-2</c:v>
                </c:pt>
                <c:pt idx="6">
                  <c:v>6.8481424413627799E-4</c:v>
                </c:pt>
                <c:pt idx="7">
                  <c:v>7.0364663585002568E-2</c:v>
                </c:pt>
                <c:pt idx="8">
                  <c:v>4.6224961479198771E-3</c:v>
                </c:pt>
                <c:pt idx="9">
                  <c:v>1.061462078411231E-2</c:v>
                </c:pt>
                <c:pt idx="10">
                  <c:v>0.55247389145694226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'26.8 Kampala-Luweero'!$S$9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'26.8 Kampala-Luweero'!$R$10:$R$21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'26.8 Kampala-Luweero'!$S$10:$S$21</c:f>
              <c:numCache>
                <c:formatCode>0</c:formatCode>
                <c:ptCount val="12"/>
                <c:pt idx="0">
                  <c:v>44</c:v>
                </c:pt>
                <c:pt idx="1">
                  <c:v>51</c:v>
                </c:pt>
                <c:pt idx="2">
                  <c:v>45</c:v>
                </c:pt>
                <c:pt idx="3">
                  <c:v>43</c:v>
                </c:pt>
                <c:pt idx="4">
                  <c:v>58</c:v>
                </c:pt>
                <c:pt idx="5">
                  <c:v>52</c:v>
                </c:pt>
                <c:pt idx="6">
                  <c:v>37</c:v>
                </c:pt>
                <c:pt idx="7">
                  <c:v>32</c:v>
                </c:pt>
                <c:pt idx="8">
                  <c:v>20</c:v>
                </c:pt>
                <c:pt idx="9">
                  <c:v>27</c:v>
                </c:pt>
                <c:pt idx="10">
                  <c:v>40</c:v>
                </c:pt>
                <c:pt idx="11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'26.8 Kampala-Luweero'!$T$9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'26.8 Kampala-Luweero'!$R$10:$R$21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'26.8 Kampala-Luweero'!$T$10:$T$21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'26.8 Kampala-Luweero'!$U$9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'26.8 Kampala-Luweero'!$U$10:$U$21</c:f>
              <c:numCache>
                <c:formatCode>0</c:formatCode>
                <c:ptCount val="12"/>
                <c:pt idx="0">
                  <c:v>28</c:v>
                </c:pt>
                <c:pt idx="1">
                  <c:v>48</c:v>
                </c:pt>
                <c:pt idx="2">
                  <c:v>58</c:v>
                </c:pt>
                <c:pt idx="3">
                  <c:v>71</c:v>
                </c:pt>
                <c:pt idx="4">
                  <c:v>73</c:v>
                </c:pt>
                <c:pt idx="5">
                  <c:v>63</c:v>
                </c:pt>
                <c:pt idx="6">
                  <c:v>76</c:v>
                </c:pt>
                <c:pt idx="7">
                  <c:v>68</c:v>
                </c:pt>
                <c:pt idx="8">
                  <c:v>79</c:v>
                </c:pt>
                <c:pt idx="9">
                  <c:v>78</c:v>
                </c:pt>
                <c:pt idx="10">
                  <c:v>72</c:v>
                </c:pt>
                <c:pt idx="11">
                  <c:v>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'26.8 Kampala-Luweero'!$V$9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'26.8 Kampala-Luweero'!$V$10:$V$21</c:f>
              <c:numCache>
                <c:formatCode>0</c:formatCode>
                <c:ptCount val="12"/>
                <c:pt idx="0">
                  <c:v>36</c:v>
                </c:pt>
                <c:pt idx="1">
                  <c:v>55</c:v>
                </c:pt>
                <c:pt idx="2">
                  <c:v>81</c:v>
                </c:pt>
                <c:pt idx="3">
                  <c:v>58</c:v>
                </c:pt>
                <c:pt idx="4">
                  <c:v>75</c:v>
                </c:pt>
                <c:pt idx="5">
                  <c:v>69</c:v>
                </c:pt>
                <c:pt idx="6">
                  <c:v>74</c:v>
                </c:pt>
                <c:pt idx="7">
                  <c:v>74</c:v>
                </c:pt>
                <c:pt idx="8">
                  <c:v>74</c:v>
                </c:pt>
                <c:pt idx="9">
                  <c:v>67</c:v>
                </c:pt>
                <c:pt idx="10">
                  <c:v>60</c:v>
                </c:pt>
                <c:pt idx="11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'26.8 Kampala-Luweero'!$W$9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'26.8 Kampala-Luweero'!$W$10:$W$21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'26.8 Kampala-Luweero'!$X$9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'26.8 Kampala-Luweero'!$X$10:$X$21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5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8</c:v>
                </c:pt>
                <c:pt idx="8">
                  <c:v>7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'26.8 Kampala-Luweero'!$Y$9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'26.8 Kampala-Luweero'!$Y$10:$Y$21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'26.8 Kampala-Luweero'!$Z$9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'26.8 Kampala-Luweero'!$Z$10:$Z$21</c:f>
              <c:numCache>
                <c:formatCode>0</c:formatCode>
                <c:ptCount val="12"/>
                <c:pt idx="0">
                  <c:v>32</c:v>
                </c:pt>
                <c:pt idx="1">
                  <c:v>30</c:v>
                </c:pt>
                <c:pt idx="2">
                  <c:v>28</c:v>
                </c:pt>
                <c:pt idx="3">
                  <c:v>33</c:v>
                </c:pt>
                <c:pt idx="4">
                  <c:v>35</c:v>
                </c:pt>
                <c:pt idx="5">
                  <c:v>33</c:v>
                </c:pt>
                <c:pt idx="6">
                  <c:v>29</c:v>
                </c:pt>
                <c:pt idx="7">
                  <c:v>33</c:v>
                </c:pt>
                <c:pt idx="8">
                  <c:v>38</c:v>
                </c:pt>
                <c:pt idx="9">
                  <c:v>40</c:v>
                </c:pt>
                <c:pt idx="10">
                  <c:v>49</c:v>
                </c:pt>
                <c:pt idx="1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'26.8 Kampala-Luweero'!$AA$9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'26.8 Kampala-Luweero'!$AA$10:$AA$21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4</c:v>
                </c:pt>
                <c:pt idx="6">
                  <c:v>0</c:v>
                </c:pt>
                <c:pt idx="7">
                  <c:v>4</c:v>
                </c:pt>
                <c:pt idx="8">
                  <c:v>1</c:v>
                </c:pt>
                <c:pt idx="9">
                  <c:v>4</c:v>
                </c:pt>
                <c:pt idx="10">
                  <c:v>3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'26.8 Kampala-Luweero'!$AB$9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'26.8 Kampala-Luweero'!$AB$10:$AB$21</c:f>
              <c:numCache>
                <c:formatCode>0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9</c:v>
                </c:pt>
                <c:pt idx="8">
                  <c:v>5</c:v>
                </c:pt>
                <c:pt idx="9">
                  <c:v>14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'26.8 Kampala-Luweero'!$AC$9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'26.8 Kampala-Luweero'!$AC$10:$AC$21</c:f>
              <c:numCache>
                <c:formatCode>0</c:formatCode>
                <c:ptCount val="12"/>
                <c:pt idx="0">
                  <c:v>167</c:v>
                </c:pt>
                <c:pt idx="1">
                  <c:v>271</c:v>
                </c:pt>
                <c:pt idx="2">
                  <c:v>333</c:v>
                </c:pt>
                <c:pt idx="3">
                  <c:v>313</c:v>
                </c:pt>
                <c:pt idx="4">
                  <c:v>334</c:v>
                </c:pt>
                <c:pt idx="5">
                  <c:v>269</c:v>
                </c:pt>
                <c:pt idx="6">
                  <c:v>248</c:v>
                </c:pt>
                <c:pt idx="7">
                  <c:v>278</c:v>
                </c:pt>
                <c:pt idx="8">
                  <c:v>153</c:v>
                </c:pt>
                <c:pt idx="9">
                  <c:v>288</c:v>
                </c:pt>
                <c:pt idx="10">
                  <c:v>306</c:v>
                </c:pt>
                <c:pt idx="11">
                  <c:v>267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'26.8 Kampala-Luweero'!$AD$9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'26.8 Kampala-Luweero'!$AD$10:$AD$21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895297952"/>
        <c:axId val="-1895297408"/>
      </c:lineChart>
      <c:catAx>
        <c:axId val="-189529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895297408"/>
        <c:crosses val="autoZero"/>
        <c:auto val="1"/>
        <c:lblAlgn val="ctr"/>
        <c:lblOffset val="100"/>
        <c:noMultiLvlLbl val="0"/>
      </c:catAx>
      <c:valAx>
        <c:axId val="-1895297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89529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'26.8 Kampala-Luweero'!$C$9:$N$9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'26.8 Kampala-Luweero'!$C$60:$N$60</c:f>
              <c:numCache>
                <c:formatCode>0.00%</c:formatCode>
                <c:ptCount val="12"/>
                <c:pt idx="0">
                  <c:v>0.18362662586074982</c:v>
                </c:pt>
                <c:pt idx="1">
                  <c:v>0</c:v>
                </c:pt>
                <c:pt idx="2">
                  <c:v>0.2995409334353481</c:v>
                </c:pt>
                <c:pt idx="3">
                  <c:v>0.2995409334353481</c:v>
                </c:pt>
                <c:pt idx="4">
                  <c:v>1.9127773527161439E-3</c:v>
                </c:pt>
                <c:pt idx="5">
                  <c:v>2.2570772762050498E-2</c:v>
                </c:pt>
                <c:pt idx="6">
                  <c:v>1.530221882172915E-3</c:v>
                </c:pt>
                <c:pt idx="7">
                  <c:v>0.15723029839326702</c:v>
                </c:pt>
                <c:pt idx="8">
                  <c:v>1.0328997704667177E-2</c:v>
                </c:pt>
                <c:pt idx="9">
                  <c:v>2.3718439173680182E-2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'26.8 Luweero-Kampala'!$AE$9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'26.8 Luweero-Kampala'!$R$10:$R$21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'26.8 Luweero-Kampala'!$AE$10:$AE$21</c:f>
              <c:numCache>
                <c:formatCode>0</c:formatCode>
                <c:ptCount val="12"/>
                <c:pt idx="0">
                  <c:v>75</c:v>
                </c:pt>
                <c:pt idx="1">
                  <c:v>133</c:v>
                </c:pt>
                <c:pt idx="2">
                  <c:v>152</c:v>
                </c:pt>
                <c:pt idx="3">
                  <c:v>160</c:v>
                </c:pt>
                <c:pt idx="4">
                  <c:v>156</c:v>
                </c:pt>
                <c:pt idx="5">
                  <c:v>190</c:v>
                </c:pt>
                <c:pt idx="6">
                  <c:v>166</c:v>
                </c:pt>
                <c:pt idx="7">
                  <c:v>176</c:v>
                </c:pt>
                <c:pt idx="8">
                  <c:v>185</c:v>
                </c:pt>
                <c:pt idx="9">
                  <c:v>237</c:v>
                </c:pt>
                <c:pt idx="10">
                  <c:v>221</c:v>
                </c:pt>
                <c:pt idx="11">
                  <c:v>228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'26.8 Luweero-Kampala'!$AF$9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'26.8 Luweero-Kampala'!$R$10:$R$21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'26.8 Luweero-Kampala'!$AF$10:$AF$21</c:f>
              <c:numCache>
                <c:formatCode>0</c:formatCode>
                <c:ptCount val="12"/>
                <c:pt idx="0">
                  <c:v>196</c:v>
                </c:pt>
                <c:pt idx="1">
                  <c:v>347</c:v>
                </c:pt>
                <c:pt idx="2">
                  <c:v>421</c:v>
                </c:pt>
                <c:pt idx="3">
                  <c:v>485</c:v>
                </c:pt>
                <c:pt idx="4">
                  <c:v>450</c:v>
                </c:pt>
                <c:pt idx="5">
                  <c:v>457</c:v>
                </c:pt>
                <c:pt idx="6">
                  <c:v>426</c:v>
                </c:pt>
                <c:pt idx="7">
                  <c:v>476</c:v>
                </c:pt>
                <c:pt idx="8">
                  <c:v>338</c:v>
                </c:pt>
                <c:pt idx="9">
                  <c:v>511</c:v>
                </c:pt>
                <c:pt idx="10">
                  <c:v>501</c:v>
                </c:pt>
                <c:pt idx="11">
                  <c:v>509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93251936"/>
        <c:axId val="-1893250848"/>
      </c:lineChart>
      <c:catAx>
        <c:axId val="-18932519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893250848"/>
        <c:crosses val="autoZero"/>
        <c:auto val="1"/>
        <c:lblAlgn val="ctr"/>
        <c:lblOffset val="100"/>
        <c:noMultiLvlLbl val="0"/>
      </c:catAx>
      <c:valAx>
        <c:axId val="-18932508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893251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'26.8 Luweero-Kampala'!$C$9:$N$9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'26.8 Luweero-Kampala'!$C$59:$N$59</c:f>
              <c:numCache>
                <c:formatCode>0.0%</c:formatCode>
                <c:ptCount val="12"/>
                <c:pt idx="0">
                  <c:v>7.3871409028727769E-2</c:v>
                </c:pt>
                <c:pt idx="1">
                  <c:v>0</c:v>
                </c:pt>
                <c:pt idx="2">
                  <c:v>0.10474887629470393</c:v>
                </c:pt>
                <c:pt idx="3">
                  <c:v>0.14442055892124292</c:v>
                </c:pt>
                <c:pt idx="4">
                  <c:v>1.3679890560875513E-3</c:v>
                </c:pt>
                <c:pt idx="5">
                  <c:v>8.9896423685753377E-3</c:v>
                </c:pt>
                <c:pt idx="6">
                  <c:v>5.6673832323627125E-2</c:v>
                </c:pt>
                <c:pt idx="7">
                  <c:v>2.9314051201876101E-3</c:v>
                </c:pt>
                <c:pt idx="8">
                  <c:v>1.5634160641000586E-3</c:v>
                </c:pt>
                <c:pt idx="9">
                  <c:v>1.172562048075044E-2</c:v>
                </c:pt>
                <c:pt idx="10">
                  <c:v>0.59370725034199723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'26.8 Luweero-Kampala'!$S$9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'26.8 Luweero-Kampala'!$R$10:$R$21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'26.8 Luweero-Kampala'!$S$10:$S$21</c:f>
              <c:numCache>
                <c:formatCode>0</c:formatCode>
                <c:ptCount val="12"/>
                <c:pt idx="0">
                  <c:v>10</c:v>
                </c:pt>
                <c:pt idx="1">
                  <c:v>17</c:v>
                </c:pt>
                <c:pt idx="2">
                  <c:v>32</c:v>
                </c:pt>
                <c:pt idx="3">
                  <c:v>26</c:v>
                </c:pt>
                <c:pt idx="4">
                  <c:v>24</c:v>
                </c:pt>
                <c:pt idx="5">
                  <c:v>29</c:v>
                </c:pt>
                <c:pt idx="6">
                  <c:v>28</c:v>
                </c:pt>
                <c:pt idx="7">
                  <c:v>35</c:v>
                </c:pt>
                <c:pt idx="8">
                  <c:v>39</c:v>
                </c:pt>
                <c:pt idx="9">
                  <c:v>53</c:v>
                </c:pt>
                <c:pt idx="10">
                  <c:v>47</c:v>
                </c:pt>
                <c:pt idx="11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'26.8 Luweero-Kampala'!$T$9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'26.8 Luweero-Kampala'!$R$10:$R$21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'26.8 Luweero-Kampala'!$T$10:$T$21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'26.8 Luweero-Kampala'!$U$9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'26.8 Luweero-Kampala'!$U$10:$U$21</c:f>
              <c:numCache>
                <c:formatCode>0</c:formatCode>
                <c:ptCount val="12"/>
                <c:pt idx="0">
                  <c:v>18</c:v>
                </c:pt>
                <c:pt idx="1">
                  <c:v>30</c:v>
                </c:pt>
                <c:pt idx="2">
                  <c:v>28</c:v>
                </c:pt>
                <c:pt idx="3">
                  <c:v>40</c:v>
                </c:pt>
                <c:pt idx="4">
                  <c:v>40</c:v>
                </c:pt>
                <c:pt idx="5">
                  <c:v>43</c:v>
                </c:pt>
                <c:pt idx="6">
                  <c:v>38</c:v>
                </c:pt>
                <c:pt idx="7">
                  <c:v>47</c:v>
                </c:pt>
                <c:pt idx="8">
                  <c:v>50</c:v>
                </c:pt>
                <c:pt idx="9">
                  <c:v>71</c:v>
                </c:pt>
                <c:pt idx="10">
                  <c:v>65</c:v>
                </c:pt>
                <c:pt idx="11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'26.8 Luweero-Kampala'!$V$9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'26.8 Luweero-Kampala'!$V$10:$V$21</c:f>
              <c:numCache>
                <c:formatCode>0</c:formatCode>
                <c:ptCount val="12"/>
                <c:pt idx="0">
                  <c:v>33</c:v>
                </c:pt>
                <c:pt idx="1">
                  <c:v>66</c:v>
                </c:pt>
                <c:pt idx="2">
                  <c:v>71</c:v>
                </c:pt>
                <c:pt idx="3">
                  <c:v>63</c:v>
                </c:pt>
                <c:pt idx="4">
                  <c:v>66</c:v>
                </c:pt>
                <c:pt idx="5">
                  <c:v>67</c:v>
                </c:pt>
                <c:pt idx="6">
                  <c:v>63</c:v>
                </c:pt>
                <c:pt idx="7">
                  <c:v>47</c:v>
                </c:pt>
                <c:pt idx="8">
                  <c:v>54</c:v>
                </c:pt>
                <c:pt idx="9">
                  <c:v>71</c:v>
                </c:pt>
                <c:pt idx="10">
                  <c:v>74</c:v>
                </c:pt>
                <c:pt idx="11">
                  <c:v>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'26.8 Luweero-Kampala'!$W$9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'26.8 Luweero-Kampala'!$W$10:$W$21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'26.8 Luweero-Kampala'!$X$9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'26.8 Luweero-Kampala'!$X$10:$X$21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10</c:v>
                </c:pt>
                <c:pt idx="8">
                  <c:v>5</c:v>
                </c:pt>
                <c:pt idx="9">
                  <c:v>6</c:v>
                </c:pt>
                <c:pt idx="10">
                  <c:v>4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'26.8 Luweero-Kampala'!$Y$9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'26.8 Luweero-Kampala'!$Y$10:$Y$21</c:f>
              <c:numCache>
                <c:formatCode>0</c:formatCode>
                <c:ptCount val="12"/>
                <c:pt idx="0">
                  <c:v>8</c:v>
                </c:pt>
                <c:pt idx="1">
                  <c:v>13</c:v>
                </c:pt>
                <c:pt idx="2">
                  <c:v>17</c:v>
                </c:pt>
                <c:pt idx="3">
                  <c:v>22</c:v>
                </c:pt>
                <c:pt idx="4">
                  <c:v>16</c:v>
                </c:pt>
                <c:pt idx="5">
                  <c:v>39</c:v>
                </c:pt>
                <c:pt idx="6">
                  <c:v>23</c:v>
                </c:pt>
                <c:pt idx="7">
                  <c:v>29</c:v>
                </c:pt>
                <c:pt idx="8">
                  <c:v>31</c:v>
                </c:pt>
                <c:pt idx="9">
                  <c:v>31</c:v>
                </c:pt>
                <c:pt idx="10">
                  <c:v>22</c:v>
                </c:pt>
                <c:pt idx="1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'26.8 Luweero-Kampala'!$Z$9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'26.8 Luweero-Kampala'!$Z$10:$Z$21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'26.8 Luweero-Kampala'!$AA$9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'26.8 Luweero-Kampala'!$AA$10:$AA$21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'26.8 Luweero-Kampala'!$AB$9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'26.8 Luweero-Kampala'!$AB$10:$AB$21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1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5</c:v>
                </c:pt>
                <c:pt idx="7">
                  <c:v>7</c:v>
                </c:pt>
                <c:pt idx="8">
                  <c:v>4</c:v>
                </c:pt>
                <c:pt idx="9">
                  <c:v>3</c:v>
                </c:pt>
                <c:pt idx="10">
                  <c:v>7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'26.8 Luweero-Kampala'!$AC$9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'26.8 Luweero-Kampala'!$AC$10:$AC$21</c:f>
              <c:numCache>
                <c:formatCode>0</c:formatCode>
                <c:ptCount val="12"/>
                <c:pt idx="0">
                  <c:v>121</c:v>
                </c:pt>
                <c:pt idx="1">
                  <c:v>214</c:v>
                </c:pt>
                <c:pt idx="2">
                  <c:v>269</c:v>
                </c:pt>
                <c:pt idx="3">
                  <c:v>325</c:v>
                </c:pt>
                <c:pt idx="4">
                  <c:v>294</c:v>
                </c:pt>
                <c:pt idx="5">
                  <c:v>267</c:v>
                </c:pt>
                <c:pt idx="6">
                  <c:v>260</c:v>
                </c:pt>
                <c:pt idx="7">
                  <c:v>300</c:v>
                </c:pt>
                <c:pt idx="8">
                  <c:v>153</c:v>
                </c:pt>
                <c:pt idx="9">
                  <c:v>274</c:v>
                </c:pt>
                <c:pt idx="10">
                  <c:v>280</c:v>
                </c:pt>
                <c:pt idx="11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'26.8 Luweero-Kampala'!$AD$9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'26.8 Luweero-Kampala'!$AD$10:$AD$21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893256832"/>
        <c:axId val="-1893246496"/>
      </c:lineChart>
      <c:catAx>
        <c:axId val="-1893256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893246496"/>
        <c:crosses val="autoZero"/>
        <c:auto val="1"/>
        <c:lblAlgn val="ctr"/>
        <c:lblOffset val="100"/>
        <c:noMultiLvlLbl val="0"/>
      </c:catAx>
      <c:valAx>
        <c:axId val="-189324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893256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'26.8 Luweero-Kampala'!$C$9:$N$9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'26.8 Luweero-Kampala'!$C$60:$N$60</c:f>
              <c:numCache>
                <c:formatCode>0.00%</c:formatCode>
                <c:ptCount val="12"/>
                <c:pt idx="0">
                  <c:v>0.18181818181818182</c:v>
                </c:pt>
                <c:pt idx="1">
                  <c:v>0</c:v>
                </c:pt>
                <c:pt idx="2">
                  <c:v>0.25781625781625783</c:v>
                </c:pt>
                <c:pt idx="3">
                  <c:v>0.35545935545935547</c:v>
                </c:pt>
                <c:pt idx="4">
                  <c:v>3.3670033670033669E-3</c:v>
                </c:pt>
                <c:pt idx="5">
                  <c:v>2.2126022126022125E-2</c:v>
                </c:pt>
                <c:pt idx="6">
                  <c:v>0.1394901394901395</c:v>
                </c:pt>
                <c:pt idx="7">
                  <c:v>7.215007215007215E-3</c:v>
                </c:pt>
                <c:pt idx="8">
                  <c:v>3.8480038480038481E-3</c:v>
                </c:pt>
                <c:pt idx="9">
                  <c:v>2.886002886002886E-2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KAMPALA-GULU'!$AE$9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KAMPALA-GULU'!$R$10:$R$33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KAMPALA-GULU'!$AE$10:$AE$33</c:f>
              <c:numCache>
                <c:formatCode>0</c:formatCode>
                <c:ptCount val="24"/>
                <c:pt idx="0">
                  <c:v>141.14285714285714</c:v>
                </c:pt>
                <c:pt idx="1">
                  <c:v>180.42857142857142</c:v>
                </c:pt>
                <c:pt idx="2">
                  <c:v>201.57142857142856</c:v>
                </c:pt>
                <c:pt idx="3">
                  <c:v>205.71428571428572</c:v>
                </c:pt>
                <c:pt idx="4">
                  <c:v>206.28571428571431</c:v>
                </c:pt>
                <c:pt idx="5">
                  <c:v>233.42857142857144</c:v>
                </c:pt>
                <c:pt idx="6">
                  <c:v>232.14285714285714</c:v>
                </c:pt>
                <c:pt idx="7">
                  <c:v>221.57142857142856</c:v>
                </c:pt>
                <c:pt idx="8">
                  <c:v>213.14285714285711</c:v>
                </c:pt>
                <c:pt idx="9">
                  <c:v>220.14285714285714</c:v>
                </c:pt>
                <c:pt idx="10">
                  <c:v>208.85714285714289</c:v>
                </c:pt>
                <c:pt idx="11">
                  <c:v>185.85714285714283</c:v>
                </c:pt>
                <c:pt idx="12">
                  <c:v>146</c:v>
                </c:pt>
                <c:pt idx="13">
                  <c:v>115</c:v>
                </c:pt>
                <c:pt idx="14">
                  <c:v>87</c:v>
                </c:pt>
                <c:pt idx="15">
                  <c:v>63</c:v>
                </c:pt>
                <c:pt idx="16">
                  <c:v>40</c:v>
                </c:pt>
                <c:pt idx="17">
                  <c:v>33</c:v>
                </c:pt>
                <c:pt idx="18">
                  <c:v>22</c:v>
                </c:pt>
                <c:pt idx="19">
                  <c:v>17</c:v>
                </c:pt>
                <c:pt idx="20">
                  <c:v>14</c:v>
                </c:pt>
                <c:pt idx="21">
                  <c:v>10</c:v>
                </c:pt>
                <c:pt idx="22">
                  <c:v>25</c:v>
                </c:pt>
                <c:pt idx="23">
                  <c:v>78.5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KAMPALA-GULU'!$AF$9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KAMPALA-GULU'!$R$10:$R$33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KAMPALA-GULU'!$AF$10:$AF$33</c:f>
              <c:numCache>
                <c:formatCode>0</c:formatCode>
                <c:ptCount val="24"/>
                <c:pt idx="0">
                  <c:v>355.14285714285711</c:v>
                </c:pt>
                <c:pt idx="1">
                  <c:v>470.71428571428567</c:v>
                </c:pt>
                <c:pt idx="2">
                  <c:v>496.14285714285711</c:v>
                </c:pt>
                <c:pt idx="3">
                  <c:v>496.42857142857144</c:v>
                </c:pt>
                <c:pt idx="4">
                  <c:v>483.28571428571433</c:v>
                </c:pt>
                <c:pt idx="5">
                  <c:v>479.42857142857144</c:v>
                </c:pt>
                <c:pt idx="6">
                  <c:v>487.14285714285711</c:v>
                </c:pt>
                <c:pt idx="7">
                  <c:v>462.71428571428567</c:v>
                </c:pt>
                <c:pt idx="8">
                  <c:v>457.28571428571428</c:v>
                </c:pt>
                <c:pt idx="9">
                  <c:v>475.85714285714289</c:v>
                </c:pt>
                <c:pt idx="10">
                  <c:v>491.28571428571428</c:v>
                </c:pt>
                <c:pt idx="11">
                  <c:v>446.42857142857139</c:v>
                </c:pt>
                <c:pt idx="12">
                  <c:v>383</c:v>
                </c:pt>
                <c:pt idx="13">
                  <c:v>280</c:v>
                </c:pt>
                <c:pt idx="14">
                  <c:v>175</c:v>
                </c:pt>
                <c:pt idx="15">
                  <c:v>97</c:v>
                </c:pt>
                <c:pt idx="16">
                  <c:v>56</c:v>
                </c:pt>
                <c:pt idx="17">
                  <c:v>46</c:v>
                </c:pt>
                <c:pt idx="18">
                  <c:v>27</c:v>
                </c:pt>
                <c:pt idx="19">
                  <c:v>19</c:v>
                </c:pt>
                <c:pt idx="20">
                  <c:v>17</c:v>
                </c:pt>
                <c:pt idx="21">
                  <c:v>12</c:v>
                </c:pt>
                <c:pt idx="22">
                  <c:v>29</c:v>
                </c:pt>
                <c:pt idx="23">
                  <c:v>107.5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93256288"/>
        <c:axId val="-1893250304"/>
      </c:lineChart>
      <c:catAx>
        <c:axId val="-1893256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893250304"/>
        <c:crosses val="autoZero"/>
        <c:auto val="1"/>
        <c:lblAlgn val="ctr"/>
        <c:lblOffset val="100"/>
        <c:noMultiLvlLbl val="0"/>
      </c:catAx>
      <c:valAx>
        <c:axId val="-18932503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89325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KAMPALA-GULU'!$C$9:$N$9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KAMPALA-GULU'!$C$107:$N$107</c:f>
              <c:numCache>
                <c:formatCode>0.0%</c:formatCode>
                <c:ptCount val="12"/>
                <c:pt idx="0">
                  <c:v>8.4177050205932996E-2</c:v>
                </c:pt>
                <c:pt idx="1">
                  <c:v>9.5198373390334209E-3</c:v>
                </c:pt>
                <c:pt idx="2">
                  <c:v>0.11848183097857257</c:v>
                </c:pt>
                <c:pt idx="3">
                  <c:v>0.11788749283144782</c:v>
                </c:pt>
                <c:pt idx="4">
                  <c:v>5.7974036807257176E-3</c:v>
                </c:pt>
                <c:pt idx="5">
                  <c:v>1.317970908711746E-2</c:v>
                </c:pt>
                <c:pt idx="6">
                  <c:v>6.6440748657525681E-2</c:v>
                </c:pt>
                <c:pt idx="7">
                  <c:v>1.3888744069652256E-2</c:v>
                </c:pt>
                <c:pt idx="8">
                  <c:v>3.1072415411083892E-3</c:v>
                </c:pt>
                <c:pt idx="9">
                  <c:v>1.9998957301496274E-2</c:v>
                </c:pt>
                <c:pt idx="10">
                  <c:v>0.54735415254679121</c:v>
                </c:pt>
                <c:pt idx="11">
                  <c:v>1.6683176059642356E-4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KAMPALA-GULU'!$C$9:$N$9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KAMPALA-GULU'!$C$108:$N$108</c:f>
              <c:numCache>
                <c:formatCode>0.00%</c:formatCode>
                <c:ptCount val="12"/>
                <c:pt idx="0">
                  <c:v>0.18596669047015735</c:v>
                </c:pt>
                <c:pt idx="1">
                  <c:v>2.1031535785860724E-2</c:v>
                </c:pt>
                <c:pt idx="2">
                  <c:v>0.26175393333486902</c:v>
                </c:pt>
                <c:pt idx="3">
                  <c:v>0.26044090207551079</c:v>
                </c:pt>
                <c:pt idx="4">
                  <c:v>1.2807813687774982E-2</c:v>
                </c:pt>
                <c:pt idx="5">
                  <c:v>2.9117044067171905E-2</c:v>
                </c:pt>
                <c:pt idx="6">
                  <c:v>0.14678307341457231</c:v>
                </c:pt>
                <c:pt idx="7">
                  <c:v>3.0683467323950133E-2</c:v>
                </c:pt>
                <c:pt idx="8">
                  <c:v>6.8646195664693269E-3</c:v>
                </c:pt>
                <c:pt idx="9">
                  <c:v>4.4182350095597879E-2</c:v>
                </c:pt>
                <c:pt idx="11">
                  <c:v>3.6857017806546713E-4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GULU-KAMPALA'!$AE$9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GULU-KAMPALA'!$R$10:$R$33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GULU-KAMPALA'!$AE$10:$AE$33</c:f>
              <c:numCache>
                <c:formatCode>0</c:formatCode>
                <c:ptCount val="24"/>
                <c:pt idx="0">
                  <c:v>98.857142857142847</c:v>
                </c:pt>
                <c:pt idx="1">
                  <c:v>134.14285714285714</c:v>
                </c:pt>
                <c:pt idx="2">
                  <c:v>145.71428571428572</c:v>
                </c:pt>
                <c:pt idx="3">
                  <c:v>159.42857142857144</c:v>
                </c:pt>
                <c:pt idx="4">
                  <c:v>161.42857142857144</c:v>
                </c:pt>
                <c:pt idx="5">
                  <c:v>165.42857142857144</c:v>
                </c:pt>
                <c:pt idx="6">
                  <c:v>180.28571428571431</c:v>
                </c:pt>
                <c:pt idx="7">
                  <c:v>197.85714285714286</c:v>
                </c:pt>
                <c:pt idx="8">
                  <c:v>206</c:v>
                </c:pt>
                <c:pt idx="9">
                  <c:v>226.14285714285717</c:v>
                </c:pt>
                <c:pt idx="10">
                  <c:v>235.28571428571428</c:v>
                </c:pt>
                <c:pt idx="11">
                  <c:v>247.85714285714286</c:v>
                </c:pt>
                <c:pt idx="12">
                  <c:v>163.5</c:v>
                </c:pt>
                <c:pt idx="13">
                  <c:v>126</c:v>
                </c:pt>
                <c:pt idx="14">
                  <c:v>89.5</c:v>
                </c:pt>
                <c:pt idx="15">
                  <c:v>63.5</c:v>
                </c:pt>
                <c:pt idx="16">
                  <c:v>40</c:v>
                </c:pt>
                <c:pt idx="17">
                  <c:v>33</c:v>
                </c:pt>
                <c:pt idx="18">
                  <c:v>22</c:v>
                </c:pt>
                <c:pt idx="19">
                  <c:v>17</c:v>
                </c:pt>
                <c:pt idx="20">
                  <c:v>14</c:v>
                </c:pt>
                <c:pt idx="21">
                  <c:v>9.5</c:v>
                </c:pt>
                <c:pt idx="22">
                  <c:v>24.5</c:v>
                </c:pt>
                <c:pt idx="23">
                  <c:v>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GULU-KAMPALA'!$AF$9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GULU-KAMPALA'!$R$10:$R$33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GULU-KAMPALA'!$AF$10:$AF$33</c:f>
              <c:numCache>
                <c:formatCode>0</c:formatCode>
                <c:ptCount val="24"/>
                <c:pt idx="0">
                  <c:v>257.85714285714289</c:v>
                </c:pt>
                <c:pt idx="1">
                  <c:v>371</c:v>
                </c:pt>
                <c:pt idx="2">
                  <c:v>400.28571428571428</c:v>
                </c:pt>
                <c:pt idx="3">
                  <c:v>436.57142857142856</c:v>
                </c:pt>
                <c:pt idx="4">
                  <c:v>424.57142857142861</c:v>
                </c:pt>
                <c:pt idx="5">
                  <c:v>415.85714285714289</c:v>
                </c:pt>
                <c:pt idx="6">
                  <c:v>432.57142857142856</c:v>
                </c:pt>
                <c:pt idx="7">
                  <c:v>451.14285714285717</c:v>
                </c:pt>
                <c:pt idx="8">
                  <c:v>438.28571428571433</c:v>
                </c:pt>
                <c:pt idx="9">
                  <c:v>484.42857142857144</c:v>
                </c:pt>
                <c:pt idx="10">
                  <c:v>525</c:v>
                </c:pt>
                <c:pt idx="11">
                  <c:v>513</c:v>
                </c:pt>
                <c:pt idx="12">
                  <c:v>400.5</c:v>
                </c:pt>
                <c:pt idx="13">
                  <c:v>291</c:v>
                </c:pt>
                <c:pt idx="14">
                  <c:v>177.5</c:v>
                </c:pt>
                <c:pt idx="15">
                  <c:v>97.5</c:v>
                </c:pt>
                <c:pt idx="16">
                  <c:v>56</c:v>
                </c:pt>
                <c:pt idx="17">
                  <c:v>46</c:v>
                </c:pt>
                <c:pt idx="18">
                  <c:v>27</c:v>
                </c:pt>
                <c:pt idx="19">
                  <c:v>19</c:v>
                </c:pt>
                <c:pt idx="20">
                  <c:v>17</c:v>
                </c:pt>
                <c:pt idx="21">
                  <c:v>11.5</c:v>
                </c:pt>
                <c:pt idx="22">
                  <c:v>28.5</c:v>
                </c:pt>
                <c:pt idx="23">
                  <c:v>87.5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93253568"/>
        <c:axId val="-1893253024"/>
      </c:lineChart>
      <c:catAx>
        <c:axId val="-18932535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893253024"/>
        <c:crosses val="autoZero"/>
        <c:auto val="1"/>
        <c:lblAlgn val="ctr"/>
        <c:lblOffset val="100"/>
        <c:noMultiLvlLbl val="0"/>
      </c:catAx>
      <c:valAx>
        <c:axId val="-18932530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89325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GULU-KAMPALA'!$C$9:$N$9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GULU-KAMPALA'!$C$107:$N$107</c:f>
              <c:numCache>
                <c:formatCode>0.0%</c:formatCode>
                <c:ptCount val="12"/>
                <c:pt idx="0">
                  <c:v>8.0426594156061224E-2</c:v>
                </c:pt>
                <c:pt idx="1">
                  <c:v>4.2904584661332375E-3</c:v>
                </c:pt>
                <c:pt idx="2">
                  <c:v>0.12321973833775376</c:v>
                </c:pt>
                <c:pt idx="3">
                  <c:v>0.11925245726257601</c:v>
                </c:pt>
                <c:pt idx="4">
                  <c:v>5.794904941270866E-3</c:v>
                </c:pt>
                <c:pt idx="5">
                  <c:v>1.2581630151336167E-2</c:v>
                </c:pt>
                <c:pt idx="6">
                  <c:v>6.7187465174850081E-2</c:v>
                </c:pt>
                <c:pt idx="7">
                  <c:v>4.8476608643323593E-3</c:v>
                </c:pt>
                <c:pt idx="8">
                  <c:v>2.3402500724363112E-3</c:v>
                </c:pt>
                <c:pt idx="9">
                  <c:v>1.9591236320681115E-2</c:v>
                </c:pt>
                <c:pt idx="10">
                  <c:v>0.56035616377292874</c:v>
                </c:pt>
                <c:pt idx="11">
                  <c:v>1.1144047963982432E-4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GULU-KAMPALA'!$C$9:$N$9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GULU-KAMPALA'!$C$108:$N$108</c:f>
              <c:numCache>
                <c:formatCode>0.00%</c:formatCode>
                <c:ptCount val="12"/>
                <c:pt idx="0">
                  <c:v>0.18293579376948621</c:v>
                </c:pt>
                <c:pt idx="1">
                  <c:v>9.7589414716990706E-3</c:v>
                </c:pt>
                <c:pt idx="2">
                  <c:v>0.28027172948721202</c:v>
                </c:pt>
                <c:pt idx="3">
                  <c:v>0.27124787711338116</c:v>
                </c:pt>
                <c:pt idx="4">
                  <c:v>1.318090796177537E-2</c:v>
                </c:pt>
                <c:pt idx="5">
                  <c:v>2.8617779017008443E-2</c:v>
                </c:pt>
                <c:pt idx="6">
                  <c:v>0.15282248865681478</c:v>
                </c:pt>
                <c:pt idx="7">
                  <c:v>1.1026336468023626E-2</c:v>
                </c:pt>
                <c:pt idx="8">
                  <c:v>5.3230589845631292E-3</c:v>
                </c:pt>
                <c:pt idx="9">
                  <c:v>4.4561608070771336E-2</c:v>
                </c:pt>
                <c:pt idx="11">
                  <c:v>2.534789992649109E-4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1503026667559842E-2"/>
          <c:y val="0.15541498857527986"/>
          <c:w val="0.82182778444280691"/>
          <c:h val="0.75821675735209504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KAMPALA-GULU-2Dir'!$C$9:$N$9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KAMPALA-GULU-2Dir'!$C$107:$N$107</c:f>
              <c:numCache>
                <c:formatCode>0.0%</c:formatCode>
                <c:ptCount val="12"/>
                <c:pt idx="0">
                  <c:v>8.2376583284395857E-2</c:v>
                </c:pt>
                <c:pt idx="1">
                  <c:v>6.9931200198264116E-3</c:v>
                </c:pt>
                <c:pt idx="2">
                  <c:v>0.1207902548879107</c:v>
                </c:pt>
                <c:pt idx="3">
                  <c:v>0.11856517124523872</c:v>
                </c:pt>
                <c:pt idx="4">
                  <c:v>5.7970702167436184E-3</c:v>
                </c:pt>
                <c:pt idx="5">
                  <c:v>1.2892554859356392E-2</c:v>
                </c:pt>
                <c:pt idx="6">
                  <c:v>6.6811773009142761E-2</c:v>
                </c:pt>
                <c:pt idx="7">
                  <c:v>9.5199099191319476E-3</c:v>
                </c:pt>
                <c:pt idx="8">
                  <c:v>2.7369067566038654E-3</c:v>
                </c:pt>
                <c:pt idx="9">
                  <c:v>1.9804860703298833E-2</c:v>
                </c:pt>
                <c:pt idx="10">
                  <c:v>0.55357171719348519</c:v>
                </c:pt>
                <c:pt idx="11">
                  <c:v>1.4007790486555215E-4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KAMPALA-GULU-2Dir'!$C$9:$N$9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KAMPALA-GULU-2Dir'!$C$108:$N$108</c:f>
              <c:numCache>
                <c:formatCode>0.00%</c:formatCode>
                <c:ptCount val="12"/>
                <c:pt idx="0">
                  <c:v>0.18452366585407062</c:v>
                </c:pt>
                <c:pt idx="1">
                  <c:v>1.5664598971784415E-2</c:v>
                </c:pt>
                <c:pt idx="2">
                  <c:v>0.27057034587627621</c:v>
                </c:pt>
                <c:pt idx="3">
                  <c:v>0.26558615529434487</c:v>
                </c:pt>
                <c:pt idx="4">
                  <c:v>1.2985445680770437E-2</c:v>
                </c:pt>
                <c:pt idx="5">
                  <c:v>2.8879341555839825E-2</c:v>
                </c:pt>
                <c:pt idx="6">
                  <c:v>0.14965846829668605</c:v>
                </c:pt>
                <c:pt idx="7">
                  <c:v>2.1324612005503129E-2</c:v>
                </c:pt>
                <c:pt idx="8">
                  <c:v>6.1306750983563044E-3</c:v>
                </c:pt>
                <c:pt idx="9">
                  <c:v>4.4362916656609783E-2</c:v>
                </c:pt>
                <c:pt idx="11">
                  <c:v>3.137747097583935E-4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KAMPALA-GULU-2Dir'!$AE$9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KAMPALA-GULU-2Dir'!$R$10:$R$33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KAMPALA-GULU-2Dir'!$AE$10:$AE$33</c:f>
              <c:numCache>
                <c:formatCode>0</c:formatCode>
                <c:ptCount val="24"/>
                <c:pt idx="0">
                  <c:v>240</c:v>
                </c:pt>
                <c:pt idx="1">
                  <c:v>314.57142857142856</c:v>
                </c:pt>
                <c:pt idx="2">
                  <c:v>347.28571428571428</c:v>
                </c:pt>
                <c:pt idx="3">
                  <c:v>365.14285714285711</c:v>
                </c:pt>
                <c:pt idx="4">
                  <c:v>367.71428571428567</c:v>
                </c:pt>
                <c:pt idx="5">
                  <c:v>398.85714285714283</c:v>
                </c:pt>
                <c:pt idx="6">
                  <c:v>412.42857142857139</c:v>
                </c:pt>
                <c:pt idx="7">
                  <c:v>419.42857142857144</c:v>
                </c:pt>
                <c:pt idx="8">
                  <c:v>419.14285714285711</c:v>
                </c:pt>
                <c:pt idx="9">
                  <c:v>446.28571428571428</c:v>
                </c:pt>
                <c:pt idx="10">
                  <c:v>444.14285714285711</c:v>
                </c:pt>
                <c:pt idx="11">
                  <c:v>433.71428571428572</c:v>
                </c:pt>
                <c:pt idx="12">
                  <c:v>309.5</c:v>
                </c:pt>
                <c:pt idx="13">
                  <c:v>241</c:v>
                </c:pt>
                <c:pt idx="14">
                  <c:v>176.5</c:v>
                </c:pt>
                <c:pt idx="15">
                  <c:v>126.5</c:v>
                </c:pt>
                <c:pt idx="16">
                  <c:v>80</c:v>
                </c:pt>
                <c:pt idx="17">
                  <c:v>66</c:v>
                </c:pt>
                <c:pt idx="18">
                  <c:v>44</c:v>
                </c:pt>
                <c:pt idx="19">
                  <c:v>34</c:v>
                </c:pt>
                <c:pt idx="20">
                  <c:v>28</c:v>
                </c:pt>
                <c:pt idx="21">
                  <c:v>19.5</c:v>
                </c:pt>
                <c:pt idx="22">
                  <c:v>49.5</c:v>
                </c:pt>
                <c:pt idx="23">
                  <c:v>135.5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0-4F16-99DE-A641854CC01F}"/>
            </c:ext>
          </c:extLst>
        </c:ser>
        <c:ser>
          <c:idx val="1"/>
          <c:order val="1"/>
          <c:tx>
            <c:strRef>
              <c:f>'Avg Week KAMPALA-GULU-2Dir'!$AF$9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KAMPALA-GULU-2Dir'!$R$10:$R$33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KAMPALA-GULU-2Dir'!$AF$10:$AF$33</c:f>
              <c:numCache>
                <c:formatCode>0</c:formatCode>
                <c:ptCount val="24"/>
                <c:pt idx="0">
                  <c:v>613</c:v>
                </c:pt>
                <c:pt idx="1">
                  <c:v>841.71428571428578</c:v>
                </c:pt>
                <c:pt idx="2">
                  <c:v>896.42857142857144</c:v>
                </c:pt>
                <c:pt idx="3">
                  <c:v>933</c:v>
                </c:pt>
                <c:pt idx="4">
                  <c:v>907.85714285714289</c:v>
                </c:pt>
                <c:pt idx="5">
                  <c:v>895.28571428571422</c:v>
                </c:pt>
                <c:pt idx="6">
                  <c:v>919.71428571428567</c:v>
                </c:pt>
                <c:pt idx="7">
                  <c:v>913.85714285714289</c:v>
                </c:pt>
                <c:pt idx="8">
                  <c:v>895.57142857142844</c:v>
                </c:pt>
                <c:pt idx="9">
                  <c:v>960.28571428571422</c:v>
                </c:pt>
                <c:pt idx="10">
                  <c:v>1016.2857142857142</c:v>
                </c:pt>
                <c:pt idx="11">
                  <c:v>959.42857142857133</c:v>
                </c:pt>
                <c:pt idx="12">
                  <c:v>783.5</c:v>
                </c:pt>
                <c:pt idx="13">
                  <c:v>571</c:v>
                </c:pt>
                <c:pt idx="14">
                  <c:v>352.5</c:v>
                </c:pt>
                <c:pt idx="15">
                  <c:v>194.5</c:v>
                </c:pt>
                <c:pt idx="16">
                  <c:v>112</c:v>
                </c:pt>
                <c:pt idx="17">
                  <c:v>92</c:v>
                </c:pt>
                <c:pt idx="18">
                  <c:v>54</c:v>
                </c:pt>
                <c:pt idx="19">
                  <c:v>38</c:v>
                </c:pt>
                <c:pt idx="20">
                  <c:v>34</c:v>
                </c:pt>
                <c:pt idx="21">
                  <c:v>23.5</c:v>
                </c:pt>
                <c:pt idx="22">
                  <c:v>57.5</c:v>
                </c:pt>
                <c:pt idx="23">
                  <c:v>193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0-4F16-99DE-A641854CC01F}"/>
            </c:ext>
          </c:extLst>
        </c:ser>
        <c:ser>
          <c:idx val="5"/>
          <c:order val="2"/>
          <c:tx>
            <c:strRef>
              <c:f>'Avg Week KAMPALA-GULU-2Dir'!$AC$9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KAMPALA-GULU-2Dir'!$R$10:$R$33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KAMPALA-GULU-2Dir'!$AC$10:$AC$33</c:f>
              <c:numCache>
                <c:formatCode>0</c:formatCode>
                <c:ptCount val="24"/>
                <c:pt idx="0">
                  <c:v>373</c:v>
                </c:pt>
                <c:pt idx="1">
                  <c:v>527.14285714285711</c:v>
                </c:pt>
                <c:pt idx="2">
                  <c:v>549.14285714285711</c:v>
                </c:pt>
                <c:pt idx="3">
                  <c:v>567.85714285714289</c:v>
                </c:pt>
                <c:pt idx="4">
                  <c:v>540.14285714285722</c:v>
                </c:pt>
                <c:pt idx="5">
                  <c:v>496.42857142857144</c:v>
                </c:pt>
                <c:pt idx="6">
                  <c:v>507.28571428571422</c:v>
                </c:pt>
                <c:pt idx="7">
                  <c:v>494.42857142857144</c:v>
                </c:pt>
                <c:pt idx="8">
                  <c:v>476.42857142857144</c:v>
                </c:pt>
                <c:pt idx="9">
                  <c:v>514</c:v>
                </c:pt>
                <c:pt idx="10">
                  <c:v>572.14285714285711</c:v>
                </c:pt>
                <c:pt idx="11">
                  <c:v>525.71428571428578</c:v>
                </c:pt>
                <c:pt idx="12">
                  <c:v>474</c:v>
                </c:pt>
                <c:pt idx="13">
                  <c:v>330</c:v>
                </c:pt>
                <c:pt idx="14">
                  <c:v>176</c:v>
                </c:pt>
                <c:pt idx="15">
                  <c:v>68</c:v>
                </c:pt>
                <c:pt idx="16">
                  <c:v>32</c:v>
                </c:pt>
                <c:pt idx="17">
                  <c:v>26</c:v>
                </c:pt>
                <c:pt idx="18">
                  <c:v>10</c:v>
                </c:pt>
                <c:pt idx="19">
                  <c:v>4</c:v>
                </c:pt>
                <c:pt idx="20">
                  <c:v>6</c:v>
                </c:pt>
                <c:pt idx="21">
                  <c:v>4</c:v>
                </c:pt>
                <c:pt idx="22">
                  <c:v>8</c:v>
                </c:pt>
                <c:pt idx="23">
                  <c:v>57.5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60-4F16-99DE-A641854CC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KAMPALA-GULU-2Dir'!$S$9:$AF$9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KAMPALA-GULU-2Dir'!$S$41:$AF$41</c:f>
              <c:numCache>
                <c:formatCode>_(* #,##0_);_(* \(#,##0\);_(* "-"_);_(@_)</c:formatCode>
                <c:ptCount val="14"/>
                <c:pt idx="0">
                  <c:v>1092.1428571428571</c:v>
                </c:pt>
                <c:pt idx="1">
                  <c:v>92.714285714285708</c:v>
                </c:pt>
                <c:pt idx="2">
                  <c:v>1601.4285714285713</c:v>
                </c:pt>
                <c:pt idx="3">
                  <c:v>1571.9285714285713</c:v>
                </c:pt>
                <c:pt idx="4">
                  <c:v>76.857142857142861</c:v>
                </c:pt>
                <c:pt idx="5">
                  <c:v>170.92857142857142</c:v>
                </c:pt>
                <c:pt idx="6">
                  <c:v>885.78571428571422</c:v>
                </c:pt>
                <c:pt idx="7">
                  <c:v>126.21428571428569</c:v>
                </c:pt>
                <c:pt idx="8">
                  <c:v>36.285714285714285</c:v>
                </c:pt>
                <c:pt idx="9">
                  <c:v>262.57142857142856</c:v>
                </c:pt>
                <c:pt idx="10">
                  <c:v>7339.2142857142862</c:v>
                </c:pt>
                <c:pt idx="11">
                  <c:v>1.8571428571428568</c:v>
                </c:pt>
                <c:pt idx="12">
                  <c:v>5918.7142857142853</c:v>
                </c:pt>
                <c:pt idx="13">
                  <c:v>13257.928571428569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AA-4792-9470-268467F847D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KAMPALA-GULU-2Dir'!$S$9:$AF$9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KAMPALA-GULU-2Dir'!$S$42:$AF$42</c:f>
              <c:numCache>
                <c:formatCode>0.000</c:formatCode>
                <c:ptCount val="14"/>
                <c:pt idx="0">
                  <c:v>1.3284100781928758</c:v>
                </c:pt>
                <c:pt idx="1">
                  <c:v>2.6707818930041154</c:v>
                </c:pt>
                <c:pt idx="2">
                  <c:v>1.1338120764640438</c:v>
                </c:pt>
                <c:pt idx="3">
                  <c:v>1.175336466566973</c:v>
                </c:pt>
                <c:pt idx="4">
                  <c:v>3.5163398692810466</c:v>
                </c:pt>
                <c:pt idx="5">
                  <c:v>1.719109195402299</c:v>
                </c:pt>
                <c:pt idx="6">
                  <c:v>1.4234389348025711</c:v>
                </c:pt>
                <c:pt idx="7">
                  <c:v>1.265759312320917</c:v>
                </c:pt>
                <c:pt idx="8">
                  <c:v>1.984375</c:v>
                </c:pt>
                <c:pt idx="9">
                  <c:v>1.8948453608247424</c:v>
                </c:pt>
                <c:pt idx="10">
                  <c:v>1.1945891270985445</c:v>
                </c:pt>
                <c:pt idx="11">
                  <c:v>1</c:v>
                </c:pt>
                <c:pt idx="12">
                  <c:v>1.2842441337838257</c:v>
                </c:pt>
                <c:pt idx="13">
                  <c:v>1.2330171256991775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19-4F6A-BA9D-09EFD77488B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30.xml"/><Relationship Id="rId1" Type="http://schemas.openxmlformats.org/officeDocument/2006/relationships/chart" Target="../charts/chart2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1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2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34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5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19960</xdr:colOff>
      <xdr:row>43</xdr:row>
      <xdr:rowOff>6349</xdr:rowOff>
    </xdr:from>
    <xdr:to>
      <xdr:col>28</xdr:col>
      <xdr:colOff>15874</xdr:colOff>
      <xdr:row>58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</xdr:colOff>
      <xdr:row>59</xdr:row>
      <xdr:rowOff>279400</xdr:rowOff>
    </xdr:from>
    <xdr:to>
      <xdr:col>23</xdr:col>
      <xdr:colOff>1</xdr:colOff>
      <xdr:row>74</xdr:row>
      <xdr:rowOff>79375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15875</xdr:colOff>
      <xdr:row>60</xdr:row>
      <xdr:rowOff>0</xdr:rowOff>
    </xdr:from>
    <xdr:to>
      <xdr:col>31</xdr:col>
      <xdr:colOff>15875</xdr:colOff>
      <xdr:row>74</xdr:row>
      <xdr:rowOff>85725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19960</xdr:colOff>
      <xdr:row>43</xdr:row>
      <xdr:rowOff>22224</xdr:rowOff>
    </xdr:from>
    <xdr:to>
      <xdr:col>28</xdr:col>
      <xdr:colOff>15874</xdr:colOff>
      <xdr:row>58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31750</xdr:colOff>
      <xdr:row>60</xdr:row>
      <xdr:rowOff>9525</xdr:rowOff>
    </xdr:from>
    <xdr:to>
      <xdr:col>23</xdr:col>
      <xdr:colOff>15875</xdr:colOff>
      <xdr:row>74</xdr:row>
      <xdr:rowOff>31750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15876</xdr:colOff>
      <xdr:row>60</xdr:row>
      <xdr:rowOff>15876</xdr:rowOff>
    </xdr:from>
    <xdr:to>
      <xdr:col>31</xdr:col>
      <xdr:colOff>31751</xdr:colOff>
      <xdr:row>74</xdr:row>
      <xdr:rowOff>15876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59</xdr:row>
      <xdr:rowOff>25400</xdr:rowOff>
    </xdr:from>
    <xdr:to>
      <xdr:col>23</xdr:col>
      <xdr:colOff>650874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15875</xdr:colOff>
      <xdr:row>75</xdr:row>
      <xdr:rowOff>15876</xdr:rowOff>
    </xdr:from>
    <xdr:to>
      <xdr:col>23</xdr:col>
      <xdr:colOff>650874</xdr:colOff>
      <xdr:row>90</xdr:row>
      <xdr:rowOff>142876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7215</xdr:rowOff>
    </xdr:from>
    <xdr:to>
      <xdr:col>28</xdr:col>
      <xdr:colOff>34636</xdr:colOff>
      <xdr:row>59</xdr:row>
      <xdr:rowOff>15874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9AEDA22-1139-4F15-A6FB-A8448311F6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650875</xdr:colOff>
      <xdr:row>59</xdr:row>
      <xdr:rowOff>15875</xdr:rowOff>
    </xdr:from>
    <xdr:to>
      <xdr:col>30</xdr:col>
      <xdr:colOff>635000</xdr:colOff>
      <xdr:row>75</xdr:row>
      <xdr:rowOff>14288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754A8CF5-F2DC-494D-8E6A-F326A9B222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666750</xdr:colOff>
      <xdr:row>75</xdr:row>
      <xdr:rowOff>31750</xdr:rowOff>
    </xdr:from>
    <xdr:to>
      <xdr:col>30</xdr:col>
      <xdr:colOff>650875</xdr:colOff>
      <xdr:row>90</xdr:row>
      <xdr:rowOff>142875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54D6445D-17E5-4A50-9D21-DABBA245B2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87/Site%20041%20Wobulenzi%20-%20Kasana%20-%20Luweero/MCC%20sheet%20-%20Kampala%20_Site%20041%20WOBULENZI%20-%20KASANA%20-%20LUWEERO_Kampala%20to%20Luwe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RD4 MCC"/>
    </sheetNames>
    <sheetDataSet>
      <sheetData sheetId="0" refreshError="1"/>
      <sheetData sheetId="1">
        <row r="6">
          <cell r="R6">
            <v>0</v>
          </cell>
          <cell r="S6">
            <v>1</v>
          </cell>
          <cell r="T6">
            <v>0</v>
          </cell>
          <cell r="U6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topLeftCell="B1" zoomScale="53" zoomScaleSheetLayoutView="53" workbookViewId="0">
      <selection activeCell="N5" sqref="N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167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57"/>
      <c r="H5" s="58"/>
      <c r="I5" s="14"/>
      <c r="J5" s="2" t="s">
        <v>5</v>
      </c>
      <c r="K5" s="57" t="s">
        <v>166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168</v>
      </c>
      <c r="E6" s="58"/>
      <c r="F6" s="2" t="s">
        <v>2</v>
      </c>
      <c r="G6" s="57" t="s">
        <v>169</v>
      </c>
      <c r="H6" s="58"/>
      <c r="J6" s="2" t="s">
        <v>21</v>
      </c>
      <c r="K6" s="57" t="s">
        <v>165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13</v>
      </c>
      <c r="F10" s="50">
        <v>4</v>
      </c>
      <c r="G10" s="50">
        <v>0</v>
      </c>
      <c r="H10" s="50">
        <v>0</v>
      </c>
      <c r="I10" s="50">
        <v>11</v>
      </c>
      <c r="J10" s="50">
        <v>3</v>
      </c>
      <c r="K10" s="50">
        <v>0</v>
      </c>
      <c r="L10" s="50">
        <f>SUM('[1]RD4 MCC'!$R$6:$U$6)</f>
        <v>1</v>
      </c>
      <c r="M10" s="50">
        <v>33</v>
      </c>
      <c r="N10" s="50">
        <v>0</v>
      </c>
      <c r="O10" s="15">
        <f t="shared" ref="O10:O57" si="0">SUM(C10:L10,N10)</f>
        <v>33</v>
      </c>
      <c r="P10" s="15">
        <f t="shared" ref="P10:P57" si="1">SUM(C10:N10)</f>
        <v>66</v>
      </c>
      <c r="R10" s="1" t="s">
        <v>6</v>
      </c>
      <c r="S10" s="17">
        <f t="shared" ref="S10:AF10" si="2">SUM(C10:C13)</f>
        <v>19</v>
      </c>
      <c r="T10" s="17">
        <f t="shared" si="2"/>
        <v>0</v>
      </c>
      <c r="U10" s="17">
        <f t="shared" si="2"/>
        <v>59</v>
      </c>
      <c r="V10" s="17">
        <f t="shared" si="2"/>
        <v>33</v>
      </c>
      <c r="W10" s="17">
        <f t="shared" si="2"/>
        <v>0</v>
      </c>
      <c r="X10" s="17">
        <f t="shared" si="2"/>
        <v>4</v>
      </c>
      <c r="Y10" s="17">
        <f t="shared" si="2"/>
        <v>31</v>
      </c>
      <c r="Z10" s="17">
        <f t="shared" si="2"/>
        <v>6</v>
      </c>
      <c r="AA10" s="17">
        <f t="shared" si="2"/>
        <v>0</v>
      </c>
      <c r="AB10" s="17">
        <f t="shared" si="2"/>
        <v>4</v>
      </c>
      <c r="AC10" s="17">
        <f t="shared" si="2"/>
        <v>240</v>
      </c>
      <c r="AD10" s="17">
        <f t="shared" si="2"/>
        <v>0</v>
      </c>
      <c r="AE10" s="31">
        <f t="shared" si="2"/>
        <v>156</v>
      </c>
      <c r="AF10" s="31">
        <f t="shared" si="2"/>
        <v>396</v>
      </c>
    </row>
    <row r="11" spans="2:32" s="6" customFormat="1" ht="23.1" customHeight="1" x14ac:dyDescent="0.25">
      <c r="B11" s="23" t="s">
        <v>38</v>
      </c>
      <c r="C11" s="50">
        <v>5</v>
      </c>
      <c r="D11" s="50">
        <v>0</v>
      </c>
      <c r="E11" s="50">
        <v>24</v>
      </c>
      <c r="F11" s="50">
        <v>7</v>
      </c>
      <c r="G11" s="50">
        <v>0</v>
      </c>
      <c r="H11" s="50">
        <v>2</v>
      </c>
      <c r="I11" s="50">
        <v>6</v>
      </c>
      <c r="J11" s="50">
        <v>3</v>
      </c>
      <c r="K11" s="50">
        <v>0</v>
      </c>
      <c r="L11" s="50">
        <f>SUM('[1]RD4 MCC'!$R$6:$U$6)</f>
        <v>1</v>
      </c>
      <c r="M11" s="50">
        <v>55</v>
      </c>
      <c r="N11" s="50">
        <v>0</v>
      </c>
      <c r="O11" s="15">
        <f t="shared" si="0"/>
        <v>48</v>
      </c>
      <c r="P11" s="15">
        <f t="shared" si="1"/>
        <v>103</v>
      </c>
      <c r="R11" s="1" t="s">
        <v>7</v>
      </c>
      <c r="S11" s="17">
        <f t="shared" ref="S11:AF11" si="3">SUM(C14:C17)</f>
        <v>19</v>
      </c>
      <c r="T11" s="17">
        <f t="shared" si="3"/>
        <v>0</v>
      </c>
      <c r="U11" s="17">
        <f t="shared" si="3"/>
        <v>73</v>
      </c>
      <c r="V11" s="17">
        <f t="shared" si="3"/>
        <v>53</v>
      </c>
      <c r="W11" s="17">
        <f t="shared" si="3"/>
        <v>2</v>
      </c>
      <c r="X11" s="17">
        <f t="shared" si="3"/>
        <v>2</v>
      </c>
      <c r="Y11" s="17">
        <f t="shared" si="3"/>
        <v>26</v>
      </c>
      <c r="Z11" s="17">
        <f t="shared" si="3"/>
        <v>0</v>
      </c>
      <c r="AA11" s="17">
        <f t="shared" si="3"/>
        <v>2</v>
      </c>
      <c r="AB11" s="17">
        <f t="shared" si="3"/>
        <v>4</v>
      </c>
      <c r="AC11" s="17">
        <f t="shared" si="3"/>
        <v>333</v>
      </c>
      <c r="AD11" s="17">
        <f t="shared" si="3"/>
        <v>0</v>
      </c>
      <c r="AE11" s="31">
        <f t="shared" si="3"/>
        <v>181</v>
      </c>
      <c r="AF11" s="31">
        <f t="shared" si="3"/>
        <v>514</v>
      </c>
    </row>
    <row r="12" spans="2:32" ht="23.1" customHeight="1" x14ac:dyDescent="0.25">
      <c r="B12" s="23" t="s">
        <v>39</v>
      </c>
      <c r="C12" s="50">
        <v>7</v>
      </c>
      <c r="D12" s="50">
        <v>0</v>
      </c>
      <c r="E12" s="50">
        <v>10</v>
      </c>
      <c r="F12" s="50">
        <v>15</v>
      </c>
      <c r="G12" s="50">
        <v>0</v>
      </c>
      <c r="H12" s="50">
        <v>0</v>
      </c>
      <c r="I12" s="50">
        <v>8</v>
      </c>
      <c r="J12" s="50">
        <v>0</v>
      </c>
      <c r="K12" s="50">
        <v>0</v>
      </c>
      <c r="L12" s="50">
        <f>SUM('[1]RD4 MCC'!$R$6:$U$6)</f>
        <v>1</v>
      </c>
      <c r="M12" s="50">
        <v>75</v>
      </c>
      <c r="N12" s="50">
        <v>0</v>
      </c>
      <c r="O12" s="15">
        <f t="shared" si="0"/>
        <v>41</v>
      </c>
      <c r="P12" s="15">
        <f t="shared" si="1"/>
        <v>116</v>
      </c>
      <c r="R12" s="1" t="s">
        <v>8</v>
      </c>
      <c r="S12" s="17">
        <f t="shared" ref="S12:AF12" si="4">SUM(C18:C21)</f>
        <v>41</v>
      </c>
      <c r="T12" s="17">
        <f t="shared" si="4"/>
        <v>0</v>
      </c>
      <c r="U12" s="17">
        <f t="shared" si="4"/>
        <v>66</v>
      </c>
      <c r="V12" s="17">
        <f t="shared" si="4"/>
        <v>59</v>
      </c>
      <c r="W12" s="17">
        <f t="shared" si="4"/>
        <v>0</v>
      </c>
      <c r="X12" s="17">
        <f t="shared" si="4"/>
        <v>4</v>
      </c>
      <c r="Y12" s="17">
        <f t="shared" si="4"/>
        <v>29</v>
      </c>
      <c r="Z12" s="17">
        <f t="shared" si="4"/>
        <v>4</v>
      </c>
      <c r="AA12" s="17">
        <f t="shared" si="4"/>
        <v>0</v>
      </c>
      <c r="AB12" s="17">
        <f t="shared" si="4"/>
        <v>4</v>
      </c>
      <c r="AC12" s="17">
        <f t="shared" si="4"/>
        <v>297</v>
      </c>
      <c r="AD12" s="17">
        <f t="shared" si="4"/>
        <v>1</v>
      </c>
      <c r="AE12" s="31">
        <f t="shared" si="4"/>
        <v>208</v>
      </c>
      <c r="AF12" s="31">
        <f t="shared" si="4"/>
        <v>505</v>
      </c>
    </row>
    <row r="13" spans="2:32" ht="23.1" customHeight="1" x14ac:dyDescent="0.25">
      <c r="B13" s="23" t="s">
        <v>40</v>
      </c>
      <c r="C13" s="50">
        <v>6</v>
      </c>
      <c r="D13" s="50">
        <v>0</v>
      </c>
      <c r="E13" s="50">
        <v>12</v>
      </c>
      <c r="F13" s="50">
        <v>7</v>
      </c>
      <c r="G13" s="50">
        <v>0</v>
      </c>
      <c r="H13" s="50">
        <v>2</v>
      </c>
      <c r="I13" s="50">
        <v>6</v>
      </c>
      <c r="J13" s="50">
        <v>0</v>
      </c>
      <c r="K13" s="50">
        <v>0</v>
      </c>
      <c r="L13" s="50">
        <f>SUM('[1]RD4 MCC'!$R$6:$U$6)</f>
        <v>1</v>
      </c>
      <c r="M13" s="50">
        <v>77</v>
      </c>
      <c r="N13" s="50">
        <v>0</v>
      </c>
      <c r="O13" s="15">
        <f t="shared" si="0"/>
        <v>34</v>
      </c>
      <c r="P13" s="15">
        <f t="shared" si="1"/>
        <v>111</v>
      </c>
      <c r="R13" s="1" t="s">
        <v>9</v>
      </c>
      <c r="S13" s="17">
        <f t="shared" ref="S13:AF13" si="5">SUM(C22:C25)</f>
        <v>31</v>
      </c>
      <c r="T13" s="17">
        <f t="shared" si="5"/>
        <v>0</v>
      </c>
      <c r="U13" s="17">
        <f t="shared" si="5"/>
        <v>77</v>
      </c>
      <c r="V13" s="17">
        <f t="shared" si="5"/>
        <v>62</v>
      </c>
      <c r="W13" s="17">
        <f t="shared" si="5"/>
        <v>0</v>
      </c>
      <c r="X13" s="17">
        <f t="shared" si="5"/>
        <v>3</v>
      </c>
      <c r="Y13" s="17">
        <f t="shared" si="5"/>
        <v>31</v>
      </c>
      <c r="Z13" s="17">
        <f t="shared" si="5"/>
        <v>2</v>
      </c>
      <c r="AA13" s="17">
        <f t="shared" si="5"/>
        <v>1</v>
      </c>
      <c r="AB13" s="17">
        <f t="shared" si="5"/>
        <v>4</v>
      </c>
      <c r="AC13" s="17">
        <f t="shared" si="5"/>
        <v>313</v>
      </c>
      <c r="AD13" s="17">
        <f t="shared" si="5"/>
        <v>0</v>
      </c>
      <c r="AE13" s="31">
        <f t="shared" si="5"/>
        <v>211</v>
      </c>
      <c r="AF13" s="31">
        <f t="shared" si="5"/>
        <v>524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24</v>
      </c>
      <c r="F14" s="50">
        <v>8</v>
      </c>
      <c r="G14" s="50">
        <v>0</v>
      </c>
      <c r="H14" s="50">
        <v>0</v>
      </c>
      <c r="I14" s="50">
        <v>7</v>
      </c>
      <c r="J14" s="50">
        <v>0</v>
      </c>
      <c r="K14" s="50">
        <v>0</v>
      </c>
      <c r="L14" s="50">
        <f>SUM('[1]RD4 MCC'!$R$6:$U$6)</f>
        <v>1</v>
      </c>
      <c r="M14" s="50">
        <v>69</v>
      </c>
      <c r="N14" s="50">
        <v>0</v>
      </c>
      <c r="O14" s="15">
        <f t="shared" si="0"/>
        <v>42</v>
      </c>
      <c r="P14" s="15">
        <f t="shared" si="1"/>
        <v>111</v>
      </c>
      <c r="R14" s="1" t="s">
        <v>10</v>
      </c>
      <c r="S14" s="17">
        <f t="shared" ref="S14:AF14" si="6">SUM(C26:C29)</f>
        <v>50</v>
      </c>
      <c r="T14" s="17">
        <f t="shared" si="6"/>
        <v>0</v>
      </c>
      <c r="U14" s="17">
        <f t="shared" si="6"/>
        <v>58</v>
      </c>
      <c r="V14" s="17">
        <f t="shared" si="6"/>
        <v>54</v>
      </c>
      <c r="W14" s="17">
        <f t="shared" si="6"/>
        <v>0</v>
      </c>
      <c r="X14" s="17">
        <f t="shared" si="6"/>
        <v>3</v>
      </c>
      <c r="Y14" s="17">
        <f t="shared" si="6"/>
        <v>33</v>
      </c>
      <c r="Z14" s="17">
        <f t="shared" si="6"/>
        <v>2</v>
      </c>
      <c r="AA14" s="17">
        <f t="shared" si="6"/>
        <v>0</v>
      </c>
      <c r="AB14" s="17">
        <f t="shared" si="6"/>
        <v>4</v>
      </c>
      <c r="AC14" s="17">
        <f t="shared" si="6"/>
        <v>283</v>
      </c>
      <c r="AD14" s="17">
        <f t="shared" si="6"/>
        <v>0</v>
      </c>
      <c r="AE14" s="31">
        <f t="shared" si="6"/>
        <v>204</v>
      </c>
      <c r="AF14" s="31">
        <f t="shared" si="6"/>
        <v>487</v>
      </c>
    </row>
    <row r="15" spans="2:32" ht="23.1" customHeight="1" x14ac:dyDescent="0.25">
      <c r="B15" s="23" t="s">
        <v>42</v>
      </c>
      <c r="C15" s="50">
        <v>5</v>
      </c>
      <c r="D15" s="50">
        <v>0</v>
      </c>
      <c r="E15" s="50">
        <v>23</v>
      </c>
      <c r="F15" s="50">
        <v>17</v>
      </c>
      <c r="G15" s="50">
        <v>1</v>
      </c>
      <c r="H15" s="50">
        <v>0</v>
      </c>
      <c r="I15" s="50">
        <v>4</v>
      </c>
      <c r="J15" s="50">
        <v>0</v>
      </c>
      <c r="K15" s="50">
        <v>0</v>
      </c>
      <c r="L15" s="50">
        <f>SUM('[1]RD4 MCC'!$R$6:$U$6)</f>
        <v>1</v>
      </c>
      <c r="M15" s="50">
        <v>103</v>
      </c>
      <c r="N15" s="50">
        <v>0</v>
      </c>
      <c r="O15" s="15">
        <f t="shared" si="0"/>
        <v>51</v>
      </c>
      <c r="P15" s="15">
        <f t="shared" si="1"/>
        <v>154</v>
      </c>
      <c r="R15" s="1" t="s">
        <v>11</v>
      </c>
      <c r="S15" s="17">
        <f t="shared" ref="S15:AF15" si="7">SUM(C30:C33)</f>
        <v>48</v>
      </c>
      <c r="T15" s="17">
        <f t="shared" si="7"/>
        <v>0</v>
      </c>
      <c r="U15" s="17">
        <f t="shared" si="7"/>
        <v>55</v>
      </c>
      <c r="V15" s="17">
        <f t="shared" si="7"/>
        <v>70</v>
      </c>
      <c r="W15" s="17">
        <f t="shared" si="7"/>
        <v>0</v>
      </c>
      <c r="X15" s="17">
        <f t="shared" si="7"/>
        <v>7</v>
      </c>
      <c r="Y15" s="17">
        <f t="shared" si="7"/>
        <v>42</v>
      </c>
      <c r="Z15" s="17">
        <f t="shared" si="7"/>
        <v>3</v>
      </c>
      <c r="AA15" s="17">
        <f t="shared" si="7"/>
        <v>1</v>
      </c>
      <c r="AB15" s="17">
        <f t="shared" si="7"/>
        <v>4</v>
      </c>
      <c r="AC15" s="17">
        <f t="shared" si="7"/>
        <v>225</v>
      </c>
      <c r="AD15" s="17">
        <f t="shared" si="7"/>
        <v>1</v>
      </c>
      <c r="AE15" s="31">
        <f t="shared" si="7"/>
        <v>231</v>
      </c>
      <c r="AF15" s="31">
        <f t="shared" si="7"/>
        <v>456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16</v>
      </c>
      <c r="F16" s="50">
        <v>12</v>
      </c>
      <c r="G16" s="50">
        <v>1</v>
      </c>
      <c r="H16" s="50">
        <v>2</v>
      </c>
      <c r="I16" s="50">
        <v>8</v>
      </c>
      <c r="J16" s="50">
        <v>0</v>
      </c>
      <c r="K16" s="50">
        <v>1</v>
      </c>
      <c r="L16" s="50">
        <f>SUM('[1]RD4 MCC'!$R$6:$U$6)</f>
        <v>1</v>
      </c>
      <c r="M16" s="50">
        <v>92</v>
      </c>
      <c r="N16" s="50">
        <v>0</v>
      </c>
      <c r="O16" s="15">
        <f t="shared" si="0"/>
        <v>43</v>
      </c>
      <c r="P16" s="15">
        <f t="shared" si="1"/>
        <v>135</v>
      </c>
      <c r="R16" s="1" t="s">
        <v>12</v>
      </c>
      <c r="S16" s="17">
        <f t="shared" ref="S16:AF16" si="8">SUM(C34:C37)</f>
        <v>44</v>
      </c>
      <c r="T16" s="17">
        <f t="shared" si="8"/>
        <v>0</v>
      </c>
      <c r="U16" s="17">
        <f t="shared" si="8"/>
        <v>63</v>
      </c>
      <c r="V16" s="17">
        <f t="shared" si="8"/>
        <v>62</v>
      </c>
      <c r="W16" s="17">
        <f t="shared" si="8"/>
        <v>0</v>
      </c>
      <c r="X16" s="17">
        <f t="shared" si="8"/>
        <v>9</v>
      </c>
      <c r="Y16" s="17">
        <f t="shared" si="8"/>
        <v>42</v>
      </c>
      <c r="Z16" s="17">
        <f t="shared" si="8"/>
        <v>1</v>
      </c>
      <c r="AA16" s="17">
        <f t="shared" si="8"/>
        <v>1</v>
      </c>
      <c r="AB16" s="17">
        <f t="shared" si="8"/>
        <v>4</v>
      </c>
      <c r="AC16" s="17">
        <f t="shared" si="8"/>
        <v>254</v>
      </c>
      <c r="AD16" s="17">
        <f t="shared" si="8"/>
        <v>0</v>
      </c>
      <c r="AE16" s="31">
        <f t="shared" si="8"/>
        <v>226</v>
      </c>
      <c r="AF16" s="31">
        <f t="shared" si="8"/>
        <v>480</v>
      </c>
    </row>
    <row r="17" spans="2:32" ht="23.1" customHeight="1" x14ac:dyDescent="0.25">
      <c r="B17" s="23" t="s">
        <v>44</v>
      </c>
      <c r="C17" s="50">
        <v>10</v>
      </c>
      <c r="D17" s="50">
        <v>0</v>
      </c>
      <c r="E17" s="50">
        <v>10</v>
      </c>
      <c r="F17" s="50">
        <v>16</v>
      </c>
      <c r="G17" s="50">
        <v>0</v>
      </c>
      <c r="H17" s="50">
        <v>0</v>
      </c>
      <c r="I17" s="50">
        <v>7</v>
      </c>
      <c r="J17" s="50">
        <v>0</v>
      </c>
      <c r="K17" s="50">
        <v>1</v>
      </c>
      <c r="L17" s="50">
        <f>SUM('[1]RD4 MCC'!$R$6:$U$6)</f>
        <v>1</v>
      </c>
      <c r="M17" s="50">
        <v>69</v>
      </c>
      <c r="N17" s="50">
        <v>0</v>
      </c>
      <c r="O17" s="15">
        <f t="shared" si="0"/>
        <v>45</v>
      </c>
      <c r="P17" s="15">
        <f t="shared" si="1"/>
        <v>114</v>
      </c>
      <c r="R17" s="1" t="s">
        <v>13</v>
      </c>
      <c r="S17" s="17">
        <f t="shared" ref="S17:AF17" si="9">SUM(C38:C41)</f>
        <v>37</v>
      </c>
      <c r="T17" s="17">
        <f t="shared" si="9"/>
        <v>0</v>
      </c>
      <c r="U17" s="17">
        <f t="shared" si="9"/>
        <v>61</v>
      </c>
      <c r="V17" s="17">
        <f t="shared" si="9"/>
        <v>60</v>
      </c>
      <c r="W17" s="17">
        <f t="shared" si="9"/>
        <v>1</v>
      </c>
      <c r="X17" s="17">
        <f t="shared" si="9"/>
        <v>6</v>
      </c>
      <c r="Y17" s="17">
        <f t="shared" si="9"/>
        <v>43</v>
      </c>
      <c r="Z17" s="17">
        <f t="shared" si="9"/>
        <v>3</v>
      </c>
      <c r="AA17" s="17">
        <f t="shared" si="9"/>
        <v>0</v>
      </c>
      <c r="AB17" s="17">
        <f t="shared" si="9"/>
        <v>4</v>
      </c>
      <c r="AC17" s="17">
        <f t="shared" si="9"/>
        <v>289</v>
      </c>
      <c r="AD17" s="17">
        <f t="shared" si="9"/>
        <v>0</v>
      </c>
      <c r="AE17" s="31">
        <f t="shared" si="9"/>
        <v>215</v>
      </c>
      <c r="AF17" s="31">
        <f t="shared" si="9"/>
        <v>504</v>
      </c>
    </row>
    <row r="18" spans="2:32" ht="23.1" customHeight="1" x14ac:dyDescent="0.25">
      <c r="B18" s="23" t="s">
        <v>45</v>
      </c>
      <c r="C18" s="50">
        <v>9</v>
      </c>
      <c r="D18" s="50">
        <v>0</v>
      </c>
      <c r="E18" s="50">
        <v>17</v>
      </c>
      <c r="F18" s="50">
        <v>13</v>
      </c>
      <c r="G18" s="50">
        <v>0</v>
      </c>
      <c r="H18" s="50">
        <v>0</v>
      </c>
      <c r="I18" s="50">
        <v>8</v>
      </c>
      <c r="J18" s="50">
        <v>1</v>
      </c>
      <c r="K18" s="50">
        <v>0</v>
      </c>
      <c r="L18" s="50">
        <f>SUM('[1]RD4 MCC'!$R$6:$U$6)</f>
        <v>1</v>
      </c>
      <c r="M18" s="50">
        <v>69</v>
      </c>
      <c r="N18" s="50">
        <v>0</v>
      </c>
      <c r="O18" s="15">
        <f t="shared" si="0"/>
        <v>49</v>
      </c>
      <c r="P18" s="15">
        <f t="shared" si="1"/>
        <v>118</v>
      </c>
      <c r="R18" s="1" t="s">
        <v>14</v>
      </c>
      <c r="S18" s="17">
        <f t="shared" ref="S18:AF18" si="10">SUM(C42:C45)</f>
        <v>43</v>
      </c>
      <c r="T18" s="17">
        <f t="shared" si="10"/>
        <v>0</v>
      </c>
      <c r="U18" s="17">
        <f t="shared" si="10"/>
        <v>56</v>
      </c>
      <c r="V18" s="17">
        <f t="shared" si="10"/>
        <v>70</v>
      </c>
      <c r="W18" s="17">
        <f t="shared" si="10"/>
        <v>2</v>
      </c>
      <c r="X18" s="17">
        <f t="shared" si="10"/>
        <v>4</v>
      </c>
      <c r="Y18" s="17">
        <f t="shared" si="10"/>
        <v>36</v>
      </c>
      <c r="Z18" s="17">
        <f t="shared" si="10"/>
        <v>1</v>
      </c>
      <c r="AA18" s="17">
        <f t="shared" si="10"/>
        <v>2</v>
      </c>
      <c r="AB18" s="17">
        <f t="shared" si="10"/>
        <v>4</v>
      </c>
      <c r="AC18" s="17">
        <f t="shared" si="10"/>
        <v>255</v>
      </c>
      <c r="AD18" s="17">
        <f t="shared" si="10"/>
        <v>0</v>
      </c>
      <c r="AE18" s="31">
        <f t="shared" si="10"/>
        <v>218</v>
      </c>
      <c r="AF18" s="31">
        <f t="shared" si="10"/>
        <v>473</v>
      </c>
    </row>
    <row r="19" spans="2:32" ht="23.1" customHeight="1" x14ac:dyDescent="0.25">
      <c r="B19" s="23" t="s">
        <v>46</v>
      </c>
      <c r="C19" s="50">
        <v>14</v>
      </c>
      <c r="D19" s="50">
        <v>0</v>
      </c>
      <c r="E19" s="50">
        <v>11</v>
      </c>
      <c r="F19" s="50">
        <v>21</v>
      </c>
      <c r="G19" s="50">
        <v>0</v>
      </c>
      <c r="H19" s="50">
        <v>2</v>
      </c>
      <c r="I19" s="50">
        <v>7</v>
      </c>
      <c r="J19" s="50">
        <v>1</v>
      </c>
      <c r="K19" s="50">
        <v>0</v>
      </c>
      <c r="L19" s="50">
        <f>SUM('[1]RD4 MCC'!$R$6:$U$6)</f>
        <v>1</v>
      </c>
      <c r="M19" s="50">
        <v>83</v>
      </c>
      <c r="N19" s="50">
        <v>0</v>
      </c>
      <c r="O19" s="15">
        <f t="shared" si="0"/>
        <v>57</v>
      </c>
      <c r="P19" s="15">
        <f t="shared" si="1"/>
        <v>140</v>
      </c>
      <c r="R19" s="1" t="s">
        <v>15</v>
      </c>
      <c r="S19" s="17">
        <f t="shared" ref="S19:AF19" si="11">SUM(C46:C49)</f>
        <v>37</v>
      </c>
      <c r="T19" s="17">
        <f t="shared" si="11"/>
        <v>0</v>
      </c>
      <c r="U19" s="17">
        <f t="shared" si="11"/>
        <v>73</v>
      </c>
      <c r="V19" s="17">
        <f t="shared" si="11"/>
        <v>49</v>
      </c>
      <c r="W19" s="17">
        <f t="shared" si="11"/>
        <v>0</v>
      </c>
      <c r="X19" s="17">
        <f t="shared" si="11"/>
        <v>4</v>
      </c>
      <c r="Y19" s="17">
        <f t="shared" si="11"/>
        <v>49</v>
      </c>
      <c r="Z19" s="17">
        <f t="shared" si="11"/>
        <v>4</v>
      </c>
      <c r="AA19" s="17">
        <f t="shared" si="11"/>
        <v>2</v>
      </c>
      <c r="AB19" s="17">
        <f t="shared" si="11"/>
        <v>4</v>
      </c>
      <c r="AC19" s="17">
        <f t="shared" si="11"/>
        <v>197</v>
      </c>
      <c r="AD19" s="17">
        <f t="shared" si="11"/>
        <v>0</v>
      </c>
      <c r="AE19" s="31">
        <f t="shared" si="11"/>
        <v>222</v>
      </c>
      <c r="AF19" s="31">
        <f t="shared" si="11"/>
        <v>419</v>
      </c>
    </row>
    <row r="20" spans="2:32" ht="23.1" customHeight="1" x14ac:dyDescent="0.25">
      <c r="B20" s="23" t="s">
        <v>47</v>
      </c>
      <c r="C20" s="50">
        <v>8</v>
      </c>
      <c r="D20" s="50">
        <v>0</v>
      </c>
      <c r="E20" s="50">
        <v>18</v>
      </c>
      <c r="F20" s="50">
        <v>15</v>
      </c>
      <c r="G20" s="50">
        <v>0</v>
      </c>
      <c r="H20" s="50">
        <v>2</v>
      </c>
      <c r="I20" s="50">
        <v>9</v>
      </c>
      <c r="J20" s="50">
        <v>1</v>
      </c>
      <c r="K20" s="50">
        <v>0</v>
      </c>
      <c r="L20" s="50">
        <f>SUM('[1]RD4 MCC'!$R$6:$U$6)</f>
        <v>1</v>
      </c>
      <c r="M20" s="50">
        <v>77</v>
      </c>
      <c r="N20" s="50">
        <v>0</v>
      </c>
      <c r="O20" s="15">
        <f t="shared" si="0"/>
        <v>54</v>
      </c>
      <c r="P20" s="15">
        <f t="shared" si="1"/>
        <v>131</v>
      </c>
      <c r="R20" s="1" t="s">
        <v>16</v>
      </c>
      <c r="S20" s="17">
        <f t="shared" ref="S20:AF20" si="12">SUM(C50:C53)</f>
        <v>37</v>
      </c>
      <c r="T20" s="17">
        <f t="shared" si="12"/>
        <v>0</v>
      </c>
      <c r="U20" s="17">
        <f t="shared" si="12"/>
        <v>52</v>
      </c>
      <c r="V20" s="17">
        <f t="shared" si="12"/>
        <v>59</v>
      </c>
      <c r="W20" s="17">
        <f t="shared" si="12"/>
        <v>0</v>
      </c>
      <c r="X20" s="17">
        <f t="shared" si="12"/>
        <v>5</v>
      </c>
      <c r="Y20" s="17">
        <f t="shared" si="12"/>
        <v>28</v>
      </c>
      <c r="Z20" s="17">
        <f t="shared" si="12"/>
        <v>3</v>
      </c>
      <c r="AA20" s="17">
        <f t="shared" si="12"/>
        <v>0</v>
      </c>
      <c r="AB20" s="17">
        <f t="shared" si="12"/>
        <v>4</v>
      </c>
      <c r="AC20" s="17">
        <f t="shared" si="12"/>
        <v>267</v>
      </c>
      <c r="AD20" s="17">
        <f t="shared" si="12"/>
        <v>0</v>
      </c>
      <c r="AE20" s="31">
        <f t="shared" si="12"/>
        <v>188</v>
      </c>
      <c r="AF20" s="31">
        <f t="shared" si="12"/>
        <v>455</v>
      </c>
    </row>
    <row r="21" spans="2:32" ht="23.1" customHeight="1" x14ac:dyDescent="0.25">
      <c r="B21" s="23" t="s">
        <v>48</v>
      </c>
      <c r="C21" s="50">
        <v>10</v>
      </c>
      <c r="D21" s="50">
        <v>0</v>
      </c>
      <c r="E21" s="50">
        <v>20</v>
      </c>
      <c r="F21" s="50">
        <v>10</v>
      </c>
      <c r="G21" s="50">
        <v>0</v>
      </c>
      <c r="H21" s="50">
        <v>0</v>
      </c>
      <c r="I21" s="50">
        <v>5</v>
      </c>
      <c r="J21" s="50">
        <v>1</v>
      </c>
      <c r="K21" s="50">
        <v>0</v>
      </c>
      <c r="L21" s="50">
        <f>SUM('[1]RD4 MCC'!$R$6:$U$6)</f>
        <v>1</v>
      </c>
      <c r="M21" s="50">
        <v>68</v>
      </c>
      <c r="N21" s="50">
        <v>1</v>
      </c>
      <c r="O21" s="15">
        <f t="shared" si="0"/>
        <v>48</v>
      </c>
      <c r="P21" s="15">
        <f t="shared" si="1"/>
        <v>116</v>
      </c>
      <c r="R21" s="36" t="s">
        <v>20</v>
      </c>
      <c r="S21" s="34">
        <f t="shared" ref="S21:AF21" si="13">SUM(C54:C57)</f>
        <v>30</v>
      </c>
      <c r="T21" s="17">
        <f t="shared" si="13"/>
        <v>0</v>
      </c>
      <c r="U21" s="17">
        <f t="shared" si="13"/>
        <v>44</v>
      </c>
      <c r="V21" s="17">
        <f t="shared" si="13"/>
        <v>75</v>
      </c>
      <c r="W21" s="17">
        <f t="shared" si="13"/>
        <v>1</v>
      </c>
      <c r="X21" s="17">
        <f t="shared" si="13"/>
        <v>3</v>
      </c>
      <c r="Y21" s="17">
        <f t="shared" si="13"/>
        <v>38</v>
      </c>
      <c r="Z21" s="17">
        <f t="shared" si="13"/>
        <v>5</v>
      </c>
      <c r="AA21" s="17">
        <f t="shared" si="13"/>
        <v>1</v>
      </c>
      <c r="AB21" s="17">
        <f t="shared" si="13"/>
        <v>4</v>
      </c>
      <c r="AC21" s="17">
        <f t="shared" si="13"/>
        <v>222</v>
      </c>
      <c r="AD21" s="17">
        <f t="shared" si="13"/>
        <v>0</v>
      </c>
      <c r="AE21" s="31">
        <f t="shared" si="13"/>
        <v>201</v>
      </c>
      <c r="AF21" s="31">
        <f t="shared" si="13"/>
        <v>423</v>
      </c>
    </row>
    <row r="22" spans="2:32" ht="23.1" customHeight="1" x14ac:dyDescent="0.25">
      <c r="B22" s="23" t="s">
        <v>49</v>
      </c>
      <c r="C22" s="50">
        <v>10</v>
      </c>
      <c r="D22" s="50">
        <v>0</v>
      </c>
      <c r="E22" s="50">
        <v>12</v>
      </c>
      <c r="F22" s="50">
        <v>15</v>
      </c>
      <c r="G22" s="50">
        <v>0</v>
      </c>
      <c r="H22" s="50">
        <v>0</v>
      </c>
      <c r="I22" s="50">
        <v>9</v>
      </c>
      <c r="J22" s="50">
        <v>0</v>
      </c>
      <c r="K22" s="50">
        <v>0</v>
      </c>
      <c r="L22" s="50">
        <f>SUM('[1]RD4 MCC'!$R$6:$U$6)</f>
        <v>1</v>
      </c>
      <c r="M22" s="50">
        <v>67</v>
      </c>
      <c r="N22" s="50">
        <v>0</v>
      </c>
      <c r="O22" s="15">
        <f t="shared" si="0"/>
        <v>47</v>
      </c>
      <c r="P22" s="15">
        <f t="shared" si="1"/>
        <v>114</v>
      </c>
      <c r="R22" s="38" t="s">
        <v>90</v>
      </c>
      <c r="S22" s="39">
        <f>MAX(S10:S12)</f>
        <v>41</v>
      </c>
      <c r="T22" s="39">
        <f t="shared" ref="T22:AF22" si="14">MAX(T10:T12)</f>
        <v>0</v>
      </c>
      <c r="U22" s="39">
        <f t="shared" si="14"/>
        <v>73</v>
      </c>
      <c r="V22" s="39">
        <f t="shared" si="14"/>
        <v>59</v>
      </c>
      <c r="W22" s="39">
        <f t="shared" si="14"/>
        <v>2</v>
      </c>
      <c r="X22" s="39">
        <f t="shared" si="14"/>
        <v>4</v>
      </c>
      <c r="Y22" s="39">
        <f t="shared" si="14"/>
        <v>31</v>
      </c>
      <c r="Z22" s="39">
        <f t="shared" si="14"/>
        <v>6</v>
      </c>
      <c r="AA22" s="39">
        <f t="shared" si="14"/>
        <v>2</v>
      </c>
      <c r="AB22" s="39">
        <f t="shared" si="14"/>
        <v>4</v>
      </c>
      <c r="AC22" s="39">
        <f t="shared" si="14"/>
        <v>333</v>
      </c>
      <c r="AD22" s="39">
        <f t="shared" si="14"/>
        <v>1</v>
      </c>
      <c r="AE22" s="40">
        <f t="shared" si="14"/>
        <v>208</v>
      </c>
      <c r="AF22" s="40">
        <f t="shared" si="14"/>
        <v>514</v>
      </c>
    </row>
    <row r="23" spans="2:32" ht="23.1" customHeight="1" x14ac:dyDescent="0.25">
      <c r="B23" s="23" t="s">
        <v>50</v>
      </c>
      <c r="C23" s="50">
        <v>6</v>
      </c>
      <c r="D23" s="50">
        <v>0</v>
      </c>
      <c r="E23" s="50">
        <v>21</v>
      </c>
      <c r="F23" s="50">
        <v>18</v>
      </c>
      <c r="G23" s="50">
        <v>0</v>
      </c>
      <c r="H23" s="50">
        <v>1</v>
      </c>
      <c r="I23" s="50">
        <v>6</v>
      </c>
      <c r="J23" s="50">
        <v>2</v>
      </c>
      <c r="K23" s="50">
        <v>0</v>
      </c>
      <c r="L23" s="50">
        <f>SUM('[1]RD4 MCC'!$R$6:$U$6)</f>
        <v>1</v>
      </c>
      <c r="M23" s="50">
        <v>90</v>
      </c>
      <c r="N23" s="50">
        <v>0</v>
      </c>
      <c r="O23" s="15">
        <f t="shared" si="0"/>
        <v>55</v>
      </c>
      <c r="P23" s="15">
        <f t="shared" si="1"/>
        <v>145</v>
      </c>
      <c r="R23" s="38" t="s">
        <v>91</v>
      </c>
      <c r="S23" s="39">
        <f>MAX(S13:S18)</f>
        <v>50</v>
      </c>
      <c r="T23" s="39">
        <f t="shared" ref="T23:AF23" si="15">MAX(T13:T18)</f>
        <v>0</v>
      </c>
      <c r="U23" s="39">
        <f t="shared" si="15"/>
        <v>77</v>
      </c>
      <c r="V23" s="39">
        <f t="shared" si="15"/>
        <v>70</v>
      </c>
      <c r="W23" s="39">
        <f t="shared" si="15"/>
        <v>2</v>
      </c>
      <c r="X23" s="39">
        <f t="shared" si="15"/>
        <v>9</v>
      </c>
      <c r="Y23" s="39">
        <f t="shared" si="15"/>
        <v>43</v>
      </c>
      <c r="Z23" s="39">
        <f t="shared" si="15"/>
        <v>3</v>
      </c>
      <c r="AA23" s="39">
        <f t="shared" si="15"/>
        <v>2</v>
      </c>
      <c r="AB23" s="39">
        <f t="shared" si="15"/>
        <v>4</v>
      </c>
      <c r="AC23" s="39">
        <f t="shared" si="15"/>
        <v>313</v>
      </c>
      <c r="AD23" s="39">
        <f t="shared" si="15"/>
        <v>1</v>
      </c>
      <c r="AE23" s="40">
        <f t="shared" si="15"/>
        <v>231</v>
      </c>
      <c r="AF23" s="40">
        <f t="shared" si="15"/>
        <v>524</v>
      </c>
    </row>
    <row r="24" spans="2:32" ht="23.1" customHeight="1" x14ac:dyDescent="0.25">
      <c r="B24" s="23" t="s">
        <v>51</v>
      </c>
      <c r="C24" s="50">
        <v>6</v>
      </c>
      <c r="D24" s="50">
        <v>0</v>
      </c>
      <c r="E24" s="50">
        <v>27</v>
      </c>
      <c r="F24" s="50">
        <v>10</v>
      </c>
      <c r="G24" s="50">
        <v>0</v>
      </c>
      <c r="H24" s="50">
        <v>1</v>
      </c>
      <c r="I24" s="50">
        <v>12</v>
      </c>
      <c r="J24" s="50">
        <v>0</v>
      </c>
      <c r="K24" s="50">
        <v>1</v>
      </c>
      <c r="L24" s="50">
        <f>SUM('[1]RD4 MCC'!$R$6:$U$6)</f>
        <v>1</v>
      </c>
      <c r="M24" s="50">
        <v>91</v>
      </c>
      <c r="N24" s="50">
        <v>0</v>
      </c>
      <c r="O24" s="15">
        <f t="shared" si="0"/>
        <v>58</v>
      </c>
      <c r="P24" s="15">
        <f t="shared" si="1"/>
        <v>149</v>
      </c>
      <c r="R24" s="38" t="s">
        <v>92</v>
      </c>
      <c r="S24" s="39">
        <f>MAX(S19:S21)</f>
        <v>37</v>
      </c>
      <c r="T24" s="39">
        <f t="shared" ref="T24:AF24" si="16">MAX(T19:T21)</f>
        <v>0</v>
      </c>
      <c r="U24" s="39">
        <f t="shared" si="16"/>
        <v>73</v>
      </c>
      <c r="V24" s="39">
        <f t="shared" si="16"/>
        <v>75</v>
      </c>
      <c r="W24" s="39">
        <f t="shared" si="16"/>
        <v>1</v>
      </c>
      <c r="X24" s="39">
        <f t="shared" si="16"/>
        <v>5</v>
      </c>
      <c r="Y24" s="39">
        <f t="shared" si="16"/>
        <v>49</v>
      </c>
      <c r="Z24" s="39">
        <f t="shared" si="16"/>
        <v>5</v>
      </c>
      <c r="AA24" s="39">
        <f t="shared" si="16"/>
        <v>2</v>
      </c>
      <c r="AB24" s="39">
        <f t="shared" si="16"/>
        <v>4</v>
      </c>
      <c r="AC24" s="39">
        <f t="shared" si="16"/>
        <v>267</v>
      </c>
      <c r="AD24" s="39">
        <f t="shared" si="16"/>
        <v>0</v>
      </c>
      <c r="AE24" s="40">
        <f t="shared" si="16"/>
        <v>222</v>
      </c>
      <c r="AF24" s="40">
        <f t="shared" si="16"/>
        <v>455</v>
      </c>
    </row>
    <row r="25" spans="2:32" ht="23.1" customHeight="1" x14ac:dyDescent="0.25">
      <c r="B25" s="23" t="s">
        <v>52</v>
      </c>
      <c r="C25" s="50">
        <v>9</v>
      </c>
      <c r="D25" s="50">
        <v>0</v>
      </c>
      <c r="E25" s="50">
        <v>17</v>
      </c>
      <c r="F25" s="50">
        <v>19</v>
      </c>
      <c r="G25" s="50">
        <v>0</v>
      </c>
      <c r="H25" s="50">
        <v>1</v>
      </c>
      <c r="I25" s="50">
        <v>4</v>
      </c>
      <c r="J25" s="50">
        <v>0</v>
      </c>
      <c r="K25" s="50">
        <v>0</v>
      </c>
      <c r="L25" s="50">
        <f>SUM('[1]RD4 MCC'!$R$6:$U$6)</f>
        <v>1</v>
      </c>
      <c r="M25" s="50">
        <v>65</v>
      </c>
      <c r="N25" s="50">
        <v>0</v>
      </c>
      <c r="O25" s="15">
        <f t="shared" si="0"/>
        <v>51</v>
      </c>
      <c r="P25" s="15">
        <f t="shared" si="1"/>
        <v>116</v>
      </c>
      <c r="R25" s="37" t="s">
        <v>85</v>
      </c>
      <c r="S25" s="35">
        <f t="shared" ref="S25:AF25" si="17">SUM(S10:S12)</f>
        <v>79</v>
      </c>
      <c r="T25" s="16">
        <f t="shared" si="17"/>
        <v>0</v>
      </c>
      <c r="U25" s="16">
        <f t="shared" si="17"/>
        <v>198</v>
      </c>
      <c r="V25" s="16">
        <f t="shared" si="17"/>
        <v>145</v>
      </c>
      <c r="W25" s="16">
        <f t="shared" si="17"/>
        <v>2</v>
      </c>
      <c r="X25" s="16">
        <f t="shared" si="17"/>
        <v>10</v>
      </c>
      <c r="Y25" s="16">
        <f t="shared" si="17"/>
        <v>86</v>
      </c>
      <c r="Z25" s="16">
        <f t="shared" si="17"/>
        <v>10</v>
      </c>
      <c r="AA25" s="16">
        <f t="shared" si="17"/>
        <v>2</v>
      </c>
      <c r="AB25" s="16">
        <f t="shared" si="17"/>
        <v>12</v>
      </c>
      <c r="AC25" s="16">
        <f t="shared" si="17"/>
        <v>870</v>
      </c>
      <c r="AD25" s="16">
        <f t="shared" si="17"/>
        <v>1</v>
      </c>
      <c r="AE25" s="32">
        <f t="shared" si="17"/>
        <v>545</v>
      </c>
      <c r="AF25" s="32">
        <f t="shared" si="17"/>
        <v>1415</v>
      </c>
    </row>
    <row r="26" spans="2:32" ht="23.1" customHeight="1" x14ac:dyDescent="0.25">
      <c r="B26" s="23" t="s">
        <v>53</v>
      </c>
      <c r="C26" s="50">
        <v>13</v>
      </c>
      <c r="D26" s="50">
        <v>0</v>
      </c>
      <c r="E26" s="50">
        <v>16</v>
      </c>
      <c r="F26" s="50">
        <v>21</v>
      </c>
      <c r="G26" s="50">
        <v>0</v>
      </c>
      <c r="H26" s="50">
        <v>1</v>
      </c>
      <c r="I26" s="50">
        <v>12</v>
      </c>
      <c r="J26" s="50">
        <v>0</v>
      </c>
      <c r="K26" s="50">
        <v>0</v>
      </c>
      <c r="L26" s="50">
        <f>SUM('[1]RD4 MCC'!$R$6:$U$6)</f>
        <v>1</v>
      </c>
      <c r="M26" s="50">
        <v>71</v>
      </c>
      <c r="N26" s="50">
        <v>0</v>
      </c>
      <c r="O26" s="15">
        <f t="shared" si="0"/>
        <v>64</v>
      </c>
      <c r="P26" s="15">
        <f t="shared" si="1"/>
        <v>135</v>
      </c>
      <c r="R26" s="28" t="s">
        <v>86</v>
      </c>
      <c r="S26" s="16">
        <f t="shared" ref="S26:AF26" si="18">SUM(S13:S18)</f>
        <v>253</v>
      </c>
      <c r="T26" s="16">
        <f t="shared" si="18"/>
        <v>0</v>
      </c>
      <c r="U26" s="16">
        <f t="shared" si="18"/>
        <v>370</v>
      </c>
      <c r="V26" s="16">
        <f t="shared" si="18"/>
        <v>378</v>
      </c>
      <c r="W26" s="16">
        <f t="shared" si="18"/>
        <v>3</v>
      </c>
      <c r="X26" s="16">
        <f t="shared" si="18"/>
        <v>32</v>
      </c>
      <c r="Y26" s="16">
        <f t="shared" si="18"/>
        <v>227</v>
      </c>
      <c r="Z26" s="16">
        <f t="shared" si="18"/>
        <v>12</v>
      </c>
      <c r="AA26" s="16">
        <f t="shared" si="18"/>
        <v>5</v>
      </c>
      <c r="AB26" s="16">
        <f t="shared" si="18"/>
        <v>24</v>
      </c>
      <c r="AC26" s="16">
        <f t="shared" si="18"/>
        <v>1619</v>
      </c>
      <c r="AD26" s="16">
        <f t="shared" si="18"/>
        <v>1</v>
      </c>
      <c r="AE26" s="32">
        <f t="shared" si="18"/>
        <v>1305</v>
      </c>
      <c r="AF26" s="32">
        <f t="shared" si="18"/>
        <v>2924</v>
      </c>
    </row>
    <row r="27" spans="2:32" ht="23.1" customHeight="1" x14ac:dyDescent="0.25">
      <c r="B27" s="23" t="s">
        <v>54</v>
      </c>
      <c r="C27" s="50">
        <v>16</v>
      </c>
      <c r="D27" s="50">
        <v>0</v>
      </c>
      <c r="E27" s="50">
        <v>16</v>
      </c>
      <c r="F27" s="50">
        <v>15</v>
      </c>
      <c r="G27" s="50">
        <v>0</v>
      </c>
      <c r="H27" s="50">
        <v>1</v>
      </c>
      <c r="I27" s="50">
        <v>7</v>
      </c>
      <c r="J27" s="50">
        <v>0</v>
      </c>
      <c r="K27" s="50">
        <v>0</v>
      </c>
      <c r="L27" s="50">
        <f>SUM('[1]RD4 MCC'!$R$6:$U$6)</f>
        <v>1</v>
      </c>
      <c r="M27" s="50">
        <v>78</v>
      </c>
      <c r="N27" s="50">
        <v>0</v>
      </c>
      <c r="O27" s="15">
        <f t="shared" si="0"/>
        <v>56</v>
      </c>
      <c r="P27" s="15">
        <f t="shared" si="1"/>
        <v>134</v>
      </c>
      <c r="R27" s="29" t="s">
        <v>87</v>
      </c>
      <c r="S27" s="16">
        <f t="shared" ref="S27:AF27" si="19">SUM(S19:S21)</f>
        <v>104</v>
      </c>
      <c r="T27" s="16">
        <f t="shared" si="19"/>
        <v>0</v>
      </c>
      <c r="U27" s="16">
        <f t="shared" si="19"/>
        <v>169</v>
      </c>
      <c r="V27" s="16">
        <f t="shared" si="19"/>
        <v>183</v>
      </c>
      <c r="W27" s="16">
        <f t="shared" si="19"/>
        <v>1</v>
      </c>
      <c r="X27" s="16">
        <f t="shared" si="19"/>
        <v>12</v>
      </c>
      <c r="Y27" s="16">
        <f t="shared" si="19"/>
        <v>115</v>
      </c>
      <c r="Z27" s="16">
        <f t="shared" si="19"/>
        <v>12</v>
      </c>
      <c r="AA27" s="16">
        <f t="shared" si="19"/>
        <v>3</v>
      </c>
      <c r="AB27" s="16">
        <f t="shared" si="19"/>
        <v>12</v>
      </c>
      <c r="AC27" s="16">
        <f t="shared" si="19"/>
        <v>686</v>
      </c>
      <c r="AD27" s="16">
        <f t="shared" si="19"/>
        <v>0</v>
      </c>
      <c r="AE27" s="32">
        <f t="shared" si="19"/>
        <v>611</v>
      </c>
      <c r="AF27" s="32">
        <f t="shared" si="19"/>
        <v>1297</v>
      </c>
    </row>
    <row r="28" spans="2:32" ht="23.1" customHeight="1" x14ac:dyDescent="0.25">
      <c r="B28" s="23" t="s">
        <v>55</v>
      </c>
      <c r="C28" s="50">
        <v>9</v>
      </c>
      <c r="D28" s="50">
        <v>0</v>
      </c>
      <c r="E28" s="50">
        <v>14</v>
      </c>
      <c r="F28" s="50">
        <v>11</v>
      </c>
      <c r="G28" s="50">
        <v>0</v>
      </c>
      <c r="H28" s="50">
        <v>1</v>
      </c>
      <c r="I28" s="50">
        <v>6</v>
      </c>
      <c r="J28" s="50">
        <v>1</v>
      </c>
      <c r="K28" s="50">
        <v>0</v>
      </c>
      <c r="L28" s="50">
        <f>SUM('[1]RD4 MCC'!$R$6:$U$6)</f>
        <v>1</v>
      </c>
      <c r="M28" s="50">
        <v>66</v>
      </c>
      <c r="N28" s="50">
        <v>0</v>
      </c>
      <c r="O28" s="15">
        <f t="shared" si="0"/>
        <v>43</v>
      </c>
      <c r="P28" s="15">
        <f t="shared" si="1"/>
        <v>109</v>
      </c>
      <c r="R28" s="5" t="s">
        <v>17</v>
      </c>
      <c r="S28" s="16">
        <f t="shared" ref="S28:AF28" si="20">SUM(S10:S21)</f>
        <v>436</v>
      </c>
      <c r="T28" s="16">
        <f t="shared" si="20"/>
        <v>0</v>
      </c>
      <c r="U28" s="16">
        <f t="shared" si="20"/>
        <v>737</v>
      </c>
      <c r="V28" s="16">
        <f t="shared" si="20"/>
        <v>706</v>
      </c>
      <c r="W28" s="16">
        <f t="shared" si="20"/>
        <v>6</v>
      </c>
      <c r="X28" s="16">
        <f t="shared" si="20"/>
        <v>54</v>
      </c>
      <c r="Y28" s="16">
        <f t="shared" si="20"/>
        <v>428</v>
      </c>
      <c r="Z28" s="16">
        <f t="shared" si="20"/>
        <v>34</v>
      </c>
      <c r="AA28" s="16">
        <f t="shared" si="20"/>
        <v>10</v>
      </c>
      <c r="AB28" s="16">
        <f t="shared" si="20"/>
        <v>48</v>
      </c>
      <c r="AC28" s="16">
        <f t="shared" si="20"/>
        <v>3175</v>
      </c>
      <c r="AD28" s="16">
        <f t="shared" si="20"/>
        <v>2</v>
      </c>
      <c r="AE28" s="32">
        <f t="shared" si="20"/>
        <v>2461</v>
      </c>
      <c r="AF28" s="32">
        <f t="shared" si="20"/>
        <v>5636</v>
      </c>
    </row>
    <row r="29" spans="2:32" ht="23.1" customHeight="1" x14ac:dyDescent="0.25">
      <c r="B29" s="23" t="s">
        <v>56</v>
      </c>
      <c r="C29" s="50">
        <v>12</v>
      </c>
      <c r="D29" s="50">
        <v>0</v>
      </c>
      <c r="E29" s="50">
        <v>12</v>
      </c>
      <c r="F29" s="50">
        <v>7</v>
      </c>
      <c r="G29" s="50">
        <v>0</v>
      </c>
      <c r="H29" s="50">
        <v>0</v>
      </c>
      <c r="I29" s="50">
        <v>8</v>
      </c>
      <c r="J29" s="50">
        <v>1</v>
      </c>
      <c r="K29" s="50">
        <v>0</v>
      </c>
      <c r="L29" s="50">
        <f>SUM('[1]RD4 MCC'!$R$6:$U$6)</f>
        <v>1</v>
      </c>
      <c r="M29" s="50">
        <v>68</v>
      </c>
      <c r="N29" s="50">
        <v>0</v>
      </c>
      <c r="O29" s="15">
        <f t="shared" si="0"/>
        <v>41</v>
      </c>
      <c r="P29" s="15">
        <f t="shared" si="1"/>
        <v>109</v>
      </c>
      <c r="R29"/>
      <c r="S29" s="20"/>
      <c r="T29" s="19"/>
    </row>
    <row r="30" spans="2:32" ht="23.1" customHeight="1" x14ac:dyDescent="0.25">
      <c r="B30" s="23" t="s">
        <v>57</v>
      </c>
      <c r="C30" s="50">
        <v>10</v>
      </c>
      <c r="D30" s="50">
        <v>0</v>
      </c>
      <c r="E30" s="50">
        <v>14</v>
      </c>
      <c r="F30" s="50">
        <v>15</v>
      </c>
      <c r="G30" s="50">
        <v>0</v>
      </c>
      <c r="H30" s="50">
        <v>1</v>
      </c>
      <c r="I30" s="50">
        <v>11</v>
      </c>
      <c r="J30" s="50">
        <v>1</v>
      </c>
      <c r="K30" s="50">
        <v>0</v>
      </c>
      <c r="L30" s="50">
        <f>SUM('[1]RD4 MCC'!$R$6:$U$6)</f>
        <v>1</v>
      </c>
      <c r="M30" s="50">
        <v>63</v>
      </c>
      <c r="N30" s="50">
        <v>0</v>
      </c>
      <c r="O30" s="15">
        <f t="shared" si="0"/>
        <v>53</v>
      </c>
      <c r="P30" s="15">
        <f t="shared" si="1"/>
        <v>116</v>
      </c>
    </row>
    <row r="31" spans="2:32" ht="23.1" customHeight="1" x14ac:dyDescent="0.25">
      <c r="B31" s="24" t="s">
        <v>58</v>
      </c>
      <c r="C31" s="50">
        <v>11</v>
      </c>
      <c r="D31" s="50">
        <v>0</v>
      </c>
      <c r="E31" s="50">
        <v>8</v>
      </c>
      <c r="F31" s="50">
        <v>20</v>
      </c>
      <c r="G31" s="50">
        <v>0</v>
      </c>
      <c r="H31" s="50">
        <v>0</v>
      </c>
      <c r="I31" s="50">
        <v>11</v>
      </c>
      <c r="J31" s="50">
        <v>0</v>
      </c>
      <c r="K31" s="50">
        <v>0</v>
      </c>
      <c r="L31" s="50">
        <f>SUM('[1]RD4 MCC'!$R$6:$U$6)</f>
        <v>1</v>
      </c>
      <c r="M31" s="50">
        <v>53</v>
      </c>
      <c r="N31" s="50">
        <v>0</v>
      </c>
      <c r="O31" s="15">
        <f t="shared" si="0"/>
        <v>51</v>
      </c>
      <c r="P31" s="15">
        <f t="shared" si="1"/>
        <v>104</v>
      </c>
    </row>
    <row r="32" spans="2:32" ht="23.1" customHeight="1" x14ac:dyDescent="0.25">
      <c r="B32" s="24" t="s">
        <v>59</v>
      </c>
      <c r="C32" s="50">
        <v>11</v>
      </c>
      <c r="D32" s="50">
        <v>0</v>
      </c>
      <c r="E32" s="50">
        <v>14</v>
      </c>
      <c r="F32" s="50">
        <v>12</v>
      </c>
      <c r="G32" s="50">
        <v>0</v>
      </c>
      <c r="H32" s="50">
        <v>4</v>
      </c>
      <c r="I32" s="50">
        <v>6</v>
      </c>
      <c r="J32" s="50">
        <v>1</v>
      </c>
      <c r="K32" s="50">
        <v>1</v>
      </c>
      <c r="L32" s="50">
        <f>SUM('[1]RD4 MCC'!$R$6:$U$6)</f>
        <v>1</v>
      </c>
      <c r="M32" s="50">
        <v>53</v>
      </c>
      <c r="N32" s="50">
        <v>1</v>
      </c>
      <c r="O32" s="15">
        <f t="shared" si="0"/>
        <v>51</v>
      </c>
      <c r="P32" s="15">
        <f t="shared" si="1"/>
        <v>104</v>
      </c>
    </row>
    <row r="33" spans="2:20" ht="23.1" customHeight="1" x14ac:dyDescent="0.25">
      <c r="B33" s="23" t="s">
        <v>60</v>
      </c>
      <c r="C33" s="50">
        <v>16</v>
      </c>
      <c r="D33" s="50">
        <v>0</v>
      </c>
      <c r="E33" s="50">
        <v>19</v>
      </c>
      <c r="F33" s="50">
        <v>23</v>
      </c>
      <c r="G33" s="50">
        <v>0</v>
      </c>
      <c r="H33" s="50">
        <v>2</v>
      </c>
      <c r="I33" s="50">
        <v>14</v>
      </c>
      <c r="J33" s="50">
        <v>1</v>
      </c>
      <c r="K33" s="50">
        <v>0</v>
      </c>
      <c r="L33" s="50">
        <f>SUM('[1]RD4 MCC'!$R$6:$U$6)</f>
        <v>1</v>
      </c>
      <c r="M33" s="50">
        <v>56</v>
      </c>
      <c r="N33" s="50">
        <v>0</v>
      </c>
      <c r="O33" s="15">
        <f t="shared" si="0"/>
        <v>76</v>
      </c>
      <c r="P33" s="15">
        <f t="shared" si="1"/>
        <v>132</v>
      </c>
    </row>
    <row r="34" spans="2:20" ht="23.1" customHeight="1" x14ac:dyDescent="0.25">
      <c r="B34" s="24" t="s">
        <v>61</v>
      </c>
      <c r="C34" s="50">
        <v>7</v>
      </c>
      <c r="D34" s="50">
        <v>0</v>
      </c>
      <c r="E34" s="50">
        <v>13</v>
      </c>
      <c r="F34" s="50">
        <v>20</v>
      </c>
      <c r="G34" s="50">
        <v>0</v>
      </c>
      <c r="H34" s="50">
        <v>2</v>
      </c>
      <c r="I34" s="50">
        <v>10</v>
      </c>
      <c r="J34" s="50">
        <v>0</v>
      </c>
      <c r="K34" s="50">
        <v>0</v>
      </c>
      <c r="L34" s="50">
        <f>SUM('[1]RD4 MCC'!$R$6:$U$6)</f>
        <v>1</v>
      </c>
      <c r="M34" s="50">
        <v>52</v>
      </c>
      <c r="N34" s="50">
        <v>0</v>
      </c>
      <c r="O34" s="15">
        <f t="shared" si="0"/>
        <v>53</v>
      </c>
      <c r="P34" s="15">
        <f t="shared" si="1"/>
        <v>105</v>
      </c>
    </row>
    <row r="35" spans="2:20" ht="23.1" customHeight="1" x14ac:dyDescent="0.25">
      <c r="B35" s="24" t="s">
        <v>62</v>
      </c>
      <c r="C35" s="50">
        <v>10</v>
      </c>
      <c r="D35" s="50">
        <v>0</v>
      </c>
      <c r="E35" s="50">
        <v>15</v>
      </c>
      <c r="F35" s="50">
        <v>11</v>
      </c>
      <c r="G35" s="50">
        <v>0</v>
      </c>
      <c r="H35" s="50">
        <v>0</v>
      </c>
      <c r="I35" s="50">
        <v>12</v>
      </c>
      <c r="J35" s="50">
        <v>0</v>
      </c>
      <c r="K35" s="50">
        <v>0</v>
      </c>
      <c r="L35" s="50">
        <f>SUM('[1]RD4 MCC'!$R$6:$U$6)</f>
        <v>1</v>
      </c>
      <c r="M35" s="50">
        <v>69</v>
      </c>
      <c r="N35" s="50">
        <v>0</v>
      </c>
      <c r="O35" s="15">
        <f t="shared" si="0"/>
        <v>49</v>
      </c>
      <c r="P35" s="15">
        <f t="shared" si="1"/>
        <v>118</v>
      </c>
    </row>
    <row r="36" spans="2:20" ht="23.1" customHeight="1" x14ac:dyDescent="0.25">
      <c r="B36" s="24" t="s">
        <v>63</v>
      </c>
      <c r="C36" s="50">
        <v>13</v>
      </c>
      <c r="D36" s="50">
        <v>0</v>
      </c>
      <c r="E36" s="50">
        <v>18</v>
      </c>
      <c r="F36" s="50">
        <v>12</v>
      </c>
      <c r="G36" s="50">
        <v>0</v>
      </c>
      <c r="H36" s="50">
        <v>3</v>
      </c>
      <c r="I36" s="50">
        <v>9</v>
      </c>
      <c r="J36" s="50">
        <v>1</v>
      </c>
      <c r="K36" s="50">
        <v>0</v>
      </c>
      <c r="L36" s="50">
        <f>SUM('[1]RD4 MCC'!$R$6:$U$6)</f>
        <v>1</v>
      </c>
      <c r="M36" s="50">
        <v>66</v>
      </c>
      <c r="N36" s="50">
        <v>0</v>
      </c>
      <c r="O36" s="15">
        <f t="shared" si="0"/>
        <v>57</v>
      </c>
      <c r="P36" s="15">
        <f t="shared" si="1"/>
        <v>123</v>
      </c>
    </row>
    <row r="37" spans="2:20" ht="23.1" customHeight="1" x14ac:dyDescent="0.25">
      <c r="B37" s="23" t="s">
        <v>64</v>
      </c>
      <c r="C37" s="50">
        <v>14</v>
      </c>
      <c r="D37" s="50">
        <v>0</v>
      </c>
      <c r="E37" s="50">
        <v>17</v>
      </c>
      <c r="F37" s="50">
        <v>19</v>
      </c>
      <c r="G37" s="50">
        <v>0</v>
      </c>
      <c r="H37" s="50">
        <v>4</v>
      </c>
      <c r="I37" s="50">
        <v>11</v>
      </c>
      <c r="J37" s="50">
        <v>0</v>
      </c>
      <c r="K37" s="50">
        <v>1</v>
      </c>
      <c r="L37" s="50">
        <f>SUM('[1]RD4 MCC'!$R$6:$U$6)</f>
        <v>1</v>
      </c>
      <c r="M37" s="50">
        <v>67</v>
      </c>
      <c r="N37" s="50">
        <v>0</v>
      </c>
      <c r="O37" s="15">
        <f t="shared" si="0"/>
        <v>67</v>
      </c>
      <c r="P37" s="15">
        <f t="shared" si="1"/>
        <v>134</v>
      </c>
    </row>
    <row r="38" spans="2:20" ht="23.1" customHeight="1" x14ac:dyDescent="0.25">
      <c r="B38" s="24" t="s">
        <v>65</v>
      </c>
      <c r="C38" s="50">
        <v>10</v>
      </c>
      <c r="D38" s="50">
        <v>0</v>
      </c>
      <c r="E38" s="50">
        <v>19</v>
      </c>
      <c r="F38" s="50">
        <v>14</v>
      </c>
      <c r="G38" s="50">
        <v>1</v>
      </c>
      <c r="H38" s="50">
        <v>2</v>
      </c>
      <c r="I38" s="50">
        <v>11</v>
      </c>
      <c r="J38" s="50">
        <v>2</v>
      </c>
      <c r="K38" s="50">
        <v>0</v>
      </c>
      <c r="L38" s="50">
        <f>SUM('[1]RD4 MCC'!$R$6:$U$6)</f>
        <v>1</v>
      </c>
      <c r="M38" s="50">
        <v>49</v>
      </c>
      <c r="N38" s="50">
        <v>0</v>
      </c>
      <c r="O38" s="15">
        <f t="shared" si="0"/>
        <v>60</v>
      </c>
      <c r="P38" s="15">
        <f t="shared" si="1"/>
        <v>109</v>
      </c>
    </row>
    <row r="39" spans="2:20" ht="23.1" customHeight="1" x14ac:dyDescent="0.25">
      <c r="B39" s="24" t="s">
        <v>66</v>
      </c>
      <c r="C39" s="50">
        <v>8</v>
      </c>
      <c r="D39" s="50">
        <v>0</v>
      </c>
      <c r="E39" s="50">
        <v>10</v>
      </c>
      <c r="F39" s="50">
        <v>10</v>
      </c>
      <c r="G39" s="50">
        <v>0</v>
      </c>
      <c r="H39" s="50">
        <v>1</v>
      </c>
      <c r="I39" s="50">
        <v>9</v>
      </c>
      <c r="J39" s="50">
        <v>0</v>
      </c>
      <c r="K39" s="50">
        <v>0</v>
      </c>
      <c r="L39" s="50">
        <f>SUM('[1]RD4 MCC'!$R$6:$U$6)</f>
        <v>1</v>
      </c>
      <c r="M39" s="50">
        <v>83</v>
      </c>
      <c r="N39" s="50">
        <v>0</v>
      </c>
      <c r="O39" s="15">
        <f t="shared" si="0"/>
        <v>39</v>
      </c>
      <c r="P39" s="15">
        <f t="shared" si="1"/>
        <v>122</v>
      </c>
    </row>
    <row r="40" spans="2:20" ht="23.1" customHeight="1" x14ac:dyDescent="0.25">
      <c r="B40" s="24" t="s">
        <v>67</v>
      </c>
      <c r="C40" s="50">
        <v>12</v>
      </c>
      <c r="D40" s="50">
        <v>0</v>
      </c>
      <c r="E40" s="50">
        <v>9</v>
      </c>
      <c r="F40" s="50">
        <v>16</v>
      </c>
      <c r="G40" s="50">
        <v>0</v>
      </c>
      <c r="H40" s="50">
        <v>2</v>
      </c>
      <c r="I40" s="50">
        <v>15</v>
      </c>
      <c r="J40" s="50">
        <v>1</v>
      </c>
      <c r="K40" s="50">
        <v>0</v>
      </c>
      <c r="L40" s="50">
        <f>SUM('[1]RD4 MCC'!$R$6:$U$6)</f>
        <v>1</v>
      </c>
      <c r="M40" s="50">
        <v>77</v>
      </c>
      <c r="N40" s="50">
        <v>0</v>
      </c>
      <c r="O40" s="15">
        <f t="shared" si="0"/>
        <v>56</v>
      </c>
      <c r="P40" s="15">
        <f t="shared" si="1"/>
        <v>133</v>
      </c>
    </row>
    <row r="41" spans="2:20" ht="23.1" customHeight="1" x14ac:dyDescent="0.25">
      <c r="B41" s="23" t="s">
        <v>68</v>
      </c>
      <c r="C41" s="50">
        <v>7</v>
      </c>
      <c r="D41" s="50">
        <v>0</v>
      </c>
      <c r="E41" s="50">
        <v>23</v>
      </c>
      <c r="F41" s="50">
        <v>20</v>
      </c>
      <c r="G41" s="50">
        <v>0</v>
      </c>
      <c r="H41" s="50">
        <v>1</v>
      </c>
      <c r="I41" s="50">
        <v>8</v>
      </c>
      <c r="J41" s="50">
        <v>0</v>
      </c>
      <c r="K41" s="50">
        <v>0</v>
      </c>
      <c r="L41" s="50">
        <f>SUM('[1]RD4 MCC'!$R$6:$U$6)</f>
        <v>1</v>
      </c>
      <c r="M41" s="50">
        <v>80</v>
      </c>
      <c r="N41" s="50">
        <v>0</v>
      </c>
      <c r="O41" s="15">
        <f t="shared" si="0"/>
        <v>60</v>
      </c>
      <c r="P41" s="15">
        <f t="shared" si="1"/>
        <v>140</v>
      </c>
    </row>
    <row r="42" spans="2:20" ht="23.1" customHeight="1" x14ac:dyDescent="0.25">
      <c r="B42" s="24" t="s">
        <v>69</v>
      </c>
      <c r="C42" s="50">
        <v>14</v>
      </c>
      <c r="D42" s="50">
        <v>0</v>
      </c>
      <c r="E42" s="50">
        <v>18</v>
      </c>
      <c r="F42" s="50">
        <v>20</v>
      </c>
      <c r="G42" s="50">
        <v>1</v>
      </c>
      <c r="H42" s="50">
        <v>1</v>
      </c>
      <c r="I42" s="50">
        <v>10</v>
      </c>
      <c r="J42" s="50">
        <v>0</v>
      </c>
      <c r="K42" s="50">
        <v>1</v>
      </c>
      <c r="L42" s="50">
        <f>SUM('[1]RD4 MCC'!$R$6:$U$6)</f>
        <v>1</v>
      </c>
      <c r="M42" s="50">
        <v>70</v>
      </c>
      <c r="N42" s="50">
        <v>0</v>
      </c>
      <c r="O42" s="15">
        <f t="shared" si="0"/>
        <v>66</v>
      </c>
      <c r="P42" s="15">
        <f t="shared" si="1"/>
        <v>136</v>
      </c>
    </row>
    <row r="43" spans="2:20" ht="23.1" customHeight="1" x14ac:dyDescent="0.25">
      <c r="B43" s="23" t="s">
        <v>70</v>
      </c>
      <c r="C43" s="50">
        <v>9</v>
      </c>
      <c r="D43" s="50">
        <v>0</v>
      </c>
      <c r="E43" s="50">
        <v>10</v>
      </c>
      <c r="F43" s="50">
        <v>18</v>
      </c>
      <c r="G43" s="50">
        <v>0</v>
      </c>
      <c r="H43" s="50">
        <v>1</v>
      </c>
      <c r="I43" s="50">
        <v>7</v>
      </c>
      <c r="J43" s="50">
        <v>0</v>
      </c>
      <c r="K43" s="50">
        <v>0</v>
      </c>
      <c r="L43" s="50">
        <f>SUM('[1]RD4 MCC'!$R$6:$U$6)</f>
        <v>1</v>
      </c>
      <c r="M43" s="50">
        <v>62</v>
      </c>
      <c r="N43" s="50">
        <v>0</v>
      </c>
      <c r="O43" s="15">
        <f t="shared" si="0"/>
        <v>46</v>
      </c>
      <c r="P43" s="15">
        <f t="shared" si="1"/>
        <v>108</v>
      </c>
    </row>
    <row r="44" spans="2:20" ht="23.1" customHeight="1" x14ac:dyDescent="0.25">
      <c r="B44" s="25" t="s">
        <v>71</v>
      </c>
      <c r="C44" s="50">
        <v>7</v>
      </c>
      <c r="D44" s="50">
        <v>0</v>
      </c>
      <c r="E44" s="50">
        <v>16</v>
      </c>
      <c r="F44" s="50">
        <v>15</v>
      </c>
      <c r="G44" s="50">
        <v>0</v>
      </c>
      <c r="H44" s="50">
        <v>1</v>
      </c>
      <c r="I44" s="50">
        <v>12</v>
      </c>
      <c r="J44" s="50">
        <v>1</v>
      </c>
      <c r="K44" s="50">
        <v>0</v>
      </c>
      <c r="L44" s="50">
        <f>SUM('[1]RD4 MCC'!$R$6:$U$6)</f>
        <v>1</v>
      </c>
      <c r="M44" s="50">
        <v>54</v>
      </c>
      <c r="N44" s="50">
        <v>0</v>
      </c>
      <c r="O44" s="15">
        <f t="shared" si="0"/>
        <v>53</v>
      </c>
      <c r="P44" s="15">
        <f t="shared" si="1"/>
        <v>107</v>
      </c>
    </row>
    <row r="45" spans="2:20" ht="23.1" customHeight="1" x14ac:dyDescent="0.25">
      <c r="B45" s="23" t="s">
        <v>72</v>
      </c>
      <c r="C45" s="50">
        <v>13</v>
      </c>
      <c r="D45" s="50">
        <v>0</v>
      </c>
      <c r="E45" s="50">
        <v>12</v>
      </c>
      <c r="F45" s="50">
        <v>17</v>
      </c>
      <c r="G45" s="50">
        <v>1</v>
      </c>
      <c r="H45" s="50">
        <v>1</v>
      </c>
      <c r="I45" s="50">
        <v>7</v>
      </c>
      <c r="J45" s="50">
        <v>0</v>
      </c>
      <c r="K45" s="50">
        <v>1</v>
      </c>
      <c r="L45" s="50">
        <f>SUM('[1]RD4 MCC'!$R$6:$U$6)</f>
        <v>1</v>
      </c>
      <c r="M45" s="50">
        <v>69</v>
      </c>
      <c r="N45" s="50">
        <v>0</v>
      </c>
      <c r="O45" s="15">
        <f t="shared" si="0"/>
        <v>53</v>
      </c>
      <c r="P45" s="15">
        <f t="shared" si="1"/>
        <v>122</v>
      </c>
    </row>
    <row r="46" spans="2:20" ht="23.1" customHeight="1" x14ac:dyDescent="0.25">
      <c r="B46" s="24" t="s">
        <v>73</v>
      </c>
      <c r="C46" s="50">
        <v>5</v>
      </c>
      <c r="D46" s="50">
        <v>0</v>
      </c>
      <c r="E46" s="50">
        <v>18</v>
      </c>
      <c r="F46" s="50">
        <v>11</v>
      </c>
      <c r="G46" s="50">
        <v>0</v>
      </c>
      <c r="H46" s="50">
        <v>0</v>
      </c>
      <c r="I46" s="50">
        <v>18</v>
      </c>
      <c r="J46" s="50">
        <v>1</v>
      </c>
      <c r="K46" s="50">
        <v>0</v>
      </c>
      <c r="L46" s="50">
        <f>SUM('[1]RD4 MCC'!$R$6:$U$6)</f>
        <v>1</v>
      </c>
      <c r="M46" s="50">
        <v>57</v>
      </c>
      <c r="N46" s="50">
        <v>0</v>
      </c>
      <c r="O46" s="15">
        <f t="shared" si="0"/>
        <v>54</v>
      </c>
      <c r="P46" s="15">
        <f t="shared" si="1"/>
        <v>111</v>
      </c>
      <c r="R46" s="8"/>
      <c r="T46"/>
    </row>
    <row r="47" spans="2:20" ht="23.1" customHeight="1" x14ac:dyDescent="0.25">
      <c r="B47" s="24" t="s">
        <v>74</v>
      </c>
      <c r="C47" s="50">
        <v>13</v>
      </c>
      <c r="D47" s="50">
        <v>0</v>
      </c>
      <c r="E47" s="50">
        <v>24</v>
      </c>
      <c r="F47" s="50">
        <v>16</v>
      </c>
      <c r="G47" s="50">
        <v>0</v>
      </c>
      <c r="H47" s="50">
        <v>3</v>
      </c>
      <c r="I47" s="50">
        <v>7</v>
      </c>
      <c r="J47" s="50">
        <v>0</v>
      </c>
      <c r="K47" s="50">
        <v>2</v>
      </c>
      <c r="L47" s="50">
        <f>SUM('[1]RD4 MCC'!$R$6:$U$6)</f>
        <v>1</v>
      </c>
      <c r="M47" s="50">
        <v>42</v>
      </c>
      <c r="N47" s="50">
        <v>0</v>
      </c>
      <c r="O47" s="15">
        <f t="shared" si="0"/>
        <v>66</v>
      </c>
      <c r="P47" s="15">
        <f t="shared" si="1"/>
        <v>108</v>
      </c>
      <c r="R47" s="8"/>
      <c r="T47"/>
    </row>
    <row r="48" spans="2:20" ht="23.1" customHeight="1" x14ac:dyDescent="0.25">
      <c r="B48" s="24" t="s">
        <v>75</v>
      </c>
      <c r="C48" s="50">
        <v>13</v>
      </c>
      <c r="D48" s="50">
        <v>0</v>
      </c>
      <c r="E48" s="50">
        <v>16</v>
      </c>
      <c r="F48" s="50">
        <v>9</v>
      </c>
      <c r="G48" s="50">
        <v>0</v>
      </c>
      <c r="H48" s="50">
        <v>1</v>
      </c>
      <c r="I48" s="50">
        <v>16</v>
      </c>
      <c r="J48" s="50">
        <v>2</v>
      </c>
      <c r="K48" s="50">
        <v>0</v>
      </c>
      <c r="L48" s="50">
        <f>SUM('[1]RD4 MCC'!$R$6:$U$6)</f>
        <v>1</v>
      </c>
      <c r="M48" s="50">
        <v>44</v>
      </c>
      <c r="N48" s="50">
        <v>0</v>
      </c>
      <c r="O48" s="15">
        <f t="shared" si="0"/>
        <v>58</v>
      </c>
      <c r="P48" s="15">
        <f t="shared" si="1"/>
        <v>102</v>
      </c>
      <c r="R48" s="8"/>
      <c r="T48"/>
    </row>
    <row r="49" spans="2:20" ht="23.1" customHeight="1" x14ac:dyDescent="0.25">
      <c r="B49" s="23" t="s">
        <v>76</v>
      </c>
      <c r="C49" s="50">
        <v>6</v>
      </c>
      <c r="D49" s="50">
        <v>0</v>
      </c>
      <c r="E49" s="50">
        <v>15</v>
      </c>
      <c r="F49" s="50">
        <v>13</v>
      </c>
      <c r="G49" s="50">
        <v>0</v>
      </c>
      <c r="H49" s="50">
        <v>0</v>
      </c>
      <c r="I49" s="50">
        <v>8</v>
      </c>
      <c r="J49" s="50">
        <v>1</v>
      </c>
      <c r="K49" s="50">
        <v>0</v>
      </c>
      <c r="L49" s="50">
        <f>SUM('[1]RD4 MCC'!$R$6:$U$6)</f>
        <v>1</v>
      </c>
      <c r="M49" s="50">
        <v>54</v>
      </c>
      <c r="N49" s="50">
        <v>0</v>
      </c>
      <c r="O49" s="15">
        <f t="shared" si="0"/>
        <v>44</v>
      </c>
      <c r="P49" s="15">
        <f t="shared" si="1"/>
        <v>98</v>
      </c>
      <c r="R49" s="8"/>
      <c r="T49"/>
    </row>
    <row r="50" spans="2:20" ht="23.1" customHeight="1" x14ac:dyDescent="0.25">
      <c r="B50" s="24" t="s">
        <v>77</v>
      </c>
      <c r="C50" s="50">
        <v>11</v>
      </c>
      <c r="D50" s="50">
        <v>0</v>
      </c>
      <c r="E50" s="50">
        <v>12</v>
      </c>
      <c r="F50" s="50">
        <v>14</v>
      </c>
      <c r="G50" s="50">
        <v>0</v>
      </c>
      <c r="H50" s="50">
        <v>1</v>
      </c>
      <c r="I50" s="50">
        <v>10</v>
      </c>
      <c r="J50" s="50">
        <v>3</v>
      </c>
      <c r="K50" s="50">
        <v>0</v>
      </c>
      <c r="L50" s="50">
        <f>SUM('[1]RD4 MCC'!$R$6:$U$6)</f>
        <v>1</v>
      </c>
      <c r="M50" s="50">
        <v>68</v>
      </c>
      <c r="N50" s="50">
        <v>0</v>
      </c>
      <c r="O50" s="15">
        <f t="shared" si="0"/>
        <v>52</v>
      </c>
      <c r="P50" s="15">
        <f t="shared" si="1"/>
        <v>120</v>
      </c>
      <c r="R50" s="8"/>
      <c r="T50"/>
    </row>
    <row r="51" spans="2:20" ht="23.1" customHeight="1" x14ac:dyDescent="0.25">
      <c r="B51" s="24" t="s">
        <v>78</v>
      </c>
      <c r="C51" s="50">
        <v>6</v>
      </c>
      <c r="D51" s="50">
        <v>0</v>
      </c>
      <c r="E51" s="50">
        <v>14</v>
      </c>
      <c r="F51" s="50">
        <v>25</v>
      </c>
      <c r="G51" s="50">
        <v>0</v>
      </c>
      <c r="H51" s="50">
        <v>2</v>
      </c>
      <c r="I51" s="50">
        <v>5</v>
      </c>
      <c r="J51" s="50">
        <v>0</v>
      </c>
      <c r="K51" s="50">
        <v>0</v>
      </c>
      <c r="L51" s="50">
        <f>SUM('[1]RD4 MCC'!$R$6:$U$6)</f>
        <v>1</v>
      </c>
      <c r="M51" s="50">
        <v>81</v>
      </c>
      <c r="N51" s="50">
        <v>0</v>
      </c>
      <c r="O51" s="15">
        <f t="shared" si="0"/>
        <v>53</v>
      </c>
      <c r="P51" s="15">
        <f t="shared" si="1"/>
        <v>134</v>
      </c>
      <c r="R51" s="8"/>
      <c r="T51"/>
    </row>
    <row r="52" spans="2:20" ht="23.1" customHeight="1" x14ac:dyDescent="0.25">
      <c r="B52" s="24" t="s">
        <v>79</v>
      </c>
      <c r="C52" s="50">
        <v>8</v>
      </c>
      <c r="D52" s="50">
        <v>0</v>
      </c>
      <c r="E52" s="50">
        <v>16</v>
      </c>
      <c r="F52" s="50">
        <v>12</v>
      </c>
      <c r="G52" s="50">
        <v>0</v>
      </c>
      <c r="H52" s="50">
        <v>0</v>
      </c>
      <c r="I52" s="50">
        <v>7</v>
      </c>
      <c r="J52" s="50">
        <v>0</v>
      </c>
      <c r="K52" s="50">
        <v>0</v>
      </c>
      <c r="L52" s="50">
        <f>SUM('[1]RD4 MCC'!$R$6:$U$6)</f>
        <v>1</v>
      </c>
      <c r="M52" s="50">
        <v>60</v>
      </c>
      <c r="N52" s="50">
        <v>0</v>
      </c>
      <c r="O52" s="15">
        <f t="shared" si="0"/>
        <v>44</v>
      </c>
      <c r="P52" s="15">
        <f t="shared" si="1"/>
        <v>104</v>
      </c>
      <c r="R52" s="8"/>
      <c r="T52"/>
    </row>
    <row r="53" spans="2:20" ht="23.1" customHeight="1" x14ac:dyDescent="0.25">
      <c r="B53" s="23" t="s">
        <v>80</v>
      </c>
      <c r="C53" s="50">
        <v>12</v>
      </c>
      <c r="D53" s="50">
        <v>0</v>
      </c>
      <c r="E53" s="50">
        <v>10</v>
      </c>
      <c r="F53" s="50">
        <v>8</v>
      </c>
      <c r="G53" s="50">
        <v>0</v>
      </c>
      <c r="H53" s="50">
        <v>2</v>
      </c>
      <c r="I53" s="50">
        <v>6</v>
      </c>
      <c r="J53" s="50">
        <v>0</v>
      </c>
      <c r="K53" s="50">
        <v>0</v>
      </c>
      <c r="L53" s="50">
        <f>SUM('[1]RD4 MCC'!$R$6:$U$6)</f>
        <v>1</v>
      </c>
      <c r="M53" s="50">
        <v>58</v>
      </c>
      <c r="N53" s="50">
        <v>0</v>
      </c>
      <c r="O53" s="15">
        <f t="shared" si="0"/>
        <v>39</v>
      </c>
      <c r="P53" s="15">
        <f t="shared" si="1"/>
        <v>97</v>
      </c>
      <c r="R53" s="8"/>
      <c r="T53"/>
    </row>
    <row r="54" spans="2:20" ht="23.1" customHeight="1" x14ac:dyDescent="0.25">
      <c r="B54" s="23" t="s">
        <v>81</v>
      </c>
      <c r="C54" s="50">
        <v>6</v>
      </c>
      <c r="D54" s="50">
        <v>0</v>
      </c>
      <c r="E54" s="50">
        <v>15</v>
      </c>
      <c r="F54" s="50">
        <v>15</v>
      </c>
      <c r="G54" s="50">
        <v>0</v>
      </c>
      <c r="H54" s="50">
        <v>1</v>
      </c>
      <c r="I54" s="50">
        <v>7</v>
      </c>
      <c r="J54" s="50">
        <v>2</v>
      </c>
      <c r="K54" s="50">
        <v>0</v>
      </c>
      <c r="L54" s="50">
        <f>SUM('[1]RD4 MCC'!$R$6:$U$6)</f>
        <v>1</v>
      </c>
      <c r="M54" s="50">
        <v>71</v>
      </c>
      <c r="N54" s="50">
        <v>0</v>
      </c>
      <c r="O54" s="15">
        <f t="shared" si="0"/>
        <v>47</v>
      </c>
      <c r="P54" s="15">
        <f t="shared" si="1"/>
        <v>118</v>
      </c>
      <c r="R54" s="8"/>
      <c r="T54"/>
    </row>
    <row r="55" spans="2:20" ht="23.1" customHeight="1" x14ac:dyDescent="0.25">
      <c r="B55" s="23" t="s">
        <v>82</v>
      </c>
      <c r="C55" s="50">
        <v>6</v>
      </c>
      <c r="D55" s="50">
        <v>0</v>
      </c>
      <c r="E55" s="50">
        <v>11</v>
      </c>
      <c r="F55" s="50">
        <v>22</v>
      </c>
      <c r="G55" s="50">
        <v>0</v>
      </c>
      <c r="H55" s="50">
        <v>0</v>
      </c>
      <c r="I55" s="50">
        <v>11</v>
      </c>
      <c r="J55" s="50">
        <v>1</v>
      </c>
      <c r="K55" s="50">
        <v>1</v>
      </c>
      <c r="L55" s="50">
        <f>SUM('[1]RD4 MCC'!$R$6:$U$6)</f>
        <v>1</v>
      </c>
      <c r="M55" s="50">
        <v>61</v>
      </c>
      <c r="N55" s="50">
        <v>0</v>
      </c>
      <c r="O55" s="15">
        <f t="shared" si="0"/>
        <v>53</v>
      </c>
      <c r="P55" s="15">
        <f t="shared" si="1"/>
        <v>114</v>
      </c>
      <c r="R55" s="8"/>
      <c r="T55"/>
    </row>
    <row r="56" spans="2:20" ht="23.1" customHeight="1" x14ac:dyDescent="0.25">
      <c r="B56" s="23" t="s">
        <v>83</v>
      </c>
      <c r="C56" s="50">
        <v>9</v>
      </c>
      <c r="D56" s="50">
        <v>0</v>
      </c>
      <c r="E56" s="50">
        <v>8</v>
      </c>
      <c r="F56" s="50">
        <v>17</v>
      </c>
      <c r="G56" s="50">
        <v>0</v>
      </c>
      <c r="H56" s="50">
        <v>0</v>
      </c>
      <c r="I56" s="50">
        <v>7</v>
      </c>
      <c r="J56" s="50">
        <v>2</v>
      </c>
      <c r="K56" s="50">
        <v>0</v>
      </c>
      <c r="L56" s="50">
        <f>SUM('[1]RD4 MCC'!$R$6:$U$6)</f>
        <v>1</v>
      </c>
      <c r="M56" s="50">
        <v>11</v>
      </c>
      <c r="N56" s="50">
        <v>0</v>
      </c>
      <c r="O56" s="15">
        <f t="shared" si="0"/>
        <v>44</v>
      </c>
      <c r="P56" s="15">
        <f t="shared" si="1"/>
        <v>55</v>
      </c>
      <c r="R56" s="8"/>
      <c r="T56"/>
    </row>
    <row r="57" spans="2:20" ht="23.1" customHeight="1" x14ac:dyDescent="0.25">
      <c r="B57" s="23" t="s">
        <v>84</v>
      </c>
      <c r="C57" s="50">
        <v>9</v>
      </c>
      <c r="D57" s="50">
        <v>0</v>
      </c>
      <c r="E57" s="50">
        <v>10</v>
      </c>
      <c r="F57" s="50">
        <v>21</v>
      </c>
      <c r="G57" s="50">
        <v>1</v>
      </c>
      <c r="H57" s="50">
        <v>2</v>
      </c>
      <c r="I57" s="50">
        <v>13</v>
      </c>
      <c r="J57" s="50">
        <v>0</v>
      </c>
      <c r="K57" s="50">
        <v>0</v>
      </c>
      <c r="L57" s="50">
        <f>SUM('[1]RD4 MCC'!$R$6:$U$6)</f>
        <v>1</v>
      </c>
      <c r="M57" s="50">
        <v>79</v>
      </c>
      <c r="N57" s="50">
        <v>0</v>
      </c>
      <c r="O57" s="15">
        <f t="shared" si="0"/>
        <v>57</v>
      </c>
      <c r="P57" s="15">
        <f t="shared" si="1"/>
        <v>136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436</v>
      </c>
      <c r="D58" s="16">
        <f t="shared" si="21"/>
        <v>0</v>
      </c>
      <c r="E58" s="16">
        <f t="shared" si="21"/>
        <v>737</v>
      </c>
      <c r="F58" s="16">
        <f t="shared" si="21"/>
        <v>706</v>
      </c>
      <c r="G58" s="16">
        <f t="shared" si="21"/>
        <v>6</v>
      </c>
      <c r="H58" s="16">
        <f t="shared" si="21"/>
        <v>54</v>
      </c>
      <c r="I58" s="16">
        <f t="shared" si="21"/>
        <v>428</v>
      </c>
      <c r="J58" s="16">
        <f t="shared" si="21"/>
        <v>34</v>
      </c>
      <c r="K58" s="16">
        <f t="shared" si="21"/>
        <v>10</v>
      </c>
      <c r="L58" s="16">
        <f t="shared" si="21"/>
        <v>48</v>
      </c>
      <c r="M58" s="16">
        <f t="shared" si="21"/>
        <v>3175</v>
      </c>
      <c r="N58" s="16">
        <f t="shared" si="21"/>
        <v>2</v>
      </c>
      <c r="O58" s="16">
        <f t="shared" si="21"/>
        <v>2461</v>
      </c>
      <c r="P58" s="16">
        <f t="shared" si="21"/>
        <v>5636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7.7359829666430097E-2</v>
      </c>
      <c r="D59" s="43">
        <f t="shared" si="22"/>
        <v>0</v>
      </c>
      <c r="E59" s="43">
        <f t="shared" si="22"/>
        <v>0.13076650106458482</v>
      </c>
      <c r="F59" s="43">
        <f t="shared" si="22"/>
        <v>0.12526614620298085</v>
      </c>
      <c r="G59" s="43">
        <f t="shared" si="22"/>
        <v>1.0645848119233499E-3</v>
      </c>
      <c r="H59" s="43">
        <f t="shared" si="22"/>
        <v>9.5812633073101491E-3</v>
      </c>
      <c r="I59" s="43">
        <f t="shared" si="22"/>
        <v>7.594038325053229E-2</v>
      </c>
      <c r="J59" s="43">
        <f t="shared" si="22"/>
        <v>6.0326472675656497E-3</v>
      </c>
      <c r="K59" s="43">
        <f t="shared" si="22"/>
        <v>1.7743080198722497E-3</v>
      </c>
      <c r="L59" s="43">
        <f t="shared" si="22"/>
        <v>8.516678495386799E-3</v>
      </c>
      <c r="M59" s="43">
        <f t="shared" si="22"/>
        <v>0.56334279630943929</v>
      </c>
      <c r="N59" s="43">
        <f t="shared" si="22"/>
        <v>3.5486160397444998E-4</v>
      </c>
      <c r="R59" s="8"/>
      <c r="T59"/>
    </row>
    <row r="60" spans="2:20" ht="23.1" customHeight="1" x14ac:dyDescent="0.25">
      <c r="B60" s="42" t="s">
        <v>94</v>
      </c>
      <c r="C60" s="44">
        <f>C58/$O$58</f>
        <v>0.17716375457131248</v>
      </c>
      <c r="D60" s="44">
        <f t="shared" ref="D60:N60" si="23">D58/$O$58</f>
        <v>0</v>
      </c>
      <c r="E60" s="44">
        <f t="shared" si="23"/>
        <v>0.29947175944737914</v>
      </c>
      <c r="F60" s="44">
        <f t="shared" si="23"/>
        <v>0.28687525396180413</v>
      </c>
      <c r="G60" s="44">
        <f t="shared" si="23"/>
        <v>2.4380333197887038E-3</v>
      </c>
      <c r="H60" s="44">
        <f t="shared" si="23"/>
        <v>2.1942299878098336E-2</v>
      </c>
      <c r="I60" s="44">
        <f t="shared" si="23"/>
        <v>0.17391304347826086</v>
      </c>
      <c r="J60" s="44">
        <f t="shared" si="23"/>
        <v>1.3815522145469321E-2</v>
      </c>
      <c r="K60" s="44">
        <f t="shared" si="23"/>
        <v>4.0633888663145065E-3</v>
      </c>
      <c r="L60" s="44">
        <f t="shared" si="23"/>
        <v>1.950426655830963E-2</v>
      </c>
      <c r="M60" s="44"/>
      <c r="N60" s="44">
        <f t="shared" si="23"/>
        <v>8.1267777326290123E-4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H23" sqref="H2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'20.8 Kampala-Luweero'!C3:G3</f>
        <v>MCC - C3 - STN87 - Kampala-Gulu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'20.8 Kampala-Luweero'!D5</f>
        <v>20.08.19</v>
      </c>
      <c r="E5" s="3"/>
      <c r="F5" s="41" t="s">
        <v>1</v>
      </c>
      <c r="G5" s="63">
        <f>'20.8 Kampala-Luweero'!G5:H5</f>
        <v>0</v>
      </c>
      <c r="H5" s="64"/>
      <c r="I5" s="14"/>
      <c r="J5" s="2" t="s">
        <v>5</v>
      </c>
      <c r="K5" s="63" t="str">
        <f>'20.8 Kampala-Luweero'!K5:L5</f>
        <v>Godfrey, Ibrahim N, Oliver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164</v>
      </c>
      <c r="E6" s="58"/>
      <c r="F6" s="2" t="s">
        <v>2</v>
      </c>
      <c r="G6" s="57" t="s">
        <v>163</v>
      </c>
      <c r="H6" s="58"/>
      <c r="J6" s="2" t="s">
        <v>21</v>
      </c>
      <c r="K6" s="63" t="str">
        <f>'20.8 Kampala-Luweero'!K6:L6</f>
        <v>Martin, Tracy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3</v>
      </c>
      <c r="F10" s="50">
        <v>6</v>
      </c>
      <c r="G10" s="50">
        <v>0</v>
      </c>
      <c r="H10" s="50">
        <v>1</v>
      </c>
      <c r="I10" s="50">
        <v>3</v>
      </c>
      <c r="J10" s="50">
        <v>1</v>
      </c>
      <c r="K10" s="50">
        <v>1</v>
      </c>
      <c r="L10" s="50">
        <v>0</v>
      </c>
      <c r="M10" s="50">
        <v>26</v>
      </c>
      <c r="N10" s="50">
        <v>0</v>
      </c>
      <c r="O10" s="15">
        <f t="shared" ref="O10:O57" si="0">SUM(C10:L10,N10)</f>
        <v>16</v>
      </c>
      <c r="P10" s="15">
        <f t="shared" ref="P10:P57" si="1">SUM(C10:N10)</f>
        <v>42</v>
      </c>
      <c r="R10" s="1" t="s">
        <v>6</v>
      </c>
      <c r="S10" s="17">
        <f t="shared" ref="S10:AF10" si="2">SUM(C10:C13)</f>
        <v>12</v>
      </c>
      <c r="T10" s="17">
        <f t="shared" si="2"/>
        <v>0</v>
      </c>
      <c r="U10" s="17">
        <f t="shared" si="2"/>
        <v>20</v>
      </c>
      <c r="V10" s="17">
        <f t="shared" si="2"/>
        <v>42</v>
      </c>
      <c r="W10" s="17">
        <f t="shared" si="2"/>
        <v>0</v>
      </c>
      <c r="X10" s="17">
        <f t="shared" si="2"/>
        <v>1</v>
      </c>
      <c r="Y10" s="17">
        <f t="shared" si="2"/>
        <v>15</v>
      </c>
      <c r="Z10" s="17">
        <f t="shared" si="2"/>
        <v>3</v>
      </c>
      <c r="AA10" s="17">
        <f t="shared" si="2"/>
        <v>1</v>
      </c>
      <c r="AB10" s="17">
        <f t="shared" si="2"/>
        <v>5</v>
      </c>
      <c r="AC10" s="17">
        <f t="shared" si="2"/>
        <v>176</v>
      </c>
      <c r="AD10" s="17">
        <f t="shared" si="2"/>
        <v>0</v>
      </c>
      <c r="AE10" s="31">
        <f t="shared" si="2"/>
        <v>99</v>
      </c>
      <c r="AF10" s="31">
        <f t="shared" si="2"/>
        <v>275</v>
      </c>
    </row>
    <row r="11" spans="2:32" s="6" customFormat="1" ht="23.1" customHeight="1" x14ac:dyDescent="0.25">
      <c r="B11" s="23" t="s">
        <v>38</v>
      </c>
      <c r="C11" s="50">
        <v>3</v>
      </c>
      <c r="D11" s="50">
        <v>0</v>
      </c>
      <c r="E11" s="50">
        <v>6</v>
      </c>
      <c r="F11" s="50">
        <v>13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5</v>
      </c>
      <c r="M11" s="50">
        <v>47</v>
      </c>
      <c r="N11" s="50">
        <v>0</v>
      </c>
      <c r="O11" s="15">
        <f t="shared" si="0"/>
        <v>29</v>
      </c>
      <c r="P11" s="15">
        <f t="shared" si="1"/>
        <v>76</v>
      </c>
      <c r="R11" s="1" t="s">
        <v>7</v>
      </c>
      <c r="S11" s="17">
        <f t="shared" ref="S11:AF11" si="3">SUM(C14:C17)</f>
        <v>14</v>
      </c>
      <c r="T11" s="17">
        <f t="shared" si="3"/>
        <v>0</v>
      </c>
      <c r="U11" s="17">
        <f t="shared" si="3"/>
        <v>43</v>
      </c>
      <c r="V11" s="17">
        <f t="shared" si="3"/>
        <v>50</v>
      </c>
      <c r="W11" s="17">
        <f t="shared" si="3"/>
        <v>0</v>
      </c>
      <c r="X11" s="17">
        <f t="shared" si="3"/>
        <v>3</v>
      </c>
      <c r="Y11" s="17">
        <f t="shared" si="3"/>
        <v>14</v>
      </c>
      <c r="Z11" s="17">
        <f t="shared" si="3"/>
        <v>0</v>
      </c>
      <c r="AA11" s="17">
        <f t="shared" si="3"/>
        <v>2</v>
      </c>
      <c r="AB11" s="17">
        <f t="shared" si="3"/>
        <v>8</v>
      </c>
      <c r="AC11" s="17">
        <f t="shared" si="3"/>
        <v>271</v>
      </c>
      <c r="AD11" s="17">
        <f t="shared" si="3"/>
        <v>1</v>
      </c>
      <c r="AE11" s="31">
        <f t="shared" si="3"/>
        <v>135</v>
      </c>
      <c r="AF11" s="31">
        <f t="shared" si="3"/>
        <v>406</v>
      </c>
    </row>
    <row r="12" spans="2:32" ht="23.1" customHeight="1" x14ac:dyDescent="0.25">
      <c r="B12" s="23" t="s">
        <v>39</v>
      </c>
      <c r="C12" s="50">
        <v>4</v>
      </c>
      <c r="D12" s="50">
        <v>0</v>
      </c>
      <c r="E12" s="50">
        <v>5</v>
      </c>
      <c r="F12" s="50">
        <v>9</v>
      </c>
      <c r="G12" s="50">
        <v>0</v>
      </c>
      <c r="H12" s="50">
        <v>0</v>
      </c>
      <c r="I12" s="50">
        <v>6</v>
      </c>
      <c r="J12" s="50">
        <v>2</v>
      </c>
      <c r="K12" s="50">
        <v>0</v>
      </c>
      <c r="L12" s="50">
        <v>0</v>
      </c>
      <c r="M12" s="50">
        <v>54</v>
      </c>
      <c r="N12" s="50">
        <v>0</v>
      </c>
      <c r="O12" s="15">
        <f t="shared" si="0"/>
        <v>26</v>
      </c>
      <c r="P12" s="15">
        <f t="shared" si="1"/>
        <v>80</v>
      </c>
      <c r="R12" s="1" t="s">
        <v>8</v>
      </c>
      <c r="S12" s="17">
        <f t="shared" ref="S12:AF12" si="4">SUM(C18:C21)</f>
        <v>27</v>
      </c>
      <c r="T12" s="17">
        <f t="shared" si="4"/>
        <v>0</v>
      </c>
      <c r="U12" s="17">
        <f t="shared" si="4"/>
        <v>30</v>
      </c>
      <c r="V12" s="17">
        <f t="shared" si="4"/>
        <v>61</v>
      </c>
      <c r="W12" s="17">
        <f t="shared" si="4"/>
        <v>2</v>
      </c>
      <c r="X12" s="17">
        <f t="shared" si="4"/>
        <v>1</v>
      </c>
      <c r="Y12" s="17">
        <f t="shared" si="4"/>
        <v>30</v>
      </c>
      <c r="Z12" s="17">
        <f t="shared" si="4"/>
        <v>0</v>
      </c>
      <c r="AA12" s="17">
        <f t="shared" si="4"/>
        <v>0</v>
      </c>
      <c r="AB12" s="17">
        <f t="shared" si="4"/>
        <v>10</v>
      </c>
      <c r="AC12" s="17">
        <f t="shared" si="4"/>
        <v>254</v>
      </c>
      <c r="AD12" s="17">
        <f t="shared" si="4"/>
        <v>0</v>
      </c>
      <c r="AE12" s="31">
        <f t="shared" si="4"/>
        <v>161</v>
      </c>
      <c r="AF12" s="31">
        <f t="shared" si="4"/>
        <v>415</v>
      </c>
    </row>
    <row r="13" spans="2:32" ht="23.1" customHeight="1" x14ac:dyDescent="0.25">
      <c r="B13" s="23" t="s">
        <v>40</v>
      </c>
      <c r="C13" s="50">
        <v>4</v>
      </c>
      <c r="D13" s="50">
        <v>0</v>
      </c>
      <c r="E13" s="50">
        <v>6</v>
      </c>
      <c r="F13" s="50">
        <v>14</v>
      </c>
      <c r="G13" s="50">
        <v>0</v>
      </c>
      <c r="H13" s="50">
        <v>0</v>
      </c>
      <c r="I13" s="50">
        <v>4</v>
      </c>
      <c r="J13" s="50">
        <v>0</v>
      </c>
      <c r="K13" s="50">
        <v>0</v>
      </c>
      <c r="L13" s="50">
        <v>0</v>
      </c>
      <c r="M13" s="50">
        <v>49</v>
      </c>
      <c r="N13" s="50">
        <v>0</v>
      </c>
      <c r="O13" s="15">
        <f t="shared" si="0"/>
        <v>28</v>
      </c>
      <c r="P13" s="15">
        <f t="shared" si="1"/>
        <v>77</v>
      </c>
      <c r="R13" s="1" t="s">
        <v>9</v>
      </c>
      <c r="S13" s="17">
        <f t="shared" ref="S13:AF13" si="5">SUM(C22:C25)</f>
        <v>28</v>
      </c>
      <c r="T13" s="17">
        <f t="shared" si="5"/>
        <v>0</v>
      </c>
      <c r="U13" s="17">
        <f t="shared" si="5"/>
        <v>36</v>
      </c>
      <c r="V13" s="17">
        <f t="shared" si="5"/>
        <v>61</v>
      </c>
      <c r="W13" s="17">
        <f t="shared" si="5"/>
        <v>0</v>
      </c>
      <c r="X13" s="17">
        <f t="shared" si="5"/>
        <v>0</v>
      </c>
      <c r="Y13" s="17">
        <f t="shared" si="5"/>
        <v>23</v>
      </c>
      <c r="Z13" s="17">
        <f t="shared" si="5"/>
        <v>6</v>
      </c>
      <c r="AA13" s="17">
        <f t="shared" si="5"/>
        <v>1</v>
      </c>
      <c r="AB13" s="17">
        <f t="shared" si="5"/>
        <v>9</v>
      </c>
      <c r="AC13" s="17">
        <f t="shared" si="5"/>
        <v>279</v>
      </c>
      <c r="AD13" s="17">
        <f t="shared" si="5"/>
        <v>1</v>
      </c>
      <c r="AE13" s="31">
        <f t="shared" si="5"/>
        <v>165</v>
      </c>
      <c r="AF13" s="31">
        <f t="shared" si="5"/>
        <v>444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15</v>
      </c>
      <c r="F14" s="50">
        <v>9</v>
      </c>
      <c r="G14" s="50">
        <v>0</v>
      </c>
      <c r="H14" s="50">
        <v>0</v>
      </c>
      <c r="I14" s="50">
        <v>2</v>
      </c>
      <c r="J14" s="50">
        <v>0</v>
      </c>
      <c r="K14" s="50">
        <v>1</v>
      </c>
      <c r="L14" s="50">
        <v>0</v>
      </c>
      <c r="M14" s="50">
        <v>65</v>
      </c>
      <c r="N14" s="50">
        <v>0</v>
      </c>
      <c r="O14" s="15">
        <f t="shared" si="0"/>
        <v>29</v>
      </c>
      <c r="P14" s="15">
        <f t="shared" si="1"/>
        <v>94</v>
      </c>
      <c r="R14" s="1" t="s">
        <v>10</v>
      </c>
      <c r="S14" s="17">
        <f t="shared" ref="S14:AF14" si="6">SUM(C26:C29)</f>
        <v>23</v>
      </c>
      <c r="T14" s="17">
        <f t="shared" si="6"/>
        <v>0</v>
      </c>
      <c r="U14" s="17">
        <f t="shared" si="6"/>
        <v>43</v>
      </c>
      <c r="V14" s="17">
        <f t="shared" si="6"/>
        <v>52</v>
      </c>
      <c r="W14" s="17">
        <f t="shared" si="6"/>
        <v>2</v>
      </c>
      <c r="X14" s="17">
        <f t="shared" si="6"/>
        <v>4</v>
      </c>
      <c r="Y14" s="17">
        <f t="shared" si="6"/>
        <v>21</v>
      </c>
      <c r="Z14" s="17">
        <f t="shared" si="6"/>
        <v>2</v>
      </c>
      <c r="AA14" s="17">
        <f t="shared" si="6"/>
        <v>0</v>
      </c>
      <c r="AB14" s="17">
        <f t="shared" si="6"/>
        <v>3</v>
      </c>
      <c r="AC14" s="17">
        <f t="shared" si="6"/>
        <v>260</v>
      </c>
      <c r="AD14" s="17">
        <f t="shared" si="6"/>
        <v>0</v>
      </c>
      <c r="AE14" s="31">
        <f t="shared" si="6"/>
        <v>150</v>
      </c>
      <c r="AF14" s="31">
        <f t="shared" si="6"/>
        <v>410</v>
      </c>
    </row>
    <row r="15" spans="2:32" ht="23.1" customHeight="1" x14ac:dyDescent="0.25">
      <c r="B15" s="23" t="s">
        <v>42</v>
      </c>
      <c r="C15" s="50">
        <v>5</v>
      </c>
      <c r="D15" s="50">
        <v>0</v>
      </c>
      <c r="E15" s="50">
        <v>8</v>
      </c>
      <c r="F15" s="50">
        <v>11</v>
      </c>
      <c r="G15" s="50">
        <v>0</v>
      </c>
      <c r="H15" s="50">
        <v>1</v>
      </c>
      <c r="I15" s="50">
        <v>5</v>
      </c>
      <c r="J15" s="50">
        <v>0</v>
      </c>
      <c r="K15" s="50">
        <v>0</v>
      </c>
      <c r="L15" s="50">
        <v>2</v>
      </c>
      <c r="M15" s="50">
        <v>59</v>
      </c>
      <c r="N15" s="50">
        <v>0</v>
      </c>
      <c r="O15" s="15">
        <f t="shared" si="0"/>
        <v>32</v>
      </c>
      <c r="P15" s="15">
        <f t="shared" si="1"/>
        <v>91</v>
      </c>
      <c r="R15" s="1" t="s">
        <v>11</v>
      </c>
      <c r="S15" s="17">
        <f t="shared" ref="S15:AF15" si="7">SUM(C30:C33)</f>
        <v>27</v>
      </c>
      <c r="T15" s="17">
        <f t="shared" si="7"/>
        <v>0</v>
      </c>
      <c r="U15" s="17">
        <f t="shared" si="7"/>
        <v>49</v>
      </c>
      <c r="V15" s="17">
        <f t="shared" si="7"/>
        <v>55</v>
      </c>
      <c r="W15" s="17">
        <f t="shared" si="7"/>
        <v>1</v>
      </c>
      <c r="X15" s="17">
        <f t="shared" si="7"/>
        <v>2</v>
      </c>
      <c r="Y15" s="17">
        <f t="shared" si="7"/>
        <v>29</v>
      </c>
      <c r="Z15" s="17">
        <f t="shared" si="7"/>
        <v>2</v>
      </c>
      <c r="AA15" s="17">
        <f t="shared" si="7"/>
        <v>0</v>
      </c>
      <c r="AB15" s="17">
        <f t="shared" si="7"/>
        <v>3</v>
      </c>
      <c r="AC15" s="17">
        <f t="shared" si="7"/>
        <v>239</v>
      </c>
      <c r="AD15" s="17">
        <f t="shared" si="7"/>
        <v>0</v>
      </c>
      <c r="AE15" s="31">
        <f t="shared" si="7"/>
        <v>168</v>
      </c>
      <c r="AF15" s="31">
        <f t="shared" si="7"/>
        <v>407</v>
      </c>
    </row>
    <row r="16" spans="2:32" ht="23.1" customHeight="1" x14ac:dyDescent="0.25">
      <c r="B16" s="23" t="s">
        <v>43</v>
      </c>
      <c r="C16" s="50">
        <v>4</v>
      </c>
      <c r="D16" s="50">
        <v>0</v>
      </c>
      <c r="E16" s="50">
        <v>6</v>
      </c>
      <c r="F16" s="50">
        <v>10</v>
      </c>
      <c r="G16" s="50">
        <v>0</v>
      </c>
      <c r="H16" s="50">
        <v>2</v>
      </c>
      <c r="I16" s="50">
        <v>2</v>
      </c>
      <c r="J16" s="50">
        <v>0</v>
      </c>
      <c r="K16" s="50">
        <v>0</v>
      </c>
      <c r="L16" s="50">
        <v>5</v>
      </c>
      <c r="M16" s="50">
        <v>49</v>
      </c>
      <c r="N16" s="50">
        <v>1</v>
      </c>
      <c r="O16" s="15">
        <f t="shared" si="0"/>
        <v>30</v>
      </c>
      <c r="P16" s="15">
        <f t="shared" si="1"/>
        <v>79</v>
      </c>
      <c r="R16" s="1" t="s">
        <v>12</v>
      </c>
      <c r="S16" s="17">
        <f t="shared" ref="S16:AF16" si="8">SUM(C34:C37)</f>
        <v>27</v>
      </c>
      <c r="T16" s="17">
        <f t="shared" si="8"/>
        <v>0</v>
      </c>
      <c r="U16" s="17">
        <f t="shared" si="8"/>
        <v>58</v>
      </c>
      <c r="V16" s="17">
        <f t="shared" si="8"/>
        <v>53</v>
      </c>
      <c r="W16" s="17">
        <f t="shared" si="8"/>
        <v>0</v>
      </c>
      <c r="X16" s="17">
        <f t="shared" si="8"/>
        <v>3</v>
      </c>
      <c r="Y16" s="17">
        <f t="shared" si="8"/>
        <v>32</v>
      </c>
      <c r="Z16" s="17">
        <f t="shared" si="8"/>
        <v>1</v>
      </c>
      <c r="AA16" s="17">
        <f t="shared" si="8"/>
        <v>0</v>
      </c>
      <c r="AB16" s="17">
        <f t="shared" si="8"/>
        <v>9</v>
      </c>
      <c r="AC16" s="17">
        <f t="shared" si="8"/>
        <v>230</v>
      </c>
      <c r="AD16" s="17">
        <f t="shared" si="8"/>
        <v>0</v>
      </c>
      <c r="AE16" s="31">
        <f t="shared" si="8"/>
        <v>183</v>
      </c>
      <c r="AF16" s="31">
        <f t="shared" si="8"/>
        <v>413</v>
      </c>
    </row>
    <row r="17" spans="2:32" ht="23.1" customHeight="1" x14ac:dyDescent="0.25">
      <c r="B17" s="23" t="s">
        <v>44</v>
      </c>
      <c r="C17" s="50">
        <v>3</v>
      </c>
      <c r="D17" s="50">
        <v>0</v>
      </c>
      <c r="E17" s="50">
        <v>14</v>
      </c>
      <c r="F17" s="50">
        <v>20</v>
      </c>
      <c r="G17" s="50">
        <v>0</v>
      </c>
      <c r="H17" s="50">
        <v>0</v>
      </c>
      <c r="I17" s="50">
        <v>5</v>
      </c>
      <c r="J17" s="50">
        <v>0</v>
      </c>
      <c r="K17" s="50">
        <v>1</v>
      </c>
      <c r="L17" s="50">
        <v>1</v>
      </c>
      <c r="M17" s="50">
        <v>98</v>
      </c>
      <c r="N17" s="50">
        <v>0</v>
      </c>
      <c r="O17" s="15">
        <f t="shared" si="0"/>
        <v>44</v>
      </c>
      <c r="P17" s="15">
        <f t="shared" si="1"/>
        <v>142</v>
      </c>
      <c r="R17" s="1" t="s">
        <v>13</v>
      </c>
      <c r="S17" s="17">
        <f t="shared" ref="S17:AF17" si="9">SUM(C38:C41)</f>
        <v>27</v>
      </c>
      <c r="T17" s="17">
        <f t="shared" si="9"/>
        <v>0</v>
      </c>
      <c r="U17" s="17">
        <f t="shared" si="9"/>
        <v>66</v>
      </c>
      <c r="V17" s="17">
        <f t="shared" si="9"/>
        <v>47</v>
      </c>
      <c r="W17" s="17">
        <f t="shared" si="9"/>
        <v>0</v>
      </c>
      <c r="X17" s="17">
        <f t="shared" si="9"/>
        <v>9</v>
      </c>
      <c r="Y17" s="17">
        <f t="shared" si="9"/>
        <v>35</v>
      </c>
      <c r="Z17" s="17">
        <f t="shared" si="9"/>
        <v>1</v>
      </c>
      <c r="AA17" s="17">
        <f t="shared" si="9"/>
        <v>0</v>
      </c>
      <c r="AB17" s="17">
        <f t="shared" si="9"/>
        <v>9</v>
      </c>
      <c r="AC17" s="17">
        <f t="shared" si="9"/>
        <v>262</v>
      </c>
      <c r="AD17" s="17">
        <f t="shared" si="9"/>
        <v>0</v>
      </c>
      <c r="AE17" s="31">
        <f t="shared" si="9"/>
        <v>194</v>
      </c>
      <c r="AF17" s="31">
        <f t="shared" si="9"/>
        <v>456</v>
      </c>
    </row>
    <row r="18" spans="2:32" ht="23.1" customHeight="1" x14ac:dyDescent="0.25">
      <c r="B18" s="23" t="s">
        <v>45</v>
      </c>
      <c r="C18" s="50">
        <v>5</v>
      </c>
      <c r="D18" s="50">
        <v>0</v>
      </c>
      <c r="E18" s="50">
        <v>9</v>
      </c>
      <c r="F18" s="50">
        <v>19</v>
      </c>
      <c r="G18" s="50">
        <v>0</v>
      </c>
      <c r="H18" s="50">
        <v>0</v>
      </c>
      <c r="I18" s="50">
        <v>5</v>
      </c>
      <c r="J18" s="50">
        <v>0</v>
      </c>
      <c r="K18" s="50">
        <v>0</v>
      </c>
      <c r="L18" s="50">
        <v>2</v>
      </c>
      <c r="M18" s="50">
        <v>58</v>
      </c>
      <c r="N18" s="50">
        <v>0</v>
      </c>
      <c r="O18" s="15">
        <f t="shared" si="0"/>
        <v>40</v>
      </c>
      <c r="P18" s="15">
        <f t="shared" si="1"/>
        <v>98</v>
      </c>
      <c r="R18" s="1" t="s">
        <v>14</v>
      </c>
      <c r="S18" s="17">
        <f t="shared" ref="S18:AF18" si="10">SUM(C42:C45)</f>
        <v>16</v>
      </c>
      <c r="T18" s="17">
        <f t="shared" si="10"/>
        <v>0</v>
      </c>
      <c r="U18" s="17">
        <f t="shared" si="10"/>
        <v>67</v>
      </c>
      <c r="V18" s="17">
        <f t="shared" si="10"/>
        <v>63</v>
      </c>
      <c r="W18" s="17">
        <f t="shared" si="10"/>
        <v>0</v>
      </c>
      <c r="X18" s="17">
        <f t="shared" si="10"/>
        <v>5</v>
      </c>
      <c r="Y18" s="17">
        <f t="shared" si="10"/>
        <v>27</v>
      </c>
      <c r="Z18" s="17">
        <f t="shared" si="10"/>
        <v>2</v>
      </c>
      <c r="AA18" s="17">
        <f t="shared" si="10"/>
        <v>0</v>
      </c>
      <c r="AB18" s="17">
        <f t="shared" si="10"/>
        <v>5</v>
      </c>
      <c r="AC18" s="17">
        <f t="shared" si="10"/>
        <v>234</v>
      </c>
      <c r="AD18" s="17">
        <f t="shared" si="10"/>
        <v>0</v>
      </c>
      <c r="AE18" s="31">
        <f t="shared" si="10"/>
        <v>185</v>
      </c>
      <c r="AF18" s="31">
        <f t="shared" si="10"/>
        <v>419</v>
      </c>
    </row>
    <row r="19" spans="2:32" ht="23.1" customHeight="1" x14ac:dyDescent="0.25">
      <c r="B19" s="23" t="s">
        <v>46</v>
      </c>
      <c r="C19" s="50">
        <v>3</v>
      </c>
      <c r="D19" s="50">
        <v>0</v>
      </c>
      <c r="E19" s="50">
        <v>8</v>
      </c>
      <c r="F19" s="50">
        <v>12</v>
      </c>
      <c r="G19" s="50">
        <v>0</v>
      </c>
      <c r="H19" s="50">
        <v>0</v>
      </c>
      <c r="I19" s="50">
        <v>12</v>
      </c>
      <c r="J19" s="50">
        <v>0</v>
      </c>
      <c r="K19" s="50">
        <v>0</v>
      </c>
      <c r="L19" s="50">
        <v>4</v>
      </c>
      <c r="M19" s="50">
        <v>72</v>
      </c>
      <c r="N19" s="50">
        <v>0</v>
      </c>
      <c r="O19" s="15">
        <f t="shared" si="0"/>
        <v>39</v>
      </c>
      <c r="P19" s="15">
        <f t="shared" si="1"/>
        <v>111</v>
      </c>
      <c r="R19" s="1" t="s">
        <v>15</v>
      </c>
      <c r="S19" s="17">
        <f t="shared" ref="S19:AF19" si="11">SUM(C46:C49)</f>
        <v>36</v>
      </c>
      <c r="T19" s="17">
        <f t="shared" si="11"/>
        <v>0</v>
      </c>
      <c r="U19" s="17">
        <f t="shared" si="11"/>
        <v>81</v>
      </c>
      <c r="V19" s="17">
        <f t="shared" si="11"/>
        <v>55</v>
      </c>
      <c r="W19" s="17">
        <f t="shared" si="11"/>
        <v>1</v>
      </c>
      <c r="X19" s="17">
        <f t="shared" si="11"/>
        <v>8</v>
      </c>
      <c r="Y19" s="17">
        <f t="shared" si="11"/>
        <v>25</v>
      </c>
      <c r="Z19" s="17">
        <f t="shared" si="11"/>
        <v>2</v>
      </c>
      <c r="AA19" s="17">
        <f t="shared" si="11"/>
        <v>1</v>
      </c>
      <c r="AB19" s="17">
        <f t="shared" si="11"/>
        <v>13</v>
      </c>
      <c r="AC19" s="17">
        <f t="shared" si="11"/>
        <v>291</v>
      </c>
      <c r="AD19" s="17">
        <f t="shared" si="11"/>
        <v>0</v>
      </c>
      <c r="AE19" s="31">
        <f t="shared" si="11"/>
        <v>222</v>
      </c>
      <c r="AF19" s="31">
        <f t="shared" si="11"/>
        <v>513</v>
      </c>
    </row>
    <row r="20" spans="2:32" ht="23.1" customHeight="1" x14ac:dyDescent="0.25">
      <c r="B20" s="23" t="s">
        <v>47</v>
      </c>
      <c r="C20" s="50">
        <v>9</v>
      </c>
      <c r="D20" s="50">
        <v>0</v>
      </c>
      <c r="E20" s="50">
        <v>9</v>
      </c>
      <c r="F20" s="50">
        <v>16</v>
      </c>
      <c r="G20" s="50">
        <v>1</v>
      </c>
      <c r="H20" s="50">
        <v>0</v>
      </c>
      <c r="I20" s="50">
        <v>8</v>
      </c>
      <c r="J20" s="50">
        <v>0</v>
      </c>
      <c r="K20" s="50">
        <v>0</v>
      </c>
      <c r="L20" s="50">
        <v>4</v>
      </c>
      <c r="M20" s="50">
        <v>57</v>
      </c>
      <c r="N20" s="50">
        <v>0</v>
      </c>
      <c r="O20" s="15">
        <f t="shared" si="0"/>
        <v>47</v>
      </c>
      <c r="P20" s="15">
        <f t="shared" si="1"/>
        <v>104</v>
      </c>
      <c r="R20" s="1" t="s">
        <v>16</v>
      </c>
      <c r="S20" s="17">
        <f t="shared" ref="S20:AF20" si="12">SUM(C50:C53)</f>
        <v>46</v>
      </c>
      <c r="T20" s="17">
        <f t="shared" si="12"/>
        <v>0</v>
      </c>
      <c r="U20" s="17">
        <f t="shared" si="12"/>
        <v>65</v>
      </c>
      <c r="V20" s="17">
        <f t="shared" si="12"/>
        <v>67</v>
      </c>
      <c r="W20" s="17">
        <f t="shared" si="12"/>
        <v>2</v>
      </c>
      <c r="X20" s="17">
        <f t="shared" si="12"/>
        <v>5</v>
      </c>
      <c r="Y20" s="17">
        <f t="shared" si="12"/>
        <v>37</v>
      </c>
      <c r="Z20" s="17">
        <f t="shared" si="12"/>
        <v>2</v>
      </c>
      <c r="AA20" s="17">
        <f t="shared" si="12"/>
        <v>0</v>
      </c>
      <c r="AB20" s="17">
        <f t="shared" si="12"/>
        <v>4</v>
      </c>
      <c r="AC20" s="17">
        <f t="shared" si="12"/>
        <v>325</v>
      </c>
      <c r="AD20" s="17">
        <f t="shared" si="12"/>
        <v>0</v>
      </c>
      <c r="AE20" s="31">
        <f t="shared" si="12"/>
        <v>228</v>
      </c>
      <c r="AF20" s="31">
        <f t="shared" si="12"/>
        <v>553</v>
      </c>
    </row>
    <row r="21" spans="2:32" ht="23.1" customHeight="1" x14ac:dyDescent="0.25">
      <c r="B21" s="23" t="s">
        <v>48</v>
      </c>
      <c r="C21" s="50">
        <v>10</v>
      </c>
      <c r="D21" s="50">
        <v>0</v>
      </c>
      <c r="E21" s="50">
        <v>4</v>
      </c>
      <c r="F21" s="50">
        <v>14</v>
      </c>
      <c r="G21" s="50">
        <v>1</v>
      </c>
      <c r="H21" s="50">
        <v>1</v>
      </c>
      <c r="I21" s="50">
        <v>5</v>
      </c>
      <c r="J21" s="50">
        <v>0</v>
      </c>
      <c r="K21" s="50">
        <v>0</v>
      </c>
      <c r="L21" s="50">
        <v>0</v>
      </c>
      <c r="M21" s="50">
        <v>67</v>
      </c>
      <c r="N21" s="50">
        <v>0</v>
      </c>
      <c r="O21" s="15">
        <f t="shared" si="0"/>
        <v>35</v>
      </c>
      <c r="P21" s="15">
        <f t="shared" si="1"/>
        <v>102</v>
      </c>
      <c r="R21" s="36" t="s">
        <v>20</v>
      </c>
      <c r="S21" s="34">
        <f t="shared" ref="S21:AF21" si="13">SUM(C54:C57)</f>
        <v>33</v>
      </c>
      <c r="T21" s="17">
        <f t="shared" si="13"/>
        <v>0</v>
      </c>
      <c r="U21" s="17">
        <f t="shared" si="13"/>
        <v>72</v>
      </c>
      <c r="V21" s="17">
        <f t="shared" si="13"/>
        <v>51</v>
      </c>
      <c r="W21" s="17">
        <f t="shared" si="13"/>
        <v>1</v>
      </c>
      <c r="X21" s="17">
        <f t="shared" si="13"/>
        <v>4</v>
      </c>
      <c r="Y21" s="17">
        <f t="shared" si="13"/>
        <v>36</v>
      </c>
      <c r="Z21" s="17">
        <f t="shared" si="13"/>
        <v>3</v>
      </c>
      <c r="AA21" s="17">
        <f t="shared" si="13"/>
        <v>1</v>
      </c>
      <c r="AB21" s="17">
        <f t="shared" si="13"/>
        <v>6</v>
      </c>
      <c r="AC21" s="17">
        <f t="shared" si="13"/>
        <v>224</v>
      </c>
      <c r="AD21" s="17">
        <f t="shared" si="13"/>
        <v>0</v>
      </c>
      <c r="AE21" s="31">
        <f t="shared" si="13"/>
        <v>207</v>
      </c>
      <c r="AF21" s="31">
        <f t="shared" si="13"/>
        <v>431</v>
      </c>
    </row>
    <row r="22" spans="2:32" ht="23.1" customHeight="1" x14ac:dyDescent="0.25">
      <c r="B22" s="23" t="s">
        <v>49</v>
      </c>
      <c r="C22" s="50">
        <v>8</v>
      </c>
      <c r="D22" s="50">
        <v>0</v>
      </c>
      <c r="E22" s="50">
        <v>2</v>
      </c>
      <c r="F22" s="50">
        <v>16</v>
      </c>
      <c r="G22" s="50">
        <v>0</v>
      </c>
      <c r="H22" s="50">
        <v>0</v>
      </c>
      <c r="I22" s="50">
        <v>7</v>
      </c>
      <c r="J22" s="50">
        <v>3</v>
      </c>
      <c r="K22" s="50">
        <v>0</v>
      </c>
      <c r="L22" s="50">
        <v>2</v>
      </c>
      <c r="M22" s="50">
        <v>70</v>
      </c>
      <c r="N22" s="50">
        <v>0</v>
      </c>
      <c r="O22" s="15">
        <f t="shared" si="0"/>
        <v>38</v>
      </c>
      <c r="P22" s="15">
        <f t="shared" si="1"/>
        <v>108</v>
      </c>
      <c r="R22" s="38" t="s">
        <v>90</v>
      </c>
      <c r="S22" s="39">
        <f>MAX(S10:S12)</f>
        <v>27</v>
      </c>
      <c r="T22" s="39">
        <f t="shared" ref="T22:AF22" si="14">MAX(T10:T12)</f>
        <v>0</v>
      </c>
      <c r="U22" s="39">
        <f t="shared" si="14"/>
        <v>43</v>
      </c>
      <c r="V22" s="39">
        <f t="shared" si="14"/>
        <v>61</v>
      </c>
      <c r="W22" s="39">
        <f t="shared" si="14"/>
        <v>2</v>
      </c>
      <c r="X22" s="39">
        <f t="shared" si="14"/>
        <v>3</v>
      </c>
      <c r="Y22" s="39">
        <f t="shared" si="14"/>
        <v>30</v>
      </c>
      <c r="Z22" s="39">
        <f t="shared" si="14"/>
        <v>3</v>
      </c>
      <c r="AA22" s="39">
        <f t="shared" si="14"/>
        <v>2</v>
      </c>
      <c r="AB22" s="39">
        <f t="shared" si="14"/>
        <v>10</v>
      </c>
      <c r="AC22" s="39">
        <f t="shared" si="14"/>
        <v>271</v>
      </c>
      <c r="AD22" s="39">
        <f t="shared" si="14"/>
        <v>1</v>
      </c>
      <c r="AE22" s="40">
        <f t="shared" si="14"/>
        <v>161</v>
      </c>
      <c r="AF22" s="40">
        <f t="shared" si="14"/>
        <v>415</v>
      </c>
    </row>
    <row r="23" spans="2:32" ht="23.1" customHeight="1" x14ac:dyDescent="0.25">
      <c r="B23" s="23" t="s">
        <v>50</v>
      </c>
      <c r="C23" s="50">
        <v>5</v>
      </c>
      <c r="D23" s="50">
        <v>0</v>
      </c>
      <c r="E23" s="50">
        <v>13</v>
      </c>
      <c r="F23" s="50">
        <v>17</v>
      </c>
      <c r="G23" s="50">
        <v>0</v>
      </c>
      <c r="H23" s="50">
        <v>0</v>
      </c>
      <c r="I23" s="50">
        <v>4</v>
      </c>
      <c r="J23" s="50">
        <v>0</v>
      </c>
      <c r="K23" s="50">
        <v>1</v>
      </c>
      <c r="L23" s="50">
        <v>0</v>
      </c>
      <c r="M23" s="50">
        <v>80</v>
      </c>
      <c r="N23" s="50">
        <v>0</v>
      </c>
      <c r="O23" s="15">
        <f t="shared" si="0"/>
        <v>40</v>
      </c>
      <c r="P23" s="15">
        <f t="shared" si="1"/>
        <v>120</v>
      </c>
      <c r="R23" s="38" t="s">
        <v>91</v>
      </c>
      <c r="S23" s="39">
        <f>MAX(S13:S18)</f>
        <v>28</v>
      </c>
      <c r="T23" s="39">
        <f t="shared" ref="T23:AF23" si="15">MAX(T13:T18)</f>
        <v>0</v>
      </c>
      <c r="U23" s="39">
        <f t="shared" si="15"/>
        <v>67</v>
      </c>
      <c r="V23" s="39">
        <f t="shared" si="15"/>
        <v>63</v>
      </c>
      <c r="W23" s="39">
        <f t="shared" si="15"/>
        <v>2</v>
      </c>
      <c r="X23" s="39">
        <f t="shared" si="15"/>
        <v>9</v>
      </c>
      <c r="Y23" s="39">
        <f t="shared" si="15"/>
        <v>35</v>
      </c>
      <c r="Z23" s="39">
        <f t="shared" si="15"/>
        <v>6</v>
      </c>
      <c r="AA23" s="39">
        <f t="shared" si="15"/>
        <v>1</v>
      </c>
      <c r="AB23" s="39">
        <f t="shared" si="15"/>
        <v>9</v>
      </c>
      <c r="AC23" s="39">
        <f t="shared" si="15"/>
        <v>279</v>
      </c>
      <c r="AD23" s="39">
        <f t="shared" si="15"/>
        <v>1</v>
      </c>
      <c r="AE23" s="40">
        <f t="shared" si="15"/>
        <v>194</v>
      </c>
      <c r="AF23" s="40">
        <f t="shared" si="15"/>
        <v>456</v>
      </c>
    </row>
    <row r="24" spans="2:32" ht="23.1" customHeight="1" x14ac:dyDescent="0.25">
      <c r="B24" s="23" t="s">
        <v>51</v>
      </c>
      <c r="C24" s="50">
        <v>7</v>
      </c>
      <c r="D24" s="50">
        <v>0</v>
      </c>
      <c r="E24" s="50">
        <v>11</v>
      </c>
      <c r="F24" s="50">
        <v>14</v>
      </c>
      <c r="G24" s="50">
        <v>0</v>
      </c>
      <c r="H24" s="50">
        <v>0</v>
      </c>
      <c r="I24" s="50">
        <v>5</v>
      </c>
      <c r="J24" s="50">
        <v>1</v>
      </c>
      <c r="K24" s="50">
        <v>0</v>
      </c>
      <c r="L24" s="50">
        <v>3</v>
      </c>
      <c r="M24" s="50">
        <v>65</v>
      </c>
      <c r="N24" s="50">
        <v>0</v>
      </c>
      <c r="O24" s="15">
        <f t="shared" si="0"/>
        <v>41</v>
      </c>
      <c r="P24" s="15">
        <f t="shared" si="1"/>
        <v>106</v>
      </c>
      <c r="R24" s="38" t="s">
        <v>92</v>
      </c>
      <c r="S24" s="39">
        <f>MAX(S19:S21)</f>
        <v>46</v>
      </c>
      <c r="T24" s="39">
        <f t="shared" ref="T24:AF24" si="16">MAX(T19:T21)</f>
        <v>0</v>
      </c>
      <c r="U24" s="39">
        <f t="shared" si="16"/>
        <v>81</v>
      </c>
      <c r="V24" s="39">
        <f t="shared" si="16"/>
        <v>67</v>
      </c>
      <c r="W24" s="39">
        <f t="shared" si="16"/>
        <v>2</v>
      </c>
      <c r="X24" s="39">
        <f t="shared" si="16"/>
        <v>8</v>
      </c>
      <c r="Y24" s="39">
        <f t="shared" si="16"/>
        <v>37</v>
      </c>
      <c r="Z24" s="39">
        <f t="shared" si="16"/>
        <v>3</v>
      </c>
      <c r="AA24" s="39">
        <f t="shared" si="16"/>
        <v>1</v>
      </c>
      <c r="AB24" s="39">
        <f t="shared" si="16"/>
        <v>13</v>
      </c>
      <c r="AC24" s="39">
        <f t="shared" si="16"/>
        <v>325</v>
      </c>
      <c r="AD24" s="39">
        <f t="shared" si="16"/>
        <v>0</v>
      </c>
      <c r="AE24" s="40">
        <f t="shared" si="16"/>
        <v>228</v>
      </c>
      <c r="AF24" s="40">
        <f t="shared" si="16"/>
        <v>553</v>
      </c>
    </row>
    <row r="25" spans="2:32" ht="23.1" customHeight="1" x14ac:dyDescent="0.25">
      <c r="B25" s="23" t="s">
        <v>52</v>
      </c>
      <c r="C25" s="50">
        <v>8</v>
      </c>
      <c r="D25" s="50">
        <v>0</v>
      </c>
      <c r="E25" s="50">
        <v>10</v>
      </c>
      <c r="F25" s="50">
        <v>14</v>
      </c>
      <c r="G25" s="50">
        <v>0</v>
      </c>
      <c r="H25" s="50">
        <v>0</v>
      </c>
      <c r="I25" s="50">
        <v>7</v>
      </c>
      <c r="J25" s="50">
        <v>2</v>
      </c>
      <c r="K25" s="50">
        <v>0</v>
      </c>
      <c r="L25" s="50">
        <v>4</v>
      </c>
      <c r="M25" s="50">
        <v>64</v>
      </c>
      <c r="N25" s="50">
        <v>1</v>
      </c>
      <c r="O25" s="15">
        <f t="shared" si="0"/>
        <v>46</v>
      </c>
      <c r="P25" s="15">
        <f t="shared" si="1"/>
        <v>110</v>
      </c>
      <c r="R25" s="37" t="s">
        <v>85</v>
      </c>
      <c r="S25" s="35">
        <f t="shared" ref="S25:AF25" si="17">SUM(S10:S12)</f>
        <v>53</v>
      </c>
      <c r="T25" s="16">
        <f t="shared" si="17"/>
        <v>0</v>
      </c>
      <c r="U25" s="16">
        <f t="shared" si="17"/>
        <v>93</v>
      </c>
      <c r="V25" s="16">
        <f t="shared" si="17"/>
        <v>153</v>
      </c>
      <c r="W25" s="16">
        <f t="shared" si="17"/>
        <v>2</v>
      </c>
      <c r="X25" s="16">
        <f t="shared" si="17"/>
        <v>5</v>
      </c>
      <c r="Y25" s="16">
        <f t="shared" si="17"/>
        <v>59</v>
      </c>
      <c r="Z25" s="16">
        <f t="shared" si="17"/>
        <v>3</v>
      </c>
      <c r="AA25" s="16">
        <f t="shared" si="17"/>
        <v>3</v>
      </c>
      <c r="AB25" s="16">
        <f t="shared" si="17"/>
        <v>23</v>
      </c>
      <c r="AC25" s="16">
        <f t="shared" si="17"/>
        <v>701</v>
      </c>
      <c r="AD25" s="16">
        <f t="shared" si="17"/>
        <v>1</v>
      </c>
      <c r="AE25" s="32">
        <f t="shared" si="17"/>
        <v>395</v>
      </c>
      <c r="AF25" s="32">
        <f t="shared" si="17"/>
        <v>1096</v>
      </c>
    </row>
    <row r="26" spans="2:32" ht="23.1" customHeight="1" x14ac:dyDescent="0.25">
      <c r="B26" s="23" t="s">
        <v>53</v>
      </c>
      <c r="C26" s="50">
        <v>7</v>
      </c>
      <c r="D26" s="50">
        <v>0</v>
      </c>
      <c r="E26" s="50">
        <v>10</v>
      </c>
      <c r="F26" s="50">
        <v>14</v>
      </c>
      <c r="G26" s="50">
        <v>0</v>
      </c>
      <c r="H26" s="50">
        <v>0</v>
      </c>
      <c r="I26" s="50">
        <v>8</v>
      </c>
      <c r="J26" s="50">
        <v>1</v>
      </c>
      <c r="K26" s="50">
        <v>0</v>
      </c>
      <c r="L26" s="50">
        <v>0</v>
      </c>
      <c r="M26" s="50">
        <v>65</v>
      </c>
      <c r="N26" s="50">
        <v>0</v>
      </c>
      <c r="O26" s="15">
        <f t="shared" si="0"/>
        <v>40</v>
      </c>
      <c r="P26" s="15">
        <f t="shared" si="1"/>
        <v>105</v>
      </c>
      <c r="R26" s="28" t="s">
        <v>86</v>
      </c>
      <c r="S26" s="16">
        <f t="shared" ref="S26:AF26" si="18">SUM(S13:S18)</f>
        <v>148</v>
      </c>
      <c r="T26" s="16">
        <f t="shared" si="18"/>
        <v>0</v>
      </c>
      <c r="U26" s="16">
        <f t="shared" si="18"/>
        <v>319</v>
      </c>
      <c r="V26" s="16">
        <f t="shared" si="18"/>
        <v>331</v>
      </c>
      <c r="W26" s="16">
        <f t="shared" si="18"/>
        <v>3</v>
      </c>
      <c r="X26" s="16">
        <f t="shared" si="18"/>
        <v>23</v>
      </c>
      <c r="Y26" s="16">
        <f t="shared" si="18"/>
        <v>167</v>
      </c>
      <c r="Z26" s="16">
        <f t="shared" si="18"/>
        <v>14</v>
      </c>
      <c r="AA26" s="16">
        <f t="shared" si="18"/>
        <v>1</v>
      </c>
      <c r="AB26" s="16">
        <f t="shared" si="18"/>
        <v>38</v>
      </c>
      <c r="AC26" s="16">
        <f t="shared" si="18"/>
        <v>1504</v>
      </c>
      <c r="AD26" s="16">
        <f t="shared" si="18"/>
        <v>1</v>
      </c>
      <c r="AE26" s="32">
        <f t="shared" si="18"/>
        <v>1045</v>
      </c>
      <c r="AF26" s="32">
        <f t="shared" si="18"/>
        <v>2549</v>
      </c>
    </row>
    <row r="27" spans="2:32" ht="23.1" customHeight="1" x14ac:dyDescent="0.25">
      <c r="B27" s="23" t="s">
        <v>54</v>
      </c>
      <c r="C27" s="50">
        <v>5</v>
      </c>
      <c r="D27" s="50">
        <v>0</v>
      </c>
      <c r="E27" s="50">
        <v>12</v>
      </c>
      <c r="F27" s="50">
        <v>8</v>
      </c>
      <c r="G27" s="50">
        <v>1</v>
      </c>
      <c r="H27" s="50">
        <v>2</v>
      </c>
      <c r="I27" s="50">
        <v>8</v>
      </c>
      <c r="J27" s="50">
        <v>1</v>
      </c>
      <c r="K27" s="50">
        <v>0</v>
      </c>
      <c r="L27" s="50">
        <v>2</v>
      </c>
      <c r="M27" s="50">
        <v>67</v>
      </c>
      <c r="N27" s="50">
        <v>0</v>
      </c>
      <c r="O27" s="15">
        <f t="shared" si="0"/>
        <v>39</v>
      </c>
      <c r="P27" s="15">
        <f t="shared" si="1"/>
        <v>106</v>
      </c>
      <c r="R27" s="29" t="s">
        <v>87</v>
      </c>
      <c r="S27" s="16">
        <f t="shared" ref="S27:AF27" si="19">SUM(S19:S21)</f>
        <v>115</v>
      </c>
      <c r="T27" s="16">
        <f t="shared" si="19"/>
        <v>0</v>
      </c>
      <c r="U27" s="16">
        <f t="shared" si="19"/>
        <v>218</v>
      </c>
      <c r="V27" s="16">
        <f t="shared" si="19"/>
        <v>173</v>
      </c>
      <c r="W27" s="16">
        <f t="shared" si="19"/>
        <v>4</v>
      </c>
      <c r="X27" s="16">
        <f t="shared" si="19"/>
        <v>17</v>
      </c>
      <c r="Y27" s="16">
        <f t="shared" si="19"/>
        <v>98</v>
      </c>
      <c r="Z27" s="16">
        <f t="shared" si="19"/>
        <v>7</v>
      </c>
      <c r="AA27" s="16">
        <f t="shared" si="19"/>
        <v>2</v>
      </c>
      <c r="AB27" s="16">
        <f t="shared" si="19"/>
        <v>23</v>
      </c>
      <c r="AC27" s="16">
        <f t="shared" si="19"/>
        <v>840</v>
      </c>
      <c r="AD27" s="16">
        <f t="shared" si="19"/>
        <v>0</v>
      </c>
      <c r="AE27" s="32">
        <f t="shared" si="19"/>
        <v>657</v>
      </c>
      <c r="AF27" s="32">
        <f t="shared" si="19"/>
        <v>1497</v>
      </c>
    </row>
    <row r="28" spans="2:32" ht="23.1" customHeight="1" x14ac:dyDescent="0.25">
      <c r="B28" s="23" t="s">
        <v>55</v>
      </c>
      <c r="C28" s="50">
        <v>7</v>
      </c>
      <c r="D28" s="50">
        <v>0</v>
      </c>
      <c r="E28" s="50">
        <v>12</v>
      </c>
      <c r="F28" s="50">
        <v>17</v>
      </c>
      <c r="G28" s="50">
        <v>0</v>
      </c>
      <c r="H28" s="50">
        <v>2</v>
      </c>
      <c r="I28" s="50">
        <v>3</v>
      </c>
      <c r="J28" s="50">
        <v>0</v>
      </c>
      <c r="K28" s="50">
        <v>0</v>
      </c>
      <c r="L28" s="50">
        <v>1</v>
      </c>
      <c r="M28" s="50">
        <v>69</v>
      </c>
      <c r="N28" s="50">
        <v>0</v>
      </c>
      <c r="O28" s="15">
        <f t="shared" si="0"/>
        <v>42</v>
      </c>
      <c r="P28" s="15">
        <f t="shared" si="1"/>
        <v>111</v>
      </c>
      <c r="R28" s="5" t="s">
        <v>17</v>
      </c>
      <c r="S28" s="16">
        <f t="shared" ref="S28:AF28" si="20">SUM(S10:S21)</f>
        <v>316</v>
      </c>
      <c r="T28" s="16">
        <f t="shared" si="20"/>
        <v>0</v>
      </c>
      <c r="U28" s="16">
        <f t="shared" si="20"/>
        <v>630</v>
      </c>
      <c r="V28" s="16">
        <f t="shared" si="20"/>
        <v>657</v>
      </c>
      <c r="W28" s="16">
        <f t="shared" si="20"/>
        <v>9</v>
      </c>
      <c r="X28" s="16">
        <f t="shared" si="20"/>
        <v>45</v>
      </c>
      <c r="Y28" s="16">
        <f t="shared" si="20"/>
        <v>324</v>
      </c>
      <c r="Z28" s="16">
        <f t="shared" si="20"/>
        <v>24</v>
      </c>
      <c r="AA28" s="16">
        <f t="shared" si="20"/>
        <v>6</v>
      </c>
      <c r="AB28" s="16">
        <f t="shared" si="20"/>
        <v>84</v>
      </c>
      <c r="AC28" s="16">
        <f t="shared" si="20"/>
        <v>3045</v>
      </c>
      <c r="AD28" s="16">
        <f t="shared" si="20"/>
        <v>2</v>
      </c>
      <c r="AE28" s="32">
        <f t="shared" si="20"/>
        <v>2097</v>
      </c>
      <c r="AF28" s="32">
        <f t="shared" si="20"/>
        <v>5142</v>
      </c>
    </row>
    <row r="29" spans="2:32" ht="23.1" customHeight="1" x14ac:dyDescent="0.25">
      <c r="B29" s="23" t="s">
        <v>56</v>
      </c>
      <c r="C29" s="50">
        <v>4</v>
      </c>
      <c r="D29" s="50">
        <v>0</v>
      </c>
      <c r="E29" s="50">
        <v>9</v>
      </c>
      <c r="F29" s="50">
        <v>13</v>
      </c>
      <c r="G29" s="50">
        <v>1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59</v>
      </c>
      <c r="N29" s="50">
        <v>0</v>
      </c>
      <c r="O29" s="15">
        <f t="shared" si="0"/>
        <v>29</v>
      </c>
      <c r="P29" s="15">
        <f t="shared" si="1"/>
        <v>88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0</v>
      </c>
      <c r="E30" s="50">
        <v>12</v>
      </c>
      <c r="F30" s="50">
        <v>15</v>
      </c>
      <c r="G30" s="50">
        <v>0</v>
      </c>
      <c r="H30" s="50">
        <v>0</v>
      </c>
      <c r="I30" s="50">
        <v>4</v>
      </c>
      <c r="J30" s="50">
        <v>0</v>
      </c>
      <c r="K30" s="50">
        <v>0</v>
      </c>
      <c r="L30" s="50">
        <v>2</v>
      </c>
      <c r="M30" s="50">
        <v>69</v>
      </c>
      <c r="N30" s="50">
        <v>0</v>
      </c>
      <c r="O30" s="15">
        <f t="shared" si="0"/>
        <v>36</v>
      </c>
      <c r="P30" s="15">
        <f t="shared" si="1"/>
        <v>105</v>
      </c>
    </row>
    <row r="31" spans="2:32" ht="23.1" customHeight="1" x14ac:dyDescent="0.25">
      <c r="B31" s="24" t="s">
        <v>58</v>
      </c>
      <c r="C31" s="50">
        <v>9</v>
      </c>
      <c r="D31" s="50">
        <v>0</v>
      </c>
      <c r="E31" s="50">
        <v>15</v>
      </c>
      <c r="F31" s="50">
        <v>11</v>
      </c>
      <c r="G31" s="50">
        <v>1</v>
      </c>
      <c r="H31" s="50">
        <v>0</v>
      </c>
      <c r="I31" s="50">
        <v>12</v>
      </c>
      <c r="J31" s="50">
        <v>0</v>
      </c>
      <c r="K31" s="50">
        <v>0</v>
      </c>
      <c r="L31" s="50">
        <v>1</v>
      </c>
      <c r="M31" s="50">
        <v>64</v>
      </c>
      <c r="N31" s="50">
        <v>0</v>
      </c>
      <c r="O31" s="15">
        <f t="shared" si="0"/>
        <v>49</v>
      </c>
      <c r="P31" s="15">
        <f t="shared" si="1"/>
        <v>113</v>
      </c>
    </row>
    <row r="32" spans="2:32" ht="23.1" customHeight="1" x14ac:dyDescent="0.25">
      <c r="B32" s="24" t="s">
        <v>59</v>
      </c>
      <c r="C32" s="50">
        <v>6</v>
      </c>
      <c r="D32" s="50">
        <v>0</v>
      </c>
      <c r="E32" s="50">
        <v>7</v>
      </c>
      <c r="F32" s="50">
        <v>18</v>
      </c>
      <c r="G32" s="50">
        <v>0</v>
      </c>
      <c r="H32" s="50">
        <v>2</v>
      </c>
      <c r="I32" s="50">
        <v>3</v>
      </c>
      <c r="J32" s="50">
        <v>1</v>
      </c>
      <c r="K32" s="50">
        <v>0</v>
      </c>
      <c r="L32" s="50">
        <v>0</v>
      </c>
      <c r="M32" s="50">
        <v>48</v>
      </c>
      <c r="N32" s="50">
        <v>0</v>
      </c>
      <c r="O32" s="15">
        <f t="shared" si="0"/>
        <v>37</v>
      </c>
      <c r="P32" s="15">
        <f t="shared" si="1"/>
        <v>85</v>
      </c>
    </row>
    <row r="33" spans="2:20" ht="23.1" customHeight="1" x14ac:dyDescent="0.25">
      <c r="B33" s="23" t="s">
        <v>60</v>
      </c>
      <c r="C33" s="50">
        <v>9</v>
      </c>
      <c r="D33" s="50">
        <v>0</v>
      </c>
      <c r="E33" s="50">
        <v>15</v>
      </c>
      <c r="F33" s="50">
        <v>11</v>
      </c>
      <c r="G33" s="50">
        <v>0</v>
      </c>
      <c r="H33" s="50">
        <v>0</v>
      </c>
      <c r="I33" s="50">
        <v>10</v>
      </c>
      <c r="J33" s="50">
        <v>1</v>
      </c>
      <c r="K33" s="50">
        <v>0</v>
      </c>
      <c r="L33" s="50">
        <v>0</v>
      </c>
      <c r="M33" s="50">
        <v>58</v>
      </c>
      <c r="N33" s="50">
        <v>0</v>
      </c>
      <c r="O33" s="15">
        <f t="shared" si="0"/>
        <v>46</v>
      </c>
      <c r="P33" s="15">
        <f t="shared" si="1"/>
        <v>104</v>
      </c>
    </row>
    <row r="34" spans="2:20" ht="23.1" customHeight="1" x14ac:dyDescent="0.25">
      <c r="B34" s="24" t="s">
        <v>61</v>
      </c>
      <c r="C34" s="50">
        <v>8</v>
      </c>
      <c r="D34" s="50">
        <v>0</v>
      </c>
      <c r="E34" s="50">
        <v>14</v>
      </c>
      <c r="F34" s="50">
        <v>11</v>
      </c>
      <c r="G34" s="50">
        <v>0</v>
      </c>
      <c r="H34" s="50">
        <v>0</v>
      </c>
      <c r="I34" s="50">
        <v>9</v>
      </c>
      <c r="J34" s="50">
        <v>0</v>
      </c>
      <c r="K34" s="50">
        <v>0</v>
      </c>
      <c r="L34" s="50">
        <v>2</v>
      </c>
      <c r="M34" s="50">
        <v>75</v>
      </c>
      <c r="N34" s="50">
        <v>0</v>
      </c>
      <c r="O34" s="15">
        <f t="shared" si="0"/>
        <v>44</v>
      </c>
      <c r="P34" s="15">
        <f t="shared" si="1"/>
        <v>119</v>
      </c>
    </row>
    <row r="35" spans="2:20" ht="23.1" customHeight="1" x14ac:dyDescent="0.25">
      <c r="B35" s="24" t="s">
        <v>62</v>
      </c>
      <c r="C35" s="50">
        <v>5</v>
      </c>
      <c r="D35" s="50">
        <v>0</v>
      </c>
      <c r="E35" s="50">
        <v>12</v>
      </c>
      <c r="F35" s="50">
        <v>15</v>
      </c>
      <c r="G35" s="50">
        <v>0</v>
      </c>
      <c r="H35" s="50">
        <v>0</v>
      </c>
      <c r="I35" s="50">
        <v>8</v>
      </c>
      <c r="J35" s="50">
        <v>1</v>
      </c>
      <c r="K35" s="50">
        <v>0</v>
      </c>
      <c r="L35" s="50">
        <v>3</v>
      </c>
      <c r="M35" s="50">
        <v>48</v>
      </c>
      <c r="N35" s="50">
        <v>0</v>
      </c>
      <c r="O35" s="15">
        <f t="shared" si="0"/>
        <v>44</v>
      </c>
      <c r="P35" s="15">
        <f t="shared" si="1"/>
        <v>92</v>
      </c>
    </row>
    <row r="36" spans="2:20" ht="23.1" customHeight="1" x14ac:dyDescent="0.25">
      <c r="B36" s="24" t="s">
        <v>63</v>
      </c>
      <c r="C36" s="50">
        <v>5</v>
      </c>
      <c r="D36" s="50">
        <v>0</v>
      </c>
      <c r="E36" s="50">
        <v>16</v>
      </c>
      <c r="F36" s="50">
        <v>12</v>
      </c>
      <c r="G36" s="50">
        <v>0</v>
      </c>
      <c r="H36" s="50">
        <v>2</v>
      </c>
      <c r="I36" s="50">
        <v>4</v>
      </c>
      <c r="J36" s="50">
        <v>0</v>
      </c>
      <c r="K36" s="50">
        <v>0</v>
      </c>
      <c r="L36" s="50">
        <v>1</v>
      </c>
      <c r="M36" s="50">
        <v>56</v>
      </c>
      <c r="N36" s="50">
        <v>0</v>
      </c>
      <c r="O36" s="15">
        <f t="shared" si="0"/>
        <v>40</v>
      </c>
      <c r="P36" s="15">
        <f t="shared" si="1"/>
        <v>96</v>
      </c>
    </row>
    <row r="37" spans="2:20" ht="23.1" customHeight="1" x14ac:dyDescent="0.25">
      <c r="B37" s="23" t="s">
        <v>64</v>
      </c>
      <c r="C37" s="50">
        <v>9</v>
      </c>
      <c r="D37" s="50">
        <v>0</v>
      </c>
      <c r="E37" s="50">
        <v>16</v>
      </c>
      <c r="F37" s="50">
        <v>15</v>
      </c>
      <c r="G37" s="50">
        <v>0</v>
      </c>
      <c r="H37" s="50">
        <v>1</v>
      </c>
      <c r="I37" s="50">
        <v>11</v>
      </c>
      <c r="J37" s="50">
        <v>0</v>
      </c>
      <c r="K37" s="50">
        <v>0</v>
      </c>
      <c r="L37" s="50">
        <v>3</v>
      </c>
      <c r="M37" s="50">
        <v>51</v>
      </c>
      <c r="N37" s="50">
        <v>0</v>
      </c>
      <c r="O37" s="15">
        <f t="shared" si="0"/>
        <v>55</v>
      </c>
      <c r="P37" s="15">
        <f t="shared" si="1"/>
        <v>106</v>
      </c>
    </row>
    <row r="38" spans="2:20" ht="23.1" customHeight="1" x14ac:dyDescent="0.25">
      <c r="B38" s="24" t="s">
        <v>65</v>
      </c>
      <c r="C38" s="50">
        <v>9</v>
      </c>
      <c r="D38" s="50">
        <v>0</v>
      </c>
      <c r="E38" s="50">
        <v>17</v>
      </c>
      <c r="F38" s="50">
        <v>15</v>
      </c>
      <c r="G38" s="50">
        <v>0</v>
      </c>
      <c r="H38" s="50">
        <v>6</v>
      </c>
      <c r="I38" s="50">
        <v>6</v>
      </c>
      <c r="J38" s="50">
        <v>0</v>
      </c>
      <c r="K38" s="50">
        <v>0</v>
      </c>
      <c r="L38" s="50">
        <v>1</v>
      </c>
      <c r="M38" s="50">
        <v>64</v>
      </c>
      <c r="N38" s="50">
        <v>0</v>
      </c>
      <c r="O38" s="15">
        <f t="shared" si="0"/>
        <v>54</v>
      </c>
      <c r="P38" s="15">
        <f t="shared" si="1"/>
        <v>118</v>
      </c>
    </row>
    <row r="39" spans="2:20" ht="23.1" customHeight="1" x14ac:dyDescent="0.25">
      <c r="B39" s="24" t="s">
        <v>66</v>
      </c>
      <c r="C39" s="50">
        <v>10</v>
      </c>
      <c r="D39" s="50">
        <v>0</v>
      </c>
      <c r="E39" s="50">
        <v>22</v>
      </c>
      <c r="F39" s="50">
        <v>8</v>
      </c>
      <c r="G39" s="50">
        <v>0</v>
      </c>
      <c r="H39" s="50">
        <v>3</v>
      </c>
      <c r="I39" s="50">
        <v>8</v>
      </c>
      <c r="J39" s="50">
        <v>0</v>
      </c>
      <c r="K39" s="50">
        <v>0</v>
      </c>
      <c r="L39" s="50">
        <v>8</v>
      </c>
      <c r="M39" s="50">
        <v>71</v>
      </c>
      <c r="N39" s="50">
        <v>0</v>
      </c>
      <c r="O39" s="15">
        <f t="shared" si="0"/>
        <v>59</v>
      </c>
      <c r="P39" s="15">
        <f t="shared" si="1"/>
        <v>130</v>
      </c>
    </row>
    <row r="40" spans="2:20" ht="23.1" customHeight="1" x14ac:dyDescent="0.25">
      <c r="B40" s="24" t="s">
        <v>67</v>
      </c>
      <c r="C40" s="50">
        <v>7</v>
      </c>
      <c r="D40" s="50">
        <v>0</v>
      </c>
      <c r="E40" s="50">
        <v>14</v>
      </c>
      <c r="F40" s="50">
        <v>14</v>
      </c>
      <c r="G40" s="50">
        <v>0</v>
      </c>
      <c r="H40" s="50">
        <v>0</v>
      </c>
      <c r="I40" s="50">
        <v>13</v>
      </c>
      <c r="J40" s="50">
        <v>0</v>
      </c>
      <c r="K40" s="50">
        <v>0</v>
      </c>
      <c r="L40" s="50">
        <v>0</v>
      </c>
      <c r="M40" s="50">
        <v>53</v>
      </c>
      <c r="N40" s="50">
        <v>0</v>
      </c>
      <c r="O40" s="15">
        <f t="shared" si="0"/>
        <v>48</v>
      </c>
      <c r="P40" s="15">
        <f t="shared" si="1"/>
        <v>101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13</v>
      </c>
      <c r="F41" s="50">
        <v>10</v>
      </c>
      <c r="G41" s="50">
        <v>0</v>
      </c>
      <c r="H41" s="50">
        <v>0</v>
      </c>
      <c r="I41" s="50">
        <v>8</v>
      </c>
      <c r="J41" s="50">
        <v>1</v>
      </c>
      <c r="K41" s="50">
        <v>0</v>
      </c>
      <c r="L41" s="50">
        <v>0</v>
      </c>
      <c r="M41" s="50">
        <v>74</v>
      </c>
      <c r="N41" s="50">
        <v>0</v>
      </c>
      <c r="O41" s="15">
        <f t="shared" si="0"/>
        <v>33</v>
      </c>
      <c r="P41" s="15">
        <f t="shared" si="1"/>
        <v>107</v>
      </c>
    </row>
    <row r="42" spans="2:20" ht="23.1" customHeight="1" x14ac:dyDescent="0.25">
      <c r="B42" s="24" t="s">
        <v>69</v>
      </c>
      <c r="C42" s="50">
        <v>4</v>
      </c>
      <c r="D42" s="50">
        <v>0</v>
      </c>
      <c r="E42" s="50">
        <v>23</v>
      </c>
      <c r="F42" s="50">
        <v>15</v>
      </c>
      <c r="G42" s="50">
        <v>0</v>
      </c>
      <c r="H42" s="50">
        <v>2</v>
      </c>
      <c r="I42" s="50">
        <v>9</v>
      </c>
      <c r="J42" s="50">
        <v>1</v>
      </c>
      <c r="K42" s="50">
        <v>0</v>
      </c>
      <c r="L42" s="50">
        <v>0</v>
      </c>
      <c r="M42" s="50">
        <v>55</v>
      </c>
      <c r="N42" s="50">
        <v>0</v>
      </c>
      <c r="O42" s="15">
        <f t="shared" si="0"/>
        <v>54</v>
      </c>
      <c r="P42" s="15">
        <f t="shared" si="1"/>
        <v>109</v>
      </c>
    </row>
    <row r="43" spans="2:20" ht="23.1" customHeight="1" x14ac:dyDescent="0.25">
      <c r="B43" s="23" t="s">
        <v>70</v>
      </c>
      <c r="C43" s="50">
        <v>4</v>
      </c>
      <c r="D43" s="50">
        <v>0</v>
      </c>
      <c r="E43" s="50">
        <v>16</v>
      </c>
      <c r="F43" s="50">
        <v>19</v>
      </c>
      <c r="G43" s="50">
        <v>0</v>
      </c>
      <c r="H43" s="50">
        <v>1</v>
      </c>
      <c r="I43" s="50">
        <v>7</v>
      </c>
      <c r="J43" s="50">
        <v>0</v>
      </c>
      <c r="K43" s="50">
        <v>0</v>
      </c>
      <c r="L43" s="50">
        <v>1</v>
      </c>
      <c r="M43" s="50">
        <v>64</v>
      </c>
      <c r="N43" s="50">
        <v>0</v>
      </c>
      <c r="O43" s="15">
        <f t="shared" si="0"/>
        <v>48</v>
      </c>
      <c r="P43" s="15">
        <f t="shared" si="1"/>
        <v>112</v>
      </c>
    </row>
    <row r="44" spans="2:20" ht="23.1" customHeight="1" x14ac:dyDescent="0.25">
      <c r="B44" s="25" t="s">
        <v>71</v>
      </c>
      <c r="C44" s="50">
        <v>5</v>
      </c>
      <c r="D44" s="50">
        <v>0</v>
      </c>
      <c r="E44" s="50">
        <v>13</v>
      </c>
      <c r="F44" s="50">
        <v>15</v>
      </c>
      <c r="G44" s="50">
        <v>0</v>
      </c>
      <c r="H44" s="50">
        <v>2</v>
      </c>
      <c r="I44" s="50">
        <v>5</v>
      </c>
      <c r="J44" s="50">
        <v>1</v>
      </c>
      <c r="K44" s="50">
        <v>0</v>
      </c>
      <c r="L44" s="50">
        <v>0</v>
      </c>
      <c r="M44" s="50">
        <v>64</v>
      </c>
      <c r="N44" s="50">
        <v>0</v>
      </c>
      <c r="O44" s="15">
        <f t="shared" si="0"/>
        <v>41</v>
      </c>
      <c r="P44" s="15">
        <f t="shared" si="1"/>
        <v>105</v>
      </c>
    </row>
    <row r="45" spans="2:20" ht="23.1" customHeight="1" x14ac:dyDescent="0.25">
      <c r="B45" s="23" t="s">
        <v>72</v>
      </c>
      <c r="C45" s="50">
        <v>3</v>
      </c>
      <c r="D45" s="50">
        <v>0</v>
      </c>
      <c r="E45" s="50">
        <v>15</v>
      </c>
      <c r="F45" s="50">
        <v>14</v>
      </c>
      <c r="G45" s="50">
        <v>0</v>
      </c>
      <c r="H45" s="50">
        <v>0</v>
      </c>
      <c r="I45" s="50">
        <v>6</v>
      </c>
      <c r="J45" s="50">
        <v>0</v>
      </c>
      <c r="K45" s="50">
        <v>0</v>
      </c>
      <c r="L45" s="50">
        <v>4</v>
      </c>
      <c r="M45" s="50">
        <v>51</v>
      </c>
      <c r="N45" s="50">
        <v>0</v>
      </c>
      <c r="O45" s="15">
        <f t="shared" si="0"/>
        <v>42</v>
      </c>
      <c r="P45" s="15">
        <f t="shared" si="1"/>
        <v>93</v>
      </c>
    </row>
    <row r="46" spans="2:20" ht="23.1" customHeight="1" x14ac:dyDescent="0.25">
      <c r="B46" s="24" t="s">
        <v>73</v>
      </c>
      <c r="C46" s="50">
        <v>4</v>
      </c>
      <c r="D46" s="50">
        <v>0</v>
      </c>
      <c r="E46" s="50">
        <v>15</v>
      </c>
      <c r="F46" s="50">
        <v>9</v>
      </c>
      <c r="G46" s="50">
        <v>0</v>
      </c>
      <c r="H46" s="50">
        <v>1</v>
      </c>
      <c r="I46" s="50">
        <v>8</v>
      </c>
      <c r="J46" s="50">
        <v>0</v>
      </c>
      <c r="K46" s="50">
        <v>0</v>
      </c>
      <c r="L46" s="50">
        <v>4</v>
      </c>
      <c r="M46" s="50">
        <v>67</v>
      </c>
      <c r="N46" s="50">
        <v>0</v>
      </c>
      <c r="O46" s="15">
        <f t="shared" si="0"/>
        <v>41</v>
      </c>
      <c r="P46" s="15">
        <f t="shared" si="1"/>
        <v>108</v>
      </c>
      <c r="R46" s="8"/>
      <c r="T46"/>
    </row>
    <row r="47" spans="2:20" ht="23.1" customHeight="1" x14ac:dyDescent="0.25">
      <c r="B47" s="24" t="s">
        <v>74</v>
      </c>
      <c r="C47" s="50">
        <v>12</v>
      </c>
      <c r="D47" s="50">
        <v>0</v>
      </c>
      <c r="E47" s="50">
        <v>23</v>
      </c>
      <c r="F47" s="50">
        <v>13</v>
      </c>
      <c r="G47" s="50">
        <v>0</v>
      </c>
      <c r="H47" s="50">
        <v>2</v>
      </c>
      <c r="I47" s="50">
        <v>8</v>
      </c>
      <c r="J47" s="50">
        <v>1</v>
      </c>
      <c r="K47" s="50">
        <v>0</v>
      </c>
      <c r="L47" s="50">
        <v>0</v>
      </c>
      <c r="M47" s="50">
        <v>61</v>
      </c>
      <c r="N47" s="50">
        <v>0</v>
      </c>
      <c r="O47" s="15">
        <f t="shared" si="0"/>
        <v>59</v>
      </c>
      <c r="P47" s="15">
        <f t="shared" si="1"/>
        <v>120</v>
      </c>
      <c r="R47" s="8"/>
      <c r="T47"/>
    </row>
    <row r="48" spans="2:20" ht="23.1" customHeight="1" x14ac:dyDescent="0.25">
      <c r="B48" s="24" t="s">
        <v>75</v>
      </c>
      <c r="C48" s="50">
        <v>11</v>
      </c>
      <c r="D48" s="50">
        <v>0</v>
      </c>
      <c r="E48" s="50">
        <v>18</v>
      </c>
      <c r="F48" s="50">
        <v>15</v>
      </c>
      <c r="G48" s="50">
        <v>1</v>
      </c>
      <c r="H48" s="50">
        <v>4</v>
      </c>
      <c r="I48" s="50">
        <v>3</v>
      </c>
      <c r="J48" s="50">
        <v>1</v>
      </c>
      <c r="K48" s="50">
        <v>1</v>
      </c>
      <c r="L48" s="50">
        <v>5</v>
      </c>
      <c r="M48" s="50">
        <v>69</v>
      </c>
      <c r="N48" s="50">
        <v>0</v>
      </c>
      <c r="O48" s="15">
        <f t="shared" si="0"/>
        <v>59</v>
      </c>
      <c r="P48" s="15">
        <f t="shared" si="1"/>
        <v>128</v>
      </c>
      <c r="R48" s="8"/>
      <c r="T48"/>
    </row>
    <row r="49" spans="2:20" ht="23.1" customHeight="1" x14ac:dyDescent="0.25">
      <c r="B49" s="23" t="s">
        <v>76</v>
      </c>
      <c r="C49" s="50">
        <v>9</v>
      </c>
      <c r="D49" s="50">
        <v>0</v>
      </c>
      <c r="E49" s="50">
        <v>25</v>
      </c>
      <c r="F49" s="50">
        <v>18</v>
      </c>
      <c r="G49" s="50">
        <v>0</v>
      </c>
      <c r="H49" s="50">
        <v>1</v>
      </c>
      <c r="I49" s="50">
        <v>6</v>
      </c>
      <c r="J49" s="50">
        <v>0</v>
      </c>
      <c r="K49" s="50">
        <v>0</v>
      </c>
      <c r="L49" s="50">
        <v>4</v>
      </c>
      <c r="M49" s="50">
        <v>94</v>
      </c>
      <c r="N49" s="50">
        <v>0</v>
      </c>
      <c r="O49" s="15">
        <f t="shared" si="0"/>
        <v>63</v>
      </c>
      <c r="P49" s="15">
        <f t="shared" si="1"/>
        <v>157</v>
      </c>
      <c r="R49" s="8"/>
      <c r="T49"/>
    </row>
    <row r="50" spans="2:20" ht="23.1" customHeight="1" x14ac:dyDescent="0.25">
      <c r="B50" s="24" t="s">
        <v>77</v>
      </c>
      <c r="C50" s="50">
        <v>7</v>
      </c>
      <c r="D50" s="50">
        <v>0</v>
      </c>
      <c r="E50" s="50">
        <v>16</v>
      </c>
      <c r="F50" s="50">
        <v>16</v>
      </c>
      <c r="G50" s="50">
        <v>1</v>
      </c>
      <c r="H50" s="50">
        <v>0</v>
      </c>
      <c r="I50" s="50">
        <v>12</v>
      </c>
      <c r="J50" s="50">
        <v>0</v>
      </c>
      <c r="K50" s="50">
        <v>0</v>
      </c>
      <c r="L50" s="50">
        <v>2</v>
      </c>
      <c r="M50" s="50">
        <v>95</v>
      </c>
      <c r="N50" s="50">
        <v>0</v>
      </c>
      <c r="O50" s="15">
        <f t="shared" si="0"/>
        <v>54</v>
      </c>
      <c r="P50" s="15">
        <f t="shared" si="1"/>
        <v>149</v>
      </c>
      <c r="R50" s="8"/>
      <c r="T50"/>
    </row>
    <row r="51" spans="2:20" ht="23.1" customHeight="1" x14ac:dyDescent="0.25">
      <c r="B51" s="24" t="s">
        <v>78</v>
      </c>
      <c r="C51" s="50">
        <v>11</v>
      </c>
      <c r="D51" s="50">
        <v>0</v>
      </c>
      <c r="E51" s="50">
        <v>11</v>
      </c>
      <c r="F51" s="50">
        <v>19</v>
      </c>
      <c r="G51" s="50">
        <v>1</v>
      </c>
      <c r="H51" s="50">
        <v>1</v>
      </c>
      <c r="I51" s="50">
        <v>9</v>
      </c>
      <c r="J51" s="50">
        <v>1</v>
      </c>
      <c r="K51" s="50">
        <v>0</v>
      </c>
      <c r="L51" s="50">
        <v>1</v>
      </c>
      <c r="M51" s="50">
        <v>99</v>
      </c>
      <c r="N51" s="50">
        <v>0</v>
      </c>
      <c r="O51" s="15">
        <f t="shared" si="0"/>
        <v>54</v>
      </c>
      <c r="P51" s="15">
        <f t="shared" si="1"/>
        <v>153</v>
      </c>
      <c r="R51" s="8"/>
      <c r="T51"/>
    </row>
    <row r="52" spans="2:20" ht="23.1" customHeight="1" x14ac:dyDescent="0.25">
      <c r="B52" s="24" t="s">
        <v>79</v>
      </c>
      <c r="C52" s="50">
        <v>11</v>
      </c>
      <c r="D52" s="50">
        <v>0</v>
      </c>
      <c r="E52" s="50">
        <v>24</v>
      </c>
      <c r="F52" s="50">
        <v>17</v>
      </c>
      <c r="G52" s="50">
        <v>0</v>
      </c>
      <c r="H52" s="50">
        <v>1</v>
      </c>
      <c r="I52" s="50">
        <v>8</v>
      </c>
      <c r="J52" s="50">
        <v>0</v>
      </c>
      <c r="K52" s="50">
        <v>0</v>
      </c>
      <c r="L52" s="50">
        <v>1</v>
      </c>
      <c r="M52" s="50">
        <v>69</v>
      </c>
      <c r="N52" s="50">
        <v>0</v>
      </c>
      <c r="O52" s="15">
        <f t="shared" si="0"/>
        <v>62</v>
      </c>
      <c r="P52" s="15">
        <f t="shared" si="1"/>
        <v>131</v>
      </c>
      <c r="R52" s="8"/>
      <c r="T52"/>
    </row>
    <row r="53" spans="2:20" ht="23.1" customHeight="1" x14ac:dyDescent="0.25">
      <c r="B53" s="23" t="s">
        <v>80</v>
      </c>
      <c r="C53" s="50">
        <v>17</v>
      </c>
      <c r="D53" s="50">
        <v>0</v>
      </c>
      <c r="E53" s="50">
        <v>14</v>
      </c>
      <c r="F53" s="50">
        <v>15</v>
      </c>
      <c r="G53" s="50">
        <v>0</v>
      </c>
      <c r="H53" s="50">
        <v>3</v>
      </c>
      <c r="I53" s="50">
        <v>8</v>
      </c>
      <c r="J53" s="50">
        <v>1</v>
      </c>
      <c r="K53" s="50">
        <v>0</v>
      </c>
      <c r="L53" s="50">
        <v>0</v>
      </c>
      <c r="M53" s="50">
        <v>62</v>
      </c>
      <c r="N53" s="50">
        <v>0</v>
      </c>
      <c r="O53" s="15">
        <f t="shared" si="0"/>
        <v>58</v>
      </c>
      <c r="P53" s="15">
        <f t="shared" si="1"/>
        <v>120</v>
      </c>
      <c r="R53" s="8"/>
      <c r="T53"/>
    </row>
    <row r="54" spans="2:20" ht="23.1" customHeight="1" x14ac:dyDescent="0.25">
      <c r="B54" s="23" t="s">
        <v>81</v>
      </c>
      <c r="C54" s="50">
        <v>9</v>
      </c>
      <c r="D54" s="50">
        <v>0</v>
      </c>
      <c r="E54" s="50">
        <v>25</v>
      </c>
      <c r="F54" s="50">
        <v>13</v>
      </c>
      <c r="G54" s="50">
        <v>0</v>
      </c>
      <c r="H54" s="50">
        <v>1</v>
      </c>
      <c r="I54" s="50">
        <v>8</v>
      </c>
      <c r="J54" s="50">
        <v>0</v>
      </c>
      <c r="K54" s="50">
        <v>0</v>
      </c>
      <c r="L54" s="50">
        <v>1</v>
      </c>
      <c r="M54" s="50">
        <v>71</v>
      </c>
      <c r="N54" s="50">
        <v>0</v>
      </c>
      <c r="O54" s="15">
        <f t="shared" si="0"/>
        <v>57</v>
      </c>
      <c r="P54" s="15">
        <f t="shared" si="1"/>
        <v>128</v>
      </c>
      <c r="R54" s="8"/>
      <c r="T54"/>
    </row>
    <row r="55" spans="2:20" ht="23.1" customHeight="1" x14ac:dyDescent="0.25">
      <c r="B55" s="23" t="s">
        <v>82</v>
      </c>
      <c r="C55" s="50">
        <v>9</v>
      </c>
      <c r="D55" s="50">
        <v>0</v>
      </c>
      <c r="E55" s="50">
        <v>17</v>
      </c>
      <c r="F55" s="50">
        <v>14</v>
      </c>
      <c r="G55" s="50">
        <v>0</v>
      </c>
      <c r="H55" s="50">
        <v>0</v>
      </c>
      <c r="I55" s="50">
        <v>10</v>
      </c>
      <c r="J55" s="50">
        <v>1</v>
      </c>
      <c r="K55" s="50">
        <v>0</v>
      </c>
      <c r="L55" s="50">
        <v>4</v>
      </c>
      <c r="M55" s="50">
        <v>63</v>
      </c>
      <c r="N55" s="50">
        <v>0</v>
      </c>
      <c r="O55" s="15">
        <f t="shared" si="0"/>
        <v>55</v>
      </c>
      <c r="P55" s="15">
        <f t="shared" si="1"/>
        <v>118</v>
      </c>
      <c r="R55" s="8"/>
      <c r="T55"/>
    </row>
    <row r="56" spans="2:20" ht="23.1" customHeight="1" x14ac:dyDescent="0.25">
      <c r="B56" s="23" t="s">
        <v>83</v>
      </c>
      <c r="C56" s="50">
        <v>9</v>
      </c>
      <c r="D56" s="50">
        <v>0</v>
      </c>
      <c r="E56" s="50">
        <v>16</v>
      </c>
      <c r="F56" s="50">
        <v>16</v>
      </c>
      <c r="G56" s="50">
        <v>0</v>
      </c>
      <c r="H56" s="50">
        <v>2</v>
      </c>
      <c r="I56" s="50">
        <v>7</v>
      </c>
      <c r="J56" s="50">
        <v>2</v>
      </c>
      <c r="K56" s="50">
        <v>1</v>
      </c>
      <c r="L56" s="50">
        <v>1</v>
      </c>
      <c r="M56" s="50">
        <v>6</v>
      </c>
      <c r="N56" s="50">
        <v>0</v>
      </c>
      <c r="O56" s="15">
        <f t="shared" si="0"/>
        <v>54</v>
      </c>
      <c r="P56" s="15">
        <f t="shared" si="1"/>
        <v>60</v>
      </c>
      <c r="R56" s="8"/>
      <c r="T56"/>
    </row>
    <row r="57" spans="2:20" ht="23.1" customHeight="1" x14ac:dyDescent="0.25">
      <c r="B57" s="23" t="s">
        <v>84</v>
      </c>
      <c r="C57" s="50">
        <v>6</v>
      </c>
      <c r="D57" s="50">
        <v>0</v>
      </c>
      <c r="E57" s="50">
        <v>14</v>
      </c>
      <c r="F57" s="50">
        <v>8</v>
      </c>
      <c r="G57" s="50">
        <v>1</v>
      </c>
      <c r="H57" s="50">
        <v>1</v>
      </c>
      <c r="I57" s="50">
        <v>11</v>
      </c>
      <c r="J57" s="50">
        <v>0</v>
      </c>
      <c r="K57" s="50">
        <v>0</v>
      </c>
      <c r="L57" s="50">
        <v>0</v>
      </c>
      <c r="M57" s="50">
        <v>84</v>
      </c>
      <c r="N57" s="50">
        <v>0</v>
      </c>
      <c r="O57" s="15">
        <f t="shared" si="0"/>
        <v>41</v>
      </c>
      <c r="P57" s="15">
        <f t="shared" si="1"/>
        <v>125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316</v>
      </c>
      <c r="D58" s="16">
        <f t="shared" si="21"/>
        <v>0</v>
      </c>
      <c r="E58" s="16">
        <f t="shared" si="21"/>
        <v>630</v>
      </c>
      <c r="F58" s="16">
        <f t="shared" si="21"/>
        <v>657</v>
      </c>
      <c r="G58" s="16">
        <f t="shared" si="21"/>
        <v>9</v>
      </c>
      <c r="H58" s="16">
        <f t="shared" si="21"/>
        <v>45</v>
      </c>
      <c r="I58" s="16">
        <f t="shared" si="21"/>
        <v>324</v>
      </c>
      <c r="J58" s="16">
        <f t="shared" si="21"/>
        <v>24</v>
      </c>
      <c r="K58" s="16">
        <f t="shared" si="21"/>
        <v>6</v>
      </c>
      <c r="L58" s="16">
        <f t="shared" si="21"/>
        <v>84</v>
      </c>
      <c r="M58" s="16">
        <f t="shared" si="21"/>
        <v>3045</v>
      </c>
      <c r="N58" s="16">
        <f t="shared" si="21"/>
        <v>2</v>
      </c>
      <c r="O58" s="16">
        <f t="shared" si="21"/>
        <v>2097</v>
      </c>
      <c r="P58" s="16">
        <f t="shared" si="21"/>
        <v>5142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6.1454686892259823E-2</v>
      </c>
      <c r="D59" s="43">
        <f t="shared" si="22"/>
        <v>0</v>
      </c>
      <c r="E59" s="43">
        <f t="shared" si="22"/>
        <v>0.12252042007001167</v>
      </c>
      <c r="F59" s="43">
        <f t="shared" si="22"/>
        <v>0.1277712952158693</v>
      </c>
      <c r="G59" s="43">
        <f t="shared" si="22"/>
        <v>1.750291715285881E-3</v>
      </c>
      <c r="H59" s="43">
        <f t="shared" si="22"/>
        <v>8.7514585764294044E-3</v>
      </c>
      <c r="I59" s="43">
        <f t="shared" si="22"/>
        <v>6.3010501750291714E-2</v>
      </c>
      <c r="J59" s="43">
        <f t="shared" si="22"/>
        <v>4.6674445740956822E-3</v>
      </c>
      <c r="K59" s="43">
        <f t="shared" si="22"/>
        <v>1.1668611435239206E-3</v>
      </c>
      <c r="L59" s="43">
        <f t="shared" si="22"/>
        <v>1.6336056009334889E-2</v>
      </c>
      <c r="M59" s="43">
        <f t="shared" si="22"/>
        <v>0.59218203033838979</v>
      </c>
      <c r="N59" s="43">
        <f t="shared" si="22"/>
        <v>3.8895371450797355E-4</v>
      </c>
      <c r="R59" s="8"/>
      <c r="T59"/>
    </row>
    <row r="60" spans="2:20" ht="23.1" customHeight="1" x14ac:dyDescent="0.25">
      <c r="B60" s="42" t="s">
        <v>94</v>
      </c>
      <c r="C60" s="44">
        <f>C58/$O$58</f>
        <v>0.15069146399618502</v>
      </c>
      <c r="D60" s="44">
        <f t="shared" ref="D60:N60" si="23">D58/$O$58</f>
        <v>0</v>
      </c>
      <c r="E60" s="44">
        <f t="shared" si="23"/>
        <v>0.30042918454935624</v>
      </c>
      <c r="F60" s="44">
        <f t="shared" si="23"/>
        <v>0.31330472103004292</v>
      </c>
      <c r="G60" s="44">
        <f t="shared" si="23"/>
        <v>4.2918454935622317E-3</v>
      </c>
      <c r="H60" s="44">
        <f t="shared" si="23"/>
        <v>2.1459227467811159E-2</v>
      </c>
      <c r="I60" s="44">
        <f t="shared" si="23"/>
        <v>0.15450643776824036</v>
      </c>
      <c r="J60" s="44">
        <f t="shared" si="23"/>
        <v>1.1444921316165951E-2</v>
      </c>
      <c r="K60" s="44">
        <f t="shared" si="23"/>
        <v>2.8612303290414878E-3</v>
      </c>
      <c r="L60" s="44">
        <f t="shared" si="23"/>
        <v>4.005722460658083E-2</v>
      </c>
      <c r="M60" s="44"/>
      <c r="N60" s="44">
        <f t="shared" si="23"/>
        <v>9.5374344301382924E-4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zoomScale="60" workbookViewId="0">
      <selection activeCell="M6" sqref="M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'20.8 Kampala-Luweero'!C3:G3</f>
        <v>MCC - C3 - STN87 - Kampala-Gulu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66">
        <f>'20.8 Kampala-Luweero'!G5:H5</f>
        <v>0</v>
      </c>
      <c r="H5" s="67"/>
      <c r="I5" s="14"/>
      <c r="J5" s="2" t="s">
        <v>5</v>
      </c>
      <c r="K5" s="66" t="str">
        <f>'20.8 Kampala-Luweero'!K5:L5</f>
        <v>Godfrey, Ibrahim N, Oliver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'20.8 Kampala-Luweero'!D6:E6</f>
        <v>Kampala</v>
      </c>
      <c r="E6" s="67"/>
      <c r="F6" s="2" t="s">
        <v>2</v>
      </c>
      <c r="G6" s="66" t="str">
        <f>'20.8 Kampala-Luweero'!G6:H6</f>
        <v>Luwero</v>
      </c>
      <c r="H6" s="67"/>
      <c r="J6" s="2" t="s">
        <v>21</v>
      </c>
      <c r="K6" s="66" t="str">
        <f>'20.8 Kampala-Luweero'!K6:L6</f>
        <v>Martin, Tracy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</v>
      </c>
      <c r="D10" s="50">
        <v>0</v>
      </c>
      <c r="E10" s="50">
        <v>10</v>
      </c>
      <c r="F10" s="50">
        <v>5</v>
      </c>
      <c r="G10" s="50">
        <v>0</v>
      </c>
      <c r="H10" s="50">
        <v>0</v>
      </c>
      <c r="I10" s="50">
        <v>7</v>
      </c>
      <c r="J10" s="50">
        <v>2</v>
      </c>
      <c r="K10" s="50">
        <v>0</v>
      </c>
      <c r="L10" s="50">
        <v>1</v>
      </c>
      <c r="M10" s="50">
        <v>28</v>
      </c>
      <c r="N10" s="50">
        <v>0</v>
      </c>
      <c r="O10" s="15">
        <f t="shared" ref="O10:O57" si="0">SUM(C10:L10,N10)</f>
        <v>32</v>
      </c>
      <c r="P10" s="15">
        <f t="shared" ref="P10:P57" si="1">SUM(C10:N10)</f>
        <v>60</v>
      </c>
      <c r="R10" s="1" t="s">
        <v>6</v>
      </c>
      <c r="S10" s="17">
        <f t="shared" ref="S10:AF10" si="2">SUM(C10:C13)</f>
        <v>24</v>
      </c>
      <c r="T10" s="17">
        <f t="shared" si="2"/>
        <v>0</v>
      </c>
      <c r="U10" s="17">
        <f t="shared" si="2"/>
        <v>60</v>
      </c>
      <c r="V10" s="17">
        <f t="shared" si="2"/>
        <v>31</v>
      </c>
      <c r="W10" s="17">
        <f t="shared" si="2"/>
        <v>0</v>
      </c>
      <c r="X10" s="17">
        <f t="shared" si="2"/>
        <v>2</v>
      </c>
      <c r="Y10" s="17">
        <f t="shared" si="2"/>
        <v>19</v>
      </c>
      <c r="Z10" s="17">
        <f t="shared" si="2"/>
        <v>2</v>
      </c>
      <c r="AA10" s="17">
        <f t="shared" si="2"/>
        <v>0</v>
      </c>
      <c r="AB10" s="17">
        <f t="shared" si="2"/>
        <v>3</v>
      </c>
      <c r="AC10" s="17">
        <f t="shared" si="2"/>
        <v>152</v>
      </c>
      <c r="AD10" s="17">
        <f t="shared" si="2"/>
        <v>0</v>
      </c>
      <c r="AE10" s="31">
        <f t="shared" si="2"/>
        <v>141</v>
      </c>
      <c r="AF10" s="31">
        <f t="shared" si="2"/>
        <v>293</v>
      </c>
    </row>
    <row r="11" spans="2:32" s="6" customFormat="1" ht="23.1" customHeight="1" x14ac:dyDescent="0.25">
      <c r="B11" s="23" t="s">
        <v>38</v>
      </c>
      <c r="C11" s="50">
        <v>4</v>
      </c>
      <c r="D11" s="50">
        <v>0</v>
      </c>
      <c r="E11" s="50">
        <v>9</v>
      </c>
      <c r="F11" s="50">
        <v>5</v>
      </c>
      <c r="G11" s="50">
        <v>0</v>
      </c>
      <c r="H11" s="50">
        <v>1</v>
      </c>
      <c r="I11" s="50">
        <v>4</v>
      </c>
      <c r="J11" s="50">
        <v>0</v>
      </c>
      <c r="K11" s="50">
        <v>0</v>
      </c>
      <c r="L11" s="50">
        <v>1</v>
      </c>
      <c r="M11" s="50">
        <v>32</v>
      </c>
      <c r="N11" s="50">
        <v>0</v>
      </c>
      <c r="O11" s="15">
        <f t="shared" si="0"/>
        <v>24</v>
      </c>
      <c r="P11" s="15">
        <f t="shared" si="1"/>
        <v>56</v>
      </c>
      <c r="R11" s="1" t="s">
        <v>7</v>
      </c>
      <c r="S11" s="17">
        <f t="shared" ref="S11:AF11" si="3">SUM(C14:C17)</f>
        <v>26</v>
      </c>
      <c r="T11" s="17">
        <f t="shared" si="3"/>
        <v>0</v>
      </c>
      <c r="U11" s="17">
        <f t="shared" si="3"/>
        <v>75</v>
      </c>
      <c r="V11" s="17">
        <f t="shared" si="3"/>
        <v>41</v>
      </c>
      <c r="W11" s="17">
        <f t="shared" si="3"/>
        <v>0</v>
      </c>
      <c r="X11" s="17">
        <f t="shared" si="3"/>
        <v>3</v>
      </c>
      <c r="Y11" s="17">
        <f t="shared" si="3"/>
        <v>29</v>
      </c>
      <c r="Z11" s="17">
        <f t="shared" si="3"/>
        <v>0</v>
      </c>
      <c r="AA11" s="17">
        <f t="shared" si="3"/>
        <v>1</v>
      </c>
      <c r="AB11" s="17">
        <f t="shared" si="3"/>
        <v>5</v>
      </c>
      <c r="AC11" s="17">
        <f t="shared" si="3"/>
        <v>309</v>
      </c>
      <c r="AD11" s="17">
        <f t="shared" si="3"/>
        <v>0</v>
      </c>
      <c r="AE11" s="31">
        <f t="shared" si="3"/>
        <v>180</v>
      </c>
      <c r="AF11" s="31">
        <f t="shared" si="3"/>
        <v>489</v>
      </c>
    </row>
    <row r="12" spans="2:32" ht="23.1" customHeight="1" x14ac:dyDescent="0.25">
      <c r="B12" s="23" t="s">
        <v>39</v>
      </c>
      <c r="C12" s="50">
        <v>6</v>
      </c>
      <c r="D12" s="50">
        <v>0</v>
      </c>
      <c r="E12" s="50">
        <v>7</v>
      </c>
      <c r="F12" s="50">
        <v>8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0</v>
      </c>
      <c r="M12" s="50">
        <v>41</v>
      </c>
      <c r="N12" s="50">
        <v>0</v>
      </c>
      <c r="O12" s="15">
        <f t="shared" si="0"/>
        <v>24</v>
      </c>
      <c r="P12" s="15">
        <f t="shared" si="1"/>
        <v>65</v>
      </c>
      <c r="R12" s="1" t="s">
        <v>8</v>
      </c>
      <c r="S12" s="17">
        <f t="shared" ref="S12:AF12" si="4">SUM(C18:C21)</f>
        <v>34</v>
      </c>
      <c r="T12" s="17">
        <f t="shared" si="4"/>
        <v>0</v>
      </c>
      <c r="U12" s="17">
        <f t="shared" si="4"/>
        <v>89</v>
      </c>
      <c r="V12" s="17">
        <f t="shared" si="4"/>
        <v>54</v>
      </c>
      <c r="W12" s="17">
        <f t="shared" si="4"/>
        <v>0</v>
      </c>
      <c r="X12" s="17">
        <f t="shared" si="4"/>
        <v>3</v>
      </c>
      <c r="Y12" s="17">
        <f t="shared" si="4"/>
        <v>21</v>
      </c>
      <c r="Z12" s="17">
        <f t="shared" si="4"/>
        <v>0</v>
      </c>
      <c r="AA12" s="17">
        <f t="shared" si="4"/>
        <v>0</v>
      </c>
      <c r="AB12" s="17">
        <f t="shared" si="4"/>
        <v>7</v>
      </c>
      <c r="AC12" s="17">
        <f t="shared" si="4"/>
        <v>276</v>
      </c>
      <c r="AD12" s="17">
        <f t="shared" si="4"/>
        <v>0</v>
      </c>
      <c r="AE12" s="31">
        <f t="shared" si="4"/>
        <v>208</v>
      </c>
      <c r="AF12" s="31">
        <f t="shared" si="4"/>
        <v>484</v>
      </c>
    </row>
    <row r="13" spans="2:32" ht="23.1" customHeight="1" x14ac:dyDescent="0.25">
      <c r="B13" s="23" t="s">
        <v>40</v>
      </c>
      <c r="C13" s="50">
        <v>7</v>
      </c>
      <c r="D13" s="50">
        <v>0</v>
      </c>
      <c r="E13" s="50">
        <v>34</v>
      </c>
      <c r="F13" s="50">
        <v>13</v>
      </c>
      <c r="G13" s="50">
        <v>0</v>
      </c>
      <c r="H13" s="50">
        <v>1</v>
      </c>
      <c r="I13" s="50">
        <v>5</v>
      </c>
      <c r="J13" s="50">
        <v>0</v>
      </c>
      <c r="K13" s="50">
        <v>0</v>
      </c>
      <c r="L13" s="50">
        <v>1</v>
      </c>
      <c r="M13" s="50">
        <v>51</v>
      </c>
      <c r="N13" s="50">
        <v>0</v>
      </c>
      <c r="O13" s="15">
        <f t="shared" si="0"/>
        <v>61</v>
      </c>
      <c r="P13" s="15">
        <f t="shared" si="1"/>
        <v>112</v>
      </c>
      <c r="R13" s="1" t="s">
        <v>9</v>
      </c>
      <c r="S13" s="17">
        <f t="shared" ref="S13:AF13" si="5">SUM(C22:C25)</f>
        <v>47</v>
      </c>
      <c r="T13" s="17">
        <f t="shared" si="5"/>
        <v>0</v>
      </c>
      <c r="U13" s="17">
        <f t="shared" si="5"/>
        <v>79</v>
      </c>
      <c r="V13" s="17">
        <f t="shared" si="5"/>
        <v>51</v>
      </c>
      <c r="W13" s="17">
        <f t="shared" si="5"/>
        <v>3</v>
      </c>
      <c r="X13" s="17">
        <f t="shared" si="5"/>
        <v>3</v>
      </c>
      <c r="Y13" s="17">
        <f t="shared" si="5"/>
        <v>28</v>
      </c>
      <c r="Z13" s="17">
        <f t="shared" si="5"/>
        <v>3</v>
      </c>
      <c r="AA13" s="17">
        <f t="shared" si="5"/>
        <v>1</v>
      </c>
      <c r="AB13" s="17">
        <f t="shared" si="5"/>
        <v>7</v>
      </c>
      <c r="AC13" s="17">
        <f t="shared" si="5"/>
        <v>264</v>
      </c>
      <c r="AD13" s="17">
        <f t="shared" si="5"/>
        <v>0</v>
      </c>
      <c r="AE13" s="31">
        <f t="shared" si="5"/>
        <v>222</v>
      </c>
      <c r="AF13" s="31">
        <f t="shared" si="5"/>
        <v>486</v>
      </c>
    </row>
    <row r="14" spans="2:32" ht="23.1" customHeight="1" x14ac:dyDescent="0.25">
      <c r="B14" s="23" t="s">
        <v>41</v>
      </c>
      <c r="C14" s="50">
        <v>4</v>
      </c>
      <c r="D14" s="50">
        <v>0</v>
      </c>
      <c r="E14" s="50">
        <v>11</v>
      </c>
      <c r="F14" s="50">
        <v>8</v>
      </c>
      <c r="G14" s="50">
        <v>0</v>
      </c>
      <c r="H14" s="50">
        <v>0</v>
      </c>
      <c r="I14" s="50">
        <v>5</v>
      </c>
      <c r="J14" s="50">
        <v>0</v>
      </c>
      <c r="K14" s="50">
        <v>0</v>
      </c>
      <c r="L14" s="50">
        <v>1</v>
      </c>
      <c r="M14" s="50">
        <v>61</v>
      </c>
      <c r="N14" s="50">
        <v>0</v>
      </c>
      <c r="O14" s="15">
        <f t="shared" si="0"/>
        <v>29</v>
      </c>
      <c r="P14" s="15">
        <f t="shared" si="1"/>
        <v>90</v>
      </c>
      <c r="R14" s="1" t="s">
        <v>10</v>
      </c>
      <c r="S14" s="17">
        <f t="shared" ref="S14:AF14" si="6">SUM(C26:C29)</f>
        <v>38</v>
      </c>
      <c r="T14" s="17">
        <f t="shared" si="6"/>
        <v>0</v>
      </c>
      <c r="U14" s="17">
        <f t="shared" si="6"/>
        <v>73</v>
      </c>
      <c r="V14" s="17">
        <f t="shared" si="6"/>
        <v>45</v>
      </c>
      <c r="W14" s="17">
        <f t="shared" si="6"/>
        <v>1</v>
      </c>
      <c r="X14" s="17">
        <f t="shared" si="6"/>
        <v>6</v>
      </c>
      <c r="Y14" s="17">
        <f t="shared" si="6"/>
        <v>30</v>
      </c>
      <c r="Z14" s="17">
        <f t="shared" si="6"/>
        <v>1</v>
      </c>
      <c r="AA14" s="17">
        <f t="shared" si="6"/>
        <v>0</v>
      </c>
      <c r="AB14" s="17">
        <f t="shared" si="6"/>
        <v>4</v>
      </c>
      <c r="AC14" s="17">
        <f t="shared" si="6"/>
        <v>269</v>
      </c>
      <c r="AD14" s="17">
        <f t="shared" si="6"/>
        <v>0</v>
      </c>
      <c r="AE14" s="31">
        <f t="shared" si="6"/>
        <v>198</v>
      </c>
      <c r="AF14" s="31">
        <f t="shared" si="6"/>
        <v>467</v>
      </c>
    </row>
    <row r="15" spans="2:32" ht="23.1" customHeight="1" x14ac:dyDescent="0.25">
      <c r="B15" s="23" t="s">
        <v>42</v>
      </c>
      <c r="C15" s="50">
        <v>6</v>
      </c>
      <c r="D15" s="50">
        <v>0</v>
      </c>
      <c r="E15" s="50">
        <v>31</v>
      </c>
      <c r="F15" s="50">
        <v>11</v>
      </c>
      <c r="G15" s="50">
        <v>0</v>
      </c>
      <c r="H15" s="50">
        <v>1</v>
      </c>
      <c r="I15" s="50">
        <v>5</v>
      </c>
      <c r="J15" s="50">
        <v>0</v>
      </c>
      <c r="K15" s="50">
        <v>0</v>
      </c>
      <c r="L15" s="50">
        <v>1</v>
      </c>
      <c r="M15" s="50">
        <v>80</v>
      </c>
      <c r="N15" s="50">
        <v>0</v>
      </c>
      <c r="O15" s="15">
        <f t="shared" si="0"/>
        <v>55</v>
      </c>
      <c r="P15" s="15">
        <f t="shared" si="1"/>
        <v>135</v>
      </c>
      <c r="R15" s="1" t="s">
        <v>11</v>
      </c>
      <c r="S15" s="17">
        <f t="shared" ref="S15:AF15" si="7">SUM(C30:C33)</f>
        <v>25</v>
      </c>
      <c r="T15" s="17">
        <f t="shared" si="7"/>
        <v>0</v>
      </c>
      <c r="U15" s="17">
        <f t="shared" si="7"/>
        <v>83</v>
      </c>
      <c r="V15" s="17">
        <f t="shared" si="7"/>
        <v>54</v>
      </c>
      <c r="W15" s="17">
        <f t="shared" si="7"/>
        <v>0</v>
      </c>
      <c r="X15" s="17">
        <f t="shared" si="7"/>
        <v>3</v>
      </c>
      <c r="Y15" s="17">
        <f t="shared" si="7"/>
        <v>30</v>
      </c>
      <c r="Z15" s="17">
        <f t="shared" si="7"/>
        <v>0</v>
      </c>
      <c r="AA15" s="17">
        <f t="shared" si="7"/>
        <v>1</v>
      </c>
      <c r="AB15" s="17">
        <f t="shared" si="7"/>
        <v>10</v>
      </c>
      <c r="AC15" s="17">
        <f t="shared" si="7"/>
        <v>238</v>
      </c>
      <c r="AD15" s="17">
        <f t="shared" si="7"/>
        <v>0</v>
      </c>
      <c r="AE15" s="31">
        <f t="shared" si="7"/>
        <v>206</v>
      </c>
      <c r="AF15" s="31">
        <f t="shared" si="7"/>
        <v>444</v>
      </c>
    </row>
    <row r="16" spans="2:32" ht="23.1" customHeight="1" x14ac:dyDescent="0.25">
      <c r="B16" s="23" t="s">
        <v>43</v>
      </c>
      <c r="C16" s="50">
        <v>8</v>
      </c>
      <c r="D16" s="50">
        <v>0</v>
      </c>
      <c r="E16" s="50">
        <v>18</v>
      </c>
      <c r="F16" s="50">
        <v>10</v>
      </c>
      <c r="G16" s="50">
        <v>0</v>
      </c>
      <c r="H16" s="50">
        <v>1</v>
      </c>
      <c r="I16" s="50">
        <v>14</v>
      </c>
      <c r="J16" s="50">
        <v>0</v>
      </c>
      <c r="K16" s="50">
        <v>1</v>
      </c>
      <c r="L16" s="50">
        <v>0</v>
      </c>
      <c r="M16" s="50">
        <v>74</v>
      </c>
      <c r="N16" s="50">
        <v>0</v>
      </c>
      <c r="O16" s="15">
        <f t="shared" si="0"/>
        <v>52</v>
      </c>
      <c r="P16" s="15">
        <f t="shared" si="1"/>
        <v>126</v>
      </c>
      <c r="R16" s="1" t="s">
        <v>12</v>
      </c>
      <c r="S16" s="17">
        <f t="shared" ref="S16:AF16" si="8">SUM(C34:C37)</f>
        <v>29</v>
      </c>
      <c r="T16" s="17">
        <f t="shared" si="8"/>
        <v>0</v>
      </c>
      <c r="U16" s="17">
        <f t="shared" si="8"/>
        <v>77</v>
      </c>
      <c r="V16" s="17">
        <f t="shared" si="8"/>
        <v>53</v>
      </c>
      <c r="W16" s="17">
        <f t="shared" si="8"/>
        <v>0</v>
      </c>
      <c r="X16" s="17">
        <f t="shared" si="8"/>
        <v>10</v>
      </c>
      <c r="Y16" s="17">
        <f t="shared" si="8"/>
        <v>30</v>
      </c>
      <c r="Z16" s="17">
        <f t="shared" si="8"/>
        <v>8</v>
      </c>
      <c r="AA16" s="17">
        <f t="shared" si="8"/>
        <v>1</v>
      </c>
      <c r="AB16" s="17">
        <f t="shared" si="8"/>
        <v>10</v>
      </c>
      <c r="AC16" s="17">
        <f t="shared" si="8"/>
        <v>261</v>
      </c>
      <c r="AD16" s="17">
        <f t="shared" si="8"/>
        <v>0</v>
      </c>
      <c r="AE16" s="31">
        <f t="shared" si="8"/>
        <v>218</v>
      </c>
      <c r="AF16" s="31">
        <f t="shared" si="8"/>
        <v>479</v>
      </c>
    </row>
    <row r="17" spans="2:32" ht="23.1" customHeight="1" x14ac:dyDescent="0.25">
      <c r="B17" s="23" t="s">
        <v>44</v>
      </c>
      <c r="C17" s="50">
        <v>8</v>
      </c>
      <c r="D17" s="50">
        <v>0</v>
      </c>
      <c r="E17" s="50">
        <v>15</v>
      </c>
      <c r="F17" s="50">
        <v>12</v>
      </c>
      <c r="G17" s="50">
        <v>0</v>
      </c>
      <c r="H17" s="50">
        <v>1</v>
      </c>
      <c r="I17" s="50">
        <v>5</v>
      </c>
      <c r="J17" s="50">
        <v>0</v>
      </c>
      <c r="K17" s="50">
        <v>0</v>
      </c>
      <c r="L17" s="50">
        <v>3</v>
      </c>
      <c r="M17" s="50">
        <v>94</v>
      </c>
      <c r="N17" s="50">
        <v>0</v>
      </c>
      <c r="O17" s="15">
        <f t="shared" si="0"/>
        <v>44</v>
      </c>
      <c r="P17" s="15">
        <f t="shared" si="1"/>
        <v>138</v>
      </c>
      <c r="R17" s="1" t="s">
        <v>13</v>
      </c>
      <c r="S17" s="17">
        <f t="shared" ref="S17:AF17" si="9">SUM(C38:C41)</f>
        <v>22</v>
      </c>
      <c r="T17" s="17">
        <f t="shared" si="9"/>
        <v>0</v>
      </c>
      <c r="U17" s="17">
        <f t="shared" si="9"/>
        <v>52</v>
      </c>
      <c r="V17" s="17">
        <f t="shared" si="9"/>
        <v>55</v>
      </c>
      <c r="W17" s="17">
        <f t="shared" si="9"/>
        <v>1</v>
      </c>
      <c r="X17" s="17">
        <f t="shared" si="9"/>
        <v>7</v>
      </c>
      <c r="Y17" s="17">
        <f t="shared" si="9"/>
        <v>42</v>
      </c>
      <c r="Z17" s="17">
        <f t="shared" si="9"/>
        <v>7</v>
      </c>
      <c r="AA17" s="17">
        <f t="shared" si="9"/>
        <v>1</v>
      </c>
      <c r="AB17" s="17">
        <f t="shared" si="9"/>
        <v>3</v>
      </c>
      <c r="AC17" s="17">
        <f t="shared" si="9"/>
        <v>227</v>
      </c>
      <c r="AD17" s="17">
        <f t="shared" si="9"/>
        <v>0</v>
      </c>
      <c r="AE17" s="31">
        <f t="shared" si="9"/>
        <v>190</v>
      </c>
      <c r="AF17" s="31">
        <f t="shared" si="9"/>
        <v>417</v>
      </c>
    </row>
    <row r="18" spans="2:32" ht="23.1" customHeight="1" x14ac:dyDescent="0.25">
      <c r="B18" s="23" t="s">
        <v>45</v>
      </c>
      <c r="C18" s="50">
        <v>11</v>
      </c>
      <c r="D18" s="50">
        <v>0</v>
      </c>
      <c r="E18" s="50">
        <v>23</v>
      </c>
      <c r="F18" s="50">
        <v>8</v>
      </c>
      <c r="G18" s="50">
        <v>0</v>
      </c>
      <c r="H18" s="50">
        <v>0</v>
      </c>
      <c r="I18" s="50">
        <v>6</v>
      </c>
      <c r="J18" s="50">
        <v>0</v>
      </c>
      <c r="K18" s="50">
        <v>0</v>
      </c>
      <c r="L18" s="50">
        <v>2</v>
      </c>
      <c r="M18" s="50">
        <v>65</v>
      </c>
      <c r="N18" s="50">
        <v>0</v>
      </c>
      <c r="O18" s="15">
        <f t="shared" si="0"/>
        <v>50</v>
      </c>
      <c r="P18" s="15">
        <f t="shared" si="1"/>
        <v>115</v>
      </c>
      <c r="R18" s="1" t="s">
        <v>14</v>
      </c>
      <c r="S18" s="17">
        <f t="shared" ref="S18:AF18" si="10">SUM(C42:C45)</f>
        <v>19</v>
      </c>
      <c r="T18" s="17">
        <f t="shared" si="10"/>
        <v>0</v>
      </c>
      <c r="U18" s="17">
        <f t="shared" si="10"/>
        <v>71</v>
      </c>
      <c r="V18" s="17">
        <f t="shared" si="10"/>
        <v>69</v>
      </c>
      <c r="W18" s="17">
        <f t="shared" si="10"/>
        <v>2</v>
      </c>
      <c r="X18" s="17">
        <f t="shared" si="10"/>
        <v>3</v>
      </c>
      <c r="Y18" s="17">
        <f t="shared" si="10"/>
        <v>28</v>
      </c>
      <c r="Z18" s="17">
        <f t="shared" si="10"/>
        <v>2</v>
      </c>
      <c r="AA18" s="17">
        <f t="shared" si="10"/>
        <v>2</v>
      </c>
      <c r="AB18" s="17">
        <f t="shared" si="10"/>
        <v>11</v>
      </c>
      <c r="AC18" s="17">
        <f t="shared" si="10"/>
        <v>235</v>
      </c>
      <c r="AD18" s="17">
        <f t="shared" si="10"/>
        <v>0</v>
      </c>
      <c r="AE18" s="31">
        <f t="shared" si="10"/>
        <v>207</v>
      </c>
      <c r="AF18" s="31">
        <f t="shared" si="10"/>
        <v>442</v>
      </c>
    </row>
    <row r="19" spans="2:32" ht="23.1" customHeight="1" x14ac:dyDescent="0.25">
      <c r="B19" s="23" t="s">
        <v>46</v>
      </c>
      <c r="C19" s="50">
        <v>10</v>
      </c>
      <c r="D19" s="50">
        <v>0</v>
      </c>
      <c r="E19" s="50">
        <v>20</v>
      </c>
      <c r="F19" s="50">
        <v>17</v>
      </c>
      <c r="G19" s="50">
        <v>0</v>
      </c>
      <c r="H19" s="50">
        <v>3</v>
      </c>
      <c r="I19" s="50">
        <v>5</v>
      </c>
      <c r="J19" s="50">
        <v>0</v>
      </c>
      <c r="K19" s="50">
        <v>0</v>
      </c>
      <c r="L19" s="50">
        <v>2</v>
      </c>
      <c r="M19" s="50">
        <v>75</v>
      </c>
      <c r="N19" s="50">
        <v>0</v>
      </c>
      <c r="O19" s="15">
        <f t="shared" si="0"/>
        <v>57</v>
      </c>
      <c r="P19" s="15">
        <f t="shared" si="1"/>
        <v>132</v>
      </c>
      <c r="R19" s="1" t="s">
        <v>15</v>
      </c>
      <c r="S19" s="17">
        <f t="shared" ref="S19:AF19" si="11">SUM(C46:C49)</f>
        <v>31</v>
      </c>
      <c r="T19" s="17">
        <f t="shared" si="11"/>
        <v>0</v>
      </c>
      <c r="U19" s="17">
        <f t="shared" si="11"/>
        <v>39</v>
      </c>
      <c r="V19" s="17">
        <f t="shared" si="11"/>
        <v>53</v>
      </c>
      <c r="W19" s="17">
        <f t="shared" si="11"/>
        <v>2</v>
      </c>
      <c r="X19" s="17">
        <f t="shared" si="11"/>
        <v>5</v>
      </c>
      <c r="Y19" s="17">
        <f t="shared" si="11"/>
        <v>49</v>
      </c>
      <c r="Z19" s="17">
        <f t="shared" si="11"/>
        <v>1</v>
      </c>
      <c r="AA19" s="17">
        <f t="shared" si="11"/>
        <v>1</v>
      </c>
      <c r="AB19" s="17">
        <f t="shared" si="11"/>
        <v>13</v>
      </c>
      <c r="AC19" s="17">
        <f t="shared" si="11"/>
        <v>270</v>
      </c>
      <c r="AD19" s="17">
        <f t="shared" si="11"/>
        <v>0</v>
      </c>
      <c r="AE19" s="31">
        <f t="shared" si="11"/>
        <v>194</v>
      </c>
      <c r="AF19" s="31">
        <f t="shared" si="11"/>
        <v>464</v>
      </c>
    </row>
    <row r="20" spans="2:32" ht="23.1" customHeight="1" x14ac:dyDescent="0.25">
      <c r="B20" s="23" t="s">
        <v>47</v>
      </c>
      <c r="C20" s="50">
        <v>6</v>
      </c>
      <c r="D20" s="50">
        <v>0</v>
      </c>
      <c r="E20" s="50">
        <v>22</v>
      </c>
      <c r="F20" s="50">
        <v>12</v>
      </c>
      <c r="G20" s="50">
        <v>0</v>
      </c>
      <c r="H20" s="50">
        <v>0</v>
      </c>
      <c r="I20" s="50">
        <v>6</v>
      </c>
      <c r="J20" s="50">
        <v>0</v>
      </c>
      <c r="K20" s="50">
        <v>0</v>
      </c>
      <c r="L20" s="50">
        <v>3</v>
      </c>
      <c r="M20" s="50">
        <v>58</v>
      </c>
      <c r="N20" s="50">
        <v>0</v>
      </c>
      <c r="O20" s="15">
        <f t="shared" si="0"/>
        <v>49</v>
      </c>
      <c r="P20" s="15">
        <f t="shared" si="1"/>
        <v>107</v>
      </c>
      <c r="R20" s="1" t="s">
        <v>16</v>
      </c>
      <c r="S20" s="17">
        <f t="shared" ref="S20:AF20" si="12">SUM(C50:C53)</f>
        <v>50</v>
      </c>
      <c r="T20" s="17">
        <f t="shared" si="12"/>
        <v>0</v>
      </c>
      <c r="U20" s="17">
        <f t="shared" si="12"/>
        <v>53</v>
      </c>
      <c r="V20" s="17">
        <f t="shared" si="12"/>
        <v>61</v>
      </c>
      <c r="W20" s="17">
        <f t="shared" si="12"/>
        <v>1</v>
      </c>
      <c r="X20" s="17">
        <f t="shared" si="12"/>
        <v>4</v>
      </c>
      <c r="Y20" s="17">
        <f t="shared" si="12"/>
        <v>40</v>
      </c>
      <c r="Z20" s="17">
        <f t="shared" si="12"/>
        <v>2</v>
      </c>
      <c r="AA20" s="17">
        <f t="shared" si="12"/>
        <v>0</v>
      </c>
      <c r="AB20" s="17">
        <f t="shared" si="12"/>
        <v>13</v>
      </c>
      <c r="AC20" s="17">
        <f t="shared" si="12"/>
        <v>262</v>
      </c>
      <c r="AD20" s="17">
        <f t="shared" si="12"/>
        <v>0</v>
      </c>
      <c r="AE20" s="31">
        <f t="shared" si="12"/>
        <v>224</v>
      </c>
      <c r="AF20" s="31">
        <f t="shared" si="12"/>
        <v>486</v>
      </c>
    </row>
    <row r="21" spans="2:32" ht="23.1" customHeight="1" x14ac:dyDescent="0.25">
      <c r="B21" s="23" t="s">
        <v>48</v>
      </c>
      <c r="C21" s="50">
        <v>7</v>
      </c>
      <c r="D21" s="50">
        <v>0</v>
      </c>
      <c r="E21" s="50">
        <v>24</v>
      </c>
      <c r="F21" s="50">
        <v>17</v>
      </c>
      <c r="G21" s="50">
        <v>0</v>
      </c>
      <c r="H21" s="50">
        <v>0</v>
      </c>
      <c r="I21" s="50">
        <v>4</v>
      </c>
      <c r="J21" s="50">
        <v>0</v>
      </c>
      <c r="K21" s="50">
        <v>0</v>
      </c>
      <c r="L21" s="50">
        <v>0</v>
      </c>
      <c r="M21" s="50">
        <v>78</v>
      </c>
      <c r="N21" s="50">
        <v>0</v>
      </c>
      <c r="O21" s="15">
        <f t="shared" si="0"/>
        <v>52</v>
      </c>
      <c r="P21" s="15">
        <f t="shared" si="1"/>
        <v>130</v>
      </c>
      <c r="R21" s="36" t="s">
        <v>20</v>
      </c>
      <c r="S21" s="34">
        <f t="shared" ref="S21:AF21" si="13">SUM(C54:C57)</f>
        <v>36</v>
      </c>
      <c r="T21" s="17">
        <f t="shared" si="13"/>
        <v>0</v>
      </c>
      <c r="U21" s="17">
        <f t="shared" si="13"/>
        <v>48</v>
      </c>
      <c r="V21" s="17">
        <f t="shared" si="13"/>
        <v>59</v>
      </c>
      <c r="W21" s="17">
        <f t="shared" si="13"/>
        <v>0</v>
      </c>
      <c r="X21" s="17">
        <f t="shared" si="13"/>
        <v>3</v>
      </c>
      <c r="Y21" s="17">
        <f t="shared" si="13"/>
        <v>40</v>
      </c>
      <c r="Z21" s="17">
        <f t="shared" si="13"/>
        <v>0</v>
      </c>
      <c r="AA21" s="17">
        <f t="shared" si="13"/>
        <v>4</v>
      </c>
      <c r="AB21" s="17">
        <f t="shared" si="13"/>
        <v>5</v>
      </c>
      <c r="AC21" s="17">
        <f t="shared" si="13"/>
        <v>276</v>
      </c>
      <c r="AD21" s="17">
        <f t="shared" si="13"/>
        <v>0</v>
      </c>
      <c r="AE21" s="31">
        <f t="shared" si="13"/>
        <v>195</v>
      </c>
      <c r="AF21" s="31">
        <f t="shared" si="13"/>
        <v>471</v>
      </c>
    </row>
    <row r="22" spans="2:32" ht="23.1" customHeight="1" x14ac:dyDescent="0.25">
      <c r="B22" s="23" t="s">
        <v>49</v>
      </c>
      <c r="C22" s="50">
        <v>14</v>
      </c>
      <c r="D22" s="50">
        <v>0</v>
      </c>
      <c r="E22" s="50">
        <v>14</v>
      </c>
      <c r="F22" s="50">
        <v>7</v>
      </c>
      <c r="G22" s="50">
        <v>1</v>
      </c>
      <c r="H22" s="50">
        <v>1</v>
      </c>
      <c r="I22" s="50">
        <v>4</v>
      </c>
      <c r="J22" s="50">
        <v>0</v>
      </c>
      <c r="K22" s="50">
        <v>0</v>
      </c>
      <c r="L22" s="50">
        <v>0</v>
      </c>
      <c r="M22" s="50">
        <v>67</v>
      </c>
      <c r="N22" s="50">
        <v>0</v>
      </c>
      <c r="O22" s="15">
        <f t="shared" si="0"/>
        <v>41</v>
      </c>
      <c r="P22" s="15">
        <f t="shared" si="1"/>
        <v>108</v>
      </c>
      <c r="R22" s="38" t="s">
        <v>90</v>
      </c>
      <c r="S22" s="39">
        <f>MAX(S10:S12)</f>
        <v>34</v>
      </c>
      <c r="T22" s="39">
        <f t="shared" ref="T22:AF22" si="14">MAX(T10:T12)</f>
        <v>0</v>
      </c>
      <c r="U22" s="39">
        <f t="shared" si="14"/>
        <v>89</v>
      </c>
      <c r="V22" s="39">
        <f t="shared" si="14"/>
        <v>54</v>
      </c>
      <c r="W22" s="39">
        <f t="shared" si="14"/>
        <v>0</v>
      </c>
      <c r="X22" s="39">
        <f t="shared" si="14"/>
        <v>3</v>
      </c>
      <c r="Y22" s="39">
        <f t="shared" si="14"/>
        <v>29</v>
      </c>
      <c r="Z22" s="39">
        <f t="shared" si="14"/>
        <v>2</v>
      </c>
      <c r="AA22" s="39">
        <f t="shared" si="14"/>
        <v>1</v>
      </c>
      <c r="AB22" s="39">
        <f t="shared" si="14"/>
        <v>7</v>
      </c>
      <c r="AC22" s="39">
        <f t="shared" si="14"/>
        <v>309</v>
      </c>
      <c r="AD22" s="39">
        <f t="shared" si="14"/>
        <v>0</v>
      </c>
      <c r="AE22" s="40">
        <f t="shared" si="14"/>
        <v>208</v>
      </c>
      <c r="AF22" s="40">
        <f t="shared" si="14"/>
        <v>489</v>
      </c>
    </row>
    <row r="23" spans="2:32" ht="23.1" customHeight="1" x14ac:dyDescent="0.25">
      <c r="B23" s="23" t="s">
        <v>50</v>
      </c>
      <c r="C23" s="50">
        <v>10</v>
      </c>
      <c r="D23" s="50">
        <v>0</v>
      </c>
      <c r="E23" s="50">
        <v>27</v>
      </c>
      <c r="F23" s="50">
        <v>14</v>
      </c>
      <c r="G23" s="50">
        <v>0</v>
      </c>
      <c r="H23" s="50">
        <v>2</v>
      </c>
      <c r="I23" s="50">
        <v>8</v>
      </c>
      <c r="J23" s="50">
        <v>0</v>
      </c>
      <c r="K23" s="50">
        <v>0</v>
      </c>
      <c r="L23" s="50">
        <v>6</v>
      </c>
      <c r="M23" s="50">
        <v>52</v>
      </c>
      <c r="N23" s="50">
        <v>0</v>
      </c>
      <c r="O23" s="15">
        <f t="shared" si="0"/>
        <v>67</v>
      </c>
      <c r="P23" s="15">
        <f t="shared" si="1"/>
        <v>119</v>
      </c>
      <c r="R23" s="38" t="s">
        <v>91</v>
      </c>
      <c r="S23" s="39">
        <f>MAX(S13:S18)</f>
        <v>47</v>
      </c>
      <c r="T23" s="39">
        <f t="shared" ref="T23:AF23" si="15">MAX(T13:T18)</f>
        <v>0</v>
      </c>
      <c r="U23" s="39">
        <f t="shared" si="15"/>
        <v>83</v>
      </c>
      <c r="V23" s="39">
        <f t="shared" si="15"/>
        <v>69</v>
      </c>
      <c r="W23" s="39">
        <f t="shared" si="15"/>
        <v>3</v>
      </c>
      <c r="X23" s="39">
        <f t="shared" si="15"/>
        <v>10</v>
      </c>
      <c r="Y23" s="39">
        <f t="shared" si="15"/>
        <v>42</v>
      </c>
      <c r="Z23" s="39">
        <f t="shared" si="15"/>
        <v>8</v>
      </c>
      <c r="AA23" s="39">
        <f t="shared" si="15"/>
        <v>2</v>
      </c>
      <c r="AB23" s="39">
        <f t="shared" si="15"/>
        <v>11</v>
      </c>
      <c r="AC23" s="39">
        <f t="shared" si="15"/>
        <v>269</v>
      </c>
      <c r="AD23" s="39">
        <f t="shared" si="15"/>
        <v>0</v>
      </c>
      <c r="AE23" s="40">
        <f t="shared" si="15"/>
        <v>222</v>
      </c>
      <c r="AF23" s="40">
        <f t="shared" si="15"/>
        <v>486</v>
      </c>
    </row>
    <row r="24" spans="2:32" ht="23.1" customHeight="1" x14ac:dyDescent="0.25">
      <c r="B24" s="23" t="s">
        <v>51</v>
      </c>
      <c r="C24" s="50">
        <v>9</v>
      </c>
      <c r="D24" s="50">
        <v>0</v>
      </c>
      <c r="E24" s="50">
        <v>21</v>
      </c>
      <c r="F24" s="50">
        <v>9</v>
      </c>
      <c r="G24" s="50">
        <v>1</v>
      </c>
      <c r="H24" s="50">
        <v>0</v>
      </c>
      <c r="I24" s="50">
        <v>8</v>
      </c>
      <c r="J24" s="50">
        <v>1</v>
      </c>
      <c r="K24" s="50">
        <v>0</v>
      </c>
      <c r="L24" s="50">
        <v>0</v>
      </c>
      <c r="M24" s="50">
        <v>75</v>
      </c>
      <c r="N24" s="50">
        <v>0</v>
      </c>
      <c r="O24" s="15">
        <f t="shared" si="0"/>
        <v>49</v>
      </c>
      <c r="P24" s="15">
        <f t="shared" si="1"/>
        <v>124</v>
      </c>
      <c r="R24" s="38" t="s">
        <v>92</v>
      </c>
      <c r="S24" s="39">
        <f>MAX(S19:S21)</f>
        <v>50</v>
      </c>
      <c r="T24" s="39">
        <f t="shared" ref="T24:AF24" si="16">MAX(T19:T21)</f>
        <v>0</v>
      </c>
      <c r="U24" s="39">
        <f t="shared" si="16"/>
        <v>53</v>
      </c>
      <c r="V24" s="39">
        <f t="shared" si="16"/>
        <v>61</v>
      </c>
      <c r="W24" s="39">
        <f t="shared" si="16"/>
        <v>2</v>
      </c>
      <c r="X24" s="39">
        <f t="shared" si="16"/>
        <v>5</v>
      </c>
      <c r="Y24" s="39">
        <f t="shared" si="16"/>
        <v>49</v>
      </c>
      <c r="Z24" s="39">
        <f t="shared" si="16"/>
        <v>2</v>
      </c>
      <c r="AA24" s="39">
        <f t="shared" si="16"/>
        <v>4</v>
      </c>
      <c r="AB24" s="39">
        <f t="shared" si="16"/>
        <v>13</v>
      </c>
      <c r="AC24" s="39">
        <f t="shared" si="16"/>
        <v>276</v>
      </c>
      <c r="AD24" s="39">
        <f t="shared" si="16"/>
        <v>0</v>
      </c>
      <c r="AE24" s="40">
        <f t="shared" si="16"/>
        <v>224</v>
      </c>
      <c r="AF24" s="40">
        <f t="shared" si="16"/>
        <v>486</v>
      </c>
    </row>
    <row r="25" spans="2:32" ht="23.1" customHeight="1" x14ac:dyDescent="0.25">
      <c r="B25" s="23" t="s">
        <v>52</v>
      </c>
      <c r="C25" s="50">
        <v>14</v>
      </c>
      <c r="D25" s="50">
        <v>0</v>
      </c>
      <c r="E25" s="50">
        <v>17</v>
      </c>
      <c r="F25" s="50">
        <v>21</v>
      </c>
      <c r="G25" s="50">
        <v>1</v>
      </c>
      <c r="H25" s="50">
        <v>0</v>
      </c>
      <c r="I25" s="50">
        <v>8</v>
      </c>
      <c r="J25" s="50">
        <v>2</v>
      </c>
      <c r="K25" s="50">
        <v>1</v>
      </c>
      <c r="L25" s="50">
        <v>1</v>
      </c>
      <c r="M25" s="50">
        <v>70</v>
      </c>
      <c r="N25" s="50">
        <v>0</v>
      </c>
      <c r="O25" s="15">
        <f t="shared" si="0"/>
        <v>65</v>
      </c>
      <c r="P25" s="15">
        <f t="shared" si="1"/>
        <v>135</v>
      </c>
      <c r="R25" s="37" t="s">
        <v>85</v>
      </c>
      <c r="S25" s="35">
        <f t="shared" ref="S25:AF25" si="17">SUM(S10:S12)</f>
        <v>84</v>
      </c>
      <c r="T25" s="16">
        <f t="shared" si="17"/>
        <v>0</v>
      </c>
      <c r="U25" s="16">
        <f t="shared" si="17"/>
        <v>224</v>
      </c>
      <c r="V25" s="16">
        <f t="shared" si="17"/>
        <v>126</v>
      </c>
      <c r="W25" s="16">
        <f t="shared" si="17"/>
        <v>0</v>
      </c>
      <c r="X25" s="16">
        <f t="shared" si="17"/>
        <v>8</v>
      </c>
      <c r="Y25" s="16">
        <f t="shared" si="17"/>
        <v>69</v>
      </c>
      <c r="Z25" s="16">
        <f t="shared" si="17"/>
        <v>2</v>
      </c>
      <c r="AA25" s="16">
        <f t="shared" si="17"/>
        <v>1</v>
      </c>
      <c r="AB25" s="16">
        <f t="shared" si="17"/>
        <v>15</v>
      </c>
      <c r="AC25" s="16">
        <f t="shared" si="17"/>
        <v>737</v>
      </c>
      <c r="AD25" s="16">
        <f t="shared" si="17"/>
        <v>0</v>
      </c>
      <c r="AE25" s="32">
        <f t="shared" si="17"/>
        <v>529</v>
      </c>
      <c r="AF25" s="32">
        <f t="shared" si="17"/>
        <v>1266</v>
      </c>
    </row>
    <row r="26" spans="2:32" ht="23.1" customHeight="1" x14ac:dyDescent="0.25">
      <c r="B26" s="23" t="s">
        <v>53</v>
      </c>
      <c r="C26" s="50">
        <v>13</v>
      </c>
      <c r="D26" s="50">
        <v>0</v>
      </c>
      <c r="E26" s="50">
        <v>14</v>
      </c>
      <c r="F26" s="50">
        <v>7</v>
      </c>
      <c r="G26" s="50">
        <v>0</v>
      </c>
      <c r="H26" s="50">
        <v>1</v>
      </c>
      <c r="I26" s="50">
        <v>7</v>
      </c>
      <c r="J26" s="50">
        <v>0</v>
      </c>
      <c r="K26" s="50">
        <v>0</v>
      </c>
      <c r="L26" s="50">
        <v>0</v>
      </c>
      <c r="M26" s="50">
        <v>60</v>
      </c>
      <c r="N26" s="50">
        <v>0</v>
      </c>
      <c r="O26" s="15">
        <f t="shared" si="0"/>
        <v>42</v>
      </c>
      <c r="P26" s="15">
        <f t="shared" si="1"/>
        <v>102</v>
      </c>
      <c r="R26" s="28" t="s">
        <v>86</v>
      </c>
      <c r="S26" s="16">
        <f t="shared" ref="S26:AF26" si="18">SUM(S13:S18)</f>
        <v>180</v>
      </c>
      <c r="T26" s="16">
        <f t="shared" si="18"/>
        <v>0</v>
      </c>
      <c r="U26" s="16">
        <f t="shared" si="18"/>
        <v>435</v>
      </c>
      <c r="V26" s="16">
        <f t="shared" si="18"/>
        <v>327</v>
      </c>
      <c r="W26" s="16">
        <f t="shared" si="18"/>
        <v>7</v>
      </c>
      <c r="X26" s="16">
        <f t="shared" si="18"/>
        <v>32</v>
      </c>
      <c r="Y26" s="16">
        <f t="shared" si="18"/>
        <v>188</v>
      </c>
      <c r="Z26" s="16">
        <f t="shared" si="18"/>
        <v>21</v>
      </c>
      <c r="AA26" s="16">
        <f t="shared" si="18"/>
        <v>6</v>
      </c>
      <c r="AB26" s="16">
        <f t="shared" si="18"/>
        <v>45</v>
      </c>
      <c r="AC26" s="16">
        <f t="shared" si="18"/>
        <v>1494</v>
      </c>
      <c r="AD26" s="16">
        <f t="shared" si="18"/>
        <v>0</v>
      </c>
      <c r="AE26" s="32">
        <f t="shared" si="18"/>
        <v>1241</v>
      </c>
      <c r="AF26" s="32">
        <f t="shared" si="18"/>
        <v>2735</v>
      </c>
    </row>
    <row r="27" spans="2:32" ht="23.1" customHeight="1" x14ac:dyDescent="0.25">
      <c r="B27" s="23" t="s">
        <v>54</v>
      </c>
      <c r="C27" s="50">
        <v>12</v>
      </c>
      <c r="D27" s="50">
        <v>0</v>
      </c>
      <c r="E27" s="50">
        <v>23</v>
      </c>
      <c r="F27" s="50">
        <v>13</v>
      </c>
      <c r="G27" s="50">
        <v>1</v>
      </c>
      <c r="H27" s="50">
        <v>2</v>
      </c>
      <c r="I27" s="50">
        <v>5</v>
      </c>
      <c r="J27" s="50">
        <v>0</v>
      </c>
      <c r="K27" s="50">
        <v>0</v>
      </c>
      <c r="L27" s="50">
        <v>1</v>
      </c>
      <c r="M27" s="50">
        <v>72</v>
      </c>
      <c r="N27" s="50">
        <v>0</v>
      </c>
      <c r="O27" s="15">
        <f t="shared" si="0"/>
        <v>57</v>
      </c>
      <c r="P27" s="15">
        <f t="shared" si="1"/>
        <v>129</v>
      </c>
      <c r="R27" s="29" t="s">
        <v>87</v>
      </c>
      <c r="S27" s="16">
        <f t="shared" ref="S27:AF27" si="19">SUM(S19:S21)</f>
        <v>117</v>
      </c>
      <c r="T27" s="16">
        <f t="shared" si="19"/>
        <v>0</v>
      </c>
      <c r="U27" s="16">
        <f t="shared" si="19"/>
        <v>140</v>
      </c>
      <c r="V27" s="16">
        <f t="shared" si="19"/>
        <v>173</v>
      </c>
      <c r="W27" s="16">
        <f t="shared" si="19"/>
        <v>3</v>
      </c>
      <c r="X27" s="16">
        <f t="shared" si="19"/>
        <v>12</v>
      </c>
      <c r="Y27" s="16">
        <f t="shared" si="19"/>
        <v>129</v>
      </c>
      <c r="Z27" s="16">
        <f t="shared" si="19"/>
        <v>3</v>
      </c>
      <c r="AA27" s="16">
        <f t="shared" si="19"/>
        <v>5</v>
      </c>
      <c r="AB27" s="16">
        <f t="shared" si="19"/>
        <v>31</v>
      </c>
      <c r="AC27" s="16">
        <f t="shared" si="19"/>
        <v>808</v>
      </c>
      <c r="AD27" s="16">
        <f t="shared" si="19"/>
        <v>0</v>
      </c>
      <c r="AE27" s="32">
        <f t="shared" si="19"/>
        <v>613</v>
      </c>
      <c r="AF27" s="32">
        <f t="shared" si="19"/>
        <v>1421</v>
      </c>
    </row>
    <row r="28" spans="2:32" ht="23.1" customHeight="1" x14ac:dyDescent="0.25">
      <c r="B28" s="23" t="s">
        <v>55</v>
      </c>
      <c r="C28" s="50">
        <v>8</v>
      </c>
      <c r="D28" s="50">
        <v>0</v>
      </c>
      <c r="E28" s="50">
        <v>19</v>
      </c>
      <c r="F28" s="50">
        <v>14</v>
      </c>
      <c r="G28" s="50">
        <v>0</v>
      </c>
      <c r="H28" s="50">
        <v>1</v>
      </c>
      <c r="I28" s="50">
        <v>10</v>
      </c>
      <c r="J28" s="50">
        <v>0</v>
      </c>
      <c r="K28" s="50">
        <v>0</v>
      </c>
      <c r="L28" s="50">
        <v>2</v>
      </c>
      <c r="M28" s="50">
        <v>64</v>
      </c>
      <c r="N28" s="50">
        <v>0</v>
      </c>
      <c r="O28" s="15">
        <f t="shared" si="0"/>
        <v>54</v>
      </c>
      <c r="P28" s="15">
        <f t="shared" si="1"/>
        <v>118</v>
      </c>
      <c r="R28" s="5" t="s">
        <v>17</v>
      </c>
      <c r="S28" s="16">
        <f t="shared" ref="S28:AF28" si="20">SUM(S10:S21)</f>
        <v>381</v>
      </c>
      <c r="T28" s="16">
        <f t="shared" si="20"/>
        <v>0</v>
      </c>
      <c r="U28" s="16">
        <f t="shared" si="20"/>
        <v>799</v>
      </c>
      <c r="V28" s="16">
        <f t="shared" si="20"/>
        <v>626</v>
      </c>
      <c r="W28" s="16">
        <f t="shared" si="20"/>
        <v>10</v>
      </c>
      <c r="X28" s="16">
        <f t="shared" si="20"/>
        <v>52</v>
      </c>
      <c r="Y28" s="16">
        <f t="shared" si="20"/>
        <v>386</v>
      </c>
      <c r="Z28" s="16">
        <f t="shared" si="20"/>
        <v>26</v>
      </c>
      <c r="AA28" s="16">
        <f t="shared" si="20"/>
        <v>12</v>
      </c>
      <c r="AB28" s="16">
        <f t="shared" si="20"/>
        <v>91</v>
      </c>
      <c r="AC28" s="16">
        <f t="shared" si="20"/>
        <v>3039</v>
      </c>
      <c r="AD28" s="16">
        <f t="shared" si="20"/>
        <v>0</v>
      </c>
      <c r="AE28" s="32">
        <f t="shared" si="20"/>
        <v>2383</v>
      </c>
      <c r="AF28" s="32">
        <f t="shared" si="20"/>
        <v>5422</v>
      </c>
    </row>
    <row r="29" spans="2:32" ht="23.1" customHeight="1" x14ac:dyDescent="0.25">
      <c r="B29" s="23" t="s">
        <v>56</v>
      </c>
      <c r="C29" s="50">
        <v>5</v>
      </c>
      <c r="D29" s="50">
        <v>0</v>
      </c>
      <c r="E29" s="50">
        <v>17</v>
      </c>
      <c r="F29" s="50">
        <v>11</v>
      </c>
      <c r="G29" s="50">
        <v>0</v>
      </c>
      <c r="H29" s="50">
        <v>2</v>
      </c>
      <c r="I29" s="50">
        <v>8</v>
      </c>
      <c r="J29" s="50">
        <v>1</v>
      </c>
      <c r="K29" s="50">
        <v>0</v>
      </c>
      <c r="L29" s="50">
        <v>1</v>
      </c>
      <c r="M29" s="50">
        <v>73</v>
      </c>
      <c r="N29" s="50">
        <v>0</v>
      </c>
      <c r="O29" s="15">
        <f t="shared" si="0"/>
        <v>45</v>
      </c>
      <c r="P29" s="15">
        <f t="shared" si="1"/>
        <v>118</v>
      </c>
      <c r="R29"/>
      <c r="S29" s="20"/>
      <c r="T29" s="19"/>
    </row>
    <row r="30" spans="2:32" ht="23.1" customHeight="1" x14ac:dyDescent="0.25">
      <c r="B30" s="23" t="s">
        <v>57</v>
      </c>
      <c r="C30" s="50">
        <v>7</v>
      </c>
      <c r="D30" s="50">
        <v>0</v>
      </c>
      <c r="E30" s="50">
        <v>20</v>
      </c>
      <c r="F30" s="50">
        <v>9</v>
      </c>
      <c r="G30" s="50">
        <v>0</v>
      </c>
      <c r="H30" s="50">
        <v>0</v>
      </c>
      <c r="I30" s="50">
        <v>6</v>
      </c>
      <c r="J30" s="50">
        <v>0</v>
      </c>
      <c r="K30" s="50">
        <v>0</v>
      </c>
      <c r="L30" s="50">
        <v>2</v>
      </c>
      <c r="M30" s="50">
        <v>55</v>
      </c>
      <c r="N30" s="50">
        <v>0</v>
      </c>
      <c r="O30" s="15">
        <f t="shared" si="0"/>
        <v>44</v>
      </c>
      <c r="P30" s="15">
        <f t="shared" si="1"/>
        <v>99</v>
      </c>
    </row>
    <row r="31" spans="2:32" ht="23.1" customHeight="1" x14ac:dyDescent="0.25">
      <c r="B31" s="24" t="s">
        <v>58</v>
      </c>
      <c r="C31" s="50">
        <v>5</v>
      </c>
      <c r="D31" s="50">
        <v>0</v>
      </c>
      <c r="E31" s="50">
        <v>18</v>
      </c>
      <c r="F31" s="50">
        <v>13</v>
      </c>
      <c r="G31" s="50">
        <v>0</v>
      </c>
      <c r="H31" s="50">
        <v>1</v>
      </c>
      <c r="I31" s="50">
        <v>5</v>
      </c>
      <c r="J31" s="50">
        <v>0</v>
      </c>
      <c r="K31" s="50">
        <v>0</v>
      </c>
      <c r="L31" s="50">
        <v>3</v>
      </c>
      <c r="M31" s="50">
        <v>60</v>
      </c>
      <c r="N31" s="50">
        <v>0</v>
      </c>
      <c r="O31" s="15">
        <f t="shared" si="0"/>
        <v>45</v>
      </c>
      <c r="P31" s="15">
        <f t="shared" si="1"/>
        <v>105</v>
      </c>
    </row>
    <row r="32" spans="2:32" ht="23.1" customHeight="1" x14ac:dyDescent="0.25">
      <c r="B32" s="24" t="s">
        <v>59</v>
      </c>
      <c r="C32" s="50">
        <v>8</v>
      </c>
      <c r="D32" s="50">
        <v>0</v>
      </c>
      <c r="E32" s="50">
        <v>22</v>
      </c>
      <c r="F32" s="50">
        <v>13</v>
      </c>
      <c r="G32" s="50">
        <v>0</v>
      </c>
      <c r="H32" s="50">
        <v>0</v>
      </c>
      <c r="I32" s="50">
        <v>13</v>
      </c>
      <c r="J32" s="50">
        <v>0</v>
      </c>
      <c r="K32" s="50">
        <v>0</v>
      </c>
      <c r="L32" s="50">
        <v>1</v>
      </c>
      <c r="M32" s="50">
        <v>59</v>
      </c>
      <c r="N32" s="50">
        <v>0</v>
      </c>
      <c r="O32" s="15">
        <f t="shared" si="0"/>
        <v>57</v>
      </c>
      <c r="P32" s="15">
        <f t="shared" si="1"/>
        <v>116</v>
      </c>
    </row>
    <row r="33" spans="2:20" ht="23.1" customHeight="1" x14ac:dyDescent="0.25">
      <c r="B33" s="23" t="s">
        <v>60</v>
      </c>
      <c r="C33" s="50">
        <v>5</v>
      </c>
      <c r="D33" s="50">
        <v>0</v>
      </c>
      <c r="E33" s="50">
        <v>23</v>
      </c>
      <c r="F33" s="50">
        <v>19</v>
      </c>
      <c r="G33" s="50">
        <v>0</v>
      </c>
      <c r="H33" s="50">
        <v>2</v>
      </c>
      <c r="I33" s="50">
        <v>6</v>
      </c>
      <c r="J33" s="50">
        <v>0</v>
      </c>
      <c r="K33" s="50">
        <v>1</v>
      </c>
      <c r="L33" s="50">
        <v>4</v>
      </c>
      <c r="M33" s="50">
        <v>64</v>
      </c>
      <c r="N33" s="50">
        <v>0</v>
      </c>
      <c r="O33" s="15">
        <f t="shared" si="0"/>
        <v>60</v>
      </c>
      <c r="P33" s="15">
        <f t="shared" si="1"/>
        <v>124</v>
      </c>
    </row>
    <row r="34" spans="2:20" ht="23.1" customHeight="1" x14ac:dyDescent="0.25">
      <c r="B34" s="24" t="s">
        <v>61</v>
      </c>
      <c r="C34" s="50">
        <v>6</v>
      </c>
      <c r="D34" s="50">
        <v>0</v>
      </c>
      <c r="E34" s="50">
        <v>16</v>
      </c>
      <c r="F34" s="50">
        <v>13</v>
      </c>
      <c r="G34" s="50">
        <v>0</v>
      </c>
      <c r="H34" s="50">
        <v>5</v>
      </c>
      <c r="I34" s="50">
        <v>8</v>
      </c>
      <c r="J34" s="50">
        <v>0</v>
      </c>
      <c r="K34" s="50">
        <v>0</v>
      </c>
      <c r="L34" s="50">
        <v>2</v>
      </c>
      <c r="M34" s="50">
        <v>64</v>
      </c>
      <c r="N34" s="50">
        <v>0</v>
      </c>
      <c r="O34" s="15">
        <f t="shared" si="0"/>
        <v>50</v>
      </c>
      <c r="P34" s="15">
        <f t="shared" si="1"/>
        <v>114</v>
      </c>
    </row>
    <row r="35" spans="2:20" ht="23.1" customHeight="1" x14ac:dyDescent="0.25">
      <c r="B35" s="24" t="s">
        <v>62</v>
      </c>
      <c r="C35" s="50">
        <v>9</v>
      </c>
      <c r="D35" s="50">
        <v>0</v>
      </c>
      <c r="E35" s="50">
        <v>21</v>
      </c>
      <c r="F35" s="50">
        <v>11</v>
      </c>
      <c r="G35" s="50">
        <v>0</v>
      </c>
      <c r="H35" s="50">
        <v>3</v>
      </c>
      <c r="I35" s="50">
        <v>7</v>
      </c>
      <c r="J35" s="50">
        <v>2</v>
      </c>
      <c r="K35" s="50">
        <v>0</v>
      </c>
      <c r="L35" s="50">
        <v>5</v>
      </c>
      <c r="M35" s="50">
        <v>71</v>
      </c>
      <c r="N35" s="50">
        <v>0</v>
      </c>
      <c r="O35" s="15">
        <f t="shared" si="0"/>
        <v>58</v>
      </c>
      <c r="P35" s="15">
        <f t="shared" si="1"/>
        <v>129</v>
      </c>
    </row>
    <row r="36" spans="2:20" ht="23.1" customHeight="1" x14ac:dyDescent="0.25">
      <c r="B36" s="24" t="s">
        <v>63</v>
      </c>
      <c r="C36" s="50">
        <v>6</v>
      </c>
      <c r="D36" s="50">
        <v>0</v>
      </c>
      <c r="E36" s="50">
        <v>25</v>
      </c>
      <c r="F36" s="50">
        <v>13</v>
      </c>
      <c r="G36" s="50">
        <v>0</v>
      </c>
      <c r="H36" s="50">
        <v>1</v>
      </c>
      <c r="I36" s="50">
        <v>8</v>
      </c>
      <c r="J36" s="50">
        <v>3</v>
      </c>
      <c r="K36" s="50">
        <v>1</v>
      </c>
      <c r="L36" s="50">
        <v>1</v>
      </c>
      <c r="M36" s="50">
        <v>62</v>
      </c>
      <c r="N36" s="50">
        <v>0</v>
      </c>
      <c r="O36" s="15">
        <f t="shared" si="0"/>
        <v>58</v>
      </c>
      <c r="P36" s="15">
        <f t="shared" si="1"/>
        <v>120</v>
      </c>
    </row>
    <row r="37" spans="2:20" ht="23.1" customHeight="1" x14ac:dyDescent="0.25">
      <c r="B37" s="23" t="s">
        <v>64</v>
      </c>
      <c r="C37" s="50">
        <v>8</v>
      </c>
      <c r="D37" s="50">
        <v>0</v>
      </c>
      <c r="E37" s="50">
        <v>15</v>
      </c>
      <c r="F37" s="50">
        <v>16</v>
      </c>
      <c r="G37" s="50">
        <v>0</v>
      </c>
      <c r="H37" s="50">
        <v>1</v>
      </c>
      <c r="I37" s="50">
        <v>7</v>
      </c>
      <c r="J37" s="50">
        <v>3</v>
      </c>
      <c r="K37" s="50">
        <v>0</v>
      </c>
      <c r="L37" s="50">
        <v>2</v>
      </c>
      <c r="M37" s="50">
        <v>64</v>
      </c>
      <c r="N37" s="50">
        <v>0</v>
      </c>
      <c r="O37" s="15">
        <f t="shared" si="0"/>
        <v>52</v>
      </c>
      <c r="P37" s="15">
        <f t="shared" si="1"/>
        <v>116</v>
      </c>
    </row>
    <row r="38" spans="2:20" ht="23.1" customHeight="1" x14ac:dyDescent="0.25">
      <c r="B38" s="24" t="s">
        <v>65</v>
      </c>
      <c r="C38" s="50">
        <v>5</v>
      </c>
      <c r="D38" s="50">
        <v>0</v>
      </c>
      <c r="E38" s="50">
        <v>21</v>
      </c>
      <c r="F38" s="50">
        <v>14</v>
      </c>
      <c r="G38" s="50">
        <v>1</v>
      </c>
      <c r="H38" s="50">
        <v>2</v>
      </c>
      <c r="I38" s="50">
        <v>13</v>
      </c>
      <c r="J38" s="50">
        <v>0</v>
      </c>
      <c r="K38" s="50">
        <v>0</v>
      </c>
      <c r="L38" s="50">
        <v>0</v>
      </c>
      <c r="M38" s="50">
        <v>55</v>
      </c>
      <c r="N38" s="50">
        <v>0</v>
      </c>
      <c r="O38" s="15">
        <f t="shared" si="0"/>
        <v>56</v>
      </c>
      <c r="P38" s="15">
        <f t="shared" si="1"/>
        <v>111</v>
      </c>
    </row>
    <row r="39" spans="2:20" ht="23.1" customHeight="1" x14ac:dyDescent="0.25">
      <c r="B39" s="24" t="s">
        <v>66</v>
      </c>
      <c r="C39" s="50">
        <v>6</v>
      </c>
      <c r="D39" s="50">
        <v>0</v>
      </c>
      <c r="E39" s="50">
        <v>10</v>
      </c>
      <c r="F39" s="50">
        <v>13</v>
      </c>
      <c r="G39" s="50">
        <v>0</v>
      </c>
      <c r="H39" s="50">
        <v>1</v>
      </c>
      <c r="I39" s="50">
        <v>8</v>
      </c>
      <c r="J39" s="50">
        <v>3</v>
      </c>
      <c r="K39" s="50">
        <v>1</v>
      </c>
      <c r="L39" s="50">
        <v>3</v>
      </c>
      <c r="M39" s="50">
        <v>52</v>
      </c>
      <c r="N39" s="50">
        <v>0</v>
      </c>
      <c r="O39" s="15">
        <f t="shared" si="0"/>
        <v>45</v>
      </c>
      <c r="P39" s="15">
        <f t="shared" si="1"/>
        <v>97</v>
      </c>
    </row>
    <row r="40" spans="2:20" ht="23.1" customHeight="1" x14ac:dyDescent="0.25">
      <c r="B40" s="24" t="s">
        <v>67</v>
      </c>
      <c r="C40" s="50">
        <v>6</v>
      </c>
      <c r="D40" s="50">
        <v>0</v>
      </c>
      <c r="E40" s="50">
        <v>15</v>
      </c>
      <c r="F40" s="50">
        <v>15</v>
      </c>
      <c r="G40" s="50">
        <v>0</v>
      </c>
      <c r="H40" s="50">
        <v>3</v>
      </c>
      <c r="I40" s="50">
        <v>11</v>
      </c>
      <c r="J40" s="50">
        <v>2</v>
      </c>
      <c r="K40" s="50">
        <v>0</v>
      </c>
      <c r="L40" s="50">
        <v>0</v>
      </c>
      <c r="M40" s="50">
        <v>57</v>
      </c>
      <c r="N40" s="50">
        <v>0</v>
      </c>
      <c r="O40" s="15">
        <f t="shared" si="0"/>
        <v>52</v>
      </c>
      <c r="P40" s="15">
        <f t="shared" si="1"/>
        <v>109</v>
      </c>
    </row>
    <row r="41" spans="2:20" ht="23.1" customHeight="1" x14ac:dyDescent="0.25">
      <c r="B41" s="23" t="s">
        <v>68</v>
      </c>
      <c r="C41" s="50">
        <v>5</v>
      </c>
      <c r="D41" s="50">
        <v>0</v>
      </c>
      <c r="E41" s="50">
        <v>6</v>
      </c>
      <c r="F41" s="50">
        <v>13</v>
      </c>
      <c r="G41" s="50">
        <v>0</v>
      </c>
      <c r="H41" s="50">
        <v>1</v>
      </c>
      <c r="I41" s="50">
        <v>10</v>
      </c>
      <c r="J41" s="50">
        <v>2</v>
      </c>
      <c r="K41" s="50">
        <v>0</v>
      </c>
      <c r="L41" s="50">
        <v>0</v>
      </c>
      <c r="M41" s="50">
        <v>63</v>
      </c>
      <c r="N41" s="50">
        <v>0</v>
      </c>
      <c r="O41" s="15">
        <f t="shared" si="0"/>
        <v>37</v>
      </c>
      <c r="P41" s="15">
        <f t="shared" si="1"/>
        <v>100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10</v>
      </c>
      <c r="F42" s="50">
        <v>10</v>
      </c>
      <c r="G42" s="50">
        <v>1</v>
      </c>
      <c r="H42" s="50">
        <v>0</v>
      </c>
      <c r="I42" s="50">
        <v>4</v>
      </c>
      <c r="J42" s="50">
        <v>0</v>
      </c>
      <c r="K42" s="50">
        <v>0</v>
      </c>
      <c r="L42" s="50">
        <v>0</v>
      </c>
      <c r="M42" s="50">
        <v>51</v>
      </c>
      <c r="N42" s="50">
        <v>0</v>
      </c>
      <c r="O42" s="15">
        <f t="shared" si="0"/>
        <v>26</v>
      </c>
      <c r="P42" s="15">
        <f t="shared" si="1"/>
        <v>77</v>
      </c>
    </row>
    <row r="43" spans="2:20" ht="23.1" customHeight="1" x14ac:dyDescent="0.25">
      <c r="B43" s="23" t="s">
        <v>70</v>
      </c>
      <c r="C43" s="50">
        <v>3</v>
      </c>
      <c r="D43" s="50">
        <v>0</v>
      </c>
      <c r="E43" s="50">
        <v>28</v>
      </c>
      <c r="F43" s="50">
        <v>22</v>
      </c>
      <c r="G43" s="50">
        <v>0</v>
      </c>
      <c r="H43" s="50">
        <v>1</v>
      </c>
      <c r="I43" s="50">
        <v>14</v>
      </c>
      <c r="J43" s="50">
        <v>1</v>
      </c>
      <c r="K43" s="50">
        <v>0</v>
      </c>
      <c r="L43" s="50">
        <v>8</v>
      </c>
      <c r="M43" s="50">
        <v>57</v>
      </c>
      <c r="N43" s="50">
        <v>0</v>
      </c>
      <c r="O43" s="15">
        <f t="shared" si="0"/>
        <v>77</v>
      </c>
      <c r="P43" s="15">
        <f t="shared" si="1"/>
        <v>134</v>
      </c>
    </row>
    <row r="44" spans="2:20" ht="23.1" customHeight="1" x14ac:dyDescent="0.25">
      <c r="B44" s="25" t="s">
        <v>71</v>
      </c>
      <c r="C44" s="50">
        <v>8</v>
      </c>
      <c r="D44" s="50">
        <v>0</v>
      </c>
      <c r="E44" s="50">
        <v>11</v>
      </c>
      <c r="F44" s="50">
        <v>11</v>
      </c>
      <c r="G44" s="50">
        <v>0</v>
      </c>
      <c r="H44" s="50">
        <v>1</v>
      </c>
      <c r="I44" s="50">
        <v>5</v>
      </c>
      <c r="J44" s="50">
        <v>1</v>
      </c>
      <c r="K44" s="50">
        <v>0</v>
      </c>
      <c r="L44" s="50">
        <v>1</v>
      </c>
      <c r="M44" s="50">
        <v>59</v>
      </c>
      <c r="N44" s="50">
        <v>0</v>
      </c>
      <c r="O44" s="15">
        <f t="shared" si="0"/>
        <v>38</v>
      </c>
      <c r="P44" s="15">
        <f t="shared" si="1"/>
        <v>97</v>
      </c>
    </row>
    <row r="45" spans="2:20" ht="23.1" customHeight="1" x14ac:dyDescent="0.25">
      <c r="B45" s="23" t="s">
        <v>72</v>
      </c>
      <c r="C45" s="50">
        <v>7</v>
      </c>
      <c r="D45" s="50">
        <v>0</v>
      </c>
      <c r="E45" s="50">
        <v>22</v>
      </c>
      <c r="F45" s="50">
        <v>26</v>
      </c>
      <c r="G45" s="50">
        <v>1</v>
      </c>
      <c r="H45" s="50">
        <v>1</v>
      </c>
      <c r="I45" s="50">
        <v>5</v>
      </c>
      <c r="J45" s="50">
        <v>0</v>
      </c>
      <c r="K45" s="50">
        <v>2</v>
      </c>
      <c r="L45" s="50">
        <v>2</v>
      </c>
      <c r="M45" s="50">
        <v>68</v>
      </c>
      <c r="N45" s="50">
        <v>0</v>
      </c>
      <c r="O45" s="15">
        <f t="shared" si="0"/>
        <v>66</v>
      </c>
      <c r="P45" s="15">
        <f t="shared" si="1"/>
        <v>134</v>
      </c>
    </row>
    <row r="46" spans="2:20" ht="23.1" customHeight="1" x14ac:dyDescent="0.25">
      <c r="B46" s="24" t="s">
        <v>73</v>
      </c>
      <c r="C46" s="50">
        <v>9</v>
      </c>
      <c r="D46" s="50">
        <v>0</v>
      </c>
      <c r="E46" s="50">
        <v>10</v>
      </c>
      <c r="F46" s="50">
        <v>13</v>
      </c>
      <c r="G46" s="50">
        <v>1</v>
      </c>
      <c r="H46" s="50">
        <v>1</v>
      </c>
      <c r="I46" s="50">
        <v>11</v>
      </c>
      <c r="J46" s="50">
        <v>0</v>
      </c>
      <c r="K46" s="50">
        <v>0</v>
      </c>
      <c r="L46" s="50">
        <v>1</v>
      </c>
      <c r="M46" s="50">
        <v>71</v>
      </c>
      <c r="N46" s="50">
        <v>0</v>
      </c>
      <c r="O46" s="15">
        <f t="shared" si="0"/>
        <v>46</v>
      </c>
      <c r="P46" s="15">
        <f t="shared" si="1"/>
        <v>117</v>
      </c>
      <c r="R46" s="8"/>
      <c r="T46"/>
    </row>
    <row r="47" spans="2:20" ht="23.1" customHeight="1" x14ac:dyDescent="0.25">
      <c r="B47" s="24" t="s">
        <v>74</v>
      </c>
      <c r="C47" s="50">
        <v>4</v>
      </c>
      <c r="D47" s="50">
        <v>0</v>
      </c>
      <c r="E47" s="50">
        <v>11</v>
      </c>
      <c r="F47" s="50">
        <v>15</v>
      </c>
      <c r="G47" s="50">
        <v>1</v>
      </c>
      <c r="H47" s="50">
        <v>1</v>
      </c>
      <c r="I47" s="50">
        <v>18</v>
      </c>
      <c r="J47" s="50">
        <v>0</v>
      </c>
      <c r="K47" s="50">
        <v>0</v>
      </c>
      <c r="L47" s="50">
        <v>4</v>
      </c>
      <c r="M47" s="50">
        <v>56</v>
      </c>
      <c r="N47" s="50">
        <v>0</v>
      </c>
      <c r="O47" s="15">
        <f t="shared" si="0"/>
        <v>54</v>
      </c>
      <c r="P47" s="15">
        <f t="shared" si="1"/>
        <v>110</v>
      </c>
      <c r="R47" s="8"/>
      <c r="T47"/>
    </row>
    <row r="48" spans="2:20" ht="23.1" customHeight="1" x14ac:dyDescent="0.25">
      <c r="B48" s="24" t="s">
        <v>75</v>
      </c>
      <c r="C48" s="50">
        <v>10</v>
      </c>
      <c r="D48" s="50">
        <v>0</v>
      </c>
      <c r="E48" s="50">
        <v>12</v>
      </c>
      <c r="F48" s="50">
        <v>14</v>
      </c>
      <c r="G48" s="50">
        <v>0</v>
      </c>
      <c r="H48" s="50">
        <v>2</v>
      </c>
      <c r="I48" s="50">
        <v>9</v>
      </c>
      <c r="J48" s="50">
        <v>1</v>
      </c>
      <c r="K48" s="50">
        <v>0</v>
      </c>
      <c r="L48" s="50">
        <v>5</v>
      </c>
      <c r="M48" s="50">
        <v>71</v>
      </c>
      <c r="N48" s="50">
        <v>0</v>
      </c>
      <c r="O48" s="15">
        <f t="shared" si="0"/>
        <v>53</v>
      </c>
      <c r="P48" s="15">
        <f t="shared" si="1"/>
        <v>124</v>
      </c>
      <c r="R48" s="8"/>
      <c r="T48"/>
    </row>
    <row r="49" spans="2:20" ht="23.1" customHeight="1" x14ac:dyDescent="0.25">
      <c r="B49" s="23" t="s">
        <v>76</v>
      </c>
      <c r="C49" s="50">
        <v>8</v>
      </c>
      <c r="D49" s="50">
        <v>0</v>
      </c>
      <c r="E49" s="50">
        <v>6</v>
      </c>
      <c r="F49" s="50">
        <v>11</v>
      </c>
      <c r="G49" s="50">
        <v>0</v>
      </c>
      <c r="H49" s="50">
        <v>1</v>
      </c>
      <c r="I49" s="50">
        <v>11</v>
      </c>
      <c r="J49" s="50">
        <v>0</v>
      </c>
      <c r="K49" s="50">
        <v>1</v>
      </c>
      <c r="L49" s="50">
        <v>3</v>
      </c>
      <c r="M49" s="50">
        <v>72</v>
      </c>
      <c r="N49" s="50">
        <v>0</v>
      </c>
      <c r="O49" s="15">
        <f t="shared" si="0"/>
        <v>41</v>
      </c>
      <c r="P49" s="15">
        <f t="shared" si="1"/>
        <v>113</v>
      </c>
      <c r="R49" s="8"/>
      <c r="T49"/>
    </row>
    <row r="50" spans="2:20" ht="23.1" customHeight="1" x14ac:dyDescent="0.25">
      <c r="B50" s="24" t="s">
        <v>77</v>
      </c>
      <c r="C50" s="50">
        <v>10</v>
      </c>
      <c r="D50" s="50">
        <v>0</v>
      </c>
      <c r="E50" s="50">
        <v>26</v>
      </c>
      <c r="F50" s="50">
        <v>18</v>
      </c>
      <c r="G50" s="50">
        <v>0</v>
      </c>
      <c r="H50" s="50">
        <v>1</v>
      </c>
      <c r="I50" s="50">
        <v>8</v>
      </c>
      <c r="J50" s="50">
        <v>0</v>
      </c>
      <c r="K50" s="50">
        <v>0</v>
      </c>
      <c r="L50" s="50">
        <v>2</v>
      </c>
      <c r="M50" s="50">
        <v>66</v>
      </c>
      <c r="N50" s="50">
        <v>0</v>
      </c>
      <c r="O50" s="15">
        <f t="shared" si="0"/>
        <v>65</v>
      </c>
      <c r="P50" s="15">
        <f t="shared" si="1"/>
        <v>131</v>
      </c>
      <c r="R50" s="8"/>
      <c r="T50"/>
    </row>
    <row r="51" spans="2:20" ht="23.1" customHeight="1" x14ac:dyDescent="0.25">
      <c r="B51" s="24" t="s">
        <v>78</v>
      </c>
      <c r="C51" s="50">
        <v>10</v>
      </c>
      <c r="D51" s="50">
        <v>0</v>
      </c>
      <c r="E51" s="50">
        <v>9</v>
      </c>
      <c r="F51" s="50">
        <v>14</v>
      </c>
      <c r="G51" s="50">
        <v>0</v>
      </c>
      <c r="H51" s="50">
        <v>1</v>
      </c>
      <c r="I51" s="50">
        <v>8</v>
      </c>
      <c r="J51" s="50">
        <v>0</v>
      </c>
      <c r="K51" s="50">
        <v>0</v>
      </c>
      <c r="L51" s="50">
        <v>4</v>
      </c>
      <c r="M51" s="50">
        <v>65</v>
      </c>
      <c r="N51" s="50">
        <v>0</v>
      </c>
      <c r="O51" s="15">
        <f t="shared" si="0"/>
        <v>46</v>
      </c>
      <c r="P51" s="15">
        <f t="shared" si="1"/>
        <v>111</v>
      </c>
      <c r="R51" s="8"/>
      <c r="T51"/>
    </row>
    <row r="52" spans="2:20" ht="23.1" customHeight="1" x14ac:dyDescent="0.25">
      <c r="B52" s="24" t="s">
        <v>79</v>
      </c>
      <c r="C52" s="50">
        <v>17</v>
      </c>
      <c r="D52" s="50">
        <v>0</v>
      </c>
      <c r="E52" s="50">
        <v>10</v>
      </c>
      <c r="F52" s="50">
        <v>16</v>
      </c>
      <c r="G52" s="50">
        <v>1</v>
      </c>
      <c r="H52" s="50">
        <v>1</v>
      </c>
      <c r="I52" s="50">
        <v>11</v>
      </c>
      <c r="J52" s="50">
        <v>2</v>
      </c>
      <c r="K52" s="50">
        <v>0</v>
      </c>
      <c r="L52" s="50">
        <v>3</v>
      </c>
      <c r="M52" s="50">
        <v>70</v>
      </c>
      <c r="N52" s="50">
        <v>0</v>
      </c>
      <c r="O52" s="15">
        <f t="shared" si="0"/>
        <v>61</v>
      </c>
      <c r="P52" s="15">
        <f t="shared" si="1"/>
        <v>131</v>
      </c>
      <c r="R52" s="8"/>
      <c r="T52"/>
    </row>
    <row r="53" spans="2:20" ht="23.1" customHeight="1" x14ac:dyDescent="0.25">
      <c r="B53" s="23" t="s">
        <v>80</v>
      </c>
      <c r="C53" s="50">
        <v>13</v>
      </c>
      <c r="D53" s="50">
        <v>0</v>
      </c>
      <c r="E53" s="50">
        <v>8</v>
      </c>
      <c r="F53" s="50">
        <v>13</v>
      </c>
      <c r="G53" s="50">
        <v>0</v>
      </c>
      <c r="H53" s="50">
        <v>1</v>
      </c>
      <c r="I53" s="50">
        <v>13</v>
      </c>
      <c r="J53" s="50">
        <v>0</v>
      </c>
      <c r="K53" s="50">
        <v>0</v>
      </c>
      <c r="L53" s="50">
        <v>4</v>
      </c>
      <c r="M53" s="50">
        <v>61</v>
      </c>
      <c r="N53" s="50">
        <v>0</v>
      </c>
      <c r="O53" s="15">
        <f t="shared" si="0"/>
        <v>52</v>
      </c>
      <c r="P53" s="15">
        <f t="shared" si="1"/>
        <v>113</v>
      </c>
      <c r="R53" s="8"/>
      <c r="T53"/>
    </row>
    <row r="54" spans="2:20" ht="23.1" customHeight="1" x14ac:dyDescent="0.25">
      <c r="B54" s="23" t="s">
        <v>81</v>
      </c>
      <c r="C54" s="50">
        <v>12</v>
      </c>
      <c r="D54" s="50">
        <v>0</v>
      </c>
      <c r="E54" s="50">
        <v>8</v>
      </c>
      <c r="F54" s="50">
        <v>11</v>
      </c>
      <c r="G54" s="50">
        <v>0</v>
      </c>
      <c r="H54" s="50">
        <v>0</v>
      </c>
      <c r="I54" s="50">
        <v>11</v>
      </c>
      <c r="J54" s="50">
        <v>0</v>
      </c>
      <c r="K54" s="50">
        <v>3</v>
      </c>
      <c r="L54" s="50">
        <v>2</v>
      </c>
      <c r="M54" s="50">
        <v>57</v>
      </c>
      <c r="N54" s="50">
        <v>0</v>
      </c>
      <c r="O54" s="15">
        <f t="shared" si="0"/>
        <v>47</v>
      </c>
      <c r="P54" s="15">
        <f t="shared" si="1"/>
        <v>104</v>
      </c>
      <c r="R54" s="8"/>
      <c r="T54"/>
    </row>
    <row r="55" spans="2:20" ht="23.1" customHeight="1" x14ac:dyDescent="0.25">
      <c r="B55" s="23" t="s">
        <v>82</v>
      </c>
      <c r="C55" s="50">
        <v>11</v>
      </c>
      <c r="D55" s="50">
        <v>0</v>
      </c>
      <c r="E55" s="50">
        <v>14</v>
      </c>
      <c r="F55" s="50">
        <v>15</v>
      </c>
      <c r="G55" s="50">
        <v>0</v>
      </c>
      <c r="H55" s="50">
        <v>0</v>
      </c>
      <c r="I55" s="50">
        <v>7</v>
      </c>
      <c r="J55" s="50">
        <v>0</v>
      </c>
      <c r="K55" s="50">
        <v>0</v>
      </c>
      <c r="L55" s="50">
        <v>0</v>
      </c>
      <c r="M55" s="50">
        <v>70</v>
      </c>
      <c r="N55" s="50">
        <v>0</v>
      </c>
      <c r="O55" s="15">
        <f t="shared" si="0"/>
        <v>47</v>
      </c>
      <c r="P55" s="15">
        <f t="shared" si="1"/>
        <v>117</v>
      </c>
      <c r="R55" s="8"/>
      <c r="T55"/>
    </row>
    <row r="56" spans="2:20" ht="23.1" customHeight="1" x14ac:dyDescent="0.25">
      <c r="B56" s="23" t="s">
        <v>83</v>
      </c>
      <c r="C56" s="50">
        <v>6</v>
      </c>
      <c r="D56" s="50">
        <v>0</v>
      </c>
      <c r="E56" s="50">
        <v>11</v>
      </c>
      <c r="F56" s="50">
        <v>13</v>
      </c>
      <c r="G56" s="50">
        <v>0</v>
      </c>
      <c r="H56" s="50">
        <v>1</v>
      </c>
      <c r="I56" s="50">
        <v>7</v>
      </c>
      <c r="J56" s="50">
        <v>0</v>
      </c>
      <c r="K56" s="50">
        <v>0</v>
      </c>
      <c r="L56" s="50">
        <v>1</v>
      </c>
      <c r="M56" s="50">
        <v>67</v>
      </c>
      <c r="N56" s="50">
        <v>0</v>
      </c>
      <c r="O56" s="15">
        <f t="shared" si="0"/>
        <v>39</v>
      </c>
      <c r="P56" s="15">
        <f t="shared" si="1"/>
        <v>106</v>
      </c>
      <c r="R56" s="8"/>
      <c r="T56"/>
    </row>
    <row r="57" spans="2:20" ht="23.1" customHeight="1" x14ac:dyDescent="0.25">
      <c r="B57" s="23" t="s">
        <v>84</v>
      </c>
      <c r="C57" s="50">
        <v>7</v>
      </c>
      <c r="D57" s="50">
        <v>0</v>
      </c>
      <c r="E57" s="50">
        <v>15</v>
      </c>
      <c r="F57" s="50">
        <v>20</v>
      </c>
      <c r="G57" s="50">
        <v>0</v>
      </c>
      <c r="H57" s="50">
        <v>2</v>
      </c>
      <c r="I57" s="50">
        <v>15</v>
      </c>
      <c r="J57" s="50">
        <v>0</v>
      </c>
      <c r="K57" s="50">
        <v>1</v>
      </c>
      <c r="L57" s="50">
        <v>2</v>
      </c>
      <c r="M57" s="50">
        <v>82</v>
      </c>
      <c r="N57" s="50">
        <v>0</v>
      </c>
      <c r="O57" s="15">
        <f t="shared" si="0"/>
        <v>62</v>
      </c>
      <c r="P57" s="15">
        <f t="shared" si="1"/>
        <v>144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381</v>
      </c>
      <c r="D58" s="16">
        <f t="shared" si="21"/>
        <v>0</v>
      </c>
      <c r="E58" s="16">
        <f t="shared" si="21"/>
        <v>799</v>
      </c>
      <c r="F58" s="16">
        <f t="shared" si="21"/>
        <v>626</v>
      </c>
      <c r="G58" s="16">
        <f t="shared" si="21"/>
        <v>10</v>
      </c>
      <c r="H58" s="16">
        <f t="shared" si="21"/>
        <v>52</v>
      </c>
      <c r="I58" s="16">
        <f t="shared" si="21"/>
        <v>386</v>
      </c>
      <c r="J58" s="16">
        <f t="shared" si="21"/>
        <v>26</v>
      </c>
      <c r="K58" s="16">
        <f t="shared" si="21"/>
        <v>12</v>
      </c>
      <c r="L58" s="16">
        <f t="shared" si="21"/>
        <v>91</v>
      </c>
      <c r="M58" s="16">
        <f t="shared" si="21"/>
        <v>3039</v>
      </c>
      <c r="N58" s="16">
        <f t="shared" si="21"/>
        <v>0</v>
      </c>
      <c r="O58" s="16">
        <f t="shared" si="21"/>
        <v>2383</v>
      </c>
      <c r="P58" s="16">
        <f t="shared" si="21"/>
        <v>5422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7.026927333087421E-2</v>
      </c>
      <c r="D59" s="43">
        <f t="shared" si="22"/>
        <v>0</v>
      </c>
      <c r="E59" s="43">
        <f t="shared" si="22"/>
        <v>0.14736259682773883</v>
      </c>
      <c r="F59" s="43">
        <f t="shared" si="22"/>
        <v>0.11545555145702693</v>
      </c>
      <c r="G59" s="43">
        <f t="shared" si="22"/>
        <v>1.8443378827001106E-3</v>
      </c>
      <c r="H59" s="43">
        <f t="shared" si="22"/>
        <v>9.5905569900405756E-3</v>
      </c>
      <c r="I59" s="43">
        <f t="shared" si="22"/>
        <v>7.1191442272224265E-2</v>
      </c>
      <c r="J59" s="43">
        <f t="shared" si="22"/>
        <v>4.7952784950202878E-3</v>
      </c>
      <c r="K59" s="43">
        <f t="shared" si="22"/>
        <v>2.2132054592401327E-3</v>
      </c>
      <c r="L59" s="43">
        <f t="shared" si="22"/>
        <v>1.6783474732571007E-2</v>
      </c>
      <c r="M59" s="43">
        <f t="shared" si="22"/>
        <v>0.56049428255256362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0.15988250104909776</v>
      </c>
      <c r="D60" s="44">
        <f t="shared" ref="D60:N60" si="23">D58/$O$58</f>
        <v>0</v>
      </c>
      <c r="E60" s="44">
        <f t="shared" si="23"/>
        <v>0.33529164918170373</v>
      </c>
      <c r="F60" s="44">
        <f t="shared" si="23"/>
        <v>0.26269408308854386</v>
      </c>
      <c r="G60" s="44">
        <f t="shared" si="23"/>
        <v>4.1963911036508603E-3</v>
      </c>
      <c r="H60" s="44">
        <f t="shared" si="23"/>
        <v>2.1821233738984473E-2</v>
      </c>
      <c r="I60" s="44">
        <f t="shared" si="23"/>
        <v>0.16198069660092321</v>
      </c>
      <c r="J60" s="44">
        <f t="shared" si="23"/>
        <v>1.0910616869492237E-2</v>
      </c>
      <c r="K60" s="44">
        <f t="shared" si="23"/>
        <v>5.035669324381032E-3</v>
      </c>
      <c r="L60" s="44">
        <f t="shared" si="23"/>
        <v>3.8187159043222826E-2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zoomScale="60" workbookViewId="0">
      <selection activeCell="G6" sqref="G6:H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'20.8 Luwero-Kampala'!C3:G3</f>
        <v>MCC - C3 - STN87 - Kampala-Gulu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'21.8 Kampala-Luweero'!D5</f>
        <v>21.08.19</v>
      </c>
      <c r="E5" s="3"/>
      <c r="F5" s="41" t="s">
        <v>1</v>
      </c>
      <c r="G5" s="66">
        <f>'20.8 Kampala-Luweero'!G5:H5</f>
        <v>0</v>
      </c>
      <c r="H5" s="67"/>
      <c r="I5" s="14"/>
      <c r="J5" s="2" t="s">
        <v>5</v>
      </c>
      <c r="K5" s="66" t="str">
        <f>'20.8 Kampala-Luweero'!K5:L5</f>
        <v>Godfrey, Ibrahim N, Oliver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">
        <v>171</v>
      </c>
      <c r="E6" s="67"/>
      <c r="F6" s="2" t="s">
        <v>2</v>
      </c>
      <c r="G6" s="66" t="s">
        <v>168</v>
      </c>
      <c r="H6" s="67"/>
      <c r="J6" s="2" t="s">
        <v>21</v>
      </c>
      <c r="K6" s="66" t="str">
        <f>'20.8 Kampala-Luweero'!K6:L6</f>
        <v>Martin, Tracy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6</v>
      </c>
      <c r="F10" s="50">
        <v>9</v>
      </c>
      <c r="G10" s="50">
        <v>1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25</v>
      </c>
      <c r="N10" s="50">
        <v>0</v>
      </c>
      <c r="O10" s="15">
        <f t="shared" ref="O10:O57" si="0">SUM(C10:L10,N10)</f>
        <v>21</v>
      </c>
      <c r="P10" s="15">
        <f t="shared" ref="P10:P57" si="1">SUM(C10:N10)</f>
        <v>46</v>
      </c>
      <c r="R10" s="1" t="s">
        <v>6</v>
      </c>
      <c r="S10" s="17">
        <f t="shared" ref="S10:AF10" si="2">SUM(C10:C13)</f>
        <v>17</v>
      </c>
      <c r="T10" s="17">
        <f t="shared" si="2"/>
        <v>0</v>
      </c>
      <c r="U10" s="17">
        <f t="shared" si="2"/>
        <v>19</v>
      </c>
      <c r="V10" s="17">
        <f t="shared" si="2"/>
        <v>40</v>
      </c>
      <c r="W10" s="17">
        <f t="shared" si="2"/>
        <v>1</v>
      </c>
      <c r="X10" s="17">
        <f t="shared" si="2"/>
        <v>1</v>
      </c>
      <c r="Y10" s="17">
        <f t="shared" si="2"/>
        <v>13</v>
      </c>
      <c r="Z10" s="17">
        <f t="shared" si="2"/>
        <v>2</v>
      </c>
      <c r="AA10" s="17">
        <f t="shared" si="2"/>
        <v>1</v>
      </c>
      <c r="AB10" s="17">
        <f t="shared" si="2"/>
        <v>0</v>
      </c>
      <c r="AC10" s="17">
        <f t="shared" si="2"/>
        <v>112</v>
      </c>
      <c r="AD10" s="17">
        <f t="shared" si="2"/>
        <v>0</v>
      </c>
      <c r="AE10" s="31">
        <f t="shared" si="2"/>
        <v>94</v>
      </c>
      <c r="AF10" s="31">
        <f t="shared" si="2"/>
        <v>206</v>
      </c>
    </row>
    <row r="11" spans="2:32" s="6" customFormat="1" ht="23.1" customHeight="1" x14ac:dyDescent="0.25">
      <c r="B11" s="23" t="s">
        <v>38</v>
      </c>
      <c r="C11" s="50">
        <v>4</v>
      </c>
      <c r="D11" s="50">
        <v>0</v>
      </c>
      <c r="E11" s="50">
        <v>4</v>
      </c>
      <c r="F11" s="50">
        <v>11</v>
      </c>
      <c r="G11" s="50">
        <v>0</v>
      </c>
      <c r="H11" s="50">
        <v>1</v>
      </c>
      <c r="I11" s="50">
        <v>3</v>
      </c>
      <c r="J11" s="50">
        <v>2</v>
      </c>
      <c r="K11" s="50">
        <v>0</v>
      </c>
      <c r="L11" s="50">
        <v>0</v>
      </c>
      <c r="M11" s="50">
        <v>13</v>
      </c>
      <c r="N11" s="50">
        <v>0</v>
      </c>
      <c r="O11" s="15">
        <f t="shared" si="0"/>
        <v>25</v>
      </c>
      <c r="P11" s="15">
        <f t="shared" si="1"/>
        <v>38</v>
      </c>
      <c r="R11" s="1" t="s">
        <v>7</v>
      </c>
      <c r="S11" s="17">
        <f t="shared" ref="S11:AF11" si="3">SUM(C14:C17)</f>
        <v>23</v>
      </c>
      <c r="T11" s="17">
        <f t="shared" si="3"/>
        <v>0</v>
      </c>
      <c r="U11" s="17">
        <f t="shared" si="3"/>
        <v>42</v>
      </c>
      <c r="V11" s="17">
        <f t="shared" si="3"/>
        <v>54</v>
      </c>
      <c r="W11" s="17">
        <f t="shared" si="3"/>
        <v>0</v>
      </c>
      <c r="X11" s="17">
        <f t="shared" si="3"/>
        <v>2</v>
      </c>
      <c r="Y11" s="17">
        <f t="shared" si="3"/>
        <v>17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244</v>
      </c>
      <c r="AD11" s="17">
        <f t="shared" si="3"/>
        <v>0</v>
      </c>
      <c r="AE11" s="31">
        <f t="shared" si="3"/>
        <v>139</v>
      </c>
      <c r="AF11" s="31">
        <f t="shared" si="3"/>
        <v>383</v>
      </c>
    </row>
    <row r="12" spans="2:32" ht="23.1" customHeight="1" x14ac:dyDescent="0.25">
      <c r="B12" s="23" t="s">
        <v>39</v>
      </c>
      <c r="C12" s="50">
        <v>5</v>
      </c>
      <c r="D12" s="50">
        <v>0</v>
      </c>
      <c r="E12" s="50">
        <v>3</v>
      </c>
      <c r="F12" s="50">
        <v>12</v>
      </c>
      <c r="G12" s="50">
        <v>0</v>
      </c>
      <c r="H12" s="50">
        <v>0</v>
      </c>
      <c r="I12" s="50">
        <v>5</v>
      </c>
      <c r="J12" s="50">
        <v>0</v>
      </c>
      <c r="K12" s="50">
        <v>1</v>
      </c>
      <c r="L12" s="50">
        <v>0</v>
      </c>
      <c r="M12" s="50">
        <v>30</v>
      </c>
      <c r="N12" s="50">
        <v>0</v>
      </c>
      <c r="O12" s="15">
        <f t="shared" si="0"/>
        <v>26</v>
      </c>
      <c r="P12" s="15">
        <f t="shared" si="1"/>
        <v>56</v>
      </c>
      <c r="R12" s="1" t="s">
        <v>8</v>
      </c>
      <c r="S12" s="17">
        <f t="shared" ref="S12:AF12" si="4">SUM(C18:C21)</f>
        <v>20</v>
      </c>
      <c r="T12" s="17">
        <f t="shared" si="4"/>
        <v>0</v>
      </c>
      <c r="U12" s="17">
        <f t="shared" si="4"/>
        <v>37</v>
      </c>
      <c r="V12" s="17">
        <f t="shared" si="4"/>
        <v>46</v>
      </c>
      <c r="W12" s="17">
        <f t="shared" si="4"/>
        <v>0</v>
      </c>
      <c r="X12" s="17">
        <f t="shared" si="4"/>
        <v>1</v>
      </c>
      <c r="Y12" s="17">
        <f t="shared" si="4"/>
        <v>22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251</v>
      </c>
      <c r="AD12" s="17">
        <f t="shared" si="4"/>
        <v>0</v>
      </c>
      <c r="AE12" s="31">
        <f t="shared" si="4"/>
        <v>128</v>
      </c>
      <c r="AF12" s="31">
        <f t="shared" si="4"/>
        <v>379</v>
      </c>
    </row>
    <row r="13" spans="2:32" ht="23.1" customHeight="1" x14ac:dyDescent="0.25">
      <c r="B13" s="23" t="s">
        <v>40</v>
      </c>
      <c r="C13" s="50">
        <v>5</v>
      </c>
      <c r="D13" s="50">
        <v>0</v>
      </c>
      <c r="E13" s="50">
        <v>6</v>
      </c>
      <c r="F13" s="50">
        <v>8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44</v>
      </c>
      <c r="N13" s="50">
        <v>0</v>
      </c>
      <c r="O13" s="15">
        <f t="shared" si="0"/>
        <v>22</v>
      </c>
      <c r="P13" s="15">
        <f t="shared" si="1"/>
        <v>66</v>
      </c>
      <c r="R13" s="1" t="s">
        <v>9</v>
      </c>
      <c r="S13" s="17">
        <f t="shared" ref="S13:AF13" si="5">SUM(C22:C25)</f>
        <v>31</v>
      </c>
      <c r="T13" s="17">
        <f t="shared" si="5"/>
        <v>0</v>
      </c>
      <c r="U13" s="17">
        <f t="shared" si="5"/>
        <v>49</v>
      </c>
      <c r="V13" s="17">
        <f t="shared" si="5"/>
        <v>52</v>
      </c>
      <c r="W13" s="17">
        <f t="shared" si="5"/>
        <v>1</v>
      </c>
      <c r="X13" s="17">
        <f t="shared" si="5"/>
        <v>1</v>
      </c>
      <c r="Y13" s="17">
        <f t="shared" si="5"/>
        <v>24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255</v>
      </c>
      <c r="AD13" s="17">
        <f t="shared" si="5"/>
        <v>0</v>
      </c>
      <c r="AE13" s="31">
        <f t="shared" si="5"/>
        <v>159</v>
      </c>
      <c r="AF13" s="31">
        <f t="shared" si="5"/>
        <v>414</v>
      </c>
    </row>
    <row r="14" spans="2:32" ht="23.1" customHeight="1" x14ac:dyDescent="0.25">
      <c r="B14" s="23" t="s">
        <v>41</v>
      </c>
      <c r="C14" s="50">
        <v>7</v>
      </c>
      <c r="D14" s="50">
        <v>0</v>
      </c>
      <c r="E14" s="50">
        <v>7</v>
      </c>
      <c r="F14" s="50">
        <v>11</v>
      </c>
      <c r="G14" s="50">
        <v>0</v>
      </c>
      <c r="H14" s="50">
        <v>0</v>
      </c>
      <c r="I14" s="50">
        <v>5</v>
      </c>
      <c r="J14" s="50">
        <v>0</v>
      </c>
      <c r="K14" s="50">
        <v>0</v>
      </c>
      <c r="L14" s="50">
        <v>0</v>
      </c>
      <c r="M14" s="50">
        <v>59</v>
      </c>
      <c r="N14" s="50">
        <v>0</v>
      </c>
      <c r="O14" s="15">
        <f t="shared" si="0"/>
        <v>30</v>
      </c>
      <c r="P14" s="15">
        <f t="shared" si="1"/>
        <v>89</v>
      </c>
      <c r="R14" s="1" t="s">
        <v>10</v>
      </c>
      <c r="S14" s="17">
        <f t="shared" ref="S14:AF14" si="6">SUM(C26:C29)</f>
        <v>36</v>
      </c>
      <c r="T14" s="17">
        <f t="shared" si="6"/>
        <v>0</v>
      </c>
      <c r="U14" s="17">
        <f t="shared" si="6"/>
        <v>61</v>
      </c>
      <c r="V14" s="17">
        <f t="shared" si="6"/>
        <v>45</v>
      </c>
      <c r="W14" s="17">
        <f t="shared" si="6"/>
        <v>0</v>
      </c>
      <c r="X14" s="17">
        <f t="shared" si="6"/>
        <v>2</v>
      </c>
      <c r="Y14" s="17">
        <f t="shared" si="6"/>
        <v>29</v>
      </c>
      <c r="Z14" s="17">
        <f t="shared" si="6"/>
        <v>1</v>
      </c>
      <c r="AA14" s="17">
        <f t="shared" si="6"/>
        <v>1</v>
      </c>
      <c r="AB14" s="17">
        <f t="shared" si="6"/>
        <v>0</v>
      </c>
      <c r="AC14" s="17">
        <f t="shared" si="6"/>
        <v>256</v>
      </c>
      <c r="AD14" s="17">
        <f t="shared" si="6"/>
        <v>0</v>
      </c>
      <c r="AE14" s="31">
        <f t="shared" si="6"/>
        <v>175</v>
      </c>
      <c r="AF14" s="31">
        <f t="shared" si="6"/>
        <v>431</v>
      </c>
    </row>
    <row r="15" spans="2:32" ht="23.1" customHeight="1" x14ac:dyDescent="0.25">
      <c r="B15" s="23" t="s">
        <v>42</v>
      </c>
      <c r="C15" s="50">
        <v>4</v>
      </c>
      <c r="D15" s="50">
        <v>0</v>
      </c>
      <c r="E15" s="50">
        <v>14</v>
      </c>
      <c r="F15" s="50">
        <v>14</v>
      </c>
      <c r="G15" s="50">
        <v>0</v>
      </c>
      <c r="H15" s="50">
        <v>1</v>
      </c>
      <c r="I15" s="50">
        <v>6</v>
      </c>
      <c r="J15" s="50">
        <v>1</v>
      </c>
      <c r="K15" s="50">
        <v>0</v>
      </c>
      <c r="L15" s="50">
        <v>0</v>
      </c>
      <c r="M15" s="50">
        <v>61</v>
      </c>
      <c r="N15" s="50">
        <v>0</v>
      </c>
      <c r="O15" s="15">
        <f t="shared" si="0"/>
        <v>40</v>
      </c>
      <c r="P15" s="15">
        <f t="shared" si="1"/>
        <v>101</v>
      </c>
      <c r="R15" s="1" t="s">
        <v>11</v>
      </c>
      <c r="S15" s="17">
        <f t="shared" ref="S15:AF15" si="7">SUM(C30:C33)</f>
        <v>38</v>
      </c>
      <c r="T15" s="17">
        <f t="shared" si="7"/>
        <v>0</v>
      </c>
      <c r="U15" s="17">
        <f t="shared" si="7"/>
        <v>45</v>
      </c>
      <c r="V15" s="17">
        <f t="shared" si="7"/>
        <v>41</v>
      </c>
      <c r="W15" s="17">
        <f t="shared" si="7"/>
        <v>1</v>
      </c>
      <c r="X15" s="17">
        <f t="shared" si="7"/>
        <v>1</v>
      </c>
      <c r="Y15" s="17">
        <f t="shared" si="7"/>
        <v>33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260</v>
      </c>
      <c r="AD15" s="17">
        <f t="shared" si="7"/>
        <v>0</v>
      </c>
      <c r="AE15" s="31">
        <f t="shared" si="7"/>
        <v>161</v>
      </c>
      <c r="AF15" s="31">
        <f t="shared" si="7"/>
        <v>421</v>
      </c>
    </row>
    <row r="16" spans="2:32" ht="23.1" customHeight="1" x14ac:dyDescent="0.25">
      <c r="B16" s="23" t="s">
        <v>43</v>
      </c>
      <c r="C16" s="50">
        <v>4</v>
      </c>
      <c r="D16" s="50">
        <v>0</v>
      </c>
      <c r="E16" s="50">
        <v>14</v>
      </c>
      <c r="F16" s="50">
        <v>15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64</v>
      </c>
      <c r="N16" s="50">
        <v>0</v>
      </c>
      <c r="O16" s="15">
        <f t="shared" si="0"/>
        <v>35</v>
      </c>
      <c r="P16" s="15">
        <f t="shared" si="1"/>
        <v>99</v>
      </c>
      <c r="R16" s="1" t="s">
        <v>12</v>
      </c>
      <c r="S16" s="17">
        <f t="shared" ref="S16:AF16" si="8">SUM(C34:C37)</f>
        <v>44</v>
      </c>
      <c r="T16" s="17">
        <f t="shared" si="8"/>
        <v>0</v>
      </c>
      <c r="U16" s="17">
        <f t="shared" si="8"/>
        <v>43</v>
      </c>
      <c r="V16" s="17">
        <f t="shared" si="8"/>
        <v>52</v>
      </c>
      <c r="W16" s="17">
        <f t="shared" si="8"/>
        <v>0</v>
      </c>
      <c r="X16" s="17">
        <f t="shared" si="8"/>
        <v>6</v>
      </c>
      <c r="Y16" s="17">
        <f t="shared" si="8"/>
        <v>18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254</v>
      </c>
      <c r="AD16" s="17">
        <f t="shared" si="8"/>
        <v>0</v>
      </c>
      <c r="AE16" s="31">
        <f t="shared" si="8"/>
        <v>165</v>
      </c>
      <c r="AF16" s="31">
        <f t="shared" si="8"/>
        <v>419</v>
      </c>
    </row>
    <row r="17" spans="2:32" ht="23.1" customHeight="1" x14ac:dyDescent="0.25">
      <c r="B17" s="23" t="s">
        <v>44</v>
      </c>
      <c r="C17" s="50">
        <v>8</v>
      </c>
      <c r="D17" s="50">
        <v>0</v>
      </c>
      <c r="E17" s="50">
        <v>7</v>
      </c>
      <c r="F17" s="50">
        <v>14</v>
      </c>
      <c r="G17" s="50">
        <v>0</v>
      </c>
      <c r="H17" s="50">
        <v>1</v>
      </c>
      <c r="I17" s="50">
        <v>4</v>
      </c>
      <c r="J17" s="50">
        <v>0</v>
      </c>
      <c r="K17" s="50">
        <v>0</v>
      </c>
      <c r="L17" s="50">
        <v>0</v>
      </c>
      <c r="M17" s="50">
        <v>60</v>
      </c>
      <c r="N17" s="50">
        <v>0</v>
      </c>
      <c r="O17" s="15">
        <f t="shared" si="0"/>
        <v>34</v>
      </c>
      <c r="P17" s="15">
        <f t="shared" si="1"/>
        <v>94</v>
      </c>
      <c r="R17" s="1" t="s">
        <v>13</v>
      </c>
      <c r="S17" s="17">
        <f t="shared" ref="S17:AF17" si="9">SUM(C38:C41)</f>
        <v>44</v>
      </c>
      <c r="T17" s="17">
        <f t="shared" si="9"/>
        <v>0</v>
      </c>
      <c r="U17" s="17">
        <f t="shared" si="9"/>
        <v>60</v>
      </c>
      <c r="V17" s="17">
        <f t="shared" si="9"/>
        <v>48</v>
      </c>
      <c r="W17" s="17">
        <f t="shared" si="9"/>
        <v>0</v>
      </c>
      <c r="X17" s="17">
        <f t="shared" si="9"/>
        <v>7</v>
      </c>
      <c r="Y17" s="17">
        <f t="shared" si="9"/>
        <v>26</v>
      </c>
      <c r="Z17" s="17">
        <f t="shared" si="9"/>
        <v>2</v>
      </c>
      <c r="AA17" s="17">
        <f t="shared" si="9"/>
        <v>2</v>
      </c>
      <c r="AB17" s="17">
        <f t="shared" si="9"/>
        <v>0</v>
      </c>
      <c r="AC17" s="17">
        <f t="shared" si="9"/>
        <v>228</v>
      </c>
      <c r="AD17" s="17">
        <f t="shared" si="9"/>
        <v>0</v>
      </c>
      <c r="AE17" s="31">
        <f t="shared" si="9"/>
        <v>189</v>
      </c>
      <c r="AF17" s="31">
        <f t="shared" si="9"/>
        <v>417</v>
      </c>
    </row>
    <row r="18" spans="2:32" ht="23.1" customHeight="1" x14ac:dyDescent="0.25">
      <c r="B18" s="23" t="s">
        <v>45</v>
      </c>
      <c r="C18" s="50">
        <v>4</v>
      </c>
      <c r="D18" s="50">
        <v>0</v>
      </c>
      <c r="E18" s="50">
        <v>9</v>
      </c>
      <c r="F18" s="50">
        <v>8</v>
      </c>
      <c r="G18" s="50">
        <v>0</v>
      </c>
      <c r="H18" s="50">
        <v>0</v>
      </c>
      <c r="I18" s="50">
        <v>4</v>
      </c>
      <c r="J18" s="50">
        <v>2</v>
      </c>
      <c r="K18" s="50">
        <v>0</v>
      </c>
      <c r="L18" s="50">
        <v>0</v>
      </c>
      <c r="M18" s="50">
        <v>57</v>
      </c>
      <c r="N18" s="50">
        <v>0</v>
      </c>
      <c r="O18" s="15">
        <f t="shared" si="0"/>
        <v>27</v>
      </c>
      <c r="P18" s="15">
        <f t="shared" si="1"/>
        <v>84</v>
      </c>
      <c r="R18" s="1" t="s">
        <v>14</v>
      </c>
      <c r="S18" s="17">
        <f t="shared" ref="S18:AF18" si="10">SUM(C42:C45)</f>
        <v>46</v>
      </c>
      <c r="T18" s="17">
        <f t="shared" si="10"/>
        <v>0</v>
      </c>
      <c r="U18" s="17">
        <f t="shared" si="10"/>
        <v>67</v>
      </c>
      <c r="V18" s="17">
        <f t="shared" si="10"/>
        <v>71</v>
      </c>
      <c r="W18" s="17">
        <f t="shared" si="10"/>
        <v>1</v>
      </c>
      <c r="X18" s="17">
        <f t="shared" si="10"/>
        <v>4</v>
      </c>
      <c r="Y18" s="17">
        <f t="shared" si="10"/>
        <v>27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241</v>
      </c>
      <c r="AD18" s="17">
        <f t="shared" si="10"/>
        <v>0</v>
      </c>
      <c r="AE18" s="31">
        <f t="shared" si="10"/>
        <v>216</v>
      </c>
      <c r="AF18" s="31">
        <f t="shared" si="10"/>
        <v>457</v>
      </c>
    </row>
    <row r="19" spans="2:32" ht="23.1" customHeight="1" x14ac:dyDescent="0.25">
      <c r="B19" s="23" t="s">
        <v>46</v>
      </c>
      <c r="C19" s="50">
        <v>6</v>
      </c>
      <c r="D19" s="50">
        <v>0</v>
      </c>
      <c r="E19" s="50">
        <v>11</v>
      </c>
      <c r="F19" s="50">
        <v>13</v>
      </c>
      <c r="G19" s="50">
        <v>0</v>
      </c>
      <c r="H19" s="50">
        <v>0</v>
      </c>
      <c r="I19" s="50">
        <v>5</v>
      </c>
      <c r="J19" s="50">
        <v>0</v>
      </c>
      <c r="K19" s="50">
        <v>0</v>
      </c>
      <c r="L19" s="50">
        <v>0</v>
      </c>
      <c r="M19" s="50">
        <v>67</v>
      </c>
      <c r="N19" s="50">
        <v>0</v>
      </c>
      <c r="O19" s="15">
        <f t="shared" si="0"/>
        <v>35</v>
      </c>
      <c r="P19" s="15">
        <f t="shared" si="1"/>
        <v>102</v>
      </c>
      <c r="R19" s="1" t="s">
        <v>15</v>
      </c>
      <c r="S19" s="17">
        <f t="shared" ref="S19:AF19" si="11">SUM(C46:C49)</f>
        <v>54</v>
      </c>
      <c r="T19" s="17">
        <f t="shared" si="11"/>
        <v>0</v>
      </c>
      <c r="U19" s="17">
        <f t="shared" si="11"/>
        <v>55</v>
      </c>
      <c r="V19" s="17">
        <f t="shared" si="11"/>
        <v>53</v>
      </c>
      <c r="W19" s="17">
        <f t="shared" si="11"/>
        <v>0</v>
      </c>
      <c r="X19" s="17">
        <f t="shared" si="11"/>
        <v>4</v>
      </c>
      <c r="Y19" s="17">
        <f t="shared" si="11"/>
        <v>33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236</v>
      </c>
      <c r="AD19" s="17">
        <f t="shared" si="11"/>
        <v>0</v>
      </c>
      <c r="AE19" s="31">
        <f t="shared" si="11"/>
        <v>200</v>
      </c>
      <c r="AF19" s="31">
        <f t="shared" si="11"/>
        <v>436</v>
      </c>
    </row>
    <row r="20" spans="2:32" ht="23.1" customHeight="1" x14ac:dyDescent="0.25">
      <c r="B20" s="23" t="s">
        <v>47</v>
      </c>
      <c r="C20" s="50">
        <v>5</v>
      </c>
      <c r="D20" s="50">
        <v>0</v>
      </c>
      <c r="E20" s="50">
        <v>11</v>
      </c>
      <c r="F20" s="50">
        <v>12</v>
      </c>
      <c r="G20" s="50">
        <v>0</v>
      </c>
      <c r="H20" s="50">
        <v>0</v>
      </c>
      <c r="I20" s="50">
        <v>7</v>
      </c>
      <c r="J20" s="50">
        <v>0</v>
      </c>
      <c r="K20" s="50">
        <v>0</v>
      </c>
      <c r="L20" s="50">
        <v>0</v>
      </c>
      <c r="M20" s="50">
        <v>58</v>
      </c>
      <c r="N20" s="50">
        <v>0</v>
      </c>
      <c r="O20" s="15">
        <f t="shared" si="0"/>
        <v>35</v>
      </c>
      <c r="P20" s="15">
        <f t="shared" si="1"/>
        <v>93</v>
      </c>
      <c r="R20" s="1" t="s">
        <v>16</v>
      </c>
      <c r="S20" s="17">
        <f t="shared" ref="S20:AF20" si="12">SUM(C50:C53)</f>
        <v>53</v>
      </c>
      <c r="T20" s="17">
        <f t="shared" si="12"/>
        <v>0</v>
      </c>
      <c r="U20" s="17">
        <f t="shared" si="12"/>
        <v>85</v>
      </c>
      <c r="V20" s="17">
        <f t="shared" si="12"/>
        <v>58</v>
      </c>
      <c r="W20" s="17">
        <f t="shared" si="12"/>
        <v>0</v>
      </c>
      <c r="X20" s="17">
        <f t="shared" si="12"/>
        <v>5</v>
      </c>
      <c r="Y20" s="17">
        <f t="shared" si="12"/>
        <v>40</v>
      </c>
      <c r="Z20" s="17">
        <f t="shared" si="12"/>
        <v>2</v>
      </c>
      <c r="AA20" s="17">
        <f t="shared" si="12"/>
        <v>1</v>
      </c>
      <c r="AB20" s="17">
        <f t="shared" si="12"/>
        <v>0</v>
      </c>
      <c r="AC20" s="17">
        <f t="shared" si="12"/>
        <v>250</v>
      </c>
      <c r="AD20" s="17">
        <f t="shared" si="12"/>
        <v>0</v>
      </c>
      <c r="AE20" s="31">
        <f t="shared" si="12"/>
        <v>244</v>
      </c>
      <c r="AF20" s="31">
        <f t="shared" si="12"/>
        <v>494</v>
      </c>
    </row>
    <row r="21" spans="2:32" ht="23.1" customHeight="1" x14ac:dyDescent="0.25">
      <c r="B21" s="23" t="s">
        <v>48</v>
      </c>
      <c r="C21" s="50">
        <v>5</v>
      </c>
      <c r="D21" s="50">
        <v>0</v>
      </c>
      <c r="E21" s="50">
        <v>6</v>
      </c>
      <c r="F21" s="50">
        <v>13</v>
      </c>
      <c r="G21" s="50">
        <v>0</v>
      </c>
      <c r="H21" s="50">
        <v>1</v>
      </c>
      <c r="I21" s="50">
        <v>6</v>
      </c>
      <c r="J21" s="50">
        <v>0</v>
      </c>
      <c r="K21" s="50">
        <v>0</v>
      </c>
      <c r="L21" s="50">
        <v>0</v>
      </c>
      <c r="M21" s="50">
        <v>69</v>
      </c>
      <c r="N21" s="50">
        <v>0</v>
      </c>
      <c r="O21" s="15">
        <f t="shared" si="0"/>
        <v>31</v>
      </c>
      <c r="P21" s="15">
        <f t="shared" si="1"/>
        <v>100</v>
      </c>
      <c r="R21" s="36" t="s">
        <v>20</v>
      </c>
      <c r="S21" s="34">
        <f t="shared" ref="S21:AF21" si="13">SUM(C54:C57)</f>
        <v>66</v>
      </c>
      <c r="T21" s="17">
        <f t="shared" si="13"/>
        <v>0</v>
      </c>
      <c r="U21" s="17">
        <f t="shared" si="13"/>
        <v>87</v>
      </c>
      <c r="V21" s="17">
        <f t="shared" si="13"/>
        <v>60</v>
      </c>
      <c r="W21" s="17">
        <f t="shared" si="13"/>
        <v>2</v>
      </c>
      <c r="X21" s="17">
        <f t="shared" si="13"/>
        <v>11</v>
      </c>
      <c r="Y21" s="17">
        <f t="shared" si="13"/>
        <v>33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313</v>
      </c>
      <c r="AD21" s="17">
        <f t="shared" si="13"/>
        <v>0</v>
      </c>
      <c r="AE21" s="31">
        <f t="shared" si="13"/>
        <v>259</v>
      </c>
      <c r="AF21" s="31">
        <f t="shared" si="13"/>
        <v>572</v>
      </c>
    </row>
    <row r="22" spans="2:32" ht="23.1" customHeight="1" x14ac:dyDescent="0.25">
      <c r="B22" s="23" t="s">
        <v>49</v>
      </c>
      <c r="C22" s="50">
        <v>8</v>
      </c>
      <c r="D22" s="50">
        <v>0</v>
      </c>
      <c r="E22" s="50">
        <v>5</v>
      </c>
      <c r="F22" s="50">
        <v>12</v>
      </c>
      <c r="G22" s="50">
        <v>0</v>
      </c>
      <c r="H22" s="50">
        <v>0</v>
      </c>
      <c r="I22" s="50">
        <v>5</v>
      </c>
      <c r="J22" s="50">
        <v>0</v>
      </c>
      <c r="K22" s="50">
        <v>0</v>
      </c>
      <c r="L22" s="50">
        <v>0</v>
      </c>
      <c r="M22" s="50">
        <v>54</v>
      </c>
      <c r="N22" s="50">
        <v>0</v>
      </c>
      <c r="O22" s="15">
        <f t="shared" si="0"/>
        <v>30</v>
      </c>
      <c r="P22" s="15">
        <f t="shared" si="1"/>
        <v>84</v>
      </c>
      <c r="R22" s="38" t="s">
        <v>90</v>
      </c>
      <c r="S22" s="39">
        <f>MAX(S10:S12)</f>
        <v>23</v>
      </c>
      <c r="T22" s="39">
        <f t="shared" ref="T22:AF22" si="14">MAX(T10:T12)</f>
        <v>0</v>
      </c>
      <c r="U22" s="39">
        <f t="shared" si="14"/>
        <v>42</v>
      </c>
      <c r="V22" s="39">
        <f t="shared" si="14"/>
        <v>54</v>
      </c>
      <c r="W22" s="39">
        <f t="shared" si="14"/>
        <v>1</v>
      </c>
      <c r="X22" s="39">
        <f t="shared" si="14"/>
        <v>2</v>
      </c>
      <c r="Y22" s="39">
        <f t="shared" si="14"/>
        <v>22</v>
      </c>
      <c r="Z22" s="39">
        <f t="shared" si="14"/>
        <v>2</v>
      </c>
      <c r="AA22" s="39">
        <f t="shared" si="14"/>
        <v>1</v>
      </c>
      <c r="AB22" s="39">
        <f t="shared" si="14"/>
        <v>0</v>
      </c>
      <c r="AC22" s="39">
        <f t="shared" si="14"/>
        <v>251</v>
      </c>
      <c r="AD22" s="39">
        <f t="shared" si="14"/>
        <v>0</v>
      </c>
      <c r="AE22" s="40">
        <f t="shared" si="14"/>
        <v>139</v>
      </c>
      <c r="AF22" s="40">
        <f t="shared" si="14"/>
        <v>383</v>
      </c>
    </row>
    <row r="23" spans="2:32" ht="23.1" customHeight="1" x14ac:dyDescent="0.25">
      <c r="B23" s="23" t="s">
        <v>50</v>
      </c>
      <c r="C23" s="50">
        <v>10</v>
      </c>
      <c r="D23" s="50">
        <v>0</v>
      </c>
      <c r="E23" s="50">
        <v>16</v>
      </c>
      <c r="F23" s="50">
        <v>12</v>
      </c>
      <c r="G23" s="50">
        <v>0</v>
      </c>
      <c r="H23" s="50">
        <v>0</v>
      </c>
      <c r="I23" s="50">
        <v>6</v>
      </c>
      <c r="J23" s="50">
        <v>1</v>
      </c>
      <c r="K23" s="50">
        <v>0</v>
      </c>
      <c r="L23" s="50">
        <v>0</v>
      </c>
      <c r="M23" s="50">
        <v>60</v>
      </c>
      <c r="N23" s="50">
        <v>0</v>
      </c>
      <c r="O23" s="15">
        <f t="shared" si="0"/>
        <v>45</v>
      </c>
      <c r="P23" s="15">
        <f t="shared" si="1"/>
        <v>105</v>
      </c>
      <c r="R23" s="38" t="s">
        <v>91</v>
      </c>
      <c r="S23" s="39">
        <f>MAX(S13:S18)</f>
        <v>46</v>
      </c>
      <c r="T23" s="39">
        <f t="shared" ref="T23:AF23" si="15">MAX(T13:T18)</f>
        <v>0</v>
      </c>
      <c r="U23" s="39">
        <f t="shared" si="15"/>
        <v>67</v>
      </c>
      <c r="V23" s="39">
        <f t="shared" si="15"/>
        <v>71</v>
      </c>
      <c r="W23" s="39">
        <f t="shared" si="15"/>
        <v>1</v>
      </c>
      <c r="X23" s="39">
        <f t="shared" si="15"/>
        <v>7</v>
      </c>
      <c r="Y23" s="39">
        <f t="shared" si="15"/>
        <v>33</v>
      </c>
      <c r="Z23" s="39">
        <f t="shared" si="15"/>
        <v>2</v>
      </c>
      <c r="AA23" s="39">
        <f t="shared" si="15"/>
        <v>2</v>
      </c>
      <c r="AB23" s="39">
        <f t="shared" si="15"/>
        <v>0</v>
      </c>
      <c r="AC23" s="39">
        <f t="shared" si="15"/>
        <v>260</v>
      </c>
      <c r="AD23" s="39">
        <f t="shared" si="15"/>
        <v>0</v>
      </c>
      <c r="AE23" s="40">
        <f t="shared" si="15"/>
        <v>216</v>
      </c>
      <c r="AF23" s="40">
        <f t="shared" si="15"/>
        <v>457</v>
      </c>
    </row>
    <row r="24" spans="2:32" ht="23.1" customHeight="1" x14ac:dyDescent="0.25">
      <c r="B24" s="23" t="s">
        <v>51</v>
      </c>
      <c r="C24" s="50">
        <v>5</v>
      </c>
      <c r="D24" s="50">
        <v>0</v>
      </c>
      <c r="E24" s="50">
        <v>11</v>
      </c>
      <c r="F24" s="50">
        <v>13</v>
      </c>
      <c r="G24" s="50">
        <v>1</v>
      </c>
      <c r="H24" s="50">
        <v>0</v>
      </c>
      <c r="I24" s="50">
        <v>8</v>
      </c>
      <c r="J24" s="50">
        <v>0</v>
      </c>
      <c r="K24" s="50">
        <v>0</v>
      </c>
      <c r="L24" s="50">
        <v>0</v>
      </c>
      <c r="M24" s="50">
        <v>66</v>
      </c>
      <c r="N24" s="50">
        <v>0</v>
      </c>
      <c r="O24" s="15">
        <f t="shared" si="0"/>
        <v>38</v>
      </c>
      <c r="P24" s="15">
        <f t="shared" si="1"/>
        <v>104</v>
      </c>
      <c r="R24" s="38" t="s">
        <v>92</v>
      </c>
      <c r="S24" s="39">
        <f>MAX(S19:S21)</f>
        <v>66</v>
      </c>
      <c r="T24" s="39">
        <f t="shared" ref="T24:AF24" si="16">MAX(T19:T21)</f>
        <v>0</v>
      </c>
      <c r="U24" s="39">
        <f t="shared" si="16"/>
        <v>87</v>
      </c>
      <c r="V24" s="39">
        <f t="shared" si="16"/>
        <v>60</v>
      </c>
      <c r="W24" s="39">
        <f t="shared" si="16"/>
        <v>2</v>
      </c>
      <c r="X24" s="39">
        <f t="shared" si="16"/>
        <v>11</v>
      </c>
      <c r="Y24" s="39">
        <f t="shared" si="16"/>
        <v>40</v>
      </c>
      <c r="Z24" s="39">
        <f t="shared" si="16"/>
        <v>2</v>
      </c>
      <c r="AA24" s="39">
        <f t="shared" si="16"/>
        <v>1</v>
      </c>
      <c r="AB24" s="39">
        <f t="shared" si="16"/>
        <v>0</v>
      </c>
      <c r="AC24" s="39">
        <f t="shared" si="16"/>
        <v>313</v>
      </c>
      <c r="AD24" s="39">
        <f t="shared" si="16"/>
        <v>0</v>
      </c>
      <c r="AE24" s="40">
        <f t="shared" si="16"/>
        <v>259</v>
      </c>
      <c r="AF24" s="40">
        <f t="shared" si="16"/>
        <v>572</v>
      </c>
    </row>
    <row r="25" spans="2:32" ht="23.1" customHeight="1" x14ac:dyDescent="0.25">
      <c r="B25" s="23" t="s">
        <v>52</v>
      </c>
      <c r="C25" s="50">
        <v>8</v>
      </c>
      <c r="D25" s="50">
        <v>0</v>
      </c>
      <c r="E25" s="50">
        <v>17</v>
      </c>
      <c r="F25" s="50">
        <v>15</v>
      </c>
      <c r="G25" s="50">
        <v>0</v>
      </c>
      <c r="H25" s="50">
        <v>1</v>
      </c>
      <c r="I25" s="50">
        <v>5</v>
      </c>
      <c r="J25" s="50">
        <v>0</v>
      </c>
      <c r="K25" s="50">
        <v>0</v>
      </c>
      <c r="L25" s="50">
        <v>0</v>
      </c>
      <c r="M25" s="50">
        <v>75</v>
      </c>
      <c r="N25" s="50">
        <v>0</v>
      </c>
      <c r="O25" s="15">
        <f t="shared" si="0"/>
        <v>46</v>
      </c>
      <c r="P25" s="15">
        <f t="shared" si="1"/>
        <v>121</v>
      </c>
      <c r="R25" s="37" t="s">
        <v>85</v>
      </c>
      <c r="S25" s="35">
        <f t="shared" ref="S25:AF25" si="17">SUM(S10:S12)</f>
        <v>60</v>
      </c>
      <c r="T25" s="16">
        <f t="shared" si="17"/>
        <v>0</v>
      </c>
      <c r="U25" s="16">
        <f t="shared" si="17"/>
        <v>98</v>
      </c>
      <c r="V25" s="16">
        <f t="shared" si="17"/>
        <v>140</v>
      </c>
      <c r="W25" s="16">
        <f t="shared" si="17"/>
        <v>1</v>
      </c>
      <c r="X25" s="16">
        <f t="shared" si="17"/>
        <v>4</v>
      </c>
      <c r="Y25" s="16">
        <f t="shared" si="17"/>
        <v>52</v>
      </c>
      <c r="Z25" s="16">
        <f t="shared" si="17"/>
        <v>5</v>
      </c>
      <c r="AA25" s="16">
        <f t="shared" si="17"/>
        <v>1</v>
      </c>
      <c r="AB25" s="16">
        <f t="shared" si="17"/>
        <v>0</v>
      </c>
      <c r="AC25" s="16">
        <f t="shared" si="17"/>
        <v>607</v>
      </c>
      <c r="AD25" s="16">
        <f t="shared" si="17"/>
        <v>0</v>
      </c>
      <c r="AE25" s="32">
        <f t="shared" si="17"/>
        <v>361</v>
      </c>
      <c r="AF25" s="32">
        <f t="shared" si="17"/>
        <v>968</v>
      </c>
    </row>
    <row r="26" spans="2:32" ht="23.1" customHeight="1" x14ac:dyDescent="0.25">
      <c r="B26" s="23" t="s">
        <v>53</v>
      </c>
      <c r="C26" s="50">
        <v>12</v>
      </c>
      <c r="D26" s="50">
        <v>0</v>
      </c>
      <c r="E26" s="50">
        <v>12</v>
      </c>
      <c r="F26" s="50">
        <v>11</v>
      </c>
      <c r="G26" s="50">
        <v>0</v>
      </c>
      <c r="H26" s="50">
        <v>0</v>
      </c>
      <c r="I26" s="50">
        <v>4</v>
      </c>
      <c r="J26" s="50">
        <v>0</v>
      </c>
      <c r="K26" s="50">
        <v>1</v>
      </c>
      <c r="L26" s="50">
        <v>0</v>
      </c>
      <c r="M26" s="50">
        <v>58</v>
      </c>
      <c r="N26" s="50">
        <v>0</v>
      </c>
      <c r="O26" s="15">
        <f t="shared" si="0"/>
        <v>40</v>
      </c>
      <c r="P26" s="15">
        <f t="shared" si="1"/>
        <v>98</v>
      </c>
      <c r="R26" s="28" t="s">
        <v>86</v>
      </c>
      <c r="S26" s="16">
        <f t="shared" ref="S26:AF26" si="18">SUM(S13:S18)</f>
        <v>239</v>
      </c>
      <c r="T26" s="16">
        <f t="shared" si="18"/>
        <v>0</v>
      </c>
      <c r="U26" s="16">
        <f t="shared" si="18"/>
        <v>325</v>
      </c>
      <c r="V26" s="16">
        <f t="shared" si="18"/>
        <v>309</v>
      </c>
      <c r="W26" s="16">
        <f t="shared" si="18"/>
        <v>3</v>
      </c>
      <c r="X26" s="16">
        <f t="shared" si="18"/>
        <v>21</v>
      </c>
      <c r="Y26" s="16">
        <f t="shared" si="18"/>
        <v>157</v>
      </c>
      <c r="Z26" s="16">
        <f t="shared" si="18"/>
        <v>8</v>
      </c>
      <c r="AA26" s="16">
        <f t="shared" si="18"/>
        <v>3</v>
      </c>
      <c r="AB26" s="16">
        <f t="shared" si="18"/>
        <v>0</v>
      </c>
      <c r="AC26" s="16">
        <f t="shared" si="18"/>
        <v>1494</v>
      </c>
      <c r="AD26" s="16">
        <f t="shared" si="18"/>
        <v>0</v>
      </c>
      <c r="AE26" s="32">
        <f t="shared" si="18"/>
        <v>1065</v>
      </c>
      <c r="AF26" s="32">
        <f t="shared" si="18"/>
        <v>2559</v>
      </c>
    </row>
    <row r="27" spans="2:32" ht="23.1" customHeight="1" x14ac:dyDescent="0.25">
      <c r="B27" s="23" t="s">
        <v>54</v>
      </c>
      <c r="C27" s="50">
        <v>7</v>
      </c>
      <c r="D27" s="50">
        <v>0</v>
      </c>
      <c r="E27" s="50">
        <v>18</v>
      </c>
      <c r="F27" s="50">
        <v>11</v>
      </c>
      <c r="G27" s="50">
        <v>0</v>
      </c>
      <c r="H27" s="50">
        <v>0</v>
      </c>
      <c r="I27" s="50">
        <v>10</v>
      </c>
      <c r="J27" s="50">
        <v>0</v>
      </c>
      <c r="K27" s="50">
        <v>0</v>
      </c>
      <c r="L27" s="50">
        <v>0</v>
      </c>
      <c r="M27" s="50">
        <v>71</v>
      </c>
      <c r="N27" s="50">
        <v>0</v>
      </c>
      <c r="O27" s="15">
        <f t="shared" si="0"/>
        <v>46</v>
      </c>
      <c r="P27" s="15">
        <f t="shared" si="1"/>
        <v>117</v>
      </c>
      <c r="R27" s="29" t="s">
        <v>87</v>
      </c>
      <c r="S27" s="16">
        <f t="shared" ref="S27:AF27" si="19">SUM(S19:S21)</f>
        <v>173</v>
      </c>
      <c r="T27" s="16">
        <f t="shared" si="19"/>
        <v>0</v>
      </c>
      <c r="U27" s="16">
        <f t="shared" si="19"/>
        <v>227</v>
      </c>
      <c r="V27" s="16">
        <f t="shared" si="19"/>
        <v>171</v>
      </c>
      <c r="W27" s="16">
        <f t="shared" si="19"/>
        <v>2</v>
      </c>
      <c r="X27" s="16">
        <f t="shared" si="19"/>
        <v>20</v>
      </c>
      <c r="Y27" s="16">
        <f t="shared" si="19"/>
        <v>106</v>
      </c>
      <c r="Z27" s="16">
        <f t="shared" si="19"/>
        <v>3</v>
      </c>
      <c r="AA27" s="16">
        <f t="shared" si="19"/>
        <v>1</v>
      </c>
      <c r="AB27" s="16">
        <f t="shared" si="19"/>
        <v>0</v>
      </c>
      <c r="AC27" s="16">
        <f t="shared" si="19"/>
        <v>799</v>
      </c>
      <c r="AD27" s="16">
        <f t="shared" si="19"/>
        <v>0</v>
      </c>
      <c r="AE27" s="32">
        <f t="shared" si="19"/>
        <v>703</v>
      </c>
      <c r="AF27" s="32">
        <f t="shared" si="19"/>
        <v>1502</v>
      </c>
    </row>
    <row r="28" spans="2:32" ht="23.1" customHeight="1" x14ac:dyDescent="0.25">
      <c r="B28" s="23" t="s">
        <v>55</v>
      </c>
      <c r="C28" s="50">
        <v>7</v>
      </c>
      <c r="D28" s="50">
        <v>0</v>
      </c>
      <c r="E28" s="50">
        <v>17</v>
      </c>
      <c r="F28" s="50">
        <v>13</v>
      </c>
      <c r="G28" s="50">
        <v>0</v>
      </c>
      <c r="H28" s="50">
        <v>1</v>
      </c>
      <c r="I28" s="50">
        <v>8</v>
      </c>
      <c r="J28" s="50">
        <v>0</v>
      </c>
      <c r="K28" s="50">
        <v>0</v>
      </c>
      <c r="L28" s="50">
        <v>0</v>
      </c>
      <c r="M28" s="50">
        <v>65</v>
      </c>
      <c r="N28" s="50">
        <v>0</v>
      </c>
      <c r="O28" s="15">
        <f t="shared" si="0"/>
        <v>46</v>
      </c>
      <c r="P28" s="15">
        <f t="shared" si="1"/>
        <v>111</v>
      </c>
      <c r="R28" s="5" t="s">
        <v>17</v>
      </c>
      <c r="S28" s="16">
        <f t="shared" ref="S28:AF28" si="20">SUM(S10:S21)</f>
        <v>472</v>
      </c>
      <c r="T28" s="16">
        <f t="shared" si="20"/>
        <v>0</v>
      </c>
      <c r="U28" s="16">
        <f t="shared" si="20"/>
        <v>650</v>
      </c>
      <c r="V28" s="16">
        <f t="shared" si="20"/>
        <v>620</v>
      </c>
      <c r="W28" s="16">
        <f t="shared" si="20"/>
        <v>6</v>
      </c>
      <c r="X28" s="16">
        <f t="shared" si="20"/>
        <v>45</v>
      </c>
      <c r="Y28" s="16">
        <f t="shared" si="20"/>
        <v>315</v>
      </c>
      <c r="Z28" s="16">
        <f t="shared" si="20"/>
        <v>16</v>
      </c>
      <c r="AA28" s="16">
        <f t="shared" si="20"/>
        <v>5</v>
      </c>
      <c r="AB28" s="16">
        <f t="shared" si="20"/>
        <v>0</v>
      </c>
      <c r="AC28" s="16">
        <f t="shared" si="20"/>
        <v>2900</v>
      </c>
      <c r="AD28" s="16">
        <f t="shared" si="20"/>
        <v>0</v>
      </c>
      <c r="AE28" s="32">
        <f t="shared" si="20"/>
        <v>2129</v>
      </c>
      <c r="AF28" s="32">
        <f t="shared" si="20"/>
        <v>5029</v>
      </c>
    </row>
    <row r="29" spans="2:32" ht="23.1" customHeight="1" x14ac:dyDescent="0.25">
      <c r="B29" s="23" t="s">
        <v>56</v>
      </c>
      <c r="C29" s="50">
        <v>10</v>
      </c>
      <c r="D29" s="50">
        <v>0</v>
      </c>
      <c r="E29" s="50">
        <v>14</v>
      </c>
      <c r="F29" s="50">
        <v>10</v>
      </c>
      <c r="G29" s="50">
        <v>0</v>
      </c>
      <c r="H29" s="50">
        <v>1</v>
      </c>
      <c r="I29" s="50">
        <v>7</v>
      </c>
      <c r="J29" s="50">
        <v>1</v>
      </c>
      <c r="K29" s="50">
        <v>0</v>
      </c>
      <c r="L29" s="50">
        <v>0</v>
      </c>
      <c r="M29" s="50">
        <v>62</v>
      </c>
      <c r="N29" s="50">
        <v>0</v>
      </c>
      <c r="O29" s="15">
        <f t="shared" si="0"/>
        <v>43</v>
      </c>
      <c r="P29" s="15">
        <f t="shared" si="1"/>
        <v>105</v>
      </c>
      <c r="R29"/>
      <c r="S29" s="20"/>
      <c r="T29" s="19"/>
    </row>
    <row r="30" spans="2:32" ht="23.1" customHeight="1" x14ac:dyDescent="0.25">
      <c r="B30" s="23" t="s">
        <v>57</v>
      </c>
      <c r="C30" s="50">
        <v>10</v>
      </c>
      <c r="D30" s="50">
        <v>0</v>
      </c>
      <c r="E30" s="50">
        <v>16</v>
      </c>
      <c r="F30" s="50">
        <v>13</v>
      </c>
      <c r="G30" s="50">
        <v>0</v>
      </c>
      <c r="H30" s="50">
        <v>1</v>
      </c>
      <c r="I30" s="50">
        <v>9</v>
      </c>
      <c r="J30" s="50">
        <v>2</v>
      </c>
      <c r="K30" s="50">
        <v>0</v>
      </c>
      <c r="L30" s="50">
        <v>0</v>
      </c>
      <c r="M30" s="50">
        <v>72</v>
      </c>
      <c r="N30" s="50">
        <v>0</v>
      </c>
      <c r="O30" s="15">
        <f t="shared" si="0"/>
        <v>51</v>
      </c>
      <c r="P30" s="15">
        <f t="shared" si="1"/>
        <v>123</v>
      </c>
    </row>
    <row r="31" spans="2:32" ht="23.1" customHeight="1" x14ac:dyDescent="0.25">
      <c r="B31" s="24" t="s">
        <v>58</v>
      </c>
      <c r="C31" s="50">
        <v>13</v>
      </c>
      <c r="D31" s="50">
        <v>0</v>
      </c>
      <c r="E31" s="50">
        <v>6</v>
      </c>
      <c r="F31" s="50">
        <v>10</v>
      </c>
      <c r="G31" s="50">
        <v>1</v>
      </c>
      <c r="H31" s="50">
        <v>0</v>
      </c>
      <c r="I31" s="50">
        <v>8</v>
      </c>
      <c r="J31" s="50">
        <v>0</v>
      </c>
      <c r="K31" s="50">
        <v>0</v>
      </c>
      <c r="L31" s="50">
        <v>0</v>
      </c>
      <c r="M31" s="50">
        <v>61</v>
      </c>
      <c r="N31" s="50">
        <v>0</v>
      </c>
      <c r="O31" s="15">
        <f t="shared" si="0"/>
        <v>38</v>
      </c>
      <c r="P31" s="15">
        <f t="shared" si="1"/>
        <v>99</v>
      </c>
    </row>
    <row r="32" spans="2:32" ht="23.1" customHeight="1" x14ac:dyDescent="0.25">
      <c r="B32" s="24" t="s">
        <v>59</v>
      </c>
      <c r="C32" s="50">
        <v>8</v>
      </c>
      <c r="D32" s="50">
        <v>0</v>
      </c>
      <c r="E32" s="50">
        <v>11</v>
      </c>
      <c r="F32" s="50">
        <v>9</v>
      </c>
      <c r="G32" s="50">
        <v>0</v>
      </c>
      <c r="H32" s="50">
        <v>0</v>
      </c>
      <c r="I32" s="50">
        <v>6</v>
      </c>
      <c r="J32" s="50">
        <v>0</v>
      </c>
      <c r="K32" s="50">
        <v>0</v>
      </c>
      <c r="L32" s="50">
        <v>0</v>
      </c>
      <c r="M32" s="50">
        <v>68</v>
      </c>
      <c r="N32" s="50">
        <v>0</v>
      </c>
      <c r="O32" s="15">
        <f t="shared" si="0"/>
        <v>34</v>
      </c>
      <c r="P32" s="15">
        <f t="shared" si="1"/>
        <v>102</v>
      </c>
    </row>
    <row r="33" spans="2:20" ht="23.1" customHeight="1" x14ac:dyDescent="0.25">
      <c r="B33" s="23" t="s">
        <v>60</v>
      </c>
      <c r="C33" s="50">
        <v>7</v>
      </c>
      <c r="D33" s="50">
        <v>0</v>
      </c>
      <c r="E33" s="50">
        <v>12</v>
      </c>
      <c r="F33" s="50">
        <v>9</v>
      </c>
      <c r="G33" s="50">
        <v>0</v>
      </c>
      <c r="H33" s="50">
        <v>0</v>
      </c>
      <c r="I33" s="50">
        <v>10</v>
      </c>
      <c r="J33" s="50">
        <v>0</v>
      </c>
      <c r="K33" s="50">
        <v>0</v>
      </c>
      <c r="L33" s="50">
        <v>0</v>
      </c>
      <c r="M33" s="50">
        <v>59</v>
      </c>
      <c r="N33" s="50">
        <v>0</v>
      </c>
      <c r="O33" s="15">
        <f t="shared" si="0"/>
        <v>38</v>
      </c>
      <c r="P33" s="15">
        <f t="shared" si="1"/>
        <v>97</v>
      </c>
    </row>
    <row r="34" spans="2:20" ht="23.1" customHeight="1" x14ac:dyDescent="0.25">
      <c r="B34" s="24" t="s">
        <v>61</v>
      </c>
      <c r="C34" s="50">
        <v>8</v>
      </c>
      <c r="D34" s="50">
        <v>0</v>
      </c>
      <c r="E34" s="50">
        <v>8</v>
      </c>
      <c r="F34" s="50">
        <v>10</v>
      </c>
      <c r="G34" s="50">
        <v>0</v>
      </c>
      <c r="H34" s="50">
        <v>1</v>
      </c>
      <c r="I34" s="50">
        <v>3</v>
      </c>
      <c r="J34" s="50">
        <v>0</v>
      </c>
      <c r="K34" s="50">
        <v>0</v>
      </c>
      <c r="L34" s="50">
        <v>0</v>
      </c>
      <c r="M34" s="50">
        <v>78</v>
      </c>
      <c r="N34" s="50">
        <v>0</v>
      </c>
      <c r="O34" s="15">
        <f t="shared" si="0"/>
        <v>30</v>
      </c>
      <c r="P34" s="15">
        <f t="shared" si="1"/>
        <v>108</v>
      </c>
    </row>
    <row r="35" spans="2:20" ht="23.1" customHeight="1" x14ac:dyDescent="0.25">
      <c r="B35" s="24" t="s">
        <v>62</v>
      </c>
      <c r="C35" s="50">
        <v>13</v>
      </c>
      <c r="D35" s="50">
        <v>0</v>
      </c>
      <c r="E35" s="50">
        <v>10</v>
      </c>
      <c r="F35" s="50">
        <v>13</v>
      </c>
      <c r="G35" s="50">
        <v>0</v>
      </c>
      <c r="H35" s="50">
        <v>1</v>
      </c>
      <c r="I35" s="50">
        <v>2</v>
      </c>
      <c r="J35" s="50">
        <v>0</v>
      </c>
      <c r="K35" s="50">
        <v>0</v>
      </c>
      <c r="L35" s="50">
        <v>0</v>
      </c>
      <c r="M35" s="50">
        <v>58</v>
      </c>
      <c r="N35" s="50">
        <v>0</v>
      </c>
      <c r="O35" s="15">
        <f t="shared" si="0"/>
        <v>39</v>
      </c>
      <c r="P35" s="15">
        <f t="shared" si="1"/>
        <v>97</v>
      </c>
    </row>
    <row r="36" spans="2:20" ht="23.1" customHeight="1" x14ac:dyDescent="0.25">
      <c r="B36" s="24" t="s">
        <v>63</v>
      </c>
      <c r="C36" s="50">
        <v>12</v>
      </c>
      <c r="D36" s="50">
        <v>0</v>
      </c>
      <c r="E36" s="50">
        <v>9</v>
      </c>
      <c r="F36" s="50">
        <v>12</v>
      </c>
      <c r="G36" s="50">
        <v>0</v>
      </c>
      <c r="H36" s="50">
        <v>1</v>
      </c>
      <c r="I36" s="50">
        <v>4</v>
      </c>
      <c r="J36" s="50">
        <v>2</v>
      </c>
      <c r="K36" s="50">
        <v>0</v>
      </c>
      <c r="L36" s="50">
        <v>0</v>
      </c>
      <c r="M36" s="50">
        <v>65</v>
      </c>
      <c r="N36" s="50">
        <v>0</v>
      </c>
      <c r="O36" s="15">
        <f t="shared" si="0"/>
        <v>40</v>
      </c>
      <c r="P36" s="15">
        <f t="shared" si="1"/>
        <v>105</v>
      </c>
    </row>
    <row r="37" spans="2:20" ht="23.1" customHeight="1" x14ac:dyDescent="0.25">
      <c r="B37" s="23" t="s">
        <v>64</v>
      </c>
      <c r="C37" s="50">
        <v>11</v>
      </c>
      <c r="D37" s="50">
        <v>0</v>
      </c>
      <c r="E37" s="50">
        <v>16</v>
      </c>
      <c r="F37" s="50">
        <v>17</v>
      </c>
      <c r="G37" s="50">
        <v>0</v>
      </c>
      <c r="H37" s="50">
        <v>3</v>
      </c>
      <c r="I37" s="50">
        <v>9</v>
      </c>
      <c r="J37" s="50">
        <v>0</v>
      </c>
      <c r="K37" s="50">
        <v>0</v>
      </c>
      <c r="L37" s="50">
        <v>0</v>
      </c>
      <c r="M37" s="50">
        <v>53</v>
      </c>
      <c r="N37" s="50">
        <v>0</v>
      </c>
      <c r="O37" s="15">
        <f t="shared" si="0"/>
        <v>56</v>
      </c>
      <c r="P37" s="15">
        <f t="shared" si="1"/>
        <v>109</v>
      </c>
    </row>
    <row r="38" spans="2:20" ht="23.1" customHeight="1" x14ac:dyDescent="0.25">
      <c r="B38" s="24" t="s">
        <v>65</v>
      </c>
      <c r="C38" s="50">
        <v>13</v>
      </c>
      <c r="D38" s="50">
        <v>0</v>
      </c>
      <c r="E38" s="50">
        <v>15</v>
      </c>
      <c r="F38" s="50">
        <v>10</v>
      </c>
      <c r="G38" s="50">
        <v>0</v>
      </c>
      <c r="H38" s="50">
        <v>1</v>
      </c>
      <c r="I38" s="50">
        <v>7</v>
      </c>
      <c r="J38" s="50">
        <v>1</v>
      </c>
      <c r="K38" s="50">
        <v>0</v>
      </c>
      <c r="L38" s="50">
        <v>0</v>
      </c>
      <c r="M38" s="50">
        <v>72</v>
      </c>
      <c r="N38" s="50">
        <v>0</v>
      </c>
      <c r="O38" s="15">
        <f t="shared" si="0"/>
        <v>47</v>
      </c>
      <c r="P38" s="15">
        <f t="shared" si="1"/>
        <v>119</v>
      </c>
    </row>
    <row r="39" spans="2:20" ht="23.1" customHeight="1" x14ac:dyDescent="0.25">
      <c r="B39" s="24" t="s">
        <v>66</v>
      </c>
      <c r="C39" s="50">
        <v>13</v>
      </c>
      <c r="D39" s="50">
        <v>0</v>
      </c>
      <c r="E39" s="50">
        <v>13</v>
      </c>
      <c r="F39" s="50">
        <v>12</v>
      </c>
      <c r="G39" s="50">
        <v>0</v>
      </c>
      <c r="H39" s="50">
        <v>3</v>
      </c>
      <c r="I39" s="50">
        <v>5</v>
      </c>
      <c r="J39" s="50">
        <v>1</v>
      </c>
      <c r="K39" s="50">
        <v>0</v>
      </c>
      <c r="L39" s="50">
        <v>0</v>
      </c>
      <c r="M39" s="50">
        <v>46</v>
      </c>
      <c r="N39" s="50">
        <v>0</v>
      </c>
      <c r="O39" s="15">
        <f t="shared" si="0"/>
        <v>47</v>
      </c>
      <c r="P39" s="15">
        <f t="shared" si="1"/>
        <v>93</v>
      </c>
    </row>
    <row r="40" spans="2:20" ht="23.1" customHeight="1" x14ac:dyDescent="0.25">
      <c r="B40" s="24" t="s">
        <v>67</v>
      </c>
      <c r="C40" s="50">
        <v>10</v>
      </c>
      <c r="D40" s="50">
        <v>0</v>
      </c>
      <c r="E40" s="50">
        <v>14</v>
      </c>
      <c r="F40" s="50">
        <v>10</v>
      </c>
      <c r="G40" s="50">
        <v>0</v>
      </c>
      <c r="H40" s="50">
        <v>2</v>
      </c>
      <c r="I40" s="50">
        <v>4</v>
      </c>
      <c r="J40" s="50">
        <v>0</v>
      </c>
      <c r="K40" s="50">
        <v>1</v>
      </c>
      <c r="L40" s="50">
        <v>0</v>
      </c>
      <c r="M40" s="50">
        <v>56</v>
      </c>
      <c r="N40" s="50">
        <v>0</v>
      </c>
      <c r="O40" s="15">
        <f t="shared" si="0"/>
        <v>41</v>
      </c>
      <c r="P40" s="15">
        <f t="shared" si="1"/>
        <v>97</v>
      </c>
    </row>
    <row r="41" spans="2:20" ht="23.1" customHeight="1" x14ac:dyDescent="0.25">
      <c r="B41" s="23" t="s">
        <v>68</v>
      </c>
      <c r="C41" s="50">
        <v>8</v>
      </c>
      <c r="D41" s="50">
        <v>0</v>
      </c>
      <c r="E41" s="50">
        <v>18</v>
      </c>
      <c r="F41" s="50">
        <v>16</v>
      </c>
      <c r="G41" s="50">
        <v>0</v>
      </c>
      <c r="H41" s="50">
        <v>1</v>
      </c>
      <c r="I41" s="50">
        <v>10</v>
      </c>
      <c r="J41" s="50">
        <v>0</v>
      </c>
      <c r="K41" s="50">
        <v>1</v>
      </c>
      <c r="L41" s="50">
        <v>0</v>
      </c>
      <c r="M41" s="50">
        <v>54</v>
      </c>
      <c r="N41" s="50">
        <v>0</v>
      </c>
      <c r="O41" s="15">
        <f t="shared" si="0"/>
        <v>54</v>
      </c>
      <c r="P41" s="15">
        <f t="shared" si="1"/>
        <v>108</v>
      </c>
    </row>
    <row r="42" spans="2:20" ht="23.1" customHeight="1" x14ac:dyDescent="0.25">
      <c r="B42" s="24" t="s">
        <v>69</v>
      </c>
      <c r="C42" s="50">
        <v>15</v>
      </c>
      <c r="D42" s="50">
        <v>0</v>
      </c>
      <c r="E42" s="50">
        <v>16</v>
      </c>
      <c r="F42" s="50">
        <v>20</v>
      </c>
      <c r="G42" s="50">
        <v>1</v>
      </c>
      <c r="H42" s="50">
        <v>0</v>
      </c>
      <c r="I42" s="50">
        <v>6</v>
      </c>
      <c r="J42" s="50">
        <v>0</v>
      </c>
      <c r="K42" s="50">
        <v>0</v>
      </c>
      <c r="L42" s="50">
        <v>0</v>
      </c>
      <c r="M42" s="50">
        <v>59</v>
      </c>
      <c r="N42" s="50">
        <v>0</v>
      </c>
      <c r="O42" s="15">
        <f t="shared" si="0"/>
        <v>58</v>
      </c>
      <c r="P42" s="15">
        <f t="shared" si="1"/>
        <v>117</v>
      </c>
    </row>
    <row r="43" spans="2:20" ht="23.1" customHeight="1" x14ac:dyDescent="0.25">
      <c r="B43" s="23" t="s">
        <v>70</v>
      </c>
      <c r="C43" s="50">
        <v>13</v>
      </c>
      <c r="D43" s="50">
        <v>0</v>
      </c>
      <c r="E43" s="50">
        <v>17</v>
      </c>
      <c r="F43" s="50">
        <v>17</v>
      </c>
      <c r="G43" s="50">
        <v>0</v>
      </c>
      <c r="H43" s="50">
        <v>0</v>
      </c>
      <c r="I43" s="50">
        <v>9</v>
      </c>
      <c r="J43" s="50">
        <v>0</v>
      </c>
      <c r="K43" s="50">
        <v>0</v>
      </c>
      <c r="L43" s="50">
        <v>0</v>
      </c>
      <c r="M43" s="50">
        <v>59</v>
      </c>
      <c r="N43" s="50">
        <v>0</v>
      </c>
      <c r="O43" s="15">
        <f t="shared" si="0"/>
        <v>56</v>
      </c>
      <c r="P43" s="15">
        <f t="shared" si="1"/>
        <v>115</v>
      </c>
    </row>
    <row r="44" spans="2:20" ht="23.1" customHeight="1" x14ac:dyDescent="0.25">
      <c r="B44" s="25" t="s">
        <v>71</v>
      </c>
      <c r="C44" s="50">
        <v>11</v>
      </c>
      <c r="D44" s="50">
        <v>0</v>
      </c>
      <c r="E44" s="50">
        <v>19</v>
      </c>
      <c r="F44" s="50">
        <v>16</v>
      </c>
      <c r="G44" s="50">
        <v>0</v>
      </c>
      <c r="H44" s="50">
        <v>2</v>
      </c>
      <c r="I44" s="50">
        <v>7</v>
      </c>
      <c r="J44" s="50">
        <v>0</v>
      </c>
      <c r="K44" s="50">
        <v>0</v>
      </c>
      <c r="L44" s="50">
        <v>0</v>
      </c>
      <c r="M44" s="50">
        <v>52</v>
      </c>
      <c r="N44" s="50">
        <v>0</v>
      </c>
      <c r="O44" s="15">
        <f t="shared" si="0"/>
        <v>55</v>
      </c>
      <c r="P44" s="15">
        <f t="shared" si="1"/>
        <v>107</v>
      </c>
    </row>
    <row r="45" spans="2:20" ht="23.1" customHeight="1" x14ac:dyDescent="0.25">
      <c r="B45" s="23" t="s">
        <v>72</v>
      </c>
      <c r="C45" s="50">
        <v>7</v>
      </c>
      <c r="D45" s="50">
        <v>0</v>
      </c>
      <c r="E45" s="50">
        <v>15</v>
      </c>
      <c r="F45" s="50">
        <v>18</v>
      </c>
      <c r="G45" s="50">
        <v>0</v>
      </c>
      <c r="H45" s="50">
        <v>2</v>
      </c>
      <c r="I45" s="50">
        <v>5</v>
      </c>
      <c r="J45" s="50">
        <v>0</v>
      </c>
      <c r="K45" s="50">
        <v>0</v>
      </c>
      <c r="L45" s="50">
        <v>0</v>
      </c>
      <c r="M45" s="50">
        <v>71</v>
      </c>
      <c r="N45" s="50">
        <v>0</v>
      </c>
      <c r="O45" s="15">
        <f t="shared" si="0"/>
        <v>47</v>
      </c>
      <c r="P45" s="15">
        <f t="shared" si="1"/>
        <v>118</v>
      </c>
    </row>
    <row r="46" spans="2:20" ht="23.1" customHeight="1" x14ac:dyDescent="0.25">
      <c r="B46" s="24" t="s">
        <v>73</v>
      </c>
      <c r="C46" s="50">
        <v>15</v>
      </c>
      <c r="D46" s="50">
        <v>0</v>
      </c>
      <c r="E46" s="50">
        <v>17</v>
      </c>
      <c r="F46" s="50">
        <v>10</v>
      </c>
      <c r="G46" s="50">
        <v>0</v>
      </c>
      <c r="H46" s="50">
        <v>2</v>
      </c>
      <c r="I46" s="50">
        <v>8</v>
      </c>
      <c r="J46" s="50">
        <v>0</v>
      </c>
      <c r="K46" s="50">
        <v>0</v>
      </c>
      <c r="L46" s="50">
        <v>0</v>
      </c>
      <c r="M46" s="50">
        <v>58</v>
      </c>
      <c r="N46" s="50">
        <v>0</v>
      </c>
      <c r="O46" s="15">
        <f t="shared" si="0"/>
        <v>52</v>
      </c>
      <c r="P46" s="15">
        <f t="shared" si="1"/>
        <v>110</v>
      </c>
      <c r="R46" s="8"/>
      <c r="T46"/>
    </row>
    <row r="47" spans="2:20" ht="23.1" customHeight="1" x14ac:dyDescent="0.25">
      <c r="B47" s="24" t="s">
        <v>74</v>
      </c>
      <c r="C47" s="50">
        <v>16</v>
      </c>
      <c r="D47" s="50">
        <v>0</v>
      </c>
      <c r="E47" s="50">
        <v>11</v>
      </c>
      <c r="F47" s="50">
        <v>15</v>
      </c>
      <c r="G47" s="50">
        <v>0</v>
      </c>
      <c r="H47" s="50">
        <v>1</v>
      </c>
      <c r="I47" s="50">
        <v>8</v>
      </c>
      <c r="J47" s="50">
        <v>1</v>
      </c>
      <c r="K47" s="50">
        <v>0</v>
      </c>
      <c r="L47" s="50">
        <v>0</v>
      </c>
      <c r="M47" s="50">
        <v>42</v>
      </c>
      <c r="N47" s="50">
        <v>0</v>
      </c>
      <c r="O47" s="15">
        <f t="shared" si="0"/>
        <v>52</v>
      </c>
      <c r="P47" s="15">
        <f t="shared" si="1"/>
        <v>94</v>
      </c>
      <c r="R47" s="8"/>
      <c r="T47"/>
    </row>
    <row r="48" spans="2:20" ht="23.1" customHeight="1" x14ac:dyDescent="0.25">
      <c r="B48" s="24" t="s">
        <v>75</v>
      </c>
      <c r="C48" s="50">
        <v>10</v>
      </c>
      <c r="D48" s="50">
        <v>0</v>
      </c>
      <c r="E48" s="50">
        <v>15</v>
      </c>
      <c r="F48" s="50">
        <v>14</v>
      </c>
      <c r="G48" s="50">
        <v>0</v>
      </c>
      <c r="H48" s="50">
        <v>1</v>
      </c>
      <c r="I48" s="50">
        <v>13</v>
      </c>
      <c r="J48" s="50">
        <v>0</v>
      </c>
      <c r="K48" s="50">
        <v>0</v>
      </c>
      <c r="L48" s="50">
        <v>0</v>
      </c>
      <c r="M48" s="50">
        <v>77</v>
      </c>
      <c r="N48" s="50">
        <v>0</v>
      </c>
      <c r="O48" s="15">
        <f t="shared" si="0"/>
        <v>53</v>
      </c>
      <c r="P48" s="15">
        <f t="shared" si="1"/>
        <v>130</v>
      </c>
      <c r="R48" s="8"/>
      <c r="T48"/>
    </row>
    <row r="49" spans="2:20" ht="23.1" customHeight="1" x14ac:dyDescent="0.25">
      <c r="B49" s="23" t="s">
        <v>76</v>
      </c>
      <c r="C49" s="50">
        <v>13</v>
      </c>
      <c r="D49" s="50">
        <v>0</v>
      </c>
      <c r="E49" s="50">
        <v>12</v>
      </c>
      <c r="F49" s="50">
        <v>14</v>
      </c>
      <c r="G49" s="50">
        <v>0</v>
      </c>
      <c r="H49" s="50">
        <v>0</v>
      </c>
      <c r="I49" s="50">
        <v>4</v>
      </c>
      <c r="J49" s="50">
        <v>0</v>
      </c>
      <c r="K49" s="50">
        <v>0</v>
      </c>
      <c r="L49" s="50">
        <v>0</v>
      </c>
      <c r="M49" s="50">
        <v>59</v>
      </c>
      <c r="N49" s="50">
        <v>0</v>
      </c>
      <c r="O49" s="15">
        <f t="shared" si="0"/>
        <v>43</v>
      </c>
      <c r="P49" s="15">
        <f t="shared" si="1"/>
        <v>102</v>
      </c>
      <c r="R49" s="8"/>
      <c r="T49"/>
    </row>
    <row r="50" spans="2:20" ht="23.1" customHeight="1" x14ac:dyDescent="0.25">
      <c r="B50" s="24" t="s">
        <v>77</v>
      </c>
      <c r="C50" s="50">
        <v>11</v>
      </c>
      <c r="D50" s="50">
        <v>0</v>
      </c>
      <c r="E50" s="50">
        <v>18</v>
      </c>
      <c r="F50" s="50">
        <v>14</v>
      </c>
      <c r="G50" s="50">
        <v>0</v>
      </c>
      <c r="H50" s="50">
        <v>2</v>
      </c>
      <c r="I50" s="50">
        <v>6</v>
      </c>
      <c r="J50" s="50">
        <v>0</v>
      </c>
      <c r="K50" s="50">
        <v>1</v>
      </c>
      <c r="L50" s="50">
        <v>0</v>
      </c>
      <c r="M50" s="50">
        <v>60</v>
      </c>
      <c r="N50" s="50">
        <v>0</v>
      </c>
      <c r="O50" s="15">
        <f t="shared" si="0"/>
        <v>52</v>
      </c>
      <c r="P50" s="15">
        <f t="shared" si="1"/>
        <v>112</v>
      </c>
      <c r="R50" s="8"/>
      <c r="T50"/>
    </row>
    <row r="51" spans="2:20" ht="23.1" customHeight="1" x14ac:dyDescent="0.25">
      <c r="B51" s="24" t="s">
        <v>78</v>
      </c>
      <c r="C51" s="50">
        <v>13</v>
      </c>
      <c r="D51" s="50">
        <v>0</v>
      </c>
      <c r="E51" s="50">
        <v>25</v>
      </c>
      <c r="F51" s="50">
        <v>14</v>
      </c>
      <c r="G51" s="50">
        <v>0</v>
      </c>
      <c r="H51" s="50">
        <v>0</v>
      </c>
      <c r="I51" s="50">
        <v>10</v>
      </c>
      <c r="J51" s="50">
        <v>0</v>
      </c>
      <c r="K51" s="50">
        <v>0</v>
      </c>
      <c r="L51" s="50">
        <v>0</v>
      </c>
      <c r="M51" s="50">
        <v>73</v>
      </c>
      <c r="N51" s="50">
        <v>0</v>
      </c>
      <c r="O51" s="15">
        <f t="shared" si="0"/>
        <v>62</v>
      </c>
      <c r="P51" s="15">
        <f t="shared" si="1"/>
        <v>135</v>
      </c>
      <c r="R51" s="8"/>
      <c r="T51"/>
    </row>
    <row r="52" spans="2:20" ht="23.1" customHeight="1" x14ac:dyDescent="0.25">
      <c r="B52" s="24" t="s">
        <v>79</v>
      </c>
      <c r="C52" s="50">
        <v>12</v>
      </c>
      <c r="D52" s="50">
        <v>0</v>
      </c>
      <c r="E52" s="50">
        <v>17</v>
      </c>
      <c r="F52" s="50">
        <v>15</v>
      </c>
      <c r="G52" s="50">
        <v>0</v>
      </c>
      <c r="H52" s="50">
        <v>1</v>
      </c>
      <c r="I52" s="50">
        <v>10</v>
      </c>
      <c r="J52" s="50">
        <v>0</v>
      </c>
      <c r="K52" s="50">
        <v>0</v>
      </c>
      <c r="L52" s="50">
        <v>0</v>
      </c>
      <c r="M52" s="50">
        <v>54</v>
      </c>
      <c r="N52" s="50">
        <v>0</v>
      </c>
      <c r="O52" s="15">
        <f t="shared" si="0"/>
        <v>55</v>
      </c>
      <c r="P52" s="15">
        <f t="shared" si="1"/>
        <v>109</v>
      </c>
      <c r="R52" s="8"/>
      <c r="T52"/>
    </row>
    <row r="53" spans="2:20" ht="23.1" customHeight="1" x14ac:dyDescent="0.25">
      <c r="B53" s="23" t="s">
        <v>80</v>
      </c>
      <c r="C53" s="50">
        <v>17</v>
      </c>
      <c r="D53" s="50">
        <v>0</v>
      </c>
      <c r="E53" s="50">
        <v>25</v>
      </c>
      <c r="F53" s="50">
        <v>15</v>
      </c>
      <c r="G53" s="50">
        <v>0</v>
      </c>
      <c r="H53" s="50">
        <v>2</v>
      </c>
      <c r="I53" s="50">
        <v>14</v>
      </c>
      <c r="J53" s="50">
        <v>2</v>
      </c>
      <c r="K53" s="50">
        <v>0</v>
      </c>
      <c r="L53" s="50">
        <v>0</v>
      </c>
      <c r="M53" s="50">
        <v>63</v>
      </c>
      <c r="N53" s="50">
        <v>0</v>
      </c>
      <c r="O53" s="15">
        <f t="shared" si="0"/>
        <v>75</v>
      </c>
      <c r="P53" s="15">
        <f t="shared" si="1"/>
        <v>138</v>
      </c>
      <c r="R53" s="8"/>
      <c r="T53"/>
    </row>
    <row r="54" spans="2:20" ht="23.1" customHeight="1" x14ac:dyDescent="0.25">
      <c r="B54" s="23" t="s">
        <v>81</v>
      </c>
      <c r="C54" s="50">
        <v>10</v>
      </c>
      <c r="D54" s="50">
        <v>0</v>
      </c>
      <c r="E54" s="50">
        <v>20</v>
      </c>
      <c r="F54" s="50">
        <v>17</v>
      </c>
      <c r="G54" s="50">
        <v>0</v>
      </c>
      <c r="H54" s="50">
        <v>3</v>
      </c>
      <c r="I54" s="50">
        <v>9</v>
      </c>
      <c r="J54" s="50">
        <v>0</v>
      </c>
      <c r="K54" s="50">
        <v>0</v>
      </c>
      <c r="L54" s="50">
        <v>0</v>
      </c>
      <c r="M54" s="50">
        <v>82</v>
      </c>
      <c r="N54" s="50">
        <v>0</v>
      </c>
      <c r="O54" s="15">
        <f t="shared" si="0"/>
        <v>59</v>
      </c>
      <c r="P54" s="15">
        <f t="shared" si="1"/>
        <v>141</v>
      </c>
      <c r="R54" s="8"/>
      <c r="T54"/>
    </row>
    <row r="55" spans="2:20" ht="23.1" customHeight="1" x14ac:dyDescent="0.25">
      <c r="B55" s="23" t="s">
        <v>82</v>
      </c>
      <c r="C55" s="50">
        <v>16</v>
      </c>
      <c r="D55" s="50">
        <v>0</v>
      </c>
      <c r="E55" s="50">
        <v>20</v>
      </c>
      <c r="F55" s="50">
        <v>15</v>
      </c>
      <c r="G55" s="50">
        <v>0</v>
      </c>
      <c r="H55" s="50">
        <v>2</v>
      </c>
      <c r="I55" s="50">
        <v>10</v>
      </c>
      <c r="J55" s="50">
        <v>0</v>
      </c>
      <c r="K55" s="50">
        <v>0</v>
      </c>
      <c r="L55" s="50">
        <v>0</v>
      </c>
      <c r="M55" s="50">
        <v>85</v>
      </c>
      <c r="N55" s="50">
        <v>0</v>
      </c>
      <c r="O55" s="15">
        <f t="shared" si="0"/>
        <v>63</v>
      </c>
      <c r="P55" s="15">
        <f t="shared" si="1"/>
        <v>148</v>
      </c>
      <c r="R55" s="8"/>
      <c r="T55"/>
    </row>
    <row r="56" spans="2:20" ht="23.1" customHeight="1" x14ac:dyDescent="0.25">
      <c r="B56" s="23" t="s">
        <v>83</v>
      </c>
      <c r="C56" s="50">
        <v>21</v>
      </c>
      <c r="D56" s="50">
        <v>0</v>
      </c>
      <c r="E56" s="50">
        <v>28</v>
      </c>
      <c r="F56" s="50">
        <v>15</v>
      </c>
      <c r="G56" s="50">
        <v>1</v>
      </c>
      <c r="H56" s="50">
        <v>2</v>
      </c>
      <c r="I56" s="50">
        <v>14</v>
      </c>
      <c r="J56" s="50">
        <v>0</v>
      </c>
      <c r="K56" s="50">
        <v>0</v>
      </c>
      <c r="L56" s="50">
        <v>0</v>
      </c>
      <c r="M56" s="50">
        <v>76</v>
      </c>
      <c r="N56" s="50">
        <v>0</v>
      </c>
      <c r="O56" s="15">
        <f t="shared" si="0"/>
        <v>81</v>
      </c>
      <c r="P56" s="15">
        <f t="shared" si="1"/>
        <v>157</v>
      </c>
      <c r="R56" s="8"/>
      <c r="T56"/>
    </row>
    <row r="57" spans="2:20" ht="23.1" customHeight="1" x14ac:dyDescent="0.25">
      <c r="B57" s="23" t="s">
        <v>84</v>
      </c>
      <c r="C57" s="50">
        <v>19</v>
      </c>
      <c r="D57" s="50">
        <v>0</v>
      </c>
      <c r="E57" s="50">
        <v>19</v>
      </c>
      <c r="F57" s="50">
        <v>13</v>
      </c>
      <c r="G57" s="50">
        <v>1</v>
      </c>
      <c r="H57" s="50">
        <v>4</v>
      </c>
      <c r="I57" s="50">
        <v>0</v>
      </c>
      <c r="J57" s="50">
        <v>0</v>
      </c>
      <c r="K57" s="50">
        <v>0</v>
      </c>
      <c r="L57" s="50">
        <v>0</v>
      </c>
      <c r="M57" s="50">
        <v>70</v>
      </c>
      <c r="N57" s="50">
        <v>0</v>
      </c>
      <c r="O57" s="15">
        <f t="shared" si="0"/>
        <v>56</v>
      </c>
      <c r="P57" s="15">
        <f t="shared" si="1"/>
        <v>126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472</v>
      </c>
      <c r="D58" s="16">
        <f t="shared" si="21"/>
        <v>0</v>
      </c>
      <c r="E58" s="16">
        <f t="shared" si="21"/>
        <v>650</v>
      </c>
      <c r="F58" s="16">
        <f t="shared" si="21"/>
        <v>620</v>
      </c>
      <c r="G58" s="16">
        <f t="shared" si="21"/>
        <v>6</v>
      </c>
      <c r="H58" s="16">
        <f t="shared" si="21"/>
        <v>45</v>
      </c>
      <c r="I58" s="16">
        <f t="shared" si="21"/>
        <v>315</v>
      </c>
      <c r="J58" s="16">
        <f t="shared" si="21"/>
        <v>16</v>
      </c>
      <c r="K58" s="16">
        <f t="shared" si="21"/>
        <v>5</v>
      </c>
      <c r="L58" s="16">
        <f t="shared" si="21"/>
        <v>0</v>
      </c>
      <c r="M58" s="16">
        <f t="shared" si="21"/>
        <v>2900</v>
      </c>
      <c r="N58" s="16">
        <f t="shared" si="21"/>
        <v>0</v>
      </c>
      <c r="O58" s="16">
        <f t="shared" si="21"/>
        <v>2129</v>
      </c>
      <c r="P58" s="16">
        <f t="shared" si="21"/>
        <v>5029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9.3855637303638897E-2</v>
      </c>
      <c r="D59" s="43">
        <f t="shared" si="22"/>
        <v>0</v>
      </c>
      <c r="E59" s="43">
        <f t="shared" si="22"/>
        <v>0.12925034798170609</v>
      </c>
      <c r="F59" s="43">
        <f t="shared" si="22"/>
        <v>0.12328494730562736</v>
      </c>
      <c r="G59" s="43">
        <f t="shared" si="22"/>
        <v>1.1930801352157488E-3</v>
      </c>
      <c r="H59" s="43">
        <f t="shared" si="22"/>
        <v>8.9481010141181146E-3</v>
      </c>
      <c r="I59" s="43">
        <f t="shared" si="22"/>
        <v>6.2636707098826808E-2</v>
      </c>
      <c r="J59" s="43">
        <f t="shared" si="22"/>
        <v>3.1815470272419963E-3</v>
      </c>
      <c r="K59" s="43">
        <f t="shared" si="22"/>
        <v>9.9423344601312397E-4</v>
      </c>
      <c r="L59" s="43">
        <f t="shared" si="22"/>
        <v>0</v>
      </c>
      <c r="M59" s="43">
        <f t="shared" si="22"/>
        <v>0.57665539868761184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0.2217003287928605</v>
      </c>
      <c r="D60" s="44">
        <f t="shared" ref="D60:N60" si="23">D58/$O$58</f>
        <v>0</v>
      </c>
      <c r="E60" s="44">
        <f t="shared" si="23"/>
        <v>0.30530765617660871</v>
      </c>
      <c r="F60" s="44">
        <f t="shared" si="23"/>
        <v>0.2912165335838422</v>
      </c>
      <c r="G60" s="44">
        <f t="shared" si="23"/>
        <v>2.8182245185533112E-3</v>
      </c>
      <c r="H60" s="44">
        <f t="shared" si="23"/>
        <v>2.1136683889149837E-2</v>
      </c>
      <c r="I60" s="44">
        <f t="shared" si="23"/>
        <v>0.14795678722404884</v>
      </c>
      <c r="J60" s="44">
        <f t="shared" si="23"/>
        <v>7.5152653828088308E-3</v>
      </c>
      <c r="K60" s="44">
        <f t="shared" si="23"/>
        <v>2.3485204321277596E-3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zoomScale="60" workbookViewId="0">
      <selection activeCell="N5" sqref="N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'20.8 Kampala-Luweero'!C3:G3</f>
        <v>MCC - C3 - STN87 - Kampala-Gulu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66">
        <f>'20.8 Kampala-Luweero'!G5:H5</f>
        <v>0</v>
      </c>
      <c r="H5" s="67"/>
      <c r="I5" s="14"/>
      <c r="J5" s="2" t="s">
        <v>5</v>
      </c>
      <c r="K5" s="66" t="str">
        <f>'20.8 Kampala-Luweero'!K5:L5</f>
        <v>Godfrey, Ibrahim N, Oliver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'20.8 Kampala-Luweero'!D6:E6</f>
        <v>Kampala</v>
      </c>
      <c r="E6" s="67"/>
      <c r="F6" s="2" t="s">
        <v>2</v>
      </c>
      <c r="G6" s="66" t="str">
        <f>'20.8 Kampala-Luweero'!G6:H6</f>
        <v>Luwero</v>
      </c>
      <c r="H6" s="67"/>
      <c r="J6" s="2" t="s">
        <v>21</v>
      </c>
      <c r="K6" s="66" t="str">
        <f>'20.8 Kampala-Luweero'!K6:L6</f>
        <v>Martin, Tracy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</v>
      </c>
      <c r="D10" s="50">
        <v>0</v>
      </c>
      <c r="E10" s="50">
        <v>10</v>
      </c>
      <c r="F10" s="50">
        <v>6</v>
      </c>
      <c r="G10" s="50">
        <v>0</v>
      </c>
      <c r="H10" s="50">
        <v>0</v>
      </c>
      <c r="I10" s="50">
        <v>9</v>
      </c>
      <c r="J10" s="50">
        <v>0</v>
      </c>
      <c r="K10" s="50">
        <v>0</v>
      </c>
      <c r="L10" s="50">
        <v>2</v>
      </c>
      <c r="M10" s="50">
        <v>47</v>
      </c>
      <c r="N10" s="50">
        <v>0</v>
      </c>
      <c r="O10" s="15">
        <f t="shared" ref="O10:O57" si="0">SUM(C10:L10,N10)</f>
        <v>33</v>
      </c>
      <c r="P10" s="15">
        <f t="shared" ref="P10:P57" si="1">SUM(C10:N10)</f>
        <v>80</v>
      </c>
      <c r="R10" s="1" t="s">
        <v>6</v>
      </c>
      <c r="S10" s="17">
        <f t="shared" ref="S10:AF10" si="2">SUM(C10:C13)</f>
        <v>26</v>
      </c>
      <c r="T10" s="17">
        <f t="shared" si="2"/>
        <v>0</v>
      </c>
      <c r="U10" s="17">
        <f t="shared" si="2"/>
        <v>52</v>
      </c>
      <c r="V10" s="17">
        <f t="shared" si="2"/>
        <v>37</v>
      </c>
      <c r="W10" s="17">
        <f t="shared" si="2"/>
        <v>1</v>
      </c>
      <c r="X10" s="17">
        <f t="shared" si="2"/>
        <v>3</v>
      </c>
      <c r="Y10" s="17">
        <f t="shared" si="2"/>
        <v>30</v>
      </c>
      <c r="Z10" s="17">
        <f t="shared" si="2"/>
        <v>1</v>
      </c>
      <c r="AA10" s="17">
        <f t="shared" si="2"/>
        <v>1</v>
      </c>
      <c r="AB10" s="17">
        <f t="shared" si="2"/>
        <v>4</v>
      </c>
      <c r="AC10" s="17">
        <f t="shared" si="2"/>
        <v>252</v>
      </c>
      <c r="AD10" s="17">
        <f t="shared" si="2"/>
        <v>0</v>
      </c>
      <c r="AE10" s="31">
        <f t="shared" si="2"/>
        <v>155</v>
      </c>
      <c r="AF10" s="31">
        <f t="shared" si="2"/>
        <v>407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13</v>
      </c>
      <c r="F11" s="50">
        <v>7</v>
      </c>
      <c r="G11" s="50">
        <v>0</v>
      </c>
      <c r="H11" s="50">
        <v>2</v>
      </c>
      <c r="I11" s="50">
        <v>6</v>
      </c>
      <c r="J11" s="50">
        <v>0</v>
      </c>
      <c r="K11" s="50">
        <v>0</v>
      </c>
      <c r="L11" s="50">
        <v>1</v>
      </c>
      <c r="M11" s="50">
        <v>54</v>
      </c>
      <c r="N11" s="50">
        <v>0</v>
      </c>
      <c r="O11" s="15">
        <f t="shared" si="0"/>
        <v>31</v>
      </c>
      <c r="P11" s="15">
        <f t="shared" si="1"/>
        <v>85</v>
      </c>
      <c r="R11" s="1" t="s">
        <v>7</v>
      </c>
      <c r="S11" s="17">
        <f t="shared" ref="S11:AF11" si="3">SUM(C14:C17)</f>
        <v>28</v>
      </c>
      <c r="T11" s="17">
        <f t="shared" si="3"/>
        <v>0</v>
      </c>
      <c r="U11" s="17">
        <f t="shared" si="3"/>
        <v>51</v>
      </c>
      <c r="V11" s="17">
        <f t="shared" si="3"/>
        <v>55</v>
      </c>
      <c r="W11" s="17">
        <f t="shared" si="3"/>
        <v>1</v>
      </c>
      <c r="X11" s="17">
        <f t="shared" si="3"/>
        <v>3</v>
      </c>
      <c r="Y11" s="17">
        <f t="shared" si="3"/>
        <v>33</v>
      </c>
      <c r="Z11" s="17">
        <f t="shared" si="3"/>
        <v>2</v>
      </c>
      <c r="AA11" s="17">
        <f t="shared" si="3"/>
        <v>0</v>
      </c>
      <c r="AB11" s="17">
        <f t="shared" si="3"/>
        <v>4</v>
      </c>
      <c r="AC11" s="17">
        <f t="shared" si="3"/>
        <v>295</v>
      </c>
      <c r="AD11" s="17">
        <f t="shared" si="3"/>
        <v>1</v>
      </c>
      <c r="AE11" s="31">
        <f t="shared" si="3"/>
        <v>178</v>
      </c>
      <c r="AF11" s="31">
        <f t="shared" si="3"/>
        <v>473</v>
      </c>
    </row>
    <row r="12" spans="2:32" ht="23.1" customHeight="1" x14ac:dyDescent="0.25">
      <c r="B12" s="23" t="s">
        <v>39</v>
      </c>
      <c r="C12" s="50">
        <v>8</v>
      </c>
      <c r="D12" s="50">
        <v>0</v>
      </c>
      <c r="E12" s="50">
        <v>15</v>
      </c>
      <c r="F12" s="50">
        <v>10</v>
      </c>
      <c r="G12" s="50">
        <v>1</v>
      </c>
      <c r="H12" s="50">
        <v>0</v>
      </c>
      <c r="I12" s="50">
        <v>4</v>
      </c>
      <c r="J12" s="50">
        <v>1</v>
      </c>
      <c r="K12" s="50">
        <v>1</v>
      </c>
      <c r="L12" s="50">
        <v>0</v>
      </c>
      <c r="M12" s="50">
        <v>80</v>
      </c>
      <c r="N12" s="50">
        <v>0</v>
      </c>
      <c r="O12" s="15">
        <f t="shared" si="0"/>
        <v>40</v>
      </c>
      <c r="P12" s="15">
        <f t="shared" si="1"/>
        <v>120</v>
      </c>
      <c r="R12" s="1" t="s">
        <v>8</v>
      </c>
      <c r="S12" s="17">
        <f t="shared" ref="S12:AF12" si="4">SUM(C18:C21)</f>
        <v>51</v>
      </c>
      <c r="T12" s="17">
        <f t="shared" si="4"/>
        <v>0</v>
      </c>
      <c r="U12" s="17">
        <f t="shared" si="4"/>
        <v>68</v>
      </c>
      <c r="V12" s="17">
        <f t="shared" si="4"/>
        <v>50</v>
      </c>
      <c r="W12" s="17">
        <f t="shared" si="4"/>
        <v>0</v>
      </c>
      <c r="X12" s="17">
        <f t="shared" si="4"/>
        <v>4</v>
      </c>
      <c r="Y12" s="17">
        <f t="shared" si="4"/>
        <v>21</v>
      </c>
      <c r="Z12" s="17">
        <f t="shared" si="4"/>
        <v>2</v>
      </c>
      <c r="AA12" s="17">
        <f t="shared" si="4"/>
        <v>0</v>
      </c>
      <c r="AB12" s="17">
        <f t="shared" si="4"/>
        <v>3</v>
      </c>
      <c r="AC12" s="17">
        <f t="shared" si="4"/>
        <v>278</v>
      </c>
      <c r="AD12" s="17">
        <f t="shared" si="4"/>
        <v>0</v>
      </c>
      <c r="AE12" s="31">
        <f t="shared" si="4"/>
        <v>199</v>
      </c>
      <c r="AF12" s="31">
        <f t="shared" si="4"/>
        <v>477</v>
      </c>
    </row>
    <row r="13" spans="2:32" ht="23.1" customHeight="1" x14ac:dyDescent="0.25">
      <c r="B13" s="23" t="s">
        <v>40</v>
      </c>
      <c r="C13" s="50">
        <v>10</v>
      </c>
      <c r="D13" s="50">
        <v>0</v>
      </c>
      <c r="E13" s="50">
        <v>14</v>
      </c>
      <c r="F13" s="50">
        <v>14</v>
      </c>
      <c r="G13" s="50">
        <v>0</v>
      </c>
      <c r="H13" s="50">
        <v>1</v>
      </c>
      <c r="I13" s="50">
        <v>11</v>
      </c>
      <c r="J13" s="50">
        <v>0</v>
      </c>
      <c r="K13" s="50">
        <v>0</v>
      </c>
      <c r="L13" s="50">
        <v>1</v>
      </c>
      <c r="M13" s="50">
        <v>71</v>
      </c>
      <c r="N13" s="50">
        <v>0</v>
      </c>
      <c r="O13" s="15">
        <f t="shared" si="0"/>
        <v>51</v>
      </c>
      <c r="P13" s="15">
        <f t="shared" si="1"/>
        <v>122</v>
      </c>
      <c r="R13" s="1" t="s">
        <v>9</v>
      </c>
      <c r="S13" s="17">
        <f t="shared" ref="S13:AF13" si="5">SUM(C22:C25)</f>
        <v>29</v>
      </c>
      <c r="T13" s="17">
        <f t="shared" si="5"/>
        <v>0</v>
      </c>
      <c r="U13" s="17">
        <f t="shared" si="5"/>
        <v>61</v>
      </c>
      <c r="V13" s="17">
        <f t="shared" si="5"/>
        <v>59</v>
      </c>
      <c r="W13" s="17">
        <f t="shared" si="5"/>
        <v>0</v>
      </c>
      <c r="X13" s="17">
        <f t="shared" si="5"/>
        <v>3</v>
      </c>
      <c r="Y13" s="17">
        <f t="shared" si="5"/>
        <v>24</v>
      </c>
      <c r="Z13" s="17">
        <f t="shared" si="5"/>
        <v>1</v>
      </c>
      <c r="AA13" s="17">
        <f t="shared" si="5"/>
        <v>1</v>
      </c>
      <c r="AB13" s="17">
        <f t="shared" si="5"/>
        <v>3</v>
      </c>
      <c r="AC13" s="17">
        <f t="shared" si="5"/>
        <v>284</v>
      </c>
      <c r="AD13" s="17">
        <f t="shared" si="5"/>
        <v>0</v>
      </c>
      <c r="AE13" s="31">
        <f t="shared" si="5"/>
        <v>181</v>
      </c>
      <c r="AF13" s="31">
        <f t="shared" si="5"/>
        <v>465</v>
      </c>
    </row>
    <row r="14" spans="2:32" ht="23.1" customHeight="1" x14ac:dyDescent="0.25">
      <c r="B14" s="23" t="s">
        <v>41</v>
      </c>
      <c r="C14" s="50">
        <v>4</v>
      </c>
      <c r="D14" s="50">
        <v>0</v>
      </c>
      <c r="E14" s="50">
        <v>16</v>
      </c>
      <c r="F14" s="50">
        <v>13</v>
      </c>
      <c r="G14" s="50">
        <v>0</v>
      </c>
      <c r="H14" s="50">
        <v>1</v>
      </c>
      <c r="I14" s="50">
        <v>5</v>
      </c>
      <c r="J14" s="50">
        <v>0</v>
      </c>
      <c r="K14" s="50">
        <v>0</v>
      </c>
      <c r="L14" s="50">
        <v>1</v>
      </c>
      <c r="M14" s="50">
        <v>75</v>
      </c>
      <c r="N14" s="50">
        <v>0</v>
      </c>
      <c r="O14" s="15">
        <f t="shared" si="0"/>
        <v>40</v>
      </c>
      <c r="P14" s="15">
        <f t="shared" si="1"/>
        <v>115</v>
      </c>
      <c r="R14" s="1" t="s">
        <v>10</v>
      </c>
      <c r="S14" s="17">
        <f t="shared" ref="S14:AF14" si="6">SUM(C26:C29)</f>
        <v>17</v>
      </c>
      <c r="T14" s="17">
        <f t="shared" si="6"/>
        <v>0</v>
      </c>
      <c r="U14" s="17">
        <f t="shared" si="6"/>
        <v>53</v>
      </c>
      <c r="V14" s="17">
        <f t="shared" si="6"/>
        <v>50</v>
      </c>
      <c r="W14" s="17">
        <f t="shared" si="6"/>
        <v>2</v>
      </c>
      <c r="X14" s="17">
        <f t="shared" si="6"/>
        <v>4</v>
      </c>
      <c r="Y14" s="17">
        <f t="shared" si="6"/>
        <v>19</v>
      </c>
      <c r="Z14" s="17">
        <f t="shared" si="6"/>
        <v>1</v>
      </c>
      <c r="AA14" s="17">
        <f t="shared" si="6"/>
        <v>1</v>
      </c>
      <c r="AB14" s="17">
        <f t="shared" si="6"/>
        <v>0</v>
      </c>
      <c r="AC14" s="17">
        <f t="shared" si="6"/>
        <v>270</v>
      </c>
      <c r="AD14" s="17">
        <f t="shared" si="6"/>
        <v>0</v>
      </c>
      <c r="AE14" s="31">
        <f t="shared" si="6"/>
        <v>147</v>
      </c>
      <c r="AF14" s="31">
        <f t="shared" si="6"/>
        <v>417</v>
      </c>
    </row>
    <row r="15" spans="2:32" ht="23.1" customHeight="1" x14ac:dyDescent="0.25">
      <c r="B15" s="23" t="s">
        <v>42</v>
      </c>
      <c r="C15" s="50">
        <v>7</v>
      </c>
      <c r="D15" s="50">
        <v>0</v>
      </c>
      <c r="E15" s="50">
        <v>11</v>
      </c>
      <c r="F15" s="50">
        <v>13</v>
      </c>
      <c r="G15" s="50">
        <v>0</v>
      </c>
      <c r="H15" s="50">
        <v>0</v>
      </c>
      <c r="I15" s="50">
        <v>6</v>
      </c>
      <c r="J15" s="50">
        <v>2</v>
      </c>
      <c r="K15" s="50">
        <v>0</v>
      </c>
      <c r="L15" s="50">
        <v>0</v>
      </c>
      <c r="M15" s="50">
        <v>72</v>
      </c>
      <c r="N15" s="50">
        <v>0</v>
      </c>
      <c r="O15" s="15">
        <f t="shared" si="0"/>
        <v>39</v>
      </c>
      <c r="P15" s="15">
        <f t="shared" si="1"/>
        <v>111</v>
      </c>
      <c r="R15" s="1" t="s">
        <v>11</v>
      </c>
      <c r="S15" s="17">
        <f t="shared" ref="S15:AF15" si="7">SUM(C30:C33)</f>
        <v>33</v>
      </c>
      <c r="T15" s="17">
        <f t="shared" si="7"/>
        <v>0</v>
      </c>
      <c r="U15" s="17">
        <f t="shared" si="7"/>
        <v>91</v>
      </c>
      <c r="V15" s="17">
        <f t="shared" si="7"/>
        <v>62</v>
      </c>
      <c r="W15" s="17">
        <f t="shared" si="7"/>
        <v>0</v>
      </c>
      <c r="X15" s="17">
        <f t="shared" si="7"/>
        <v>6</v>
      </c>
      <c r="Y15" s="17">
        <f t="shared" si="7"/>
        <v>29</v>
      </c>
      <c r="Z15" s="17">
        <f t="shared" si="7"/>
        <v>5</v>
      </c>
      <c r="AA15" s="17">
        <f t="shared" si="7"/>
        <v>1</v>
      </c>
      <c r="AB15" s="17">
        <f t="shared" si="7"/>
        <v>7</v>
      </c>
      <c r="AC15" s="17">
        <f t="shared" si="7"/>
        <v>217</v>
      </c>
      <c r="AD15" s="17">
        <f t="shared" si="7"/>
        <v>0</v>
      </c>
      <c r="AE15" s="31">
        <f t="shared" si="7"/>
        <v>234</v>
      </c>
      <c r="AF15" s="31">
        <f t="shared" si="7"/>
        <v>451</v>
      </c>
    </row>
    <row r="16" spans="2:32" ht="23.1" customHeight="1" x14ac:dyDescent="0.25">
      <c r="B16" s="23" t="s">
        <v>43</v>
      </c>
      <c r="C16" s="50">
        <v>9</v>
      </c>
      <c r="D16" s="50">
        <v>0</v>
      </c>
      <c r="E16" s="50">
        <v>8</v>
      </c>
      <c r="F16" s="50">
        <v>6</v>
      </c>
      <c r="G16" s="50">
        <v>0</v>
      </c>
      <c r="H16" s="50">
        <v>1</v>
      </c>
      <c r="I16" s="50">
        <v>12</v>
      </c>
      <c r="J16" s="50">
        <v>0</v>
      </c>
      <c r="K16" s="50">
        <v>0</v>
      </c>
      <c r="L16" s="50">
        <v>1</v>
      </c>
      <c r="M16" s="50">
        <v>71</v>
      </c>
      <c r="N16" s="50">
        <v>1</v>
      </c>
      <c r="O16" s="15">
        <f t="shared" si="0"/>
        <v>38</v>
      </c>
      <c r="P16" s="15">
        <f t="shared" si="1"/>
        <v>109</v>
      </c>
      <c r="R16" s="1" t="s">
        <v>12</v>
      </c>
      <c r="S16" s="17">
        <f t="shared" ref="S16:AF16" si="8">SUM(C34:C37)</f>
        <v>59</v>
      </c>
      <c r="T16" s="17">
        <f t="shared" si="8"/>
        <v>0</v>
      </c>
      <c r="U16" s="17">
        <f t="shared" si="8"/>
        <v>42</v>
      </c>
      <c r="V16" s="17">
        <f t="shared" si="8"/>
        <v>54</v>
      </c>
      <c r="W16" s="17">
        <f t="shared" si="8"/>
        <v>1</v>
      </c>
      <c r="X16" s="17">
        <f t="shared" si="8"/>
        <v>7</v>
      </c>
      <c r="Y16" s="17">
        <f t="shared" si="8"/>
        <v>32</v>
      </c>
      <c r="Z16" s="17">
        <f t="shared" si="8"/>
        <v>2</v>
      </c>
      <c r="AA16" s="17">
        <f t="shared" si="8"/>
        <v>0</v>
      </c>
      <c r="AB16" s="17">
        <f t="shared" si="8"/>
        <v>6</v>
      </c>
      <c r="AC16" s="17">
        <f t="shared" si="8"/>
        <v>235</v>
      </c>
      <c r="AD16" s="17">
        <f t="shared" si="8"/>
        <v>1</v>
      </c>
      <c r="AE16" s="31">
        <f t="shared" si="8"/>
        <v>204</v>
      </c>
      <c r="AF16" s="31">
        <f t="shared" si="8"/>
        <v>439</v>
      </c>
    </row>
    <row r="17" spans="2:32" ht="23.1" customHeight="1" x14ac:dyDescent="0.25">
      <c r="B17" s="23" t="s">
        <v>44</v>
      </c>
      <c r="C17" s="50">
        <v>8</v>
      </c>
      <c r="D17" s="50">
        <v>0</v>
      </c>
      <c r="E17" s="50">
        <v>16</v>
      </c>
      <c r="F17" s="50">
        <v>23</v>
      </c>
      <c r="G17" s="50">
        <v>1</v>
      </c>
      <c r="H17" s="50">
        <v>1</v>
      </c>
      <c r="I17" s="50">
        <v>10</v>
      </c>
      <c r="J17" s="50">
        <v>0</v>
      </c>
      <c r="K17" s="50">
        <v>0</v>
      </c>
      <c r="L17" s="50">
        <v>2</v>
      </c>
      <c r="M17" s="50">
        <v>77</v>
      </c>
      <c r="N17" s="50">
        <v>0</v>
      </c>
      <c r="O17" s="15">
        <f t="shared" si="0"/>
        <v>61</v>
      </c>
      <c r="P17" s="15">
        <f t="shared" si="1"/>
        <v>138</v>
      </c>
      <c r="R17" s="1" t="s">
        <v>13</v>
      </c>
      <c r="S17" s="17">
        <f t="shared" ref="S17:AF17" si="9">SUM(C38:C41)</f>
        <v>55</v>
      </c>
      <c r="T17" s="17">
        <f t="shared" si="9"/>
        <v>0</v>
      </c>
      <c r="U17" s="17">
        <f t="shared" si="9"/>
        <v>57</v>
      </c>
      <c r="V17" s="17">
        <f t="shared" si="9"/>
        <v>66</v>
      </c>
      <c r="W17" s="17">
        <f t="shared" si="9"/>
        <v>2</v>
      </c>
      <c r="X17" s="17">
        <f t="shared" si="9"/>
        <v>8</v>
      </c>
      <c r="Y17" s="17">
        <f t="shared" si="9"/>
        <v>26</v>
      </c>
      <c r="Z17" s="17">
        <f t="shared" si="9"/>
        <v>4</v>
      </c>
      <c r="AA17" s="17">
        <f t="shared" si="9"/>
        <v>0</v>
      </c>
      <c r="AB17" s="17">
        <f t="shared" si="9"/>
        <v>12</v>
      </c>
      <c r="AC17" s="17">
        <f t="shared" si="9"/>
        <v>216</v>
      </c>
      <c r="AD17" s="17">
        <f t="shared" si="9"/>
        <v>0</v>
      </c>
      <c r="AE17" s="31">
        <f t="shared" si="9"/>
        <v>230</v>
      </c>
      <c r="AF17" s="31">
        <f t="shared" si="9"/>
        <v>446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17</v>
      </c>
      <c r="F18" s="50">
        <v>13</v>
      </c>
      <c r="G18" s="50">
        <v>0</v>
      </c>
      <c r="H18" s="50">
        <v>0</v>
      </c>
      <c r="I18" s="50">
        <v>5</v>
      </c>
      <c r="J18" s="50">
        <v>0</v>
      </c>
      <c r="K18" s="50">
        <v>0</v>
      </c>
      <c r="L18" s="50">
        <v>1</v>
      </c>
      <c r="M18" s="50">
        <v>74</v>
      </c>
      <c r="N18" s="50">
        <v>0</v>
      </c>
      <c r="O18" s="15">
        <f t="shared" si="0"/>
        <v>38</v>
      </c>
      <c r="P18" s="15">
        <f t="shared" si="1"/>
        <v>112</v>
      </c>
      <c r="R18" s="1" t="s">
        <v>14</v>
      </c>
      <c r="S18" s="17">
        <f t="shared" ref="S18:AF18" si="10">SUM(C42:C45)</f>
        <v>45</v>
      </c>
      <c r="T18" s="17">
        <f t="shared" si="10"/>
        <v>0</v>
      </c>
      <c r="U18" s="17">
        <f t="shared" si="10"/>
        <v>56</v>
      </c>
      <c r="V18" s="17">
        <f t="shared" si="10"/>
        <v>59</v>
      </c>
      <c r="W18" s="17">
        <f t="shared" si="10"/>
        <v>1</v>
      </c>
      <c r="X18" s="17">
        <f t="shared" si="10"/>
        <v>3</v>
      </c>
      <c r="Y18" s="17">
        <f t="shared" si="10"/>
        <v>35</v>
      </c>
      <c r="Z18" s="17">
        <f t="shared" si="10"/>
        <v>1</v>
      </c>
      <c r="AA18" s="17">
        <f t="shared" si="10"/>
        <v>1</v>
      </c>
      <c r="AB18" s="17">
        <f t="shared" si="10"/>
        <v>10</v>
      </c>
      <c r="AC18" s="17">
        <f t="shared" si="10"/>
        <v>281</v>
      </c>
      <c r="AD18" s="17">
        <f t="shared" si="10"/>
        <v>0</v>
      </c>
      <c r="AE18" s="31">
        <f t="shared" si="10"/>
        <v>211</v>
      </c>
      <c r="AF18" s="31">
        <f t="shared" si="10"/>
        <v>492</v>
      </c>
    </row>
    <row r="19" spans="2:32" ht="23.1" customHeight="1" x14ac:dyDescent="0.25">
      <c r="B19" s="23" t="s">
        <v>46</v>
      </c>
      <c r="C19" s="50">
        <v>17</v>
      </c>
      <c r="D19" s="50">
        <v>0</v>
      </c>
      <c r="E19" s="50">
        <v>13</v>
      </c>
      <c r="F19" s="50">
        <v>10</v>
      </c>
      <c r="G19" s="50">
        <v>0</v>
      </c>
      <c r="H19" s="50">
        <v>1</v>
      </c>
      <c r="I19" s="50">
        <v>1</v>
      </c>
      <c r="J19" s="50">
        <v>0</v>
      </c>
      <c r="K19" s="50">
        <v>0</v>
      </c>
      <c r="L19" s="50">
        <v>1</v>
      </c>
      <c r="M19" s="50">
        <v>52</v>
      </c>
      <c r="N19" s="50">
        <v>0</v>
      </c>
      <c r="O19" s="15">
        <f t="shared" si="0"/>
        <v>43</v>
      </c>
      <c r="P19" s="15">
        <f t="shared" si="1"/>
        <v>95</v>
      </c>
      <c r="R19" s="1" t="s">
        <v>15</v>
      </c>
      <c r="S19" s="17">
        <f t="shared" ref="S19:AF19" si="11">SUM(C46:C49)</f>
        <v>47</v>
      </c>
      <c r="T19" s="17">
        <f t="shared" si="11"/>
        <v>0</v>
      </c>
      <c r="U19" s="17">
        <f t="shared" si="11"/>
        <v>58</v>
      </c>
      <c r="V19" s="17">
        <f t="shared" si="11"/>
        <v>78</v>
      </c>
      <c r="W19" s="17">
        <f t="shared" si="11"/>
        <v>2</v>
      </c>
      <c r="X19" s="17">
        <f t="shared" si="11"/>
        <v>5</v>
      </c>
      <c r="Y19" s="17">
        <f t="shared" si="11"/>
        <v>36</v>
      </c>
      <c r="Z19" s="17">
        <f t="shared" si="11"/>
        <v>4</v>
      </c>
      <c r="AA19" s="17">
        <f t="shared" si="11"/>
        <v>1</v>
      </c>
      <c r="AB19" s="17">
        <f t="shared" si="11"/>
        <v>10</v>
      </c>
      <c r="AC19" s="17">
        <f t="shared" si="11"/>
        <v>261</v>
      </c>
      <c r="AD19" s="17">
        <f t="shared" si="11"/>
        <v>0</v>
      </c>
      <c r="AE19" s="31">
        <f t="shared" si="11"/>
        <v>241</v>
      </c>
      <c r="AF19" s="31">
        <f t="shared" si="11"/>
        <v>502</v>
      </c>
    </row>
    <row r="20" spans="2:32" ht="23.1" customHeight="1" x14ac:dyDescent="0.25">
      <c r="B20" s="23" t="s">
        <v>47</v>
      </c>
      <c r="C20" s="50">
        <v>12</v>
      </c>
      <c r="D20" s="50">
        <v>0</v>
      </c>
      <c r="E20" s="50">
        <v>20</v>
      </c>
      <c r="F20" s="50">
        <v>14</v>
      </c>
      <c r="G20" s="50">
        <v>0</v>
      </c>
      <c r="H20" s="50">
        <v>2</v>
      </c>
      <c r="I20" s="50">
        <v>7</v>
      </c>
      <c r="J20" s="50">
        <v>2</v>
      </c>
      <c r="K20" s="50">
        <v>0</v>
      </c>
      <c r="L20" s="50">
        <v>0</v>
      </c>
      <c r="M20" s="50">
        <v>70</v>
      </c>
      <c r="N20" s="50">
        <v>0</v>
      </c>
      <c r="O20" s="15">
        <f t="shared" si="0"/>
        <v>57</v>
      </c>
      <c r="P20" s="15">
        <f t="shared" si="1"/>
        <v>127</v>
      </c>
      <c r="R20" s="1" t="s">
        <v>16</v>
      </c>
      <c r="S20" s="17">
        <f t="shared" ref="S20:AF20" si="12">SUM(C50:C53)</f>
        <v>57</v>
      </c>
      <c r="T20" s="17">
        <f t="shared" si="12"/>
        <v>0</v>
      </c>
      <c r="U20" s="17">
        <f t="shared" si="12"/>
        <v>34</v>
      </c>
      <c r="V20" s="17">
        <f t="shared" si="12"/>
        <v>59</v>
      </c>
      <c r="W20" s="17">
        <f t="shared" si="12"/>
        <v>0</v>
      </c>
      <c r="X20" s="17">
        <f t="shared" si="12"/>
        <v>3</v>
      </c>
      <c r="Y20" s="17">
        <f t="shared" si="12"/>
        <v>34</v>
      </c>
      <c r="Z20" s="17">
        <f t="shared" si="12"/>
        <v>3</v>
      </c>
      <c r="AA20" s="17">
        <f t="shared" si="12"/>
        <v>2</v>
      </c>
      <c r="AB20" s="17">
        <f t="shared" si="12"/>
        <v>19</v>
      </c>
      <c r="AC20" s="17">
        <f t="shared" si="12"/>
        <v>295</v>
      </c>
      <c r="AD20" s="17">
        <f t="shared" si="12"/>
        <v>0</v>
      </c>
      <c r="AE20" s="31">
        <f t="shared" si="12"/>
        <v>211</v>
      </c>
      <c r="AF20" s="31">
        <f t="shared" si="12"/>
        <v>506</v>
      </c>
    </row>
    <row r="21" spans="2:32" ht="23.1" customHeight="1" x14ac:dyDescent="0.25">
      <c r="B21" s="23" t="s">
        <v>48</v>
      </c>
      <c r="C21" s="50">
        <v>20</v>
      </c>
      <c r="D21" s="50">
        <v>0</v>
      </c>
      <c r="E21" s="50">
        <v>18</v>
      </c>
      <c r="F21" s="50">
        <v>13</v>
      </c>
      <c r="G21" s="50">
        <v>0</v>
      </c>
      <c r="H21" s="50">
        <v>1</v>
      </c>
      <c r="I21" s="50">
        <v>8</v>
      </c>
      <c r="J21" s="50">
        <v>0</v>
      </c>
      <c r="K21" s="50">
        <v>0</v>
      </c>
      <c r="L21" s="50">
        <v>1</v>
      </c>
      <c r="M21" s="50">
        <v>82</v>
      </c>
      <c r="N21" s="50">
        <v>0</v>
      </c>
      <c r="O21" s="15">
        <f t="shared" si="0"/>
        <v>61</v>
      </c>
      <c r="P21" s="15">
        <f t="shared" si="1"/>
        <v>143</v>
      </c>
      <c r="R21" s="36" t="s">
        <v>20</v>
      </c>
      <c r="S21" s="34">
        <f t="shared" ref="S21:AF21" si="13">SUM(C54:C57)</f>
        <v>39</v>
      </c>
      <c r="T21" s="17">
        <f t="shared" si="13"/>
        <v>0</v>
      </c>
      <c r="U21" s="17">
        <f t="shared" si="13"/>
        <v>14</v>
      </c>
      <c r="V21" s="17">
        <f t="shared" si="13"/>
        <v>47</v>
      </c>
      <c r="W21" s="17">
        <f t="shared" si="13"/>
        <v>0</v>
      </c>
      <c r="X21" s="17">
        <f t="shared" si="13"/>
        <v>5</v>
      </c>
      <c r="Y21" s="17">
        <f t="shared" si="13"/>
        <v>34</v>
      </c>
      <c r="Z21" s="17">
        <f t="shared" si="13"/>
        <v>1</v>
      </c>
      <c r="AA21" s="17">
        <f t="shared" si="13"/>
        <v>3</v>
      </c>
      <c r="AB21" s="17">
        <f t="shared" si="13"/>
        <v>13</v>
      </c>
      <c r="AC21" s="17">
        <f t="shared" si="13"/>
        <v>189</v>
      </c>
      <c r="AD21" s="17">
        <f t="shared" si="13"/>
        <v>0</v>
      </c>
      <c r="AE21" s="31">
        <f t="shared" si="13"/>
        <v>156</v>
      </c>
      <c r="AF21" s="31">
        <f t="shared" si="13"/>
        <v>345</v>
      </c>
    </row>
    <row r="22" spans="2:32" ht="23.1" customHeight="1" x14ac:dyDescent="0.25">
      <c r="B22" s="23" t="s">
        <v>49</v>
      </c>
      <c r="C22" s="50">
        <v>8</v>
      </c>
      <c r="D22" s="50">
        <v>0</v>
      </c>
      <c r="E22" s="50">
        <v>12</v>
      </c>
      <c r="F22" s="50">
        <v>16</v>
      </c>
      <c r="G22" s="50">
        <v>0</v>
      </c>
      <c r="H22" s="50">
        <v>1</v>
      </c>
      <c r="I22" s="50">
        <v>9</v>
      </c>
      <c r="J22" s="50">
        <v>1</v>
      </c>
      <c r="K22" s="50">
        <v>0</v>
      </c>
      <c r="L22" s="50">
        <v>0</v>
      </c>
      <c r="M22" s="50">
        <v>74</v>
      </c>
      <c r="N22" s="50">
        <v>0</v>
      </c>
      <c r="O22" s="15">
        <f t="shared" si="0"/>
        <v>47</v>
      </c>
      <c r="P22" s="15">
        <f t="shared" si="1"/>
        <v>121</v>
      </c>
      <c r="R22" s="38" t="s">
        <v>90</v>
      </c>
      <c r="S22" s="39">
        <f>MAX(S10:S12)</f>
        <v>51</v>
      </c>
      <c r="T22" s="39">
        <f t="shared" ref="T22:AF22" si="14">MAX(T10:T12)</f>
        <v>0</v>
      </c>
      <c r="U22" s="39">
        <f t="shared" si="14"/>
        <v>68</v>
      </c>
      <c r="V22" s="39">
        <f t="shared" si="14"/>
        <v>55</v>
      </c>
      <c r="W22" s="39">
        <f t="shared" si="14"/>
        <v>1</v>
      </c>
      <c r="X22" s="39">
        <f t="shared" si="14"/>
        <v>4</v>
      </c>
      <c r="Y22" s="39">
        <f t="shared" si="14"/>
        <v>33</v>
      </c>
      <c r="Z22" s="39">
        <f t="shared" si="14"/>
        <v>2</v>
      </c>
      <c r="AA22" s="39">
        <f t="shared" si="14"/>
        <v>1</v>
      </c>
      <c r="AB22" s="39">
        <f t="shared" si="14"/>
        <v>4</v>
      </c>
      <c r="AC22" s="39">
        <f t="shared" si="14"/>
        <v>295</v>
      </c>
      <c r="AD22" s="39">
        <f t="shared" si="14"/>
        <v>1</v>
      </c>
      <c r="AE22" s="40">
        <f t="shared" si="14"/>
        <v>199</v>
      </c>
      <c r="AF22" s="40">
        <f t="shared" si="14"/>
        <v>477</v>
      </c>
    </row>
    <row r="23" spans="2:32" ht="23.1" customHeight="1" x14ac:dyDescent="0.25">
      <c r="B23" s="23" t="s">
        <v>50</v>
      </c>
      <c r="C23" s="50">
        <v>5</v>
      </c>
      <c r="D23" s="50">
        <v>0</v>
      </c>
      <c r="E23" s="50">
        <v>13</v>
      </c>
      <c r="F23" s="50">
        <v>12</v>
      </c>
      <c r="G23" s="50">
        <v>0</v>
      </c>
      <c r="H23" s="50">
        <v>0</v>
      </c>
      <c r="I23" s="50">
        <v>7</v>
      </c>
      <c r="J23" s="50">
        <v>0</v>
      </c>
      <c r="K23" s="50">
        <v>1</v>
      </c>
      <c r="L23" s="50">
        <v>0</v>
      </c>
      <c r="M23" s="50">
        <v>70</v>
      </c>
      <c r="N23" s="50">
        <v>0</v>
      </c>
      <c r="O23" s="15">
        <f t="shared" si="0"/>
        <v>38</v>
      </c>
      <c r="P23" s="15">
        <f t="shared" si="1"/>
        <v>108</v>
      </c>
      <c r="R23" s="38" t="s">
        <v>91</v>
      </c>
      <c r="S23" s="39">
        <f>MAX(S13:S18)</f>
        <v>59</v>
      </c>
      <c r="T23" s="39">
        <f t="shared" ref="T23:AF23" si="15">MAX(T13:T18)</f>
        <v>0</v>
      </c>
      <c r="U23" s="39">
        <f t="shared" si="15"/>
        <v>91</v>
      </c>
      <c r="V23" s="39">
        <f t="shared" si="15"/>
        <v>66</v>
      </c>
      <c r="W23" s="39">
        <f t="shared" si="15"/>
        <v>2</v>
      </c>
      <c r="X23" s="39">
        <f t="shared" si="15"/>
        <v>8</v>
      </c>
      <c r="Y23" s="39">
        <f t="shared" si="15"/>
        <v>35</v>
      </c>
      <c r="Z23" s="39">
        <f t="shared" si="15"/>
        <v>5</v>
      </c>
      <c r="AA23" s="39">
        <f t="shared" si="15"/>
        <v>1</v>
      </c>
      <c r="AB23" s="39">
        <f t="shared" si="15"/>
        <v>12</v>
      </c>
      <c r="AC23" s="39">
        <f t="shared" si="15"/>
        <v>284</v>
      </c>
      <c r="AD23" s="39">
        <f t="shared" si="15"/>
        <v>1</v>
      </c>
      <c r="AE23" s="40">
        <f t="shared" si="15"/>
        <v>234</v>
      </c>
      <c r="AF23" s="40">
        <f t="shared" si="15"/>
        <v>492</v>
      </c>
    </row>
    <row r="24" spans="2:32" ht="23.1" customHeight="1" x14ac:dyDescent="0.25">
      <c r="B24" s="23" t="s">
        <v>51</v>
      </c>
      <c r="C24" s="50">
        <v>11</v>
      </c>
      <c r="D24" s="50">
        <v>0</v>
      </c>
      <c r="E24" s="50">
        <v>23</v>
      </c>
      <c r="F24" s="50">
        <v>9</v>
      </c>
      <c r="G24" s="50">
        <v>0</v>
      </c>
      <c r="H24" s="50">
        <v>0</v>
      </c>
      <c r="I24" s="50">
        <v>4</v>
      </c>
      <c r="J24" s="50">
        <v>0</v>
      </c>
      <c r="K24" s="50">
        <v>0</v>
      </c>
      <c r="L24" s="50">
        <v>2</v>
      </c>
      <c r="M24" s="50">
        <v>74</v>
      </c>
      <c r="N24" s="50">
        <v>0</v>
      </c>
      <c r="O24" s="15">
        <f t="shared" si="0"/>
        <v>49</v>
      </c>
      <c r="P24" s="15">
        <f t="shared" si="1"/>
        <v>123</v>
      </c>
      <c r="R24" s="38" t="s">
        <v>92</v>
      </c>
      <c r="S24" s="39">
        <f>MAX(S19:S21)</f>
        <v>57</v>
      </c>
      <c r="T24" s="39">
        <f t="shared" ref="T24:AF24" si="16">MAX(T19:T21)</f>
        <v>0</v>
      </c>
      <c r="U24" s="39">
        <f t="shared" si="16"/>
        <v>58</v>
      </c>
      <c r="V24" s="39">
        <f t="shared" si="16"/>
        <v>78</v>
      </c>
      <c r="W24" s="39">
        <f t="shared" si="16"/>
        <v>2</v>
      </c>
      <c r="X24" s="39">
        <f t="shared" si="16"/>
        <v>5</v>
      </c>
      <c r="Y24" s="39">
        <f t="shared" si="16"/>
        <v>36</v>
      </c>
      <c r="Z24" s="39">
        <f t="shared" si="16"/>
        <v>4</v>
      </c>
      <c r="AA24" s="39">
        <f t="shared" si="16"/>
        <v>3</v>
      </c>
      <c r="AB24" s="39">
        <f t="shared" si="16"/>
        <v>19</v>
      </c>
      <c r="AC24" s="39">
        <f t="shared" si="16"/>
        <v>295</v>
      </c>
      <c r="AD24" s="39">
        <f t="shared" si="16"/>
        <v>0</v>
      </c>
      <c r="AE24" s="40">
        <f t="shared" si="16"/>
        <v>241</v>
      </c>
      <c r="AF24" s="40">
        <f t="shared" si="16"/>
        <v>506</v>
      </c>
    </row>
    <row r="25" spans="2:32" ht="23.1" customHeight="1" x14ac:dyDescent="0.25">
      <c r="B25" s="23" t="s">
        <v>52</v>
      </c>
      <c r="C25" s="50">
        <v>5</v>
      </c>
      <c r="D25" s="50">
        <v>0</v>
      </c>
      <c r="E25" s="50">
        <v>13</v>
      </c>
      <c r="F25" s="50">
        <v>22</v>
      </c>
      <c r="G25" s="50">
        <v>0</v>
      </c>
      <c r="H25" s="50">
        <v>2</v>
      </c>
      <c r="I25" s="50">
        <v>4</v>
      </c>
      <c r="J25" s="50">
        <v>0</v>
      </c>
      <c r="K25" s="50">
        <v>0</v>
      </c>
      <c r="L25" s="50">
        <v>1</v>
      </c>
      <c r="M25" s="50">
        <v>66</v>
      </c>
      <c r="N25" s="50">
        <v>0</v>
      </c>
      <c r="O25" s="15">
        <f t="shared" si="0"/>
        <v>47</v>
      </c>
      <c r="P25" s="15">
        <f t="shared" si="1"/>
        <v>113</v>
      </c>
      <c r="R25" s="37" t="s">
        <v>85</v>
      </c>
      <c r="S25" s="35">
        <f t="shared" ref="S25:AF25" si="17">SUM(S10:S12)</f>
        <v>105</v>
      </c>
      <c r="T25" s="16">
        <f t="shared" si="17"/>
        <v>0</v>
      </c>
      <c r="U25" s="16">
        <f t="shared" si="17"/>
        <v>171</v>
      </c>
      <c r="V25" s="16">
        <f t="shared" si="17"/>
        <v>142</v>
      </c>
      <c r="W25" s="16">
        <f t="shared" si="17"/>
        <v>2</v>
      </c>
      <c r="X25" s="16">
        <f t="shared" si="17"/>
        <v>10</v>
      </c>
      <c r="Y25" s="16">
        <f t="shared" si="17"/>
        <v>84</v>
      </c>
      <c r="Z25" s="16">
        <f t="shared" si="17"/>
        <v>5</v>
      </c>
      <c r="AA25" s="16">
        <f t="shared" si="17"/>
        <v>1</v>
      </c>
      <c r="AB25" s="16">
        <f t="shared" si="17"/>
        <v>11</v>
      </c>
      <c r="AC25" s="16">
        <f t="shared" si="17"/>
        <v>825</v>
      </c>
      <c r="AD25" s="16">
        <f t="shared" si="17"/>
        <v>1</v>
      </c>
      <c r="AE25" s="32">
        <f t="shared" si="17"/>
        <v>532</v>
      </c>
      <c r="AF25" s="32">
        <f t="shared" si="17"/>
        <v>1357</v>
      </c>
    </row>
    <row r="26" spans="2:32" ht="23.1" customHeight="1" x14ac:dyDescent="0.25">
      <c r="B26" s="23" t="s">
        <v>53</v>
      </c>
      <c r="C26" s="50">
        <v>8</v>
      </c>
      <c r="D26" s="50">
        <v>0</v>
      </c>
      <c r="E26" s="50">
        <v>19</v>
      </c>
      <c r="F26" s="50">
        <v>11</v>
      </c>
      <c r="G26" s="50">
        <v>0</v>
      </c>
      <c r="H26" s="50">
        <v>0</v>
      </c>
      <c r="I26" s="50">
        <v>6</v>
      </c>
      <c r="J26" s="50">
        <v>1</v>
      </c>
      <c r="K26" s="50">
        <v>0</v>
      </c>
      <c r="L26" s="50">
        <v>0</v>
      </c>
      <c r="M26" s="50">
        <v>62</v>
      </c>
      <c r="N26" s="50">
        <v>0</v>
      </c>
      <c r="O26" s="15">
        <f t="shared" si="0"/>
        <v>45</v>
      </c>
      <c r="P26" s="15">
        <f t="shared" si="1"/>
        <v>107</v>
      </c>
      <c r="R26" s="28" t="s">
        <v>86</v>
      </c>
      <c r="S26" s="16">
        <f t="shared" ref="S26:AF26" si="18">SUM(S13:S18)</f>
        <v>238</v>
      </c>
      <c r="T26" s="16">
        <f t="shared" si="18"/>
        <v>0</v>
      </c>
      <c r="U26" s="16">
        <f t="shared" si="18"/>
        <v>360</v>
      </c>
      <c r="V26" s="16">
        <f t="shared" si="18"/>
        <v>350</v>
      </c>
      <c r="W26" s="16">
        <f t="shared" si="18"/>
        <v>6</v>
      </c>
      <c r="X26" s="16">
        <f t="shared" si="18"/>
        <v>31</v>
      </c>
      <c r="Y26" s="16">
        <f t="shared" si="18"/>
        <v>165</v>
      </c>
      <c r="Z26" s="16">
        <f t="shared" si="18"/>
        <v>14</v>
      </c>
      <c r="AA26" s="16">
        <f t="shared" si="18"/>
        <v>4</v>
      </c>
      <c r="AB26" s="16">
        <f t="shared" si="18"/>
        <v>38</v>
      </c>
      <c r="AC26" s="16">
        <f t="shared" si="18"/>
        <v>1503</v>
      </c>
      <c r="AD26" s="16">
        <f t="shared" si="18"/>
        <v>1</v>
      </c>
      <c r="AE26" s="32">
        <f t="shared" si="18"/>
        <v>1207</v>
      </c>
      <c r="AF26" s="32">
        <f t="shared" si="18"/>
        <v>2710</v>
      </c>
    </row>
    <row r="27" spans="2:32" ht="23.1" customHeight="1" x14ac:dyDescent="0.25">
      <c r="B27" s="23" t="s">
        <v>54</v>
      </c>
      <c r="C27" s="50">
        <v>4</v>
      </c>
      <c r="D27" s="50">
        <v>0</v>
      </c>
      <c r="E27" s="50">
        <v>11</v>
      </c>
      <c r="F27" s="50">
        <v>13</v>
      </c>
      <c r="G27" s="50">
        <v>1</v>
      </c>
      <c r="H27" s="50">
        <v>2</v>
      </c>
      <c r="I27" s="50">
        <v>5</v>
      </c>
      <c r="J27" s="50">
        <v>0</v>
      </c>
      <c r="K27" s="50">
        <v>1</v>
      </c>
      <c r="L27" s="50">
        <v>0</v>
      </c>
      <c r="M27" s="50">
        <v>73</v>
      </c>
      <c r="N27" s="50">
        <v>0</v>
      </c>
      <c r="O27" s="15">
        <f t="shared" si="0"/>
        <v>37</v>
      </c>
      <c r="P27" s="15">
        <f t="shared" si="1"/>
        <v>110</v>
      </c>
      <c r="R27" s="29" t="s">
        <v>87</v>
      </c>
      <c r="S27" s="16">
        <f t="shared" ref="S27:AF27" si="19">SUM(S19:S21)</f>
        <v>143</v>
      </c>
      <c r="T27" s="16">
        <f t="shared" si="19"/>
        <v>0</v>
      </c>
      <c r="U27" s="16">
        <f t="shared" si="19"/>
        <v>106</v>
      </c>
      <c r="V27" s="16">
        <f t="shared" si="19"/>
        <v>184</v>
      </c>
      <c r="W27" s="16">
        <f t="shared" si="19"/>
        <v>2</v>
      </c>
      <c r="X27" s="16">
        <f t="shared" si="19"/>
        <v>13</v>
      </c>
      <c r="Y27" s="16">
        <f t="shared" si="19"/>
        <v>104</v>
      </c>
      <c r="Z27" s="16">
        <f t="shared" si="19"/>
        <v>8</v>
      </c>
      <c r="AA27" s="16">
        <f t="shared" si="19"/>
        <v>6</v>
      </c>
      <c r="AB27" s="16">
        <f t="shared" si="19"/>
        <v>42</v>
      </c>
      <c r="AC27" s="16">
        <f t="shared" si="19"/>
        <v>745</v>
      </c>
      <c r="AD27" s="16">
        <f t="shared" si="19"/>
        <v>0</v>
      </c>
      <c r="AE27" s="32">
        <f t="shared" si="19"/>
        <v>608</v>
      </c>
      <c r="AF27" s="32">
        <f t="shared" si="19"/>
        <v>1353</v>
      </c>
    </row>
    <row r="28" spans="2:32" ht="23.1" customHeight="1" x14ac:dyDescent="0.25">
      <c r="B28" s="23" t="s">
        <v>55</v>
      </c>
      <c r="C28" s="50">
        <v>3</v>
      </c>
      <c r="D28" s="50">
        <v>0</v>
      </c>
      <c r="E28" s="50">
        <v>17</v>
      </c>
      <c r="F28" s="50">
        <v>19</v>
      </c>
      <c r="G28" s="50">
        <v>1</v>
      </c>
      <c r="H28" s="50">
        <v>0</v>
      </c>
      <c r="I28" s="50">
        <v>5</v>
      </c>
      <c r="J28" s="50">
        <v>0</v>
      </c>
      <c r="K28" s="50">
        <v>0</v>
      </c>
      <c r="L28" s="50">
        <v>0</v>
      </c>
      <c r="M28" s="50">
        <v>68</v>
      </c>
      <c r="N28" s="50">
        <v>0</v>
      </c>
      <c r="O28" s="15">
        <f t="shared" si="0"/>
        <v>45</v>
      </c>
      <c r="P28" s="15">
        <f t="shared" si="1"/>
        <v>113</v>
      </c>
      <c r="R28" s="5" t="s">
        <v>17</v>
      </c>
      <c r="S28" s="16">
        <f t="shared" ref="S28:AF28" si="20">SUM(S10:S21)</f>
        <v>486</v>
      </c>
      <c r="T28" s="16">
        <f t="shared" si="20"/>
        <v>0</v>
      </c>
      <c r="U28" s="16">
        <f t="shared" si="20"/>
        <v>637</v>
      </c>
      <c r="V28" s="16">
        <f t="shared" si="20"/>
        <v>676</v>
      </c>
      <c r="W28" s="16">
        <f t="shared" si="20"/>
        <v>10</v>
      </c>
      <c r="X28" s="16">
        <f t="shared" si="20"/>
        <v>54</v>
      </c>
      <c r="Y28" s="16">
        <f t="shared" si="20"/>
        <v>353</v>
      </c>
      <c r="Z28" s="16">
        <f t="shared" si="20"/>
        <v>27</v>
      </c>
      <c r="AA28" s="16">
        <f t="shared" si="20"/>
        <v>11</v>
      </c>
      <c r="AB28" s="16">
        <f t="shared" si="20"/>
        <v>91</v>
      </c>
      <c r="AC28" s="16">
        <f t="shared" si="20"/>
        <v>3073</v>
      </c>
      <c r="AD28" s="16">
        <f t="shared" si="20"/>
        <v>2</v>
      </c>
      <c r="AE28" s="32">
        <f t="shared" si="20"/>
        <v>2347</v>
      </c>
      <c r="AF28" s="32">
        <f t="shared" si="20"/>
        <v>5420</v>
      </c>
    </row>
    <row r="29" spans="2:32" ht="23.1" customHeight="1" x14ac:dyDescent="0.25">
      <c r="B29" s="23" t="s">
        <v>56</v>
      </c>
      <c r="C29" s="50">
        <v>2</v>
      </c>
      <c r="D29" s="50">
        <v>0</v>
      </c>
      <c r="E29" s="50">
        <v>6</v>
      </c>
      <c r="F29" s="50">
        <v>7</v>
      </c>
      <c r="G29" s="50">
        <v>0</v>
      </c>
      <c r="H29" s="50">
        <v>2</v>
      </c>
      <c r="I29" s="50">
        <v>3</v>
      </c>
      <c r="J29" s="50">
        <v>0</v>
      </c>
      <c r="K29" s="50">
        <v>0</v>
      </c>
      <c r="L29" s="50">
        <v>0</v>
      </c>
      <c r="M29" s="50">
        <v>67</v>
      </c>
      <c r="N29" s="50">
        <v>0</v>
      </c>
      <c r="O29" s="15">
        <f t="shared" si="0"/>
        <v>20</v>
      </c>
      <c r="P29" s="15">
        <f t="shared" si="1"/>
        <v>87</v>
      </c>
      <c r="R29"/>
      <c r="S29" s="20"/>
      <c r="T29" s="19"/>
    </row>
    <row r="30" spans="2:32" ht="23.1" customHeight="1" x14ac:dyDescent="0.25">
      <c r="B30" s="23" t="s">
        <v>57</v>
      </c>
      <c r="C30" s="50">
        <v>8</v>
      </c>
      <c r="D30" s="50">
        <v>0</v>
      </c>
      <c r="E30" s="50">
        <v>24</v>
      </c>
      <c r="F30" s="50">
        <v>20</v>
      </c>
      <c r="G30" s="50">
        <v>0</v>
      </c>
      <c r="H30" s="50">
        <v>2</v>
      </c>
      <c r="I30" s="50">
        <v>4</v>
      </c>
      <c r="J30" s="50">
        <v>1</v>
      </c>
      <c r="K30" s="50">
        <v>1</v>
      </c>
      <c r="L30" s="50">
        <v>2</v>
      </c>
      <c r="M30" s="50">
        <v>59</v>
      </c>
      <c r="N30" s="50">
        <v>0</v>
      </c>
      <c r="O30" s="15">
        <f t="shared" si="0"/>
        <v>62</v>
      </c>
      <c r="P30" s="15">
        <f t="shared" si="1"/>
        <v>121</v>
      </c>
    </row>
    <row r="31" spans="2:32" ht="23.1" customHeight="1" x14ac:dyDescent="0.25">
      <c r="B31" s="24" t="s">
        <v>58</v>
      </c>
      <c r="C31" s="50">
        <v>10</v>
      </c>
      <c r="D31" s="50">
        <v>0</v>
      </c>
      <c r="E31" s="50">
        <v>24</v>
      </c>
      <c r="F31" s="50">
        <v>15</v>
      </c>
      <c r="G31" s="50">
        <v>0</v>
      </c>
      <c r="H31" s="50">
        <v>1</v>
      </c>
      <c r="I31" s="50">
        <v>11</v>
      </c>
      <c r="J31" s="50">
        <v>0</v>
      </c>
      <c r="K31" s="50">
        <v>0</v>
      </c>
      <c r="L31" s="50">
        <v>2</v>
      </c>
      <c r="M31" s="50">
        <v>50</v>
      </c>
      <c r="N31" s="50">
        <v>0</v>
      </c>
      <c r="O31" s="15">
        <f t="shared" si="0"/>
        <v>63</v>
      </c>
      <c r="P31" s="15">
        <f t="shared" si="1"/>
        <v>113</v>
      </c>
    </row>
    <row r="32" spans="2:32" ht="23.1" customHeight="1" x14ac:dyDescent="0.25">
      <c r="B32" s="24" t="s">
        <v>59</v>
      </c>
      <c r="C32" s="50">
        <v>4</v>
      </c>
      <c r="D32" s="50">
        <v>0</v>
      </c>
      <c r="E32" s="50">
        <v>23</v>
      </c>
      <c r="F32" s="50">
        <v>17</v>
      </c>
      <c r="G32" s="50">
        <v>0</v>
      </c>
      <c r="H32" s="50">
        <v>1</v>
      </c>
      <c r="I32" s="50">
        <v>8</v>
      </c>
      <c r="J32" s="50">
        <v>2</v>
      </c>
      <c r="K32" s="50">
        <v>0</v>
      </c>
      <c r="L32" s="50">
        <v>1</v>
      </c>
      <c r="M32" s="50">
        <v>57</v>
      </c>
      <c r="N32" s="50">
        <v>0</v>
      </c>
      <c r="O32" s="15">
        <f t="shared" si="0"/>
        <v>56</v>
      </c>
      <c r="P32" s="15">
        <f t="shared" si="1"/>
        <v>113</v>
      </c>
    </row>
    <row r="33" spans="2:20" ht="23.1" customHeight="1" x14ac:dyDescent="0.25">
      <c r="B33" s="23" t="s">
        <v>60</v>
      </c>
      <c r="C33" s="50">
        <v>11</v>
      </c>
      <c r="D33" s="50">
        <v>0</v>
      </c>
      <c r="E33" s="50">
        <v>20</v>
      </c>
      <c r="F33" s="50">
        <v>10</v>
      </c>
      <c r="G33" s="50">
        <v>0</v>
      </c>
      <c r="H33" s="50">
        <v>2</v>
      </c>
      <c r="I33" s="50">
        <v>6</v>
      </c>
      <c r="J33" s="50">
        <v>2</v>
      </c>
      <c r="K33" s="50">
        <v>0</v>
      </c>
      <c r="L33" s="50">
        <v>2</v>
      </c>
      <c r="M33" s="50">
        <v>51</v>
      </c>
      <c r="N33" s="50">
        <v>0</v>
      </c>
      <c r="O33" s="15">
        <f t="shared" si="0"/>
        <v>53</v>
      </c>
      <c r="P33" s="15">
        <f t="shared" si="1"/>
        <v>104</v>
      </c>
    </row>
    <row r="34" spans="2:20" ht="23.1" customHeight="1" x14ac:dyDescent="0.25">
      <c r="B34" s="24" t="s">
        <v>61</v>
      </c>
      <c r="C34" s="50">
        <v>12</v>
      </c>
      <c r="D34" s="50">
        <v>0</v>
      </c>
      <c r="E34" s="50">
        <v>6</v>
      </c>
      <c r="F34" s="50">
        <v>11</v>
      </c>
      <c r="G34" s="50">
        <v>0</v>
      </c>
      <c r="H34" s="50">
        <v>0</v>
      </c>
      <c r="I34" s="50">
        <v>7</v>
      </c>
      <c r="J34" s="50">
        <v>1</v>
      </c>
      <c r="K34" s="50">
        <v>0</v>
      </c>
      <c r="L34" s="50">
        <v>1</v>
      </c>
      <c r="M34" s="50">
        <v>61</v>
      </c>
      <c r="N34" s="50">
        <v>0</v>
      </c>
      <c r="O34" s="15">
        <f t="shared" si="0"/>
        <v>38</v>
      </c>
      <c r="P34" s="15">
        <f t="shared" si="1"/>
        <v>99</v>
      </c>
    </row>
    <row r="35" spans="2:20" ht="23.1" customHeight="1" x14ac:dyDescent="0.25">
      <c r="B35" s="24" t="s">
        <v>62</v>
      </c>
      <c r="C35" s="50">
        <v>15</v>
      </c>
      <c r="D35" s="50">
        <v>0</v>
      </c>
      <c r="E35" s="50">
        <v>11</v>
      </c>
      <c r="F35" s="50">
        <v>11</v>
      </c>
      <c r="G35" s="50">
        <v>1</v>
      </c>
      <c r="H35" s="50">
        <v>1</v>
      </c>
      <c r="I35" s="50">
        <v>6</v>
      </c>
      <c r="J35" s="50">
        <v>0</v>
      </c>
      <c r="K35" s="50">
        <v>0</v>
      </c>
      <c r="L35" s="50">
        <v>0</v>
      </c>
      <c r="M35" s="50">
        <v>66</v>
      </c>
      <c r="N35" s="50">
        <v>0</v>
      </c>
      <c r="O35" s="15">
        <f t="shared" si="0"/>
        <v>45</v>
      </c>
      <c r="P35" s="15">
        <f t="shared" si="1"/>
        <v>111</v>
      </c>
    </row>
    <row r="36" spans="2:20" ht="23.1" customHeight="1" x14ac:dyDescent="0.25">
      <c r="B36" s="24" t="s">
        <v>63</v>
      </c>
      <c r="C36" s="50">
        <v>16</v>
      </c>
      <c r="D36" s="50">
        <v>0</v>
      </c>
      <c r="E36" s="50">
        <v>15</v>
      </c>
      <c r="F36" s="50">
        <v>16</v>
      </c>
      <c r="G36" s="50">
        <v>0</v>
      </c>
      <c r="H36" s="50">
        <v>2</v>
      </c>
      <c r="I36" s="50">
        <v>9</v>
      </c>
      <c r="J36" s="50">
        <v>1</v>
      </c>
      <c r="K36" s="50">
        <v>0</v>
      </c>
      <c r="L36" s="50">
        <v>3</v>
      </c>
      <c r="M36" s="50">
        <v>59</v>
      </c>
      <c r="N36" s="50">
        <v>0</v>
      </c>
      <c r="O36" s="15">
        <f t="shared" si="0"/>
        <v>62</v>
      </c>
      <c r="P36" s="15">
        <f t="shared" si="1"/>
        <v>121</v>
      </c>
    </row>
    <row r="37" spans="2:20" ht="23.1" customHeight="1" x14ac:dyDescent="0.25">
      <c r="B37" s="23" t="s">
        <v>64</v>
      </c>
      <c r="C37" s="50">
        <v>16</v>
      </c>
      <c r="D37" s="50">
        <v>0</v>
      </c>
      <c r="E37" s="50">
        <v>10</v>
      </c>
      <c r="F37" s="50">
        <v>16</v>
      </c>
      <c r="G37" s="50">
        <v>0</v>
      </c>
      <c r="H37" s="50">
        <v>4</v>
      </c>
      <c r="I37" s="50">
        <v>10</v>
      </c>
      <c r="J37" s="50">
        <v>0</v>
      </c>
      <c r="K37" s="50">
        <v>0</v>
      </c>
      <c r="L37" s="50">
        <v>2</v>
      </c>
      <c r="M37" s="50">
        <v>49</v>
      </c>
      <c r="N37" s="50">
        <v>1</v>
      </c>
      <c r="O37" s="15">
        <f t="shared" si="0"/>
        <v>59</v>
      </c>
      <c r="P37" s="15">
        <f t="shared" si="1"/>
        <v>108</v>
      </c>
    </row>
    <row r="38" spans="2:20" ht="23.1" customHeight="1" x14ac:dyDescent="0.25">
      <c r="B38" s="24" t="s">
        <v>65</v>
      </c>
      <c r="C38" s="50">
        <v>20</v>
      </c>
      <c r="D38" s="50">
        <v>0</v>
      </c>
      <c r="E38" s="50">
        <v>19</v>
      </c>
      <c r="F38" s="50">
        <v>19</v>
      </c>
      <c r="G38" s="50">
        <v>2</v>
      </c>
      <c r="H38" s="50">
        <v>1</v>
      </c>
      <c r="I38" s="50">
        <v>4</v>
      </c>
      <c r="J38" s="50">
        <v>4</v>
      </c>
      <c r="K38" s="50">
        <v>0</v>
      </c>
      <c r="L38" s="50">
        <v>2</v>
      </c>
      <c r="M38" s="50">
        <v>32</v>
      </c>
      <c r="N38" s="50">
        <v>0</v>
      </c>
      <c r="O38" s="15">
        <f t="shared" si="0"/>
        <v>71</v>
      </c>
      <c r="P38" s="15">
        <f t="shared" si="1"/>
        <v>103</v>
      </c>
    </row>
    <row r="39" spans="2:20" ht="23.1" customHeight="1" x14ac:dyDescent="0.25">
      <c r="B39" s="24" t="s">
        <v>66</v>
      </c>
      <c r="C39" s="50">
        <v>11</v>
      </c>
      <c r="D39" s="50">
        <v>0</v>
      </c>
      <c r="E39" s="50">
        <v>17</v>
      </c>
      <c r="F39" s="50">
        <v>16</v>
      </c>
      <c r="G39" s="50">
        <v>0</v>
      </c>
      <c r="H39" s="50">
        <v>3</v>
      </c>
      <c r="I39" s="50">
        <v>12</v>
      </c>
      <c r="J39" s="50">
        <v>0</v>
      </c>
      <c r="K39" s="50">
        <v>0</v>
      </c>
      <c r="L39" s="50">
        <v>2</v>
      </c>
      <c r="M39" s="50">
        <v>62</v>
      </c>
      <c r="N39" s="50">
        <v>0</v>
      </c>
      <c r="O39" s="15">
        <f t="shared" si="0"/>
        <v>61</v>
      </c>
      <c r="P39" s="15">
        <f t="shared" si="1"/>
        <v>123</v>
      </c>
    </row>
    <row r="40" spans="2:20" ht="23.1" customHeight="1" x14ac:dyDescent="0.25">
      <c r="B40" s="24" t="s">
        <v>67</v>
      </c>
      <c r="C40" s="50">
        <v>9</v>
      </c>
      <c r="D40" s="50">
        <v>0</v>
      </c>
      <c r="E40" s="50">
        <v>7</v>
      </c>
      <c r="F40" s="50">
        <v>13</v>
      </c>
      <c r="G40" s="50">
        <v>0</v>
      </c>
      <c r="H40" s="50">
        <v>1</v>
      </c>
      <c r="I40" s="50">
        <v>2</v>
      </c>
      <c r="J40" s="50">
        <v>0</v>
      </c>
      <c r="K40" s="50">
        <v>0</v>
      </c>
      <c r="L40" s="50">
        <v>3</v>
      </c>
      <c r="M40" s="50">
        <v>68</v>
      </c>
      <c r="N40" s="50">
        <v>0</v>
      </c>
      <c r="O40" s="15">
        <f t="shared" si="0"/>
        <v>35</v>
      </c>
      <c r="P40" s="15">
        <f t="shared" si="1"/>
        <v>103</v>
      </c>
    </row>
    <row r="41" spans="2:20" ht="23.1" customHeight="1" x14ac:dyDescent="0.25">
      <c r="B41" s="23" t="s">
        <v>68</v>
      </c>
      <c r="C41" s="50">
        <v>15</v>
      </c>
      <c r="D41" s="50">
        <v>0</v>
      </c>
      <c r="E41" s="50">
        <v>14</v>
      </c>
      <c r="F41" s="50">
        <v>18</v>
      </c>
      <c r="G41" s="50">
        <v>0</v>
      </c>
      <c r="H41" s="50">
        <v>3</v>
      </c>
      <c r="I41" s="50">
        <v>8</v>
      </c>
      <c r="J41" s="50">
        <v>0</v>
      </c>
      <c r="K41" s="50">
        <v>0</v>
      </c>
      <c r="L41" s="50">
        <v>5</v>
      </c>
      <c r="M41" s="50">
        <v>54</v>
      </c>
      <c r="N41" s="50">
        <v>0</v>
      </c>
      <c r="O41" s="15">
        <f t="shared" si="0"/>
        <v>63</v>
      </c>
      <c r="P41" s="15">
        <f t="shared" si="1"/>
        <v>117</v>
      </c>
    </row>
    <row r="42" spans="2:20" ht="23.1" customHeight="1" x14ac:dyDescent="0.25">
      <c r="B42" s="24" t="s">
        <v>69</v>
      </c>
      <c r="C42" s="50">
        <v>14</v>
      </c>
      <c r="D42" s="50">
        <v>0</v>
      </c>
      <c r="E42" s="50">
        <v>12</v>
      </c>
      <c r="F42" s="50">
        <v>12</v>
      </c>
      <c r="G42" s="50">
        <v>1</v>
      </c>
      <c r="H42" s="50">
        <v>1</v>
      </c>
      <c r="I42" s="50">
        <v>7</v>
      </c>
      <c r="J42" s="50">
        <v>0</v>
      </c>
      <c r="K42" s="50">
        <v>0</v>
      </c>
      <c r="L42" s="50">
        <v>4</v>
      </c>
      <c r="M42" s="50">
        <v>72</v>
      </c>
      <c r="N42" s="50">
        <v>0</v>
      </c>
      <c r="O42" s="15">
        <f t="shared" si="0"/>
        <v>51</v>
      </c>
      <c r="P42" s="15">
        <f t="shared" si="1"/>
        <v>123</v>
      </c>
    </row>
    <row r="43" spans="2:20" ht="23.1" customHeight="1" x14ac:dyDescent="0.25">
      <c r="B43" s="23" t="s">
        <v>70</v>
      </c>
      <c r="C43" s="50">
        <v>11</v>
      </c>
      <c r="D43" s="50">
        <v>0</v>
      </c>
      <c r="E43" s="50">
        <v>15</v>
      </c>
      <c r="F43" s="50">
        <v>14</v>
      </c>
      <c r="G43" s="50">
        <v>0</v>
      </c>
      <c r="H43" s="50">
        <v>0</v>
      </c>
      <c r="I43" s="50">
        <v>9</v>
      </c>
      <c r="J43" s="50">
        <v>0</v>
      </c>
      <c r="K43" s="50">
        <v>0</v>
      </c>
      <c r="L43" s="50">
        <v>3</v>
      </c>
      <c r="M43" s="50">
        <v>77</v>
      </c>
      <c r="N43" s="50">
        <v>0</v>
      </c>
      <c r="O43" s="15">
        <f t="shared" si="0"/>
        <v>52</v>
      </c>
      <c r="P43" s="15">
        <f t="shared" si="1"/>
        <v>129</v>
      </c>
    </row>
    <row r="44" spans="2:20" ht="23.1" customHeight="1" x14ac:dyDescent="0.25">
      <c r="B44" s="25" t="s">
        <v>71</v>
      </c>
      <c r="C44" s="50">
        <v>13</v>
      </c>
      <c r="D44" s="50">
        <v>0</v>
      </c>
      <c r="E44" s="50">
        <v>19</v>
      </c>
      <c r="F44" s="50">
        <v>23</v>
      </c>
      <c r="G44" s="50">
        <v>0</v>
      </c>
      <c r="H44" s="50">
        <v>2</v>
      </c>
      <c r="I44" s="50">
        <v>12</v>
      </c>
      <c r="J44" s="50">
        <v>1</v>
      </c>
      <c r="K44" s="50">
        <v>0</v>
      </c>
      <c r="L44" s="50">
        <v>1</v>
      </c>
      <c r="M44" s="50">
        <v>60</v>
      </c>
      <c r="N44" s="50">
        <v>0</v>
      </c>
      <c r="O44" s="15">
        <f t="shared" si="0"/>
        <v>71</v>
      </c>
      <c r="P44" s="15">
        <f t="shared" si="1"/>
        <v>131</v>
      </c>
    </row>
    <row r="45" spans="2:20" ht="23.1" customHeight="1" x14ac:dyDescent="0.25">
      <c r="B45" s="23" t="s">
        <v>72</v>
      </c>
      <c r="C45" s="50">
        <v>7</v>
      </c>
      <c r="D45" s="50">
        <v>0</v>
      </c>
      <c r="E45" s="50">
        <v>10</v>
      </c>
      <c r="F45" s="50">
        <v>10</v>
      </c>
      <c r="G45" s="50">
        <v>0</v>
      </c>
      <c r="H45" s="50">
        <v>0</v>
      </c>
      <c r="I45" s="50">
        <v>7</v>
      </c>
      <c r="J45" s="50">
        <v>0</v>
      </c>
      <c r="K45" s="50">
        <v>1</v>
      </c>
      <c r="L45" s="50">
        <v>2</v>
      </c>
      <c r="M45" s="50">
        <v>72</v>
      </c>
      <c r="N45" s="50">
        <v>0</v>
      </c>
      <c r="O45" s="15">
        <f t="shared" si="0"/>
        <v>37</v>
      </c>
      <c r="P45" s="15">
        <f t="shared" si="1"/>
        <v>109</v>
      </c>
    </row>
    <row r="46" spans="2:20" ht="23.1" customHeight="1" x14ac:dyDescent="0.25">
      <c r="B46" s="24" t="s">
        <v>73</v>
      </c>
      <c r="C46" s="50">
        <v>16</v>
      </c>
      <c r="D46" s="50">
        <v>0</v>
      </c>
      <c r="E46" s="50">
        <v>20</v>
      </c>
      <c r="F46" s="50">
        <v>19</v>
      </c>
      <c r="G46" s="50">
        <v>0</v>
      </c>
      <c r="H46" s="50">
        <v>0</v>
      </c>
      <c r="I46" s="50">
        <v>7</v>
      </c>
      <c r="J46" s="50">
        <v>2</v>
      </c>
      <c r="K46" s="50">
        <v>1</v>
      </c>
      <c r="L46" s="50">
        <v>3</v>
      </c>
      <c r="M46" s="50">
        <v>63</v>
      </c>
      <c r="N46" s="50">
        <v>0</v>
      </c>
      <c r="O46" s="15">
        <f t="shared" si="0"/>
        <v>68</v>
      </c>
      <c r="P46" s="15">
        <f t="shared" si="1"/>
        <v>131</v>
      </c>
      <c r="R46" s="8"/>
      <c r="T46"/>
    </row>
    <row r="47" spans="2:20" ht="23.1" customHeight="1" x14ac:dyDescent="0.25">
      <c r="B47" s="24" t="s">
        <v>74</v>
      </c>
      <c r="C47" s="50">
        <v>12</v>
      </c>
      <c r="D47" s="50">
        <v>0</v>
      </c>
      <c r="E47" s="50">
        <v>13</v>
      </c>
      <c r="F47" s="50">
        <v>19</v>
      </c>
      <c r="G47" s="50">
        <v>2</v>
      </c>
      <c r="H47" s="50">
        <v>3</v>
      </c>
      <c r="I47" s="50">
        <v>10</v>
      </c>
      <c r="J47" s="50">
        <v>0</v>
      </c>
      <c r="K47" s="50">
        <v>0</v>
      </c>
      <c r="L47" s="50">
        <v>3</v>
      </c>
      <c r="M47" s="50">
        <v>55</v>
      </c>
      <c r="N47" s="50">
        <v>0</v>
      </c>
      <c r="O47" s="15">
        <f t="shared" si="0"/>
        <v>62</v>
      </c>
      <c r="P47" s="15">
        <f t="shared" si="1"/>
        <v>117</v>
      </c>
      <c r="R47" s="8"/>
      <c r="T47"/>
    </row>
    <row r="48" spans="2:20" ht="23.1" customHeight="1" x14ac:dyDescent="0.25">
      <c r="B48" s="24" t="s">
        <v>75</v>
      </c>
      <c r="C48" s="50">
        <v>8</v>
      </c>
      <c r="D48" s="50">
        <v>0</v>
      </c>
      <c r="E48" s="50">
        <v>11</v>
      </c>
      <c r="F48" s="50">
        <v>20</v>
      </c>
      <c r="G48" s="50">
        <v>0</v>
      </c>
      <c r="H48" s="50">
        <v>0</v>
      </c>
      <c r="I48" s="50">
        <v>6</v>
      </c>
      <c r="J48" s="50">
        <v>0</v>
      </c>
      <c r="K48" s="50">
        <v>0</v>
      </c>
      <c r="L48" s="50">
        <v>1</v>
      </c>
      <c r="M48" s="50">
        <v>86</v>
      </c>
      <c r="N48" s="50">
        <v>0</v>
      </c>
      <c r="O48" s="15">
        <f t="shared" si="0"/>
        <v>46</v>
      </c>
      <c r="P48" s="15">
        <f t="shared" si="1"/>
        <v>132</v>
      </c>
      <c r="R48" s="8"/>
      <c r="T48"/>
    </row>
    <row r="49" spans="2:20" ht="23.1" customHeight="1" x14ac:dyDescent="0.25">
      <c r="B49" s="23" t="s">
        <v>76</v>
      </c>
      <c r="C49" s="50">
        <v>11</v>
      </c>
      <c r="D49" s="50">
        <v>0</v>
      </c>
      <c r="E49" s="50">
        <v>14</v>
      </c>
      <c r="F49" s="50">
        <v>20</v>
      </c>
      <c r="G49" s="50">
        <v>0</v>
      </c>
      <c r="H49" s="50">
        <v>2</v>
      </c>
      <c r="I49" s="50">
        <v>13</v>
      </c>
      <c r="J49" s="50">
        <v>2</v>
      </c>
      <c r="K49" s="50">
        <v>0</v>
      </c>
      <c r="L49" s="50">
        <v>3</v>
      </c>
      <c r="M49" s="50">
        <v>57</v>
      </c>
      <c r="N49" s="50">
        <v>0</v>
      </c>
      <c r="O49" s="15">
        <f t="shared" si="0"/>
        <v>65</v>
      </c>
      <c r="P49" s="15">
        <f t="shared" si="1"/>
        <v>122</v>
      </c>
      <c r="R49" s="8"/>
      <c r="T49"/>
    </row>
    <row r="50" spans="2:20" ht="23.1" customHeight="1" x14ac:dyDescent="0.25">
      <c r="B50" s="24" t="s">
        <v>77</v>
      </c>
      <c r="C50" s="50">
        <v>10</v>
      </c>
      <c r="D50" s="50">
        <v>0</v>
      </c>
      <c r="E50" s="50">
        <v>6</v>
      </c>
      <c r="F50" s="50">
        <v>16</v>
      </c>
      <c r="G50" s="50">
        <v>0</v>
      </c>
      <c r="H50" s="50">
        <v>0</v>
      </c>
      <c r="I50" s="50">
        <v>7</v>
      </c>
      <c r="J50" s="50">
        <v>0</v>
      </c>
      <c r="K50" s="50">
        <v>1</v>
      </c>
      <c r="L50" s="50">
        <v>2</v>
      </c>
      <c r="M50" s="50">
        <v>72</v>
      </c>
      <c r="N50" s="50">
        <v>0</v>
      </c>
      <c r="O50" s="15">
        <f t="shared" si="0"/>
        <v>42</v>
      </c>
      <c r="P50" s="15">
        <f t="shared" si="1"/>
        <v>114</v>
      </c>
      <c r="R50" s="8"/>
      <c r="T50"/>
    </row>
    <row r="51" spans="2:20" ht="23.1" customHeight="1" x14ac:dyDescent="0.25">
      <c r="B51" s="24" t="s">
        <v>78</v>
      </c>
      <c r="C51" s="50">
        <v>12</v>
      </c>
      <c r="D51" s="50">
        <v>0</v>
      </c>
      <c r="E51" s="50">
        <v>11</v>
      </c>
      <c r="F51" s="50">
        <v>24</v>
      </c>
      <c r="G51" s="50">
        <v>0</v>
      </c>
      <c r="H51" s="50">
        <v>1</v>
      </c>
      <c r="I51" s="50">
        <v>4</v>
      </c>
      <c r="J51" s="50">
        <v>0</v>
      </c>
      <c r="K51" s="50">
        <v>0</v>
      </c>
      <c r="L51" s="50">
        <v>3</v>
      </c>
      <c r="M51" s="50">
        <v>76</v>
      </c>
      <c r="N51" s="50">
        <v>0</v>
      </c>
      <c r="O51" s="15">
        <f t="shared" si="0"/>
        <v>55</v>
      </c>
      <c r="P51" s="15">
        <f t="shared" si="1"/>
        <v>131</v>
      </c>
      <c r="R51" s="8"/>
      <c r="T51"/>
    </row>
    <row r="52" spans="2:20" ht="23.1" customHeight="1" x14ac:dyDescent="0.25">
      <c r="B52" s="24" t="s">
        <v>79</v>
      </c>
      <c r="C52" s="50">
        <v>16</v>
      </c>
      <c r="D52" s="50">
        <v>0</v>
      </c>
      <c r="E52" s="50">
        <v>6</v>
      </c>
      <c r="F52" s="50">
        <v>10</v>
      </c>
      <c r="G52" s="50">
        <v>0</v>
      </c>
      <c r="H52" s="50">
        <v>1</v>
      </c>
      <c r="I52" s="50">
        <v>8</v>
      </c>
      <c r="J52" s="50">
        <v>0</v>
      </c>
      <c r="K52" s="50">
        <v>0</v>
      </c>
      <c r="L52" s="50">
        <v>6</v>
      </c>
      <c r="M52" s="50">
        <v>86</v>
      </c>
      <c r="N52" s="50">
        <v>0</v>
      </c>
      <c r="O52" s="15">
        <f t="shared" si="0"/>
        <v>47</v>
      </c>
      <c r="P52" s="15">
        <f t="shared" si="1"/>
        <v>133</v>
      </c>
      <c r="R52" s="8"/>
      <c r="T52"/>
    </row>
    <row r="53" spans="2:20" ht="23.1" customHeight="1" x14ac:dyDescent="0.25">
      <c r="B53" s="23" t="s">
        <v>80</v>
      </c>
      <c r="C53" s="50">
        <v>19</v>
      </c>
      <c r="D53" s="50">
        <v>0</v>
      </c>
      <c r="E53" s="50">
        <v>11</v>
      </c>
      <c r="F53" s="50">
        <v>9</v>
      </c>
      <c r="G53" s="50">
        <v>0</v>
      </c>
      <c r="H53" s="50">
        <v>1</v>
      </c>
      <c r="I53" s="50">
        <v>15</v>
      </c>
      <c r="J53" s="50">
        <v>3</v>
      </c>
      <c r="K53" s="50">
        <v>1</v>
      </c>
      <c r="L53" s="50">
        <v>8</v>
      </c>
      <c r="M53" s="50">
        <v>61</v>
      </c>
      <c r="N53" s="50">
        <v>0</v>
      </c>
      <c r="O53" s="15">
        <f t="shared" si="0"/>
        <v>67</v>
      </c>
      <c r="P53" s="15">
        <f t="shared" si="1"/>
        <v>128</v>
      </c>
      <c r="R53" s="8"/>
      <c r="T53"/>
    </row>
    <row r="54" spans="2:20" ht="23.1" customHeight="1" x14ac:dyDescent="0.25">
      <c r="B54" s="23" t="s">
        <v>81</v>
      </c>
      <c r="C54" s="50">
        <v>6</v>
      </c>
      <c r="D54" s="50">
        <v>0</v>
      </c>
      <c r="E54" s="50">
        <v>0</v>
      </c>
      <c r="F54" s="50">
        <v>11</v>
      </c>
      <c r="G54" s="50">
        <v>0</v>
      </c>
      <c r="H54" s="50">
        <v>2</v>
      </c>
      <c r="I54" s="50">
        <v>5</v>
      </c>
      <c r="J54" s="50">
        <v>1</v>
      </c>
      <c r="K54" s="50">
        <v>0</v>
      </c>
      <c r="L54" s="50">
        <v>2</v>
      </c>
      <c r="M54" s="50">
        <v>12</v>
      </c>
      <c r="N54" s="50">
        <v>0</v>
      </c>
      <c r="O54" s="15">
        <f t="shared" si="0"/>
        <v>27</v>
      </c>
      <c r="P54" s="15">
        <f t="shared" si="1"/>
        <v>39</v>
      </c>
      <c r="R54" s="8"/>
      <c r="T54"/>
    </row>
    <row r="55" spans="2:20" ht="23.1" customHeight="1" x14ac:dyDescent="0.25">
      <c r="B55" s="23" t="s">
        <v>82</v>
      </c>
      <c r="C55" s="50">
        <v>8</v>
      </c>
      <c r="D55" s="50">
        <v>0</v>
      </c>
      <c r="E55" s="50">
        <v>5</v>
      </c>
      <c r="F55" s="50">
        <v>9</v>
      </c>
      <c r="G55" s="50">
        <v>0</v>
      </c>
      <c r="H55" s="50">
        <v>1</v>
      </c>
      <c r="I55" s="50">
        <v>6</v>
      </c>
      <c r="J55" s="50">
        <v>0</v>
      </c>
      <c r="K55" s="50">
        <v>0</v>
      </c>
      <c r="L55" s="50">
        <v>0</v>
      </c>
      <c r="M55" s="50">
        <v>35</v>
      </c>
      <c r="N55" s="50">
        <v>0</v>
      </c>
      <c r="O55" s="15">
        <f t="shared" si="0"/>
        <v>29</v>
      </c>
      <c r="P55" s="15">
        <f t="shared" si="1"/>
        <v>64</v>
      </c>
      <c r="R55" s="8"/>
      <c r="T55"/>
    </row>
    <row r="56" spans="2:20" ht="23.1" customHeight="1" x14ac:dyDescent="0.25">
      <c r="B56" s="23" t="s">
        <v>83</v>
      </c>
      <c r="C56" s="50">
        <v>11</v>
      </c>
      <c r="D56" s="50">
        <v>0</v>
      </c>
      <c r="E56" s="50">
        <v>5</v>
      </c>
      <c r="F56" s="50">
        <v>10</v>
      </c>
      <c r="G56" s="50">
        <v>0</v>
      </c>
      <c r="H56" s="50">
        <v>1</v>
      </c>
      <c r="I56" s="50">
        <v>11</v>
      </c>
      <c r="J56" s="50">
        <v>0</v>
      </c>
      <c r="K56" s="50">
        <v>0</v>
      </c>
      <c r="L56" s="50">
        <v>6</v>
      </c>
      <c r="M56" s="50">
        <v>65</v>
      </c>
      <c r="N56" s="50">
        <v>0</v>
      </c>
      <c r="O56" s="15">
        <f t="shared" si="0"/>
        <v>44</v>
      </c>
      <c r="P56" s="15">
        <f t="shared" si="1"/>
        <v>109</v>
      </c>
      <c r="R56" s="8"/>
      <c r="T56"/>
    </row>
    <row r="57" spans="2:20" ht="23.1" customHeight="1" x14ac:dyDescent="0.25">
      <c r="B57" s="23" t="s">
        <v>84</v>
      </c>
      <c r="C57" s="50">
        <v>14</v>
      </c>
      <c r="D57" s="50">
        <v>0</v>
      </c>
      <c r="E57" s="50">
        <v>4</v>
      </c>
      <c r="F57" s="50">
        <v>17</v>
      </c>
      <c r="G57" s="50">
        <v>0</v>
      </c>
      <c r="H57" s="50">
        <v>1</v>
      </c>
      <c r="I57" s="50">
        <v>12</v>
      </c>
      <c r="J57" s="50">
        <v>0</v>
      </c>
      <c r="K57" s="50">
        <v>3</v>
      </c>
      <c r="L57" s="50">
        <v>5</v>
      </c>
      <c r="M57" s="50">
        <v>77</v>
      </c>
      <c r="N57" s="50">
        <v>0</v>
      </c>
      <c r="O57" s="15">
        <f t="shared" si="0"/>
        <v>56</v>
      </c>
      <c r="P57" s="15">
        <f t="shared" si="1"/>
        <v>133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486</v>
      </c>
      <c r="D58" s="16">
        <f t="shared" si="21"/>
        <v>0</v>
      </c>
      <c r="E58" s="16">
        <f t="shared" si="21"/>
        <v>637</v>
      </c>
      <c r="F58" s="16">
        <f t="shared" si="21"/>
        <v>676</v>
      </c>
      <c r="G58" s="16">
        <f t="shared" si="21"/>
        <v>10</v>
      </c>
      <c r="H58" s="16">
        <f t="shared" si="21"/>
        <v>54</v>
      </c>
      <c r="I58" s="16">
        <f t="shared" si="21"/>
        <v>353</v>
      </c>
      <c r="J58" s="16">
        <f t="shared" si="21"/>
        <v>27</v>
      </c>
      <c r="K58" s="16">
        <f t="shared" si="21"/>
        <v>11</v>
      </c>
      <c r="L58" s="16">
        <f t="shared" si="21"/>
        <v>91</v>
      </c>
      <c r="M58" s="16">
        <f t="shared" si="21"/>
        <v>3073</v>
      </c>
      <c r="N58" s="16">
        <f t="shared" si="21"/>
        <v>2</v>
      </c>
      <c r="O58" s="16">
        <f t="shared" si="21"/>
        <v>2347</v>
      </c>
      <c r="P58" s="16">
        <f t="shared" si="21"/>
        <v>5420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8.9667896678966796E-2</v>
      </c>
      <c r="D59" s="43">
        <f t="shared" si="22"/>
        <v>0</v>
      </c>
      <c r="E59" s="43">
        <f t="shared" si="22"/>
        <v>0.11752767527675277</v>
      </c>
      <c r="F59" s="43">
        <f t="shared" si="22"/>
        <v>0.12472324723247233</v>
      </c>
      <c r="G59" s="43">
        <f t="shared" si="22"/>
        <v>1.8450184501845018E-3</v>
      </c>
      <c r="H59" s="43">
        <f t="shared" si="22"/>
        <v>9.9630996309963103E-3</v>
      </c>
      <c r="I59" s="43">
        <f t="shared" si="22"/>
        <v>6.5129151291512921E-2</v>
      </c>
      <c r="J59" s="43">
        <f t="shared" si="22"/>
        <v>4.9815498154981552E-3</v>
      </c>
      <c r="K59" s="43">
        <f t="shared" si="22"/>
        <v>2.0295202952029519E-3</v>
      </c>
      <c r="L59" s="43">
        <f t="shared" si="22"/>
        <v>1.6789667896678968E-2</v>
      </c>
      <c r="M59" s="43">
        <f t="shared" si="22"/>
        <v>0.56697416974169745</v>
      </c>
      <c r="N59" s="43">
        <f t="shared" si="22"/>
        <v>3.6900369003690036E-4</v>
      </c>
      <c r="R59" s="8"/>
      <c r="T59"/>
    </row>
    <row r="60" spans="2:20" ht="23.1" customHeight="1" x14ac:dyDescent="0.25">
      <c r="B60" s="42" t="s">
        <v>94</v>
      </c>
      <c r="C60" s="44">
        <f>C58/$O$58</f>
        <v>0.20707285896889646</v>
      </c>
      <c r="D60" s="44">
        <f t="shared" ref="D60:N60" si="23">D58/$O$58</f>
        <v>0</v>
      </c>
      <c r="E60" s="44">
        <f t="shared" si="23"/>
        <v>0.27141031103536428</v>
      </c>
      <c r="F60" s="44">
        <f t="shared" si="23"/>
        <v>0.28802726885385599</v>
      </c>
      <c r="G60" s="44">
        <f t="shared" si="23"/>
        <v>4.2607584149978693E-3</v>
      </c>
      <c r="H60" s="44">
        <f t="shared" si="23"/>
        <v>2.3008095440988495E-2</v>
      </c>
      <c r="I60" s="44">
        <f t="shared" si="23"/>
        <v>0.15040477204942479</v>
      </c>
      <c r="J60" s="44">
        <f t="shared" si="23"/>
        <v>1.1504047720494247E-2</v>
      </c>
      <c r="K60" s="44">
        <f t="shared" si="23"/>
        <v>4.6868342564976564E-3</v>
      </c>
      <c r="L60" s="44">
        <f t="shared" si="23"/>
        <v>3.8772901576480612E-2</v>
      </c>
      <c r="M60" s="44"/>
      <c r="N60" s="44">
        <f t="shared" si="23"/>
        <v>8.5215168299957388E-4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topLeftCell="A4" zoomScale="60" workbookViewId="0">
      <selection activeCell="E5" sqref="E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'20.8 Luwero-Kampala'!C3:G3</f>
        <v>MCC - C3 - STN87 - Kampala-Gulu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'22.8 Kampala-Luweero'!D5</f>
        <v>22.08.19</v>
      </c>
      <c r="E5" s="3"/>
      <c r="F5" s="41" t="s">
        <v>1</v>
      </c>
      <c r="G5" s="66">
        <f>'20.8 Kampala-Luweero'!G5:H5</f>
        <v>0</v>
      </c>
      <c r="H5" s="67"/>
      <c r="I5" s="14"/>
      <c r="J5" s="2" t="s">
        <v>5</v>
      </c>
      <c r="K5" s="66" t="str">
        <f>'20.8 Kampala-Luweero'!K5:L5</f>
        <v>Godfrey, Ibrahim N, Oliver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">
        <v>169</v>
      </c>
      <c r="E6" s="67"/>
      <c r="F6" s="2" t="s">
        <v>2</v>
      </c>
      <c r="G6" s="66" t="s">
        <v>168</v>
      </c>
      <c r="H6" s="67"/>
      <c r="J6" s="2" t="s">
        <v>21</v>
      </c>
      <c r="K6" s="66" t="str">
        <f>'20.8 Kampala-Luweero'!K6:L6</f>
        <v>Martin, Tracy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9</v>
      </c>
      <c r="F10" s="50">
        <v>7</v>
      </c>
      <c r="G10" s="50">
        <v>0</v>
      </c>
      <c r="H10" s="50">
        <v>1</v>
      </c>
      <c r="I10" s="50">
        <v>4</v>
      </c>
      <c r="J10" s="50">
        <v>0</v>
      </c>
      <c r="K10" s="50">
        <v>0</v>
      </c>
      <c r="L10" s="50">
        <v>0</v>
      </c>
      <c r="M10" s="50">
        <v>29</v>
      </c>
      <c r="N10" s="50">
        <v>1</v>
      </c>
      <c r="O10" s="15">
        <f t="shared" ref="O10:O57" si="0">SUM(C10:L10,N10)</f>
        <v>23</v>
      </c>
      <c r="P10" s="15">
        <f t="shared" ref="P10:P57" si="1">SUM(C10:N10)</f>
        <v>52</v>
      </c>
      <c r="R10" s="1" t="s">
        <v>6</v>
      </c>
      <c r="S10" s="17">
        <f t="shared" ref="S10:AF10" si="2">SUM(C10:C13)</f>
        <v>11</v>
      </c>
      <c r="T10" s="17">
        <f t="shared" si="2"/>
        <v>0</v>
      </c>
      <c r="U10" s="17">
        <f t="shared" si="2"/>
        <v>42</v>
      </c>
      <c r="V10" s="17">
        <f t="shared" si="2"/>
        <v>39</v>
      </c>
      <c r="W10" s="17">
        <f t="shared" si="2"/>
        <v>0</v>
      </c>
      <c r="X10" s="17">
        <f t="shared" si="2"/>
        <v>2</v>
      </c>
      <c r="Y10" s="17">
        <f t="shared" si="2"/>
        <v>13</v>
      </c>
      <c r="Z10" s="17">
        <f t="shared" si="2"/>
        <v>2</v>
      </c>
      <c r="AA10" s="17">
        <f t="shared" si="2"/>
        <v>0</v>
      </c>
      <c r="AB10" s="17">
        <f t="shared" si="2"/>
        <v>6</v>
      </c>
      <c r="AC10" s="17">
        <f t="shared" si="2"/>
        <v>197</v>
      </c>
      <c r="AD10" s="17">
        <f t="shared" si="2"/>
        <v>1</v>
      </c>
      <c r="AE10" s="31">
        <f t="shared" si="2"/>
        <v>116</v>
      </c>
      <c r="AF10" s="31">
        <f t="shared" si="2"/>
        <v>313</v>
      </c>
    </row>
    <row r="11" spans="2:32" s="6" customFormat="1" ht="23.1" customHeight="1" x14ac:dyDescent="0.25">
      <c r="B11" s="23" t="s">
        <v>38</v>
      </c>
      <c r="C11" s="50">
        <v>5</v>
      </c>
      <c r="D11" s="50">
        <v>0</v>
      </c>
      <c r="E11" s="50">
        <v>12</v>
      </c>
      <c r="F11" s="50">
        <v>10</v>
      </c>
      <c r="G11" s="50">
        <v>0</v>
      </c>
      <c r="H11" s="50">
        <v>0</v>
      </c>
      <c r="I11" s="50">
        <v>5</v>
      </c>
      <c r="J11" s="50">
        <v>1</v>
      </c>
      <c r="K11" s="50">
        <v>0</v>
      </c>
      <c r="L11" s="50">
        <v>4</v>
      </c>
      <c r="M11" s="50">
        <v>40</v>
      </c>
      <c r="N11" s="50">
        <v>0</v>
      </c>
      <c r="O11" s="15">
        <f t="shared" si="0"/>
        <v>37</v>
      </c>
      <c r="P11" s="15">
        <f t="shared" si="1"/>
        <v>77</v>
      </c>
      <c r="R11" s="1" t="s">
        <v>7</v>
      </c>
      <c r="S11" s="17">
        <f t="shared" ref="S11:AF11" si="3">SUM(C14:C17)</f>
        <v>13</v>
      </c>
      <c r="T11" s="17">
        <f t="shared" si="3"/>
        <v>0</v>
      </c>
      <c r="U11" s="17">
        <f t="shared" si="3"/>
        <v>57</v>
      </c>
      <c r="V11" s="17">
        <f t="shared" si="3"/>
        <v>55</v>
      </c>
      <c r="W11" s="17">
        <f t="shared" si="3"/>
        <v>0</v>
      </c>
      <c r="X11" s="17">
        <f t="shared" si="3"/>
        <v>1</v>
      </c>
      <c r="Y11" s="17">
        <f t="shared" si="3"/>
        <v>17</v>
      </c>
      <c r="Z11" s="17">
        <f t="shared" si="3"/>
        <v>1</v>
      </c>
      <c r="AA11" s="17">
        <f t="shared" si="3"/>
        <v>0</v>
      </c>
      <c r="AB11" s="17">
        <f t="shared" si="3"/>
        <v>1</v>
      </c>
      <c r="AC11" s="17">
        <f t="shared" si="3"/>
        <v>242</v>
      </c>
      <c r="AD11" s="17">
        <f t="shared" si="3"/>
        <v>0</v>
      </c>
      <c r="AE11" s="31">
        <f t="shared" si="3"/>
        <v>145</v>
      </c>
      <c r="AF11" s="31">
        <f t="shared" si="3"/>
        <v>387</v>
      </c>
    </row>
    <row r="12" spans="2:32" ht="23.1" customHeight="1" x14ac:dyDescent="0.25">
      <c r="B12" s="23" t="s">
        <v>39</v>
      </c>
      <c r="C12" s="50">
        <v>5</v>
      </c>
      <c r="D12" s="50">
        <v>0</v>
      </c>
      <c r="E12" s="50">
        <v>11</v>
      </c>
      <c r="F12" s="50">
        <v>12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1</v>
      </c>
      <c r="M12" s="50">
        <v>60</v>
      </c>
      <c r="N12" s="50">
        <v>0</v>
      </c>
      <c r="O12" s="15">
        <f t="shared" si="0"/>
        <v>30</v>
      </c>
      <c r="P12" s="15">
        <f t="shared" si="1"/>
        <v>90</v>
      </c>
      <c r="R12" s="1" t="s">
        <v>8</v>
      </c>
      <c r="S12" s="17">
        <f t="shared" ref="S12:AF12" si="4">SUM(C18:C21)</f>
        <v>19</v>
      </c>
      <c r="T12" s="17">
        <f t="shared" si="4"/>
        <v>0</v>
      </c>
      <c r="U12" s="17">
        <f t="shared" si="4"/>
        <v>49</v>
      </c>
      <c r="V12" s="17">
        <f t="shared" si="4"/>
        <v>56</v>
      </c>
      <c r="W12" s="17">
        <f t="shared" si="4"/>
        <v>1</v>
      </c>
      <c r="X12" s="17">
        <f t="shared" si="4"/>
        <v>0</v>
      </c>
      <c r="Y12" s="17">
        <f t="shared" si="4"/>
        <v>14</v>
      </c>
      <c r="Z12" s="17">
        <f t="shared" si="4"/>
        <v>0</v>
      </c>
      <c r="AA12" s="17">
        <f t="shared" si="4"/>
        <v>0</v>
      </c>
      <c r="AB12" s="17">
        <f t="shared" si="4"/>
        <v>3</v>
      </c>
      <c r="AC12" s="17">
        <f t="shared" si="4"/>
        <v>255</v>
      </c>
      <c r="AD12" s="17">
        <f t="shared" si="4"/>
        <v>0</v>
      </c>
      <c r="AE12" s="31">
        <f t="shared" si="4"/>
        <v>142</v>
      </c>
      <c r="AF12" s="31">
        <f t="shared" si="4"/>
        <v>397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10</v>
      </c>
      <c r="F13" s="50">
        <v>10</v>
      </c>
      <c r="G13" s="50">
        <v>0</v>
      </c>
      <c r="H13" s="50">
        <v>1</v>
      </c>
      <c r="I13" s="50">
        <v>3</v>
      </c>
      <c r="J13" s="50">
        <v>1</v>
      </c>
      <c r="K13" s="50">
        <v>0</v>
      </c>
      <c r="L13" s="50">
        <v>1</v>
      </c>
      <c r="M13" s="50">
        <v>68</v>
      </c>
      <c r="N13" s="50">
        <v>0</v>
      </c>
      <c r="O13" s="15">
        <f t="shared" si="0"/>
        <v>26</v>
      </c>
      <c r="P13" s="15">
        <f t="shared" si="1"/>
        <v>94</v>
      </c>
      <c r="R13" s="1" t="s">
        <v>9</v>
      </c>
      <c r="S13" s="17">
        <f t="shared" ref="S13:AF13" si="5">SUM(C22:C25)</f>
        <v>30</v>
      </c>
      <c r="T13" s="17">
        <f t="shared" si="5"/>
        <v>0</v>
      </c>
      <c r="U13" s="17">
        <f t="shared" si="5"/>
        <v>50</v>
      </c>
      <c r="V13" s="17">
        <f t="shared" si="5"/>
        <v>50</v>
      </c>
      <c r="W13" s="17">
        <f t="shared" si="5"/>
        <v>0</v>
      </c>
      <c r="X13" s="17">
        <f t="shared" si="5"/>
        <v>2</v>
      </c>
      <c r="Y13" s="17">
        <f t="shared" si="5"/>
        <v>17</v>
      </c>
      <c r="Z13" s="17">
        <f t="shared" si="5"/>
        <v>1</v>
      </c>
      <c r="AA13" s="17">
        <f t="shared" si="5"/>
        <v>0</v>
      </c>
      <c r="AB13" s="17">
        <f t="shared" si="5"/>
        <v>2</v>
      </c>
      <c r="AC13" s="17">
        <f t="shared" si="5"/>
        <v>263</v>
      </c>
      <c r="AD13" s="17">
        <f t="shared" si="5"/>
        <v>0</v>
      </c>
      <c r="AE13" s="31">
        <f t="shared" si="5"/>
        <v>152</v>
      </c>
      <c r="AF13" s="31">
        <f t="shared" si="5"/>
        <v>415</v>
      </c>
    </row>
    <row r="14" spans="2:32" ht="23.1" customHeight="1" x14ac:dyDescent="0.25">
      <c r="B14" s="23" t="s">
        <v>41</v>
      </c>
      <c r="C14" s="50">
        <v>3</v>
      </c>
      <c r="D14" s="50">
        <v>0</v>
      </c>
      <c r="E14" s="50">
        <v>17</v>
      </c>
      <c r="F14" s="50">
        <v>12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v>0</v>
      </c>
      <c r="M14" s="50">
        <v>65</v>
      </c>
      <c r="N14" s="50">
        <v>0</v>
      </c>
      <c r="O14" s="15">
        <f t="shared" si="0"/>
        <v>35</v>
      </c>
      <c r="P14" s="15">
        <f t="shared" si="1"/>
        <v>100</v>
      </c>
      <c r="R14" s="1" t="s">
        <v>10</v>
      </c>
      <c r="S14" s="17">
        <f t="shared" ref="S14:AF14" si="6">SUM(C26:C29)</f>
        <v>23</v>
      </c>
      <c r="T14" s="17">
        <f t="shared" si="6"/>
        <v>0</v>
      </c>
      <c r="U14" s="17">
        <f t="shared" si="6"/>
        <v>62</v>
      </c>
      <c r="V14" s="17">
        <f t="shared" si="6"/>
        <v>44</v>
      </c>
      <c r="W14" s="17">
        <f t="shared" si="6"/>
        <v>0</v>
      </c>
      <c r="X14" s="17">
        <f t="shared" si="6"/>
        <v>2</v>
      </c>
      <c r="Y14" s="17">
        <f t="shared" si="6"/>
        <v>21</v>
      </c>
      <c r="Z14" s="17">
        <f t="shared" si="6"/>
        <v>2</v>
      </c>
      <c r="AA14" s="17">
        <f t="shared" si="6"/>
        <v>2</v>
      </c>
      <c r="AB14" s="17">
        <f t="shared" si="6"/>
        <v>4</v>
      </c>
      <c r="AC14" s="17">
        <f t="shared" si="6"/>
        <v>292</v>
      </c>
      <c r="AD14" s="17">
        <f t="shared" si="6"/>
        <v>0</v>
      </c>
      <c r="AE14" s="31">
        <f t="shared" si="6"/>
        <v>160</v>
      </c>
      <c r="AF14" s="31">
        <f t="shared" si="6"/>
        <v>452</v>
      </c>
    </row>
    <row r="15" spans="2:32" ht="23.1" customHeight="1" x14ac:dyDescent="0.25">
      <c r="B15" s="23" t="s">
        <v>42</v>
      </c>
      <c r="C15" s="50">
        <v>4</v>
      </c>
      <c r="D15" s="50">
        <v>0</v>
      </c>
      <c r="E15" s="50">
        <v>13</v>
      </c>
      <c r="F15" s="50">
        <v>11</v>
      </c>
      <c r="G15" s="50">
        <v>0</v>
      </c>
      <c r="H15" s="50">
        <v>1</v>
      </c>
      <c r="I15" s="50">
        <v>6</v>
      </c>
      <c r="J15" s="50">
        <v>0</v>
      </c>
      <c r="K15" s="50">
        <v>0</v>
      </c>
      <c r="L15" s="50">
        <v>0</v>
      </c>
      <c r="M15" s="50">
        <v>47</v>
      </c>
      <c r="N15" s="50">
        <v>0</v>
      </c>
      <c r="O15" s="15">
        <f t="shared" si="0"/>
        <v>35</v>
      </c>
      <c r="P15" s="15">
        <f t="shared" si="1"/>
        <v>82</v>
      </c>
      <c r="R15" s="1" t="s">
        <v>11</v>
      </c>
      <c r="S15" s="17">
        <f t="shared" ref="S15:AF15" si="7">SUM(C30:C33)</f>
        <v>16</v>
      </c>
      <c r="T15" s="17">
        <f t="shared" si="7"/>
        <v>0</v>
      </c>
      <c r="U15" s="17">
        <f t="shared" si="7"/>
        <v>58</v>
      </c>
      <c r="V15" s="17">
        <f t="shared" si="7"/>
        <v>58</v>
      </c>
      <c r="W15" s="17">
        <f t="shared" si="7"/>
        <v>0</v>
      </c>
      <c r="X15" s="17">
        <f t="shared" si="7"/>
        <v>3</v>
      </c>
      <c r="Y15" s="17">
        <f t="shared" si="7"/>
        <v>19</v>
      </c>
      <c r="Z15" s="17">
        <f t="shared" si="7"/>
        <v>2</v>
      </c>
      <c r="AA15" s="17">
        <f t="shared" si="7"/>
        <v>2</v>
      </c>
      <c r="AB15" s="17">
        <f t="shared" si="7"/>
        <v>1</v>
      </c>
      <c r="AC15" s="17">
        <f t="shared" si="7"/>
        <v>233</v>
      </c>
      <c r="AD15" s="17">
        <f t="shared" si="7"/>
        <v>0</v>
      </c>
      <c r="AE15" s="31">
        <f t="shared" si="7"/>
        <v>159</v>
      </c>
      <c r="AF15" s="31">
        <f t="shared" si="7"/>
        <v>392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13</v>
      </c>
      <c r="F16" s="50">
        <v>18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56</v>
      </c>
      <c r="N16" s="50">
        <v>0</v>
      </c>
      <c r="O16" s="15">
        <f t="shared" si="0"/>
        <v>35</v>
      </c>
      <c r="P16" s="15">
        <f t="shared" si="1"/>
        <v>91</v>
      </c>
      <c r="R16" s="1" t="s">
        <v>12</v>
      </c>
      <c r="S16" s="17">
        <f t="shared" ref="S16:AF16" si="8">SUM(C34:C37)</f>
        <v>24</v>
      </c>
      <c r="T16" s="17">
        <f t="shared" si="8"/>
        <v>0</v>
      </c>
      <c r="U16" s="17">
        <f t="shared" si="8"/>
        <v>70</v>
      </c>
      <c r="V16" s="17">
        <f t="shared" si="8"/>
        <v>52</v>
      </c>
      <c r="W16" s="17">
        <f t="shared" si="8"/>
        <v>0</v>
      </c>
      <c r="X16" s="17">
        <f t="shared" si="8"/>
        <v>3</v>
      </c>
      <c r="Y16" s="17">
        <f t="shared" si="8"/>
        <v>28</v>
      </c>
      <c r="Z16" s="17">
        <f t="shared" si="8"/>
        <v>1</v>
      </c>
      <c r="AA16" s="17">
        <f t="shared" si="8"/>
        <v>0</v>
      </c>
      <c r="AB16" s="17">
        <f t="shared" si="8"/>
        <v>3</v>
      </c>
      <c r="AC16" s="17">
        <f t="shared" si="8"/>
        <v>259</v>
      </c>
      <c r="AD16" s="17">
        <f t="shared" si="8"/>
        <v>1</v>
      </c>
      <c r="AE16" s="31">
        <f t="shared" si="8"/>
        <v>182</v>
      </c>
      <c r="AF16" s="31">
        <f t="shared" si="8"/>
        <v>441</v>
      </c>
    </row>
    <row r="17" spans="2:32" ht="23.1" customHeight="1" x14ac:dyDescent="0.25">
      <c r="B17" s="23" t="s">
        <v>44</v>
      </c>
      <c r="C17" s="50">
        <v>4</v>
      </c>
      <c r="D17" s="50">
        <v>0</v>
      </c>
      <c r="E17" s="50">
        <v>14</v>
      </c>
      <c r="F17" s="50">
        <v>14</v>
      </c>
      <c r="G17" s="50">
        <v>0</v>
      </c>
      <c r="H17" s="50">
        <v>0</v>
      </c>
      <c r="I17" s="50">
        <v>6</v>
      </c>
      <c r="J17" s="50">
        <v>1</v>
      </c>
      <c r="K17" s="50">
        <v>0</v>
      </c>
      <c r="L17" s="50">
        <v>1</v>
      </c>
      <c r="M17" s="50">
        <v>74</v>
      </c>
      <c r="N17" s="50">
        <v>0</v>
      </c>
      <c r="O17" s="15">
        <f t="shared" si="0"/>
        <v>40</v>
      </c>
      <c r="P17" s="15">
        <f t="shared" si="1"/>
        <v>114</v>
      </c>
      <c r="R17" s="1" t="s">
        <v>13</v>
      </c>
      <c r="S17" s="17">
        <f t="shared" ref="S17:AF17" si="9">SUM(C38:C41)</f>
        <v>27</v>
      </c>
      <c r="T17" s="17">
        <f t="shared" si="9"/>
        <v>0</v>
      </c>
      <c r="U17" s="17">
        <f t="shared" si="9"/>
        <v>60</v>
      </c>
      <c r="V17" s="17">
        <f t="shared" si="9"/>
        <v>42</v>
      </c>
      <c r="W17" s="17">
        <f t="shared" si="9"/>
        <v>0</v>
      </c>
      <c r="X17" s="17">
        <f t="shared" si="9"/>
        <v>8</v>
      </c>
      <c r="Y17" s="17">
        <f t="shared" si="9"/>
        <v>28</v>
      </c>
      <c r="Z17" s="17">
        <f t="shared" si="9"/>
        <v>1</v>
      </c>
      <c r="AA17" s="17">
        <f t="shared" si="9"/>
        <v>0</v>
      </c>
      <c r="AB17" s="17">
        <f t="shared" si="9"/>
        <v>3</v>
      </c>
      <c r="AC17" s="17">
        <f t="shared" si="9"/>
        <v>194</v>
      </c>
      <c r="AD17" s="17">
        <f t="shared" si="9"/>
        <v>0</v>
      </c>
      <c r="AE17" s="31">
        <f t="shared" si="9"/>
        <v>169</v>
      </c>
      <c r="AF17" s="31">
        <f t="shared" si="9"/>
        <v>363</v>
      </c>
    </row>
    <row r="18" spans="2:32" ht="23.1" customHeight="1" x14ac:dyDescent="0.25">
      <c r="B18" s="23" t="s">
        <v>45</v>
      </c>
      <c r="C18" s="50">
        <v>3</v>
      </c>
      <c r="D18" s="50">
        <v>0</v>
      </c>
      <c r="E18" s="50">
        <v>16</v>
      </c>
      <c r="F18" s="50">
        <v>17</v>
      </c>
      <c r="G18" s="50">
        <v>1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64</v>
      </c>
      <c r="N18" s="50">
        <v>0</v>
      </c>
      <c r="O18" s="15">
        <f t="shared" si="0"/>
        <v>39</v>
      </c>
      <c r="P18" s="15">
        <f t="shared" si="1"/>
        <v>103</v>
      </c>
      <c r="R18" s="1" t="s">
        <v>14</v>
      </c>
      <c r="S18" s="17">
        <f t="shared" ref="S18:AF18" si="10">SUM(C42:C45)</f>
        <v>42</v>
      </c>
      <c r="T18" s="17">
        <f t="shared" si="10"/>
        <v>0</v>
      </c>
      <c r="U18" s="17">
        <f t="shared" si="10"/>
        <v>86</v>
      </c>
      <c r="V18" s="17">
        <f t="shared" si="10"/>
        <v>65</v>
      </c>
      <c r="W18" s="17">
        <f t="shared" si="10"/>
        <v>3</v>
      </c>
      <c r="X18" s="17">
        <f t="shared" si="10"/>
        <v>2</v>
      </c>
      <c r="Y18" s="17">
        <f t="shared" si="10"/>
        <v>28</v>
      </c>
      <c r="Z18" s="17">
        <f t="shared" si="10"/>
        <v>3</v>
      </c>
      <c r="AA18" s="17">
        <f t="shared" si="10"/>
        <v>2</v>
      </c>
      <c r="AB18" s="17">
        <f t="shared" si="10"/>
        <v>8</v>
      </c>
      <c r="AC18" s="17">
        <f t="shared" si="10"/>
        <v>263</v>
      </c>
      <c r="AD18" s="17">
        <f t="shared" si="10"/>
        <v>0</v>
      </c>
      <c r="AE18" s="31">
        <f t="shared" si="10"/>
        <v>239</v>
      </c>
      <c r="AF18" s="31">
        <f t="shared" si="10"/>
        <v>502</v>
      </c>
    </row>
    <row r="19" spans="2:32" ht="23.1" customHeight="1" x14ac:dyDescent="0.25">
      <c r="B19" s="23" t="s">
        <v>46</v>
      </c>
      <c r="C19" s="50">
        <v>7</v>
      </c>
      <c r="D19" s="50">
        <v>0</v>
      </c>
      <c r="E19" s="50">
        <v>6</v>
      </c>
      <c r="F19" s="50">
        <v>14</v>
      </c>
      <c r="G19" s="50">
        <v>0</v>
      </c>
      <c r="H19" s="50">
        <v>0</v>
      </c>
      <c r="I19" s="50">
        <v>5</v>
      </c>
      <c r="J19" s="50">
        <v>0</v>
      </c>
      <c r="K19" s="50">
        <v>0</v>
      </c>
      <c r="L19" s="50">
        <v>1</v>
      </c>
      <c r="M19" s="50">
        <v>68</v>
      </c>
      <c r="N19" s="50">
        <v>0</v>
      </c>
      <c r="O19" s="15">
        <f t="shared" si="0"/>
        <v>33</v>
      </c>
      <c r="P19" s="15">
        <f t="shared" si="1"/>
        <v>101</v>
      </c>
      <c r="R19" s="1" t="s">
        <v>15</v>
      </c>
      <c r="S19" s="17">
        <f t="shared" ref="S19:AF19" si="11">SUM(C46:C49)</f>
        <v>23</v>
      </c>
      <c r="T19" s="17">
        <f t="shared" si="11"/>
        <v>0</v>
      </c>
      <c r="U19" s="17">
        <f t="shared" si="11"/>
        <v>90</v>
      </c>
      <c r="V19" s="17">
        <f t="shared" si="11"/>
        <v>66</v>
      </c>
      <c r="W19" s="17">
        <f t="shared" si="11"/>
        <v>0</v>
      </c>
      <c r="X19" s="17">
        <f t="shared" si="11"/>
        <v>6</v>
      </c>
      <c r="Y19" s="17">
        <f t="shared" si="11"/>
        <v>25</v>
      </c>
      <c r="Z19" s="17">
        <f t="shared" si="11"/>
        <v>3</v>
      </c>
      <c r="AA19" s="17">
        <f t="shared" si="11"/>
        <v>0</v>
      </c>
      <c r="AB19" s="17">
        <f t="shared" si="11"/>
        <v>10</v>
      </c>
      <c r="AC19" s="17">
        <f t="shared" si="11"/>
        <v>264</v>
      </c>
      <c r="AD19" s="17">
        <f t="shared" si="11"/>
        <v>0</v>
      </c>
      <c r="AE19" s="31">
        <f t="shared" si="11"/>
        <v>223</v>
      </c>
      <c r="AF19" s="31">
        <f t="shared" si="11"/>
        <v>487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10</v>
      </c>
      <c r="F20" s="50">
        <v>12</v>
      </c>
      <c r="G20" s="50">
        <v>0</v>
      </c>
      <c r="H20" s="50">
        <v>0</v>
      </c>
      <c r="I20" s="50">
        <v>4</v>
      </c>
      <c r="J20" s="50">
        <v>0</v>
      </c>
      <c r="K20" s="50">
        <v>0</v>
      </c>
      <c r="L20" s="50">
        <v>0</v>
      </c>
      <c r="M20" s="50">
        <v>52</v>
      </c>
      <c r="N20" s="50">
        <v>0</v>
      </c>
      <c r="O20" s="15">
        <f t="shared" si="0"/>
        <v>29</v>
      </c>
      <c r="P20" s="15">
        <f t="shared" si="1"/>
        <v>81</v>
      </c>
      <c r="R20" s="1" t="s">
        <v>16</v>
      </c>
      <c r="S20" s="17">
        <f t="shared" ref="S20:AF20" si="12">SUM(C50:C53)</f>
        <v>23</v>
      </c>
      <c r="T20" s="17">
        <f t="shared" si="12"/>
        <v>0</v>
      </c>
      <c r="U20" s="17">
        <f t="shared" si="12"/>
        <v>87</v>
      </c>
      <c r="V20" s="17">
        <f t="shared" si="12"/>
        <v>65</v>
      </c>
      <c r="W20" s="17">
        <f t="shared" si="12"/>
        <v>0</v>
      </c>
      <c r="X20" s="17">
        <f t="shared" si="12"/>
        <v>6</v>
      </c>
      <c r="Y20" s="17">
        <f t="shared" si="12"/>
        <v>34</v>
      </c>
      <c r="Z20" s="17">
        <f t="shared" si="12"/>
        <v>0</v>
      </c>
      <c r="AA20" s="17">
        <f t="shared" si="12"/>
        <v>0</v>
      </c>
      <c r="AB20" s="17">
        <f t="shared" si="12"/>
        <v>9</v>
      </c>
      <c r="AC20" s="17">
        <f t="shared" si="12"/>
        <v>280</v>
      </c>
      <c r="AD20" s="17">
        <f t="shared" si="12"/>
        <v>0</v>
      </c>
      <c r="AE20" s="31">
        <f t="shared" si="12"/>
        <v>224</v>
      </c>
      <c r="AF20" s="31">
        <f t="shared" si="12"/>
        <v>504</v>
      </c>
    </row>
    <row r="21" spans="2:32" ht="23.1" customHeight="1" x14ac:dyDescent="0.25">
      <c r="B21" s="23" t="s">
        <v>48</v>
      </c>
      <c r="C21" s="50">
        <v>6</v>
      </c>
      <c r="D21" s="50">
        <v>0</v>
      </c>
      <c r="E21" s="50">
        <v>17</v>
      </c>
      <c r="F21" s="50">
        <v>13</v>
      </c>
      <c r="G21" s="50">
        <v>0</v>
      </c>
      <c r="H21" s="50">
        <v>0</v>
      </c>
      <c r="I21" s="50">
        <v>3</v>
      </c>
      <c r="J21" s="50">
        <v>0</v>
      </c>
      <c r="K21" s="50">
        <v>0</v>
      </c>
      <c r="L21" s="50">
        <v>2</v>
      </c>
      <c r="M21" s="50">
        <v>71</v>
      </c>
      <c r="N21" s="50">
        <v>0</v>
      </c>
      <c r="O21" s="15">
        <f t="shared" si="0"/>
        <v>41</v>
      </c>
      <c r="P21" s="15">
        <f t="shared" si="1"/>
        <v>112</v>
      </c>
      <c r="R21" s="36" t="s">
        <v>20</v>
      </c>
      <c r="S21" s="34">
        <f t="shared" ref="S21:AF21" si="13">SUM(C54:C57)</f>
        <v>38</v>
      </c>
      <c r="T21" s="17">
        <f t="shared" si="13"/>
        <v>0</v>
      </c>
      <c r="U21" s="17">
        <f t="shared" si="13"/>
        <v>120</v>
      </c>
      <c r="V21" s="17">
        <f t="shared" si="13"/>
        <v>55</v>
      </c>
      <c r="W21" s="17">
        <f t="shared" si="13"/>
        <v>2</v>
      </c>
      <c r="X21" s="17">
        <f t="shared" si="13"/>
        <v>6</v>
      </c>
      <c r="Y21" s="17">
        <f t="shared" si="13"/>
        <v>32</v>
      </c>
      <c r="Z21" s="17">
        <f t="shared" si="13"/>
        <v>0</v>
      </c>
      <c r="AA21" s="17">
        <f t="shared" si="13"/>
        <v>1</v>
      </c>
      <c r="AB21" s="17">
        <f t="shared" si="13"/>
        <v>11</v>
      </c>
      <c r="AC21" s="17">
        <f t="shared" si="13"/>
        <v>205</v>
      </c>
      <c r="AD21" s="17">
        <f t="shared" si="13"/>
        <v>0</v>
      </c>
      <c r="AE21" s="31">
        <f t="shared" si="13"/>
        <v>265</v>
      </c>
      <c r="AF21" s="31">
        <f t="shared" si="13"/>
        <v>470</v>
      </c>
    </row>
    <row r="22" spans="2:32" ht="23.1" customHeight="1" x14ac:dyDescent="0.25">
      <c r="B22" s="23" t="s">
        <v>49</v>
      </c>
      <c r="C22" s="50">
        <v>15</v>
      </c>
      <c r="D22" s="50">
        <v>0</v>
      </c>
      <c r="E22" s="50">
        <v>13</v>
      </c>
      <c r="F22" s="50">
        <v>13</v>
      </c>
      <c r="G22" s="50">
        <v>0</v>
      </c>
      <c r="H22" s="50">
        <v>1</v>
      </c>
      <c r="I22" s="50">
        <v>4</v>
      </c>
      <c r="J22" s="50">
        <v>0</v>
      </c>
      <c r="K22" s="50">
        <v>0</v>
      </c>
      <c r="L22" s="50">
        <v>1</v>
      </c>
      <c r="M22" s="50">
        <v>58</v>
      </c>
      <c r="N22" s="50">
        <v>0</v>
      </c>
      <c r="O22" s="15">
        <f t="shared" si="0"/>
        <v>47</v>
      </c>
      <c r="P22" s="15">
        <f t="shared" si="1"/>
        <v>105</v>
      </c>
      <c r="R22" s="38" t="s">
        <v>90</v>
      </c>
      <c r="S22" s="39">
        <f>MAX(S10:S12)</f>
        <v>19</v>
      </c>
      <c r="T22" s="39">
        <f t="shared" ref="T22:AF22" si="14">MAX(T10:T12)</f>
        <v>0</v>
      </c>
      <c r="U22" s="39">
        <f t="shared" si="14"/>
        <v>57</v>
      </c>
      <c r="V22" s="39">
        <f t="shared" si="14"/>
        <v>56</v>
      </c>
      <c r="W22" s="39">
        <f t="shared" si="14"/>
        <v>1</v>
      </c>
      <c r="X22" s="39">
        <f t="shared" si="14"/>
        <v>2</v>
      </c>
      <c r="Y22" s="39">
        <f t="shared" si="14"/>
        <v>17</v>
      </c>
      <c r="Z22" s="39">
        <f t="shared" si="14"/>
        <v>2</v>
      </c>
      <c r="AA22" s="39">
        <f t="shared" si="14"/>
        <v>0</v>
      </c>
      <c r="AB22" s="39">
        <f t="shared" si="14"/>
        <v>6</v>
      </c>
      <c r="AC22" s="39">
        <f t="shared" si="14"/>
        <v>255</v>
      </c>
      <c r="AD22" s="39">
        <f t="shared" si="14"/>
        <v>1</v>
      </c>
      <c r="AE22" s="40">
        <f t="shared" si="14"/>
        <v>145</v>
      </c>
      <c r="AF22" s="40">
        <f t="shared" si="14"/>
        <v>397</v>
      </c>
    </row>
    <row r="23" spans="2:32" ht="23.1" customHeight="1" x14ac:dyDescent="0.25">
      <c r="B23" s="23" t="s">
        <v>50</v>
      </c>
      <c r="C23" s="50">
        <v>4</v>
      </c>
      <c r="D23" s="50">
        <v>0</v>
      </c>
      <c r="E23" s="50">
        <v>14</v>
      </c>
      <c r="F23" s="50">
        <v>12</v>
      </c>
      <c r="G23" s="50">
        <v>0</v>
      </c>
      <c r="H23" s="50">
        <v>0</v>
      </c>
      <c r="I23" s="50">
        <v>6</v>
      </c>
      <c r="J23" s="50">
        <v>1</v>
      </c>
      <c r="K23" s="50">
        <v>0</v>
      </c>
      <c r="L23" s="50">
        <v>1</v>
      </c>
      <c r="M23" s="50">
        <v>69</v>
      </c>
      <c r="N23" s="50">
        <v>0</v>
      </c>
      <c r="O23" s="15">
        <f t="shared" si="0"/>
        <v>38</v>
      </c>
      <c r="P23" s="15">
        <f t="shared" si="1"/>
        <v>107</v>
      </c>
      <c r="R23" s="38" t="s">
        <v>91</v>
      </c>
      <c r="S23" s="39">
        <f>MAX(S13:S18)</f>
        <v>42</v>
      </c>
      <c r="T23" s="39">
        <f t="shared" ref="T23:AF23" si="15">MAX(T13:T18)</f>
        <v>0</v>
      </c>
      <c r="U23" s="39">
        <f t="shared" si="15"/>
        <v>86</v>
      </c>
      <c r="V23" s="39">
        <f t="shared" si="15"/>
        <v>65</v>
      </c>
      <c r="W23" s="39">
        <f t="shared" si="15"/>
        <v>3</v>
      </c>
      <c r="X23" s="39">
        <f t="shared" si="15"/>
        <v>8</v>
      </c>
      <c r="Y23" s="39">
        <f t="shared" si="15"/>
        <v>28</v>
      </c>
      <c r="Z23" s="39">
        <f t="shared" si="15"/>
        <v>3</v>
      </c>
      <c r="AA23" s="39">
        <f t="shared" si="15"/>
        <v>2</v>
      </c>
      <c r="AB23" s="39">
        <f t="shared" si="15"/>
        <v>8</v>
      </c>
      <c r="AC23" s="39">
        <f t="shared" si="15"/>
        <v>292</v>
      </c>
      <c r="AD23" s="39">
        <f t="shared" si="15"/>
        <v>1</v>
      </c>
      <c r="AE23" s="40">
        <f t="shared" si="15"/>
        <v>239</v>
      </c>
      <c r="AF23" s="40">
        <f t="shared" si="15"/>
        <v>502</v>
      </c>
    </row>
    <row r="24" spans="2:32" ht="23.1" customHeight="1" x14ac:dyDescent="0.25">
      <c r="B24" s="23" t="s">
        <v>51</v>
      </c>
      <c r="C24" s="50">
        <v>5</v>
      </c>
      <c r="D24" s="50">
        <v>0</v>
      </c>
      <c r="E24" s="50">
        <v>8</v>
      </c>
      <c r="F24" s="50">
        <v>18</v>
      </c>
      <c r="G24" s="50">
        <v>0</v>
      </c>
      <c r="H24" s="50">
        <v>1</v>
      </c>
      <c r="I24" s="50">
        <v>0</v>
      </c>
      <c r="J24" s="50">
        <v>0</v>
      </c>
      <c r="K24" s="50">
        <v>0</v>
      </c>
      <c r="L24" s="50">
        <v>0</v>
      </c>
      <c r="M24" s="50">
        <v>76</v>
      </c>
      <c r="N24" s="50">
        <v>0</v>
      </c>
      <c r="O24" s="15">
        <f t="shared" si="0"/>
        <v>32</v>
      </c>
      <c r="P24" s="15">
        <f t="shared" si="1"/>
        <v>108</v>
      </c>
      <c r="R24" s="38" t="s">
        <v>92</v>
      </c>
      <c r="S24" s="39">
        <f>MAX(S19:S21)</f>
        <v>38</v>
      </c>
      <c r="T24" s="39">
        <f t="shared" ref="T24:AF24" si="16">MAX(T19:T21)</f>
        <v>0</v>
      </c>
      <c r="U24" s="39">
        <f t="shared" si="16"/>
        <v>120</v>
      </c>
      <c r="V24" s="39">
        <f t="shared" si="16"/>
        <v>66</v>
      </c>
      <c r="W24" s="39">
        <f t="shared" si="16"/>
        <v>2</v>
      </c>
      <c r="X24" s="39">
        <f t="shared" si="16"/>
        <v>6</v>
      </c>
      <c r="Y24" s="39">
        <f t="shared" si="16"/>
        <v>34</v>
      </c>
      <c r="Z24" s="39">
        <f t="shared" si="16"/>
        <v>3</v>
      </c>
      <c r="AA24" s="39">
        <f t="shared" si="16"/>
        <v>1</v>
      </c>
      <c r="AB24" s="39">
        <f t="shared" si="16"/>
        <v>11</v>
      </c>
      <c r="AC24" s="39">
        <f t="shared" si="16"/>
        <v>280</v>
      </c>
      <c r="AD24" s="39">
        <f t="shared" si="16"/>
        <v>0</v>
      </c>
      <c r="AE24" s="40">
        <f t="shared" si="16"/>
        <v>265</v>
      </c>
      <c r="AF24" s="40">
        <f t="shared" si="16"/>
        <v>504</v>
      </c>
    </row>
    <row r="25" spans="2:32" ht="23.1" customHeight="1" x14ac:dyDescent="0.25">
      <c r="B25" s="23" t="s">
        <v>52</v>
      </c>
      <c r="C25" s="50">
        <v>6</v>
      </c>
      <c r="D25" s="50">
        <v>0</v>
      </c>
      <c r="E25" s="50">
        <v>15</v>
      </c>
      <c r="F25" s="50">
        <v>7</v>
      </c>
      <c r="G25" s="50">
        <v>0</v>
      </c>
      <c r="H25" s="50">
        <v>0</v>
      </c>
      <c r="I25" s="50">
        <v>7</v>
      </c>
      <c r="J25" s="50">
        <v>0</v>
      </c>
      <c r="K25" s="50">
        <v>0</v>
      </c>
      <c r="L25" s="50">
        <v>0</v>
      </c>
      <c r="M25" s="50">
        <v>60</v>
      </c>
      <c r="N25" s="50">
        <v>0</v>
      </c>
      <c r="O25" s="15">
        <f t="shared" si="0"/>
        <v>35</v>
      </c>
      <c r="P25" s="15">
        <f t="shared" si="1"/>
        <v>95</v>
      </c>
      <c r="R25" s="37" t="s">
        <v>85</v>
      </c>
      <c r="S25" s="35">
        <f t="shared" ref="S25:AF25" si="17">SUM(S10:S12)</f>
        <v>43</v>
      </c>
      <c r="T25" s="16">
        <f t="shared" si="17"/>
        <v>0</v>
      </c>
      <c r="U25" s="16">
        <f t="shared" si="17"/>
        <v>148</v>
      </c>
      <c r="V25" s="16">
        <f t="shared" si="17"/>
        <v>150</v>
      </c>
      <c r="W25" s="16">
        <f t="shared" si="17"/>
        <v>1</v>
      </c>
      <c r="X25" s="16">
        <f t="shared" si="17"/>
        <v>3</v>
      </c>
      <c r="Y25" s="16">
        <f t="shared" si="17"/>
        <v>44</v>
      </c>
      <c r="Z25" s="16">
        <f t="shared" si="17"/>
        <v>3</v>
      </c>
      <c r="AA25" s="16">
        <f t="shared" si="17"/>
        <v>0</v>
      </c>
      <c r="AB25" s="16">
        <f t="shared" si="17"/>
        <v>10</v>
      </c>
      <c r="AC25" s="16">
        <f t="shared" si="17"/>
        <v>694</v>
      </c>
      <c r="AD25" s="16">
        <f t="shared" si="17"/>
        <v>1</v>
      </c>
      <c r="AE25" s="32">
        <f t="shared" si="17"/>
        <v>403</v>
      </c>
      <c r="AF25" s="32">
        <f t="shared" si="17"/>
        <v>1097</v>
      </c>
    </row>
    <row r="26" spans="2:32" ht="23.1" customHeight="1" x14ac:dyDescent="0.25">
      <c r="B26" s="23" t="s">
        <v>53</v>
      </c>
      <c r="C26" s="50">
        <v>7</v>
      </c>
      <c r="D26" s="50">
        <v>0</v>
      </c>
      <c r="E26" s="50">
        <v>19</v>
      </c>
      <c r="F26" s="50">
        <v>11</v>
      </c>
      <c r="G26" s="50">
        <v>0</v>
      </c>
      <c r="H26" s="50">
        <v>0</v>
      </c>
      <c r="I26" s="50">
        <v>4</v>
      </c>
      <c r="J26" s="50">
        <v>0</v>
      </c>
      <c r="K26" s="50">
        <v>0</v>
      </c>
      <c r="L26" s="50">
        <v>2</v>
      </c>
      <c r="M26" s="50">
        <v>95</v>
      </c>
      <c r="N26" s="50">
        <v>0</v>
      </c>
      <c r="O26" s="15">
        <f t="shared" si="0"/>
        <v>43</v>
      </c>
      <c r="P26" s="15">
        <f t="shared" si="1"/>
        <v>138</v>
      </c>
      <c r="R26" s="28" t="s">
        <v>86</v>
      </c>
      <c r="S26" s="16">
        <f t="shared" ref="S26:AF26" si="18">SUM(S13:S18)</f>
        <v>162</v>
      </c>
      <c r="T26" s="16">
        <f t="shared" si="18"/>
        <v>0</v>
      </c>
      <c r="U26" s="16">
        <f t="shared" si="18"/>
        <v>386</v>
      </c>
      <c r="V26" s="16">
        <f t="shared" si="18"/>
        <v>311</v>
      </c>
      <c r="W26" s="16">
        <f t="shared" si="18"/>
        <v>3</v>
      </c>
      <c r="X26" s="16">
        <f t="shared" si="18"/>
        <v>20</v>
      </c>
      <c r="Y26" s="16">
        <f t="shared" si="18"/>
        <v>141</v>
      </c>
      <c r="Z26" s="16">
        <f t="shared" si="18"/>
        <v>10</v>
      </c>
      <c r="AA26" s="16">
        <f t="shared" si="18"/>
        <v>6</v>
      </c>
      <c r="AB26" s="16">
        <f t="shared" si="18"/>
        <v>21</v>
      </c>
      <c r="AC26" s="16">
        <f t="shared" si="18"/>
        <v>1504</v>
      </c>
      <c r="AD26" s="16">
        <f t="shared" si="18"/>
        <v>1</v>
      </c>
      <c r="AE26" s="32">
        <f t="shared" si="18"/>
        <v>1061</v>
      </c>
      <c r="AF26" s="32">
        <f t="shared" si="18"/>
        <v>2565</v>
      </c>
    </row>
    <row r="27" spans="2:32" ht="23.1" customHeight="1" x14ac:dyDescent="0.25">
      <c r="B27" s="23" t="s">
        <v>54</v>
      </c>
      <c r="C27" s="50">
        <v>4</v>
      </c>
      <c r="D27" s="50">
        <v>0</v>
      </c>
      <c r="E27" s="50">
        <v>10</v>
      </c>
      <c r="F27" s="50">
        <v>13</v>
      </c>
      <c r="G27" s="50">
        <v>0</v>
      </c>
      <c r="H27" s="50">
        <v>0</v>
      </c>
      <c r="I27" s="50">
        <v>6</v>
      </c>
      <c r="J27" s="50">
        <v>1</v>
      </c>
      <c r="K27" s="50">
        <v>2</v>
      </c>
      <c r="L27" s="50">
        <v>0</v>
      </c>
      <c r="M27" s="50">
        <v>64</v>
      </c>
      <c r="N27" s="50">
        <v>0</v>
      </c>
      <c r="O27" s="15">
        <f t="shared" si="0"/>
        <v>36</v>
      </c>
      <c r="P27" s="15">
        <f t="shared" si="1"/>
        <v>100</v>
      </c>
      <c r="R27" s="29" t="s">
        <v>87</v>
      </c>
      <c r="S27" s="16">
        <f t="shared" ref="S27:AF27" si="19">SUM(S19:S21)</f>
        <v>84</v>
      </c>
      <c r="T27" s="16">
        <f t="shared" si="19"/>
        <v>0</v>
      </c>
      <c r="U27" s="16">
        <f t="shared" si="19"/>
        <v>297</v>
      </c>
      <c r="V27" s="16">
        <f t="shared" si="19"/>
        <v>186</v>
      </c>
      <c r="W27" s="16">
        <f t="shared" si="19"/>
        <v>2</v>
      </c>
      <c r="X27" s="16">
        <f t="shared" si="19"/>
        <v>18</v>
      </c>
      <c r="Y27" s="16">
        <f t="shared" si="19"/>
        <v>91</v>
      </c>
      <c r="Z27" s="16">
        <f t="shared" si="19"/>
        <v>3</v>
      </c>
      <c r="AA27" s="16">
        <f t="shared" si="19"/>
        <v>1</v>
      </c>
      <c r="AB27" s="16">
        <f t="shared" si="19"/>
        <v>30</v>
      </c>
      <c r="AC27" s="16">
        <f t="shared" si="19"/>
        <v>749</v>
      </c>
      <c r="AD27" s="16">
        <f t="shared" si="19"/>
        <v>0</v>
      </c>
      <c r="AE27" s="32">
        <f t="shared" si="19"/>
        <v>712</v>
      </c>
      <c r="AF27" s="32">
        <f t="shared" si="19"/>
        <v>1461</v>
      </c>
    </row>
    <row r="28" spans="2:32" ht="23.1" customHeight="1" x14ac:dyDescent="0.25">
      <c r="B28" s="23" t="s">
        <v>55</v>
      </c>
      <c r="C28" s="50">
        <v>8</v>
      </c>
      <c r="D28" s="50">
        <v>0</v>
      </c>
      <c r="E28" s="50">
        <v>15</v>
      </c>
      <c r="F28" s="50">
        <v>11</v>
      </c>
      <c r="G28" s="50">
        <v>0</v>
      </c>
      <c r="H28" s="50">
        <v>1</v>
      </c>
      <c r="I28" s="50">
        <v>6</v>
      </c>
      <c r="J28" s="50">
        <v>0</v>
      </c>
      <c r="K28" s="50">
        <v>0</v>
      </c>
      <c r="L28" s="50">
        <v>0</v>
      </c>
      <c r="M28" s="50">
        <v>73</v>
      </c>
      <c r="N28" s="50">
        <v>0</v>
      </c>
      <c r="O28" s="15">
        <f t="shared" si="0"/>
        <v>41</v>
      </c>
      <c r="P28" s="15">
        <f t="shared" si="1"/>
        <v>114</v>
      </c>
      <c r="R28" s="5" t="s">
        <v>17</v>
      </c>
      <c r="S28" s="16">
        <f t="shared" ref="S28:AF28" si="20">SUM(S10:S21)</f>
        <v>289</v>
      </c>
      <c r="T28" s="16">
        <f t="shared" si="20"/>
        <v>0</v>
      </c>
      <c r="U28" s="16">
        <f t="shared" si="20"/>
        <v>831</v>
      </c>
      <c r="V28" s="16">
        <f t="shared" si="20"/>
        <v>647</v>
      </c>
      <c r="W28" s="16">
        <f t="shared" si="20"/>
        <v>6</v>
      </c>
      <c r="X28" s="16">
        <f t="shared" si="20"/>
        <v>41</v>
      </c>
      <c r="Y28" s="16">
        <f t="shared" si="20"/>
        <v>276</v>
      </c>
      <c r="Z28" s="16">
        <f t="shared" si="20"/>
        <v>16</v>
      </c>
      <c r="AA28" s="16">
        <f t="shared" si="20"/>
        <v>7</v>
      </c>
      <c r="AB28" s="16">
        <f t="shared" si="20"/>
        <v>61</v>
      </c>
      <c r="AC28" s="16">
        <f t="shared" si="20"/>
        <v>2947</v>
      </c>
      <c r="AD28" s="16">
        <f t="shared" si="20"/>
        <v>2</v>
      </c>
      <c r="AE28" s="32">
        <f t="shared" si="20"/>
        <v>2176</v>
      </c>
      <c r="AF28" s="32">
        <f t="shared" si="20"/>
        <v>5123</v>
      </c>
    </row>
    <row r="29" spans="2:32" ht="23.1" customHeight="1" x14ac:dyDescent="0.25">
      <c r="B29" s="23" t="s">
        <v>56</v>
      </c>
      <c r="C29" s="50">
        <v>4</v>
      </c>
      <c r="D29" s="50">
        <v>0</v>
      </c>
      <c r="E29" s="50">
        <v>18</v>
      </c>
      <c r="F29" s="50">
        <v>9</v>
      </c>
      <c r="G29" s="50">
        <v>0</v>
      </c>
      <c r="H29" s="50">
        <v>1</v>
      </c>
      <c r="I29" s="50">
        <v>5</v>
      </c>
      <c r="J29" s="50">
        <v>1</v>
      </c>
      <c r="K29" s="50">
        <v>0</v>
      </c>
      <c r="L29" s="50">
        <v>2</v>
      </c>
      <c r="M29" s="50">
        <v>60</v>
      </c>
      <c r="N29" s="50">
        <v>0</v>
      </c>
      <c r="O29" s="15">
        <f t="shared" si="0"/>
        <v>40</v>
      </c>
      <c r="P29" s="15">
        <f t="shared" si="1"/>
        <v>100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0</v>
      </c>
      <c r="E30" s="50">
        <v>20</v>
      </c>
      <c r="F30" s="50">
        <v>11</v>
      </c>
      <c r="G30" s="50">
        <v>0</v>
      </c>
      <c r="H30" s="50">
        <v>1</v>
      </c>
      <c r="I30" s="50">
        <v>5</v>
      </c>
      <c r="J30" s="50">
        <v>0</v>
      </c>
      <c r="K30" s="50">
        <v>0</v>
      </c>
      <c r="L30" s="50">
        <v>0</v>
      </c>
      <c r="M30" s="50">
        <v>49</v>
      </c>
      <c r="N30" s="50">
        <v>0</v>
      </c>
      <c r="O30" s="15">
        <f t="shared" si="0"/>
        <v>43</v>
      </c>
      <c r="P30" s="15">
        <f t="shared" si="1"/>
        <v>92</v>
      </c>
    </row>
    <row r="31" spans="2:32" ht="23.1" customHeight="1" x14ac:dyDescent="0.25">
      <c r="B31" s="24" t="s">
        <v>58</v>
      </c>
      <c r="C31" s="50">
        <v>5</v>
      </c>
      <c r="D31" s="50">
        <v>0</v>
      </c>
      <c r="E31" s="50">
        <v>13</v>
      </c>
      <c r="F31" s="50">
        <v>16</v>
      </c>
      <c r="G31" s="50">
        <v>0</v>
      </c>
      <c r="H31" s="50">
        <v>0</v>
      </c>
      <c r="I31" s="50">
        <v>8</v>
      </c>
      <c r="J31" s="50">
        <v>1</v>
      </c>
      <c r="K31" s="50">
        <v>1</v>
      </c>
      <c r="L31" s="50">
        <v>0</v>
      </c>
      <c r="M31" s="50">
        <v>63</v>
      </c>
      <c r="N31" s="50">
        <v>0</v>
      </c>
      <c r="O31" s="15">
        <f t="shared" si="0"/>
        <v>44</v>
      </c>
      <c r="P31" s="15">
        <f t="shared" si="1"/>
        <v>107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10</v>
      </c>
      <c r="F32" s="50">
        <v>15</v>
      </c>
      <c r="G32" s="50">
        <v>0</v>
      </c>
      <c r="H32" s="50">
        <v>2</v>
      </c>
      <c r="I32" s="50">
        <v>3</v>
      </c>
      <c r="J32" s="50">
        <v>1</v>
      </c>
      <c r="K32" s="50">
        <v>1</v>
      </c>
      <c r="L32" s="50">
        <v>0</v>
      </c>
      <c r="M32" s="50">
        <v>53</v>
      </c>
      <c r="N32" s="50">
        <v>0</v>
      </c>
      <c r="O32" s="15">
        <f t="shared" si="0"/>
        <v>33</v>
      </c>
      <c r="P32" s="15">
        <f t="shared" si="1"/>
        <v>86</v>
      </c>
    </row>
    <row r="33" spans="2:20" ht="23.1" customHeight="1" x14ac:dyDescent="0.25">
      <c r="B33" s="23" t="s">
        <v>60</v>
      </c>
      <c r="C33" s="50">
        <v>4</v>
      </c>
      <c r="D33" s="50">
        <v>0</v>
      </c>
      <c r="E33" s="50">
        <v>15</v>
      </c>
      <c r="F33" s="50">
        <v>16</v>
      </c>
      <c r="G33" s="50">
        <v>0</v>
      </c>
      <c r="H33" s="50">
        <v>0</v>
      </c>
      <c r="I33" s="50">
        <v>3</v>
      </c>
      <c r="J33" s="50">
        <v>0</v>
      </c>
      <c r="K33" s="50">
        <v>0</v>
      </c>
      <c r="L33" s="50">
        <v>1</v>
      </c>
      <c r="M33" s="50">
        <v>68</v>
      </c>
      <c r="N33" s="50">
        <v>0</v>
      </c>
      <c r="O33" s="15">
        <f t="shared" si="0"/>
        <v>39</v>
      </c>
      <c r="P33" s="15">
        <f t="shared" si="1"/>
        <v>107</v>
      </c>
    </row>
    <row r="34" spans="2:20" ht="23.1" customHeight="1" x14ac:dyDescent="0.25">
      <c r="B34" s="24" t="s">
        <v>61</v>
      </c>
      <c r="C34" s="50">
        <v>4</v>
      </c>
      <c r="D34" s="50">
        <v>0</v>
      </c>
      <c r="E34" s="50">
        <v>17</v>
      </c>
      <c r="F34" s="50">
        <v>10</v>
      </c>
      <c r="G34" s="50">
        <v>0</v>
      </c>
      <c r="H34" s="50">
        <v>1</v>
      </c>
      <c r="I34" s="50">
        <v>3</v>
      </c>
      <c r="J34" s="50">
        <v>0</v>
      </c>
      <c r="K34" s="50">
        <v>0</v>
      </c>
      <c r="L34" s="50">
        <v>0</v>
      </c>
      <c r="M34" s="50">
        <v>60</v>
      </c>
      <c r="N34" s="50">
        <v>1</v>
      </c>
      <c r="O34" s="15">
        <f t="shared" si="0"/>
        <v>36</v>
      </c>
      <c r="P34" s="15">
        <f t="shared" si="1"/>
        <v>96</v>
      </c>
    </row>
    <row r="35" spans="2:20" ht="23.1" customHeight="1" x14ac:dyDescent="0.25">
      <c r="B35" s="24" t="s">
        <v>62</v>
      </c>
      <c r="C35" s="50">
        <v>9</v>
      </c>
      <c r="D35" s="50">
        <v>0</v>
      </c>
      <c r="E35" s="50">
        <v>24</v>
      </c>
      <c r="F35" s="50">
        <v>15</v>
      </c>
      <c r="G35" s="50">
        <v>0</v>
      </c>
      <c r="H35" s="50">
        <v>0</v>
      </c>
      <c r="I35" s="50">
        <v>11</v>
      </c>
      <c r="J35" s="50">
        <v>1</v>
      </c>
      <c r="K35" s="50">
        <v>0</v>
      </c>
      <c r="L35" s="50">
        <v>1</v>
      </c>
      <c r="M35" s="50">
        <v>64</v>
      </c>
      <c r="N35" s="50">
        <v>0</v>
      </c>
      <c r="O35" s="15">
        <f t="shared" si="0"/>
        <v>61</v>
      </c>
      <c r="P35" s="15">
        <f t="shared" si="1"/>
        <v>125</v>
      </c>
    </row>
    <row r="36" spans="2:20" ht="23.1" customHeight="1" x14ac:dyDescent="0.25">
      <c r="B36" s="24" t="s">
        <v>63</v>
      </c>
      <c r="C36" s="50">
        <v>6</v>
      </c>
      <c r="D36" s="50">
        <v>0</v>
      </c>
      <c r="E36" s="50">
        <v>11</v>
      </c>
      <c r="F36" s="50">
        <v>14</v>
      </c>
      <c r="G36" s="50">
        <v>0</v>
      </c>
      <c r="H36" s="50">
        <v>0</v>
      </c>
      <c r="I36" s="50">
        <v>5</v>
      </c>
      <c r="J36" s="50">
        <v>0</v>
      </c>
      <c r="K36" s="50">
        <v>0</v>
      </c>
      <c r="L36" s="50">
        <v>2</v>
      </c>
      <c r="M36" s="50">
        <v>78</v>
      </c>
      <c r="N36" s="50">
        <v>0</v>
      </c>
      <c r="O36" s="15">
        <f t="shared" si="0"/>
        <v>38</v>
      </c>
      <c r="P36" s="15">
        <f t="shared" si="1"/>
        <v>116</v>
      </c>
    </row>
    <row r="37" spans="2:20" ht="23.1" customHeight="1" x14ac:dyDescent="0.25">
      <c r="B37" s="23" t="s">
        <v>64</v>
      </c>
      <c r="C37" s="50">
        <v>5</v>
      </c>
      <c r="D37" s="50">
        <v>0</v>
      </c>
      <c r="E37" s="50">
        <v>18</v>
      </c>
      <c r="F37" s="50">
        <v>13</v>
      </c>
      <c r="G37" s="50">
        <v>0</v>
      </c>
      <c r="H37" s="50">
        <v>2</v>
      </c>
      <c r="I37" s="50">
        <v>9</v>
      </c>
      <c r="J37" s="50">
        <v>0</v>
      </c>
      <c r="K37" s="50">
        <v>0</v>
      </c>
      <c r="L37" s="50">
        <v>0</v>
      </c>
      <c r="M37" s="50">
        <v>57</v>
      </c>
      <c r="N37" s="50">
        <v>0</v>
      </c>
      <c r="O37" s="15">
        <f t="shared" si="0"/>
        <v>47</v>
      </c>
      <c r="P37" s="15">
        <f t="shared" si="1"/>
        <v>104</v>
      </c>
    </row>
    <row r="38" spans="2:20" ht="23.1" customHeight="1" x14ac:dyDescent="0.25">
      <c r="B38" s="24" t="s">
        <v>65</v>
      </c>
      <c r="C38" s="50">
        <v>5</v>
      </c>
      <c r="D38" s="50">
        <v>0</v>
      </c>
      <c r="E38" s="50">
        <v>12</v>
      </c>
      <c r="F38" s="50">
        <v>12</v>
      </c>
      <c r="G38" s="50">
        <v>0</v>
      </c>
      <c r="H38" s="50">
        <v>6</v>
      </c>
      <c r="I38" s="50">
        <v>5</v>
      </c>
      <c r="J38" s="50">
        <v>1</v>
      </c>
      <c r="K38" s="50">
        <v>0</v>
      </c>
      <c r="L38" s="50">
        <v>0</v>
      </c>
      <c r="M38" s="50">
        <v>9</v>
      </c>
      <c r="N38" s="50">
        <v>0</v>
      </c>
      <c r="O38" s="15">
        <f t="shared" si="0"/>
        <v>41</v>
      </c>
      <c r="P38" s="15">
        <f t="shared" si="1"/>
        <v>50</v>
      </c>
    </row>
    <row r="39" spans="2:20" ht="23.1" customHeight="1" x14ac:dyDescent="0.25">
      <c r="B39" s="24" t="s">
        <v>66</v>
      </c>
      <c r="C39" s="50">
        <v>9</v>
      </c>
      <c r="D39" s="50">
        <v>0</v>
      </c>
      <c r="E39" s="50">
        <v>18</v>
      </c>
      <c r="F39" s="50">
        <v>10</v>
      </c>
      <c r="G39" s="50">
        <v>0</v>
      </c>
      <c r="H39" s="50">
        <v>1</v>
      </c>
      <c r="I39" s="50">
        <v>7</v>
      </c>
      <c r="J39" s="50">
        <v>0</v>
      </c>
      <c r="K39" s="50">
        <v>0</v>
      </c>
      <c r="L39" s="50">
        <v>2</v>
      </c>
      <c r="M39" s="50">
        <v>51</v>
      </c>
      <c r="N39" s="50">
        <v>0</v>
      </c>
      <c r="O39" s="15">
        <f t="shared" si="0"/>
        <v>47</v>
      </c>
      <c r="P39" s="15">
        <f t="shared" si="1"/>
        <v>98</v>
      </c>
    </row>
    <row r="40" spans="2:20" ht="23.1" customHeight="1" x14ac:dyDescent="0.25">
      <c r="B40" s="24" t="s">
        <v>67</v>
      </c>
      <c r="C40" s="50">
        <v>7</v>
      </c>
      <c r="D40" s="50">
        <v>0</v>
      </c>
      <c r="E40" s="50">
        <v>18</v>
      </c>
      <c r="F40" s="50">
        <v>13</v>
      </c>
      <c r="G40" s="50">
        <v>0</v>
      </c>
      <c r="H40" s="50">
        <v>0</v>
      </c>
      <c r="I40" s="50">
        <v>9</v>
      </c>
      <c r="J40" s="50">
        <v>0</v>
      </c>
      <c r="K40" s="50">
        <v>0</v>
      </c>
      <c r="L40" s="50">
        <v>1</v>
      </c>
      <c r="M40" s="50">
        <v>73</v>
      </c>
      <c r="N40" s="50">
        <v>0</v>
      </c>
      <c r="O40" s="15">
        <f t="shared" si="0"/>
        <v>48</v>
      </c>
      <c r="P40" s="15">
        <f t="shared" si="1"/>
        <v>121</v>
      </c>
    </row>
    <row r="41" spans="2:20" ht="23.1" customHeight="1" x14ac:dyDescent="0.25">
      <c r="B41" s="23" t="s">
        <v>68</v>
      </c>
      <c r="C41" s="50">
        <v>6</v>
      </c>
      <c r="D41" s="50">
        <v>0</v>
      </c>
      <c r="E41" s="50">
        <v>12</v>
      </c>
      <c r="F41" s="50">
        <v>7</v>
      </c>
      <c r="G41" s="50">
        <v>0</v>
      </c>
      <c r="H41" s="50">
        <v>1</v>
      </c>
      <c r="I41" s="50">
        <v>7</v>
      </c>
      <c r="J41" s="50">
        <v>0</v>
      </c>
      <c r="K41" s="50">
        <v>0</v>
      </c>
      <c r="L41" s="50">
        <v>0</v>
      </c>
      <c r="M41" s="50">
        <v>61</v>
      </c>
      <c r="N41" s="50">
        <v>0</v>
      </c>
      <c r="O41" s="15">
        <f t="shared" si="0"/>
        <v>33</v>
      </c>
      <c r="P41" s="15">
        <f t="shared" si="1"/>
        <v>94</v>
      </c>
    </row>
    <row r="42" spans="2:20" ht="23.1" customHeight="1" x14ac:dyDescent="0.25">
      <c r="B42" s="24" t="s">
        <v>69</v>
      </c>
      <c r="C42" s="50">
        <v>5</v>
      </c>
      <c r="D42" s="50">
        <v>0</v>
      </c>
      <c r="E42" s="50">
        <v>26</v>
      </c>
      <c r="F42" s="50">
        <v>19</v>
      </c>
      <c r="G42" s="50">
        <v>0</v>
      </c>
      <c r="H42" s="50">
        <v>0</v>
      </c>
      <c r="I42" s="50">
        <v>9</v>
      </c>
      <c r="J42" s="50">
        <v>0</v>
      </c>
      <c r="K42" s="50">
        <v>0</v>
      </c>
      <c r="L42" s="50">
        <v>3</v>
      </c>
      <c r="M42" s="50">
        <v>65</v>
      </c>
      <c r="N42" s="50">
        <v>0</v>
      </c>
      <c r="O42" s="15">
        <f t="shared" si="0"/>
        <v>62</v>
      </c>
      <c r="P42" s="15">
        <f t="shared" si="1"/>
        <v>127</v>
      </c>
    </row>
    <row r="43" spans="2:20" ht="23.1" customHeight="1" x14ac:dyDescent="0.25">
      <c r="B43" s="23" t="s">
        <v>70</v>
      </c>
      <c r="C43" s="50">
        <v>12</v>
      </c>
      <c r="D43" s="50">
        <v>0</v>
      </c>
      <c r="E43" s="50">
        <v>22</v>
      </c>
      <c r="F43" s="50">
        <v>14</v>
      </c>
      <c r="G43" s="50">
        <v>0</v>
      </c>
      <c r="H43" s="50">
        <v>0</v>
      </c>
      <c r="I43" s="50">
        <v>5</v>
      </c>
      <c r="J43" s="50">
        <v>1</v>
      </c>
      <c r="K43" s="50">
        <v>1</v>
      </c>
      <c r="L43" s="50">
        <v>0</v>
      </c>
      <c r="M43" s="50">
        <v>70</v>
      </c>
      <c r="N43" s="50">
        <v>0</v>
      </c>
      <c r="O43" s="15">
        <f t="shared" si="0"/>
        <v>55</v>
      </c>
      <c r="P43" s="15">
        <f t="shared" si="1"/>
        <v>125</v>
      </c>
    </row>
    <row r="44" spans="2:20" ht="23.1" customHeight="1" x14ac:dyDescent="0.25">
      <c r="B44" s="25" t="s">
        <v>71</v>
      </c>
      <c r="C44" s="50">
        <v>13</v>
      </c>
      <c r="D44" s="50">
        <v>0</v>
      </c>
      <c r="E44" s="50">
        <v>15</v>
      </c>
      <c r="F44" s="50">
        <v>15</v>
      </c>
      <c r="G44" s="50">
        <v>2</v>
      </c>
      <c r="H44" s="50">
        <v>2</v>
      </c>
      <c r="I44" s="50">
        <v>10</v>
      </c>
      <c r="J44" s="50">
        <v>1</v>
      </c>
      <c r="K44" s="50">
        <v>0</v>
      </c>
      <c r="L44" s="50">
        <v>2</v>
      </c>
      <c r="M44" s="50">
        <v>71</v>
      </c>
      <c r="N44" s="50">
        <v>0</v>
      </c>
      <c r="O44" s="15">
        <f t="shared" si="0"/>
        <v>60</v>
      </c>
      <c r="P44" s="15">
        <f t="shared" si="1"/>
        <v>131</v>
      </c>
    </row>
    <row r="45" spans="2:20" ht="23.1" customHeight="1" x14ac:dyDescent="0.25">
      <c r="B45" s="23" t="s">
        <v>72</v>
      </c>
      <c r="C45" s="50">
        <v>12</v>
      </c>
      <c r="D45" s="50">
        <v>0</v>
      </c>
      <c r="E45" s="50">
        <v>23</v>
      </c>
      <c r="F45" s="50">
        <v>17</v>
      </c>
      <c r="G45" s="50">
        <v>1</v>
      </c>
      <c r="H45" s="50">
        <v>0</v>
      </c>
      <c r="I45" s="50">
        <v>4</v>
      </c>
      <c r="J45" s="50">
        <v>1</v>
      </c>
      <c r="K45" s="50">
        <v>1</v>
      </c>
      <c r="L45" s="50">
        <v>3</v>
      </c>
      <c r="M45" s="50">
        <v>57</v>
      </c>
      <c r="N45" s="50">
        <v>0</v>
      </c>
      <c r="O45" s="15">
        <f t="shared" si="0"/>
        <v>62</v>
      </c>
      <c r="P45" s="15">
        <f t="shared" si="1"/>
        <v>119</v>
      </c>
    </row>
    <row r="46" spans="2:20" ht="23.1" customHeight="1" x14ac:dyDescent="0.25">
      <c r="B46" s="24" t="s">
        <v>73</v>
      </c>
      <c r="C46" s="50">
        <v>7</v>
      </c>
      <c r="D46" s="50">
        <v>0</v>
      </c>
      <c r="E46" s="50">
        <v>28</v>
      </c>
      <c r="F46" s="50">
        <v>18</v>
      </c>
      <c r="G46" s="50">
        <v>0</v>
      </c>
      <c r="H46" s="50">
        <v>6</v>
      </c>
      <c r="I46" s="50">
        <v>4</v>
      </c>
      <c r="J46" s="50">
        <v>1</v>
      </c>
      <c r="K46" s="50">
        <v>0</v>
      </c>
      <c r="L46" s="50">
        <v>2</v>
      </c>
      <c r="M46" s="50">
        <v>70</v>
      </c>
      <c r="N46" s="50">
        <v>0</v>
      </c>
      <c r="O46" s="15">
        <f t="shared" si="0"/>
        <v>66</v>
      </c>
      <c r="P46" s="15">
        <f t="shared" si="1"/>
        <v>136</v>
      </c>
      <c r="R46" s="8"/>
      <c r="T46"/>
    </row>
    <row r="47" spans="2:20" ht="23.1" customHeight="1" x14ac:dyDescent="0.25">
      <c r="B47" s="24" t="s">
        <v>74</v>
      </c>
      <c r="C47" s="50">
        <v>6</v>
      </c>
      <c r="D47" s="50">
        <v>0</v>
      </c>
      <c r="E47" s="50">
        <v>22</v>
      </c>
      <c r="F47" s="50">
        <v>15</v>
      </c>
      <c r="G47" s="50">
        <v>0</v>
      </c>
      <c r="H47" s="50">
        <v>0</v>
      </c>
      <c r="I47" s="50">
        <v>3</v>
      </c>
      <c r="J47" s="50">
        <v>1</v>
      </c>
      <c r="K47" s="50">
        <v>0</v>
      </c>
      <c r="L47" s="50">
        <v>3</v>
      </c>
      <c r="M47" s="50">
        <v>58</v>
      </c>
      <c r="N47" s="50">
        <v>0</v>
      </c>
      <c r="O47" s="15">
        <f t="shared" si="0"/>
        <v>50</v>
      </c>
      <c r="P47" s="15">
        <f t="shared" si="1"/>
        <v>108</v>
      </c>
      <c r="R47" s="8"/>
      <c r="T47"/>
    </row>
    <row r="48" spans="2:20" ht="23.1" customHeight="1" x14ac:dyDescent="0.25">
      <c r="B48" s="24" t="s">
        <v>75</v>
      </c>
      <c r="C48" s="50">
        <v>5</v>
      </c>
      <c r="D48" s="50">
        <v>0</v>
      </c>
      <c r="E48" s="50">
        <v>27</v>
      </c>
      <c r="F48" s="50">
        <v>21</v>
      </c>
      <c r="G48" s="50">
        <v>0</v>
      </c>
      <c r="H48" s="50">
        <v>0</v>
      </c>
      <c r="I48" s="50">
        <v>6</v>
      </c>
      <c r="J48" s="50">
        <v>0</v>
      </c>
      <c r="K48" s="50">
        <v>0</v>
      </c>
      <c r="L48" s="50">
        <v>1</v>
      </c>
      <c r="M48" s="50">
        <v>76</v>
      </c>
      <c r="N48" s="50">
        <v>0</v>
      </c>
      <c r="O48" s="15">
        <f t="shared" si="0"/>
        <v>60</v>
      </c>
      <c r="P48" s="15">
        <f t="shared" si="1"/>
        <v>136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0</v>
      </c>
      <c r="E49" s="50">
        <v>13</v>
      </c>
      <c r="F49" s="50">
        <v>12</v>
      </c>
      <c r="G49" s="50">
        <v>0</v>
      </c>
      <c r="H49" s="50">
        <v>0</v>
      </c>
      <c r="I49" s="50">
        <v>12</v>
      </c>
      <c r="J49" s="50">
        <v>1</v>
      </c>
      <c r="K49" s="50">
        <v>0</v>
      </c>
      <c r="L49" s="50">
        <v>4</v>
      </c>
      <c r="M49" s="50">
        <v>60</v>
      </c>
      <c r="N49" s="50">
        <v>0</v>
      </c>
      <c r="O49" s="15">
        <f t="shared" si="0"/>
        <v>47</v>
      </c>
      <c r="P49" s="15">
        <f t="shared" si="1"/>
        <v>107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0</v>
      </c>
      <c r="E50" s="50">
        <v>22</v>
      </c>
      <c r="F50" s="50">
        <v>13</v>
      </c>
      <c r="G50" s="50">
        <v>0</v>
      </c>
      <c r="H50" s="50">
        <v>1</v>
      </c>
      <c r="I50" s="50">
        <v>5</v>
      </c>
      <c r="J50" s="50">
        <v>0</v>
      </c>
      <c r="K50" s="50">
        <v>0</v>
      </c>
      <c r="L50" s="50">
        <v>0</v>
      </c>
      <c r="M50" s="50">
        <v>59</v>
      </c>
      <c r="N50" s="50">
        <v>0</v>
      </c>
      <c r="O50" s="15">
        <f t="shared" si="0"/>
        <v>44</v>
      </c>
      <c r="P50" s="15">
        <f t="shared" si="1"/>
        <v>103</v>
      </c>
      <c r="R50" s="8"/>
      <c r="T50"/>
    </row>
    <row r="51" spans="2:20" ht="23.1" customHeight="1" x14ac:dyDescent="0.25">
      <c r="B51" s="24" t="s">
        <v>78</v>
      </c>
      <c r="C51" s="50">
        <v>7</v>
      </c>
      <c r="D51" s="50">
        <v>0</v>
      </c>
      <c r="E51" s="50">
        <v>18</v>
      </c>
      <c r="F51" s="50">
        <v>16</v>
      </c>
      <c r="G51" s="50">
        <v>0</v>
      </c>
      <c r="H51" s="50">
        <v>3</v>
      </c>
      <c r="I51" s="50">
        <v>9</v>
      </c>
      <c r="J51" s="50">
        <v>0</v>
      </c>
      <c r="K51" s="50">
        <v>0</v>
      </c>
      <c r="L51" s="50">
        <v>3</v>
      </c>
      <c r="M51" s="50">
        <v>76</v>
      </c>
      <c r="N51" s="50">
        <v>0</v>
      </c>
      <c r="O51" s="15">
        <f t="shared" si="0"/>
        <v>56</v>
      </c>
      <c r="P51" s="15">
        <f t="shared" si="1"/>
        <v>132</v>
      </c>
      <c r="R51" s="8"/>
      <c r="T51"/>
    </row>
    <row r="52" spans="2:20" ht="23.1" customHeight="1" x14ac:dyDescent="0.25">
      <c r="B52" s="24" t="s">
        <v>79</v>
      </c>
      <c r="C52" s="50">
        <v>6</v>
      </c>
      <c r="D52" s="50">
        <v>0</v>
      </c>
      <c r="E52" s="50">
        <v>21</v>
      </c>
      <c r="F52" s="50">
        <v>17</v>
      </c>
      <c r="G52" s="50">
        <v>0</v>
      </c>
      <c r="H52" s="50">
        <v>2</v>
      </c>
      <c r="I52" s="50">
        <v>9</v>
      </c>
      <c r="J52" s="50">
        <v>0</v>
      </c>
      <c r="K52" s="50">
        <v>0</v>
      </c>
      <c r="L52" s="50">
        <v>5</v>
      </c>
      <c r="M52" s="50">
        <v>76</v>
      </c>
      <c r="N52" s="50">
        <v>0</v>
      </c>
      <c r="O52" s="15">
        <f t="shared" si="0"/>
        <v>60</v>
      </c>
      <c r="P52" s="15">
        <f t="shared" si="1"/>
        <v>136</v>
      </c>
      <c r="R52" s="8"/>
      <c r="T52"/>
    </row>
    <row r="53" spans="2:20" ht="23.1" customHeight="1" x14ac:dyDescent="0.25">
      <c r="B53" s="23" t="s">
        <v>80</v>
      </c>
      <c r="C53" s="50">
        <v>7</v>
      </c>
      <c r="D53" s="50">
        <v>0</v>
      </c>
      <c r="E53" s="50">
        <v>26</v>
      </c>
      <c r="F53" s="50">
        <v>19</v>
      </c>
      <c r="G53" s="50">
        <v>0</v>
      </c>
      <c r="H53" s="50">
        <v>0</v>
      </c>
      <c r="I53" s="50">
        <v>11</v>
      </c>
      <c r="J53" s="50">
        <v>0</v>
      </c>
      <c r="K53" s="50">
        <v>0</v>
      </c>
      <c r="L53" s="50">
        <v>1</v>
      </c>
      <c r="M53" s="50">
        <v>69</v>
      </c>
      <c r="N53" s="50">
        <v>0</v>
      </c>
      <c r="O53" s="15">
        <f t="shared" si="0"/>
        <v>64</v>
      </c>
      <c r="P53" s="15">
        <f t="shared" si="1"/>
        <v>133</v>
      </c>
      <c r="R53" s="8"/>
      <c r="T53"/>
    </row>
    <row r="54" spans="2:20" ht="23.1" customHeight="1" x14ac:dyDescent="0.25">
      <c r="B54" s="23" t="s">
        <v>81</v>
      </c>
      <c r="C54" s="50">
        <v>7</v>
      </c>
      <c r="D54" s="50">
        <v>0</v>
      </c>
      <c r="E54" s="50">
        <v>36</v>
      </c>
      <c r="F54" s="50">
        <v>12</v>
      </c>
      <c r="G54" s="50">
        <v>0</v>
      </c>
      <c r="H54" s="50">
        <v>3</v>
      </c>
      <c r="I54" s="50">
        <v>9</v>
      </c>
      <c r="J54" s="50">
        <v>0</v>
      </c>
      <c r="K54" s="50">
        <v>0</v>
      </c>
      <c r="L54" s="50">
        <v>3</v>
      </c>
      <c r="M54" s="50">
        <v>27</v>
      </c>
      <c r="N54" s="50">
        <v>0</v>
      </c>
      <c r="O54" s="15">
        <f t="shared" si="0"/>
        <v>70</v>
      </c>
      <c r="P54" s="15">
        <f t="shared" si="1"/>
        <v>97</v>
      </c>
      <c r="R54" s="8"/>
      <c r="T54"/>
    </row>
    <row r="55" spans="2:20" ht="23.1" customHeight="1" x14ac:dyDescent="0.25">
      <c r="B55" s="23" t="s">
        <v>82</v>
      </c>
      <c r="C55" s="50">
        <v>7</v>
      </c>
      <c r="D55" s="50">
        <v>0</v>
      </c>
      <c r="E55" s="50">
        <v>29</v>
      </c>
      <c r="F55" s="50">
        <v>18</v>
      </c>
      <c r="G55" s="50">
        <v>0</v>
      </c>
      <c r="H55" s="50">
        <v>0</v>
      </c>
      <c r="I55" s="50">
        <v>8</v>
      </c>
      <c r="J55" s="50">
        <v>0</v>
      </c>
      <c r="K55" s="50">
        <v>1</v>
      </c>
      <c r="L55" s="50">
        <v>4</v>
      </c>
      <c r="M55" s="50">
        <v>38</v>
      </c>
      <c r="N55" s="50">
        <v>0</v>
      </c>
      <c r="O55" s="15">
        <f t="shared" si="0"/>
        <v>67</v>
      </c>
      <c r="P55" s="15">
        <f t="shared" si="1"/>
        <v>105</v>
      </c>
      <c r="R55" s="8"/>
      <c r="T55"/>
    </row>
    <row r="56" spans="2:20" ht="23.1" customHeight="1" x14ac:dyDescent="0.25">
      <c r="B56" s="23" t="s">
        <v>83</v>
      </c>
      <c r="C56" s="50">
        <v>17</v>
      </c>
      <c r="D56" s="50">
        <v>0</v>
      </c>
      <c r="E56" s="50">
        <v>32</v>
      </c>
      <c r="F56" s="50">
        <v>14</v>
      </c>
      <c r="G56" s="50">
        <v>1</v>
      </c>
      <c r="H56" s="50">
        <v>3</v>
      </c>
      <c r="I56" s="50">
        <v>5</v>
      </c>
      <c r="J56" s="50">
        <v>0</v>
      </c>
      <c r="K56" s="50">
        <v>0</v>
      </c>
      <c r="L56" s="50">
        <v>3</v>
      </c>
      <c r="M56" s="50">
        <v>73</v>
      </c>
      <c r="N56" s="50">
        <v>0</v>
      </c>
      <c r="O56" s="15">
        <f t="shared" si="0"/>
        <v>75</v>
      </c>
      <c r="P56" s="15">
        <f t="shared" si="1"/>
        <v>148</v>
      </c>
      <c r="R56" s="8"/>
      <c r="T56"/>
    </row>
    <row r="57" spans="2:20" ht="23.1" customHeight="1" x14ac:dyDescent="0.25">
      <c r="B57" s="23" t="s">
        <v>84</v>
      </c>
      <c r="C57" s="50">
        <v>7</v>
      </c>
      <c r="D57" s="50">
        <v>0</v>
      </c>
      <c r="E57" s="50">
        <v>23</v>
      </c>
      <c r="F57" s="50">
        <v>11</v>
      </c>
      <c r="G57" s="50">
        <v>1</v>
      </c>
      <c r="H57" s="50">
        <v>0</v>
      </c>
      <c r="I57" s="50">
        <v>10</v>
      </c>
      <c r="J57" s="50">
        <v>0</v>
      </c>
      <c r="K57" s="50">
        <v>0</v>
      </c>
      <c r="L57" s="50">
        <v>1</v>
      </c>
      <c r="M57" s="50">
        <v>67</v>
      </c>
      <c r="N57" s="50">
        <v>0</v>
      </c>
      <c r="O57" s="15">
        <f t="shared" si="0"/>
        <v>53</v>
      </c>
      <c r="P57" s="15">
        <f t="shared" si="1"/>
        <v>120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289</v>
      </c>
      <c r="D58" s="16">
        <f t="shared" si="21"/>
        <v>0</v>
      </c>
      <c r="E58" s="16">
        <f t="shared" si="21"/>
        <v>831</v>
      </c>
      <c r="F58" s="16">
        <f t="shared" si="21"/>
        <v>647</v>
      </c>
      <c r="G58" s="16">
        <f t="shared" si="21"/>
        <v>6</v>
      </c>
      <c r="H58" s="16">
        <f t="shared" si="21"/>
        <v>41</v>
      </c>
      <c r="I58" s="16">
        <f t="shared" si="21"/>
        <v>276</v>
      </c>
      <c r="J58" s="16">
        <f t="shared" si="21"/>
        <v>16</v>
      </c>
      <c r="K58" s="16">
        <f t="shared" si="21"/>
        <v>7</v>
      </c>
      <c r="L58" s="16">
        <f t="shared" si="21"/>
        <v>61</v>
      </c>
      <c r="M58" s="16">
        <f t="shared" si="21"/>
        <v>2947</v>
      </c>
      <c r="N58" s="16">
        <f t="shared" si="21"/>
        <v>2</v>
      </c>
      <c r="O58" s="16">
        <f t="shared" si="21"/>
        <v>2176</v>
      </c>
      <c r="P58" s="16">
        <f t="shared" si="21"/>
        <v>5123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5.6412258442318952E-2</v>
      </c>
      <c r="D59" s="43">
        <f t="shared" si="22"/>
        <v>0</v>
      </c>
      <c r="E59" s="43">
        <f t="shared" si="22"/>
        <v>0.16220964278742925</v>
      </c>
      <c r="F59" s="43">
        <f t="shared" si="22"/>
        <v>0.12629318758539917</v>
      </c>
      <c r="G59" s="43">
        <f t="shared" si="22"/>
        <v>1.1711887565879367E-3</v>
      </c>
      <c r="H59" s="43">
        <f t="shared" si="22"/>
        <v>8.0031231700175686E-3</v>
      </c>
      <c r="I59" s="43">
        <f t="shared" si="22"/>
        <v>5.3874682803045089E-2</v>
      </c>
      <c r="J59" s="43">
        <f t="shared" si="22"/>
        <v>3.1231700175678315E-3</v>
      </c>
      <c r="K59" s="43">
        <f t="shared" si="22"/>
        <v>1.3663868826859261E-3</v>
      </c>
      <c r="L59" s="43">
        <f t="shared" si="22"/>
        <v>1.1907085691977357E-2</v>
      </c>
      <c r="M59" s="43">
        <f t="shared" si="22"/>
        <v>0.57524887761077492</v>
      </c>
      <c r="N59" s="43">
        <f t="shared" si="22"/>
        <v>3.9039625219597894E-4</v>
      </c>
      <c r="R59" s="8"/>
      <c r="T59"/>
    </row>
    <row r="60" spans="2:20" ht="23.1" customHeight="1" x14ac:dyDescent="0.25">
      <c r="B60" s="42" t="s">
        <v>94</v>
      </c>
      <c r="C60" s="44">
        <f>C58/$O$58</f>
        <v>0.1328125</v>
      </c>
      <c r="D60" s="44">
        <f t="shared" ref="D60:N60" si="23">D58/$O$58</f>
        <v>0</v>
      </c>
      <c r="E60" s="44">
        <f t="shared" si="23"/>
        <v>0.38189338235294118</v>
      </c>
      <c r="F60" s="44">
        <f t="shared" si="23"/>
        <v>0.29733455882352944</v>
      </c>
      <c r="G60" s="44">
        <f t="shared" si="23"/>
        <v>2.7573529411764708E-3</v>
      </c>
      <c r="H60" s="44">
        <f t="shared" si="23"/>
        <v>1.8841911764705881E-2</v>
      </c>
      <c r="I60" s="44">
        <f t="shared" si="23"/>
        <v>0.12683823529411764</v>
      </c>
      <c r="J60" s="44">
        <f t="shared" si="23"/>
        <v>7.3529411764705881E-3</v>
      </c>
      <c r="K60" s="44">
        <f t="shared" si="23"/>
        <v>3.2169117647058822E-3</v>
      </c>
      <c r="L60" s="44">
        <f t="shared" si="23"/>
        <v>2.8033088235294119E-2</v>
      </c>
      <c r="M60" s="44"/>
      <c r="N60" s="44">
        <f t="shared" si="23"/>
        <v>9.1911764705882352E-4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126"/>
  <sheetViews>
    <sheetView view="pageBreakPreview" topLeftCell="A4" zoomScale="60" workbookViewId="0">
      <selection activeCell="N5" sqref="N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'20.8 Kampala-Luweero'!C3:G3</f>
        <v>MCC - C3 - STN87 - Kampala-Gulu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174</v>
      </c>
      <c r="E5" s="3"/>
      <c r="F5" s="41" t="s">
        <v>1</v>
      </c>
      <c r="G5" s="66">
        <f>' 22.8 Luweero-Kampala'!G5:H5</f>
        <v>0</v>
      </c>
      <c r="H5" s="67"/>
      <c r="I5" s="14"/>
      <c r="J5" s="2" t="s">
        <v>5</v>
      </c>
      <c r="K5" s="66" t="str">
        <f>' 22.8 Luweero-Kampala'!K5:L5</f>
        <v>Godfrey, Ibrahim N, Oliver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'20.8 Kampala-Luweero'!D6:E6</f>
        <v>Kampala</v>
      </c>
      <c r="E6" s="67"/>
      <c r="F6" s="2" t="s">
        <v>2</v>
      </c>
      <c r="G6" s="66" t="str">
        <f>'20.8 Kampala-Luweero'!G6:H6</f>
        <v>Luwero</v>
      </c>
      <c r="H6" s="67"/>
      <c r="J6" s="2" t="s">
        <v>21</v>
      </c>
      <c r="K6" s="66" t="str">
        <f>' 22.8 Luweero-Kampala'!K6:L6</f>
        <v>Martin, Tracy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10</v>
      </c>
      <c r="D10" s="50">
        <v>0</v>
      </c>
      <c r="E10" s="50">
        <v>4</v>
      </c>
      <c r="F10" s="50">
        <v>4</v>
      </c>
      <c r="G10" s="50">
        <v>0</v>
      </c>
      <c r="H10" s="50">
        <v>1</v>
      </c>
      <c r="I10" s="50">
        <v>8</v>
      </c>
      <c r="J10" s="50">
        <v>0</v>
      </c>
      <c r="K10" s="50">
        <v>0</v>
      </c>
      <c r="L10" s="50">
        <v>3</v>
      </c>
      <c r="M10" s="50">
        <v>36</v>
      </c>
      <c r="N10" s="50">
        <v>0</v>
      </c>
      <c r="O10" s="15">
        <f t="shared" ref="O10:O57" si="0">SUM(C10:L10,N10)</f>
        <v>30</v>
      </c>
      <c r="P10" s="15">
        <f t="shared" ref="P10:P57" si="1">SUM(C10:N10)</f>
        <v>66</v>
      </c>
      <c r="R10" s="1" t="s">
        <v>6</v>
      </c>
      <c r="S10" s="17">
        <f t="shared" ref="S10:AF10" si="2">SUM(C10:C13)</f>
        <v>33</v>
      </c>
      <c r="T10" s="17">
        <f t="shared" si="2"/>
        <v>0</v>
      </c>
      <c r="U10" s="17">
        <f t="shared" si="2"/>
        <v>28</v>
      </c>
      <c r="V10" s="17">
        <f t="shared" si="2"/>
        <v>23</v>
      </c>
      <c r="W10" s="17">
        <f t="shared" si="2"/>
        <v>1</v>
      </c>
      <c r="X10" s="17">
        <f t="shared" si="2"/>
        <v>2</v>
      </c>
      <c r="Y10" s="17">
        <f t="shared" si="2"/>
        <v>26</v>
      </c>
      <c r="Z10" s="17">
        <f t="shared" si="2"/>
        <v>4</v>
      </c>
      <c r="AA10" s="17">
        <f t="shared" si="2"/>
        <v>0</v>
      </c>
      <c r="AB10" s="17">
        <f t="shared" si="2"/>
        <v>11</v>
      </c>
      <c r="AC10" s="17">
        <f t="shared" si="2"/>
        <v>242</v>
      </c>
      <c r="AD10" s="17">
        <f t="shared" si="2"/>
        <v>0</v>
      </c>
      <c r="AE10" s="31">
        <f t="shared" si="2"/>
        <v>128</v>
      </c>
      <c r="AF10" s="31">
        <f t="shared" si="2"/>
        <v>370</v>
      </c>
    </row>
    <row r="11" spans="2:32" s="6" customFormat="1" ht="23.1" customHeight="1" x14ac:dyDescent="0.25">
      <c r="B11" s="23" t="s">
        <v>38</v>
      </c>
      <c r="C11" s="50">
        <v>4</v>
      </c>
      <c r="D11" s="50">
        <v>0</v>
      </c>
      <c r="E11" s="50">
        <v>6</v>
      </c>
      <c r="F11" s="50">
        <v>6</v>
      </c>
      <c r="G11" s="50">
        <v>1</v>
      </c>
      <c r="H11" s="50">
        <v>0</v>
      </c>
      <c r="I11" s="50">
        <v>10</v>
      </c>
      <c r="J11" s="50">
        <v>1</v>
      </c>
      <c r="K11" s="50">
        <v>0</v>
      </c>
      <c r="L11" s="50">
        <v>0</v>
      </c>
      <c r="M11" s="50">
        <v>67</v>
      </c>
      <c r="N11" s="50">
        <v>0</v>
      </c>
      <c r="O11" s="15">
        <f t="shared" si="0"/>
        <v>28</v>
      </c>
      <c r="P11" s="15">
        <f t="shared" si="1"/>
        <v>95</v>
      </c>
      <c r="R11" s="1" t="s">
        <v>7</v>
      </c>
      <c r="S11" s="17">
        <f t="shared" ref="S11:AF11" si="3">SUM(C14:C17)</f>
        <v>46</v>
      </c>
      <c r="T11" s="17">
        <f t="shared" si="3"/>
        <v>0</v>
      </c>
      <c r="U11" s="17">
        <f t="shared" si="3"/>
        <v>53</v>
      </c>
      <c r="V11" s="17">
        <f t="shared" si="3"/>
        <v>47</v>
      </c>
      <c r="W11" s="17">
        <f t="shared" si="3"/>
        <v>0</v>
      </c>
      <c r="X11" s="17">
        <f t="shared" si="3"/>
        <v>3</v>
      </c>
      <c r="Y11" s="17">
        <f t="shared" si="3"/>
        <v>38</v>
      </c>
      <c r="Z11" s="17">
        <f t="shared" si="3"/>
        <v>4</v>
      </c>
      <c r="AA11" s="17">
        <f t="shared" si="3"/>
        <v>3</v>
      </c>
      <c r="AB11" s="17">
        <f t="shared" si="3"/>
        <v>8</v>
      </c>
      <c r="AC11" s="17">
        <f t="shared" si="3"/>
        <v>304</v>
      </c>
      <c r="AD11" s="17">
        <f t="shared" si="3"/>
        <v>0</v>
      </c>
      <c r="AE11" s="31">
        <f t="shared" si="3"/>
        <v>202</v>
      </c>
      <c r="AF11" s="31">
        <f t="shared" si="3"/>
        <v>506</v>
      </c>
    </row>
    <row r="12" spans="2:32" ht="23.1" customHeight="1" x14ac:dyDescent="0.25">
      <c r="B12" s="23" t="s">
        <v>39</v>
      </c>
      <c r="C12" s="50">
        <v>7</v>
      </c>
      <c r="D12" s="50">
        <v>0</v>
      </c>
      <c r="E12" s="50">
        <v>8</v>
      </c>
      <c r="F12" s="50">
        <v>5</v>
      </c>
      <c r="G12" s="50">
        <v>0</v>
      </c>
      <c r="H12" s="50">
        <v>1</v>
      </c>
      <c r="I12" s="50">
        <v>4</v>
      </c>
      <c r="J12" s="50">
        <v>1</v>
      </c>
      <c r="K12" s="50">
        <v>0</v>
      </c>
      <c r="L12" s="50">
        <v>1</v>
      </c>
      <c r="M12" s="50">
        <v>66</v>
      </c>
      <c r="N12" s="50">
        <v>0</v>
      </c>
      <c r="O12" s="15">
        <f t="shared" si="0"/>
        <v>27</v>
      </c>
      <c r="P12" s="15">
        <f t="shared" si="1"/>
        <v>93</v>
      </c>
      <c r="R12" s="1" t="s">
        <v>8</v>
      </c>
      <c r="S12" s="17">
        <f t="shared" ref="S12:AF12" si="4">SUM(C18:C21)</f>
        <v>48</v>
      </c>
      <c r="T12" s="17">
        <f t="shared" si="4"/>
        <v>0</v>
      </c>
      <c r="U12" s="17">
        <f t="shared" si="4"/>
        <v>37</v>
      </c>
      <c r="V12" s="17">
        <f t="shared" si="4"/>
        <v>46</v>
      </c>
      <c r="W12" s="17">
        <f t="shared" si="4"/>
        <v>1</v>
      </c>
      <c r="X12" s="17">
        <f t="shared" si="4"/>
        <v>4</v>
      </c>
      <c r="Y12" s="17">
        <f t="shared" si="4"/>
        <v>23</v>
      </c>
      <c r="Z12" s="17">
        <f t="shared" si="4"/>
        <v>2</v>
      </c>
      <c r="AA12" s="17">
        <f t="shared" si="4"/>
        <v>1</v>
      </c>
      <c r="AB12" s="17">
        <f t="shared" si="4"/>
        <v>3</v>
      </c>
      <c r="AC12" s="17">
        <f t="shared" si="4"/>
        <v>303</v>
      </c>
      <c r="AD12" s="17">
        <f t="shared" si="4"/>
        <v>0</v>
      </c>
      <c r="AE12" s="31">
        <f t="shared" si="4"/>
        <v>165</v>
      </c>
      <c r="AF12" s="31">
        <f t="shared" si="4"/>
        <v>468</v>
      </c>
    </row>
    <row r="13" spans="2:32" ht="23.1" customHeight="1" x14ac:dyDescent="0.25">
      <c r="B13" s="23" t="s">
        <v>40</v>
      </c>
      <c r="C13" s="50">
        <v>12</v>
      </c>
      <c r="D13" s="50">
        <v>0</v>
      </c>
      <c r="E13" s="50">
        <v>10</v>
      </c>
      <c r="F13" s="50">
        <v>8</v>
      </c>
      <c r="G13" s="50">
        <v>0</v>
      </c>
      <c r="H13" s="50">
        <v>0</v>
      </c>
      <c r="I13" s="50">
        <v>4</v>
      </c>
      <c r="J13" s="50">
        <v>2</v>
      </c>
      <c r="K13" s="50">
        <v>0</v>
      </c>
      <c r="L13" s="50">
        <v>7</v>
      </c>
      <c r="M13" s="50">
        <v>73</v>
      </c>
      <c r="N13" s="50">
        <v>0</v>
      </c>
      <c r="O13" s="15">
        <f t="shared" si="0"/>
        <v>43</v>
      </c>
      <c r="P13" s="15">
        <f t="shared" si="1"/>
        <v>116</v>
      </c>
      <c r="R13" s="1" t="s">
        <v>9</v>
      </c>
      <c r="S13" s="17">
        <f t="shared" ref="S13:AF13" si="5">SUM(C22:C25)</f>
        <v>47</v>
      </c>
      <c r="T13" s="17">
        <f t="shared" si="5"/>
        <v>0</v>
      </c>
      <c r="U13" s="17">
        <f t="shared" si="5"/>
        <v>65</v>
      </c>
      <c r="V13" s="17">
        <f t="shared" si="5"/>
        <v>47</v>
      </c>
      <c r="W13" s="17">
        <f t="shared" si="5"/>
        <v>1</v>
      </c>
      <c r="X13" s="17">
        <f t="shared" si="5"/>
        <v>3</v>
      </c>
      <c r="Y13" s="17">
        <f t="shared" si="5"/>
        <v>30</v>
      </c>
      <c r="Z13" s="17">
        <f t="shared" si="5"/>
        <v>1</v>
      </c>
      <c r="AA13" s="17">
        <f t="shared" si="5"/>
        <v>0</v>
      </c>
      <c r="AB13" s="17">
        <f t="shared" si="5"/>
        <v>2</v>
      </c>
      <c r="AC13" s="17">
        <f t="shared" si="5"/>
        <v>299</v>
      </c>
      <c r="AD13" s="17">
        <f t="shared" si="5"/>
        <v>0</v>
      </c>
      <c r="AE13" s="31">
        <f t="shared" si="5"/>
        <v>196</v>
      </c>
      <c r="AF13" s="31">
        <f t="shared" si="5"/>
        <v>495</v>
      </c>
    </row>
    <row r="14" spans="2:32" ht="23.1" customHeight="1" x14ac:dyDescent="0.25">
      <c r="B14" s="23" t="s">
        <v>41</v>
      </c>
      <c r="C14" s="50">
        <v>9</v>
      </c>
      <c r="D14" s="50">
        <v>0</v>
      </c>
      <c r="E14" s="50">
        <v>16</v>
      </c>
      <c r="F14" s="50">
        <v>6</v>
      </c>
      <c r="G14" s="50">
        <v>0</v>
      </c>
      <c r="H14" s="50">
        <v>0</v>
      </c>
      <c r="I14" s="50">
        <v>5</v>
      </c>
      <c r="J14" s="50">
        <v>2</v>
      </c>
      <c r="K14" s="50">
        <v>1</v>
      </c>
      <c r="L14" s="50">
        <v>3</v>
      </c>
      <c r="M14" s="50">
        <v>65</v>
      </c>
      <c r="N14" s="50">
        <v>0</v>
      </c>
      <c r="O14" s="15">
        <f t="shared" si="0"/>
        <v>42</v>
      </c>
      <c r="P14" s="15">
        <f t="shared" si="1"/>
        <v>107</v>
      </c>
      <c r="R14" s="1" t="s">
        <v>10</v>
      </c>
      <c r="S14" s="17">
        <f t="shared" ref="S14:AF14" si="6">SUM(C26:C29)</f>
        <v>47</v>
      </c>
      <c r="T14" s="17">
        <f t="shared" si="6"/>
        <v>0</v>
      </c>
      <c r="U14" s="17">
        <f t="shared" si="6"/>
        <v>64</v>
      </c>
      <c r="V14" s="17">
        <f t="shared" si="6"/>
        <v>64</v>
      </c>
      <c r="W14" s="17">
        <f t="shared" si="6"/>
        <v>2</v>
      </c>
      <c r="X14" s="17">
        <f t="shared" si="6"/>
        <v>3</v>
      </c>
      <c r="Y14" s="17">
        <f t="shared" si="6"/>
        <v>39</v>
      </c>
      <c r="Z14" s="17">
        <f t="shared" si="6"/>
        <v>3</v>
      </c>
      <c r="AA14" s="17">
        <f t="shared" si="6"/>
        <v>0</v>
      </c>
      <c r="AB14" s="17">
        <f t="shared" si="6"/>
        <v>2</v>
      </c>
      <c r="AC14" s="17">
        <f t="shared" si="6"/>
        <v>258</v>
      </c>
      <c r="AD14" s="17">
        <f t="shared" si="6"/>
        <v>0</v>
      </c>
      <c r="AE14" s="31">
        <f t="shared" si="6"/>
        <v>224</v>
      </c>
      <c r="AF14" s="31">
        <f t="shared" si="6"/>
        <v>482</v>
      </c>
    </row>
    <row r="15" spans="2:32" ht="23.1" customHeight="1" x14ac:dyDescent="0.25">
      <c r="B15" s="23" t="s">
        <v>42</v>
      </c>
      <c r="C15" s="50">
        <v>14</v>
      </c>
      <c r="D15" s="50">
        <v>0</v>
      </c>
      <c r="E15" s="50">
        <v>14</v>
      </c>
      <c r="F15" s="50">
        <v>14</v>
      </c>
      <c r="G15" s="50">
        <v>0</v>
      </c>
      <c r="H15" s="50">
        <v>2</v>
      </c>
      <c r="I15" s="50">
        <v>16</v>
      </c>
      <c r="J15" s="50">
        <v>0</v>
      </c>
      <c r="K15" s="50">
        <v>0</v>
      </c>
      <c r="L15" s="50">
        <v>4</v>
      </c>
      <c r="M15" s="50">
        <v>74</v>
      </c>
      <c r="N15" s="50">
        <v>0</v>
      </c>
      <c r="O15" s="15">
        <f t="shared" si="0"/>
        <v>64</v>
      </c>
      <c r="P15" s="15">
        <f t="shared" si="1"/>
        <v>138</v>
      </c>
      <c r="R15" s="1" t="s">
        <v>11</v>
      </c>
      <c r="S15" s="17">
        <f t="shared" ref="S15:AF15" si="7">SUM(C30:C33)</f>
        <v>48</v>
      </c>
      <c r="T15" s="17">
        <f t="shared" si="7"/>
        <v>0</v>
      </c>
      <c r="U15" s="17">
        <f t="shared" si="7"/>
        <v>80</v>
      </c>
      <c r="V15" s="17">
        <f t="shared" si="7"/>
        <v>65</v>
      </c>
      <c r="W15" s="17">
        <f t="shared" si="7"/>
        <v>3</v>
      </c>
      <c r="X15" s="17">
        <f t="shared" si="7"/>
        <v>3</v>
      </c>
      <c r="Y15" s="17">
        <f t="shared" si="7"/>
        <v>33</v>
      </c>
      <c r="Z15" s="17">
        <f t="shared" si="7"/>
        <v>4</v>
      </c>
      <c r="AA15" s="17">
        <f t="shared" si="7"/>
        <v>3</v>
      </c>
      <c r="AB15" s="17">
        <f t="shared" si="7"/>
        <v>6</v>
      </c>
      <c r="AC15" s="17">
        <f t="shared" si="7"/>
        <v>288</v>
      </c>
      <c r="AD15" s="17">
        <f t="shared" si="7"/>
        <v>0</v>
      </c>
      <c r="AE15" s="31">
        <f t="shared" si="7"/>
        <v>245</v>
      </c>
      <c r="AF15" s="31">
        <f t="shared" si="7"/>
        <v>533</v>
      </c>
    </row>
    <row r="16" spans="2:32" ht="23.1" customHeight="1" x14ac:dyDescent="0.25">
      <c r="B16" s="23" t="s">
        <v>43</v>
      </c>
      <c r="C16" s="50">
        <v>6</v>
      </c>
      <c r="D16" s="50">
        <v>0</v>
      </c>
      <c r="E16" s="50">
        <v>9</v>
      </c>
      <c r="F16" s="50">
        <v>13</v>
      </c>
      <c r="G16" s="50">
        <v>0</v>
      </c>
      <c r="H16" s="50">
        <v>1</v>
      </c>
      <c r="I16" s="50">
        <v>11</v>
      </c>
      <c r="J16" s="50">
        <v>2</v>
      </c>
      <c r="K16" s="50">
        <v>0</v>
      </c>
      <c r="L16" s="50">
        <v>0</v>
      </c>
      <c r="M16" s="50">
        <v>94</v>
      </c>
      <c r="N16" s="50">
        <v>0</v>
      </c>
      <c r="O16" s="15">
        <f t="shared" si="0"/>
        <v>42</v>
      </c>
      <c r="P16" s="15">
        <f t="shared" si="1"/>
        <v>136</v>
      </c>
      <c r="R16" s="1" t="s">
        <v>12</v>
      </c>
      <c r="S16" s="17">
        <f t="shared" ref="S16:AF16" si="8">SUM(C34:C37)</f>
        <v>38</v>
      </c>
      <c r="T16" s="17">
        <f t="shared" si="8"/>
        <v>0</v>
      </c>
      <c r="U16" s="17">
        <f t="shared" si="8"/>
        <v>100</v>
      </c>
      <c r="V16" s="17">
        <f t="shared" si="8"/>
        <v>70</v>
      </c>
      <c r="W16" s="17">
        <f t="shared" si="8"/>
        <v>1</v>
      </c>
      <c r="X16" s="17">
        <f t="shared" si="8"/>
        <v>7</v>
      </c>
      <c r="Y16" s="17">
        <f t="shared" si="8"/>
        <v>34</v>
      </c>
      <c r="Z16" s="17">
        <f t="shared" si="8"/>
        <v>3</v>
      </c>
      <c r="AA16" s="17">
        <f t="shared" si="8"/>
        <v>0</v>
      </c>
      <c r="AB16" s="17">
        <f t="shared" si="8"/>
        <v>9</v>
      </c>
      <c r="AC16" s="17">
        <f t="shared" si="8"/>
        <v>294</v>
      </c>
      <c r="AD16" s="17">
        <f t="shared" si="8"/>
        <v>1</v>
      </c>
      <c r="AE16" s="31">
        <f t="shared" si="8"/>
        <v>263</v>
      </c>
      <c r="AF16" s="31">
        <f t="shared" si="8"/>
        <v>557</v>
      </c>
    </row>
    <row r="17" spans="2:32" ht="23.1" customHeight="1" x14ac:dyDescent="0.25">
      <c r="B17" s="23" t="s">
        <v>44</v>
      </c>
      <c r="C17" s="50">
        <v>17</v>
      </c>
      <c r="D17" s="50">
        <v>0</v>
      </c>
      <c r="E17" s="50">
        <v>14</v>
      </c>
      <c r="F17" s="50">
        <v>14</v>
      </c>
      <c r="G17" s="50">
        <v>0</v>
      </c>
      <c r="H17" s="50">
        <v>0</v>
      </c>
      <c r="I17" s="50">
        <v>6</v>
      </c>
      <c r="J17" s="50">
        <v>0</v>
      </c>
      <c r="K17" s="50">
        <v>2</v>
      </c>
      <c r="L17" s="50">
        <v>1</v>
      </c>
      <c r="M17" s="50">
        <v>71</v>
      </c>
      <c r="N17" s="50">
        <v>0</v>
      </c>
      <c r="O17" s="15">
        <f t="shared" si="0"/>
        <v>54</v>
      </c>
      <c r="P17" s="15">
        <f t="shared" si="1"/>
        <v>125</v>
      </c>
      <c r="R17" s="1" t="s">
        <v>13</v>
      </c>
      <c r="S17" s="17">
        <f t="shared" ref="S17:AF17" si="9">SUM(C38:C41)</f>
        <v>27</v>
      </c>
      <c r="T17" s="17">
        <f t="shared" si="9"/>
        <v>0</v>
      </c>
      <c r="U17" s="17">
        <f t="shared" si="9"/>
        <v>79</v>
      </c>
      <c r="V17" s="17">
        <f t="shared" si="9"/>
        <v>76</v>
      </c>
      <c r="W17" s="17">
        <f t="shared" si="9"/>
        <v>3</v>
      </c>
      <c r="X17" s="17">
        <f t="shared" si="9"/>
        <v>8</v>
      </c>
      <c r="Y17" s="17">
        <f t="shared" si="9"/>
        <v>36</v>
      </c>
      <c r="Z17" s="17">
        <f t="shared" si="9"/>
        <v>4</v>
      </c>
      <c r="AA17" s="17">
        <f t="shared" si="9"/>
        <v>0</v>
      </c>
      <c r="AB17" s="17">
        <f t="shared" si="9"/>
        <v>16</v>
      </c>
      <c r="AC17" s="17">
        <f t="shared" si="9"/>
        <v>223</v>
      </c>
      <c r="AD17" s="17">
        <f t="shared" si="9"/>
        <v>0</v>
      </c>
      <c r="AE17" s="31">
        <f t="shared" si="9"/>
        <v>249</v>
      </c>
      <c r="AF17" s="31">
        <f t="shared" si="9"/>
        <v>472</v>
      </c>
    </row>
    <row r="18" spans="2:32" ht="23.1" customHeight="1" x14ac:dyDescent="0.25">
      <c r="B18" s="23" t="s">
        <v>45</v>
      </c>
      <c r="C18" s="50">
        <v>16</v>
      </c>
      <c r="D18" s="50">
        <v>0</v>
      </c>
      <c r="E18" s="50">
        <v>11</v>
      </c>
      <c r="F18" s="50">
        <v>9</v>
      </c>
      <c r="G18" s="50">
        <v>0</v>
      </c>
      <c r="H18" s="50">
        <v>1</v>
      </c>
      <c r="I18" s="50">
        <v>2</v>
      </c>
      <c r="J18" s="50">
        <v>1</v>
      </c>
      <c r="K18" s="50">
        <v>1</v>
      </c>
      <c r="L18" s="50">
        <v>0</v>
      </c>
      <c r="M18" s="50">
        <v>76</v>
      </c>
      <c r="N18" s="50">
        <v>0</v>
      </c>
      <c r="O18" s="15">
        <f t="shared" si="0"/>
        <v>41</v>
      </c>
      <c r="P18" s="15">
        <f t="shared" si="1"/>
        <v>117</v>
      </c>
      <c r="R18" s="1" t="s">
        <v>14</v>
      </c>
      <c r="S18" s="17">
        <f t="shared" ref="S18:AF18" si="10">SUM(C42:C45)</f>
        <v>38</v>
      </c>
      <c r="T18" s="17">
        <f t="shared" si="10"/>
        <v>0</v>
      </c>
      <c r="U18" s="17">
        <f t="shared" si="10"/>
        <v>76</v>
      </c>
      <c r="V18" s="17">
        <f t="shared" si="10"/>
        <v>70</v>
      </c>
      <c r="W18" s="17">
        <f t="shared" si="10"/>
        <v>3</v>
      </c>
      <c r="X18" s="17">
        <f t="shared" si="10"/>
        <v>9</v>
      </c>
      <c r="Y18" s="17">
        <f t="shared" si="10"/>
        <v>34</v>
      </c>
      <c r="Z18" s="17">
        <f t="shared" si="10"/>
        <v>3</v>
      </c>
      <c r="AA18" s="17">
        <f t="shared" si="10"/>
        <v>0</v>
      </c>
      <c r="AB18" s="17">
        <f t="shared" si="10"/>
        <v>4</v>
      </c>
      <c r="AC18" s="17">
        <f t="shared" si="10"/>
        <v>273</v>
      </c>
      <c r="AD18" s="17">
        <f t="shared" si="10"/>
        <v>0</v>
      </c>
      <c r="AE18" s="31">
        <f t="shared" si="10"/>
        <v>237</v>
      </c>
      <c r="AF18" s="31">
        <f t="shared" si="10"/>
        <v>510</v>
      </c>
    </row>
    <row r="19" spans="2:32" ht="23.1" customHeight="1" x14ac:dyDescent="0.25">
      <c r="B19" s="23" t="s">
        <v>46</v>
      </c>
      <c r="C19" s="50">
        <v>10</v>
      </c>
      <c r="D19" s="50">
        <v>0</v>
      </c>
      <c r="E19" s="50">
        <v>6</v>
      </c>
      <c r="F19" s="50">
        <v>20</v>
      </c>
      <c r="G19" s="50">
        <v>1</v>
      </c>
      <c r="H19" s="50">
        <v>1</v>
      </c>
      <c r="I19" s="50">
        <v>6</v>
      </c>
      <c r="J19" s="50">
        <v>0</v>
      </c>
      <c r="K19" s="50">
        <v>0</v>
      </c>
      <c r="L19" s="50">
        <v>0</v>
      </c>
      <c r="M19" s="50">
        <v>82</v>
      </c>
      <c r="N19" s="50">
        <v>0</v>
      </c>
      <c r="O19" s="15">
        <f t="shared" si="0"/>
        <v>44</v>
      </c>
      <c r="P19" s="15">
        <f t="shared" si="1"/>
        <v>126</v>
      </c>
      <c r="R19" s="1" t="s">
        <v>15</v>
      </c>
      <c r="S19" s="17">
        <f t="shared" ref="S19:AF19" si="11">SUM(C46:C49)</f>
        <v>48</v>
      </c>
      <c r="T19" s="17">
        <f t="shared" si="11"/>
        <v>0</v>
      </c>
      <c r="U19" s="17">
        <f t="shared" si="11"/>
        <v>79</v>
      </c>
      <c r="V19" s="17">
        <f t="shared" si="11"/>
        <v>70</v>
      </c>
      <c r="W19" s="17">
        <f t="shared" si="11"/>
        <v>0</v>
      </c>
      <c r="X19" s="17">
        <f t="shared" si="11"/>
        <v>3</v>
      </c>
      <c r="Y19" s="17">
        <f t="shared" si="11"/>
        <v>41</v>
      </c>
      <c r="Z19" s="17">
        <f t="shared" si="11"/>
        <v>5</v>
      </c>
      <c r="AA19" s="17">
        <f t="shared" si="11"/>
        <v>1</v>
      </c>
      <c r="AB19" s="17">
        <f t="shared" si="11"/>
        <v>8</v>
      </c>
      <c r="AC19" s="17">
        <f t="shared" si="11"/>
        <v>260</v>
      </c>
      <c r="AD19" s="17">
        <f t="shared" si="11"/>
        <v>0</v>
      </c>
      <c r="AE19" s="31">
        <f t="shared" si="11"/>
        <v>255</v>
      </c>
      <c r="AF19" s="31">
        <f t="shared" si="11"/>
        <v>515</v>
      </c>
    </row>
    <row r="20" spans="2:32" ht="23.1" customHeight="1" x14ac:dyDescent="0.25">
      <c r="B20" s="23" t="s">
        <v>47</v>
      </c>
      <c r="C20" s="50">
        <v>10</v>
      </c>
      <c r="D20" s="50">
        <v>0</v>
      </c>
      <c r="E20" s="50">
        <v>7</v>
      </c>
      <c r="F20" s="50">
        <v>6</v>
      </c>
      <c r="G20" s="50">
        <v>0</v>
      </c>
      <c r="H20" s="50">
        <v>0</v>
      </c>
      <c r="I20" s="50">
        <v>9</v>
      </c>
      <c r="J20" s="50">
        <v>0</v>
      </c>
      <c r="K20" s="50">
        <v>0</v>
      </c>
      <c r="L20" s="50">
        <v>1</v>
      </c>
      <c r="M20" s="50">
        <v>74</v>
      </c>
      <c r="N20" s="50">
        <v>0</v>
      </c>
      <c r="O20" s="15">
        <f t="shared" si="0"/>
        <v>33</v>
      </c>
      <c r="P20" s="15">
        <f t="shared" si="1"/>
        <v>107</v>
      </c>
      <c r="R20" s="1" t="s">
        <v>16</v>
      </c>
      <c r="S20" s="17">
        <f t="shared" ref="S20:AF20" si="12">SUM(C50:C53)</f>
        <v>37</v>
      </c>
      <c r="T20" s="17">
        <f t="shared" si="12"/>
        <v>0</v>
      </c>
      <c r="U20" s="17">
        <f t="shared" si="12"/>
        <v>73</v>
      </c>
      <c r="V20" s="17">
        <f t="shared" si="12"/>
        <v>67</v>
      </c>
      <c r="W20" s="17">
        <f t="shared" si="12"/>
        <v>1</v>
      </c>
      <c r="X20" s="17">
        <f t="shared" si="12"/>
        <v>6</v>
      </c>
      <c r="Y20" s="17">
        <f t="shared" si="12"/>
        <v>41</v>
      </c>
      <c r="Z20" s="17">
        <f t="shared" si="12"/>
        <v>4</v>
      </c>
      <c r="AA20" s="17">
        <f t="shared" si="12"/>
        <v>3</v>
      </c>
      <c r="AB20" s="17">
        <f t="shared" si="12"/>
        <v>12</v>
      </c>
      <c r="AC20" s="17">
        <f t="shared" si="12"/>
        <v>233</v>
      </c>
      <c r="AD20" s="17">
        <f t="shared" si="12"/>
        <v>0</v>
      </c>
      <c r="AE20" s="31">
        <f t="shared" si="12"/>
        <v>244</v>
      </c>
      <c r="AF20" s="31">
        <f t="shared" si="12"/>
        <v>477</v>
      </c>
    </row>
    <row r="21" spans="2:32" ht="23.1" customHeight="1" x14ac:dyDescent="0.25">
      <c r="B21" s="23" t="s">
        <v>48</v>
      </c>
      <c r="C21" s="50">
        <v>12</v>
      </c>
      <c r="D21" s="50">
        <v>0</v>
      </c>
      <c r="E21" s="50">
        <v>13</v>
      </c>
      <c r="F21" s="50">
        <v>11</v>
      </c>
      <c r="G21" s="50">
        <v>0</v>
      </c>
      <c r="H21" s="50">
        <v>2</v>
      </c>
      <c r="I21" s="50">
        <v>6</v>
      </c>
      <c r="J21" s="50">
        <v>1</v>
      </c>
      <c r="K21" s="50">
        <v>0</v>
      </c>
      <c r="L21" s="50">
        <v>2</v>
      </c>
      <c r="M21" s="50">
        <v>71</v>
      </c>
      <c r="N21" s="50">
        <v>0</v>
      </c>
      <c r="O21" s="15">
        <f t="shared" si="0"/>
        <v>47</v>
      </c>
      <c r="P21" s="15">
        <f t="shared" si="1"/>
        <v>118</v>
      </c>
      <c r="R21" s="36" t="s">
        <v>20</v>
      </c>
      <c r="S21" s="34">
        <f t="shared" ref="S21:AF21" si="13">SUM(C54:C57)</f>
        <v>47</v>
      </c>
      <c r="T21" s="17">
        <f t="shared" si="13"/>
        <v>0</v>
      </c>
      <c r="U21" s="17">
        <f t="shared" si="13"/>
        <v>53</v>
      </c>
      <c r="V21" s="17">
        <f t="shared" si="13"/>
        <v>58</v>
      </c>
      <c r="W21" s="17">
        <f t="shared" si="13"/>
        <v>0</v>
      </c>
      <c r="X21" s="17">
        <f t="shared" si="13"/>
        <v>3</v>
      </c>
      <c r="Y21" s="17">
        <f t="shared" si="13"/>
        <v>47</v>
      </c>
      <c r="Z21" s="17">
        <f t="shared" si="13"/>
        <v>4</v>
      </c>
      <c r="AA21" s="17">
        <f t="shared" si="13"/>
        <v>2</v>
      </c>
      <c r="AB21" s="17">
        <f t="shared" si="13"/>
        <v>7</v>
      </c>
      <c r="AC21" s="17">
        <f t="shared" si="13"/>
        <v>275</v>
      </c>
      <c r="AD21" s="17">
        <f t="shared" si="13"/>
        <v>1</v>
      </c>
      <c r="AE21" s="31">
        <f t="shared" si="13"/>
        <v>222</v>
      </c>
      <c r="AF21" s="31">
        <f t="shared" si="13"/>
        <v>497</v>
      </c>
    </row>
    <row r="22" spans="2:32" ht="23.1" customHeight="1" x14ac:dyDescent="0.25">
      <c r="B22" s="23" t="s">
        <v>49</v>
      </c>
      <c r="C22" s="50">
        <v>11</v>
      </c>
      <c r="D22" s="50">
        <v>0</v>
      </c>
      <c r="E22" s="50">
        <v>17</v>
      </c>
      <c r="F22" s="50">
        <v>19</v>
      </c>
      <c r="G22" s="50">
        <v>0</v>
      </c>
      <c r="H22" s="50">
        <v>1</v>
      </c>
      <c r="I22" s="50">
        <v>3</v>
      </c>
      <c r="J22" s="50">
        <v>0</v>
      </c>
      <c r="K22" s="50">
        <v>0</v>
      </c>
      <c r="L22" s="50">
        <v>0</v>
      </c>
      <c r="M22" s="50">
        <v>72</v>
      </c>
      <c r="N22" s="50">
        <v>0</v>
      </c>
      <c r="O22" s="15">
        <f t="shared" si="0"/>
        <v>51</v>
      </c>
      <c r="P22" s="15">
        <f t="shared" si="1"/>
        <v>123</v>
      </c>
      <c r="R22" s="38" t="s">
        <v>90</v>
      </c>
      <c r="S22" s="39">
        <f>MAX(S10:S12)</f>
        <v>48</v>
      </c>
      <c r="T22" s="39">
        <f t="shared" ref="T22:AF22" si="14">MAX(T10:T12)</f>
        <v>0</v>
      </c>
      <c r="U22" s="39">
        <f t="shared" si="14"/>
        <v>53</v>
      </c>
      <c r="V22" s="39">
        <f t="shared" si="14"/>
        <v>47</v>
      </c>
      <c r="W22" s="39">
        <f t="shared" si="14"/>
        <v>1</v>
      </c>
      <c r="X22" s="39">
        <f t="shared" si="14"/>
        <v>4</v>
      </c>
      <c r="Y22" s="39">
        <f t="shared" si="14"/>
        <v>38</v>
      </c>
      <c r="Z22" s="39">
        <f t="shared" si="14"/>
        <v>4</v>
      </c>
      <c r="AA22" s="39">
        <f t="shared" si="14"/>
        <v>3</v>
      </c>
      <c r="AB22" s="39">
        <f t="shared" si="14"/>
        <v>11</v>
      </c>
      <c r="AC22" s="39">
        <f t="shared" si="14"/>
        <v>304</v>
      </c>
      <c r="AD22" s="39">
        <f t="shared" si="14"/>
        <v>0</v>
      </c>
      <c r="AE22" s="40">
        <f t="shared" si="14"/>
        <v>202</v>
      </c>
      <c r="AF22" s="40">
        <f t="shared" si="14"/>
        <v>506</v>
      </c>
    </row>
    <row r="23" spans="2:32" ht="23.1" customHeight="1" x14ac:dyDescent="0.25">
      <c r="B23" s="23" t="s">
        <v>50</v>
      </c>
      <c r="C23" s="50">
        <v>17</v>
      </c>
      <c r="D23" s="50">
        <v>0</v>
      </c>
      <c r="E23" s="50">
        <v>17</v>
      </c>
      <c r="F23" s="50">
        <v>6</v>
      </c>
      <c r="G23" s="50">
        <v>0</v>
      </c>
      <c r="H23" s="50">
        <v>1</v>
      </c>
      <c r="I23" s="50">
        <v>10</v>
      </c>
      <c r="J23" s="50">
        <v>0</v>
      </c>
      <c r="K23" s="50">
        <v>0</v>
      </c>
      <c r="L23" s="50">
        <v>1</v>
      </c>
      <c r="M23" s="50">
        <v>78</v>
      </c>
      <c r="N23" s="50">
        <v>0</v>
      </c>
      <c r="O23" s="15">
        <f t="shared" si="0"/>
        <v>52</v>
      </c>
      <c r="P23" s="15">
        <f t="shared" si="1"/>
        <v>130</v>
      </c>
      <c r="R23" s="38" t="s">
        <v>91</v>
      </c>
      <c r="S23" s="39">
        <f>MAX(S13:S18)</f>
        <v>48</v>
      </c>
      <c r="T23" s="39">
        <f t="shared" ref="T23:AF23" si="15">MAX(T13:T18)</f>
        <v>0</v>
      </c>
      <c r="U23" s="39">
        <f t="shared" si="15"/>
        <v>100</v>
      </c>
      <c r="V23" s="39">
        <f t="shared" si="15"/>
        <v>76</v>
      </c>
      <c r="W23" s="39">
        <f t="shared" si="15"/>
        <v>3</v>
      </c>
      <c r="X23" s="39">
        <f t="shared" si="15"/>
        <v>9</v>
      </c>
      <c r="Y23" s="39">
        <f t="shared" si="15"/>
        <v>39</v>
      </c>
      <c r="Z23" s="39">
        <f t="shared" si="15"/>
        <v>4</v>
      </c>
      <c r="AA23" s="39">
        <f t="shared" si="15"/>
        <v>3</v>
      </c>
      <c r="AB23" s="39">
        <f t="shared" si="15"/>
        <v>16</v>
      </c>
      <c r="AC23" s="39">
        <f t="shared" si="15"/>
        <v>299</v>
      </c>
      <c r="AD23" s="39">
        <f t="shared" si="15"/>
        <v>1</v>
      </c>
      <c r="AE23" s="40">
        <f t="shared" si="15"/>
        <v>263</v>
      </c>
      <c r="AF23" s="40">
        <f t="shared" si="15"/>
        <v>557</v>
      </c>
    </row>
    <row r="24" spans="2:32" ht="23.1" customHeight="1" x14ac:dyDescent="0.25">
      <c r="B24" s="23" t="s">
        <v>51</v>
      </c>
      <c r="C24" s="50">
        <v>11</v>
      </c>
      <c r="D24" s="50">
        <v>0</v>
      </c>
      <c r="E24" s="50">
        <v>13</v>
      </c>
      <c r="F24" s="50">
        <v>17</v>
      </c>
      <c r="G24" s="50">
        <v>1</v>
      </c>
      <c r="H24" s="50">
        <v>1</v>
      </c>
      <c r="I24" s="50">
        <v>7</v>
      </c>
      <c r="J24" s="50">
        <v>1</v>
      </c>
      <c r="K24" s="50">
        <v>0</v>
      </c>
      <c r="L24" s="50">
        <v>1</v>
      </c>
      <c r="M24" s="50">
        <v>71</v>
      </c>
      <c r="N24" s="50">
        <v>0</v>
      </c>
      <c r="O24" s="15">
        <f t="shared" si="0"/>
        <v>52</v>
      </c>
      <c r="P24" s="15">
        <f t="shared" si="1"/>
        <v>123</v>
      </c>
      <c r="R24" s="38" t="s">
        <v>92</v>
      </c>
      <c r="S24" s="39">
        <f>MAX(S19:S21)</f>
        <v>48</v>
      </c>
      <c r="T24" s="39">
        <f t="shared" ref="T24:AF24" si="16">MAX(T19:T21)</f>
        <v>0</v>
      </c>
      <c r="U24" s="39">
        <f t="shared" si="16"/>
        <v>79</v>
      </c>
      <c r="V24" s="39">
        <f t="shared" si="16"/>
        <v>70</v>
      </c>
      <c r="W24" s="39">
        <f t="shared" si="16"/>
        <v>1</v>
      </c>
      <c r="X24" s="39">
        <f t="shared" si="16"/>
        <v>6</v>
      </c>
      <c r="Y24" s="39">
        <f t="shared" si="16"/>
        <v>47</v>
      </c>
      <c r="Z24" s="39">
        <f t="shared" si="16"/>
        <v>5</v>
      </c>
      <c r="AA24" s="39">
        <f t="shared" si="16"/>
        <v>3</v>
      </c>
      <c r="AB24" s="39">
        <f t="shared" si="16"/>
        <v>12</v>
      </c>
      <c r="AC24" s="39">
        <f t="shared" si="16"/>
        <v>275</v>
      </c>
      <c r="AD24" s="39">
        <f t="shared" si="16"/>
        <v>1</v>
      </c>
      <c r="AE24" s="40">
        <f t="shared" si="16"/>
        <v>255</v>
      </c>
      <c r="AF24" s="40">
        <f t="shared" si="16"/>
        <v>515</v>
      </c>
    </row>
    <row r="25" spans="2:32" ht="23.1" customHeight="1" x14ac:dyDescent="0.25">
      <c r="B25" s="23" t="s">
        <v>52</v>
      </c>
      <c r="C25" s="50">
        <v>8</v>
      </c>
      <c r="D25" s="50">
        <v>0</v>
      </c>
      <c r="E25" s="50">
        <v>18</v>
      </c>
      <c r="F25" s="50">
        <v>5</v>
      </c>
      <c r="G25" s="50">
        <v>0</v>
      </c>
      <c r="H25" s="50">
        <v>0</v>
      </c>
      <c r="I25" s="50">
        <v>10</v>
      </c>
      <c r="J25" s="50">
        <v>0</v>
      </c>
      <c r="K25" s="50">
        <v>0</v>
      </c>
      <c r="L25" s="50">
        <v>0</v>
      </c>
      <c r="M25" s="50">
        <v>78</v>
      </c>
      <c r="N25" s="50">
        <v>0</v>
      </c>
      <c r="O25" s="15">
        <f t="shared" si="0"/>
        <v>41</v>
      </c>
      <c r="P25" s="15">
        <f t="shared" si="1"/>
        <v>119</v>
      </c>
      <c r="R25" s="37" t="s">
        <v>85</v>
      </c>
      <c r="S25" s="35">
        <f t="shared" ref="S25:AF25" si="17">SUM(S10:S12)</f>
        <v>127</v>
      </c>
      <c r="T25" s="16">
        <f t="shared" si="17"/>
        <v>0</v>
      </c>
      <c r="U25" s="16">
        <f t="shared" si="17"/>
        <v>118</v>
      </c>
      <c r="V25" s="16">
        <f t="shared" si="17"/>
        <v>116</v>
      </c>
      <c r="W25" s="16">
        <f t="shared" si="17"/>
        <v>2</v>
      </c>
      <c r="X25" s="16">
        <f t="shared" si="17"/>
        <v>9</v>
      </c>
      <c r="Y25" s="16">
        <f t="shared" si="17"/>
        <v>87</v>
      </c>
      <c r="Z25" s="16">
        <f t="shared" si="17"/>
        <v>10</v>
      </c>
      <c r="AA25" s="16">
        <f t="shared" si="17"/>
        <v>4</v>
      </c>
      <c r="AB25" s="16">
        <f t="shared" si="17"/>
        <v>22</v>
      </c>
      <c r="AC25" s="16">
        <f t="shared" si="17"/>
        <v>849</v>
      </c>
      <c r="AD25" s="16">
        <f t="shared" si="17"/>
        <v>0</v>
      </c>
      <c r="AE25" s="32">
        <f t="shared" si="17"/>
        <v>495</v>
      </c>
      <c r="AF25" s="32">
        <f t="shared" si="17"/>
        <v>1344</v>
      </c>
    </row>
    <row r="26" spans="2:32" ht="23.1" customHeight="1" x14ac:dyDescent="0.25">
      <c r="B26" s="23" t="s">
        <v>53</v>
      </c>
      <c r="C26" s="50">
        <v>12</v>
      </c>
      <c r="D26" s="50">
        <v>0</v>
      </c>
      <c r="E26" s="50">
        <v>15</v>
      </c>
      <c r="F26" s="50">
        <v>21</v>
      </c>
      <c r="G26" s="50">
        <v>1</v>
      </c>
      <c r="H26" s="50">
        <v>0</v>
      </c>
      <c r="I26" s="50">
        <v>12</v>
      </c>
      <c r="J26" s="50">
        <v>0</v>
      </c>
      <c r="K26" s="50">
        <v>0</v>
      </c>
      <c r="L26" s="50">
        <v>0</v>
      </c>
      <c r="M26" s="50">
        <v>70</v>
      </c>
      <c r="N26" s="50">
        <v>0</v>
      </c>
      <c r="O26" s="15">
        <f t="shared" si="0"/>
        <v>61</v>
      </c>
      <c r="P26" s="15">
        <f t="shared" si="1"/>
        <v>131</v>
      </c>
      <c r="R26" s="28" t="s">
        <v>86</v>
      </c>
      <c r="S26" s="16">
        <f t="shared" ref="S26:AF26" si="18">SUM(S13:S18)</f>
        <v>245</v>
      </c>
      <c r="T26" s="16">
        <f t="shared" si="18"/>
        <v>0</v>
      </c>
      <c r="U26" s="16">
        <f t="shared" si="18"/>
        <v>464</v>
      </c>
      <c r="V26" s="16">
        <f t="shared" si="18"/>
        <v>392</v>
      </c>
      <c r="W26" s="16">
        <f t="shared" si="18"/>
        <v>13</v>
      </c>
      <c r="X26" s="16">
        <f t="shared" si="18"/>
        <v>33</v>
      </c>
      <c r="Y26" s="16">
        <f t="shared" si="18"/>
        <v>206</v>
      </c>
      <c r="Z26" s="16">
        <f t="shared" si="18"/>
        <v>18</v>
      </c>
      <c r="AA26" s="16">
        <f t="shared" si="18"/>
        <v>3</v>
      </c>
      <c r="AB26" s="16">
        <f t="shared" si="18"/>
        <v>39</v>
      </c>
      <c r="AC26" s="16">
        <f t="shared" si="18"/>
        <v>1635</v>
      </c>
      <c r="AD26" s="16">
        <f t="shared" si="18"/>
        <v>1</v>
      </c>
      <c r="AE26" s="32">
        <f t="shared" si="18"/>
        <v>1414</v>
      </c>
      <c r="AF26" s="32">
        <f t="shared" si="18"/>
        <v>3049</v>
      </c>
    </row>
    <row r="27" spans="2:32" ht="23.1" customHeight="1" x14ac:dyDescent="0.25">
      <c r="B27" s="23" t="s">
        <v>54</v>
      </c>
      <c r="C27" s="50">
        <v>7</v>
      </c>
      <c r="D27" s="50">
        <v>0</v>
      </c>
      <c r="E27" s="50">
        <v>16</v>
      </c>
      <c r="F27" s="50">
        <v>15</v>
      </c>
      <c r="G27" s="50">
        <v>0</v>
      </c>
      <c r="H27" s="50">
        <v>3</v>
      </c>
      <c r="I27" s="50">
        <v>6</v>
      </c>
      <c r="J27" s="50">
        <v>1</v>
      </c>
      <c r="K27" s="50">
        <v>0</v>
      </c>
      <c r="L27" s="50">
        <v>0</v>
      </c>
      <c r="M27" s="50">
        <v>63</v>
      </c>
      <c r="N27" s="50">
        <v>0</v>
      </c>
      <c r="O27" s="15">
        <f t="shared" si="0"/>
        <v>48</v>
      </c>
      <c r="P27" s="15">
        <f t="shared" si="1"/>
        <v>111</v>
      </c>
      <c r="R27" s="29" t="s">
        <v>87</v>
      </c>
      <c r="S27" s="16">
        <f t="shared" ref="S27:AF27" si="19">SUM(S19:S21)</f>
        <v>132</v>
      </c>
      <c r="T27" s="16">
        <f t="shared" si="19"/>
        <v>0</v>
      </c>
      <c r="U27" s="16">
        <f t="shared" si="19"/>
        <v>205</v>
      </c>
      <c r="V27" s="16">
        <f t="shared" si="19"/>
        <v>195</v>
      </c>
      <c r="W27" s="16">
        <f t="shared" si="19"/>
        <v>1</v>
      </c>
      <c r="X27" s="16">
        <f t="shared" si="19"/>
        <v>12</v>
      </c>
      <c r="Y27" s="16">
        <f t="shared" si="19"/>
        <v>129</v>
      </c>
      <c r="Z27" s="16">
        <f t="shared" si="19"/>
        <v>13</v>
      </c>
      <c r="AA27" s="16">
        <f t="shared" si="19"/>
        <v>6</v>
      </c>
      <c r="AB27" s="16">
        <f t="shared" si="19"/>
        <v>27</v>
      </c>
      <c r="AC27" s="16">
        <f t="shared" si="19"/>
        <v>768</v>
      </c>
      <c r="AD27" s="16">
        <f t="shared" si="19"/>
        <v>1</v>
      </c>
      <c r="AE27" s="32">
        <f t="shared" si="19"/>
        <v>721</v>
      </c>
      <c r="AF27" s="32">
        <f t="shared" si="19"/>
        <v>1489</v>
      </c>
    </row>
    <row r="28" spans="2:32" ht="23.1" customHeight="1" x14ac:dyDescent="0.25">
      <c r="B28" s="23" t="s">
        <v>55</v>
      </c>
      <c r="C28" s="50">
        <v>14</v>
      </c>
      <c r="D28" s="50">
        <v>0</v>
      </c>
      <c r="E28" s="50">
        <v>14</v>
      </c>
      <c r="F28" s="50">
        <v>8</v>
      </c>
      <c r="G28" s="50">
        <v>1</v>
      </c>
      <c r="H28" s="50">
        <v>0</v>
      </c>
      <c r="I28" s="50">
        <v>11</v>
      </c>
      <c r="J28" s="50">
        <v>1</v>
      </c>
      <c r="K28" s="50">
        <v>0</v>
      </c>
      <c r="L28" s="50">
        <v>1</v>
      </c>
      <c r="M28" s="50">
        <v>67</v>
      </c>
      <c r="N28" s="50">
        <v>0</v>
      </c>
      <c r="O28" s="15">
        <f t="shared" si="0"/>
        <v>50</v>
      </c>
      <c r="P28" s="15">
        <f t="shared" si="1"/>
        <v>117</v>
      </c>
      <c r="R28" s="5" t="s">
        <v>17</v>
      </c>
      <c r="S28" s="16">
        <f t="shared" ref="S28:AF28" si="20">SUM(S10:S21)</f>
        <v>504</v>
      </c>
      <c r="T28" s="16">
        <f t="shared" si="20"/>
        <v>0</v>
      </c>
      <c r="U28" s="16">
        <f t="shared" si="20"/>
        <v>787</v>
      </c>
      <c r="V28" s="16">
        <f t="shared" si="20"/>
        <v>703</v>
      </c>
      <c r="W28" s="16">
        <f t="shared" si="20"/>
        <v>16</v>
      </c>
      <c r="X28" s="16">
        <f t="shared" si="20"/>
        <v>54</v>
      </c>
      <c r="Y28" s="16">
        <f t="shared" si="20"/>
        <v>422</v>
      </c>
      <c r="Z28" s="16">
        <f t="shared" si="20"/>
        <v>41</v>
      </c>
      <c r="AA28" s="16">
        <f t="shared" si="20"/>
        <v>13</v>
      </c>
      <c r="AB28" s="16">
        <f t="shared" si="20"/>
        <v>88</v>
      </c>
      <c r="AC28" s="16">
        <f t="shared" si="20"/>
        <v>3252</v>
      </c>
      <c r="AD28" s="16">
        <f t="shared" si="20"/>
        <v>2</v>
      </c>
      <c r="AE28" s="32">
        <f t="shared" si="20"/>
        <v>2630</v>
      </c>
      <c r="AF28" s="32">
        <f t="shared" si="20"/>
        <v>5882</v>
      </c>
    </row>
    <row r="29" spans="2:32" ht="23.1" customHeight="1" x14ac:dyDescent="0.25">
      <c r="B29" s="23" t="s">
        <v>56</v>
      </c>
      <c r="C29" s="50">
        <v>14</v>
      </c>
      <c r="D29" s="50">
        <v>0</v>
      </c>
      <c r="E29" s="50">
        <v>19</v>
      </c>
      <c r="F29" s="50">
        <v>20</v>
      </c>
      <c r="G29" s="50">
        <v>0</v>
      </c>
      <c r="H29" s="50">
        <v>0</v>
      </c>
      <c r="I29" s="50">
        <v>10</v>
      </c>
      <c r="J29" s="50">
        <v>1</v>
      </c>
      <c r="K29" s="50">
        <v>0</v>
      </c>
      <c r="L29" s="50">
        <v>1</v>
      </c>
      <c r="M29" s="50">
        <v>58</v>
      </c>
      <c r="N29" s="50">
        <v>0</v>
      </c>
      <c r="O29" s="15">
        <f t="shared" si="0"/>
        <v>65</v>
      </c>
      <c r="P29" s="15">
        <f t="shared" si="1"/>
        <v>123</v>
      </c>
      <c r="R29"/>
      <c r="S29" s="20"/>
      <c r="T29" s="19"/>
    </row>
    <row r="30" spans="2:32" ht="23.1" customHeight="1" x14ac:dyDescent="0.25">
      <c r="B30" s="23" t="s">
        <v>57</v>
      </c>
      <c r="C30" s="50">
        <v>8</v>
      </c>
      <c r="D30" s="50">
        <v>0</v>
      </c>
      <c r="E30" s="50">
        <v>11</v>
      </c>
      <c r="F30" s="50">
        <v>8</v>
      </c>
      <c r="G30" s="50">
        <v>1</v>
      </c>
      <c r="H30" s="50">
        <v>0</v>
      </c>
      <c r="I30" s="50">
        <v>5</v>
      </c>
      <c r="J30" s="50">
        <v>1</v>
      </c>
      <c r="K30" s="50">
        <v>1</v>
      </c>
      <c r="L30" s="50">
        <v>1</v>
      </c>
      <c r="M30" s="50">
        <v>81</v>
      </c>
      <c r="N30" s="50">
        <v>0</v>
      </c>
      <c r="O30" s="15">
        <f t="shared" si="0"/>
        <v>36</v>
      </c>
      <c r="P30" s="15">
        <f t="shared" si="1"/>
        <v>117</v>
      </c>
    </row>
    <row r="31" spans="2:32" ht="23.1" customHeight="1" x14ac:dyDescent="0.25">
      <c r="B31" s="24" t="s">
        <v>58</v>
      </c>
      <c r="C31" s="50">
        <v>13</v>
      </c>
      <c r="D31" s="50">
        <v>0</v>
      </c>
      <c r="E31" s="50">
        <v>19</v>
      </c>
      <c r="F31" s="50">
        <v>20</v>
      </c>
      <c r="G31" s="50">
        <v>0</v>
      </c>
      <c r="H31" s="50">
        <v>1</v>
      </c>
      <c r="I31" s="50">
        <v>12</v>
      </c>
      <c r="J31" s="50">
        <v>0</v>
      </c>
      <c r="K31" s="50">
        <v>1</v>
      </c>
      <c r="L31" s="50">
        <v>3</v>
      </c>
      <c r="M31" s="50">
        <v>68</v>
      </c>
      <c r="N31" s="50">
        <v>0</v>
      </c>
      <c r="O31" s="15">
        <f t="shared" si="0"/>
        <v>69</v>
      </c>
      <c r="P31" s="15">
        <f t="shared" si="1"/>
        <v>137</v>
      </c>
    </row>
    <row r="32" spans="2:32" ht="23.1" customHeight="1" x14ac:dyDescent="0.25">
      <c r="B32" s="24" t="s">
        <v>59</v>
      </c>
      <c r="C32" s="50">
        <v>16</v>
      </c>
      <c r="D32" s="50">
        <v>0</v>
      </c>
      <c r="E32" s="50">
        <v>27</v>
      </c>
      <c r="F32" s="50">
        <v>17</v>
      </c>
      <c r="G32" s="50">
        <v>1</v>
      </c>
      <c r="H32" s="50">
        <v>1</v>
      </c>
      <c r="I32" s="50">
        <v>8</v>
      </c>
      <c r="J32" s="50">
        <v>2</v>
      </c>
      <c r="K32" s="50">
        <v>1</v>
      </c>
      <c r="L32" s="50">
        <v>1</v>
      </c>
      <c r="M32" s="50">
        <v>72</v>
      </c>
      <c r="N32" s="50">
        <v>0</v>
      </c>
      <c r="O32" s="15">
        <f t="shared" si="0"/>
        <v>74</v>
      </c>
      <c r="P32" s="15">
        <f t="shared" si="1"/>
        <v>146</v>
      </c>
    </row>
    <row r="33" spans="2:20" ht="23.1" customHeight="1" x14ac:dyDescent="0.25">
      <c r="B33" s="23" t="s">
        <v>60</v>
      </c>
      <c r="C33" s="50">
        <v>11</v>
      </c>
      <c r="D33" s="50">
        <v>0</v>
      </c>
      <c r="E33" s="50">
        <v>23</v>
      </c>
      <c r="F33" s="50">
        <v>20</v>
      </c>
      <c r="G33" s="50">
        <v>1</v>
      </c>
      <c r="H33" s="50">
        <v>1</v>
      </c>
      <c r="I33" s="50">
        <v>8</v>
      </c>
      <c r="J33" s="50">
        <v>1</v>
      </c>
      <c r="K33" s="50">
        <v>0</v>
      </c>
      <c r="L33" s="50">
        <v>1</v>
      </c>
      <c r="M33" s="50">
        <v>67</v>
      </c>
      <c r="N33" s="50">
        <v>0</v>
      </c>
      <c r="O33" s="15">
        <f t="shared" si="0"/>
        <v>66</v>
      </c>
      <c r="P33" s="15">
        <f t="shared" si="1"/>
        <v>133</v>
      </c>
    </row>
    <row r="34" spans="2:20" ht="23.1" customHeight="1" x14ac:dyDescent="0.25">
      <c r="B34" s="24" t="s">
        <v>61</v>
      </c>
      <c r="C34" s="50">
        <v>13</v>
      </c>
      <c r="D34" s="50">
        <v>0</v>
      </c>
      <c r="E34" s="50">
        <v>26</v>
      </c>
      <c r="F34" s="50">
        <v>13</v>
      </c>
      <c r="G34" s="50">
        <v>0</v>
      </c>
      <c r="H34" s="50">
        <v>3</v>
      </c>
      <c r="I34" s="50">
        <v>7</v>
      </c>
      <c r="J34" s="50">
        <v>0</v>
      </c>
      <c r="K34" s="50">
        <v>0</v>
      </c>
      <c r="L34" s="50">
        <v>0</v>
      </c>
      <c r="M34" s="50">
        <v>70</v>
      </c>
      <c r="N34" s="50">
        <v>0</v>
      </c>
      <c r="O34" s="15">
        <f t="shared" si="0"/>
        <v>62</v>
      </c>
      <c r="P34" s="15">
        <f t="shared" si="1"/>
        <v>132</v>
      </c>
    </row>
    <row r="35" spans="2:20" ht="23.1" customHeight="1" x14ac:dyDescent="0.25">
      <c r="B35" s="24" t="s">
        <v>62</v>
      </c>
      <c r="C35" s="50">
        <v>13</v>
      </c>
      <c r="D35" s="50">
        <v>0</v>
      </c>
      <c r="E35" s="50">
        <v>31</v>
      </c>
      <c r="F35" s="50">
        <v>27</v>
      </c>
      <c r="G35" s="50">
        <v>0</v>
      </c>
      <c r="H35" s="50">
        <v>2</v>
      </c>
      <c r="I35" s="50">
        <v>6</v>
      </c>
      <c r="J35" s="50">
        <v>0</v>
      </c>
      <c r="K35" s="50">
        <v>0</v>
      </c>
      <c r="L35" s="50">
        <v>4</v>
      </c>
      <c r="M35" s="50">
        <v>88</v>
      </c>
      <c r="N35" s="50">
        <v>0</v>
      </c>
      <c r="O35" s="15">
        <f t="shared" si="0"/>
        <v>83</v>
      </c>
      <c r="P35" s="15">
        <f t="shared" si="1"/>
        <v>171</v>
      </c>
    </row>
    <row r="36" spans="2:20" ht="23.1" customHeight="1" x14ac:dyDescent="0.25">
      <c r="B36" s="24" t="s">
        <v>63</v>
      </c>
      <c r="C36" s="50">
        <v>9</v>
      </c>
      <c r="D36" s="50">
        <v>0</v>
      </c>
      <c r="E36" s="50">
        <v>26</v>
      </c>
      <c r="F36" s="50">
        <v>17</v>
      </c>
      <c r="G36" s="50">
        <v>1</v>
      </c>
      <c r="H36" s="50">
        <v>1</v>
      </c>
      <c r="I36" s="50">
        <v>9</v>
      </c>
      <c r="J36" s="50">
        <v>1</v>
      </c>
      <c r="K36" s="50">
        <v>0</v>
      </c>
      <c r="L36" s="50">
        <v>3</v>
      </c>
      <c r="M36" s="50">
        <v>63</v>
      </c>
      <c r="N36" s="50">
        <v>0</v>
      </c>
      <c r="O36" s="15">
        <f t="shared" si="0"/>
        <v>67</v>
      </c>
      <c r="P36" s="15">
        <f t="shared" si="1"/>
        <v>130</v>
      </c>
    </row>
    <row r="37" spans="2:20" ht="23.1" customHeight="1" x14ac:dyDescent="0.25">
      <c r="B37" s="23" t="s">
        <v>64</v>
      </c>
      <c r="C37" s="50">
        <v>3</v>
      </c>
      <c r="D37" s="50">
        <v>0</v>
      </c>
      <c r="E37" s="50">
        <v>17</v>
      </c>
      <c r="F37" s="50">
        <v>13</v>
      </c>
      <c r="G37" s="50">
        <v>0</v>
      </c>
      <c r="H37" s="50">
        <v>1</v>
      </c>
      <c r="I37" s="50">
        <v>12</v>
      </c>
      <c r="J37" s="50">
        <v>2</v>
      </c>
      <c r="K37" s="50">
        <v>0</v>
      </c>
      <c r="L37" s="50">
        <v>2</v>
      </c>
      <c r="M37" s="50">
        <v>73</v>
      </c>
      <c r="N37" s="50">
        <v>1</v>
      </c>
      <c r="O37" s="15">
        <f t="shared" si="0"/>
        <v>51</v>
      </c>
      <c r="P37" s="15">
        <f t="shared" si="1"/>
        <v>124</v>
      </c>
    </row>
    <row r="38" spans="2:20" ht="23.1" customHeight="1" x14ac:dyDescent="0.25">
      <c r="B38" s="24" t="s">
        <v>65</v>
      </c>
      <c r="C38" s="50">
        <v>10</v>
      </c>
      <c r="D38" s="50">
        <v>0</v>
      </c>
      <c r="E38" s="50">
        <v>15</v>
      </c>
      <c r="F38" s="50">
        <v>24</v>
      </c>
      <c r="G38" s="50">
        <v>0</v>
      </c>
      <c r="H38" s="50">
        <v>4</v>
      </c>
      <c r="I38" s="50">
        <v>9</v>
      </c>
      <c r="J38" s="50">
        <v>2</v>
      </c>
      <c r="K38" s="50">
        <v>0</v>
      </c>
      <c r="L38" s="50">
        <v>4</v>
      </c>
      <c r="M38" s="50">
        <v>54</v>
      </c>
      <c r="N38" s="50">
        <v>0</v>
      </c>
      <c r="O38" s="15">
        <f t="shared" si="0"/>
        <v>68</v>
      </c>
      <c r="P38" s="15">
        <f t="shared" si="1"/>
        <v>122</v>
      </c>
    </row>
    <row r="39" spans="2:20" ht="23.1" customHeight="1" x14ac:dyDescent="0.25">
      <c r="B39" s="24" t="s">
        <v>66</v>
      </c>
      <c r="C39" s="50">
        <v>6</v>
      </c>
      <c r="D39" s="50">
        <v>0</v>
      </c>
      <c r="E39" s="50">
        <v>22</v>
      </c>
      <c r="F39" s="50">
        <v>17</v>
      </c>
      <c r="G39" s="50">
        <v>0</v>
      </c>
      <c r="H39" s="50">
        <v>1</v>
      </c>
      <c r="I39" s="50">
        <v>6</v>
      </c>
      <c r="J39" s="50">
        <v>0</v>
      </c>
      <c r="K39" s="50">
        <v>0</v>
      </c>
      <c r="L39" s="50">
        <v>4</v>
      </c>
      <c r="M39" s="50">
        <v>45</v>
      </c>
      <c r="N39" s="50">
        <v>0</v>
      </c>
      <c r="O39" s="15">
        <f t="shared" si="0"/>
        <v>56</v>
      </c>
      <c r="P39" s="15">
        <f t="shared" si="1"/>
        <v>101</v>
      </c>
    </row>
    <row r="40" spans="2:20" ht="23.1" customHeight="1" x14ac:dyDescent="0.25">
      <c r="B40" s="24" t="s">
        <v>67</v>
      </c>
      <c r="C40" s="50">
        <v>5</v>
      </c>
      <c r="D40" s="50">
        <v>0</v>
      </c>
      <c r="E40" s="50">
        <v>24</v>
      </c>
      <c r="F40" s="50">
        <v>16</v>
      </c>
      <c r="G40" s="50">
        <v>0</v>
      </c>
      <c r="H40" s="50">
        <v>2</v>
      </c>
      <c r="I40" s="50">
        <v>11</v>
      </c>
      <c r="J40" s="50">
        <v>0</v>
      </c>
      <c r="K40" s="50">
        <v>0</v>
      </c>
      <c r="L40" s="50">
        <v>5</v>
      </c>
      <c r="M40" s="50">
        <v>66</v>
      </c>
      <c r="N40" s="50">
        <v>0</v>
      </c>
      <c r="O40" s="15">
        <f t="shared" si="0"/>
        <v>63</v>
      </c>
      <c r="P40" s="15">
        <f t="shared" si="1"/>
        <v>129</v>
      </c>
    </row>
    <row r="41" spans="2:20" ht="23.1" customHeight="1" x14ac:dyDescent="0.25">
      <c r="B41" s="23" t="s">
        <v>68</v>
      </c>
      <c r="C41" s="50">
        <v>6</v>
      </c>
      <c r="D41" s="50">
        <v>0</v>
      </c>
      <c r="E41" s="50">
        <v>18</v>
      </c>
      <c r="F41" s="50">
        <v>19</v>
      </c>
      <c r="G41" s="50">
        <v>3</v>
      </c>
      <c r="H41" s="50">
        <v>1</v>
      </c>
      <c r="I41" s="50">
        <v>10</v>
      </c>
      <c r="J41" s="50">
        <v>2</v>
      </c>
      <c r="K41" s="50">
        <v>0</v>
      </c>
      <c r="L41" s="50">
        <v>3</v>
      </c>
      <c r="M41" s="50">
        <v>58</v>
      </c>
      <c r="N41" s="50">
        <v>0</v>
      </c>
      <c r="O41" s="15">
        <f t="shared" si="0"/>
        <v>62</v>
      </c>
      <c r="P41" s="15">
        <f t="shared" si="1"/>
        <v>120</v>
      </c>
    </row>
    <row r="42" spans="2:20" ht="23.1" customHeight="1" x14ac:dyDescent="0.25">
      <c r="B42" s="24" t="s">
        <v>69</v>
      </c>
      <c r="C42" s="50">
        <v>10</v>
      </c>
      <c r="D42" s="50">
        <v>0</v>
      </c>
      <c r="E42" s="50">
        <v>19</v>
      </c>
      <c r="F42" s="50">
        <v>22</v>
      </c>
      <c r="G42" s="50">
        <v>0</v>
      </c>
      <c r="H42" s="50">
        <v>3</v>
      </c>
      <c r="I42" s="50">
        <v>7</v>
      </c>
      <c r="J42" s="50">
        <v>0</v>
      </c>
      <c r="K42" s="50">
        <v>0</v>
      </c>
      <c r="L42" s="50">
        <v>0</v>
      </c>
      <c r="M42" s="50">
        <v>84</v>
      </c>
      <c r="N42" s="50">
        <v>0</v>
      </c>
      <c r="O42" s="15">
        <f t="shared" si="0"/>
        <v>61</v>
      </c>
      <c r="P42" s="15">
        <f t="shared" si="1"/>
        <v>145</v>
      </c>
    </row>
    <row r="43" spans="2:20" ht="23.1" customHeight="1" x14ac:dyDescent="0.25">
      <c r="B43" s="23" t="s">
        <v>70</v>
      </c>
      <c r="C43" s="50">
        <v>9</v>
      </c>
      <c r="D43" s="50">
        <v>0</v>
      </c>
      <c r="E43" s="50">
        <v>15</v>
      </c>
      <c r="F43" s="50">
        <v>13</v>
      </c>
      <c r="G43" s="50">
        <v>0</v>
      </c>
      <c r="H43" s="50">
        <v>0</v>
      </c>
      <c r="I43" s="50">
        <v>7</v>
      </c>
      <c r="J43" s="50">
        <v>1</v>
      </c>
      <c r="K43" s="50">
        <v>0</v>
      </c>
      <c r="L43" s="50">
        <v>1</v>
      </c>
      <c r="M43" s="50">
        <v>81</v>
      </c>
      <c r="N43" s="50">
        <v>0</v>
      </c>
      <c r="O43" s="15">
        <f t="shared" si="0"/>
        <v>46</v>
      </c>
      <c r="P43" s="15">
        <f t="shared" si="1"/>
        <v>127</v>
      </c>
    </row>
    <row r="44" spans="2:20" ht="23.1" customHeight="1" x14ac:dyDescent="0.25">
      <c r="B44" s="25" t="s">
        <v>71</v>
      </c>
      <c r="C44" s="50">
        <v>5</v>
      </c>
      <c r="D44" s="50">
        <v>0</v>
      </c>
      <c r="E44" s="50">
        <v>19</v>
      </c>
      <c r="F44" s="50">
        <v>12</v>
      </c>
      <c r="G44" s="50">
        <v>3</v>
      </c>
      <c r="H44" s="50">
        <v>2</v>
      </c>
      <c r="I44" s="50">
        <v>11</v>
      </c>
      <c r="J44" s="50">
        <v>2</v>
      </c>
      <c r="K44" s="50">
        <v>0</v>
      </c>
      <c r="L44" s="50">
        <v>2</v>
      </c>
      <c r="M44" s="50">
        <v>49</v>
      </c>
      <c r="N44" s="50">
        <v>0</v>
      </c>
      <c r="O44" s="15">
        <f t="shared" si="0"/>
        <v>56</v>
      </c>
      <c r="P44" s="15">
        <f t="shared" si="1"/>
        <v>105</v>
      </c>
    </row>
    <row r="45" spans="2:20" ht="23.1" customHeight="1" x14ac:dyDescent="0.25">
      <c r="B45" s="23" t="s">
        <v>72</v>
      </c>
      <c r="C45" s="50">
        <v>14</v>
      </c>
      <c r="D45" s="50">
        <v>0</v>
      </c>
      <c r="E45" s="50">
        <v>23</v>
      </c>
      <c r="F45" s="50">
        <v>23</v>
      </c>
      <c r="G45" s="50">
        <v>0</v>
      </c>
      <c r="H45" s="50">
        <v>4</v>
      </c>
      <c r="I45" s="50">
        <v>9</v>
      </c>
      <c r="J45" s="50">
        <v>0</v>
      </c>
      <c r="K45" s="50">
        <v>0</v>
      </c>
      <c r="L45" s="50">
        <v>1</v>
      </c>
      <c r="M45" s="50">
        <v>59</v>
      </c>
      <c r="N45" s="50">
        <v>0</v>
      </c>
      <c r="O45" s="15">
        <f t="shared" si="0"/>
        <v>74</v>
      </c>
      <c r="P45" s="15">
        <f t="shared" si="1"/>
        <v>133</v>
      </c>
    </row>
    <row r="46" spans="2:20" ht="23.1" customHeight="1" x14ac:dyDescent="0.25">
      <c r="B46" s="24" t="s">
        <v>73</v>
      </c>
      <c r="C46" s="50">
        <v>9</v>
      </c>
      <c r="D46" s="50">
        <v>0</v>
      </c>
      <c r="E46" s="50">
        <v>18</v>
      </c>
      <c r="F46" s="50">
        <v>16</v>
      </c>
      <c r="G46" s="50">
        <v>0</v>
      </c>
      <c r="H46" s="50">
        <v>1</v>
      </c>
      <c r="I46" s="50">
        <v>8</v>
      </c>
      <c r="J46" s="50">
        <v>1</v>
      </c>
      <c r="K46" s="50">
        <v>0</v>
      </c>
      <c r="L46" s="50">
        <v>2</v>
      </c>
      <c r="M46" s="50">
        <v>63</v>
      </c>
      <c r="N46" s="50">
        <v>0</v>
      </c>
      <c r="O46" s="15">
        <f t="shared" si="0"/>
        <v>55</v>
      </c>
      <c r="P46" s="15">
        <f t="shared" si="1"/>
        <v>118</v>
      </c>
      <c r="R46" s="8"/>
      <c r="T46"/>
    </row>
    <row r="47" spans="2:20" ht="23.1" customHeight="1" x14ac:dyDescent="0.25">
      <c r="B47" s="24" t="s">
        <v>74</v>
      </c>
      <c r="C47" s="50">
        <v>15</v>
      </c>
      <c r="D47" s="50">
        <v>0</v>
      </c>
      <c r="E47" s="50">
        <v>22</v>
      </c>
      <c r="F47" s="50">
        <v>21</v>
      </c>
      <c r="G47" s="50">
        <v>0</v>
      </c>
      <c r="H47" s="50">
        <v>1</v>
      </c>
      <c r="I47" s="50">
        <v>8</v>
      </c>
      <c r="J47" s="50">
        <v>3</v>
      </c>
      <c r="K47" s="50">
        <v>1</v>
      </c>
      <c r="L47" s="50">
        <v>1</v>
      </c>
      <c r="M47" s="50">
        <v>67</v>
      </c>
      <c r="N47" s="50">
        <v>0</v>
      </c>
      <c r="O47" s="15">
        <f t="shared" si="0"/>
        <v>72</v>
      </c>
      <c r="P47" s="15">
        <f t="shared" si="1"/>
        <v>139</v>
      </c>
      <c r="R47" s="8"/>
      <c r="T47"/>
    </row>
    <row r="48" spans="2:20" ht="23.1" customHeight="1" x14ac:dyDescent="0.25">
      <c r="B48" s="24" t="s">
        <v>75</v>
      </c>
      <c r="C48" s="50">
        <v>15</v>
      </c>
      <c r="D48" s="50">
        <v>0</v>
      </c>
      <c r="E48" s="50">
        <v>20</v>
      </c>
      <c r="F48" s="50">
        <v>16</v>
      </c>
      <c r="G48" s="50">
        <v>0</v>
      </c>
      <c r="H48" s="50">
        <v>0</v>
      </c>
      <c r="I48" s="50">
        <v>12</v>
      </c>
      <c r="J48" s="50">
        <v>1</v>
      </c>
      <c r="K48" s="50">
        <v>0</v>
      </c>
      <c r="L48" s="50">
        <v>1</v>
      </c>
      <c r="M48" s="50">
        <v>65</v>
      </c>
      <c r="N48" s="50">
        <v>0</v>
      </c>
      <c r="O48" s="15">
        <f t="shared" si="0"/>
        <v>65</v>
      </c>
      <c r="P48" s="15">
        <f t="shared" si="1"/>
        <v>130</v>
      </c>
      <c r="R48" s="8"/>
      <c r="T48"/>
    </row>
    <row r="49" spans="2:20" ht="23.1" customHeight="1" x14ac:dyDescent="0.25">
      <c r="B49" s="23" t="s">
        <v>76</v>
      </c>
      <c r="C49" s="50">
        <v>9</v>
      </c>
      <c r="D49" s="50">
        <v>0</v>
      </c>
      <c r="E49" s="50">
        <v>19</v>
      </c>
      <c r="F49" s="50">
        <v>17</v>
      </c>
      <c r="G49" s="50">
        <v>0</v>
      </c>
      <c r="H49" s="50">
        <v>1</v>
      </c>
      <c r="I49" s="50">
        <v>13</v>
      </c>
      <c r="J49" s="50">
        <v>0</v>
      </c>
      <c r="K49" s="50">
        <v>0</v>
      </c>
      <c r="L49" s="50">
        <v>4</v>
      </c>
      <c r="M49" s="50">
        <v>65</v>
      </c>
      <c r="N49" s="50">
        <v>0</v>
      </c>
      <c r="O49" s="15">
        <f t="shared" si="0"/>
        <v>63</v>
      </c>
      <c r="P49" s="15">
        <f t="shared" si="1"/>
        <v>128</v>
      </c>
      <c r="R49" s="8"/>
      <c r="T49"/>
    </row>
    <row r="50" spans="2:20" ht="23.1" customHeight="1" x14ac:dyDescent="0.25">
      <c r="B50" s="24" t="s">
        <v>77</v>
      </c>
      <c r="C50" s="50">
        <v>8</v>
      </c>
      <c r="D50" s="50">
        <v>0</v>
      </c>
      <c r="E50" s="50">
        <v>28</v>
      </c>
      <c r="F50" s="50">
        <v>12</v>
      </c>
      <c r="G50" s="50">
        <v>0</v>
      </c>
      <c r="H50" s="50">
        <v>3</v>
      </c>
      <c r="I50" s="50">
        <v>10</v>
      </c>
      <c r="J50" s="50">
        <v>0</v>
      </c>
      <c r="K50" s="50">
        <v>0</v>
      </c>
      <c r="L50" s="50">
        <v>5</v>
      </c>
      <c r="M50" s="50">
        <v>60</v>
      </c>
      <c r="N50" s="50">
        <v>0</v>
      </c>
      <c r="O50" s="15">
        <f t="shared" si="0"/>
        <v>66</v>
      </c>
      <c r="P50" s="15">
        <f t="shared" si="1"/>
        <v>126</v>
      </c>
      <c r="R50" s="8"/>
      <c r="T50"/>
    </row>
    <row r="51" spans="2:20" ht="23.1" customHeight="1" x14ac:dyDescent="0.25">
      <c r="B51" s="24" t="s">
        <v>78</v>
      </c>
      <c r="C51" s="50">
        <v>6</v>
      </c>
      <c r="D51" s="50">
        <v>0</v>
      </c>
      <c r="E51" s="50">
        <v>21</v>
      </c>
      <c r="F51" s="50">
        <v>17</v>
      </c>
      <c r="G51" s="50">
        <v>1</v>
      </c>
      <c r="H51" s="50">
        <v>1</v>
      </c>
      <c r="I51" s="50">
        <v>10</v>
      </c>
      <c r="J51" s="50">
        <v>3</v>
      </c>
      <c r="K51" s="50">
        <v>1</v>
      </c>
      <c r="L51" s="50">
        <v>1</v>
      </c>
      <c r="M51" s="50">
        <v>63</v>
      </c>
      <c r="N51" s="50">
        <v>0</v>
      </c>
      <c r="O51" s="15">
        <f t="shared" si="0"/>
        <v>61</v>
      </c>
      <c r="P51" s="15">
        <f t="shared" si="1"/>
        <v>124</v>
      </c>
      <c r="R51" s="8"/>
      <c r="T51"/>
    </row>
    <row r="52" spans="2:20" ht="23.1" customHeight="1" x14ac:dyDescent="0.25">
      <c r="B52" s="24" t="s">
        <v>79</v>
      </c>
      <c r="C52" s="50">
        <v>12</v>
      </c>
      <c r="D52" s="50">
        <v>0</v>
      </c>
      <c r="E52" s="50">
        <v>11</v>
      </c>
      <c r="F52" s="50">
        <v>14</v>
      </c>
      <c r="G52" s="50">
        <v>0</v>
      </c>
      <c r="H52" s="50">
        <v>1</v>
      </c>
      <c r="I52" s="50">
        <v>8</v>
      </c>
      <c r="J52" s="50">
        <v>0</v>
      </c>
      <c r="K52" s="50">
        <v>1</v>
      </c>
      <c r="L52" s="50">
        <v>3</v>
      </c>
      <c r="M52" s="50">
        <v>45</v>
      </c>
      <c r="N52" s="50">
        <v>0</v>
      </c>
      <c r="O52" s="15">
        <f t="shared" si="0"/>
        <v>50</v>
      </c>
      <c r="P52" s="15">
        <f t="shared" si="1"/>
        <v>95</v>
      </c>
      <c r="R52" s="8"/>
      <c r="T52"/>
    </row>
    <row r="53" spans="2:20" ht="23.1" customHeight="1" x14ac:dyDescent="0.25">
      <c r="B53" s="23" t="s">
        <v>80</v>
      </c>
      <c r="C53" s="50">
        <v>11</v>
      </c>
      <c r="D53" s="50">
        <v>0</v>
      </c>
      <c r="E53" s="50">
        <v>13</v>
      </c>
      <c r="F53" s="50">
        <v>24</v>
      </c>
      <c r="G53" s="50">
        <v>0</v>
      </c>
      <c r="H53" s="50">
        <v>1</v>
      </c>
      <c r="I53" s="50">
        <v>13</v>
      </c>
      <c r="J53" s="50">
        <v>1</v>
      </c>
      <c r="K53" s="50">
        <v>1</v>
      </c>
      <c r="L53" s="50">
        <v>3</v>
      </c>
      <c r="M53" s="50">
        <v>65</v>
      </c>
      <c r="N53" s="50">
        <v>0</v>
      </c>
      <c r="O53" s="15">
        <f t="shared" si="0"/>
        <v>67</v>
      </c>
      <c r="P53" s="15">
        <f t="shared" si="1"/>
        <v>132</v>
      </c>
      <c r="R53" s="8"/>
      <c r="T53"/>
    </row>
    <row r="54" spans="2:20" ht="23.1" customHeight="1" x14ac:dyDescent="0.25">
      <c r="B54" s="23" t="s">
        <v>81</v>
      </c>
      <c r="C54" s="50">
        <v>11</v>
      </c>
      <c r="D54" s="50">
        <v>0</v>
      </c>
      <c r="E54" s="50">
        <v>9</v>
      </c>
      <c r="F54" s="50">
        <v>18</v>
      </c>
      <c r="G54" s="50">
        <v>0</v>
      </c>
      <c r="H54" s="50">
        <v>0</v>
      </c>
      <c r="I54" s="50">
        <v>14</v>
      </c>
      <c r="J54" s="50">
        <v>1</v>
      </c>
      <c r="K54" s="50">
        <v>0</v>
      </c>
      <c r="L54" s="50">
        <v>2</v>
      </c>
      <c r="M54" s="50">
        <v>66</v>
      </c>
      <c r="N54" s="50">
        <v>0</v>
      </c>
      <c r="O54" s="15">
        <f t="shared" si="0"/>
        <v>55</v>
      </c>
      <c r="P54" s="15">
        <f t="shared" si="1"/>
        <v>121</v>
      </c>
      <c r="R54" s="8"/>
      <c r="T54"/>
    </row>
    <row r="55" spans="2:20" ht="23.1" customHeight="1" x14ac:dyDescent="0.25">
      <c r="B55" s="23" t="s">
        <v>82</v>
      </c>
      <c r="C55" s="50">
        <v>14</v>
      </c>
      <c r="D55" s="50">
        <v>0</v>
      </c>
      <c r="E55" s="50">
        <v>14</v>
      </c>
      <c r="F55" s="50">
        <v>11</v>
      </c>
      <c r="G55" s="50">
        <v>0</v>
      </c>
      <c r="H55" s="50">
        <v>1</v>
      </c>
      <c r="I55" s="50">
        <v>14</v>
      </c>
      <c r="J55" s="50">
        <v>3</v>
      </c>
      <c r="K55" s="50">
        <v>0</v>
      </c>
      <c r="L55" s="50">
        <v>1</v>
      </c>
      <c r="M55" s="50">
        <v>67</v>
      </c>
      <c r="N55" s="50">
        <v>0</v>
      </c>
      <c r="O55" s="15">
        <f t="shared" si="0"/>
        <v>58</v>
      </c>
      <c r="P55" s="15">
        <f t="shared" si="1"/>
        <v>125</v>
      </c>
      <c r="R55" s="8"/>
      <c r="T55"/>
    </row>
    <row r="56" spans="2:20" ht="23.1" customHeight="1" x14ac:dyDescent="0.25">
      <c r="B56" s="23" t="s">
        <v>83</v>
      </c>
      <c r="C56" s="50">
        <v>13</v>
      </c>
      <c r="D56" s="50">
        <v>0</v>
      </c>
      <c r="E56" s="50">
        <v>16</v>
      </c>
      <c r="F56" s="50">
        <v>16</v>
      </c>
      <c r="G56" s="50">
        <v>0</v>
      </c>
      <c r="H56" s="50">
        <v>1</v>
      </c>
      <c r="I56" s="50">
        <v>7</v>
      </c>
      <c r="J56" s="50">
        <v>0</v>
      </c>
      <c r="K56" s="50">
        <v>1</v>
      </c>
      <c r="L56" s="50">
        <v>3</v>
      </c>
      <c r="M56" s="50">
        <v>62</v>
      </c>
      <c r="N56" s="50">
        <v>1</v>
      </c>
      <c r="O56" s="15">
        <f t="shared" si="0"/>
        <v>58</v>
      </c>
      <c r="P56" s="15">
        <f t="shared" si="1"/>
        <v>120</v>
      </c>
      <c r="R56" s="8"/>
      <c r="T56"/>
    </row>
    <row r="57" spans="2:20" ht="23.1" customHeight="1" x14ac:dyDescent="0.25">
      <c r="B57" s="23" t="s">
        <v>84</v>
      </c>
      <c r="C57" s="50">
        <v>9</v>
      </c>
      <c r="D57" s="50">
        <v>0</v>
      </c>
      <c r="E57" s="50">
        <v>14</v>
      </c>
      <c r="F57" s="50">
        <v>13</v>
      </c>
      <c r="G57" s="50">
        <v>0</v>
      </c>
      <c r="H57" s="50">
        <v>1</v>
      </c>
      <c r="I57" s="50">
        <v>12</v>
      </c>
      <c r="J57" s="50">
        <v>0</v>
      </c>
      <c r="K57" s="50">
        <v>1</v>
      </c>
      <c r="L57" s="50">
        <v>1</v>
      </c>
      <c r="M57" s="50">
        <v>80</v>
      </c>
      <c r="N57" s="50">
        <v>0</v>
      </c>
      <c r="O57" s="15">
        <f t="shared" si="0"/>
        <v>51</v>
      </c>
      <c r="P57" s="15">
        <f t="shared" si="1"/>
        <v>131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504</v>
      </c>
      <c r="D58" s="16">
        <f t="shared" si="21"/>
        <v>0</v>
      </c>
      <c r="E58" s="16">
        <f t="shared" si="21"/>
        <v>787</v>
      </c>
      <c r="F58" s="16">
        <f t="shared" si="21"/>
        <v>703</v>
      </c>
      <c r="G58" s="16">
        <f t="shared" si="21"/>
        <v>16</v>
      </c>
      <c r="H58" s="16">
        <f t="shared" si="21"/>
        <v>54</v>
      </c>
      <c r="I58" s="16">
        <f t="shared" si="21"/>
        <v>422</v>
      </c>
      <c r="J58" s="16">
        <f t="shared" si="21"/>
        <v>41</v>
      </c>
      <c r="K58" s="16">
        <f t="shared" si="21"/>
        <v>13</v>
      </c>
      <c r="L58" s="16">
        <f t="shared" si="21"/>
        <v>88</v>
      </c>
      <c r="M58" s="16">
        <f t="shared" si="21"/>
        <v>3252</v>
      </c>
      <c r="N58" s="16">
        <f t="shared" si="21"/>
        <v>2</v>
      </c>
      <c r="O58" s="16">
        <f t="shared" si="21"/>
        <v>2630</v>
      </c>
      <c r="P58" s="16">
        <f t="shared" si="21"/>
        <v>5882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8.5685141108466506E-2</v>
      </c>
      <c r="D59" s="43">
        <f t="shared" si="22"/>
        <v>0</v>
      </c>
      <c r="E59" s="43">
        <f t="shared" si="22"/>
        <v>0.13379802788167289</v>
      </c>
      <c r="F59" s="43">
        <f t="shared" si="22"/>
        <v>0.11951717103026181</v>
      </c>
      <c r="G59" s="43">
        <f t="shared" si="22"/>
        <v>2.7201632097925877E-3</v>
      </c>
      <c r="H59" s="43">
        <f t="shared" si="22"/>
        <v>9.1805508330499823E-3</v>
      </c>
      <c r="I59" s="43">
        <f t="shared" si="22"/>
        <v>7.1744304658279495E-2</v>
      </c>
      <c r="J59" s="43">
        <f t="shared" si="22"/>
        <v>6.9704182250935054E-3</v>
      </c>
      <c r="K59" s="43">
        <f t="shared" si="22"/>
        <v>2.2101326079564773E-3</v>
      </c>
      <c r="L59" s="43">
        <f t="shared" si="22"/>
        <v>1.4960897653859231E-2</v>
      </c>
      <c r="M59" s="43">
        <f t="shared" si="22"/>
        <v>0.55287317239034339</v>
      </c>
      <c r="N59" s="43">
        <f t="shared" si="22"/>
        <v>3.4002040122407346E-4</v>
      </c>
      <c r="R59" s="8"/>
      <c r="T59"/>
    </row>
    <row r="60" spans="2:20" ht="23.1" customHeight="1" x14ac:dyDescent="0.25">
      <c r="B60" s="42" t="s">
        <v>94</v>
      </c>
      <c r="C60" s="44">
        <f>C58/$O$58</f>
        <v>0.19163498098859316</v>
      </c>
      <c r="D60" s="44">
        <f t="shared" ref="D60:N60" si="23">D58/$O$58</f>
        <v>0</v>
      </c>
      <c r="E60" s="44">
        <f t="shared" si="23"/>
        <v>0.29923954372623573</v>
      </c>
      <c r="F60" s="44">
        <f t="shared" si="23"/>
        <v>0.2673003802281369</v>
      </c>
      <c r="G60" s="44">
        <f t="shared" si="23"/>
        <v>6.0836501901140681E-3</v>
      </c>
      <c r="H60" s="44">
        <f t="shared" si="23"/>
        <v>2.0532319391634982E-2</v>
      </c>
      <c r="I60" s="44">
        <f t="shared" si="23"/>
        <v>0.16045627376425856</v>
      </c>
      <c r="J60" s="44">
        <f t="shared" si="23"/>
        <v>1.55893536121673E-2</v>
      </c>
      <c r="K60" s="44">
        <f t="shared" si="23"/>
        <v>4.9429657794676802E-3</v>
      </c>
      <c r="L60" s="44">
        <f t="shared" si="23"/>
        <v>3.3460076045627375E-2</v>
      </c>
      <c r="M60" s="44"/>
      <c r="N60" s="44">
        <f t="shared" si="23"/>
        <v>7.6045627376425851E-4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126"/>
  <sheetViews>
    <sheetView view="pageBreakPreview" topLeftCell="A4" zoomScale="60" workbookViewId="0">
      <selection activeCell="N6" sqref="N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'20.8 Luwero-Kampala'!C3:G3</f>
        <v>MCC - C3 - STN87 - Kampala-Gulu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'23.8 Kampala-Luweero'!D5</f>
        <v>23.08.19</v>
      </c>
      <c r="E5" s="3"/>
      <c r="F5" s="41" t="s">
        <v>1</v>
      </c>
      <c r="G5" s="66">
        <f>'23.8 Kampala-Luweero'!G5:H5</f>
        <v>0</v>
      </c>
      <c r="H5" s="67"/>
      <c r="I5" s="14"/>
      <c r="J5" s="2" t="s">
        <v>5</v>
      </c>
      <c r="K5" s="66" t="str">
        <f>'23.8 Kampala-Luweero'!K5:L5</f>
        <v>Godfrey, Ibrahim N, Oliver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">
        <v>169</v>
      </c>
      <c r="E6" s="67"/>
      <c r="F6" s="2" t="s">
        <v>2</v>
      </c>
      <c r="G6" s="66" t="s">
        <v>168</v>
      </c>
      <c r="H6" s="67"/>
      <c r="J6" s="2" t="s">
        <v>21</v>
      </c>
      <c r="K6" s="66" t="str">
        <f>'23.8 Kampala-Luweero'!K6:L6</f>
        <v>Martin, Tracy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8</v>
      </c>
      <c r="F10" s="50">
        <v>5</v>
      </c>
      <c r="G10" s="50">
        <v>0</v>
      </c>
      <c r="H10" s="50">
        <v>1</v>
      </c>
      <c r="I10" s="50">
        <v>1</v>
      </c>
      <c r="J10" s="50">
        <v>0</v>
      </c>
      <c r="K10" s="50">
        <v>0</v>
      </c>
      <c r="L10" s="50">
        <v>1</v>
      </c>
      <c r="M10" s="50">
        <v>35</v>
      </c>
      <c r="N10" s="50">
        <v>0</v>
      </c>
      <c r="O10" s="15">
        <f t="shared" ref="O10:O57" si="0">SUM(C10:L10,N10)</f>
        <v>17</v>
      </c>
      <c r="P10" s="15">
        <f t="shared" ref="P10:P57" si="1">SUM(C10:N10)</f>
        <v>52</v>
      </c>
      <c r="R10" s="1" t="s">
        <v>6</v>
      </c>
      <c r="S10" s="17">
        <f t="shared" ref="S10:AF10" si="2">SUM(C10:C13)</f>
        <v>20</v>
      </c>
      <c r="T10" s="17">
        <f t="shared" si="2"/>
        <v>0</v>
      </c>
      <c r="U10" s="17">
        <f t="shared" si="2"/>
        <v>26</v>
      </c>
      <c r="V10" s="17">
        <f t="shared" si="2"/>
        <v>33</v>
      </c>
      <c r="W10" s="17">
        <f t="shared" si="2"/>
        <v>0</v>
      </c>
      <c r="X10" s="17">
        <f t="shared" si="2"/>
        <v>1</v>
      </c>
      <c r="Y10" s="17">
        <f t="shared" si="2"/>
        <v>14</v>
      </c>
      <c r="Z10" s="17">
        <f t="shared" si="2"/>
        <v>2</v>
      </c>
      <c r="AA10" s="17">
        <f t="shared" si="2"/>
        <v>2</v>
      </c>
      <c r="AB10" s="17">
        <f t="shared" si="2"/>
        <v>7</v>
      </c>
      <c r="AC10" s="17">
        <f t="shared" si="2"/>
        <v>175</v>
      </c>
      <c r="AD10" s="17">
        <f t="shared" si="2"/>
        <v>0</v>
      </c>
      <c r="AE10" s="31">
        <f t="shared" si="2"/>
        <v>105</v>
      </c>
      <c r="AF10" s="31">
        <f t="shared" si="2"/>
        <v>280</v>
      </c>
    </row>
    <row r="11" spans="2:32" s="6" customFormat="1" ht="23.1" customHeight="1" x14ac:dyDescent="0.25">
      <c r="B11" s="23" t="s">
        <v>38</v>
      </c>
      <c r="C11" s="50">
        <v>10</v>
      </c>
      <c r="D11" s="50">
        <v>0</v>
      </c>
      <c r="E11" s="50">
        <v>3</v>
      </c>
      <c r="F11" s="50">
        <v>8</v>
      </c>
      <c r="G11" s="50">
        <v>0</v>
      </c>
      <c r="H11" s="50">
        <v>0</v>
      </c>
      <c r="I11" s="50">
        <v>2</v>
      </c>
      <c r="J11" s="50">
        <v>0</v>
      </c>
      <c r="K11" s="50">
        <v>1</v>
      </c>
      <c r="L11" s="50">
        <v>3</v>
      </c>
      <c r="M11" s="50">
        <v>42</v>
      </c>
      <c r="N11" s="50">
        <v>0</v>
      </c>
      <c r="O11" s="15">
        <f t="shared" si="0"/>
        <v>27</v>
      </c>
      <c r="P11" s="15">
        <f t="shared" si="1"/>
        <v>69</v>
      </c>
      <c r="R11" s="1" t="s">
        <v>7</v>
      </c>
      <c r="S11" s="17">
        <f t="shared" ref="S11:AF11" si="3">SUM(C14:C17)</f>
        <v>26</v>
      </c>
      <c r="T11" s="17">
        <f t="shared" si="3"/>
        <v>0</v>
      </c>
      <c r="U11" s="17">
        <f t="shared" si="3"/>
        <v>34</v>
      </c>
      <c r="V11" s="17">
        <f t="shared" si="3"/>
        <v>55</v>
      </c>
      <c r="W11" s="17">
        <f t="shared" si="3"/>
        <v>0</v>
      </c>
      <c r="X11" s="17">
        <f t="shared" si="3"/>
        <v>1</v>
      </c>
      <c r="Y11" s="17">
        <f t="shared" si="3"/>
        <v>19</v>
      </c>
      <c r="Z11" s="17">
        <f t="shared" si="3"/>
        <v>1</v>
      </c>
      <c r="AA11" s="17">
        <f t="shared" si="3"/>
        <v>0</v>
      </c>
      <c r="AB11" s="17">
        <f t="shared" si="3"/>
        <v>6</v>
      </c>
      <c r="AC11" s="17">
        <f t="shared" si="3"/>
        <v>252</v>
      </c>
      <c r="AD11" s="17">
        <f t="shared" si="3"/>
        <v>0</v>
      </c>
      <c r="AE11" s="31">
        <f t="shared" si="3"/>
        <v>142</v>
      </c>
      <c r="AF11" s="31">
        <f t="shared" si="3"/>
        <v>394</v>
      </c>
    </row>
    <row r="12" spans="2:32" ht="23.1" customHeight="1" x14ac:dyDescent="0.25">
      <c r="B12" s="23" t="s">
        <v>39</v>
      </c>
      <c r="C12" s="50">
        <v>4</v>
      </c>
      <c r="D12" s="50">
        <v>0</v>
      </c>
      <c r="E12" s="50">
        <v>7</v>
      </c>
      <c r="F12" s="50">
        <v>8</v>
      </c>
      <c r="G12" s="50">
        <v>0</v>
      </c>
      <c r="H12" s="50">
        <v>0</v>
      </c>
      <c r="I12" s="50">
        <v>7</v>
      </c>
      <c r="J12" s="50">
        <v>1</v>
      </c>
      <c r="K12" s="50">
        <v>1</v>
      </c>
      <c r="L12" s="50">
        <v>1</v>
      </c>
      <c r="M12" s="50">
        <v>51</v>
      </c>
      <c r="N12" s="50">
        <v>0</v>
      </c>
      <c r="O12" s="15">
        <f t="shared" si="0"/>
        <v>29</v>
      </c>
      <c r="P12" s="15">
        <f t="shared" si="1"/>
        <v>80</v>
      </c>
      <c r="R12" s="1" t="s">
        <v>8</v>
      </c>
      <c r="S12" s="17">
        <f t="shared" ref="S12:AF12" si="4">SUM(C18:C21)</f>
        <v>31</v>
      </c>
      <c r="T12" s="17">
        <f t="shared" si="4"/>
        <v>0</v>
      </c>
      <c r="U12" s="17">
        <f t="shared" si="4"/>
        <v>43</v>
      </c>
      <c r="V12" s="17">
        <f t="shared" si="4"/>
        <v>56</v>
      </c>
      <c r="W12" s="17">
        <f t="shared" si="4"/>
        <v>0</v>
      </c>
      <c r="X12" s="17">
        <f t="shared" si="4"/>
        <v>0</v>
      </c>
      <c r="Y12" s="17">
        <f t="shared" si="4"/>
        <v>24</v>
      </c>
      <c r="Z12" s="17">
        <f t="shared" si="4"/>
        <v>1</v>
      </c>
      <c r="AA12" s="17">
        <f t="shared" si="4"/>
        <v>0</v>
      </c>
      <c r="AB12" s="17">
        <f t="shared" si="4"/>
        <v>6</v>
      </c>
      <c r="AC12" s="17">
        <f t="shared" si="4"/>
        <v>249</v>
      </c>
      <c r="AD12" s="17">
        <f t="shared" si="4"/>
        <v>0</v>
      </c>
      <c r="AE12" s="31">
        <f t="shared" si="4"/>
        <v>161</v>
      </c>
      <c r="AF12" s="31">
        <f t="shared" si="4"/>
        <v>410</v>
      </c>
    </row>
    <row r="13" spans="2:32" ht="23.1" customHeight="1" x14ac:dyDescent="0.25">
      <c r="B13" s="23" t="s">
        <v>40</v>
      </c>
      <c r="C13" s="50">
        <v>5</v>
      </c>
      <c r="D13" s="50">
        <v>0</v>
      </c>
      <c r="E13" s="50">
        <v>8</v>
      </c>
      <c r="F13" s="50">
        <v>12</v>
      </c>
      <c r="G13" s="50">
        <v>0</v>
      </c>
      <c r="H13" s="50">
        <v>0</v>
      </c>
      <c r="I13" s="50">
        <v>4</v>
      </c>
      <c r="J13" s="50">
        <v>1</v>
      </c>
      <c r="K13" s="50">
        <v>0</v>
      </c>
      <c r="L13" s="50">
        <v>2</v>
      </c>
      <c r="M13" s="50">
        <v>47</v>
      </c>
      <c r="N13" s="50">
        <v>0</v>
      </c>
      <c r="O13" s="15">
        <f t="shared" si="0"/>
        <v>32</v>
      </c>
      <c r="P13" s="15">
        <f t="shared" si="1"/>
        <v>79</v>
      </c>
      <c r="R13" s="1" t="s">
        <v>9</v>
      </c>
      <c r="S13" s="17">
        <f t="shared" ref="S13:AF13" si="5">SUM(C22:C25)</f>
        <v>26</v>
      </c>
      <c r="T13" s="17">
        <f t="shared" si="5"/>
        <v>0</v>
      </c>
      <c r="U13" s="17">
        <f t="shared" si="5"/>
        <v>64</v>
      </c>
      <c r="V13" s="17">
        <f t="shared" si="5"/>
        <v>47</v>
      </c>
      <c r="W13" s="17">
        <f t="shared" si="5"/>
        <v>2</v>
      </c>
      <c r="X13" s="17">
        <f t="shared" si="5"/>
        <v>2</v>
      </c>
      <c r="Y13" s="17">
        <f t="shared" si="5"/>
        <v>22</v>
      </c>
      <c r="Z13" s="17">
        <f t="shared" si="5"/>
        <v>0</v>
      </c>
      <c r="AA13" s="17">
        <f t="shared" si="5"/>
        <v>1</v>
      </c>
      <c r="AB13" s="17">
        <f t="shared" si="5"/>
        <v>4</v>
      </c>
      <c r="AC13" s="17">
        <f t="shared" si="5"/>
        <v>274</v>
      </c>
      <c r="AD13" s="17">
        <f t="shared" si="5"/>
        <v>0</v>
      </c>
      <c r="AE13" s="31">
        <f t="shared" si="5"/>
        <v>168</v>
      </c>
      <c r="AF13" s="31">
        <f t="shared" si="5"/>
        <v>442</v>
      </c>
    </row>
    <row r="14" spans="2:32" ht="23.1" customHeight="1" x14ac:dyDescent="0.25">
      <c r="B14" s="23" t="s">
        <v>41</v>
      </c>
      <c r="C14" s="50">
        <v>5</v>
      </c>
      <c r="D14" s="50">
        <v>0</v>
      </c>
      <c r="E14" s="50">
        <v>5</v>
      </c>
      <c r="F14" s="50">
        <v>8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v>1</v>
      </c>
      <c r="M14" s="50">
        <v>57</v>
      </c>
      <c r="N14" s="50">
        <v>0</v>
      </c>
      <c r="O14" s="15">
        <f t="shared" si="0"/>
        <v>22</v>
      </c>
      <c r="P14" s="15">
        <f t="shared" si="1"/>
        <v>79</v>
      </c>
      <c r="R14" s="1" t="s">
        <v>10</v>
      </c>
      <c r="S14" s="17">
        <f t="shared" ref="S14:AF14" si="6">SUM(C26:C29)</f>
        <v>35</v>
      </c>
      <c r="T14" s="17">
        <f t="shared" si="6"/>
        <v>0</v>
      </c>
      <c r="U14" s="17">
        <f t="shared" si="6"/>
        <v>60</v>
      </c>
      <c r="V14" s="17">
        <f t="shared" si="6"/>
        <v>47</v>
      </c>
      <c r="W14" s="17">
        <f t="shared" si="6"/>
        <v>1</v>
      </c>
      <c r="X14" s="17">
        <f t="shared" si="6"/>
        <v>1</v>
      </c>
      <c r="Y14" s="17">
        <f t="shared" si="6"/>
        <v>17</v>
      </c>
      <c r="Z14" s="17">
        <f t="shared" si="6"/>
        <v>0</v>
      </c>
      <c r="AA14" s="17">
        <f t="shared" si="6"/>
        <v>1</v>
      </c>
      <c r="AB14" s="17">
        <f t="shared" si="6"/>
        <v>2</v>
      </c>
      <c r="AC14" s="17">
        <f t="shared" si="6"/>
        <v>252</v>
      </c>
      <c r="AD14" s="17">
        <f t="shared" si="6"/>
        <v>0</v>
      </c>
      <c r="AE14" s="31">
        <f t="shared" si="6"/>
        <v>164</v>
      </c>
      <c r="AF14" s="31">
        <f t="shared" si="6"/>
        <v>416</v>
      </c>
    </row>
    <row r="15" spans="2:32" ht="23.1" customHeight="1" x14ac:dyDescent="0.25">
      <c r="B15" s="23" t="s">
        <v>42</v>
      </c>
      <c r="C15" s="50">
        <v>6</v>
      </c>
      <c r="D15" s="50">
        <v>0</v>
      </c>
      <c r="E15" s="50">
        <v>9</v>
      </c>
      <c r="F15" s="50">
        <v>8</v>
      </c>
      <c r="G15" s="50">
        <v>0</v>
      </c>
      <c r="H15" s="50">
        <v>0</v>
      </c>
      <c r="I15" s="50">
        <v>5</v>
      </c>
      <c r="J15" s="50">
        <v>0</v>
      </c>
      <c r="K15" s="50">
        <v>0</v>
      </c>
      <c r="L15" s="50">
        <v>2</v>
      </c>
      <c r="M15" s="50">
        <v>63</v>
      </c>
      <c r="N15" s="50">
        <v>0</v>
      </c>
      <c r="O15" s="15">
        <f t="shared" si="0"/>
        <v>30</v>
      </c>
      <c r="P15" s="15">
        <f t="shared" si="1"/>
        <v>93</v>
      </c>
      <c r="R15" s="1" t="s">
        <v>11</v>
      </c>
      <c r="S15" s="17">
        <f t="shared" ref="S15:AF15" si="7">SUM(C30:C33)</f>
        <v>32</v>
      </c>
      <c r="T15" s="17">
        <f t="shared" si="7"/>
        <v>0</v>
      </c>
      <c r="U15" s="17">
        <f t="shared" si="7"/>
        <v>43</v>
      </c>
      <c r="V15" s="17">
        <f t="shared" si="7"/>
        <v>55</v>
      </c>
      <c r="W15" s="17">
        <f t="shared" si="7"/>
        <v>0</v>
      </c>
      <c r="X15" s="17">
        <f t="shared" si="7"/>
        <v>4</v>
      </c>
      <c r="Y15" s="17">
        <f t="shared" si="7"/>
        <v>27</v>
      </c>
      <c r="Z15" s="17">
        <f t="shared" si="7"/>
        <v>2</v>
      </c>
      <c r="AA15" s="17">
        <f t="shared" si="7"/>
        <v>2</v>
      </c>
      <c r="AB15" s="17">
        <f t="shared" si="7"/>
        <v>4</v>
      </c>
      <c r="AC15" s="17">
        <f t="shared" si="7"/>
        <v>282</v>
      </c>
      <c r="AD15" s="17">
        <f t="shared" si="7"/>
        <v>0</v>
      </c>
      <c r="AE15" s="31">
        <f t="shared" si="7"/>
        <v>169</v>
      </c>
      <c r="AF15" s="31">
        <f t="shared" si="7"/>
        <v>451</v>
      </c>
    </row>
    <row r="16" spans="2:32" ht="23.1" customHeight="1" x14ac:dyDescent="0.25">
      <c r="B16" s="23" t="s">
        <v>43</v>
      </c>
      <c r="C16" s="50">
        <v>13</v>
      </c>
      <c r="D16" s="50">
        <v>0</v>
      </c>
      <c r="E16" s="50">
        <v>10</v>
      </c>
      <c r="F16" s="50">
        <v>19</v>
      </c>
      <c r="G16" s="50">
        <v>0</v>
      </c>
      <c r="H16" s="50">
        <v>1</v>
      </c>
      <c r="I16" s="50">
        <v>5</v>
      </c>
      <c r="J16" s="50">
        <v>0</v>
      </c>
      <c r="K16" s="50">
        <v>0</v>
      </c>
      <c r="L16" s="50">
        <v>2</v>
      </c>
      <c r="M16" s="50">
        <v>70</v>
      </c>
      <c r="N16" s="50">
        <v>0</v>
      </c>
      <c r="O16" s="15">
        <f t="shared" si="0"/>
        <v>50</v>
      </c>
      <c r="P16" s="15">
        <f t="shared" si="1"/>
        <v>120</v>
      </c>
      <c r="R16" s="1" t="s">
        <v>12</v>
      </c>
      <c r="S16" s="17">
        <f t="shared" ref="S16:AF16" si="8">SUM(C34:C37)</f>
        <v>37</v>
      </c>
      <c r="T16" s="17">
        <f t="shared" si="8"/>
        <v>0</v>
      </c>
      <c r="U16" s="17">
        <f t="shared" si="8"/>
        <v>67</v>
      </c>
      <c r="V16" s="17">
        <f t="shared" si="8"/>
        <v>48</v>
      </c>
      <c r="W16" s="17">
        <f t="shared" si="8"/>
        <v>2</v>
      </c>
      <c r="X16" s="17">
        <f t="shared" si="8"/>
        <v>1</v>
      </c>
      <c r="Y16" s="17">
        <f t="shared" si="8"/>
        <v>30</v>
      </c>
      <c r="Z16" s="17">
        <f t="shared" si="8"/>
        <v>2</v>
      </c>
      <c r="AA16" s="17">
        <f t="shared" si="8"/>
        <v>1</v>
      </c>
      <c r="AB16" s="17">
        <f t="shared" si="8"/>
        <v>4</v>
      </c>
      <c r="AC16" s="17">
        <f t="shared" si="8"/>
        <v>266</v>
      </c>
      <c r="AD16" s="17">
        <f t="shared" si="8"/>
        <v>1</v>
      </c>
      <c r="AE16" s="31">
        <f t="shared" si="8"/>
        <v>193</v>
      </c>
      <c r="AF16" s="31">
        <f t="shared" si="8"/>
        <v>459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10</v>
      </c>
      <c r="F17" s="50">
        <v>20</v>
      </c>
      <c r="G17" s="50">
        <v>0</v>
      </c>
      <c r="H17" s="50">
        <v>0</v>
      </c>
      <c r="I17" s="50">
        <v>6</v>
      </c>
      <c r="J17" s="50">
        <v>1</v>
      </c>
      <c r="K17" s="50">
        <v>0</v>
      </c>
      <c r="L17" s="50">
        <v>1</v>
      </c>
      <c r="M17" s="50">
        <v>62</v>
      </c>
      <c r="N17" s="50">
        <v>0</v>
      </c>
      <c r="O17" s="15">
        <f t="shared" si="0"/>
        <v>40</v>
      </c>
      <c r="P17" s="15">
        <f t="shared" si="1"/>
        <v>102</v>
      </c>
      <c r="R17" s="1" t="s">
        <v>13</v>
      </c>
      <c r="S17" s="17">
        <f t="shared" ref="S17:AF17" si="9">SUM(C38:C41)</f>
        <v>40</v>
      </c>
      <c r="T17" s="17">
        <f t="shared" si="9"/>
        <v>0</v>
      </c>
      <c r="U17" s="17">
        <f t="shared" si="9"/>
        <v>89</v>
      </c>
      <c r="V17" s="17">
        <f t="shared" si="9"/>
        <v>61</v>
      </c>
      <c r="W17" s="17">
        <f t="shared" si="9"/>
        <v>1</v>
      </c>
      <c r="X17" s="17">
        <f t="shared" si="9"/>
        <v>9</v>
      </c>
      <c r="Y17" s="17">
        <f t="shared" si="9"/>
        <v>37</v>
      </c>
      <c r="Z17" s="17">
        <f t="shared" si="9"/>
        <v>4</v>
      </c>
      <c r="AA17" s="17">
        <f t="shared" si="9"/>
        <v>0</v>
      </c>
      <c r="AB17" s="17">
        <f t="shared" si="9"/>
        <v>9</v>
      </c>
      <c r="AC17" s="17">
        <f t="shared" si="9"/>
        <v>265</v>
      </c>
      <c r="AD17" s="17">
        <f t="shared" si="9"/>
        <v>0</v>
      </c>
      <c r="AE17" s="31">
        <f t="shared" si="9"/>
        <v>250</v>
      </c>
      <c r="AF17" s="31">
        <f t="shared" si="9"/>
        <v>515</v>
      </c>
    </row>
    <row r="18" spans="2:32" ht="23.1" customHeight="1" x14ac:dyDescent="0.25">
      <c r="B18" s="23" t="s">
        <v>45</v>
      </c>
      <c r="C18" s="50">
        <v>7</v>
      </c>
      <c r="D18" s="50">
        <v>0</v>
      </c>
      <c r="E18" s="50">
        <v>12</v>
      </c>
      <c r="F18" s="50">
        <v>17</v>
      </c>
      <c r="G18" s="50">
        <v>0</v>
      </c>
      <c r="H18" s="50">
        <v>0</v>
      </c>
      <c r="I18" s="50">
        <v>3</v>
      </c>
      <c r="J18" s="50">
        <v>0</v>
      </c>
      <c r="K18" s="50">
        <v>0</v>
      </c>
      <c r="L18" s="50">
        <v>3</v>
      </c>
      <c r="M18" s="50">
        <v>60</v>
      </c>
      <c r="N18" s="50">
        <v>0</v>
      </c>
      <c r="O18" s="15">
        <f t="shared" si="0"/>
        <v>42</v>
      </c>
      <c r="P18" s="15">
        <f t="shared" si="1"/>
        <v>102</v>
      </c>
      <c r="R18" s="1" t="s">
        <v>14</v>
      </c>
      <c r="S18" s="17">
        <f t="shared" ref="S18:AF18" si="10">SUM(C42:C45)</f>
        <v>34</v>
      </c>
      <c r="T18" s="17">
        <f t="shared" si="10"/>
        <v>0</v>
      </c>
      <c r="U18" s="17">
        <f t="shared" si="10"/>
        <v>75</v>
      </c>
      <c r="V18" s="17">
        <f t="shared" si="10"/>
        <v>59</v>
      </c>
      <c r="W18" s="17">
        <f t="shared" si="10"/>
        <v>1</v>
      </c>
      <c r="X18" s="17">
        <f t="shared" si="10"/>
        <v>8</v>
      </c>
      <c r="Y18" s="17">
        <f t="shared" si="10"/>
        <v>22</v>
      </c>
      <c r="Z18" s="17">
        <f t="shared" si="10"/>
        <v>0</v>
      </c>
      <c r="AA18" s="17">
        <f t="shared" si="10"/>
        <v>0</v>
      </c>
      <c r="AB18" s="17">
        <f t="shared" si="10"/>
        <v>6</v>
      </c>
      <c r="AC18" s="17">
        <f t="shared" si="10"/>
        <v>249</v>
      </c>
      <c r="AD18" s="17">
        <f t="shared" si="10"/>
        <v>0</v>
      </c>
      <c r="AE18" s="31">
        <f t="shared" si="10"/>
        <v>205</v>
      </c>
      <c r="AF18" s="31">
        <f t="shared" si="10"/>
        <v>454</v>
      </c>
    </row>
    <row r="19" spans="2:32" ht="23.1" customHeight="1" x14ac:dyDescent="0.25">
      <c r="B19" s="23" t="s">
        <v>46</v>
      </c>
      <c r="C19" s="50">
        <v>6</v>
      </c>
      <c r="D19" s="50">
        <v>0</v>
      </c>
      <c r="E19" s="50">
        <v>2</v>
      </c>
      <c r="F19" s="50">
        <v>11</v>
      </c>
      <c r="G19" s="50">
        <v>0</v>
      </c>
      <c r="H19" s="50">
        <v>0</v>
      </c>
      <c r="I19" s="50">
        <v>9</v>
      </c>
      <c r="J19" s="50">
        <v>0</v>
      </c>
      <c r="K19" s="50">
        <v>0</v>
      </c>
      <c r="L19" s="50">
        <v>2</v>
      </c>
      <c r="M19" s="50">
        <v>61</v>
      </c>
      <c r="N19" s="50">
        <v>0</v>
      </c>
      <c r="O19" s="15">
        <f t="shared" si="0"/>
        <v>30</v>
      </c>
      <c r="P19" s="15">
        <f t="shared" si="1"/>
        <v>91</v>
      </c>
      <c r="R19" s="1" t="s">
        <v>15</v>
      </c>
      <c r="S19" s="17">
        <f t="shared" ref="S19:AF19" si="11">SUM(C46:C49)</f>
        <v>36</v>
      </c>
      <c r="T19" s="17">
        <f t="shared" si="11"/>
        <v>0</v>
      </c>
      <c r="U19" s="17">
        <f t="shared" si="11"/>
        <v>88</v>
      </c>
      <c r="V19" s="17">
        <f t="shared" si="11"/>
        <v>71</v>
      </c>
      <c r="W19" s="17">
        <f t="shared" si="11"/>
        <v>3</v>
      </c>
      <c r="X19" s="17">
        <f t="shared" si="11"/>
        <v>5</v>
      </c>
      <c r="Y19" s="17">
        <f t="shared" si="11"/>
        <v>30</v>
      </c>
      <c r="Z19" s="17">
        <f t="shared" si="11"/>
        <v>1</v>
      </c>
      <c r="AA19" s="17">
        <f t="shared" si="11"/>
        <v>0</v>
      </c>
      <c r="AB19" s="17">
        <f t="shared" si="11"/>
        <v>8</v>
      </c>
      <c r="AC19" s="17">
        <f t="shared" si="11"/>
        <v>240</v>
      </c>
      <c r="AD19" s="17">
        <f t="shared" si="11"/>
        <v>0</v>
      </c>
      <c r="AE19" s="31">
        <f t="shared" si="11"/>
        <v>242</v>
      </c>
      <c r="AF19" s="31">
        <f t="shared" si="11"/>
        <v>482</v>
      </c>
    </row>
    <row r="20" spans="2:32" ht="23.1" customHeight="1" x14ac:dyDescent="0.25">
      <c r="B20" s="23" t="s">
        <v>47</v>
      </c>
      <c r="C20" s="50">
        <v>11</v>
      </c>
      <c r="D20" s="50">
        <v>0</v>
      </c>
      <c r="E20" s="50">
        <v>16</v>
      </c>
      <c r="F20" s="50">
        <v>13</v>
      </c>
      <c r="G20" s="50">
        <v>0</v>
      </c>
      <c r="H20" s="50">
        <v>0</v>
      </c>
      <c r="I20" s="50">
        <v>8</v>
      </c>
      <c r="J20" s="50">
        <v>1</v>
      </c>
      <c r="K20" s="50">
        <v>0</v>
      </c>
      <c r="L20" s="50">
        <v>0</v>
      </c>
      <c r="M20" s="50">
        <v>57</v>
      </c>
      <c r="N20" s="50">
        <v>0</v>
      </c>
      <c r="O20" s="15">
        <f t="shared" si="0"/>
        <v>49</v>
      </c>
      <c r="P20" s="15">
        <f t="shared" si="1"/>
        <v>106</v>
      </c>
      <c r="R20" s="1" t="s">
        <v>16</v>
      </c>
      <c r="S20" s="17">
        <f t="shared" ref="S20:AF20" si="12">SUM(C50:C53)</f>
        <v>41</v>
      </c>
      <c r="T20" s="17">
        <f t="shared" si="12"/>
        <v>0</v>
      </c>
      <c r="U20" s="17">
        <f t="shared" si="12"/>
        <v>95</v>
      </c>
      <c r="V20" s="17">
        <f t="shared" si="12"/>
        <v>65</v>
      </c>
      <c r="W20" s="17">
        <f t="shared" si="12"/>
        <v>0</v>
      </c>
      <c r="X20" s="17">
        <f t="shared" si="12"/>
        <v>6</v>
      </c>
      <c r="Y20" s="17">
        <f t="shared" si="12"/>
        <v>34</v>
      </c>
      <c r="Z20" s="17">
        <f t="shared" si="12"/>
        <v>1</v>
      </c>
      <c r="AA20" s="17">
        <f t="shared" si="12"/>
        <v>0</v>
      </c>
      <c r="AB20" s="17">
        <f t="shared" si="12"/>
        <v>9</v>
      </c>
      <c r="AC20" s="17">
        <f t="shared" si="12"/>
        <v>278</v>
      </c>
      <c r="AD20" s="17">
        <f t="shared" si="12"/>
        <v>0</v>
      </c>
      <c r="AE20" s="31">
        <f t="shared" si="12"/>
        <v>251</v>
      </c>
      <c r="AF20" s="31">
        <f t="shared" si="12"/>
        <v>529</v>
      </c>
    </row>
    <row r="21" spans="2:32" ht="23.1" customHeight="1" x14ac:dyDescent="0.25">
      <c r="B21" s="23" t="s">
        <v>48</v>
      </c>
      <c r="C21" s="50">
        <v>7</v>
      </c>
      <c r="D21" s="50">
        <v>0</v>
      </c>
      <c r="E21" s="50">
        <v>13</v>
      </c>
      <c r="F21" s="50">
        <v>15</v>
      </c>
      <c r="G21" s="50">
        <v>0</v>
      </c>
      <c r="H21" s="50">
        <v>0</v>
      </c>
      <c r="I21" s="50">
        <v>4</v>
      </c>
      <c r="J21" s="50">
        <v>0</v>
      </c>
      <c r="K21" s="50">
        <v>0</v>
      </c>
      <c r="L21" s="50">
        <v>1</v>
      </c>
      <c r="M21" s="50">
        <v>71</v>
      </c>
      <c r="N21" s="50">
        <v>0</v>
      </c>
      <c r="O21" s="15">
        <f t="shared" si="0"/>
        <v>40</v>
      </c>
      <c r="P21" s="15">
        <f t="shared" si="1"/>
        <v>111</v>
      </c>
      <c r="R21" s="36" t="s">
        <v>20</v>
      </c>
      <c r="S21" s="34">
        <f t="shared" ref="S21:AF21" si="13">SUM(C54:C57)</f>
        <v>36</v>
      </c>
      <c r="T21" s="17">
        <f t="shared" si="13"/>
        <v>0</v>
      </c>
      <c r="U21" s="17">
        <f t="shared" si="13"/>
        <v>119</v>
      </c>
      <c r="V21" s="17">
        <f t="shared" si="13"/>
        <v>54</v>
      </c>
      <c r="W21" s="17">
        <f t="shared" si="13"/>
        <v>0</v>
      </c>
      <c r="X21" s="17">
        <f t="shared" si="13"/>
        <v>9</v>
      </c>
      <c r="Y21" s="17">
        <f t="shared" si="13"/>
        <v>50</v>
      </c>
      <c r="Z21" s="17">
        <f t="shared" si="13"/>
        <v>5</v>
      </c>
      <c r="AA21" s="17">
        <f t="shared" si="13"/>
        <v>0</v>
      </c>
      <c r="AB21" s="17">
        <f t="shared" si="13"/>
        <v>6</v>
      </c>
      <c r="AC21" s="17">
        <f t="shared" si="13"/>
        <v>288</v>
      </c>
      <c r="AD21" s="17">
        <f t="shared" si="13"/>
        <v>0</v>
      </c>
      <c r="AE21" s="31">
        <f t="shared" si="13"/>
        <v>279</v>
      </c>
      <c r="AF21" s="31">
        <f t="shared" si="13"/>
        <v>567</v>
      </c>
    </row>
    <row r="22" spans="2:32" ht="23.1" customHeight="1" x14ac:dyDescent="0.25">
      <c r="B22" s="23" t="s">
        <v>49</v>
      </c>
      <c r="C22" s="50">
        <v>8</v>
      </c>
      <c r="D22" s="50">
        <v>0</v>
      </c>
      <c r="E22" s="50">
        <v>16</v>
      </c>
      <c r="F22" s="50">
        <v>6</v>
      </c>
      <c r="G22" s="50">
        <v>0</v>
      </c>
      <c r="H22" s="50">
        <v>1</v>
      </c>
      <c r="I22" s="50">
        <v>3</v>
      </c>
      <c r="J22" s="50">
        <v>0</v>
      </c>
      <c r="K22" s="50">
        <v>1</v>
      </c>
      <c r="L22" s="50">
        <v>0</v>
      </c>
      <c r="M22" s="50">
        <v>76</v>
      </c>
      <c r="N22" s="50">
        <v>0</v>
      </c>
      <c r="O22" s="15">
        <f t="shared" si="0"/>
        <v>35</v>
      </c>
      <c r="P22" s="15">
        <f t="shared" si="1"/>
        <v>111</v>
      </c>
      <c r="R22" s="38" t="s">
        <v>90</v>
      </c>
      <c r="S22" s="39">
        <f>MAX(S10:S12)</f>
        <v>31</v>
      </c>
      <c r="T22" s="39">
        <f t="shared" ref="T22:AF22" si="14">MAX(T10:T12)</f>
        <v>0</v>
      </c>
      <c r="U22" s="39">
        <f t="shared" si="14"/>
        <v>43</v>
      </c>
      <c r="V22" s="39">
        <f t="shared" si="14"/>
        <v>56</v>
      </c>
      <c r="W22" s="39">
        <f t="shared" si="14"/>
        <v>0</v>
      </c>
      <c r="X22" s="39">
        <f t="shared" si="14"/>
        <v>1</v>
      </c>
      <c r="Y22" s="39">
        <f t="shared" si="14"/>
        <v>24</v>
      </c>
      <c r="Z22" s="39">
        <f t="shared" si="14"/>
        <v>2</v>
      </c>
      <c r="AA22" s="39">
        <f t="shared" si="14"/>
        <v>2</v>
      </c>
      <c r="AB22" s="39">
        <f t="shared" si="14"/>
        <v>7</v>
      </c>
      <c r="AC22" s="39">
        <f t="shared" si="14"/>
        <v>252</v>
      </c>
      <c r="AD22" s="39">
        <f t="shared" si="14"/>
        <v>0</v>
      </c>
      <c r="AE22" s="40">
        <f t="shared" si="14"/>
        <v>161</v>
      </c>
      <c r="AF22" s="40">
        <f t="shared" si="14"/>
        <v>410</v>
      </c>
    </row>
    <row r="23" spans="2:32" ht="23.1" customHeight="1" x14ac:dyDescent="0.25">
      <c r="B23" s="23" t="s">
        <v>50</v>
      </c>
      <c r="C23" s="50">
        <v>6</v>
      </c>
      <c r="D23" s="50">
        <v>0</v>
      </c>
      <c r="E23" s="50">
        <v>17</v>
      </c>
      <c r="F23" s="50">
        <v>18</v>
      </c>
      <c r="G23" s="50">
        <v>0</v>
      </c>
      <c r="H23" s="50">
        <v>0</v>
      </c>
      <c r="I23" s="50">
        <v>7</v>
      </c>
      <c r="J23" s="50">
        <v>0</v>
      </c>
      <c r="K23" s="50">
        <v>0</v>
      </c>
      <c r="L23" s="50">
        <v>3</v>
      </c>
      <c r="M23" s="50">
        <v>64</v>
      </c>
      <c r="N23" s="50">
        <v>0</v>
      </c>
      <c r="O23" s="15">
        <f t="shared" si="0"/>
        <v>51</v>
      </c>
      <c r="P23" s="15">
        <f t="shared" si="1"/>
        <v>115</v>
      </c>
      <c r="R23" s="38" t="s">
        <v>91</v>
      </c>
      <c r="S23" s="39">
        <f>MAX(S13:S18)</f>
        <v>40</v>
      </c>
      <c r="T23" s="39">
        <f t="shared" ref="T23:AF23" si="15">MAX(T13:T18)</f>
        <v>0</v>
      </c>
      <c r="U23" s="39">
        <f t="shared" si="15"/>
        <v>89</v>
      </c>
      <c r="V23" s="39">
        <f t="shared" si="15"/>
        <v>61</v>
      </c>
      <c r="W23" s="39">
        <f t="shared" si="15"/>
        <v>2</v>
      </c>
      <c r="X23" s="39">
        <f t="shared" si="15"/>
        <v>9</v>
      </c>
      <c r="Y23" s="39">
        <f t="shared" si="15"/>
        <v>37</v>
      </c>
      <c r="Z23" s="39">
        <f t="shared" si="15"/>
        <v>4</v>
      </c>
      <c r="AA23" s="39">
        <f t="shared" si="15"/>
        <v>2</v>
      </c>
      <c r="AB23" s="39">
        <f t="shared" si="15"/>
        <v>9</v>
      </c>
      <c r="AC23" s="39">
        <f t="shared" si="15"/>
        <v>282</v>
      </c>
      <c r="AD23" s="39">
        <f t="shared" si="15"/>
        <v>1</v>
      </c>
      <c r="AE23" s="40">
        <f t="shared" si="15"/>
        <v>250</v>
      </c>
      <c r="AF23" s="40">
        <f t="shared" si="15"/>
        <v>515</v>
      </c>
    </row>
    <row r="24" spans="2:32" ht="23.1" customHeight="1" x14ac:dyDescent="0.25">
      <c r="B24" s="23" t="s">
        <v>51</v>
      </c>
      <c r="C24" s="50">
        <v>8</v>
      </c>
      <c r="D24" s="50">
        <v>0</v>
      </c>
      <c r="E24" s="50">
        <v>14</v>
      </c>
      <c r="F24" s="50">
        <v>9</v>
      </c>
      <c r="G24" s="50">
        <v>0</v>
      </c>
      <c r="H24" s="50">
        <v>1</v>
      </c>
      <c r="I24" s="50">
        <v>6</v>
      </c>
      <c r="J24" s="50">
        <v>0</v>
      </c>
      <c r="K24" s="50">
        <v>0</v>
      </c>
      <c r="L24" s="50">
        <v>1</v>
      </c>
      <c r="M24" s="50">
        <v>67</v>
      </c>
      <c r="N24" s="50">
        <v>0</v>
      </c>
      <c r="O24" s="15">
        <f t="shared" si="0"/>
        <v>39</v>
      </c>
      <c r="P24" s="15">
        <f t="shared" si="1"/>
        <v>106</v>
      </c>
      <c r="R24" s="38" t="s">
        <v>92</v>
      </c>
      <c r="S24" s="39">
        <f>MAX(S19:S21)</f>
        <v>41</v>
      </c>
      <c r="T24" s="39">
        <f t="shared" ref="T24:AF24" si="16">MAX(T19:T21)</f>
        <v>0</v>
      </c>
      <c r="U24" s="39">
        <f t="shared" si="16"/>
        <v>119</v>
      </c>
      <c r="V24" s="39">
        <f t="shared" si="16"/>
        <v>71</v>
      </c>
      <c r="W24" s="39">
        <f t="shared" si="16"/>
        <v>3</v>
      </c>
      <c r="X24" s="39">
        <f t="shared" si="16"/>
        <v>9</v>
      </c>
      <c r="Y24" s="39">
        <f t="shared" si="16"/>
        <v>50</v>
      </c>
      <c r="Z24" s="39">
        <f t="shared" si="16"/>
        <v>5</v>
      </c>
      <c r="AA24" s="39">
        <f t="shared" si="16"/>
        <v>0</v>
      </c>
      <c r="AB24" s="39">
        <f t="shared" si="16"/>
        <v>9</v>
      </c>
      <c r="AC24" s="39">
        <f t="shared" si="16"/>
        <v>288</v>
      </c>
      <c r="AD24" s="39">
        <f t="shared" si="16"/>
        <v>0</v>
      </c>
      <c r="AE24" s="40">
        <f t="shared" si="16"/>
        <v>279</v>
      </c>
      <c r="AF24" s="40">
        <f t="shared" si="16"/>
        <v>567</v>
      </c>
    </row>
    <row r="25" spans="2:32" ht="23.1" customHeight="1" x14ac:dyDescent="0.25">
      <c r="B25" s="23" t="s">
        <v>52</v>
      </c>
      <c r="C25" s="50">
        <v>4</v>
      </c>
      <c r="D25" s="50">
        <v>0</v>
      </c>
      <c r="E25" s="50">
        <v>17</v>
      </c>
      <c r="F25" s="50">
        <v>14</v>
      </c>
      <c r="G25" s="50">
        <v>2</v>
      </c>
      <c r="H25" s="50">
        <v>0</v>
      </c>
      <c r="I25" s="50">
        <v>6</v>
      </c>
      <c r="J25" s="50">
        <v>0</v>
      </c>
      <c r="K25" s="50">
        <v>0</v>
      </c>
      <c r="L25" s="50">
        <v>0</v>
      </c>
      <c r="M25" s="50">
        <v>67</v>
      </c>
      <c r="N25" s="50">
        <v>0</v>
      </c>
      <c r="O25" s="15">
        <f t="shared" si="0"/>
        <v>43</v>
      </c>
      <c r="P25" s="15">
        <f t="shared" si="1"/>
        <v>110</v>
      </c>
      <c r="R25" s="37" t="s">
        <v>85</v>
      </c>
      <c r="S25" s="35">
        <f t="shared" ref="S25:AF25" si="17">SUM(S10:S12)</f>
        <v>77</v>
      </c>
      <c r="T25" s="16">
        <f t="shared" si="17"/>
        <v>0</v>
      </c>
      <c r="U25" s="16">
        <f t="shared" si="17"/>
        <v>103</v>
      </c>
      <c r="V25" s="16">
        <f t="shared" si="17"/>
        <v>144</v>
      </c>
      <c r="W25" s="16">
        <f t="shared" si="17"/>
        <v>0</v>
      </c>
      <c r="X25" s="16">
        <f t="shared" si="17"/>
        <v>2</v>
      </c>
      <c r="Y25" s="16">
        <f t="shared" si="17"/>
        <v>57</v>
      </c>
      <c r="Z25" s="16">
        <f t="shared" si="17"/>
        <v>4</v>
      </c>
      <c r="AA25" s="16">
        <f t="shared" si="17"/>
        <v>2</v>
      </c>
      <c r="AB25" s="16">
        <f t="shared" si="17"/>
        <v>19</v>
      </c>
      <c r="AC25" s="16">
        <f t="shared" si="17"/>
        <v>676</v>
      </c>
      <c r="AD25" s="16">
        <f t="shared" si="17"/>
        <v>0</v>
      </c>
      <c r="AE25" s="32">
        <f t="shared" si="17"/>
        <v>408</v>
      </c>
      <c r="AF25" s="32">
        <f t="shared" si="17"/>
        <v>1084</v>
      </c>
    </row>
    <row r="26" spans="2:32" ht="23.1" customHeight="1" x14ac:dyDescent="0.25">
      <c r="B26" s="23" t="s">
        <v>53</v>
      </c>
      <c r="C26" s="50">
        <v>6</v>
      </c>
      <c r="D26" s="50">
        <v>0</v>
      </c>
      <c r="E26" s="50">
        <v>16</v>
      </c>
      <c r="F26" s="50">
        <v>13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1</v>
      </c>
      <c r="M26" s="50">
        <v>65</v>
      </c>
      <c r="N26" s="50">
        <v>0</v>
      </c>
      <c r="O26" s="15">
        <f t="shared" si="0"/>
        <v>37</v>
      </c>
      <c r="P26" s="15">
        <f t="shared" si="1"/>
        <v>102</v>
      </c>
      <c r="R26" s="28" t="s">
        <v>86</v>
      </c>
      <c r="S26" s="16">
        <f t="shared" ref="S26:AF26" si="18">SUM(S13:S18)</f>
        <v>204</v>
      </c>
      <c r="T26" s="16">
        <f t="shared" si="18"/>
        <v>0</v>
      </c>
      <c r="U26" s="16">
        <f t="shared" si="18"/>
        <v>398</v>
      </c>
      <c r="V26" s="16">
        <f t="shared" si="18"/>
        <v>317</v>
      </c>
      <c r="W26" s="16">
        <f t="shared" si="18"/>
        <v>7</v>
      </c>
      <c r="X26" s="16">
        <f t="shared" si="18"/>
        <v>25</v>
      </c>
      <c r="Y26" s="16">
        <f t="shared" si="18"/>
        <v>155</v>
      </c>
      <c r="Z26" s="16">
        <f t="shared" si="18"/>
        <v>8</v>
      </c>
      <c r="AA26" s="16">
        <f t="shared" si="18"/>
        <v>5</v>
      </c>
      <c r="AB26" s="16">
        <f t="shared" si="18"/>
        <v>29</v>
      </c>
      <c r="AC26" s="16">
        <f t="shared" si="18"/>
        <v>1588</v>
      </c>
      <c r="AD26" s="16">
        <f t="shared" si="18"/>
        <v>1</v>
      </c>
      <c r="AE26" s="32">
        <f t="shared" si="18"/>
        <v>1149</v>
      </c>
      <c r="AF26" s="32">
        <f t="shared" si="18"/>
        <v>2737</v>
      </c>
    </row>
    <row r="27" spans="2:32" ht="23.1" customHeight="1" x14ac:dyDescent="0.25">
      <c r="B27" s="23" t="s">
        <v>54</v>
      </c>
      <c r="C27" s="50">
        <v>8</v>
      </c>
      <c r="D27" s="50">
        <v>0</v>
      </c>
      <c r="E27" s="50">
        <v>12</v>
      </c>
      <c r="F27" s="50">
        <v>5</v>
      </c>
      <c r="G27" s="50">
        <v>0</v>
      </c>
      <c r="H27" s="50">
        <v>0</v>
      </c>
      <c r="I27" s="50">
        <v>3</v>
      </c>
      <c r="J27" s="50">
        <v>0</v>
      </c>
      <c r="K27" s="50">
        <v>0</v>
      </c>
      <c r="L27" s="50">
        <v>1</v>
      </c>
      <c r="M27" s="50">
        <v>56</v>
      </c>
      <c r="N27" s="50">
        <v>0</v>
      </c>
      <c r="O27" s="15">
        <f t="shared" si="0"/>
        <v>29</v>
      </c>
      <c r="P27" s="15">
        <f t="shared" si="1"/>
        <v>85</v>
      </c>
      <c r="R27" s="29" t="s">
        <v>87</v>
      </c>
      <c r="S27" s="16">
        <f t="shared" ref="S27:AF27" si="19">SUM(S19:S21)</f>
        <v>113</v>
      </c>
      <c r="T27" s="16">
        <f t="shared" si="19"/>
        <v>0</v>
      </c>
      <c r="U27" s="16">
        <f t="shared" si="19"/>
        <v>302</v>
      </c>
      <c r="V27" s="16">
        <f t="shared" si="19"/>
        <v>190</v>
      </c>
      <c r="W27" s="16">
        <f t="shared" si="19"/>
        <v>3</v>
      </c>
      <c r="X27" s="16">
        <f t="shared" si="19"/>
        <v>20</v>
      </c>
      <c r="Y27" s="16">
        <f t="shared" si="19"/>
        <v>114</v>
      </c>
      <c r="Z27" s="16">
        <f t="shared" si="19"/>
        <v>7</v>
      </c>
      <c r="AA27" s="16">
        <f t="shared" si="19"/>
        <v>0</v>
      </c>
      <c r="AB27" s="16">
        <f t="shared" si="19"/>
        <v>23</v>
      </c>
      <c r="AC27" s="16">
        <f t="shared" si="19"/>
        <v>806</v>
      </c>
      <c r="AD27" s="16">
        <f t="shared" si="19"/>
        <v>0</v>
      </c>
      <c r="AE27" s="32">
        <f t="shared" si="19"/>
        <v>772</v>
      </c>
      <c r="AF27" s="32">
        <f t="shared" si="19"/>
        <v>1578</v>
      </c>
    </row>
    <row r="28" spans="2:32" ht="23.1" customHeight="1" x14ac:dyDescent="0.25">
      <c r="B28" s="23" t="s">
        <v>55</v>
      </c>
      <c r="C28" s="50">
        <v>11</v>
      </c>
      <c r="D28" s="50">
        <v>0</v>
      </c>
      <c r="E28" s="50">
        <v>14</v>
      </c>
      <c r="F28" s="50">
        <v>15</v>
      </c>
      <c r="G28" s="50">
        <v>0</v>
      </c>
      <c r="H28" s="50">
        <v>1</v>
      </c>
      <c r="I28" s="50">
        <v>7</v>
      </c>
      <c r="J28" s="50">
        <v>0</v>
      </c>
      <c r="K28" s="50">
        <v>1</v>
      </c>
      <c r="L28" s="50">
        <v>0</v>
      </c>
      <c r="M28" s="50">
        <v>64</v>
      </c>
      <c r="N28" s="50">
        <v>0</v>
      </c>
      <c r="O28" s="15">
        <f t="shared" si="0"/>
        <v>49</v>
      </c>
      <c r="P28" s="15">
        <f t="shared" si="1"/>
        <v>113</v>
      </c>
      <c r="R28" s="5" t="s">
        <v>17</v>
      </c>
      <c r="S28" s="16">
        <f t="shared" ref="S28:AF28" si="20">SUM(S10:S21)</f>
        <v>394</v>
      </c>
      <c r="T28" s="16">
        <f t="shared" si="20"/>
        <v>0</v>
      </c>
      <c r="U28" s="16">
        <f t="shared" si="20"/>
        <v>803</v>
      </c>
      <c r="V28" s="16">
        <f t="shared" si="20"/>
        <v>651</v>
      </c>
      <c r="W28" s="16">
        <f t="shared" si="20"/>
        <v>10</v>
      </c>
      <c r="X28" s="16">
        <f t="shared" si="20"/>
        <v>47</v>
      </c>
      <c r="Y28" s="16">
        <f t="shared" si="20"/>
        <v>326</v>
      </c>
      <c r="Z28" s="16">
        <f t="shared" si="20"/>
        <v>19</v>
      </c>
      <c r="AA28" s="16">
        <f t="shared" si="20"/>
        <v>7</v>
      </c>
      <c r="AB28" s="16">
        <f t="shared" si="20"/>
        <v>71</v>
      </c>
      <c r="AC28" s="16">
        <f t="shared" si="20"/>
        <v>3070</v>
      </c>
      <c r="AD28" s="16">
        <f t="shared" si="20"/>
        <v>1</v>
      </c>
      <c r="AE28" s="32">
        <f t="shared" si="20"/>
        <v>2329</v>
      </c>
      <c r="AF28" s="32">
        <f t="shared" si="20"/>
        <v>5399</v>
      </c>
    </row>
    <row r="29" spans="2:32" ht="23.1" customHeight="1" x14ac:dyDescent="0.25">
      <c r="B29" s="23" t="s">
        <v>56</v>
      </c>
      <c r="C29" s="50">
        <v>10</v>
      </c>
      <c r="D29" s="50">
        <v>0</v>
      </c>
      <c r="E29" s="50">
        <v>18</v>
      </c>
      <c r="F29" s="50">
        <v>14</v>
      </c>
      <c r="G29" s="50">
        <v>1</v>
      </c>
      <c r="H29" s="50">
        <v>0</v>
      </c>
      <c r="I29" s="50">
        <v>6</v>
      </c>
      <c r="J29" s="50">
        <v>0</v>
      </c>
      <c r="K29" s="50">
        <v>0</v>
      </c>
      <c r="L29" s="50">
        <v>0</v>
      </c>
      <c r="M29" s="50">
        <v>67</v>
      </c>
      <c r="N29" s="50">
        <v>0</v>
      </c>
      <c r="O29" s="15">
        <f t="shared" si="0"/>
        <v>49</v>
      </c>
      <c r="P29" s="15">
        <f t="shared" si="1"/>
        <v>116</v>
      </c>
      <c r="R29"/>
      <c r="S29" s="20"/>
      <c r="T29" s="19"/>
    </row>
    <row r="30" spans="2:32" ht="23.1" customHeight="1" x14ac:dyDescent="0.25">
      <c r="B30" s="23" t="s">
        <v>57</v>
      </c>
      <c r="C30" s="50">
        <v>10</v>
      </c>
      <c r="D30" s="50">
        <v>0</v>
      </c>
      <c r="E30" s="50">
        <v>11</v>
      </c>
      <c r="F30" s="50">
        <v>12</v>
      </c>
      <c r="G30" s="50">
        <v>0</v>
      </c>
      <c r="H30" s="50">
        <v>2</v>
      </c>
      <c r="I30" s="50">
        <v>7</v>
      </c>
      <c r="J30" s="50">
        <v>0</v>
      </c>
      <c r="K30" s="50">
        <v>0</v>
      </c>
      <c r="L30" s="50">
        <v>1</v>
      </c>
      <c r="M30" s="50">
        <v>70</v>
      </c>
      <c r="N30" s="50">
        <v>0</v>
      </c>
      <c r="O30" s="15">
        <f t="shared" si="0"/>
        <v>43</v>
      </c>
      <c r="P30" s="15">
        <f t="shared" si="1"/>
        <v>113</v>
      </c>
    </row>
    <row r="31" spans="2:32" ht="23.1" customHeight="1" x14ac:dyDescent="0.25">
      <c r="B31" s="24" t="s">
        <v>58</v>
      </c>
      <c r="C31" s="50">
        <v>8</v>
      </c>
      <c r="D31" s="50">
        <v>0</v>
      </c>
      <c r="E31" s="50">
        <v>9</v>
      </c>
      <c r="F31" s="50">
        <v>14</v>
      </c>
      <c r="G31" s="50">
        <v>0</v>
      </c>
      <c r="H31" s="50">
        <v>0</v>
      </c>
      <c r="I31" s="50">
        <v>7</v>
      </c>
      <c r="J31" s="50">
        <v>1</v>
      </c>
      <c r="K31" s="50">
        <v>1</v>
      </c>
      <c r="L31" s="50">
        <v>1</v>
      </c>
      <c r="M31" s="50">
        <v>82</v>
      </c>
      <c r="N31" s="50">
        <v>0</v>
      </c>
      <c r="O31" s="15">
        <f t="shared" si="0"/>
        <v>41</v>
      </c>
      <c r="P31" s="15">
        <f t="shared" si="1"/>
        <v>123</v>
      </c>
    </row>
    <row r="32" spans="2:32" ht="23.1" customHeight="1" x14ac:dyDescent="0.25">
      <c r="B32" s="24" t="s">
        <v>59</v>
      </c>
      <c r="C32" s="50">
        <v>10</v>
      </c>
      <c r="D32" s="50">
        <v>0</v>
      </c>
      <c r="E32" s="50">
        <v>9</v>
      </c>
      <c r="F32" s="50">
        <v>10</v>
      </c>
      <c r="G32" s="50">
        <v>0</v>
      </c>
      <c r="H32" s="50">
        <v>1</v>
      </c>
      <c r="I32" s="50">
        <v>7</v>
      </c>
      <c r="J32" s="50">
        <v>0</v>
      </c>
      <c r="K32" s="50">
        <v>0</v>
      </c>
      <c r="L32" s="50">
        <v>1</v>
      </c>
      <c r="M32" s="50">
        <v>62</v>
      </c>
      <c r="N32" s="50">
        <v>0</v>
      </c>
      <c r="O32" s="15">
        <f t="shared" si="0"/>
        <v>38</v>
      </c>
      <c r="P32" s="15">
        <f t="shared" si="1"/>
        <v>100</v>
      </c>
    </row>
    <row r="33" spans="2:20" ht="23.1" customHeight="1" x14ac:dyDescent="0.25">
      <c r="B33" s="23" t="s">
        <v>60</v>
      </c>
      <c r="C33" s="50">
        <v>4</v>
      </c>
      <c r="D33" s="50">
        <v>0</v>
      </c>
      <c r="E33" s="50">
        <v>14</v>
      </c>
      <c r="F33" s="50">
        <v>19</v>
      </c>
      <c r="G33" s="50">
        <v>0</v>
      </c>
      <c r="H33" s="50">
        <v>1</v>
      </c>
      <c r="I33" s="50">
        <v>6</v>
      </c>
      <c r="J33" s="50">
        <v>1</v>
      </c>
      <c r="K33" s="50">
        <v>1</v>
      </c>
      <c r="L33" s="50">
        <v>1</v>
      </c>
      <c r="M33" s="50">
        <v>68</v>
      </c>
      <c r="N33" s="50">
        <v>0</v>
      </c>
      <c r="O33" s="15">
        <f t="shared" si="0"/>
        <v>47</v>
      </c>
      <c r="P33" s="15">
        <f t="shared" si="1"/>
        <v>115</v>
      </c>
    </row>
    <row r="34" spans="2:20" ht="23.1" customHeight="1" x14ac:dyDescent="0.25">
      <c r="B34" s="24" t="s">
        <v>61</v>
      </c>
      <c r="C34" s="50">
        <v>8</v>
      </c>
      <c r="D34" s="50">
        <v>0</v>
      </c>
      <c r="E34" s="50">
        <v>19</v>
      </c>
      <c r="F34" s="50">
        <v>10</v>
      </c>
      <c r="G34" s="50">
        <v>1</v>
      </c>
      <c r="H34" s="50">
        <v>1</v>
      </c>
      <c r="I34" s="50">
        <v>7</v>
      </c>
      <c r="J34" s="50">
        <v>0</v>
      </c>
      <c r="K34" s="50">
        <v>0</v>
      </c>
      <c r="L34" s="50">
        <v>0</v>
      </c>
      <c r="M34" s="50">
        <v>74</v>
      </c>
      <c r="N34" s="50">
        <v>1</v>
      </c>
      <c r="O34" s="15">
        <f t="shared" si="0"/>
        <v>47</v>
      </c>
      <c r="P34" s="15">
        <f t="shared" si="1"/>
        <v>121</v>
      </c>
    </row>
    <row r="35" spans="2:20" ht="23.1" customHeight="1" x14ac:dyDescent="0.25">
      <c r="B35" s="24" t="s">
        <v>62</v>
      </c>
      <c r="C35" s="50">
        <v>8</v>
      </c>
      <c r="D35" s="50">
        <v>0</v>
      </c>
      <c r="E35" s="50">
        <v>14</v>
      </c>
      <c r="F35" s="50">
        <v>9</v>
      </c>
      <c r="G35" s="50">
        <v>1</v>
      </c>
      <c r="H35" s="50">
        <v>0</v>
      </c>
      <c r="I35" s="50">
        <v>6</v>
      </c>
      <c r="J35" s="50">
        <v>2</v>
      </c>
      <c r="K35" s="50">
        <v>0</v>
      </c>
      <c r="L35" s="50">
        <v>2</v>
      </c>
      <c r="M35" s="50">
        <v>81</v>
      </c>
      <c r="N35" s="50">
        <v>0</v>
      </c>
      <c r="O35" s="15">
        <f t="shared" si="0"/>
        <v>42</v>
      </c>
      <c r="P35" s="15">
        <f t="shared" si="1"/>
        <v>123</v>
      </c>
    </row>
    <row r="36" spans="2:20" ht="23.1" customHeight="1" x14ac:dyDescent="0.25">
      <c r="B36" s="24" t="s">
        <v>63</v>
      </c>
      <c r="C36" s="50">
        <v>12</v>
      </c>
      <c r="D36" s="50">
        <v>0</v>
      </c>
      <c r="E36" s="50">
        <v>21</v>
      </c>
      <c r="F36" s="50">
        <v>17</v>
      </c>
      <c r="G36" s="50">
        <v>0</v>
      </c>
      <c r="H36" s="50">
        <v>0</v>
      </c>
      <c r="I36" s="50">
        <v>9</v>
      </c>
      <c r="J36" s="50">
        <v>0</v>
      </c>
      <c r="K36" s="50">
        <v>0</v>
      </c>
      <c r="L36" s="50">
        <v>1</v>
      </c>
      <c r="M36" s="50">
        <v>68</v>
      </c>
      <c r="N36" s="50">
        <v>0</v>
      </c>
      <c r="O36" s="15">
        <f t="shared" si="0"/>
        <v>60</v>
      </c>
      <c r="P36" s="15">
        <f t="shared" si="1"/>
        <v>128</v>
      </c>
    </row>
    <row r="37" spans="2:20" ht="23.1" customHeight="1" x14ac:dyDescent="0.25">
      <c r="B37" s="23" t="s">
        <v>64</v>
      </c>
      <c r="C37" s="50">
        <v>9</v>
      </c>
      <c r="D37" s="50">
        <v>0</v>
      </c>
      <c r="E37" s="50">
        <v>13</v>
      </c>
      <c r="F37" s="50">
        <v>12</v>
      </c>
      <c r="G37" s="50">
        <v>0</v>
      </c>
      <c r="H37" s="50">
        <v>0</v>
      </c>
      <c r="I37" s="50">
        <v>8</v>
      </c>
      <c r="J37" s="50">
        <v>0</v>
      </c>
      <c r="K37" s="50">
        <v>1</v>
      </c>
      <c r="L37" s="50">
        <v>1</v>
      </c>
      <c r="M37" s="50">
        <v>43</v>
      </c>
      <c r="N37" s="50">
        <v>0</v>
      </c>
      <c r="O37" s="15">
        <f t="shared" si="0"/>
        <v>44</v>
      </c>
      <c r="P37" s="15">
        <f t="shared" si="1"/>
        <v>87</v>
      </c>
    </row>
    <row r="38" spans="2:20" ht="23.1" customHeight="1" x14ac:dyDescent="0.25">
      <c r="B38" s="24" t="s">
        <v>65</v>
      </c>
      <c r="C38" s="50">
        <v>16</v>
      </c>
      <c r="D38" s="50">
        <v>0</v>
      </c>
      <c r="E38" s="50">
        <v>21</v>
      </c>
      <c r="F38" s="50">
        <v>14</v>
      </c>
      <c r="G38" s="50">
        <v>0</v>
      </c>
      <c r="H38" s="50">
        <v>4</v>
      </c>
      <c r="I38" s="50">
        <v>7</v>
      </c>
      <c r="J38" s="50">
        <v>1</v>
      </c>
      <c r="K38" s="50">
        <v>0</v>
      </c>
      <c r="L38" s="50">
        <v>4</v>
      </c>
      <c r="M38" s="50">
        <v>63</v>
      </c>
      <c r="N38" s="50">
        <v>0</v>
      </c>
      <c r="O38" s="15">
        <f t="shared" si="0"/>
        <v>67</v>
      </c>
      <c r="P38" s="15">
        <f t="shared" si="1"/>
        <v>130</v>
      </c>
    </row>
    <row r="39" spans="2:20" ht="23.1" customHeight="1" x14ac:dyDescent="0.25">
      <c r="B39" s="24" t="s">
        <v>66</v>
      </c>
      <c r="C39" s="50">
        <v>13</v>
      </c>
      <c r="D39" s="50">
        <v>0</v>
      </c>
      <c r="E39" s="50">
        <v>19</v>
      </c>
      <c r="F39" s="50">
        <v>16</v>
      </c>
      <c r="G39" s="50">
        <v>0</v>
      </c>
      <c r="H39" s="50">
        <v>3</v>
      </c>
      <c r="I39" s="50">
        <v>8</v>
      </c>
      <c r="J39" s="50">
        <v>1</v>
      </c>
      <c r="K39" s="50">
        <v>0</v>
      </c>
      <c r="L39" s="50">
        <v>2</v>
      </c>
      <c r="M39" s="50">
        <v>59</v>
      </c>
      <c r="N39" s="50">
        <v>0</v>
      </c>
      <c r="O39" s="15">
        <f t="shared" si="0"/>
        <v>62</v>
      </c>
      <c r="P39" s="15">
        <f t="shared" si="1"/>
        <v>121</v>
      </c>
    </row>
    <row r="40" spans="2:20" ht="23.1" customHeight="1" x14ac:dyDescent="0.25">
      <c r="B40" s="24" t="s">
        <v>67</v>
      </c>
      <c r="C40" s="50">
        <v>5</v>
      </c>
      <c r="D40" s="50">
        <v>0</v>
      </c>
      <c r="E40" s="50">
        <v>21</v>
      </c>
      <c r="F40" s="50">
        <v>13</v>
      </c>
      <c r="G40" s="50">
        <v>0</v>
      </c>
      <c r="H40" s="50">
        <v>1</v>
      </c>
      <c r="I40" s="50">
        <v>11</v>
      </c>
      <c r="J40" s="50">
        <v>1</v>
      </c>
      <c r="K40" s="50">
        <v>0</v>
      </c>
      <c r="L40" s="50">
        <v>2</v>
      </c>
      <c r="M40" s="50">
        <v>73</v>
      </c>
      <c r="N40" s="50">
        <v>0</v>
      </c>
      <c r="O40" s="15">
        <f t="shared" si="0"/>
        <v>54</v>
      </c>
      <c r="P40" s="15">
        <f t="shared" si="1"/>
        <v>127</v>
      </c>
    </row>
    <row r="41" spans="2:20" ht="23.1" customHeight="1" x14ac:dyDescent="0.25">
      <c r="B41" s="23" t="s">
        <v>68</v>
      </c>
      <c r="C41" s="50">
        <v>6</v>
      </c>
      <c r="D41" s="50">
        <v>0</v>
      </c>
      <c r="E41" s="50">
        <v>28</v>
      </c>
      <c r="F41" s="50">
        <v>18</v>
      </c>
      <c r="G41" s="50">
        <v>1</v>
      </c>
      <c r="H41" s="50">
        <v>1</v>
      </c>
      <c r="I41" s="50">
        <v>11</v>
      </c>
      <c r="J41" s="50">
        <v>1</v>
      </c>
      <c r="K41" s="50">
        <v>0</v>
      </c>
      <c r="L41" s="50">
        <v>1</v>
      </c>
      <c r="M41" s="50">
        <v>70</v>
      </c>
      <c r="N41" s="50">
        <v>0</v>
      </c>
      <c r="O41" s="15">
        <f t="shared" si="0"/>
        <v>67</v>
      </c>
      <c r="P41" s="15">
        <f t="shared" si="1"/>
        <v>137</v>
      </c>
    </row>
    <row r="42" spans="2:20" ht="23.1" customHeight="1" x14ac:dyDescent="0.25">
      <c r="B42" s="24" t="s">
        <v>69</v>
      </c>
      <c r="C42" s="50">
        <v>3</v>
      </c>
      <c r="D42" s="50">
        <v>0</v>
      </c>
      <c r="E42" s="50">
        <v>20</v>
      </c>
      <c r="F42" s="50">
        <v>16</v>
      </c>
      <c r="G42" s="50">
        <v>0</v>
      </c>
      <c r="H42" s="50">
        <v>1</v>
      </c>
      <c r="I42" s="50">
        <v>3</v>
      </c>
      <c r="J42" s="50">
        <v>0</v>
      </c>
      <c r="K42" s="50">
        <v>0</v>
      </c>
      <c r="L42" s="50">
        <v>0</v>
      </c>
      <c r="M42" s="50">
        <v>71</v>
      </c>
      <c r="N42" s="50">
        <v>0</v>
      </c>
      <c r="O42" s="15">
        <f t="shared" si="0"/>
        <v>43</v>
      </c>
      <c r="P42" s="15">
        <f t="shared" si="1"/>
        <v>114</v>
      </c>
    </row>
    <row r="43" spans="2:20" ht="23.1" customHeight="1" x14ac:dyDescent="0.25">
      <c r="B43" s="23" t="s">
        <v>70</v>
      </c>
      <c r="C43" s="50">
        <v>10</v>
      </c>
      <c r="D43" s="50">
        <v>0</v>
      </c>
      <c r="E43" s="50">
        <v>18</v>
      </c>
      <c r="F43" s="50">
        <v>12</v>
      </c>
      <c r="G43" s="50">
        <v>0</v>
      </c>
      <c r="H43" s="50">
        <v>0</v>
      </c>
      <c r="I43" s="50">
        <v>7</v>
      </c>
      <c r="J43" s="50">
        <v>0</v>
      </c>
      <c r="K43" s="50">
        <v>0</v>
      </c>
      <c r="L43" s="50">
        <v>3</v>
      </c>
      <c r="M43" s="50">
        <v>70</v>
      </c>
      <c r="N43" s="50">
        <v>0</v>
      </c>
      <c r="O43" s="15">
        <f t="shared" si="0"/>
        <v>50</v>
      </c>
      <c r="P43" s="15">
        <f t="shared" si="1"/>
        <v>120</v>
      </c>
    </row>
    <row r="44" spans="2:20" ht="23.1" customHeight="1" x14ac:dyDescent="0.25">
      <c r="B44" s="25" t="s">
        <v>71</v>
      </c>
      <c r="C44" s="50">
        <v>10</v>
      </c>
      <c r="D44" s="50">
        <v>0</v>
      </c>
      <c r="E44" s="50">
        <v>19</v>
      </c>
      <c r="F44" s="50">
        <v>11</v>
      </c>
      <c r="G44" s="50">
        <v>0</v>
      </c>
      <c r="H44" s="50">
        <v>3</v>
      </c>
      <c r="I44" s="50">
        <v>6</v>
      </c>
      <c r="J44" s="50">
        <v>0</v>
      </c>
      <c r="K44" s="50">
        <v>0</v>
      </c>
      <c r="L44" s="50">
        <v>2</v>
      </c>
      <c r="M44" s="50">
        <v>56</v>
      </c>
      <c r="N44" s="50">
        <v>0</v>
      </c>
      <c r="O44" s="15">
        <f t="shared" si="0"/>
        <v>51</v>
      </c>
      <c r="P44" s="15">
        <f t="shared" si="1"/>
        <v>107</v>
      </c>
    </row>
    <row r="45" spans="2:20" ht="23.1" customHeight="1" x14ac:dyDescent="0.25">
      <c r="B45" s="23" t="s">
        <v>72</v>
      </c>
      <c r="C45" s="50">
        <v>11</v>
      </c>
      <c r="D45" s="50">
        <v>0</v>
      </c>
      <c r="E45" s="50">
        <v>18</v>
      </c>
      <c r="F45" s="50">
        <v>20</v>
      </c>
      <c r="G45" s="50">
        <v>1</v>
      </c>
      <c r="H45" s="50">
        <v>4</v>
      </c>
      <c r="I45" s="50">
        <v>6</v>
      </c>
      <c r="J45" s="50">
        <v>0</v>
      </c>
      <c r="K45" s="50">
        <v>0</v>
      </c>
      <c r="L45" s="50">
        <v>1</v>
      </c>
      <c r="M45" s="50">
        <v>52</v>
      </c>
      <c r="N45" s="50">
        <v>0</v>
      </c>
      <c r="O45" s="15">
        <f t="shared" si="0"/>
        <v>61</v>
      </c>
      <c r="P45" s="15">
        <f t="shared" si="1"/>
        <v>113</v>
      </c>
    </row>
    <row r="46" spans="2:20" ht="23.1" customHeight="1" x14ac:dyDescent="0.25">
      <c r="B46" s="24" t="s">
        <v>73</v>
      </c>
      <c r="C46" s="50">
        <v>6</v>
      </c>
      <c r="D46" s="50">
        <v>0</v>
      </c>
      <c r="E46" s="50">
        <v>23</v>
      </c>
      <c r="F46" s="50">
        <v>15</v>
      </c>
      <c r="G46" s="50">
        <v>0</v>
      </c>
      <c r="H46" s="50">
        <v>0</v>
      </c>
      <c r="I46" s="50">
        <v>7</v>
      </c>
      <c r="J46" s="50">
        <v>1</v>
      </c>
      <c r="K46" s="50">
        <v>0</v>
      </c>
      <c r="L46" s="50">
        <v>2</v>
      </c>
      <c r="M46" s="50">
        <v>53</v>
      </c>
      <c r="N46" s="50">
        <v>0</v>
      </c>
      <c r="O46" s="15">
        <f t="shared" si="0"/>
        <v>54</v>
      </c>
      <c r="P46" s="15">
        <f t="shared" si="1"/>
        <v>107</v>
      </c>
      <c r="R46" s="8"/>
      <c r="T46"/>
    </row>
    <row r="47" spans="2:20" ht="23.1" customHeight="1" x14ac:dyDescent="0.25">
      <c r="B47" s="24" t="s">
        <v>74</v>
      </c>
      <c r="C47" s="50">
        <v>10</v>
      </c>
      <c r="D47" s="50">
        <v>0</v>
      </c>
      <c r="E47" s="50">
        <v>25</v>
      </c>
      <c r="F47" s="50">
        <v>21</v>
      </c>
      <c r="G47" s="50">
        <v>1</v>
      </c>
      <c r="H47" s="50">
        <v>1</v>
      </c>
      <c r="I47" s="50">
        <v>9</v>
      </c>
      <c r="J47" s="50">
        <v>0</v>
      </c>
      <c r="K47" s="50">
        <v>0</v>
      </c>
      <c r="L47" s="50">
        <v>2</v>
      </c>
      <c r="M47" s="50">
        <v>64</v>
      </c>
      <c r="N47" s="50">
        <v>0</v>
      </c>
      <c r="O47" s="15">
        <f t="shared" si="0"/>
        <v>69</v>
      </c>
      <c r="P47" s="15">
        <f t="shared" si="1"/>
        <v>133</v>
      </c>
      <c r="R47" s="8"/>
      <c r="T47"/>
    </row>
    <row r="48" spans="2:20" ht="23.1" customHeight="1" x14ac:dyDescent="0.25">
      <c r="B48" s="24" t="s">
        <v>75</v>
      </c>
      <c r="C48" s="50">
        <v>13</v>
      </c>
      <c r="D48" s="50">
        <v>0</v>
      </c>
      <c r="E48" s="50">
        <v>18</v>
      </c>
      <c r="F48" s="50">
        <v>17</v>
      </c>
      <c r="G48" s="50">
        <v>2</v>
      </c>
      <c r="H48" s="50">
        <v>4</v>
      </c>
      <c r="I48" s="50">
        <v>7</v>
      </c>
      <c r="J48" s="50">
        <v>0</v>
      </c>
      <c r="K48" s="50">
        <v>0</v>
      </c>
      <c r="L48" s="50">
        <v>2</v>
      </c>
      <c r="M48" s="50">
        <v>63</v>
      </c>
      <c r="N48" s="50">
        <v>0</v>
      </c>
      <c r="O48" s="15">
        <f t="shared" si="0"/>
        <v>63</v>
      </c>
      <c r="P48" s="15">
        <f t="shared" si="1"/>
        <v>126</v>
      </c>
      <c r="R48" s="8"/>
      <c r="T48"/>
    </row>
    <row r="49" spans="2:20" ht="23.1" customHeight="1" x14ac:dyDescent="0.25">
      <c r="B49" s="23" t="s">
        <v>76</v>
      </c>
      <c r="C49" s="50">
        <v>7</v>
      </c>
      <c r="D49" s="50">
        <v>0</v>
      </c>
      <c r="E49" s="50">
        <v>22</v>
      </c>
      <c r="F49" s="50">
        <v>18</v>
      </c>
      <c r="G49" s="50">
        <v>0</v>
      </c>
      <c r="H49" s="50">
        <v>0</v>
      </c>
      <c r="I49" s="50">
        <v>7</v>
      </c>
      <c r="J49" s="50">
        <v>0</v>
      </c>
      <c r="K49" s="50">
        <v>0</v>
      </c>
      <c r="L49" s="50">
        <v>2</v>
      </c>
      <c r="M49" s="50">
        <v>60</v>
      </c>
      <c r="N49" s="50">
        <v>0</v>
      </c>
      <c r="O49" s="15">
        <f t="shared" si="0"/>
        <v>56</v>
      </c>
      <c r="P49" s="15">
        <f t="shared" si="1"/>
        <v>116</v>
      </c>
      <c r="R49" s="8"/>
      <c r="T49"/>
    </row>
    <row r="50" spans="2:20" ht="23.1" customHeight="1" x14ac:dyDescent="0.25">
      <c r="B50" s="24" t="s">
        <v>77</v>
      </c>
      <c r="C50" s="50">
        <v>12</v>
      </c>
      <c r="D50" s="50">
        <v>0</v>
      </c>
      <c r="E50" s="50">
        <v>30</v>
      </c>
      <c r="F50" s="50">
        <v>18</v>
      </c>
      <c r="G50" s="50">
        <v>0</v>
      </c>
      <c r="H50" s="50">
        <v>1</v>
      </c>
      <c r="I50" s="50">
        <v>7</v>
      </c>
      <c r="J50" s="50">
        <v>0</v>
      </c>
      <c r="K50" s="50">
        <v>0</v>
      </c>
      <c r="L50" s="50">
        <v>3</v>
      </c>
      <c r="M50" s="50">
        <v>72</v>
      </c>
      <c r="N50" s="50">
        <v>0</v>
      </c>
      <c r="O50" s="15">
        <f t="shared" si="0"/>
        <v>71</v>
      </c>
      <c r="P50" s="15">
        <f t="shared" si="1"/>
        <v>143</v>
      </c>
      <c r="R50" s="8"/>
      <c r="T50"/>
    </row>
    <row r="51" spans="2:20" ht="23.1" customHeight="1" x14ac:dyDescent="0.25">
      <c r="B51" s="24" t="s">
        <v>78</v>
      </c>
      <c r="C51" s="50">
        <v>13</v>
      </c>
      <c r="D51" s="50">
        <v>0</v>
      </c>
      <c r="E51" s="50">
        <v>15</v>
      </c>
      <c r="F51" s="50">
        <v>19</v>
      </c>
      <c r="G51" s="50">
        <v>0</v>
      </c>
      <c r="H51" s="50">
        <v>1</v>
      </c>
      <c r="I51" s="50">
        <v>8</v>
      </c>
      <c r="J51" s="50">
        <v>0</v>
      </c>
      <c r="K51" s="50">
        <v>0</v>
      </c>
      <c r="L51" s="50">
        <v>3</v>
      </c>
      <c r="M51" s="50">
        <v>63</v>
      </c>
      <c r="N51" s="50">
        <v>0</v>
      </c>
      <c r="O51" s="15">
        <f t="shared" si="0"/>
        <v>59</v>
      </c>
      <c r="P51" s="15">
        <f t="shared" si="1"/>
        <v>122</v>
      </c>
      <c r="R51" s="8"/>
      <c r="T51"/>
    </row>
    <row r="52" spans="2:20" ht="23.1" customHeight="1" x14ac:dyDescent="0.25">
      <c r="B52" s="24" t="s">
        <v>79</v>
      </c>
      <c r="C52" s="50">
        <v>8</v>
      </c>
      <c r="D52" s="50">
        <v>0</v>
      </c>
      <c r="E52" s="50">
        <v>18</v>
      </c>
      <c r="F52" s="50">
        <v>12</v>
      </c>
      <c r="G52" s="50">
        <v>0</v>
      </c>
      <c r="H52" s="50">
        <v>2</v>
      </c>
      <c r="I52" s="50">
        <v>10</v>
      </c>
      <c r="J52" s="50">
        <v>0</v>
      </c>
      <c r="K52" s="50">
        <v>0</v>
      </c>
      <c r="L52" s="50">
        <v>0</v>
      </c>
      <c r="M52" s="50">
        <v>63</v>
      </c>
      <c r="N52" s="50">
        <v>0</v>
      </c>
      <c r="O52" s="15">
        <f t="shared" si="0"/>
        <v>50</v>
      </c>
      <c r="P52" s="15">
        <f t="shared" si="1"/>
        <v>113</v>
      </c>
      <c r="R52" s="8"/>
      <c r="T52"/>
    </row>
    <row r="53" spans="2:20" ht="23.1" customHeight="1" x14ac:dyDescent="0.25">
      <c r="B53" s="23" t="s">
        <v>80</v>
      </c>
      <c r="C53" s="50">
        <v>8</v>
      </c>
      <c r="D53" s="50">
        <v>0</v>
      </c>
      <c r="E53" s="50">
        <v>32</v>
      </c>
      <c r="F53" s="50">
        <v>16</v>
      </c>
      <c r="G53" s="50">
        <v>0</v>
      </c>
      <c r="H53" s="50">
        <v>2</v>
      </c>
      <c r="I53" s="50">
        <v>9</v>
      </c>
      <c r="J53" s="50">
        <v>1</v>
      </c>
      <c r="K53" s="50">
        <v>0</v>
      </c>
      <c r="L53" s="50">
        <v>3</v>
      </c>
      <c r="M53" s="50">
        <v>80</v>
      </c>
      <c r="N53" s="50">
        <v>0</v>
      </c>
      <c r="O53" s="15">
        <f t="shared" si="0"/>
        <v>71</v>
      </c>
      <c r="P53" s="15">
        <f t="shared" si="1"/>
        <v>151</v>
      </c>
      <c r="R53" s="8"/>
      <c r="T53"/>
    </row>
    <row r="54" spans="2:20" ht="23.1" customHeight="1" x14ac:dyDescent="0.25">
      <c r="B54" s="23" t="s">
        <v>81</v>
      </c>
      <c r="C54" s="50">
        <v>9</v>
      </c>
      <c r="D54" s="50">
        <v>0</v>
      </c>
      <c r="E54" s="50">
        <v>17</v>
      </c>
      <c r="F54" s="50">
        <v>12</v>
      </c>
      <c r="G54" s="50">
        <v>0</v>
      </c>
      <c r="H54" s="50">
        <v>1</v>
      </c>
      <c r="I54" s="50">
        <v>9</v>
      </c>
      <c r="J54" s="50">
        <v>1</v>
      </c>
      <c r="K54" s="50">
        <v>0</v>
      </c>
      <c r="L54" s="50">
        <v>1</v>
      </c>
      <c r="M54" s="50">
        <v>54</v>
      </c>
      <c r="N54" s="50">
        <v>0</v>
      </c>
      <c r="O54" s="15">
        <f t="shared" si="0"/>
        <v>50</v>
      </c>
      <c r="P54" s="15">
        <f t="shared" si="1"/>
        <v>104</v>
      </c>
      <c r="R54" s="8"/>
      <c r="T54"/>
    </row>
    <row r="55" spans="2:20" ht="23.1" customHeight="1" x14ac:dyDescent="0.25">
      <c r="B55" s="23" t="s">
        <v>82</v>
      </c>
      <c r="C55" s="50">
        <v>11</v>
      </c>
      <c r="D55" s="50">
        <v>0</v>
      </c>
      <c r="E55" s="50">
        <v>42</v>
      </c>
      <c r="F55" s="50">
        <v>14</v>
      </c>
      <c r="G55" s="50">
        <v>0</v>
      </c>
      <c r="H55" s="50">
        <v>2</v>
      </c>
      <c r="I55" s="50">
        <v>15</v>
      </c>
      <c r="J55" s="50">
        <v>2</v>
      </c>
      <c r="K55" s="50">
        <v>0</v>
      </c>
      <c r="L55" s="50">
        <v>3</v>
      </c>
      <c r="M55" s="50">
        <v>80</v>
      </c>
      <c r="N55" s="50">
        <v>0</v>
      </c>
      <c r="O55" s="15">
        <f t="shared" si="0"/>
        <v>89</v>
      </c>
      <c r="P55" s="15">
        <f t="shared" si="1"/>
        <v>169</v>
      </c>
      <c r="R55" s="8"/>
      <c r="T55"/>
    </row>
    <row r="56" spans="2:20" ht="23.1" customHeight="1" x14ac:dyDescent="0.25">
      <c r="B56" s="23" t="s">
        <v>83</v>
      </c>
      <c r="C56" s="50">
        <v>12</v>
      </c>
      <c r="D56" s="50">
        <v>0</v>
      </c>
      <c r="E56" s="50">
        <v>29</v>
      </c>
      <c r="F56" s="50">
        <v>16</v>
      </c>
      <c r="G56" s="50">
        <v>0</v>
      </c>
      <c r="H56" s="50">
        <v>3</v>
      </c>
      <c r="I56" s="50">
        <v>10</v>
      </c>
      <c r="J56" s="50">
        <v>0</v>
      </c>
      <c r="K56" s="50">
        <v>0</v>
      </c>
      <c r="L56" s="50">
        <v>1</v>
      </c>
      <c r="M56" s="50">
        <v>75</v>
      </c>
      <c r="N56" s="50">
        <v>0</v>
      </c>
      <c r="O56" s="15">
        <f t="shared" si="0"/>
        <v>71</v>
      </c>
      <c r="P56" s="15">
        <f t="shared" si="1"/>
        <v>146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0</v>
      </c>
      <c r="E57" s="50">
        <v>31</v>
      </c>
      <c r="F57" s="50">
        <v>12</v>
      </c>
      <c r="G57" s="50">
        <v>0</v>
      </c>
      <c r="H57" s="50">
        <v>3</v>
      </c>
      <c r="I57" s="50">
        <v>16</v>
      </c>
      <c r="J57" s="50">
        <v>2</v>
      </c>
      <c r="K57" s="50">
        <v>0</v>
      </c>
      <c r="L57" s="50">
        <v>1</v>
      </c>
      <c r="M57" s="50">
        <v>79</v>
      </c>
      <c r="N57" s="50">
        <v>0</v>
      </c>
      <c r="O57" s="15">
        <f t="shared" si="0"/>
        <v>69</v>
      </c>
      <c r="P57" s="15">
        <f t="shared" si="1"/>
        <v>148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394</v>
      </c>
      <c r="D58" s="16">
        <f t="shared" si="21"/>
        <v>0</v>
      </c>
      <c r="E58" s="16">
        <f t="shared" si="21"/>
        <v>803</v>
      </c>
      <c r="F58" s="16">
        <f t="shared" si="21"/>
        <v>651</v>
      </c>
      <c r="G58" s="16">
        <f t="shared" si="21"/>
        <v>10</v>
      </c>
      <c r="H58" s="16">
        <f t="shared" si="21"/>
        <v>47</v>
      </c>
      <c r="I58" s="16">
        <f t="shared" si="21"/>
        <v>326</v>
      </c>
      <c r="J58" s="16">
        <f t="shared" si="21"/>
        <v>19</v>
      </c>
      <c r="K58" s="16">
        <f t="shared" si="21"/>
        <v>7</v>
      </c>
      <c r="L58" s="16">
        <f t="shared" si="21"/>
        <v>71</v>
      </c>
      <c r="M58" s="16">
        <f t="shared" si="21"/>
        <v>3070</v>
      </c>
      <c r="N58" s="16">
        <f t="shared" si="21"/>
        <v>1</v>
      </c>
      <c r="O58" s="16">
        <f t="shared" si="21"/>
        <v>2329</v>
      </c>
      <c r="P58" s="16">
        <f t="shared" si="21"/>
        <v>5399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7.2976477125393596E-2</v>
      </c>
      <c r="D59" s="43">
        <f t="shared" si="22"/>
        <v>0</v>
      </c>
      <c r="E59" s="43">
        <f t="shared" si="22"/>
        <v>0.14873124652713465</v>
      </c>
      <c r="F59" s="43">
        <f t="shared" si="22"/>
        <v>0.12057788479348028</v>
      </c>
      <c r="G59" s="43">
        <f t="shared" si="22"/>
        <v>1.8521948508983144E-3</v>
      </c>
      <c r="H59" s="43">
        <f t="shared" si="22"/>
        <v>8.7053157992220773E-3</v>
      </c>
      <c r="I59" s="43">
        <f t="shared" si="22"/>
        <v>6.0381552139285054E-2</v>
      </c>
      <c r="J59" s="43">
        <f t="shared" si="22"/>
        <v>3.5191702167067978E-3</v>
      </c>
      <c r="K59" s="43">
        <f t="shared" si="22"/>
        <v>1.2965363956288201E-3</v>
      </c>
      <c r="L59" s="43">
        <f t="shared" si="22"/>
        <v>1.3150583441378033E-2</v>
      </c>
      <c r="M59" s="43">
        <f t="shared" si="22"/>
        <v>0.56862381922578253</v>
      </c>
      <c r="N59" s="43">
        <f t="shared" si="22"/>
        <v>1.8521948508983145E-4</v>
      </c>
      <c r="R59" s="8"/>
      <c r="T59"/>
    </row>
    <row r="60" spans="2:20" ht="23.1" customHeight="1" x14ac:dyDescent="0.25">
      <c r="B60" s="42" t="s">
        <v>94</v>
      </c>
      <c r="C60" s="44">
        <f>C58/$O$58</f>
        <v>0.16917131816230141</v>
      </c>
      <c r="D60" s="44">
        <f t="shared" ref="D60:N60" si="23">D58/$O$58</f>
        <v>0</v>
      </c>
      <c r="E60" s="44">
        <f t="shared" si="23"/>
        <v>0.34478316874194931</v>
      </c>
      <c r="F60" s="44">
        <f t="shared" si="23"/>
        <v>0.27951910691283816</v>
      </c>
      <c r="G60" s="44">
        <f t="shared" si="23"/>
        <v>4.2936882782310002E-3</v>
      </c>
      <c r="H60" s="44">
        <f t="shared" si="23"/>
        <v>2.0180334907685702E-2</v>
      </c>
      <c r="I60" s="44">
        <f t="shared" si="23"/>
        <v>0.13997423787033061</v>
      </c>
      <c r="J60" s="44">
        <f t="shared" si="23"/>
        <v>8.1580077286389011E-3</v>
      </c>
      <c r="K60" s="44">
        <f t="shared" si="23"/>
        <v>3.0055817947617003E-3</v>
      </c>
      <c r="L60" s="44">
        <f t="shared" si="23"/>
        <v>3.0485186775440102E-2</v>
      </c>
      <c r="M60" s="44"/>
      <c r="N60" s="44">
        <f t="shared" si="23"/>
        <v>4.2936882782310007E-4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2" tint="-0.249977111117893"/>
  </sheetPr>
  <dimension ref="B1:AF174"/>
  <sheetViews>
    <sheetView view="pageBreakPreview" topLeftCell="A88" zoomScale="60" workbookViewId="0">
      <selection activeCell="L105" sqref="L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'20.8 Kampala-Luweero'!C3:G3</f>
        <v>MCC - C3 - STN87 - Kampala-Gulu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'24.8 Kampala-Luweero'!D5</f>
        <v>24.08.19</v>
      </c>
      <c r="E5" s="3"/>
      <c r="F5" s="41" t="s">
        <v>1</v>
      </c>
      <c r="G5" s="66">
        <f>'24.8 Kampala-Luweero'!G5:H5</f>
        <v>0</v>
      </c>
      <c r="H5" s="67"/>
      <c r="I5" s="14"/>
      <c r="J5" s="2" t="s">
        <v>5</v>
      </c>
      <c r="K5" s="66" t="str">
        <f>'24.8 Kampala-Luweero'!K5:L5</f>
        <v>Godfrey, Ibrahim N, Oliver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">
        <v>169</v>
      </c>
      <c r="E6" s="67"/>
      <c r="F6" s="2" t="s">
        <v>2</v>
      </c>
      <c r="G6" s="66" t="str">
        <f>'21.8 Luweero-Kampala'!G6:H6</f>
        <v>Kampala</v>
      </c>
      <c r="H6" s="67"/>
      <c r="J6" s="2" t="s">
        <v>21</v>
      </c>
      <c r="K6" s="66" t="str">
        <f>'24.8 Kampala-Luweero'!K6:L6</f>
        <v>Martin, Tracy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</v>
      </c>
      <c r="D10" s="50">
        <v>0</v>
      </c>
      <c r="E10" s="50">
        <v>5</v>
      </c>
      <c r="F10" s="50">
        <v>10</v>
      </c>
      <c r="G10" s="50">
        <v>0</v>
      </c>
      <c r="H10" s="50">
        <v>0</v>
      </c>
      <c r="I10" s="50">
        <v>4</v>
      </c>
      <c r="J10" s="50">
        <v>0</v>
      </c>
      <c r="K10" s="50">
        <v>0</v>
      </c>
      <c r="L10" s="50">
        <v>2</v>
      </c>
      <c r="M10" s="50">
        <v>22</v>
      </c>
      <c r="N10" s="50">
        <v>0</v>
      </c>
      <c r="O10" s="15">
        <f t="shared" ref="O10:O73" si="0">SUM(C10:L10,N10)</f>
        <v>23</v>
      </c>
      <c r="P10" s="15">
        <f t="shared" ref="P10:P73" si="1">SUM(C10:N10)</f>
        <v>45</v>
      </c>
      <c r="R10" s="1" t="s">
        <v>6</v>
      </c>
      <c r="S10" s="17">
        <f t="shared" ref="S10:AF10" si="2">SUM(C10:C13)</f>
        <v>6</v>
      </c>
      <c r="T10" s="17">
        <f t="shared" si="2"/>
        <v>0</v>
      </c>
      <c r="U10" s="17">
        <f t="shared" si="2"/>
        <v>28</v>
      </c>
      <c r="V10" s="17">
        <f t="shared" si="2"/>
        <v>39</v>
      </c>
      <c r="W10" s="17">
        <f t="shared" si="2"/>
        <v>2</v>
      </c>
      <c r="X10" s="17">
        <f t="shared" si="2"/>
        <v>1</v>
      </c>
      <c r="Y10" s="17">
        <f t="shared" si="2"/>
        <v>16</v>
      </c>
      <c r="Z10" s="17">
        <f t="shared" si="2"/>
        <v>2</v>
      </c>
      <c r="AA10" s="17">
        <f t="shared" si="2"/>
        <v>0</v>
      </c>
      <c r="AB10" s="17">
        <f t="shared" si="2"/>
        <v>12</v>
      </c>
      <c r="AC10" s="17">
        <f t="shared" si="2"/>
        <v>171</v>
      </c>
      <c r="AD10" s="17">
        <f t="shared" si="2"/>
        <v>0</v>
      </c>
      <c r="AE10" s="31">
        <f t="shared" si="2"/>
        <v>106</v>
      </c>
      <c r="AF10" s="31">
        <f t="shared" si="2"/>
        <v>277</v>
      </c>
    </row>
    <row r="11" spans="2:32" s="6" customFormat="1" ht="23.1" customHeight="1" x14ac:dyDescent="0.25">
      <c r="B11" s="45" t="s">
        <v>38</v>
      </c>
      <c r="C11" s="50">
        <v>1</v>
      </c>
      <c r="D11" s="50">
        <v>0</v>
      </c>
      <c r="E11" s="50">
        <v>3</v>
      </c>
      <c r="F11" s="50">
        <v>8</v>
      </c>
      <c r="G11" s="50">
        <v>0</v>
      </c>
      <c r="H11" s="50">
        <v>1</v>
      </c>
      <c r="I11" s="50">
        <v>4</v>
      </c>
      <c r="J11" s="50">
        <v>0</v>
      </c>
      <c r="K11" s="50">
        <v>0</v>
      </c>
      <c r="L11" s="50">
        <v>2</v>
      </c>
      <c r="M11" s="50">
        <v>38</v>
      </c>
      <c r="N11" s="50">
        <v>0</v>
      </c>
      <c r="O11" s="15">
        <f t="shared" si="0"/>
        <v>19</v>
      </c>
      <c r="P11" s="15">
        <f t="shared" si="1"/>
        <v>57</v>
      </c>
      <c r="R11" s="1" t="s">
        <v>7</v>
      </c>
      <c r="S11" s="17">
        <f t="shared" ref="S11:AF11" si="3">SUM(C14:C17)</f>
        <v>24</v>
      </c>
      <c r="T11" s="17">
        <f t="shared" si="3"/>
        <v>0</v>
      </c>
      <c r="U11" s="17">
        <f t="shared" si="3"/>
        <v>41</v>
      </c>
      <c r="V11" s="17">
        <f t="shared" si="3"/>
        <v>48</v>
      </c>
      <c r="W11" s="17">
        <f t="shared" si="3"/>
        <v>0</v>
      </c>
      <c r="X11" s="17">
        <f t="shared" si="3"/>
        <v>1</v>
      </c>
      <c r="Y11" s="17">
        <f t="shared" si="3"/>
        <v>16</v>
      </c>
      <c r="Z11" s="17">
        <f t="shared" si="3"/>
        <v>1</v>
      </c>
      <c r="AA11" s="17">
        <f t="shared" si="3"/>
        <v>1</v>
      </c>
      <c r="AB11" s="17">
        <f t="shared" si="3"/>
        <v>10</v>
      </c>
      <c r="AC11" s="17">
        <f t="shared" si="3"/>
        <v>216</v>
      </c>
      <c r="AD11" s="17">
        <f t="shared" si="3"/>
        <v>0</v>
      </c>
      <c r="AE11" s="31">
        <f t="shared" si="3"/>
        <v>142</v>
      </c>
      <c r="AF11" s="31">
        <f t="shared" si="3"/>
        <v>358</v>
      </c>
    </row>
    <row r="12" spans="2:32" ht="23.1" customHeight="1" x14ac:dyDescent="0.25">
      <c r="B12" s="45" t="s">
        <v>39</v>
      </c>
      <c r="C12" s="50">
        <v>2</v>
      </c>
      <c r="D12" s="50">
        <v>0</v>
      </c>
      <c r="E12" s="50">
        <v>8</v>
      </c>
      <c r="F12" s="50">
        <v>8</v>
      </c>
      <c r="G12" s="50">
        <v>1</v>
      </c>
      <c r="H12" s="50">
        <v>0</v>
      </c>
      <c r="I12" s="50">
        <v>2</v>
      </c>
      <c r="J12" s="50">
        <v>0</v>
      </c>
      <c r="K12" s="50">
        <v>0</v>
      </c>
      <c r="L12" s="50">
        <v>3</v>
      </c>
      <c r="M12" s="50">
        <v>57</v>
      </c>
      <c r="N12" s="50">
        <v>0</v>
      </c>
      <c r="O12" s="15">
        <f t="shared" si="0"/>
        <v>24</v>
      </c>
      <c r="P12" s="15">
        <f t="shared" si="1"/>
        <v>81</v>
      </c>
      <c r="R12" s="1" t="s">
        <v>8</v>
      </c>
      <c r="S12" s="17">
        <f t="shared" ref="S12:AF12" si="4">SUM(C18:C21)</f>
        <v>23</v>
      </c>
      <c r="T12" s="17">
        <f t="shared" si="4"/>
        <v>0</v>
      </c>
      <c r="U12" s="17">
        <f t="shared" si="4"/>
        <v>46</v>
      </c>
      <c r="V12" s="17">
        <f t="shared" si="4"/>
        <v>47</v>
      </c>
      <c r="W12" s="17">
        <f t="shared" si="4"/>
        <v>1</v>
      </c>
      <c r="X12" s="17">
        <f t="shared" si="4"/>
        <v>1</v>
      </c>
      <c r="Y12" s="17">
        <f t="shared" si="4"/>
        <v>17</v>
      </c>
      <c r="Z12" s="17">
        <f t="shared" si="4"/>
        <v>1</v>
      </c>
      <c r="AA12" s="17">
        <f t="shared" si="4"/>
        <v>1</v>
      </c>
      <c r="AB12" s="17">
        <f t="shared" si="4"/>
        <v>5</v>
      </c>
      <c r="AC12" s="17">
        <f t="shared" si="4"/>
        <v>238</v>
      </c>
      <c r="AD12" s="17">
        <f t="shared" si="4"/>
        <v>0</v>
      </c>
      <c r="AE12" s="31">
        <f t="shared" si="4"/>
        <v>142</v>
      </c>
      <c r="AF12" s="31">
        <f t="shared" si="4"/>
        <v>380</v>
      </c>
    </row>
    <row r="13" spans="2:32" ht="23.1" customHeight="1" x14ac:dyDescent="0.25">
      <c r="B13" s="45" t="s">
        <v>40</v>
      </c>
      <c r="C13" s="50">
        <v>1</v>
      </c>
      <c r="D13" s="50">
        <v>0</v>
      </c>
      <c r="E13" s="50">
        <v>12</v>
      </c>
      <c r="F13" s="50">
        <v>13</v>
      </c>
      <c r="G13" s="50">
        <v>1</v>
      </c>
      <c r="H13" s="50">
        <v>0</v>
      </c>
      <c r="I13" s="50">
        <v>6</v>
      </c>
      <c r="J13" s="50">
        <v>2</v>
      </c>
      <c r="K13" s="50">
        <v>0</v>
      </c>
      <c r="L13" s="50">
        <v>5</v>
      </c>
      <c r="M13" s="50">
        <v>54</v>
      </c>
      <c r="N13" s="50">
        <v>0</v>
      </c>
      <c r="O13" s="15">
        <f t="shared" si="0"/>
        <v>40</v>
      </c>
      <c r="P13" s="15">
        <f t="shared" si="1"/>
        <v>94</v>
      </c>
      <c r="R13" s="1" t="s">
        <v>9</v>
      </c>
      <c r="S13" s="17">
        <f t="shared" ref="S13:AF13" si="5">SUM(C22:C25)</f>
        <v>15</v>
      </c>
      <c r="T13" s="17">
        <f t="shared" si="5"/>
        <v>0</v>
      </c>
      <c r="U13" s="17">
        <f t="shared" si="5"/>
        <v>74</v>
      </c>
      <c r="V13" s="17">
        <f t="shared" si="5"/>
        <v>53</v>
      </c>
      <c r="W13" s="17">
        <f t="shared" si="5"/>
        <v>0</v>
      </c>
      <c r="X13" s="17">
        <f t="shared" si="5"/>
        <v>1</v>
      </c>
      <c r="Y13" s="17">
        <f t="shared" si="5"/>
        <v>22</v>
      </c>
      <c r="Z13" s="17">
        <f t="shared" si="5"/>
        <v>1</v>
      </c>
      <c r="AA13" s="17">
        <f t="shared" si="5"/>
        <v>0</v>
      </c>
      <c r="AB13" s="17">
        <f t="shared" si="5"/>
        <v>5</v>
      </c>
      <c r="AC13" s="17">
        <f t="shared" si="5"/>
        <v>277</v>
      </c>
      <c r="AD13" s="17">
        <f t="shared" si="5"/>
        <v>0</v>
      </c>
      <c r="AE13" s="31">
        <f t="shared" si="5"/>
        <v>171</v>
      </c>
      <c r="AF13" s="31">
        <f t="shared" si="5"/>
        <v>448</v>
      </c>
    </row>
    <row r="14" spans="2:32" ht="23.1" customHeight="1" x14ac:dyDescent="0.25">
      <c r="B14" s="45" t="s">
        <v>41</v>
      </c>
      <c r="C14" s="50">
        <v>4</v>
      </c>
      <c r="D14" s="50">
        <v>0</v>
      </c>
      <c r="E14" s="50">
        <v>8</v>
      </c>
      <c r="F14" s="50">
        <v>7</v>
      </c>
      <c r="G14" s="50">
        <v>0</v>
      </c>
      <c r="H14" s="50">
        <v>0</v>
      </c>
      <c r="I14" s="50">
        <v>4</v>
      </c>
      <c r="J14" s="50">
        <v>0</v>
      </c>
      <c r="K14" s="50">
        <v>0</v>
      </c>
      <c r="L14" s="50">
        <v>1</v>
      </c>
      <c r="M14" s="50">
        <v>49</v>
      </c>
      <c r="N14" s="50">
        <v>0</v>
      </c>
      <c r="O14" s="15">
        <f t="shared" si="0"/>
        <v>24</v>
      </c>
      <c r="P14" s="15">
        <f t="shared" si="1"/>
        <v>73</v>
      </c>
      <c r="R14" s="1" t="s">
        <v>10</v>
      </c>
      <c r="S14" s="17">
        <f t="shared" ref="S14:AF14" si="6">SUM(C26:C29)</f>
        <v>17</v>
      </c>
      <c r="T14" s="17">
        <f t="shared" si="6"/>
        <v>0</v>
      </c>
      <c r="U14" s="17">
        <f t="shared" si="6"/>
        <v>58</v>
      </c>
      <c r="V14" s="17">
        <f t="shared" si="6"/>
        <v>43</v>
      </c>
      <c r="W14" s="17">
        <f t="shared" si="6"/>
        <v>1</v>
      </c>
      <c r="X14" s="17">
        <f t="shared" si="6"/>
        <v>3</v>
      </c>
      <c r="Y14" s="17">
        <f t="shared" si="6"/>
        <v>24</v>
      </c>
      <c r="Z14" s="17">
        <f t="shared" si="6"/>
        <v>1</v>
      </c>
      <c r="AA14" s="17">
        <f t="shared" si="6"/>
        <v>0</v>
      </c>
      <c r="AB14" s="17">
        <f t="shared" si="6"/>
        <v>9</v>
      </c>
      <c r="AC14" s="17">
        <f t="shared" si="6"/>
        <v>219</v>
      </c>
      <c r="AD14" s="17">
        <f t="shared" si="6"/>
        <v>0</v>
      </c>
      <c r="AE14" s="31">
        <f t="shared" si="6"/>
        <v>156</v>
      </c>
      <c r="AF14" s="31">
        <f t="shared" si="6"/>
        <v>375</v>
      </c>
    </row>
    <row r="15" spans="2:32" ht="23.1" customHeight="1" x14ac:dyDescent="0.25">
      <c r="B15" s="45" t="s">
        <v>42</v>
      </c>
      <c r="C15" s="50">
        <v>5</v>
      </c>
      <c r="D15" s="50">
        <v>0</v>
      </c>
      <c r="E15" s="50">
        <v>8</v>
      </c>
      <c r="F15" s="50">
        <v>12</v>
      </c>
      <c r="G15" s="50">
        <v>0</v>
      </c>
      <c r="H15" s="50">
        <v>0</v>
      </c>
      <c r="I15" s="50">
        <v>4</v>
      </c>
      <c r="J15" s="50">
        <v>0</v>
      </c>
      <c r="K15" s="50">
        <v>0</v>
      </c>
      <c r="L15" s="50">
        <v>3</v>
      </c>
      <c r="M15" s="50">
        <v>59</v>
      </c>
      <c r="N15" s="50">
        <v>0</v>
      </c>
      <c r="O15" s="15">
        <f t="shared" si="0"/>
        <v>32</v>
      </c>
      <c r="P15" s="15">
        <f t="shared" si="1"/>
        <v>91</v>
      </c>
      <c r="R15" s="1" t="s">
        <v>11</v>
      </c>
      <c r="S15" s="17">
        <f t="shared" ref="S15:AF15" si="7">SUM(C30:C33)</f>
        <v>26</v>
      </c>
      <c r="T15" s="17">
        <f t="shared" si="7"/>
        <v>0</v>
      </c>
      <c r="U15" s="17">
        <f t="shared" si="7"/>
        <v>56</v>
      </c>
      <c r="V15" s="17">
        <f t="shared" si="7"/>
        <v>44</v>
      </c>
      <c r="W15" s="17">
        <f t="shared" si="7"/>
        <v>2</v>
      </c>
      <c r="X15" s="17">
        <f t="shared" si="7"/>
        <v>2</v>
      </c>
      <c r="Y15" s="17">
        <f t="shared" si="7"/>
        <v>17</v>
      </c>
      <c r="Z15" s="17">
        <f t="shared" si="7"/>
        <v>4</v>
      </c>
      <c r="AA15" s="17">
        <f t="shared" si="7"/>
        <v>1</v>
      </c>
      <c r="AB15" s="17">
        <f t="shared" si="7"/>
        <v>9</v>
      </c>
      <c r="AC15" s="17">
        <f t="shared" si="7"/>
        <v>230</v>
      </c>
      <c r="AD15" s="17">
        <f t="shared" si="7"/>
        <v>0</v>
      </c>
      <c r="AE15" s="31">
        <f t="shared" si="7"/>
        <v>161</v>
      </c>
      <c r="AF15" s="31">
        <f t="shared" si="7"/>
        <v>391</v>
      </c>
    </row>
    <row r="16" spans="2:32" ht="23.1" customHeight="1" x14ac:dyDescent="0.25">
      <c r="B16" s="45" t="s">
        <v>43</v>
      </c>
      <c r="C16" s="50">
        <v>8</v>
      </c>
      <c r="D16" s="50">
        <v>0</v>
      </c>
      <c r="E16" s="50">
        <v>9</v>
      </c>
      <c r="F16" s="50">
        <v>13</v>
      </c>
      <c r="G16" s="50">
        <v>0</v>
      </c>
      <c r="H16" s="50">
        <v>1</v>
      </c>
      <c r="I16" s="50">
        <v>6</v>
      </c>
      <c r="J16" s="50">
        <v>0</v>
      </c>
      <c r="K16" s="50">
        <v>0</v>
      </c>
      <c r="L16" s="50">
        <v>1</v>
      </c>
      <c r="M16" s="50">
        <v>56</v>
      </c>
      <c r="N16" s="50">
        <v>0</v>
      </c>
      <c r="O16" s="15">
        <f t="shared" si="0"/>
        <v>38</v>
      </c>
      <c r="P16" s="15">
        <f t="shared" si="1"/>
        <v>94</v>
      </c>
      <c r="R16" s="1" t="s">
        <v>12</v>
      </c>
      <c r="S16" s="17">
        <f t="shared" ref="S16:AF16" si="8">SUM(C34:C37)</f>
        <v>31</v>
      </c>
      <c r="T16" s="17">
        <f t="shared" si="8"/>
        <v>0</v>
      </c>
      <c r="U16" s="17">
        <f t="shared" si="8"/>
        <v>65</v>
      </c>
      <c r="V16" s="17">
        <f t="shared" si="8"/>
        <v>48</v>
      </c>
      <c r="W16" s="17">
        <f t="shared" si="8"/>
        <v>2</v>
      </c>
      <c r="X16" s="17">
        <f t="shared" si="8"/>
        <v>5</v>
      </c>
      <c r="Y16" s="17">
        <f t="shared" si="8"/>
        <v>29</v>
      </c>
      <c r="Z16" s="17">
        <f t="shared" si="8"/>
        <v>3</v>
      </c>
      <c r="AA16" s="17">
        <f t="shared" si="8"/>
        <v>1</v>
      </c>
      <c r="AB16" s="17">
        <f t="shared" si="8"/>
        <v>2</v>
      </c>
      <c r="AC16" s="17">
        <f t="shared" si="8"/>
        <v>220</v>
      </c>
      <c r="AD16" s="17">
        <f t="shared" si="8"/>
        <v>0</v>
      </c>
      <c r="AE16" s="31">
        <f t="shared" si="8"/>
        <v>186</v>
      </c>
      <c r="AF16" s="31">
        <f t="shared" si="8"/>
        <v>406</v>
      </c>
    </row>
    <row r="17" spans="2:32" ht="23.1" customHeight="1" x14ac:dyDescent="0.25">
      <c r="B17" s="45" t="s">
        <v>44</v>
      </c>
      <c r="C17" s="50">
        <v>7</v>
      </c>
      <c r="D17" s="50">
        <v>0</v>
      </c>
      <c r="E17" s="50">
        <v>16</v>
      </c>
      <c r="F17" s="50">
        <v>16</v>
      </c>
      <c r="G17" s="50">
        <v>0</v>
      </c>
      <c r="H17" s="50">
        <v>0</v>
      </c>
      <c r="I17" s="50">
        <v>2</v>
      </c>
      <c r="J17" s="50">
        <v>1</v>
      </c>
      <c r="K17" s="50">
        <v>1</v>
      </c>
      <c r="L17" s="50">
        <v>5</v>
      </c>
      <c r="M17" s="50">
        <v>52</v>
      </c>
      <c r="N17" s="50">
        <v>0</v>
      </c>
      <c r="O17" s="15">
        <f t="shared" si="0"/>
        <v>48</v>
      </c>
      <c r="P17" s="15">
        <f t="shared" si="1"/>
        <v>100</v>
      </c>
      <c r="R17" s="1" t="s">
        <v>13</v>
      </c>
      <c r="S17" s="17">
        <f t="shared" ref="S17:AF17" si="9">SUM(C38:C41)</f>
        <v>43</v>
      </c>
      <c r="T17" s="17">
        <f t="shared" si="9"/>
        <v>0</v>
      </c>
      <c r="U17" s="17">
        <f t="shared" si="9"/>
        <v>65</v>
      </c>
      <c r="V17" s="17">
        <f t="shared" si="9"/>
        <v>42</v>
      </c>
      <c r="W17" s="17">
        <f t="shared" si="9"/>
        <v>1</v>
      </c>
      <c r="X17" s="17">
        <f t="shared" si="9"/>
        <v>7</v>
      </c>
      <c r="Y17" s="17">
        <f t="shared" si="9"/>
        <v>31</v>
      </c>
      <c r="Z17" s="17">
        <f t="shared" si="9"/>
        <v>0</v>
      </c>
      <c r="AA17" s="17">
        <f t="shared" si="9"/>
        <v>1</v>
      </c>
      <c r="AB17" s="17">
        <f t="shared" si="9"/>
        <v>10</v>
      </c>
      <c r="AC17" s="17">
        <f t="shared" si="9"/>
        <v>243</v>
      </c>
      <c r="AD17" s="17">
        <f t="shared" si="9"/>
        <v>0</v>
      </c>
      <c r="AE17" s="31">
        <f t="shared" si="9"/>
        <v>200</v>
      </c>
      <c r="AF17" s="31">
        <f t="shared" si="9"/>
        <v>443</v>
      </c>
    </row>
    <row r="18" spans="2:32" ht="23.1" customHeight="1" x14ac:dyDescent="0.25">
      <c r="B18" s="45" t="s">
        <v>45</v>
      </c>
      <c r="C18" s="50">
        <v>3</v>
      </c>
      <c r="D18" s="50">
        <v>0</v>
      </c>
      <c r="E18" s="50">
        <v>12</v>
      </c>
      <c r="F18" s="50">
        <v>8</v>
      </c>
      <c r="G18" s="50">
        <v>0</v>
      </c>
      <c r="H18" s="50">
        <v>0</v>
      </c>
      <c r="I18" s="50">
        <v>3</v>
      </c>
      <c r="J18" s="50">
        <v>1</v>
      </c>
      <c r="K18" s="50">
        <v>0</v>
      </c>
      <c r="L18" s="50">
        <v>0</v>
      </c>
      <c r="M18" s="50">
        <v>52</v>
      </c>
      <c r="N18" s="50">
        <v>0</v>
      </c>
      <c r="O18" s="15">
        <f t="shared" si="0"/>
        <v>27</v>
      </c>
      <c r="P18" s="15">
        <f t="shared" si="1"/>
        <v>79</v>
      </c>
      <c r="R18" s="1" t="s">
        <v>14</v>
      </c>
      <c r="S18" s="17">
        <f t="shared" ref="S18:AF18" si="10">SUM(C42:C45)</f>
        <v>36</v>
      </c>
      <c r="T18" s="17">
        <f t="shared" si="10"/>
        <v>0</v>
      </c>
      <c r="U18" s="17">
        <f t="shared" si="10"/>
        <v>69</v>
      </c>
      <c r="V18" s="17">
        <f t="shared" si="10"/>
        <v>49</v>
      </c>
      <c r="W18" s="17">
        <f t="shared" si="10"/>
        <v>0</v>
      </c>
      <c r="X18" s="17">
        <f t="shared" si="10"/>
        <v>7</v>
      </c>
      <c r="Y18" s="17">
        <f t="shared" si="10"/>
        <v>26</v>
      </c>
      <c r="Z18" s="17">
        <f t="shared" si="10"/>
        <v>0</v>
      </c>
      <c r="AA18" s="17">
        <f t="shared" si="10"/>
        <v>0</v>
      </c>
      <c r="AB18" s="17">
        <f t="shared" si="10"/>
        <v>11</v>
      </c>
      <c r="AC18" s="17">
        <f t="shared" si="10"/>
        <v>234</v>
      </c>
      <c r="AD18" s="17">
        <f t="shared" si="10"/>
        <v>0</v>
      </c>
      <c r="AE18" s="31">
        <f t="shared" si="10"/>
        <v>198</v>
      </c>
      <c r="AF18" s="31">
        <f t="shared" si="10"/>
        <v>432</v>
      </c>
    </row>
    <row r="19" spans="2:32" ht="23.1" customHeight="1" x14ac:dyDescent="0.25">
      <c r="B19" s="45" t="s">
        <v>46</v>
      </c>
      <c r="C19" s="50">
        <v>11</v>
      </c>
      <c r="D19" s="50">
        <v>0</v>
      </c>
      <c r="E19" s="50">
        <v>11</v>
      </c>
      <c r="F19" s="50">
        <v>15</v>
      </c>
      <c r="G19" s="50">
        <v>0</v>
      </c>
      <c r="H19" s="50">
        <v>0</v>
      </c>
      <c r="I19" s="50">
        <v>2</v>
      </c>
      <c r="J19" s="50">
        <v>0</v>
      </c>
      <c r="K19" s="50">
        <v>1</v>
      </c>
      <c r="L19" s="50">
        <v>2</v>
      </c>
      <c r="M19" s="50">
        <v>52</v>
      </c>
      <c r="N19" s="50">
        <v>0</v>
      </c>
      <c r="O19" s="15">
        <f t="shared" si="0"/>
        <v>42</v>
      </c>
      <c r="P19" s="15">
        <f t="shared" si="1"/>
        <v>94</v>
      </c>
      <c r="R19" s="1" t="s">
        <v>15</v>
      </c>
      <c r="S19" s="17">
        <f t="shared" ref="S19:AF19" si="11">SUM(C46:C49)</f>
        <v>32</v>
      </c>
      <c r="T19" s="17">
        <f t="shared" si="11"/>
        <v>0</v>
      </c>
      <c r="U19" s="17">
        <f t="shared" si="11"/>
        <v>78</v>
      </c>
      <c r="V19" s="17">
        <f t="shared" si="11"/>
        <v>53</v>
      </c>
      <c r="W19" s="17">
        <f t="shared" si="11"/>
        <v>1</v>
      </c>
      <c r="X19" s="17">
        <f t="shared" si="11"/>
        <v>4</v>
      </c>
      <c r="Y19" s="17">
        <f t="shared" si="11"/>
        <v>31</v>
      </c>
      <c r="Z19" s="17">
        <f t="shared" si="11"/>
        <v>1</v>
      </c>
      <c r="AA19" s="17">
        <f t="shared" si="11"/>
        <v>0</v>
      </c>
      <c r="AB19" s="17">
        <f t="shared" si="11"/>
        <v>9</v>
      </c>
      <c r="AC19" s="17">
        <f t="shared" si="11"/>
        <v>229</v>
      </c>
      <c r="AD19" s="17">
        <f t="shared" si="11"/>
        <v>0</v>
      </c>
      <c r="AE19" s="31">
        <f t="shared" si="11"/>
        <v>209</v>
      </c>
      <c r="AF19" s="31">
        <f t="shared" si="11"/>
        <v>438</v>
      </c>
    </row>
    <row r="20" spans="2:32" ht="23.1" customHeight="1" x14ac:dyDescent="0.25">
      <c r="B20" s="45" t="s">
        <v>47</v>
      </c>
      <c r="C20" s="50">
        <v>5</v>
      </c>
      <c r="D20" s="50">
        <v>0</v>
      </c>
      <c r="E20" s="50">
        <v>10</v>
      </c>
      <c r="F20" s="50">
        <v>12</v>
      </c>
      <c r="G20" s="50">
        <v>0</v>
      </c>
      <c r="H20" s="50">
        <v>0</v>
      </c>
      <c r="I20" s="50">
        <v>7</v>
      </c>
      <c r="J20" s="50">
        <v>0</v>
      </c>
      <c r="K20" s="50">
        <v>0</v>
      </c>
      <c r="L20" s="50">
        <v>2</v>
      </c>
      <c r="M20" s="50">
        <v>60</v>
      </c>
      <c r="N20" s="50">
        <v>0</v>
      </c>
      <c r="O20" s="15">
        <f t="shared" si="0"/>
        <v>36</v>
      </c>
      <c r="P20" s="15">
        <f t="shared" si="1"/>
        <v>96</v>
      </c>
      <c r="R20" s="1" t="s">
        <v>16</v>
      </c>
      <c r="S20" s="17">
        <f t="shared" ref="S20:AF20" si="12">SUM(C50:C53)</f>
        <v>36</v>
      </c>
      <c r="T20" s="17">
        <f t="shared" si="12"/>
        <v>0</v>
      </c>
      <c r="U20" s="17">
        <f t="shared" si="12"/>
        <v>71</v>
      </c>
      <c r="V20" s="17">
        <f t="shared" si="12"/>
        <v>57</v>
      </c>
      <c r="W20" s="17">
        <f t="shared" si="12"/>
        <v>1</v>
      </c>
      <c r="X20" s="17">
        <f t="shared" si="12"/>
        <v>5</v>
      </c>
      <c r="Y20" s="17">
        <f t="shared" si="12"/>
        <v>26</v>
      </c>
      <c r="Z20" s="17">
        <f t="shared" si="12"/>
        <v>1</v>
      </c>
      <c r="AA20" s="17">
        <f t="shared" si="12"/>
        <v>0</v>
      </c>
      <c r="AB20" s="17">
        <f t="shared" si="12"/>
        <v>7</v>
      </c>
      <c r="AC20" s="17">
        <f t="shared" si="12"/>
        <v>307</v>
      </c>
      <c r="AD20" s="17">
        <f t="shared" si="12"/>
        <v>0</v>
      </c>
      <c r="AE20" s="31">
        <f t="shared" si="12"/>
        <v>204</v>
      </c>
      <c r="AF20" s="31">
        <f t="shared" si="12"/>
        <v>511</v>
      </c>
    </row>
    <row r="21" spans="2:32" ht="23.1" customHeight="1" x14ac:dyDescent="0.25">
      <c r="B21" s="45" t="s">
        <v>48</v>
      </c>
      <c r="C21" s="50">
        <v>4</v>
      </c>
      <c r="D21" s="50">
        <v>0</v>
      </c>
      <c r="E21" s="50">
        <v>13</v>
      </c>
      <c r="F21" s="50">
        <v>12</v>
      </c>
      <c r="G21" s="50">
        <v>1</v>
      </c>
      <c r="H21" s="50">
        <v>1</v>
      </c>
      <c r="I21" s="50">
        <v>5</v>
      </c>
      <c r="J21" s="50">
        <v>0</v>
      </c>
      <c r="K21" s="50">
        <v>0</v>
      </c>
      <c r="L21" s="50">
        <v>1</v>
      </c>
      <c r="M21" s="50">
        <v>74</v>
      </c>
      <c r="N21" s="50">
        <v>0</v>
      </c>
      <c r="O21" s="15">
        <f t="shared" si="0"/>
        <v>37</v>
      </c>
      <c r="P21" s="15">
        <f t="shared" si="1"/>
        <v>111</v>
      </c>
      <c r="R21" s="36" t="s">
        <v>20</v>
      </c>
      <c r="S21" s="34">
        <f t="shared" ref="S21:AF21" si="13">SUM(C54:C57)</f>
        <v>51</v>
      </c>
      <c r="T21" s="17">
        <f t="shared" si="13"/>
        <v>0</v>
      </c>
      <c r="U21" s="17">
        <f t="shared" si="13"/>
        <v>66</v>
      </c>
      <c r="V21" s="17">
        <f t="shared" si="13"/>
        <v>50</v>
      </c>
      <c r="W21" s="17">
        <f t="shared" si="13"/>
        <v>2</v>
      </c>
      <c r="X21" s="17">
        <f t="shared" si="13"/>
        <v>7</v>
      </c>
      <c r="Y21" s="17">
        <f t="shared" si="13"/>
        <v>28</v>
      </c>
      <c r="Z21" s="17">
        <f t="shared" si="13"/>
        <v>2</v>
      </c>
      <c r="AA21" s="17">
        <f t="shared" si="13"/>
        <v>1</v>
      </c>
      <c r="AB21" s="17">
        <f t="shared" si="13"/>
        <v>11</v>
      </c>
      <c r="AC21" s="17">
        <f t="shared" si="13"/>
        <v>280</v>
      </c>
      <c r="AD21" s="17">
        <f t="shared" si="13"/>
        <v>0</v>
      </c>
      <c r="AE21" s="31">
        <f t="shared" si="13"/>
        <v>218</v>
      </c>
      <c r="AF21" s="31">
        <f t="shared" si="13"/>
        <v>498</v>
      </c>
    </row>
    <row r="22" spans="2:32" ht="23.1" customHeight="1" x14ac:dyDescent="0.25">
      <c r="B22" s="45" t="s">
        <v>49</v>
      </c>
      <c r="C22" s="50">
        <v>1</v>
      </c>
      <c r="D22" s="50">
        <v>0</v>
      </c>
      <c r="E22" s="50">
        <v>12</v>
      </c>
      <c r="F22" s="50">
        <v>12</v>
      </c>
      <c r="G22" s="50">
        <v>0</v>
      </c>
      <c r="H22" s="50">
        <v>0</v>
      </c>
      <c r="I22" s="50">
        <v>8</v>
      </c>
      <c r="J22" s="50">
        <v>0</v>
      </c>
      <c r="K22" s="50">
        <v>0</v>
      </c>
      <c r="L22" s="50">
        <v>0</v>
      </c>
      <c r="M22" s="50">
        <v>69</v>
      </c>
      <c r="N22" s="50">
        <v>0</v>
      </c>
      <c r="O22" s="15">
        <f t="shared" si="0"/>
        <v>33</v>
      </c>
      <c r="P22" s="15">
        <f t="shared" si="1"/>
        <v>102</v>
      </c>
      <c r="R22" s="36" t="s">
        <v>146</v>
      </c>
      <c r="S22" s="34">
        <f>SUM(C58:C61)</f>
        <v>27</v>
      </c>
      <c r="T22" s="34">
        <f t="shared" ref="T22:AF22" si="14">SUM(D58:D61)</f>
        <v>6</v>
      </c>
      <c r="U22" s="34">
        <f t="shared" si="14"/>
        <v>25</v>
      </c>
      <c r="V22" s="34">
        <f t="shared" si="14"/>
        <v>42</v>
      </c>
      <c r="W22" s="34">
        <f t="shared" si="14"/>
        <v>0</v>
      </c>
      <c r="X22" s="34">
        <f t="shared" si="14"/>
        <v>2</v>
      </c>
      <c r="Y22" s="34">
        <f t="shared" si="14"/>
        <v>32</v>
      </c>
      <c r="Z22" s="34">
        <f t="shared" si="14"/>
        <v>1</v>
      </c>
      <c r="AA22" s="34">
        <f t="shared" si="14"/>
        <v>1</v>
      </c>
      <c r="AB22" s="34">
        <f t="shared" si="14"/>
        <v>10</v>
      </c>
      <c r="AC22" s="34">
        <f t="shared" si="14"/>
        <v>237</v>
      </c>
      <c r="AD22" s="34">
        <f t="shared" si="14"/>
        <v>0</v>
      </c>
      <c r="AE22" s="31">
        <f t="shared" si="14"/>
        <v>146</v>
      </c>
      <c r="AF22" s="31">
        <f t="shared" si="14"/>
        <v>383</v>
      </c>
    </row>
    <row r="23" spans="2:32" ht="23.1" customHeight="1" x14ac:dyDescent="0.25">
      <c r="B23" s="45" t="s">
        <v>50</v>
      </c>
      <c r="C23" s="50">
        <v>7</v>
      </c>
      <c r="D23" s="50">
        <v>0</v>
      </c>
      <c r="E23" s="50">
        <v>22</v>
      </c>
      <c r="F23" s="50">
        <v>13</v>
      </c>
      <c r="G23" s="50">
        <v>0</v>
      </c>
      <c r="H23" s="50">
        <v>0</v>
      </c>
      <c r="I23" s="50">
        <v>7</v>
      </c>
      <c r="J23" s="50">
        <v>0</v>
      </c>
      <c r="K23" s="50">
        <v>0</v>
      </c>
      <c r="L23" s="50">
        <v>2</v>
      </c>
      <c r="M23" s="50">
        <v>56</v>
      </c>
      <c r="N23" s="50">
        <v>0</v>
      </c>
      <c r="O23" s="15">
        <f t="shared" si="0"/>
        <v>51</v>
      </c>
      <c r="P23" s="15">
        <f t="shared" si="1"/>
        <v>107</v>
      </c>
      <c r="R23" s="36" t="s">
        <v>147</v>
      </c>
      <c r="S23" s="34">
        <f>SUM(C62:C65)</f>
        <v>21</v>
      </c>
      <c r="T23" s="34">
        <f t="shared" ref="T23:AF23" si="15">SUM(D62:D65)</f>
        <v>4</v>
      </c>
      <c r="U23" s="34">
        <f t="shared" si="15"/>
        <v>23</v>
      </c>
      <c r="V23" s="34">
        <f t="shared" si="15"/>
        <v>22</v>
      </c>
      <c r="W23" s="34">
        <f t="shared" si="15"/>
        <v>0</v>
      </c>
      <c r="X23" s="34">
        <f t="shared" si="15"/>
        <v>4</v>
      </c>
      <c r="Y23" s="34">
        <f t="shared" si="15"/>
        <v>24</v>
      </c>
      <c r="Z23" s="34">
        <f t="shared" si="15"/>
        <v>2</v>
      </c>
      <c r="AA23" s="34">
        <f t="shared" si="15"/>
        <v>1</v>
      </c>
      <c r="AB23" s="34">
        <f t="shared" si="15"/>
        <v>14</v>
      </c>
      <c r="AC23" s="34">
        <f t="shared" si="15"/>
        <v>165</v>
      </c>
      <c r="AD23" s="34">
        <f t="shared" si="15"/>
        <v>0</v>
      </c>
      <c r="AE23" s="31">
        <f t="shared" si="15"/>
        <v>115</v>
      </c>
      <c r="AF23" s="31">
        <f t="shared" si="15"/>
        <v>280</v>
      </c>
    </row>
    <row r="24" spans="2:32" ht="23.1" customHeight="1" x14ac:dyDescent="0.25">
      <c r="B24" s="45" t="s">
        <v>51</v>
      </c>
      <c r="C24" s="50">
        <v>1</v>
      </c>
      <c r="D24" s="50">
        <v>0</v>
      </c>
      <c r="E24" s="50">
        <v>19</v>
      </c>
      <c r="F24" s="50">
        <v>12</v>
      </c>
      <c r="G24" s="50">
        <v>0</v>
      </c>
      <c r="H24" s="50">
        <v>1</v>
      </c>
      <c r="I24" s="50">
        <v>4</v>
      </c>
      <c r="J24" s="50">
        <v>0</v>
      </c>
      <c r="K24" s="50">
        <v>0</v>
      </c>
      <c r="L24" s="50">
        <v>2</v>
      </c>
      <c r="M24" s="50">
        <v>78</v>
      </c>
      <c r="N24" s="50">
        <v>0</v>
      </c>
      <c r="O24" s="15">
        <f t="shared" si="0"/>
        <v>39</v>
      </c>
      <c r="P24" s="15">
        <f t="shared" si="1"/>
        <v>117</v>
      </c>
      <c r="R24" s="36" t="s">
        <v>148</v>
      </c>
      <c r="S24" s="34">
        <f>SUM(C66:C69)</f>
        <v>12</v>
      </c>
      <c r="T24" s="34">
        <f t="shared" ref="T24:AF24" si="16">SUM(D66:D69)</f>
        <v>4</v>
      </c>
      <c r="U24" s="34">
        <f t="shared" si="16"/>
        <v>14</v>
      </c>
      <c r="V24" s="34">
        <f t="shared" si="16"/>
        <v>15</v>
      </c>
      <c r="W24" s="34">
        <f t="shared" si="16"/>
        <v>4</v>
      </c>
      <c r="X24" s="34">
        <f t="shared" si="16"/>
        <v>5</v>
      </c>
      <c r="Y24" s="34">
        <f t="shared" si="16"/>
        <v>23</v>
      </c>
      <c r="Z24" s="34">
        <f t="shared" si="16"/>
        <v>1</v>
      </c>
      <c r="AA24" s="34">
        <f t="shared" si="16"/>
        <v>2</v>
      </c>
      <c r="AB24" s="34">
        <f t="shared" si="16"/>
        <v>7</v>
      </c>
      <c r="AC24" s="34">
        <f t="shared" si="16"/>
        <v>88</v>
      </c>
      <c r="AD24" s="34">
        <f t="shared" si="16"/>
        <v>0</v>
      </c>
      <c r="AE24" s="31">
        <f t="shared" si="16"/>
        <v>87</v>
      </c>
      <c r="AF24" s="31">
        <f t="shared" si="16"/>
        <v>175</v>
      </c>
    </row>
    <row r="25" spans="2:32" ht="23.1" customHeight="1" x14ac:dyDescent="0.25">
      <c r="B25" s="45" t="s">
        <v>52</v>
      </c>
      <c r="C25" s="50">
        <v>6</v>
      </c>
      <c r="D25" s="50">
        <v>0</v>
      </c>
      <c r="E25" s="50">
        <v>21</v>
      </c>
      <c r="F25" s="50">
        <v>16</v>
      </c>
      <c r="G25" s="50">
        <v>0</v>
      </c>
      <c r="H25" s="50">
        <v>0</v>
      </c>
      <c r="I25" s="50">
        <v>3</v>
      </c>
      <c r="J25" s="50">
        <v>1</v>
      </c>
      <c r="K25" s="50">
        <v>0</v>
      </c>
      <c r="L25" s="50">
        <v>1</v>
      </c>
      <c r="M25" s="50">
        <v>74</v>
      </c>
      <c r="N25" s="50">
        <v>0</v>
      </c>
      <c r="O25" s="15">
        <f t="shared" si="0"/>
        <v>48</v>
      </c>
      <c r="P25" s="15">
        <f t="shared" si="1"/>
        <v>122</v>
      </c>
      <c r="R25" s="36" t="s">
        <v>149</v>
      </c>
      <c r="S25" s="34">
        <f>SUM(C70:C73)</f>
        <v>8</v>
      </c>
      <c r="T25" s="34">
        <f t="shared" ref="T25:AF25" si="17">SUM(D70:D73)</f>
        <v>1</v>
      </c>
      <c r="U25" s="34">
        <f t="shared" si="17"/>
        <v>9</v>
      </c>
      <c r="V25" s="34">
        <f t="shared" si="17"/>
        <v>13</v>
      </c>
      <c r="W25" s="34">
        <f t="shared" si="17"/>
        <v>4</v>
      </c>
      <c r="X25" s="34">
        <f t="shared" si="17"/>
        <v>5</v>
      </c>
      <c r="Y25" s="34">
        <f t="shared" si="17"/>
        <v>13</v>
      </c>
      <c r="Z25" s="34">
        <f t="shared" si="17"/>
        <v>1</v>
      </c>
      <c r="AA25" s="34">
        <f t="shared" si="17"/>
        <v>2</v>
      </c>
      <c r="AB25" s="34">
        <f t="shared" si="17"/>
        <v>7</v>
      </c>
      <c r="AC25" s="34">
        <f t="shared" si="17"/>
        <v>34</v>
      </c>
      <c r="AD25" s="34">
        <f t="shared" si="17"/>
        <v>0</v>
      </c>
      <c r="AE25" s="31">
        <f t="shared" si="17"/>
        <v>63</v>
      </c>
      <c r="AF25" s="31">
        <f t="shared" si="17"/>
        <v>97</v>
      </c>
    </row>
    <row r="26" spans="2:32" ht="23.1" customHeight="1" x14ac:dyDescent="0.25">
      <c r="B26" s="45" t="s">
        <v>53</v>
      </c>
      <c r="C26" s="50">
        <v>3</v>
      </c>
      <c r="D26" s="50">
        <v>0</v>
      </c>
      <c r="E26" s="50">
        <v>12</v>
      </c>
      <c r="F26" s="50">
        <v>12</v>
      </c>
      <c r="G26" s="50">
        <v>0</v>
      </c>
      <c r="H26" s="50">
        <v>0</v>
      </c>
      <c r="I26" s="50">
        <v>6</v>
      </c>
      <c r="J26" s="50">
        <v>1</v>
      </c>
      <c r="K26" s="50">
        <v>0</v>
      </c>
      <c r="L26" s="50">
        <v>2</v>
      </c>
      <c r="M26" s="50">
        <v>50</v>
      </c>
      <c r="N26" s="50">
        <v>0</v>
      </c>
      <c r="O26" s="15">
        <f t="shared" si="0"/>
        <v>36</v>
      </c>
      <c r="P26" s="15">
        <f t="shared" si="1"/>
        <v>86</v>
      </c>
      <c r="R26" s="36" t="s">
        <v>150</v>
      </c>
      <c r="S26" s="34">
        <f>SUM(C74:C77)</f>
        <v>7</v>
      </c>
      <c r="T26" s="34">
        <f t="shared" ref="T26:AF26" si="18">SUM(D74:D77)</f>
        <v>0</v>
      </c>
      <c r="U26" s="34">
        <f t="shared" si="18"/>
        <v>4</v>
      </c>
      <c r="V26" s="34">
        <f t="shared" si="18"/>
        <v>2</v>
      </c>
      <c r="W26" s="34">
        <f t="shared" si="18"/>
        <v>4</v>
      </c>
      <c r="X26" s="34">
        <f t="shared" si="18"/>
        <v>5</v>
      </c>
      <c r="Y26" s="34">
        <f t="shared" si="18"/>
        <v>10</v>
      </c>
      <c r="Z26" s="34">
        <f t="shared" si="18"/>
        <v>1</v>
      </c>
      <c r="AA26" s="34">
        <f t="shared" si="18"/>
        <v>0</v>
      </c>
      <c r="AB26" s="34">
        <f t="shared" si="18"/>
        <v>7</v>
      </c>
      <c r="AC26" s="34">
        <f t="shared" si="18"/>
        <v>16</v>
      </c>
      <c r="AD26" s="34">
        <f t="shared" si="18"/>
        <v>0</v>
      </c>
      <c r="AE26" s="31">
        <f t="shared" si="18"/>
        <v>40</v>
      </c>
      <c r="AF26" s="31">
        <f t="shared" si="18"/>
        <v>56</v>
      </c>
    </row>
    <row r="27" spans="2:32" ht="23.1" customHeight="1" x14ac:dyDescent="0.25">
      <c r="B27" s="45" t="s">
        <v>54</v>
      </c>
      <c r="C27" s="50">
        <v>5</v>
      </c>
      <c r="D27" s="50">
        <v>0</v>
      </c>
      <c r="E27" s="50">
        <v>18</v>
      </c>
      <c r="F27" s="50">
        <v>10</v>
      </c>
      <c r="G27" s="50">
        <v>0</v>
      </c>
      <c r="H27" s="50">
        <v>1</v>
      </c>
      <c r="I27" s="50">
        <v>3</v>
      </c>
      <c r="J27" s="50">
        <v>0</v>
      </c>
      <c r="K27" s="50">
        <v>0</v>
      </c>
      <c r="L27" s="50">
        <v>3</v>
      </c>
      <c r="M27" s="50">
        <v>55</v>
      </c>
      <c r="N27" s="50">
        <v>0</v>
      </c>
      <c r="O27" s="15">
        <f t="shared" si="0"/>
        <v>40</v>
      </c>
      <c r="P27" s="15">
        <f t="shared" si="1"/>
        <v>95</v>
      </c>
      <c r="R27" s="36" t="s">
        <v>151</v>
      </c>
      <c r="S27" s="34">
        <f>SUM(C78:C81)</f>
        <v>4</v>
      </c>
      <c r="T27" s="34">
        <f t="shared" ref="T27:AF27" si="19">SUM(D78:D81)</f>
        <v>3</v>
      </c>
      <c r="U27" s="34">
        <f t="shared" si="19"/>
        <v>3</v>
      </c>
      <c r="V27" s="34">
        <f t="shared" si="19"/>
        <v>2</v>
      </c>
      <c r="W27" s="34">
        <f t="shared" si="19"/>
        <v>4</v>
      </c>
      <c r="X27" s="34">
        <f t="shared" si="19"/>
        <v>4</v>
      </c>
      <c r="Y27" s="34">
        <f t="shared" si="19"/>
        <v>5</v>
      </c>
      <c r="Z27" s="34">
        <f t="shared" si="19"/>
        <v>1</v>
      </c>
      <c r="AA27" s="34">
        <f t="shared" si="19"/>
        <v>0</v>
      </c>
      <c r="AB27" s="34">
        <f t="shared" si="19"/>
        <v>7</v>
      </c>
      <c r="AC27" s="34">
        <f t="shared" si="19"/>
        <v>13</v>
      </c>
      <c r="AD27" s="34">
        <f t="shared" si="19"/>
        <v>0</v>
      </c>
      <c r="AE27" s="31">
        <f t="shared" si="19"/>
        <v>33</v>
      </c>
      <c r="AF27" s="31">
        <f t="shared" si="19"/>
        <v>46</v>
      </c>
    </row>
    <row r="28" spans="2:32" ht="23.1" customHeight="1" x14ac:dyDescent="0.25">
      <c r="B28" s="45" t="s">
        <v>55</v>
      </c>
      <c r="C28" s="50">
        <v>5</v>
      </c>
      <c r="D28" s="50">
        <v>0</v>
      </c>
      <c r="E28" s="50">
        <v>18</v>
      </c>
      <c r="F28" s="50">
        <v>10</v>
      </c>
      <c r="G28" s="50">
        <v>0</v>
      </c>
      <c r="H28" s="50">
        <v>1</v>
      </c>
      <c r="I28" s="50">
        <v>6</v>
      </c>
      <c r="J28" s="50">
        <v>0</v>
      </c>
      <c r="K28" s="50">
        <v>0</v>
      </c>
      <c r="L28" s="50">
        <v>1</v>
      </c>
      <c r="M28" s="50">
        <v>65</v>
      </c>
      <c r="N28" s="50">
        <v>0</v>
      </c>
      <c r="O28" s="15">
        <f t="shared" si="0"/>
        <v>41</v>
      </c>
      <c r="P28" s="15">
        <f t="shared" si="1"/>
        <v>106</v>
      </c>
      <c r="R28" s="36" t="s">
        <v>152</v>
      </c>
      <c r="S28" s="34">
        <f>SUM(C82:C85)</f>
        <v>4</v>
      </c>
      <c r="T28" s="34">
        <f t="shared" ref="T28:AF28" si="20">SUM(D82:D85)</f>
        <v>1</v>
      </c>
      <c r="U28" s="34">
        <f t="shared" si="20"/>
        <v>3</v>
      </c>
      <c r="V28" s="34">
        <f t="shared" si="20"/>
        <v>2</v>
      </c>
      <c r="W28" s="34">
        <f t="shared" si="20"/>
        <v>2</v>
      </c>
      <c r="X28" s="34">
        <f t="shared" si="20"/>
        <v>2</v>
      </c>
      <c r="Y28" s="34">
        <f t="shared" si="20"/>
        <v>4</v>
      </c>
      <c r="Z28" s="34">
        <f t="shared" si="20"/>
        <v>1</v>
      </c>
      <c r="AA28" s="34">
        <f t="shared" si="20"/>
        <v>0</v>
      </c>
      <c r="AB28" s="34">
        <f t="shared" si="20"/>
        <v>3</v>
      </c>
      <c r="AC28" s="34">
        <f t="shared" si="20"/>
        <v>5</v>
      </c>
      <c r="AD28" s="34">
        <f t="shared" si="20"/>
        <v>0</v>
      </c>
      <c r="AE28" s="31">
        <f t="shared" si="20"/>
        <v>22</v>
      </c>
      <c r="AF28" s="31">
        <f t="shared" si="20"/>
        <v>27</v>
      </c>
    </row>
    <row r="29" spans="2:32" ht="23.1" customHeight="1" x14ac:dyDescent="0.25">
      <c r="B29" s="45" t="s">
        <v>56</v>
      </c>
      <c r="C29" s="50">
        <v>4</v>
      </c>
      <c r="D29" s="50">
        <v>0</v>
      </c>
      <c r="E29" s="50">
        <v>10</v>
      </c>
      <c r="F29" s="50">
        <v>11</v>
      </c>
      <c r="G29" s="50">
        <v>1</v>
      </c>
      <c r="H29" s="50">
        <v>1</v>
      </c>
      <c r="I29" s="50">
        <v>9</v>
      </c>
      <c r="J29" s="50">
        <v>0</v>
      </c>
      <c r="K29" s="50">
        <v>0</v>
      </c>
      <c r="L29" s="50">
        <v>3</v>
      </c>
      <c r="M29" s="50">
        <v>49</v>
      </c>
      <c r="N29" s="50">
        <v>0</v>
      </c>
      <c r="O29" s="15">
        <f t="shared" si="0"/>
        <v>39</v>
      </c>
      <c r="P29" s="15">
        <f t="shared" si="1"/>
        <v>88</v>
      </c>
      <c r="R29" s="36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2</v>
      </c>
      <c r="V29" s="34">
        <f t="shared" si="21"/>
        <v>2</v>
      </c>
      <c r="W29" s="34">
        <f t="shared" si="21"/>
        <v>2</v>
      </c>
      <c r="X29" s="34">
        <f t="shared" si="21"/>
        <v>2</v>
      </c>
      <c r="Y29" s="34">
        <f t="shared" si="21"/>
        <v>4</v>
      </c>
      <c r="Z29" s="34">
        <f t="shared" si="21"/>
        <v>1</v>
      </c>
      <c r="AA29" s="34">
        <f t="shared" si="21"/>
        <v>1</v>
      </c>
      <c r="AB29" s="34">
        <f t="shared" si="21"/>
        <v>1</v>
      </c>
      <c r="AC29" s="34">
        <f t="shared" si="21"/>
        <v>2</v>
      </c>
      <c r="AD29" s="34">
        <f t="shared" si="21"/>
        <v>0</v>
      </c>
      <c r="AE29" s="31">
        <f t="shared" si="21"/>
        <v>17</v>
      </c>
      <c r="AF29" s="31">
        <f t="shared" si="21"/>
        <v>19</v>
      </c>
    </row>
    <row r="30" spans="2:32" ht="23.1" customHeight="1" x14ac:dyDescent="0.25">
      <c r="B30" s="45" t="s">
        <v>57</v>
      </c>
      <c r="C30" s="50">
        <v>4</v>
      </c>
      <c r="D30" s="50">
        <v>0</v>
      </c>
      <c r="E30" s="50">
        <v>12</v>
      </c>
      <c r="F30" s="50">
        <v>11</v>
      </c>
      <c r="G30" s="50">
        <v>0</v>
      </c>
      <c r="H30" s="50">
        <v>0</v>
      </c>
      <c r="I30" s="50">
        <v>5</v>
      </c>
      <c r="J30" s="50">
        <v>2</v>
      </c>
      <c r="K30" s="50">
        <v>0</v>
      </c>
      <c r="L30" s="50">
        <v>3</v>
      </c>
      <c r="M30" s="50">
        <v>58</v>
      </c>
      <c r="N30" s="50">
        <v>0</v>
      </c>
      <c r="O30" s="15">
        <f t="shared" si="0"/>
        <v>37</v>
      </c>
      <c r="P30" s="15">
        <f t="shared" si="1"/>
        <v>95</v>
      </c>
      <c r="R30" s="36" t="s">
        <v>154</v>
      </c>
      <c r="S30" s="34">
        <f>SUM(C90:C93)</f>
        <v>1</v>
      </c>
      <c r="T30" s="34">
        <f t="shared" ref="T30:AF30" si="22">SUM(D90:D93)</f>
        <v>1</v>
      </c>
      <c r="U30" s="34">
        <f t="shared" si="22"/>
        <v>1</v>
      </c>
      <c r="V30" s="34">
        <f t="shared" si="22"/>
        <v>2</v>
      </c>
      <c r="W30" s="34">
        <f t="shared" si="22"/>
        <v>2</v>
      </c>
      <c r="X30" s="34">
        <f t="shared" si="22"/>
        <v>2</v>
      </c>
      <c r="Y30" s="34">
        <f t="shared" si="22"/>
        <v>4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3</v>
      </c>
      <c r="AD30" s="34">
        <f t="shared" si="22"/>
        <v>0</v>
      </c>
      <c r="AE30" s="31">
        <f t="shared" si="22"/>
        <v>14</v>
      </c>
      <c r="AF30" s="31">
        <f t="shared" si="22"/>
        <v>17</v>
      </c>
    </row>
    <row r="31" spans="2:32" ht="23.1" customHeight="1" x14ac:dyDescent="0.25">
      <c r="B31" s="46" t="s">
        <v>58</v>
      </c>
      <c r="C31" s="50">
        <v>7</v>
      </c>
      <c r="D31" s="50">
        <v>0</v>
      </c>
      <c r="E31" s="50">
        <v>6</v>
      </c>
      <c r="F31" s="50">
        <v>10</v>
      </c>
      <c r="G31" s="50">
        <v>1</v>
      </c>
      <c r="H31" s="50">
        <v>1</v>
      </c>
      <c r="I31" s="50">
        <v>5</v>
      </c>
      <c r="J31" s="50">
        <v>0</v>
      </c>
      <c r="K31" s="50">
        <v>0</v>
      </c>
      <c r="L31" s="50">
        <v>1</v>
      </c>
      <c r="M31" s="50">
        <v>57</v>
      </c>
      <c r="N31" s="50">
        <v>0</v>
      </c>
      <c r="O31" s="15">
        <f t="shared" si="0"/>
        <v>31</v>
      </c>
      <c r="P31" s="15">
        <f t="shared" si="1"/>
        <v>88</v>
      </c>
      <c r="R31" s="36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3</v>
      </c>
      <c r="W31" s="34">
        <f t="shared" si="23"/>
        <v>1</v>
      </c>
      <c r="X31" s="34">
        <f t="shared" si="23"/>
        <v>2</v>
      </c>
      <c r="Y31" s="34">
        <f t="shared" si="23"/>
        <v>2</v>
      </c>
      <c r="Z31" s="34">
        <f t="shared" si="23"/>
        <v>0</v>
      </c>
      <c r="AA31" s="34">
        <f t="shared" si="23"/>
        <v>0</v>
      </c>
      <c r="AB31" s="34">
        <f t="shared" si="23"/>
        <v>1</v>
      </c>
      <c r="AC31" s="34">
        <f t="shared" si="23"/>
        <v>2</v>
      </c>
      <c r="AD31" s="34">
        <f t="shared" si="23"/>
        <v>0</v>
      </c>
      <c r="AE31" s="31">
        <f t="shared" si="23"/>
        <v>10</v>
      </c>
      <c r="AF31" s="31">
        <f t="shared" si="23"/>
        <v>12</v>
      </c>
    </row>
    <row r="32" spans="2:32" ht="23.1" customHeight="1" x14ac:dyDescent="0.25">
      <c r="B32" s="46" t="s">
        <v>59</v>
      </c>
      <c r="C32" s="50">
        <v>9</v>
      </c>
      <c r="D32" s="50">
        <v>0</v>
      </c>
      <c r="E32" s="50">
        <v>17</v>
      </c>
      <c r="F32" s="50">
        <v>11</v>
      </c>
      <c r="G32" s="50">
        <v>0</v>
      </c>
      <c r="H32" s="50">
        <v>1</v>
      </c>
      <c r="I32" s="50">
        <v>3</v>
      </c>
      <c r="J32" s="50">
        <v>2</v>
      </c>
      <c r="K32" s="50">
        <v>1</v>
      </c>
      <c r="L32" s="50">
        <v>1</v>
      </c>
      <c r="M32" s="50">
        <v>60</v>
      </c>
      <c r="N32" s="50">
        <v>0</v>
      </c>
      <c r="O32" s="15">
        <f t="shared" si="0"/>
        <v>45</v>
      </c>
      <c r="P32" s="15">
        <f t="shared" si="1"/>
        <v>105</v>
      </c>
      <c r="R32" s="33" t="s">
        <v>156</v>
      </c>
      <c r="S32" s="34">
        <f>SUM(C98:C101)</f>
        <v>8</v>
      </c>
      <c r="T32" s="34">
        <f t="shared" ref="T32:AF32" si="24">SUM(D98:D101)</f>
        <v>1</v>
      </c>
      <c r="U32" s="34">
        <f t="shared" si="24"/>
        <v>3</v>
      </c>
      <c r="V32" s="34">
        <f t="shared" si="24"/>
        <v>2</v>
      </c>
      <c r="W32" s="34">
        <f t="shared" si="24"/>
        <v>2</v>
      </c>
      <c r="X32" s="34">
        <f t="shared" si="24"/>
        <v>2</v>
      </c>
      <c r="Y32" s="34">
        <f t="shared" si="24"/>
        <v>3</v>
      </c>
      <c r="Z32" s="34">
        <f t="shared" si="24"/>
        <v>1</v>
      </c>
      <c r="AA32" s="34">
        <f t="shared" si="24"/>
        <v>0</v>
      </c>
      <c r="AB32" s="34">
        <f t="shared" si="24"/>
        <v>3</v>
      </c>
      <c r="AC32" s="34">
        <f t="shared" si="24"/>
        <v>4</v>
      </c>
      <c r="AD32" s="34">
        <f t="shared" si="24"/>
        <v>0</v>
      </c>
      <c r="AE32" s="31">
        <f t="shared" si="24"/>
        <v>25</v>
      </c>
      <c r="AF32" s="31">
        <f t="shared" si="24"/>
        <v>29</v>
      </c>
    </row>
    <row r="33" spans="2:32" ht="23.1" customHeight="1" x14ac:dyDescent="0.25">
      <c r="B33" s="45" t="s">
        <v>60</v>
      </c>
      <c r="C33" s="50">
        <v>6</v>
      </c>
      <c r="D33" s="50">
        <v>0</v>
      </c>
      <c r="E33" s="50">
        <v>21</v>
      </c>
      <c r="F33" s="50">
        <v>12</v>
      </c>
      <c r="G33" s="50">
        <v>1</v>
      </c>
      <c r="H33" s="50">
        <v>0</v>
      </c>
      <c r="I33" s="50">
        <v>4</v>
      </c>
      <c r="J33" s="50">
        <v>0</v>
      </c>
      <c r="K33" s="50">
        <v>0</v>
      </c>
      <c r="L33" s="50">
        <v>4</v>
      </c>
      <c r="M33" s="50">
        <v>55</v>
      </c>
      <c r="N33" s="50">
        <v>0</v>
      </c>
      <c r="O33" s="15">
        <f t="shared" si="0"/>
        <v>48</v>
      </c>
      <c r="P33" s="15">
        <f t="shared" si="1"/>
        <v>103</v>
      </c>
      <c r="R33" s="33" t="s">
        <v>157</v>
      </c>
      <c r="S33" s="34">
        <f>SUM(C102:C105)</f>
        <v>21</v>
      </c>
      <c r="T33" s="34">
        <f t="shared" ref="T33:AF33" si="25">SUM(D102:D105)</f>
        <v>7</v>
      </c>
      <c r="U33" s="34">
        <f t="shared" si="25"/>
        <v>6</v>
      </c>
      <c r="V33" s="34">
        <f t="shared" si="25"/>
        <v>13</v>
      </c>
      <c r="W33" s="34">
        <f t="shared" si="25"/>
        <v>2</v>
      </c>
      <c r="X33" s="34">
        <f t="shared" si="25"/>
        <v>1</v>
      </c>
      <c r="Y33" s="34">
        <f t="shared" si="25"/>
        <v>7</v>
      </c>
      <c r="Z33" s="34">
        <f t="shared" si="25"/>
        <v>3</v>
      </c>
      <c r="AA33" s="34">
        <f t="shared" si="25"/>
        <v>2</v>
      </c>
      <c r="AB33" s="34">
        <f t="shared" si="25"/>
        <v>2</v>
      </c>
      <c r="AC33" s="34">
        <f t="shared" si="25"/>
        <v>31</v>
      </c>
      <c r="AD33" s="34">
        <f t="shared" si="25"/>
        <v>0</v>
      </c>
      <c r="AE33" s="31">
        <f t="shared" si="25"/>
        <v>64</v>
      </c>
      <c r="AF33" s="31">
        <f t="shared" si="25"/>
        <v>95</v>
      </c>
    </row>
    <row r="34" spans="2:32" ht="23.1" customHeight="1" x14ac:dyDescent="0.25">
      <c r="B34" s="46" t="s">
        <v>61</v>
      </c>
      <c r="C34" s="50">
        <v>8</v>
      </c>
      <c r="D34" s="50">
        <v>0</v>
      </c>
      <c r="E34" s="50">
        <v>12</v>
      </c>
      <c r="F34" s="50">
        <v>15</v>
      </c>
      <c r="G34" s="50">
        <v>1</v>
      </c>
      <c r="H34" s="50">
        <v>1</v>
      </c>
      <c r="I34" s="50">
        <v>8</v>
      </c>
      <c r="J34" s="50">
        <v>1</v>
      </c>
      <c r="K34" s="50">
        <v>0</v>
      </c>
      <c r="L34" s="50">
        <v>1</v>
      </c>
      <c r="M34" s="50">
        <v>51</v>
      </c>
      <c r="N34" s="50">
        <v>0</v>
      </c>
      <c r="O34" s="15">
        <f t="shared" si="0"/>
        <v>47</v>
      </c>
      <c r="P34" s="15">
        <f t="shared" si="1"/>
        <v>98</v>
      </c>
      <c r="R34" s="38" t="s">
        <v>90</v>
      </c>
      <c r="S34" s="39">
        <f t="shared" ref="S34:AF34" si="26">MAX(S10:S12)</f>
        <v>24</v>
      </c>
      <c r="T34" s="39">
        <f t="shared" si="26"/>
        <v>0</v>
      </c>
      <c r="U34" s="39">
        <f t="shared" si="26"/>
        <v>46</v>
      </c>
      <c r="V34" s="39">
        <f t="shared" si="26"/>
        <v>48</v>
      </c>
      <c r="W34" s="39">
        <f t="shared" si="26"/>
        <v>2</v>
      </c>
      <c r="X34" s="39">
        <f t="shared" si="26"/>
        <v>1</v>
      </c>
      <c r="Y34" s="39">
        <f t="shared" si="26"/>
        <v>17</v>
      </c>
      <c r="Z34" s="39">
        <f t="shared" si="26"/>
        <v>2</v>
      </c>
      <c r="AA34" s="39">
        <f t="shared" si="26"/>
        <v>1</v>
      </c>
      <c r="AB34" s="39">
        <f t="shared" si="26"/>
        <v>12</v>
      </c>
      <c r="AC34" s="39">
        <f t="shared" si="26"/>
        <v>238</v>
      </c>
      <c r="AD34" s="39">
        <f t="shared" si="26"/>
        <v>0</v>
      </c>
      <c r="AE34" s="40">
        <f t="shared" si="26"/>
        <v>142</v>
      </c>
      <c r="AF34" s="40">
        <f t="shared" si="26"/>
        <v>380</v>
      </c>
    </row>
    <row r="35" spans="2:32" ht="23.1" customHeight="1" x14ac:dyDescent="0.25">
      <c r="B35" s="46" t="s">
        <v>62</v>
      </c>
      <c r="C35" s="50">
        <v>9</v>
      </c>
      <c r="D35" s="50">
        <v>0</v>
      </c>
      <c r="E35" s="50">
        <v>24</v>
      </c>
      <c r="F35" s="50">
        <v>9</v>
      </c>
      <c r="G35" s="50">
        <v>0</v>
      </c>
      <c r="H35" s="50">
        <v>2</v>
      </c>
      <c r="I35" s="50">
        <v>8</v>
      </c>
      <c r="J35" s="50">
        <v>1</v>
      </c>
      <c r="K35" s="50">
        <v>0</v>
      </c>
      <c r="L35" s="50">
        <v>1</v>
      </c>
      <c r="M35" s="50">
        <v>57</v>
      </c>
      <c r="N35" s="50">
        <v>0</v>
      </c>
      <c r="O35" s="15">
        <f t="shared" si="0"/>
        <v>54</v>
      </c>
      <c r="P35" s="15">
        <f t="shared" si="1"/>
        <v>111</v>
      </c>
      <c r="R35" s="38" t="s">
        <v>91</v>
      </c>
      <c r="S35" s="39">
        <f t="shared" ref="S35:AF35" si="27">MAX(S13:S18)</f>
        <v>43</v>
      </c>
      <c r="T35" s="39">
        <f t="shared" si="27"/>
        <v>0</v>
      </c>
      <c r="U35" s="39">
        <f t="shared" si="27"/>
        <v>74</v>
      </c>
      <c r="V35" s="39">
        <f t="shared" si="27"/>
        <v>53</v>
      </c>
      <c r="W35" s="39">
        <f t="shared" si="27"/>
        <v>2</v>
      </c>
      <c r="X35" s="39">
        <f t="shared" si="27"/>
        <v>7</v>
      </c>
      <c r="Y35" s="39">
        <f t="shared" si="27"/>
        <v>31</v>
      </c>
      <c r="Z35" s="39">
        <f t="shared" si="27"/>
        <v>4</v>
      </c>
      <c r="AA35" s="39">
        <f t="shared" si="27"/>
        <v>1</v>
      </c>
      <c r="AB35" s="39">
        <f t="shared" si="27"/>
        <v>11</v>
      </c>
      <c r="AC35" s="39">
        <f t="shared" si="27"/>
        <v>277</v>
      </c>
      <c r="AD35" s="39">
        <f t="shared" si="27"/>
        <v>0</v>
      </c>
      <c r="AE35" s="40">
        <f t="shared" si="27"/>
        <v>200</v>
      </c>
      <c r="AF35" s="40">
        <f t="shared" si="27"/>
        <v>448</v>
      </c>
    </row>
    <row r="36" spans="2:32" ht="23.1" customHeight="1" x14ac:dyDescent="0.25">
      <c r="B36" s="46" t="s">
        <v>63</v>
      </c>
      <c r="C36" s="50">
        <v>8</v>
      </c>
      <c r="D36" s="50">
        <v>0</v>
      </c>
      <c r="E36" s="50">
        <v>11</v>
      </c>
      <c r="F36" s="50">
        <v>14</v>
      </c>
      <c r="G36" s="50">
        <v>0</v>
      </c>
      <c r="H36" s="50">
        <v>2</v>
      </c>
      <c r="I36" s="50">
        <v>6</v>
      </c>
      <c r="J36" s="50">
        <v>1</v>
      </c>
      <c r="K36" s="50">
        <v>1</v>
      </c>
      <c r="L36" s="50">
        <v>0</v>
      </c>
      <c r="M36" s="50">
        <v>55</v>
      </c>
      <c r="N36" s="50">
        <v>0</v>
      </c>
      <c r="O36" s="15">
        <f t="shared" si="0"/>
        <v>43</v>
      </c>
      <c r="P36" s="15">
        <f t="shared" si="1"/>
        <v>98</v>
      </c>
      <c r="R36" s="38" t="s">
        <v>92</v>
      </c>
      <c r="S36" s="39">
        <f t="shared" ref="S36:AF36" si="28">MAX(S19:S21)</f>
        <v>51</v>
      </c>
      <c r="T36" s="39">
        <f t="shared" si="28"/>
        <v>0</v>
      </c>
      <c r="U36" s="39">
        <f t="shared" si="28"/>
        <v>78</v>
      </c>
      <c r="V36" s="39">
        <f t="shared" si="28"/>
        <v>57</v>
      </c>
      <c r="W36" s="39">
        <f t="shared" si="28"/>
        <v>2</v>
      </c>
      <c r="X36" s="39">
        <f t="shared" si="28"/>
        <v>7</v>
      </c>
      <c r="Y36" s="39">
        <f t="shared" si="28"/>
        <v>31</v>
      </c>
      <c r="Z36" s="39">
        <f t="shared" si="28"/>
        <v>2</v>
      </c>
      <c r="AA36" s="39">
        <f t="shared" si="28"/>
        <v>1</v>
      </c>
      <c r="AB36" s="39">
        <f t="shared" si="28"/>
        <v>11</v>
      </c>
      <c r="AC36" s="39">
        <f t="shared" si="28"/>
        <v>307</v>
      </c>
      <c r="AD36" s="39">
        <f t="shared" si="28"/>
        <v>0</v>
      </c>
      <c r="AE36" s="40">
        <f t="shared" si="28"/>
        <v>218</v>
      </c>
      <c r="AF36" s="40">
        <f t="shared" si="28"/>
        <v>511</v>
      </c>
    </row>
    <row r="37" spans="2:32" ht="23.1" customHeight="1" x14ac:dyDescent="0.25">
      <c r="B37" s="45" t="s">
        <v>64</v>
      </c>
      <c r="C37" s="50">
        <v>6</v>
      </c>
      <c r="D37" s="50">
        <v>0</v>
      </c>
      <c r="E37" s="50">
        <v>18</v>
      </c>
      <c r="F37" s="50">
        <v>10</v>
      </c>
      <c r="G37" s="50">
        <v>1</v>
      </c>
      <c r="H37" s="50">
        <v>0</v>
      </c>
      <c r="I37" s="50">
        <v>7</v>
      </c>
      <c r="J37" s="50">
        <v>0</v>
      </c>
      <c r="K37" s="50">
        <v>0</v>
      </c>
      <c r="L37" s="50">
        <v>0</v>
      </c>
      <c r="M37" s="50">
        <v>57</v>
      </c>
      <c r="N37" s="50">
        <v>0</v>
      </c>
      <c r="O37" s="15">
        <f t="shared" si="0"/>
        <v>42</v>
      </c>
      <c r="P37" s="15">
        <f t="shared" si="1"/>
        <v>99</v>
      </c>
      <c r="R37" s="37" t="s">
        <v>85</v>
      </c>
      <c r="S37" s="35">
        <f t="shared" ref="S37:AF37" si="29">SUM(S10:S12)</f>
        <v>53</v>
      </c>
      <c r="T37" s="16">
        <f t="shared" si="29"/>
        <v>0</v>
      </c>
      <c r="U37" s="16">
        <f t="shared" si="29"/>
        <v>115</v>
      </c>
      <c r="V37" s="16">
        <f t="shared" si="29"/>
        <v>134</v>
      </c>
      <c r="W37" s="16">
        <f t="shared" si="29"/>
        <v>3</v>
      </c>
      <c r="X37" s="16">
        <f t="shared" si="29"/>
        <v>3</v>
      </c>
      <c r="Y37" s="16">
        <f t="shared" si="29"/>
        <v>49</v>
      </c>
      <c r="Z37" s="16">
        <f t="shared" si="29"/>
        <v>4</v>
      </c>
      <c r="AA37" s="16">
        <f t="shared" si="29"/>
        <v>2</v>
      </c>
      <c r="AB37" s="16">
        <f t="shared" si="29"/>
        <v>27</v>
      </c>
      <c r="AC37" s="16">
        <f t="shared" si="29"/>
        <v>625</v>
      </c>
      <c r="AD37" s="16">
        <f t="shared" si="29"/>
        <v>0</v>
      </c>
      <c r="AE37" s="32">
        <f t="shared" si="29"/>
        <v>390</v>
      </c>
      <c r="AF37" s="32">
        <f t="shared" si="29"/>
        <v>1015</v>
      </c>
    </row>
    <row r="38" spans="2:32" ht="23.1" customHeight="1" x14ac:dyDescent="0.25">
      <c r="B38" s="46" t="s">
        <v>65</v>
      </c>
      <c r="C38" s="50">
        <v>12</v>
      </c>
      <c r="D38" s="50">
        <v>0</v>
      </c>
      <c r="E38" s="50">
        <v>19</v>
      </c>
      <c r="F38" s="50">
        <v>7</v>
      </c>
      <c r="G38" s="50">
        <v>0</v>
      </c>
      <c r="H38" s="50">
        <v>1</v>
      </c>
      <c r="I38" s="50">
        <v>6</v>
      </c>
      <c r="J38" s="50">
        <v>0</v>
      </c>
      <c r="K38" s="50">
        <v>0</v>
      </c>
      <c r="L38" s="50">
        <v>4</v>
      </c>
      <c r="M38" s="50">
        <v>68</v>
      </c>
      <c r="N38" s="50">
        <v>0</v>
      </c>
      <c r="O38" s="15">
        <f t="shared" si="0"/>
        <v>49</v>
      </c>
      <c r="P38" s="15">
        <f t="shared" si="1"/>
        <v>117</v>
      </c>
      <c r="R38" s="28" t="s">
        <v>86</v>
      </c>
      <c r="S38" s="16">
        <f t="shared" ref="S38:AF38" si="30">SUM(S13:S18)</f>
        <v>168</v>
      </c>
      <c r="T38" s="16">
        <f t="shared" si="30"/>
        <v>0</v>
      </c>
      <c r="U38" s="16">
        <f t="shared" si="30"/>
        <v>387</v>
      </c>
      <c r="V38" s="16">
        <f t="shared" si="30"/>
        <v>279</v>
      </c>
      <c r="W38" s="16">
        <f t="shared" si="30"/>
        <v>6</v>
      </c>
      <c r="X38" s="16">
        <f t="shared" si="30"/>
        <v>25</v>
      </c>
      <c r="Y38" s="16">
        <f t="shared" si="30"/>
        <v>149</v>
      </c>
      <c r="Z38" s="16">
        <f t="shared" si="30"/>
        <v>9</v>
      </c>
      <c r="AA38" s="16">
        <f t="shared" si="30"/>
        <v>3</v>
      </c>
      <c r="AB38" s="16">
        <f t="shared" si="30"/>
        <v>46</v>
      </c>
      <c r="AC38" s="16">
        <f t="shared" si="30"/>
        <v>1423</v>
      </c>
      <c r="AD38" s="16">
        <f t="shared" si="30"/>
        <v>0</v>
      </c>
      <c r="AE38" s="32">
        <f t="shared" si="30"/>
        <v>1072</v>
      </c>
      <c r="AF38" s="32">
        <f t="shared" si="30"/>
        <v>2495</v>
      </c>
    </row>
    <row r="39" spans="2:32" ht="23.1" customHeight="1" x14ac:dyDescent="0.25">
      <c r="B39" s="46" t="s">
        <v>66</v>
      </c>
      <c r="C39" s="50">
        <v>11</v>
      </c>
      <c r="D39" s="50">
        <v>0</v>
      </c>
      <c r="E39" s="50">
        <v>15</v>
      </c>
      <c r="F39" s="50">
        <v>15</v>
      </c>
      <c r="G39" s="50">
        <v>1</v>
      </c>
      <c r="H39" s="50">
        <v>2</v>
      </c>
      <c r="I39" s="50">
        <v>9</v>
      </c>
      <c r="J39" s="50">
        <v>0</v>
      </c>
      <c r="K39" s="50">
        <v>0</v>
      </c>
      <c r="L39" s="50">
        <v>1</v>
      </c>
      <c r="M39" s="50">
        <v>58</v>
      </c>
      <c r="N39" s="50">
        <v>0</v>
      </c>
      <c r="O39" s="15">
        <f t="shared" si="0"/>
        <v>54</v>
      </c>
      <c r="P39" s="15">
        <f t="shared" si="1"/>
        <v>112</v>
      </c>
      <c r="R39" s="29" t="s">
        <v>87</v>
      </c>
      <c r="S39" s="16">
        <f t="shared" ref="S39:AF39" si="31">SUM(S19:S21)</f>
        <v>119</v>
      </c>
      <c r="T39" s="16">
        <f t="shared" si="31"/>
        <v>0</v>
      </c>
      <c r="U39" s="16">
        <f t="shared" si="31"/>
        <v>215</v>
      </c>
      <c r="V39" s="16">
        <f t="shared" si="31"/>
        <v>160</v>
      </c>
      <c r="W39" s="16">
        <f t="shared" si="31"/>
        <v>4</v>
      </c>
      <c r="X39" s="16">
        <f t="shared" si="31"/>
        <v>16</v>
      </c>
      <c r="Y39" s="16">
        <f t="shared" si="31"/>
        <v>85</v>
      </c>
      <c r="Z39" s="16">
        <f t="shared" si="31"/>
        <v>4</v>
      </c>
      <c r="AA39" s="16">
        <f t="shared" si="31"/>
        <v>1</v>
      </c>
      <c r="AB39" s="16">
        <f t="shared" si="31"/>
        <v>27</v>
      </c>
      <c r="AC39" s="16">
        <f t="shared" si="31"/>
        <v>816</v>
      </c>
      <c r="AD39" s="16">
        <f t="shared" si="31"/>
        <v>0</v>
      </c>
      <c r="AE39" s="32">
        <f t="shared" si="31"/>
        <v>631</v>
      </c>
      <c r="AF39" s="32">
        <f t="shared" si="31"/>
        <v>1447</v>
      </c>
    </row>
    <row r="40" spans="2:32" ht="23.1" customHeight="1" x14ac:dyDescent="0.25">
      <c r="B40" s="46" t="s">
        <v>67</v>
      </c>
      <c r="C40" s="50">
        <v>7</v>
      </c>
      <c r="D40" s="50">
        <v>0</v>
      </c>
      <c r="E40" s="50">
        <v>16</v>
      </c>
      <c r="F40" s="50">
        <v>12</v>
      </c>
      <c r="G40" s="50">
        <v>0</v>
      </c>
      <c r="H40" s="50">
        <v>4</v>
      </c>
      <c r="I40" s="50">
        <v>8</v>
      </c>
      <c r="J40" s="50">
        <v>0</v>
      </c>
      <c r="K40" s="50">
        <v>0</v>
      </c>
      <c r="L40" s="50">
        <v>4</v>
      </c>
      <c r="M40" s="50">
        <v>47</v>
      </c>
      <c r="N40" s="50">
        <v>0</v>
      </c>
      <c r="O40" s="15">
        <f t="shared" si="0"/>
        <v>51</v>
      </c>
      <c r="P40" s="15">
        <f t="shared" si="1"/>
        <v>98</v>
      </c>
      <c r="R40" s="5" t="s">
        <v>17</v>
      </c>
      <c r="S40" s="16">
        <f t="shared" ref="S40:AF40" si="32">SUM(S10:S21)</f>
        <v>340</v>
      </c>
      <c r="T40" s="16">
        <f t="shared" si="32"/>
        <v>0</v>
      </c>
      <c r="U40" s="16">
        <f t="shared" si="32"/>
        <v>717</v>
      </c>
      <c r="V40" s="16">
        <f t="shared" si="32"/>
        <v>573</v>
      </c>
      <c r="W40" s="16">
        <f t="shared" si="32"/>
        <v>13</v>
      </c>
      <c r="X40" s="16">
        <f t="shared" si="32"/>
        <v>44</v>
      </c>
      <c r="Y40" s="16">
        <f t="shared" si="32"/>
        <v>283</v>
      </c>
      <c r="Z40" s="16">
        <f t="shared" si="32"/>
        <v>17</v>
      </c>
      <c r="AA40" s="16">
        <f t="shared" si="32"/>
        <v>6</v>
      </c>
      <c r="AB40" s="16">
        <f t="shared" si="32"/>
        <v>100</v>
      </c>
      <c r="AC40" s="16">
        <f t="shared" si="32"/>
        <v>2864</v>
      </c>
      <c r="AD40" s="16">
        <f t="shared" si="32"/>
        <v>0</v>
      </c>
      <c r="AE40" s="32">
        <f t="shared" si="32"/>
        <v>2093</v>
      </c>
      <c r="AF40" s="32">
        <f t="shared" si="32"/>
        <v>4957</v>
      </c>
    </row>
    <row r="41" spans="2:32" ht="23.1" customHeight="1" x14ac:dyDescent="0.25">
      <c r="B41" s="45" t="s">
        <v>68</v>
      </c>
      <c r="C41" s="50">
        <v>13</v>
      </c>
      <c r="D41" s="50">
        <v>0</v>
      </c>
      <c r="E41" s="50">
        <v>15</v>
      </c>
      <c r="F41" s="50">
        <v>8</v>
      </c>
      <c r="G41" s="50">
        <v>0</v>
      </c>
      <c r="H41" s="50">
        <v>0</v>
      </c>
      <c r="I41" s="50">
        <v>8</v>
      </c>
      <c r="J41" s="50">
        <v>0</v>
      </c>
      <c r="K41" s="50">
        <v>1</v>
      </c>
      <c r="L41" s="50">
        <v>1</v>
      </c>
      <c r="M41" s="50">
        <v>70</v>
      </c>
      <c r="N41" s="50">
        <v>0</v>
      </c>
      <c r="O41" s="15">
        <f t="shared" si="0"/>
        <v>46</v>
      </c>
      <c r="P41" s="15">
        <f t="shared" si="1"/>
        <v>116</v>
      </c>
      <c r="R41" s="5" t="s">
        <v>159</v>
      </c>
      <c r="S41" s="16">
        <f>SUM(S10:S33)</f>
        <v>456</v>
      </c>
      <c r="T41" s="16">
        <f t="shared" ref="T41:AF41" si="33">SUM(T10:T33)</f>
        <v>28</v>
      </c>
      <c r="U41" s="16">
        <f t="shared" si="33"/>
        <v>810</v>
      </c>
      <c r="V41" s="16">
        <f t="shared" si="33"/>
        <v>693</v>
      </c>
      <c r="W41" s="16">
        <f t="shared" si="33"/>
        <v>40</v>
      </c>
      <c r="X41" s="16">
        <f t="shared" si="33"/>
        <v>80</v>
      </c>
      <c r="Y41" s="16">
        <f t="shared" si="33"/>
        <v>414</v>
      </c>
      <c r="Z41" s="16">
        <f t="shared" si="33"/>
        <v>31</v>
      </c>
      <c r="AA41" s="16">
        <f t="shared" si="33"/>
        <v>15</v>
      </c>
      <c r="AB41" s="16">
        <f t="shared" si="33"/>
        <v>162</v>
      </c>
      <c r="AC41" s="16">
        <f t="shared" si="33"/>
        <v>3464</v>
      </c>
      <c r="AD41" s="16">
        <f t="shared" si="33"/>
        <v>0</v>
      </c>
      <c r="AE41" s="32">
        <f t="shared" si="33"/>
        <v>2729</v>
      </c>
      <c r="AF41" s="32">
        <f t="shared" si="33"/>
        <v>6193</v>
      </c>
    </row>
    <row r="42" spans="2:32" ht="23.1" customHeight="1" x14ac:dyDescent="0.25">
      <c r="B42" s="46" t="s">
        <v>69</v>
      </c>
      <c r="C42" s="50">
        <v>7</v>
      </c>
      <c r="D42" s="50">
        <v>0</v>
      </c>
      <c r="E42" s="50">
        <v>21</v>
      </c>
      <c r="F42" s="50">
        <v>15</v>
      </c>
      <c r="G42" s="50">
        <v>0</v>
      </c>
      <c r="H42" s="50">
        <v>2</v>
      </c>
      <c r="I42" s="50">
        <v>9</v>
      </c>
      <c r="J42" s="50">
        <v>0</v>
      </c>
      <c r="K42" s="50">
        <v>0</v>
      </c>
      <c r="L42" s="50">
        <v>0</v>
      </c>
      <c r="M42" s="50">
        <v>53</v>
      </c>
      <c r="N42" s="50">
        <v>0</v>
      </c>
      <c r="O42" s="15">
        <f t="shared" si="0"/>
        <v>54</v>
      </c>
      <c r="P42" s="15">
        <f t="shared" si="1"/>
        <v>107</v>
      </c>
      <c r="R42" s="5" t="s">
        <v>160</v>
      </c>
      <c r="S42" s="48">
        <f>S41/S40</f>
        <v>1.3411764705882352</v>
      </c>
      <c r="T42" s="48" t="e">
        <f t="shared" ref="T42:AF42" si="34">T41/T40</f>
        <v>#DIV/0!</v>
      </c>
      <c r="U42" s="48">
        <f t="shared" si="34"/>
        <v>1.1297071129707112</v>
      </c>
      <c r="V42" s="48">
        <f t="shared" si="34"/>
        <v>1.2094240837696335</v>
      </c>
      <c r="W42" s="48">
        <f t="shared" si="34"/>
        <v>3.0769230769230771</v>
      </c>
      <c r="X42" s="48">
        <f t="shared" si="34"/>
        <v>1.8181818181818181</v>
      </c>
      <c r="Y42" s="48">
        <f t="shared" si="34"/>
        <v>1.4628975265017667</v>
      </c>
      <c r="Z42" s="48">
        <f t="shared" si="34"/>
        <v>1.8235294117647058</v>
      </c>
      <c r="AA42" s="48">
        <f t="shared" si="34"/>
        <v>2.5</v>
      </c>
      <c r="AB42" s="48">
        <f t="shared" si="34"/>
        <v>1.62</v>
      </c>
      <c r="AC42" s="48">
        <f t="shared" si="34"/>
        <v>1.2094972067039107</v>
      </c>
      <c r="AD42" s="48" t="e">
        <f t="shared" si="34"/>
        <v>#DIV/0!</v>
      </c>
      <c r="AE42" s="48">
        <f t="shared" si="34"/>
        <v>1.3038700430004777</v>
      </c>
      <c r="AF42" s="48">
        <f t="shared" si="34"/>
        <v>1.2493443615089772</v>
      </c>
    </row>
    <row r="43" spans="2:32" ht="23.1" customHeight="1" x14ac:dyDescent="0.25">
      <c r="B43" s="45" t="s">
        <v>70</v>
      </c>
      <c r="C43" s="50">
        <v>8</v>
      </c>
      <c r="D43" s="50">
        <v>0</v>
      </c>
      <c r="E43" s="50">
        <v>18</v>
      </c>
      <c r="F43" s="50">
        <v>11</v>
      </c>
      <c r="G43" s="50">
        <v>0</v>
      </c>
      <c r="H43" s="50">
        <v>1</v>
      </c>
      <c r="I43" s="50">
        <v>4</v>
      </c>
      <c r="J43" s="50">
        <v>0</v>
      </c>
      <c r="K43" s="50">
        <v>0</v>
      </c>
      <c r="L43" s="50">
        <v>4</v>
      </c>
      <c r="M43" s="50">
        <v>67</v>
      </c>
      <c r="N43" s="50">
        <v>0</v>
      </c>
      <c r="O43" s="15">
        <f t="shared" si="0"/>
        <v>46</v>
      </c>
      <c r="P43" s="15">
        <f t="shared" si="1"/>
        <v>113</v>
      </c>
    </row>
    <row r="44" spans="2:32" ht="23.1" customHeight="1" x14ac:dyDescent="0.25">
      <c r="B44" s="47" t="s">
        <v>71</v>
      </c>
      <c r="C44" s="50">
        <v>9</v>
      </c>
      <c r="D44" s="50">
        <v>0</v>
      </c>
      <c r="E44" s="50">
        <v>15</v>
      </c>
      <c r="F44" s="50">
        <v>14</v>
      </c>
      <c r="G44" s="50">
        <v>0</v>
      </c>
      <c r="H44" s="50">
        <v>1</v>
      </c>
      <c r="I44" s="50">
        <v>7</v>
      </c>
      <c r="J44" s="50">
        <v>0</v>
      </c>
      <c r="K44" s="50">
        <v>0</v>
      </c>
      <c r="L44" s="50">
        <v>4</v>
      </c>
      <c r="M44" s="50">
        <v>55</v>
      </c>
      <c r="N44" s="50">
        <v>0</v>
      </c>
      <c r="O44" s="15">
        <f t="shared" si="0"/>
        <v>50</v>
      </c>
      <c r="P44" s="15">
        <f t="shared" si="1"/>
        <v>105</v>
      </c>
    </row>
    <row r="45" spans="2:32" ht="23.1" customHeight="1" x14ac:dyDescent="0.25">
      <c r="B45" s="45" t="s">
        <v>72</v>
      </c>
      <c r="C45" s="50">
        <v>12</v>
      </c>
      <c r="D45" s="50">
        <v>0</v>
      </c>
      <c r="E45" s="50">
        <v>15</v>
      </c>
      <c r="F45" s="50">
        <v>9</v>
      </c>
      <c r="G45" s="50">
        <v>0</v>
      </c>
      <c r="H45" s="50">
        <v>3</v>
      </c>
      <c r="I45" s="50">
        <v>6</v>
      </c>
      <c r="J45" s="50">
        <v>0</v>
      </c>
      <c r="K45" s="50">
        <v>0</v>
      </c>
      <c r="L45" s="50">
        <v>3</v>
      </c>
      <c r="M45" s="50">
        <v>59</v>
      </c>
      <c r="N45" s="50">
        <v>0</v>
      </c>
      <c r="O45" s="15">
        <f t="shared" si="0"/>
        <v>48</v>
      </c>
      <c r="P45" s="15">
        <f t="shared" si="1"/>
        <v>107</v>
      </c>
    </row>
    <row r="46" spans="2:32" ht="23.1" customHeight="1" x14ac:dyDescent="0.25">
      <c r="B46" s="46" t="s">
        <v>73</v>
      </c>
      <c r="C46" s="50">
        <v>12</v>
      </c>
      <c r="D46" s="50">
        <v>0</v>
      </c>
      <c r="E46" s="50">
        <v>25</v>
      </c>
      <c r="F46" s="50">
        <v>12</v>
      </c>
      <c r="G46" s="50">
        <v>0</v>
      </c>
      <c r="H46" s="50">
        <v>0</v>
      </c>
      <c r="I46" s="50">
        <v>5</v>
      </c>
      <c r="J46" s="50">
        <v>1</v>
      </c>
      <c r="K46" s="50">
        <v>0</v>
      </c>
      <c r="L46" s="50">
        <v>2</v>
      </c>
      <c r="M46" s="50">
        <v>48</v>
      </c>
      <c r="N46" s="50">
        <v>0</v>
      </c>
      <c r="O46" s="15">
        <f t="shared" si="0"/>
        <v>57</v>
      </c>
      <c r="P46" s="15">
        <f t="shared" si="1"/>
        <v>105</v>
      </c>
      <c r="R46" s="8"/>
      <c r="T46"/>
    </row>
    <row r="47" spans="2:32" ht="23.1" customHeight="1" x14ac:dyDescent="0.25">
      <c r="B47" s="46" t="s">
        <v>74</v>
      </c>
      <c r="C47" s="50">
        <v>7</v>
      </c>
      <c r="D47" s="50">
        <v>0</v>
      </c>
      <c r="E47" s="50">
        <v>17</v>
      </c>
      <c r="F47" s="50">
        <v>10</v>
      </c>
      <c r="G47" s="50">
        <v>1</v>
      </c>
      <c r="H47" s="50">
        <v>1</v>
      </c>
      <c r="I47" s="50">
        <v>10</v>
      </c>
      <c r="J47" s="50">
        <v>0</v>
      </c>
      <c r="K47" s="50">
        <v>0</v>
      </c>
      <c r="L47" s="50">
        <v>2</v>
      </c>
      <c r="M47" s="50">
        <v>43</v>
      </c>
      <c r="N47" s="50">
        <v>0</v>
      </c>
      <c r="O47" s="15">
        <f t="shared" si="0"/>
        <v>48</v>
      </c>
      <c r="P47" s="15">
        <f t="shared" si="1"/>
        <v>91</v>
      </c>
      <c r="R47" s="8"/>
      <c r="T47"/>
    </row>
    <row r="48" spans="2:32" ht="23.1" customHeight="1" x14ac:dyDescent="0.25">
      <c r="B48" s="46" t="s">
        <v>75</v>
      </c>
      <c r="C48" s="50">
        <v>10</v>
      </c>
      <c r="D48" s="50">
        <v>0</v>
      </c>
      <c r="E48" s="50">
        <v>14</v>
      </c>
      <c r="F48" s="50">
        <v>15</v>
      </c>
      <c r="G48" s="50">
        <v>0</v>
      </c>
      <c r="H48" s="50">
        <v>2</v>
      </c>
      <c r="I48" s="50">
        <v>8</v>
      </c>
      <c r="J48" s="50">
        <v>0</v>
      </c>
      <c r="K48" s="50">
        <v>0</v>
      </c>
      <c r="L48" s="50">
        <v>2</v>
      </c>
      <c r="M48" s="50">
        <v>70</v>
      </c>
      <c r="N48" s="50">
        <v>0</v>
      </c>
      <c r="O48" s="15">
        <f t="shared" si="0"/>
        <v>51</v>
      </c>
      <c r="P48" s="15">
        <f t="shared" si="1"/>
        <v>121</v>
      </c>
      <c r="R48" s="8"/>
      <c r="T48"/>
    </row>
    <row r="49" spans="2:20" ht="23.1" customHeight="1" x14ac:dyDescent="0.25">
      <c r="B49" s="45" t="s">
        <v>76</v>
      </c>
      <c r="C49" s="50">
        <v>3</v>
      </c>
      <c r="D49" s="50">
        <v>0</v>
      </c>
      <c r="E49" s="50">
        <v>22</v>
      </c>
      <c r="F49" s="50">
        <v>16</v>
      </c>
      <c r="G49" s="50">
        <v>0</v>
      </c>
      <c r="H49" s="50">
        <v>1</v>
      </c>
      <c r="I49" s="50">
        <v>8</v>
      </c>
      <c r="J49" s="50">
        <v>0</v>
      </c>
      <c r="K49" s="50">
        <v>0</v>
      </c>
      <c r="L49" s="50">
        <v>3</v>
      </c>
      <c r="M49" s="50">
        <v>68</v>
      </c>
      <c r="N49" s="50">
        <v>0</v>
      </c>
      <c r="O49" s="15">
        <f t="shared" si="0"/>
        <v>53</v>
      </c>
      <c r="P49" s="15">
        <f t="shared" si="1"/>
        <v>121</v>
      </c>
      <c r="R49" s="8"/>
      <c r="T49"/>
    </row>
    <row r="50" spans="2:20" ht="23.1" customHeight="1" x14ac:dyDescent="0.25">
      <c r="B50" s="46" t="s">
        <v>77</v>
      </c>
      <c r="C50" s="50">
        <v>6</v>
      </c>
      <c r="D50" s="50">
        <v>0</v>
      </c>
      <c r="E50" s="50">
        <v>14</v>
      </c>
      <c r="F50" s="50">
        <v>11</v>
      </c>
      <c r="G50" s="50">
        <v>0</v>
      </c>
      <c r="H50" s="50">
        <v>0</v>
      </c>
      <c r="I50" s="50">
        <v>4</v>
      </c>
      <c r="J50" s="50">
        <v>0</v>
      </c>
      <c r="K50" s="50">
        <v>0</v>
      </c>
      <c r="L50" s="50">
        <v>1</v>
      </c>
      <c r="M50" s="50">
        <v>76</v>
      </c>
      <c r="N50" s="50">
        <v>0</v>
      </c>
      <c r="O50" s="15">
        <f t="shared" si="0"/>
        <v>36</v>
      </c>
      <c r="P50" s="15">
        <f t="shared" si="1"/>
        <v>112</v>
      </c>
      <c r="R50" s="8"/>
      <c r="T50"/>
    </row>
    <row r="51" spans="2:20" ht="23.1" customHeight="1" x14ac:dyDescent="0.25">
      <c r="B51" s="46" t="s">
        <v>78</v>
      </c>
      <c r="C51" s="50">
        <v>15</v>
      </c>
      <c r="D51" s="50">
        <v>0</v>
      </c>
      <c r="E51" s="50">
        <v>18</v>
      </c>
      <c r="F51" s="50">
        <v>17</v>
      </c>
      <c r="G51" s="50">
        <v>1</v>
      </c>
      <c r="H51" s="50">
        <v>0</v>
      </c>
      <c r="I51" s="50">
        <v>11</v>
      </c>
      <c r="J51" s="50">
        <v>0</v>
      </c>
      <c r="K51" s="50">
        <v>0</v>
      </c>
      <c r="L51" s="50">
        <v>3</v>
      </c>
      <c r="M51" s="50">
        <v>77</v>
      </c>
      <c r="N51" s="50">
        <v>0</v>
      </c>
      <c r="O51" s="15">
        <f t="shared" si="0"/>
        <v>65</v>
      </c>
      <c r="P51" s="15">
        <f t="shared" si="1"/>
        <v>142</v>
      </c>
      <c r="R51" s="8"/>
      <c r="T51"/>
    </row>
    <row r="52" spans="2:20" ht="23.1" customHeight="1" x14ac:dyDescent="0.25">
      <c r="B52" s="46" t="s">
        <v>79</v>
      </c>
      <c r="C52" s="50">
        <v>8</v>
      </c>
      <c r="D52" s="50">
        <v>0</v>
      </c>
      <c r="E52" s="50">
        <v>19</v>
      </c>
      <c r="F52" s="50">
        <v>14</v>
      </c>
      <c r="G52" s="50">
        <v>0</v>
      </c>
      <c r="H52" s="50">
        <v>1</v>
      </c>
      <c r="I52" s="50">
        <v>8</v>
      </c>
      <c r="J52" s="50">
        <v>1</v>
      </c>
      <c r="K52" s="50">
        <v>0</v>
      </c>
      <c r="L52" s="50">
        <v>0</v>
      </c>
      <c r="M52" s="50">
        <v>67</v>
      </c>
      <c r="N52" s="50">
        <v>0</v>
      </c>
      <c r="O52" s="15">
        <f t="shared" si="0"/>
        <v>51</v>
      </c>
      <c r="P52" s="15">
        <f t="shared" si="1"/>
        <v>118</v>
      </c>
      <c r="R52" s="8"/>
      <c r="T52"/>
    </row>
    <row r="53" spans="2:20" ht="23.1" customHeight="1" x14ac:dyDescent="0.25">
      <c r="B53" s="45" t="s">
        <v>80</v>
      </c>
      <c r="C53" s="50">
        <v>7</v>
      </c>
      <c r="D53" s="50">
        <v>0</v>
      </c>
      <c r="E53" s="50">
        <v>20</v>
      </c>
      <c r="F53" s="50">
        <v>15</v>
      </c>
      <c r="G53" s="50">
        <v>0</v>
      </c>
      <c r="H53" s="50">
        <v>4</v>
      </c>
      <c r="I53" s="50">
        <v>3</v>
      </c>
      <c r="J53" s="50">
        <v>0</v>
      </c>
      <c r="K53" s="50">
        <v>0</v>
      </c>
      <c r="L53" s="50">
        <v>3</v>
      </c>
      <c r="M53" s="50">
        <v>87</v>
      </c>
      <c r="N53" s="50">
        <v>0</v>
      </c>
      <c r="O53" s="15">
        <f t="shared" si="0"/>
        <v>52</v>
      </c>
      <c r="P53" s="15">
        <f t="shared" si="1"/>
        <v>139</v>
      </c>
      <c r="R53" s="8"/>
      <c r="T53"/>
    </row>
    <row r="54" spans="2:20" ht="23.1" customHeight="1" x14ac:dyDescent="0.25">
      <c r="B54" s="45" t="s">
        <v>81</v>
      </c>
      <c r="C54" s="50">
        <v>7</v>
      </c>
      <c r="D54" s="50">
        <v>0</v>
      </c>
      <c r="E54" s="50">
        <v>15</v>
      </c>
      <c r="F54" s="50">
        <v>19</v>
      </c>
      <c r="G54" s="50">
        <v>0</v>
      </c>
      <c r="H54" s="50">
        <v>3</v>
      </c>
      <c r="I54" s="50">
        <v>8</v>
      </c>
      <c r="J54" s="50">
        <v>0</v>
      </c>
      <c r="K54" s="50">
        <v>1</v>
      </c>
      <c r="L54" s="50">
        <v>1</v>
      </c>
      <c r="M54" s="50">
        <v>80</v>
      </c>
      <c r="N54" s="50">
        <v>0</v>
      </c>
      <c r="O54" s="15">
        <f t="shared" si="0"/>
        <v>54</v>
      </c>
      <c r="P54" s="15">
        <f t="shared" si="1"/>
        <v>134</v>
      </c>
      <c r="R54" s="8"/>
      <c r="T54"/>
    </row>
    <row r="55" spans="2:20" ht="23.1" customHeight="1" x14ac:dyDescent="0.25">
      <c r="B55" s="45" t="s">
        <v>82</v>
      </c>
      <c r="C55" s="50">
        <v>19</v>
      </c>
      <c r="D55" s="50">
        <v>0</v>
      </c>
      <c r="E55" s="50">
        <v>10</v>
      </c>
      <c r="F55" s="50">
        <v>11</v>
      </c>
      <c r="G55" s="50">
        <v>0</v>
      </c>
      <c r="H55" s="50">
        <v>2</v>
      </c>
      <c r="I55" s="50">
        <v>12</v>
      </c>
      <c r="J55" s="50">
        <v>2</v>
      </c>
      <c r="K55" s="50">
        <v>0</v>
      </c>
      <c r="L55" s="50">
        <v>2</v>
      </c>
      <c r="M55" s="50">
        <v>62</v>
      </c>
      <c r="N55" s="50">
        <v>0</v>
      </c>
      <c r="O55" s="15">
        <f t="shared" si="0"/>
        <v>58</v>
      </c>
      <c r="P55" s="15">
        <f t="shared" si="1"/>
        <v>120</v>
      </c>
      <c r="R55" s="8"/>
      <c r="T55"/>
    </row>
    <row r="56" spans="2:20" ht="23.1" customHeight="1" x14ac:dyDescent="0.25">
      <c r="B56" s="45" t="s">
        <v>83</v>
      </c>
      <c r="C56" s="50">
        <v>15</v>
      </c>
      <c r="D56" s="50">
        <v>0</v>
      </c>
      <c r="E56" s="50">
        <v>18</v>
      </c>
      <c r="F56" s="50">
        <v>7</v>
      </c>
      <c r="G56" s="50">
        <v>0</v>
      </c>
      <c r="H56" s="50">
        <v>2</v>
      </c>
      <c r="I56" s="50">
        <v>4</v>
      </c>
      <c r="J56" s="50">
        <v>0</v>
      </c>
      <c r="K56" s="50">
        <v>0</v>
      </c>
      <c r="L56" s="50">
        <v>4</v>
      </c>
      <c r="M56" s="50">
        <v>65</v>
      </c>
      <c r="N56" s="50">
        <v>0</v>
      </c>
      <c r="O56" s="15">
        <f t="shared" si="0"/>
        <v>50</v>
      </c>
      <c r="P56" s="15">
        <f t="shared" si="1"/>
        <v>115</v>
      </c>
      <c r="R56" s="8"/>
      <c r="T56"/>
    </row>
    <row r="57" spans="2:20" ht="23.1" customHeight="1" x14ac:dyDescent="0.25">
      <c r="B57" s="45" t="s">
        <v>84</v>
      </c>
      <c r="C57" s="50">
        <v>10</v>
      </c>
      <c r="D57" s="50">
        <v>0</v>
      </c>
      <c r="E57" s="50">
        <v>23</v>
      </c>
      <c r="F57" s="50">
        <v>13</v>
      </c>
      <c r="G57" s="50">
        <v>2</v>
      </c>
      <c r="H57" s="50">
        <v>0</v>
      </c>
      <c r="I57" s="50">
        <v>4</v>
      </c>
      <c r="J57" s="50">
        <v>0</v>
      </c>
      <c r="K57" s="50">
        <v>0</v>
      </c>
      <c r="L57" s="50">
        <v>4</v>
      </c>
      <c r="M57" s="50">
        <v>73</v>
      </c>
      <c r="N57" s="50">
        <v>0</v>
      </c>
      <c r="O57" s="15">
        <f t="shared" si="0"/>
        <v>56</v>
      </c>
      <c r="P57" s="15">
        <f t="shared" si="1"/>
        <v>129</v>
      </c>
      <c r="R57" s="8"/>
      <c r="T57"/>
    </row>
    <row r="58" spans="2:20" ht="23.1" customHeight="1" x14ac:dyDescent="0.25">
      <c r="B58" s="45" t="s">
        <v>99</v>
      </c>
      <c r="C58" s="50">
        <v>7</v>
      </c>
      <c r="D58" s="50">
        <v>3</v>
      </c>
      <c r="E58" s="50">
        <v>7</v>
      </c>
      <c r="F58" s="50">
        <v>12</v>
      </c>
      <c r="G58" s="50">
        <v>0</v>
      </c>
      <c r="H58" s="50">
        <v>0</v>
      </c>
      <c r="I58" s="50">
        <v>8</v>
      </c>
      <c r="J58" s="50">
        <v>1</v>
      </c>
      <c r="K58" s="50">
        <v>1</v>
      </c>
      <c r="L58" s="50">
        <v>1</v>
      </c>
      <c r="M58" s="50">
        <v>55</v>
      </c>
      <c r="N58" s="50">
        <v>0</v>
      </c>
      <c r="O58" s="15">
        <f t="shared" si="0"/>
        <v>40</v>
      </c>
      <c r="P58" s="15">
        <f t="shared" si="1"/>
        <v>95</v>
      </c>
      <c r="R58" s="8"/>
      <c r="T58"/>
    </row>
    <row r="59" spans="2:20" ht="23.1" customHeight="1" x14ac:dyDescent="0.25">
      <c r="B59" s="45" t="s">
        <v>100</v>
      </c>
      <c r="C59" s="50">
        <v>8</v>
      </c>
      <c r="D59" s="50">
        <v>2</v>
      </c>
      <c r="E59" s="50">
        <v>5</v>
      </c>
      <c r="F59" s="50">
        <v>11</v>
      </c>
      <c r="G59" s="50">
        <v>0</v>
      </c>
      <c r="H59" s="50">
        <v>0</v>
      </c>
      <c r="I59" s="50">
        <v>8</v>
      </c>
      <c r="J59" s="50">
        <v>0</v>
      </c>
      <c r="K59" s="50">
        <v>0</v>
      </c>
      <c r="L59" s="50">
        <v>3</v>
      </c>
      <c r="M59" s="50">
        <v>60</v>
      </c>
      <c r="N59" s="50">
        <v>0</v>
      </c>
      <c r="O59" s="15">
        <f t="shared" si="0"/>
        <v>37</v>
      </c>
      <c r="P59" s="15">
        <f t="shared" si="1"/>
        <v>97</v>
      </c>
      <c r="R59" s="8"/>
      <c r="T59"/>
    </row>
    <row r="60" spans="2:20" ht="23.1" customHeight="1" x14ac:dyDescent="0.25">
      <c r="B60" s="45" t="s">
        <v>101</v>
      </c>
      <c r="C60" s="50">
        <v>7</v>
      </c>
      <c r="D60" s="50">
        <v>1</v>
      </c>
      <c r="E60" s="50">
        <v>6</v>
      </c>
      <c r="F60" s="50">
        <v>11</v>
      </c>
      <c r="G60" s="50">
        <v>0</v>
      </c>
      <c r="H60" s="50">
        <v>0</v>
      </c>
      <c r="I60" s="50">
        <v>8</v>
      </c>
      <c r="J60" s="50">
        <v>0</v>
      </c>
      <c r="K60" s="50">
        <v>0</v>
      </c>
      <c r="L60" s="50">
        <v>3</v>
      </c>
      <c r="M60" s="50">
        <v>66</v>
      </c>
      <c r="N60" s="50">
        <v>0</v>
      </c>
      <c r="O60" s="15">
        <f t="shared" si="0"/>
        <v>36</v>
      </c>
      <c r="P60" s="15">
        <f t="shared" si="1"/>
        <v>102</v>
      </c>
      <c r="R60" s="8"/>
      <c r="T60"/>
    </row>
    <row r="61" spans="2:20" ht="23.1" customHeight="1" x14ac:dyDescent="0.25">
      <c r="B61" s="45" t="s">
        <v>102</v>
      </c>
      <c r="C61" s="50">
        <v>5</v>
      </c>
      <c r="D61" s="50">
        <v>0</v>
      </c>
      <c r="E61" s="50">
        <v>7</v>
      </c>
      <c r="F61" s="50">
        <v>8</v>
      </c>
      <c r="G61" s="50">
        <v>0</v>
      </c>
      <c r="H61" s="50">
        <v>2</v>
      </c>
      <c r="I61" s="50">
        <v>8</v>
      </c>
      <c r="J61" s="50">
        <v>0</v>
      </c>
      <c r="K61" s="50">
        <v>0</v>
      </c>
      <c r="L61" s="50">
        <v>3</v>
      </c>
      <c r="M61" s="50">
        <v>56</v>
      </c>
      <c r="N61" s="50">
        <v>0</v>
      </c>
      <c r="O61" s="15">
        <f t="shared" si="0"/>
        <v>33</v>
      </c>
      <c r="P61" s="15">
        <f t="shared" si="1"/>
        <v>89</v>
      </c>
      <c r="R61" s="8"/>
      <c r="T61"/>
    </row>
    <row r="62" spans="2:20" ht="23.1" customHeight="1" x14ac:dyDescent="0.25">
      <c r="B62" s="45" t="s">
        <v>107</v>
      </c>
      <c r="C62" s="50">
        <v>6</v>
      </c>
      <c r="D62" s="50">
        <v>2</v>
      </c>
      <c r="E62" s="50">
        <v>8</v>
      </c>
      <c r="F62" s="50">
        <v>5</v>
      </c>
      <c r="G62" s="50">
        <v>0</v>
      </c>
      <c r="H62" s="50">
        <v>1</v>
      </c>
      <c r="I62" s="50">
        <v>5</v>
      </c>
      <c r="J62" s="50">
        <v>1</v>
      </c>
      <c r="K62" s="50">
        <v>0</v>
      </c>
      <c r="L62" s="50">
        <v>4</v>
      </c>
      <c r="M62" s="50">
        <v>45</v>
      </c>
      <c r="N62" s="50">
        <v>0</v>
      </c>
      <c r="O62" s="15">
        <f t="shared" si="0"/>
        <v>32</v>
      </c>
      <c r="P62" s="15">
        <f t="shared" si="1"/>
        <v>77</v>
      </c>
      <c r="R62" s="8"/>
      <c r="T62"/>
    </row>
    <row r="63" spans="2:20" ht="23.1" customHeight="1" x14ac:dyDescent="0.25">
      <c r="B63" s="45" t="s">
        <v>108</v>
      </c>
      <c r="C63" s="50">
        <v>5</v>
      </c>
      <c r="D63" s="50">
        <v>1</v>
      </c>
      <c r="E63" s="50">
        <v>6</v>
      </c>
      <c r="F63" s="50">
        <v>5</v>
      </c>
      <c r="G63" s="50">
        <v>0</v>
      </c>
      <c r="H63" s="50">
        <v>0</v>
      </c>
      <c r="I63" s="50">
        <v>8</v>
      </c>
      <c r="J63" s="50">
        <v>0</v>
      </c>
      <c r="K63" s="50">
        <v>1</v>
      </c>
      <c r="L63" s="50">
        <v>3</v>
      </c>
      <c r="M63" s="50">
        <v>47</v>
      </c>
      <c r="N63" s="50">
        <v>0</v>
      </c>
      <c r="O63" s="15">
        <f t="shared" si="0"/>
        <v>29</v>
      </c>
      <c r="P63" s="15">
        <f t="shared" si="1"/>
        <v>76</v>
      </c>
      <c r="R63" s="8"/>
      <c r="T63"/>
    </row>
    <row r="64" spans="2:20" ht="23.1" customHeight="1" x14ac:dyDescent="0.25">
      <c r="B64" s="45" t="s">
        <v>109</v>
      </c>
      <c r="C64" s="50">
        <v>6</v>
      </c>
      <c r="D64" s="50">
        <v>0</v>
      </c>
      <c r="E64" s="50">
        <v>5</v>
      </c>
      <c r="F64" s="50">
        <v>7</v>
      </c>
      <c r="G64" s="50">
        <v>0</v>
      </c>
      <c r="H64" s="50">
        <v>2</v>
      </c>
      <c r="I64" s="50">
        <v>6</v>
      </c>
      <c r="J64" s="50">
        <v>0</v>
      </c>
      <c r="K64" s="50">
        <v>0</v>
      </c>
      <c r="L64" s="50">
        <v>3</v>
      </c>
      <c r="M64" s="50">
        <v>38</v>
      </c>
      <c r="N64" s="50">
        <v>0</v>
      </c>
      <c r="O64" s="15">
        <f t="shared" si="0"/>
        <v>29</v>
      </c>
      <c r="P64" s="15">
        <f t="shared" si="1"/>
        <v>67</v>
      </c>
      <c r="R64" s="8"/>
      <c r="T64"/>
    </row>
    <row r="65" spans="2:20" ht="23.1" customHeight="1" x14ac:dyDescent="0.25">
      <c r="B65" s="45" t="s">
        <v>158</v>
      </c>
      <c r="C65" s="50">
        <v>4</v>
      </c>
      <c r="D65" s="50">
        <v>1</v>
      </c>
      <c r="E65" s="50">
        <v>4</v>
      </c>
      <c r="F65" s="50">
        <v>5</v>
      </c>
      <c r="G65" s="50">
        <v>0</v>
      </c>
      <c r="H65" s="50">
        <v>1</v>
      </c>
      <c r="I65" s="50">
        <v>5</v>
      </c>
      <c r="J65" s="50">
        <v>1</v>
      </c>
      <c r="K65" s="50">
        <v>0</v>
      </c>
      <c r="L65" s="50">
        <v>4</v>
      </c>
      <c r="M65" s="50">
        <v>35</v>
      </c>
      <c r="N65" s="50">
        <v>0</v>
      </c>
      <c r="O65" s="15">
        <f t="shared" si="0"/>
        <v>25</v>
      </c>
      <c r="P65" s="15">
        <f t="shared" si="1"/>
        <v>60</v>
      </c>
      <c r="R65" s="8"/>
      <c r="T65"/>
    </row>
    <row r="66" spans="2:20" ht="23.1" customHeight="1" x14ac:dyDescent="0.25">
      <c r="B66" s="45" t="s">
        <v>103</v>
      </c>
      <c r="C66" s="50">
        <v>3</v>
      </c>
      <c r="D66" s="50">
        <v>2</v>
      </c>
      <c r="E66" s="50">
        <v>5</v>
      </c>
      <c r="F66" s="50">
        <v>2</v>
      </c>
      <c r="G66" s="50">
        <v>1</v>
      </c>
      <c r="H66" s="50">
        <v>1</v>
      </c>
      <c r="I66" s="50">
        <v>7</v>
      </c>
      <c r="J66" s="50">
        <v>0</v>
      </c>
      <c r="K66" s="50">
        <v>0</v>
      </c>
      <c r="L66" s="50">
        <v>1</v>
      </c>
      <c r="M66" s="50">
        <v>33</v>
      </c>
      <c r="N66" s="50">
        <v>0</v>
      </c>
      <c r="O66" s="15">
        <f t="shared" si="0"/>
        <v>22</v>
      </c>
      <c r="P66" s="15">
        <f t="shared" si="1"/>
        <v>55</v>
      </c>
      <c r="R66" s="8"/>
      <c r="T66"/>
    </row>
    <row r="67" spans="2:20" ht="23.1" customHeight="1" x14ac:dyDescent="0.25">
      <c r="B67" s="45" t="s">
        <v>104</v>
      </c>
      <c r="C67" s="50">
        <v>3</v>
      </c>
      <c r="D67" s="50">
        <v>0</v>
      </c>
      <c r="E67" s="50">
        <v>4</v>
      </c>
      <c r="F67" s="50">
        <v>5</v>
      </c>
      <c r="G67" s="50">
        <v>1</v>
      </c>
      <c r="H67" s="50">
        <v>0</v>
      </c>
      <c r="I67" s="50">
        <v>3</v>
      </c>
      <c r="J67" s="50">
        <v>0</v>
      </c>
      <c r="K67" s="50">
        <v>0</v>
      </c>
      <c r="L67" s="50">
        <v>0</v>
      </c>
      <c r="M67" s="50">
        <v>24</v>
      </c>
      <c r="N67" s="50">
        <v>0</v>
      </c>
      <c r="O67" s="15">
        <f t="shared" si="0"/>
        <v>16</v>
      </c>
      <c r="P67" s="15">
        <f t="shared" si="1"/>
        <v>40</v>
      </c>
      <c r="R67" s="8"/>
      <c r="T67"/>
    </row>
    <row r="68" spans="2:20" ht="23.1" customHeight="1" x14ac:dyDescent="0.25">
      <c r="B68" s="45" t="s">
        <v>105</v>
      </c>
      <c r="C68" s="50">
        <v>4</v>
      </c>
      <c r="D68" s="50">
        <v>1</v>
      </c>
      <c r="E68" s="50">
        <v>3</v>
      </c>
      <c r="F68" s="50">
        <v>3</v>
      </c>
      <c r="G68" s="50">
        <v>2</v>
      </c>
      <c r="H68" s="50">
        <v>3</v>
      </c>
      <c r="I68" s="50">
        <v>8</v>
      </c>
      <c r="J68" s="50">
        <v>0</v>
      </c>
      <c r="K68" s="50">
        <v>2</v>
      </c>
      <c r="L68" s="50">
        <v>2</v>
      </c>
      <c r="M68" s="50">
        <v>17</v>
      </c>
      <c r="N68" s="50">
        <v>0</v>
      </c>
      <c r="O68" s="15">
        <f t="shared" si="0"/>
        <v>28</v>
      </c>
      <c r="P68" s="15">
        <f t="shared" si="1"/>
        <v>45</v>
      </c>
      <c r="R68" s="8"/>
      <c r="T68"/>
    </row>
    <row r="69" spans="2:20" ht="23.1" customHeight="1" x14ac:dyDescent="0.25">
      <c r="B69" s="45" t="s">
        <v>106</v>
      </c>
      <c r="C69" s="50">
        <v>2</v>
      </c>
      <c r="D69" s="50">
        <v>1</v>
      </c>
      <c r="E69" s="50">
        <v>2</v>
      </c>
      <c r="F69" s="50">
        <v>5</v>
      </c>
      <c r="G69" s="50">
        <v>0</v>
      </c>
      <c r="H69" s="50">
        <v>1</v>
      </c>
      <c r="I69" s="50">
        <v>5</v>
      </c>
      <c r="J69" s="50">
        <v>1</v>
      </c>
      <c r="K69" s="50">
        <v>0</v>
      </c>
      <c r="L69" s="50">
        <v>4</v>
      </c>
      <c r="M69" s="50">
        <v>14</v>
      </c>
      <c r="N69" s="50">
        <v>0</v>
      </c>
      <c r="O69" s="15">
        <f t="shared" si="0"/>
        <v>21</v>
      </c>
      <c r="P69" s="15">
        <f t="shared" si="1"/>
        <v>35</v>
      </c>
      <c r="R69" s="8"/>
      <c r="T69"/>
    </row>
    <row r="70" spans="2:20" ht="23.1" customHeight="1" x14ac:dyDescent="0.25">
      <c r="B70" s="45" t="s">
        <v>110</v>
      </c>
      <c r="C70" s="50">
        <v>3</v>
      </c>
      <c r="D70" s="50">
        <v>0</v>
      </c>
      <c r="E70" s="50">
        <v>3</v>
      </c>
      <c r="F70" s="50">
        <v>2</v>
      </c>
      <c r="G70" s="50">
        <v>1</v>
      </c>
      <c r="H70" s="50">
        <v>1</v>
      </c>
      <c r="I70" s="50">
        <v>3</v>
      </c>
      <c r="J70" s="50">
        <v>0</v>
      </c>
      <c r="K70" s="50">
        <v>2</v>
      </c>
      <c r="L70" s="50">
        <v>1</v>
      </c>
      <c r="M70" s="50">
        <v>13</v>
      </c>
      <c r="N70" s="50">
        <v>0</v>
      </c>
      <c r="O70" s="15">
        <f t="shared" si="0"/>
        <v>16</v>
      </c>
      <c r="P70" s="15">
        <f t="shared" si="1"/>
        <v>29</v>
      </c>
      <c r="R70" s="8"/>
      <c r="T70"/>
    </row>
    <row r="71" spans="2:20" ht="23.1" customHeight="1" x14ac:dyDescent="0.25">
      <c r="B71" s="45" t="s">
        <v>111</v>
      </c>
      <c r="C71" s="50">
        <v>1</v>
      </c>
      <c r="D71" s="50">
        <v>0</v>
      </c>
      <c r="E71" s="50">
        <v>1</v>
      </c>
      <c r="F71" s="50">
        <v>5</v>
      </c>
      <c r="G71" s="50">
        <v>1</v>
      </c>
      <c r="H71" s="50">
        <v>0</v>
      </c>
      <c r="I71" s="50">
        <v>3</v>
      </c>
      <c r="J71" s="50">
        <v>0</v>
      </c>
      <c r="K71" s="50">
        <v>0</v>
      </c>
      <c r="L71" s="50">
        <v>0</v>
      </c>
      <c r="M71" s="50">
        <v>10</v>
      </c>
      <c r="N71" s="50">
        <v>0</v>
      </c>
      <c r="O71" s="15">
        <f t="shared" si="0"/>
        <v>11</v>
      </c>
      <c r="P71" s="15">
        <f t="shared" si="1"/>
        <v>21</v>
      </c>
      <c r="R71" s="8"/>
      <c r="T71"/>
    </row>
    <row r="72" spans="2:20" ht="23.1" customHeight="1" x14ac:dyDescent="0.25">
      <c r="B72" s="45" t="s">
        <v>112</v>
      </c>
      <c r="C72" s="50">
        <v>2</v>
      </c>
      <c r="D72" s="50">
        <v>0</v>
      </c>
      <c r="E72" s="50">
        <v>3</v>
      </c>
      <c r="F72" s="50">
        <v>3</v>
      </c>
      <c r="G72" s="50">
        <v>2</v>
      </c>
      <c r="H72" s="50">
        <v>3</v>
      </c>
      <c r="I72" s="50">
        <v>2</v>
      </c>
      <c r="J72" s="50">
        <v>0</v>
      </c>
      <c r="K72" s="50">
        <v>0</v>
      </c>
      <c r="L72" s="50">
        <v>2</v>
      </c>
      <c r="M72" s="50">
        <v>7</v>
      </c>
      <c r="N72" s="50">
        <v>0</v>
      </c>
      <c r="O72" s="15">
        <f t="shared" si="0"/>
        <v>17</v>
      </c>
      <c r="P72" s="15">
        <f t="shared" si="1"/>
        <v>24</v>
      </c>
      <c r="R72" s="8"/>
      <c r="T72"/>
    </row>
    <row r="73" spans="2:20" ht="23.1" customHeight="1" x14ac:dyDescent="0.25">
      <c r="B73" s="45" t="s">
        <v>113</v>
      </c>
      <c r="C73" s="50">
        <v>2</v>
      </c>
      <c r="D73" s="50">
        <v>1</v>
      </c>
      <c r="E73" s="50">
        <v>2</v>
      </c>
      <c r="F73" s="50">
        <v>3</v>
      </c>
      <c r="G73" s="50">
        <v>0</v>
      </c>
      <c r="H73" s="50">
        <v>1</v>
      </c>
      <c r="I73" s="50">
        <v>5</v>
      </c>
      <c r="J73" s="50">
        <v>1</v>
      </c>
      <c r="K73" s="50">
        <v>0</v>
      </c>
      <c r="L73" s="50">
        <v>4</v>
      </c>
      <c r="M73" s="50">
        <v>4</v>
      </c>
      <c r="N73" s="50">
        <v>0</v>
      </c>
      <c r="O73" s="15">
        <f t="shared" si="0"/>
        <v>19</v>
      </c>
      <c r="P73" s="15">
        <f t="shared" si="1"/>
        <v>23</v>
      </c>
      <c r="R73" s="8"/>
      <c r="T73"/>
    </row>
    <row r="74" spans="2:20" ht="23.1" customHeight="1" x14ac:dyDescent="0.25">
      <c r="B74" s="45" t="s">
        <v>114</v>
      </c>
      <c r="C74" s="50">
        <v>2</v>
      </c>
      <c r="D74" s="50">
        <v>0</v>
      </c>
      <c r="E74" s="50">
        <v>2</v>
      </c>
      <c r="F74" s="50">
        <v>0</v>
      </c>
      <c r="G74" s="50">
        <v>1</v>
      </c>
      <c r="H74" s="50">
        <v>1</v>
      </c>
      <c r="I74" s="50">
        <v>3</v>
      </c>
      <c r="J74" s="50">
        <v>0</v>
      </c>
      <c r="K74" s="50">
        <v>0</v>
      </c>
      <c r="L74" s="50">
        <v>1</v>
      </c>
      <c r="M74" s="50">
        <v>5</v>
      </c>
      <c r="N74" s="50">
        <v>0</v>
      </c>
      <c r="O74" s="15">
        <f t="shared" ref="O74:O105" si="35">SUM(C74:L74,N74)</f>
        <v>10</v>
      </c>
      <c r="P74" s="15">
        <f t="shared" ref="P74:P105" si="36">SUM(C74:N74)</f>
        <v>15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0</v>
      </c>
      <c r="E75" s="50">
        <v>1</v>
      </c>
      <c r="F75" s="50">
        <v>1</v>
      </c>
      <c r="G75" s="50">
        <v>1</v>
      </c>
      <c r="H75" s="50">
        <v>0</v>
      </c>
      <c r="I75" s="50">
        <v>3</v>
      </c>
      <c r="J75" s="50">
        <v>0</v>
      </c>
      <c r="K75" s="50">
        <v>0</v>
      </c>
      <c r="L75" s="50">
        <v>0</v>
      </c>
      <c r="M75" s="50">
        <v>4</v>
      </c>
      <c r="N75" s="50">
        <v>0</v>
      </c>
      <c r="O75" s="15">
        <f t="shared" si="35"/>
        <v>7</v>
      </c>
      <c r="P75" s="15">
        <f t="shared" si="36"/>
        <v>11</v>
      </c>
      <c r="R75" s="8"/>
      <c r="T75"/>
    </row>
    <row r="76" spans="2:20" ht="23.1" customHeight="1" x14ac:dyDescent="0.25">
      <c r="B76" s="45" t="s">
        <v>116</v>
      </c>
      <c r="C76" s="50">
        <v>2</v>
      </c>
      <c r="D76" s="50">
        <v>0</v>
      </c>
      <c r="E76" s="50">
        <v>0</v>
      </c>
      <c r="F76" s="50">
        <v>1</v>
      </c>
      <c r="G76" s="50">
        <v>2</v>
      </c>
      <c r="H76" s="50">
        <v>3</v>
      </c>
      <c r="I76" s="50">
        <v>2</v>
      </c>
      <c r="J76" s="50">
        <v>0</v>
      </c>
      <c r="K76" s="50">
        <v>0</v>
      </c>
      <c r="L76" s="50">
        <v>2</v>
      </c>
      <c r="M76" s="50">
        <v>3</v>
      </c>
      <c r="N76" s="50">
        <v>0</v>
      </c>
      <c r="O76" s="15">
        <f t="shared" si="35"/>
        <v>12</v>
      </c>
      <c r="P76" s="15">
        <f t="shared" si="36"/>
        <v>15</v>
      </c>
      <c r="R76" s="8"/>
      <c r="T76"/>
    </row>
    <row r="77" spans="2:20" ht="23.1" customHeight="1" x14ac:dyDescent="0.25">
      <c r="B77" s="45" t="s">
        <v>117</v>
      </c>
      <c r="C77" s="50">
        <v>2</v>
      </c>
      <c r="D77" s="50">
        <v>0</v>
      </c>
      <c r="E77" s="50">
        <v>1</v>
      </c>
      <c r="F77" s="50">
        <v>0</v>
      </c>
      <c r="G77" s="50">
        <v>0</v>
      </c>
      <c r="H77" s="50">
        <v>1</v>
      </c>
      <c r="I77" s="50">
        <v>2</v>
      </c>
      <c r="J77" s="50">
        <v>1</v>
      </c>
      <c r="K77" s="50">
        <v>0</v>
      </c>
      <c r="L77" s="50">
        <v>4</v>
      </c>
      <c r="M77" s="50">
        <v>4</v>
      </c>
      <c r="N77" s="50">
        <v>0</v>
      </c>
      <c r="O77" s="15">
        <f t="shared" si="35"/>
        <v>11</v>
      </c>
      <c r="P77" s="15">
        <f t="shared" si="36"/>
        <v>15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1</v>
      </c>
      <c r="G78" s="50">
        <v>1</v>
      </c>
      <c r="H78" s="50">
        <v>1</v>
      </c>
      <c r="I78" s="50">
        <v>0</v>
      </c>
      <c r="J78" s="50">
        <v>0</v>
      </c>
      <c r="K78" s="50">
        <v>0</v>
      </c>
      <c r="L78" s="50">
        <v>1</v>
      </c>
      <c r="M78" s="50">
        <v>3</v>
      </c>
      <c r="N78" s="50">
        <v>0</v>
      </c>
      <c r="O78" s="15">
        <f t="shared" si="35"/>
        <v>4</v>
      </c>
      <c r="P78" s="15">
        <f t="shared" si="36"/>
        <v>7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0</v>
      </c>
      <c r="E79" s="50">
        <v>2</v>
      </c>
      <c r="F79" s="50">
        <v>0</v>
      </c>
      <c r="G79" s="50">
        <v>1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4</v>
      </c>
      <c r="N79" s="50">
        <v>0</v>
      </c>
      <c r="O79" s="15">
        <f t="shared" si="35"/>
        <v>5</v>
      </c>
      <c r="P79" s="15">
        <f t="shared" si="36"/>
        <v>9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1</v>
      </c>
      <c r="E80" s="50">
        <v>0</v>
      </c>
      <c r="F80" s="50">
        <v>1</v>
      </c>
      <c r="G80" s="50">
        <v>2</v>
      </c>
      <c r="H80" s="50">
        <v>2</v>
      </c>
      <c r="I80" s="50">
        <v>2</v>
      </c>
      <c r="J80" s="50">
        <v>0</v>
      </c>
      <c r="K80" s="50">
        <v>0</v>
      </c>
      <c r="L80" s="50">
        <v>2</v>
      </c>
      <c r="M80" s="50">
        <v>2</v>
      </c>
      <c r="N80" s="50">
        <v>0</v>
      </c>
      <c r="O80" s="15">
        <f t="shared" si="35"/>
        <v>11</v>
      </c>
      <c r="P80" s="15">
        <f t="shared" si="36"/>
        <v>13</v>
      </c>
      <c r="R80" s="8"/>
      <c r="T80"/>
    </row>
    <row r="81" spans="2:20" ht="23.1" customHeight="1" x14ac:dyDescent="0.25">
      <c r="B81" s="45" t="s">
        <v>121</v>
      </c>
      <c r="C81" s="50">
        <v>2</v>
      </c>
      <c r="D81" s="50">
        <v>2</v>
      </c>
      <c r="E81" s="50">
        <v>1</v>
      </c>
      <c r="F81" s="50">
        <v>0</v>
      </c>
      <c r="G81" s="50">
        <v>0</v>
      </c>
      <c r="H81" s="50">
        <v>1</v>
      </c>
      <c r="I81" s="50">
        <v>2</v>
      </c>
      <c r="J81" s="50">
        <v>1</v>
      </c>
      <c r="K81" s="50">
        <v>0</v>
      </c>
      <c r="L81" s="50">
        <v>4</v>
      </c>
      <c r="M81" s="50">
        <v>4</v>
      </c>
      <c r="N81" s="50">
        <v>0</v>
      </c>
      <c r="O81" s="15">
        <f t="shared" si="35"/>
        <v>13</v>
      </c>
      <c r="P81" s="15">
        <f t="shared" si="36"/>
        <v>17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1</v>
      </c>
      <c r="G82" s="50">
        <v>1</v>
      </c>
      <c r="H82" s="50">
        <v>1</v>
      </c>
      <c r="I82" s="50">
        <v>0</v>
      </c>
      <c r="J82" s="50">
        <v>0</v>
      </c>
      <c r="K82" s="50">
        <v>0</v>
      </c>
      <c r="L82" s="50">
        <v>1</v>
      </c>
      <c r="M82" s="50">
        <v>2</v>
      </c>
      <c r="N82" s="50">
        <v>0</v>
      </c>
      <c r="O82" s="15">
        <f t="shared" si="35"/>
        <v>4</v>
      </c>
      <c r="P82" s="15">
        <f t="shared" si="36"/>
        <v>6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1</v>
      </c>
      <c r="E83" s="50">
        <v>2</v>
      </c>
      <c r="F83" s="50">
        <v>0</v>
      </c>
      <c r="G83" s="50">
        <v>1</v>
      </c>
      <c r="H83" s="50">
        <v>0</v>
      </c>
      <c r="I83" s="50">
        <v>1</v>
      </c>
      <c r="J83" s="50">
        <v>0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6</v>
      </c>
      <c r="P83" s="15">
        <f t="shared" si="36"/>
        <v>7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0</v>
      </c>
      <c r="F84" s="50">
        <v>1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1</v>
      </c>
      <c r="M84" s="50">
        <v>2</v>
      </c>
      <c r="N84" s="50">
        <v>0</v>
      </c>
      <c r="O84" s="15">
        <f t="shared" si="35"/>
        <v>4</v>
      </c>
      <c r="P84" s="15">
        <f t="shared" si="36"/>
        <v>6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0</v>
      </c>
      <c r="E85" s="50">
        <v>1</v>
      </c>
      <c r="F85" s="50">
        <v>0</v>
      </c>
      <c r="G85" s="50">
        <v>0</v>
      </c>
      <c r="H85" s="50">
        <v>1</v>
      </c>
      <c r="I85" s="50">
        <v>2</v>
      </c>
      <c r="J85" s="50">
        <v>1</v>
      </c>
      <c r="K85" s="50">
        <v>0</v>
      </c>
      <c r="L85" s="50">
        <v>1</v>
      </c>
      <c r="M85" s="50">
        <v>0</v>
      </c>
      <c r="N85" s="50">
        <v>0</v>
      </c>
      <c r="O85" s="15">
        <f t="shared" si="35"/>
        <v>8</v>
      </c>
      <c r="P85" s="15">
        <f t="shared" si="36"/>
        <v>8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1</v>
      </c>
      <c r="G86" s="50">
        <v>1</v>
      </c>
      <c r="H86" s="50">
        <v>1</v>
      </c>
      <c r="I86" s="50">
        <v>0</v>
      </c>
      <c r="J86" s="50">
        <v>0</v>
      </c>
      <c r="K86" s="50">
        <v>1</v>
      </c>
      <c r="L86" s="50">
        <v>1</v>
      </c>
      <c r="M86" s="50">
        <v>1</v>
      </c>
      <c r="N86" s="50">
        <v>0</v>
      </c>
      <c r="O86" s="15">
        <f t="shared" si="35"/>
        <v>5</v>
      </c>
      <c r="P86" s="15">
        <f t="shared" si="36"/>
        <v>6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1</v>
      </c>
      <c r="F87" s="50">
        <v>0</v>
      </c>
      <c r="G87" s="50">
        <v>1</v>
      </c>
      <c r="H87" s="50">
        <v>0</v>
      </c>
      <c r="I87" s="50">
        <v>1</v>
      </c>
      <c r="J87" s="50">
        <v>0</v>
      </c>
      <c r="K87" s="50">
        <v>0</v>
      </c>
      <c r="L87" s="50">
        <v>0</v>
      </c>
      <c r="M87" s="50">
        <v>1</v>
      </c>
      <c r="N87" s="50">
        <v>0</v>
      </c>
      <c r="O87" s="15">
        <f t="shared" si="35"/>
        <v>4</v>
      </c>
      <c r="P87" s="15">
        <f t="shared" si="36"/>
        <v>5</v>
      </c>
      <c r="R87" s="8"/>
      <c r="T87"/>
    </row>
    <row r="88" spans="2:20" ht="23.1" customHeight="1" x14ac:dyDescent="0.25">
      <c r="B88" s="47" t="s">
        <v>128</v>
      </c>
      <c r="C88" s="50">
        <v>1</v>
      </c>
      <c r="D88" s="50">
        <v>0</v>
      </c>
      <c r="E88" s="50">
        <v>0</v>
      </c>
      <c r="F88" s="50">
        <v>1</v>
      </c>
      <c r="G88" s="50">
        <v>0</v>
      </c>
      <c r="H88" s="50">
        <v>0</v>
      </c>
      <c r="I88" s="50">
        <v>1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3</v>
      </c>
      <c r="P88" s="15">
        <f t="shared" si="36"/>
        <v>3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1</v>
      </c>
      <c r="F89" s="50">
        <v>0</v>
      </c>
      <c r="G89" s="50">
        <v>0</v>
      </c>
      <c r="H89" s="50">
        <v>1</v>
      </c>
      <c r="I89" s="50">
        <v>2</v>
      </c>
      <c r="J89" s="50">
        <v>1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5</v>
      </c>
      <c r="P89" s="15">
        <f t="shared" si="36"/>
        <v>5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1</v>
      </c>
      <c r="E90" s="50">
        <v>0</v>
      </c>
      <c r="F90" s="50">
        <v>1</v>
      </c>
      <c r="G90" s="50">
        <v>1</v>
      </c>
      <c r="H90" s="50">
        <v>1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4</v>
      </c>
      <c r="P90" s="15">
        <f t="shared" si="36"/>
        <v>4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1</v>
      </c>
      <c r="F91" s="50">
        <v>0</v>
      </c>
      <c r="G91" s="50">
        <v>1</v>
      </c>
      <c r="H91" s="50">
        <v>0</v>
      </c>
      <c r="I91" s="50">
        <v>1</v>
      </c>
      <c r="J91" s="50">
        <v>0</v>
      </c>
      <c r="K91" s="50">
        <v>0</v>
      </c>
      <c r="L91" s="50">
        <v>0</v>
      </c>
      <c r="M91" s="50">
        <v>1</v>
      </c>
      <c r="N91" s="50">
        <v>0</v>
      </c>
      <c r="O91" s="15">
        <f t="shared" si="35"/>
        <v>3</v>
      </c>
      <c r="P91" s="15">
        <f t="shared" si="36"/>
        <v>4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1</v>
      </c>
      <c r="G92" s="50">
        <v>0</v>
      </c>
      <c r="H92" s="50">
        <v>0</v>
      </c>
      <c r="I92" s="50">
        <v>1</v>
      </c>
      <c r="J92" s="50">
        <v>0</v>
      </c>
      <c r="K92" s="50">
        <v>0</v>
      </c>
      <c r="L92" s="50">
        <v>0</v>
      </c>
      <c r="M92" s="50">
        <v>2</v>
      </c>
      <c r="N92" s="50">
        <v>0</v>
      </c>
      <c r="O92" s="15">
        <f t="shared" si="35"/>
        <v>3</v>
      </c>
      <c r="P92" s="15">
        <f t="shared" si="36"/>
        <v>5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1</v>
      </c>
      <c r="I93" s="50">
        <v>2</v>
      </c>
      <c r="J93" s="50">
        <v>1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4</v>
      </c>
      <c r="P93" s="15">
        <f t="shared" si="36"/>
        <v>4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1</v>
      </c>
      <c r="G94" s="50">
        <v>0</v>
      </c>
      <c r="H94" s="50">
        <v>1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2</v>
      </c>
      <c r="P94" s="15">
        <f t="shared" si="36"/>
        <v>2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1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1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1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3</v>
      </c>
      <c r="P96" s="15">
        <f t="shared" si="36"/>
        <v>3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1</v>
      </c>
      <c r="G97" s="50">
        <v>1</v>
      </c>
      <c r="H97" s="50">
        <v>1</v>
      </c>
      <c r="I97" s="50">
        <v>0</v>
      </c>
      <c r="J97" s="50">
        <v>0</v>
      </c>
      <c r="K97" s="50">
        <v>0</v>
      </c>
      <c r="L97" s="50">
        <v>1</v>
      </c>
      <c r="M97" s="50">
        <v>2</v>
      </c>
      <c r="N97" s="50">
        <v>0</v>
      </c>
      <c r="O97" s="15">
        <f t="shared" si="35"/>
        <v>4</v>
      </c>
      <c r="P97" s="15">
        <f t="shared" si="36"/>
        <v>6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0</v>
      </c>
      <c r="E98" s="50">
        <v>2</v>
      </c>
      <c r="F98" s="50">
        <v>0</v>
      </c>
      <c r="G98" s="50">
        <v>1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1</v>
      </c>
      <c r="N98" s="50">
        <v>0</v>
      </c>
      <c r="O98" s="15">
        <f t="shared" si="35"/>
        <v>5</v>
      </c>
      <c r="P98" s="15">
        <f t="shared" si="36"/>
        <v>6</v>
      </c>
      <c r="R98" s="8"/>
      <c r="T98"/>
    </row>
    <row r="99" spans="2:20" ht="23.1" customHeight="1" x14ac:dyDescent="0.25">
      <c r="B99" s="45" t="s">
        <v>139</v>
      </c>
      <c r="C99" s="50">
        <v>2</v>
      </c>
      <c r="D99" s="50">
        <v>0</v>
      </c>
      <c r="E99" s="50">
        <v>0</v>
      </c>
      <c r="F99" s="50">
        <v>1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1</v>
      </c>
      <c r="M99" s="50">
        <v>1</v>
      </c>
      <c r="N99" s="50">
        <v>0</v>
      </c>
      <c r="O99" s="15">
        <f t="shared" si="35"/>
        <v>4</v>
      </c>
      <c r="P99" s="15">
        <f t="shared" si="36"/>
        <v>5</v>
      </c>
      <c r="R99" s="8"/>
      <c r="T99"/>
    </row>
    <row r="100" spans="2:20" ht="23.1" customHeight="1" x14ac:dyDescent="0.25">
      <c r="B100" s="47" t="s">
        <v>140</v>
      </c>
      <c r="C100" s="50">
        <v>2</v>
      </c>
      <c r="D100" s="50">
        <v>1</v>
      </c>
      <c r="E100" s="50">
        <v>1</v>
      </c>
      <c r="F100" s="50">
        <v>0</v>
      </c>
      <c r="G100" s="50">
        <v>0</v>
      </c>
      <c r="H100" s="50">
        <v>1</v>
      </c>
      <c r="I100" s="50">
        <v>2</v>
      </c>
      <c r="J100" s="50">
        <v>1</v>
      </c>
      <c r="K100" s="50">
        <v>0</v>
      </c>
      <c r="L100" s="50">
        <v>1</v>
      </c>
      <c r="M100" s="50">
        <v>0</v>
      </c>
      <c r="N100" s="50">
        <v>0</v>
      </c>
      <c r="O100" s="15">
        <f t="shared" si="35"/>
        <v>9</v>
      </c>
      <c r="P100" s="15">
        <f t="shared" si="36"/>
        <v>9</v>
      </c>
      <c r="R100" s="8"/>
      <c r="T100"/>
    </row>
    <row r="101" spans="2:20" ht="23.1" customHeight="1" x14ac:dyDescent="0.25">
      <c r="B101" s="45" t="s">
        <v>141</v>
      </c>
      <c r="C101" s="50">
        <v>3</v>
      </c>
      <c r="D101" s="50">
        <v>0</v>
      </c>
      <c r="E101" s="50">
        <v>0</v>
      </c>
      <c r="F101" s="50">
        <v>1</v>
      </c>
      <c r="G101" s="50">
        <v>1</v>
      </c>
      <c r="H101" s="50">
        <v>1</v>
      </c>
      <c r="I101" s="50">
        <v>0</v>
      </c>
      <c r="J101" s="50">
        <v>0</v>
      </c>
      <c r="K101" s="50">
        <v>0</v>
      </c>
      <c r="L101" s="50">
        <v>1</v>
      </c>
      <c r="M101" s="50">
        <v>2</v>
      </c>
      <c r="N101" s="50">
        <v>0</v>
      </c>
      <c r="O101" s="15">
        <f t="shared" si="35"/>
        <v>7</v>
      </c>
      <c r="P101" s="15">
        <f t="shared" si="36"/>
        <v>9</v>
      </c>
      <c r="R101" s="8"/>
      <c r="T101"/>
    </row>
    <row r="102" spans="2:20" ht="23.1" customHeight="1" x14ac:dyDescent="0.25">
      <c r="B102" s="46" t="s">
        <v>142</v>
      </c>
      <c r="C102" s="50">
        <v>4</v>
      </c>
      <c r="D102" s="50">
        <v>0</v>
      </c>
      <c r="E102" s="50">
        <v>2</v>
      </c>
      <c r="F102" s="50">
        <v>0</v>
      </c>
      <c r="G102" s="50">
        <v>1</v>
      </c>
      <c r="H102" s="50">
        <v>0</v>
      </c>
      <c r="I102" s="50">
        <v>1</v>
      </c>
      <c r="J102" s="50">
        <v>0</v>
      </c>
      <c r="K102" s="50">
        <v>0</v>
      </c>
      <c r="L102" s="50">
        <v>0</v>
      </c>
      <c r="M102" s="50">
        <v>3</v>
      </c>
      <c r="N102" s="50">
        <v>0</v>
      </c>
      <c r="O102" s="15">
        <f t="shared" si="35"/>
        <v>8</v>
      </c>
      <c r="P102" s="15">
        <f t="shared" si="36"/>
        <v>11</v>
      </c>
      <c r="R102" s="8"/>
      <c r="T102"/>
    </row>
    <row r="103" spans="2:20" ht="23.1" customHeight="1" x14ac:dyDescent="0.25">
      <c r="B103" s="45" t="s">
        <v>143</v>
      </c>
      <c r="C103" s="50">
        <v>2</v>
      </c>
      <c r="D103" s="50">
        <v>2</v>
      </c>
      <c r="E103" s="50">
        <v>0</v>
      </c>
      <c r="F103" s="50">
        <v>3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1</v>
      </c>
      <c r="M103" s="50">
        <v>3</v>
      </c>
      <c r="N103" s="50">
        <v>0</v>
      </c>
      <c r="O103" s="15">
        <f t="shared" si="35"/>
        <v>8</v>
      </c>
      <c r="P103" s="15">
        <f t="shared" si="36"/>
        <v>11</v>
      </c>
      <c r="R103" s="8"/>
      <c r="T103"/>
    </row>
    <row r="104" spans="2:20" ht="23.1" customHeight="1" x14ac:dyDescent="0.25">
      <c r="B104" s="47" t="s">
        <v>144</v>
      </c>
      <c r="C104" s="50">
        <v>5</v>
      </c>
      <c r="D104" s="50">
        <v>3</v>
      </c>
      <c r="E104" s="50">
        <v>1</v>
      </c>
      <c r="F104" s="50">
        <v>4</v>
      </c>
      <c r="G104" s="50">
        <v>0</v>
      </c>
      <c r="H104" s="50">
        <v>1</v>
      </c>
      <c r="I104" s="50">
        <v>1</v>
      </c>
      <c r="J104" s="50">
        <v>1</v>
      </c>
      <c r="K104" s="50">
        <v>1</v>
      </c>
      <c r="L104" s="50">
        <v>1</v>
      </c>
      <c r="M104" s="50">
        <v>10</v>
      </c>
      <c r="N104" s="50">
        <v>0</v>
      </c>
      <c r="O104" s="15">
        <f t="shared" si="35"/>
        <v>18</v>
      </c>
      <c r="P104" s="15">
        <f t="shared" si="36"/>
        <v>28</v>
      </c>
      <c r="R104" s="8"/>
      <c r="T104"/>
    </row>
    <row r="105" spans="2:20" ht="23.1" customHeight="1" x14ac:dyDescent="0.25">
      <c r="B105" s="45" t="s">
        <v>145</v>
      </c>
      <c r="C105" s="50">
        <v>10</v>
      </c>
      <c r="D105" s="50">
        <v>2</v>
      </c>
      <c r="E105" s="50">
        <v>3</v>
      </c>
      <c r="F105" s="50">
        <v>6</v>
      </c>
      <c r="G105" s="50">
        <v>1</v>
      </c>
      <c r="H105" s="50">
        <v>0</v>
      </c>
      <c r="I105" s="50">
        <v>5</v>
      </c>
      <c r="J105" s="50">
        <v>2</v>
      </c>
      <c r="K105" s="50">
        <v>1</v>
      </c>
      <c r="L105" s="50">
        <v>0</v>
      </c>
      <c r="M105" s="50">
        <v>15</v>
      </c>
      <c r="N105" s="50">
        <v>0</v>
      </c>
      <c r="O105" s="15">
        <f t="shared" si="35"/>
        <v>30</v>
      </c>
      <c r="P105" s="15">
        <f t="shared" si="36"/>
        <v>45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456</v>
      </c>
      <c r="D106" s="16">
        <f t="shared" ref="D106:P106" si="37">SUM(D10:D105)</f>
        <v>28</v>
      </c>
      <c r="E106" s="16">
        <f t="shared" si="37"/>
        <v>810</v>
      </c>
      <c r="F106" s="16">
        <f t="shared" si="37"/>
        <v>693</v>
      </c>
      <c r="G106" s="16">
        <f t="shared" si="37"/>
        <v>40</v>
      </c>
      <c r="H106" s="16">
        <f t="shared" si="37"/>
        <v>80</v>
      </c>
      <c r="I106" s="16">
        <f t="shared" si="37"/>
        <v>414</v>
      </c>
      <c r="J106" s="16">
        <f t="shared" si="37"/>
        <v>31</v>
      </c>
      <c r="K106" s="16">
        <f t="shared" si="37"/>
        <v>15</v>
      </c>
      <c r="L106" s="16">
        <f t="shared" si="37"/>
        <v>162</v>
      </c>
      <c r="M106" s="16">
        <f t="shared" si="37"/>
        <v>3464</v>
      </c>
      <c r="N106" s="16">
        <f t="shared" si="37"/>
        <v>0</v>
      </c>
      <c r="O106" s="16">
        <f t="shared" si="37"/>
        <v>2729</v>
      </c>
      <c r="P106" s="16">
        <f t="shared" si="37"/>
        <v>6193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7.3631519457451958E-2</v>
      </c>
      <c r="D107" s="43">
        <f t="shared" si="38"/>
        <v>4.5212336508961733E-3</v>
      </c>
      <c r="E107" s="43">
        <f t="shared" si="38"/>
        <v>0.13079283061521071</v>
      </c>
      <c r="F107" s="43">
        <f t="shared" si="38"/>
        <v>0.11190053285968028</v>
      </c>
      <c r="G107" s="43">
        <f t="shared" si="38"/>
        <v>6.4589052155659618E-3</v>
      </c>
      <c r="H107" s="43">
        <f t="shared" si="38"/>
        <v>1.2917810431131924E-2</v>
      </c>
      <c r="I107" s="43">
        <f t="shared" si="38"/>
        <v>6.6849668981107696E-2</v>
      </c>
      <c r="J107" s="43">
        <f t="shared" si="38"/>
        <v>5.0056515420636204E-3</v>
      </c>
      <c r="K107" s="43">
        <f t="shared" si="38"/>
        <v>2.4220894558372357E-3</v>
      </c>
      <c r="L107" s="43">
        <f t="shared" si="38"/>
        <v>2.6158566123042144E-2</v>
      </c>
      <c r="M107" s="43">
        <f t="shared" si="38"/>
        <v>0.55934119166801222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0.16709417368999632</v>
      </c>
      <c r="D108" s="44">
        <f t="shared" ref="D108:N108" si="39">D106/$O$106</f>
        <v>1.0260168559912056E-2</v>
      </c>
      <c r="E108" s="44">
        <f t="shared" si="39"/>
        <v>0.29681201905459875</v>
      </c>
      <c r="F108" s="44">
        <f t="shared" si="39"/>
        <v>0.25393917185782339</v>
      </c>
      <c r="G108" s="44">
        <f t="shared" si="39"/>
        <v>1.4657383657017223E-2</v>
      </c>
      <c r="H108" s="44">
        <f t="shared" si="39"/>
        <v>2.9314767314034446E-2</v>
      </c>
      <c r="I108" s="44">
        <f t="shared" si="39"/>
        <v>0.15170392085012827</v>
      </c>
      <c r="J108" s="44">
        <f t="shared" si="39"/>
        <v>1.1359472334188348E-2</v>
      </c>
      <c r="K108" s="44">
        <f t="shared" si="39"/>
        <v>5.496518871381458E-3</v>
      </c>
      <c r="L108" s="44">
        <f t="shared" si="39"/>
        <v>5.9362403810919749E-2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249977111117893"/>
  </sheetPr>
  <dimension ref="B1:AF174"/>
  <sheetViews>
    <sheetView view="pageBreakPreview" topLeftCell="A94" zoomScale="60" workbookViewId="0">
      <selection activeCell="K106" sqref="K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'20.8 Kampala-Luweero'!C3:G3</f>
        <v>MCC - C3 - STN87 - Kampala-Gulu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175</v>
      </c>
      <c r="E5" s="3"/>
      <c r="F5" s="41" t="s">
        <v>1</v>
      </c>
      <c r="G5" s="66">
        <f>'23.Luweero-Kamplaa'!G5:H5</f>
        <v>0</v>
      </c>
      <c r="H5" s="67"/>
      <c r="I5" s="14"/>
      <c r="J5" s="2" t="s">
        <v>5</v>
      </c>
      <c r="K5" s="66" t="str">
        <f>'23.Luweero-Kamplaa'!K5:L5</f>
        <v>Godfrey, Ibrahim N, Oliver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'20.8 Kampala-Luweero'!D6:E6</f>
        <v>Kampala</v>
      </c>
      <c r="E6" s="67"/>
      <c r="F6" s="2" t="s">
        <v>2</v>
      </c>
      <c r="G6" s="66" t="str">
        <f>'20.8 Kampala-Luweero'!G6:H6</f>
        <v>Luwero</v>
      </c>
      <c r="H6" s="67"/>
      <c r="J6" s="2" t="s">
        <v>21</v>
      </c>
      <c r="K6" s="66" t="str">
        <f>'23.Luweero-Kamplaa'!K6:L6</f>
        <v>Martin, Tracy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6</v>
      </c>
      <c r="D10" s="50">
        <v>3</v>
      </c>
      <c r="E10" s="50">
        <v>4</v>
      </c>
      <c r="F10" s="50">
        <v>8</v>
      </c>
      <c r="G10" s="50">
        <v>0</v>
      </c>
      <c r="H10" s="50">
        <v>0</v>
      </c>
      <c r="I10" s="50">
        <v>12</v>
      </c>
      <c r="J10" s="50">
        <v>1</v>
      </c>
      <c r="K10" s="50">
        <v>0</v>
      </c>
      <c r="L10" s="50">
        <v>1</v>
      </c>
      <c r="M10" s="50">
        <v>43</v>
      </c>
      <c r="N10" s="50">
        <v>0</v>
      </c>
      <c r="O10" s="15">
        <f t="shared" ref="O10:O57" si="0">SUM(C10:L10,N10)</f>
        <v>35</v>
      </c>
      <c r="P10" s="15">
        <f t="shared" ref="P10:P57" si="1">SUM(C10:N10)</f>
        <v>78</v>
      </c>
      <c r="R10" s="1" t="s">
        <v>6</v>
      </c>
      <c r="S10" s="17">
        <f t="shared" ref="S10:AF10" si="2">SUM(C10:C13)</f>
        <v>39</v>
      </c>
      <c r="T10" s="17">
        <f t="shared" si="2"/>
        <v>13</v>
      </c>
      <c r="U10" s="17">
        <f t="shared" si="2"/>
        <v>32</v>
      </c>
      <c r="V10" s="17">
        <f t="shared" si="2"/>
        <v>31</v>
      </c>
      <c r="W10" s="17">
        <f t="shared" si="2"/>
        <v>3</v>
      </c>
      <c r="X10" s="17">
        <f t="shared" si="2"/>
        <v>2</v>
      </c>
      <c r="Y10" s="17">
        <f t="shared" si="2"/>
        <v>31</v>
      </c>
      <c r="Z10" s="17">
        <f t="shared" si="2"/>
        <v>1</v>
      </c>
      <c r="AA10" s="17">
        <f t="shared" si="2"/>
        <v>0</v>
      </c>
      <c r="AB10" s="17">
        <f t="shared" si="2"/>
        <v>5</v>
      </c>
      <c r="AC10" s="17">
        <f t="shared" si="2"/>
        <v>242</v>
      </c>
      <c r="AD10" s="17">
        <f t="shared" si="2"/>
        <v>0</v>
      </c>
      <c r="AE10" s="31">
        <f t="shared" si="2"/>
        <v>157</v>
      </c>
      <c r="AF10" s="31">
        <f t="shared" si="2"/>
        <v>399</v>
      </c>
    </row>
    <row r="11" spans="2:32" s="6" customFormat="1" ht="23.1" customHeight="1" x14ac:dyDescent="0.25">
      <c r="B11" s="45" t="s">
        <v>38</v>
      </c>
      <c r="C11" s="50">
        <v>10</v>
      </c>
      <c r="D11" s="50">
        <v>0</v>
      </c>
      <c r="E11" s="50">
        <v>9</v>
      </c>
      <c r="F11" s="50">
        <v>4</v>
      </c>
      <c r="G11" s="50">
        <v>0</v>
      </c>
      <c r="H11" s="50">
        <v>1</v>
      </c>
      <c r="I11" s="50">
        <v>10</v>
      </c>
      <c r="J11" s="50">
        <v>0</v>
      </c>
      <c r="K11" s="50">
        <v>0</v>
      </c>
      <c r="L11" s="50">
        <v>1</v>
      </c>
      <c r="M11" s="50">
        <v>56</v>
      </c>
      <c r="N11" s="50">
        <v>0</v>
      </c>
      <c r="O11" s="15">
        <f t="shared" si="0"/>
        <v>35</v>
      </c>
      <c r="P11" s="15">
        <f t="shared" si="1"/>
        <v>91</v>
      </c>
      <c r="R11" s="1" t="s">
        <v>7</v>
      </c>
      <c r="S11" s="17">
        <f t="shared" ref="S11:AF11" si="3">SUM(C14:C17)</f>
        <v>51</v>
      </c>
      <c r="T11" s="17">
        <f t="shared" si="3"/>
        <v>12</v>
      </c>
      <c r="U11" s="17">
        <f t="shared" si="3"/>
        <v>44</v>
      </c>
      <c r="V11" s="17">
        <f t="shared" si="3"/>
        <v>44</v>
      </c>
      <c r="W11" s="17">
        <f t="shared" si="3"/>
        <v>0</v>
      </c>
      <c r="X11" s="17">
        <f t="shared" si="3"/>
        <v>4</v>
      </c>
      <c r="Y11" s="17">
        <f t="shared" si="3"/>
        <v>22</v>
      </c>
      <c r="Z11" s="17">
        <f t="shared" si="3"/>
        <v>0</v>
      </c>
      <c r="AA11" s="17">
        <f t="shared" si="3"/>
        <v>0</v>
      </c>
      <c r="AB11" s="17">
        <f t="shared" si="3"/>
        <v>7</v>
      </c>
      <c r="AC11" s="17">
        <f t="shared" si="3"/>
        <v>262</v>
      </c>
      <c r="AD11" s="17">
        <f t="shared" si="3"/>
        <v>0</v>
      </c>
      <c r="AE11" s="31">
        <f t="shared" si="3"/>
        <v>184</v>
      </c>
      <c r="AF11" s="31">
        <f t="shared" si="3"/>
        <v>446</v>
      </c>
    </row>
    <row r="12" spans="2:32" ht="23.1" customHeight="1" x14ac:dyDescent="0.25">
      <c r="B12" s="45" t="s">
        <v>39</v>
      </c>
      <c r="C12" s="50">
        <v>11</v>
      </c>
      <c r="D12" s="50">
        <v>0</v>
      </c>
      <c r="E12" s="50">
        <v>14</v>
      </c>
      <c r="F12" s="50">
        <v>8</v>
      </c>
      <c r="G12" s="50">
        <v>1</v>
      </c>
      <c r="H12" s="50">
        <v>0</v>
      </c>
      <c r="I12" s="50">
        <v>6</v>
      </c>
      <c r="J12" s="50">
        <v>0</v>
      </c>
      <c r="K12" s="50">
        <v>0</v>
      </c>
      <c r="L12" s="50">
        <v>1</v>
      </c>
      <c r="M12" s="50">
        <v>66</v>
      </c>
      <c r="N12" s="50">
        <v>0</v>
      </c>
      <c r="O12" s="15">
        <f t="shared" si="0"/>
        <v>41</v>
      </c>
      <c r="P12" s="15">
        <f t="shared" si="1"/>
        <v>107</v>
      </c>
      <c r="R12" s="1" t="s">
        <v>8</v>
      </c>
      <c r="S12" s="17">
        <f t="shared" ref="S12:AF12" si="4">SUM(C18:C21)</f>
        <v>62</v>
      </c>
      <c r="T12" s="17">
        <f t="shared" si="4"/>
        <v>21</v>
      </c>
      <c r="U12" s="17">
        <f t="shared" si="4"/>
        <v>43</v>
      </c>
      <c r="V12" s="17">
        <f t="shared" si="4"/>
        <v>51</v>
      </c>
      <c r="W12" s="17">
        <f t="shared" si="4"/>
        <v>1</v>
      </c>
      <c r="X12" s="17">
        <f t="shared" si="4"/>
        <v>6</v>
      </c>
      <c r="Y12" s="17">
        <f t="shared" si="4"/>
        <v>25</v>
      </c>
      <c r="Z12" s="17">
        <f t="shared" si="4"/>
        <v>0</v>
      </c>
      <c r="AA12" s="17">
        <f t="shared" si="4"/>
        <v>0</v>
      </c>
      <c r="AB12" s="17">
        <f t="shared" si="4"/>
        <v>4</v>
      </c>
      <c r="AC12" s="17">
        <f t="shared" si="4"/>
        <v>264</v>
      </c>
      <c r="AD12" s="17">
        <f t="shared" si="4"/>
        <v>0</v>
      </c>
      <c r="AE12" s="31">
        <f t="shared" si="4"/>
        <v>213</v>
      </c>
      <c r="AF12" s="31">
        <f t="shared" si="4"/>
        <v>477</v>
      </c>
    </row>
    <row r="13" spans="2:32" ht="23.1" customHeight="1" x14ac:dyDescent="0.25">
      <c r="B13" s="45" t="s">
        <v>40</v>
      </c>
      <c r="C13" s="50">
        <v>12</v>
      </c>
      <c r="D13" s="50">
        <v>10</v>
      </c>
      <c r="E13" s="50">
        <v>5</v>
      </c>
      <c r="F13" s="50">
        <v>11</v>
      </c>
      <c r="G13" s="50">
        <v>2</v>
      </c>
      <c r="H13" s="50">
        <v>1</v>
      </c>
      <c r="I13" s="50">
        <v>3</v>
      </c>
      <c r="J13" s="50">
        <v>0</v>
      </c>
      <c r="K13" s="50">
        <v>0</v>
      </c>
      <c r="L13" s="50">
        <v>2</v>
      </c>
      <c r="M13" s="50">
        <v>77</v>
      </c>
      <c r="N13" s="50">
        <v>0</v>
      </c>
      <c r="O13" s="15">
        <f t="shared" si="0"/>
        <v>46</v>
      </c>
      <c r="P13" s="15">
        <f t="shared" si="1"/>
        <v>123</v>
      </c>
      <c r="R13" s="1" t="s">
        <v>9</v>
      </c>
      <c r="S13" s="17">
        <f t="shared" ref="S13:AF13" si="5">SUM(C22:C25)</f>
        <v>50</v>
      </c>
      <c r="T13" s="17">
        <f t="shared" si="5"/>
        <v>19</v>
      </c>
      <c r="U13" s="17">
        <f t="shared" si="5"/>
        <v>64</v>
      </c>
      <c r="V13" s="17">
        <f t="shared" si="5"/>
        <v>62</v>
      </c>
      <c r="W13" s="17">
        <f t="shared" si="5"/>
        <v>0</v>
      </c>
      <c r="X13" s="17">
        <f t="shared" si="5"/>
        <v>3</v>
      </c>
      <c r="Y13" s="17">
        <f t="shared" si="5"/>
        <v>23</v>
      </c>
      <c r="Z13" s="17">
        <f t="shared" si="5"/>
        <v>3</v>
      </c>
      <c r="AA13" s="17">
        <f t="shared" si="5"/>
        <v>0</v>
      </c>
      <c r="AB13" s="17">
        <f t="shared" si="5"/>
        <v>2</v>
      </c>
      <c r="AC13" s="17">
        <f t="shared" si="5"/>
        <v>260</v>
      </c>
      <c r="AD13" s="17">
        <f t="shared" si="5"/>
        <v>0</v>
      </c>
      <c r="AE13" s="31">
        <f t="shared" si="5"/>
        <v>226</v>
      </c>
      <c r="AF13" s="31">
        <f t="shared" si="5"/>
        <v>486</v>
      </c>
    </row>
    <row r="14" spans="2:32" ht="23.1" customHeight="1" x14ac:dyDescent="0.25">
      <c r="B14" s="45" t="s">
        <v>41</v>
      </c>
      <c r="C14" s="50">
        <v>6</v>
      </c>
      <c r="D14" s="50">
        <v>5</v>
      </c>
      <c r="E14" s="50">
        <v>11</v>
      </c>
      <c r="F14" s="50">
        <v>11</v>
      </c>
      <c r="G14" s="50">
        <v>0</v>
      </c>
      <c r="H14" s="50">
        <v>1</v>
      </c>
      <c r="I14" s="50">
        <v>10</v>
      </c>
      <c r="J14" s="50">
        <v>0</v>
      </c>
      <c r="K14" s="50">
        <v>0</v>
      </c>
      <c r="L14" s="50">
        <v>1</v>
      </c>
      <c r="M14" s="50">
        <v>59</v>
      </c>
      <c r="N14" s="50">
        <v>0</v>
      </c>
      <c r="O14" s="15">
        <f t="shared" si="0"/>
        <v>45</v>
      </c>
      <c r="P14" s="15">
        <f t="shared" si="1"/>
        <v>104</v>
      </c>
      <c r="R14" s="1" t="s">
        <v>10</v>
      </c>
      <c r="S14" s="17">
        <f t="shared" ref="S14:AF14" si="6">SUM(C26:C29)</f>
        <v>44</v>
      </c>
      <c r="T14" s="17">
        <f t="shared" si="6"/>
        <v>23</v>
      </c>
      <c r="U14" s="17">
        <f t="shared" si="6"/>
        <v>41</v>
      </c>
      <c r="V14" s="17">
        <f t="shared" si="6"/>
        <v>46</v>
      </c>
      <c r="W14" s="17">
        <f t="shared" si="6"/>
        <v>3</v>
      </c>
      <c r="X14" s="17">
        <f t="shared" si="6"/>
        <v>6</v>
      </c>
      <c r="Y14" s="17">
        <f t="shared" si="6"/>
        <v>33</v>
      </c>
      <c r="Z14" s="17">
        <f t="shared" si="6"/>
        <v>2</v>
      </c>
      <c r="AA14" s="17">
        <f t="shared" si="6"/>
        <v>1</v>
      </c>
      <c r="AB14" s="17">
        <f t="shared" si="6"/>
        <v>4</v>
      </c>
      <c r="AC14" s="17">
        <f t="shared" si="6"/>
        <v>234</v>
      </c>
      <c r="AD14" s="17">
        <f t="shared" si="6"/>
        <v>0</v>
      </c>
      <c r="AE14" s="31">
        <f t="shared" si="6"/>
        <v>203</v>
      </c>
      <c r="AF14" s="31">
        <f t="shared" si="6"/>
        <v>437</v>
      </c>
    </row>
    <row r="15" spans="2:32" ht="23.1" customHeight="1" x14ac:dyDescent="0.25">
      <c r="B15" s="45" t="s">
        <v>42</v>
      </c>
      <c r="C15" s="50">
        <v>13</v>
      </c>
      <c r="D15" s="50">
        <v>0</v>
      </c>
      <c r="E15" s="50">
        <v>4</v>
      </c>
      <c r="F15" s="50">
        <v>12</v>
      </c>
      <c r="G15" s="50">
        <v>0</v>
      </c>
      <c r="H15" s="50">
        <v>1</v>
      </c>
      <c r="I15" s="50">
        <v>2</v>
      </c>
      <c r="J15" s="50">
        <v>0</v>
      </c>
      <c r="K15" s="50">
        <v>0</v>
      </c>
      <c r="L15" s="50">
        <v>0</v>
      </c>
      <c r="M15" s="50">
        <v>68</v>
      </c>
      <c r="N15" s="50">
        <v>0</v>
      </c>
      <c r="O15" s="15">
        <f t="shared" si="0"/>
        <v>32</v>
      </c>
      <c r="P15" s="15">
        <f t="shared" si="1"/>
        <v>100</v>
      </c>
      <c r="R15" s="1" t="s">
        <v>11</v>
      </c>
      <c r="S15" s="17">
        <f t="shared" ref="S15:AF15" si="7">SUM(C30:C33)</f>
        <v>51</v>
      </c>
      <c r="T15" s="17">
        <f t="shared" si="7"/>
        <v>23</v>
      </c>
      <c r="U15" s="17">
        <f t="shared" si="7"/>
        <v>50</v>
      </c>
      <c r="V15" s="17">
        <f t="shared" si="7"/>
        <v>59</v>
      </c>
      <c r="W15" s="17">
        <f t="shared" si="7"/>
        <v>1</v>
      </c>
      <c r="X15" s="17">
        <f t="shared" si="7"/>
        <v>6</v>
      </c>
      <c r="Y15" s="17">
        <f t="shared" si="7"/>
        <v>31</v>
      </c>
      <c r="Z15" s="17">
        <f t="shared" si="7"/>
        <v>2</v>
      </c>
      <c r="AA15" s="17">
        <f t="shared" si="7"/>
        <v>2</v>
      </c>
      <c r="AB15" s="17">
        <f t="shared" si="7"/>
        <v>5</v>
      </c>
      <c r="AC15" s="17">
        <f t="shared" si="7"/>
        <v>259</v>
      </c>
      <c r="AD15" s="17">
        <f t="shared" si="7"/>
        <v>0</v>
      </c>
      <c r="AE15" s="31">
        <f t="shared" si="7"/>
        <v>230</v>
      </c>
      <c r="AF15" s="31">
        <f t="shared" si="7"/>
        <v>489</v>
      </c>
    </row>
    <row r="16" spans="2:32" ht="23.1" customHeight="1" x14ac:dyDescent="0.25">
      <c r="B16" s="45" t="s">
        <v>43</v>
      </c>
      <c r="C16" s="50">
        <v>15</v>
      </c>
      <c r="D16" s="50">
        <v>0</v>
      </c>
      <c r="E16" s="50">
        <v>16</v>
      </c>
      <c r="F16" s="50">
        <v>7</v>
      </c>
      <c r="G16" s="50">
        <v>0</v>
      </c>
      <c r="H16" s="50">
        <v>0</v>
      </c>
      <c r="I16" s="50">
        <v>5</v>
      </c>
      <c r="J16" s="50">
        <v>0</v>
      </c>
      <c r="K16" s="50">
        <v>0</v>
      </c>
      <c r="L16" s="50">
        <v>3</v>
      </c>
      <c r="M16" s="50">
        <v>71</v>
      </c>
      <c r="N16" s="50">
        <v>0</v>
      </c>
      <c r="O16" s="15">
        <f t="shared" si="0"/>
        <v>46</v>
      </c>
      <c r="P16" s="15">
        <f t="shared" si="1"/>
        <v>117</v>
      </c>
      <c r="R16" s="1" t="s">
        <v>12</v>
      </c>
      <c r="S16" s="17">
        <f t="shared" ref="S16:AF16" si="8">SUM(C34:C37)</f>
        <v>19</v>
      </c>
      <c r="T16" s="17">
        <f t="shared" si="8"/>
        <v>29</v>
      </c>
      <c r="U16" s="17">
        <f t="shared" si="8"/>
        <v>58</v>
      </c>
      <c r="V16" s="17">
        <f t="shared" si="8"/>
        <v>58</v>
      </c>
      <c r="W16" s="17">
        <f t="shared" si="8"/>
        <v>6</v>
      </c>
      <c r="X16" s="17">
        <f t="shared" si="8"/>
        <v>6</v>
      </c>
      <c r="Y16" s="17">
        <f t="shared" si="8"/>
        <v>31</v>
      </c>
      <c r="Z16" s="17">
        <f t="shared" si="8"/>
        <v>2</v>
      </c>
      <c r="AA16" s="17">
        <f t="shared" si="8"/>
        <v>0</v>
      </c>
      <c r="AB16" s="17">
        <f t="shared" si="8"/>
        <v>5</v>
      </c>
      <c r="AC16" s="17">
        <f t="shared" si="8"/>
        <v>233</v>
      </c>
      <c r="AD16" s="17">
        <f t="shared" si="8"/>
        <v>1</v>
      </c>
      <c r="AE16" s="31">
        <f t="shared" si="8"/>
        <v>215</v>
      </c>
      <c r="AF16" s="31">
        <f t="shared" si="8"/>
        <v>448</v>
      </c>
    </row>
    <row r="17" spans="2:32" ht="23.1" customHeight="1" x14ac:dyDescent="0.25">
      <c r="B17" s="45" t="s">
        <v>44</v>
      </c>
      <c r="C17" s="50">
        <v>17</v>
      </c>
      <c r="D17" s="50">
        <v>7</v>
      </c>
      <c r="E17" s="50">
        <v>13</v>
      </c>
      <c r="F17" s="50">
        <v>14</v>
      </c>
      <c r="G17" s="50">
        <v>0</v>
      </c>
      <c r="H17" s="50">
        <v>2</v>
      </c>
      <c r="I17" s="50">
        <v>5</v>
      </c>
      <c r="J17" s="50">
        <v>0</v>
      </c>
      <c r="K17" s="50">
        <v>0</v>
      </c>
      <c r="L17" s="50">
        <v>3</v>
      </c>
      <c r="M17" s="50">
        <v>64</v>
      </c>
      <c r="N17" s="50">
        <v>0</v>
      </c>
      <c r="O17" s="15">
        <f t="shared" si="0"/>
        <v>61</v>
      </c>
      <c r="P17" s="15">
        <f t="shared" si="1"/>
        <v>125</v>
      </c>
      <c r="R17" s="1" t="s">
        <v>13</v>
      </c>
      <c r="S17" s="17">
        <f t="shared" ref="S17:AF17" si="9">SUM(C38:C41)</f>
        <v>30</v>
      </c>
      <c r="T17" s="17">
        <f t="shared" si="9"/>
        <v>20</v>
      </c>
      <c r="U17" s="17">
        <f t="shared" si="9"/>
        <v>45</v>
      </c>
      <c r="V17" s="17">
        <f t="shared" si="9"/>
        <v>58</v>
      </c>
      <c r="W17" s="17">
        <f t="shared" si="9"/>
        <v>1</v>
      </c>
      <c r="X17" s="17">
        <f t="shared" si="9"/>
        <v>9</v>
      </c>
      <c r="Y17" s="17">
        <f t="shared" si="9"/>
        <v>25</v>
      </c>
      <c r="Z17" s="17">
        <f t="shared" si="9"/>
        <v>4</v>
      </c>
      <c r="AA17" s="17">
        <f t="shared" si="9"/>
        <v>0</v>
      </c>
      <c r="AB17" s="17">
        <f t="shared" si="9"/>
        <v>6</v>
      </c>
      <c r="AC17" s="17">
        <f t="shared" si="9"/>
        <v>208</v>
      </c>
      <c r="AD17" s="17">
        <f t="shared" si="9"/>
        <v>0</v>
      </c>
      <c r="AE17" s="31">
        <f t="shared" si="9"/>
        <v>198</v>
      </c>
      <c r="AF17" s="31">
        <f t="shared" si="9"/>
        <v>406</v>
      </c>
    </row>
    <row r="18" spans="2:32" ht="23.1" customHeight="1" x14ac:dyDescent="0.25">
      <c r="B18" s="45" t="s">
        <v>45</v>
      </c>
      <c r="C18" s="50">
        <v>16</v>
      </c>
      <c r="D18" s="50">
        <v>9</v>
      </c>
      <c r="E18" s="50">
        <v>11</v>
      </c>
      <c r="F18" s="50">
        <v>14</v>
      </c>
      <c r="G18" s="50">
        <v>0</v>
      </c>
      <c r="H18" s="50">
        <v>1</v>
      </c>
      <c r="I18" s="50">
        <v>8</v>
      </c>
      <c r="J18" s="50">
        <v>0</v>
      </c>
      <c r="K18" s="50">
        <v>0</v>
      </c>
      <c r="L18" s="50">
        <v>1</v>
      </c>
      <c r="M18" s="50">
        <v>50</v>
      </c>
      <c r="N18" s="50">
        <v>0</v>
      </c>
      <c r="O18" s="15">
        <f t="shared" si="0"/>
        <v>60</v>
      </c>
      <c r="P18" s="15">
        <f t="shared" si="1"/>
        <v>110</v>
      </c>
      <c r="R18" s="1" t="s">
        <v>14</v>
      </c>
      <c r="S18" s="17">
        <f t="shared" ref="S18:AF18" si="10">SUM(C42:C45)</f>
        <v>16</v>
      </c>
      <c r="T18" s="17">
        <f t="shared" si="10"/>
        <v>32</v>
      </c>
      <c r="U18" s="17">
        <f t="shared" si="10"/>
        <v>39</v>
      </c>
      <c r="V18" s="17">
        <f t="shared" si="10"/>
        <v>69</v>
      </c>
      <c r="W18" s="17">
        <f t="shared" si="10"/>
        <v>1</v>
      </c>
      <c r="X18" s="17">
        <f t="shared" si="10"/>
        <v>6</v>
      </c>
      <c r="Y18" s="17">
        <f t="shared" si="10"/>
        <v>29</v>
      </c>
      <c r="Z18" s="17">
        <f t="shared" si="10"/>
        <v>1</v>
      </c>
      <c r="AA18" s="17">
        <f t="shared" si="10"/>
        <v>1</v>
      </c>
      <c r="AB18" s="17">
        <f t="shared" si="10"/>
        <v>5</v>
      </c>
      <c r="AC18" s="17">
        <f t="shared" si="10"/>
        <v>240</v>
      </c>
      <c r="AD18" s="17">
        <f t="shared" si="10"/>
        <v>0</v>
      </c>
      <c r="AE18" s="31">
        <f t="shared" si="10"/>
        <v>199</v>
      </c>
      <c r="AF18" s="31">
        <f t="shared" si="10"/>
        <v>439</v>
      </c>
    </row>
    <row r="19" spans="2:32" ht="23.1" customHeight="1" x14ac:dyDescent="0.25">
      <c r="B19" s="45" t="s">
        <v>46</v>
      </c>
      <c r="C19" s="50">
        <v>10</v>
      </c>
      <c r="D19" s="50">
        <v>2</v>
      </c>
      <c r="E19" s="50">
        <v>9</v>
      </c>
      <c r="F19" s="50">
        <v>13</v>
      </c>
      <c r="G19" s="50">
        <v>0</v>
      </c>
      <c r="H19" s="50">
        <v>1</v>
      </c>
      <c r="I19" s="50">
        <v>2</v>
      </c>
      <c r="J19" s="50">
        <v>0</v>
      </c>
      <c r="K19" s="50">
        <v>0</v>
      </c>
      <c r="L19" s="50">
        <v>1</v>
      </c>
      <c r="M19" s="50">
        <v>73</v>
      </c>
      <c r="N19" s="50">
        <v>0</v>
      </c>
      <c r="O19" s="15">
        <f t="shared" si="0"/>
        <v>38</v>
      </c>
      <c r="P19" s="15">
        <f t="shared" si="1"/>
        <v>111</v>
      </c>
      <c r="R19" s="1" t="s">
        <v>15</v>
      </c>
      <c r="S19" s="17">
        <f t="shared" ref="S19:AF19" si="11">SUM(C46:C49)</f>
        <v>25</v>
      </c>
      <c r="T19" s="17">
        <f t="shared" si="11"/>
        <v>21</v>
      </c>
      <c r="U19" s="17">
        <f t="shared" si="11"/>
        <v>35</v>
      </c>
      <c r="V19" s="17">
        <f t="shared" si="11"/>
        <v>54</v>
      </c>
      <c r="W19" s="17">
        <f t="shared" si="11"/>
        <v>1</v>
      </c>
      <c r="X19" s="17">
        <f t="shared" si="11"/>
        <v>2</v>
      </c>
      <c r="Y19" s="17">
        <f t="shared" si="11"/>
        <v>39</v>
      </c>
      <c r="Z19" s="17">
        <f t="shared" si="11"/>
        <v>3</v>
      </c>
      <c r="AA19" s="17">
        <f t="shared" si="11"/>
        <v>1</v>
      </c>
      <c r="AB19" s="17">
        <f t="shared" si="11"/>
        <v>14</v>
      </c>
      <c r="AC19" s="17">
        <f t="shared" si="11"/>
        <v>233</v>
      </c>
      <c r="AD19" s="17">
        <f t="shared" si="11"/>
        <v>0</v>
      </c>
      <c r="AE19" s="31">
        <f t="shared" si="11"/>
        <v>195</v>
      </c>
      <c r="AF19" s="31">
        <f t="shared" si="11"/>
        <v>428</v>
      </c>
    </row>
    <row r="20" spans="2:32" ht="23.1" customHeight="1" x14ac:dyDescent="0.25">
      <c r="B20" s="45" t="s">
        <v>47</v>
      </c>
      <c r="C20" s="50">
        <v>19</v>
      </c>
      <c r="D20" s="50">
        <v>10</v>
      </c>
      <c r="E20" s="50">
        <v>13</v>
      </c>
      <c r="F20" s="50">
        <v>13</v>
      </c>
      <c r="G20" s="50">
        <v>1</v>
      </c>
      <c r="H20" s="50">
        <v>2</v>
      </c>
      <c r="I20" s="50">
        <v>8</v>
      </c>
      <c r="J20" s="50">
        <v>0</v>
      </c>
      <c r="K20" s="50">
        <v>0</v>
      </c>
      <c r="L20" s="50">
        <v>2</v>
      </c>
      <c r="M20" s="50">
        <v>66</v>
      </c>
      <c r="N20" s="50">
        <v>0</v>
      </c>
      <c r="O20" s="15">
        <f t="shared" si="0"/>
        <v>68</v>
      </c>
      <c r="P20" s="15">
        <f t="shared" si="1"/>
        <v>134</v>
      </c>
      <c r="R20" s="1" t="s">
        <v>16</v>
      </c>
      <c r="S20" s="17">
        <f t="shared" ref="S20:AF20" si="12">SUM(C50:C53)</f>
        <v>28</v>
      </c>
      <c r="T20" s="17">
        <f t="shared" si="12"/>
        <v>16</v>
      </c>
      <c r="U20" s="17">
        <f t="shared" si="12"/>
        <v>23</v>
      </c>
      <c r="V20" s="17">
        <f t="shared" si="12"/>
        <v>59</v>
      </c>
      <c r="W20" s="17">
        <f t="shared" si="12"/>
        <v>1</v>
      </c>
      <c r="X20" s="17">
        <f t="shared" si="12"/>
        <v>5</v>
      </c>
      <c r="Y20" s="17">
        <f t="shared" si="12"/>
        <v>27</v>
      </c>
      <c r="Z20" s="17">
        <f t="shared" si="12"/>
        <v>5</v>
      </c>
      <c r="AA20" s="17">
        <f t="shared" si="12"/>
        <v>0</v>
      </c>
      <c r="AB20" s="17">
        <f t="shared" si="12"/>
        <v>14</v>
      </c>
      <c r="AC20" s="17">
        <f t="shared" si="12"/>
        <v>311</v>
      </c>
      <c r="AD20" s="17">
        <f t="shared" si="12"/>
        <v>0</v>
      </c>
      <c r="AE20" s="31">
        <f t="shared" si="12"/>
        <v>178</v>
      </c>
      <c r="AF20" s="31">
        <f t="shared" si="12"/>
        <v>489</v>
      </c>
    </row>
    <row r="21" spans="2:32" ht="23.1" customHeight="1" x14ac:dyDescent="0.25">
      <c r="B21" s="45" t="s">
        <v>48</v>
      </c>
      <c r="C21" s="50">
        <v>17</v>
      </c>
      <c r="D21" s="50">
        <v>0</v>
      </c>
      <c r="E21" s="50">
        <v>10</v>
      </c>
      <c r="F21" s="50">
        <v>11</v>
      </c>
      <c r="G21" s="50">
        <v>0</v>
      </c>
      <c r="H21" s="50">
        <v>2</v>
      </c>
      <c r="I21" s="50">
        <v>7</v>
      </c>
      <c r="J21" s="50">
        <v>0</v>
      </c>
      <c r="K21" s="50">
        <v>0</v>
      </c>
      <c r="L21" s="50">
        <v>0</v>
      </c>
      <c r="M21" s="50">
        <v>75</v>
      </c>
      <c r="N21" s="50">
        <v>0</v>
      </c>
      <c r="O21" s="15">
        <f t="shared" si="0"/>
        <v>47</v>
      </c>
      <c r="P21" s="15">
        <f t="shared" si="1"/>
        <v>122</v>
      </c>
      <c r="R21" s="36" t="s">
        <v>20</v>
      </c>
      <c r="S21" s="34">
        <f t="shared" ref="S21:AF21" si="13">SUM(C54:C57)</f>
        <v>40</v>
      </c>
      <c r="T21" s="17">
        <f t="shared" si="13"/>
        <v>14</v>
      </c>
      <c r="U21" s="17">
        <f t="shared" si="13"/>
        <v>29</v>
      </c>
      <c r="V21" s="17">
        <f t="shared" si="13"/>
        <v>47</v>
      </c>
      <c r="W21" s="17">
        <f t="shared" si="13"/>
        <v>0</v>
      </c>
      <c r="X21" s="17">
        <f t="shared" si="13"/>
        <v>0</v>
      </c>
      <c r="Y21" s="17">
        <f t="shared" si="13"/>
        <v>23</v>
      </c>
      <c r="Z21" s="17">
        <f t="shared" si="13"/>
        <v>2</v>
      </c>
      <c r="AA21" s="17">
        <f t="shared" si="13"/>
        <v>1</v>
      </c>
      <c r="AB21" s="17">
        <f t="shared" si="13"/>
        <v>9</v>
      </c>
      <c r="AC21" s="17">
        <f t="shared" si="13"/>
        <v>313</v>
      </c>
      <c r="AD21" s="17">
        <f t="shared" si="13"/>
        <v>1</v>
      </c>
      <c r="AE21" s="31">
        <f t="shared" si="13"/>
        <v>166</v>
      </c>
      <c r="AF21" s="31">
        <f t="shared" si="13"/>
        <v>479</v>
      </c>
    </row>
    <row r="22" spans="2:32" ht="23.1" customHeight="1" x14ac:dyDescent="0.25">
      <c r="B22" s="45" t="s">
        <v>49</v>
      </c>
      <c r="C22" s="50">
        <v>9</v>
      </c>
      <c r="D22" s="50">
        <v>4</v>
      </c>
      <c r="E22" s="50">
        <v>27</v>
      </c>
      <c r="F22" s="50">
        <v>15</v>
      </c>
      <c r="G22" s="50">
        <v>0</v>
      </c>
      <c r="H22" s="50">
        <v>0</v>
      </c>
      <c r="I22" s="50">
        <v>3</v>
      </c>
      <c r="J22" s="50">
        <v>1</v>
      </c>
      <c r="K22" s="50">
        <v>0</v>
      </c>
      <c r="L22" s="50">
        <v>0</v>
      </c>
      <c r="M22" s="50">
        <v>48</v>
      </c>
      <c r="N22" s="50">
        <v>0</v>
      </c>
      <c r="O22" s="15">
        <f t="shared" si="0"/>
        <v>59</v>
      </c>
      <c r="P22" s="15">
        <f t="shared" si="1"/>
        <v>107</v>
      </c>
      <c r="R22" s="36" t="s">
        <v>146</v>
      </c>
      <c r="S22" s="34">
        <f>SUM(C58:C61)</f>
        <v>27</v>
      </c>
      <c r="T22" s="34">
        <f t="shared" ref="T22:AF22" si="14">SUM(D58:D61)</f>
        <v>6</v>
      </c>
      <c r="U22" s="34">
        <f t="shared" si="14"/>
        <v>25</v>
      </c>
      <c r="V22" s="34">
        <f t="shared" si="14"/>
        <v>42</v>
      </c>
      <c r="W22" s="34">
        <f t="shared" si="14"/>
        <v>0</v>
      </c>
      <c r="X22" s="34">
        <f t="shared" si="14"/>
        <v>2</v>
      </c>
      <c r="Y22" s="34">
        <f t="shared" si="14"/>
        <v>32</v>
      </c>
      <c r="Z22" s="34">
        <f t="shared" si="14"/>
        <v>1</v>
      </c>
      <c r="AA22" s="34">
        <f t="shared" si="14"/>
        <v>1</v>
      </c>
      <c r="AB22" s="34">
        <f t="shared" si="14"/>
        <v>10</v>
      </c>
      <c r="AC22" s="34">
        <f t="shared" si="14"/>
        <v>237</v>
      </c>
      <c r="AD22" s="34">
        <f t="shared" si="14"/>
        <v>0</v>
      </c>
      <c r="AE22" s="31">
        <f t="shared" si="14"/>
        <v>146</v>
      </c>
      <c r="AF22" s="31">
        <f t="shared" si="14"/>
        <v>383</v>
      </c>
    </row>
    <row r="23" spans="2:32" ht="23.1" customHeight="1" x14ac:dyDescent="0.25">
      <c r="B23" s="45" t="s">
        <v>50</v>
      </c>
      <c r="C23" s="50">
        <v>9</v>
      </c>
      <c r="D23" s="50">
        <v>7</v>
      </c>
      <c r="E23" s="50">
        <v>10</v>
      </c>
      <c r="F23" s="50">
        <v>13</v>
      </c>
      <c r="G23" s="50">
        <v>0</v>
      </c>
      <c r="H23" s="50">
        <v>0</v>
      </c>
      <c r="I23" s="50">
        <v>8</v>
      </c>
      <c r="J23" s="50">
        <v>0</v>
      </c>
      <c r="K23" s="50">
        <v>0</v>
      </c>
      <c r="L23" s="50">
        <v>0</v>
      </c>
      <c r="M23" s="50">
        <v>76</v>
      </c>
      <c r="N23" s="50">
        <v>0</v>
      </c>
      <c r="O23" s="15">
        <f t="shared" si="0"/>
        <v>47</v>
      </c>
      <c r="P23" s="15">
        <f t="shared" si="1"/>
        <v>123</v>
      </c>
      <c r="R23" s="36" t="s">
        <v>147</v>
      </c>
      <c r="S23" s="34">
        <f>SUM(C62:C65)</f>
        <v>21</v>
      </c>
      <c r="T23" s="34">
        <f t="shared" ref="T23:AF23" si="15">SUM(D62:D65)</f>
        <v>4</v>
      </c>
      <c r="U23" s="34">
        <f t="shared" si="15"/>
        <v>23</v>
      </c>
      <c r="V23" s="34">
        <f t="shared" si="15"/>
        <v>22</v>
      </c>
      <c r="W23" s="34">
        <f t="shared" si="15"/>
        <v>0</v>
      </c>
      <c r="X23" s="34">
        <f t="shared" si="15"/>
        <v>4</v>
      </c>
      <c r="Y23" s="34">
        <f t="shared" si="15"/>
        <v>24</v>
      </c>
      <c r="Z23" s="34">
        <f t="shared" si="15"/>
        <v>2</v>
      </c>
      <c r="AA23" s="34">
        <f t="shared" si="15"/>
        <v>1</v>
      </c>
      <c r="AB23" s="34">
        <f t="shared" si="15"/>
        <v>14</v>
      </c>
      <c r="AC23" s="34">
        <f t="shared" si="15"/>
        <v>165</v>
      </c>
      <c r="AD23" s="34">
        <f t="shared" si="15"/>
        <v>0</v>
      </c>
      <c r="AE23" s="31">
        <f t="shared" si="15"/>
        <v>115</v>
      </c>
      <c r="AF23" s="31">
        <f t="shared" si="15"/>
        <v>280</v>
      </c>
    </row>
    <row r="24" spans="2:32" ht="23.1" customHeight="1" x14ac:dyDescent="0.25">
      <c r="B24" s="45" t="s">
        <v>51</v>
      </c>
      <c r="C24" s="50">
        <v>15</v>
      </c>
      <c r="D24" s="50">
        <v>3</v>
      </c>
      <c r="E24" s="50">
        <v>19</v>
      </c>
      <c r="F24" s="50">
        <v>20</v>
      </c>
      <c r="G24" s="50">
        <v>0</v>
      </c>
      <c r="H24" s="50">
        <v>2</v>
      </c>
      <c r="I24" s="50">
        <v>5</v>
      </c>
      <c r="J24" s="50">
        <v>2</v>
      </c>
      <c r="K24" s="50">
        <v>0</v>
      </c>
      <c r="L24" s="50">
        <v>2</v>
      </c>
      <c r="M24" s="50">
        <v>66</v>
      </c>
      <c r="N24" s="50">
        <v>0</v>
      </c>
      <c r="O24" s="15">
        <f t="shared" si="0"/>
        <v>68</v>
      </c>
      <c r="P24" s="15">
        <f t="shared" si="1"/>
        <v>134</v>
      </c>
      <c r="R24" s="36" t="s">
        <v>148</v>
      </c>
      <c r="S24" s="34">
        <f>SUM(C66:C69)</f>
        <v>12</v>
      </c>
      <c r="T24" s="34">
        <f t="shared" ref="T24:AF24" si="16">SUM(D66:D69)</f>
        <v>4</v>
      </c>
      <c r="U24" s="34">
        <f t="shared" si="16"/>
        <v>14</v>
      </c>
      <c r="V24" s="34">
        <f t="shared" si="16"/>
        <v>15</v>
      </c>
      <c r="W24" s="34">
        <f t="shared" si="16"/>
        <v>4</v>
      </c>
      <c r="X24" s="34">
        <f t="shared" si="16"/>
        <v>5</v>
      </c>
      <c r="Y24" s="34">
        <f t="shared" si="16"/>
        <v>23</v>
      </c>
      <c r="Z24" s="34">
        <f t="shared" si="16"/>
        <v>1</v>
      </c>
      <c r="AA24" s="34">
        <f t="shared" si="16"/>
        <v>2</v>
      </c>
      <c r="AB24" s="34">
        <f t="shared" si="16"/>
        <v>7</v>
      </c>
      <c r="AC24" s="34">
        <f t="shared" si="16"/>
        <v>88</v>
      </c>
      <c r="AD24" s="34">
        <f t="shared" si="16"/>
        <v>0</v>
      </c>
      <c r="AE24" s="31">
        <f t="shared" si="16"/>
        <v>87</v>
      </c>
      <c r="AF24" s="31">
        <f t="shared" si="16"/>
        <v>175</v>
      </c>
    </row>
    <row r="25" spans="2:32" ht="23.1" customHeight="1" x14ac:dyDescent="0.25">
      <c r="B25" s="45" t="s">
        <v>52</v>
      </c>
      <c r="C25" s="50">
        <v>17</v>
      </c>
      <c r="D25" s="50">
        <v>5</v>
      </c>
      <c r="E25" s="50">
        <v>8</v>
      </c>
      <c r="F25" s="50">
        <v>14</v>
      </c>
      <c r="G25" s="50">
        <v>0</v>
      </c>
      <c r="H25" s="50">
        <v>1</v>
      </c>
      <c r="I25" s="50">
        <v>7</v>
      </c>
      <c r="J25" s="50">
        <v>0</v>
      </c>
      <c r="K25" s="50">
        <v>0</v>
      </c>
      <c r="L25" s="50">
        <v>0</v>
      </c>
      <c r="M25" s="50">
        <v>70</v>
      </c>
      <c r="N25" s="50">
        <v>0</v>
      </c>
      <c r="O25" s="15">
        <f t="shared" si="0"/>
        <v>52</v>
      </c>
      <c r="P25" s="15">
        <f t="shared" si="1"/>
        <v>122</v>
      </c>
      <c r="R25" s="36" t="s">
        <v>149</v>
      </c>
      <c r="S25" s="34">
        <f>SUM(C70:C73)</f>
        <v>8</v>
      </c>
      <c r="T25" s="34">
        <f t="shared" ref="T25:AF25" si="17">SUM(D70:D73)</f>
        <v>1</v>
      </c>
      <c r="U25" s="34">
        <f t="shared" si="17"/>
        <v>9</v>
      </c>
      <c r="V25" s="34">
        <f t="shared" si="17"/>
        <v>13</v>
      </c>
      <c r="W25" s="34">
        <f t="shared" si="17"/>
        <v>4</v>
      </c>
      <c r="X25" s="34">
        <f t="shared" si="17"/>
        <v>5</v>
      </c>
      <c r="Y25" s="34">
        <f t="shared" si="17"/>
        <v>13</v>
      </c>
      <c r="Z25" s="34">
        <f t="shared" si="17"/>
        <v>1</v>
      </c>
      <c r="AA25" s="34">
        <f t="shared" si="17"/>
        <v>2</v>
      </c>
      <c r="AB25" s="34">
        <f t="shared" si="17"/>
        <v>7</v>
      </c>
      <c r="AC25" s="34">
        <f t="shared" si="17"/>
        <v>34</v>
      </c>
      <c r="AD25" s="34">
        <f t="shared" si="17"/>
        <v>0</v>
      </c>
      <c r="AE25" s="31">
        <f t="shared" si="17"/>
        <v>63</v>
      </c>
      <c r="AF25" s="31">
        <f t="shared" si="17"/>
        <v>97</v>
      </c>
    </row>
    <row r="26" spans="2:32" ht="23.1" customHeight="1" x14ac:dyDescent="0.25">
      <c r="B26" s="45" t="s">
        <v>53</v>
      </c>
      <c r="C26" s="50">
        <v>9</v>
      </c>
      <c r="D26" s="50">
        <v>14</v>
      </c>
      <c r="E26" s="50">
        <v>10</v>
      </c>
      <c r="F26" s="50">
        <v>11</v>
      </c>
      <c r="G26" s="50">
        <v>1</v>
      </c>
      <c r="H26" s="50">
        <v>1</v>
      </c>
      <c r="I26" s="50">
        <v>10</v>
      </c>
      <c r="J26" s="50">
        <v>0</v>
      </c>
      <c r="K26" s="50">
        <v>1</v>
      </c>
      <c r="L26" s="50">
        <v>1</v>
      </c>
      <c r="M26" s="50">
        <v>58</v>
      </c>
      <c r="N26" s="50">
        <v>0</v>
      </c>
      <c r="O26" s="15">
        <f t="shared" si="0"/>
        <v>58</v>
      </c>
      <c r="P26" s="15">
        <f t="shared" si="1"/>
        <v>116</v>
      </c>
      <c r="R26" s="36" t="s">
        <v>150</v>
      </c>
      <c r="S26" s="34">
        <f>SUM(C74:C77)</f>
        <v>7</v>
      </c>
      <c r="T26" s="34">
        <f t="shared" ref="T26:AF26" si="18">SUM(D74:D77)</f>
        <v>0</v>
      </c>
      <c r="U26" s="34">
        <f t="shared" si="18"/>
        <v>4</v>
      </c>
      <c r="V26" s="34">
        <f t="shared" si="18"/>
        <v>2</v>
      </c>
      <c r="W26" s="34">
        <f t="shared" si="18"/>
        <v>4</v>
      </c>
      <c r="X26" s="34">
        <f t="shared" si="18"/>
        <v>5</v>
      </c>
      <c r="Y26" s="34">
        <f t="shared" si="18"/>
        <v>10</v>
      </c>
      <c r="Z26" s="34">
        <f t="shared" si="18"/>
        <v>1</v>
      </c>
      <c r="AA26" s="34">
        <f t="shared" si="18"/>
        <v>0</v>
      </c>
      <c r="AB26" s="34">
        <f t="shared" si="18"/>
        <v>7</v>
      </c>
      <c r="AC26" s="34">
        <f t="shared" si="18"/>
        <v>16</v>
      </c>
      <c r="AD26" s="34">
        <f t="shared" si="18"/>
        <v>0</v>
      </c>
      <c r="AE26" s="31">
        <f t="shared" si="18"/>
        <v>40</v>
      </c>
      <c r="AF26" s="31">
        <f t="shared" si="18"/>
        <v>56</v>
      </c>
    </row>
    <row r="27" spans="2:32" ht="23.1" customHeight="1" x14ac:dyDescent="0.25">
      <c r="B27" s="45" t="s">
        <v>54</v>
      </c>
      <c r="C27" s="50">
        <v>13</v>
      </c>
      <c r="D27" s="50">
        <v>5</v>
      </c>
      <c r="E27" s="50">
        <v>12</v>
      </c>
      <c r="F27" s="50">
        <v>12</v>
      </c>
      <c r="G27" s="50">
        <v>2</v>
      </c>
      <c r="H27" s="50">
        <v>3</v>
      </c>
      <c r="I27" s="50">
        <v>9</v>
      </c>
      <c r="J27" s="50">
        <v>2</v>
      </c>
      <c r="K27" s="50">
        <v>0</v>
      </c>
      <c r="L27" s="50">
        <v>1</v>
      </c>
      <c r="M27" s="50">
        <v>60</v>
      </c>
      <c r="N27" s="50">
        <v>0</v>
      </c>
      <c r="O27" s="15">
        <f t="shared" si="0"/>
        <v>59</v>
      </c>
      <c r="P27" s="15">
        <f t="shared" si="1"/>
        <v>119</v>
      </c>
      <c r="R27" s="36" t="s">
        <v>151</v>
      </c>
      <c r="S27" s="34">
        <f>SUM(C78:C81)</f>
        <v>4</v>
      </c>
      <c r="T27" s="34">
        <f t="shared" ref="T27:AF27" si="19">SUM(D78:D81)</f>
        <v>3</v>
      </c>
      <c r="U27" s="34">
        <f t="shared" si="19"/>
        <v>3</v>
      </c>
      <c r="V27" s="34">
        <f t="shared" si="19"/>
        <v>2</v>
      </c>
      <c r="W27" s="34">
        <f t="shared" si="19"/>
        <v>4</v>
      </c>
      <c r="X27" s="34">
        <f t="shared" si="19"/>
        <v>4</v>
      </c>
      <c r="Y27" s="34">
        <f t="shared" si="19"/>
        <v>5</v>
      </c>
      <c r="Z27" s="34">
        <f t="shared" si="19"/>
        <v>1</v>
      </c>
      <c r="AA27" s="34">
        <f t="shared" si="19"/>
        <v>0</v>
      </c>
      <c r="AB27" s="34">
        <f t="shared" si="19"/>
        <v>7</v>
      </c>
      <c r="AC27" s="34">
        <f t="shared" si="19"/>
        <v>13</v>
      </c>
      <c r="AD27" s="34">
        <f t="shared" si="19"/>
        <v>0</v>
      </c>
      <c r="AE27" s="31">
        <f t="shared" si="19"/>
        <v>33</v>
      </c>
      <c r="AF27" s="31">
        <f t="shared" si="19"/>
        <v>46</v>
      </c>
    </row>
    <row r="28" spans="2:32" ht="23.1" customHeight="1" x14ac:dyDescent="0.25">
      <c r="B28" s="45" t="s">
        <v>55</v>
      </c>
      <c r="C28" s="50">
        <v>11</v>
      </c>
      <c r="D28" s="50">
        <v>4</v>
      </c>
      <c r="E28" s="50">
        <v>9</v>
      </c>
      <c r="F28" s="50">
        <v>14</v>
      </c>
      <c r="G28" s="50">
        <v>0</v>
      </c>
      <c r="H28" s="50">
        <v>1</v>
      </c>
      <c r="I28" s="50">
        <v>5</v>
      </c>
      <c r="J28" s="50">
        <v>0</v>
      </c>
      <c r="K28" s="50">
        <v>0</v>
      </c>
      <c r="L28" s="50">
        <v>1</v>
      </c>
      <c r="M28" s="50">
        <v>55</v>
      </c>
      <c r="N28" s="50">
        <v>0</v>
      </c>
      <c r="O28" s="15">
        <f t="shared" si="0"/>
        <v>45</v>
      </c>
      <c r="P28" s="15">
        <f t="shared" si="1"/>
        <v>100</v>
      </c>
      <c r="R28" s="36" t="s">
        <v>152</v>
      </c>
      <c r="S28" s="34">
        <f>SUM(C82:C85)</f>
        <v>4</v>
      </c>
      <c r="T28" s="34">
        <f t="shared" ref="T28:AF28" si="20">SUM(D82:D85)</f>
        <v>1</v>
      </c>
      <c r="U28" s="34">
        <f t="shared" si="20"/>
        <v>3</v>
      </c>
      <c r="V28" s="34">
        <f t="shared" si="20"/>
        <v>2</v>
      </c>
      <c r="W28" s="34">
        <f t="shared" si="20"/>
        <v>2</v>
      </c>
      <c r="X28" s="34">
        <f t="shared" si="20"/>
        <v>2</v>
      </c>
      <c r="Y28" s="34">
        <f t="shared" si="20"/>
        <v>4</v>
      </c>
      <c r="Z28" s="34">
        <f t="shared" si="20"/>
        <v>1</v>
      </c>
      <c r="AA28" s="34">
        <f t="shared" si="20"/>
        <v>0</v>
      </c>
      <c r="AB28" s="34">
        <f t="shared" si="20"/>
        <v>3</v>
      </c>
      <c r="AC28" s="34">
        <f t="shared" si="20"/>
        <v>5</v>
      </c>
      <c r="AD28" s="34">
        <f t="shared" si="20"/>
        <v>0</v>
      </c>
      <c r="AE28" s="31">
        <f t="shared" si="20"/>
        <v>22</v>
      </c>
      <c r="AF28" s="31">
        <f t="shared" si="20"/>
        <v>27</v>
      </c>
    </row>
    <row r="29" spans="2:32" ht="23.1" customHeight="1" x14ac:dyDescent="0.25">
      <c r="B29" s="45" t="s">
        <v>56</v>
      </c>
      <c r="C29" s="50">
        <v>11</v>
      </c>
      <c r="D29" s="50">
        <v>0</v>
      </c>
      <c r="E29" s="50">
        <v>10</v>
      </c>
      <c r="F29" s="50">
        <v>9</v>
      </c>
      <c r="G29" s="50">
        <v>0</v>
      </c>
      <c r="H29" s="50">
        <v>1</v>
      </c>
      <c r="I29" s="50">
        <v>9</v>
      </c>
      <c r="J29" s="50">
        <v>0</v>
      </c>
      <c r="K29" s="50">
        <v>0</v>
      </c>
      <c r="L29" s="50">
        <v>1</v>
      </c>
      <c r="M29" s="50">
        <v>61</v>
      </c>
      <c r="N29" s="50">
        <v>0</v>
      </c>
      <c r="O29" s="15">
        <f t="shared" si="0"/>
        <v>41</v>
      </c>
      <c r="P29" s="15">
        <f t="shared" si="1"/>
        <v>102</v>
      </c>
      <c r="R29" s="36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2</v>
      </c>
      <c r="V29" s="34">
        <f t="shared" si="21"/>
        <v>2</v>
      </c>
      <c r="W29" s="34">
        <f t="shared" si="21"/>
        <v>2</v>
      </c>
      <c r="X29" s="34">
        <f t="shared" si="21"/>
        <v>2</v>
      </c>
      <c r="Y29" s="34">
        <f t="shared" si="21"/>
        <v>4</v>
      </c>
      <c r="Z29" s="34">
        <f t="shared" si="21"/>
        <v>1</v>
      </c>
      <c r="AA29" s="34">
        <f t="shared" si="21"/>
        <v>1</v>
      </c>
      <c r="AB29" s="34">
        <f t="shared" si="21"/>
        <v>1</v>
      </c>
      <c r="AC29" s="34">
        <f t="shared" si="21"/>
        <v>2</v>
      </c>
      <c r="AD29" s="34">
        <f t="shared" si="21"/>
        <v>0</v>
      </c>
      <c r="AE29" s="31">
        <f t="shared" si="21"/>
        <v>17</v>
      </c>
      <c r="AF29" s="31">
        <f t="shared" si="21"/>
        <v>19</v>
      </c>
    </row>
    <row r="30" spans="2:32" ht="23.1" customHeight="1" x14ac:dyDescent="0.25">
      <c r="B30" s="45" t="s">
        <v>57</v>
      </c>
      <c r="C30" s="50">
        <v>16</v>
      </c>
      <c r="D30" s="50">
        <v>8</v>
      </c>
      <c r="E30" s="50">
        <v>8</v>
      </c>
      <c r="F30" s="50">
        <v>14</v>
      </c>
      <c r="G30" s="50">
        <v>0</v>
      </c>
      <c r="H30" s="50">
        <v>1</v>
      </c>
      <c r="I30" s="50">
        <v>6</v>
      </c>
      <c r="J30" s="50">
        <v>1</v>
      </c>
      <c r="K30" s="50">
        <v>1</v>
      </c>
      <c r="L30" s="50">
        <v>2</v>
      </c>
      <c r="M30" s="50">
        <v>63</v>
      </c>
      <c r="N30" s="50">
        <v>0</v>
      </c>
      <c r="O30" s="15">
        <f t="shared" si="0"/>
        <v>57</v>
      </c>
      <c r="P30" s="15">
        <f t="shared" si="1"/>
        <v>120</v>
      </c>
      <c r="R30" s="36" t="s">
        <v>154</v>
      </c>
      <c r="S30" s="34">
        <f>SUM(C90:C93)</f>
        <v>1</v>
      </c>
      <c r="T30" s="34">
        <f t="shared" ref="T30:AF30" si="22">SUM(D90:D93)</f>
        <v>1</v>
      </c>
      <c r="U30" s="34">
        <f t="shared" si="22"/>
        <v>1</v>
      </c>
      <c r="V30" s="34">
        <f t="shared" si="22"/>
        <v>2</v>
      </c>
      <c r="W30" s="34">
        <f t="shared" si="22"/>
        <v>2</v>
      </c>
      <c r="X30" s="34">
        <f t="shared" si="22"/>
        <v>2</v>
      </c>
      <c r="Y30" s="34">
        <f t="shared" si="22"/>
        <v>4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3</v>
      </c>
      <c r="AD30" s="34">
        <f t="shared" si="22"/>
        <v>0</v>
      </c>
      <c r="AE30" s="31">
        <f t="shared" si="22"/>
        <v>14</v>
      </c>
      <c r="AF30" s="31">
        <f t="shared" si="22"/>
        <v>17</v>
      </c>
    </row>
    <row r="31" spans="2:32" ht="23.1" customHeight="1" x14ac:dyDescent="0.25">
      <c r="B31" s="46" t="s">
        <v>58</v>
      </c>
      <c r="C31" s="50">
        <v>14</v>
      </c>
      <c r="D31" s="50">
        <v>5</v>
      </c>
      <c r="E31" s="50">
        <v>10</v>
      </c>
      <c r="F31" s="50">
        <v>14</v>
      </c>
      <c r="G31" s="50">
        <v>0</v>
      </c>
      <c r="H31" s="50">
        <v>0</v>
      </c>
      <c r="I31" s="50">
        <v>12</v>
      </c>
      <c r="J31" s="50">
        <v>0</v>
      </c>
      <c r="K31" s="50">
        <v>1</v>
      </c>
      <c r="L31" s="50">
        <v>0</v>
      </c>
      <c r="M31" s="50">
        <v>64</v>
      </c>
      <c r="N31" s="50">
        <v>0</v>
      </c>
      <c r="O31" s="15">
        <f t="shared" si="0"/>
        <v>56</v>
      </c>
      <c r="P31" s="15">
        <f t="shared" si="1"/>
        <v>120</v>
      </c>
      <c r="R31" s="36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3</v>
      </c>
      <c r="W31" s="34">
        <f t="shared" si="23"/>
        <v>1</v>
      </c>
      <c r="X31" s="34">
        <f t="shared" si="23"/>
        <v>2</v>
      </c>
      <c r="Y31" s="34">
        <f t="shared" si="23"/>
        <v>2</v>
      </c>
      <c r="Z31" s="34">
        <f t="shared" si="23"/>
        <v>0</v>
      </c>
      <c r="AA31" s="34">
        <f t="shared" si="23"/>
        <v>0</v>
      </c>
      <c r="AB31" s="34">
        <f t="shared" si="23"/>
        <v>1</v>
      </c>
      <c r="AC31" s="34">
        <f t="shared" si="23"/>
        <v>2</v>
      </c>
      <c r="AD31" s="34">
        <f t="shared" si="23"/>
        <v>0</v>
      </c>
      <c r="AE31" s="31">
        <f t="shared" si="23"/>
        <v>10</v>
      </c>
      <c r="AF31" s="31">
        <f t="shared" si="23"/>
        <v>12</v>
      </c>
    </row>
    <row r="32" spans="2:32" ht="23.1" customHeight="1" x14ac:dyDescent="0.25">
      <c r="B32" s="46" t="s">
        <v>59</v>
      </c>
      <c r="C32" s="50">
        <v>15</v>
      </c>
      <c r="D32" s="50">
        <v>8</v>
      </c>
      <c r="E32" s="50">
        <v>20</v>
      </c>
      <c r="F32" s="50">
        <v>19</v>
      </c>
      <c r="G32" s="50">
        <v>1</v>
      </c>
      <c r="H32" s="50">
        <v>3</v>
      </c>
      <c r="I32" s="50">
        <v>5</v>
      </c>
      <c r="J32" s="50">
        <v>1</v>
      </c>
      <c r="K32" s="50">
        <v>0</v>
      </c>
      <c r="L32" s="50">
        <v>1</v>
      </c>
      <c r="M32" s="50">
        <v>68</v>
      </c>
      <c r="N32" s="50">
        <v>0</v>
      </c>
      <c r="O32" s="15">
        <f t="shared" si="0"/>
        <v>73</v>
      </c>
      <c r="P32" s="15">
        <f t="shared" si="1"/>
        <v>141</v>
      </c>
      <c r="R32" s="33" t="s">
        <v>156</v>
      </c>
      <c r="S32" s="34">
        <f>SUM(C98:C101)</f>
        <v>8</v>
      </c>
      <c r="T32" s="34">
        <f t="shared" ref="T32:AF32" si="24">SUM(D98:D101)</f>
        <v>1</v>
      </c>
      <c r="U32" s="34">
        <f t="shared" si="24"/>
        <v>3</v>
      </c>
      <c r="V32" s="34">
        <f t="shared" si="24"/>
        <v>2</v>
      </c>
      <c r="W32" s="34">
        <f t="shared" si="24"/>
        <v>2</v>
      </c>
      <c r="X32" s="34">
        <f t="shared" si="24"/>
        <v>2</v>
      </c>
      <c r="Y32" s="34">
        <f t="shared" si="24"/>
        <v>3</v>
      </c>
      <c r="Z32" s="34">
        <f t="shared" si="24"/>
        <v>1</v>
      </c>
      <c r="AA32" s="34">
        <f t="shared" si="24"/>
        <v>0</v>
      </c>
      <c r="AB32" s="34">
        <f t="shared" si="24"/>
        <v>3</v>
      </c>
      <c r="AC32" s="34">
        <f t="shared" si="24"/>
        <v>4</v>
      </c>
      <c r="AD32" s="34">
        <f t="shared" si="24"/>
        <v>0</v>
      </c>
      <c r="AE32" s="31">
        <f t="shared" si="24"/>
        <v>25</v>
      </c>
      <c r="AF32" s="31">
        <f t="shared" si="24"/>
        <v>29</v>
      </c>
    </row>
    <row r="33" spans="2:32" ht="23.1" customHeight="1" x14ac:dyDescent="0.25">
      <c r="B33" s="45" t="s">
        <v>60</v>
      </c>
      <c r="C33" s="50">
        <v>6</v>
      </c>
      <c r="D33" s="50">
        <v>2</v>
      </c>
      <c r="E33" s="50">
        <v>12</v>
      </c>
      <c r="F33" s="50">
        <v>12</v>
      </c>
      <c r="G33" s="50">
        <v>0</v>
      </c>
      <c r="H33" s="50">
        <v>2</v>
      </c>
      <c r="I33" s="50">
        <v>8</v>
      </c>
      <c r="J33" s="50">
        <v>0</v>
      </c>
      <c r="K33" s="50">
        <v>0</v>
      </c>
      <c r="L33" s="50">
        <v>2</v>
      </c>
      <c r="M33" s="50">
        <v>64</v>
      </c>
      <c r="N33" s="50">
        <v>0</v>
      </c>
      <c r="O33" s="15">
        <f t="shared" si="0"/>
        <v>44</v>
      </c>
      <c r="P33" s="15">
        <f t="shared" si="1"/>
        <v>108</v>
      </c>
      <c r="R33" s="33" t="s">
        <v>157</v>
      </c>
      <c r="S33" s="34">
        <f>SUM(C102:C105)</f>
        <v>21</v>
      </c>
      <c r="T33" s="34">
        <f t="shared" ref="T33:AF33" si="25">SUM(D102:D105)</f>
        <v>7</v>
      </c>
      <c r="U33" s="34">
        <f t="shared" si="25"/>
        <v>15</v>
      </c>
      <c r="V33" s="34">
        <f t="shared" si="25"/>
        <v>17</v>
      </c>
      <c r="W33" s="34">
        <f t="shared" si="25"/>
        <v>4</v>
      </c>
      <c r="X33" s="34">
        <f t="shared" si="25"/>
        <v>1</v>
      </c>
      <c r="Y33" s="34">
        <f t="shared" si="25"/>
        <v>13</v>
      </c>
      <c r="Z33" s="34">
        <f t="shared" si="25"/>
        <v>2</v>
      </c>
      <c r="AA33" s="34">
        <f t="shared" si="25"/>
        <v>2</v>
      </c>
      <c r="AB33" s="34">
        <f t="shared" si="25"/>
        <v>2</v>
      </c>
      <c r="AC33" s="34">
        <f t="shared" si="25"/>
        <v>29</v>
      </c>
      <c r="AD33" s="34">
        <f t="shared" si="25"/>
        <v>0</v>
      </c>
      <c r="AE33" s="31">
        <f t="shared" si="25"/>
        <v>84</v>
      </c>
      <c r="AF33" s="31">
        <f t="shared" si="25"/>
        <v>113</v>
      </c>
    </row>
    <row r="34" spans="2:32" ht="23.1" customHeight="1" x14ac:dyDescent="0.25">
      <c r="B34" s="46" t="s">
        <v>61</v>
      </c>
      <c r="C34" s="50">
        <v>7</v>
      </c>
      <c r="D34" s="50">
        <v>7</v>
      </c>
      <c r="E34" s="50">
        <v>19</v>
      </c>
      <c r="F34" s="50">
        <v>12</v>
      </c>
      <c r="G34" s="50">
        <v>2</v>
      </c>
      <c r="H34" s="50">
        <v>2</v>
      </c>
      <c r="I34" s="50">
        <v>6</v>
      </c>
      <c r="J34" s="50">
        <v>2</v>
      </c>
      <c r="K34" s="50">
        <v>0</v>
      </c>
      <c r="L34" s="50">
        <v>2</v>
      </c>
      <c r="M34" s="50">
        <v>46</v>
      </c>
      <c r="N34" s="50">
        <v>0</v>
      </c>
      <c r="O34" s="15">
        <f t="shared" si="0"/>
        <v>59</v>
      </c>
      <c r="P34" s="15">
        <f t="shared" si="1"/>
        <v>105</v>
      </c>
      <c r="R34" s="38" t="s">
        <v>90</v>
      </c>
      <c r="S34" s="39">
        <f t="shared" ref="S34:AF34" si="26">MAX(S10:S12)</f>
        <v>62</v>
      </c>
      <c r="T34" s="39">
        <f t="shared" si="26"/>
        <v>21</v>
      </c>
      <c r="U34" s="39">
        <f t="shared" si="26"/>
        <v>44</v>
      </c>
      <c r="V34" s="39">
        <f t="shared" si="26"/>
        <v>51</v>
      </c>
      <c r="W34" s="39">
        <f t="shared" si="26"/>
        <v>3</v>
      </c>
      <c r="X34" s="39">
        <f t="shared" si="26"/>
        <v>6</v>
      </c>
      <c r="Y34" s="39">
        <f t="shared" si="26"/>
        <v>31</v>
      </c>
      <c r="Z34" s="39">
        <f t="shared" si="26"/>
        <v>1</v>
      </c>
      <c r="AA34" s="39">
        <f t="shared" si="26"/>
        <v>0</v>
      </c>
      <c r="AB34" s="39">
        <f t="shared" si="26"/>
        <v>7</v>
      </c>
      <c r="AC34" s="39">
        <f t="shared" si="26"/>
        <v>264</v>
      </c>
      <c r="AD34" s="39">
        <f t="shared" si="26"/>
        <v>0</v>
      </c>
      <c r="AE34" s="40">
        <f t="shared" si="26"/>
        <v>213</v>
      </c>
      <c r="AF34" s="40">
        <f t="shared" si="26"/>
        <v>477</v>
      </c>
    </row>
    <row r="35" spans="2:32" ht="23.1" customHeight="1" x14ac:dyDescent="0.25">
      <c r="B35" s="46" t="s">
        <v>62</v>
      </c>
      <c r="C35" s="50">
        <v>5</v>
      </c>
      <c r="D35" s="50">
        <v>6</v>
      </c>
      <c r="E35" s="50">
        <v>10</v>
      </c>
      <c r="F35" s="50">
        <v>14</v>
      </c>
      <c r="G35" s="50">
        <v>1</v>
      </c>
      <c r="H35" s="50">
        <v>1</v>
      </c>
      <c r="I35" s="50">
        <v>7</v>
      </c>
      <c r="J35" s="50">
        <v>0</v>
      </c>
      <c r="K35" s="50">
        <v>0</v>
      </c>
      <c r="L35" s="50">
        <v>1</v>
      </c>
      <c r="M35" s="50">
        <v>63</v>
      </c>
      <c r="N35" s="50">
        <v>0</v>
      </c>
      <c r="O35" s="15">
        <f t="shared" si="0"/>
        <v>45</v>
      </c>
      <c r="P35" s="15">
        <f t="shared" si="1"/>
        <v>108</v>
      </c>
      <c r="R35" s="38" t="s">
        <v>91</v>
      </c>
      <c r="S35" s="39">
        <f t="shared" ref="S35:AF35" si="27">MAX(S13:S18)</f>
        <v>51</v>
      </c>
      <c r="T35" s="39">
        <f t="shared" si="27"/>
        <v>32</v>
      </c>
      <c r="U35" s="39">
        <f t="shared" si="27"/>
        <v>64</v>
      </c>
      <c r="V35" s="39">
        <f t="shared" si="27"/>
        <v>69</v>
      </c>
      <c r="W35" s="39">
        <f t="shared" si="27"/>
        <v>6</v>
      </c>
      <c r="X35" s="39">
        <f t="shared" si="27"/>
        <v>9</v>
      </c>
      <c r="Y35" s="39">
        <f t="shared" si="27"/>
        <v>33</v>
      </c>
      <c r="Z35" s="39">
        <f t="shared" si="27"/>
        <v>4</v>
      </c>
      <c r="AA35" s="39">
        <f t="shared" si="27"/>
        <v>2</v>
      </c>
      <c r="AB35" s="39">
        <f t="shared" si="27"/>
        <v>6</v>
      </c>
      <c r="AC35" s="39">
        <f t="shared" si="27"/>
        <v>260</v>
      </c>
      <c r="AD35" s="39">
        <f t="shared" si="27"/>
        <v>1</v>
      </c>
      <c r="AE35" s="40">
        <f t="shared" si="27"/>
        <v>230</v>
      </c>
      <c r="AF35" s="40">
        <f t="shared" si="27"/>
        <v>489</v>
      </c>
    </row>
    <row r="36" spans="2:32" ht="23.1" customHeight="1" x14ac:dyDescent="0.25">
      <c r="B36" s="46" t="s">
        <v>63</v>
      </c>
      <c r="C36" s="50">
        <v>3</v>
      </c>
      <c r="D36" s="50">
        <v>7</v>
      </c>
      <c r="E36" s="50">
        <v>20</v>
      </c>
      <c r="F36" s="50">
        <v>16</v>
      </c>
      <c r="G36" s="50">
        <v>1</v>
      </c>
      <c r="H36" s="50">
        <v>0</v>
      </c>
      <c r="I36" s="50">
        <v>10</v>
      </c>
      <c r="J36" s="50">
        <v>0</v>
      </c>
      <c r="K36" s="50">
        <v>0</v>
      </c>
      <c r="L36" s="50">
        <v>0</v>
      </c>
      <c r="M36" s="50">
        <v>60</v>
      </c>
      <c r="N36" s="50">
        <v>0</v>
      </c>
      <c r="O36" s="15">
        <f t="shared" si="0"/>
        <v>57</v>
      </c>
      <c r="P36" s="15">
        <f t="shared" si="1"/>
        <v>117</v>
      </c>
      <c r="R36" s="38" t="s">
        <v>92</v>
      </c>
      <c r="S36" s="39">
        <f t="shared" ref="S36:AF36" si="28">MAX(S19:S21)</f>
        <v>40</v>
      </c>
      <c r="T36" s="39">
        <f t="shared" si="28"/>
        <v>21</v>
      </c>
      <c r="U36" s="39">
        <f t="shared" si="28"/>
        <v>35</v>
      </c>
      <c r="V36" s="39">
        <f t="shared" si="28"/>
        <v>59</v>
      </c>
      <c r="W36" s="39">
        <f t="shared" si="28"/>
        <v>1</v>
      </c>
      <c r="X36" s="39">
        <f t="shared" si="28"/>
        <v>5</v>
      </c>
      <c r="Y36" s="39">
        <f t="shared" si="28"/>
        <v>39</v>
      </c>
      <c r="Z36" s="39">
        <f t="shared" si="28"/>
        <v>5</v>
      </c>
      <c r="AA36" s="39">
        <f t="shared" si="28"/>
        <v>1</v>
      </c>
      <c r="AB36" s="39">
        <f t="shared" si="28"/>
        <v>14</v>
      </c>
      <c r="AC36" s="39">
        <f t="shared" si="28"/>
        <v>313</v>
      </c>
      <c r="AD36" s="39">
        <f t="shared" si="28"/>
        <v>1</v>
      </c>
      <c r="AE36" s="40">
        <f t="shared" si="28"/>
        <v>195</v>
      </c>
      <c r="AF36" s="40">
        <f t="shared" si="28"/>
        <v>489</v>
      </c>
    </row>
    <row r="37" spans="2:32" ht="23.1" customHeight="1" x14ac:dyDescent="0.25">
      <c r="B37" s="45" t="s">
        <v>64</v>
      </c>
      <c r="C37" s="50">
        <v>4</v>
      </c>
      <c r="D37" s="50">
        <v>9</v>
      </c>
      <c r="E37" s="50">
        <v>9</v>
      </c>
      <c r="F37" s="50">
        <v>16</v>
      </c>
      <c r="G37" s="50">
        <v>2</v>
      </c>
      <c r="H37" s="50">
        <v>3</v>
      </c>
      <c r="I37" s="50">
        <v>8</v>
      </c>
      <c r="J37" s="50">
        <v>0</v>
      </c>
      <c r="K37" s="50">
        <v>0</v>
      </c>
      <c r="L37" s="50">
        <v>2</v>
      </c>
      <c r="M37" s="50">
        <v>64</v>
      </c>
      <c r="N37" s="50">
        <v>1</v>
      </c>
      <c r="O37" s="15">
        <f t="shared" si="0"/>
        <v>54</v>
      </c>
      <c r="P37" s="15">
        <f t="shared" si="1"/>
        <v>118</v>
      </c>
      <c r="R37" s="37" t="s">
        <v>85</v>
      </c>
      <c r="S37" s="35">
        <f t="shared" ref="S37:AF37" si="29">SUM(S10:S12)</f>
        <v>152</v>
      </c>
      <c r="T37" s="16">
        <f t="shared" si="29"/>
        <v>46</v>
      </c>
      <c r="U37" s="16">
        <f t="shared" si="29"/>
        <v>119</v>
      </c>
      <c r="V37" s="16">
        <f t="shared" si="29"/>
        <v>126</v>
      </c>
      <c r="W37" s="16">
        <f t="shared" si="29"/>
        <v>4</v>
      </c>
      <c r="X37" s="16">
        <f t="shared" si="29"/>
        <v>12</v>
      </c>
      <c r="Y37" s="16">
        <f t="shared" si="29"/>
        <v>78</v>
      </c>
      <c r="Z37" s="16">
        <f t="shared" si="29"/>
        <v>1</v>
      </c>
      <c r="AA37" s="16">
        <f t="shared" si="29"/>
        <v>0</v>
      </c>
      <c r="AB37" s="16">
        <f t="shared" si="29"/>
        <v>16</v>
      </c>
      <c r="AC37" s="16">
        <f t="shared" si="29"/>
        <v>768</v>
      </c>
      <c r="AD37" s="16">
        <f t="shared" si="29"/>
        <v>0</v>
      </c>
      <c r="AE37" s="32">
        <f t="shared" si="29"/>
        <v>554</v>
      </c>
      <c r="AF37" s="32">
        <f t="shared" si="29"/>
        <v>1322</v>
      </c>
    </row>
    <row r="38" spans="2:32" ht="23.1" customHeight="1" x14ac:dyDescent="0.25">
      <c r="B38" s="46" t="s">
        <v>65</v>
      </c>
      <c r="C38" s="50">
        <v>6</v>
      </c>
      <c r="D38" s="50">
        <v>4</v>
      </c>
      <c r="E38" s="50">
        <v>13</v>
      </c>
      <c r="F38" s="50">
        <v>11</v>
      </c>
      <c r="G38" s="50">
        <v>0</v>
      </c>
      <c r="H38" s="50">
        <v>1</v>
      </c>
      <c r="I38" s="50">
        <v>7</v>
      </c>
      <c r="J38" s="50">
        <v>0</v>
      </c>
      <c r="K38" s="50">
        <v>0</v>
      </c>
      <c r="L38" s="50">
        <v>0</v>
      </c>
      <c r="M38" s="50">
        <v>55</v>
      </c>
      <c r="N38" s="50">
        <v>0</v>
      </c>
      <c r="O38" s="15">
        <f t="shared" si="0"/>
        <v>42</v>
      </c>
      <c r="P38" s="15">
        <f t="shared" si="1"/>
        <v>97</v>
      </c>
      <c r="R38" s="28" t="s">
        <v>86</v>
      </c>
      <c r="S38" s="16">
        <f t="shared" ref="S38:AF38" si="30">SUM(S13:S18)</f>
        <v>210</v>
      </c>
      <c r="T38" s="16">
        <f t="shared" si="30"/>
        <v>146</v>
      </c>
      <c r="U38" s="16">
        <f t="shared" si="30"/>
        <v>297</v>
      </c>
      <c r="V38" s="16">
        <f t="shared" si="30"/>
        <v>352</v>
      </c>
      <c r="W38" s="16">
        <f t="shared" si="30"/>
        <v>12</v>
      </c>
      <c r="X38" s="16">
        <f t="shared" si="30"/>
        <v>36</v>
      </c>
      <c r="Y38" s="16">
        <f t="shared" si="30"/>
        <v>172</v>
      </c>
      <c r="Z38" s="16">
        <f t="shared" si="30"/>
        <v>14</v>
      </c>
      <c r="AA38" s="16">
        <f t="shared" si="30"/>
        <v>4</v>
      </c>
      <c r="AB38" s="16">
        <f t="shared" si="30"/>
        <v>27</v>
      </c>
      <c r="AC38" s="16">
        <f t="shared" si="30"/>
        <v>1434</v>
      </c>
      <c r="AD38" s="16">
        <f t="shared" si="30"/>
        <v>1</v>
      </c>
      <c r="AE38" s="32">
        <f t="shared" si="30"/>
        <v>1271</v>
      </c>
      <c r="AF38" s="32">
        <f t="shared" si="30"/>
        <v>2705</v>
      </c>
    </row>
    <row r="39" spans="2:32" ht="23.1" customHeight="1" x14ac:dyDescent="0.25">
      <c r="B39" s="46" t="s">
        <v>66</v>
      </c>
      <c r="C39" s="50">
        <v>9</v>
      </c>
      <c r="D39" s="50">
        <v>0</v>
      </c>
      <c r="E39" s="50">
        <v>14</v>
      </c>
      <c r="F39" s="50">
        <v>15</v>
      </c>
      <c r="G39" s="50">
        <v>1</v>
      </c>
      <c r="H39" s="50">
        <v>2</v>
      </c>
      <c r="I39" s="50">
        <v>6</v>
      </c>
      <c r="J39" s="50">
        <v>1</v>
      </c>
      <c r="K39" s="50">
        <v>0</v>
      </c>
      <c r="L39" s="50">
        <v>1</v>
      </c>
      <c r="M39" s="50">
        <v>54</v>
      </c>
      <c r="N39" s="50">
        <v>0</v>
      </c>
      <c r="O39" s="15">
        <f t="shared" si="0"/>
        <v>49</v>
      </c>
      <c r="P39" s="15">
        <f t="shared" si="1"/>
        <v>103</v>
      </c>
      <c r="R39" s="29" t="s">
        <v>87</v>
      </c>
      <c r="S39" s="16">
        <f t="shared" ref="S39:AF39" si="31">SUM(S19:S21)</f>
        <v>93</v>
      </c>
      <c r="T39" s="16">
        <f t="shared" si="31"/>
        <v>51</v>
      </c>
      <c r="U39" s="16">
        <f t="shared" si="31"/>
        <v>87</v>
      </c>
      <c r="V39" s="16">
        <f t="shared" si="31"/>
        <v>160</v>
      </c>
      <c r="W39" s="16">
        <f t="shared" si="31"/>
        <v>2</v>
      </c>
      <c r="X39" s="16">
        <f t="shared" si="31"/>
        <v>7</v>
      </c>
      <c r="Y39" s="16">
        <f t="shared" si="31"/>
        <v>89</v>
      </c>
      <c r="Z39" s="16">
        <f t="shared" si="31"/>
        <v>10</v>
      </c>
      <c r="AA39" s="16">
        <f t="shared" si="31"/>
        <v>2</v>
      </c>
      <c r="AB39" s="16">
        <f t="shared" si="31"/>
        <v>37</v>
      </c>
      <c r="AC39" s="16">
        <f t="shared" si="31"/>
        <v>857</v>
      </c>
      <c r="AD39" s="16">
        <f t="shared" si="31"/>
        <v>1</v>
      </c>
      <c r="AE39" s="32">
        <f t="shared" si="31"/>
        <v>539</v>
      </c>
      <c r="AF39" s="32">
        <f t="shared" si="31"/>
        <v>1396</v>
      </c>
    </row>
    <row r="40" spans="2:32" ht="23.1" customHeight="1" x14ac:dyDescent="0.25">
      <c r="B40" s="46" t="s">
        <v>67</v>
      </c>
      <c r="C40" s="50">
        <v>8</v>
      </c>
      <c r="D40" s="50">
        <v>9</v>
      </c>
      <c r="E40" s="50">
        <v>10</v>
      </c>
      <c r="F40" s="50">
        <v>14</v>
      </c>
      <c r="G40" s="50">
        <v>0</v>
      </c>
      <c r="H40" s="50">
        <v>3</v>
      </c>
      <c r="I40" s="50">
        <v>8</v>
      </c>
      <c r="J40" s="50">
        <v>2</v>
      </c>
      <c r="K40" s="50">
        <v>0</v>
      </c>
      <c r="L40" s="50">
        <v>3</v>
      </c>
      <c r="M40" s="50">
        <v>52</v>
      </c>
      <c r="N40" s="50">
        <v>0</v>
      </c>
      <c r="O40" s="15">
        <f t="shared" si="0"/>
        <v>57</v>
      </c>
      <c r="P40" s="15">
        <f t="shared" si="1"/>
        <v>109</v>
      </c>
      <c r="R40" s="5" t="s">
        <v>17</v>
      </c>
      <c r="S40" s="16">
        <f t="shared" ref="S40:AF40" si="32">SUM(S10:S21)</f>
        <v>455</v>
      </c>
      <c r="T40" s="16">
        <f t="shared" si="32"/>
        <v>243</v>
      </c>
      <c r="U40" s="16">
        <f t="shared" si="32"/>
        <v>503</v>
      </c>
      <c r="V40" s="16">
        <f t="shared" si="32"/>
        <v>638</v>
      </c>
      <c r="W40" s="16">
        <f t="shared" si="32"/>
        <v>18</v>
      </c>
      <c r="X40" s="16">
        <f t="shared" si="32"/>
        <v>55</v>
      </c>
      <c r="Y40" s="16">
        <f t="shared" si="32"/>
        <v>339</v>
      </c>
      <c r="Z40" s="16">
        <f t="shared" si="32"/>
        <v>25</v>
      </c>
      <c r="AA40" s="16">
        <f t="shared" si="32"/>
        <v>6</v>
      </c>
      <c r="AB40" s="16">
        <f t="shared" si="32"/>
        <v>80</v>
      </c>
      <c r="AC40" s="16">
        <f t="shared" si="32"/>
        <v>3059</v>
      </c>
      <c r="AD40" s="16">
        <f t="shared" si="32"/>
        <v>2</v>
      </c>
      <c r="AE40" s="32">
        <f t="shared" si="32"/>
        <v>2364</v>
      </c>
      <c r="AF40" s="32">
        <f t="shared" si="32"/>
        <v>5423</v>
      </c>
    </row>
    <row r="41" spans="2:32" ht="23.1" customHeight="1" x14ac:dyDescent="0.25">
      <c r="B41" s="45" t="s">
        <v>68</v>
      </c>
      <c r="C41" s="50">
        <v>7</v>
      </c>
      <c r="D41" s="50">
        <v>7</v>
      </c>
      <c r="E41" s="50">
        <v>8</v>
      </c>
      <c r="F41" s="50">
        <v>18</v>
      </c>
      <c r="G41" s="50">
        <v>0</v>
      </c>
      <c r="H41" s="50">
        <v>3</v>
      </c>
      <c r="I41" s="50">
        <v>4</v>
      </c>
      <c r="J41" s="50">
        <v>1</v>
      </c>
      <c r="K41" s="50">
        <v>0</v>
      </c>
      <c r="L41" s="50">
        <v>2</v>
      </c>
      <c r="M41" s="50">
        <v>47</v>
      </c>
      <c r="N41" s="50">
        <v>0</v>
      </c>
      <c r="O41" s="15">
        <f t="shared" si="0"/>
        <v>50</v>
      </c>
      <c r="P41" s="15">
        <f t="shared" si="1"/>
        <v>97</v>
      </c>
      <c r="R41" s="5" t="s">
        <v>159</v>
      </c>
      <c r="S41" s="16">
        <f>SUM(S10:S33)</f>
        <v>571</v>
      </c>
      <c r="T41" s="16">
        <f t="shared" ref="T41:AF41" si="33">SUM(T10:T33)</f>
        <v>271</v>
      </c>
      <c r="U41" s="16">
        <f t="shared" si="33"/>
        <v>605</v>
      </c>
      <c r="V41" s="16">
        <f t="shared" si="33"/>
        <v>762</v>
      </c>
      <c r="W41" s="16">
        <f t="shared" si="33"/>
        <v>47</v>
      </c>
      <c r="X41" s="16">
        <f t="shared" si="33"/>
        <v>91</v>
      </c>
      <c r="Y41" s="16">
        <f t="shared" si="33"/>
        <v>476</v>
      </c>
      <c r="Z41" s="16">
        <f t="shared" si="33"/>
        <v>38</v>
      </c>
      <c r="AA41" s="16">
        <f t="shared" si="33"/>
        <v>15</v>
      </c>
      <c r="AB41" s="16">
        <f t="shared" si="33"/>
        <v>142</v>
      </c>
      <c r="AC41" s="16">
        <f t="shared" si="33"/>
        <v>3657</v>
      </c>
      <c r="AD41" s="16">
        <f t="shared" si="33"/>
        <v>2</v>
      </c>
      <c r="AE41" s="32">
        <f t="shared" si="33"/>
        <v>3020</v>
      </c>
      <c r="AF41" s="32">
        <f t="shared" si="33"/>
        <v>6677</v>
      </c>
    </row>
    <row r="42" spans="2:32" ht="23.1" customHeight="1" x14ac:dyDescent="0.25">
      <c r="B42" s="46" t="s">
        <v>69</v>
      </c>
      <c r="C42" s="50">
        <v>3</v>
      </c>
      <c r="D42" s="50">
        <v>6</v>
      </c>
      <c r="E42" s="50">
        <v>10</v>
      </c>
      <c r="F42" s="50">
        <v>15</v>
      </c>
      <c r="G42" s="50">
        <v>0</v>
      </c>
      <c r="H42" s="50">
        <v>1</v>
      </c>
      <c r="I42" s="50">
        <v>7</v>
      </c>
      <c r="J42" s="50">
        <v>0</v>
      </c>
      <c r="K42" s="50">
        <v>0</v>
      </c>
      <c r="L42" s="50">
        <v>0</v>
      </c>
      <c r="M42" s="50">
        <v>68</v>
      </c>
      <c r="N42" s="50">
        <v>0</v>
      </c>
      <c r="O42" s="15">
        <f t="shared" si="0"/>
        <v>42</v>
      </c>
      <c r="P42" s="15">
        <f t="shared" si="1"/>
        <v>110</v>
      </c>
      <c r="R42" s="5" t="s">
        <v>160</v>
      </c>
      <c r="S42" s="48">
        <f>S41/S40</f>
        <v>1.2549450549450549</v>
      </c>
      <c r="T42" s="48">
        <f t="shared" ref="T42:AF42" si="34">T41/T40</f>
        <v>1.1152263374485596</v>
      </c>
      <c r="U42" s="48">
        <f t="shared" si="34"/>
        <v>1.2027833001988071</v>
      </c>
      <c r="V42" s="48">
        <f t="shared" si="34"/>
        <v>1.1943573667711598</v>
      </c>
      <c r="W42" s="48">
        <f t="shared" si="34"/>
        <v>2.6111111111111112</v>
      </c>
      <c r="X42" s="48">
        <f t="shared" si="34"/>
        <v>1.6545454545454545</v>
      </c>
      <c r="Y42" s="48">
        <f t="shared" si="34"/>
        <v>1.4041297935103245</v>
      </c>
      <c r="Z42" s="48">
        <f t="shared" si="34"/>
        <v>1.52</v>
      </c>
      <c r="AA42" s="48">
        <f t="shared" si="34"/>
        <v>2.5</v>
      </c>
      <c r="AB42" s="48">
        <f t="shared" si="34"/>
        <v>1.7749999999999999</v>
      </c>
      <c r="AC42" s="48">
        <f t="shared" si="34"/>
        <v>1.1954887218045114</v>
      </c>
      <c r="AD42" s="48">
        <f t="shared" si="34"/>
        <v>1</v>
      </c>
      <c r="AE42" s="48">
        <f t="shared" si="34"/>
        <v>1.2774957698815568</v>
      </c>
      <c r="AF42" s="48">
        <f t="shared" si="34"/>
        <v>1.2312373225152129</v>
      </c>
    </row>
    <row r="43" spans="2:32" ht="23.1" customHeight="1" x14ac:dyDescent="0.25">
      <c r="B43" s="45" t="s">
        <v>70</v>
      </c>
      <c r="C43" s="50">
        <v>3</v>
      </c>
      <c r="D43" s="50">
        <v>7</v>
      </c>
      <c r="E43" s="50">
        <v>9</v>
      </c>
      <c r="F43" s="50">
        <v>18</v>
      </c>
      <c r="G43" s="50">
        <v>1</v>
      </c>
      <c r="H43" s="50">
        <v>3</v>
      </c>
      <c r="I43" s="50">
        <v>7</v>
      </c>
      <c r="J43" s="50">
        <v>0</v>
      </c>
      <c r="K43" s="50">
        <v>0</v>
      </c>
      <c r="L43" s="50">
        <v>2</v>
      </c>
      <c r="M43" s="50">
        <v>63</v>
      </c>
      <c r="N43" s="50">
        <v>0</v>
      </c>
      <c r="O43" s="15">
        <f t="shared" si="0"/>
        <v>50</v>
      </c>
      <c r="P43" s="15">
        <f t="shared" si="1"/>
        <v>113</v>
      </c>
    </row>
    <row r="44" spans="2:32" ht="23.1" customHeight="1" x14ac:dyDescent="0.25">
      <c r="B44" s="47" t="s">
        <v>71</v>
      </c>
      <c r="C44" s="50">
        <v>7</v>
      </c>
      <c r="D44" s="50">
        <v>11</v>
      </c>
      <c r="E44" s="50">
        <v>10</v>
      </c>
      <c r="F44" s="50">
        <v>21</v>
      </c>
      <c r="G44" s="50">
        <v>0</v>
      </c>
      <c r="H44" s="50">
        <v>0</v>
      </c>
      <c r="I44" s="50">
        <v>8</v>
      </c>
      <c r="J44" s="50">
        <v>1</v>
      </c>
      <c r="K44" s="50">
        <v>1</v>
      </c>
      <c r="L44" s="50">
        <v>1</v>
      </c>
      <c r="M44" s="50">
        <v>51</v>
      </c>
      <c r="N44" s="50">
        <v>0</v>
      </c>
      <c r="O44" s="15">
        <f t="shared" si="0"/>
        <v>60</v>
      </c>
      <c r="P44" s="15">
        <f t="shared" si="1"/>
        <v>111</v>
      </c>
    </row>
    <row r="45" spans="2:32" ht="23.1" customHeight="1" x14ac:dyDescent="0.25">
      <c r="B45" s="45" t="s">
        <v>72</v>
      </c>
      <c r="C45" s="50">
        <v>3</v>
      </c>
      <c r="D45" s="50">
        <v>8</v>
      </c>
      <c r="E45" s="50">
        <v>10</v>
      </c>
      <c r="F45" s="50">
        <v>15</v>
      </c>
      <c r="G45" s="50">
        <v>0</v>
      </c>
      <c r="H45" s="50">
        <v>2</v>
      </c>
      <c r="I45" s="50">
        <v>7</v>
      </c>
      <c r="J45" s="50">
        <v>0</v>
      </c>
      <c r="K45" s="50">
        <v>0</v>
      </c>
      <c r="L45" s="50">
        <v>2</v>
      </c>
      <c r="M45" s="50">
        <v>58</v>
      </c>
      <c r="N45" s="50">
        <v>0</v>
      </c>
      <c r="O45" s="15">
        <f t="shared" si="0"/>
        <v>47</v>
      </c>
      <c r="P45" s="15">
        <f t="shared" si="1"/>
        <v>105</v>
      </c>
    </row>
    <row r="46" spans="2:32" ht="23.1" customHeight="1" x14ac:dyDescent="0.25">
      <c r="B46" s="46" t="s">
        <v>73</v>
      </c>
      <c r="C46" s="50">
        <v>4</v>
      </c>
      <c r="D46" s="50">
        <v>9</v>
      </c>
      <c r="E46" s="50">
        <v>6</v>
      </c>
      <c r="F46" s="50">
        <v>19</v>
      </c>
      <c r="G46" s="50">
        <v>0</v>
      </c>
      <c r="H46" s="50">
        <v>0</v>
      </c>
      <c r="I46" s="50">
        <v>16</v>
      </c>
      <c r="J46" s="50">
        <v>2</v>
      </c>
      <c r="K46" s="50">
        <v>1</v>
      </c>
      <c r="L46" s="50">
        <v>4</v>
      </c>
      <c r="M46" s="50">
        <v>51</v>
      </c>
      <c r="N46" s="50">
        <v>0</v>
      </c>
      <c r="O46" s="15">
        <f t="shared" si="0"/>
        <v>61</v>
      </c>
      <c r="P46" s="15">
        <f t="shared" si="1"/>
        <v>112</v>
      </c>
      <c r="R46" s="8"/>
      <c r="T46"/>
    </row>
    <row r="47" spans="2:32" ht="23.1" customHeight="1" x14ac:dyDescent="0.25">
      <c r="B47" s="46" t="s">
        <v>74</v>
      </c>
      <c r="C47" s="50">
        <v>10</v>
      </c>
      <c r="D47" s="50">
        <v>1</v>
      </c>
      <c r="E47" s="50">
        <v>8</v>
      </c>
      <c r="F47" s="50">
        <v>14</v>
      </c>
      <c r="G47" s="50">
        <v>0</v>
      </c>
      <c r="H47" s="50">
        <v>1</v>
      </c>
      <c r="I47" s="50">
        <v>5</v>
      </c>
      <c r="J47" s="50">
        <v>0</v>
      </c>
      <c r="K47" s="50">
        <v>0</v>
      </c>
      <c r="L47" s="50">
        <v>3</v>
      </c>
      <c r="M47" s="50">
        <v>67</v>
      </c>
      <c r="N47" s="50">
        <v>0</v>
      </c>
      <c r="O47" s="15">
        <f t="shared" si="0"/>
        <v>42</v>
      </c>
      <c r="P47" s="15">
        <f t="shared" si="1"/>
        <v>109</v>
      </c>
      <c r="R47" s="8"/>
      <c r="T47"/>
    </row>
    <row r="48" spans="2:32" ht="23.1" customHeight="1" x14ac:dyDescent="0.25">
      <c r="B48" s="46" t="s">
        <v>75</v>
      </c>
      <c r="C48" s="50">
        <v>7</v>
      </c>
      <c r="D48" s="50">
        <v>4</v>
      </c>
      <c r="E48" s="50">
        <v>11</v>
      </c>
      <c r="F48" s="50">
        <v>11</v>
      </c>
      <c r="G48" s="50">
        <v>0</v>
      </c>
      <c r="H48" s="50">
        <v>0</v>
      </c>
      <c r="I48" s="50">
        <v>8</v>
      </c>
      <c r="J48" s="50">
        <v>0</v>
      </c>
      <c r="K48" s="50">
        <v>0</v>
      </c>
      <c r="L48" s="50">
        <v>3</v>
      </c>
      <c r="M48" s="50">
        <v>66</v>
      </c>
      <c r="N48" s="50">
        <v>0</v>
      </c>
      <c r="O48" s="15">
        <f t="shared" si="0"/>
        <v>44</v>
      </c>
      <c r="P48" s="15">
        <f t="shared" si="1"/>
        <v>110</v>
      </c>
      <c r="R48" s="8"/>
      <c r="T48"/>
    </row>
    <row r="49" spans="2:20" ht="23.1" customHeight="1" x14ac:dyDescent="0.25">
      <c r="B49" s="45" t="s">
        <v>76</v>
      </c>
      <c r="C49" s="50">
        <v>4</v>
      </c>
      <c r="D49" s="50">
        <v>7</v>
      </c>
      <c r="E49" s="50">
        <v>10</v>
      </c>
      <c r="F49" s="50">
        <v>10</v>
      </c>
      <c r="G49" s="50">
        <v>1</v>
      </c>
      <c r="H49" s="50">
        <v>1</v>
      </c>
      <c r="I49" s="50">
        <v>10</v>
      </c>
      <c r="J49" s="50">
        <v>1</v>
      </c>
      <c r="K49" s="50">
        <v>0</v>
      </c>
      <c r="L49" s="50">
        <v>4</v>
      </c>
      <c r="M49" s="50">
        <v>49</v>
      </c>
      <c r="N49" s="50">
        <v>0</v>
      </c>
      <c r="O49" s="15">
        <f t="shared" si="0"/>
        <v>48</v>
      </c>
      <c r="P49" s="15">
        <f t="shared" si="1"/>
        <v>97</v>
      </c>
      <c r="R49" s="8"/>
      <c r="T49"/>
    </row>
    <row r="50" spans="2:20" ht="23.1" customHeight="1" x14ac:dyDescent="0.25">
      <c r="B50" s="46" t="s">
        <v>77</v>
      </c>
      <c r="C50" s="50">
        <v>8</v>
      </c>
      <c r="D50" s="50">
        <v>5</v>
      </c>
      <c r="E50" s="50">
        <v>5</v>
      </c>
      <c r="F50" s="50">
        <v>18</v>
      </c>
      <c r="G50" s="50">
        <v>0</v>
      </c>
      <c r="H50" s="50">
        <v>1</v>
      </c>
      <c r="I50" s="50">
        <v>8</v>
      </c>
      <c r="J50" s="50">
        <v>2</v>
      </c>
      <c r="K50" s="50">
        <v>0</v>
      </c>
      <c r="L50" s="50">
        <v>0</v>
      </c>
      <c r="M50" s="50">
        <v>70</v>
      </c>
      <c r="N50" s="50">
        <v>0</v>
      </c>
      <c r="O50" s="15">
        <f t="shared" si="0"/>
        <v>47</v>
      </c>
      <c r="P50" s="15">
        <f t="shared" si="1"/>
        <v>117</v>
      </c>
      <c r="R50" s="8"/>
      <c r="T50"/>
    </row>
    <row r="51" spans="2:20" ht="23.1" customHeight="1" x14ac:dyDescent="0.25">
      <c r="B51" s="46" t="s">
        <v>78</v>
      </c>
      <c r="C51" s="50">
        <v>6</v>
      </c>
      <c r="D51" s="50">
        <v>1</v>
      </c>
      <c r="E51" s="50">
        <v>6</v>
      </c>
      <c r="F51" s="50">
        <v>13</v>
      </c>
      <c r="G51" s="50">
        <v>0</v>
      </c>
      <c r="H51" s="50">
        <v>2</v>
      </c>
      <c r="I51" s="50">
        <v>8</v>
      </c>
      <c r="J51" s="50">
        <v>0</v>
      </c>
      <c r="K51" s="50">
        <v>0</v>
      </c>
      <c r="L51" s="50">
        <v>3</v>
      </c>
      <c r="M51" s="50">
        <v>86</v>
      </c>
      <c r="N51" s="50">
        <v>0</v>
      </c>
      <c r="O51" s="15">
        <f t="shared" si="0"/>
        <v>39</v>
      </c>
      <c r="P51" s="15">
        <f t="shared" si="1"/>
        <v>125</v>
      </c>
      <c r="R51" s="8"/>
      <c r="T51"/>
    </row>
    <row r="52" spans="2:20" ht="23.1" customHeight="1" x14ac:dyDescent="0.25">
      <c r="B52" s="46" t="s">
        <v>79</v>
      </c>
      <c r="C52" s="50">
        <v>8</v>
      </c>
      <c r="D52" s="50">
        <v>2</v>
      </c>
      <c r="E52" s="50">
        <v>8</v>
      </c>
      <c r="F52" s="50">
        <v>18</v>
      </c>
      <c r="G52" s="50">
        <v>1</v>
      </c>
      <c r="H52" s="50">
        <v>1</v>
      </c>
      <c r="I52" s="50">
        <v>6</v>
      </c>
      <c r="J52" s="50">
        <v>2</v>
      </c>
      <c r="K52" s="50">
        <v>0</v>
      </c>
      <c r="L52" s="50">
        <v>7</v>
      </c>
      <c r="M52" s="50">
        <v>77</v>
      </c>
      <c r="N52" s="50">
        <v>0</v>
      </c>
      <c r="O52" s="15">
        <f t="shared" si="0"/>
        <v>53</v>
      </c>
      <c r="P52" s="15">
        <f t="shared" si="1"/>
        <v>130</v>
      </c>
      <c r="R52" s="8"/>
      <c r="T52"/>
    </row>
    <row r="53" spans="2:20" ht="23.1" customHeight="1" x14ac:dyDescent="0.25">
      <c r="B53" s="45" t="s">
        <v>80</v>
      </c>
      <c r="C53" s="50">
        <v>6</v>
      </c>
      <c r="D53" s="50">
        <v>8</v>
      </c>
      <c r="E53" s="50">
        <v>4</v>
      </c>
      <c r="F53" s="50">
        <v>10</v>
      </c>
      <c r="G53" s="50">
        <v>0</v>
      </c>
      <c r="H53" s="50">
        <v>1</v>
      </c>
      <c r="I53" s="50">
        <v>5</v>
      </c>
      <c r="J53" s="50">
        <v>1</v>
      </c>
      <c r="K53" s="50">
        <v>0</v>
      </c>
      <c r="L53" s="50">
        <v>4</v>
      </c>
      <c r="M53" s="50">
        <v>78</v>
      </c>
      <c r="N53" s="50">
        <v>0</v>
      </c>
      <c r="O53" s="15">
        <f t="shared" si="0"/>
        <v>39</v>
      </c>
      <c r="P53" s="15">
        <f t="shared" si="1"/>
        <v>117</v>
      </c>
      <c r="R53" s="8"/>
      <c r="T53"/>
    </row>
    <row r="54" spans="2:20" ht="23.1" customHeight="1" x14ac:dyDescent="0.25">
      <c r="B54" s="45" t="s">
        <v>81</v>
      </c>
      <c r="C54" s="50">
        <v>12</v>
      </c>
      <c r="D54" s="50">
        <v>3</v>
      </c>
      <c r="E54" s="50">
        <v>6</v>
      </c>
      <c r="F54" s="50">
        <v>15</v>
      </c>
      <c r="G54" s="50">
        <v>0</v>
      </c>
      <c r="H54" s="50">
        <v>0</v>
      </c>
      <c r="I54" s="50">
        <v>5</v>
      </c>
      <c r="J54" s="50">
        <v>0</v>
      </c>
      <c r="K54" s="50">
        <v>1</v>
      </c>
      <c r="L54" s="50">
        <v>3</v>
      </c>
      <c r="M54" s="50">
        <v>75</v>
      </c>
      <c r="N54" s="50">
        <v>0</v>
      </c>
      <c r="O54" s="15">
        <f t="shared" si="0"/>
        <v>45</v>
      </c>
      <c r="P54" s="15">
        <f t="shared" si="1"/>
        <v>120</v>
      </c>
      <c r="R54" s="8"/>
      <c r="T54"/>
    </row>
    <row r="55" spans="2:20" ht="23.1" customHeight="1" x14ac:dyDescent="0.25">
      <c r="B55" s="45" t="s">
        <v>82</v>
      </c>
      <c r="C55" s="50">
        <v>11</v>
      </c>
      <c r="D55" s="50">
        <v>5</v>
      </c>
      <c r="E55" s="50">
        <v>5</v>
      </c>
      <c r="F55" s="50">
        <v>15</v>
      </c>
      <c r="G55" s="50">
        <v>0</v>
      </c>
      <c r="H55" s="50">
        <v>0</v>
      </c>
      <c r="I55" s="50">
        <v>10</v>
      </c>
      <c r="J55" s="50">
        <v>2</v>
      </c>
      <c r="K55" s="50">
        <v>0</v>
      </c>
      <c r="L55" s="50">
        <v>4</v>
      </c>
      <c r="M55" s="50">
        <v>65</v>
      </c>
      <c r="N55" s="50">
        <v>0</v>
      </c>
      <c r="O55" s="15">
        <f t="shared" si="0"/>
        <v>52</v>
      </c>
      <c r="P55" s="15">
        <f t="shared" si="1"/>
        <v>117</v>
      </c>
      <c r="R55" s="8"/>
      <c r="T55"/>
    </row>
    <row r="56" spans="2:20" ht="23.1" customHeight="1" x14ac:dyDescent="0.25">
      <c r="B56" s="45" t="s">
        <v>83</v>
      </c>
      <c r="C56" s="50">
        <v>6</v>
      </c>
      <c r="D56" s="50">
        <v>4</v>
      </c>
      <c r="E56" s="50">
        <v>11</v>
      </c>
      <c r="F56" s="50">
        <v>9</v>
      </c>
      <c r="G56" s="50">
        <v>0</v>
      </c>
      <c r="H56" s="50">
        <v>0</v>
      </c>
      <c r="I56" s="50">
        <v>8</v>
      </c>
      <c r="J56" s="50">
        <v>0</v>
      </c>
      <c r="K56" s="50">
        <v>0</v>
      </c>
      <c r="L56" s="50">
        <v>2</v>
      </c>
      <c r="M56" s="50">
        <v>78</v>
      </c>
      <c r="N56" s="50">
        <v>1</v>
      </c>
      <c r="O56" s="15">
        <f t="shared" si="0"/>
        <v>41</v>
      </c>
      <c r="P56" s="15">
        <f t="shared" si="1"/>
        <v>119</v>
      </c>
      <c r="R56" s="8"/>
      <c r="T56"/>
    </row>
    <row r="57" spans="2:20" ht="23.1" customHeight="1" x14ac:dyDescent="0.25">
      <c r="B57" s="45" t="s">
        <v>84</v>
      </c>
      <c r="C57" s="50">
        <v>11</v>
      </c>
      <c r="D57" s="50">
        <v>2</v>
      </c>
      <c r="E57" s="50">
        <v>7</v>
      </c>
      <c r="F57" s="50">
        <v>8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95</v>
      </c>
      <c r="N57" s="50">
        <v>0</v>
      </c>
      <c r="O57" s="15">
        <f t="shared" si="0"/>
        <v>28</v>
      </c>
      <c r="P57" s="15">
        <f t="shared" si="1"/>
        <v>123</v>
      </c>
      <c r="R57" s="8"/>
      <c r="T57"/>
    </row>
    <row r="58" spans="2:20" ht="23.1" customHeight="1" x14ac:dyDescent="0.25">
      <c r="B58" s="45" t="s">
        <v>99</v>
      </c>
      <c r="C58" s="50">
        <v>7</v>
      </c>
      <c r="D58" s="50">
        <v>3</v>
      </c>
      <c r="E58" s="50">
        <v>7</v>
      </c>
      <c r="F58" s="50">
        <v>12</v>
      </c>
      <c r="G58" s="50">
        <v>0</v>
      </c>
      <c r="H58" s="50">
        <v>0</v>
      </c>
      <c r="I58" s="50">
        <v>8</v>
      </c>
      <c r="J58" s="50">
        <v>1</v>
      </c>
      <c r="K58" s="50">
        <v>1</v>
      </c>
      <c r="L58" s="50">
        <v>1</v>
      </c>
      <c r="M58" s="50">
        <v>55</v>
      </c>
      <c r="N58" s="50">
        <v>0</v>
      </c>
      <c r="O58" s="15">
        <f t="shared" ref="O58:O105" si="35">SUM(C58:L58,N58)</f>
        <v>40</v>
      </c>
      <c r="P58" s="15">
        <f t="shared" ref="P58:P105" si="36">SUM(C58:N58)</f>
        <v>95</v>
      </c>
      <c r="R58" s="8"/>
      <c r="T58"/>
    </row>
    <row r="59" spans="2:20" ht="23.1" customHeight="1" x14ac:dyDescent="0.25">
      <c r="B59" s="45" t="s">
        <v>100</v>
      </c>
      <c r="C59" s="50">
        <v>8</v>
      </c>
      <c r="D59" s="50">
        <v>2</v>
      </c>
      <c r="E59" s="50">
        <v>5</v>
      </c>
      <c r="F59" s="50">
        <v>11</v>
      </c>
      <c r="G59" s="50">
        <v>0</v>
      </c>
      <c r="H59" s="50">
        <v>0</v>
      </c>
      <c r="I59" s="50">
        <v>8</v>
      </c>
      <c r="J59" s="50">
        <v>0</v>
      </c>
      <c r="K59" s="50">
        <v>0</v>
      </c>
      <c r="L59" s="50">
        <v>3</v>
      </c>
      <c r="M59" s="50">
        <v>60</v>
      </c>
      <c r="N59" s="50">
        <v>0</v>
      </c>
      <c r="O59" s="15">
        <f t="shared" si="35"/>
        <v>37</v>
      </c>
      <c r="P59" s="15">
        <f t="shared" si="36"/>
        <v>97</v>
      </c>
      <c r="R59" s="8"/>
      <c r="T59"/>
    </row>
    <row r="60" spans="2:20" ht="23.1" customHeight="1" x14ac:dyDescent="0.25">
      <c r="B60" s="45" t="s">
        <v>101</v>
      </c>
      <c r="C60" s="50">
        <v>7</v>
      </c>
      <c r="D60" s="50">
        <v>1</v>
      </c>
      <c r="E60" s="50">
        <v>6</v>
      </c>
      <c r="F60" s="50">
        <v>11</v>
      </c>
      <c r="G60" s="50">
        <v>0</v>
      </c>
      <c r="H60" s="50">
        <v>0</v>
      </c>
      <c r="I60" s="50">
        <v>8</v>
      </c>
      <c r="J60" s="50">
        <v>0</v>
      </c>
      <c r="K60" s="50">
        <v>0</v>
      </c>
      <c r="L60" s="50">
        <v>3</v>
      </c>
      <c r="M60" s="50">
        <v>66</v>
      </c>
      <c r="N60" s="50">
        <v>0</v>
      </c>
      <c r="O60" s="15">
        <f t="shared" si="35"/>
        <v>36</v>
      </c>
      <c r="P60" s="15">
        <f t="shared" si="36"/>
        <v>102</v>
      </c>
      <c r="R60" s="8"/>
      <c r="T60"/>
    </row>
    <row r="61" spans="2:20" ht="23.1" customHeight="1" x14ac:dyDescent="0.25">
      <c r="B61" s="45" t="s">
        <v>102</v>
      </c>
      <c r="C61" s="50">
        <v>5</v>
      </c>
      <c r="D61" s="50">
        <v>0</v>
      </c>
      <c r="E61" s="50">
        <v>7</v>
      </c>
      <c r="F61" s="50">
        <v>8</v>
      </c>
      <c r="G61" s="50">
        <v>0</v>
      </c>
      <c r="H61" s="50">
        <v>2</v>
      </c>
      <c r="I61" s="50">
        <v>8</v>
      </c>
      <c r="J61" s="50">
        <v>0</v>
      </c>
      <c r="K61" s="50">
        <v>0</v>
      </c>
      <c r="L61" s="50">
        <v>3</v>
      </c>
      <c r="M61" s="50">
        <v>56</v>
      </c>
      <c r="N61" s="50">
        <v>0</v>
      </c>
      <c r="O61" s="15">
        <f t="shared" si="35"/>
        <v>33</v>
      </c>
      <c r="P61" s="15">
        <f t="shared" si="36"/>
        <v>89</v>
      </c>
      <c r="R61" s="8"/>
      <c r="T61"/>
    </row>
    <row r="62" spans="2:20" ht="23.1" customHeight="1" x14ac:dyDescent="0.25">
      <c r="B62" s="45" t="s">
        <v>107</v>
      </c>
      <c r="C62" s="50">
        <v>6</v>
      </c>
      <c r="D62" s="50">
        <v>2</v>
      </c>
      <c r="E62" s="50">
        <v>8</v>
      </c>
      <c r="F62" s="50">
        <v>5</v>
      </c>
      <c r="G62" s="50">
        <v>0</v>
      </c>
      <c r="H62" s="50">
        <v>1</v>
      </c>
      <c r="I62" s="50">
        <v>5</v>
      </c>
      <c r="J62" s="50">
        <v>1</v>
      </c>
      <c r="K62" s="50">
        <v>0</v>
      </c>
      <c r="L62" s="50">
        <v>4</v>
      </c>
      <c r="M62" s="50">
        <v>45</v>
      </c>
      <c r="N62" s="50">
        <v>0</v>
      </c>
      <c r="O62" s="15">
        <f t="shared" si="35"/>
        <v>32</v>
      </c>
      <c r="P62" s="15">
        <f t="shared" si="36"/>
        <v>77</v>
      </c>
      <c r="R62" s="8"/>
      <c r="T62"/>
    </row>
    <row r="63" spans="2:20" ht="23.1" customHeight="1" x14ac:dyDescent="0.25">
      <c r="B63" s="45" t="s">
        <v>108</v>
      </c>
      <c r="C63" s="50">
        <v>5</v>
      </c>
      <c r="D63" s="50">
        <v>1</v>
      </c>
      <c r="E63" s="50">
        <v>6</v>
      </c>
      <c r="F63" s="50">
        <v>5</v>
      </c>
      <c r="G63" s="50">
        <v>0</v>
      </c>
      <c r="H63" s="50">
        <v>0</v>
      </c>
      <c r="I63" s="50">
        <v>8</v>
      </c>
      <c r="J63" s="50">
        <v>0</v>
      </c>
      <c r="K63" s="50">
        <v>1</v>
      </c>
      <c r="L63" s="50">
        <v>3</v>
      </c>
      <c r="M63" s="50">
        <v>47</v>
      </c>
      <c r="N63" s="50">
        <v>0</v>
      </c>
      <c r="O63" s="15">
        <f t="shared" si="35"/>
        <v>29</v>
      </c>
      <c r="P63" s="15">
        <f t="shared" si="36"/>
        <v>76</v>
      </c>
      <c r="R63" s="8"/>
      <c r="T63"/>
    </row>
    <row r="64" spans="2:20" ht="23.1" customHeight="1" x14ac:dyDescent="0.25">
      <c r="B64" s="45" t="s">
        <v>109</v>
      </c>
      <c r="C64" s="50">
        <v>6</v>
      </c>
      <c r="D64" s="50">
        <v>0</v>
      </c>
      <c r="E64" s="50">
        <v>5</v>
      </c>
      <c r="F64" s="50">
        <v>7</v>
      </c>
      <c r="G64" s="50">
        <v>0</v>
      </c>
      <c r="H64" s="50">
        <v>2</v>
      </c>
      <c r="I64" s="50">
        <v>6</v>
      </c>
      <c r="J64" s="50">
        <v>0</v>
      </c>
      <c r="K64" s="50">
        <v>0</v>
      </c>
      <c r="L64" s="50">
        <v>3</v>
      </c>
      <c r="M64" s="50">
        <v>38</v>
      </c>
      <c r="N64" s="50">
        <v>0</v>
      </c>
      <c r="O64" s="15">
        <f t="shared" si="35"/>
        <v>29</v>
      </c>
      <c r="P64" s="15">
        <f t="shared" si="36"/>
        <v>67</v>
      </c>
      <c r="R64" s="8"/>
      <c r="T64"/>
    </row>
    <row r="65" spans="2:20" ht="23.1" customHeight="1" x14ac:dyDescent="0.25">
      <c r="B65" s="45" t="s">
        <v>158</v>
      </c>
      <c r="C65" s="50">
        <v>4</v>
      </c>
      <c r="D65" s="50">
        <v>1</v>
      </c>
      <c r="E65" s="50">
        <v>4</v>
      </c>
      <c r="F65" s="50">
        <v>5</v>
      </c>
      <c r="G65" s="50">
        <v>0</v>
      </c>
      <c r="H65" s="50">
        <v>1</v>
      </c>
      <c r="I65" s="50">
        <v>5</v>
      </c>
      <c r="J65" s="50">
        <v>1</v>
      </c>
      <c r="K65" s="50">
        <v>0</v>
      </c>
      <c r="L65" s="50">
        <v>4</v>
      </c>
      <c r="M65" s="50">
        <v>35</v>
      </c>
      <c r="N65" s="50">
        <v>0</v>
      </c>
      <c r="O65" s="15">
        <f t="shared" si="35"/>
        <v>25</v>
      </c>
      <c r="P65" s="15">
        <f t="shared" si="36"/>
        <v>60</v>
      </c>
      <c r="R65" s="8"/>
      <c r="T65"/>
    </row>
    <row r="66" spans="2:20" ht="23.1" customHeight="1" x14ac:dyDescent="0.25">
      <c r="B66" s="45" t="s">
        <v>103</v>
      </c>
      <c r="C66" s="50">
        <v>3</v>
      </c>
      <c r="D66" s="50">
        <v>2</v>
      </c>
      <c r="E66" s="50">
        <v>5</v>
      </c>
      <c r="F66" s="50">
        <v>2</v>
      </c>
      <c r="G66" s="50">
        <v>1</v>
      </c>
      <c r="H66" s="50">
        <v>1</v>
      </c>
      <c r="I66" s="50">
        <v>7</v>
      </c>
      <c r="J66" s="50">
        <v>0</v>
      </c>
      <c r="K66" s="50">
        <v>0</v>
      </c>
      <c r="L66" s="50">
        <v>1</v>
      </c>
      <c r="M66" s="50">
        <v>33</v>
      </c>
      <c r="N66" s="50">
        <v>0</v>
      </c>
      <c r="O66" s="15">
        <f t="shared" si="35"/>
        <v>22</v>
      </c>
      <c r="P66" s="15">
        <f t="shared" si="36"/>
        <v>55</v>
      </c>
      <c r="R66" s="8"/>
      <c r="T66"/>
    </row>
    <row r="67" spans="2:20" ht="23.1" customHeight="1" x14ac:dyDescent="0.25">
      <c r="B67" s="45" t="s">
        <v>104</v>
      </c>
      <c r="C67" s="50">
        <v>3</v>
      </c>
      <c r="D67" s="50">
        <v>0</v>
      </c>
      <c r="E67" s="50">
        <v>4</v>
      </c>
      <c r="F67" s="50">
        <v>5</v>
      </c>
      <c r="G67" s="50">
        <v>1</v>
      </c>
      <c r="H67" s="50">
        <v>0</v>
      </c>
      <c r="I67" s="50">
        <v>3</v>
      </c>
      <c r="J67" s="50">
        <v>0</v>
      </c>
      <c r="K67" s="50">
        <v>0</v>
      </c>
      <c r="L67" s="50">
        <v>0</v>
      </c>
      <c r="M67" s="50">
        <v>24</v>
      </c>
      <c r="N67" s="50">
        <v>0</v>
      </c>
      <c r="O67" s="15">
        <f t="shared" si="35"/>
        <v>16</v>
      </c>
      <c r="P67" s="15">
        <f t="shared" si="36"/>
        <v>40</v>
      </c>
      <c r="R67" s="8"/>
      <c r="T67"/>
    </row>
    <row r="68" spans="2:20" ht="23.1" customHeight="1" x14ac:dyDescent="0.25">
      <c r="B68" s="45" t="s">
        <v>105</v>
      </c>
      <c r="C68" s="50">
        <v>4</v>
      </c>
      <c r="D68" s="50">
        <v>1</v>
      </c>
      <c r="E68" s="50">
        <v>3</v>
      </c>
      <c r="F68" s="50">
        <v>3</v>
      </c>
      <c r="G68" s="50">
        <v>2</v>
      </c>
      <c r="H68" s="50">
        <v>3</v>
      </c>
      <c r="I68" s="50">
        <v>8</v>
      </c>
      <c r="J68" s="50">
        <v>0</v>
      </c>
      <c r="K68" s="50">
        <v>2</v>
      </c>
      <c r="L68" s="50">
        <v>2</v>
      </c>
      <c r="M68" s="50">
        <v>17</v>
      </c>
      <c r="N68" s="50">
        <v>0</v>
      </c>
      <c r="O68" s="15">
        <f t="shared" si="35"/>
        <v>28</v>
      </c>
      <c r="P68" s="15">
        <f t="shared" si="36"/>
        <v>45</v>
      </c>
      <c r="R68" s="8"/>
      <c r="T68"/>
    </row>
    <row r="69" spans="2:20" ht="23.1" customHeight="1" x14ac:dyDescent="0.25">
      <c r="B69" s="45" t="s">
        <v>106</v>
      </c>
      <c r="C69" s="50">
        <v>2</v>
      </c>
      <c r="D69" s="50">
        <v>1</v>
      </c>
      <c r="E69" s="50">
        <v>2</v>
      </c>
      <c r="F69" s="50">
        <v>5</v>
      </c>
      <c r="G69" s="50">
        <v>0</v>
      </c>
      <c r="H69" s="50">
        <v>1</v>
      </c>
      <c r="I69" s="50">
        <v>5</v>
      </c>
      <c r="J69" s="50">
        <v>1</v>
      </c>
      <c r="K69" s="50">
        <v>0</v>
      </c>
      <c r="L69" s="50">
        <v>4</v>
      </c>
      <c r="M69" s="50">
        <v>14</v>
      </c>
      <c r="N69" s="50">
        <v>0</v>
      </c>
      <c r="O69" s="15">
        <f t="shared" si="35"/>
        <v>21</v>
      </c>
      <c r="P69" s="15">
        <f t="shared" si="36"/>
        <v>35</v>
      </c>
      <c r="R69" s="8"/>
      <c r="T69"/>
    </row>
    <row r="70" spans="2:20" ht="23.1" customHeight="1" x14ac:dyDescent="0.25">
      <c r="B70" s="45" t="s">
        <v>110</v>
      </c>
      <c r="C70" s="50">
        <v>3</v>
      </c>
      <c r="D70" s="50">
        <v>0</v>
      </c>
      <c r="E70" s="50">
        <v>3</v>
      </c>
      <c r="F70" s="50">
        <v>2</v>
      </c>
      <c r="G70" s="50">
        <v>1</v>
      </c>
      <c r="H70" s="50">
        <v>1</v>
      </c>
      <c r="I70" s="50">
        <v>3</v>
      </c>
      <c r="J70" s="50">
        <v>0</v>
      </c>
      <c r="K70" s="50">
        <v>2</v>
      </c>
      <c r="L70" s="50">
        <v>1</v>
      </c>
      <c r="M70" s="50">
        <v>13</v>
      </c>
      <c r="N70" s="50">
        <v>0</v>
      </c>
      <c r="O70" s="15">
        <f t="shared" si="35"/>
        <v>16</v>
      </c>
      <c r="P70" s="15">
        <f t="shared" si="36"/>
        <v>29</v>
      </c>
      <c r="R70" s="8"/>
      <c r="T70"/>
    </row>
    <row r="71" spans="2:20" ht="23.1" customHeight="1" x14ac:dyDescent="0.25">
      <c r="B71" s="45" t="s">
        <v>111</v>
      </c>
      <c r="C71" s="50">
        <v>1</v>
      </c>
      <c r="D71" s="50">
        <v>0</v>
      </c>
      <c r="E71" s="50">
        <v>1</v>
      </c>
      <c r="F71" s="50">
        <v>5</v>
      </c>
      <c r="G71" s="50">
        <v>1</v>
      </c>
      <c r="H71" s="50">
        <v>0</v>
      </c>
      <c r="I71" s="50">
        <v>3</v>
      </c>
      <c r="J71" s="50">
        <v>0</v>
      </c>
      <c r="K71" s="50">
        <v>0</v>
      </c>
      <c r="L71" s="50">
        <v>0</v>
      </c>
      <c r="M71" s="50">
        <v>10</v>
      </c>
      <c r="N71" s="50">
        <v>0</v>
      </c>
      <c r="O71" s="15">
        <f t="shared" si="35"/>
        <v>11</v>
      </c>
      <c r="P71" s="15">
        <f t="shared" si="36"/>
        <v>21</v>
      </c>
      <c r="R71" s="8"/>
      <c r="T71"/>
    </row>
    <row r="72" spans="2:20" ht="23.1" customHeight="1" x14ac:dyDescent="0.25">
      <c r="B72" s="45" t="s">
        <v>112</v>
      </c>
      <c r="C72" s="50">
        <v>2</v>
      </c>
      <c r="D72" s="50">
        <v>0</v>
      </c>
      <c r="E72" s="50">
        <v>3</v>
      </c>
      <c r="F72" s="50">
        <v>3</v>
      </c>
      <c r="G72" s="50">
        <v>2</v>
      </c>
      <c r="H72" s="50">
        <v>3</v>
      </c>
      <c r="I72" s="50">
        <v>2</v>
      </c>
      <c r="J72" s="50">
        <v>0</v>
      </c>
      <c r="K72" s="50">
        <v>0</v>
      </c>
      <c r="L72" s="50">
        <v>2</v>
      </c>
      <c r="M72" s="50">
        <v>7</v>
      </c>
      <c r="N72" s="50">
        <v>0</v>
      </c>
      <c r="O72" s="15">
        <f t="shared" si="35"/>
        <v>17</v>
      </c>
      <c r="P72" s="15">
        <f t="shared" si="36"/>
        <v>24</v>
      </c>
      <c r="R72" s="8"/>
      <c r="T72"/>
    </row>
    <row r="73" spans="2:20" ht="23.1" customHeight="1" x14ac:dyDescent="0.25">
      <c r="B73" s="45" t="s">
        <v>113</v>
      </c>
      <c r="C73" s="50">
        <v>2</v>
      </c>
      <c r="D73" s="50">
        <v>1</v>
      </c>
      <c r="E73" s="50">
        <v>2</v>
      </c>
      <c r="F73" s="50">
        <v>3</v>
      </c>
      <c r="G73" s="50">
        <v>0</v>
      </c>
      <c r="H73" s="50">
        <v>1</v>
      </c>
      <c r="I73" s="50">
        <v>5</v>
      </c>
      <c r="J73" s="50">
        <v>1</v>
      </c>
      <c r="K73" s="50">
        <v>0</v>
      </c>
      <c r="L73" s="50">
        <v>4</v>
      </c>
      <c r="M73" s="50">
        <v>4</v>
      </c>
      <c r="N73" s="50">
        <v>0</v>
      </c>
      <c r="O73" s="15">
        <f t="shared" si="35"/>
        <v>19</v>
      </c>
      <c r="P73" s="15">
        <f t="shared" si="36"/>
        <v>23</v>
      </c>
      <c r="R73" s="8"/>
      <c r="T73"/>
    </row>
    <row r="74" spans="2:20" ht="23.1" customHeight="1" x14ac:dyDescent="0.25">
      <c r="B74" s="45" t="s">
        <v>114</v>
      </c>
      <c r="C74" s="50">
        <v>2</v>
      </c>
      <c r="D74" s="50">
        <v>0</v>
      </c>
      <c r="E74" s="50">
        <v>2</v>
      </c>
      <c r="F74" s="50">
        <v>0</v>
      </c>
      <c r="G74" s="50">
        <v>1</v>
      </c>
      <c r="H74" s="50">
        <v>1</v>
      </c>
      <c r="I74" s="50">
        <v>3</v>
      </c>
      <c r="J74" s="50">
        <v>0</v>
      </c>
      <c r="K74" s="50">
        <v>0</v>
      </c>
      <c r="L74" s="50">
        <v>1</v>
      </c>
      <c r="M74" s="50">
        <v>5</v>
      </c>
      <c r="N74" s="50">
        <v>0</v>
      </c>
      <c r="O74" s="15">
        <f t="shared" si="35"/>
        <v>10</v>
      </c>
      <c r="P74" s="15">
        <f t="shared" si="36"/>
        <v>15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0</v>
      </c>
      <c r="E75" s="50">
        <v>1</v>
      </c>
      <c r="F75" s="50">
        <v>1</v>
      </c>
      <c r="G75" s="50">
        <v>1</v>
      </c>
      <c r="H75" s="50">
        <v>0</v>
      </c>
      <c r="I75" s="50">
        <v>3</v>
      </c>
      <c r="J75" s="50">
        <v>0</v>
      </c>
      <c r="K75" s="50">
        <v>0</v>
      </c>
      <c r="L75" s="50">
        <v>0</v>
      </c>
      <c r="M75" s="50">
        <v>4</v>
      </c>
      <c r="N75" s="50">
        <v>0</v>
      </c>
      <c r="O75" s="15">
        <f t="shared" si="35"/>
        <v>7</v>
      </c>
      <c r="P75" s="15">
        <f t="shared" si="36"/>
        <v>11</v>
      </c>
      <c r="R75" s="8"/>
      <c r="T75"/>
    </row>
    <row r="76" spans="2:20" ht="23.1" customHeight="1" x14ac:dyDescent="0.25">
      <c r="B76" s="45" t="s">
        <v>116</v>
      </c>
      <c r="C76" s="50">
        <v>2</v>
      </c>
      <c r="D76" s="50">
        <v>0</v>
      </c>
      <c r="E76" s="50">
        <v>0</v>
      </c>
      <c r="F76" s="50">
        <v>1</v>
      </c>
      <c r="G76" s="50">
        <v>2</v>
      </c>
      <c r="H76" s="50">
        <v>3</v>
      </c>
      <c r="I76" s="50">
        <v>2</v>
      </c>
      <c r="J76" s="50">
        <v>0</v>
      </c>
      <c r="K76" s="50">
        <v>0</v>
      </c>
      <c r="L76" s="50">
        <v>2</v>
      </c>
      <c r="M76" s="50">
        <v>3</v>
      </c>
      <c r="N76" s="50">
        <v>0</v>
      </c>
      <c r="O76" s="15">
        <f t="shared" si="35"/>
        <v>12</v>
      </c>
      <c r="P76" s="15">
        <f t="shared" si="36"/>
        <v>15</v>
      </c>
      <c r="R76" s="8"/>
      <c r="T76"/>
    </row>
    <row r="77" spans="2:20" ht="23.1" customHeight="1" x14ac:dyDescent="0.25">
      <c r="B77" s="45" t="s">
        <v>117</v>
      </c>
      <c r="C77" s="50">
        <v>2</v>
      </c>
      <c r="D77" s="50">
        <v>0</v>
      </c>
      <c r="E77" s="50">
        <v>1</v>
      </c>
      <c r="F77" s="50">
        <v>0</v>
      </c>
      <c r="G77" s="50">
        <v>0</v>
      </c>
      <c r="H77" s="50">
        <v>1</v>
      </c>
      <c r="I77" s="50">
        <v>2</v>
      </c>
      <c r="J77" s="50">
        <v>1</v>
      </c>
      <c r="K77" s="50">
        <v>0</v>
      </c>
      <c r="L77" s="50">
        <v>4</v>
      </c>
      <c r="M77" s="50">
        <v>4</v>
      </c>
      <c r="N77" s="50">
        <v>0</v>
      </c>
      <c r="O77" s="15">
        <f t="shared" si="35"/>
        <v>11</v>
      </c>
      <c r="P77" s="15">
        <f t="shared" si="36"/>
        <v>15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1</v>
      </c>
      <c r="G78" s="50">
        <v>1</v>
      </c>
      <c r="H78" s="50">
        <v>1</v>
      </c>
      <c r="I78" s="50">
        <v>0</v>
      </c>
      <c r="J78" s="50">
        <v>0</v>
      </c>
      <c r="K78" s="50">
        <v>0</v>
      </c>
      <c r="L78" s="50">
        <v>1</v>
      </c>
      <c r="M78" s="50">
        <v>3</v>
      </c>
      <c r="N78" s="50">
        <v>0</v>
      </c>
      <c r="O78" s="15">
        <f t="shared" si="35"/>
        <v>4</v>
      </c>
      <c r="P78" s="15">
        <f t="shared" si="36"/>
        <v>7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0</v>
      </c>
      <c r="E79" s="50">
        <v>2</v>
      </c>
      <c r="F79" s="50">
        <v>0</v>
      </c>
      <c r="G79" s="50">
        <v>1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4</v>
      </c>
      <c r="N79" s="50">
        <v>0</v>
      </c>
      <c r="O79" s="15">
        <f t="shared" si="35"/>
        <v>5</v>
      </c>
      <c r="P79" s="15">
        <f t="shared" si="36"/>
        <v>9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1</v>
      </c>
      <c r="E80" s="50">
        <v>0</v>
      </c>
      <c r="F80" s="50">
        <v>1</v>
      </c>
      <c r="G80" s="50">
        <v>2</v>
      </c>
      <c r="H80" s="50">
        <v>2</v>
      </c>
      <c r="I80" s="50">
        <v>2</v>
      </c>
      <c r="J80" s="50">
        <v>0</v>
      </c>
      <c r="K80" s="50">
        <v>0</v>
      </c>
      <c r="L80" s="50">
        <v>2</v>
      </c>
      <c r="M80" s="50">
        <v>2</v>
      </c>
      <c r="N80" s="50">
        <v>0</v>
      </c>
      <c r="O80" s="15">
        <f t="shared" si="35"/>
        <v>11</v>
      </c>
      <c r="P80" s="15">
        <f t="shared" si="36"/>
        <v>13</v>
      </c>
      <c r="R80" s="8"/>
      <c r="T80"/>
    </row>
    <row r="81" spans="2:20" ht="23.1" customHeight="1" x14ac:dyDescent="0.25">
      <c r="B81" s="45" t="s">
        <v>121</v>
      </c>
      <c r="C81" s="50">
        <v>2</v>
      </c>
      <c r="D81" s="50">
        <v>2</v>
      </c>
      <c r="E81" s="50">
        <v>1</v>
      </c>
      <c r="F81" s="50">
        <v>0</v>
      </c>
      <c r="G81" s="50">
        <v>0</v>
      </c>
      <c r="H81" s="50">
        <v>1</v>
      </c>
      <c r="I81" s="50">
        <v>2</v>
      </c>
      <c r="J81" s="50">
        <v>1</v>
      </c>
      <c r="K81" s="50">
        <v>0</v>
      </c>
      <c r="L81" s="50">
        <v>4</v>
      </c>
      <c r="M81" s="50">
        <v>4</v>
      </c>
      <c r="N81" s="50">
        <v>0</v>
      </c>
      <c r="O81" s="15">
        <f t="shared" si="35"/>
        <v>13</v>
      </c>
      <c r="P81" s="15">
        <f t="shared" si="36"/>
        <v>17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1</v>
      </c>
      <c r="G82" s="50">
        <v>1</v>
      </c>
      <c r="H82" s="50">
        <v>1</v>
      </c>
      <c r="I82" s="50">
        <v>0</v>
      </c>
      <c r="J82" s="50">
        <v>0</v>
      </c>
      <c r="K82" s="50">
        <v>0</v>
      </c>
      <c r="L82" s="50">
        <v>1</v>
      </c>
      <c r="M82" s="50">
        <v>2</v>
      </c>
      <c r="N82" s="50">
        <v>0</v>
      </c>
      <c r="O82" s="15">
        <f t="shared" si="35"/>
        <v>4</v>
      </c>
      <c r="P82" s="15">
        <f t="shared" si="36"/>
        <v>6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1</v>
      </c>
      <c r="E83" s="50">
        <v>2</v>
      </c>
      <c r="F83" s="50">
        <v>0</v>
      </c>
      <c r="G83" s="50">
        <v>1</v>
      </c>
      <c r="H83" s="50">
        <v>0</v>
      </c>
      <c r="I83" s="50">
        <v>1</v>
      </c>
      <c r="J83" s="50">
        <v>0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6</v>
      </c>
      <c r="P83" s="15">
        <f t="shared" si="36"/>
        <v>7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0</v>
      </c>
      <c r="F84" s="50">
        <v>1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1</v>
      </c>
      <c r="M84" s="50">
        <v>2</v>
      </c>
      <c r="N84" s="50">
        <v>0</v>
      </c>
      <c r="O84" s="15">
        <f t="shared" si="35"/>
        <v>4</v>
      </c>
      <c r="P84" s="15">
        <f t="shared" si="36"/>
        <v>6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0</v>
      </c>
      <c r="E85" s="50">
        <v>1</v>
      </c>
      <c r="F85" s="50">
        <v>0</v>
      </c>
      <c r="G85" s="50">
        <v>0</v>
      </c>
      <c r="H85" s="50">
        <v>1</v>
      </c>
      <c r="I85" s="50">
        <v>2</v>
      </c>
      <c r="J85" s="50">
        <v>1</v>
      </c>
      <c r="K85" s="50">
        <v>0</v>
      </c>
      <c r="L85" s="50">
        <v>1</v>
      </c>
      <c r="M85" s="50">
        <v>0</v>
      </c>
      <c r="N85" s="50">
        <v>0</v>
      </c>
      <c r="O85" s="15">
        <f t="shared" si="35"/>
        <v>8</v>
      </c>
      <c r="P85" s="15">
        <f t="shared" si="36"/>
        <v>8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1</v>
      </c>
      <c r="G86" s="50">
        <v>1</v>
      </c>
      <c r="H86" s="50">
        <v>1</v>
      </c>
      <c r="I86" s="50">
        <v>0</v>
      </c>
      <c r="J86" s="50">
        <v>0</v>
      </c>
      <c r="K86" s="50">
        <v>1</v>
      </c>
      <c r="L86" s="50">
        <v>1</v>
      </c>
      <c r="M86" s="50">
        <v>1</v>
      </c>
      <c r="N86" s="50">
        <v>0</v>
      </c>
      <c r="O86" s="15">
        <f t="shared" si="35"/>
        <v>5</v>
      </c>
      <c r="P86" s="15">
        <f t="shared" si="36"/>
        <v>6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1</v>
      </c>
      <c r="F87" s="50">
        <v>0</v>
      </c>
      <c r="G87" s="50">
        <v>1</v>
      </c>
      <c r="H87" s="50">
        <v>0</v>
      </c>
      <c r="I87" s="50">
        <v>1</v>
      </c>
      <c r="J87" s="50">
        <v>0</v>
      </c>
      <c r="K87" s="50">
        <v>0</v>
      </c>
      <c r="L87" s="50">
        <v>0</v>
      </c>
      <c r="M87" s="50">
        <v>1</v>
      </c>
      <c r="N87" s="50">
        <v>0</v>
      </c>
      <c r="O87" s="15">
        <f t="shared" si="35"/>
        <v>4</v>
      </c>
      <c r="P87" s="15">
        <f t="shared" si="36"/>
        <v>5</v>
      </c>
      <c r="R87" s="8"/>
      <c r="T87"/>
    </row>
    <row r="88" spans="2:20" ht="23.1" customHeight="1" x14ac:dyDescent="0.25">
      <c r="B88" s="47" t="s">
        <v>128</v>
      </c>
      <c r="C88" s="50">
        <v>1</v>
      </c>
      <c r="D88" s="50">
        <v>0</v>
      </c>
      <c r="E88" s="50">
        <v>0</v>
      </c>
      <c r="F88" s="50">
        <v>1</v>
      </c>
      <c r="G88" s="50">
        <v>0</v>
      </c>
      <c r="H88" s="50">
        <v>0</v>
      </c>
      <c r="I88" s="50">
        <v>1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3</v>
      </c>
      <c r="P88" s="15">
        <f t="shared" si="36"/>
        <v>3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1</v>
      </c>
      <c r="F89" s="50">
        <v>0</v>
      </c>
      <c r="G89" s="50">
        <v>0</v>
      </c>
      <c r="H89" s="50">
        <v>1</v>
      </c>
      <c r="I89" s="50">
        <v>2</v>
      </c>
      <c r="J89" s="50">
        <v>1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5</v>
      </c>
      <c r="P89" s="15">
        <f t="shared" si="36"/>
        <v>5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1</v>
      </c>
      <c r="E90" s="50">
        <v>0</v>
      </c>
      <c r="F90" s="50">
        <v>1</v>
      </c>
      <c r="G90" s="50">
        <v>1</v>
      </c>
      <c r="H90" s="50">
        <v>1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4</v>
      </c>
      <c r="P90" s="15">
        <f t="shared" si="36"/>
        <v>4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1</v>
      </c>
      <c r="F91" s="50">
        <v>0</v>
      </c>
      <c r="G91" s="50">
        <v>1</v>
      </c>
      <c r="H91" s="50">
        <v>0</v>
      </c>
      <c r="I91" s="50">
        <v>1</v>
      </c>
      <c r="J91" s="50">
        <v>0</v>
      </c>
      <c r="K91" s="50">
        <v>0</v>
      </c>
      <c r="L91" s="50">
        <v>0</v>
      </c>
      <c r="M91" s="50">
        <v>1</v>
      </c>
      <c r="N91" s="50">
        <v>0</v>
      </c>
      <c r="O91" s="15">
        <f t="shared" si="35"/>
        <v>3</v>
      </c>
      <c r="P91" s="15">
        <f t="shared" si="36"/>
        <v>4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1</v>
      </c>
      <c r="G92" s="50">
        <v>0</v>
      </c>
      <c r="H92" s="50">
        <v>0</v>
      </c>
      <c r="I92" s="50">
        <v>1</v>
      </c>
      <c r="J92" s="50">
        <v>0</v>
      </c>
      <c r="K92" s="50">
        <v>0</v>
      </c>
      <c r="L92" s="50">
        <v>0</v>
      </c>
      <c r="M92" s="50">
        <v>2</v>
      </c>
      <c r="N92" s="50">
        <v>0</v>
      </c>
      <c r="O92" s="15">
        <f t="shared" si="35"/>
        <v>3</v>
      </c>
      <c r="P92" s="15">
        <f t="shared" si="36"/>
        <v>5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1</v>
      </c>
      <c r="I93" s="50">
        <v>2</v>
      </c>
      <c r="J93" s="50">
        <v>1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4</v>
      </c>
      <c r="P93" s="15">
        <f t="shared" si="36"/>
        <v>4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1</v>
      </c>
      <c r="G94" s="50">
        <v>0</v>
      </c>
      <c r="H94" s="50">
        <v>1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2</v>
      </c>
      <c r="P94" s="15">
        <f t="shared" si="36"/>
        <v>2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1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1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1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3</v>
      </c>
      <c r="P96" s="15">
        <f t="shared" si="36"/>
        <v>3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1</v>
      </c>
      <c r="G97" s="50">
        <v>1</v>
      </c>
      <c r="H97" s="50">
        <v>1</v>
      </c>
      <c r="I97" s="50">
        <v>0</v>
      </c>
      <c r="J97" s="50">
        <v>0</v>
      </c>
      <c r="K97" s="50">
        <v>0</v>
      </c>
      <c r="L97" s="50">
        <v>1</v>
      </c>
      <c r="M97" s="50">
        <v>2</v>
      </c>
      <c r="N97" s="50">
        <v>0</v>
      </c>
      <c r="O97" s="15">
        <f t="shared" si="35"/>
        <v>4</v>
      </c>
      <c r="P97" s="15">
        <f t="shared" si="36"/>
        <v>6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0</v>
      </c>
      <c r="E98" s="50">
        <v>2</v>
      </c>
      <c r="F98" s="50">
        <v>0</v>
      </c>
      <c r="G98" s="50">
        <v>1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1</v>
      </c>
      <c r="N98" s="50">
        <v>0</v>
      </c>
      <c r="O98" s="15">
        <f t="shared" si="35"/>
        <v>5</v>
      </c>
      <c r="P98" s="15">
        <f t="shared" si="36"/>
        <v>6</v>
      </c>
      <c r="R98" s="8"/>
      <c r="T98"/>
    </row>
    <row r="99" spans="2:20" ht="23.1" customHeight="1" x14ac:dyDescent="0.25">
      <c r="B99" s="45" t="s">
        <v>139</v>
      </c>
      <c r="C99" s="50">
        <v>2</v>
      </c>
      <c r="D99" s="50">
        <v>0</v>
      </c>
      <c r="E99" s="50">
        <v>0</v>
      </c>
      <c r="F99" s="50">
        <v>1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1</v>
      </c>
      <c r="M99" s="50">
        <v>1</v>
      </c>
      <c r="N99" s="50">
        <v>0</v>
      </c>
      <c r="O99" s="15">
        <f t="shared" si="35"/>
        <v>4</v>
      </c>
      <c r="P99" s="15">
        <f t="shared" si="36"/>
        <v>5</v>
      </c>
      <c r="R99" s="8"/>
      <c r="T99"/>
    </row>
    <row r="100" spans="2:20" ht="23.1" customHeight="1" x14ac:dyDescent="0.25">
      <c r="B100" s="47" t="s">
        <v>140</v>
      </c>
      <c r="C100" s="50">
        <v>2</v>
      </c>
      <c r="D100" s="50">
        <v>1</v>
      </c>
      <c r="E100" s="50">
        <v>1</v>
      </c>
      <c r="F100" s="50">
        <v>0</v>
      </c>
      <c r="G100" s="50">
        <v>0</v>
      </c>
      <c r="H100" s="50">
        <v>1</v>
      </c>
      <c r="I100" s="50">
        <v>2</v>
      </c>
      <c r="J100" s="50">
        <v>1</v>
      </c>
      <c r="K100" s="50">
        <v>0</v>
      </c>
      <c r="L100" s="50">
        <v>1</v>
      </c>
      <c r="M100" s="50">
        <v>0</v>
      </c>
      <c r="N100" s="50">
        <v>0</v>
      </c>
      <c r="O100" s="15">
        <f t="shared" si="35"/>
        <v>9</v>
      </c>
      <c r="P100" s="15">
        <f t="shared" si="36"/>
        <v>9</v>
      </c>
      <c r="R100" s="8"/>
      <c r="T100"/>
    </row>
    <row r="101" spans="2:20" ht="23.1" customHeight="1" x14ac:dyDescent="0.25">
      <c r="B101" s="45" t="s">
        <v>141</v>
      </c>
      <c r="C101" s="50">
        <v>3</v>
      </c>
      <c r="D101" s="50">
        <v>0</v>
      </c>
      <c r="E101" s="50">
        <v>0</v>
      </c>
      <c r="F101" s="50">
        <v>1</v>
      </c>
      <c r="G101" s="50">
        <v>1</v>
      </c>
      <c r="H101" s="50">
        <v>1</v>
      </c>
      <c r="I101" s="50">
        <v>0</v>
      </c>
      <c r="J101" s="50">
        <v>0</v>
      </c>
      <c r="K101" s="50">
        <v>0</v>
      </c>
      <c r="L101" s="50">
        <v>1</v>
      </c>
      <c r="M101" s="50">
        <v>2</v>
      </c>
      <c r="N101" s="50">
        <v>0</v>
      </c>
      <c r="O101" s="15">
        <f t="shared" si="35"/>
        <v>7</v>
      </c>
      <c r="P101" s="15">
        <f t="shared" si="36"/>
        <v>9</v>
      </c>
      <c r="R101" s="8"/>
      <c r="T101"/>
    </row>
    <row r="102" spans="2:20" ht="23.1" customHeight="1" x14ac:dyDescent="0.25">
      <c r="B102" s="46" t="s">
        <v>142</v>
      </c>
      <c r="C102" s="50">
        <v>4</v>
      </c>
      <c r="D102" s="50">
        <v>0</v>
      </c>
      <c r="E102" s="50">
        <v>2</v>
      </c>
      <c r="F102" s="50">
        <v>0</v>
      </c>
      <c r="G102" s="50">
        <v>1</v>
      </c>
      <c r="H102" s="50">
        <v>0</v>
      </c>
      <c r="I102" s="50">
        <v>1</v>
      </c>
      <c r="J102" s="50">
        <v>0</v>
      </c>
      <c r="K102" s="50">
        <v>0</v>
      </c>
      <c r="L102" s="50">
        <v>0</v>
      </c>
      <c r="M102" s="50">
        <v>3</v>
      </c>
      <c r="N102" s="50">
        <v>0</v>
      </c>
      <c r="O102" s="15">
        <f t="shared" si="35"/>
        <v>8</v>
      </c>
      <c r="P102" s="15">
        <f t="shared" si="36"/>
        <v>11</v>
      </c>
      <c r="R102" s="8"/>
      <c r="T102"/>
    </row>
    <row r="103" spans="2:20" ht="23.1" customHeight="1" x14ac:dyDescent="0.25">
      <c r="B103" s="45" t="s">
        <v>143</v>
      </c>
      <c r="C103" s="50">
        <v>2</v>
      </c>
      <c r="D103" s="50">
        <v>2</v>
      </c>
      <c r="E103" s="50">
        <v>0</v>
      </c>
      <c r="F103" s="50">
        <v>1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1</v>
      </c>
      <c r="M103" s="50">
        <v>8</v>
      </c>
      <c r="N103" s="50">
        <v>0</v>
      </c>
      <c r="O103" s="15">
        <f t="shared" si="35"/>
        <v>6</v>
      </c>
      <c r="P103" s="15">
        <f t="shared" si="36"/>
        <v>14</v>
      </c>
      <c r="R103" s="8"/>
      <c r="T103"/>
    </row>
    <row r="104" spans="2:20" ht="23.1" customHeight="1" x14ac:dyDescent="0.25">
      <c r="B104" s="47" t="s">
        <v>144</v>
      </c>
      <c r="C104" s="50">
        <v>5</v>
      </c>
      <c r="D104" s="50">
        <v>3</v>
      </c>
      <c r="E104" s="50">
        <v>5</v>
      </c>
      <c r="F104" s="50">
        <v>7</v>
      </c>
      <c r="G104" s="50">
        <v>2</v>
      </c>
      <c r="H104" s="50">
        <v>1</v>
      </c>
      <c r="I104" s="50">
        <v>5</v>
      </c>
      <c r="J104" s="50">
        <v>1</v>
      </c>
      <c r="K104" s="50">
        <v>1</v>
      </c>
      <c r="L104" s="50">
        <v>1</v>
      </c>
      <c r="M104" s="50">
        <v>6</v>
      </c>
      <c r="N104" s="50">
        <v>0</v>
      </c>
      <c r="O104" s="15">
        <f t="shared" si="35"/>
        <v>31</v>
      </c>
      <c r="P104" s="15">
        <f t="shared" si="36"/>
        <v>37</v>
      </c>
      <c r="R104" s="8"/>
      <c r="T104"/>
    </row>
    <row r="105" spans="2:20" ht="23.1" customHeight="1" x14ac:dyDescent="0.25">
      <c r="B105" s="45" t="s">
        <v>145</v>
      </c>
      <c r="C105" s="50">
        <v>10</v>
      </c>
      <c r="D105" s="50">
        <v>2</v>
      </c>
      <c r="E105" s="50">
        <v>8</v>
      </c>
      <c r="F105" s="50">
        <v>9</v>
      </c>
      <c r="G105" s="50">
        <v>1</v>
      </c>
      <c r="H105" s="50">
        <v>0</v>
      </c>
      <c r="I105" s="50">
        <v>7</v>
      </c>
      <c r="J105" s="50">
        <v>1</v>
      </c>
      <c r="K105" s="50">
        <v>1</v>
      </c>
      <c r="L105" s="50">
        <v>0</v>
      </c>
      <c r="M105" s="50">
        <v>12</v>
      </c>
      <c r="N105" s="50">
        <v>0</v>
      </c>
      <c r="O105" s="15">
        <f t="shared" si="35"/>
        <v>39</v>
      </c>
      <c r="P105" s="15">
        <f t="shared" si="36"/>
        <v>51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571</v>
      </c>
      <c r="D106" s="16">
        <f t="shared" ref="D106:P106" si="37">SUM(D10:D105)</f>
        <v>271</v>
      </c>
      <c r="E106" s="16">
        <f t="shared" si="37"/>
        <v>605</v>
      </c>
      <c r="F106" s="16">
        <f t="shared" si="37"/>
        <v>762</v>
      </c>
      <c r="G106" s="16">
        <f t="shared" si="37"/>
        <v>47</v>
      </c>
      <c r="H106" s="16">
        <f t="shared" si="37"/>
        <v>91</v>
      </c>
      <c r="I106" s="16">
        <f t="shared" si="37"/>
        <v>476</v>
      </c>
      <c r="J106" s="16">
        <f t="shared" si="37"/>
        <v>38</v>
      </c>
      <c r="K106" s="16">
        <f t="shared" si="37"/>
        <v>15</v>
      </c>
      <c r="L106" s="16">
        <f t="shared" si="37"/>
        <v>142</v>
      </c>
      <c r="M106" s="16">
        <f t="shared" si="37"/>
        <v>3657</v>
      </c>
      <c r="N106" s="16">
        <f t="shared" si="37"/>
        <v>2</v>
      </c>
      <c r="O106" s="16">
        <f t="shared" si="37"/>
        <v>3020</v>
      </c>
      <c r="P106" s="16">
        <f t="shared" si="37"/>
        <v>6677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8.5517447955668707E-2</v>
      </c>
      <c r="D107" s="43">
        <f t="shared" si="38"/>
        <v>4.0587090010483752E-2</v>
      </c>
      <c r="E107" s="43">
        <f t="shared" si="38"/>
        <v>9.0609555189456348E-2</v>
      </c>
      <c r="F107" s="43">
        <f t="shared" si="38"/>
        <v>0.1141231091807698</v>
      </c>
      <c r="G107" s="43">
        <f t="shared" si="38"/>
        <v>7.0390894114123106E-3</v>
      </c>
      <c r="H107" s="43">
        <f t="shared" si="38"/>
        <v>1.3628875243372772E-2</v>
      </c>
      <c r="I107" s="43">
        <f t="shared" si="38"/>
        <v>7.1289501273026815E-2</v>
      </c>
      <c r="J107" s="43">
        <f t="shared" si="38"/>
        <v>5.6911786730567621E-3</v>
      </c>
      <c r="K107" s="43">
        <f t="shared" si="38"/>
        <v>2.2465178972592482E-3</v>
      </c>
      <c r="L107" s="43">
        <f t="shared" si="38"/>
        <v>2.1267036094054215E-2</v>
      </c>
      <c r="M107" s="43">
        <f t="shared" si="38"/>
        <v>0.54770106335180468</v>
      </c>
      <c r="N107" s="43">
        <f t="shared" si="38"/>
        <v>2.9953571963456643E-4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0.18907284768211921</v>
      </c>
      <c r="D108" s="44">
        <f t="shared" ref="D108:N108" si="39">D106/$O$106</f>
        <v>8.9735099337748342E-2</v>
      </c>
      <c r="E108" s="44">
        <f t="shared" si="39"/>
        <v>0.20033112582781457</v>
      </c>
      <c r="F108" s="44">
        <f t="shared" si="39"/>
        <v>0.25231788079470197</v>
      </c>
      <c r="G108" s="44">
        <f t="shared" si="39"/>
        <v>1.5562913907284768E-2</v>
      </c>
      <c r="H108" s="44">
        <f t="shared" si="39"/>
        <v>3.0132450331125826E-2</v>
      </c>
      <c r="I108" s="44">
        <f t="shared" si="39"/>
        <v>0.15761589403973511</v>
      </c>
      <c r="J108" s="44">
        <f t="shared" si="39"/>
        <v>1.2582781456953643E-2</v>
      </c>
      <c r="K108" s="44">
        <f t="shared" si="39"/>
        <v>4.9668874172185433E-3</v>
      </c>
      <c r="L108" s="44">
        <f t="shared" si="39"/>
        <v>4.7019867549668873E-2</v>
      </c>
      <c r="M108" s="44"/>
      <c r="N108" s="44">
        <f t="shared" si="39"/>
        <v>6.6225165562913907E-4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B1:AF174"/>
  <sheetViews>
    <sheetView view="pageBreakPreview" topLeftCell="A97" zoomScale="60" workbookViewId="0">
      <selection activeCell="H105" sqref="H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'20.8 Kampala-Luweero'!C3:G3</f>
        <v>MCC - C3 - STN87 - Kampala-Gulu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176</v>
      </c>
      <c r="E5" s="3"/>
      <c r="F5" s="41" t="s">
        <v>1</v>
      </c>
      <c r="G5" s="66">
        <f>'24.8 Luweero-Kampala'!G5:H5</f>
        <v>0</v>
      </c>
      <c r="H5" s="67"/>
      <c r="I5" s="14"/>
      <c r="J5" s="2" t="s">
        <v>5</v>
      </c>
      <c r="K5" s="66" t="str">
        <f>'24.8 Luweero-Kampala'!K5:L5</f>
        <v>Godfrey, Ibrahim N, Oliver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'20.8 Kampala-Luweero'!D6:E6</f>
        <v>Kampala</v>
      </c>
      <c r="E6" s="67"/>
      <c r="F6" s="2" t="s">
        <v>2</v>
      </c>
      <c r="G6" s="66" t="str">
        <f>'20.8 Kampala-Luweero'!G6:H6</f>
        <v>Luwero</v>
      </c>
      <c r="H6" s="67"/>
      <c r="J6" s="2" t="s">
        <v>21</v>
      </c>
      <c r="K6" s="66" t="str">
        <f>'24.8 Luweero-Kampala'!K6:L6</f>
        <v>Martin, Tracy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8</v>
      </c>
      <c r="D10" s="50">
        <v>0</v>
      </c>
      <c r="E10" s="50">
        <v>5</v>
      </c>
      <c r="F10" s="50">
        <v>6</v>
      </c>
      <c r="G10" s="50">
        <v>0</v>
      </c>
      <c r="H10" s="50">
        <v>0</v>
      </c>
      <c r="I10" s="50">
        <v>8</v>
      </c>
      <c r="J10" s="50">
        <v>0</v>
      </c>
      <c r="K10" s="50">
        <v>0</v>
      </c>
      <c r="L10" s="50">
        <v>1</v>
      </c>
      <c r="M10" s="50">
        <v>36</v>
      </c>
      <c r="N10" s="50">
        <v>0</v>
      </c>
      <c r="O10" s="15">
        <f t="shared" ref="O10:O73" si="0">SUM(C10:L10,N10)</f>
        <v>28</v>
      </c>
      <c r="P10" s="15">
        <f t="shared" ref="P10:P73" si="1">SUM(C10:N10)</f>
        <v>64</v>
      </c>
      <c r="R10" s="1" t="s">
        <v>6</v>
      </c>
      <c r="S10" s="17">
        <f t="shared" ref="S10:AF10" si="2">SUM(C10:C13)</f>
        <v>18</v>
      </c>
      <c r="T10" s="17">
        <f t="shared" si="2"/>
        <v>0</v>
      </c>
      <c r="U10" s="17">
        <f t="shared" si="2"/>
        <v>31</v>
      </c>
      <c r="V10" s="17">
        <f t="shared" si="2"/>
        <v>28</v>
      </c>
      <c r="W10" s="17">
        <f t="shared" si="2"/>
        <v>0</v>
      </c>
      <c r="X10" s="17">
        <f t="shared" si="2"/>
        <v>3</v>
      </c>
      <c r="Y10" s="17">
        <f t="shared" si="2"/>
        <v>21</v>
      </c>
      <c r="Z10" s="17">
        <f t="shared" si="2"/>
        <v>0</v>
      </c>
      <c r="AA10" s="17">
        <f t="shared" si="2"/>
        <v>1</v>
      </c>
      <c r="AB10" s="17">
        <f t="shared" si="2"/>
        <v>2</v>
      </c>
      <c r="AC10" s="17">
        <f t="shared" si="2"/>
        <v>203</v>
      </c>
      <c r="AD10" s="17">
        <f t="shared" si="2"/>
        <v>0</v>
      </c>
      <c r="AE10" s="31">
        <f t="shared" si="2"/>
        <v>104</v>
      </c>
      <c r="AF10" s="31">
        <f t="shared" si="2"/>
        <v>307</v>
      </c>
    </row>
    <row r="11" spans="2:32" s="6" customFormat="1" ht="23.1" customHeight="1" x14ac:dyDescent="0.25">
      <c r="B11" s="45" t="s">
        <v>38</v>
      </c>
      <c r="C11" s="50">
        <v>2</v>
      </c>
      <c r="D11" s="50">
        <v>0</v>
      </c>
      <c r="E11" s="50">
        <v>12</v>
      </c>
      <c r="F11" s="50">
        <v>4</v>
      </c>
      <c r="G11" s="50">
        <v>0</v>
      </c>
      <c r="H11" s="50">
        <v>0</v>
      </c>
      <c r="I11" s="50">
        <v>6</v>
      </c>
      <c r="J11" s="50">
        <v>0</v>
      </c>
      <c r="K11" s="50">
        <v>0</v>
      </c>
      <c r="L11" s="50">
        <v>1</v>
      </c>
      <c r="M11" s="50">
        <v>61</v>
      </c>
      <c r="N11" s="50">
        <v>0</v>
      </c>
      <c r="O11" s="15">
        <f t="shared" si="0"/>
        <v>25</v>
      </c>
      <c r="P11" s="15">
        <f t="shared" si="1"/>
        <v>86</v>
      </c>
      <c r="R11" s="1" t="s">
        <v>7</v>
      </c>
      <c r="S11" s="17">
        <f t="shared" ref="S11:AF11" si="3">SUM(C14:C17)</f>
        <v>23</v>
      </c>
      <c r="T11" s="17">
        <f t="shared" si="3"/>
        <v>0</v>
      </c>
      <c r="U11" s="17">
        <f t="shared" si="3"/>
        <v>52</v>
      </c>
      <c r="V11" s="17">
        <f t="shared" si="3"/>
        <v>29</v>
      </c>
      <c r="W11" s="17">
        <f t="shared" si="3"/>
        <v>0</v>
      </c>
      <c r="X11" s="17">
        <f t="shared" si="3"/>
        <v>2</v>
      </c>
      <c r="Y11" s="17">
        <f t="shared" si="3"/>
        <v>30</v>
      </c>
      <c r="Z11" s="17">
        <f t="shared" si="3"/>
        <v>2</v>
      </c>
      <c r="AA11" s="17">
        <f t="shared" si="3"/>
        <v>1</v>
      </c>
      <c r="AB11" s="17">
        <f t="shared" si="3"/>
        <v>8</v>
      </c>
      <c r="AC11" s="17">
        <f t="shared" si="3"/>
        <v>258</v>
      </c>
      <c r="AD11" s="17">
        <f t="shared" si="3"/>
        <v>0</v>
      </c>
      <c r="AE11" s="31">
        <f t="shared" si="3"/>
        <v>147</v>
      </c>
      <c r="AF11" s="31">
        <f t="shared" si="3"/>
        <v>405</v>
      </c>
    </row>
    <row r="12" spans="2:32" ht="23.1" customHeight="1" x14ac:dyDescent="0.25">
      <c r="B12" s="45" t="s">
        <v>39</v>
      </c>
      <c r="C12" s="50">
        <v>2</v>
      </c>
      <c r="D12" s="50">
        <v>0</v>
      </c>
      <c r="E12" s="50">
        <v>6</v>
      </c>
      <c r="F12" s="50">
        <v>8</v>
      </c>
      <c r="G12" s="50">
        <v>0</v>
      </c>
      <c r="H12" s="50">
        <v>1</v>
      </c>
      <c r="I12" s="50">
        <v>4</v>
      </c>
      <c r="J12" s="50">
        <v>0</v>
      </c>
      <c r="K12" s="50">
        <v>0</v>
      </c>
      <c r="L12" s="50">
        <v>0</v>
      </c>
      <c r="M12" s="50">
        <v>52</v>
      </c>
      <c r="N12" s="50">
        <v>0</v>
      </c>
      <c r="O12" s="15">
        <f t="shared" si="0"/>
        <v>21</v>
      </c>
      <c r="P12" s="15">
        <f t="shared" si="1"/>
        <v>73</v>
      </c>
      <c r="R12" s="1" t="s">
        <v>8</v>
      </c>
      <c r="S12" s="17">
        <f t="shared" ref="S12:AF12" si="4">SUM(C18:C21)</f>
        <v>29</v>
      </c>
      <c r="T12" s="17">
        <f t="shared" si="4"/>
        <v>0</v>
      </c>
      <c r="U12" s="17">
        <f t="shared" si="4"/>
        <v>84</v>
      </c>
      <c r="V12" s="17">
        <f t="shared" si="4"/>
        <v>53</v>
      </c>
      <c r="W12" s="17">
        <f t="shared" si="4"/>
        <v>1</v>
      </c>
      <c r="X12" s="17">
        <f t="shared" si="4"/>
        <v>7</v>
      </c>
      <c r="Y12" s="17">
        <f t="shared" si="4"/>
        <v>20</v>
      </c>
      <c r="Z12" s="17">
        <f t="shared" si="4"/>
        <v>3</v>
      </c>
      <c r="AA12" s="17">
        <f t="shared" si="4"/>
        <v>0</v>
      </c>
      <c r="AB12" s="17">
        <f t="shared" si="4"/>
        <v>2</v>
      </c>
      <c r="AC12" s="17">
        <f t="shared" si="4"/>
        <v>311</v>
      </c>
      <c r="AD12" s="17">
        <f t="shared" si="4"/>
        <v>0</v>
      </c>
      <c r="AE12" s="31">
        <f t="shared" si="4"/>
        <v>199</v>
      </c>
      <c r="AF12" s="31">
        <f t="shared" si="4"/>
        <v>510</v>
      </c>
    </row>
    <row r="13" spans="2:32" ht="23.1" customHeight="1" x14ac:dyDescent="0.25">
      <c r="B13" s="45" t="s">
        <v>40</v>
      </c>
      <c r="C13" s="50">
        <v>6</v>
      </c>
      <c r="D13" s="50">
        <v>0</v>
      </c>
      <c r="E13" s="50">
        <v>8</v>
      </c>
      <c r="F13" s="50">
        <v>10</v>
      </c>
      <c r="G13" s="50">
        <v>0</v>
      </c>
      <c r="H13" s="50">
        <v>2</v>
      </c>
      <c r="I13" s="50">
        <v>3</v>
      </c>
      <c r="J13" s="50">
        <v>0</v>
      </c>
      <c r="K13" s="50">
        <v>1</v>
      </c>
      <c r="L13" s="50">
        <v>0</v>
      </c>
      <c r="M13" s="50">
        <v>54</v>
      </c>
      <c r="N13" s="50">
        <v>0</v>
      </c>
      <c r="O13" s="15">
        <f t="shared" si="0"/>
        <v>30</v>
      </c>
      <c r="P13" s="15">
        <f t="shared" si="1"/>
        <v>84</v>
      </c>
      <c r="R13" s="1" t="s">
        <v>9</v>
      </c>
      <c r="S13" s="17">
        <f t="shared" ref="S13:AF13" si="5">SUM(C22:C25)</f>
        <v>46</v>
      </c>
      <c r="T13" s="17">
        <f t="shared" si="5"/>
        <v>0</v>
      </c>
      <c r="U13" s="17">
        <f t="shared" si="5"/>
        <v>60</v>
      </c>
      <c r="V13" s="17">
        <f t="shared" si="5"/>
        <v>57</v>
      </c>
      <c r="W13" s="17">
        <f t="shared" si="5"/>
        <v>1</v>
      </c>
      <c r="X13" s="17">
        <f t="shared" si="5"/>
        <v>4</v>
      </c>
      <c r="Y13" s="17">
        <f t="shared" si="5"/>
        <v>19</v>
      </c>
      <c r="Z13" s="17">
        <f t="shared" si="5"/>
        <v>0</v>
      </c>
      <c r="AA13" s="17">
        <f t="shared" si="5"/>
        <v>0</v>
      </c>
      <c r="AB13" s="17">
        <f t="shared" si="5"/>
        <v>4</v>
      </c>
      <c r="AC13" s="17">
        <f t="shared" si="5"/>
        <v>302</v>
      </c>
      <c r="AD13" s="17">
        <f t="shared" si="5"/>
        <v>0</v>
      </c>
      <c r="AE13" s="31">
        <f t="shared" si="5"/>
        <v>191</v>
      </c>
      <c r="AF13" s="31">
        <f t="shared" si="5"/>
        <v>493</v>
      </c>
    </row>
    <row r="14" spans="2:32" ht="23.1" customHeight="1" x14ac:dyDescent="0.25">
      <c r="B14" s="45" t="s">
        <v>41</v>
      </c>
      <c r="C14" s="50">
        <v>6</v>
      </c>
      <c r="D14" s="50">
        <v>0</v>
      </c>
      <c r="E14" s="50">
        <v>11</v>
      </c>
      <c r="F14" s="50">
        <v>5</v>
      </c>
      <c r="G14" s="50">
        <v>0</v>
      </c>
      <c r="H14" s="50">
        <v>0</v>
      </c>
      <c r="I14" s="50">
        <v>10</v>
      </c>
      <c r="J14" s="50">
        <v>0</v>
      </c>
      <c r="K14" s="50">
        <v>0</v>
      </c>
      <c r="L14" s="50">
        <v>2</v>
      </c>
      <c r="M14" s="50">
        <v>49</v>
      </c>
      <c r="N14" s="50">
        <v>0</v>
      </c>
      <c r="O14" s="15">
        <f t="shared" si="0"/>
        <v>34</v>
      </c>
      <c r="P14" s="15">
        <f t="shared" si="1"/>
        <v>83</v>
      </c>
      <c r="R14" s="1" t="s">
        <v>10</v>
      </c>
      <c r="S14" s="17">
        <f t="shared" ref="S14:AF14" si="6">SUM(C26:C29)</f>
        <v>41</v>
      </c>
      <c r="T14" s="17">
        <f t="shared" si="6"/>
        <v>0</v>
      </c>
      <c r="U14" s="17">
        <f t="shared" si="6"/>
        <v>84</v>
      </c>
      <c r="V14" s="17">
        <f t="shared" si="6"/>
        <v>59</v>
      </c>
      <c r="W14" s="17">
        <f t="shared" si="6"/>
        <v>2</v>
      </c>
      <c r="X14" s="17">
        <f t="shared" si="6"/>
        <v>3</v>
      </c>
      <c r="Y14" s="17">
        <f t="shared" si="6"/>
        <v>22</v>
      </c>
      <c r="Z14" s="17">
        <f t="shared" si="6"/>
        <v>0</v>
      </c>
      <c r="AA14" s="17">
        <f t="shared" si="6"/>
        <v>0</v>
      </c>
      <c r="AB14" s="17">
        <f t="shared" si="6"/>
        <v>7</v>
      </c>
      <c r="AC14" s="17">
        <f t="shared" si="6"/>
        <v>291</v>
      </c>
      <c r="AD14" s="17">
        <f t="shared" si="6"/>
        <v>0</v>
      </c>
      <c r="AE14" s="31">
        <f t="shared" si="6"/>
        <v>218</v>
      </c>
      <c r="AF14" s="31">
        <f t="shared" si="6"/>
        <v>509</v>
      </c>
    </row>
    <row r="15" spans="2:32" ht="23.1" customHeight="1" x14ac:dyDescent="0.25">
      <c r="B15" s="45" t="s">
        <v>42</v>
      </c>
      <c r="C15" s="50">
        <v>4</v>
      </c>
      <c r="D15" s="50">
        <v>0</v>
      </c>
      <c r="E15" s="50">
        <v>11</v>
      </c>
      <c r="F15" s="50">
        <v>7</v>
      </c>
      <c r="G15" s="50">
        <v>0</v>
      </c>
      <c r="H15" s="50">
        <v>1</v>
      </c>
      <c r="I15" s="50">
        <v>5</v>
      </c>
      <c r="J15" s="50">
        <v>0</v>
      </c>
      <c r="K15" s="50">
        <v>0</v>
      </c>
      <c r="L15" s="50">
        <v>1</v>
      </c>
      <c r="M15" s="50">
        <v>72</v>
      </c>
      <c r="N15" s="50">
        <v>0</v>
      </c>
      <c r="O15" s="15">
        <f t="shared" si="0"/>
        <v>29</v>
      </c>
      <c r="P15" s="15">
        <f t="shared" si="1"/>
        <v>101</v>
      </c>
      <c r="R15" s="1" t="s">
        <v>11</v>
      </c>
      <c r="S15" s="17">
        <f t="shared" ref="S15:AF15" si="7">SUM(C30:C33)</f>
        <v>45</v>
      </c>
      <c r="T15" s="17">
        <f t="shared" si="7"/>
        <v>0</v>
      </c>
      <c r="U15" s="17">
        <f t="shared" si="7"/>
        <v>88</v>
      </c>
      <c r="V15" s="17">
        <f t="shared" si="7"/>
        <v>60</v>
      </c>
      <c r="W15" s="17">
        <f t="shared" si="7"/>
        <v>0</v>
      </c>
      <c r="X15" s="17">
        <f t="shared" si="7"/>
        <v>7</v>
      </c>
      <c r="Y15" s="17">
        <f t="shared" si="7"/>
        <v>34</v>
      </c>
      <c r="Z15" s="17">
        <f t="shared" si="7"/>
        <v>2</v>
      </c>
      <c r="AA15" s="17">
        <f t="shared" si="7"/>
        <v>0</v>
      </c>
      <c r="AB15" s="17">
        <f t="shared" si="7"/>
        <v>18</v>
      </c>
      <c r="AC15" s="17">
        <f t="shared" si="7"/>
        <v>226</v>
      </c>
      <c r="AD15" s="17">
        <f t="shared" si="7"/>
        <v>0</v>
      </c>
      <c r="AE15" s="31">
        <f t="shared" si="7"/>
        <v>254</v>
      </c>
      <c r="AF15" s="31">
        <f t="shared" si="7"/>
        <v>480</v>
      </c>
    </row>
    <row r="16" spans="2:32" ht="23.1" customHeight="1" x14ac:dyDescent="0.25">
      <c r="B16" s="45" t="s">
        <v>43</v>
      </c>
      <c r="C16" s="50">
        <v>7</v>
      </c>
      <c r="D16" s="50">
        <v>0</v>
      </c>
      <c r="E16" s="50">
        <v>11</v>
      </c>
      <c r="F16" s="50">
        <v>5</v>
      </c>
      <c r="G16" s="50">
        <v>0</v>
      </c>
      <c r="H16" s="50">
        <v>1</v>
      </c>
      <c r="I16" s="50">
        <v>6</v>
      </c>
      <c r="J16" s="50">
        <v>1</v>
      </c>
      <c r="K16" s="50">
        <v>0</v>
      </c>
      <c r="L16" s="50">
        <v>2</v>
      </c>
      <c r="M16" s="50">
        <v>72</v>
      </c>
      <c r="N16" s="50">
        <v>0</v>
      </c>
      <c r="O16" s="15">
        <f t="shared" si="0"/>
        <v>33</v>
      </c>
      <c r="P16" s="15">
        <f t="shared" si="1"/>
        <v>105</v>
      </c>
      <c r="R16" s="1" t="s">
        <v>12</v>
      </c>
      <c r="S16" s="17">
        <f t="shared" ref="S16:AF16" si="8">SUM(C34:C37)</f>
        <v>55</v>
      </c>
      <c r="T16" s="17">
        <f t="shared" si="8"/>
        <v>0</v>
      </c>
      <c r="U16" s="17">
        <f t="shared" si="8"/>
        <v>89</v>
      </c>
      <c r="V16" s="17">
        <f t="shared" si="8"/>
        <v>71</v>
      </c>
      <c r="W16" s="17">
        <f t="shared" si="8"/>
        <v>4</v>
      </c>
      <c r="X16" s="17">
        <f t="shared" si="8"/>
        <v>6</v>
      </c>
      <c r="Y16" s="17">
        <f t="shared" si="8"/>
        <v>37</v>
      </c>
      <c r="Z16" s="17">
        <f t="shared" si="8"/>
        <v>0</v>
      </c>
      <c r="AA16" s="17">
        <f t="shared" si="8"/>
        <v>0</v>
      </c>
      <c r="AB16" s="17">
        <f t="shared" si="8"/>
        <v>5</v>
      </c>
      <c r="AC16" s="17">
        <f t="shared" si="8"/>
        <v>260</v>
      </c>
      <c r="AD16" s="17">
        <f t="shared" si="8"/>
        <v>0</v>
      </c>
      <c r="AE16" s="31">
        <f t="shared" si="8"/>
        <v>267</v>
      </c>
      <c r="AF16" s="31">
        <f t="shared" si="8"/>
        <v>527</v>
      </c>
    </row>
    <row r="17" spans="2:32" ht="23.1" customHeight="1" x14ac:dyDescent="0.25">
      <c r="B17" s="45" t="s">
        <v>44</v>
      </c>
      <c r="C17" s="50">
        <v>6</v>
      </c>
      <c r="D17" s="50">
        <v>0</v>
      </c>
      <c r="E17" s="50">
        <v>19</v>
      </c>
      <c r="F17" s="50">
        <v>12</v>
      </c>
      <c r="G17" s="50">
        <v>0</v>
      </c>
      <c r="H17" s="50">
        <v>0</v>
      </c>
      <c r="I17" s="50">
        <v>9</v>
      </c>
      <c r="J17" s="50">
        <v>1</v>
      </c>
      <c r="K17" s="50">
        <v>1</v>
      </c>
      <c r="L17" s="50">
        <v>3</v>
      </c>
      <c r="M17" s="50">
        <v>65</v>
      </c>
      <c r="N17" s="50">
        <v>0</v>
      </c>
      <c r="O17" s="15">
        <f t="shared" si="0"/>
        <v>51</v>
      </c>
      <c r="P17" s="15">
        <f t="shared" si="1"/>
        <v>116</v>
      </c>
      <c r="R17" s="1" t="s">
        <v>13</v>
      </c>
      <c r="S17" s="17">
        <f t="shared" ref="S17:AF17" si="9">SUM(C38:C41)</f>
        <v>46</v>
      </c>
      <c r="T17" s="17">
        <f t="shared" si="9"/>
        <v>0</v>
      </c>
      <c r="U17" s="17">
        <f t="shared" si="9"/>
        <v>59</v>
      </c>
      <c r="V17" s="17">
        <f t="shared" si="9"/>
        <v>77</v>
      </c>
      <c r="W17" s="17">
        <f t="shared" si="9"/>
        <v>7</v>
      </c>
      <c r="X17" s="17">
        <f t="shared" si="9"/>
        <v>7</v>
      </c>
      <c r="Y17" s="17">
        <f t="shared" si="9"/>
        <v>36</v>
      </c>
      <c r="Z17" s="17">
        <f t="shared" si="9"/>
        <v>1</v>
      </c>
      <c r="AA17" s="17">
        <f t="shared" si="9"/>
        <v>1</v>
      </c>
      <c r="AB17" s="17">
        <f t="shared" si="9"/>
        <v>5</v>
      </c>
      <c r="AC17" s="17">
        <f t="shared" si="9"/>
        <v>247</v>
      </c>
      <c r="AD17" s="17">
        <f t="shared" si="9"/>
        <v>0</v>
      </c>
      <c r="AE17" s="31">
        <f t="shared" si="9"/>
        <v>239</v>
      </c>
      <c r="AF17" s="31">
        <f t="shared" si="9"/>
        <v>486</v>
      </c>
    </row>
    <row r="18" spans="2:32" ht="23.1" customHeight="1" x14ac:dyDescent="0.25">
      <c r="B18" s="45" t="s">
        <v>45</v>
      </c>
      <c r="C18" s="50">
        <v>6</v>
      </c>
      <c r="D18" s="50">
        <v>0</v>
      </c>
      <c r="E18" s="50">
        <v>17</v>
      </c>
      <c r="F18" s="50">
        <v>12</v>
      </c>
      <c r="G18" s="50">
        <v>0</v>
      </c>
      <c r="H18" s="50">
        <v>3</v>
      </c>
      <c r="I18" s="50">
        <v>3</v>
      </c>
      <c r="J18" s="50">
        <v>0</v>
      </c>
      <c r="K18" s="50">
        <v>0</v>
      </c>
      <c r="L18" s="50">
        <v>0</v>
      </c>
      <c r="M18" s="50">
        <v>73</v>
      </c>
      <c r="N18" s="50">
        <v>0</v>
      </c>
      <c r="O18" s="15">
        <f t="shared" si="0"/>
        <v>41</v>
      </c>
      <c r="P18" s="15">
        <f t="shared" si="1"/>
        <v>114</v>
      </c>
      <c r="R18" s="1" t="s">
        <v>14</v>
      </c>
      <c r="S18" s="17">
        <f t="shared" ref="S18:AF18" si="10">SUM(C42:C45)</f>
        <v>32</v>
      </c>
      <c r="T18" s="17">
        <f t="shared" si="10"/>
        <v>0</v>
      </c>
      <c r="U18" s="17">
        <f t="shared" si="10"/>
        <v>62</v>
      </c>
      <c r="V18" s="17">
        <f t="shared" si="10"/>
        <v>65</v>
      </c>
      <c r="W18" s="17">
        <f t="shared" si="10"/>
        <v>0</v>
      </c>
      <c r="X18" s="17">
        <f t="shared" si="10"/>
        <v>5</v>
      </c>
      <c r="Y18" s="17">
        <f t="shared" si="10"/>
        <v>28</v>
      </c>
      <c r="Z18" s="17">
        <f t="shared" si="10"/>
        <v>0</v>
      </c>
      <c r="AA18" s="17">
        <f t="shared" si="10"/>
        <v>1</v>
      </c>
      <c r="AB18" s="17">
        <f t="shared" si="10"/>
        <v>3</v>
      </c>
      <c r="AC18" s="17">
        <f t="shared" si="10"/>
        <v>272</v>
      </c>
      <c r="AD18" s="17">
        <f t="shared" si="10"/>
        <v>0</v>
      </c>
      <c r="AE18" s="31">
        <f t="shared" si="10"/>
        <v>196</v>
      </c>
      <c r="AF18" s="31">
        <f t="shared" si="10"/>
        <v>468</v>
      </c>
    </row>
    <row r="19" spans="2:32" ht="23.1" customHeight="1" x14ac:dyDescent="0.25">
      <c r="B19" s="45" t="s">
        <v>46</v>
      </c>
      <c r="C19" s="50">
        <v>4</v>
      </c>
      <c r="D19" s="50">
        <v>0</v>
      </c>
      <c r="E19" s="50">
        <v>25</v>
      </c>
      <c r="F19" s="50">
        <v>15</v>
      </c>
      <c r="G19" s="50">
        <v>1</v>
      </c>
      <c r="H19" s="50">
        <v>1</v>
      </c>
      <c r="I19" s="50">
        <v>6</v>
      </c>
      <c r="J19" s="50">
        <v>1</v>
      </c>
      <c r="K19" s="50">
        <v>0</v>
      </c>
      <c r="L19" s="50">
        <v>1</v>
      </c>
      <c r="M19" s="50">
        <v>84</v>
      </c>
      <c r="N19" s="50">
        <v>0</v>
      </c>
      <c r="O19" s="15">
        <f t="shared" si="0"/>
        <v>54</v>
      </c>
      <c r="P19" s="15">
        <f t="shared" si="1"/>
        <v>138</v>
      </c>
      <c r="R19" s="1" t="s">
        <v>15</v>
      </c>
      <c r="S19" s="17">
        <f t="shared" ref="S19:AF19" si="11">SUM(C46:C49)</f>
        <v>43</v>
      </c>
      <c r="T19" s="17">
        <f t="shared" si="11"/>
        <v>0</v>
      </c>
      <c r="U19" s="17">
        <f t="shared" si="11"/>
        <v>61</v>
      </c>
      <c r="V19" s="17">
        <f t="shared" si="11"/>
        <v>63</v>
      </c>
      <c r="W19" s="17">
        <f t="shared" si="11"/>
        <v>0</v>
      </c>
      <c r="X19" s="17">
        <f t="shared" si="11"/>
        <v>2</v>
      </c>
      <c r="Y19" s="17">
        <f t="shared" si="11"/>
        <v>28</v>
      </c>
      <c r="Z19" s="17">
        <f t="shared" si="11"/>
        <v>1</v>
      </c>
      <c r="AA19" s="17">
        <f t="shared" si="11"/>
        <v>1</v>
      </c>
      <c r="AB19" s="17">
        <f t="shared" si="11"/>
        <v>1</v>
      </c>
      <c r="AC19" s="17">
        <f t="shared" si="11"/>
        <v>281</v>
      </c>
      <c r="AD19" s="17">
        <f t="shared" si="11"/>
        <v>0</v>
      </c>
      <c r="AE19" s="31">
        <f t="shared" si="11"/>
        <v>200</v>
      </c>
      <c r="AF19" s="31">
        <f t="shared" si="11"/>
        <v>481</v>
      </c>
    </row>
    <row r="20" spans="2:32" ht="23.1" customHeight="1" x14ac:dyDescent="0.25">
      <c r="B20" s="45" t="s">
        <v>47</v>
      </c>
      <c r="C20" s="50">
        <v>6</v>
      </c>
      <c r="D20" s="50">
        <v>0</v>
      </c>
      <c r="E20" s="50">
        <v>24</v>
      </c>
      <c r="F20" s="50">
        <v>14</v>
      </c>
      <c r="G20" s="50">
        <v>0</v>
      </c>
      <c r="H20" s="50">
        <v>1</v>
      </c>
      <c r="I20" s="50">
        <v>6</v>
      </c>
      <c r="J20" s="50">
        <v>1</v>
      </c>
      <c r="K20" s="50">
        <v>0</v>
      </c>
      <c r="L20" s="50">
        <v>1</v>
      </c>
      <c r="M20" s="50">
        <v>69</v>
      </c>
      <c r="N20" s="50">
        <v>0</v>
      </c>
      <c r="O20" s="15">
        <f t="shared" si="0"/>
        <v>53</v>
      </c>
      <c r="P20" s="15">
        <f t="shared" si="1"/>
        <v>122</v>
      </c>
      <c r="R20" s="1" t="s">
        <v>16</v>
      </c>
      <c r="S20" s="17">
        <f t="shared" ref="S20:AF20" si="12">SUM(C50:C53)</f>
        <v>44</v>
      </c>
      <c r="T20" s="17">
        <f t="shared" si="12"/>
        <v>0</v>
      </c>
      <c r="U20" s="17">
        <f t="shared" si="12"/>
        <v>42</v>
      </c>
      <c r="V20" s="17">
        <f t="shared" si="12"/>
        <v>60</v>
      </c>
      <c r="W20" s="17">
        <f t="shared" si="12"/>
        <v>2</v>
      </c>
      <c r="X20" s="17">
        <f t="shared" si="12"/>
        <v>5</v>
      </c>
      <c r="Y20" s="17">
        <f t="shared" si="12"/>
        <v>20</v>
      </c>
      <c r="Z20" s="17">
        <f t="shared" si="12"/>
        <v>1</v>
      </c>
      <c r="AA20" s="17">
        <f t="shared" si="12"/>
        <v>2</v>
      </c>
      <c r="AB20" s="17">
        <f t="shared" si="12"/>
        <v>7</v>
      </c>
      <c r="AC20" s="17">
        <f t="shared" si="12"/>
        <v>303</v>
      </c>
      <c r="AD20" s="17">
        <f t="shared" si="12"/>
        <v>0</v>
      </c>
      <c r="AE20" s="31">
        <f t="shared" si="12"/>
        <v>183</v>
      </c>
      <c r="AF20" s="31">
        <f t="shared" si="12"/>
        <v>486</v>
      </c>
    </row>
    <row r="21" spans="2:32" ht="23.1" customHeight="1" x14ac:dyDescent="0.25">
      <c r="B21" s="45" t="s">
        <v>48</v>
      </c>
      <c r="C21" s="50">
        <v>13</v>
      </c>
      <c r="D21" s="50">
        <v>0</v>
      </c>
      <c r="E21" s="50">
        <v>18</v>
      </c>
      <c r="F21" s="50">
        <v>12</v>
      </c>
      <c r="G21" s="50">
        <v>0</v>
      </c>
      <c r="H21" s="50">
        <v>2</v>
      </c>
      <c r="I21" s="50">
        <v>5</v>
      </c>
      <c r="J21" s="50">
        <v>1</v>
      </c>
      <c r="K21" s="50">
        <v>0</v>
      </c>
      <c r="L21" s="50">
        <v>0</v>
      </c>
      <c r="M21" s="50">
        <v>85</v>
      </c>
      <c r="N21" s="50">
        <v>0</v>
      </c>
      <c r="O21" s="15">
        <f t="shared" si="0"/>
        <v>51</v>
      </c>
      <c r="P21" s="15">
        <f t="shared" si="1"/>
        <v>136</v>
      </c>
      <c r="R21" s="36" t="s">
        <v>20</v>
      </c>
      <c r="S21" s="34">
        <f t="shared" ref="S21:AF21" si="13">SUM(C54:C57)</f>
        <v>29</v>
      </c>
      <c r="T21" s="17">
        <f t="shared" si="13"/>
        <v>0</v>
      </c>
      <c r="U21" s="17">
        <f t="shared" si="13"/>
        <v>34</v>
      </c>
      <c r="V21" s="17">
        <f t="shared" si="13"/>
        <v>59</v>
      </c>
      <c r="W21" s="17">
        <f t="shared" si="13"/>
        <v>0</v>
      </c>
      <c r="X21" s="17">
        <f t="shared" si="13"/>
        <v>1</v>
      </c>
      <c r="Y21" s="17">
        <f t="shared" si="13"/>
        <v>28</v>
      </c>
      <c r="Z21" s="17">
        <f t="shared" si="13"/>
        <v>1</v>
      </c>
      <c r="AA21" s="17">
        <f t="shared" si="13"/>
        <v>0</v>
      </c>
      <c r="AB21" s="17">
        <f t="shared" si="13"/>
        <v>3</v>
      </c>
      <c r="AC21" s="17">
        <f t="shared" si="13"/>
        <v>282</v>
      </c>
      <c r="AD21" s="17">
        <f t="shared" si="13"/>
        <v>0</v>
      </c>
      <c r="AE21" s="31">
        <f t="shared" si="13"/>
        <v>155</v>
      </c>
      <c r="AF21" s="31">
        <f t="shared" si="13"/>
        <v>437</v>
      </c>
    </row>
    <row r="22" spans="2:32" ht="23.1" customHeight="1" x14ac:dyDescent="0.25">
      <c r="B22" s="45" t="s">
        <v>49</v>
      </c>
      <c r="C22" s="50">
        <v>9</v>
      </c>
      <c r="D22" s="50">
        <v>0</v>
      </c>
      <c r="E22" s="50">
        <v>17</v>
      </c>
      <c r="F22" s="50">
        <v>16</v>
      </c>
      <c r="G22" s="50">
        <v>0</v>
      </c>
      <c r="H22" s="50">
        <v>0</v>
      </c>
      <c r="I22" s="50">
        <v>5</v>
      </c>
      <c r="J22" s="50">
        <v>0</v>
      </c>
      <c r="K22" s="50">
        <v>0</v>
      </c>
      <c r="L22" s="50">
        <v>0</v>
      </c>
      <c r="M22" s="50">
        <v>86</v>
      </c>
      <c r="N22" s="50">
        <v>0</v>
      </c>
      <c r="O22" s="15">
        <f t="shared" si="0"/>
        <v>47</v>
      </c>
      <c r="P22" s="15">
        <f t="shared" si="1"/>
        <v>133</v>
      </c>
      <c r="R22" s="36" t="s">
        <v>146</v>
      </c>
      <c r="S22" s="34">
        <f>SUM(C58:C61)</f>
        <v>27</v>
      </c>
      <c r="T22" s="34">
        <f t="shared" ref="T22:AF22" si="14">SUM(D58:D61)</f>
        <v>6</v>
      </c>
      <c r="U22" s="34">
        <f t="shared" si="14"/>
        <v>25</v>
      </c>
      <c r="V22" s="34">
        <f t="shared" si="14"/>
        <v>42</v>
      </c>
      <c r="W22" s="34">
        <f t="shared" si="14"/>
        <v>0</v>
      </c>
      <c r="X22" s="34">
        <f t="shared" si="14"/>
        <v>2</v>
      </c>
      <c r="Y22" s="34">
        <f t="shared" si="14"/>
        <v>32</v>
      </c>
      <c r="Z22" s="34">
        <f t="shared" si="14"/>
        <v>1</v>
      </c>
      <c r="AA22" s="34">
        <f t="shared" si="14"/>
        <v>1</v>
      </c>
      <c r="AB22" s="34">
        <f t="shared" si="14"/>
        <v>10</v>
      </c>
      <c r="AC22" s="34">
        <f t="shared" si="14"/>
        <v>237</v>
      </c>
      <c r="AD22" s="34">
        <f t="shared" si="14"/>
        <v>0</v>
      </c>
      <c r="AE22" s="31">
        <f t="shared" si="14"/>
        <v>146</v>
      </c>
      <c r="AF22" s="31">
        <f t="shared" si="14"/>
        <v>383</v>
      </c>
    </row>
    <row r="23" spans="2:32" ht="23.1" customHeight="1" x14ac:dyDescent="0.25">
      <c r="B23" s="45" t="s">
        <v>50</v>
      </c>
      <c r="C23" s="50">
        <v>13</v>
      </c>
      <c r="D23" s="50">
        <v>0</v>
      </c>
      <c r="E23" s="50">
        <v>16</v>
      </c>
      <c r="F23" s="50">
        <v>12</v>
      </c>
      <c r="G23" s="50">
        <v>0</v>
      </c>
      <c r="H23" s="50">
        <v>2</v>
      </c>
      <c r="I23" s="50">
        <v>6</v>
      </c>
      <c r="J23" s="50">
        <v>0</v>
      </c>
      <c r="K23" s="50">
        <v>0</v>
      </c>
      <c r="L23" s="50">
        <v>1</v>
      </c>
      <c r="M23" s="50">
        <v>70</v>
      </c>
      <c r="N23" s="50">
        <v>0</v>
      </c>
      <c r="O23" s="15">
        <f t="shared" si="0"/>
        <v>50</v>
      </c>
      <c r="P23" s="15">
        <f t="shared" si="1"/>
        <v>120</v>
      </c>
      <c r="R23" s="36" t="s">
        <v>147</v>
      </c>
      <c r="S23" s="34">
        <f>SUM(C62:C65)</f>
        <v>21</v>
      </c>
      <c r="T23" s="34">
        <f t="shared" ref="T23:AF23" si="15">SUM(D62:D65)</f>
        <v>4</v>
      </c>
      <c r="U23" s="34">
        <f t="shared" si="15"/>
        <v>23</v>
      </c>
      <c r="V23" s="34">
        <f t="shared" si="15"/>
        <v>22</v>
      </c>
      <c r="W23" s="34">
        <f t="shared" si="15"/>
        <v>0</v>
      </c>
      <c r="X23" s="34">
        <f t="shared" si="15"/>
        <v>4</v>
      </c>
      <c r="Y23" s="34">
        <f t="shared" si="15"/>
        <v>24</v>
      </c>
      <c r="Z23" s="34">
        <f t="shared" si="15"/>
        <v>2</v>
      </c>
      <c r="AA23" s="34">
        <f t="shared" si="15"/>
        <v>1</v>
      </c>
      <c r="AB23" s="34">
        <f t="shared" si="15"/>
        <v>14</v>
      </c>
      <c r="AC23" s="34">
        <f t="shared" si="15"/>
        <v>165</v>
      </c>
      <c r="AD23" s="34">
        <f t="shared" si="15"/>
        <v>0</v>
      </c>
      <c r="AE23" s="31">
        <f t="shared" si="15"/>
        <v>115</v>
      </c>
      <c r="AF23" s="31">
        <f t="shared" si="15"/>
        <v>280</v>
      </c>
    </row>
    <row r="24" spans="2:32" ht="23.1" customHeight="1" x14ac:dyDescent="0.25">
      <c r="B24" s="45" t="s">
        <v>51</v>
      </c>
      <c r="C24" s="50">
        <v>14</v>
      </c>
      <c r="D24" s="50">
        <v>0</v>
      </c>
      <c r="E24" s="50">
        <v>19</v>
      </c>
      <c r="F24" s="50">
        <v>15</v>
      </c>
      <c r="G24" s="50">
        <v>1</v>
      </c>
      <c r="H24" s="50">
        <v>0</v>
      </c>
      <c r="I24" s="50">
        <v>5</v>
      </c>
      <c r="J24" s="50">
        <v>0</v>
      </c>
      <c r="K24" s="50">
        <v>0</v>
      </c>
      <c r="L24" s="50">
        <v>2</v>
      </c>
      <c r="M24" s="50">
        <v>86</v>
      </c>
      <c r="N24" s="50">
        <v>0</v>
      </c>
      <c r="O24" s="15">
        <f t="shared" si="0"/>
        <v>56</v>
      </c>
      <c r="P24" s="15">
        <f t="shared" si="1"/>
        <v>142</v>
      </c>
      <c r="R24" s="36" t="s">
        <v>148</v>
      </c>
      <c r="S24" s="34">
        <f>SUM(C66:C69)</f>
        <v>12</v>
      </c>
      <c r="T24" s="34">
        <f t="shared" ref="T24:AF24" si="16">SUM(D66:D69)</f>
        <v>4</v>
      </c>
      <c r="U24" s="34">
        <f t="shared" si="16"/>
        <v>14</v>
      </c>
      <c r="V24" s="34">
        <f t="shared" si="16"/>
        <v>15</v>
      </c>
      <c r="W24" s="34">
        <f t="shared" si="16"/>
        <v>4</v>
      </c>
      <c r="X24" s="34">
        <f t="shared" si="16"/>
        <v>5</v>
      </c>
      <c r="Y24" s="34">
        <f t="shared" si="16"/>
        <v>23</v>
      </c>
      <c r="Z24" s="34">
        <f t="shared" si="16"/>
        <v>1</v>
      </c>
      <c r="AA24" s="34">
        <f t="shared" si="16"/>
        <v>2</v>
      </c>
      <c r="AB24" s="34">
        <f t="shared" si="16"/>
        <v>7</v>
      </c>
      <c r="AC24" s="34">
        <f t="shared" si="16"/>
        <v>88</v>
      </c>
      <c r="AD24" s="34">
        <f t="shared" si="16"/>
        <v>0</v>
      </c>
      <c r="AE24" s="31">
        <f t="shared" si="16"/>
        <v>87</v>
      </c>
      <c r="AF24" s="31">
        <f t="shared" si="16"/>
        <v>175</v>
      </c>
    </row>
    <row r="25" spans="2:32" ht="23.1" customHeight="1" x14ac:dyDescent="0.25">
      <c r="B25" s="45" t="s">
        <v>52</v>
      </c>
      <c r="C25" s="50">
        <v>10</v>
      </c>
      <c r="D25" s="50">
        <v>0</v>
      </c>
      <c r="E25" s="50">
        <v>8</v>
      </c>
      <c r="F25" s="50">
        <v>14</v>
      </c>
      <c r="G25" s="50">
        <v>0</v>
      </c>
      <c r="H25" s="50">
        <v>2</v>
      </c>
      <c r="I25" s="50">
        <v>3</v>
      </c>
      <c r="J25" s="50">
        <v>0</v>
      </c>
      <c r="K25" s="50">
        <v>0</v>
      </c>
      <c r="L25" s="50">
        <v>1</v>
      </c>
      <c r="M25" s="50">
        <v>60</v>
      </c>
      <c r="N25" s="50">
        <v>0</v>
      </c>
      <c r="O25" s="15">
        <f t="shared" si="0"/>
        <v>38</v>
      </c>
      <c r="P25" s="15">
        <f t="shared" si="1"/>
        <v>98</v>
      </c>
      <c r="R25" s="36" t="s">
        <v>149</v>
      </c>
      <c r="S25" s="34">
        <f>SUM(C70:C73)</f>
        <v>8</v>
      </c>
      <c r="T25" s="34">
        <f t="shared" ref="T25:AF25" si="17">SUM(D70:D73)</f>
        <v>1</v>
      </c>
      <c r="U25" s="34">
        <f t="shared" si="17"/>
        <v>9</v>
      </c>
      <c r="V25" s="34">
        <f t="shared" si="17"/>
        <v>13</v>
      </c>
      <c r="W25" s="34">
        <f t="shared" si="17"/>
        <v>4</v>
      </c>
      <c r="X25" s="34">
        <f t="shared" si="17"/>
        <v>5</v>
      </c>
      <c r="Y25" s="34">
        <f t="shared" si="17"/>
        <v>13</v>
      </c>
      <c r="Z25" s="34">
        <f t="shared" si="17"/>
        <v>1</v>
      </c>
      <c r="AA25" s="34">
        <f t="shared" si="17"/>
        <v>2</v>
      </c>
      <c r="AB25" s="34">
        <f t="shared" si="17"/>
        <v>7</v>
      </c>
      <c r="AC25" s="34">
        <f t="shared" si="17"/>
        <v>34</v>
      </c>
      <c r="AD25" s="34">
        <f t="shared" si="17"/>
        <v>0</v>
      </c>
      <c r="AE25" s="31">
        <f t="shared" si="17"/>
        <v>63</v>
      </c>
      <c r="AF25" s="31">
        <f t="shared" si="17"/>
        <v>97</v>
      </c>
    </row>
    <row r="26" spans="2:32" ht="23.1" customHeight="1" x14ac:dyDescent="0.25">
      <c r="B26" s="45" t="s">
        <v>53</v>
      </c>
      <c r="C26" s="50">
        <v>12</v>
      </c>
      <c r="D26" s="50">
        <v>0</v>
      </c>
      <c r="E26" s="50">
        <v>23</v>
      </c>
      <c r="F26" s="50">
        <v>22</v>
      </c>
      <c r="G26" s="50">
        <v>0</v>
      </c>
      <c r="H26" s="50">
        <v>1</v>
      </c>
      <c r="I26" s="50">
        <v>4</v>
      </c>
      <c r="J26" s="50">
        <v>0</v>
      </c>
      <c r="K26" s="50">
        <v>0</v>
      </c>
      <c r="L26" s="50">
        <v>3</v>
      </c>
      <c r="M26" s="50">
        <v>77</v>
      </c>
      <c r="N26" s="50">
        <v>0</v>
      </c>
      <c r="O26" s="15">
        <f t="shared" si="0"/>
        <v>65</v>
      </c>
      <c r="P26" s="15">
        <f t="shared" si="1"/>
        <v>142</v>
      </c>
      <c r="R26" s="36" t="s">
        <v>150</v>
      </c>
      <c r="S26" s="34">
        <f>SUM(C74:C77)</f>
        <v>7</v>
      </c>
      <c r="T26" s="34">
        <f t="shared" ref="T26:AF26" si="18">SUM(D74:D77)</f>
        <v>0</v>
      </c>
      <c r="U26" s="34">
        <f t="shared" si="18"/>
        <v>4</v>
      </c>
      <c r="V26" s="34">
        <f t="shared" si="18"/>
        <v>2</v>
      </c>
      <c r="W26" s="34">
        <f t="shared" si="18"/>
        <v>4</v>
      </c>
      <c r="X26" s="34">
        <f t="shared" si="18"/>
        <v>5</v>
      </c>
      <c r="Y26" s="34">
        <f t="shared" si="18"/>
        <v>10</v>
      </c>
      <c r="Z26" s="34">
        <f t="shared" si="18"/>
        <v>1</v>
      </c>
      <c r="AA26" s="34">
        <f t="shared" si="18"/>
        <v>0</v>
      </c>
      <c r="AB26" s="34">
        <f t="shared" si="18"/>
        <v>7</v>
      </c>
      <c r="AC26" s="34">
        <f t="shared" si="18"/>
        <v>16</v>
      </c>
      <c r="AD26" s="34">
        <f t="shared" si="18"/>
        <v>0</v>
      </c>
      <c r="AE26" s="31">
        <f t="shared" si="18"/>
        <v>40</v>
      </c>
      <c r="AF26" s="31">
        <f t="shared" si="18"/>
        <v>56</v>
      </c>
    </row>
    <row r="27" spans="2:32" ht="23.1" customHeight="1" x14ac:dyDescent="0.25">
      <c r="B27" s="45" t="s">
        <v>54</v>
      </c>
      <c r="C27" s="50">
        <v>5</v>
      </c>
      <c r="D27" s="50">
        <v>0</v>
      </c>
      <c r="E27" s="50">
        <v>18</v>
      </c>
      <c r="F27" s="50">
        <v>3</v>
      </c>
      <c r="G27" s="50">
        <v>0</v>
      </c>
      <c r="H27" s="50">
        <v>2</v>
      </c>
      <c r="I27" s="50">
        <v>4</v>
      </c>
      <c r="J27" s="50">
        <v>0</v>
      </c>
      <c r="K27" s="50">
        <v>0</v>
      </c>
      <c r="L27" s="50">
        <v>0</v>
      </c>
      <c r="M27" s="50">
        <v>60</v>
      </c>
      <c r="N27" s="50">
        <v>0</v>
      </c>
      <c r="O27" s="15">
        <f t="shared" si="0"/>
        <v>32</v>
      </c>
      <c r="P27" s="15">
        <f t="shared" si="1"/>
        <v>92</v>
      </c>
      <c r="R27" s="36" t="s">
        <v>151</v>
      </c>
      <c r="S27" s="34">
        <f>SUM(C78:C81)</f>
        <v>4</v>
      </c>
      <c r="T27" s="34">
        <f t="shared" ref="T27:AF27" si="19">SUM(D78:D81)</f>
        <v>3</v>
      </c>
      <c r="U27" s="34">
        <f t="shared" si="19"/>
        <v>3</v>
      </c>
      <c r="V27" s="34">
        <f t="shared" si="19"/>
        <v>2</v>
      </c>
      <c r="W27" s="34">
        <f t="shared" si="19"/>
        <v>4</v>
      </c>
      <c r="X27" s="34">
        <f t="shared" si="19"/>
        <v>4</v>
      </c>
      <c r="Y27" s="34">
        <f t="shared" si="19"/>
        <v>5</v>
      </c>
      <c r="Z27" s="34">
        <f t="shared" si="19"/>
        <v>1</v>
      </c>
      <c r="AA27" s="34">
        <f t="shared" si="19"/>
        <v>0</v>
      </c>
      <c r="AB27" s="34">
        <f t="shared" si="19"/>
        <v>7</v>
      </c>
      <c r="AC27" s="34">
        <f t="shared" si="19"/>
        <v>13</v>
      </c>
      <c r="AD27" s="34">
        <f t="shared" si="19"/>
        <v>0</v>
      </c>
      <c r="AE27" s="31">
        <f t="shared" si="19"/>
        <v>33</v>
      </c>
      <c r="AF27" s="31">
        <f t="shared" si="19"/>
        <v>46</v>
      </c>
    </row>
    <row r="28" spans="2:32" ht="23.1" customHeight="1" x14ac:dyDescent="0.25">
      <c r="B28" s="45" t="s">
        <v>55</v>
      </c>
      <c r="C28" s="50">
        <v>16</v>
      </c>
      <c r="D28" s="50">
        <v>0</v>
      </c>
      <c r="E28" s="50">
        <v>22</v>
      </c>
      <c r="F28" s="50">
        <v>20</v>
      </c>
      <c r="G28" s="50">
        <v>1</v>
      </c>
      <c r="H28" s="50">
        <v>0</v>
      </c>
      <c r="I28" s="50">
        <v>7</v>
      </c>
      <c r="J28" s="50">
        <v>0</v>
      </c>
      <c r="K28" s="50">
        <v>0</v>
      </c>
      <c r="L28" s="50">
        <v>2</v>
      </c>
      <c r="M28" s="50">
        <v>79</v>
      </c>
      <c r="N28" s="50">
        <v>0</v>
      </c>
      <c r="O28" s="15">
        <f t="shared" si="0"/>
        <v>68</v>
      </c>
      <c r="P28" s="15">
        <f t="shared" si="1"/>
        <v>147</v>
      </c>
      <c r="R28" s="36" t="s">
        <v>152</v>
      </c>
      <c r="S28" s="34">
        <f>SUM(C82:C85)</f>
        <v>4</v>
      </c>
      <c r="T28" s="34">
        <f t="shared" ref="T28:AF28" si="20">SUM(D82:D85)</f>
        <v>1</v>
      </c>
      <c r="U28" s="34">
        <f t="shared" si="20"/>
        <v>3</v>
      </c>
      <c r="V28" s="34">
        <f t="shared" si="20"/>
        <v>2</v>
      </c>
      <c r="W28" s="34">
        <f t="shared" si="20"/>
        <v>2</v>
      </c>
      <c r="X28" s="34">
        <f t="shared" si="20"/>
        <v>2</v>
      </c>
      <c r="Y28" s="34">
        <f t="shared" si="20"/>
        <v>4</v>
      </c>
      <c r="Z28" s="34">
        <f t="shared" si="20"/>
        <v>1</v>
      </c>
      <c r="AA28" s="34">
        <f t="shared" si="20"/>
        <v>0</v>
      </c>
      <c r="AB28" s="34">
        <f t="shared" si="20"/>
        <v>3</v>
      </c>
      <c r="AC28" s="34">
        <f t="shared" si="20"/>
        <v>5</v>
      </c>
      <c r="AD28" s="34">
        <f t="shared" si="20"/>
        <v>0</v>
      </c>
      <c r="AE28" s="31">
        <f t="shared" si="20"/>
        <v>22</v>
      </c>
      <c r="AF28" s="31">
        <f t="shared" si="20"/>
        <v>27</v>
      </c>
    </row>
    <row r="29" spans="2:32" ht="23.1" customHeight="1" x14ac:dyDescent="0.25">
      <c r="B29" s="45" t="s">
        <v>56</v>
      </c>
      <c r="C29" s="50">
        <v>8</v>
      </c>
      <c r="D29" s="50">
        <v>0</v>
      </c>
      <c r="E29" s="50">
        <v>21</v>
      </c>
      <c r="F29" s="50">
        <v>14</v>
      </c>
      <c r="G29" s="50">
        <v>1</v>
      </c>
      <c r="H29" s="50">
        <v>0</v>
      </c>
      <c r="I29" s="50">
        <v>7</v>
      </c>
      <c r="J29" s="50">
        <v>0</v>
      </c>
      <c r="K29" s="50">
        <v>0</v>
      </c>
      <c r="L29" s="50">
        <v>2</v>
      </c>
      <c r="M29" s="50">
        <v>75</v>
      </c>
      <c r="N29" s="50">
        <v>0</v>
      </c>
      <c r="O29" s="15">
        <f t="shared" si="0"/>
        <v>53</v>
      </c>
      <c r="P29" s="15">
        <f t="shared" si="1"/>
        <v>128</v>
      </c>
      <c r="R29" s="36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2</v>
      </c>
      <c r="V29" s="34">
        <f t="shared" si="21"/>
        <v>2</v>
      </c>
      <c r="W29" s="34">
        <f t="shared" si="21"/>
        <v>2</v>
      </c>
      <c r="X29" s="34">
        <f t="shared" si="21"/>
        <v>2</v>
      </c>
      <c r="Y29" s="34">
        <f t="shared" si="21"/>
        <v>4</v>
      </c>
      <c r="Z29" s="34">
        <f t="shared" si="21"/>
        <v>1</v>
      </c>
      <c r="AA29" s="34">
        <f t="shared" si="21"/>
        <v>1</v>
      </c>
      <c r="AB29" s="34">
        <f t="shared" si="21"/>
        <v>1</v>
      </c>
      <c r="AC29" s="34">
        <f t="shared" si="21"/>
        <v>2</v>
      </c>
      <c r="AD29" s="34">
        <f t="shared" si="21"/>
        <v>0</v>
      </c>
      <c r="AE29" s="31">
        <f t="shared" si="21"/>
        <v>17</v>
      </c>
      <c r="AF29" s="31">
        <f t="shared" si="21"/>
        <v>19</v>
      </c>
    </row>
    <row r="30" spans="2:32" ht="23.1" customHeight="1" x14ac:dyDescent="0.25">
      <c r="B30" s="45" t="s">
        <v>57</v>
      </c>
      <c r="C30" s="50">
        <v>10</v>
      </c>
      <c r="D30" s="50">
        <v>0</v>
      </c>
      <c r="E30" s="50">
        <v>25</v>
      </c>
      <c r="F30" s="50">
        <v>10</v>
      </c>
      <c r="G30" s="50">
        <v>0</v>
      </c>
      <c r="H30" s="50">
        <v>4</v>
      </c>
      <c r="I30" s="50">
        <v>11</v>
      </c>
      <c r="J30" s="50">
        <v>0</v>
      </c>
      <c r="K30" s="50">
        <v>0</v>
      </c>
      <c r="L30" s="50">
        <v>10</v>
      </c>
      <c r="M30" s="50">
        <v>48</v>
      </c>
      <c r="N30" s="50">
        <v>0</v>
      </c>
      <c r="O30" s="15">
        <f t="shared" si="0"/>
        <v>70</v>
      </c>
      <c r="P30" s="15">
        <f t="shared" si="1"/>
        <v>118</v>
      </c>
      <c r="R30" s="36" t="s">
        <v>154</v>
      </c>
      <c r="S30" s="34">
        <f>SUM(C90:C93)</f>
        <v>1</v>
      </c>
      <c r="T30" s="34">
        <f t="shared" ref="T30:AF30" si="22">SUM(D90:D93)</f>
        <v>1</v>
      </c>
      <c r="U30" s="34">
        <f t="shared" si="22"/>
        <v>1</v>
      </c>
      <c r="V30" s="34">
        <f t="shared" si="22"/>
        <v>2</v>
      </c>
      <c r="W30" s="34">
        <f t="shared" si="22"/>
        <v>2</v>
      </c>
      <c r="X30" s="34">
        <f t="shared" si="22"/>
        <v>2</v>
      </c>
      <c r="Y30" s="34">
        <f t="shared" si="22"/>
        <v>4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3</v>
      </c>
      <c r="AD30" s="34">
        <f t="shared" si="22"/>
        <v>0</v>
      </c>
      <c r="AE30" s="31">
        <f t="shared" si="22"/>
        <v>14</v>
      </c>
      <c r="AF30" s="31">
        <f t="shared" si="22"/>
        <v>17</v>
      </c>
    </row>
    <row r="31" spans="2:32" ht="23.1" customHeight="1" x14ac:dyDescent="0.25">
      <c r="B31" s="46" t="s">
        <v>58</v>
      </c>
      <c r="C31" s="50">
        <v>6</v>
      </c>
      <c r="D31" s="50">
        <v>0</v>
      </c>
      <c r="E31" s="50">
        <v>20</v>
      </c>
      <c r="F31" s="50">
        <v>17</v>
      </c>
      <c r="G31" s="50">
        <v>0</v>
      </c>
      <c r="H31" s="50">
        <v>0</v>
      </c>
      <c r="I31" s="50">
        <v>7</v>
      </c>
      <c r="J31" s="50">
        <v>0</v>
      </c>
      <c r="K31" s="50">
        <v>0</v>
      </c>
      <c r="L31" s="50">
        <v>1</v>
      </c>
      <c r="M31" s="50">
        <v>71</v>
      </c>
      <c r="N31" s="50">
        <v>0</v>
      </c>
      <c r="O31" s="15">
        <f t="shared" si="0"/>
        <v>51</v>
      </c>
      <c r="P31" s="15">
        <f t="shared" si="1"/>
        <v>122</v>
      </c>
      <c r="R31" s="36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3</v>
      </c>
      <c r="W31" s="34">
        <f t="shared" si="23"/>
        <v>1</v>
      </c>
      <c r="X31" s="34">
        <f t="shared" si="23"/>
        <v>2</v>
      </c>
      <c r="Y31" s="34">
        <f t="shared" si="23"/>
        <v>2</v>
      </c>
      <c r="Z31" s="34">
        <f t="shared" si="23"/>
        <v>0</v>
      </c>
      <c r="AA31" s="34">
        <f t="shared" si="23"/>
        <v>0</v>
      </c>
      <c r="AB31" s="34">
        <f t="shared" si="23"/>
        <v>1</v>
      </c>
      <c r="AC31" s="34">
        <f t="shared" si="23"/>
        <v>2</v>
      </c>
      <c r="AD31" s="34">
        <f t="shared" si="23"/>
        <v>0</v>
      </c>
      <c r="AE31" s="31">
        <f t="shared" si="23"/>
        <v>10</v>
      </c>
      <c r="AF31" s="31">
        <f t="shared" si="23"/>
        <v>12</v>
      </c>
    </row>
    <row r="32" spans="2:32" ht="23.1" customHeight="1" x14ac:dyDescent="0.25">
      <c r="B32" s="46" t="s">
        <v>59</v>
      </c>
      <c r="C32" s="50">
        <v>14</v>
      </c>
      <c r="D32" s="50">
        <v>0</v>
      </c>
      <c r="E32" s="50">
        <v>22</v>
      </c>
      <c r="F32" s="50">
        <v>16</v>
      </c>
      <c r="G32" s="50">
        <v>0</v>
      </c>
      <c r="H32" s="50">
        <v>2</v>
      </c>
      <c r="I32" s="50">
        <v>10</v>
      </c>
      <c r="J32" s="50">
        <v>1</v>
      </c>
      <c r="K32" s="50">
        <v>0</v>
      </c>
      <c r="L32" s="50">
        <v>5</v>
      </c>
      <c r="M32" s="50">
        <v>55</v>
      </c>
      <c r="N32" s="50">
        <v>0</v>
      </c>
      <c r="O32" s="15">
        <f t="shared" si="0"/>
        <v>70</v>
      </c>
      <c r="P32" s="15">
        <f t="shared" si="1"/>
        <v>125</v>
      </c>
      <c r="R32" s="33" t="s">
        <v>156</v>
      </c>
      <c r="S32" s="34">
        <f>SUM(C98:C101)</f>
        <v>8</v>
      </c>
      <c r="T32" s="34">
        <f t="shared" ref="T32:AF32" si="24">SUM(D98:D101)</f>
        <v>1</v>
      </c>
      <c r="U32" s="34">
        <f t="shared" si="24"/>
        <v>3</v>
      </c>
      <c r="V32" s="34">
        <f t="shared" si="24"/>
        <v>2</v>
      </c>
      <c r="W32" s="34">
        <f t="shared" si="24"/>
        <v>2</v>
      </c>
      <c r="X32" s="34">
        <f t="shared" si="24"/>
        <v>2</v>
      </c>
      <c r="Y32" s="34">
        <f t="shared" si="24"/>
        <v>3</v>
      </c>
      <c r="Z32" s="34">
        <f t="shared" si="24"/>
        <v>1</v>
      </c>
      <c r="AA32" s="34">
        <f t="shared" si="24"/>
        <v>0</v>
      </c>
      <c r="AB32" s="34">
        <f t="shared" si="24"/>
        <v>3</v>
      </c>
      <c r="AC32" s="34">
        <f t="shared" si="24"/>
        <v>4</v>
      </c>
      <c r="AD32" s="34">
        <f t="shared" si="24"/>
        <v>0</v>
      </c>
      <c r="AE32" s="31">
        <f t="shared" si="24"/>
        <v>25</v>
      </c>
      <c r="AF32" s="31">
        <f t="shared" si="24"/>
        <v>29</v>
      </c>
    </row>
    <row r="33" spans="2:32" ht="23.1" customHeight="1" x14ac:dyDescent="0.25">
      <c r="B33" s="45" t="s">
        <v>60</v>
      </c>
      <c r="C33" s="50">
        <v>15</v>
      </c>
      <c r="D33" s="50">
        <v>0</v>
      </c>
      <c r="E33" s="50">
        <v>21</v>
      </c>
      <c r="F33" s="50">
        <v>17</v>
      </c>
      <c r="G33" s="50">
        <v>0</v>
      </c>
      <c r="H33" s="50">
        <v>1</v>
      </c>
      <c r="I33" s="50">
        <v>6</v>
      </c>
      <c r="J33" s="50">
        <v>1</v>
      </c>
      <c r="K33" s="50">
        <v>0</v>
      </c>
      <c r="L33" s="50">
        <v>2</v>
      </c>
      <c r="M33" s="50">
        <v>52</v>
      </c>
      <c r="N33" s="50">
        <v>0</v>
      </c>
      <c r="O33" s="15">
        <f t="shared" si="0"/>
        <v>63</v>
      </c>
      <c r="P33" s="15">
        <f t="shared" si="1"/>
        <v>115</v>
      </c>
      <c r="R33" s="33" t="s">
        <v>157</v>
      </c>
      <c r="S33" s="34">
        <f>SUM(C102:C105)</f>
        <v>30</v>
      </c>
      <c r="T33" s="34">
        <f t="shared" ref="T33:AF33" si="25">SUM(D102:D105)</f>
        <v>12</v>
      </c>
      <c r="U33" s="34">
        <f t="shared" si="25"/>
        <v>8</v>
      </c>
      <c r="V33" s="34">
        <f t="shared" si="25"/>
        <v>9</v>
      </c>
      <c r="W33" s="34">
        <f t="shared" si="25"/>
        <v>2</v>
      </c>
      <c r="X33" s="34">
        <f t="shared" si="25"/>
        <v>1</v>
      </c>
      <c r="Y33" s="34">
        <f t="shared" si="25"/>
        <v>5</v>
      </c>
      <c r="Z33" s="34">
        <f t="shared" si="25"/>
        <v>2</v>
      </c>
      <c r="AA33" s="34">
        <f t="shared" si="25"/>
        <v>2</v>
      </c>
      <c r="AB33" s="34">
        <f t="shared" si="25"/>
        <v>2</v>
      </c>
      <c r="AC33" s="34">
        <f t="shared" si="25"/>
        <v>29</v>
      </c>
      <c r="AD33" s="34">
        <f t="shared" si="25"/>
        <v>0</v>
      </c>
      <c r="AE33" s="31">
        <f t="shared" si="25"/>
        <v>73</v>
      </c>
      <c r="AF33" s="31">
        <f t="shared" si="25"/>
        <v>102</v>
      </c>
    </row>
    <row r="34" spans="2:32" ht="23.1" customHeight="1" x14ac:dyDescent="0.25">
      <c r="B34" s="46" t="s">
        <v>61</v>
      </c>
      <c r="C34" s="50">
        <v>19</v>
      </c>
      <c r="D34" s="50">
        <v>0</v>
      </c>
      <c r="E34" s="50">
        <v>27</v>
      </c>
      <c r="F34" s="50">
        <v>20</v>
      </c>
      <c r="G34" s="50">
        <v>0</v>
      </c>
      <c r="H34" s="50">
        <v>1</v>
      </c>
      <c r="I34" s="50">
        <v>14</v>
      </c>
      <c r="J34" s="50">
        <v>0</v>
      </c>
      <c r="K34" s="50">
        <v>0</v>
      </c>
      <c r="L34" s="50">
        <v>2</v>
      </c>
      <c r="M34" s="50">
        <v>61</v>
      </c>
      <c r="N34" s="50">
        <v>0</v>
      </c>
      <c r="O34" s="15">
        <f t="shared" si="0"/>
        <v>83</v>
      </c>
      <c r="P34" s="15">
        <f t="shared" si="1"/>
        <v>144</v>
      </c>
      <c r="R34" s="38" t="s">
        <v>90</v>
      </c>
      <c r="S34" s="39">
        <f t="shared" ref="S34:AF34" si="26">MAX(S10:S12)</f>
        <v>29</v>
      </c>
      <c r="T34" s="39">
        <f t="shared" si="26"/>
        <v>0</v>
      </c>
      <c r="U34" s="39">
        <f t="shared" si="26"/>
        <v>84</v>
      </c>
      <c r="V34" s="39">
        <f t="shared" si="26"/>
        <v>53</v>
      </c>
      <c r="W34" s="39">
        <f t="shared" si="26"/>
        <v>1</v>
      </c>
      <c r="X34" s="39">
        <f t="shared" si="26"/>
        <v>7</v>
      </c>
      <c r="Y34" s="39">
        <f t="shared" si="26"/>
        <v>30</v>
      </c>
      <c r="Z34" s="39">
        <f t="shared" si="26"/>
        <v>3</v>
      </c>
      <c r="AA34" s="39">
        <f t="shared" si="26"/>
        <v>1</v>
      </c>
      <c r="AB34" s="39">
        <f t="shared" si="26"/>
        <v>8</v>
      </c>
      <c r="AC34" s="39">
        <f t="shared" si="26"/>
        <v>311</v>
      </c>
      <c r="AD34" s="39">
        <f t="shared" si="26"/>
        <v>0</v>
      </c>
      <c r="AE34" s="40">
        <f t="shared" si="26"/>
        <v>199</v>
      </c>
      <c r="AF34" s="40">
        <f t="shared" si="26"/>
        <v>510</v>
      </c>
    </row>
    <row r="35" spans="2:32" ht="23.1" customHeight="1" x14ac:dyDescent="0.25">
      <c r="B35" s="46" t="s">
        <v>62</v>
      </c>
      <c r="C35" s="50">
        <v>8</v>
      </c>
      <c r="D35" s="50">
        <v>0</v>
      </c>
      <c r="E35" s="50">
        <v>22</v>
      </c>
      <c r="F35" s="50">
        <v>18</v>
      </c>
      <c r="G35" s="50">
        <v>1</v>
      </c>
      <c r="H35" s="50">
        <v>1</v>
      </c>
      <c r="I35" s="50">
        <v>7</v>
      </c>
      <c r="J35" s="50">
        <v>0</v>
      </c>
      <c r="K35" s="50">
        <v>0</v>
      </c>
      <c r="L35" s="50">
        <v>0</v>
      </c>
      <c r="M35" s="50">
        <v>66</v>
      </c>
      <c r="N35" s="50">
        <v>0</v>
      </c>
      <c r="O35" s="15">
        <f t="shared" si="0"/>
        <v>57</v>
      </c>
      <c r="P35" s="15">
        <f t="shared" si="1"/>
        <v>123</v>
      </c>
      <c r="R35" s="38" t="s">
        <v>91</v>
      </c>
      <c r="S35" s="39">
        <f t="shared" ref="S35:AF35" si="27">MAX(S13:S18)</f>
        <v>55</v>
      </c>
      <c r="T35" s="39">
        <f t="shared" si="27"/>
        <v>0</v>
      </c>
      <c r="U35" s="39">
        <f t="shared" si="27"/>
        <v>89</v>
      </c>
      <c r="V35" s="39">
        <f t="shared" si="27"/>
        <v>77</v>
      </c>
      <c r="W35" s="39">
        <f t="shared" si="27"/>
        <v>7</v>
      </c>
      <c r="X35" s="39">
        <f t="shared" si="27"/>
        <v>7</v>
      </c>
      <c r="Y35" s="39">
        <f t="shared" si="27"/>
        <v>37</v>
      </c>
      <c r="Z35" s="39">
        <f t="shared" si="27"/>
        <v>2</v>
      </c>
      <c r="AA35" s="39">
        <f t="shared" si="27"/>
        <v>1</v>
      </c>
      <c r="AB35" s="39">
        <f t="shared" si="27"/>
        <v>18</v>
      </c>
      <c r="AC35" s="39">
        <f t="shared" si="27"/>
        <v>302</v>
      </c>
      <c r="AD35" s="39">
        <f t="shared" si="27"/>
        <v>0</v>
      </c>
      <c r="AE35" s="40">
        <f t="shared" si="27"/>
        <v>267</v>
      </c>
      <c r="AF35" s="40">
        <f t="shared" si="27"/>
        <v>527</v>
      </c>
    </row>
    <row r="36" spans="2:32" ht="23.1" customHeight="1" x14ac:dyDescent="0.25">
      <c r="B36" s="46" t="s">
        <v>63</v>
      </c>
      <c r="C36" s="50">
        <v>17</v>
      </c>
      <c r="D36" s="50">
        <v>0</v>
      </c>
      <c r="E36" s="50">
        <v>21</v>
      </c>
      <c r="F36" s="50">
        <v>12</v>
      </c>
      <c r="G36" s="50">
        <v>1</v>
      </c>
      <c r="H36" s="50">
        <v>2</v>
      </c>
      <c r="I36" s="50">
        <v>10</v>
      </c>
      <c r="J36" s="50">
        <v>0</v>
      </c>
      <c r="K36" s="50">
        <v>0</v>
      </c>
      <c r="L36" s="50">
        <v>3</v>
      </c>
      <c r="M36" s="50">
        <v>69</v>
      </c>
      <c r="N36" s="50">
        <v>0</v>
      </c>
      <c r="O36" s="15">
        <f t="shared" si="0"/>
        <v>66</v>
      </c>
      <c r="P36" s="15">
        <f t="shared" si="1"/>
        <v>135</v>
      </c>
      <c r="R36" s="38" t="s">
        <v>92</v>
      </c>
      <c r="S36" s="39">
        <f t="shared" ref="S36:AF36" si="28">MAX(S19:S21)</f>
        <v>44</v>
      </c>
      <c r="T36" s="39">
        <f t="shared" si="28"/>
        <v>0</v>
      </c>
      <c r="U36" s="39">
        <f t="shared" si="28"/>
        <v>61</v>
      </c>
      <c r="V36" s="39">
        <f t="shared" si="28"/>
        <v>63</v>
      </c>
      <c r="W36" s="39">
        <f t="shared" si="28"/>
        <v>2</v>
      </c>
      <c r="X36" s="39">
        <f t="shared" si="28"/>
        <v>5</v>
      </c>
      <c r="Y36" s="39">
        <f t="shared" si="28"/>
        <v>28</v>
      </c>
      <c r="Z36" s="39">
        <f t="shared" si="28"/>
        <v>1</v>
      </c>
      <c r="AA36" s="39">
        <f t="shared" si="28"/>
        <v>2</v>
      </c>
      <c r="AB36" s="39">
        <f t="shared" si="28"/>
        <v>7</v>
      </c>
      <c r="AC36" s="39">
        <f t="shared" si="28"/>
        <v>303</v>
      </c>
      <c r="AD36" s="39">
        <f t="shared" si="28"/>
        <v>0</v>
      </c>
      <c r="AE36" s="40">
        <f t="shared" si="28"/>
        <v>200</v>
      </c>
      <c r="AF36" s="40">
        <f t="shared" si="28"/>
        <v>486</v>
      </c>
    </row>
    <row r="37" spans="2:32" ht="23.1" customHeight="1" x14ac:dyDescent="0.25">
      <c r="B37" s="45" t="s">
        <v>64</v>
      </c>
      <c r="C37" s="50">
        <v>11</v>
      </c>
      <c r="D37" s="50">
        <v>0</v>
      </c>
      <c r="E37" s="50">
        <v>19</v>
      </c>
      <c r="F37" s="50">
        <v>21</v>
      </c>
      <c r="G37" s="50">
        <v>2</v>
      </c>
      <c r="H37" s="50">
        <v>2</v>
      </c>
      <c r="I37" s="50">
        <v>6</v>
      </c>
      <c r="J37" s="50">
        <v>0</v>
      </c>
      <c r="K37" s="50">
        <v>0</v>
      </c>
      <c r="L37" s="50">
        <v>0</v>
      </c>
      <c r="M37" s="50">
        <v>64</v>
      </c>
      <c r="N37" s="50">
        <v>0</v>
      </c>
      <c r="O37" s="15">
        <f t="shared" si="0"/>
        <v>61</v>
      </c>
      <c r="P37" s="15">
        <f t="shared" si="1"/>
        <v>125</v>
      </c>
      <c r="R37" s="37" t="s">
        <v>85</v>
      </c>
      <c r="S37" s="35">
        <f t="shared" ref="S37:AF37" si="29">SUM(S10:S12)</f>
        <v>70</v>
      </c>
      <c r="T37" s="16">
        <f t="shared" si="29"/>
        <v>0</v>
      </c>
      <c r="U37" s="16">
        <f t="shared" si="29"/>
        <v>167</v>
      </c>
      <c r="V37" s="16">
        <f t="shared" si="29"/>
        <v>110</v>
      </c>
      <c r="W37" s="16">
        <f t="shared" si="29"/>
        <v>1</v>
      </c>
      <c r="X37" s="16">
        <f t="shared" si="29"/>
        <v>12</v>
      </c>
      <c r="Y37" s="16">
        <f t="shared" si="29"/>
        <v>71</v>
      </c>
      <c r="Z37" s="16">
        <f t="shared" si="29"/>
        <v>5</v>
      </c>
      <c r="AA37" s="16">
        <f t="shared" si="29"/>
        <v>2</v>
      </c>
      <c r="AB37" s="16">
        <f t="shared" si="29"/>
        <v>12</v>
      </c>
      <c r="AC37" s="16">
        <f t="shared" si="29"/>
        <v>772</v>
      </c>
      <c r="AD37" s="16">
        <f t="shared" si="29"/>
        <v>0</v>
      </c>
      <c r="AE37" s="32">
        <f t="shared" si="29"/>
        <v>450</v>
      </c>
      <c r="AF37" s="32">
        <f t="shared" si="29"/>
        <v>1222</v>
      </c>
    </row>
    <row r="38" spans="2:32" ht="23.1" customHeight="1" x14ac:dyDescent="0.25">
      <c r="B38" s="46" t="s">
        <v>65</v>
      </c>
      <c r="C38" s="50">
        <v>8</v>
      </c>
      <c r="D38" s="50">
        <v>0</v>
      </c>
      <c r="E38" s="50">
        <v>17</v>
      </c>
      <c r="F38" s="50">
        <v>27</v>
      </c>
      <c r="G38" s="50">
        <v>0</v>
      </c>
      <c r="H38" s="50">
        <v>4</v>
      </c>
      <c r="I38" s="50">
        <v>6</v>
      </c>
      <c r="J38" s="50">
        <v>0</v>
      </c>
      <c r="K38" s="50">
        <v>0</v>
      </c>
      <c r="L38" s="50">
        <v>0</v>
      </c>
      <c r="M38" s="50">
        <v>55</v>
      </c>
      <c r="N38" s="50">
        <v>0</v>
      </c>
      <c r="O38" s="15">
        <f t="shared" si="0"/>
        <v>62</v>
      </c>
      <c r="P38" s="15">
        <f t="shared" si="1"/>
        <v>117</v>
      </c>
      <c r="R38" s="28" t="s">
        <v>86</v>
      </c>
      <c r="S38" s="16">
        <f t="shared" ref="S38:AF38" si="30">SUM(S13:S18)</f>
        <v>265</v>
      </c>
      <c r="T38" s="16">
        <f t="shared" si="30"/>
        <v>0</v>
      </c>
      <c r="U38" s="16">
        <f t="shared" si="30"/>
        <v>442</v>
      </c>
      <c r="V38" s="16">
        <f t="shared" si="30"/>
        <v>389</v>
      </c>
      <c r="W38" s="16">
        <f t="shared" si="30"/>
        <v>14</v>
      </c>
      <c r="X38" s="16">
        <f t="shared" si="30"/>
        <v>32</v>
      </c>
      <c r="Y38" s="16">
        <f t="shared" si="30"/>
        <v>176</v>
      </c>
      <c r="Z38" s="16">
        <f t="shared" si="30"/>
        <v>3</v>
      </c>
      <c r="AA38" s="16">
        <f t="shared" si="30"/>
        <v>2</v>
      </c>
      <c r="AB38" s="16">
        <f t="shared" si="30"/>
        <v>42</v>
      </c>
      <c r="AC38" s="16">
        <f t="shared" si="30"/>
        <v>1598</v>
      </c>
      <c r="AD38" s="16">
        <f t="shared" si="30"/>
        <v>0</v>
      </c>
      <c r="AE38" s="32">
        <f t="shared" si="30"/>
        <v>1365</v>
      </c>
      <c r="AF38" s="32">
        <f t="shared" si="30"/>
        <v>2963</v>
      </c>
    </row>
    <row r="39" spans="2:32" ht="23.1" customHeight="1" x14ac:dyDescent="0.25">
      <c r="B39" s="46" t="s">
        <v>66</v>
      </c>
      <c r="C39" s="50">
        <v>10</v>
      </c>
      <c r="D39" s="50">
        <v>0</v>
      </c>
      <c r="E39" s="50">
        <v>17</v>
      </c>
      <c r="F39" s="50">
        <v>12</v>
      </c>
      <c r="G39" s="50">
        <v>3</v>
      </c>
      <c r="H39" s="50">
        <v>1</v>
      </c>
      <c r="I39" s="50">
        <v>11</v>
      </c>
      <c r="J39" s="50">
        <v>1</v>
      </c>
      <c r="K39" s="50">
        <v>0</v>
      </c>
      <c r="L39" s="50">
        <v>0</v>
      </c>
      <c r="M39" s="50">
        <v>59</v>
      </c>
      <c r="N39" s="50">
        <v>0</v>
      </c>
      <c r="O39" s="15">
        <f t="shared" si="0"/>
        <v>55</v>
      </c>
      <c r="P39" s="15">
        <f t="shared" si="1"/>
        <v>114</v>
      </c>
      <c r="R39" s="29" t="s">
        <v>87</v>
      </c>
      <c r="S39" s="16">
        <f t="shared" ref="S39:AF39" si="31">SUM(S19:S21)</f>
        <v>116</v>
      </c>
      <c r="T39" s="16">
        <f t="shared" si="31"/>
        <v>0</v>
      </c>
      <c r="U39" s="16">
        <f t="shared" si="31"/>
        <v>137</v>
      </c>
      <c r="V39" s="16">
        <f t="shared" si="31"/>
        <v>182</v>
      </c>
      <c r="W39" s="16">
        <f t="shared" si="31"/>
        <v>2</v>
      </c>
      <c r="X39" s="16">
        <f t="shared" si="31"/>
        <v>8</v>
      </c>
      <c r="Y39" s="16">
        <f t="shared" si="31"/>
        <v>76</v>
      </c>
      <c r="Z39" s="16">
        <f t="shared" si="31"/>
        <v>3</v>
      </c>
      <c r="AA39" s="16">
        <f t="shared" si="31"/>
        <v>3</v>
      </c>
      <c r="AB39" s="16">
        <f t="shared" si="31"/>
        <v>11</v>
      </c>
      <c r="AC39" s="16">
        <f t="shared" si="31"/>
        <v>866</v>
      </c>
      <c r="AD39" s="16">
        <f t="shared" si="31"/>
        <v>0</v>
      </c>
      <c r="AE39" s="32">
        <f t="shared" si="31"/>
        <v>538</v>
      </c>
      <c r="AF39" s="32">
        <f t="shared" si="31"/>
        <v>1404</v>
      </c>
    </row>
    <row r="40" spans="2:32" ht="23.1" customHeight="1" x14ac:dyDescent="0.25">
      <c r="B40" s="46" t="s">
        <v>67</v>
      </c>
      <c r="C40" s="50">
        <v>12</v>
      </c>
      <c r="D40" s="50">
        <v>0</v>
      </c>
      <c r="E40" s="50">
        <v>11</v>
      </c>
      <c r="F40" s="50">
        <v>18</v>
      </c>
      <c r="G40" s="50">
        <v>1</v>
      </c>
      <c r="H40" s="50">
        <v>2</v>
      </c>
      <c r="I40" s="50">
        <v>9</v>
      </c>
      <c r="J40" s="50">
        <v>0</v>
      </c>
      <c r="K40" s="50">
        <v>0</v>
      </c>
      <c r="L40" s="50">
        <v>4</v>
      </c>
      <c r="M40" s="50">
        <v>78</v>
      </c>
      <c r="N40" s="50">
        <v>0</v>
      </c>
      <c r="O40" s="15">
        <f t="shared" si="0"/>
        <v>57</v>
      </c>
      <c r="P40" s="15">
        <f t="shared" si="1"/>
        <v>135</v>
      </c>
      <c r="R40" s="5" t="s">
        <v>17</v>
      </c>
      <c r="S40" s="16">
        <f t="shared" ref="S40:AF40" si="32">SUM(S10:S21)</f>
        <v>451</v>
      </c>
      <c r="T40" s="16">
        <f t="shared" si="32"/>
        <v>0</v>
      </c>
      <c r="U40" s="16">
        <f t="shared" si="32"/>
        <v>746</v>
      </c>
      <c r="V40" s="16">
        <f t="shared" si="32"/>
        <v>681</v>
      </c>
      <c r="W40" s="16">
        <f t="shared" si="32"/>
        <v>17</v>
      </c>
      <c r="X40" s="16">
        <f t="shared" si="32"/>
        <v>52</v>
      </c>
      <c r="Y40" s="16">
        <f t="shared" si="32"/>
        <v>323</v>
      </c>
      <c r="Z40" s="16">
        <f t="shared" si="32"/>
        <v>11</v>
      </c>
      <c r="AA40" s="16">
        <f t="shared" si="32"/>
        <v>7</v>
      </c>
      <c r="AB40" s="16">
        <f t="shared" si="32"/>
        <v>65</v>
      </c>
      <c r="AC40" s="16">
        <f t="shared" si="32"/>
        <v>3236</v>
      </c>
      <c r="AD40" s="16">
        <f t="shared" si="32"/>
        <v>0</v>
      </c>
      <c r="AE40" s="32">
        <f t="shared" si="32"/>
        <v>2353</v>
      </c>
      <c r="AF40" s="32">
        <f t="shared" si="32"/>
        <v>5589</v>
      </c>
    </row>
    <row r="41" spans="2:32" ht="23.1" customHeight="1" x14ac:dyDescent="0.25">
      <c r="B41" s="45" t="s">
        <v>68</v>
      </c>
      <c r="C41" s="50">
        <v>16</v>
      </c>
      <c r="D41" s="50">
        <v>0</v>
      </c>
      <c r="E41" s="50">
        <v>14</v>
      </c>
      <c r="F41" s="50">
        <v>20</v>
      </c>
      <c r="G41" s="50">
        <v>3</v>
      </c>
      <c r="H41" s="50">
        <v>0</v>
      </c>
      <c r="I41" s="50">
        <v>10</v>
      </c>
      <c r="J41" s="50">
        <v>0</v>
      </c>
      <c r="K41" s="50">
        <v>1</v>
      </c>
      <c r="L41" s="50">
        <v>1</v>
      </c>
      <c r="M41" s="50">
        <v>55</v>
      </c>
      <c r="N41" s="50">
        <v>0</v>
      </c>
      <c r="O41" s="15">
        <f t="shared" si="0"/>
        <v>65</v>
      </c>
      <c r="P41" s="15">
        <f t="shared" si="1"/>
        <v>120</v>
      </c>
      <c r="R41" s="5" t="s">
        <v>159</v>
      </c>
      <c r="S41" s="16">
        <f>SUM(S10:S33)</f>
        <v>576</v>
      </c>
      <c r="T41" s="16">
        <f t="shared" ref="T41:AF41" si="33">SUM(T10:T33)</f>
        <v>33</v>
      </c>
      <c r="U41" s="16">
        <f t="shared" si="33"/>
        <v>841</v>
      </c>
      <c r="V41" s="16">
        <f t="shared" si="33"/>
        <v>797</v>
      </c>
      <c r="W41" s="16">
        <f t="shared" si="33"/>
        <v>44</v>
      </c>
      <c r="X41" s="16">
        <f t="shared" si="33"/>
        <v>88</v>
      </c>
      <c r="Y41" s="16">
        <f t="shared" si="33"/>
        <v>452</v>
      </c>
      <c r="Z41" s="16">
        <f t="shared" si="33"/>
        <v>24</v>
      </c>
      <c r="AA41" s="16">
        <f t="shared" si="33"/>
        <v>16</v>
      </c>
      <c r="AB41" s="16">
        <f t="shared" si="33"/>
        <v>127</v>
      </c>
      <c r="AC41" s="16">
        <f t="shared" si="33"/>
        <v>3834</v>
      </c>
      <c r="AD41" s="16">
        <f t="shared" si="33"/>
        <v>0</v>
      </c>
      <c r="AE41" s="32">
        <f t="shared" si="33"/>
        <v>2998</v>
      </c>
      <c r="AF41" s="32">
        <f t="shared" si="33"/>
        <v>6832</v>
      </c>
    </row>
    <row r="42" spans="2:32" ht="23.1" customHeight="1" x14ac:dyDescent="0.25">
      <c r="B42" s="46" t="s">
        <v>69</v>
      </c>
      <c r="C42" s="50">
        <v>2</v>
      </c>
      <c r="D42" s="50">
        <v>0</v>
      </c>
      <c r="E42" s="50">
        <v>11</v>
      </c>
      <c r="F42" s="50">
        <v>12</v>
      </c>
      <c r="G42" s="50">
        <v>0</v>
      </c>
      <c r="H42" s="50">
        <v>3</v>
      </c>
      <c r="I42" s="50">
        <v>6</v>
      </c>
      <c r="J42" s="50">
        <v>0</v>
      </c>
      <c r="K42" s="50">
        <v>1</v>
      </c>
      <c r="L42" s="50">
        <v>2</v>
      </c>
      <c r="M42" s="50">
        <v>72</v>
      </c>
      <c r="N42" s="50">
        <v>0</v>
      </c>
      <c r="O42" s="15">
        <f t="shared" si="0"/>
        <v>37</v>
      </c>
      <c r="P42" s="15">
        <f t="shared" si="1"/>
        <v>109</v>
      </c>
      <c r="R42" s="5" t="s">
        <v>160</v>
      </c>
      <c r="S42" s="48">
        <f>S41/S40</f>
        <v>1.2771618625277161</v>
      </c>
      <c r="T42" s="48" t="e">
        <f t="shared" ref="T42:AF42" si="34">T41/T40</f>
        <v>#DIV/0!</v>
      </c>
      <c r="U42" s="48">
        <f t="shared" si="34"/>
        <v>1.1273458445040214</v>
      </c>
      <c r="V42" s="48">
        <f t="shared" si="34"/>
        <v>1.1703377386196769</v>
      </c>
      <c r="W42" s="48">
        <f t="shared" si="34"/>
        <v>2.5882352941176472</v>
      </c>
      <c r="X42" s="48">
        <f t="shared" si="34"/>
        <v>1.6923076923076923</v>
      </c>
      <c r="Y42" s="48">
        <f t="shared" si="34"/>
        <v>1.3993808049535603</v>
      </c>
      <c r="Z42" s="48">
        <f t="shared" si="34"/>
        <v>2.1818181818181817</v>
      </c>
      <c r="AA42" s="48">
        <f t="shared" si="34"/>
        <v>2.2857142857142856</v>
      </c>
      <c r="AB42" s="48">
        <f t="shared" si="34"/>
        <v>1.9538461538461538</v>
      </c>
      <c r="AC42" s="48">
        <f t="shared" si="34"/>
        <v>1.1847960444993819</v>
      </c>
      <c r="AD42" s="48" t="e">
        <f t="shared" si="34"/>
        <v>#DIV/0!</v>
      </c>
      <c r="AE42" s="48">
        <f t="shared" si="34"/>
        <v>1.2741181470463239</v>
      </c>
      <c r="AF42" s="48">
        <f t="shared" si="34"/>
        <v>1.2224011451064591</v>
      </c>
    </row>
    <row r="43" spans="2:32" ht="23.1" customHeight="1" x14ac:dyDescent="0.25">
      <c r="B43" s="45" t="s">
        <v>70</v>
      </c>
      <c r="C43" s="50">
        <v>12</v>
      </c>
      <c r="D43" s="50">
        <v>0</v>
      </c>
      <c r="E43" s="50">
        <v>15</v>
      </c>
      <c r="F43" s="50">
        <v>19</v>
      </c>
      <c r="G43" s="50">
        <v>0</v>
      </c>
      <c r="H43" s="50">
        <v>1</v>
      </c>
      <c r="I43" s="50">
        <v>4</v>
      </c>
      <c r="J43" s="50">
        <v>0</v>
      </c>
      <c r="K43" s="50">
        <v>0</v>
      </c>
      <c r="L43" s="50">
        <v>1</v>
      </c>
      <c r="M43" s="50">
        <v>63</v>
      </c>
      <c r="N43" s="50">
        <v>0</v>
      </c>
      <c r="O43" s="15">
        <f t="shared" si="0"/>
        <v>52</v>
      </c>
      <c r="P43" s="15">
        <f t="shared" si="1"/>
        <v>115</v>
      </c>
    </row>
    <row r="44" spans="2:32" ht="23.1" customHeight="1" x14ac:dyDescent="0.25">
      <c r="B44" s="47" t="s">
        <v>71</v>
      </c>
      <c r="C44" s="50">
        <v>10</v>
      </c>
      <c r="D44" s="50">
        <v>0</v>
      </c>
      <c r="E44" s="50">
        <v>21</v>
      </c>
      <c r="F44" s="50">
        <v>15</v>
      </c>
      <c r="G44" s="50">
        <v>0</v>
      </c>
      <c r="H44" s="50">
        <v>0</v>
      </c>
      <c r="I44" s="50">
        <v>11</v>
      </c>
      <c r="J44" s="50">
        <v>0</v>
      </c>
      <c r="K44" s="50">
        <v>0</v>
      </c>
      <c r="L44" s="50">
        <v>0</v>
      </c>
      <c r="M44" s="50">
        <v>65</v>
      </c>
      <c r="N44" s="50">
        <v>0</v>
      </c>
      <c r="O44" s="15">
        <f t="shared" si="0"/>
        <v>57</v>
      </c>
      <c r="P44" s="15">
        <f t="shared" si="1"/>
        <v>122</v>
      </c>
    </row>
    <row r="45" spans="2:32" ht="23.1" customHeight="1" x14ac:dyDescent="0.25">
      <c r="B45" s="45" t="s">
        <v>72</v>
      </c>
      <c r="C45" s="50">
        <v>8</v>
      </c>
      <c r="D45" s="50">
        <v>0</v>
      </c>
      <c r="E45" s="50">
        <v>15</v>
      </c>
      <c r="F45" s="50">
        <v>19</v>
      </c>
      <c r="G45" s="50">
        <v>0</v>
      </c>
      <c r="H45" s="50">
        <v>1</v>
      </c>
      <c r="I45" s="50">
        <v>7</v>
      </c>
      <c r="J45" s="50">
        <v>0</v>
      </c>
      <c r="K45" s="50">
        <v>0</v>
      </c>
      <c r="L45" s="50">
        <v>0</v>
      </c>
      <c r="M45" s="50">
        <v>72</v>
      </c>
      <c r="N45" s="50">
        <v>0</v>
      </c>
      <c r="O45" s="15">
        <f t="shared" si="0"/>
        <v>50</v>
      </c>
      <c r="P45" s="15">
        <f t="shared" si="1"/>
        <v>122</v>
      </c>
    </row>
    <row r="46" spans="2:32" ht="23.1" customHeight="1" x14ac:dyDescent="0.25">
      <c r="B46" s="46" t="s">
        <v>73</v>
      </c>
      <c r="C46" s="50">
        <v>20</v>
      </c>
      <c r="D46" s="50">
        <v>0</v>
      </c>
      <c r="E46" s="50">
        <v>18</v>
      </c>
      <c r="F46" s="50">
        <v>16</v>
      </c>
      <c r="G46" s="50">
        <v>0</v>
      </c>
      <c r="H46" s="50">
        <v>0</v>
      </c>
      <c r="I46" s="50">
        <v>8</v>
      </c>
      <c r="J46" s="50">
        <v>0</v>
      </c>
      <c r="K46" s="50">
        <v>0</v>
      </c>
      <c r="L46" s="50">
        <v>0</v>
      </c>
      <c r="M46" s="50">
        <v>81</v>
      </c>
      <c r="N46" s="50">
        <v>0</v>
      </c>
      <c r="O46" s="15">
        <f t="shared" si="0"/>
        <v>62</v>
      </c>
      <c r="P46" s="15">
        <f t="shared" si="1"/>
        <v>143</v>
      </c>
      <c r="R46" s="8"/>
      <c r="T46"/>
    </row>
    <row r="47" spans="2:32" ht="23.1" customHeight="1" x14ac:dyDescent="0.25">
      <c r="B47" s="46" t="s">
        <v>74</v>
      </c>
      <c r="C47" s="50">
        <v>4</v>
      </c>
      <c r="D47" s="50">
        <v>0</v>
      </c>
      <c r="E47" s="50">
        <v>16</v>
      </c>
      <c r="F47" s="50">
        <v>14</v>
      </c>
      <c r="G47" s="50">
        <v>0</v>
      </c>
      <c r="H47" s="50">
        <v>1</v>
      </c>
      <c r="I47" s="50">
        <v>9</v>
      </c>
      <c r="J47" s="50">
        <v>0</v>
      </c>
      <c r="K47" s="50">
        <v>0</v>
      </c>
      <c r="L47" s="50">
        <v>0</v>
      </c>
      <c r="M47" s="50">
        <v>72</v>
      </c>
      <c r="N47" s="50">
        <v>0</v>
      </c>
      <c r="O47" s="15">
        <f t="shared" si="0"/>
        <v>44</v>
      </c>
      <c r="P47" s="15">
        <f t="shared" si="1"/>
        <v>116</v>
      </c>
      <c r="R47" s="8"/>
      <c r="T47"/>
    </row>
    <row r="48" spans="2:32" ht="23.1" customHeight="1" x14ac:dyDescent="0.25">
      <c r="B48" s="46" t="s">
        <v>75</v>
      </c>
      <c r="C48" s="50">
        <v>12</v>
      </c>
      <c r="D48" s="50">
        <v>0</v>
      </c>
      <c r="E48" s="50">
        <v>19</v>
      </c>
      <c r="F48" s="50">
        <v>17</v>
      </c>
      <c r="G48" s="50">
        <v>0</v>
      </c>
      <c r="H48" s="50">
        <v>1</v>
      </c>
      <c r="I48" s="50">
        <v>8</v>
      </c>
      <c r="J48" s="50">
        <v>1</v>
      </c>
      <c r="K48" s="50">
        <v>1</v>
      </c>
      <c r="L48" s="50">
        <v>1</v>
      </c>
      <c r="M48" s="50">
        <v>68</v>
      </c>
      <c r="N48" s="50">
        <v>0</v>
      </c>
      <c r="O48" s="15">
        <f t="shared" si="0"/>
        <v>60</v>
      </c>
      <c r="P48" s="15">
        <f t="shared" si="1"/>
        <v>128</v>
      </c>
      <c r="R48" s="8"/>
      <c r="T48"/>
    </row>
    <row r="49" spans="2:20" ht="23.1" customHeight="1" x14ac:dyDescent="0.25">
      <c r="B49" s="45" t="s">
        <v>76</v>
      </c>
      <c r="C49" s="50">
        <v>7</v>
      </c>
      <c r="D49" s="50">
        <v>0</v>
      </c>
      <c r="E49" s="50">
        <v>8</v>
      </c>
      <c r="F49" s="50">
        <v>16</v>
      </c>
      <c r="G49" s="50">
        <v>0</v>
      </c>
      <c r="H49" s="50">
        <v>0</v>
      </c>
      <c r="I49" s="50">
        <v>3</v>
      </c>
      <c r="J49" s="50">
        <v>0</v>
      </c>
      <c r="K49" s="50">
        <v>0</v>
      </c>
      <c r="L49" s="50">
        <v>0</v>
      </c>
      <c r="M49" s="50">
        <v>60</v>
      </c>
      <c r="N49" s="50">
        <v>0</v>
      </c>
      <c r="O49" s="15">
        <f t="shared" si="0"/>
        <v>34</v>
      </c>
      <c r="P49" s="15">
        <f t="shared" si="1"/>
        <v>94</v>
      </c>
      <c r="R49" s="8"/>
      <c r="T49"/>
    </row>
    <row r="50" spans="2:20" ht="23.1" customHeight="1" x14ac:dyDescent="0.25">
      <c r="B50" s="46" t="s">
        <v>77</v>
      </c>
      <c r="C50" s="50">
        <v>11</v>
      </c>
      <c r="D50" s="50">
        <v>0</v>
      </c>
      <c r="E50" s="50">
        <v>11</v>
      </c>
      <c r="F50" s="50">
        <v>18</v>
      </c>
      <c r="G50" s="50">
        <v>1</v>
      </c>
      <c r="H50" s="50">
        <v>2</v>
      </c>
      <c r="I50" s="50">
        <v>6</v>
      </c>
      <c r="J50" s="50">
        <v>1</v>
      </c>
      <c r="K50" s="50">
        <v>1</v>
      </c>
      <c r="L50" s="50">
        <v>2</v>
      </c>
      <c r="M50" s="50">
        <v>62</v>
      </c>
      <c r="N50" s="50">
        <v>0</v>
      </c>
      <c r="O50" s="15">
        <f t="shared" si="0"/>
        <v>53</v>
      </c>
      <c r="P50" s="15">
        <f t="shared" si="1"/>
        <v>115</v>
      </c>
      <c r="R50" s="8"/>
      <c r="T50"/>
    </row>
    <row r="51" spans="2:20" ht="23.1" customHeight="1" x14ac:dyDescent="0.25">
      <c r="B51" s="46" t="s">
        <v>78</v>
      </c>
      <c r="C51" s="50">
        <v>6</v>
      </c>
      <c r="D51" s="50">
        <v>0</v>
      </c>
      <c r="E51" s="50">
        <v>9</v>
      </c>
      <c r="F51" s="50">
        <v>12</v>
      </c>
      <c r="G51" s="50">
        <v>0</v>
      </c>
      <c r="H51" s="50">
        <v>1</v>
      </c>
      <c r="I51" s="50">
        <v>4</v>
      </c>
      <c r="J51" s="50">
        <v>0</v>
      </c>
      <c r="K51" s="50">
        <v>0</v>
      </c>
      <c r="L51" s="50">
        <v>3</v>
      </c>
      <c r="M51" s="50">
        <v>77</v>
      </c>
      <c r="N51" s="50">
        <v>0</v>
      </c>
      <c r="O51" s="15">
        <f t="shared" si="0"/>
        <v>35</v>
      </c>
      <c r="P51" s="15">
        <f t="shared" si="1"/>
        <v>112</v>
      </c>
      <c r="R51" s="8"/>
      <c r="T51"/>
    </row>
    <row r="52" spans="2:20" ht="23.1" customHeight="1" x14ac:dyDescent="0.25">
      <c r="B52" s="46" t="s">
        <v>79</v>
      </c>
      <c r="C52" s="50">
        <v>9</v>
      </c>
      <c r="D52" s="50">
        <v>0</v>
      </c>
      <c r="E52" s="50">
        <v>16</v>
      </c>
      <c r="F52" s="50">
        <v>16</v>
      </c>
      <c r="G52" s="50">
        <v>1</v>
      </c>
      <c r="H52" s="50">
        <v>1</v>
      </c>
      <c r="I52" s="50">
        <v>6</v>
      </c>
      <c r="J52" s="50">
        <v>0</v>
      </c>
      <c r="K52" s="50">
        <v>1</v>
      </c>
      <c r="L52" s="50">
        <v>2</v>
      </c>
      <c r="M52" s="50">
        <v>84</v>
      </c>
      <c r="N52" s="50">
        <v>0</v>
      </c>
      <c r="O52" s="15">
        <f t="shared" si="0"/>
        <v>52</v>
      </c>
      <c r="P52" s="15">
        <f t="shared" si="1"/>
        <v>136</v>
      </c>
      <c r="R52" s="8"/>
      <c r="T52"/>
    </row>
    <row r="53" spans="2:20" ht="23.1" customHeight="1" x14ac:dyDescent="0.25">
      <c r="B53" s="45" t="s">
        <v>80</v>
      </c>
      <c r="C53" s="50">
        <v>18</v>
      </c>
      <c r="D53" s="50">
        <v>0</v>
      </c>
      <c r="E53" s="50">
        <v>6</v>
      </c>
      <c r="F53" s="50">
        <v>14</v>
      </c>
      <c r="G53" s="50">
        <v>0</v>
      </c>
      <c r="H53" s="50">
        <v>1</v>
      </c>
      <c r="I53" s="50">
        <v>4</v>
      </c>
      <c r="J53" s="50">
        <v>0</v>
      </c>
      <c r="K53" s="50">
        <v>0</v>
      </c>
      <c r="L53" s="50">
        <v>0</v>
      </c>
      <c r="M53" s="50">
        <v>80</v>
      </c>
      <c r="N53" s="50">
        <v>0</v>
      </c>
      <c r="O53" s="15">
        <f t="shared" si="0"/>
        <v>43</v>
      </c>
      <c r="P53" s="15">
        <f t="shared" si="1"/>
        <v>123</v>
      </c>
      <c r="R53" s="8"/>
      <c r="T53"/>
    </row>
    <row r="54" spans="2:20" ht="23.1" customHeight="1" x14ac:dyDescent="0.25">
      <c r="B54" s="45" t="s">
        <v>81</v>
      </c>
      <c r="C54" s="50">
        <v>10</v>
      </c>
      <c r="D54" s="50">
        <v>0</v>
      </c>
      <c r="E54" s="50">
        <v>9</v>
      </c>
      <c r="F54" s="50">
        <v>20</v>
      </c>
      <c r="G54" s="50">
        <v>0</v>
      </c>
      <c r="H54" s="50">
        <v>0</v>
      </c>
      <c r="I54" s="50">
        <v>12</v>
      </c>
      <c r="J54" s="50">
        <v>1</v>
      </c>
      <c r="K54" s="50">
        <v>0</v>
      </c>
      <c r="L54" s="50">
        <v>1</v>
      </c>
      <c r="M54" s="50">
        <v>76</v>
      </c>
      <c r="N54" s="50">
        <v>0</v>
      </c>
      <c r="O54" s="15">
        <f t="shared" si="0"/>
        <v>53</v>
      </c>
      <c r="P54" s="15">
        <f t="shared" si="1"/>
        <v>129</v>
      </c>
      <c r="R54" s="8"/>
      <c r="T54"/>
    </row>
    <row r="55" spans="2:20" ht="23.1" customHeight="1" x14ac:dyDescent="0.25">
      <c r="B55" s="45" t="s">
        <v>82</v>
      </c>
      <c r="C55" s="50">
        <v>6</v>
      </c>
      <c r="D55" s="50">
        <v>0</v>
      </c>
      <c r="E55" s="50">
        <v>9</v>
      </c>
      <c r="F55" s="50">
        <v>10</v>
      </c>
      <c r="G55" s="50">
        <v>0</v>
      </c>
      <c r="H55" s="50">
        <v>1</v>
      </c>
      <c r="I55" s="50">
        <v>3</v>
      </c>
      <c r="J55" s="50">
        <v>0</v>
      </c>
      <c r="K55" s="50">
        <v>0</v>
      </c>
      <c r="L55" s="50">
        <v>1</v>
      </c>
      <c r="M55" s="50">
        <v>77</v>
      </c>
      <c r="N55" s="50">
        <v>0</v>
      </c>
      <c r="O55" s="15">
        <f t="shared" si="0"/>
        <v>30</v>
      </c>
      <c r="P55" s="15">
        <f t="shared" si="1"/>
        <v>107</v>
      </c>
      <c r="R55" s="8"/>
      <c r="T55"/>
    </row>
    <row r="56" spans="2:20" ht="23.1" customHeight="1" x14ac:dyDescent="0.25">
      <c r="B56" s="45" t="s">
        <v>83</v>
      </c>
      <c r="C56" s="50">
        <v>7</v>
      </c>
      <c r="D56" s="50">
        <v>0</v>
      </c>
      <c r="E56" s="50">
        <v>5</v>
      </c>
      <c r="F56" s="50">
        <v>12</v>
      </c>
      <c r="G56" s="50">
        <v>0</v>
      </c>
      <c r="H56" s="50">
        <v>0</v>
      </c>
      <c r="I56" s="50">
        <v>6</v>
      </c>
      <c r="J56" s="50">
        <v>0</v>
      </c>
      <c r="K56" s="50">
        <v>0</v>
      </c>
      <c r="L56" s="50">
        <v>1</v>
      </c>
      <c r="M56" s="50">
        <v>71</v>
      </c>
      <c r="N56" s="50">
        <v>0</v>
      </c>
      <c r="O56" s="15">
        <f t="shared" si="0"/>
        <v>31</v>
      </c>
      <c r="P56" s="15">
        <f t="shared" si="1"/>
        <v>102</v>
      </c>
      <c r="R56" s="8"/>
      <c r="T56"/>
    </row>
    <row r="57" spans="2:20" ht="23.1" customHeight="1" x14ac:dyDescent="0.25">
      <c r="B57" s="45" t="s">
        <v>84</v>
      </c>
      <c r="C57" s="50">
        <v>6</v>
      </c>
      <c r="D57" s="50">
        <v>0</v>
      </c>
      <c r="E57" s="50">
        <v>11</v>
      </c>
      <c r="F57" s="50">
        <v>17</v>
      </c>
      <c r="G57" s="50">
        <v>0</v>
      </c>
      <c r="H57" s="50">
        <v>0</v>
      </c>
      <c r="I57" s="50">
        <v>7</v>
      </c>
      <c r="J57" s="50">
        <v>0</v>
      </c>
      <c r="K57" s="50">
        <v>0</v>
      </c>
      <c r="L57" s="50">
        <v>0</v>
      </c>
      <c r="M57" s="50">
        <v>58</v>
      </c>
      <c r="N57" s="50">
        <v>0</v>
      </c>
      <c r="O57" s="15">
        <f t="shared" si="0"/>
        <v>41</v>
      </c>
      <c r="P57" s="15">
        <f t="shared" si="1"/>
        <v>99</v>
      </c>
      <c r="R57" s="8"/>
      <c r="T57"/>
    </row>
    <row r="58" spans="2:20" ht="23.1" customHeight="1" x14ac:dyDescent="0.25">
      <c r="B58" s="45" t="s">
        <v>99</v>
      </c>
      <c r="C58" s="50">
        <v>7</v>
      </c>
      <c r="D58" s="50">
        <v>3</v>
      </c>
      <c r="E58" s="50">
        <v>7</v>
      </c>
      <c r="F58" s="50">
        <v>12</v>
      </c>
      <c r="G58" s="50">
        <v>0</v>
      </c>
      <c r="H58" s="50">
        <v>0</v>
      </c>
      <c r="I58" s="50">
        <v>8</v>
      </c>
      <c r="J58" s="50">
        <v>1</v>
      </c>
      <c r="K58" s="50">
        <v>1</v>
      </c>
      <c r="L58" s="50">
        <v>1</v>
      </c>
      <c r="M58" s="50">
        <v>55</v>
      </c>
      <c r="N58" s="50">
        <v>0</v>
      </c>
      <c r="O58" s="15">
        <f t="shared" si="0"/>
        <v>40</v>
      </c>
      <c r="P58" s="15">
        <f t="shared" si="1"/>
        <v>95</v>
      </c>
      <c r="R58" s="8"/>
      <c r="T58"/>
    </row>
    <row r="59" spans="2:20" ht="23.1" customHeight="1" x14ac:dyDescent="0.25">
      <c r="B59" s="45" t="s">
        <v>100</v>
      </c>
      <c r="C59" s="50">
        <v>8</v>
      </c>
      <c r="D59" s="50">
        <v>2</v>
      </c>
      <c r="E59" s="50">
        <v>5</v>
      </c>
      <c r="F59" s="50">
        <v>11</v>
      </c>
      <c r="G59" s="50">
        <v>0</v>
      </c>
      <c r="H59" s="50">
        <v>0</v>
      </c>
      <c r="I59" s="50">
        <v>8</v>
      </c>
      <c r="J59" s="50">
        <v>0</v>
      </c>
      <c r="K59" s="50">
        <v>0</v>
      </c>
      <c r="L59" s="50">
        <v>3</v>
      </c>
      <c r="M59" s="50">
        <v>60</v>
      </c>
      <c r="N59" s="50">
        <v>0</v>
      </c>
      <c r="O59" s="15">
        <f t="shared" si="0"/>
        <v>37</v>
      </c>
      <c r="P59" s="15">
        <f t="shared" si="1"/>
        <v>97</v>
      </c>
      <c r="R59" s="8"/>
      <c r="T59"/>
    </row>
    <row r="60" spans="2:20" ht="23.1" customHeight="1" x14ac:dyDescent="0.25">
      <c r="B60" s="45" t="s">
        <v>101</v>
      </c>
      <c r="C60" s="50">
        <v>7</v>
      </c>
      <c r="D60" s="50">
        <v>1</v>
      </c>
      <c r="E60" s="50">
        <v>6</v>
      </c>
      <c r="F60" s="50">
        <v>11</v>
      </c>
      <c r="G60" s="50">
        <v>0</v>
      </c>
      <c r="H60" s="50">
        <v>0</v>
      </c>
      <c r="I60" s="50">
        <v>8</v>
      </c>
      <c r="J60" s="50">
        <v>0</v>
      </c>
      <c r="K60" s="50">
        <v>0</v>
      </c>
      <c r="L60" s="50">
        <v>3</v>
      </c>
      <c r="M60" s="50">
        <v>66</v>
      </c>
      <c r="N60" s="50">
        <v>0</v>
      </c>
      <c r="O60" s="15">
        <f t="shared" si="0"/>
        <v>36</v>
      </c>
      <c r="P60" s="15">
        <f t="shared" si="1"/>
        <v>102</v>
      </c>
      <c r="R60" s="8"/>
      <c r="T60"/>
    </row>
    <row r="61" spans="2:20" ht="23.1" customHeight="1" x14ac:dyDescent="0.25">
      <c r="B61" s="45" t="s">
        <v>102</v>
      </c>
      <c r="C61" s="50">
        <v>5</v>
      </c>
      <c r="D61" s="50">
        <v>0</v>
      </c>
      <c r="E61" s="50">
        <v>7</v>
      </c>
      <c r="F61" s="50">
        <v>8</v>
      </c>
      <c r="G61" s="50">
        <v>0</v>
      </c>
      <c r="H61" s="50">
        <v>2</v>
      </c>
      <c r="I61" s="50">
        <v>8</v>
      </c>
      <c r="J61" s="50">
        <v>0</v>
      </c>
      <c r="K61" s="50">
        <v>0</v>
      </c>
      <c r="L61" s="50">
        <v>3</v>
      </c>
      <c r="M61" s="50">
        <v>56</v>
      </c>
      <c r="N61" s="50">
        <v>0</v>
      </c>
      <c r="O61" s="15">
        <f t="shared" si="0"/>
        <v>33</v>
      </c>
      <c r="P61" s="15">
        <f t="shared" si="1"/>
        <v>89</v>
      </c>
      <c r="R61" s="8"/>
      <c r="T61"/>
    </row>
    <row r="62" spans="2:20" ht="23.1" customHeight="1" x14ac:dyDescent="0.25">
      <c r="B62" s="45" t="s">
        <v>107</v>
      </c>
      <c r="C62" s="50">
        <v>6</v>
      </c>
      <c r="D62" s="50">
        <v>2</v>
      </c>
      <c r="E62" s="50">
        <v>8</v>
      </c>
      <c r="F62" s="50">
        <v>5</v>
      </c>
      <c r="G62" s="50">
        <v>0</v>
      </c>
      <c r="H62" s="50">
        <v>1</v>
      </c>
      <c r="I62" s="50">
        <v>5</v>
      </c>
      <c r="J62" s="50">
        <v>1</v>
      </c>
      <c r="K62" s="50">
        <v>0</v>
      </c>
      <c r="L62" s="50">
        <v>4</v>
      </c>
      <c r="M62" s="50">
        <v>45</v>
      </c>
      <c r="N62" s="50">
        <v>0</v>
      </c>
      <c r="O62" s="15">
        <f t="shared" si="0"/>
        <v>32</v>
      </c>
      <c r="P62" s="15">
        <f t="shared" si="1"/>
        <v>77</v>
      </c>
      <c r="R62" s="8"/>
      <c r="T62"/>
    </row>
    <row r="63" spans="2:20" ht="23.1" customHeight="1" x14ac:dyDescent="0.25">
      <c r="B63" s="45" t="s">
        <v>108</v>
      </c>
      <c r="C63" s="50">
        <v>5</v>
      </c>
      <c r="D63" s="50">
        <v>1</v>
      </c>
      <c r="E63" s="50">
        <v>6</v>
      </c>
      <c r="F63" s="50">
        <v>5</v>
      </c>
      <c r="G63" s="50">
        <v>0</v>
      </c>
      <c r="H63" s="50">
        <v>0</v>
      </c>
      <c r="I63" s="50">
        <v>8</v>
      </c>
      <c r="J63" s="50">
        <v>0</v>
      </c>
      <c r="K63" s="50">
        <v>1</v>
      </c>
      <c r="L63" s="50">
        <v>3</v>
      </c>
      <c r="M63" s="50">
        <v>47</v>
      </c>
      <c r="N63" s="50">
        <v>0</v>
      </c>
      <c r="O63" s="15">
        <f t="shared" si="0"/>
        <v>29</v>
      </c>
      <c r="P63" s="15">
        <f t="shared" si="1"/>
        <v>76</v>
      </c>
      <c r="R63" s="8"/>
      <c r="T63"/>
    </row>
    <row r="64" spans="2:20" ht="23.1" customHeight="1" x14ac:dyDescent="0.25">
      <c r="B64" s="45" t="s">
        <v>109</v>
      </c>
      <c r="C64" s="50">
        <v>6</v>
      </c>
      <c r="D64" s="50">
        <v>0</v>
      </c>
      <c r="E64" s="50">
        <v>5</v>
      </c>
      <c r="F64" s="50">
        <v>7</v>
      </c>
      <c r="G64" s="50">
        <v>0</v>
      </c>
      <c r="H64" s="50">
        <v>2</v>
      </c>
      <c r="I64" s="50">
        <v>6</v>
      </c>
      <c r="J64" s="50">
        <v>0</v>
      </c>
      <c r="K64" s="50">
        <v>0</v>
      </c>
      <c r="L64" s="50">
        <v>3</v>
      </c>
      <c r="M64" s="50">
        <v>38</v>
      </c>
      <c r="N64" s="50">
        <v>0</v>
      </c>
      <c r="O64" s="15">
        <f t="shared" si="0"/>
        <v>29</v>
      </c>
      <c r="P64" s="15">
        <f t="shared" si="1"/>
        <v>67</v>
      </c>
      <c r="R64" s="8"/>
      <c r="T64"/>
    </row>
    <row r="65" spans="2:20" ht="23.1" customHeight="1" x14ac:dyDescent="0.25">
      <c r="B65" s="45" t="s">
        <v>158</v>
      </c>
      <c r="C65" s="50">
        <v>4</v>
      </c>
      <c r="D65" s="50">
        <v>1</v>
      </c>
      <c r="E65" s="50">
        <v>4</v>
      </c>
      <c r="F65" s="50">
        <v>5</v>
      </c>
      <c r="G65" s="50">
        <v>0</v>
      </c>
      <c r="H65" s="50">
        <v>1</v>
      </c>
      <c r="I65" s="50">
        <v>5</v>
      </c>
      <c r="J65" s="50">
        <v>1</v>
      </c>
      <c r="K65" s="50">
        <v>0</v>
      </c>
      <c r="L65" s="50">
        <v>4</v>
      </c>
      <c r="M65" s="50">
        <v>35</v>
      </c>
      <c r="N65" s="50">
        <v>0</v>
      </c>
      <c r="O65" s="15">
        <f t="shared" si="0"/>
        <v>25</v>
      </c>
      <c r="P65" s="15">
        <f t="shared" si="1"/>
        <v>60</v>
      </c>
      <c r="R65" s="8"/>
      <c r="T65"/>
    </row>
    <row r="66" spans="2:20" ht="23.1" customHeight="1" x14ac:dyDescent="0.25">
      <c r="B66" s="45" t="s">
        <v>103</v>
      </c>
      <c r="C66" s="50">
        <v>3</v>
      </c>
      <c r="D66" s="50">
        <v>2</v>
      </c>
      <c r="E66" s="50">
        <v>5</v>
      </c>
      <c r="F66" s="50">
        <v>2</v>
      </c>
      <c r="G66" s="50">
        <v>1</v>
      </c>
      <c r="H66" s="50">
        <v>1</v>
      </c>
      <c r="I66" s="50">
        <v>7</v>
      </c>
      <c r="J66" s="50">
        <v>0</v>
      </c>
      <c r="K66" s="50">
        <v>0</v>
      </c>
      <c r="L66" s="50">
        <v>1</v>
      </c>
      <c r="M66" s="50">
        <v>33</v>
      </c>
      <c r="N66" s="50">
        <v>0</v>
      </c>
      <c r="O66" s="15">
        <f t="shared" si="0"/>
        <v>22</v>
      </c>
      <c r="P66" s="15">
        <f t="shared" si="1"/>
        <v>55</v>
      </c>
      <c r="R66" s="8"/>
      <c r="T66"/>
    </row>
    <row r="67" spans="2:20" ht="23.1" customHeight="1" x14ac:dyDescent="0.25">
      <c r="B67" s="45" t="s">
        <v>104</v>
      </c>
      <c r="C67" s="50">
        <v>3</v>
      </c>
      <c r="D67" s="50">
        <v>0</v>
      </c>
      <c r="E67" s="50">
        <v>4</v>
      </c>
      <c r="F67" s="50">
        <v>5</v>
      </c>
      <c r="G67" s="50">
        <v>1</v>
      </c>
      <c r="H67" s="50">
        <v>0</v>
      </c>
      <c r="I67" s="50">
        <v>3</v>
      </c>
      <c r="J67" s="50">
        <v>0</v>
      </c>
      <c r="K67" s="50">
        <v>0</v>
      </c>
      <c r="L67" s="50">
        <v>0</v>
      </c>
      <c r="M67" s="50">
        <v>24</v>
      </c>
      <c r="N67" s="50">
        <v>0</v>
      </c>
      <c r="O67" s="15">
        <f t="shared" si="0"/>
        <v>16</v>
      </c>
      <c r="P67" s="15">
        <f t="shared" si="1"/>
        <v>40</v>
      </c>
      <c r="R67" s="8"/>
      <c r="T67"/>
    </row>
    <row r="68" spans="2:20" ht="23.1" customHeight="1" x14ac:dyDescent="0.25">
      <c r="B68" s="45" t="s">
        <v>105</v>
      </c>
      <c r="C68" s="50">
        <v>4</v>
      </c>
      <c r="D68" s="50">
        <v>1</v>
      </c>
      <c r="E68" s="50">
        <v>3</v>
      </c>
      <c r="F68" s="50">
        <v>3</v>
      </c>
      <c r="G68" s="50">
        <v>2</v>
      </c>
      <c r="H68" s="50">
        <v>3</v>
      </c>
      <c r="I68" s="50">
        <v>8</v>
      </c>
      <c r="J68" s="50">
        <v>0</v>
      </c>
      <c r="K68" s="50">
        <v>2</v>
      </c>
      <c r="L68" s="50">
        <v>2</v>
      </c>
      <c r="M68" s="50">
        <v>17</v>
      </c>
      <c r="N68" s="50">
        <v>0</v>
      </c>
      <c r="O68" s="15">
        <f t="shared" si="0"/>
        <v>28</v>
      </c>
      <c r="P68" s="15">
        <f t="shared" si="1"/>
        <v>45</v>
      </c>
      <c r="R68" s="8"/>
      <c r="T68"/>
    </row>
    <row r="69" spans="2:20" ht="23.1" customHeight="1" x14ac:dyDescent="0.25">
      <c r="B69" s="45" t="s">
        <v>106</v>
      </c>
      <c r="C69" s="50">
        <v>2</v>
      </c>
      <c r="D69" s="50">
        <v>1</v>
      </c>
      <c r="E69" s="50">
        <v>2</v>
      </c>
      <c r="F69" s="50">
        <v>5</v>
      </c>
      <c r="G69" s="50">
        <v>0</v>
      </c>
      <c r="H69" s="50">
        <v>1</v>
      </c>
      <c r="I69" s="50">
        <v>5</v>
      </c>
      <c r="J69" s="50">
        <v>1</v>
      </c>
      <c r="K69" s="50">
        <v>0</v>
      </c>
      <c r="L69" s="50">
        <v>4</v>
      </c>
      <c r="M69" s="50">
        <v>14</v>
      </c>
      <c r="N69" s="50">
        <v>0</v>
      </c>
      <c r="O69" s="15">
        <f t="shared" si="0"/>
        <v>21</v>
      </c>
      <c r="P69" s="15">
        <f t="shared" si="1"/>
        <v>35</v>
      </c>
      <c r="R69" s="8"/>
      <c r="T69"/>
    </row>
    <row r="70" spans="2:20" ht="23.1" customHeight="1" x14ac:dyDescent="0.25">
      <c r="B70" s="45" t="s">
        <v>110</v>
      </c>
      <c r="C70" s="50">
        <v>3</v>
      </c>
      <c r="D70" s="50">
        <v>0</v>
      </c>
      <c r="E70" s="50">
        <v>3</v>
      </c>
      <c r="F70" s="50">
        <v>2</v>
      </c>
      <c r="G70" s="50">
        <v>1</v>
      </c>
      <c r="H70" s="50">
        <v>1</v>
      </c>
      <c r="I70" s="50">
        <v>3</v>
      </c>
      <c r="J70" s="50">
        <v>0</v>
      </c>
      <c r="K70" s="50">
        <v>2</v>
      </c>
      <c r="L70" s="50">
        <v>1</v>
      </c>
      <c r="M70" s="50">
        <v>13</v>
      </c>
      <c r="N70" s="50">
        <v>0</v>
      </c>
      <c r="O70" s="15">
        <f t="shared" si="0"/>
        <v>16</v>
      </c>
      <c r="P70" s="15">
        <f t="shared" si="1"/>
        <v>29</v>
      </c>
      <c r="R70" s="8"/>
      <c r="T70"/>
    </row>
    <row r="71" spans="2:20" ht="23.1" customHeight="1" x14ac:dyDescent="0.25">
      <c r="B71" s="45" t="s">
        <v>111</v>
      </c>
      <c r="C71" s="50">
        <v>1</v>
      </c>
      <c r="D71" s="50">
        <v>0</v>
      </c>
      <c r="E71" s="50">
        <v>1</v>
      </c>
      <c r="F71" s="50">
        <v>5</v>
      </c>
      <c r="G71" s="50">
        <v>1</v>
      </c>
      <c r="H71" s="50">
        <v>0</v>
      </c>
      <c r="I71" s="50">
        <v>3</v>
      </c>
      <c r="J71" s="50">
        <v>0</v>
      </c>
      <c r="K71" s="50">
        <v>0</v>
      </c>
      <c r="L71" s="50">
        <v>0</v>
      </c>
      <c r="M71" s="50">
        <v>10</v>
      </c>
      <c r="N71" s="50">
        <v>0</v>
      </c>
      <c r="O71" s="15">
        <f t="shared" si="0"/>
        <v>11</v>
      </c>
      <c r="P71" s="15">
        <f t="shared" si="1"/>
        <v>21</v>
      </c>
      <c r="R71" s="8"/>
      <c r="T71"/>
    </row>
    <row r="72" spans="2:20" ht="23.1" customHeight="1" x14ac:dyDescent="0.25">
      <c r="B72" s="45" t="s">
        <v>112</v>
      </c>
      <c r="C72" s="50">
        <v>2</v>
      </c>
      <c r="D72" s="50">
        <v>0</v>
      </c>
      <c r="E72" s="50">
        <v>3</v>
      </c>
      <c r="F72" s="50">
        <v>3</v>
      </c>
      <c r="G72" s="50">
        <v>2</v>
      </c>
      <c r="H72" s="50">
        <v>3</v>
      </c>
      <c r="I72" s="50">
        <v>2</v>
      </c>
      <c r="J72" s="50">
        <v>0</v>
      </c>
      <c r="K72" s="50">
        <v>0</v>
      </c>
      <c r="L72" s="50">
        <v>2</v>
      </c>
      <c r="M72" s="50">
        <v>7</v>
      </c>
      <c r="N72" s="50">
        <v>0</v>
      </c>
      <c r="O72" s="15">
        <f t="shared" si="0"/>
        <v>17</v>
      </c>
      <c r="P72" s="15">
        <f t="shared" si="1"/>
        <v>24</v>
      </c>
      <c r="R72" s="8"/>
      <c r="T72"/>
    </row>
    <row r="73" spans="2:20" ht="23.1" customHeight="1" x14ac:dyDescent="0.25">
      <c r="B73" s="45" t="s">
        <v>113</v>
      </c>
      <c r="C73" s="50">
        <v>2</v>
      </c>
      <c r="D73" s="50">
        <v>1</v>
      </c>
      <c r="E73" s="50">
        <v>2</v>
      </c>
      <c r="F73" s="50">
        <v>3</v>
      </c>
      <c r="G73" s="50">
        <v>0</v>
      </c>
      <c r="H73" s="50">
        <v>1</v>
      </c>
      <c r="I73" s="50">
        <v>5</v>
      </c>
      <c r="J73" s="50">
        <v>1</v>
      </c>
      <c r="K73" s="50">
        <v>0</v>
      </c>
      <c r="L73" s="50">
        <v>4</v>
      </c>
      <c r="M73" s="50">
        <v>4</v>
      </c>
      <c r="N73" s="50">
        <v>0</v>
      </c>
      <c r="O73" s="15">
        <f t="shared" si="0"/>
        <v>19</v>
      </c>
      <c r="P73" s="15">
        <f t="shared" si="1"/>
        <v>23</v>
      </c>
      <c r="R73" s="8"/>
      <c r="T73"/>
    </row>
    <row r="74" spans="2:20" ht="23.1" customHeight="1" x14ac:dyDescent="0.25">
      <c r="B74" s="45" t="s">
        <v>114</v>
      </c>
      <c r="C74" s="50">
        <v>2</v>
      </c>
      <c r="D74" s="50">
        <v>0</v>
      </c>
      <c r="E74" s="50">
        <v>2</v>
      </c>
      <c r="F74" s="50">
        <v>0</v>
      </c>
      <c r="G74" s="50">
        <v>1</v>
      </c>
      <c r="H74" s="50">
        <v>1</v>
      </c>
      <c r="I74" s="50">
        <v>3</v>
      </c>
      <c r="J74" s="50">
        <v>0</v>
      </c>
      <c r="K74" s="50">
        <v>0</v>
      </c>
      <c r="L74" s="50">
        <v>1</v>
      </c>
      <c r="M74" s="50">
        <v>5</v>
      </c>
      <c r="N74" s="50">
        <v>0</v>
      </c>
      <c r="O74" s="15">
        <f t="shared" ref="O74:O105" si="35">SUM(C74:L74,N74)</f>
        <v>10</v>
      </c>
      <c r="P74" s="15">
        <f t="shared" ref="P74:P105" si="36">SUM(C74:N74)</f>
        <v>15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0</v>
      </c>
      <c r="E75" s="50">
        <v>1</v>
      </c>
      <c r="F75" s="50">
        <v>1</v>
      </c>
      <c r="G75" s="50">
        <v>1</v>
      </c>
      <c r="H75" s="50">
        <v>0</v>
      </c>
      <c r="I75" s="50">
        <v>3</v>
      </c>
      <c r="J75" s="50">
        <v>0</v>
      </c>
      <c r="K75" s="50">
        <v>0</v>
      </c>
      <c r="L75" s="50">
        <v>0</v>
      </c>
      <c r="M75" s="50">
        <v>4</v>
      </c>
      <c r="N75" s="50">
        <v>0</v>
      </c>
      <c r="O75" s="15">
        <f t="shared" si="35"/>
        <v>7</v>
      </c>
      <c r="P75" s="15">
        <f t="shared" si="36"/>
        <v>11</v>
      </c>
      <c r="R75" s="8"/>
      <c r="T75"/>
    </row>
    <row r="76" spans="2:20" ht="23.1" customHeight="1" x14ac:dyDescent="0.25">
      <c r="B76" s="45" t="s">
        <v>116</v>
      </c>
      <c r="C76" s="50">
        <v>2</v>
      </c>
      <c r="D76" s="50">
        <v>0</v>
      </c>
      <c r="E76" s="50">
        <v>0</v>
      </c>
      <c r="F76" s="50">
        <v>1</v>
      </c>
      <c r="G76" s="50">
        <v>2</v>
      </c>
      <c r="H76" s="50">
        <v>3</v>
      </c>
      <c r="I76" s="50">
        <v>2</v>
      </c>
      <c r="J76" s="50">
        <v>0</v>
      </c>
      <c r="K76" s="50">
        <v>0</v>
      </c>
      <c r="L76" s="50">
        <v>2</v>
      </c>
      <c r="M76" s="50">
        <v>3</v>
      </c>
      <c r="N76" s="50">
        <v>0</v>
      </c>
      <c r="O76" s="15">
        <f t="shared" si="35"/>
        <v>12</v>
      </c>
      <c r="P76" s="15">
        <f t="shared" si="36"/>
        <v>15</v>
      </c>
      <c r="R76" s="8"/>
      <c r="T76"/>
    </row>
    <row r="77" spans="2:20" ht="23.1" customHeight="1" x14ac:dyDescent="0.25">
      <c r="B77" s="45" t="s">
        <v>117</v>
      </c>
      <c r="C77" s="50">
        <v>2</v>
      </c>
      <c r="D77" s="50">
        <v>0</v>
      </c>
      <c r="E77" s="50">
        <v>1</v>
      </c>
      <c r="F77" s="50">
        <v>0</v>
      </c>
      <c r="G77" s="50">
        <v>0</v>
      </c>
      <c r="H77" s="50">
        <v>1</v>
      </c>
      <c r="I77" s="50">
        <v>2</v>
      </c>
      <c r="J77" s="50">
        <v>1</v>
      </c>
      <c r="K77" s="50">
        <v>0</v>
      </c>
      <c r="L77" s="50">
        <v>4</v>
      </c>
      <c r="M77" s="50">
        <v>4</v>
      </c>
      <c r="N77" s="50">
        <v>0</v>
      </c>
      <c r="O77" s="15">
        <f t="shared" si="35"/>
        <v>11</v>
      </c>
      <c r="P77" s="15">
        <f t="shared" si="36"/>
        <v>15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1</v>
      </c>
      <c r="G78" s="50">
        <v>1</v>
      </c>
      <c r="H78" s="50">
        <v>1</v>
      </c>
      <c r="I78" s="50">
        <v>0</v>
      </c>
      <c r="J78" s="50">
        <v>0</v>
      </c>
      <c r="K78" s="50">
        <v>0</v>
      </c>
      <c r="L78" s="50">
        <v>1</v>
      </c>
      <c r="M78" s="50">
        <v>3</v>
      </c>
      <c r="N78" s="50">
        <v>0</v>
      </c>
      <c r="O78" s="15">
        <f t="shared" si="35"/>
        <v>4</v>
      </c>
      <c r="P78" s="15">
        <f t="shared" si="36"/>
        <v>7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0</v>
      </c>
      <c r="E79" s="50">
        <v>2</v>
      </c>
      <c r="F79" s="50">
        <v>0</v>
      </c>
      <c r="G79" s="50">
        <v>1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4</v>
      </c>
      <c r="N79" s="50">
        <v>0</v>
      </c>
      <c r="O79" s="15">
        <f t="shared" si="35"/>
        <v>5</v>
      </c>
      <c r="P79" s="15">
        <f t="shared" si="36"/>
        <v>9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1</v>
      </c>
      <c r="E80" s="50">
        <v>0</v>
      </c>
      <c r="F80" s="50">
        <v>1</v>
      </c>
      <c r="G80" s="50">
        <v>2</v>
      </c>
      <c r="H80" s="50">
        <v>2</v>
      </c>
      <c r="I80" s="50">
        <v>2</v>
      </c>
      <c r="J80" s="50">
        <v>0</v>
      </c>
      <c r="K80" s="50">
        <v>0</v>
      </c>
      <c r="L80" s="50">
        <v>2</v>
      </c>
      <c r="M80" s="50">
        <v>2</v>
      </c>
      <c r="N80" s="50">
        <v>0</v>
      </c>
      <c r="O80" s="15">
        <f t="shared" si="35"/>
        <v>11</v>
      </c>
      <c r="P80" s="15">
        <f t="shared" si="36"/>
        <v>13</v>
      </c>
      <c r="R80" s="8"/>
      <c r="T80"/>
    </row>
    <row r="81" spans="2:20" ht="23.1" customHeight="1" x14ac:dyDescent="0.25">
      <c r="B81" s="45" t="s">
        <v>121</v>
      </c>
      <c r="C81" s="50">
        <v>2</v>
      </c>
      <c r="D81" s="50">
        <v>2</v>
      </c>
      <c r="E81" s="50">
        <v>1</v>
      </c>
      <c r="F81" s="50">
        <v>0</v>
      </c>
      <c r="G81" s="50">
        <v>0</v>
      </c>
      <c r="H81" s="50">
        <v>1</v>
      </c>
      <c r="I81" s="50">
        <v>2</v>
      </c>
      <c r="J81" s="50">
        <v>1</v>
      </c>
      <c r="K81" s="50">
        <v>0</v>
      </c>
      <c r="L81" s="50">
        <v>4</v>
      </c>
      <c r="M81" s="50">
        <v>4</v>
      </c>
      <c r="N81" s="50">
        <v>0</v>
      </c>
      <c r="O81" s="15">
        <f t="shared" si="35"/>
        <v>13</v>
      </c>
      <c r="P81" s="15">
        <f t="shared" si="36"/>
        <v>17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1</v>
      </c>
      <c r="G82" s="50">
        <v>1</v>
      </c>
      <c r="H82" s="50">
        <v>1</v>
      </c>
      <c r="I82" s="50">
        <v>0</v>
      </c>
      <c r="J82" s="50">
        <v>0</v>
      </c>
      <c r="K82" s="50">
        <v>0</v>
      </c>
      <c r="L82" s="50">
        <v>1</v>
      </c>
      <c r="M82" s="50">
        <v>2</v>
      </c>
      <c r="N82" s="50">
        <v>0</v>
      </c>
      <c r="O82" s="15">
        <f t="shared" si="35"/>
        <v>4</v>
      </c>
      <c r="P82" s="15">
        <f t="shared" si="36"/>
        <v>6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1</v>
      </c>
      <c r="E83" s="50">
        <v>2</v>
      </c>
      <c r="F83" s="50">
        <v>0</v>
      </c>
      <c r="G83" s="50">
        <v>1</v>
      </c>
      <c r="H83" s="50">
        <v>0</v>
      </c>
      <c r="I83" s="50">
        <v>1</v>
      </c>
      <c r="J83" s="50">
        <v>0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6</v>
      </c>
      <c r="P83" s="15">
        <f t="shared" si="36"/>
        <v>7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0</v>
      </c>
      <c r="F84" s="50">
        <v>1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1</v>
      </c>
      <c r="M84" s="50">
        <v>2</v>
      </c>
      <c r="N84" s="50">
        <v>0</v>
      </c>
      <c r="O84" s="15">
        <f t="shared" si="35"/>
        <v>4</v>
      </c>
      <c r="P84" s="15">
        <f t="shared" si="36"/>
        <v>6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0</v>
      </c>
      <c r="E85" s="50">
        <v>1</v>
      </c>
      <c r="F85" s="50">
        <v>0</v>
      </c>
      <c r="G85" s="50">
        <v>0</v>
      </c>
      <c r="H85" s="50">
        <v>1</v>
      </c>
      <c r="I85" s="50">
        <v>2</v>
      </c>
      <c r="J85" s="50">
        <v>1</v>
      </c>
      <c r="K85" s="50">
        <v>0</v>
      </c>
      <c r="L85" s="50">
        <v>1</v>
      </c>
      <c r="M85" s="50">
        <v>0</v>
      </c>
      <c r="N85" s="50">
        <v>0</v>
      </c>
      <c r="O85" s="15">
        <f t="shared" si="35"/>
        <v>8</v>
      </c>
      <c r="P85" s="15">
        <f t="shared" si="36"/>
        <v>8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1</v>
      </c>
      <c r="G86" s="50">
        <v>1</v>
      </c>
      <c r="H86" s="50">
        <v>1</v>
      </c>
      <c r="I86" s="50">
        <v>0</v>
      </c>
      <c r="J86" s="50">
        <v>0</v>
      </c>
      <c r="K86" s="50">
        <v>1</v>
      </c>
      <c r="L86" s="50">
        <v>1</v>
      </c>
      <c r="M86" s="50">
        <v>1</v>
      </c>
      <c r="N86" s="50">
        <v>0</v>
      </c>
      <c r="O86" s="15">
        <f t="shared" si="35"/>
        <v>5</v>
      </c>
      <c r="P86" s="15">
        <f t="shared" si="36"/>
        <v>6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1</v>
      </c>
      <c r="F87" s="50">
        <v>0</v>
      </c>
      <c r="G87" s="50">
        <v>1</v>
      </c>
      <c r="H87" s="50">
        <v>0</v>
      </c>
      <c r="I87" s="50">
        <v>1</v>
      </c>
      <c r="J87" s="50">
        <v>0</v>
      </c>
      <c r="K87" s="50">
        <v>0</v>
      </c>
      <c r="L87" s="50">
        <v>0</v>
      </c>
      <c r="M87" s="50">
        <v>1</v>
      </c>
      <c r="N87" s="50">
        <v>0</v>
      </c>
      <c r="O87" s="15">
        <f t="shared" si="35"/>
        <v>4</v>
      </c>
      <c r="P87" s="15">
        <f t="shared" si="36"/>
        <v>5</v>
      </c>
      <c r="R87" s="8"/>
      <c r="T87"/>
    </row>
    <row r="88" spans="2:20" ht="23.1" customHeight="1" x14ac:dyDescent="0.25">
      <c r="B88" s="47" t="s">
        <v>128</v>
      </c>
      <c r="C88" s="50">
        <v>1</v>
      </c>
      <c r="D88" s="50">
        <v>0</v>
      </c>
      <c r="E88" s="50">
        <v>0</v>
      </c>
      <c r="F88" s="50">
        <v>1</v>
      </c>
      <c r="G88" s="50">
        <v>0</v>
      </c>
      <c r="H88" s="50">
        <v>0</v>
      </c>
      <c r="I88" s="50">
        <v>1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3</v>
      </c>
      <c r="P88" s="15">
        <f t="shared" si="36"/>
        <v>3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1</v>
      </c>
      <c r="F89" s="50">
        <v>0</v>
      </c>
      <c r="G89" s="50">
        <v>0</v>
      </c>
      <c r="H89" s="50">
        <v>1</v>
      </c>
      <c r="I89" s="50">
        <v>2</v>
      </c>
      <c r="J89" s="50">
        <v>1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5</v>
      </c>
      <c r="P89" s="15">
        <f t="shared" si="36"/>
        <v>5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1</v>
      </c>
      <c r="E90" s="50">
        <v>0</v>
      </c>
      <c r="F90" s="50">
        <v>1</v>
      </c>
      <c r="G90" s="50">
        <v>1</v>
      </c>
      <c r="H90" s="50">
        <v>1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4</v>
      </c>
      <c r="P90" s="15">
        <f t="shared" si="36"/>
        <v>4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1</v>
      </c>
      <c r="F91" s="50">
        <v>0</v>
      </c>
      <c r="G91" s="50">
        <v>1</v>
      </c>
      <c r="H91" s="50">
        <v>0</v>
      </c>
      <c r="I91" s="50">
        <v>1</v>
      </c>
      <c r="J91" s="50">
        <v>0</v>
      </c>
      <c r="K91" s="50">
        <v>0</v>
      </c>
      <c r="L91" s="50">
        <v>0</v>
      </c>
      <c r="M91" s="50">
        <v>1</v>
      </c>
      <c r="N91" s="50">
        <v>0</v>
      </c>
      <c r="O91" s="15">
        <f t="shared" si="35"/>
        <v>3</v>
      </c>
      <c r="P91" s="15">
        <f t="shared" si="36"/>
        <v>4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1</v>
      </c>
      <c r="G92" s="50">
        <v>0</v>
      </c>
      <c r="H92" s="50">
        <v>0</v>
      </c>
      <c r="I92" s="50">
        <v>1</v>
      </c>
      <c r="J92" s="50">
        <v>0</v>
      </c>
      <c r="K92" s="50">
        <v>0</v>
      </c>
      <c r="L92" s="50">
        <v>0</v>
      </c>
      <c r="M92" s="50">
        <v>2</v>
      </c>
      <c r="N92" s="50">
        <v>0</v>
      </c>
      <c r="O92" s="15">
        <f t="shared" si="35"/>
        <v>3</v>
      </c>
      <c r="P92" s="15">
        <f t="shared" si="36"/>
        <v>5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1</v>
      </c>
      <c r="I93" s="50">
        <v>2</v>
      </c>
      <c r="J93" s="50">
        <v>1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4</v>
      </c>
      <c r="P93" s="15">
        <f t="shared" si="36"/>
        <v>4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1</v>
      </c>
      <c r="G94" s="50">
        <v>0</v>
      </c>
      <c r="H94" s="50">
        <v>1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2</v>
      </c>
      <c r="P94" s="15">
        <f t="shared" si="36"/>
        <v>2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1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1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1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3</v>
      </c>
      <c r="P96" s="15">
        <f t="shared" si="36"/>
        <v>3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1</v>
      </c>
      <c r="G97" s="50">
        <v>1</v>
      </c>
      <c r="H97" s="50">
        <v>1</v>
      </c>
      <c r="I97" s="50">
        <v>0</v>
      </c>
      <c r="J97" s="50">
        <v>0</v>
      </c>
      <c r="K97" s="50">
        <v>0</v>
      </c>
      <c r="L97" s="50">
        <v>1</v>
      </c>
      <c r="M97" s="50">
        <v>2</v>
      </c>
      <c r="N97" s="50">
        <v>0</v>
      </c>
      <c r="O97" s="15">
        <f t="shared" si="35"/>
        <v>4</v>
      </c>
      <c r="P97" s="15">
        <f t="shared" si="36"/>
        <v>6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0</v>
      </c>
      <c r="E98" s="50">
        <v>2</v>
      </c>
      <c r="F98" s="50">
        <v>0</v>
      </c>
      <c r="G98" s="50">
        <v>1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1</v>
      </c>
      <c r="N98" s="50">
        <v>0</v>
      </c>
      <c r="O98" s="15">
        <f t="shared" si="35"/>
        <v>5</v>
      </c>
      <c r="P98" s="15">
        <f t="shared" si="36"/>
        <v>6</v>
      </c>
      <c r="R98" s="8"/>
      <c r="T98"/>
    </row>
    <row r="99" spans="2:20" ht="23.1" customHeight="1" x14ac:dyDescent="0.25">
      <c r="B99" s="45" t="s">
        <v>139</v>
      </c>
      <c r="C99" s="50">
        <v>2</v>
      </c>
      <c r="D99" s="50">
        <v>0</v>
      </c>
      <c r="E99" s="50">
        <v>0</v>
      </c>
      <c r="F99" s="50">
        <v>1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1</v>
      </c>
      <c r="M99" s="50">
        <v>1</v>
      </c>
      <c r="N99" s="50">
        <v>0</v>
      </c>
      <c r="O99" s="15">
        <f t="shared" si="35"/>
        <v>4</v>
      </c>
      <c r="P99" s="15">
        <f t="shared" si="36"/>
        <v>5</v>
      </c>
      <c r="R99" s="8"/>
      <c r="T99"/>
    </row>
    <row r="100" spans="2:20" ht="23.1" customHeight="1" x14ac:dyDescent="0.25">
      <c r="B100" s="47" t="s">
        <v>140</v>
      </c>
      <c r="C100" s="50">
        <v>2</v>
      </c>
      <c r="D100" s="50">
        <v>1</v>
      </c>
      <c r="E100" s="50">
        <v>1</v>
      </c>
      <c r="F100" s="50">
        <v>0</v>
      </c>
      <c r="G100" s="50">
        <v>0</v>
      </c>
      <c r="H100" s="50">
        <v>1</v>
      </c>
      <c r="I100" s="50">
        <v>2</v>
      </c>
      <c r="J100" s="50">
        <v>1</v>
      </c>
      <c r="K100" s="50">
        <v>0</v>
      </c>
      <c r="L100" s="50">
        <v>1</v>
      </c>
      <c r="M100" s="50">
        <v>0</v>
      </c>
      <c r="N100" s="50">
        <v>0</v>
      </c>
      <c r="O100" s="15">
        <f t="shared" si="35"/>
        <v>9</v>
      </c>
      <c r="P100" s="15">
        <f t="shared" si="36"/>
        <v>9</v>
      </c>
      <c r="R100" s="8"/>
      <c r="T100"/>
    </row>
    <row r="101" spans="2:20" ht="23.1" customHeight="1" x14ac:dyDescent="0.25">
      <c r="B101" s="45" t="s">
        <v>141</v>
      </c>
      <c r="C101" s="50">
        <v>3</v>
      </c>
      <c r="D101" s="50">
        <v>0</v>
      </c>
      <c r="E101" s="50">
        <v>0</v>
      </c>
      <c r="F101" s="50">
        <v>1</v>
      </c>
      <c r="G101" s="50">
        <v>1</v>
      </c>
      <c r="H101" s="50">
        <v>1</v>
      </c>
      <c r="I101" s="50">
        <v>0</v>
      </c>
      <c r="J101" s="50">
        <v>0</v>
      </c>
      <c r="K101" s="50">
        <v>0</v>
      </c>
      <c r="L101" s="50">
        <v>1</v>
      </c>
      <c r="M101" s="50">
        <v>2</v>
      </c>
      <c r="N101" s="50">
        <v>0</v>
      </c>
      <c r="O101" s="15">
        <f t="shared" si="35"/>
        <v>7</v>
      </c>
      <c r="P101" s="15">
        <f t="shared" si="36"/>
        <v>9</v>
      </c>
      <c r="R101" s="8"/>
      <c r="T101"/>
    </row>
    <row r="102" spans="2:20" ht="23.1" customHeight="1" x14ac:dyDescent="0.25">
      <c r="B102" s="46" t="s">
        <v>142</v>
      </c>
      <c r="C102" s="50">
        <v>4</v>
      </c>
      <c r="D102" s="50">
        <v>0</v>
      </c>
      <c r="E102" s="50">
        <v>2</v>
      </c>
      <c r="F102" s="50">
        <v>0</v>
      </c>
      <c r="G102" s="50">
        <v>1</v>
      </c>
      <c r="H102" s="50">
        <v>0</v>
      </c>
      <c r="I102" s="50">
        <v>1</v>
      </c>
      <c r="J102" s="50">
        <v>0</v>
      </c>
      <c r="K102" s="50">
        <v>0</v>
      </c>
      <c r="L102" s="50">
        <v>0</v>
      </c>
      <c r="M102" s="50">
        <v>3</v>
      </c>
      <c r="N102" s="50">
        <v>0</v>
      </c>
      <c r="O102" s="15">
        <f t="shared" si="35"/>
        <v>8</v>
      </c>
      <c r="P102" s="15">
        <f t="shared" si="36"/>
        <v>11</v>
      </c>
      <c r="R102" s="8"/>
      <c r="T102"/>
    </row>
    <row r="103" spans="2:20" ht="23.1" customHeight="1" x14ac:dyDescent="0.25">
      <c r="B103" s="45" t="s">
        <v>143</v>
      </c>
      <c r="C103" s="50">
        <v>7</v>
      </c>
      <c r="D103" s="50">
        <v>2</v>
      </c>
      <c r="E103" s="50">
        <v>0</v>
      </c>
      <c r="F103" s="50">
        <v>1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1</v>
      </c>
      <c r="M103" s="50">
        <v>6</v>
      </c>
      <c r="N103" s="50">
        <v>0</v>
      </c>
      <c r="O103" s="15">
        <f t="shared" si="35"/>
        <v>11</v>
      </c>
      <c r="P103" s="15">
        <f t="shared" si="36"/>
        <v>17</v>
      </c>
      <c r="R103" s="8"/>
      <c r="T103"/>
    </row>
    <row r="104" spans="2:20" ht="23.1" customHeight="1" x14ac:dyDescent="0.25">
      <c r="B104" s="47" t="s">
        <v>144</v>
      </c>
      <c r="C104" s="50">
        <v>5</v>
      </c>
      <c r="D104" s="50">
        <v>3</v>
      </c>
      <c r="E104" s="50">
        <v>1</v>
      </c>
      <c r="F104" s="50">
        <v>1</v>
      </c>
      <c r="G104" s="50">
        <v>0</v>
      </c>
      <c r="H104" s="50">
        <v>1</v>
      </c>
      <c r="I104" s="50">
        <v>2</v>
      </c>
      <c r="J104" s="50">
        <v>1</v>
      </c>
      <c r="K104" s="50">
        <v>1</v>
      </c>
      <c r="L104" s="50">
        <v>1</v>
      </c>
      <c r="M104" s="50">
        <v>8</v>
      </c>
      <c r="N104" s="50">
        <v>0</v>
      </c>
      <c r="O104" s="15">
        <f t="shared" si="35"/>
        <v>16</v>
      </c>
      <c r="P104" s="15">
        <f t="shared" si="36"/>
        <v>24</v>
      </c>
      <c r="R104" s="8"/>
      <c r="T104"/>
    </row>
    <row r="105" spans="2:20" ht="23.1" customHeight="1" x14ac:dyDescent="0.25">
      <c r="B105" s="45" t="s">
        <v>145</v>
      </c>
      <c r="C105" s="50">
        <v>14</v>
      </c>
      <c r="D105" s="50">
        <v>7</v>
      </c>
      <c r="E105" s="50">
        <v>5</v>
      </c>
      <c r="F105" s="50">
        <v>7</v>
      </c>
      <c r="G105" s="50">
        <v>1</v>
      </c>
      <c r="H105" s="50">
        <v>0</v>
      </c>
      <c r="I105" s="50">
        <v>2</v>
      </c>
      <c r="J105" s="50">
        <v>1</v>
      </c>
      <c r="K105" s="50">
        <v>1</v>
      </c>
      <c r="L105" s="50">
        <v>0</v>
      </c>
      <c r="M105" s="50">
        <v>12</v>
      </c>
      <c r="N105" s="50">
        <v>0</v>
      </c>
      <c r="O105" s="15">
        <f t="shared" si="35"/>
        <v>38</v>
      </c>
      <c r="P105" s="15">
        <f t="shared" si="36"/>
        <v>50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576</v>
      </c>
      <c r="D106" s="16">
        <f t="shared" ref="D106:P106" si="37">SUM(D10:D105)</f>
        <v>33</v>
      </c>
      <c r="E106" s="16">
        <f t="shared" si="37"/>
        <v>841</v>
      </c>
      <c r="F106" s="16">
        <f t="shared" si="37"/>
        <v>797</v>
      </c>
      <c r="G106" s="16">
        <f t="shared" si="37"/>
        <v>44</v>
      </c>
      <c r="H106" s="16">
        <f t="shared" si="37"/>
        <v>88</v>
      </c>
      <c r="I106" s="16">
        <f t="shared" si="37"/>
        <v>452</v>
      </c>
      <c r="J106" s="16">
        <f t="shared" si="37"/>
        <v>24</v>
      </c>
      <c r="K106" s="16">
        <f t="shared" si="37"/>
        <v>16</v>
      </c>
      <c r="L106" s="16">
        <f t="shared" si="37"/>
        <v>127</v>
      </c>
      <c r="M106" s="16">
        <f t="shared" si="37"/>
        <v>3834</v>
      </c>
      <c r="N106" s="16">
        <f t="shared" si="37"/>
        <v>0</v>
      </c>
      <c r="O106" s="16">
        <f t="shared" si="37"/>
        <v>2998</v>
      </c>
      <c r="P106" s="16">
        <f t="shared" si="37"/>
        <v>6832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8.4309133489461355E-2</v>
      </c>
      <c r="D107" s="43">
        <f t="shared" si="38"/>
        <v>4.8302107728337238E-3</v>
      </c>
      <c r="E107" s="43">
        <f t="shared" si="38"/>
        <v>0.12309718969555035</v>
      </c>
      <c r="F107" s="43">
        <f t="shared" si="38"/>
        <v>0.11665690866510539</v>
      </c>
      <c r="G107" s="43">
        <f t="shared" si="38"/>
        <v>6.4402810304449651E-3</v>
      </c>
      <c r="H107" s="43">
        <f t="shared" si="38"/>
        <v>1.288056206088993E-2</v>
      </c>
      <c r="I107" s="43">
        <f t="shared" si="38"/>
        <v>6.6159250585480098E-2</v>
      </c>
      <c r="J107" s="43">
        <f t="shared" si="38"/>
        <v>3.5128805620608899E-3</v>
      </c>
      <c r="K107" s="43">
        <f t="shared" si="38"/>
        <v>2.34192037470726E-3</v>
      </c>
      <c r="L107" s="43">
        <f t="shared" si="38"/>
        <v>1.8588992974238876E-2</v>
      </c>
      <c r="M107" s="43">
        <f t="shared" si="38"/>
        <v>0.56118266978922715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0.19212808539026016</v>
      </c>
      <c r="D108" s="44">
        <f t="shared" ref="D108:N108" si="39">D106/$O$106</f>
        <v>1.1007338225483656E-2</v>
      </c>
      <c r="E108" s="44">
        <f t="shared" si="39"/>
        <v>0.28052034689793193</v>
      </c>
      <c r="F108" s="44">
        <f t="shared" si="39"/>
        <v>0.26584389593062041</v>
      </c>
      <c r="G108" s="44">
        <f t="shared" si="39"/>
        <v>1.4676450967311541E-2</v>
      </c>
      <c r="H108" s="44">
        <f t="shared" si="39"/>
        <v>2.9352901934623081E-2</v>
      </c>
      <c r="I108" s="44">
        <f t="shared" si="39"/>
        <v>0.15076717811874582</v>
      </c>
      <c r="J108" s="44">
        <f t="shared" si="39"/>
        <v>8.0053368912608412E-3</v>
      </c>
      <c r="K108" s="44">
        <f t="shared" si="39"/>
        <v>5.3368912608405599E-3</v>
      </c>
      <c r="L108" s="44">
        <f t="shared" si="39"/>
        <v>4.236157438292195E-2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B1:AF174"/>
  <sheetViews>
    <sheetView view="pageBreakPreview" topLeftCell="A88" zoomScale="60" workbookViewId="0">
      <selection activeCell="O105" sqref="O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'20.8 Kampala-Luweero'!C3:G3</f>
        <v>MCC - C3 - STN87 - Kampala-Gulu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'25.8 Kampala-Luweero 24Hrs'!D5</f>
        <v>25.08.19</v>
      </c>
      <c r="E5" s="3"/>
      <c r="F5" s="41" t="s">
        <v>1</v>
      </c>
      <c r="G5" s="66">
        <f>'25.8 Kampala-Luweero 24Hrs'!G5:H5</f>
        <v>0</v>
      </c>
      <c r="H5" s="67"/>
      <c r="I5" s="14"/>
      <c r="J5" s="2" t="s">
        <v>5</v>
      </c>
      <c r="K5" s="66" t="str">
        <f>'25.8 Kampala-Luweero 24Hrs'!K5:L5</f>
        <v>Godfrey, Ibrahim N, Oliver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">
        <v>177</v>
      </c>
      <c r="E6" s="67"/>
      <c r="F6" s="2" t="s">
        <v>2</v>
      </c>
      <c r="G6" s="66" t="s">
        <v>178</v>
      </c>
      <c r="H6" s="67"/>
      <c r="J6" s="2" t="s">
        <v>21</v>
      </c>
      <c r="K6" s="66" t="str">
        <f>'25.8 Kampala-Luweero 24Hrs'!K6:L6</f>
        <v>Martin, Tracy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0</v>
      </c>
      <c r="E10" s="50">
        <v>7</v>
      </c>
      <c r="F10" s="50">
        <v>9</v>
      </c>
      <c r="G10" s="50">
        <v>0</v>
      </c>
      <c r="H10" s="50">
        <v>0</v>
      </c>
      <c r="I10" s="50">
        <v>6</v>
      </c>
      <c r="J10" s="50">
        <v>0</v>
      </c>
      <c r="K10" s="50">
        <v>0</v>
      </c>
      <c r="L10" s="50">
        <v>7</v>
      </c>
      <c r="M10" s="50">
        <v>35</v>
      </c>
      <c r="N10" s="50">
        <v>0</v>
      </c>
      <c r="O10" s="15">
        <f t="shared" ref="O10:O73" si="0">SUM(C10:L10,N10)</f>
        <v>30</v>
      </c>
      <c r="P10" s="15">
        <f t="shared" ref="P10:P73" si="1">SUM(C10:N10)</f>
        <v>65</v>
      </c>
      <c r="R10" s="1" t="s">
        <v>6</v>
      </c>
      <c r="S10" s="17">
        <f t="shared" ref="S10:AF10" si="2">SUM(C10:C13)</f>
        <v>14</v>
      </c>
      <c r="T10" s="17">
        <f t="shared" si="2"/>
        <v>0</v>
      </c>
      <c r="U10" s="17">
        <f t="shared" si="2"/>
        <v>15</v>
      </c>
      <c r="V10" s="17">
        <f t="shared" si="2"/>
        <v>43</v>
      </c>
      <c r="W10" s="17">
        <f t="shared" si="2"/>
        <v>0</v>
      </c>
      <c r="X10" s="17">
        <f t="shared" si="2"/>
        <v>0</v>
      </c>
      <c r="Y10" s="17">
        <f t="shared" si="2"/>
        <v>12</v>
      </c>
      <c r="Z10" s="17">
        <f t="shared" si="2"/>
        <v>0</v>
      </c>
      <c r="AA10" s="17">
        <f t="shared" si="2"/>
        <v>0</v>
      </c>
      <c r="AB10" s="17">
        <f t="shared" si="2"/>
        <v>13</v>
      </c>
      <c r="AC10" s="17">
        <f t="shared" si="2"/>
        <v>161</v>
      </c>
      <c r="AD10" s="17">
        <f t="shared" si="2"/>
        <v>0</v>
      </c>
      <c r="AE10" s="31">
        <f t="shared" si="2"/>
        <v>97</v>
      </c>
      <c r="AF10" s="31">
        <f t="shared" si="2"/>
        <v>258</v>
      </c>
    </row>
    <row r="11" spans="2:32" s="6" customFormat="1" ht="23.1" customHeight="1" x14ac:dyDescent="0.25">
      <c r="B11" s="45" t="s">
        <v>38</v>
      </c>
      <c r="C11" s="50">
        <v>1</v>
      </c>
      <c r="D11" s="50">
        <v>0</v>
      </c>
      <c r="E11" s="50">
        <v>0</v>
      </c>
      <c r="F11" s="50">
        <v>11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34</v>
      </c>
      <c r="N11" s="50">
        <v>0</v>
      </c>
      <c r="O11" s="15">
        <f t="shared" si="0"/>
        <v>13</v>
      </c>
      <c r="P11" s="15">
        <f t="shared" si="1"/>
        <v>47</v>
      </c>
      <c r="R11" s="1" t="s">
        <v>7</v>
      </c>
      <c r="S11" s="17">
        <f t="shared" ref="S11:AF11" si="3">SUM(C14:C17)</f>
        <v>9</v>
      </c>
      <c r="T11" s="17">
        <f t="shared" si="3"/>
        <v>0</v>
      </c>
      <c r="U11" s="17">
        <f t="shared" si="3"/>
        <v>30</v>
      </c>
      <c r="V11" s="17">
        <f t="shared" si="3"/>
        <v>43</v>
      </c>
      <c r="W11" s="17">
        <f t="shared" si="3"/>
        <v>0</v>
      </c>
      <c r="X11" s="17">
        <f t="shared" si="3"/>
        <v>0</v>
      </c>
      <c r="Y11" s="17">
        <f t="shared" si="3"/>
        <v>11</v>
      </c>
      <c r="Z11" s="17">
        <f t="shared" si="3"/>
        <v>3</v>
      </c>
      <c r="AA11" s="17">
        <f t="shared" si="3"/>
        <v>2</v>
      </c>
      <c r="AB11" s="17">
        <f t="shared" si="3"/>
        <v>5</v>
      </c>
      <c r="AC11" s="17">
        <f t="shared" si="3"/>
        <v>219</v>
      </c>
      <c r="AD11" s="17">
        <f t="shared" si="3"/>
        <v>0</v>
      </c>
      <c r="AE11" s="31">
        <f t="shared" si="3"/>
        <v>103</v>
      </c>
      <c r="AF11" s="31">
        <f t="shared" si="3"/>
        <v>322</v>
      </c>
    </row>
    <row r="12" spans="2:32" ht="23.1" customHeight="1" x14ac:dyDescent="0.25">
      <c r="B12" s="45" t="s">
        <v>39</v>
      </c>
      <c r="C12" s="50">
        <v>4</v>
      </c>
      <c r="D12" s="50">
        <v>0</v>
      </c>
      <c r="E12" s="50">
        <v>3</v>
      </c>
      <c r="F12" s="50">
        <v>10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2</v>
      </c>
      <c r="M12" s="50">
        <v>54</v>
      </c>
      <c r="N12" s="50">
        <v>0</v>
      </c>
      <c r="O12" s="15">
        <f t="shared" si="0"/>
        <v>22</v>
      </c>
      <c r="P12" s="15">
        <f t="shared" si="1"/>
        <v>76</v>
      </c>
      <c r="R12" s="1" t="s">
        <v>8</v>
      </c>
      <c r="S12" s="17">
        <f t="shared" ref="S12:AF12" si="4">SUM(C18:C21)</f>
        <v>17</v>
      </c>
      <c r="T12" s="17">
        <f t="shared" si="4"/>
        <v>0</v>
      </c>
      <c r="U12" s="17">
        <f t="shared" si="4"/>
        <v>44</v>
      </c>
      <c r="V12" s="17">
        <f t="shared" si="4"/>
        <v>51</v>
      </c>
      <c r="W12" s="17">
        <f t="shared" si="4"/>
        <v>1</v>
      </c>
      <c r="X12" s="17">
        <f t="shared" si="4"/>
        <v>1</v>
      </c>
      <c r="Y12" s="17">
        <f t="shared" si="4"/>
        <v>16</v>
      </c>
      <c r="Z12" s="17">
        <f t="shared" si="4"/>
        <v>1</v>
      </c>
      <c r="AA12" s="17">
        <f t="shared" si="4"/>
        <v>0</v>
      </c>
      <c r="AB12" s="17">
        <f t="shared" si="4"/>
        <v>3</v>
      </c>
      <c r="AC12" s="17">
        <f t="shared" si="4"/>
        <v>266</v>
      </c>
      <c r="AD12" s="17">
        <f t="shared" si="4"/>
        <v>0</v>
      </c>
      <c r="AE12" s="31">
        <f t="shared" si="4"/>
        <v>134</v>
      </c>
      <c r="AF12" s="31">
        <f t="shared" si="4"/>
        <v>400</v>
      </c>
    </row>
    <row r="13" spans="2:32" ht="23.1" customHeight="1" x14ac:dyDescent="0.25">
      <c r="B13" s="45" t="s">
        <v>40</v>
      </c>
      <c r="C13" s="50">
        <v>8</v>
      </c>
      <c r="D13" s="50">
        <v>0</v>
      </c>
      <c r="E13" s="50">
        <v>5</v>
      </c>
      <c r="F13" s="50">
        <v>13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4</v>
      </c>
      <c r="M13" s="50">
        <v>38</v>
      </c>
      <c r="N13" s="50">
        <v>0</v>
      </c>
      <c r="O13" s="15">
        <f t="shared" si="0"/>
        <v>32</v>
      </c>
      <c r="P13" s="15">
        <f t="shared" si="1"/>
        <v>70</v>
      </c>
      <c r="R13" s="1" t="s">
        <v>9</v>
      </c>
      <c r="S13" s="17">
        <f t="shared" ref="S13:AF13" si="5">SUM(C22:C25)</f>
        <v>26</v>
      </c>
      <c r="T13" s="17">
        <f t="shared" si="5"/>
        <v>0</v>
      </c>
      <c r="U13" s="17">
        <f t="shared" si="5"/>
        <v>38</v>
      </c>
      <c r="V13" s="17">
        <f t="shared" si="5"/>
        <v>42</v>
      </c>
      <c r="W13" s="17">
        <f t="shared" si="5"/>
        <v>0</v>
      </c>
      <c r="X13" s="17">
        <f t="shared" si="5"/>
        <v>1</v>
      </c>
      <c r="Y13" s="17">
        <f t="shared" si="5"/>
        <v>28</v>
      </c>
      <c r="Z13" s="17">
        <f t="shared" si="5"/>
        <v>0</v>
      </c>
      <c r="AA13" s="17">
        <f t="shared" si="5"/>
        <v>0</v>
      </c>
      <c r="AB13" s="17">
        <f t="shared" si="5"/>
        <v>6</v>
      </c>
      <c r="AC13" s="17">
        <f t="shared" si="5"/>
        <v>267</v>
      </c>
      <c r="AD13" s="17">
        <f t="shared" si="5"/>
        <v>0</v>
      </c>
      <c r="AE13" s="31">
        <f t="shared" si="5"/>
        <v>141</v>
      </c>
      <c r="AF13" s="31">
        <f t="shared" si="5"/>
        <v>408</v>
      </c>
    </row>
    <row r="14" spans="2:32" ht="23.1" customHeight="1" x14ac:dyDescent="0.25">
      <c r="B14" s="45" t="s">
        <v>41</v>
      </c>
      <c r="C14" s="50">
        <v>1</v>
      </c>
      <c r="D14" s="50">
        <v>0</v>
      </c>
      <c r="E14" s="50">
        <v>8</v>
      </c>
      <c r="F14" s="50">
        <v>8</v>
      </c>
      <c r="G14" s="50">
        <v>0</v>
      </c>
      <c r="H14" s="50">
        <v>0</v>
      </c>
      <c r="I14" s="50">
        <v>0</v>
      </c>
      <c r="J14" s="50">
        <v>3</v>
      </c>
      <c r="K14" s="50">
        <v>1</v>
      </c>
      <c r="L14" s="50">
        <v>1</v>
      </c>
      <c r="M14" s="50">
        <v>40</v>
      </c>
      <c r="N14" s="50">
        <v>0</v>
      </c>
      <c r="O14" s="15">
        <f t="shared" si="0"/>
        <v>22</v>
      </c>
      <c r="P14" s="15">
        <f t="shared" si="1"/>
        <v>62</v>
      </c>
      <c r="R14" s="1" t="s">
        <v>10</v>
      </c>
      <c r="S14" s="17">
        <f t="shared" ref="S14:AF14" si="6">SUM(C26:C29)</f>
        <v>29</v>
      </c>
      <c r="T14" s="17">
        <f t="shared" si="6"/>
        <v>0</v>
      </c>
      <c r="U14" s="17">
        <f t="shared" si="6"/>
        <v>53</v>
      </c>
      <c r="V14" s="17">
        <f t="shared" si="6"/>
        <v>56</v>
      </c>
      <c r="W14" s="17">
        <f t="shared" si="6"/>
        <v>4</v>
      </c>
      <c r="X14" s="17">
        <f t="shared" si="6"/>
        <v>4</v>
      </c>
      <c r="Y14" s="17">
        <f t="shared" si="6"/>
        <v>18</v>
      </c>
      <c r="Z14" s="17">
        <f t="shared" si="6"/>
        <v>0</v>
      </c>
      <c r="AA14" s="17">
        <f t="shared" si="6"/>
        <v>0</v>
      </c>
      <c r="AB14" s="17">
        <f t="shared" si="6"/>
        <v>5</v>
      </c>
      <c r="AC14" s="17">
        <f t="shared" si="6"/>
        <v>269</v>
      </c>
      <c r="AD14" s="17">
        <f t="shared" si="6"/>
        <v>0</v>
      </c>
      <c r="AE14" s="31">
        <f t="shared" si="6"/>
        <v>169</v>
      </c>
      <c r="AF14" s="31">
        <f t="shared" si="6"/>
        <v>438</v>
      </c>
    </row>
    <row r="15" spans="2:32" ht="23.1" customHeight="1" x14ac:dyDescent="0.25">
      <c r="B15" s="45" t="s">
        <v>42</v>
      </c>
      <c r="C15" s="50">
        <v>1</v>
      </c>
      <c r="D15" s="50">
        <v>0</v>
      </c>
      <c r="E15" s="50">
        <v>4</v>
      </c>
      <c r="F15" s="50">
        <v>6</v>
      </c>
      <c r="G15" s="50">
        <v>0</v>
      </c>
      <c r="H15" s="50">
        <v>0</v>
      </c>
      <c r="I15" s="50">
        <v>8</v>
      </c>
      <c r="J15" s="50">
        <v>0</v>
      </c>
      <c r="K15" s="50">
        <v>0</v>
      </c>
      <c r="L15" s="50">
        <v>0</v>
      </c>
      <c r="M15" s="50">
        <v>72</v>
      </c>
      <c r="N15" s="50">
        <v>0</v>
      </c>
      <c r="O15" s="15">
        <f t="shared" si="0"/>
        <v>19</v>
      </c>
      <c r="P15" s="15">
        <f t="shared" si="1"/>
        <v>91</v>
      </c>
      <c r="R15" s="1" t="s">
        <v>11</v>
      </c>
      <c r="S15" s="17">
        <f t="shared" ref="S15:AF15" si="7">SUM(C30:C33)</f>
        <v>19</v>
      </c>
      <c r="T15" s="17">
        <f t="shared" si="7"/>
        <v>0</v>
      </c>
      <c r="U15" s="17">
        <f t="shared" si="7"/>
        <v>44</v>
      </c>
      <c r="V15" s="17">
        <f t="shared" si="7"/>
        <v>47</v>
      </c>
      <c r="W15" s="17">
        <f t="shared" si="7"/>
        <v>0</v>
      </c>
      <c r="X15" s="17">
        <f t="shared" si="7"/>
        <v>5</v>
      </c>
      <c r="Y15" s="17">
        <f t="shared" si="7"/>
        <v>27</v>
      </c>
      <c r="Z15" s="17">
        <f t="shared" si="7"/>
        <v>0</v>
      </c>
      <c r="AA15" s="17">
        <f t="shared" si="7"/>
        <v>0</v>
      </c>
      <c r="AB15" s="17">
        <f t="shared" si="7"/>
        <v>8</v>
      </c>
      <c r="AC15" s="17">
        <f t="shared" si="7"/>
        <v>242</v>
      </c>
      <c r="AD15" s="17">
        <f t="shared" si="7"/>
        <v>0</v>
      </c>
      <c r="AE15" s="31">
        <f t="shared" si="7"/>
        <v>150</v>
      </c>
      <c r="AF15" s="31">
        <f t="shared" si="7"/>
        <v>392</v>
      </c>
    </row>
    <row r="16" spans="2:32" ht="23.1" customHeight="1" x14ac:dyDescent="0.25">
      <c r="B16" s="45" t="s">
        <v>43</v>
      </c>
      <c r="C16" s="50">
        <v>3</v>
      </c>
      <c r="D16" s="50">
        <v>0</v>
      </c>
      <c r="E16" s="50">
        <v>12</v>
      </c>
      <c r="F16" s="50">
        <v>13</v>
      </c>
      <c r="G16" s="50">
        <v>0</v>
      </c>
      <c r="H16" s="50">
        <v>0</v>
      </c>
      <c r="I16" s="50">
        <v>2</v>
      </c>
      <c r="J16" s="50">
        <v>0</v>
      </c>
      <c r="K16" s="50">
        <v>1</v>
      </c>
      <c r="L16" s="50">
        <v>3</v>
      </c>
      <c r="M16" s="50">
        <v>54</v>
      </c>
      <c r="N16" s="50">
        <v>0</v>
      </c>
      <c r="O16" s="15">
        <f t="shared" si="0"/>
        <v>34</v>
      </c>
      <c r="P16" s="15">
        <f t="shared" si="1"/>
        <v>88</v>
      </c>
      <c r="R16" s="1" t="s">
        <v>12</v>
      </c>
      <c r="S16" s="17">
        <f t="shared" ref="S16:AF16" si="8">SUM(C34:C37)</f>
        <v>22</v>
      </c>
      <c r="T16" s="17">
        <f t="shared" si="8"/>
        <v>0</v>
      </c>
      <c r="U16" s="17">
        <f t="shared" si="8"/>
        <v>72</v>
      </c>
      <c r="V16" s="17">
        <f t="shared" si="8"/>
        <v>52</v>
      </c>
      <c r="W16" s="17">
        <f t="shared" si="8"/>
        <v>0</v>
      </c>
      <c r="X16" s="17">
        <f t="shared" si="8"/>
        <v>4</v>
      </c>
      <c r="Y16" s="17">
        <f t="shared" si="8"/>
        <v>31</v>
      </c>
      <c r="Z16" s="17">
        <f t="shared" si="8"/>
        <v>1</v>
      </c>
      <c r="AA16" s="17">
        <f t="shared" si="8"/>
        <v>0</v>
      </c>
      <c r="AB16" s="17">
        <f t="shared" si="8"/>
        <v>5</v>
      </c>
      <c r="AC16" s="17">
        <f t="shared" si="8"/>
        <v>277</v>
      </c>
      <c r="AD16" s="17">
        <f t="shared" si="8"/>
        <v>0</v>
      </c>
      <c r="AE16" s="31">
        <f t="shared" si="8"/>
        <v>187</v>
      </c>
      <c r="AF16" s="31">
        <f t="shared" si="8"/>
        <v>464</v>
      </c>
    </row>
    <row r="17" spans="2:32" ht="23.1" customHeight="1" x14ac:dyDescent="0.25">
      <c r="B17" s="45" t="s">
        <v>44</v>
      </c>
      <c r="C17" s="50">
        <v>4</v>
      </c>
      <c r="D17" s="50">
        <v>0</v>
      </c>
      <c r="E17" s="50">
        <v>6</v>
      </c>
      <c r="F17" s="50">
        <v>16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1</v>
      </c>
      <c r="M17" s="50">
        <v>53</v>
      </c>
      <c r="N17" s="50">
        <v>0</v>
      </c>
      <c r="O17" s="15">
        <f t="shared" si="0"/>
        <v>28</v>
      </c>
      <c r="P17" s="15">
        <f t="shared" si="1"/>
        <v>81</v>
      </c>
      <c r="R17" s="1" t="s">
        <v>13</v>
      </c>
      <c r="S17" s="17">
        <f t="shared" ref="S17:AF17" si="9">SUM(C38:C41)</f>
        <v>32</v>
      </c>
      <c r="T17" s="17">
        <f t="shared" si="9"/>
        <v>0</v>
      </c>
      <c r="U17" s="17">
        <f t="shared" si="9"/>
        <v>87</v>
      </c>
      <c r="V17" s="17">
        <f t="shared" si="9"/>
        <v>52</v>
      </c>
      <c r="W17" s="17">
        <f t="shared" si="9"/>
        <v>4</v>
      </c>
      <c r="X17" s="17">
        <f t="shared" si="9"/>
        <v>8</v>
      </c>
      <c r="Y17" s="17">
        <f t="shared" si="9"/>
        <v>17</v>
      </c>
      <c r="Z17" s="17">
        <f t="shared" si="9"/>
        <v>0</v>
      </c>
      <c r="AA17" s="17">
        <f t="shared" si="9"/>
        <v>1</v>
      </c>
      <c r="AB17" s="17">
        <f t="shared" si="9"/>
        <v>6</v>
      </c>
      <c r="AC17" s="17">
        <f t="shared" si="9"/>
        <v>281</v>
      </c>
      <c r="AD17" s="17">
        <f t="shared" si="9"/>
        <v>0</v>
      </c>
      <c r="AE17" s="31">
        <f t="shared" si="9"/>
        <v>207</v>
      </c>
      <c r="AF17" s="31">
        <f t="shared" si="9"/>
        <v>488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12</v>
      </c>
      <c r="F18" s="50">
        <v>17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54</v>
      </c>
      <c r="N18" s="50">
        <v>0</v>
      </c>
      <c r="O18" s="15">
        <f t="shared" si="0"/>
        <v>31</v>
      </c>
      <c r="P18" s="15">
        <f t="shared" si="1"/>
        <v>85</v>
      </c>
      <c r="R18" s="1" t="s">
        <v>14</v>
      </c>
      <c r="S18" s="17">
        <f t="shared" ref="S18:AF18" si="10">SUM(C42:C45)</f>
        <v>38</v>
      </c>
      <c r="T18" s="17">
        <f t="shared" si="10"/>
        <v>0</v>
      </c>
      <c r="U18" s="17">
        <f t="shared" si="10"/>
        <v>66</v>
      </c>
      <c r="V18" s="17">
        <f t="shared" si="10"/>
        <v>58</v>
      </c>
      <c r="W18" s="17">
        <f t="shared" si="10"/>
        <v>0</v>
      </c>
      <c r="X18" s="17">
        <f t="shared" si="10"/>
        <v>5</v>
      </c>
      <c r="Y18" s="17">
        <f t="shared" si="10"/>
        <v>35</v>
      </c>
      <c r="Z18" s="17">
        <f t="shared" si="10"/>
        <v>6</v>
      </c>
      <c r="AA18" s="17">
        <f t="shared" si="10"/>
        <v>0</v>
      </c>
      <c r="AB18" s="17">
        <f t="shared" si="10"/>
        <v>6</v>
      </c>
      <c r="AC18" s="17">
        <f t="shared" si="10"/>
        <v>252</v>
      </c>
      <c r="AD18" s="17">
        <f t="shared" si="10"/>
        <v>0</v>
      </c>
      <c r="AE18" s="31">
        <f t="shared" si="10"/>
        <v>214</v>
      </c>
      <c r="AF18" s="31">
        <f t="shared" si="10"/>
        <v>466</v>
      </c>
    </row>
    <row r="19" spans="2:32" ht="23.1" customHeight="1" x14ac:dyDescent="0.25">
      <c r="B19" s="45" t="s">
        <v>46</v>
      </c>
      <c r="C19" s="50">
        <v>4</v>
      </c>
      <c r="D19" s="50">
        <v>0</v>
      </c>
      <c r="E19" s="50">
        <v>9</v>
      </c>
      <c r="F19" s="50">
        <v>8</v>
      </c>
      <c r="G19" s="50">
        <v>1</v>
      </c>
      <c r="H19" s="50">
        <v>0</v>
      </c>
      <c r="I19" s="50">
        <v>6</v>
      </c>
      <c r="J19" s="50">
        <v>0</v>
      </c>
      <c r="K19" s="50">
        <v>0</v>
      </c>
      <c r="L19" s="50">
        <v>1</v>
      </c>
      <c r="M19" s="50">
        <v>77</v>
      </c>
      <c r="N19" s="50">
        <v>0</v>
      </c>
      <c r="O19" s="15">
        <f t="shared" si="0"/>
        <v>29</v>
      </c>
      <c r="P19" s="15">
        <f t="shared" si="1"/>
        <v>106</v>
      </c>
      <c r="R19" s="1" t="s">
        <v>15</v>
      </c>
      <c r="S19" s="17">
        <f t="shared" ref="S19:AF19" si="11">SUM(C46:C49)</f>
        <v>53</v>
      </c>
      <c r="T19" s="17">
        <f t="shared" si="11"/>
        <v>0</v>
      </c>
      <c r="U19" s="17">
        <f t="shared" si="11"/>
        <v>98</v>
      </c>
      <c r="V19" s="17">
        <f t="shared" si="11"/>
        <v>57</v>
      </c>
      <c r="W19" s="17">
        <f t="shared" si="11"/>
        <v>5</v>
      </c>
      <c r="X19" s="17">
        <f t="shared" si="11"/>
        <v>4</v>
      </c>
      <c r="Y19" s="17">
        <f t="shared" si="11"/>
        <v>26</v>
      </c>
      <c r="Z19" s="17">
        <f t="shared" si="11"/>
        <v>1</v>
      </c>
      <c r="AA19" s="17">
        <f t="shared" si="11"/>
        <v>0</v>
      </c>
      <c r="AB19" s="17">
        <f t="shared" si="11"/>
        <v>6</v>
      </c>
      <c r="AC19" s="17">
        <f t="shared" si="11"/>
        <v>274</v>
      </c>
      <c r="AD19" s="17">
        <f t="shared" si="11"/>
        <v>0</v>
      </c>
      <c r="AE19" s="31">
        <f t="shared" si="11"/>
        <v>250</v>
      </c>
      <c r="AF19" s="31">
        <f t="shared" si="11"/>
        <v>524</v>
      </c>
    </row>
    <row r="20" spans="2:32" ht="23.1" customHeight="1" x14ac:dyDescent="0.25">
      <c r="B20" s="45" t="s">
        <v>47</v>
      </c>
      <c r="C20" s="50">
        <v>8</v>
      </c>
      <c r="D20" s="50">
        <v>0</v>
      </c>
      <c r="E20" s="50">
        <v>11</v>
      </c>
      <c r="F20" s="50">
        <v>12</v>
      </c>
      <c r="G20" s="50">
        <v>0</v>
      </c>
      <c r="H20" s="50">
        <v>1</v>
      </c>
      <c r="I20" s="50">
        <v>3</v>
      </c>
      <c r="J20" s="50">
        <v>0</v>
      </c>
      <c r="K20" s="50">
        <v>0</v>
      </c>
      <c r="L20" s="50">
        <v>0</v>
      </c>
      <c r="M20" s="50">
        <v>65</v>
      </c>
      <c r="N20" s="50">
        <v>0</v>
      </c>
      <c r="O20" s="15">
        <f t="shared" si="0"/>
        <v>35</v>
      </c>
      <c r="P20" s="15">
        <f t="shared" si="1"/>
        <v>100</v>
      </c>
      <c r="R20" s="1" t="s">
        <v>16</v>
      </c>
      <c r="S20" s="17">
        <f t="shared" ref="S20:AF20" si="12">SUM(C50:C53)</f>
        <v>60</v>
      </c>
      <c r="T20" s="17">
        <f t="shared" si="12"/>
        <v>0</v>
      </c>
      <c r="U20" s="17">
        <f t="shared" si="12"/>
        <v>95</v>
      </c>
      <c r="V20" s="17">
        <f t="shared" si="12"/>
        <v>78</v>
      </c>
      <c r="W20" s="17">
        <f t="shared" si="12"/>
        <v>3</v>
      </c>
      <c r="X20" s="17">
        <f t="shared" si="12"/>
        <v>9</v>
      </c>
      <c r="Y20" s="17">
        <f t="shared" si="12"/>
        <v>24</v>
      </c>
      <c r="Z20" s="17">
        <f t="shared" si="12"/>
        <v>3</v>
      </c>
      <c r="AA20" s="17">
        <f t="shared" si="12"/>
        <v>0</v>
      </c>
      <c r="AB20" s="17">
        <f t="shared" si="12"/>
        <v>3</v>
      </c>
      <c r="AC20" s="17">
        <f t="shared" si="12"/>
        <v>308</v>
      </c>
      <c r="AD20" s="17">
        <f t="shared" si="12"/>
        <v>0</v>
      </c>
      <c r="AE20" s="31">
        <f t="shared" si="12"/>
        <v>275</v>
      </c>
      <c r="AF20" s="31">
        <f t="shared" si="12"/>
        <v>583</v>
      </c>
    </row>
    <row r="21" spans="2:32" ht="23.1" customHeight="1" x14ac:dyDescent="0.25">
      <c r="B21" s="45" t="s">
        <v>48</v>
      </c>
      <c r="C21" s="50">
        <v>5</v>
      </c>
      <c r="D21" s="50">
        <v>0</v>
      </c>
      <c r="E21" s="50">
        <v>12</v>
      </c>
      <c r="F21" s="50">
        <v>14</v>
      </c>
      <c r="G21" s="50">
        <v>0</v>
      </c>
      <c r="H21" s="50">
        <v>0</v>
      </c>
      <c r="I21" s="50">
        <v>5</v>
      </c>
      <c r="J21" s="50">
        <v>1</v>
      </c>
      <c r="K21" s="50">
        <v>0</v>
      </c>
      <c r="L21" s="50">
        <v>2</v>
      </c>
      <c r="M21" s="50">
        <v>70</v>
      </c>
      <c r="N21" s="50">
        <v>0</v>
      </c>
      <c r="O21" s="15">
        <f t="shared" si="0"/>
        <v>39</v>
      </c>
      <c r="P21" s="15">
        <f t="shared" si="1"/>
        <v>109</v>
      </c>
      <c r="R21" s="36" t="s">
        <v>20</v>
      </c>
      <c r="S21" s="34">
        <f t="shared" ref="S21:AF21" si="13">SUM(C54:C57)</f>
        <v>54</v>
      </c>
      <c r="T21" s="17">
        <f t="shared" si="13"/>
        <v>0</v>
      </c>
      <c r="U21" s="17">
        <f t="shared" si="13"/>
        <v>86</v>
      </c>
      <c r="V21" s="17">
        <f t="shared" si="13"/>
        <v>83</v>
      </c>
      <c r="W21" s="17">
        <f t="shared" si="13"/>
        <v>3</v>
      </c>
      <c r="X21" s="17">
        <f t="shared" si="13"/>
        <v>7</v>
      </c>
      <c r="Y21" s="17">
        <f t="shared" si="13"/>
        <v>42</v>
      </c>
      <c r="Z21" s="17">
        <f t="shared" si="13"/>
        <v>1</v>
      </c>
      <c r="AA21" s="17">
        <f t="shared" si="13"/>
        <v>0</v>
      </c>
      <c r="AB21" s="17">
        <f t="shared" si="13"/>
        <v>3</v>
      </c>
      <c r="AC21" s="17">
        <f t="shared" si="13"/>
        <v>265</v>
      </c>
      <c r="AD21" s="17">
        <f t="shared" si="13"/>
        <v>0</v>
      </c>
      <c r="AE21" s="31">
        <f t="shared" si="13"/>
        <v>279</v>
      </c>
      <c r="AF21" s="31">
        <f t="shared" si="13"/>
        <v>544</v>
      </c>
    </row>
    <row r="22" spans="2:32" ht="23.1" customHeight="1" x14ac:dyDescent="0.25">
      <c r="B22" s="45" t="s">
        <v>49</v>
      </c>
      <c r="C22" s="50">
        <v>7</v>
      </c>
      <c r="D22" s="50">
        <v>0</v>
      </c>
      <c r="E22" s="50">
        <v>9</v>
      </c>
      <c r="F22" s="50">
        <v>9</v>
      </c>
      <c r="G22" s="50">
        <v>0</v>
      </c>
      <c r="H22" s="50">
        <v>1</v>
      </c>
      <c r="I22" s="50">
        <v>8</v>
      </c>
      <c r="J22" s="50">
        <v>0</v>
      </c>
      <c r="K22" s="50">
        <v>0</v>
      </c>
      <c r="L22" s="50">
        <v>2</v>
      </c>
      <c r="M22" s="50">
        <v>71</v>
      </c>
      <c r="N22" s="50">
        <v>0</v>
      </c>
      <c r="O22" s="15">
        <f t="shared" si="0"/>
        <v>36</v>
      </c>
      <c r="P22" s="15">
        <f t="shared" si="1"/>
        <v>107</v>
      </c>
      <c r="R22" s="36" t="s">
        <v>146</v>
      </c>
      <c r="S22" s="34">
        <f>SUM(C58:C61)</f>
        <v>62</v>
      </c>
      <c r="T22" s="34">
        <f t="shared" ref="T22:AF22" si="14">SUM(D58:D61)</f>
        <v>6</v>
      </c>
      <c r="U22" s="34">
        <f t="shared" si="14"/>
        <v>25</v>
      </c>
      <c r="V22" s="34">
        <f t="shared" si="14"/>
        <v>42</v>
      </c>
      <c r="W22" s="34">
        <f t="shared" si="14"/>
        <v>0</v>
      </c>
      <c r="X22" s="34">
        <f t="shared" si="14"/>
        <v>2</v>
      </c>
      <c r="Y22" s="34">
        <f t="shared" si="14"/>
        <v>32</v>
      </c>
      <c r="Z22" s="34">
        <f t="shared" si="14"/>
        <v>1</v>
      </c>
      <c r="AA22" s="34">
        <f t="shared" si="14"/>
        <v>1</v>
      </c>
      <c r="AB22" s="34">
        <f t="shared" si="14"/>
        <v>10</v>
      </c>
      <c r="AC22" s="34">
        <f t="shared" si="14"/>
        <v>237</v>
      </c>
      <c r="AD22" s="34">
        <f t="shared" si="14"/>
        <v>0</v>
      </c>
      <c r="AE22" s="31">
        <f t="shared" si="14"/>
        <v>181</v>
      </c>
      <c r="AF22" s="31">
        <f t="shared" si="14"/>
        <v>418</v>
      </c>
    </row>
    <row r="23" spans="2:32" ht="23.1" customHeight="1" x14ac:dyDescent="0.25">
      <c r="B23" s="45" t="s">
        <v>50</v>
      </c>
      <c r="C23" s="50">
        <v>7</v>
      </c>
      <c r="D23" s="50">
        <v>0</v>
      </c>
      <c r="E23" s="50">
        <v>9</v>
      </c>
      <c r="F23" s="50">
        <v>13</v>
      </c>
      <c r="G23" s="50">
        <v>0</v>
      </c>
      <c r="H23" s="50">
        <v>0</v>
      </c>
      <c r="I23" s="50">
        <v>9</v>
      </c>
      <c r="J23" s="50">
        <v>0</v>
      </c>
      <c r="K23" s="50">
        <v>0</v>
      </c>
      <c r="L23" s="50">
        <v>1</v>
      </c>
      <c r="M23" s="50">
        <v>58</v>
      </c>
      <c r="N23" s="50">
        <v>0</v>
      </c>
      <c r="O23" s="15">
        <f t="shared" si="0"/>
        <v>39</v>
      </c>
      <c r="P23" s="15">
        <f t="shared" si="1"/>
        <v>97</v>
      </c>
      <c r="R23" s="36" t="s">
        <v>147</v>
      </c>
      <c r="S23" s="34">
        <f>SUM(C62:C65)</f>
        <v>43</v>
      </c>
      <c r="T23" s="34">
        <f t="shared" ref="T23:AF23" si="15">SUM(D62:D65)</f>
        <v>4</v>
      </c>
      <c r="U23" s="34">
        <f t="shared" si="15"/>
        <v>23</v>
      </c>
      <c r="V23" s="34">
        <f t="shared" si="15"/>
        <v>22</v>
      </c>
      <c r="W23" s="34">
        <f t="shared" si="15"/>
        <v>0</v>
      </c>
      <c r="X23" s="34">
        <f t="shared" si="15"/>
        <v>4</v>
      </c>
      <c r="Y23" s="34">
        <f t="shared" si="15"/>
        <v>24</v>
      </c>
      <c r="Z23" s="34">
        <f t="shared" si="15"/>
        <v>2</v>
      </c>
      <c r="AA23" s="34">
        <f t="shared" si="15"/>
        <v>1</v>
      </c>
      <c r="AB23" s="34">
        <f t="shared" si="15"/>
        <v>14</v>
      </c>
      <c r="AC23" s="34">
        <f t="shared" si="15"/>
        <v>165</v>
      </c>
      <c r="AD23" s="34">
        <f t="shared" si="15"/>
        <v>0</v>
      </c>
      <c r="AE23" s="31">
        <f t="shared" si="15"/>
        <v>137</v>
      </c>
      <c r="AF23" s="31">
        <f t="shared" si="15"/>
        <v>302</v>
      </c>
    </row>
    <row r="24" spans="2:32" ht="23.1" customHeight="1" x14ac:dyDescent="0.25">
      <c r="B24" s="45" t="s">
        <v>51</v>
      </c>
      <c r="C24" s="50">
        <v>5</v>
      </c>
      <c r="D24" s="50">
        <v>0</v>
      </c>
      <c r="E24" s="50">
        <v>11</v>
      </c>
      <c r="F24" s="50">
        <v>10</v>
      </c>
      <c r="G24" s="50">
        <v>0</v>
      </c>
      <c r="H24" s="50">
        <v>0</v>
      </c>
      <c r="I24" s="50">
        <v>3</v>
      </c>
      <c r="J24" s="50">
        <v>0</v>
      </c>
      <c r="K24" s="50">
        <v>0</v>
      </c>
      <c r="L24" s="50">
        <v>1</v>
      </c>
      <c r="M24" s="50">
        <v>78</v>
      </c>
      <c r="N24" s="50">
        <v>0</v>
      </c>
      <c r="O24" s="15">
        <f t="shared" si="0"/>
        <v>30</v>
      </c>
      <c r="P24" s="15">
        <f t="shared" si="1"/>
        <v>108</v>
      </c>
      <c r="R24" s="36" t="s">
        <v>148</v>
      </c>
      <c r="S24" s="34">
        <f>SUM(C66:C69)</f>
        <v>17</v>
      </c>
      <c r="T24" s="34">
        <f t="shared" ref="T24:AF24" si="16">SUM(D66:D69)</f>
        <v>4</v>
      </c>
      <c r="U24" s="34">
        <f t="shared" si="16"/>
        <v>14</v>
      </c>
      <c r="V24" s="34">
        <f t="shared" si="16"/>
        <v>15</v>
      </c>
      <c r="W24" s="34">
        <f t="shared" si="16"/>
        <v>4</v>
      </c>
      <c r="X24" s="34">
        <f t="shared" si="16"/>
        <v>5</v>
      </c>
      <c r="Y24" s="34">
        <f t="shared" si="16"/>
        <v>23</v>
      </c>
      <c r="Z24" s="34">
        <f t="shared" si="16"/>
        <v>1</v>
      </c>
      <c r="AA24" s="34">
        <f t="shared" si="16"/>
        <v>2</v>
      </c>
      <c r="AB24" s="34">
        <f t="shared" si="16"/>
        <v>7</v>
      </c>
      <c r="AC24" s="34">
        <f t="shared" si="16"/>
        <v>88</v>
      </c>
      <c r="AD24" s="34">
        <f t="shared" si="16"/>
        <v>0</v>
      </c>
      <c r="AE24" s="31">
        <f t="shared" si="16"/>
        <v>92</v>
      </c>
      <c r="AF24" s="31">
        <f t="shared" si="16"/>
        <v>180</v>
      </c>
    </row>
    <row r="25" spans="2:32" ht="23.1" customHeight="1" x14ac:dyDescent="0.25">
      <c r="B25" s="45" t="s">
        <v>52</v>
      </c>
      <c r="C25" s="50">
        <v>7</v>
      </c>
      <c r="D25" s="50">
        <v>0</v>
      </c>
      <c r="E25" s="50">
        <v>9</v>
      </c>
      <c r="F25" s="50">
        <v>10</v>
      </c>
      <c r="G25" s="50">
        <v>0</v>
      </c>
      <c r="H25" s="50">
        <v>0</v>
      </c>
      <c r="I25" s="50">
        <v>8</v>
      </c>
      <c r="J25" s="50">
        <v>0</v>
      </c>
      <c r="K25" s="50">
        <v>0</v>
      </c>
      <c r="L25" s="50">
        <v>2</v>
      </c>
      <c r="M25" s="50">
        <v>60</v>
      </c>
      <c r="N25" s="50">
        <v>0</v>
      </c>
      <c r="O25" s="15">
        <f t="shared" si="0"/>
        <v>36</v>
      </c>
      <c r="P25" s="15">
        <f t="shared" si="1"/>
        <v>96</v>
      </c>
      <c r="R25" s="36" t="s">
        <v>149</v>
      </c>
      <c r="S25" s="34">
        <f>SUM(C70:C73)</f>
        <v>9</v>
      </c>
      <c r="T25" s="34">
        <f t="shared" ref="T25:AF25" si="17">SUM(D70:D73)</f>
        <v>1</v>
      </c>
      <c r="U25" s="34">
        <f t="shared" si="17"/>
        <v>9</v>
      </c>
      <c r="V25" s="34">
        <f t="shared" si="17"/>
        <v>13</v>
      </c>
      <c r="W25" s="34">
        <f t="shared" si="17"/>
        <v>4</v>
      </c>
      <c r="X25" s="34">
        <f t="shared" si="17"/>
        <v>5</v>
      </c>
      <c r="Y25" s="34">
        <f t="shared" si="17"/>
        <v>13</v>
      </c>
      <c r="Z25" s="34">
        <f t="shared" si="17"/>
        <v>1</v>
      </c>
      <c r="AA25" s="34">
        <f t="shared" si="17"/>
        <v>2</v>
      </c>
      <c r="AB25" s="34">
        <f t="shared" si="17"/>
        <v>7</v>
      </c>
      <c r="AC25" s="34">
        <f t="shared" si="17"/>
        <v>34</v>
      </c>
      <c r="AD25" s="34">
        <f t="shared" si="17"/>
        <v>0</v>
      </c>
      <c r="AE25" s="31">
        <f t="shared" si="17"/>
        <v>64</v>
      </c>
      <c r="AF25" s="31">
        <f t="shared" si="17"/>
        <v>98</v>
      </c>
    </row>
    <row r="26" spans="2:32" ht="23.1" customHeight="1" x14ac:dyDescent="0.25">
      <c r="B26" s="45" t="s">
        <v>53</v>
      </c>
      <c r="C26" s="50">
        <v>5</v>
      </c>
      <c r="D26" s="50">
        <v>0</v>
      </c>
      <c r="E26" s="50">
        <v>14</v>
      </c>
      <c r="F26" s="50">
        <v>16</v>
      </c>
      <c r="G26" s="50">
        <v>2</v>
      </c>
      <c r="H26" s="50">
        <v>1</v>
      </c>
      <c r="I26" s="50">
        <v>3</v>
      </c>
      <c r="J26" s="50">
        <v>0</v>
      </c>
      <c r="K26" s="50">
        <v>0</v>
      </c>
      <c r="L26" s="50">
        <v>2</v>
      </c>
      <c r="M26" s="50">
        <v>68</v>
      </c>
      <c r="N26" s="50">
        <v>0</v>
      </c>
      <c r="O26" s="15">
        <f t="shared" si="0"/>
        <v>43</v>
      </c>
      <c r="P26" s="15">
        <f t="shared" si="1"/>
        <v>111</v>
      </c>
      <c r="R26" s="36" t="s">
        <v>150</v>
      </c>
      <c r="S26" s="34">
        <f>SUM(C74:C77)</f>
        <v>7</v>
      </c>
      <c r="T26" s="34">
        <f t="shared" ref="T26:AF26" si="18">SUM(D74:D77)</f>
        <v>0</v>
      </c>
      <c r="U26" s="34">
        <f t="shared" si="18"/>
        <v>4</v>
      </c>
      <c r="V26" s="34">
        <f t="shared" si="18"/>
        <v>2</v>
      </c>
      <c r="W26" s="34">
        <f t="shared" si="18"/>
        <v>4</v>
      </c>
      <c r="X26" s="34">
        <f t="shared" si="18"/>
        <v>5</v>
      </c>
      <c r="Y26" s="34">
        <f t="shared" si="18"/>
        <v>10</v>
      </c>
      <c r="Z26" s="34">
        <f t="shared" si="18"/>
        <v>1</v>
      </c>
      <c r="AA26" s="34">
        <f t="shared" si="18"/>
        <v>0</v>
      </c>
      <c r="AB26" s="34">
        <f t="shared" si="18"/>
        <v>7</v>
      </c>
      <c r="AC26" s="34">
        <f t="shared" si="18"/>
        <v>16</v>
      </c>
      <c r="AD26" s="34">
        <f t="shared" si="18"/>
        <v>0</v>
      </c>
      <c r="AE26" s="31">
        <f t="shared" si="18"/>
        <v>40</v>
      </c>
      <c r="AF26" s="31">
        <f t="shared" si="18"/>
        <v>56</v>
      </c>
    </row>
    <row r="27" spans="2:32" ht="23.1" customHeight="1" x14ac:dyDescent="0.25">
      <c r="B27" s="45" t="s">
        <v>54</v>
      </c>
      <c r="C27" s="50">
        <v>5</v>
      </c>
      <c r="D27" s="50">
        <v>0</v>
      </c>
      <c r="E27" s="50">
        <v>16</v>
      </c>
      <c r="F27" s="50">
        <v>13</v>
      </c>
      <c r="G27" s="50">
        <v>0</v>
      </c>
      <c r="H27" s="50">
        <v>0</v>
      </c>
      <c r="I27" s="50">
        <v>8</v>
      </c>
      <c r="J27" s="50">
        <v>0</v>
      </c>
      <c r="K27" s="50">
        <v>0</v>
      </c>
      <c r="L27" s="50">
        <v>1</v>
      </c>
      <c r="M27" s="50">
        <v>76</v>
      </c>
      <c r="N27" s="50">
        <v>0</v>
      </c>
      <c r="O27" s="15">
        <f t="shared" si="0"/>
        <v>43</v>
      </c>
      <c r="P27" s="15">
        <f t="shared" si="1"/>
        <v>119</v>
      </c>
      <c r="R27" s="36" t="s">
        <v>151</v>
      </c>
      <c r="S27" s="34">
        <f>SUM(C78:C81)</f>
        <v>4</v>
      </c>
      <c r="T27" s="34">
        <f t="shared" ref="T27:AF27" si="19">SUM(D78:D81)</f>
        <v>3</v>
      </c>
      <c r="U27" s="34">
        <f t="shared" si="19"/>
        <v>3</v>
      </c>
      <c r="V27" s="34">
        <f t="shared" si="19"/>
        <v>2</v>
      </c>
      <c r="W27" s="34">
        <f t="shared" si="19"/>
        <v>4</v>
      </c>
      <c r="X27" s="34">
        <f t="shared" si="19"/>
        <v>4</v>
      </c>
      <c r="Y27" s="34">
        <f t="shared" si="19"/>
        <v>5</v>
      </c>
      <c r="Z27" s="34">
        <f t="shared" si="19"/>
        <v>1</v>
      </c>
      <c r="AA27" s="34">
        <f t="shared" si="19"/>
        <v>0</v>
      </c>
      <c r="AB27" s="34">
        <f t="shared" si="19"/>
        <v>7</v>
      </c>
      <c r="AC27" s="34">
        <f t="shared" si="19"/>
        <v>13</v>
      </c>
      <c r="AD27" s="34">
        <f t="shared" si="19"/>
        <v>0</v>
      </c>
      <c r="AE27" s="31">
        <f t="shared" si="19"/>
        <v>33</v>
      </c>
      <c r="AF27" s="31">
        <f t="shared" si="19"/>
        <v>46</v>
      </c>
    </row>
    <row r="28" spans="2:32" ht="23.1" customHeight="1" x14ac:dyDescent="0.25">
      <c r="B28" s="45" t="s">
        <v>55</v>
      </c>
      <c r="C28" s="50">
        <v>6</v>
      </c>
      <c r="D28" s="50">
        <v>0</v>
      </c>
      <c r="E28" s="50">
        <v>11</v>
      </c>
      <c r="F28" s="50">
        <v>12</v>
      </c>
      <c r="G28" s="50">
        <v>0</v>
      </c>
      <c r="H28" s="50">
        <v>1</v>
      </c>
      <c r="I28" s="50">
        <v>3</v>
      </c>
      <c r="J28" s="50">
        <v>0</v>
      </c>
      <c r="K28" s="50">
        <v>0</v>
      </c>
      <c r="L28" s="50">
        <v>1</v>
      </c>
      <c r="M28" s="50">
        <v>68</v>
      </c>
      <c r="N28" s="50">
        <v>0</v>
      </c>
      <c r="O28" s="15">
        <f t="shared" si="0"/>
        <v>34</v>
      </c>
      <c r="P28" s="15">
        <f t="shared" si="1"/>
        <v>102</v>
      </c>
      <c r="R28" s="36" t="s">
        <v>152</v>
      </c>
      <c r="S28" s="34">
        <f>SUM(C82:C85)</f>
        <v>4</v>
      </c>
      <c r="T28" s="34">
        <f t="shared" ref="T28:AF28" si="20">SUM(D82:D85)</f>
        <v>1</v>
      </c>
      <c r="U28" s="34">
        <f t="shared" si="20"/>
        <v>3</v>
      </c>
      <c r="V28" s="34">
        <f t="shared" si="20"/>
        <v>2</v>
      </c>
      <c r="W28" s="34">
        <f t="shared" si="20"/>
        <v>2</v>
      </c>
      <c r="X28" s="34">
        <f t="shared" si="20"/>
        <v>2</v>
      </c>
      <c r="Y28" s="34">
        <f t="shared" si="20"/>
        <v>4</v>
      </c>
      <c r="Z28" s="34">
        <f t="shared" si="20"/>
        <v>1</v>
      </c>
      <c r="AA28" s="34">
        <f t="shared" si="20"/>
        <v>0</v>
      </c>
      <c r="AB28" s="34">
        <f t="shared" si="20"/>
        <v>3</v>
      </c>
      <c r="AC28" s="34">
        <f t="shared" si="20"/>
        <v>5</v>
      </c>
      <c r="AD28" s="34">
        <f t="shared" si="20"/>
        <v>0</v>
      </c>
      <c r="AE28" s="31">
        <f t="shared" si="20"/>
        <v>22</v>
      </c>
      <c r="AF28" s="31">
        <f t="shared" si="20"/>
        <v>27</v>
      </c>
    </row>
    <row r="29" spans="2:32" ht="23.1" customHeight="1" x14ac:dyDescent="0.25">
      <c r="B29" s="45" t="s">
        <v>56</v>
      </c>
      <c r="C29" s="50">
        <v>13</v>
      </c>
      <c r="D29" s="50">
        <v>0</v>
      </c>
      <c r="E29" s="50">
        <v>12</v>
      </c>
      <c r="F29" s="50">
        <v>15</v>
      </c>
      <c r="G29" s="50">
        <v>2</v>
      </c>
      <c r="H29" s="50">
        <v>2</v>
      </c>
      <c r="I29" s="50">
        <v>4</v>
      </c>
      <c r="J29" s="50">
        <v>0</v>
      </c>
      <c r="K29" s="50">
        <v>0</v>
      </c>
      <c r="L29" s="50">
        <v>1</v>
      </c>
      <c r="M29" s="50">
        <v>57</v>
      </c>
      <c r="N29" s="50">
        <v>0</v>
      </c>
      <c r="O29" s="15">
        <f t="shared" si="0"/>
        <v>49</v>
      </c>
      <c r="P29" s="15">
        <f t="shared" si="1"/>
        <v>106</v>
      </c>
      <c r="R29" s="36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2</v>
      </c>
      <c r="V29" s="34">
        <f t="shared" si="21"/>
        <v>2</v>
      </c>
      <c r="W29" s="34">
        <f t="shared" si="21"/>
        <v>2</v>
      </c>
      <c r="X29" s="34">
        <f t="shared" si="21"/>
        <v>2</v>
      </c>
      <c r="Y29" s="34">
        <f t="shared" si="21"/>
        <v>4</v>
      </c>
      <c r="Z29" s="34">
        <f t="shared" si="21"/>
        <v>1</v>
      </c>
      <c r="AA29" s="34">
        <f t="shared" si="21"/>
        <v>1</v>
      </c>
      <c r="AB29" s="34">
        <f t="shared" si="21"/>
        <v>1</v>
      </c>
      <c r="AC29" s="34">
        <f t="shared" si="21"/>
        <v>2</v>
      </c>
      <c r="AD29" s="34">
        <f t="shared" si="21"/>
        <v>0</v>
      </c>
      <c r="AE29" s="31">
        <f t="shared" si="21"/>
        <v>17</v>
      </c>
      <c r="AF29" s="31">
        <f t="shared" si="21"/>
        <v>19</v>
      </c>
    </row>
    <row r="30" spans="2:32" ht="23.1" customHeight="1" x14ac:dyDescent="0.25">
      <c r="B30" s="45" t="s">
        <v>57</v>
      </c>
      <c r="C30" s="50">
        <v>6</v>
      </c>
      <c r="D30" s="50">
        <v>0</v>
      </c>
      <c r="E30" s="50">
        <v>7</v>
      </c>
      <c r="F30" s="50">
        <v>8</v>
      </c>
      <c r="G30" s="50">
        <v>0</v>
      </c>
      <c r="H30" s="50">
        <v>1</v>
      </c>
      <c r="I30" s="50">
        <v>12</v>
      </c>
      <c r="J30" s="50">
        <v>0</v>
      </c>
      <c r="K30" s="50">
        <v>0</v>
      </c>
      <c r="L30" s="50">
        <v>2</v>
      </c>
      <c r="M30" s="50">
        <v>61</v>
      </c>
      <c r="N30" s="50">
        <v>0</v>
      </c>
      <c r="O30" s="15">
        <f t="shared" si="0"/>
        <v>36</v>
      </c>
      <c r="P30" s="15">
        <f t="shared" si="1"/>
        <v>97</v>
      </c>
      <c r="R30" s="36" t="s">
        <v>154</v>
      </c>
      <c r="S30" s="34">
        <f>SUM(C90:C93)</f>
        <v>1</v>
      </c>
      <c r="T30" s="34">
        <f t="shared" ref="T30:AF30" si="22">SUM(D90:D93)</f>
        <v>1</v>
      </c>
      <c r="U30" s="34">
        <f t="shared" si="22"/>
        <v>1</v>
      </c>
      <c r="V30" s="34">
        <f t="shared" si="22"/>
        <v>2</v>
      </c>
      <c r="W30" s="34">
        <f t="shared" si="22"/>
        <v>2</v>
      </c>
      <c r="X30" s="34">
        <f t="shared" si="22"/>
        <v>2</v>
      </c>
      <c r="Y30" s="34">
        <f t="shared" si="22"/>
        <v>4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3</v>
      </c>
      <c r="AD30" s="34">
        <f t="shared" si="22"/>
        <v>0</v>
      </c>
      <c r="AE30" s="31">
        <f t="shared" si="22"/>
        <v>14</v>
      </c>
      <c r="AF30" s="31">
        <f t="shared" si="22"/>
        <v>17</v>
      </c>
    </row>
    <row r="31" spans="2:32" ht="23.1" customHeight="1" x14ac:dyDescent="0.25">
      <c r="B31" s="46" t="s">
        <v>58</v>
      </c>
      <c r="C31" s="50">
        <v>4</v>
      </c>
      <c r="D31" s="50">
        <v>0</v>
      </c>
      <c r="E31" s="50">
        <v>12</v>
      </c>
      <c r="F31" s="50">
        <v>13</v>
      </c>
      <c r="G31" s="50">
        <v>0</v>
      </c>
      <c r="H31" s="50">
        <v>2</v>
      </c>
      <c r="I31" s="50">
        <v>3</v>
      </c>
      <c r="J31" s="50">
        <v>0</v>
      </c>
      <c r="K31" s="50">
        <v>0</v>
      </c>
      <c r="L31" s="50">
        <v>2</v>
      </c>
      <c r="M31" s="50">
        <v>75</v>
      </c>
      <c r="N31" s="50">
        <v>0</v>
      </c>
      <c r="O31" s="15">
        <f t="shared" si="0"/>
        <v>36</v>
      </c>
      <c r="P31" s="15">
        <f t="shared" si="1"/>
        <v>111</v>
      </c>
      <c r="R31" s="36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3</v>
      </c>
      <c r="W31" s="34">
        <f t="shared" si="23"/>
        <v>1</v>
      </c>
      <c r="X31" s="34">
        <f t="shared" si="23"/>
        <v>1</v>
      </c>
      <c r="Y31" s="34">
        <f t="shared" si="23"/>
        <v>2</v>
      </c>
      <c r="Z31" s="34">
        <f t="shared" si="23"/>
        <v>0</v>
      </c>
      <c r="AA31" s="34">
        <f t="shared" si="23"/>
        <v>0</v>
      </c>
      <c r="AB31" s="34">
        <f t="shared" si="23"/>
        <v>1</v>
      </c>
      <c r="AC31" s="34">
        <f t="shared" si="23"/>
        <v>2</v>
      </c>
      <c r="AD31" s="34">
        <f t="shared" si="23"/>
        <v>0</v>
      </c>
      <c r="AE31" s="31">
        <f t="shared" si="23"/>
        <v>9</v>
      </c>
      <c r="AF31" s="31">
        <f t="shared" si="23"/>
        <v>11</v>
      </c>
    </row>
    <row r="32" spans="2:32" ht="23.1" customHeight="1" x14ac:dyDescent="0.25">
      <c r="B32" s="46" t="s">
        <v>59</v>
      </c>
      <c r="C32" s="50">
        <v>3</v>
      </c>
      <c r="D32" s="50">
        <v>0</v>
      </c>
      <c r="E32" s="50">
        <v>15</v>
      </c>
      <c r="F32" s="50">
        <v>16</v>
      </c>
      <c r="G32" s="50">
        <v>0</v>
      </c>
      <c r="H32" s="50">
        <v>1</v>
      </c>
      <c r="I32" s="50">
        <v>5</v>
      </c>
      <c r="J32" s="50">
        <v>0</v>
      </c>
      <c r="K32" s="50">
        <v>0</v>
      </c>
      <c r="L32" s="50">
        <v>2</v>
      </c>
      <c r="M32" s="50">
        <v>53</v>
      </c>
      <c r="N32" s="50">
        <v>0</v>
      </c>
      <c r="O32" s="15">
        <f t="shared" si="0"/>
        <v>42</v>
      </c>
      <c r="P32" s="15">
        <f t="shared" si="1"/>
        <v>95</v>
      </c>
      <c r="R32" s="33" t="s">
        <v>156</v>
      </c>
      <c r="S32" s="34">
        <f>SUM(C98:C101)</f>
        <v>8</v>
      </c>
      <c r="T32" s="34">
        <f t="shared" ref="T32:AF32" si="24">SUM(D98:D101)</f>
        <v>1</v>
      </c>
      <c r="U32" s="34">
        <f t="shared" si="24"/>
        <v>2</v>
      </c>
      <c r="V32" s="34">
        <f t="shared" si="24"/>
        <v>2</v>
      </c>
      <c r="W32" s="34">
        <f t="shared" si="24"/>
        <v>2</v>
      </c>
      <c r="X32" s="34">
        <f t="shared" si="24"/>
        <v>2</v>
      </c>
      <c r="Y32" s="34">
        <f t="shared" si="24"/>
        <v>3</v>
      </c>
      <c r="Z32" s="34">
        <f t="shared" si="24"/>
        <v>1</v>
      </c>
      <c r="AA32" s="34">
        <f t="shared" si="24"/>
        <v>0</v>
      </c>
      <c r="AB32" s="34">
        <f t="shared" si="24"/>
        <v>3</v>
      </c>
      <c r="AC32" s="34">
        <f t="shared" si="24"/>
        <v>4</v>
      </c>
      <c r="AD32" s="34">
        <f t="shared" si="24"/>
        <v>0</v>
      </c>
      <c r="AE32" s="31">
        <f t="shared" si="24"/>
        <v>24</v>
      </c>
      <c r="AF32" s="31">
        <f t="shared" si="24"/>
        <v>28</v>
      </c>
    </row>
    <row r="33" spans="2:32" ht="23.1" customHeight="1" x14ac:dyDescent="0.25">
      <c r="B33" s="45" t="s">
        <v>60</v>
      </c>
      <c r="C33" s="50">
        <v>6</v>
      </c>
      <c r="D33" s="50">
        <v>0</v>
      </c>
      <c r="E33" s="50">
        <v>10</v>
      </c>
      <c r="F33" s="50">
        <v>10</v>
      </c>
      <c r="G33" s="50">
        <v>0</v>
      </c>
      <c r="H33" s="50">
        <v>1</v>
      </c>
      <c r="I33" s="50">
        <v>7</v>
      </c>
      <c r="J33" s="50">
        <v>0</v>
      </c>
      <c r="K33" s="50">
        <v>0</v>
      </c>
      <c r="L33" s="50">
        <v>2</v>
      </c>
      <c r="M33" s="50">
        <v>53</v>
      </c>
      <c r="N33" s="50">
        <v>0</v>
      </c>
      <c r="O33" s="15">
        <f t="shared" si="0"/>
        <v>36</v>
      </c>
      <c r="P33" s="15">
        <f t="shared" si="1"/>
        <v>89</v>
      </c>
      <c r="R33" s="33" t="s">
        <v>157</v>
      </c>
      <c r="S33" s="34">
        <f>SUM(C102:C105)</f>
        <v>25</v>
      </c>
      <c r="T33" s="34">
        <f t="shared" ref="T33:AF33" si="25">SUM(D102:D105)</f>
        <v>6</v>
      </c>
      <c r="U33" s="34">
        <f t="shared" si="25"/>
        <v>2</v>
      </c>
      <c r="V33" s="34">
        <f t="shared" si="25"/>
        <v>2</v>
      </c>
      <c r="W33" s="34">
        <f t="shared" si="25"/>
        <v>2</v>
      </c>
      <c r="X33" s="34">
        <f t="shared" si="25"/>
        <v>1</v>
      </c>
      <c r="Y33" s="34">
        <f t="shared" si="25"/>
        <v>6</v>
      </c>
      <c r="Z33" s="34">
        <f t="shared" si="25"/>
        <v>2</v>
      </c>
      <c r="AA33" s="34">
        <f t="shared" si="25"/>
        <v>2</v>
      </c>
      <c r="AB33" s="34">
        <f t="shared" si="25"/>
        <v>2</v>
      </c>
      <c r="AC33" s="34">
        <f t="shared" si="25"/>
        <v>30</v>
      </c>
      <c r="AD33" s="34">
        <f t="shared" si="25"/>
        <v>0</v>
      </c>
      <c r="AE33" s="31">
        <f t="shared" si="25"/>
        <v>50</v>
      </c>
      <c r="AF33" s="31">
        <f t="shared" si="25"/>
        <v>80</v>
      </c>
    </row>
    <row r="34" spans="2:32" ht="23.1" customHeight="1" x14ac:dyDescent="0.25">
      <c r="B34" s="46" t="s">
        <v>61</v>
      </c>
      <c r="C34" s="50">
        <v>8</v>
      </c>
      <c r="D34" s="50">
        <v>0</v>
      </c>
      <c r="E34" s="50">
        <v>12</v>
      </c>
      <c r="F34" s="50">
        <v>13</v>
      </c>
      <c r="G34" s="50">
        <v>0</v>
      </c>
      <c r="H34" s="50">
        <v>0</v>
      </c>
      <c r="I34" s="50">
        <v>9</v>
      </c>
      <c r="J34" s="50">
        <v>0</v>
      </c>
      <c r="K34" s="50">
        <v>0</v>
      </c>
      <c r="L34" s="50">
        <v>3</v>
      </c>
      <c r="M34" s="50">
        <v>62</v>
      </c>
      <c r="N34" s="50">
        <v>0</v>
      </c>
      <c r="O34" s="15">
        <f t="shared" si="0"/>
        <v>45</v>
      </c>
      <c r="P34" s="15">
        <f t="shared" si="1"/>
        <v>107</v>
      </c>
      <c r="R34" s="38" t="s">
        <v>90</v>
      </c>
      <c r="S34" s="39">
        <f t="shared" ref="S34:AF34" si="26">MAX(S10:S12)</f>
        <v>17</v>
      </c>
      <c r="T34" s="39">
        <f t="shared" si="26"/>
        <v>0</v>
      </c>
      <c r="U34" s="39">
        <f t="shared" si="26"/>
        <v>44</v>
      </c>
      <c r="V34" s="39">
        <f t="shared" si="26"/>
        <v>51</v>
      </c>
      <c r="W34" s="39">
        <f t="shared" si="26"/>
        <v>1</v>
      </c>
      <c r="X34" s="39">
        <f t="shared" si="26"/>
        <v>1</v>
      </c>
      <c r="Y34" s="39">
        <f t="shared" si="26"/>
        <v>16</v>
      </c>
      <c r="Z34" s="39">
        <f t="shared" si="26"/>
        <v>3</v>
      </c>
      <c r="AA34" s="39">
        <f t="shared" si="26"/>
        <v>2</v>
      </c>
      <c r="AB34" s="39">
        <f t="shared" si="26"/>
        <v>13</v>
      </c>
      <c r="AC34" s="39">
        <f t="shared" si="26"/>
        <v>266</v>
      </c>
      <c r="AD34" s="39">
        <f t="shared" si="26"/>
        <v>0</v>
      </c>
      <c r="AE34" s="40">
        <f t="shared" si="26"/>
        <v>134</v>
      </c>
      <c r="AF34" s="40">
        <f t="shared" si="26"/>
        <v>400</v>
      </c>
    </row>
    <row r="35" spans="2:32" ht="23.1" customHeight="1" x14ac:dyDescent="0.25">
      <c r="B35" s="46" t="s">
        <v>62</v>
      </c>
      <c r="C35" s="50">
        <v>4</v>
      </c>
      <c r="D35" s="50">
        <v>0</v>
      </c>
      <c r="E35" s="50">
        <v>21</v>
      </c>
      <c r="F35" s="50">
        <v>9</v>
      </c>
      <c r="G35" s="50">
        <v>0</v>
      </c>
      <c r="H35" s="50">
        <v>0</v>
      </c>
      <c r="I35" s="50">
        <v>5</v>
      </c>
      <c r="J35" s="50">
        <v>0</v>
      </c>
      <c r="K35" s="50">
        <v>0</v>
      </c>
      <c r="L35" s="50">
        <v>0</v>
      </c>
      <c r="M35" s="50">
        <v>70</v>
      </c>
      <c r="N35" s="50">
        <v>0</v>
      </c>
      <c r="O35" s="15">
        <f t="shared" si="0"/>
        <v>39</v>
      </c>
      <c r="P35" s="15">
        <f t="shared" si="1"/>
        <v>109</v>
      </c>
      <c r="R35" s="38" t="s">
        <v>91</v>
      </c>
      <c r="S35" s="39">
        <f t="shared" ref="S35:AF35" si="27">MAX(S13:S18)</f>
        <v>38</v>
      </c>
      <c r="T35" s="39">
        <f t="shared" si="27"/>
        <v>0</v>
      </c>
      <c r="U35" s="39">
        <f t="shared" si="27"/>
        <v>87</v>
      </c>
      <c r="V35" s="39">
        <f t="shared" si="27"/>
        <v>58</v>
      </c>
      <c r="W35" s="39">
        <f t="shared" si="27"/>
        <v>4</v>
      </c>
      <c r="X35" s="39">
        <f t="shared" si="27"/>
        <v>8</v>
      </c>
      <c r="Y35" s="39">
        <f t="shared" si="27"/>
        <v>35</v>
      </c>
      <c r="Z35" s="39">
        <f t="shared" si="27"/>
        <v>6</v>
      </c>
      <c r="AA35" s="39">
        <f t="shared" si="27"/>
        <v>1</v>
      </c>
      <c r="AB35" s="39">
        <f t="shared" si="27"/>
        <v>8</v>
      </c>
      <c r="AC35" s="39">
        <f t="shared" si="27"/>
        <v>281</v>
      </c>
      <c r="AD35" s="39">
        <f t="shared" si="27"/>
        <v>0</v>
      </c>
      <c r="AE35" s="40">
        <f t="shared" si="27"/>
        <v>214</v>
      </c>
      <c r="AF35" s="40">
        <f t="shared" si="27"/>
        <v>488</v>
      </c>
    </row>
    <row r="36" spans="2:32" ht="23.1" customHeight="1" x14ac:dyDescent="0.25">
      <c r="B36" s="46" t="s">
        <v>63</v>
      </c>
      <c r="C36" s="50">
        <v>3</v>
      </c>
      <c r="D36" s="50">
        <v>0</v>
      </c>
      <c r="E36" s="50">
        <v>24</v>
      </c>
      <c r="F36" s="50">
        <v>14</v>
      </c>
      <c r="G36" s="50">
        <v>0</v>
      </c>
      <c r="H36" s="50">
        <v>2</v>
      </c>
      <c r="I36" s="50">
        <v>8</v>
      </c>
      <c r="J36" s="50">
        <v>1</v>
      </c>
      <c r="K36" s="50">
        <v>0</v>
      </c>
      <c r="L36" s="50">
        <v>1</v>
      </c>
      <c r="M36" s="50">
        <v>74</v>
      </c>
      <c r="N36" s="50">
        <v>0</v>
      </c>
      <c r="O36" s="15">
        <f t="shared" si="0"/>
        <v>53</v>
      </c>
      <c r="P36" s="15">
        <f t="shared" si="1"/>
        <v>127</v>
      </c>
      <c r="R36" s="38" t="s">
        <v>92</v>
      </c>
      <c r="S36" s="39">
        <f t="shared" ref="S36:AF36" si="28">MAX(S19:S21)</f>
        <v>60</v>
      </c>
      <c r="T36" s="39">
        <f t="shared" si="28"/>
        <v>0</v>
      </c>
      <c r="U36" s="39">
        <f t="shared" si="28"/>
        <v>98</v>
      </c>
      <c r="V36" s="39">
        <f t="shared" si="28"/>
        <v>83</v>
      </c>
      <c r="W36" s="39">
        <f t="shared" si="28"/>
        <v>5</v>
      </c>
      <c r="X36" s="39">
        <f t="shared" si="28"/>
        <v>9</v>
      </c>
      <c r="Y36" s="39">
        <f t="shared" si="28"/>
        <v>42</v>
      </c>
      <c r="Z36" s="39">
        <f t="shared" si="28"/>
        <v>3</v>
      </c>
      <c r="AA36" s="39">
        <f t="shared" si="28"/>
        <v>0</v>
      </c>
      <c r="AB36" s="39">
        <f t="shared" si="28"/>
        <v>6</v>
      </c>
      <c r="AC36" s="39">
        <f t="shared" si="28"/>
        <v>308</v>
      </c>
      <c r="AD36" s="39">
        <f t="shared" si="28"/>
        <v>0</v>
      </c>
      <c r="AE36" s="40">
        <f t="shared" si="28"/>
        <v>279</v>
      </c>
      <c r="AF36" s="40">
        <f t="shared" si="28"/>
        <v>583</v>
      </c>
    </row>
    <row r="37" spans="2:32" ht="23.1" customHeight="1" x14ac:dyDescent="0.25">
      <c r="B37" s="45" t="s">
        <v>64</v>
      </c>
      <c r="C37" s="50">
        <v>7</v>
      </c>
      <c r="D37" s="50">
        <v>0</v>
      </c>
      <c r="E37" s="50">
        <v>15</v>
      </c>
      <c r="F37" s="50">
        <v>16</v>
      </c>
      <c r="G37" s="50">
        <v>0</v>
      </c>
      <c r="H37" s="50">
        <v>2</v>
      </c>
      <c r="I37" s="50">
        <v>9</v>
      </c>
      <c r="J37" s="50">
        <v>0</v>
      </c>
      <c r="K37" s="50">
        <v>0</v>
      </c>
      <c r="L37" s="50">
        <v>1</v>
      </c>
      <c r="M37" s="50">
        <v>71</v>
      </c>
      <c r="N37" s="50">
        <v>0</v>
      </c>
      <c r="O37" s="15">
        <f t="shared" si="0"/>
        <v>50</v>
      </c>
      <c r="P37" s="15">
        <f t="shared" si="1"/>
        <v>121</v>
      </c>
      <c r="R37" s="37" t="s">
        <v>85</v>
      </c>
      <c r="S37" s="35">
        <f t="shared" ref="S37:AF37" si="29">SUM(S10:S12)</f>
        <v>40</v>
      </c>
      <c r="T37" s="16">
        <f t="shared" si="29"/>
        <v>0</v>
      </c>
      <c r="U37" s="16">
        <f t="shared" si="29"/>
        <v>89</v>
      </c>
      <c r="V37" s="16">
        <f t="shared" si="29"/>
        <v>137</v>
      </c>
      <c r="W37" s="16">
        <f t="shared" si="29"/>
        <v>1</v>
      </c>
      <c r="X37" s="16">
        <f t="shared" si="29"/>
        <v>1</v>
      </c>
      <c r="Y37" s="16">
        <f t="shared" si="29"/>
        <v>39</v>
      </c>
      <c r="Z37" s="16">
        <f t="shared" si="29"/>
        <v>4</v>
      </c>
      <c r="AA37" s="16">
        <f t="shared" si="29"/>
        <v>2</v>
      </c>
      <c r="AB37" s="16">
        <f t="shared" si="29"/>
        <v>21</v>
      </c>
      <c r="AC37" s="16">
        <f t="shared" si="29"/>
        <v>646</v>
      </c>
      <c r="AD37" s="16">
        <f t="shared" si="29"/>
        <v>0</v>
      </c>
      <c r="AE37" s="32">
        <f t="shared" si="29"/>
        <v>334</v>
      </c>
      <c r="AF37" s="32">
        <f t="shared" si="29"/>
        <v>980</v>
      </c>
    </row>
    <row r="38" spans="2:32" ht="23.1" customHeight="1" x14ac:dyDescent="0.25">
      <c r="B38" s="46" t="s">
        <v>65</v>
      </c>
      <c r="C38" s="50">
        <v>5</v>
      </c>
      <c r="D38" s="50">
        <v>0</v>
      </c>
      <c r="E38" s="50">
        <v>17</v>
      </c>
      <c r="F38" s="50">
        <v>9</v>
      </c>
      <c r="G38" s="50">
        <v>2</v>
      </c>
      <c r="H38" s="50">
        <v>1</v>
      </c>
      <c r="I38" s="50">
        <v>5</v>
      </c>
      <c r="J38" s="50">
        <v>0</v>
      </c>
      <c r="K38" s="50">
        <v>0</v>
      </c>
      <c r="L38" s="50">
        <v>1</v>
      </c>
      <c r="M38" s="50">
        <v>79</v>
      </c>
      <c r="N38" s="50">
        <v>0</v>
      </c>
      <c r="O38" s="15">
        <f t="shared" si="0"/>
        <v>40</v>
      </c>
      <c r="P38" s="15">
        <f t="shared" si="1"/>
        <v>119</v>
      </c>
      <c r="R38" s="28" t="s">
        <v>86</v>
      </c>
      <c r="S38" s="16">
        <f t="shared" ref="S38:AF38" si="30">SUM(S13:S18)</f>
        <v>166</v>
      </c>
      <c r="T38" s="16">
        <f t="shared" si="30"/>
        <v>0</v>
      </c>
      <c r="U38" s="16">
        <f t="shared" si="30"/>
        <v>360</v>
      </c>
      <c r="V38" s="16">
        <f t="shared" si="30"/>
        <v>307</v>
      </c>
      <c r="W38" s="16">
        <f t="shared" si="30"/>
        <v>8</v>
      </c>
      <c r="X38" s="16">
        <f t="shared" si="30"/>
        <v>27</v>
      </c>
      <c r="Y38" s="16">
        <f t="shared" si="30"/>
        <v>156</v>
      </c>
      <c r="Z38" s="16">
        <f t="shared" si="30"/>
        <v>7</v>
      </c>
      <c r="AA38" s="16">
        <f t="shared" si="30"/>
        <v>1</v>
      </c>
      <c r="AB38" s="16">
        <f t="shared" si="30"/>
        <v>36</v>
      </c>
      <c r="AC38" s="16">
        <f t="shared" si="30"/>
        <v>1588</v>
      </c>
      <c r="AD38" s="16">
        <f t="shared" si="30"/>
        <v>0</v>
      </c>
      <c r="AE38" s="32">
        <f t="shared" si="30"/>
        <v>1068</v>
      </c>
      <c r="AF38" s="32">
        <f t="shared" si="30"/>
        <v>2656</v>
      </c>
    </row>
    <row r="39" spans="2:32" ht="23.1" customHeight="1" x14ac:dyDescent="0.25">
      <c r="B39" s="46" t="s">
        <v>66</v>
      </c>
      <c r="C39" s="50">
        <v>11</v>
      </c>
      <c r="D39" s="50">
        <v>0</v>
      </c>
      <c r="E39" s="50">
        <v>19</v>
      </c>
      <c r="F39" s="50">
        <v>14</v>
      </c>
      <c r="G39" s="50">
        <v>0</v>
      </c>
      <c r="H39" s="50">
        <v>1</v>
      </c>
      <c r="I39" s="50">
        <v>2</v>
      </c>
      <c r="J39" s="50">
        <v>0</v>
      </c>
      <c r="K39" s="50">
        <v>0</v>
      </c>
      <c r="L39" s="50">
        <v>1</v>
      </c>
      <c r="M39" s="50">
        <v>81</v>
      </c>
      <c r="N39" s="50">
        <v>0</v>
      </c>
      <c r="O39" s="15">
        <f t="shared" si="0"/>
        <v>48</v>
      </c>
      <c r="P39" s="15">
        <f t="shared" si="1"/>
        <v>129</v>
      </c>
      <c r="R39" s="29" t="s">
        <v>87</v>
      </c>
      <c r="S39" s="16">
        <f t="shared" ref="S39:AF39" si="31">SUM(S19:S21)</f>
        <v>167</v>
      </c>
      <c r="T39" s="16">
        <f t="shared" si="31"/>
        <v>0</v>
      </c>
      <c r="U39" s="16">
        <f t="shared" si="31"/>
        <v>279</v>
      </c>
      <c r="V39" s="16">
        <f t="shared" si="31"/>
        <v>218</v>
      </c>
      <c r="W39" s="16">
        <f t="shared" si="31"/>
        <v>11</v>
      </c>
      <c r="X39" s="16">
        <f t="shared" si="31"/>
        <v>20</v>
      </c>
      <c r="Y39" s="16">
        <f t="shared" si="31"/>
        <v>92</v>
      </c>
      <c r="Z39" s="16">
        <f t="shared" si="31"/>
        <v>5</v>
      </c>
      <c r="AA39" s="16">
        <f t="shared" si="31"/>
        <v>0</v>
      </c>
      <c r="AB39" s="16">
        <f t="shared" si="31"/>
        <v>12</v>
      </c>
      <c r="AC39" s="16">
        <f t="shared" si="31"/>
        <v>847</v>
      </c>
      <c r="AD39" s="16">
        <f t="shared" si="31"/>
        <v>0</v>
      </c>
      <c r="AE39" s="32">
        <f t="shared" si="31"/>
        <v>804</v>
      </c>
      <c r="AF39" s="32">
        <f t="shared" si="31"/>
        <v>1651</v>
      </c>
    </row>
    <row r="40" spans="2:32" ht="23.1" customHeight="1" x14ac:dyDescent="0.25">
      <c r="B40" s="46" t="s">
        <v>67</v>
      </c>
      <c r="C40" s="50">
        <v>8</v>
      </c>
      <c r="D40" s="50">
        <v>0</v>
      </c>
      <c r="E40" s="50">
        <v>17</v>
      </c>
      <c r="F40" s="50">
        <v>12</v>
      </c>
      <c r="G40" s="50">
        <v>0</v>
      </c>
      <c r="H40" s="50">
        <v>1</v>
      </c>
      <c r="I40" s="50">
        <v>4</v>
      </c>
      <c r="J40" s="50">
        <v>0</v>
      </c>
      <c r="K40" s="50">
        <v>1</v>
      </c>
      <c r="L40" s="50">
        <v>0</v>
      </c>
      <c r="M40" s="50">
        <v>60</v>
      </c>
      <c r="N40" s="50">
        <v>0</v>
      </c>
      <c r="O40" s="15">
        <f t="shared" si="0"/>
        <v>43</v>
      </c>
      <c r="P40" s="15">
        <f t="shared" si="1"/>
        <v>103</v>
      </c>
      <c r="R40" s="5" t="s">
        <v>17</v>
      </c>
      <c r="S40" s="16">
        <f t="shared" ref="S40:AF40" si="32">SUM(S10:S21)</f>
        <v>373</v>
      </c>
      <c r="T40" s="16">
        <f t="shared" si="32"/>
        <v>0</v>
      </c>
      <c r="U40" s="16">
        <f t="shared" si="32"/>
        <v>728</v>
      </c>
      <c r="V40" s="16">
        <f t="shared" si="32"/>
        <v>662</v>
      </c>
      <c r="W40" s="16">
        <f t="shared" si="32"/>
        <v>20</v>
      </c>
      <c r="X40" s="16">
        <f t="shared" si="32"/>
        <v>48</v>
      </c>
      <c r="Y40" s="16">
        <f t="shared" si="32"/>
        <v>287</v>
      </c>
      <c r="Z40" s="16">
        <f t="shared" si="32"/>
        <v>16</v>
      </c>
      <c r="AA40" s="16">
        <f t="shared" si="32"/>
        <v>3</v>
      </c>
      <c r="AB40" s="16">
        <f t="shared" si="32"/>
        <v>69</v>
      </c>
      <c r="AC40" s="16">
        <f t="shared" si="32"/>
        <v>3081</v>
      </c>
      <c r="AD40" s="16">
        <f t="shared" si="32"/>
        <v>0</v>
      </c>
      <c r="AE40" s="32">
        <f t="shared" si="32"/>
        <v>2206</v>
      </c>
      <c r="AF40" s="32">
        <f t="shared" si="32"/>
        <v>5287</v>
      </c>
    </row>
    <row r="41" spans="2:32" ht="23.1" customHeight="1" x14ac:dyDescent="0.25">
      <c r="B41" s="45" t="s">
        <v>68</v>
      </c>
      <c r="C41" s="50">
        <v>8</v>
      </c>
      <c r="D41" s="50">
        <v>0</v>
      </c>
      <c r="E41" s="50">
        <v>34</v>
      </c>
      <c r="F41" s="50">
        <v>17</v>
      </c>
      <c r="G41" s="50">
        <v>2</v>
      </c>
      <c r="H41" s="50">
        <v>5</v>
      </c>
      <c r="I41" s="50">
        <v>6</v>
      </c>
      <c r="J41" s="50">
        <v>0</v>
      </c>
      <c r="K41" s="50">
        <v>0</v>
      </c>
      <c r="L41" s="50">
        <v>4</v>
      </c>
      <c r="M41" s="50">
        <v>61</v>
      </c>
      <c r="N41" s="50">
        <v>0</v>
      </c>
      <c r="O41" s="15">
        <f t="shared" si="0"/>
        <v>76</v>
      </c>
      <c r="P41" s="15">
        <f t="shared" si="1"/>
        <v>137</v>
      </c>
      <c r="R41" s="5" t="s">
        <v>159</v>
      </c>
      <c r="S41" s="16">
        <f>SUM(S10:S33)</f>
        <v>556</v>
      </c>
      <c r="T41" s="16">
        <f t="shared" ref="T41:AF41" si="33">SUM(T10:T33)</f>
        <v>27</v>
      </c>
      <c r="U41" s="16">
        <f t="shared" si="33"/>
        <v>816</v>
      </c>
      <c r="V41" s="16">
        <f t="shared" si="33"/>
        <v>771</v>
      </c>
      <c r="W41" s="16">
        <f t="shared" si="33"/>
        <v>47</v>
      </c>
      <c r="X41" s="16">
        <f t="shared" si="33"/>
        <v>83</v>
      </c>
      <c r="Y41" s="16">
        <f t="shared" si="33"/>
        <v>417</v>
      </c>
      <c r="Z41" s="16">
        <f t="shared" si="33"/>
        <v>29</v>
      </c>
      <c r="AA41" s="16">
        <f t="shared" si="33"/>
        <v>12</v>
      </c>
      <c r="AB41" s="16">
        <f t="shared" si="33"/>
        <v>131</v>
      </c>
      <c r="AC41" s="16">
        <f t="shared" si="33"/>
        <v>3680</v>
      </c>
      <c r="AD41" s="16">
        <f t="shared" si="33"/>
        <v>0</v>
      </c>
      <c r="AE41" s="32">
        <f t="shared" si="33"/>
        <v>2889</v>
      </c>
      <c r="AF41" s="32">
        <f t="shared" si="33"/>
        <v>6569</v>
      </c>
    </row>
    <row r="42" spans="2:32" ht="23.1" customHeight="1" x14ac:dyDescent="0.25">
      <c r="B42" s="46" t="s">
        <v>69</v>
      </c>
      <c r="C42" s="50">
        <v>7</v>
      </c>
      <c r="D42" s="50">
        <v>0</v>
      </c>
      <c r="E42" s="50">
        <v>14</v>
      </c>
      <c r="F42" s="50">
        <v>20</v>
      </c>
      <c r="G42" s="50">
        <v>0</v>
      </c>
      <c r="H42" s="50">
        <v>2</v>
      </c>
      <c r="I42" s="50">
        <v>14</v>
      </c>
      <c r="J42" s="50">
        <v>2</v>
      </c>
      <c r="K42" s="50">
        <v>0</v>
      </c>
      <c r="L42" s="50">
        <v>1</v>
      </c>
      <c r="M42" s="50">
        <v>66</v>
      </c>
      <c r="N42" s="50">
        <v>0</v>
      </c>
      <c r="O42" s="15">
        <f t="shared" si="0"/>
        <v>60</v>
      </c>
      <c r="P42" s="15">
        <f t="shared" si="1"/>
        <v>126</v>
      </c>
      <c r="R42" s="5" t="s">
        <v>160</v>
      </c>
      <c r="S42" s="48">
        <f>S41/S40</f>
        <v>1.4906166219839143</v>
      </c>
      <c r="T42" s="48" t="e">
        <f t="shared" ref="T42:AF42" si="34">T41/T40</f>
        <v>#DIV/0!</v>
      </c>
      <c r="U42" s="48">
        <f t="shared" si="34"/>
        <v>1.1208791208791209</v>
      </c>
      <c r="V42" s="48">
        <f t="shared" si="34"/>
        <v>1.1646525679758308</v>
      </c>
      <c r="W42" s="48">
        <f t="shared" si="34"/>
        <v>2.35</v>
      </c>
      <c r="X42" s="48">
        <f t="shared" si="34"/>
        <v>1.7291666666666667</v>
      </c>
      <c r="Y42" s="48">
        <f t="shared" si="34"/>
        <v>1.4529616724738676</v>
      </c>
      <c r="Z42" s="48">
        <f t="shared" si="34"/>
        <v>1.8125</v>
      </c>
      <c r="AA42" s="48">
        <f t="shared" si="34"/>
        <v>4</v>
      </c>
      <c r="AB42" s="48">
        <f t="shared" si="34"/>
        <v>1.8985507246376812</v>
      </c>
      <c r="AC42" s="48">
        <f t="shared" si="34"/>
        <v>1.1944173969490426</v>
      </c>
      <c r="AD42" s="48" t="e">
        <f t="shared" si="34"/>
        <v>#DIV/0!</v>
      </c>
      <c r="AE42" s="48">
        <f t="shared" si="34"/>
        <v>1.3096101541251133</v>
      </c>
      <c r="AF42" s="48">
        <f t="shared" si="34"/>
        <v>1.2424815585398146</v>
      </c>
    </row>
    <row r="43" spans="2:32" ht="23.1" customHeight="1" x14ac:dyDescent="0.25">
      <c r="B43" s="45" t="s">
        <v>70</v>
      </c>
      <c r="C43" s="50">
        <v>7</v>
      </c>
      <c r="D43" s="50">
        <v>0</v>
      </c>
      <c r="E43" s="50">
        <v>14</v>
      </c>
      <c r="F43" s="50">
        <v>14</v>
      </c>
      <c r="G43" s="50">
        <v>0</v>
      </c>
      <c r="H43" s="50">
        <v>0</v>
      </c>
      <c r="I43" s="50">
        <v>10</v>
      </c>
      <c r="J43" s="50">
        <v>1</v>
      </c>
      <c r="K43" s="50">
        <v>0</v>
      </c>
      <c r="L43" s="50">
        <v>3</v>
      </c>
      <c r="M43" s="50">
        <v>68</v>
      </c>
      <c r="N43" s="50">
        <v>0</v>
      </c>
      <c r="O43" s="15">
        <f t="shared" si="0"/>
        <v>49</v>
      </c>
      <c r="P43" s="15">
        <f t="shared" si="1"/>
        <v>117</v>
      </c>
    </row>
    <row r="44" spans="2:32" ht="23.1" customHeight="1" x14ac:dyDescent="0.25">
      <c r="B44" s="47" t="s">
        <v>71</v>
      </c>
      <c r="C44" s="50">
        <v>13</v>
      </c>
      <c r="D44" s="50">
        <v>0</v>
      </c>
      <c r="E44" s="50">
        <v>14</v>
      </c>
      <c r="F44" s="50">
        <v>11</v>
      </c>
      <c r="G44" s="50">
        <v>0</v>
      </c>
      <c r="H44" s="50">
        <v>2</v>
      </c>
      <c r="I44" s="50">
        <v>7</v>
      </c>
      <c r="J44" s="50">
        <v>2</v>
      </c>
      <c r="K44" s="50">
        <v>0</v>
      </c>
      <c r="L44" s="50">
        <v>1</v>
      </c>
      <c r="M44" s="50">
        <v>56</v>
      </c>
      <c r="N44" s="50">
        <v>0</v>
      </c>
      <c r="O44" s="15">
        <f t="shared" si="0"/>
        <v>50</v>
      </c>
      <c r="P44" s="15">
        <f t="shared" si="1"/>
        <v>106</v>
      </c>
    </row>
    <row r="45" spans="2:32" ht="23.1" customHeight="1" x14ac:dyDescent="0.25">
      <c r="B45" s="45" t="s">
        <v>72</v>
      </c>
      <c r="C45" s="50">
        <v>11</v>
      </c>
      <c r="D45" s="50">
        <v>0</v>
      </c>
      <c r="E45" s="50">
        <v>24</v>
      </c>
      <c r="F45" s="50">
        <v>13</v>
      </c>
      <c r="G45" s="50">
        <v>0</v>
      </c>
      <c r="H45" s="50">
        <v>1</v>
      </c>
      <c r="I45" s="50">
        <v>4</v>
      </c>
      <c r="J45" s="50">
        <v>1</v>
      </c>
      <c r="K45" s="50">
        <v>0</v>
      </c>
      <c r="L45" s="50">
        <v>1</v>
      </c>
      <c r="M45" s="50">
        <v>62</v>
      </c>
      <c r="N45" s="50">
        <v>0</v>
      </c>
      <c r="O45" s="15">
        <f t="shared" si="0"/>
        <v>55</v>
      </c>
      <c r="P45" s="15">
        <f t="shared" si="1"/>
        <v>117</v>
      </c>
    </row>
    <row r="46" spans="2:32" ht="23.1" customHeight="1" x14ac:dyDescent="0.25">
      <c r="B46" s="46" t="s">
        <v>73</v>
      </c>
      <c r="C46" s="50">
        <v>11</v>
      </c>
      <c r="D46" s="50">
        <v>0</v>
      </c>
      <c r="E46" s="50">
        <v>21</v>
      </c>
      <c r="F46" s="50">
        <v>11</v>
      </c>
      <c r="G46" s="50">
        <v>0</v>
      </c>
      <c r="H46" s="50">
        <v>0</v>
      </c>
      <c r="I46" s="50">
        <v>3</v>
      </c>
      <c r="J46" s="50">
        <v>0</v>
      </c>
      <c r="K46" s="50">
        <v>0</v>
      </c>
      <c r="L46" s="50">
        <v>1</v>
      </c>
      <c r="M46" s="50">
        <v>73</v>
      </c>
      <c r="N46" s="50">
        <v>0</v>
      </c>
      <c r="O46" s="15">
        <f t="shared" si="0"/>
        <v>47</v>
      </c>
      <c r="P46" s="15">
        <f t="shared" si="1"/>
        <v>120</v>
      </c>
      <c r="R46" s="8"/>
      <c r="T46"/>
    </row>
    <row r="47" spans="2:32" ht="23.1" customHeight="1" x14ac:dyDescent="0.25">
      <c r="B47" s="46" t="s">
        <v>74</v>
      </c>
      <c r="C47" s="50">
        <v>12</v>
      </c>
      <c r="D47" s="50">
        <v>0</v>
      </c>
      <c r="E47" s="50">
        <v>22</v>
      </c>
      <c r="F47" s="50">
        <v>14</v>
      </c>
      <c r="G47" s="50">
        <v>2</v>
      </c>
      <c r="H47" s="50">
        <v>2</v>
      </c>
      <c r="I47" s="50">
        <v>10</v>
      </c>
      <c r="J47" s="50">
        <v>0</v>
      </c>
      <c r="K47" s="50">
        <v>0</v>
      </c>
      <c r="L47" s="50">
        <v>1</v>
      </c>
      <c r="M47" s="50">
        <v>68</v>
      </c>
      <c r="N47" s="50">
        <v>0</v>
      </c>
      <c r="O47" s="15">
        <f t="shared" si="0"/>
        <v>63</v>
      </c>
      <c r="P47" s="15">
        <f t="shared" si="1"/>
        <v>131</v>
      </c>
      <c r="R47" s="8"/>
      <c r="T47"/>
    </row>
    <row r="48" spans="2:32" ht="23.1" customHeight="1" x14ac:dyDescent="0.25">
      <c r="B48" s="46" t="s">
        <v>75</v>
      </c>
      <c r="C48" s="50">
        <v>17</v>
      </c>
      <c r="D48" s="50">
        <v>0</v>
      </c>
      <c r="E48" s="50">
        <v>30</v>
      </c>
      <c r="F48" s="50">
        <v>16</v>
      </c>
      <c r="G48" s="50">
        <v>2</v>
      </c>
      <c r="H48" s="50">
        <v>0</v>
      </c>
      <c r="I48" s="50">
        <v>6</v>
      </c>
      <c r="J48" s="50">
        <v>1</v>
      </c>
      <c r="K48" s="50">
        <v>0</v>
      </c>
      <c r="L48" s="50">
        <v>3</v>
      </c>
      <c r="M48" s="50">
        <v>51</v>
      </c>
      <c r="N48" s="50">
        <v>0</v>
      </c>
      <c r="O48" s="15">
        <f t="shared" si="0"/>
        <v>75</v>
      </c>
      <c r="P48" s="15">
        <f t="shared" si="1"/>
        <v>126</v>
      </c>
      <c r="R48" s="8"/>
      <c r="T48"/>
    </row>
    <row r="49" spans="2:20" ht="23.1" customHeight="1" x14ac:dyDescent="0.25">
      <c r="B49" s="45" t="s">
        <v>76</v>
      </c>
      <c r="C49" s="50">
        <v>13</v>
      </c>
      <c r="D49" s="50">
        <v>0</v>
      </c>
      <c r="E49" s="50">
        <v>25</v>
      </c>
      <c r="F49" s="50">
        <v>16</v>
      </c>
      <c r="G49" s="50">
        <v>1</v>
      </c>
      <c r="H49" s="50">
        <v>2</v>
      </c>
      <c r="I49" s="50">
        <v>7</v>
      </c>
      <c r="J49" s="50">
        <v>0</v>
      </c>
      <c r="K49" s="50">
        <v>0</v>
      </c>
      <c r="L49" s="50">
        <v>1</v>
      </c>
      <c r="M49" s="50">
        <v>82</v>
      </c>
      <c r="N49" s="50">
        <v>0</v>
      </c>
      <c r="O49" s="15">
        <f t="shared" si="0"/>
        <v>65</v>
      </c>
      <c r="P49" s="15">
        <f t="shared" si="1"/>
        <v>147</v>
      </c>
      <c r="R49" s="8"/>
      <c r="T49"/>
    </row>
    <row r="50" spans="2:20" ht="23.1" customHeight="1" x14ac:dyDescent="0.25">
      <c r="B50" s="46" t="s">
        <v>77</v>
      </c>
      <c r="C50" s="50">
        <v>14</v>
      </c>
      <c r="D50" s="50">
        <v>0</v>
      </c>
      <c r="E50" s="50">
        <v>24</v>
      </c>
      <c r="F50" s="50">
        <v>20</v>
      </c>
      <c r="G50" s="50">
        <v>0</v>
      </c>
      <c r="H50" s="50">
        <v>3</v>
      </c>
      <c r="I50" s="50">
        <v>6</v>
      </c>
      <c r="J50" s="50">
        <v>1</v>
      </c>
      <c r="K50" s="50">
        <v>0</v>
      </c>
      <c r="L50" s="50">
        <v>2</v>
      </c>
      <c r="M50" s="50">
        <v>86</v>
      </c>
      <c r="N50" s="50">
        <v>0</v>
      </c>
      <c r="O50" s="15">
        <f t="shared" si="0"/>
        <v>70</v>
      </c>
      <c r="P50" s="15">
        <f t="shared" si="1"/>
        <v>156</v>
      </c>
      <c r="R50" s="8"/>
      <c r="T50"/>
    </row>
    <row r="51" spans="2:20" ht="23.1" customHeight="1" x14ac:dyDescent="0.25">
      <c r="B51" s="46" t="s">
        <v>78</v>
      </c>
      <c r="C51" s="50">
        <v>9</v>
      </c>
      <c r="D51" s="50">
        <v>0</v>
      </c>
      <c r="E51" s="50">
        <v>22</v>
      </c>
      <c r="F51" s="50">
        <v>20</v>
      </c>
      <c r="G51" s="50">
        <v>1</v>
      </c>
      <c r="H51" s="50">
        <v>1</v>
      </c>
      <c r="I51" s="50">
        <v>8</v>
      </c>
      <c r="J51" s="50">
        <v>1</v>
      </c>
      <c r="K51" s="50">
        <v>0</v>
      </c>
      <c r="L51" s="50">
        <v>0</v>
      </c>
      <c r="M51" s="50">
        <v>84</v>
      </c>
      <c r="N51" s="50">
        <v>0</v>
      </c>
      <c r="O51" s="15">
        <f t="shared" si="0"/>
        <v>62</v>
      </c>
      <c r="P51" s="15">
        <f t="shared" si="1"/>
        <v>146</v>
      </c>
      <c r="R51" s="8"/>
      <c r="T51"/>
    </row>
    <row r="52" spans="2:20" ht="23.1" customHeight="1" x14ac:dyDescent="0.25">
      <c r="B52" s="46" t="s">
        <v>79</v>
      </c>
      <c r="C52" s="50">
        <v>16</v>
      </c>
      <c r="D52" s="50">
        <v>0</v>
      </c>
      <c r="E52" s="50">
        <v>30</v>
      </c>
      <c r="F52" s="50">
        <v>19</v>
      </c>
      <c r="G52" s="50">
        <v>2</v>
      </c>
      <c r="H52" s="50">
        <v>4</v>
      </c>
      <c r="I52" s="50">
        <v>4</v>
      </c>
      <c r="J52" s="50">
        <v>1</v>
      </c>
      <c r="K52" s="50">
        <v>0</v>
      </c>
      <c r="L52" s="50">
        <v>1</v>
      </c>
      <c r="M52" s="50">
        <v>75</v>
      </c>
      <c r="N52" s="50">
        <v>0</v>
      </c>
      <c r="O52" s="15">
        <f t="shared" si="0"/>
        <v>77</v>
      </c>
      <c r="P52" s="15">
        <f t="shared" si="1"/>
        <v>152</v>
      </c>
      <c r="R52" s="8"/>
      <c r="T52"/>
    </row>
    <row r="53" spans="2:20" ht="23.1" customHeight="1" x14ac:dyDescent="0.25">
      <c r="B53" s="45" t="s">
        <v>80</v>
      </c>
      <c r="C53" s="50">
        <v>21</v>
      </c>
      <c r="D53" s="50">
        <v>0</v>
      </c>
      <c r="E53" s="50">
        <v>19</v>
      </c>
      <c r="F53" s="50">
        <v>19</v>
      </c>
      <c r="G53" s="50">
        <v>0</v>
      </c>
      <c r="H53" s="50">
        <v>1</v>
      </c>
      <c r="I53" s="50">
        <v>6</v>
      </c>
      <c r="J53" s="50">
        <v>0</v>
      </c>
      <c r="K53" s="50">
        <v>0</v>
      </c>
      <c r="L53" s="50">
        <v>0</v>
      </c>
      <c r="M53" s="50">
        <v>63</v>
      </c>
      <c r="N53" s="50">
        <v>0</v>
      </c>
      <c r="O53" s="15">
        <f t="shared" si="0"/>
        <v>66</v>
      </c>
      <c r="P53" s="15">
        <f t="shared" si="1"/>
        <v>129</v>
      </c>
      <c r="R53" s="8"/>
      <c r="T53"/>
    </row>
    <row r="54" spans="2:20" ht="23.1" customHeight="1" x14ac:dyDescent="0.25">
      <c r="B54" s="45" t="s">
        <v>81</v>
      </c>
      <c r="C54" s="50">
        <v>6</v>
      </c>
      <c r="D54" s="50">
        <v>0</v>
      </c>
      <c r="E54" s="50">
        <v>22</v>
      </c>
      <c r="F54" s="50">
        <v>17</v>
      </c>
      <c r="G54" s="50">
        <v>0</v>
      </c>
      <c r="H54" s="50">
        <v>0</v>
      </c>
      <c r="I54" s="50">
        <v>5</v>
      </c>
      <c r="J54" s="50">
        <v>0</v>
      </c>
      <c r="K54" s="50">
        <v>0</v>
      </c>
      <c r="L54" s="50">
        <v>1</v>
      </c>
      <c r="M54" s="50">
        <v>68</v>
      </c>
      <c r="N54" s="50">
        <v>0</v>
      </c>
      <c r="O54" s="15">
        <f t="shared" si="0"/>
        <v>51</v>
      </c>
      <c r="P54" s="15">
        <f t="shared" si="1"/>
        <v>119</v>
      </c>
      <c r="R54" s="8"/>
      <c r="T54"/>
    </row>
    <row r="55" spans="2:20" ht="23.1" customHeight="1" x14ac:dyDescent="0.25">
      <c r="B55" s="45" t="s">
        <v>82</v>
      </c>
      <c r="C55" s="50">
        <v>11</v>
      </c>
      <c r="D55" s="50">
        <v>0</v>
      </c>
      <c r="E55" s="50">
        <v>19</v>
      </c>
      <c r="F55" s="50">
        <v>17</v>
      </c>
      <c r="G55" s="50">
        <v>0</v>
      </c>
      <c r="H55" s="50">
        <v>3</v>
      </c>
      <c r="I55" s="50">
        <v>14</v>
      </c>
      <c r="J55" s="50">
        <v>0</v>
      </c>
      <c r="K55" s="50">
        <v>0</v>
      </c>
      <c r="L55" s="50">
        <v>0</v>
      </c>
      <c r="M55" s="50">
        <v>57</v>
      </c>
      <c r="N55" s="50">
        <v>0</v>
      </c>
      <c r="O55" s="15">
        <f t="shared" si="0"/>
        <v>64</v>
      </c>
      <c r="P55" s="15">
        <f t="shared" si="1"/>
        <v>121</v>
      </c>
      <c r="R55" s="8"/>
      <c r="T55"/>
    </row>
    <row r="56" spans="2:20" ht="23.1" customHeight="1" x14ac:dyDescent="0.25">
      <c r="B56" s="45" t="s">
        <v>83</v>
      </c>
      <c r="C56" s="50">
        <v>18</v>
      </c>
      <c r="D56" s="50">
        <v>0</v>
      </c>
      <c r="E56" s="50">
        <v>26</v>
      </c>
      <c r="F56" s="50">
        <v>19</v>
      </c>
      <c r="G56" s="50">
        <v>1</v>
      </c>
      <c r="H56" s="50">
        <v>3</v>
      </c>
      <c r="I56" s="50">
        <v>11</v>
      </c>
      <c r="J56" s="50">
        <v>0</v>
      </c>
      <c r="K56" s="50">
        <v>0</v>
      </c>
      <c r="L56" s="50">
        <v>2</v>
      </c>
      <c r="M56" s="50">
        <v>80</v>
      </c>
      <c r="N56" s="50">
        <v>0</v>
      </c>
      <c r="O56" s="15">
        <f t="shared" si="0"/>
        <v>80</v>
      </c>
      <c r="P56" s="15">
        <f t="shared" si="1"/>
        <v>160</v>
      </c>
      <c r="R56" s="8"/>
      <c r="T56"/>
    </row>
    <row r="57" spans="2:20" ht="23.1" customHeight="1" x14ac:dyDescent="0.25">
      <c r="B57" s="45" t="s">
        <v>84</v>
      </c>
      <c r="C57" s="50">
        <v>19</v>
      </c>
      <c r="D57" s="50">
        <v>0</v>
      </c>
      <c r="E57" s="50">
        <v>19</v>
      </c>
      <c r="F57" s="50">
        <v>30</v>
      </c>
      <c r="G57" s="50">
        <v>2</v>
      </c>
      <c r="H57" s="50">
        <v>1</v>
      </c>
      <c r="I57" s="50">
        <v>12</v>
      </c>
      <c r="J57" s="50">
        <v>1</v>
      </c>
      <c r="K57" s="50">
        <v>0</v>
      </c>
      <c r="L57" s="50">
        <v>0</v>
      </c>
      <c r="M57" s="50">
        <v>60</v>
      </c>
      <c r="N57" s="50">
        <v>0</v>
      </c>
      <c r="O57" s="15">
        <f t="shared" si="0"/>
        <v>84</v>
      </c>
      <c r="P57" s="15">
        <f t="shared" si="1"/>
        <v>144</v>
      </c>
      <c r="R57" s="8"/>
      <c r="T57"/>
    </row>
    <row r="58" spans="2:20" ht="23.1" customHeight="1" x14ac:dyDescent="0.25">
      <c r="B58" s="45" t="s">
        <v>99</v>
      </c>
      <c r="C58" s="50">
        <v>17</v>
      </c>
      <c r="D58" s="50">
        <v>3</v>
      </c>
      <c r="E58" s="50">
        <v>7</v>
      </c>
      <c r="F58" s="50">
        <v>12</v>
      </c>
      <c r="G58" s="50">
        <v>0</v>
      </c>
      <c r="H58" s="50">
        <v>0</v>
      </c>
      <c r="I58" s="50">
        <v>8</v>
      </c>
      <c r="J58" s="50">
        <v>1</v>
      </c>
      <c r="K58" s="50">
        <v>1</v>
      </c>
      <c r="L58" s="50">
        <v>1</v>
      </c>
      <c r="M58" s="50">
        <v>55</v>
      </c>
      <c r="N58" s="50">
        <v>0</v>
      </c>
      <c r="O58" s="15">
        <f t="shared" si="0"/>
        <v>50</v>
      </c>
      <c r="P58" s="15">
        <f t="shared" si="1"/>
        <v>105</v>
      </c>
      <c r="R58" s="8"/>
      <c r="T58"/>
    </row>
    <row r="59" spans="2:20" ht="23.1" customHeight="1" x14ac:dyDescent="0.25">
      <c r="B59" s="45" t="s">
        <v>100</v>
      </c>
      <c r="C59" s="50">
        <v>18</v>
      </c>
      <c r="D59" s="50">
        <v>2</v>
      </c>
      <c r="E59" s="50">
        <v>5</v>
      </c>
      <c r="F59" s="50">
        <v>11</v>
      </c>
      <c r="G59" s="50">
        <v>0</v>
      </c>
      <c r="H59" s="50">
        <v>0</v>
      </c>
      <c r="I59" s="50">
        <v>8</v>
      </c>
      <c r="J59" s="50">
        <v>0</v>
      </c>
      <c r="K59" s="50">
        <v>0</v>
      </c>
      <c r="L59" s="50">
        <v>3</v>
      </c>
      <c r="M59" s="50">
        <v>60</v>
      </c>
      <c r="N59" s="50">
        <v>0</v>
      </c>
      <c r="O59" s="15">
        <f t="shared" si="0"/>
        <v>47</v>
      </c>
      <c r="P59" s="15">
        <f t="shared" si="1"/>
        <v>107</v>
      </c>
      <c r="R59" s="8"/>
      <c r="T59"/>
    </row>
    <row r="60" spans="2:20" ht="23.1" customHeight="1" x14ac:dyDescent="0.25">
      <c r="B60" s="45" t="s">
        <v>101</v>
      </c>
      <c r="C60" s="50">
        <v>15</v>
      </c>
      <c r="D60" s="50">
        <v>1</v>
      </c>
      <c r="E60" s="50">
        <v>6</v>
      </c>
      <c r="F60" s="50">
        <v>11</v>
      </c>
      <c r="G60" s="50">
        <v>0</v>
      </c>
      <c r="H60" s="50">
        <v>0</v>
      </c>
      <c r="I60" s="50">
        <v>8</v>
      </c>
      <c r="J60" s="50">
        <v>0</v>
      </c>
      <c r="K60" s="50">
        <v>0</v>
      </c>
      <c r="L60" s="50">
        <v>3</v>
      </c>
      <c r="M60" s="50">
        <v>66</v>
      </c>
      <c r="N60" s="50">
        <v>0</v>
      </c>
      <c r="O60" s="15">
        <f t="shared" si="0"/>
        <v>44</v>
      </c>
      <c r="P60" s="15">
        <f t="shared" si="1"/>
        <v>110</v>
      </c>
      <c r="R60" s="8"/>
      <c r="T60"/>
    </row>
    <row r="61" spans="2:20" ht="23.1" customHeight="1" x14ac:dyDescent="0.25">
      <c r="B61" s="45" t="s">
        <v>102</v>
      </c>
      <c r="C61" s="50">
        <v>12</v>
      </c>
      <c r="D61" s="50">
        <v>0</v>
      </c>
      <c r="E61" s="50">
        <v>7</v>
      </c>
      <c r="F61" s="50">
        <v>8</v>
      </c>
      <c r="G61" s="50">
        <v>0</v>
      </c>
      <c r="H61" s="50">
        <v>2</v>
      </c>
      <c r="I61" s="50">
        <v>8</v>
      </c>
      <c r="J61" s="50">
        <v>0</v>
      </c>
      <c r="K61" s="50">
        <v>0</v>
      </c>
      <c r="L61" s="50">
        <v>3</v>
      </c>
      <c r="M61" s="50">
        <v>56</v>
      </c>
      <c r="N61" s="50">
        <v>0</v>
      </c>
      <c r="O61" s="15">
        <f t="shared" si="0"/>
        <v>40</v>
      </c>
      <c r="P61" s="15">
        <f t="shared" si="1"/>
        <v>96</v>
      </c>
      <c r="R61" s="8"/>
      <c r="T61"/>
    </row>
    <row r="62" spans="2:20" ht="23.1" customHeight="1" x14ac:dyDescent="0.25">
      <c r="B62" s="45" t="s">
        <v>107</v>
      </c>
      <c r="C62" s="50">
        <v>16</v>
      </c>
      <c r="D62" s="50">
        <v>2</v>
      </c>
      <c r="E62" s="50">
        <v>8</v>
      </c>
      <c r="F62" s="50">
        <v>5</v>
      </c>
      <c r="G62" s="50">
        <v>0</v>
      </c>
      <c r="H62" s="50">
        <v>1</v>
      </c>
      <c r="I62" s="50">
        <v>5</v>
      </c>
      <c r="J62" s="50">
        <v>1</v>
      </c>
      <c r="K62" s="50">
        <v>0</v>
      </c>
      <c r="L62" s="50">
        <v>4</v>
      </c>
      <c r="M62" s="50">
        <v>45</v>
      </c>
      <c r="N62" s="50">
        <v>0</v>
      </c>
      <c r="O62" s="15">
        <f t="shared" si="0"/>
        <v>42</v>
      </c>
      <c r="P62" s="15">
        <f t="shared" si="1"/>
        <v>87</v>
      </c>
      <c r="R62" s="8"/>
      <c r="T62"/>
    </row>
    <row r="63" spans="2:20" ht="23.1" customHeight="1" x14ac:dyDescent="0.25">
      <c r="B63" s="45" t="s">
        <v>108</v>
      </c>
      <c r="C63" s="50">
        <v>10</v>
      </c>
      <c r="D63" s="50">
        <v>1</v>
      </c>
      <c r="E63" s="50">
        <v>6</v>
      </c>
      <c r="F63" s="50">
        <v>5</v>
      </c>
      <c r="G63" s="50">
        <v>0</v>
      </c>
      <c r="H63" s="50">
        <v>0</v>
      </c>
      <c r="I63" s="50">
        <v>8</v>
      </c>
      <c r="J63" s="50">
        <v>0</v>
      </c>
      <c r="K63" s="50">
        <v>1</v>
      </c>
      <c r="L63" s="50">
        <v>3</v>
      </c>
      <c r="M63" s="50">
        <v>47</v>
      </c>
      <c r="N63" s="50">
        <v>0</v>
      </c>
      <c r="O63" s="15">
        <f t="shared" si="0"/>
        <v>34</v>
      </c>
      <c r="P63" s="15">
        <f t="shared" si="1"/>
        <v>81</v>
      </c>
      <c r="R63" s="8"/>
      <c r="T63"/>
    </row>
    <row r="64" spans="2:20" ht="23.1" customHeight="1" x14ac:dyDescent="0.25">
      <c r="B64" s="45" t="s">
        <v>109</v>
      </c>
      <c r="C64" s="50">
        <v>8</v>
      </c>
      <c r="D64" s="50">
        <v>0</v>
      </c>
      <c r="E64" s="50">
        <v>5</v>
      </c>
      <c r="F64" s="50">
        <v>7</v>
      </c>
      <c r="G64" s="50">
        <v>0</v>
      </c>
      <c r="H64" s="50">
        <v>2</v>
      </c>
      <c r="I64" s="50">
        <v>6</v>
      </c>
      <c r="J64" s="50">
        <v>0</v>
      </c>
      <c r="K64" s="50">
        <v>0</v>
      </c>
      <c r="L64" s="50">
        <v>3</v>
      </c>
      <c r="M64" s="50">
        <v>38</v>
      </c>
      <c r="N64" s="50">
        <v>0</v>
      </c>
      <c r="O64" s="15">
        <f t="shared" si="0"/>
        <v>31</v>
      </c>
      <c r="P64" s="15">
        <f t="shared" si="1"/>
        <v>69</v>
      </c>
      <c r="R64" s="8"/>
      <c r="T64"/>
    </row>
    <row r="65" spans="2:20" ht="23.1" customHeight="1" x14ac:dyDescent="0.25">
      <c r="B65" s="45" t="s">
        <v>158</v>
      </c>
      <c r="C65" s="50">
        <v>9</v>
      </c>
      <c r="D65" s="50">
        <v>1</v>
      </c>
      <c r="E65" s="50">
        <v>4</v>
      </c>
      <c r="F65" s="50">
        <v>5</v>
      </c>
      <c r="G65" s="50">
        <v>0</v>
      </c>
      <c r="H65" s="50">
        <v>1</v>
      </c>
      <c r="I65" s="50">
        <v>5</v>
      </c>
      <c r="J65" s="50">
        <v>1</v>
      </c>
      <c r="K65" s="50">
        <v>0</v>
      </c>
      <c r="L65" s="50">
        <v>4</v>
      </c>
      <c r="M65" s="50">
        <v>35</v>
      </c>
      <c r="N65" s="50">
        <v>0</v>
      </c>
      <c r="O65" s="15">
        <f t="shared" si="0"/>
        <v>30</v>
      </c>
      <c r="P65" s="15">
        <f t="shared" si="1"/>
        <v>65</v>
      </c>
      <c r="R65" s="8"/>
      <c r="T65"/>
    </row>
    <row r="66" spans="2:20" ht="23.1" customHeight="1" x14ac:dyDescent="0.25">
      <c r="B66" s="45" t="s">
        <v>103</v>
      </c>
      <c r="C66" s="50">
        <v>7</v>
      </c>
      <c r="D66" s="50">
        <v>2</v>
      </c>
      <c r="E66" s="50">
        <v>5</v>
      </c>
      <c r="F66" s="50">
        <v>2</v>
      </c>
      <c r="G66" s="50">
        <v>1</v>
      </c>
      <c r="H66" s="50">
        <v>1</v>
      </c>
      <c r="I66" s="50">
        <v>7</v>
      </c>
      <c r="J66" s="50">
        <v>0</v>
      </c>
      <c r="K66" s="50">
        <v>0</v>
      </c>
      <c r="L66" s="50">
        <v>1</v>
      </c>
      <c r="M66" s="50">
        <v>33</v>
      </c>
      <c r="N66" s="50">
        <v>0</v>
      </c>
      <c r="O66" s="15">
        <f t="shared" si="0"/>
        <v>26</v>
      </c>
      <c r="P66" s="15">
        <f t="shared" si="1"/>
        <v>59</v>
      </c>
      <c r="R66" s="8"/>
      <c r="T66"/>
    </row>
    <row r="67" spans="2:20" ht="23.1" customHeight="1" x14ac:dyDescent="0.25">
      <c r="B67" s="45" t="s">
        <v>104</v>
      </c>
      <c r="C67" s="50">
        <v>3</v>
      </c>
      <c r="D67" s="50">
        <v>0</v>
      </c>
      <c r="E67" s="50">
        <v>4</v>
      </c>
      <c r="F67" s="50">
        <v>5</v>
      </c>
      <c r="G67" s="50">
        <v>1</v>
      </c>
      <c r="H67" s="50">
        <v>0</v>
      </c>
      <c r="I67" s="50">
        <v>3</v>
      </c>
      <c r="J67" s="50">
        <v>0</v>
      </c>
      <c r="K67" s="50">
        <v>0</v>
      </c>
      <c r="L67" s="50">
        <v>0</v>
      </c>
      <c r="M67" s="50">
        <v>24</v>
      </c>
      <c r="N67" s="50">
        <v>0</v>
      </c>
      <c r="O67" s="15">
        <f t="shared" si="0"/>
        <v>16</v>
      </c>
      <c r="P67" s="15">
        <f t="shared" si="1"/>
        <v>40</v>
      </c>
      <c r="R67" s="8"/>
      <c r="T67"/>
    </row>
    <row r="68" spans="2:20" ht="23.1" customHeight="1" x14ac:dyDescent="0.25">
      <c r="B68" s="45" t="s">
        <v>105</v>
      </c>
      <c r="C68" s="50">
        <v>5</v>
      </c>
      <c r="D68" s="50">
        <v>1</v>
      </c>
      <c r="E68" s="50">
        <v>3</v>
      </c>
      <c r="F68" s="50">
        <v>3</v>
      </c>
      <c r="G68" s="50">
        <v>2</v>
      </c>
      <c r="H68" s="50">
        <v>3</v>
      </c>
      <c r="I68" s="50">
        <v>8</v>
      </c>
      <c r="J68" s="50">
        <v>0</v>
      </c>
      <c r="K68" s="50">
        <v>2</v>
      </c>
      <c r="L68" s="50">
        <v>2</v>
      </c>
      <c r="M68" s="50">
        <v>17</v>
      </c>
      <c r="N68" s="50">
        <v>0</v>
      </c>
      <c r="O68" s="15">
        <f t="shared" si="0"/>
        <v>29</v>
      </c>
      <c r="P68" s="15">
        <f t="shared" si="1"/>
        <v>46</v>
      </c>
      <c r="R68" s="8"/>
      <c r="T68"/>
    </row>
    <row r="69" spans="2:20" ht="23.1" customHeight="1" x14ac:dyDescent="0.25">
      <c r="B69" s="45" t="s">
        <v>106</v>
      </c>
      <c r="C69" s="50">
        <v>2</v>
      </c>
      <c r="D69" s="50">
        <v>1</v>
      </c>
      <c r="E69" s="50">
        <v>2</v>
      </c>
      <c r="F69" s="50">
        <v>5</v>
      </c>
      <c r="G69" s="50">
        <v>0</v>
      </c>
      <c r="H69" s="50">
        <v>1</v>
      </c>
      <c r="I69" s="50">
        <v>5</v>
      </c>
      <c r="J69" s="50">
        <v>1</v>
      </c>
      <c r="K69" s="50">
        <v>0</v>
      </c>
      <c r="L69" s="50">
        <v>4</v>
      </c>
      <c r="M69" s="50">
        <v>14</v>
      </c>
      <c r="N69" s="50">
        <v>0</v>
      </c>
      <c r="O69" s="15">
        <f t="shared" si="0"/>
        <v>21</v>
      </c>
      <c r="P69" s="15">
        <f t="shared" si="1"/>
        <v>35</v>
      </c>
      <c r="R69" s="8"/>
      <c r="T69"/>
    </row>
    <row r="70" spans="2:20" ht="23.1" customHeight="1" x14ac:dyDescent="0.25">
      <c r="B70" s="45" t="s">
        <v>110</v>
      </c>
      <c r="C70" s="50">
        <v>4</v>
      </c>
      <c r="D70" s="50">
        <v>0</v>
      </c>
      <c r="E70" s="50">
        <v>3</v>
      </c>
      <c r="F70" s="50">
        <v>2</v>
      </c>
      <c r="G70" s="50">
        <v>1</v>
      </c>
      <c r="H70" s="50">
        <v>1</v>
      </c>
      <c r="I70" s="50">
        <v>3</v>
      </c>
      <c r="J70" s="50">
        <v>0</v>
      </c>
      <c r="K70" s="50">
        <v>2</v>
      </c>
      <c r="L70" s="50">
        <v>1</v>
      </c>
      <c r="M70" s="50">
        <v>13</v>
      </c>
      <c r="N70" s="50">
        <v>0</v>
      </c>
      <c r="O70" s="15">
        <f t="shared" si="0"/>
        <v>17</v>
      </c>
      <c r="P70" s="15">
        <f t="shared" si="1"/>
        <v>30</v>
      </c>
      <c r="R70" s="8"/>
      <c r="T70"/>
    </row>
    <row r="71" spans="2:20" ht="23.1" customHeight="1" x14ac:dyDescent="0.25">
      <c r="B71" s="45" t="s">
        <v>111</v>
      </c>
      <c r="C71" s="50">
        <v>1</v>
      </c>
      <c r="D71" s="50">
        <v>0</v>
      </c>
      <c r="E71" s="50">
        <v>1</v>
      </c>
      <c r="F71" s="50">
        <v>5</v>
      </c>
      <c r="G71" s="50">
        <v>1</v>
      </c>
      <c r="H71" s="50">
        <v>0</v>
      </c>
      <c r="I71" s="50">
        <v>3</v>
      </c>
      <c r="J71" s="50">
        <v>0</v>
      </c>
      <c r="K71" s="50">
        <v>0</v>
      </c>
      <c r="L71" s="50">
        <v>0</v>
      </c>
      <c r="M71" s="50">
        <v>10</v>
      </c>
      <c r="N71" s="50">
        <v>0</v>
      </c>
      <c r="O71" s="15">
        <f t="shared" si="0"/>
        <v>11</v>
      </c>
      <c r="P71" s="15">
        <f t="shared" si="1"/>
        <v>21</v>
      </c>
      <c r="R71" s="8"/>
      <c r="T71"/>
    </row>
    <row r="72" spans="2:20" ht="23.1" customHeight="1" x14ac:dyDescent="0.25">
      <c r="B72" s="45" t="s">
        <v>112</v>
      </c>
      <c r="C72" s="50">
        <v>2</v>
      </c>
      <c r="D72" s="50">
        <v>0</v>
      </c>
      <c r="E72" s="50">
        <v>3</v>
      </c>
      <c r="F72" s="50">
        <v>3</v>
      </c>
      <c r="G72" s="50">
        <v>2</v>
      </c>
      <c r="H72" s="50">
        <v>3</v>
      </c>
      <c r="I72" s="50">
        <v>2</v>
      </c>
      <c r="J72" s="50">
        <v>0</v>
      </c>
      <c r="K72" s="50">
        <v>0</v>
      </c>
      <c r="L72" s="50">
        <v>2</v>
      </c>
      <c r="M72" s="50">
        <v>7</v>
      </c>
      <c r="N72" s="50">
        <v>0</v>
      </c>
      <c r="O72" s="15">
        <f t="shared" si="0"/>
        <v>17</v>
      </c>
      <c r="P72" s="15">
        <f t="shared" si="1"/>
        <v>24</v>
      </c>
      <c r="R72" s="8"/>
      <c r="T72"/>
    </row>
    <row r="73" spans="2:20" ht="23.1" customHeight="1" x14ac:dyDescent="0.25">
      <c r="B73" s="45" t="s">
        <v>113</v>
      </c>
      <c r="C73" s="50">
        <v>2</v>
      </c>
      <c r="D73" s="50">
        <v>1</v>
      </c>
      <c r="E73" s="50">
        <v>2</v>
      </c>
      <c r="F73" s="50">
        <v>3</v>
      </c>
      <c r="G73" s="50">
        <v>0</v>
      </c>
      <c r="H73" s="50">
        <v>1</v>
      </c>
      <c r="I73" s="50">
        <v>5</v>
      </c>
      <c r="J73" s="50">
        <v>1</v>
      </c>
      <c r="K73" s="50">
        <v>0</v>
      </c>
      <c r="L73" s="50">
        <v>4</v>
      </c>
      <c r="M73" s="50">
        <v>4</v>
      </c>
      <c r="N73" s="50">
        <v>0</v>
      </c>
      <c r="O73" s="15">
        <f t="shared" si="0"/>
        <v>19</v>
      </c>
      <c r="P73" s="15">
        <f t="shared" si="1"/>
        <v>23</v>
      </c>
      <c r="R73" s="8"/>
      <c r="T73"/>
    </row>
    <row r="74" spans="2:20" ht="23.1" customHeight="1" x14ac:dyDescent="0.25">
      <c r="B74" s="45" t="s">
        <v>114</v>
      </c>
      <c r="C74" s="50">
        <v>2</v>
      </c>
      <c r="D74" s="50">
        <v>0</v>
      </c>
      <c r="E74" s="50">
        <v>2</v>
      </c>
      <c r="F74" s="50">
        <v>0</v>
      </c>
      <c r="G74" s="50">
        <v>1</v>
      </c>
      <c r="H74" s="50">
        <v>1</v>
      </c>
      <c r="I74" s="50">
        <v>3</v>
      </c>
      <c r="J74" s="50">
        <v>0</v>
      </c>
      <c r="K74" s="50">
        <v>0</v>
      </c>
      <c r="L74" s="50">
        <v>1</v>
      </c>
      <c r="M74" s="50">
        <v>5</v>
      </c>
      <c r="N74" s="50">
        <v>0</v>
      </c>
      <c r="O74" s="15">
        <f t="shared" ref="O74:O105" si="35">SUM(C74:L74,N74)</f>
        <v>10</v>
      </c>
      <c r="P74" s="15">
        <f t="shared" ref="P74:P105" si="36">SUM(C74:N74)</f>
        <v>15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0</v>
      </c>
      <c r="E75" s="50">
        <v>1</v>
      </c>
      <c r="F75" s="50">
        <v>1</v>
      </c>
      <c r="G75" s="50">
        <v>1</v>
      </c>
      <c r="H75" s="50">
        <v>0</v>
      </c>
      <c r="I75" s="50">
        <v>3</v>
      </c>
      <c r="J75" s="50">
        <v>0</v>
      </c>
      <c r="K75" s="50">
        <v>0</v>
      </c>
      <c r="L75" s="50">
        <v>0</v>
      </c>
      <c r="M75" s="50">
        <v>4</v>
      </c>
      <c r="N75" s="50">
        <v>0</v>
      </c>
      <c r="O75" s="15">
        <f t="shared" si="35"/>
        <v>7</v>
      </c>
      <c r="P75" s="15">
        <f t="shared" si="36"/>
        <v>11</v>
      </c>
      <c r="R75" s="8"/>
      <c r="T75"/>
    </row>
    <row r="76" spans="2:20" ht="23.1" customHeight="1" x14ac:dyDescent="0.25">
      <c r="B76" s="45" t="s">
        <v>116</v>
      </c>
      <c r="C76" s="50">
        <v>2</v>
      </c>
      <c r="D76" s="50">
        <v>0</v>
      </c>
      <c r="E76" s="50">
        <v>0</v>
      </c>
      <c r="F76" s="50">
        <v>1</v>
      </c>
      <c r="G76" s="50">
        <v>2</v>
      </c>
      <c r="H76" s="50">
        <v>3</v>
      </c>
      <c r="I76" s="50">
        <v>2</v>
      </c>
      <c r="J76" s="50">
        <v>0</v>
      </c>
      <c r="K76" s="50">
        <v>0</v>
      </c>
      <c r="L76" s="50">
        <v>2</v>
      </c>
      <c r="M76" s="50">
        <v>3</v>
      </c>
      <c r="N76" s="50">
        <v>0</v>
      </c>
      <c r="O76" s="15">
        <f t="shared" si="35"/>
        <v>12</v>
      </c>
      <c r="P76" s="15">
        <f t="shared" si="36"/>
        <v>15</v>
      </c>
      <c r="R76" s="8"/>
      <c r="T76"/>
    </row>
    <row r="77" spans="2:20" ht="23.1" customHeight="1" x14ac:dyDescent="0.25">
      <c r="B77" s="45" t="s">
        <v>117</v>
      </c>
      <c r="C77" s="50">
        <v>2</v>
      </c>
      <c r="D77" s="50">
        <v>0</v>
      </c>
      <c r="E77" s="50">
        <v>1</v>
      </c>
      <c r="F77" s="50">
        <v>0</v>
      </c>
      <c r="G77" s="50">
        <v>0</v>
      </c>
      <c r="H77" s="50">
        <v>1</v>
      </c>
      <c r="I77" s="50">
        <v>2</v>
      </c>
      <c r="J77" s="50">
        <v>1</v>
      </c>
      <c r="K77" s="50">
        <v>0</v>
      </c>
      <c r="L77" s="50">
        <v>4</v>
      </c>
      <c r="M77" s="50">
        <v>4</v>
      </c>
      <c r="N77" s="50">
        <v>0</v>
      </c>
      <c r="O77" s="15">
        <f t="shared" si="35"/>
        <v>11</v>
      </c>
      <c r="P77" s="15">
        <f t="shared" si="36"/>
        <v>15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1</v>
      </c>
      <c r="G78" s="50">
        <v>1</v>
      </c>
      <c r="H78" s="50">
        <v>1</v>
      </c>
      <c r="I78" s="50">
        <v>0</v>
      </c>
      <c r="J78" s="50">
        <v>0</v>
      </c>
      <c r="K78" s="50">
        <v>0</v>
      </c>
      <c r="L78" s="50">
        <v>1</v>
      </c>
      <c r="M78" s="50">
        <v>3</v>
      </c>
      <c r="N78" s="50">
        <v>0</v>
      </c>
      <c r="O78" s="15">
        <f t="shared" si="35"/>
        <v>4</v>
      </c>
      <c r="P78" s="15">
        <f t="shared" si="36"/>
        <v>7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0</v>
      </c>
      <c r="E79" s="50">
        <v>2</v>
      </c>
      <c r="F79" s="50">
        <v>0</v>
      </c>
      <c r="G79" s="50">
        <v>1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4</v>
      </c>
      <c r="N79" s="50">
        <v>0</v>
      </c>
      <c r="O79" s="15">
        <f t="shared" si="35"/>
        <v>5</v>
      </c>
      <c r="P79" s="15">
        <f t="shared" si="36"/>
        <v>9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1</v>
      </c>
      <c r="E80" s="50">
        <v>0</v>
      </c>
      <c r="F80" s="50">
        <v>1</v>
      </c>
      <c r="G80" s="50">
        <v>2</v>
      </c>
      <c r="H80" s="50">
        <v>2</v>
      </c>
      <c r="I80" s="50">
        <v>2</v>
      </c>
      <c r="J80" s="50">
        <v>0</v>
      </c>
      <c r="K80" s="50">
        <v>0</v>
      </c>
      <c r="L80" s="50">
        <v>2</v>
      </c>
      <c r="M80" s="50">
        <v>2</v>
      </c>
      <c r="N80" s="50">
        <v>0</v>
      </c>
      <c r="O80" s="15">
        <f t="shared" si="35"/>
        <v>11</v>
      </c>
      <c r="P80" s="15">
        <f t="shared" si="36"/>
        <v>13</v>
      </c>
      <c r="R80" s="8"/>
      <c r="T80"/>
    </row>
    <row r="81" spans="2:20" ht="23.1" customHeight="1" x14ac:dyDescent="0.25">
      <c r="B81" s="45" t="s">
        <v>121</v>
      </c>
      <c r="C81" s="50">
        <v>2</v>
      </c>
      <c r="D81" s="50">
        <v>2</v>
      </c>
      <c r="E81" s="50">
        <v>1</v>
      </c>
      <c r="F81" s="50">
        <v>0</v>
      </c>
      <c r="G81" s="50">
        <v>0</v>
      </c>
      <c r="H81" s="50">
        <v>1</v>
      </c>
      <c r="I81" s="50">
        <v>2</v>
      </c>
      <c r="J81" s="50">
        <v>1</v>
      </c>
      <c r="K81" s="50">
        <v>0</v>
      </c>
      <c r="L81" s="50">
        <v>4</v>
      </c>
      <c r="M81" s="50">
        <v>4</v>
      </c>
      <c r="N81" s="50">
        <v>0</v>
      </c>
      <c r="O81" s="15">
        <f t="shared" si="35"/>
        <v>13</v>
      </c>
      <c r="P81" s="15">
        <f t="shared" si="36"/>
        <v>17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1</v>
      </c>
      <c r="G82" s="50">
        <v>1</v>
      </c>
      <c r="H82" s="50">
        <v>1</v>
      </c>
      <c r="I82" s="50">
        <v>0</v>
      </c>
      <c r="J82" s="50">
        <v>0</v>
      </c>
      <c r="K82" s="50">
        <v>0</v>
      </c>
      <c r="L82" s="50">
        <v>1</v>
      </c>
      <c r="M82" s="50">
        <v>2</v>
      </c>
      <c r="N82" s="50">
        <v>0</v>
      </c>
      <c r="O82" s="15">
        <f t="shared" si="35"/>
        <v>4</v>
      </c>
      <c r="P82" s="15">
        <f t="shared" si="36"/>
        <v>6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1</v>
      </c>
      <c r="E83" s="50">
        <v>2</v>
      </c>
      <c r="F83" s="50">
        <v>0</v>
      </c>
      <c r="G83" s="50">
        <v>1</v>
      </c>
      <c r="H83" s="50">
        <v>0</v>
      </c>
      <c r="I83" s="50">
        <v>1</v>
      </c>
      <c r="J83" s="50">
        <v>0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6</v>
      </c>
      <c r="P83" s="15">
        <f t="shared" si="36"/>
        <v>7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0</v>
      </c>
      <c r="F84" s="50">
        <v>1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1</v>
      </c>
      <c r="M84" s="50">
        <v>2</v>
      </c>
      <c r="N84" s="50">
        <v>0</v>
      </c>
      <c r="O84" s="15">
        <f t="shared" si="35"/>
        <v>4</v>
      </c>
      <c r="P84" s="15">
        <f t="shared" si="36"/>
        <v>6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0</v>
      </c>
      <c r="E85" s="50">
        <v>1</v>
      </c>
      <c r="F85" s="50">
        <v>0</v>
      </c>
      <c r="G85" s="50">
        <v>0</v>
      </c>
      <c r="H85" s="50">
        <v>1</v>
      </c>
      <c r="I85" s="50">
        <v>2</v>
      </c>
      <c r="J85" s="50">
        <v>1</v>
      </c>
      <c r="K85" s="50">
        <v>0</v>
      </c>
      <c r="L85" s="50">
        <v>1</v>
      </c>
      <c r="M85" s="50">
        <v>0</v>
      </c>
      <c r="N85" s="50">
        <v>0</v>
      </c>
      <c r="O85" s="15">
        <f t="shared" si="35"/>
        <v>8</v>
      </c>
      <c r="P85" s="15">
        <f t="shared" si="36"/>
        <v>8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1</v>
      </c>
      <c r="G86" s="50">
        <v>1</v>
      </c>
      <c r="H86" s="50">
        <v>1</v>
      </c>
      <c r="I86" s="50">
        <v>0</v>
      </c>
      <c r="J86" s="50">
        <v>0</v>
      </c>
      <c r="K86" s="50">
        <v>1</v>
      </c>
      <c r="L86" s="50">
        <v>1</v>
      </c>
      <c r="M86" s="50">
        <v>1</v>
      </c>
      <c r="N86" s="50">
        <v>0</v>
      </c>
      <c r="O86" s="15">
        <f t="shared" si="35"/>
        <v>5</v>
      </c>
      <c r="P86" s="15">
        <f t="shared" si="36"/>
        <v>6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1</v>
      </c>
      <c r="F87" s="50">
        <v>0</v>
      </c>
      <c r="G87" s="50">
        <v>1</v>
      </c>
      <c r="H87" s="50">
        <v>0</v>
      </c>
      <c r="I87" s="50">
        <v>1</v>
      </c>
      <c r="J87" s="50">
        <v>0</v>
      </c>
      <c r="K87" s="50">
        <v>0</v>
      </c>
      <c r="L87" s="50">
        <v>0</v>
      </c>
      <c r="M87" s="50">
        <v>1</v>
      </c>
      <c r="N87" s="50">
        <v>0</v>
      </c>
      <c r="O87" s="15">
        <f t="shared" si="35"/>
        <v>4</v>
      </c>
      <c r="P87" s="15">
        <f t="shared" si="36"/>
        <v>5</v>
      </c>
      <c r="R87" s="8"/>
      <c r="T87"/>
    </row>
    <row r="88" spans="2:20" ht="23.1" customHeight="1" x14ac:dyDescent="0.25">
      <c r="B88" s="47" t="s">
        <v>128</v>
      </c>
      <c r="C88" s="50">
        <v>1</v>
      </c>
      <c r="D88" s="50">
        <v>0</v>
      </c>
      <c r="E88" s="50">
        <v>0</v>
      </c>
      <c r="F88" s="50">
        <v>1</v>
      </c>
      <c r="G88" s="50">
        <v>0</v>
      </c>
      <c r="H88" s="50">
        <v>0</v>
      </c>
      <c r="I88" s="50">
        <v>1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3</v>
      </c>
      <c r="P88" s="15">
        <f t="shared" si="36"/>
        <v>3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1</v>
      </c>
      <c r="F89" s="50">
        <v>0</v>
      </c>
      <c r="G89" s="50">
        <v>0</v>
      </c>
      <c r="H89" s="50">
        <v>1</v>
      </c>
      <c r="I89" s="50">
        <v>2</v>
      </c>
      <c r="J89" s="50">
        <v>1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5</v>
      </c>
      <c r="P89" s="15">
        <f t="shared" si="36"/>
        <v>5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1</v>
      </c>
      <c r="E90" s="50">
        <v>0</v>
      </c>
      <c r="F90" s="50">
        <v>1</v>
      </c>
      <c r="G90" s="50">
        <v>1</v>
      </c>
      <c r="H90" s="50">
        <v>1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4</v>
      </c>
      <c r="P90" s="15">
        <f t="shared" si="36"/>
        <v>4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1</v>
      </c>
      <c r="F91" s="50">
        <v>0</v>
      </c>
      <c r="G91" s="50">
        <v>1</v>
      </c>
      <c r="H91" s="50">
        <v>0</v>
      </c>
      <c r="I91" s="50">
        <v>1</v>
      </c>
      <c r="J91" s="50">
        <v>0</v>
      </c>
      <c r="K91" s="50">
        <v>0</v>
      </c>
      <c r="L91" s="50">
        <v>0</v>
      </c>
      <c r="M91" s="50">
        <v>1</v>
      </c>
      <c r="N91" s="50">
        <v>0</v>
      </c>
      <c r="O91" s="15">
        <f t="shared" si="35"/>
        <v>3</v>
      </c>
      <c r="P91" s="15">
        <f t="shared" si="36"/>
        <v>4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1</v>
      </c>
      <c r="G92" s="50">
        <v>0</v>
      </c>
      <c r="H92" s="50">
        <v>0</v>
      </c>
      <c r="I92" s="50">
        <v>1</v>
      </c>
      <c r="J92" s="50">
        <v>0</v>
      </c>
      <c r="K92" s="50">
        <v>0</v>
      </c>
      <c r="L92" s="50">
        <v>0</v>
      </c>
      <c r="M92" s="50">
        <v>2</v>
      </c>
      <c r="N92" s="50">
        <v>0</v>
      </c>
      <c r="O92" s="15">
        <f t="shared" si="35"/>
        <v>3</v>
      </c>
      <c r="P92" s="15">
        <f t="shared" si="36"/>
        <v>5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1</v>
      </c>
      <c r="I93" s="50">
        <v>2</v>
      </c>
      <c r="J93" s="50">
        <v>1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4</v>
      </c>
      <c r="P93" s="15">
        <f t="shared" si="36"/>
        <v>4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1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1</v>
      </c>
      <c r="P94" s="15">
        <f t="shared" si="36"/>
        <v>1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1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1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1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3</v>
      </c>
      <c r="P96" s="15">
        <f t="shared" si="36"/>
        <v>3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1</v>
      </c>
      <c r="G97" s="50">
        <v>1</v>
      </c>
      <c r="H97" s="50">
        <v>1</v>
      </c>
      <c r="I97" s="50">
        <v>0</v>
      </c>
      <c r="J97" s="50">
        <v>0</v>
      </c>
      <c r="K97" s="50">
        <v>0</v>
      </c>
      <c r="L97" s="50">
        <v>1</v>
      </c>
      <c r="M97" s="50">
        <v>2</v>
      </c>
      <c r="N97" s="50">
        <v>0</v>
      </c>
      <c r="O97" s="15">
        <f t="shared" si="35"/>
        <v>4</v>
      </c>
      <c r="P97" s="15">
        <f t="shared" si="36"/>
        <v>6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0</v>
      </c>
      <c r="E98" s="50">
        <v>1</v>
      </c>
      <c r="F98" s="50">
        <v>0</v>
      </c>
      <c r="G98" s="50">
        <v>1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1</v>
      </c>
      <c r="N98" s="50">
        <v>0</v>
      </c>
      <c r="O98" s="15">
        <f t="shared" si="35"/>
        <v>4</v>
      </c>
      <c r="P98" s="15">
        <f t="shared" si="36"/>
        <v>5</v>
      </c>
      <c r="R98" s="8"/>
      <c r="T98"/>
    </row>
    <row r="99" spans="2:20" ht="23.1" customHeight="1" x14ac:dyDescent="0.25">
      <c r="B99" s="45" t="s">
        <v>139</v>
      </c>
      <c r="C99" s="50">
        <v>2</v>
      </c>
      <c r="D99" s="50">
        <v>0</v>
      </c>
      <c r="E99" s="50">
        <v>0</v>
      </c>
      <c r="F99" s="50">
        <v>1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1</v>
      </c>
      <c r="M99" s="50">
        <v>1</v>
      </c>
      <c r="N99" s="50">
        <v>0</v>
      </c>
      <c r="O99" s="15">
        <f t="shared" si="35"/>
        <v>4</v>
      </c>
      <c r="P99" s="15">
        <f t="shared" si="36"/>
        <v>5</v>
      </c>
      <c r="R99" s="8"/>
      <c r="T99"/>
    </row>
    <row r="100" spans="2:20" ht="23.1" customHeight="1" x14ac:dyDescent="0.25">
      <c r="B100" s="47" t="s">
        <v>140</v>
      </c>
      <c r="C100" s="50">
        <v>2</v>
      </c>
      <c r="D100" s="50">
        <v>1</v>
      </c>
      <c r="E100" s="50">
        <v>1</v>
      </c>
      <c r="F100" s="50">
        <v>0</v>
      </c>
      <c r="G100" s="50">
        <v>0</v>
      </c>
      <c r="H100" s="50">
        <v>1</v>
      </c>
      <c r="I100" s="50">
        <v>2</v>
      </c>
      <c r="J100" s="50">
        <v>1</v>
      </c>
      <c r="K100" s="50">
        <v>0</v>
      </c>
      <c r="L100" s="50">
        <v>1</v>
      </c>
      <c r="M100" s="50">
        <v>0</v>
      </c>
      <c r="N100" s="50">
        <v>0</v>
      </c>
      <c r="O100" s="15">
        <f t="shared" si="35"/>
        <v>9</v>
      </c>
      <c r="P100" s="15">
        <f t="shared" si="36"/>
        <v>9</v>
      </c>
      <c r="R100" s="8"/>
      <c r="T100"/>
    </row>
    <row r="101" spans="2:20" ht="23.1" customHeight="1" x14ac:dyDescent="0.25">
      <c r="B101" s="45" t="s">
        <v>141</v>
      </c>
      <c r="C101" s="50">
        <v>3</v>
      </c>
      <c r="D101" s="50">
        <v>0</v>
      </c>
      <c r="E101" s="50">
        <v>0</v>
      </c>
      <c r="F101" s="50">
        <v>1</v>
      </c>
      <c r="G101" s="50">
        <v>1</v>
      </c>
      <c r="H101" s="50">
        <v>1</v>
      </c>
      <c r="I101" s="50">
        <v>0</v>
      </c>
      <c r="J101" s="50">
        <v>0</v>
      </c>
      <c r="K101" s="50">
        <v>0</v>
      </c>
      <c r="L101" s="50">
        <v>1</v>
      </c>
      <c r="M101" s="50">
        <v>2</v>
      </c>
      <c r="N101" s="50">
        <v>0</v>
      </c>
      <c r="O101" s="15">
        <f t="shared" si="35"/>
        <v>7</v>
      </c>
      <c r="P101" s="15">
        <f t="shared" si="36"/>
        <v>9</v>
      </c>
      <c r="R101" s="8"/>
      <c r="T101"/>
    </row>
    <row r="102" spans="2:20" ht="23.1" customHeight="1" x14ac:dyDescent="0.25">
      <c r="B102" s="46" t="s">
        <v>142</v>
      </c>
      <c r="C102" s="50">
        <v>4</v>
      </c>
      <c r="D102" s="50">
        <v>0</v>
      </c>
      <c r="E102" s="50">
        <v>1</v>
      </c>
      <c r="F102" s="50">
        <v>0</v>
      </c>
      <c r="G102" s="50">
        <v>1</v>
      </c>
      <c r="H102" s="50">
        <v>0</v>
      </c>
      <c r="I102" s="50">
        <v>1</v>
      </c>
      <c r="J102" s="50">
        <v>0</v>
      </c>
      <c r="K102" s="50">
        <v>0</v>
      </c>
      <c r="L102" s="50">
        <v>0</v>
      </c>
      <c r="M102" s="50">
        <v>3</v>
      </c>
      <c r="N102" s="50">
        <v>0</v>
      </c>
      <c r="O102" s="15">
        <f t="shared" si="35"/>
        <v>7</v>
      </c>
      <c r="P102" s="15">
        <f t="shared" si="36"/>
        <v>10</v>
      </c>
      <c r="R102" s="8"/>
      <c r="T102"/>
    </row>
    <row r="103" spans="2:20" ht="23.1" customHeight="1" x14ac:dyDescent="0.25">
      <c r="B103" s="45" t="s">
        <v>143</v>
      </c>
      <c r="C103" s="50">
        <v>6</v>
      </c>
      <c r="D103" s="50">
        <v>1</v>
      </c>
      <c r="E103" s="50">
        <v>0</v>
      </c>
      <c r="F103" s="50">
        <v>1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1</v>
      </c>
      <c r="M103" s="50">
        <v>7</v>
      </c>
      <c r="N103" s="50">
        <v>0</v>
      </c>
      <c r="O103" s="15">
        <f t="shared" si="35"/>
        <v>9</v>
      </c>
      <c r="P103" s="15">
        <f t="shared" si="36"/>
        <v>16</v>
      </c>
      <c r="R103" s="8"/>
      <c r="T103"/>
    </row>
    <row r="104" spans="2:20" ht="23.1" customHeight="1" x14ac:dyDescent="0.25">
      <c r="B104" s="47" t="s">
        <v>144</v>
      </c>
      <c r="C104" s="50">
        <v>5</v>
      </c>
      <c r="D104" s="50">
        <v>3</v>
      </c>
      <c r="E104" s="50">
        <v>1</v>
      </c>
      <c r="F104" s="50">
        <v>1</v>
      </c>
      <c r="G104" s="50">
        <v>0</v>
      </c>
      <c r="H104" s="50">
        <v>1</v>
      </c>
      <c r="I104" s="50">
        <v>3</v>
      </c>
      <c r="J104" s="50">
        <v>1</v>
      </c>
      <c r="K104" s="50">
        <v>1</v>
      </c>
      <c r="L104" s="50">
        <v>1</v>
      </c>
      <c r="M104" s="50">
        <v>6</v>
      </c>
      <c r="N104" s="50">
        <v>0</v>
      </c>
      <c r="O104" s="15">
        <f t="shared" si="35"/>
        <v>17</v>
      </c>
      <c r="P104" s="15">
        <f t="shared" si="36"/>
        <v>23</v>
      </c>
      <c r="R104" s="8"/>
      <c r="T104"/>
    </row>
    <row r="105" spans="2:20" ht="23.1" customHeight="1" x14ac:dyDescent="0.25">
      <c r="B105" s="45" t="s">
        <v>145</v>
      </c>
      <c r="C105" s="50">
        <v>10</v>
      </c>
      <c r="D105" s="50">
        <v>2</v>
      </c>
      <c r="E105" s="50">
        <v>0</v>
      </c>
      <c r="F105" s="50">
        <v>0</v>
      </c>
      <c r="G105" s="50">
        <v>1</v>
      </c>
      <c r="H105" s="50">
        <v>0</v>
      </c>
      <c r="I105" s="50">
        <v>2</v>
      </c>
      <c r="J105" s="50">
        <v>1</v>
      </c>
      <c r="K105" s="50">
        <v>1</v>
      </c>
      <c r="L105" s="50">
        <v>0</v>
      </c>
      <c r="M105" s="50">
        <v>14</v>
      </c>
      <c r="N105" s="50">
        <v>0</v>
      </c>
      <c r="O105" s="15">
        <f t="shared" si="35"/>
        <v>17</v>
      </c>
      <c r="P105" s="15">
        <f t="shared" si="36"/>
        <v>31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556</v>
      </c>
      <c r="D106" s="16">
        <f t="shared" ref="D106:P106" si="37">SUM(D10:D105)</f>
        <v>27</v>
      </c>
      <c r="E106" s="16">
        <f t="shared" si="37"/>
        <v>816</v>
      </c>
      <c r="F106" s="16">
        <f t="shared" si="37"/>
        <v>771</v>
      </c>
      <c r="G106" s="16">
        <f t="shared" si="37"/>
        <v>47</v>
      </c>
      <c r="H106" s="16">
        <f t="shared" si="37"/>
        <v>83</v>
      </c>
      <c r="I106" s="16">
        <f t="shared" si="37"/>
        <v>417</v>
      </c>
      <c r="J106" s="16">
        <f t="shared" si="37"/>
        <v>29</v>
      </c>
      <c r="K106" s="16">
        <f t="shared" si="37"/>
        <v>12</v>
      </c>
      <c r="L106" s="16">
        <f t="shared" si="37"/>
        <v>131</v>
      </c>
      <c r="M106" s="16">
        <f t="shared" si="37"/>
        <v>3680</v>
      </c>
      <c r="N106" s="16">
        <f t="shared" si="37"/>
        <v>0</v>
      </c>
      <c r="O106" s="16">
        <f t="shared" si="37"/>
        <v>2889</v>
      </c>
      <c r="P106" s="16">
        <f t="shared" si="37"/>
        <v>6569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8.463997564317248E-2</v>
      </c>
      <c r="D107" s="43">
        <f t="shared" si="38"/>
        <v>4.1102146445425487E-3</v>
      </c>
      <c r="E107" s="43">
        <f t="shared" si="38"/>
        <v>0.12421982036839702</v>
      </c>
      <c r="F107" s="43">
        <f t="shared" si="38"/>
        <v>0.11736946262749277</v>
      </c>
      <c r="G107" s="43">
        <f t="shared" si="38"/>
        <v>7.1548180849444363E-3</v>
      </c>
      <c r="H107" s="43">
        <f t="shared" si="38"/>
        <v>1.2635104277667834E-2</v>
      </c>
      <c r="I107" s="43">
        <f t="shared" si="38"/>
        <v>6.3479981732379356E-2</v>
      </c>
      <c r="J107" s="43">
        <f t="shared" si="38"/>
        <v>4.4146749885827369E-3</v>
      </c>
      <c r="K107" s="43">
        <f t="shared" si="38"/>
        <v>1.8267620642411326E-3</v>
      </c>
      <c r="L107" s="43">
        <f t="shared" si="38"/>
        <v>1.9942152534632364E-2</v>
      </c>
      <c r="M107" s="43">
        <f t="shared" si="38"/>
        <v>0.56020703303394737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0.19245413637937003</v>
      </c>
      <c r="D108" s="44">
        <f t="shared" ref="D108:N108" si="39">D106/$O$106</f>
        <v>9.3457943925233638E-3</v>
      </c>
      <c r="E108" s="44">
        <f t="shared" si="39"/>
        <v>0.28245067497403947</v>
      </c>
      <c r="F108" s="44">
        <f t="shared" si="39"/>
        <v>0.26687435098650053</v>
      </c>
      <c r="G108" s="44">
        <f t="shared" si="39"/>
        <v>1.6268605053651783E-2</v>
      </c>
      <c r="H108" s="44">
        <f t="shared" si="39"/>
        <v>2.8729664243682937E-2</v>
      </c>
      <c r="I108" s="44">
        <f t="shared" si="39"/>
        <v>0.14434060228452752</v>
      </c>
      <c r="J108" s="44">
        <f t="shared" si="39"/>
        <v>1.0038075458636206E-2</v>
      </c>
      <c r="K108" s="44">
        <f t="shared" si="39"/>
        <v>4.1536863966770508E-3</v>
      </c>
      <c r="L108" s="44">
        <f t="shared" si="39"/>
        <v>4.534440983039114E-2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topLeftCell="A52" zoomScale="60" workbookViewId="0">
      <selection activeCell="N5" sqref="N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'20.8 Kampala-Luweero'!C3:G3</f>
        <v>MCC - C3 - STN87 - Kampala-Gulu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179</v>
      </c>
      <c r="E5" s="3"/>
      <c r="F5" s="41" t="s">
        <v>1</v>
      </c>
      <c r="G5" s="66">
        <f>'25.8 Luwero-Kampala-24 HRS'!G5:H5</f>
        <v>0</v>
      </c>
      <c r="H5" s="67"/>
      <c r="I5" s="14"/>
      <c r="J5" s="2" t="s">
        <v>5</v>
      </c>
      <c r="K5" s="66" t="str">
        <f>'25.8 Luwero-Kampala-24 HRS'!K5:L5</f>
        <v>Godfrey, Ibrahim N, Oliver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'20.8 Kampala-Luweero'!D6:E6</f>
        <v>Kampala</v>
      </c>
      <c r="E6" s="67"/>
      <c r="F6" s="2" t="s">
        <v>2</v>
      </c>
      <c r="G6" s="66" t="str">
        <f>'20.8 Kampala-Luweero'!G6:H6</f>
        <v>Luwero</v>
      </c>
      <c r="H6" s="67"/>
      <c r="J6" s="2" t="s">
        <v>21</v>
      </c>
      <c r="K6" s="66" t="str">
        <f>'25.8 Luwero-Kampala-24 HRS'!K6:L6</f>
        <v>Martin, Tracy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</v>
      </c>
      <c r="D10" s="50">
        <v>0</v>
      </c>
      <c r="E10" s="50">
        <v>1</v>
      </c>
      <c r="F10" s="50">
        <v>9</v>
      </c>
      <c r="G10" s="50">
        <v>0</v>
      </c>
      <c r="H10" s="50">
        <v>0</v>
      </c>
      <c r="I10" s="50">
        <v>0</v>
      </c>
      <c r="J10" s="50">
        <v>9</v>
      </c>
      <c r="K10" s="50">
        <v>0</v>
      </c>
      <c r="L10" s="50">
        <v>1</v>
      </c>
      <c r="M10" s="50">
        <v>30</v>
      </c>
      <c r="N10" s="50">
        <v>0</v>
      </c>
      <c r="O10" s="15">
        <f t="shared" ref="O10:O57" si="0">SUM(C10:L10,N10)</f>
        <v>28</v>
      </c>
      <c r="P10" s="15">
        <f t="shared" ref="P10:P57" si="1">SUM(C10:N10)</f>
        <v>58</v>
      </c>
      <c r="R10" s="1" t="s">
        <v>6</v>
      </c>
      <c r="S10" s="17">
        <f t="shared" ref="S10:AF10" si="2">SUM(C10:C13)</f>
        <v>44</v>
      </c>
      <c r="T10" s="17">
        <f t="shared" si="2"/>
        <v>0</v>
      </c>
      <c r="U10" s="17">
        <f t="shared" si="2"/>
        <v>28</v>
      </c>
      <c r="V10" s="17">
        <f t="shared" si="2"/>
        <v>36</v>
      </c>
      <c r="W10" s="17">
        <f t="shared" si="2"/>
        <v>0</v>
      </c>
      <c r="X10" s="17">
        <f t="shared" si="2"/>
        <v>2</v>
      </c>
      <c r="Y10" s="17">
        <f t="shared" si="2"/>
        <v>0</v>
      </c>
      <c r="Z10" s="17">
        <f t="shared" si="2"/>
        <v>32</v>
      </c>
      <c r="AA10" s="17">
        <f t="shared" si="2"/>
        <v>1</v>
      </c>
      <c r="AB10" s="17">
        <f t="shared" si="2"/>
        <v>4</v>
      </c>
      <c r="AC10" s="17">
        <f t="shared" si="2"/>
        <v>167</v>
      </c>
      <c r="AD10" s="17">
        <f t="shared" si="2"/>
        <v>0</v>
      </c>
      <c r="AE10" s="31">
        <f t="shared" si="2"/>
        <v>147</v>
      </c>
      <c r="AF10" s="31">
        <f t="shared" si="2"/>
        <v>314</v>
      </c>
    </row>
    <row r="11" spans="2:32" s="6" customFormat="1" ht="23.1" customHeight="1" x14ac:dyDescent="0.25">
      <c r="B11" s="23" t="s">
        <v>38</v>
      </c>
      <c r="C11" s="50">
        <v>8</v>
      </c>
      <c r="D11" s="50">
        <v>0</v>
      </c>
      <c r="E11" s="50">
        <v>9</v>
      </c>
      <c r="F11" s="50">
        <v>6</v>
      </c>
      <c r="G11" s="50">
        <v>0</v>
      </c>
      <c r="H11" s="50">
        <v>1</v>
      </c>
      <c r="I11" s="50">
        <v>0</v>
      </c>
      <c r="J11" s="50">
        <v>9</v>
      </c>
      <c r="K11" s="50">
        <v>1</v>
      </c>
      <c r="L11" s="50">
        <v>0</v>
      </c>
      <c r="M11" s="50">
        <v>29</v>
      </c>
      <c r="N11" s="50">
        <v>0</v>
      </c>
      <c r="O11" s="15">
        <f t="shared" si="0"/>
        <v>34</v>
      </c>
      <c r="P11" s="15">
        <f t="shared" si="1"/>
        <v>63</v>
      </c>
      <c r="R11" s="1" t="s">
        <v>7</v>
      </c>
      <c r="S11" s="17">
        <f t="shared" ref="S11:AF11" si="3">SUM(C14:C17)</f>
        <v>51</v>
      </c>
      <c r="T11" s="17">
        <f t="shared" si="3"/>
        <v>0</v>
      </c>
      <c r="U11" s="17">
        <f t="shared" si="3"/>
        <v>48</v>
      </c>
      <c r="V11" s="17">
        <f t="shared" si="3"/>
        <v>55</v>
      </c>
      <c r="W11" s="17">
        <f t="shared" si="3"/>
        <v>0</v>
      </c>
      <c r="X11" s="17">
        <f t="shared" si="3"/>
        <v>3</v>
      </c>
      <c r="Y11" s="17">
        <f t="shared" si="3"/>
        <v>0</v>
      </c>
      <c r="Z11" s="17">
        <f t="shared" si="3"/>
        <v>30</v>
      </c>
      <c r="AA11" s="17">
        <f t="shared" si="3"/>
        <v>1</v>
      </c>
      <c r="AB11" s="17">
        <f t="shared" si="3"/>
        <v>3</v>
      </c>
      <c r="AC11" s="17">
        <f t="shared" si="3"/>
        <v>271</v>
      </c>
      <c r="AD11" s="17">
        <f t="shared" si="3"/>
        <v>0</v>
      </c>
      <c r="AE11" s="31">
        <f t="shared" si="3"/>
        <v>191</v>
      </c>
      <c r="AF11" s="31">
        <f t="shared" si="3"/>
        <v>462</v>
      </c>
    </row>
    <row r="12" spans="2:32" ht="23.1" customHeight="1" x14ac:dyDescent="0.25">
      <c r="B12" s="23" t="s">
        <v>39</v>
      </c>
      <c r="C12" s="50">
        <v>6</v>
      </c>
      <c r="D12" s="50">
        <v>0</v>
      </c>
      <c r="E12" s="50">
        <v>6</v>
      </c>
      <c r="F12" s="50">
        <v>9</v>
      </c>
      <c r="G12" s="50">
        <v>0</v>
      </c>
      <c r="H12" s="50">
        <v>0</v>
      </c>
      <c r="I12" s="50">
        <v>0</v>
      </c>
      <c r="J12" s="50">
        <v>7</v>
      </c>
      <c r="K12" s="50">
        <v>0</v>
      </c>
      <c r="L12" s="50">
        <v>2</v>
      </c>
      <c r="M12" s="50">
        <v>53</v>
      </c>
      <c r="N12" s="50">
        <v>0</v>
      </c>
      <c r="O12" s="15">
        <f t="shared" si="0"/>
        <v>30</v>
      </c>
      <c r="P12" s="15">
        <f t="shared" si="1"/>
        <v>83</v>
      </c>
      <c r="R12" s="1" t="s">
        <v>8</v>
      </c>
      <c r="S12" s="17">
        <f t="shared" ref="S12:AF12" si="4">SUM(C18:C21)</f>
        <v>45</v>
      </c>
      <c r="T12" s="17">
        <f t="shared" si="4"/>
        <v>0</v>
      </c>
      <c r="U12" s="17">
        <f t="shared" si="4"/>
        <v>58</v>
      </c>
      <c r="V12" s="17">
        <f t="shared" si="4"/>
        <v>81</v>
      </c>
      <c r="W12" s="17">
        <f t="shared" si="4"/>
        <v>0</v>
      </c>
      <c r="X12" s="17">
        <f t="shared" si="4"/>
        <v>3</v>
      </c>
      <c r="Y12" s="17">
        <f t="shared" si="4"/>
        <v>0</v>
      </c>
      <c r="Z12" s="17">
        <f t="shared" si="4"/>
        <v>28</v>
      </c>
      <c r="AA12" s="17">
        <f t="shared" si="4"/>
        <v>1</v>
      </c>
      <c r="AB12" s="17">
        <f t="shared" si="4"/>
        <v>3</v>
      </c>
      <c r="AC12" s="17">
        <f t="shared" si="4"/>
        <v>333</v>
      </c>
      <c r="AD12" s="17">
        <f t="shared" si="4"/>
        <v>0</v>
      </c>
      <c r="AE12" s="31">
        <f t="shared" si="4"/>
        <v>219</v>
      </c>
      <c r="AF12" s="31">
        <f t="shared" si="4"/>
        <v>552</v>
      </c>
    </row>
    <row r="13" spans="2:32" ht="23.1" customHeight="1" x14ac:dyDescent="0.25">
      <c r="B13" s="23" t="s">
        <v>40</v>
      </c>
      <c r="C13" s="50">
        <v>22</v>
      </c>
      <c r="D13" s="50">
        <v>0</v>
      </c>
      <c r="E13" s="50">
        <v>12</v>
      </c>
      <c r="F13" s="50">
        <v>12</v>
      </c>
      <c r="G13" s="50">
        <v>0</v>
      </c>
      <c r="H13" s="50">
        <v>1</v>
      </c>
      <c r="I13" s="50">
        <v>0</v>
      </c>
      <c r="J13" s="50">
        <v>7</v>
      </c>
      <c r="K13" s="50">
        <v>0</v>
      </c>
      <c r="L13" s="50">
        <v>1</v>
      </c>
      <c r="M13" s="50">
        <v>55</v>
      </c>
      <c r="N13" s="50">
        <v>0</v>
      </c>
      <c r="O13" s="15">
        <f t="shared" si="0"/>
        <v>55</v>
      </c>
      <c r="P13" s="15">
        <f t="shared" si="1"/>
        <v>110</v>
      </c>
      <c r="R13" s="1" t="s">
        <v>9</v>
      </c>
      <c r="S13" s="17">
        <f t="shared" ref="S13:AF13" si="5">SUM(C22:C25)</f>
        <v>43</v>
      </c>
      <c r="T13" s="17">
        <f t="shared" si="5"/>
        <v>0</v>
      </c>
      <c r="U13" s="17">
        <f t="shared" si="5"/>
        <v>71</v>
      </c>
      <c r="V13" s="17">
        <f t="shared" si="5"/>
        <v>58</v>
      </c>
      <c r="W13" s="17">
        <f t="shared" si="5"/>
        <v>1</v>
      </c>
      <c r="X13" s="17">
        <f t="shared" si="5"/>
        <v>5</v>
      </c>
      <c r="Y13" s="17">
        <f t="shared" si="5"/>
        <v>0</v>
      </c>
      <c r="Z13" s="17">
        <f t="shared" si="5"/>
        <v>33</v>
      </c>
      <c r="AA13" s="17">
        <f t="shared" si="5"/>
        <v>0</v>
      </c>
      <c r="AB13" s="17">
        <f t="shared" si="5"/>
        <v>2</v>
      </c>
      <c r="AC13" s="17">
        <f t="shared" si="5"/>
        <v>313</v>
      </c>
      <c r="AD13" s="17">
        <f t="shared" si="5"/>
        <v>0</v>
      </c>
      <c r="AE13" s="31">
        <f t="shared" si="5"/>
        <v>213</v>
      </c>
      <c r="AF13" s="31">
        <f t="shared" si="5"/>
        <v>526</v>
      </c>
    </row>
    <row r="14" spans="2:32" ht="23.1" customHeight="1" x14ac:dyDescent="0.25">
      <c r="B14" s="23" t="s">
        <v>41</v>
      </c>
      <c r="C14" s="50">
        <v>15</v>
      </c>
      <c r="D14" s="50">
        <v>0</v>
      </c>
      <c r="E14" s="50">
        <v>12</v>
      </c>
      <c r="F14" s="50">
        <v>16</v>
      </c>
      <c r="G14" s="50">
        <v>0</v>
      </c>
      <c r="H14" s="50">
        <v>0</v>
      </c>
      <c r="I14" s="50">
        <v>0</v>
      </c>
      <c r="J14" s="50">
        <v>9</v>
      </c>
      <c r="K14" s="50">
        <v>1</v>
      </c>
      <c r="L14" s="50">
        <v>2</v>
      </c>
      <c r="M14" s="50">
        <v>55</v>
      </c>
      <c r="N14" s="50">
        <v>0</v>
      </c>
      <c r="O14" s="15">
        <f t="shared" si="0"/>
        <v>55</v>
      </c>
      <c r="P14" s="15">
        <f t="shared" si="1"/>
        <v>110</v>
      </c>
      <c r="R14" s="1" t="s">
        <v>10</v>
      </c>
      <c r="S14" s="17">
        <f t="shared" ref="S14:AF14" si="6">SUM(C26:C29)</f>
        <v>58</v>
      </c>
      <c r="T14" s="17">
        <f t="shared" si="6"/>
        <v>0</v>
      </c>
      <c r="U14" s="17">
        <f t="shared" si="6"/>
        <v>73</v>
      </c>
      <c r="V14" s="17">
        <f t="shared" si="6"/>
        <v>75</v>
      </c>
      <c r="W14" s="17">
        <f t="shared" si="6"/>
        <v>0</v>
      </c>
      <c r="X14" s="17">
        <f t="shared" si="6"/>
        <v>5</v>
      </c>
      <c r="Y14" s="17">
        <f t="shared" si="6"/>
        <v>0</v>
      </c>
      <c r="Z14" s="17">
        <f t="shared" si="6"/>
        <v>35</v>
      </c>
      <c r="AA14" s="17">
        <f t="shared" si="6"/>
        <v>1</v>
      </c>
      <c r="AB14" s="17">
        <f t="shared" si="6"/>
        <v>3</v>
      </c>
      <c r="AC14" s="17">
        <f t="shared" si="6"/>
        <v>334</v>
      </c>
      <c r="AD14" s="17">
        <f t="shared" si="6"/>
        <v>0</v>
      </c>
      <c r="AE14" s="31">
        <f t="shared" si="6"/>
        <v>250</v>
      </c>
      <c r="AF14" s="31">
        <f t="shared" si="6"/>
        <v>584</v>
      </c>
    </row>
    <row r="15" spans="2:32" ht="23.1" customHeight="1" x14ac:dyDescent="0.25">
      <c r="B15" s="23" t="s">
        <v>42</v>
      </c>
      <c r="C15" s="50">
        <v>12</v>
      </c>
      <c r="D15" s="50">
        <v>0</v>
      </c>
      <c r="E15" s="50">
        <v>16</v>
      </c>
      <c r="F15" s="50">
        <v>13</v>
      </c>
      <c r="G15" s="50">
        <v>0</v>
      </c>
      <c r="H15" s="50">
        <v>2</v>
      </c>
      <c r="I15" s="50">
        <v>0</v>
      </c>
      <c r="J15" s="50">
        <v>6</v>
      </c>
      <c r="K15" s="50">
        <v>0</v>
      </c>
      <c r="L15" s="50">
        <v>1</v>
      </c>
      <c r="M15" s="50">
        <v>49</v>
      </c>
      <c r="N15" s="50">
        <v>0</v>
      </c>
      <c r="O15" s="15">
        <f t="shared" si="0"/>
        <v>50</v>
      </c>
      <c r="P15" s="15">
        <f t="shared" si="1"/>
        <v>99</v>
      </c>
      <c r="R15" s="1" t="s">
        <v>11</v>
      </c>
      <c r="S15" s="17">
        <f t="shared" ref="S15:AF15" si="7">SUM(C30:C33)</f>
        <v>52</v>
      </c>
      <c r="T15" s="17">
        <f t="shared" si="7"/>
        <v>0</v>
      </c>
      <c r="U15" s="17">
        <f t="shared" si="7"/>
        <v>63</v>
      </c>
      <c r="V15" s="17">
        <f t="shared" si="7"/>
        <v>69</v>
      </c>
      <c r="W15" s="17">
        <f t="shared" si="7"/>
        <v>0</v>
      </c>
      <c r="X15" s="17">
        <f t="shared" si="7"/>
        <v>8</v>
      </c>
      <c r="Y15" s="17">
        <f t="shared" si="7"/>
        <v>0</v>
      </c>
      <c r="Z15" s="17">
        <f t="shared" si="7"/>
        <v>33</v>
      </c>
      <c r="AA15" s="17">
        <f t="shared" si="7"/>
        <v>4</v>
      </c>
      <c r="AB15" s="17">
        <f t="shared" si="7"/>
        <v>5</v>
      </c>
      <c r="AC15" s="17">
        <f t="shared" si="7"/>
        <v>269</v>
      </c>
      <c r="AD15" s="17">
        <f t="shared" si="7"/>
        <v>0</v>
      </c>
      <c r="AE15" s="31">
        <f t="shared" si="7"/>
        <v>234</v>
      </c>
      <c r="AF15" s="31">
        <f t="shared" si="7"/>
        <v>503</v>
      </c>
    </row>
    <row r="16" spans="2:32" ht="23.1" customHeight="1" x14ac:dyDescent="0.25">
      <c r="B16" s="23" t="s">
        <v>43</v>
      </c>
      <c r="C16" s="50">
        <v>12</v>
      </c>
      <c r="D16" s="50">
        <v>0</v>
      </c>
      <c r="E16" s="50">
        <v>13</v>
      </c>
      <c r="F16" s="50">
        <v>11</v>
      </c>
      <c r="G16" s="50">
        <v>0</v>
      </c>
      <c r="H16" s="50">
        <v>0</v>
      </c>
      <c r="I16" s="50">
        <v>0</v>
      </c>
      <c r="J16" s="50">
        <v>8</v>
      </c>
      <c r="K16" s="50">
        <v>0</v>
      </c>
      <c r="L16" s="50">
        <v>0</v>
      </c>
      <c r="M16" s="50">
        <v>79</v>
      </c>
      <c r="N16" s="50">
        <v>0</v>
      </c>
      <c r="O16" s="15">
        <f t="shared" si="0"/>
        <v>44</v>
      </c>
      <c r="P16" s="15">
        <f t="shared" si="1"/>
        <v>123</v>
      </c>
      <c r="R16" s="1" t="s">
        <v>12</v>
      </c>
      <c r="S16" s="17">
        <f t="shared" ref="S16:AF16" si="8">SUM(C34:C37)</f>
        <v>37</v>
      </c>
      <c r="T16" s="17">
        <f t="shared" si="8"/>
        <v>0</v>
      </c>
      <c r="U16" s="17">
        <f t="shared" si="8"/>
        <v>76</v>
      </c>
      <c r="V16" s="17">
        <f t="shared" si="8"/>
        <v>74</v>
      </c>
      <c r="W16" s="17">
        <f t="shared" si="8"/>
        <v>1</v>
      </c>
      <c r="X16" s="17">
        <f t="shared" si="8"/>
        <v>9</v>
      </c>
      <c r="Y16" s="17">
        <f t="shared" si="8"/>
        <v>2</v>
      </c>
      <c r="Z16" s="17">
        <f t="shared" si="8"/>
        <v>29</v>
      </c>
      <c r="AA16" s="17">
        <f t="shared" si="8"/>
        <v>0</v>
      </c>
      <c r="AB16" s="17">
        <f t="shared" si="8"/>
        <v>4</v>
      </c>
      <c r="AC16" s="17">
        <f t="shared" si="8"/>
        <v>248</v>
      </c>
      <c r="AD16" s="17">
        <f t="shared" si="8"/>
        <v>0</v>
      </c>
      <c r="AE16" s="31">
        <f t="shared" si="8"/>
        <v>232</v>
      </c>
      <c r="AF16" s="31">
        <f t="shared" si="8"/>
        <v>480</v>
      </c>
    </row>
    <row r="17" spans="2:32" ht="23.1" customHeight="1" x14ac:dyDescent="0.25">
      <c r="B17" s="23" t="s">
        <v>44</v>
      </c>
      <c r="C17" s="50">
        <v>12</v>
      </c>
      <c r="D17" s="50">
        <v>0</v>
      </c>
      <c r="E17" s="50">
        <v>7</v>
      </c>
      <c r="F17" s="50">
        <v>15</v>
      </c>
      <c r="G17" s="50">
        <v>0</v>
      </c>
      <c r="H17" s="50">
        <v>1</v>
      </c>
      <c r="I17" s="50">
        <v>0</v>
      </c>
      <c r="J17" s="50">
        <v>7</v>
      </c>
      <c r="K17" s="50">
        <v>0</v>
      </c>
      <c r="L17" s="50">
        <v>0</v>
      </c>
      <c r="M17" s="50">
        <v>88</v>
      </c>
      <c r="N17" s="50">
        <v>0</v>
      </c>
      <c r="O17" s="15">
        <f t="shared" si="0"/>
        <v>42</v>
      </c>
      <c r="P17" s="15">
        <f t="shared" si="1"/>
        <v>130</v>
      </c>
      <c r="R17" s="1" t="s">
        <v>13</v>
      </c>
      <c r="S17" s="17">
        <f t="shared" ref="S17:AF17" si="9">SUM(C38:C41)</f>
        <v>32</v>
      </c>
      <c r="T17" s="17">
        <f t="shared" si="9"/>
        <v>0</v>
      </c>
      <c r="U17" s="17">
        <f t="shared" si="9"/>
        <v>68</v>
      </c>
      <c r="V17" s="17">
        <f t="shared" si="9"/>
        <v>74</v>
      </c>
      <c r="W17" s="17">
        <f t="shared" si="9"/>
        <v>1</v>
      </c>
      <c r="X17" s="17">
        <f t="shared" si="9"/>
        <v>8</v>
      </c>
      <c r="Y17" s="17">
        <f t="shared" si="9"/>
        <v>1</v>
      </c>
      <c r="Z17" s="17">
        <f t="shared" si="9"/>
        <v>33</v>
      </c>
      <c r="AA17" s="17">
        <f t="shared" si="9"/>
        <v>4</v>
      </c>
      <c r="AB17" s="17">
        <f t="shared" si="9"/>
        <v>9</v>
      </c>
      <c r="AC17" s="17">
        <f t="shared" si="9"/>
        <v>278</v>
      </c>
      <c r="AD17" s="17">
        <f t="shared" si="9"/>
        <v>0</v>
      </c>
      <c r="AE17" s="31">
        <f t="shared" si="9"/>
        <v>230</v>
      </c>
      <c r="AF17" s="31">
        <f t="shared" si="9"/>
        <v>508</v>
      </c>
    </row>
    <row r="18" spans="2:32" ht="23.1" customHeight="1" x14ac:dyDescent="0.25">
      <c r="B18" s="23" t="s">
        <v>45</v>
      </c>
      <c r="C18" s="50">
        <v>11</v>
      </c>
      <c r="D18" s="50">
        <v>0</v>
      </c>
      <c r="E18" s="50">
        <v>22</v>
      </c>
      <c r="F18" s="50">
        <v>21</v>
      </c>
      <c r="G18" s="50">
        <v>0</v>
      </c>
      <c r="H18" s="50">
        <v>0</v>
      </c>
      <c r="I18" s="50">
        <v>0</v>
      </c>
      <c r="J18" s="50">
        <v>10</v>
      </c>
      <c r="K18" s="50">
        <v>1</v>
      </c>
      <c r="L18" s="50">
        <v>0</v>
      </c>
      <c r="M18" s="50">
        <v>89</v>
      </c>
      <c r="N18" s="50">
        <v>0</v>
      </c>
      <c r="O18" s="15">
        <f t="shared" si="0"/>
        <v>65</v>
      </c>
      <c r="P18" s="15">
        <f t="shared" si="1"/>
        <v>154</v>
      </c>
      <c r="R18" s="1" t="s">
        <v>14</v>
      </c>
      <c r="S18" s="17">
        <f t="shared" ref="S18:AF18" si="10">SUM(C42:C45)</f>
        <v>20</v>
      </c>
      <c r="T18" s="17">
        <f t="shared" si="10"/>
        <v>0</v>
      </c>
      <c r="U18" s="17">
        <f t="shared" si="10"/>
        <v>79</v>
      </c>
      <c r="V18" s="17">
        <f t="shared" si="10"/>
        <v>74</v>
      </c>
      <c r="W18" s="17">
        <f t="shared" si="10"/>
        <v>0</v>
      </c>
      <c r="X18" s="17">
        <f t="shared" si="10"/>
        <v>7</v>
      </c>
      <c r="Y18" s="17">
        <f t="shared" si="10"/>
        <v>0</v>
      </c>
      <c r="Z18" s="17">
        <f t="shared" si="10"/>
        <v>38</v>
      </c>
      <c r="AA18" s="17">
        <f t="shared" si="10"/>
        <v>1</v>
      </c>
      <c r="AB18" s="17">
        <f t="shared" si="10"/>
        <v>5</v>
      </c>
      <c r="AC18" s="17">
        <f t="shared" si="10"/>
        <v>153</v>
      </c>
      <c r="AD18" s="17">
        <f t="shared" si="10"/>
        <v>0</v>
      </c>
      <c r="AE18" s="31">
        <f t="shared" si="10"/>
        <v>224</v>
      </c>
      <c r="AF18" s="31">
        <f t="shared" si="10"/>
        <v>377</v>
      </c>
    </row>
    <row r="19" spans="2:32" ht="23.1" customHeight="1" x14ac:dyDescent="0.25">
      <c r="B19" s="23" t="s">
        <v>46</v>
      </c>
      <c r="C19" s="50">
        <v>11</v>
      </c>
      <c r="D19" s="50">
        <v>0</v>
      </c>
      <c r="E19" s="50">
        <v>14</v>
      </c>
      <c r="F19" s="50">
        <v>18</v>
      </c>
      <c r="G19" s="50">
        <v>0</v>
      </c>
      <c r="H19" s="50">
        <v>0</v>
      </c>
      <c r="I19" s="50">
        <v>0</v>
      </c>
      <c r="J19" s="50">
        <v>3</v>
      </c>
      <c r="K19" s="50">
        <v>0</v>
      </c>
      <c r="L19" s="50">
        <v>0</v>
      </c>
      <c r="M19" s="50">
        <v>87</v>
      </c>
      <c r="N19" s="50">
        <v>0</v>
      </c>
      <c r="O19" s="15">
        <f t="shared" si="0"/>
        <v>46</v>
      </c>
      <c r="P19" s="15">
        <f t="shared" si="1"/>
        <v>133</v>
      </c>
      <c r="R19" s="1" t="s">
        <v>15</v>
      </c>
      <c r="S19" s="17">
        <f t="shared" ref="S19:AF19" si="11">SUM(C46:C49)</f>
        <v>27</v>
      </c>
      <c r="T19" s="17">
        <f t="shared" si="11"/>
        <v>0</v>
      </c>
      <c r="U19" s="17">
        <f t="shared" si="11"/>
        <v>78</v>
      </c>
      <c r="V19" s="17">
        <f t="shared" si="11"/>
        <v>67</v>
      </c>
      <c r="W19" s="17">
        <f t="shared" si="11"/>
        <v>1</v>
      </c>
      <c r="X19" s="17">
        <f t="shared" si="11"/>
        <v>3</v>
      </c>
      <c r="Y19" s="17">
        <f t="shared" si="11"/>
        <v>0</v>
      </c>
      <c r="Z19" s="17">
        <f t="shared" si="11"/>
        <v>40</v>
      </c>
      <c r="AA19" s="17">
        <f t="shared" si="11"/>
        <v>4</v>
      </c>
      <c r="AB19" s="17">
        <f t="shared" si="11"/>
        <v>14</v>
      </c>
      <c r="AC19" s="17">
        <f t="shared" si="11"/>
        <v>288</v>
      </c>
      <c r="AD19" s="17">
        <f t="shared" si="11"/>
        <v>0</v>
      </c>
      <c r="AE19" s="31">
        <f t="shared" si="11"/>
        <v>234</v>
      </c>
      <c r="AF19" s="31">
        <f t="shared" si="11"/>
        <v>522</v>
      </c>
    </row>
    <row r="20" spans="2:32" ht="23.1" customHeight="1" x14ac:dyDescent="0.25">
      <c r="B20" s="23" t="s">
        <v>47</v>
      </c>
      <c r="C20" s="50">
        <v>10</v>
      </c>
      <c r="D20" s="50">
        <v>0</v>
      </c>
      <c r="E20" s="50">
        <v>11</v>
      </c>
      <c r="F20" s="50">
        <v>18</v>
      </c>
      <c r="G20" s="50">
        <v>0</v>
      </c>
      <c r="H20" s="50">
        <v>2</v>
      </c>
      <c r="I20" s="50">
        <v>0</v>
      </c>
      <c r="J20" s="50">
        <v>7</v>
      </c>
      <c r="K20" s="50">
        <v>0</v>
      </c>
      <c r="L20" s="50">
        <v>1</v>
      </c>
      <c r="M20" s="50">
        <v>88</v>
      </c>
      <c r="N20" s="50">
        <v>0</v>
      </c>
      <c r="O20" s="15">
        <f t="shared" si="0"/>
        <v>49</v>
      </c>
      <c r="P20" s="15">
        <f t="shared" si="1"/>
        <v>137</v>
      </c>
      <c r="R20" s="1" t="s">
        <v>16</v>
      </c>
      <c r="S20" s="17">
        <f t="shared" ref="S20:AF20" si="12">SUM(C50:C53)</f>
        <v>40</v>
      </c>
      <c r="T20" s="17">
        <f t="shared" si="12"/>
        <v>0</v>
      </c>
      <c r="U20" s="17">
        <f t="shared" si="12"/>
        <v>72</v>
      </c>
      <c r="V20" s="17">
        <f t="shared" si="12"/>
        <v>60</v>
      </c>
      <c r="W20" s="17">
        <f t="shared" si="12"/>
        <v>0</v>
      </c>
      <c r="X20" s="17">
        <f t="shared" si="12"/>
        <v>4</v>
      </c>
      <c r="Y20" s="17">
        <f t="shared" si="12"/>
        <v>1</v>
      </c>
      <c r="Z20" s="17">
        <f t="shared" si="12"/>
        <v>49</v>
      </c>
      <c r="AA20" s="17">
        <f t="shared" si="12"/>
        <v>3</v>
      </c>
      <c r="AB20" s="17">
        <f t="shared" si="12"/>
        <v>5</v>
      </c>
      <c r="AC20" s="17">
        <f t="shared" si="12"/>
        <v>306</v>
      </c>
      <c r="AD20" s="17">
        <f t="shared" si="12"/>
        <v>0</v>
      </c>
      <c r="AE20" s="31">
        <f t="shared" si="12"/>
        <v>234</v>
      </c>
      <c r="AF20" s="31">
        <f t="shared" si="12"/>
        <v>540</v>
      </c>
    </row>
    <row r="21" spans="2:32" ht="23.1" customHeight="1" x14ac:dyDescent="0.25">
      <c r="B21" s="23" t="s">
        <v>48</v>
      </c>
      <c r="C21" s="50">
        <v>13</v>
      </c>
      <c r="D21" s="50">
        <v>0</v>
      </c>
      <c r="E21" s="50">
        <v>11</v>
      </c>
      <c r="F21" s="50">
        <v>24</v>
      </c>
      <c r="G21" s="50">
        <v>0</v>
      </c>
      <c r="H21" s="50">
        <v>1</v>
      </c>
      <c r="I21" s="50">
        <v>0</v>
      </c>
      <c r="J21" s="50">
        <v>8</v>
      </c>
      <c r="K21" s="50">
        <v>0</v>
      </c>
      <c r="L21" s="50">
        <v>2</v>
      </c>
      <c r="M21" s="50">
        <v>69</v>
      </c>
      <c r="N21" s="50">
        <v>0</v>
      </c>
      <c r="O21" s="15">
        <f t="shared" si="0"/>
        <v>59</v>
      </c>
      <c r="P21" s="15">
        <f t="shared" si="1"/>
        <v>128</v>
      </c>
      <c r="R21" s="36" t="s">
        <v>20</v>
      </c>
      <c r="S21" s="34">
        <f t="shared" ref="S21:AF21" si="13">SUM(C54:C57)</f>
        <v>31</v>
      </c>
      <c r="T21" s="17">
        <f t="shared" si="13"/>
        <v>0</v>
      </c>
      <c r="U21" s="17">
        <f t="shared" si="13"/>
        <v>69</v>
      </c>
      <c r="V21" s="17">
        <f t="shared" si="13"/>
        <v>60</v>
      </c>
      <c r="W21" s="17">
        <f t="shared" si="13"/>
        <v>1</v>
      </c>
      <c r="X21" s="17">
        <f t="shared" si="13"/>
        <v>2</v>
      </c>
      <c r="Y21" s="17">
        <f t="shared" si="13"/>
        <v>0</v>
      </c>
      <c r="Z21" s="17">
        <f t="shared" si="13"/>
        <v>31</v>
      </c>
      <c r="AA21" s="17">
        <f t="shared" si="13"/>
        <v>7</v>
      </c>
      <c r="AB21" s="17">
        <f t="shared" si="13"/>
        <v>5</v>
      </c>
      <c r="AC21" s="17">
        <f t="shared" si="13"/>
        <v>267</v>
      </c>
      <c r="AD21" s="17">
        <f t="shared" si="13"/>
        <v>0</v>
      </c>
      <c r="AE21" s="31">
        <f t="shared" si="13"/>
        <v>206</v>
      </c>
      <c r="AF21" s="31">
        <f t="shared" si="13"/>
        <v>473</v>
      </c>
    </row>
    <row r="22" spans="2:32" ht="23.1" customHeight="1" x14ac:dyDescent="0.25">
      <c r="B22" s="23" t="s">
        <v>49</v>
      </c>
      <c r="C22" s="50">
        <v>12</v>
      </c>
      <c r="D22" s="50">
        <v>0</v>
      </c>
      <c r="E22" s="50">
        <v>13</v>
      </c>
      <c r="F22" s="50">
        <v>11</v>
      </c>
      <c r="G22" s="50">
        <v>0</v>
      </c>
      <c r="H22" s="50">
        <v>0</v>
      </c>
      <c r="I22" s="50">
        <v>0</v>
      </c>
      <c r="J22" s="50">
        <v>4</v>
      </c>
      <c r="K22" s="50">
        <v>0</v>
      </c>
      <c r="L22" s="50">
        <v>0</v>
      </c>
      <c r="M22" s="50">
        <v>89</v>
      </c>
      <c r="N22" s="50">
        <v>0</v>
      </c>
      <c r="O22" s="15">
        <f t="shared" si="0"/>
        <v>40</v>
      </c>
      <c r="P22" s="15">
        <f t="shared" si="1"/>
        <v>129</v>
      </c>
      <c r="R22" s="38" t="s">
        <v>90</v>
      </c>
      <c r="S22" s="39">
        <f>MAX(S10:S12)</f>
        <v>51</v>
      </c>
      <c r="T22" s="39">
        <f t="shared" ref="T22:AF22" si="14">MAX(T10:T12)</f>
        <v>0</v>
      </c>
      <c r="U22" s="39">
        <f t="shared" si="14"/>
        <v>58</v>
      </c>
      <c r="V22" s="39">
        <f t="shared" si="14"/>
        <v>81</v>
      </c>
      <c r="W22" s="39">
        <f t="shared" si="14"/>
        <v>0</v>
      </c>
      <c r="X22" s="39">
        <f t="shared" si="14"/>
        <v>3</v>
      </c>
      <c r="Y22" s="39">
        <f t="shared" si="14"/>
        <v>0</v>
      </c>
      <c r="Z22" s="39">
        <f t="shared" si="14"/>
        <v>32</v>
      </c>
      <c r="AA22" s="39">
        <f t="shared" si="14"/>
        <v>1</v>
      </c>
      <c r="AB22" s="39">
        <f t="shared" si="14"/>
        <v>4</v>
      </c>
      <c r="AC22" s="39">
        <f t="shared" si="14"/>
        <v>333</v>
      </c>
      <c r="AD22" s="39">
        <f t="shared" si="14"/>
        <v>0</v>
      </c>
      <c r="AE22" s="40">
        <f t="shared" si="14"/>
        <v>219</v>
      </c>
      <c r="AF22" s="40">
        <f t="shared" si="14"/>
        <v>552</v>
      </c>
    </row>
    <row r="23" spans="2:32" ht="23.1" customHeight="1" x14ac:dyDescent="0.25">
      <c r="B23" s="23" t="s">
        <v>50</v>
      </c>
      <c r="C23" s="50">
        <v>10</v>
      </c>
      <c r="D23" s="50">
        <v>0</v>
      </c>
      <c r="E23" s="50">
        <v>15</v>
      </c>
      <c r="F23" s="50">
        <v>17</v>
      </c>
      <c r="G23" s="50">
        <v>0</v>
      </c>
      <c r="H23" s="50">
        <v>2</v>
      </c>
      <c r="I23" s="50">
        <v>0</v>
      </c>
      <c r="J23" s="50">
        <v>12</v>
      </c>
      <c r="K23" s="50">
        <v>0</v>
      </c>
      <c r="L23" s="50">
        <v>1</v>
      </c>
      <c r="M23" s="50">
        <v>96</v>
      </c>
      <c r="N23" s="50">
        <v>0</v>
      </c>
      <c r="O23" s="15">
        <f t="shared" si="0"/>
        <v>57</v>
      </c>
      <c r="P23" s="15">
        <f t="shared" si="1"/>
        <v>153</v>
      </c>
      <c r="R23" s="38" t="s">
        <v>91</v>
      </c>
      <c r="S23" s="39">
        <f>MAX(S13:S18)</f>
        <v>58</v>
      </c>
      <c r="T23" s="39">
        <f t="shared" ref="T23:AF23" si="15">MAX(T13:T18)</f>
        <v>0</v>
      </c>
      <c r="U23" s="39">
        <f t="shared" si="15"/>
        <v>79</v>
      </c>
      <c r="V23" s="39">
        <f t="shared" si="15"/>
        <v>75</v>
      </c>
      <c r="W23" s="39">
        <f t="shared" si="15"/>
        <v>1</v>
      </c>
      <c r="X23" s="39">
        <f t="shared" si="15"/>
        <v>9</v>
      </c>
      <c r="Y23" s="39">
        <f t="shared" si="15"/>
        <v>2</v>
      </c>
      <c r="Z23" s="39">
        <f t="shared" si="15"/>
        <v>38</v>
      </c>
      <c r="AA23" s="39">
        <f t="shared" si="15"/>
        <v>4</v>
      </c>
      <c r="AB23" s="39">
        <f t="shared" si="15"/>
        <v>9</v>
      </c>
      <c r="AC23" s="39">
        <f t="shared" si="15"/>
        <v>334</v>
      </c>
      <c r="AD23" s="39">
        <f t="shared" si="15"/>
        <v>0</v>
      </c>
      <c r="AE23" s="40">
        <f t="shared" si="15"/>
        <v>250</v>
      </c>
      <c r="AF23" s="40">
        <f t="shared" si="15"/>
        <v>584</v>
      </c>
    </row>
    <row r="24" spans="2:32" ht="23.1" customHeight="1" x14ac:dyDescent="0.25">
      <c r="B24" s="23" t="s">
        <v>51</v>
      </c>
      <c r="C24" s="50">
        <v>9</v>
      </c>
      <c r="D24" s="50">
        <v>0</v>
      </c>
      <c r="E24" s="50">
        <v>17</v>
      </c>
      <c r="F24" s="50">
        <v>13</v>
      </c>
      <c r="G24" s="50">
        <v>0</v>
      </c>
      <c r="H24" s="50">
        <v>1</v>
      </c>
      <c r="I24" s="50">
        <v>0</v>
      </c>
      <c r="J24" s="50">
        <v>7</v>
      </c>
      <c r="K24" s="50">
        <v>0</v>
      </c>
      <c r="L24" s="50">
        <v>0</v>
      </c>
      <c r="M24" s="50">
        <v>73</v>
      </c>
      <c r="N24" s="50">
        <v>0</v>
      </c>
      <c r="O24" s="15">
        <f t="shared" si="0"/>
        <v>47</v>
      </c>
      <c r="P24" s="15">
        <f t="shared" si="1"/>
        <v>120</v>
      </c>
      <c r="R24" s="38" t="s">
        <v>92</v>
      </c>
      <c r="S24" s="39">
        <f>MAX(S19:S21)</f>
        <v>40</v>
      </c>
      <c r="T24" s="39">
        <f t="shared" ref="T24:AF24" si="16">MAX(T19:T21)</f>
        <v>0</v>
      </c>
      <c r="U24" s="39">
        <f t="shared" si="16"/>
        <v>78</v>
      </c>
      <c r="V24" s="39">
        <f t="shared" si="16"/>
        <v>67</v>
      </c>
      <c r="W24" s="39">
        <f t="shared" si="16"/>
        <v>1</v>
      </c>
      <c r="X24" s="39">
        <f t="shared" si="16"/>
        <v>4</v>
      </c>
      <c r="Y24" s="39">
        <f t="shared" si="16"/>
        <v>1</v>
      </c>
      <c r="Z24" s="39">
        <f t="shared" si="16"/>
        <v>49</v>
      </c>
      <c r="AA24" s="39">
        <f t="shared" si="16"/>
        <v>7</v>
      </c>
      <c r="AB24" s="39">
        <f t="shared" si="16"/>
        <v>14</v>
      </c>
      <c r="AC24" s="39">
        <f t="shared" si="16"/>
        <v>306</v>
      </c>
      <c r="AD24" s="39">
        <f t="shared" si="16"/>
        <v>0</v>
      </c>
      <c r="AE24" s="40">
        <f t="shared" si="16"/>
        <v>234</v>
      </c>
      <c r="AF24" s="40">
        <f t="shared" si="16"/>
        <v>540</v>
      </c>
    </row>
    <row r="25" spans="2:32" ht="23.1" customHeight="1" x14ac:dyDescent="0.25">
      <c r="B25" s="23" t="s">
        <v>52</v>
      </c>
      <c r="C25" s="50">
        <v>12</v>
      </c>
      <c r="D25" s="50">
        <v>0</v>
      </c>
      <c r="E25" s="50">
        <v>26</v>
      </c>
      <c r="F25" s="50">
        <v>17</v>
      </c>
      <c r="G25" s="50">
        <v>1</v>
      </c>
      <c r="H25" s="50">
        <v>2</v>
      </c>
      <c r="I25" s="50">
        <v>0</v>
      </c>
      <c r="J25" s="50">
        <v>10</v>
      </c>
      <c r="K25" s="50">
        <v>0</v>
      </c>
      <c r="L25" s="50">
        <v>1</v>
      </c>
      <c r="M25" s="50">
        <v>55</v>
      </c>
      <c r="N25" s="50">
        <v>0</v>
      </c>
      <c r="O25" s="15">
        <f t="shared" si="0"/>
        <v>69</v>
      </c>
      <c r="P25" s="15">
        <f t="shared" si="1"/>
        <v>124</v>
      </c>
      <c r="R25" s="37" t="s">
        <v>85</v>
      </c>
      <c r="S25" s="35">
        <f t="shared" ref="S25:AF25" si="17">SUM(S10:S12)</f>
        <v>140</v>
      </c>
      <c r="T25" s="16">
        <f t="shared" si="17"/>
        <v>0</v>
      </c>
      <c r="U25" s="16">
        <f t="shared" si="17"/>
        <v>134</v>
      </c>
      <c r="V25" s="16">
        <f t="shared" si="17"/>
        <v>172</v>
      </c>
      <c r="W25" s="16">
        <f t="shared" si="17"/>
        <v>0</v>
      </c>
      <c r="X25" s="16">
        <f t="shared" si="17"/>
        <v>8</v>
      </c>
      <c r="Y25" s="16">
        <f t="shared" si="17"/>
        <v>0</v>
      </c>
      <c r="Z25" s="16">
        <f t="shared" si="17"/>
        <v>90</v>
      </c>
      <c r="AA25" s="16">
        <f t="shared" si="17"/>
        <v>3</v>
      </c>
      <c r="AB25" s="16">
        <f t="shared" si="17"/>
        <v>10</v>
      </c>
      <c r="AC25" s="16">
        <f t="shared" si="17"/>
        <v>771</v>
      </c>
      <c r="AD25" s="16">
        <f t="shared" si="17"/>
        <v>0</v>
      </c>
      <c r="AE25" s="32">
        <f t="shared" si="17"/>
        <v>557</v>
      </c>
      <c r="AF25" s="32">
        <f t="shared" si="17"/>
        <v>1328</v>
      </c>
    </row>
    <row r="26" spans="2:32" ht="23.1" customHeight="1" x14ac:dyDescent="0.25">
      <c r="B26" s="23" t="s">
        <v>53</v>
      </c>
      <c r="C26" s="50">
        <v>17</v>
      </c>
      <c r="D26" s="50">
        <v>0</v>
      </c>
      <c r="E26" s="50">
        <v>19</v>
      </c>
      <c r="F26" s="50">
        <v>17</v>
      </c>
      <c r="G26" s="50">
        <v>0</v>
      </c>
      <c r="H26" s="50">
        <v>1</v>
      </c>
      <c r="I26" s="50">
        <v>0</v>
      </c>
      <c r="J26" s="50">
        <v>10</v>
      </c>
      <c r="K26" s="50">
        <v>0</v>
      </c>
      <c r="L26" s="50">
        <v>2</v>
      </c>
      <c r="M26" s="50">
        <v>79</v>
      </c>
      <c r="N26" s="50">
        <v>0</v>
      </c>
      <c r="O26" s="15">
        <f t="shared" si="0"/>
        <v>66</v>
      </c>
      <c r="P26" s="15">
        <f t="shared" si="1"/>
        <v>145</v>
      </c>
      <c r="R26" s="28" t="s">
        <v>86</v>
      </c>
      <c r="S26" s="16">
        <f t="shared" ref="S26:AF26" si="18">SUM(S13:S18)</f>
        <v>242</v>
      </c>
      <c r="T26" s="16">
        <f t="shared" si="18"/>
        <v>0</v>
      </c>
      <c r="U26" s="16">
        <f t="shared" si="18"/>
        <v>430</v>
      </c>
      <c r="V26" s="16">
        <f t="shared" si="18"/>
        <v>424</v>
      </c>
      <c r="W26" s="16">
        <f t="shared" si="18"/>
        <v>3</v>
      </c>
      <c r="X26" s="16">
        <f t="shared" si="18"/>
        <v>42</v>
      </c>
      <c r="Y26" s="16">
        <f t="shared" si="18"/>
        <v>3</v>
      </c>
      <c r="Z26" s="16">
        <f t="shared" si="18"/>
        <v>201</v>
      </c>
      <c r="AA26" s="16">
        <f t="shared" si="18"/>
        <v>10</v>
      </c>
      <c r="AB26" s="16">
        <f t="shared" si="18"/>
        <v>28</v>
      </c>
      <c r="AC26" s="16">
        <f t="shared" si="18"/>
        <v>1595</v>
      </c>
      <c r="AD26" s="16">
        <f t="shared" si="18"/>
        <v>0</v>
      </c>
      <c r="AE26" s="32">
        <f t="shared" si="18"/>
        <v>1383</v>
      </c>
      <c r="AF26" s="32">
        <f t="shared" si="18"/>
        <v>2978</v>
      </c>
    </row>
    <row r="27" spans="2:32" ht="23.1" customHeight="1" x14ac:dyDescent="0.25">
      <c r="B27" s="23" t="s">
        <v>54</v>
      </c>
      <c r="C27" s="50">
        <v>18</v>
      </c>
      <c r="D27" s="50">
        <v>0</v>
      </c>
      <c r="E27" s="50">
        <v>23</v>
      </c>
      <c r="F27" s="50">
        <v>20</v>
      </c>
      <c r="G27" s="50">
        <v>0</v>
      </c>
      <c r="H27" s="50">
        <v>2</v>
      </c>
      <c r="I27" s="50">
        <v>0</v>
      </c>
      <c r="J27" s="50">
        <v>7</v>
      </c>
      <c r="K27" s="50">
        <v>0</v>
      </c>
      <c r="L27" s="50">
        <v>0</v>
      </c>
      <c r="M27" s="50">
        <v>84</v>
      </c>
      <c r="N27" s="50">
        <v>0</v>
      </c>
      <c r="O27" s="15">
        <f t="shared" si="0"/>
        <v>70</v>
      </c>
      <c r="P27" s="15">
        <f t="shared" si="1"/>
        <v>154</v>
      </c>
      <c r="R27" s="29" t="s">
        <v>87</v>
      </c>
      <c r="S27" s="16">
        <f t="shared" ref="S27:AF27" si="19">SUM(S19:S21)</f>
        <v>98</v>
      </c>
      <c r="T27" s="16">
        <f t="shared" si="19"/>
        <v>0</v>
      </c>
      <c r="U27" s="16">
        <f t="shared" si="19"/>
        <v>219</v>
      </c>
      <c r="V27" s="16">
        <f t="shared" si="19"/>
        <v>187</v>
      </c>
      <c r="W27" s="16">
        <f t="shared" si="19"/>
        <v>2</v>
      </c>
      <c r="X27" s="16">
        <f t="shared" si="19"/>
        <v>9</v>
      </c>
      <c r="Y27" s="16">
        <f t="shared" si="19"/>
        <v>1</v>
      </c>
      <c r="Z27" s="16">
        <f t="shared" si="19"/>
        <v>120</v>
      </c>
      <c r="AA27" s="16">
        <f t="shared" si="19"/>
        <v>14</v>
      </c>
      <c r="AB27" s="16">
        <f t="shared" si="19"/>
        <v>24</v>
      </c>
      <c r="AC27" s="16">
        <f t="shared" si="19"/>
        <v>861</v>
      </c>
      <c r="AD27" s="16">
        <f t="shared" si="19"/>
        <v>0</v>
      </c>
      <c r="AE27" s="32">
        <f t="shared" si="19"/>
        <v>674</v>
      </c>
      <c r="AF27" s="32">
        <f t="shared" si="19"/>
        <v>1535</v>
      </c>
    </row>
    <row r="28" spans="2:32" ht="23.1" customHeight="1" x14ac:dyDescent="0.25">
      <c r="B28" s="23" t="s">
        <v>55</v>
      </c>
      <c r="C28" s="50">
        <v>15</v>
      </c>
      <c r="D28" s="50">
        <v>0</v>
      </c>
      <c r="E28" s="50">
        <v>17</v>
      </c>
      <c r="F28" s="50">
        <v>23</v>
      </c>
      <c r="G28" s="50">
        <v>0</v>
      </c>
      <c r="H28" s="50">
        <v>0</v>
      </c>
      <c r="I28" s="50">
        <v>0</v>
      </c>
      <c r="J28" s="50">
        <v>9</v>
      </c>
      <c r="K28" s="50">
        <v>0</v>
      </c>
      <c r="L28" s="50">
        <v>0</v>
      </c>
      <c r="M28" s="50">
        <v>79</v>
      </c>
      <c r="N28" s="50">
        <v>0</v>
      </c>
      <c r="O28" s="15">
        <f t="shared" si="0"/>
        <v>64</v>
      </c>
      <c r="P28" s="15">
        <f t="shared" si="1"/>
        <v>143</v>
      </c>
      <c r="R28" s="5" t="s">
        <v>17</v>
      </c>
      <c r="S28" s="16">
        <f t="shared" ref="S28:AF28" si="20">SUM(S10:S21)</f>
        <v>480</v>
      </c>
      <c r="T28" s="16">
        <f t="shared" si="20"/>
        <v>0</v>
      </c>
      <c r="U28" s="16">
        <f t="shared" si="20"/>
        <v>783</v>
      </c>
      <c r="V28" s="16">
        <f t="shared" si="20"/>
        <v>783</v>
      </c>
      <c r="W28" s="16">
        <f t="shared" si="20"/>
        <v>5</v>
      </c>
      <c r="X28" s="16">
        <f t="shared" si="20"/>
        <v>59</v>
      </c>
      <c r="Y28" s="16">
        <f t="shared" si="20"/>
        <v>4</v>
      </c>
      <c r="Z28" s="16">
        <f t="shared" si="20"/>
        <v>411</v>
      </c>
      <c r="AA28" s="16">
        <f t="shared" si="20"/>
        <v>27</v>
      </c>
      <c r="AB28" s="16">
        <f t="shared" si="20"/>
        <v>62</v>
      </c>
      <c r="AC28" s="16">
        <f t="shared" si="20"/>
        <v>3227</v>
      </c>
      <c r="AD28" s="16">
        <f t="shared" si="20"/>
        <v>0</v>
      </c>
      <c r="AE28" s="32">
        <f t="shared" si="20"/>
        <v>2614</v>
      </c>
      <c r="AF28" s="32">
        <f t="shared" si="20"/>
        <v>5841</v>
      </c>
    </row>
    <row r="29" spans="2:32" ht="23.1" customHeight="1" x14ac:dyDescent="0.25">
      <c r="B29" s="23" t="s">
        <v>56</v>
      </c>
      <c r="C29" s="50">
        <v>8</v>
      </c>
      <c r="D29" s="50">
        <v>0</v>
      </c>
      <c r="E29" s="50">
        <v>14</v>
      </c>
      <c r="F29" s="50">
        <v>15</v>
      </c>
      <c r="G29" s="50">
        <v>0</v>
      </c>
      <c r="H29" s="50">
        <v>2</v>
      </c>
      <c r="I29" s="50">
        <v>0</v>
      </c>
      <c r="J29" s="50">
        <v>9</v>
      </c>
      <c r="K29" s="50">
        <v>1</v>
      </c>
      <c r="L29" s="50">
        <v>1</v>
      </c>
      <c r="M29" s="50">
        <v>92</v>
      </c>
      <c r="N29" s="50">
        <v>0</v>
      </c>
      <c r="O29" s="15">
        <f t="shared" si="0"/>
        <v>50</v>
      </c>
      <c r="P29" s="15">
        <f t="shared" si="1"/>
        <v>142</v>
      </c>
      <c r="R29"/>
      <c r="S29" s="20"/>
      <c r="T29" s="19"/>
    </row>
    <row r="30" spans="2:32" ht="23.1" customHeight="1" x14ac:dyDescent="0.25">
      <c r="B30" s="23" t="s">
        <v>57</v>
      </c>
      <c r="C30" s="50">
        <v>13</v>
      </c>
      <c r="D30" s="50">
        <v>0</v>
      </c>
      <c r="E30" s="50">
        <v>19</v>
      </c>
      <c r="F30" s="50">
        <v>20</v>
      </c>
      <c r="G30" s="50">
        <v>0</v>
      </c>
      <c r="H30" s="50">
        <v>2</v>
      </c>
      <c r="I30" s="50">
        <v>0</v>
      </c>
      <c r="J30" s="50">
        <v>12</v>
      </c>
      <c r="K30" s="50">
        <v>1</v>
      </c>
      <c r="L30" s="50">
        <v>1</v>
      </c>
      <c r="M30" s="50">
        <v>64</v>
      </c>
      <c r="N30" s="50">
        <v>0</v>
      </c>
      <c r="O30" s="15">
        <f t="shared" si="0"/>
        <v>68</v>
      </c>
      <c r="P30" s="15">
        <f t="shared" si="1"/>
        <v>132</v>
      </c>
    </row>
    <row r="31" spans="2:32" ht="23.1" customHeight="1" x14ac:dyDescent="0.25">
      <c r="B31" s="24" t="s">
        <v>58</v>
      </c>
      <c r="C31" s="50">
        <v>13</v>
      </c>
      <c r="D31" s="50">
        <v>0</v>
      </c>
      <c r="E31" s="50">
        <v>18</v>
      </c>
      <c r="F31" s="50">
        <v>15</v>
      </c>
      <c r="G31" s="50">
        <v>0</v>
      </c>
      <c r="H31" s="50">
        <v>3</v>
      </c>
      <c r="I31" s="50">
        <v>0</v>
      </c>
      <c r="J31" s="50">
        <v>10</v>
      </c>
      <c r="K31" s="50">
        <v>2</v>
      </c>
      <c r="L31" s="50">
        <v>3</v>
      </c>
      <c r="M31" s="50">
        <v>66</v>
      </c>
      <c r="N31" s="50">
        <v>0</v>
      </c>
      <c r="O31" s="15">
        <f t="shared" si="0"/>
        <v>64</v>
      </c>
      <c r="P31" s="15">
        <f t="shared" si="1"/>
        <v>130</v>
      </c>
    </row>
    <row r="32" spans="2:32" ht="23.1" customHeight="1" x14ac:dyDescent="0.25">
      <c r="B32" s="24" t="s">
        <v>59</v>
      </c>
      <c r="C32" s="50">
        <v>14</v>
      </c>
      <c r="D32" s="50">
        <v>0</v>
      </c>
      <c r="E32" s="50">
        <v>14</v>
      </c>
      <c r="F32" s="50">
        <v>18</v>
      </c>
      <c r="G32" s="50">
        <v>0</v>
      </c>
      <c r="H32" s="50">
        <v>2</v>
      </c>
      <c r="I32" s="50">
        <v>0</v>
      </c>
      <c r="J32" s="50">
        <v>5</v>
      </c>
      <c r="K32" s="50">
        <v>1</v>
      </c>
      <c r="L32" s="50">
        <v>1</v>
      </c>
      <c r="M32" s="50">
        <v>77</v>
      </c>
      <c r="N32" s="50">
        <v>0</v>
      </c>
      <c r="O32" s="15">
        <f t="shared" si="0"/>
        <v>55</v>
      </c>
      <c r="P32" s="15">
        <f t="shared" si="1"/>
        <v>132</v>
      </c>
    </row>
    <row r="33" spans="2:20" ht="23.1" customHeight="1" x14ac:dyDescent="0.25">
      <c r="B33" s="23" t="s">
        <v>60</v>
      </c>
      <c r="C33" s="50">
        <v>12</v>
      </c>
      <c r="D33" s="50">
        <v>0</v>
      </c>
      <c r="E33" s="50">
        <v>12</v>
      </c>
      <c r="F33" s="50">
        <v>16</v>
      </c>
      <c r="G33" s="50">
        <v>0</v>
      </c>
      <c r="H33" s="50">
        <v>1</v>
      </c>
      <c r="I33" s="50">
        <v>0</v>
      </c>
      <c r="J33" s="50">
        <v>6</v>
      </c>
      <c r="K33" s="50">
        <v>0</v>
      </c>
      <c r="L33" s="50">
        <v>0</v>
      </c>
      <c r="M33" s="50">
        <v>62</v>
      </c>
      <c r="N33" s="50">
        <v>0</v>
      </c>
      <c r="O33" s="15">
        <f t="shared" si="0"/>
        <v>47</v>
      </c>
      <c r="P33" s="15">
        <f t="shared" si="1"/>
        <v>109</v>
      </c>
    </row>
    <row r="34" spans="2:20" ht="23.1" customHeight="1" x14ac:dyDescent="0.25">
      <c r="B34" s="24" t="s">
        <v>61</v>
      </c>
      <c r="C34" s="50">
        <v>8</v>
      </c>
      <c r="D34" s="50">
        <v>0</v>
      </c>
      <c r="E34" s="50">
        <v>28</v>
      </c>
      <c r="F34" s="50">
        <v>21</v>
      </c>
      <c r="G34" s="50">
        <v>1</v>
      </c>
      <c r="H34" s="50">
        <v>1</v>
      </c>
      <c r="I34" s="50">
        <v>1</v>
      </c>
      <c r="J34" s="50">
        <v>11</v>
      </c>
      <c r="K34" s="50">
        <v>0</v>
      </c>
      <c r="L34" s="50">
        <v>1</v>
      </c>
      <c r="M34" s="50">
        <v>71</v>
      </c>
      <c r="N34" s="50">
        <v>0</v>
      </c>
      <c r="O34" s="15">
        <f t="shared" si="0"/>
        <v>72</v>
      </c>
      <c r="P34" s="15">
        <f t="shared" si="1"/>
        <v>143</v>
      </c>
    </row>
    <row r="35" spans="2:20" ht="23.1" customHeight="1" x14ac:dyDescent="0.25">
      <c r="B35" s="24" t="s">
        <v>62</v>
      </c>
      <c r="C35" s="50">
        <v>11</v>
      </c>
      <c r="D35" s="50">
        <v>0</v>
      </c>
      <c r="E35" s="50">
        <v>17</v>
      </c>
      <c r="F35" s="50">
        <v>19</v>
      </c>
      <c r="G35" s="50">
        <v>0</v>
      </c>
      <c r="H35" s="50">
        <v>2</v>
      </c>
      <c r="I35" s="50">
        <v>0</v>
      </c>
      <c r="J35" s="50">
        <v>9</v>
      </c>
      <c r="K35" s="50">
        <v>0</v>
      </c>
      <c r="L35" s="50">
        <v>1</v>
      </c>
      <c r="M35" s="50">
        <v>60</v>
      </c>
      <c r="N35" s="50">
        <v>0</v>
      </c>
      <c r="O35" s="15">
        <f t="shared" si="0"/>
        <v>59</v>
      </c>
      <c r="P35" s="15">
        <f t="shared" si="1"/>
        <v>119</v>
      </c>
    </row>
    <row r="36" spans="2:20" ht="23.1" customHeight="1" x14ac:dyDescent="0.25">
      <c r="B36" s="24" t="s">
        <v>63</v>
      </c>
      <c r="C36" s="50">
        <v>10</v>
      </c>
      <c r="D36" s="50">
        <v>0</v>
      </c>
      <c r="E36" s="50">
        <v>14</v>
      </c>
      <c r="F36" s="50">
        <v>18</v>
      </c>
      <c r="G36" s="50">
        <v>0</v>
      </c>
      <c r="H36" s="50">
        <v>4</v>
      </c>
      <c r="I36" s="50">
        <v>0</v>
      </c>
      <c r="J36" s="50">
        <v>7</v>
      </c>
      <c r="K36" s="50">
        <v>0</v>
      </c>
      <c r="L36" s="50">
        <v>0</v>
      </c>
      <c r="M36" s="50">
        <v>57</v>
      </c>
      <c r="N36" s="50">
        <v>0</v>
      </c>
      <c r="O36" s="15">
        <f t="shared" si="0"/>
        <v>53</v>
      </c>
      <c r="P36" s="15">
        <f t="shared" si="1"/>
        <v>110</v>
      </c>
    </row>
    <row r="37" spans="2:20" ht="23.1" customHeight="1" x14ac:dyDescent="0.25">
      <c r="B37" s="23" t="s">
        <v>64</v>
      </c>
      <c r="C37" s="50">
        <v>8</v>
      </c>
      <c r="D37" s="50">
        <v>0</v>
      </c>
      <c r="E37" s="50">
        <v>17</v>
      </c>
      <c r="F37" s="50">
        <v>16</v>
      </c>
      <c r="G37" s="50">
        <v>0</v>
      </c>
      <c r="H37" s="50">
        <v>2</v>
      </c>
      <c r="I37" s="50">
        <v>1</v>
      </c>
      <c r="J37" s="50">
        <v>2</v>
      </c>
      <c r="K37" s="50">
        <v>0</v>
      </c>
      <c r="L37" s="50">
        <v>2</v>
      </c>
      <c r="M37" s="50">
        <v>60</v>
      </c>
      <c r="N37" s="50">
        <v>0</v>
      </c>
      <c r="O37" s="15">
        <f t="shared" si="0"/>
        <v>48</v>
      </c>
      <c r="P37" s="15">
        <f t="shared" si="1"/>
        <v>108</v>
      </c>
    </row>
    <row r="38" spans="2:20" ht="23.1" customHeight="1" x14ac:dyDescent="0.25">
      <c r="B38" s="24" t="s">
        <v>65</v>
      </c>
      <c r="C38" s="50">
        <v>7</v>
      </c>
      <c r="D38" s="50">
        <v>0</v>
      </c>
      <c r="E38" s="50">
        <v>17</v>
      </c>
      <c r="F38" s="50">
        <v>13</v>
      </c>
      <c r="G38" s="50">
        <v>0</v>
      </c>
      <c r="H38" s="50">
        <v>3</v>
      </c>
      <c r="I38" s="50">
        <v>0</v>
      </c>
      <c r="J38" s="50">
        <v>8</v>
      </c>
      <c r="K38" s="50">
        <v>1</v>
      </c>
      <c r="L38" s="50">
        <v>3</v>
      </c>
      <c r="M38" s="50">
        <v>52</v>
      </c>
      <c r="N38" s="50">
        <v>0</v>
      </c>
      <c r="O38" s="15">
        <f t="shared" si="0"/>
        <v>52</v>
      </c>
      <c r="P38" s="15">
        <f t="shared" si="1"/>
        <v>104</v>
      </c>
    </row>
    <row r="39" spans="2:20" ht="23.1" customHeight="1" x14ac:dyDescent="0.25">
      <c r="B39" s="24" t="s">
        <v>66</v>
      </c>
      <c r="C39" s="50">
        <v>8</v>
      </c>
      <c r="D39" s="50">
        <v>0</v>
      </c>
      <c r="E39" s="50">
        <v>19</v>
      </c>
      <c r="F39" s="50">
        <v>23</v>
      </c>
      <c r="G39" s="50">
        <v>1</v>
      </c>
      <c r="H39" s="50">
        <v>0</v>
      </c>
      <c r="I39" s="50">
        <v>1</v>
      </c>
      <c r="J39" s="50">
        <v>14</v>
      </c>
      <c r="K39" s="50">
        <v>3</v>
      </c>
      <c r="L39" s="50">
        <v>1</v>
      </c>
      <c r="M39" s="50">
        <v>68</v>
      </c>
      <c r="N39" s="50">
        <v>0</v>
      </c>
      <c r="O39" s="15">
        <f t="shared" si="0"/>
        <v>70</v>
      </c>
      <c r="P39" s="15">
        <f t="shared" si="1"/>
        <v>138</v>
      </c>
    </row>
    <row r="40" spans="2:20" ht="23.1" customHeight="1" x14ac:dyDescent="0.25">
      <c r="B40" s="24" t="s">
        <v>67</v>
      </c>
      <c r="C40" s="50">
        <v>9</v>
      </c>
      <c r="D40" s="50">
        <v>0</v>
      </c>
      <c r="E40" s="50">
        <v>16</v>
      </c>
      <c r="F40" s="50">
        <v>18</v>
      </c>
      <c r="G40" s="50">
        <v>0</v>
      </c>
      <c r="H40" s="50">
        <v>2</v>
      </c>
      <c r="I40" s="50">
        <v>0</v>
      </c>
      <c r="J40" s="50">
        <v>6</v>
      </c>
      <c r="K40" s="50">
        <v>0</v>
      </c>
      <c r="L40" s="50">
        <v>2</v>
      </c>
      <c r="M40" s="50">
        <v>70</v>
      </c>
      <c r="N40" s="50">
        <v>0</v>
      </c>
      <c r="O40" s="15">
        <f t="shared" si="0"/>
        <v>53</v>
      </c>
      <c r="P40" s="15">
        <f t="shared" si="1"/>
        <v>123</v>
      </c>
    </row>
    <row r="41" spans="2:20" ht="23.1" customHeight="1" x14ac:dyDescent="0.25">
      <c r="B41" s="23" t="s">
        <v>68</v>
      </c>
      <c r="C41" s="50">
        <v>8</v>
      </c>
      <c r="D41" s="50">
        <v>0</v>
      </c>
      <c r="E41" s="50">
        <v>16</v>
      </c>
      <c r="F41" s="50">
        <v>20</v>
      </c>
      <c r="G41" s="50">
        <v>0</v>
      </c>
      <c r="H41" s="50">
        <v>3</v>
      </c>
      <c r="I41" s="50">
        <v>0</v>
      </c>
      <c r="J41" s="50">
        <v>5</v>
      </c>
      <c r="K41" s="50">
        <v>0</v>
      </c>
      <c r="L41" s="50">
        <v>3</v>
      </c>
      <c r="M41" s="50">
        <v>88</v>
      </c>
      <c r="N41" s="50">
        <v>0</v>
      </c>
      <c r="O41" s="15">
        <f t="shared" si="0"/>
        <v>55</v>
      </c>
      <c r="P41" s="15">
        <f t="shared" si="1"/>
        <v>143</v>
      </c>
    </row>
    <row r="42" spans="2:20" ht="23.1" customHeight="1" x14ac:dyDescent="0.25">
      <c r="B42" s="24" t="s">
        <v>69</v>
      </c>
      <c r="C42" s="50">
        <v>6</v>
      </c>
      <c r="D42" s="50">
        <v>0</v>
      </c>
      <c r="E42" s="50">
        <v>19</v>
      </c>
      <c r="F42" s="50">
        <v>12</v>
      </c>
      <c r="G42" s="50">
        <v>0</v>
      </c>
      <c r="H42" s="50">
        <v>2</v>
      </c>
      <c r="I42" s="50">
        <v>0</v>
      </c>
      <c r="J42" s="50">
        <v>11</v>
      </c>
      <c r="K42" s="50">
        <v>0</v>
      </c>
      <c r="L42" s="50">
        <v>0</v>
      </c>
      <c r="M42" s="50">
        <v>39</v>
      </c>
      <c r="N42" s="50">
        <v>0</v>
      </c>
      <c r="O42" s="15">
        <f t="shared" si="0"/>
        <v>50</v>
      </c>
      <c r="P42" s="15">
        <f t="shared" si="1"/>
        <v>89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23</v>
      </c>
      <c r="F43" s="50">
        <v>23</v>
      </c>
      <c r="G43" s="50">
        <v>0</v>
      </c>
      <c r="H43" s="50">
        <v>1</v>
      </c>
      <c r="I43" s="50">
        <v>0</v>
      </c>
      <c r="J43" s="50">
        <v>10</v>
      </c>
      <c r="K43" s="50">
        <v>0</v>
      </c>
      <c r="L43" s="50">
        <v>1</v>
      </c>
      <c r="M43" s="50">
        <v>28</v>
      </c>
      <c r="N43" s="50">
        <v>0</v>
      </c>
      <c r="O43" s="15">
        <f t="shared" si="0"/>
        <v>60</v>
      </c>
      <c r="P43" s="15">
        <f t="shared" si="1"/>
        <v>88</v>
      </c>
    </row>
    <row r="44" spans="2:20" ht="23.1" customHeight="1" x14ac:dyDescent="0.25">
      <c r="B44" s="25" t="s">
        <v>71</v>
      </c>
      <c r="C44" s="50">
        <v>7</v>
      </c>
      <c r="D44" s="50">
        <v>0</v>
      </c>
      <c r="E44" s="50">
        <v>20</v>
      </c>
      <c r="F44" s="50">
        <v>23</v>
      </c>
      <c r="G44" s="50">
        <v>0</v>
      </c>
      <c r="H44" s="50">
        <v>2</v>
      </c>
      <c r="I44" s="50">
        <v>0</v>
      </c>
      <c r="J44" s="50">
        <v>8</v>
      </c>
      <c r="K44" s="50">
        <v>1</v>
      </c>
      <c r="L44" s="50">
        <v>3</v>
      </c>
      <c r="M44" s="50">
        <v>33</v>
      </c>
      <c r="N44" s="50">
        <v>0</v>
      </c>
      <c r="O44" s="15">
        <f t="shared" si="0"/>
        <v>64</v>
      </c>
      <c r="P44" s="15">
        <f t="shared" si="1"/>
        <v>97</v>
      </c>
    </row>
    <row r="45" spans="2:20" ht="23.1" customHeight="1" x14ac:dyDescent="0.25">
      <c r="B45" s="23" t="s">
        <v>72</v>
      </c>
      <c r="C45" s="50">
        <v>5</v>
      </c>
      <c r="D45" s="50">
        <v>0</v>
      </c>
      <c r="E45" s="50">
        <v>17</v>
      </c>
      <c r="F45" s="50">
        <v>16</v>
      </c>
      <c r="G45" s="50">
        <v>0</v>
      </c>
      <c r="H45" s="50">
        <v>2</v>
      </c>
      <c r="I45" s="50">
        <v>0</v>
      </c>
      <c r="J45" s="50">
        <v>9</v>
      </c>
      <c r="K45" s="50">
        <v>0</v>
      </c>
      <c r="L45" s="50">
        <v>1</v>
      </c>
      <c r="M45" s="50">
        <v>53</v>
      </c>
      <c r="N45" s="50">
        <v>0</v>
      </c>
      <c r="O45" s="15">
        <f t="shared" si="0"/>
        <v>50</v>
      </c>
      <c r="P45" s="15">
        <f t="shared" si="1"/>
        <v>103</v>
      </c>
    </row>
    <row r="46" spans="2:20" ht="23.1" customHeight="1" x14ac:dyDescent="0.25">
      <c r="B46" s="24" t="s">
        <v>73</v>
      </c>
      <c r="C46" s="50">
        <v>4</v>
      </c>
      <c r="D46" s="50">
        <v>0</v>
      </c>
      <c r="E46" s="50">
        <v>15</v>
      </c>
      <c r="F46" s="50">
        <v>9</v>
      </c>
      <c r="G46" s="50">
        <v>0</v>
      </c>
      <c r="H46" s="50">
        <v>1</v>
      </c>
      <c r="I46" s="50">
        <v>0</v>
      </c>
      <c r="J46" s="50">
        <v>11</v>
      </c>
      <c r="K46" s="50">
        <v>0</v>
      </c>
      <c r="L46" s="50">
        <v>4</v>
      </c>
      <c r="M46" s="50">
        <v>88</v>
      </c>
      <c r="N46" s="50">
        <v>0</v>
      </c>
      <c r="O46" s="15">
        <f t="shared" si="0"/>
        <v>44</v>
      </c>
      <c r="P46" s="15">
        <f t="shared" si="1"/>
        <v>132</v>
      </c>
      <c r="R46" s="8"/>
      <c r="T46"/>
    </row>
    <row r="47" spans="2:20" ht="23.1" customHeight="1" x14ac:dyDescent="0.25">
      <c r="B47" s="24" t="s">
        <v>74</v>
      </c>
      <c r="C47" s="50">
        <v>9</v>
      </c>
      <c r="D47" s="50">
        <v>0</v>
      </c>
      <c r="E47" s="50">
        <v>23</v>
      </c>
      <c r="F47" s="50">
        <v>22</v>
      </c>
      <c r="G47" s="50">
        <v>1</v>
      </c>
      <c r="H47" s="50">
        <v>1</v>
      </c>
      <c r="I47" s="50">
        <v>0</v>
      </c>
      <c r="J47" s="50">
        <v>6</v>
      </c>
      <c r="K47" s="50">
        <v>2</v>
      </c>
      <c r="L47" s="50">
        <v>5</v>
      </c>
      <c r="M47" s="50">
        <v>55</v>
      </c>
      <c r="N47" s="50">
        <v>0</v>
      </c>
      <c r="O47" s="15">
        <f t="shared" si="0"/>
        <v>69</v>
      </c>
      <c r="P47" s="15">
        <f t="shared" si="1"/>
        <v>124</v>
      </c>
      <c r="R47" s="8"/>
      <c r="T47"/>
    </row>
    <row r="48" spans="2:20" ht="23.1" customHeight="1" x14ac:dyDescent="0.25">
      <c r="B48" s="24" t="s">
        <v>75</v>
      </c>
      <c r="C48" s="50">
        <v>9</v>
      </c>
      <c r="D48" s="50">
        <v>0</v>
      </c>
      <c r="E48" s="50">
        <v>22</v>
      </c>
      <c r="F48" s="50">
        <v>23</v>
      </c>
      <c r="G48" s="50">
        <v>0</v>
      </c>
      <c r="H48" s="50">
        <v>0</v>
      </c>
      <c r="I48" s="50">
        <v>0</v>
      </c>
      <c r="J48" s="50">
        <v>12</v>
      </c>
      <c r="K48" s="50">
        <v>1</v>
      </c>
      <c r="L48" s="50">
        <v>4</v>
      </c>
      <c r="M48" s="50">
        <v>67</v>
      </c>
      <c r="N48" s="50">
        <v>0</v>
      </c>
      <c r="O48" s="15">
        <f t="shared" si="0"/>
        <v>71</v>
      </c>
      <c r="P48" s="15">
        <f t="shared" si="1"/>
        <v>138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0</v>
      </c>
      <c r="E49" s="50">
        <v>18</v>
      </c>
      <c r="F49" s="50">
        <v>13</v>
      </c>
      <c r="G49" s="50">
        <v>0</v>
      </c>
      <c r="H49" s="50">
        <v>1</v>
      </c>
      <c r="I49" s="50">
        <v>0</v>
      </c>
      <c r="J49" s="50">
        <v>11</v>
      </c>
      <c r="K49" s="50">
        <v>1</v>
      </c>
      <c r="L49" s="50">
        <v>1</v>
      </c>
      <c r="M49" s="50">
        <v>78</v>
      </c>
      <c r="N49" s="50">
        <v>0</v>
      </c>
      <c r="O49" s="15">
        <f t="shared" si="0"/>
        <v>50</v>
      </c>
      <c r="P49" s="15">
        <f t="shared" si="1"/>
        <v>128</v>
      </c>
      <c r="R49" s="8"/>
      <c r="T49"/>
    </row>
    <row r="50" spans="2:20" ht="23.1" customHeight="1" x14ac:dyDescent="0.25">
      <c r="B50" s="24" t="s">
        <v>77</v>
      </c>
      <c r="C50" s="50">
        <v>8</v>
      </c>
      <c r="D50" s="50">
        <v>0</v>
      </c>
      <c r="E50" s="50">
        <v>14</v>
      </c>
      <c r="F50" s="50">
        <v>18</v>
      </c>
      <c r="G50" s="50">
        <v>0</v>
      </c>
      <c r="H50" s="50">
        <v>2</v>
      </c>
      <c r="I50" s="50">
        <v>0</v>
      </c>
      <c r="J50" s="50">
        <v>13</v>
      </c>
      <c r="K50" s="50">
        <v>1</v>
      </c>
      <c r="L50" s="50">
        <v>5</v>
      </c>
      <c r="M50" s="50">
        <v>73</v>
      </c>
      <c r="N50" s="50">
        <v>0</v>
      </c>
      <c r="O50" s="15">
        <f t="shared" si="0"/>
        <v>61</v>
      </c>
      <c r="P50" s="15">
        <f t="shared" si="1"/>
        <v>134</v>
      </c>
      <c r="R50" s="8"/>
      <c r="T50"/>
    </row>
    <row r="51" spans="2:20" ht="23.1" customHeight="1" x14ac:dyDescent="0.25">
      <c r="B51" s="24" t="s">
        <v>78</v>
      </c>
      <c r="C51" s="50">
        <v>19</v>
      </c>
      <c r="D51" s="50">
        <v>0</v>
      </c>
      <c r="E51" s="50">
        <v>20</v>
      </c>
      <c r="F51" s="50">
        <v>17</v>
      </c>
      <c r="G51" s="50">
        <v>0</v>
      </c>
      <c r="H51" s="50">
        <v>0</v>
      </c>
      <c r="I51" s="50">
        <v>1</v>
      </c>
      <c r="J51" s="50">
        <v>11</v>
      </c>
      <c r="K51" s="50">
        <v>1</v>
      </c>
      <c r="L51" s="50">
        <v>0</v>
      </c>
      <c r="M51" s="50">
        <v>63</v>
      </c>
      <c r="N51" s="50">
        <v>0</v>
      </c>
      <c r="O51" s="15">
        <f t="shared" si="0"/>
        <v>69</v>
      </c>
      <c r="P51" s="15">
        <f t="shared" si="1"/>
        <v>132</v>
      </c>
      <c r="R51" s="8"/>
      <c r="T51"/>
    </row>
    <row r="52" spans="2:20" ht="23.1" customHeight="1" x14ac:dyDescent="0.25">
      <c r="B52" s="24" t="s">
        <v>79</v>
      </c>
      <c r="C52" s="50">
        <v>5</v>
      </c>
      <c r="D52" s="50">
        <v>0</v>
      </c>
      <c r="E52" s="50">
        <v>16</v>
      </c>
      <c r="F52" s="50">
        <v>12</v>
      </c>
      <c r="G52" s="50">
        <v>0</v>
      </c>
      <c r="H52" s="50">
        <v>1</v>
      </c>
      <c r="I52" s="50">
        <v>0</v>
      </c>
      <c r="J52" s="50">
        <v>11</v>
      </c>
      <c r="K52" s="50">
        <v>1</v>
      </c>
      <c r="L52" s="50">
        <v>0</v>
      </c>
      <c r="M52" s="50">
        <v>79</v>
      </c>
      <c r="N52" s="50">
        <v>0</v>
      </c>
      <c r="O52" s="15">
        <f t="shared" si="0"/>
        <v>46</v>
      </c>
      <c r="P52" s="15">
        <f t="shared" si="1"/>
        <v>125</v>
      </c>
      <c r="R52" s="8"/>
      <c r="T52"/>
    </row>
    <row r="53" spans="2:20" ht="23.1" customHeight="1" x14ac:dyDescent="0.25">
      <c r="B53" s="23" t="s">
        <v>80</v>
      </c>
      <c r="C53" s="50">
        <v>8</v>
      </c>
      <c r="D53" s="50">
        <v>0</v>
      </c>
      <c r="E53" s="50">
        <v>22</v>
      </c>
      <c r="F53" s="50">
        <v>13</v>
      </c>
      <c r="G53" s="50">
        <v>0</v>
      </c>
      <c r="H53" s="50">
        <v>1</v>
      </c>
      <c r="I53" s="50">
        <v>0</v>
      </c>
      <c r="J53" s="50">
        <v>14</v>
      </c>
      <c r="K53" s="50">
        <v>0</v>
      </c>
      <c r="L53" s="50">
        <v>0</v>
      </c>
      <c r="M53" s="50">
        <v>91</v>
      </c>
      <c r="N53" s="50">
        <v>0</v>
      </c>
      <c r="O53" s="15">
        <f t="shared" si="0"/>
        <v>58</v>
      </c>
      <c r="P53" s="15">
        <f t="shared" si="1"/>
        <v>149</v>
      </c>
      <c r="R53" s="8"/>
      <c r="T53"/>
    </row>
    <row r="54" spans="2:20" ht="23.1" customHeight="1" x14ac:dyDescent="0.25">
      <c r="B54" s="23" t="s">
        <v>81</v>
      </c>
      <c r="C54" s="50">
        <v>8</v>
      </c>
      <c r="D54" s="50">
        <v>0</v>
      </c>
      <c r="E54" s="50">
        <v>18</v>
      </c>
      <c r="F54" s="50">
        <v>10</v>
      </c>
      <c r="G54" s="50">
        <v>0</v>
      </c>
      <c r="H54" s="50">
        <v>2</v>
      </c>
      <c r="I54" s="50">
        <v>0</v>
      </c>
      <c r="J54" s="50">
        <v>1</v>
      </c>
      <c r="K54" s="50">
        <v>0</v>
      </c>
      <c r="L54" s="50">
        <v>3</v>
      </c>
      <c r="M54" s="50">
        <v>57</v>
      </c>
      <c r="N54" s="50">
        <v>0</v>
      </c>
      <c r="O54" s="15">
        <f t="shared" si="0"/>
        <v>42</v>
      </c>
      <c r="P54" s="15">
        <f t="shared" si="1"/>
        <v>99</v>
      </c>
      <c r="R54" s="8"/>
      <c r="T54"/>
    </row>
    <row r="55" spans="2:20" ht="23.1" customHeight="1" x14ac:dyDescent="0.25">
      <c r="B55" s="23" t="s">
        <v>82</v>
      </c>
      <c r="C55" s="50">
        <v>12</v>
      </c>
      <c r="D55" s="50">
        <v>0</v>
      </c>
      <c r="E55" s="50">
        <v>14</v>
      </c>
      <c r="F55" s="50">
        <v>22</v>
      </c>
      <c r="G55" s="50">
        <v>1</v>
      </c>
      <c r="H55" s="50">
        <v>0</v>
      </c>
      <c r="I55" s="50">
        <v>0</v>
      </c>
      <c r="J55" s="50">
        <v>8</v>
      </c>
      <c r="K55" s="50">
        <v>2</v>
      </c>
      <c r="L55" s="50">
        <v>0</v>
      </c>
      <c r="M55" s="50">
        <v>85</v>
      </c>
      <c r="N55" s="50">
        <v>0</v>
      </c>
      <c r="O55" s="15">
        <f t="shared" si="0"/>
        <v>59</v>
      </c>
      <c r="P55" s="15">
        <f t="shared" si="1"/>
        <v>144</v>
      </c>
      <c r="R55" s="8"/>
      <c r="T55"/>
    </row>
    <row r="56" spans="2:20" ht="23.1" customHeight="1" x14ac:dyDescent="0.25">
      <c r="B56" s="23" t="s">
        <v>83</v>
      </c>
      <c r="C56" s="50">
        <v>4</v>
      </c>
      <c r="D56" s="50">
        <v>0</v>
      </c>
      <c r="E56" s="50">
        <v>19</v>
      </c>
      <c r="F56" s="50">
        <v>12</v>
      </c>
      <c r="G56" s="50">
        <v>0</v>
      </c>
      <c r="H56" s="50">
        <v>0</v>
      </c>
      <c r="I56" s="50">
        <v>0</v>
      </c>
      <c r="J56" s="50">
        <v>3</v>
      </c>
      <c r="K56" s="50">
        <v>3</v>
      </c>
      <c r="L56" s="50">
        <v>0</v>
      </c>
      <c r="M56" s="50">
        <v>54</v>
      </c>
      <c r="N56" s="50">
        <v>0</v>
      </c>
      <c r="O56" s="15">
        <f t="shared" si="0"/>
        <v>41</v>
      </c>
      <c r="P56" s="15">
        <f t="shared" si="1"/>
        <v>95</v>
      </c>
      <c r="R56" s="8"/>
      <c r="T56"/>
    </row>
    <row r="57" spans="2:20" ht="23.1" customHeight="1" x14ac:dyDescent="0.25">
      <c r="B57" s="23" t="s">
        <v>84</v>
      </c>
      <c r="C57" s="50">
        <v>7</v>
      </c>
      <c r="D57" s="50">
        <v>0</v>
      </c>
      <c r="E57" s="50">
        <v>18</v>
      </c>
      <c r="F57" s="50">
        <v>16</v>
      </c>
      <c r="G57" s="50">
        <v>0</v>
      </c>
      <c r="H57" s="50">
        <v>0</v>
      </c>
      <c r="I57" s="50">
        <v>0</v>
      </c>
      <c r="J57" s="50">
        <v>19</v>
      </c>
      <c r="K57" s="50">
        <v>2</v>
      </c>
      <c r="L57" s="50">
        <v>2</v>
      </c>
      <c r="M57" s="50">
        <v>71</v>
      </c>
      <c r="N57" s="50">
        <v>0</v>
      </c>
      <c r="O57" s="15">
        <f t="shared" si="0"/>
        <v>64</v>
      </c>
      <c r="P57" s="15">
        <f t="shared" si="1"/>
        <v>135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480</v>
      </c>
      <c r="D58" s="16">
        <f t="shared" si="21"/>
        <v>0</v>
      </c>
      <c r="E58" s="16">
        <f t="shared" si="21"/>
        <v>783</v>
      </c>
      <c r="F58" s="16">
        <f t="shared" si="21"/>
        <v>783</v>
      </c>
      <c r="G58" s="16">
        <f t="shared" si="21"/>
        <v>5</v>
      </c>
      <c r="H58" s="16">
        <f t="shared" si="21"/>
        <v>59</v>
      </c>
      <c r="I58" s="16">
        <f t="shared" si="21"/>
        <v>4</v>
      </c>
      <c r="J58" s="16">
        <f t="shared" si="21"/>
        <v>411</v>
      </c>
      <c r="K58" s="16">
        <f t="shared" si="21"/>
        <v>27</v>
      </c>
      <c r="L58" s="16">
        <f t="shared" si="21"/>
        <v>62</v>
      </c>
      <c r="M58" s="16">
        <f t="shared" si="21"/>
        <v>3227</v>
      </c>
      <c r="N58" s="16">
        <f t="shared" si="21"/>
        <v>0</v>
      </c>
      <c r="O58" s="16">
        <f t="shared" si="21"/>
        <v>2614</v>
      </c>
      <c r="P58" s="16">
        <f t="shared" si="21"/>
        <v>5841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8.217770929635336E-2</v>
      </c>
      <c r="D59" s="43">
        <f t="shared" si="22"/>
        <v>0</v>
      </c>
      <c r="E59" s="43">
        <f t="shared" si="22"/>
        <v>0.13405238828967642</v>
      </c>
      <c r="F59" s="43">
        <f t="shared" si="22"/>
        <v>0.13405238828967642</v>
      </c>
      <c r="G59" s="43">
        <f t="shared" si="22"/>
        <v>8.5601780517034754E-4</v>
      </c>
      <c r="H59" s="43">
        <f t="shared" si="22"/>
        <v>1.0101010101010102E-2</v>
      </c>
      <c r="I59" s="43">
        <f t="shared" si="22"/>
        <v>6.8481424413627799E-4</v>
      </c>
      <c r="J59" s="43">
        <f t="shared" si="22"/>
        <v>7.0364663585002568E-2</v>
      </c>
      <c r="K59" s="43">
        <f t="shared" si="22"/>
        <v>4.6224961479198771E-3</v>
      </c>
      <c r="L59" s="43">
        <f t="shared" si="22"/>
        <v>1.061462078411231E-2</v>
      </c>
      <c r="M59" s="43">
        <f t="shared" si="22"/>
        <v>0.55247389145694226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0.18362662586074982</v>
      </c>
      <c r="D60" s="44">
        <f t="shared" ref="D60:N60" si="23">D58/$O$58</f>
        <v>0</v>
      </c>
      <c r="E60" s="44">
        <f t="shared" si="23"/>
        <v>0.2995409334353481</v>
      </c>
      <c r="F60" s="44">
        <f t="shared" si="23"/>
        <v>0.2995409334353481</v>
      </c>
      <c r="G60" s="44">
        <f t="shared" si="23"/>
        <v>1.9127773527161439E-3</v>
      </c>
      <c r="H60" s="44">
        <f t="shared" si="23"/>
        <v>2.2570772762050498E-2</v>
      </c>
      <c r="I60" s="44">
        <f t="shared" si="23"/>
        <v>1.530221882172915E-3</v>
      </c>
      <c r="J60" s="44">
        <f t="shared" si="23"/>
        <v>0.15723029839326702</v>
      </c>
      <c r="K60" s="44">
        <f t="shared" si="23"/>
        <v>1.0328997704667177E-2</v>
      </c>
      <c r="L60" s="44">
        <f t="shared" si="23"/>
        <v>2.3718439173680182E-2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zoomScale="60" workbookViewId="0">
      <selection activeCell="N6" sqref="N6:O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'20.8 Luwero-Kampala'!C3:G3</f>
        <v>MCC - C3 - STN87 - Kampala-Gulu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'26.8 Kampala-Luweero'!D5</f>
        <v>26.08.19</v>
      </c>
      <c r="E5" s="3"/>
      <c r="F5" s="41" t="s">
        <v>1</v>
      </c>
      <c r="G5" s="66">
        <f>'26.8 Kampala-Luweero'!G5:H5</f>
        <v>0</v>
      </c>
      <c r="H5" s="67"/>
      <c r="I5" s="14"/>
      <c r="J5" s="2" t="s">
        <v>5</v>
      </c>
      <c r="K5" s="66" t="str">
        <f>'26.8 Kampala-Luweero'!K5:L5</f>
        <v>Godfrey, Ibrahim N, Oliver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">
        <v>177</v>
      </c>
      <c r="E6" s="67"/>
      <c r="F6" s="2" t="s">
        <v>2</v>
      </c>
      <c r="G6" s="66" t="s">
        <v>178</v>
      </c>
      <c r="H6" s="67"/>
      <c r="J6" s="2" t="s">
        <v>21</v>
      </c>
      <c r="K6" s="66" t="str">
        <f>'26.8 Kampala-Luweero'!K6:L6</f>
        <v>Martin, Tracy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4</v>
      </c>
      <c r="F10" s="50">
        <v>9</v>
      </c>
      <c r="G10" s="50">
        <v>0</v>
      </c>
      <c r="H10" s="50">
        <v>0</v>
      </c>
      <c r="I10" s="50">
        <v>4</v>
      </c>
      <c r="J10" s="50">
        <v>1</v>
      </c>
      <c r="K10" s="50">
        <v>1</v>
      </c>
      <c r="L10" s="50">
        <v>1</v>
      </c>
      <c r="M10" s="50">
        <v>28</v>
      </c>
      <c r="N10" s="50">
        <v>0</v>
      </c>
      <c r="O10" s="15">
        <f t="shared" ref="O10:O57" si="0">SUM(C10:L10,N10)</f>
        <v>22</v>
      </c>
      <c r="P10" s="15">
        <f t="shared" ref="P10:P57" si="1">SUM(C10:N10)</f>
        <v>50</v>
      </c>
      <c r="R10" s="1" t="s">
        <v>6</v>
      </c>
      <c r="S10" s="17">
        <f t="shared" ref="S10:AF10" si="2">SUM(C10:C13)</f>
        <v>10</v>
      </c>
      <c r="T10" s="17">
        <f t="shared" si="2"/>
        <v>0</v>
      </c>
      <c r="U10" s="17">
        <f t="shared" si="2"/>
        <v>18</v>
      </c>
      <c r="V10" s="17">
        <f t="shared" si="2"/>
        <v>33</v>
      </c>
      <c r="W10" s="17">
        <f t="shared" si="2"/>
        <v>0</v>
      </c>
      <c r="X10" s="17">
        <f t="shared" si="2"/>
        <v>1</v>
      </c>
      <c r="Y10" s="17">
        <f t="shared" si="2"/>
        <v>8</v>
      </c>
      <c r="Z10" s="17">
        <f t="shared" si="2"/>
        <v>1</v>
      </c>
      <c r="AA10" s="17">
        <f t="shared" si="2"/>
        <v>2</v>
      </c>
      <c r="AB10" s="17">
        <f t="shared" si="2"/>
        <v>2</v>
      </c>
      <c r="AC10" s="17">
        <f t="shared" si="2"/>
        <v>121</v>
      </c>
      <c r="AD10" s="17">
        <f t="shared" si="2"/>
        <v>0</v>
      </c>
      <c r="AE10" s="31">
        <f t="shared" si="2"/>
        <v>75</v>
      </c>
      <c r="AF10" s="31">
        <f t="shared" si="2"/>
        <v>196</v>
      </c>
    </row>
    <row r="11" spans="2:32" s="6" customFormat="1" ht="23.1" customHeight="1" x14ac:dyDescent="0.25">
      <c r="B11" s="23" t="s">
        <v>38</v>
      </c>
      <c r="C11" s="50">
        <v>4</v>
      </c>
      <c r="D11" s="50">
        <v>0</v>
      </c>
      <c r="E11" s="50">
        <v>5</v>
      </c>
      <c r="F11" s="50">
        <v>6</v>
      </c>
      <c r="G11" s="50">
        <v>0</v>
      </c>
      <c r="H11" s="50">
        <v>1</v>
      </c>
      <c r="I11" s="50">
        <v>2</v>
      </c>
      <c r="J11" s="50">
        <v>0</v>
      </c>
      <c r="K11" s="50">
        <v>1</v>
      </c>
      <c r="L11" s="50">
        <v>0</v>
      </c>
      <c r="M11" s="50">
        <v>28</v>
      </c>
      <c r="N11" s="50">
        <v>0</v>
      </c>
      <c r="O11" s="15">
        <f t="shared" si="0"/>
        <v>19</v>
      </c>
      <c r="P11" s="15">
        <f t="shared" si="1"/>
        <v>47</v>
      </c>
      <c r="R11" s="1" t="s">
        <v>7</v>
      </c>
      <c r="S11" s="17">
        <f t="shared" ref="S11:AF11" si="3">SUM(C14:C17)</f>
        <v>17</v>
      </c>
      <c r="T11" s="17">
        <f t="shared" si="3"/>
        <v>0</v>
      </c>
      <c r="U11" s="17">
        <f t="shared" si="3"/>
        <v>30</v>
      </c>
      <c r="V11" s="17">
        <f t="shared" si="3"/>
        <v>66</v>
      </c>
      <c r="W11" s="17">
        <f t="shared" si="3"/>
        <v>0</v>
      </c>
      <c r="X11" s="17">
        <f t="shared" si="3"/>
        <v>0</v>
      </c>
      <c r="Y11" s="17">
        <f t="shared" si="3"/>
        <v>13</v>
      </c>
      <c r="Z11" s="17">
        <f t="shared" si="3"/>
        <v>1</v>
      </c>
      <c r="AA11" s="17">
        <f t="shared" si="3"/>
        <v>1</v>
      </c>
      <c r="AB11" s="17">
        <f t="shared" si="3"/>
        <v>5</v>
      </c>
      <c r="AC11" s="17">
        <f t="shared" si="3"/>
        <v>214</v>
      </c>
      <c r="AD11" s="17">
        <f t="shared" si="3"/>
        <v>0</v>
      </c>
      <c r="AE11" s="31">
        <f t="shared" si="3"/>
        <v>133</v>
      </c>
      <c r="AF11" s="31">
        <f t="shared" si="3"/>
        <v>347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5</v>
      </c>
      <c r="F12" s="50">
        <v>10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43</v>
      </c>
      <c r="N12" s="50">
        <v>0</v>
      </c>
      <c r="O12" s="15">
        <f t="shared" si="0"/>
        <v>17</v>
      </c>
      <c r="P12" s="15">
        <f t="shared" si="1"/>
        <v>60</v>
      </c>
      <c r="R12" s="1" t="s">
        <v>8</v>
      </c>
      <c r="S12" s="17">
        <f t="shared" ref="S12:AF12" si="4">SUM(C18:C21)</f>
        <v>32</v>
      </c>
      <c r="T12" s="17">
        <f t="shared" si="4"/>
        <v>0</v>
      </c>
      <c r="U12" s="17">
        <f t="shared" si="4"/>
        <v>28</v>
      </c>
      <c r="V12" s="17">
        <f t="shared" si="4"/>
        <v>71</v>
      </c>
      <c r="W12" s="17">
        <f t="shared" si="4"/>
        <v>1</v>
      </c>
      <c r="X12" s="17">
        <f t="shared" si="4"/>
        <v>1</v>
      </c>
      <c r="Y12" s="17">
        <f t="shared" si="4"/>
        <v>17</v>
      </c>
      <c r="Z12" s="17">
        <f t="shared" si="4"/>
        <v>1</v>
      </c>
      <c r="AA12" s="17">
        <f t="shared" si="4"/>
        <v>0</v>
      </c>
      <c r="AB12" s="17">
        <f t="shared" si="4"/>
        <v>1</v>
      </c>
      <c r="AC12" s="17">
        <f t="shared" si="4"/>
        <v>269</v>
      </c>
      <c r="AD12" s="17">
        <f t="shared" si="4"/>
        <v>0</v>
      </c>
      <c r="AE12" s="31">
        <f t="shared" si="4"/>
        <v>152</v>
      </c>
      <c r="AF12" s="31">
        <f t="shared" si="4"/>
        <v>421</v>
      </c>
    </row>
    <row r="13" spans="2:32" ht="23.1" customHeight="1" x14ac:dyDescent="0.25">
      <c r="B13" s="23" t="s">
        <v>40</v>
      </c>
      <c r="C13" s="50">
        <v>3</v>
      </c>
      <c r="D13" s="50">
        <v>0</v>
      </c>
      <c r="E13" s="50">
        <v>4</v>
      </c>
      <c r="F13" s="50">
        <v>8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1</v>
      </c>
      <c r="M13" s="50">
        <v>22</v>
      </c>
      <c r="N13" s="50">
        <v>0</v>
      </c>
      <c r="O13" s="15">
        <f t="shared" si="0"/>
        <v>17</v>
      </c>
      <c r="P13" s="15">
        <f t="shared" si="1"/>
        <v>39</v>
      </c>
      <c r="R13" s="1" t="s">
        <v>9</v>
      </c>
      <c r="S13" s="17">
        <f t="shared" ref="S13:AF13" si="5">SUM(C22:C25)</f>
        <v>26</v>
      </c>
      <c r="T13" s="17">
        <f t="shared" si="5"/>
        <v>0</v>
      </c>
      <c r="U13" s="17">
        <f t="shared" si="5"/>
        <v>40</v>
      </c>
      <c r="V13" s="17">
        <f t="shared" si="5"/>
        <v>63</v>
      </c>
      <c r="W13" s="17">
        <f t="shared" si="5"/>
        <v>1</v>
      </c>
      <c r="X13" s="17">
        <f t="shared" si="5"/>
        <v>1</v>
      </c>
      <c r="Y13" s="17">
        <f t="shared" si="5"/>
        <v>22</v>
      </c>
      <c r="Z13" s="17">
        <f t="shared" si="5"/>
        <v>2</v>
      </c>
      <c r="AA13" s="17">
        <f t="shared" si="5"/>
        <v>1</v>
      </c>
      <c r="AB13" s="17">
        <f t="shared" si="5"/>
        <v>4</v>
      </c>
      <c r="AC13" s="17">
        <f t="shared" si="5"/>
        <v>325</v>
      </c>
      <c r="AD13" s="17">
        <f t="shared" si="5"/>
        <v>0</v>
      </c>
      <c r="AE13" s="31">
        <f t="shared" si="5"/>
        <v>160</v>
      </c>
      <c r="AF13" s="31">
        <f t="shared" si="5"/>
        <v>485</v>
      </c>
    </row>
    <row r="14" spans="2:32" ht="23.1" customHeight="1" x14ac:dyDescent="0.25">
      <c r="B14" s="23" t="s">
        <v>41</v>
      </c>
      <c r="C14" s="50">
        <v>3</v>
      </c>
      <c r="D14" s="50">
        <v>0</v>
      </c>
      <c r="E14" s="50">
        <v>9</v>
      </c>
      <c r="F14" s="50">
        <v>13</v>
      </c>
      <c r="G14" s="50">
        <v>0</v>
      </c>
      <c r="H14" s="50">
        <v>0</v>
      </c>
      <c r="I14" s="50">
        <v>4</v>
      </c>
      <c r="J14" s="50">
        <v>0</v>
      </c>
      <c r="K14" s="50">
        <v>0</v>
      </c>
      <c r="L14" s="50">
        <v>1</v>
      </c>
      <c r="M14" s="50">
        <v>44</v>
      </c>
      <c r="N14" s="50">
        <v>0</v>
      </c>
      <c r="O14" s="15">
        <f t="shared" si="0"/>
        <v>30</v>
      </c>
      <c r="P14" s="15">
        <f t="shared" si="1"/>
        <v>74</v>
      </c>
      <c r="R14" s="1" t="s">
        <v>10</v>
      </c>
      <c r="S14" s="17">
        <f t="shared" ref="S14:AF14" si="6">SUM(C26:C29)</f>
        <v>24</v>
      </c>
      <c r="T14" s="17">
        <f t="shared" si="6"/>
        <v>0</v>
      </c>
      <c r="U14" s="17">
        <f t="shared" si="6"/>
        <v>40</v>
      </c>
      <c r="V14" s="17">
        <f t="shared" si="6"/>
        <v>66</v>
      </c>
      <c r="W14" s="17">
        <f t="shared" si="6"/>
        <v>0</v>
      </c>
      <c r="X14" s="17">
        <f t="shared" si="6"/>
        <v>3</v>
      </c>
      <c r="Y14" s="17">
        <f t="shared" si="6"/>
        <v>16</v>
      </c>
      <c r="Z14" s="17">
        <f t="shared" si="6"/>
        <v>1</v>
      </c>
      <c r="AA14" s="17">
        <f t="shared" si="6"/>
        <v>1</v>
      </c>
      <c r="AB14" s="17">
        <f t="shared" si="6"/>
        <v>5</v>
      </c>
      <c r="AC14" s="17">
        <f t="shared" si="6"/>
        <v>294</v>
      </c>
      <c r="AD14" s="17">
        <f t="shared" si="6"/>
        <v>0</v>
      </c>
      <c r="AE14" s="31">
        <f t="shared" si="6"/>
        <v>156</v>
      </c>
      <c r="AF14" s="31">
        <f t="shared" si="6"/>
        <v>450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9</v>
      </c>
      <c r="F15" s="50">
        <v>11</v>
      </c>
      <c r="G15" s="50">
        <v>0</v>
      </c>
      <c r="H15" s="50">
        <v>0</v>
      </c>
      <c r="I15" s="50">
        <v>2</v>
      </c>
      <c r="J15" s="50">
        <v>1</v>
      </c>
      <c r="K15" s="50">
        <v>0</v>
      </c>
      <c r="L15" s="50">
        <v>0</v>
      </c>
      <c r="M15" s="50">
        <v>42</v>
      </c>
      <c r="N15" s="50">
        <v>0</v>
      </c>
      <c r="O15" s="15">
        <f t="shared" si="0"/>
        <v>24</v>
      </c>
      <c r="P15" s="15">
        <f t="shared" si="1"/>
        <v>66</v>
      </c>
      <c r="R15" s="1" t="s">
        <v>11</v>
      </c>
      <c r="S15" s="17">
        <f t="shared" ref="S15:AF15" si="7">SUM(C30:C33)</f>
        <v>29</v>
      </c>
      <c r="T15" s="17">
        <f t="shared" si="7"/>
        <v>0</v>
      </c>
      <c r="U15" s="17">
        <f t="shared" si="7"/>
        <v>43</v>
      </c>
      <c r="V15" s="17">
        <f t="shared" si="7"/>
        <v>67</v>
      </c>
      <c r="W15" s="17">
        <f t="shared" si="7"/>
        <v>0</v>
      </c>
      <c r="X15" s="17">
        <f t="shared" si="7"/>
        <v>3</v>
      </c>
      <c r="Y15" s="17">
        <f t="shared" si="7"/>
        <v>39</v>
      </c>
      <c r="Z15" s="17">
        <f t="shared" si="7"/>
        <v>1</v>
      </c>
      <c r="AA15" s="17">
        <f t="shared" si="7"/>
        <v>0</v>
      </c>
      <c r="AB15" s="17">
        <f t="shared" si="7"/>
        <v>8</v>
      </c>
      <c r="AC15" s="17">
        <f t="shared" si="7"/>
        <v>267</v>
      </c>
      <c r="AD15" s="17">
        <f t="shared" si="7"/>
        <v>0</v>
      </c>
      <c r="AE15" s="31">
        <f t="shared" si="7"/>
        <v>190</v>
      </c>
      <c r="AF15" s="31">
        <f t="shared" si="7"/>
        <v>457</v>
      </c>
    </row>
    <row r="16" spans="2:32" ht="23.1" customHeight="1" x14ac:dyDescent="0.25">
      <c r="B16" s="23" t="s">
        <v>43</v>
      </c>
      <c r="C16" s="50">
        <v>6</v>
      </c>
      <c r="D16" s="50">
        <v>0</v>
      </c>
      <c r="E16" s="50">
        <v>6</v>
      </c>
      <c r="F16" s="50">
        <v>16</v>
      </c>
      <c r="G16" s="50">
        <v>0</v>
      </c>
      <c r="H16" s="50">
        <v>0</v>
      </c>
      <c r="I16" s="50">
        <v>2</v>
      </c>
      <c r="J16" s="50">
        <v>0</v>
      </c>
      <c r="K16" s="50">
        <v>1</v>
      </c>
      <c r="L16" s="50">
        <v>2</v>
      </c>
      <c r="M16" s="50">
        <v>55</v>
      </c>
      <c r="N16" s="50">
        <v>0</v>
      </c>
      <c r="O16" s="15">
        <f t="shared" si="0"/>
        <v>33</v>
      </c>
      <c r="P16" s="15">
        <f t="shared" si="1"/>
        <v>88</v>
      </c>
      <c r="R16" s="1" t="s">
        <v>12</v>
      </c>
      <c r="S16" s="17">
        <f t="shared" ref="S16:AF16" si="8">SUM(C34:C37)</f>
        <v>28</v>
      </c>
      <c r="T16" s="17">
        <f t="shared" si="8"/>
        <v>0</v>
      </c>
      <c r="U16" s="17">
        <f t="shared" si="8"/>
        <v>38</v>
      </c>
      <c r="V16" s="17">
        <f t="shared" si="8"/>
        <v>63</v>
      </c>
      <c r="W16" s="17">
        <f t="shared" si="8"/>
        <v>2</v>
      </c>
      <c r="X16" s="17">
        <f t="shared" si="8"/>
        <v>4</v>
      </c>
      <c r="Y16" s="17">
        <f t="shared" si="8"/>
        <v>23</v>
      </c>
      <c r="Z16" s="17">
        <f t="shared" si="8"/>
        <v>3</v>
      </c>
      <c r="AA16" s="17">
        <f t="shared" si="8"/>
        <v>0</v>
      </c>
      <c r="AB16" s="17">
        <f t="shared" si="8"/>
        <v>5</v>
      </c>
      <c r="AC16" s="17">
        <f t="shared" si="8"/>
        <v>260</v>
      </c>
      <c r="AD16" s="17">
        <f t="shared" si="8"/>
        <v>0</v>
      </c>
      <c r="AE16" s="31">
        <f t="shared" si="8"/>
        <v>166</v>
      </c>
      <c r="AF16" s="31">
        <f t="shared" si="8"/>
        <v>426</v>
      </c>
    </row>
    <row r="17" spans="2:32" ht="23.1" customHeight="1" x14ac:dyDescent="0.25">
      <c r="B17" s="23" t="s">
        <v>44</v>
      </c>
      <c r="C17" s="50">
        <v>7</v>
      </c>
      <c r="D17" s="50">
        <v>0</v>
      </c>
      <c r="E17" s="50">
        <v>6</v>
      </c>
      <c r="F17" s="50">
        <v>26</v>
      </c>
      <c r="G17" s="50">
        <v>0</v>
      </c>
      <c r="H17" s="50">
        <v>0</v>
      </c>
      <c r="I17" s="50">
        <v>5</v>
      </c>
      <c r="J17" s="50">
        <v>0</v>
      </c>
      <c r="K17" s="50">
        <v>0</v>
      </c>
      <c r="L17" s="50">
        <v>2</v>
      </c>
      <c r="M17" s="50">
        <v>73</v>
      </c>
      <c r="N17" s="50">
        <v>0</v>
      </c>
      <c r="O17" s="15">
        <f t="shared" si="0"/>
        <v>46</v>
      </c>
      <c r="P17" s="15">
        <f t="shared" si="1"/>
        <v>119</v>
      </c>
      <c r="R17" s="1" t="s">
        <v>13</v>
      </c>
      <c r="S17" s="17">
        <f t="shared" ref="S17:AF17" si="9">SUM(C38:C41)</f>
        <v>35</v>
      </c>
      <c r="T17" s="17">
        <f t="shared" si="9"/>
        <v>0</v>
      </c>
      <c r="U17" s="17">
        <f t="shared" si="9"/>
        <v>47</v>
      </c>
      <c r="V17" s="17">
        <f t="shared" si="9"/>
        <v>47</v>
      </c>
      <c r="W17" s="17">
        <f t="shared" si="9"/>
        <v>0</v>
      </c>
      <c r="X17" s="17">
        <f t="shared" si="9"/>
        <v>10</v>
      </c>
      <c r="Y17" s="17">
        <f t="shared" si="9"/>
        <v>29</v>
      </c>
      <c r="Z17" s="17">
        <f t="shared" si="9"/>
        <v>1</v>
      </c>
      <c r="AA17" s="17">
        <f t="shared" si="9"/>
        <v>0</v>
      </c>
      <c r="AB17" s="17">
        <f t="shared" si="9"/>
        <v>7</v>
      </c>
      <c r="AC17" s="17">
        <f t="shared" si="9"/>
        <v>300</v>
      </c>
      <c r="AD17" s="17">
        <f t="shared" si="9"/>
        <v>0</v>
      </c>
      <c r="AE17" s="31">
        <f t="shared" si="9"/>
        <v>176</v>
      </c>
      <c r="AF17" s="31">
        <f t="shared" si="9"/>
        <v>476</v>
      </c>
    </row>
    <row r="18" spans="2:32" ht="23.1" customHeight="1" x14ac:dyDescent="0.25">
      <c r="B18" s="23" t="s">
        <v>45</v>
      </c>
      <c r="C18" s="50">
        <v>12</v>
      </c>
      <c r="D18" s="50">
        <v>0</v>
      </c>
      <c r="E18" s="50">
        <v>7</v>
      </c>
      <c r="F18" s="50">
        <v>18</v>
      </c>
      <c r="G18" s="50">
        <v>1</v>
      </c>
      <c r="H18" s="50">
        <v>1</v>
      </c>
      <c r="I18" s="50">
        <v>6</v>
      </c>
      <c r="J18" s="50">
        <v>0</v>
      </c>
      <c r="K18" s="50">
        <v>0</v>
      </c>
      <c r="L18" s="50">
        <v>0</v>
      </c>
      <c r="M18" s="50">
        <v>58</v>
      </c>
      <c r="N18" s="50">
        <v>0</v>
      </c>
      <c r="O18" s="15">
        <f t="shared" si="0"/>
        <v>45</v>
      </c>
      <c r="P18" s="15">
        <f t="shared" si="1"/>
        <v>103</v>
      </c>
      <c r="R18" s="1" t="s">
        <v>14</v>
      </c>
      <c r="S18" s="17">
        <f t="shared" ref="S18:AF18" si="10">SUM(C42:C45)</f>
        <v>39</v>
      </c>
      <c r="T18" s="17">
        <f t="shared" si="10"/>
        <v>0</v>
      </c>
      <c r="U18" s="17">
        <f t="shared" si="10"/>
        <v>50</v>
      </c>
      <c r="V18" s="17">
        <f t="shared" si="10"/>
        <v>54</v>
      </c>
      <c r="W18" s="17">
        <f t="shared" si="10"/>
        <v>1</v>
      </c>
      <c r="X18" s="17">
        <f t="shared" si="10"/>
        <v>5</v>
      </c>
      <c r="Y18" s="17">
        <f t="shared" si="10"/>
        <v>31</v>
      </c>
      <c r="Z18" s="17">
        <f t="shared" si="10"/>
        <v>0</v>
      </c>
      <c r="AA18" s="17">
        <f t="shared" si="10"/>
        <v>1</v>
      </c>
      <c r="AB18" s="17">
        <f t="shared" si="10"/>
        <v>4</v>
      </c>
      <c r="AC18" s="17">
        <f t="shared" si="10"/>
        <v>153</v>
      </c>
      <c r="AD18" s="17">
        <f t="shared" si="10"/>
        <v>0</v>
      </c>
      <c r="AE18" s="31">
        <f t="shared" si="10"/>
        <v>185</v>
      </c>
      <c r="AF18" s="31">
        <f t="shared" si="10"/>
        <v>338</v>
      </c>
    </row>
    <row r="19" spans="2:32" ht="23.1" customHeight="1" x14ac:dyDescent="0.25">
      <c r="B19" s="23" t="s">
        <v>46</v>
      </c>
      <c r="C19" s="50">
        <v>10</v>
      </c>
      <c r="D19" s="50">
        <v>0</v>
      </c>
      <c r="E19" s="50">
        <v>9</v>
      </c>
      <c r="F19" s="50">
        <v>16</v>
      </c>
      <c r="G19" s="50">
        <v>0</v>
      </c>
      <c r="H19" s="50">
        <v>0</v>
      </c>
      <c r="I19" s="50">
        <v>4</v>
      </c>
      <c r="J19" s="50">
        <v>0</v>
      </c>
      <c r="K19" s="50">
        <v>0</v>
      </c>
      <c r="L19" s="50">
        <v>0</v>
      </c>
      <c r="M19" s="50">
        <v>59</v>
      </c>
      <c r="N19" s="50">
        <v>0</v>
      </c>
      <c r="O19" s="15">
        <f t="shared" si="0"/>
        <v>39</v>
      </c>
      <c r="P19" s="15">
        <f t="shared" si="1"/>
        <v>98</v>
      </c>
      <c r="R19" s="1" t="s">
        <v>15</v>
      </c>
      <c r="S19" s="17">
        <f t="shared" ref="S19:AF19" si="11">SUM(C46:C49)</f>
        <v>53</v>
      </c>
      <c r="T19" s="17">
        <f t="shared" si="11"/>
        <v>0</v>
      </c>
      <c r="U19" s="17">
        <f t="shared" si="11"/>
        <v>71</v>
      </c>
      <c r="V19" s="17">
        <f t="shared" si="11"/>
        <v>71</v>
      </c>
      <c r="W19" s="17">
        <f t="shared" si="11"/>
        <v>0</v>
      </c>
      <c r="X19" s="17">
        <f t="shared" si="11"/>
        <v>6</v>
      </c>
      <c r="Y19" s="17">
        <f t="shared" si="11"/>
        <v>31</v>
      </c>
      <c r="Z19" s="17">
        <f t="shared" si="11"/>
        <v>1</v>
      </c>
      <c r="AA19" s="17">
        <f t="shared" si="11"/>
        <v>1</v>
      </c>
      <c r="AB19" s="17">
        <f t="shared" si="11"/>
        <v>3</v>
      </c>
      <c r="AC19" s="17">
        <f t="shared" si="11"/>
        <v>274</v>
      </c>
      <c r="AD19" s="17">
        <f t="shared" si="11"/>
        <v>0</v>
      </c>
      <c r="AE19" s="31">
        <f t="shared" si="11"/>
        <v>237</v>
      </c>
      <c r="AF19" s="31">
        <f t="shared" si="11"/>
        <v>511</v>
      </c>
    </row>
    <row r="20" spans="2:32" ht="23.1" customHeight="1" x14ac:dyDescent="0.25">
      <c r="B20" s="23" t="s">
        <v>47</v>
      </c>
      <c r="C20" s="50">
        <v>2</v>
      </c>
      <c r="D20" s="50">
        <v>0</v>
      </c>
      <c r="E20" s="50">
        <v>5</v>
      </c>
      <c r="F20" s="50">
        <v>16</v>
      </c>
      <c r="G20" s="50">
        <v>0</v>
      </c>
      <c r="H20" s="50">
        <v>0</v>
      </c>
      <c r="I20" s="50">
        <v>4</v>
      </c>
      <c r="J20" s="50">
        <v>0</v>
      </c>
      <c r="K20" s="50">
        <v>0</v>
      </c>
      <c r="L20" s="50">
        <v>1</v>
      </c>
      <c r="M20" s="50">
        <v>84</v>
      </c>
      <c r="N20" s="50">
        <v>0</v>
      </c>
      <c r="O20" s="15">
        <f t="shared" si="0"/>
        <v>28</v>
      </c>
      <c r="P20" s="15">
        <f t="shared" si="1"/>
        <v>112</v>
      </c>
      <c r="R20" s="1" t="s">
        <v>16</v>
      </c>
      <c r="S20" s="17">
        <f t="shared" ref="S20:AF20" si="12">SUM(C50:C53)</f>
        <v>47</v>
      </c>
      <c r="T20" s="17">
        <f t="shared" si="12"/>
        <v>0</v>
      </c>
      <c r="U20" s="17">
        <f t="shared" si="12"/>
        <v>65</v>
      </c>
      <c r="V20" s="17">
        <f t="shared" si="12"/>
        <v>74</v>
      </c>
      <c r="W20" s="17">
        <f t="shared" si="12"/>
        <v>1</v>
      </c>
      <c r="X20" s="17">
        <f t="shared" si="12"/>
        <v>4</v>
      </c>
      <c r="Y20" s="17">
        <f t="shared" si="12"/>
        <v>22</v>
      </c>
      <c r="Z20" s="17">
        <f t="shared" si="12"/>
        <v>1</v>
      </c>
      <c r="AA20" s="17">
        <f t="shared" si="12"/>
        <v>0</v>
      </c>
      <c r="AB20" s="17">
        <f t="shared" si="12"/>
        <v>7</v>
      </c>
      <c r="AC20" s="17">
        <f t="shared" si="12"/>
        <v>280</v>
      </c>
      <c r="AD20" s="17">
        <f t="shared" si="12"/>
        <v>0</v>
      </c>
      <c r="AE20" s="31">
        <f t="shared" si="12"/>
        <v>221</v>
      </c>
      <c r="AF20" s="31">
        <f t="shared" si="12"/>
        <v>501</v>
      </c>
    </row>
    <row r="21" spans="2:32" ht="23.1" customHeight="1" x14ac:dyDescent="0.25">
      <c r="B21" s="23" t="s">
        <v>48</v>
      </c>
      <c r="C21" s="50">
        <v>8</v>
      </c>
      <c r="D21" s="50">
        <v>0</v>
      </c>
      <c r="E21" s="50">
        <v>7</v>
      </c>
      <c r="F21" s="50">
        <v>21</v>
      </c>
      <c r="G21" s="50">
        <v>0</v>
      </c>
      <c r="H21" s="50">
        <v>0</v>
      </c>
      <c r="I21" s="50">
        <v>3</v>
      </c>
      <c r="J21" s="50">
        <v>1</v>
      </c>
      <c r="K21" s="50">
        <v>0</v>
      </c>
      <c r="L21" s="50">
        <v>0</v>
      </c>
      <c r="M21" s="50">
        <v>68</v>
      </c>
      <c r="N21" s="50">
        <v>0</v>
      </c>
      <c r="O21" s="15">
        <f t="shared" si="0"/>
        <v>40</v>
      </c>
      <c r="P21" s="15">
        <f t="shared" si="1"/>
        <v>108</v>
      </c>
      <c r="R21" s="36" t="s">
        <v>20</v>
      </c>
      <c r="S21" s="34">
        <f t="shared" ref="S21:AF21" si="13">SUM(C54:C57)</f>
        <v>38</v>
      </c>
      <c r="T21" s="17">
        <f t="shared" si="13"/>
        <v>0</v>
      </c>
      <c r="U21" s="17">
        <f t="shared" si="13"/>
        <v>66</v>
      </c>
      <c r="V21" s="17">
        <f t="shared" si="13"/>
        <v>64</v>
      </c>
      <c r="W21" s="17">
        <f t="shared" si="13"/>
        <v>1</v>
      </c>
      <c r="X21" s="17">
        <f t="shared" si="13"/>
        <v>8</v>
      </c>
      <c r="Y21" s="17">
        <f t="shared" si="13"/>
        <v>39</v>
      </c>
      <c r="Z21" s="17">
        <f t="shared" si="13"/>
        <v>2</v>
      </c>
      <c r="AA21" s="17">
        <f t="shared" si="13"/>
        <v>1</v>
      </c>
      <c r="AB21" s="17">
        <f t="shared" si="13"/>
        <v>9</v>
      </c>
      <c r="AC21" s="17">
        <f t="shared" si="13"/>
        <v>281</v>
      </c>
      <c r="AD21" s="17">
        <f t="shared" si="13"/>
        <v>0</v>
      </c>
      <c r="AE21" s="31">
        <f t="shared" si="13"/>
        <v>228</v>
      </c>
      <c r="AF21" s="31">
        <f t="shared" si="13"/>
        <v>509</v>
      </c>
    </row>
    <row r="22" spans="2:32" ht="23.1" customHeight="1" x14ac:dyDescent="0.25">
      <c r="B22" s="23" t="s">
        <v>49</v>
      </c>
      <c r="C22" s="50">
        <v>7</v>
      </c>
      <c r="D22" s="50">
        <v>0</v>
      </c>
      <c r="E22" s="50">
        <v>10</v>
      </c>
      <c r="F22" s="50">
        <v>13</v>
      </c>
      <c r="G22" s="50">
        <v>0</v>
      </c>
      <c r="H22" s="50">
        <v>0</v>
      </c>
      <c r="I22" s="50">
        <v>5</v>
      </c>
      <c r="J22" s="50">
        <v>2</v>
      </c>
      <c r="K22" s="50">
        <v>0</v>
      </c>
      <c r="L22" s="50">
        <v>1</v>
      </c>
      <c r="M22" s="50">
        <v>80</v>
      </c>
      <c r="N22" s="50">
        <v>0</v>
      </c>
      <c r="O22" s="15">
        <f t="shared" si="0"/>
        <v>38</v>
      </c>
      <c r="P22" s="15">
        <f t="shared" si="1"/>
        <v>118</v>
      </c>
      <c r="R22" s="38" t="s">
        <v>90</v>
      </c>
      <c r="S22" s="39">
        <f>MAX(S10:S12)</f>
        <v>32</v>
      </c>
      <c r="T22" s="39">
        <f t="shared" ref="T22:AF22" si="14">MAX(T10:T12)</f>
        <v>0</v>
      </c>
      <c r="U22" s="39">
        <f t="shared" si="14"/>
        <v>30</v>
      </c>
      <c r="V22" s="39">
        <f t="shared" si="14"/>
        <v>71</v>
      </c>
      <c r="W22" s="39">
        <f t="shared" si="14"/>
        <v>1</v>
      </c>
      <c r="X22" s="39">
        <f t="shared" si="14"/>
        <v>1</v>
      </c>
      <c r="Y22" s="39">
        <f t="shared" si="14"/>
        <v>17</v>
      </c>
      <c r="Z22" s="39">
        <f t="shared" si="14"/>
        <v>1</v>
      </c>
      <c r="AA22" s="39">
        <f t="shared" si="14"/>
        <v>2</v>
      </c>
      <c r="AB22" s="39">
        <f t="shared" si="14"/>
        <v>5</v>
      </c>
      <c r="AC22" s="39">
        <f t="shared" si="14"/>
        <v>269</v>
      </c>
      <c r="AD22" s="39">
        <f t="shared" si="14"/>
        <v>0</v>
      </c>
      <c r="AE22" s="40">
        <f t="shared" si="14"/>
        <v>152</v>
      </c>
      <c r="AF22" s="40">
        <f t="shared" si="14"/>
        <v>421</v>
      </c>
    </row>
    <row r="23" spans="2:32" ht="23.1" customHeight="1" x14ac:dyDescent="0.25">
      <c r="B23" s="23" t="s">
        <v>50</v>
      </c>
      <c r="C23" s="50">
        <v>8</v>
      </c>
      <c r="D23" s="50">
        <v>0</v>
      </c>
      <c r="E23" s="50">
        <v>7</v>
      </c>
      <c r="F23" s="50">
        <v>13</v>
      </c>
      <c r="G23" s="50">
        <v>0</v>
      </c>
      <c r="H23" s="50">
        <v>0</v>
      </c>
      <c r="I23" s="50">
        <v>9</v>
      </c>
      <c r="J23" s="50">
        <v>0</v>
      </c>
      <c r="K23" s="50">
        <v>1</v>
      </c>
      <c r="L23" s="50">
        <v>1</v>
      </c>
      <c r="M23" s="50">
        <v>89</v>
      </c>
      <c r="N23" s="50">
        <v>0</v>
      </c>
      <c r="O23" s="15">
        <f t="shared" si="0"/>
        <v>39</v>
      </c>
      <c r="P23" s="15">
        <f t="shared" si="1"/>
        <v>128</v>
      </c>
      <c r="R23" s="38" t="s">
        <v>91</v>
      </c>
      <c r="S23" s="39">
        <f>MAX(S13:S18)</f>
        <v>39</v>
      </c>
      <c r="T23" s="39">
        <f t="shared" ref="T23:AF23" si="15">MAX(T13:T18)</f>
        <v>0</v>
      </c>
      <c r="U23" s="39">
        <f t="shared" si="15"/>
        <v>50</v>
      </c>
      <c r="V23" s="39">
        <f t="shared" si="15"/>
        <v>67</v>
      </c>
      <c r="W23" s="39">
        <f t="shared" si="15"/>
        <v>2</v>
      </c>
      <c r="X23" s="39">
        <f t="shared" si="15"/>
        <v>10</v>
      </c>
      <c r="Y23" s="39">
        <f t="shared" si="15"/>
        <v>39</v>
      </c>
      <c r="Z23" s="39">
        <f t="shared" si="15"/>
        <v>3</v>
      </c>
      <c r="AA23" s="39">
        <f t="shared" si="15"/>
        <v>1</v>
      </c>
      <c r="AB23" s="39">
        <f t="shared" si="15"/>
        <v>8</v>
      </c>
      <c r="AC23" s="39">
        <f t="shared" si="15"/>
        <v>325</v>
      </c>
      <c r="AD23" s="39">
        <f t="shared" si="15"/>
        <v>0</v>
      </c>
      <c r="AE23" s="40">
        <f t="shared" si="15"/>
        <v>190</v>
      </c>
      <c r="AF23" s="40">
        <f t="shared" si="15"/>
        <v>485</v>
      </c>
    </row>
    <row r="24" spans="2:32" ht="23.1" customHeight="1" x14ac:dyDescent="0.25">
      <c r="B24" s="23" t="s">
        <v>51</v>
      </c>
      <c r="C24" s="50">
        <v>3</v>
      </c>
      <c r="D24" s="50">
        <v>0</v>
      </c>
      <c r="E24" s="50">
        <v>8</v>
      </c>
      <c r="F24" s="50">
        <v>19</v>
      </c>
      <c r="G24" s="50">
        <v>1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82</v>
      </c>
      <c r="N24" s="50">
        <v>0</v>
      </c>
      <c r="O24" s="15">
        <f t="shared" si="0"/>
        <v>33</v>
      </c>
      <c r="P24" s="15">
        <f t="shared" si="1"/>
        <v>115</v>
      </c>
      <c r="R24" s="38" t="s">
        <v>92</v>
      </c>
      <c r="S24" s="39">
        <f>MAX(S19:S21)</f>
        <v>53</v>
      </c>
      <c r="T24" s="39">
        <f t="shared" ref="T24:AF24" si="16">MAX(T19:T21)</f>
        <v>0</v>
      </c>
      <c r="U24" s="39">
        <f t="shared" si="16"/>
        <v>71</v>
      </c>
      <c r="V24" s="39">
        <f t="shared" si="16"/>
        <v>74</v>
      </c>
      <c r="W24" s="39">
        <f t="shared" si="16"/>
        <v>1</v>
      </c>
      <c r="X24" s="39">
        <f t="shared" si="16"/>
        <v>8</v>
      </c>
      <c r="Y24" s="39">
        <f t="shared" si="16"/>
        <v>39</v>
      </c>
      <c r="Z24" s="39">
        <f t="shared" si="16"/>
        <v>2</v>
      </c>
      <c r="AA24" s="39">
        <f t="shared" si="16"/>
        <v>1</v>
      </c>
      <c r="AB24" s="39">
        <f t="shared" si="16"/>
        <v>9</v>
      </c>
      <c r="AC24" s="39">
        <f t="shared" si="16"/>
        <v>281</v>
      </c>
      <c r="AD24" s="39">
        <f t="shared" si="16"/>
        <v>0</v>
      </c>
      <c r="AE24" s="40">
        <f t="shared" si="16"/>
        <v>237</v>
      </c>
      <c r="AF24" s="40">
        <f t="shared" si="16"/>
        <v>511</v>
      </c>
    </row>
    <row r="25" spans="2:32" ht="23.1" customHeight="1" x14ac:dyDescent="0.25">
      <c r="B25" s="23" t="s">
        <v>52</v>
      </c>
      <c r="C25" s="50">
        <v>8</v>
      </c>
      <c r="D25" s="50">
        <v>0</v>
      </c>
      <c r="E25" s="50">
        <v>15</v>
      </c>
      <c r="F25" s="50">
        <v>18</v>
      </c>
      <c r="G25" s="50">
        <v>0</v>
      </c>
      <c r="H25" s="50">
        <v>1</v>
      </c>
      <c r="I25" s="50">
        <v>6</v>
      </c>
      <c r="J25" s="50">
        <v>0</v>
      </c>
      <c r="K25" s="50">
        <v>0</v>
      </c>
      <c r="L25" s="50">
        <v>2</v>
      </c>
      <c r="M25" s="50">
        <v>74</v>
      </c>
      <c r="N25" s="50">
        <v>0</v>
      </c>
      <c r="O25" s="15">
        <f t="shared" si="0"/>
        <v>50</v>
      </c>
      <c r="P25" s="15">
        <f t="shared" si="1"/>
        <v>124</v>
      </c>
      <c r="R25" s="37" t="s">
        <v>85</v>
      </c>
      <c r="S25" s="35">
        <f t="shared" ref="S25:AF25" si="17">SUM(S10:S12)</f>
        <v>59</v>
      </c>
      <c r="T25" s="16">
        <f t="shared" si="17"/>
        <v>0</v>
      </c>
      <c r="U25" s="16">
        <f t="shared" si="17"/>
        <v>76</v>
      </c>
      <c r="V25" s="16">
        <f t="shared" si="17"/>
        <v>170</v>
      </c>
      <c r="W25" s="16">
        <f t="shared" si="17"/>
        <v>1</v>
      </c>
      <c r="X25" s="16">
        <f t="shared" si="17"/>
        <v>2</v>
      </c>
      <c r="Y25" s="16">
        <f t="shared" si="17"/>
        <v>38</v>
      </c>
      <c r="Z25" s="16">
        <f t="shared" si="17"/>
        <v>3</v>
      </c>
      <c r="AA25" s="16">
        <f t="shared" si="17"/>
        <v>3</v>
      </c>
      <c r="AB25" s="16">
        <f t="shared" si="17"/>
        <v>8</v>
      </c>
      <c r="AC25" s="16">
        <f t="shared" si="17"/>
        <v>604</v>
      </c>
      <c r="AD25" s="16">
        <f t="shared" si="17"/>
        <v>0</v>
      </c>
      <c r="AE25" s="32">
        <f t="shared" si="17"/>
        <v>360</v>
      </c>
      <c r="AF25" s="32">
        <f t="shared" si="17"/>
        <v>964</v>
      </c>
    </row>
    <row r="26" spans="2:32" ht="23.1" customHeight="1" x14ac:dyDescent="0.25">
      <c r="B26" s="23" t="s">
        <v>53</v>
      </c>
      <c r="C26" s="50">
        <v>4</v>
      </c>
      <c r="D26" s="50">
        <v>0</v>
      </c>
      <c r="E26" s="50">
        <v>8</v>
      </c>
      <c r="F26" s="50">
        <v>17</v>
      </c>
      <c r="G26" s="50">
        <v>0</v>
      </c>
      <c r="H26" s="50">
        <v>0</v>
      </c>
      <c r="I26" s="50">
        <v>3</v>
      </c>
      <c r="J26" s="50">
        <v>0</v>
      </c>
      <c r="K26" s="50">
        <v>0</v>
      </c>
      <c r="L26" s="50">
        <v>1</v>
      </c>
      <c r="M26" s="50">
        <v>60</v>
      </c>
      <c r="N26" s="50">
        <v>0</v>
      </c>
      <c r="O26" s="15">
        <f t="shared" si="0"/>
        <v>33</v>
      </c>
      <c r="P26" s="15">
        <f t="shared" si="1"/>
        <v>93</v>
      </c>
      <c r="R26" s="28" t="s">
        <v>86</v>
      </c>
      <c r="S26" s="16">
        <f t="shared" ref="S26:AF26" si="18">SUM(S13:S18)</f>
        <v>181</v>
      </c>
      <c r="T26" s="16">
        <f t="shared" si="18"/>
        <v>0</v>
      </c>
      <c r="U26" s="16">
        <f t="shared" si="18"/>
        <v>258</v>
      </c>
      <c r="V26" s="16">
        <f t="shared" si="18"/>
        <v>360</v>
      </c>
      <c r="W26" s="16">
        <f t="shared" si="18"/>
        <v>4</v>
      </c>
      <c r="X26" s="16">
        <f t="shared" si="18"/>
        <v>26</v>
      </c>
      <c r="Y26" s="16">
        <f t="shared" si="18"/>
        <v>160</v>
      </c>
      <c r="Z26" s="16">
        <f t="shared" si="18"/>
        <v>8</v>
      </c>
      <c r="AA26" s="16">
        <f t="shared" si="18"/>
        <v>3</v>
      </c>
      <c r="AB26" s="16">
        <f t="shared" si="18"/>
        <v>33</v>
      </c>
      <c r="AC26" s="16">
        <f t="shared" si="18"/>
        <v>1599</v>
      </c>
      <c r="AD26" s="16">
        <f t="shared" si="18"/>
        <v>0</v>
      </c>
      <c r="AE26" s="32">
        <f t="shared" si="18"/>
        <v>1033</v>
      </c>
      <c r="AF26" s="32">
        <f t="shared" si="18"/>
        <v>2632</v>
      </c>
    </row>
    <row r="27" spans="2:32" ht="23.1" customHeight="1" x14ac:dyDescent="0.25">
      <c r="B27" s="23" t="s">
        <v>54</v>
      </c>
      <c r="C27" s="50">
        <v>8</v>
      </c>
      <c r="D27" s="50">
        <v>0</v>
      </c>
      <c r="E27" s="50">
        <v>12</v>
      </c>
      <c r="F27" s="50">
        <v>16</v>
      </c>
      <c r="G27" s="50">
        <v>0</v>
      </c>
      <c r="H27" s="50">
        <v>1</v>
      </c>
      <c r="I27" s="50">
        <v>6</v>
      </c>
      <c r="J27" s="50">
        <v>0</v>
      </c>
      <c r="K27" s="50">
        <v>0</v>
      </c>
      <c r="L27" s="50">
        <v>2</v>
      </c>
      <c r="M27" s="50">
        <v>79</v>
      </c>
      <c r="N27" s="50">
        <v>0</v>
      </c>
      <c r="O27" s="15">
        <f t="shared" si="0"/>
        <v>45</v>
      </c>
      <c r="P27" s="15">
        <f t="shared" si="1"/>
        <v>124</v>
      </c>
      <c r="R27" s="29" t="s">
        <v>87</v>
      </c>
      <c r="S27" s="16">
        <f t="shared" ref="S27:AF27" si="19">SUM(S19:S21)</f>
        <v>138</v>
      </c>
      <c r="T27" s="16">
        <f t="shared" si="19"/>
        <v>0</v>
      </c>
      <c r="U27" s="16">
        <f t="shared" si="19"/>
        <v>202</v>
      </c>
      <c r="V27" s="16">
        <f t="shared" si="19"/>
        <v>209</v>
      </c>
      <c r="W27" s="16">
        <f t="shared" si="19"/>
        <v>2</v>
      </c>
      <c r="X27" s="16">
        <f t="shared" si="19"/>
        <v>18</v>
      </c>
      <c r="Y27" s="16">
        <f t="shared" si="19"/>
        <v>92</v>
      </c>
      <c r="Z27" s="16">
        <f t="shared" si="19"/>
        <v>4</v>
      </c>
      <c r="AA27" s="16">
        <f t="shared" si="19"/>
        <v>2</v>
      </c>
      <c r="AB27" s="16">
        <f t="shared" si="19"/>
        <v>19</v>
      </c>
      <c r="AC27" s="16">
        <f t="shared" si="19"/>
        <v>835</v>
      </c>
      <c r="AD27" s="16">
        <f t="shared" si="19"/>
        <v>0</v>
      </c>
      <c r="AE27" s="32">
        <f t="shared" si="19"/>
        <v>686</v>
      </c>
      <c r="AF27" s="32">
        <f t="shared" si="19"/>
        <v>1521</v>
      </c>
    </row>
    <row r="28" spans="2:32" ht="23.1" customHeight="1" x14ac:dyDescent="0.25">
      <c r="B28" s="23" t="s">
        <v>55</v>
      </c>
      <c r="C28" s="50">
        <v>7</v>
      </c>
      <c r="D28" s="50">
        <v>0</v>
      </c>
      <c r="E28" s="50">
        <v>8</v>
      </c>
      <c r="F28" s="50">
        <v>18</v>
      </c>
      <c r="G28" s="50">
        <v>0</v>
      </c>
      <c r="H28" s="50">
        <v>1</v>
      </c>
      <c r="I28" s="50">
        <v>3</v>
      </c>
      <c r="J28" s="50">
        <v>0</v>
      </c>
      <c r="K28" s="50">
        <v>1</v>
      </c>
      <c r="L28" s="50">
        <v>1</v>
      </c>
      <c r="M28" s="50">
        <v>71</v>
      </c>
      <c r="N28" s="50">
        <v>0</v>
      </c>
      <c r="O28" s="15">
        <f t="shared" si="0"/>
        <v>39</v>
      </c>
      <c r="P28" s="15">
        <f t="shared" si="1"/>
        <v>110</v>
      </c>
      <c r="R28" s="5" t="s">
        <v>17</v>
      </c>
      <c r="S28" s="16">
        <f t="shared" ref="S28:AF28" si="20">SUM(S10:S21)</f>
        <v>378</v>
      </c>
      <c r="T28" s="16">
        <f t="shared" si="20"/>
        <v>0</v>
      </c>
      <c r="U28" s="16">
        <f t="shared" si="20"/>
        <v>536</v>
      </c>
      <c r="V28" s="16">
        <f t="shared" si="20"/>
        <v>739</v>
      </c>
      <c r="W28" s="16">
        <f t="shared" si="20"/>
        <v>7</v>
      </c>
      <c r="X28" s="16">
        <f t="shared" si="20"/>
        <v>46</v>
      </c>
      <c r="Y28" s="16">
        <f t="shared" si="20"/>
        <v>290</v>
      </c>
      <c r="Z28" s="16">
        <f t="shared" si="20"/>
        <v>15</v>
      </c>
      <c r="AA28" s="16">
        <f t="shared" si="20"/>
        <v>8</v>
      </c>
      <c r="AB28" s="16">
        <f t="shared" si="20"/>
        <v>60</v>
      </c>
      <c r="AC28" s="16">
        <f t="shared" si="20"/>
        <v>3038</v>
      </c>
      <c r="AD28" s="16">
        <f t="shared" si="20"/>
        <v>0</v>
      </c>
      <c r="AE28" s="32">
        <f t="shared" si="20"/>
        <v>2079</v>
      </c>
      <c r="AF28" s="32">
        <f t="shared" si="20"/>
        <v>5117</v>
      </c>
    </row>
    <row r="29" spans="2:32" ht="23.1" customHeight="1" x14ac:dyDescent="0.25">
      <c r="B29" s="23" t="s">
        <v>56</v>
      </c>
      <c r="C29" s="50">
        <v>5</v>
      </c>
      <c r="D29" s="50">
        <v>0</v>
      </c>
      <c r="E29" s="50">
        <v>12</v>
      </c>
      <c r="F29" s="50">
        <v>15</v>
      </c>
      <c r="G29" s="50">
        <v>0</v>
      </c>
      <c r="H29" s="50">
        <v>1</v>
      </c>
      <c r="I29" s="50">
        <v>4</v>
      </c>
      <c r="J29" s="50">
        <v>1</v>
      </c>
      <c r="K29" s="50">
        <v>0</v>
      </c>
      <c r="L29" s="50">
        <v>1</v>
      </c>
      <c r="M29" s="50">
        <v>84</v>
      </c>
      <c r="N29" s="50">
        <v>0</v>
      </c>
      <c r="O29" s="15">
        <f t="shared" si="0"/>
        <v>39</v>
      </c>
      <c r="P29" s="15">
        <f t="shared" si="1"/>
        <v>123</v>
      </c>
      <c r="R29"/>
      <c r="S29" s="20"/>
      <c r="T29" s="19"/>
    </row>
    <row r="30" spans="2:32" ht="23.1" customHeight="1" x14ac:dyDescent="0.25">
      <c r="B30" s="23" t="s">
        <v>57</v>
      </c>
      <c r="C30" s="50">
        <v>13</v>
      </c>
      <c r="D30" s="50">
        <v>0</v>
      </c>
      <c r="E30" s="50">
        <v>11</v>
      </c>
      <c r="F30" s="50">
        <v>17</v>
      </c>
      <c r="G30" s="50">
        <v>0</v>
      </c>
      <c r="H30" s="50">
        <v>0</v>
      </c>
      <c r="I30" s="50">
        <v>7</v>
      </c>
      <c r="J30" s="50">
        <v>0</v>
      </c>
      <c r="K30" s="50">
        <v>0</v>
      </c>
      <c r="L30" s="50">
        <v>2</v>
      </c>
      <c r="M30" s="50">
        <v>68</v>
      </c>
      <c r="N30" s="50">
        <v>0</v>
      </c>
      <c r="O30" s="15">
        <f t="shared" si="0"/>
        <v>50</v>
      </c>
      <c r="P30" s="15">
        <f t="shared" si="1"/>
        <v>118</v>
      </c>
    </row>
    <row r="31" spans="2:32" ht="23.1" customHeight="1" x14ac:dyDescent="0.25">
      <c r="B31" s="24" t="s">
        <v>58</v>
      </c>
      <c r="C31" s="50">
        <v>4</v>
      </c>
      <c r="D31" s="50">
        <v>0</v>
      </c>
      <c r="E31" s="50">
        <v>7</v>
      </c>
      <c r="F31" s="50">
        <v>19</v>
      </c>
      <c r="G31" s="50">
        <v>0</v>
      </c>
      <c r="H31" s="50">
        <v>1</v>
      </c>
      <c r="I31" s="50">
        <v>13</v>
      </c>
      <c r="J31" s="50">
        <v>0</v>
      </c>
      <c r="K31" s="50">
        <v>0</v>
      </c>
      <c r="L31" s="50">
        <v>1</v>
      </c>
      <c r="M31" s="50">
        <v>60</v>
      </c>
      <c r="N31" s="50">
        <v>0</v>
      </c>
      <c r="O31" s="15">
        <f t="shared" si="0"/>
        <v>45</v>
      </c>
      <c r="P31" s="15">
        <f t="shared" si="1"/>
        <v>105</v>
      </c>
    </row>
    <row r="32" spans="2:32" ht="23.1" customHeight="1" x14ac:dyDescent="0.25">
      <c r="B32" s="24" t="s">
        <v>59</v>
      </c>
      <c r="C32" s="50">
        <v>5</v>
      </c>
      <c r="D32" s="50">
        <v>0</v>
      </c>
      <c r="E32" s="50">
        <v>8</v>
      </c>
      <c r="F32" s="50">
        <v>18</v>
      </c>
      <c r="G32" s="50">
        <v>0</v>
      </c>
      <c r="H32" s="50">
        <v>2</v>
      </c>
      <c r="I32" s="50">
        <v>5</v>
      </c>
      <c r="J32" s="50">
        <v>0</v>
      </c>
      <c r="K32" s="50">
        <v>0</v>
      </c>
      <c r="L32" s="50">
        <v>3</v>
      </c>
      <c r="M32" s="50">
        <v>64</v>
      </c>
      <c r="N32" s="50">
        <v>0</v>
      </c>
      <c r="O32" s="15">
        <f t="shared" si="0"/>
        <v>41</v>
      </c>
      <c r="P32" s="15">
        <f t="shared" si="1"/>
        <v>105</v>
      </c>
    </row>
    <row r="33" spans="2:20" ht="23.1" customHeight="1" x14ac:dyDescent="0.25">
      <c r="B33" s="23" t="s">
        <v>60</v>
      </c>
      <c r="C33" s="50">
        <v>7</v>
      </c>
      <c r="D33" s="50">
        <v>0</v>
      </c>
      <c r="E33" s="50">
        <v>17</v>
      </c>
      <c r="F33" s="50">
        <v>13</v>
      </c>
      <c r="G33" s="50">
        <v>0</v>
      </c>
      <c r="H33" s="50">
        <v>0</v>
      </c>
      <c r="I33" s="50">
        <v>14</v>
      </c>
      <c r="J33" s="50">
        <v>1</v>
      </c>
      <c r="K33" s="50">
        <v>0</v>
      </c>
      <c r="L33" s="50">
        <v>2</v>
      </c>
      <c r="M33" s="50">
        <v>75</v>
      </c>
      <c r="N33" s="50">
        <v>0</v>
      </c>
      <c r="O33" s="15">
        <f t="shared" si="0"/>
        <v>54</v>
      </c>
      <c r="P33" s="15">
        <f t="shared" si="1"/>
        <v>129</v>
      </c>
    </row>
    <row r="34" spans="2:20" ht="23.1" customHeight="1" x14ac:dyDescent="0.25">
      <c r="B34" s="24" t="s">
        <v>61</v>
      </c>
      <c r="C34" s="50">
        <v>5</v>
      </c>
      <c r="D34" s="50">
        <v>0</v>
      </c>
      <c r="E34" s="50">
        <v>9</v>
      </c>
      <c r="F34" s="50">
        <v>14</v>
      </c>
      <c r="G34" s="50">
        <v>0</v>
      </c>
      <c r="H34" s="50">
        <v>0</v>
      </c>
      <c r="I34" s="50">
        <v>7</v>
      </c>
      <c r="J34" s="50">
        <v>0</v>
      </c>
      <c r="K34" s="50">
        <v>0</v>
      </c>
      <c r="L34" s="50">
        <v>2</v>
      </c>
      <c r="M34" s="50">
        <v>78</v>
      </c>
      <c r="N34" s="50">
        <v>0</v>
      </c>
      <c r="O34" s="15">
        <f t="shared" si="0"/>
        <v>37</v>
      </c>
      <c r="P34" s="15">
        <f t="shared" si="1"/>
        <v>115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11</v>
      </c>
      <c r="F35" s="50">
        <v>19</v>
      </c>
      <c r="G35" s="50">
        <v>1</v>
      </c>
      <c r="H35" s="50">
        <v>2</v>
      </c>
      <c r="I35" s="50">
        <v>5</v>
      </c>
      <c r="J35" s="50">
        <v>3</v>
      </c>
      <c r="K35" s="50">
        <v>0</v>
      </c>
      <c r="L35" s="50">
        <v>1</v>
      </c>
      <c r="M35" s="50">
        <v>57</v>
      </c>
      <c r="N35" s="50">
        <v>0</v>
      </c>
      <c r="O35" s="15">
        <f t="shared" si="0"/>
        <v>44</v>
      </c>
      <c r="P35" s="15">
        <f t="shared" si="1"/>
        <v>101</v>
      </c>
    </row>
    <row r="36" spans="2:20" ht="23.1" customHeight="1" x14ac:dyDescent="0.25">
      <c r="B36" s="24" t="s">
        <v>63</v>
      </c>
      <c r="C36" s="50">
        <v>12</v>
      </c>
      <c r="D36" s="50">
        <v>0</v>
      </c>
      <c r="E36" s="50">
        <v>8</v>
      </c>
      <c r="F36" s="50">
        <v>14</v>
      </c>
      <c r="G36" s="50">
        <v>1</v>
      </c>
      <c r="H36" s="50">
        <v>1</v>
      </c>
      <c r="I36" s="50">
        <v>5</v>
      </c>
      <c r="J36" s="50">
        <v>0</v>
      </c>
      <c r="K36" s="50">
        <v>0</v>
      </c>
      <c r="L36" s="50">
        <v>2</v>
      </c>
      <c r="M36" s="50">
        <v>66</v>
      </c>
      <c r="N36" s="50">
        <v>0</v>
      </c>
      <c r="O36" s="15">
        <f t="shared" si="0"/>
        <v>43</v>
      </c>
      <c r="P36" s="15">
        <f t="shared" si="1"/>
        <v>109</v>
      </c>
    </row>
    <row r="37" spans="2:20" ht="23.1" customHeight="1" x14ac:dyDescent="0.25">
      <c r="B37" s="23" t="s">
        <v>64</v>
      </c>
      <c r="C37" s="50">
        <v>9</v>
      </c>
      <c r="D37" s="50">
        <v>0</v>
      </c>
      <c r="E37" s="50">
        <v>10</v>
      </c>
      <c r="F37" s="50">
        <v>16</v>
      </c>
      <c r="G37" s="50">
        <v>0</v>
      </c>
      <c r="H37" s="50">
        <v>1</v>
      </c>
      <c r="I37" s="50">
        <v>6</v>
      </c>
      <c r="J37" s="50">
        <v>0</v>
      </c>
      <c r="K37" s="50">
        <v>0</v>
      </c>
      <c r="L37" s="50">
        <v>0</v>
      </c>
      <c r="M37" s="50">
        <v>59</v>
      </c>
      <c r="N37" s="50">
        <v>0</v>
      </c>
      <c r="O37" s="15">
        <f t="shared" si="0"/>
        <v>42</v>
      </c>
      <c r="P37" s="15">
        <f t="shared" si="1"/>
        <v>101</v>
      </c>
    </row>
    <row r="38" spans="2:20" ht="23.1" customHeight="1" x14ac:dyDescent="0.25">
      <c r="B38" s="24" t="s">
        <v>65</v>
      </c>
      <c r="C38" s="50">
        <v>9</v>
      </c>
      <c r="D38" s="50">
        <v>0</v>
      </c>
      <c r="E38" s="50">
        <v>10</v>
      </c>
      <c r="F38" s="50">
        <v>11</v>
      </c>
      <c r="G38" s="50">
        <v>0</v>
      </c>
      <c r="H38" s="50">
        <v>2</v>
      </c>
      <c r="I38" s="50">
        <v>6</v>
      </c>
      <c r="J38" s="50">
        <v>1</v>
      </c>
      <c r="K38" s="50">
        <v>0</v>
      </c>
      <c r="L38" s="50">
        <v>2</v>
      </c>
      <c r="M38" s="50">
        <v>82</v>
      </c>
      <c r="N38" s="50">
        <v>0</v>
      </c>
      <c r="O38" s="15">
        <f t="shared" si="0"/>
        <v>41</v>
      </c>
      <c r="P38" s="15">
        <f t="shared" si="1"/>
        <v>123</v>
      </c>
    </row>
    <row r="39" spans="2:20" ht="23.1" customHeight="1" x14ac:dyDescent="0.25">
      <c r="B39" s="24" t="s">
        <v>66</v>
      </c>
      <c r="C39" s="50">
        <v>9</v>
      </c>
      <c r="D39" s="50">
        <v>0</v>
      </c>
      <c r="E39" s="50">
        <v>5</v>
      </c>
      <c r="F39" s="50">
        <v>11</v>
      </c>
      <c r="G39" s="50">
        <v>0</v>
      </c>
      <c r="H39" s="50">
        <v>3</v>
      </c>
      <c r="I39" s="50">
        <v>4</v>
      </c>
      <c r="J39" s="50">
        <v>0</v>
      </c>
      <c r="K39" s="50">
        <v>0</v>
      </c>
      <c r="L39" s="50">
        <v>0</v>
      </c>
      <c r="M39" s="50">
        <v>52</v>
      </c>
      <c r="N39" s="50">
        <v>0</v>
      </c>
      <c r="O39" s="15">
        <f t="shared" si="0"/>
        <v>32</v>
      </c>
      <c r="P39" s="15">
        <f t="shared" si="1"/>
        <v>84</v>
      </c>
    </row>
    <row r="40" spans="2:20" ht="23.1" customHeight="1" x14ac:dyDescent="0.25">
      <c r="B40" s="24" t="s">
        <v>67</v>
      </c>
      <c r="C40" s="50">
        <v>4</v>
      </c>
      <c r="D40" s="50">
        <v>0</v>
      </c>
      <c r="E40" s="50">
        <v>19</v>
      </c>
      <c r="F40" s="50">
        <v>12</v>
      </c>
      <c r="G40" s="50">
        <v>0</v>
      </c>
      <c r="H40" s="50">
        <v>2</v>
      </c>
      <c r="I40" s="50">
        <v>10</v>
      </c>
      <c r="J40" s="50">
        <v>0</v>
      </c>
      <c r="K40" s="50">
        <v>0</v>
      </c>
      <c r="L40" s="50">
        <v>2</v>
      </c>
      <c r="M40" s="50">
        <v>91</v>
      </c>
      <c r="N40" s="50">
        <v>0</v>
      </c>
      <c r="O40" s="15">
        <f t="shared" si="0"/>
        <v>49</v>
      </c>
      <c r="P40" s="15">
        <f t="shared" si="1"/>
        <v>140</v>
      </c>
    </row>
    <row r="41" spans="2:20" ht="23.1" customHeight="1" x14ac:dyDescent="0.25">
      <c r="B41" s="23" t="s">
        <v>68</v>
      </c>
      <c r="C41" s="50">
        <v>13</v>
      </c>
      <c r="D41" s="50">
        <v>0</v>
      </c>
      <c r="E41" s="50">
        <v>13</v>
      </c>
      <c r="F41" s="50">
        <v>13</v>
      </c>
      <c r="G41" s="50">
        <v>0</v>
      </c>
      <c r="H41" s="50">
        <v>3</v>
      </c>
      <c r="I41" s="50">
        <v>9</v>
      </c>
      <c r="J41" s="50">
        <v>0</v>
      </c>
      <c r="K41" s="50">
        <v>0</v>
      </c>
      <c r="L41" s="50">
        <v>3</v>
      </c>
      <c r="M41" s="50">
        <v>75</v>
      </c>
      <c r="N41" s="50">
        <v>0</v>
      </c>
      <c r="O41" s="15">
        <f t="shared" si="0"/>
        <v>54</v>
      </c>
      <c r="P41" s="15">
        <f t="shared" si="1"/>
        <v>129</v>
      </c>
    </row>
    <row r="42" spans="2:20" ht="23.1" customHeight="1" x14ac:dyDescent="0.25">
      <c r="B42" s="24" t="s">
        <v>69</v>
      </c>
      <c r="C42" s="50">
        <v>10</v>
      </c>
      <c r="D42" s="50">
        <v>0</v>
      </c>
      <c r="E42" s="50">
        <v>14</v>
      </c>
      <c r="F42" s="50">
        <v>20</v>
      </c>
      <c r="G42" s="50">
        <v>0</v>
      </c>
      <c r="H42" s="50">
        <v>1</v>
      </c>
      <c r="I42" s="50">
        <v>3</v>
      </c>
      <c r="J42" s="50">
        <v>0</v>
      </c>
      <c r="K42" s="50">
        <v>0</v>
      </c>
      <c r="L42" s="50">
        <v>0</v>
      </c>
      <c r="M42" s="50">
        <v>33</v>
      </c>
      <c r="N42" s="50">
        <v>0</v>
      </c>
      <c r="O42" s="15">
        <f t="shared" si="0"/>
        <v>48</v>
      </c>
      <c r="P42" s="15">
        <f t="shared" si="1"/>
        <v>81</v>
      </c>
    </row>
    <row r="43" spans="2:20" ht="23.1" customHeight="1" x14ac:dyDescent="0.25">
      <c r="B43" s="23" t="s">
        <v>70</v>
      </c>
      <c r="C43" s="50">
        <v>14</v>
      </c>
      <c r="D43" s="50">
        <v>0</v>
      </c>
      <c r="E43" s="50">
        <v>9</v>
      </c>
      <c r="F43" s="50">
        <v>15</v>
      </c>
      <c r="G43" s="50">
        <v>1</v>
      </c>
      <c r="H43" s="50">
        <v>2</v>
      </c>
      <c r="I43" s="50">
        <v>10</v>
      </c>
      <c r="J43" s="50">
        <v>0</v>
      </c>
      <c r="K43" s="50">
        <v>1</v>
      </c>
      <c r="L43" s="50">
        <v>0</v>
      </c>
      <c r="M43" s="50">
        <v>25</v>
      </c>
      <c r="N43" s="50">
        <v>0</v>
      </c>
      <c r="O43" s="15">
        <f t="shared" si="0"/>
        <v>52</v>
      </c>
      <c r="P43" s="15">
        <f t="shared" si="1"/>
        <v>77</v>
      </c>
    </row>
    <row r="44" spans="2:20" ht="23.1" customHeight="1" x14ac:dyDescent="0.25">
      <c r="B44" s="25" t="s">
        <v>71</v>
      </c>
      <c r="C44" s="50">
        <v>8</v>
      </c>
      <c r="D44" s="50">
        <v>0</v>
      </c>
      <c r="E44" s="50">
        <v>10</v>
      </c>
      <c r="F44" s="50">
        <v>11</v>
      </c>
      <c r="G44" s="50">
        <v>0</v>
      </c>
      <c r="H44" s="50">
        <v>2</v>
      </c>
      <c r="I44" s="50">
        <v>4</v>
      </c>
      <c r="J44" s="50">
        <v>0</v>
      </c>
      <c r="K44" s="50">
        <v>0</v>
      </c>
      <c r="L44" s="50">
        <v>4</v>
      </c>
      <c r="M44" s="50">
        <v>13</v>
      </c>
      <c r="N44" s="50">
        <v>0</v>
      </c>
      <c r="O44" s="15">
        <f t="shared" si="0"/>
        <v>39</v>
      </c>
      <c r="P44" s="15">
        <f t="shared" si="1"/>
        <v>52</v>
      </c>
    </row>
    <row r="45" spans="2:20" ht="23.1" customHeight="1" x14ac:dyDescent="0.25">
      <c r="B45" s="23" t="s">
        <v>72</v>
      </c>
      <c r="C45" s="50">
        <v>7</v>
      </c>
      <c r="D45" s="50">
        <v>0</v>
      </c>
      <c r="E45" s="50">
        <v>17</v>
      </c>
      <c r="F45" s="50">
        <v>8</v>
      </c>
      <c r="G45" s="50">
        <v>0</v>
      </c>
      <c r="H45" s="50">
        <v>0</v>
      </c>
      <c r="I45" s="50">
        <v>14</v>
      </c>
      <c r="J45" s="50">
        <v>0</v>
      </c>
      <c r="K45" s="50">
        <v>0</v>
      </c>
      <c r="L45" s="50">
        <v>0</v>
      </c>
      <c r="M45" s="50">
        <v>82</v>
      </c>
      <c r="N45" s="50">
        <v>0</v>
      </c>
      <c r="O45" s="15">
        <f t="shared" si="0"/>
        <v>46</v>
      </c>
      <c r="P45" s="15">
        <f t="shared" si="1"/>
        <v>128</v>
      </c>
    </row>
    <row r="46" spans="2:20" ht="23.1" customHeight="1" x14ac:dyDescent="0.25">
      <c r="B46" s="24" t="s">
        <v>73</v>
      </c>
      <c r="C46" s="50">
        <v>10</v>
      </c>
      <c r="D46" s="50">
        <v>0</v>
      </c>
      <c r="E46" s="50">
        <v>15</v>
      </c>
      <c r="F46" s="50">
        <v>13</v>
      </c>
      <c r="G46" s="50">
        <v>0</v>
      </c>
      <c r="H46" s="50">
        <v>2</v>
      </c>
      <c r="I46" s="50">
        <v>10</v>
      </c>
      <c r="J46" s="50">
        <v>0</v>
      </c>
      <c r="K46" s="50">
        <v>0</v>
      </c>
      <c r="L46" s="50">
        <v>0</v>
      </c>
      <c r="M46" s="50">
        <v>70</v>
      </c>
      <c r="N46" s="50">
        <v>0</v>
      </c>
      <c r="O46" s="15">
        <f t="shared" si="0"/>
        <v>50</v>
      </c>
      <c r="P46" s="15">
        <f t="shared" si="1"/>
        <v>120</v>
      </c>
      <c r="R46" s="8"/>
      <c r="T46"/>
    </row>
    <row r="47" spans="2:20" ht="23.1" customHeight="1" x14ac:dyDescent="0.25">
      <c r="B47" s="24" t="s">
        <v>74</v>
      </c>
      <c r="C47" s="50">
        <v>13</v>
      </c>
      <c r="D47" s="50">
        <v>0</v>
      </c>
      <c r="E47" s="50">
        <v>19</v>
      </c>
      <c r="F47" s="50">
        <v>20</v>
      </c>
      <c r="G47" s="50">
        <v>0</v>
      </c>
      <c r="H47" s="50">
        <v>3</v>
      </c>
      <c r="I47" s="50">
        <v>10</v>
      </c>
      <c r="J47" s="50">
        <v>0</v>
      </c>
      <c r="K47" s="50">
        <v>0</v>
      </c>
      <c r="L47" s="50">
        <v>1</v>
      </c>
      <c r="M47" s="50">
        <v>56</v>
      </c>
      <c r="N47" s="50">
        <v>0</v>
      </c>
      <c r="O47" s="15">
        <f t="shared" si="0"/>
        <v>66</v>
      </c>
      <c r="P47" s="15">
        <f t="shared" si="1"/>
        <v>122</v>
      </c>
      <c r="R47" s="8"/>
      <c r="T47"/>
    </row>
    <row r="48" spans="2:20" ht="23.1" customHeight="1" x14ac:dyDescent="0.25">
      <c r="B48" s="24" t="s">
        <v>75</v>
      </c>
      <c r="C48" s="50">
        <v>22</v>
      </c>
      <c r="D48" s="50">
        <v>0</v>
      </c>
      <c r="E48" s="50">
        <v>22</v>
      </c>
      <c r="F48" s="50">
        <v>21</v>
      </c>
      <c r="G48" s="50">
        <v>0</v>
      </c>
      <c r="H48" s="50">
        <v>0</v>
      </c>
      <c r="I48" s="50">
        <v>5</v>
      </c>
      <c r="J48" s="50">
        <v>0</v>
      </c>
      <c r="K48" s="50">
        <v>0</v>
      </c>
      <c r="L48" s="50">
        <v>1</v>
      </c>
      <c r="M48" s="50">
        <v>84</v>
      </c>
      <c r="N48" s="50">
        <v>0</v>
      </c>
      <c r="O48" s="15">
        <f t="shared" si="0"/>
        <v>71</v>
      </c>
      <c r="P48" s="15">
        <f t="shared" si="1"/>
        <v>155</v>
      </c>
      <c r="R48" s="8"/>
      <c r="T48"/>
    </row>
    <row r="49" spans="2:20" ht="23.1" customHeight="1" x14ac:dyDescent="0.25">
      <c r="B49" s="23" t="s">
        <v>76</v>
      </c>
      <c r="C49" s="50">
        <v>8</v>
      </c>
      <c r="D49" s="50">
        <v>0</v>
      </c>
      <c r="E49" s="50">
        <v>15</v>
      </c>
      <c r="F49" s="50">
        <v>17</v>
      </c>
      <c r="G49" s="50">
        <v>0</v>
      </c>
      <c r="H49" s="50">
        <v>1</v>
      </c>
      <c r="I49" s="50">
        <v>6</v>
      </c>
      <c r="J49" s="50">
        <v>1</v>
      </c>
      <c r="K49" s="50">
        <v>1</v>
      </c>
      <c r="L49" s="50">
        <v>1</v>
      </c>
      <c r="M49" s="50">
        <v>64</v>
      </c>
      <c r="N49" s="50">
        <v>0</v>
      </c>
      <c r="O49" s="15">
        <f t="shared" si="0"/>
        <v>50</v>
      </c>
      <c r="P49" s="15">
        <f t="shared" si="1"/>
        <v>114</v>
      </c>
      <c r="R49" s="8"/>
      <c r="T49"/>
    </row>
    <row r="50" spans="2:20" ht="23.1" customHeight="1" x14ac:dyDescent="0.25">
      <c r="B50" s="24" t="s">
        <v>77</v>
      </c>
      <c r="C50" s="50">
        <v>13</v>
      </c>
      <c r="D50" s="50">
        <v>0</v>
      </c>
      <c r="E50" s="50">
        <v>12</v>
      </c>
      <c r="F50" s="50">
        <v>15</v>
      </c>
      <c r="G50" s="50">
        <v>0</v>
      </c>
      <c r="H50" s="50">
        <v>1</v>
      </c>
      <c r="I50" s="50">
        <v>6</v>
      </c>
      <c r="J50" s="50">
        <v>0</v>
      </c>
      <c r="K50" s="50">
        <v>0</v>
      </c>
      <c r="L50" s="50">
        <v>2</v>
      </c>
      <c r="M50" s="50">
        <v>46</v>
      </c>
      <c r="N50" s="50">
        <v>0</v>
      </c>
      <c r="O50" s="15">
        <f t="shared" si="0"/>
        <v>49</v>
      </c>
      <c r="P50" s="15">
        <f t="shared" si="1"/>
        <v>95</v>
      </c>
      <c r="R50" s="8"/>
      <c r="T50"/>
    </row>
    <row r="51" spans="2:20" ht="23.1" customHeight="1" x14ac:dyDescent="0.25">
      <c r="B51" s="24" t="s">
        <v>78</v>
      </c>
      <c r="C51" s="50">
        <v>6</v>
      </c>
      <c r="D51" s="50">
        <v>0</v>
      </c>
      <c r="E51" s="50">
        <v>16</v>
      </c>
      <c r="F51" s="50">
        <v>16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1</v>
      </c>
      <c r="M51" s="50">
        <v>81</v>
      </c>
      <c r="N51" s="50">
        <v>0</v>
      </c>
      <c r="O51" s="15">
        <f t="shared" si="0"/>
        <v>40</v>
      </c>
      <c r="P51" s="15">
        <f t="shared" si="1"/>
        <v>121</v>
      </c>
      <c r="R51" s="8"/>
      <c r="T51"/>
    </row>
    <row r="52" spans="2:20" ht="23.1" customHeight="1" x14ac:dyDescent="0.25">
      <c r="B52" s="24" t="s">
        <v>79</v>
      </c>
      <c r="C52" s="50">
        <v>11</v>
      </c>
      <c r="D52" s="50">
        <v>0</v>
      </c>
      <c r="E52" s="50">
        <v>21</v>
      </c>
      <c r="F52" s="50">
        <v>19</v>
      </c>
      <c r="G52" s="50">
        <v>1</v>
      </c>
      <c r="H52" s="50">
        <v>2</v>
      </c>
      <c r="I52" s="50">
        <v>7</v>
      </c>
      <c r="J52" s="50">
        <v>0</v>
      </c>
      <c r="K52" s="50">
        <v>0</v>
      </c>
      <c r="L52" s="50">
        <v>0</v>
      </c>
      <c r="M52" s="50">
        <v>79</v>
      </c>
      <c r="N52" s="50">
        <v>0</v>
      </c>
      <c r="O52" s="15">
        <f t="shared" si="0"/>
        <v>61</v>
      </c>
      <c r="P52" s="15">
        <f t="shared" si="1"/>
        <v>140</v>
      </c>
      <c r="R52" s="8"/>
      <c r="T52"/>
    </row>
    <row r="53" spans="2:20" ht="23.1" customHeight="1" x14ac:dyDescent="0.25">
      <c r="B53" s="23" t="s">
        <v>80</v>
      </c>
      <c r="C53" s="50">
        <v>17</v>
      </c>
      <c r="D53" s="50">
        <v>0</v>
      </c>
      <c r="E53" s="50">
        <v>16</v>
      </c>
      <c r="F53" s="50">
        <v>24</v>
      </c>
      <c r="G53" s="50">
        <v>0</v>
      </c>
      <c r="H53" s="50">
        <v>1</v>
      </c>
      <c r="I53" s="50">
        <v>8</v>
      </c>
      <c r="J53" s="50">
        <v>1</v>
      </c>
      <c r="K53" s="50">
        <v>0</v>
      </c>
      <c r="L53" s="50">
        <v>4</v>
      </c>
      <c r="M53" s="50">
        <v>74</v>
      </c>
      <c r="N53" s="50">
        <v>0</v>
      </c>
      <c r="O53" s="15">
        <f t="shared" si="0"/>
        <v>71</v>
      </c>
      <c r="P53" s="15">
        <f t="shared" si="1"/>
        <v>145</v>
      </c>
      <c r="R53" s="8"/>
      <c r="T53"/>
    </row>
    <row r="54" spans="2:20" ht="23.1" customHeight="1" x14ac:dyDescent="0.25">
      <c r="B54" s="23" t="s">
        <v>81</v>
      </c>
      <c r="C54" s="50">
        <v>9</v>
      </c>
      <c r="D54" s="50">
        <v>0</v>
      </c>
      <c r="E54" s="50">
        <v>20</v>
      </c>
      <c r="F54" s="50">
        <v>11</v>
      </c>
      <c r="G54" s="50">
        <v>1</v>
      </c>
      <c r="H54" s="50">
        <v>3</v>
      </c>
      <c r="I54" s="50">
        <v>11</v>
      </c>
      <c r="J54" s="50">
        <v>0</v>
      </c>
      <c r="K54" s="50">
        <v>1</v>
      </c>
      <c r="L54" s="50">
        <v>2</v>
      </c>
      <c r="M54" s="50">
        <v>66</v>
      </c>
      <c r="N54" s="50">
        <v>0</v>
      </c>
      <c r="O54" s="15">
        <f t="shared" si="0"/>
        <v>58</v>
      </c>
      <c r="P54" s="15">
        <f t="shared" si="1"/>
        <v>124</v>
      </c>
      <c r="R54" s="8"/>
      <c r="T54"/>
    </row>
    <row r="55" spans="2:20" ht="23.1" customHeight="1" x14ac:dyDescent="0.25">
      <c r="B55" s="23" t="s">
        <v>82</v>
      </c>
      <c r="C55" s="50">
        <v>11</v>
      </c>
      <c r="D55" s="50">
        <v>0</v>
      </c>
      <c r="E55" s="50">
        <v>17</v>
      </c>
      <c r="F55" s="50">
        <v>21</v>
      </c>
      <c r="G55" s="50">
        <v>0</v>
      </c>
      <c r="H55" s="50">
        <v>0</v>
      </c>
      <c r="I55" s="50">
        <v>5</v>
      </c>
      <c r="J55" s="50">
        <v>0</v>
      </c>
      <c r="K55" s="50">
        <v>0</v>
      </c>
      <c r="L55" s="50">
        <v>0</v>
      </c>
      <c r="M55" s="50">
        <v>70</v>
      </c>
      <c r="N55" s="50">
        <v>0</v>
      </c>
      <c r="O55" s="15">
        <f t="shared" si="0"/>
        <v>54</v>
      </c>
      <c r="P55" s="15">
        <f t="shared" si="1"/>
        <v>124</v>
      </c>
      <c r="R55" s="8"/>
      <c r="T55"/>
    </row>
    <row r="56" spans="2:20" ht="23.1" customHeight="1" x14ac:dyDescent="0.25">
      <c r="B56" s="23" t="s">
        <v>83</v>
      </c>
      <c r="C56" s="50">
        <v>12</v>
      </c>
      <c r="D56" s="50">
        <v>0</v>
      </c>
      <c r="E56" s="50">
        <v>14</v>
      </c>
      <c r="F56" s="50">
        <v>18</v>
      </c>
      <c r="G56" s="50">
        <v>0</v>
      </c>
      <c r="H56" s="50">
        <v>0</v>
      </c>
      <c r="I56" s="50">
        <v>11</v>
      </c>
      <c r="J56" s="50">
        <v>1</v>
      </c>
      <c r="K56" s="50">
        <v>0</v>
      </c>
      <c r="L56" s="50">
        <v>7</v>
      </c>
      <c r="M56" s="50">
        <v>67</v>
      </c>
      <c r="N56" s="50">
        <v>0</v>
      </c>
      <c r="O56" s="15">
        <f t="shared" si="0"/>
        <v>63</v>
      </c>
      <c r="P56" s="15">
        <f t="shared" si="1"/>
        <v>130</v>
      </c>
      <c r="R56" s="8"/>
      <c r="T56"/>
    </row>
    <row r="57" spans="2:20" ht="23.1" customHeight="1" x14ac:dyDescent="0.25">
      <c r="B57" s="23" t="s">
        <v>84</v>
      </c>
      <c r="C57" s="50">
        <v>6</v>
      </c>
      <c r="D57" s="50">
        <v>0</v>
      </c>
      <c r="E57" s="50">
        <v>15</v>
      </c>
      <c r="F57" s="50">
        <v>14</v>
      </c>
      <c r="G57" s="50">
        <v>0</v>
      </c>
      <c r="H57" s="50">
        <v>5</v>
      </c>
      <c r="I57" s="50">
        <v>12</v>
      </c>
      <c r="J57" s="50">
        <v>1</v>
      </c>
      <c r="K57" s="50">
        <v>0</v>
      </c>
      <c r="L57" s="50">
        <v>0</v>
      </c>
      <c r="M57" s="50">
        <v>78</v>
      </c>
      <c r="N57" s="50">
        <v>0</v>
      </c>
      <c r="O57" s="15">
        <f t="shared" si="0"/>
        <v>53</v>
      </c>
      <c r="P57" s="15">
        <f t="shared" si="1"/>
        <v>131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378</v>
      </c>
      <c r="D58" s="16">
        <f t="shared" si="21"/>
        <v>0</v>
      </c>
      <c r="E58" s="16">
        <f t="shared" si="21"/>
        <v>536</v>
      </c>
      <c r="F58" s="16">
        <f t="shared" si="21"/>
        <v>739</v>
      </c>
      <c r="G58" s="16">
        <f t="shared" si="21"/>
        <v>7</v>
      </c>
      <c r="H58" s="16">
        <f t="shared" si="21"/>
        <v>46</v>
      </c>
      <c r="I58" s="16">
        <f t="shared" si="21"/>
        <v>290</v>
      </c>
      <c r="J58" s="16">
        <f t="shared" si="21"/>
        <v>15</v>
      </c>
      <c r="K58" s="16">
        <f t="shared" si="21"/>
        <v>8</v>
      </c>
      <c r="L58" s="16">
        <f t="shared" si="21"/>
        <v>60</v>
      </c>
      <c r="M58" s="16">
        <f t="shared" si="21"/>
        <v>3038</v>
      </c>
      <c r="N58" s="16">
        <f t="shared" si="21"/>
        <v>0</v>
      </c>
      <c r="O58" s="16">
        <f t="shared" si="21"/>
        <v>2079</v>
      </c>
      <c r="P58" s="16">
        <f t="shared" si="21"/>
        <v>5117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7.3871409028727769E-2</v>
      </c>
      <c r="D59" s="43">
        <f t="shared" si="22"/>
        <v>0</v>
      </c>
      <c r="E59" s="43">
        <f t="shared" si="22"/>
        <v>0.10474887629470393</v>
      </c>
      <c r="F59" s="43">
        <f t="shared" si="22"/>
        <v>0.14442055892124292</v>
      </c>
      <c r="G59" s="43">
        <f t="shared" si="22"/>
        <v>1.3679890560875513E-3</v>
      </c>
      <c r="H59" s="43">
        <f t="shared" si="22"/>
        <v>8.9896423685753377E-3</v>
      </c>
      <c r="I59" s="43">
        <f t="shared" si="22"/>
        <v>5.6673832323627125E-2</v>
      </c>
      <c r="J59" s="43">
        <f t="shared" si="22"/>
        <v>2.9314051201876101E-3</v>
      </c>
      <c r="K59" s="43">
        <f t="shared" si="22"/>
        <v>1.5634160641000586E-3</v>
      </c>
      <c r="L59" s="43">
        <f t="shared" si="22"/>
        <v>1.172562048075044E-2</v>
      </c>
      <c r="M59" s="43">
        <f t="shared" si="22"/>
        <v>0.59370725034199723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0.18181818181818182</v>
      </c>
      <c r="D60" s="44">
        <f t="shared" ref="D60:N60" si="23">D58/$O$58</f>
        <v>0</v>
      </c>
      <c r="E60" s="44">
        <f t="shared" si="23"/>
        <v>0.25781625781625783</v>
      </c>
      <c r="F60" s="44">
        <f t="shared" si="23"/>
        <v>0.35545935545935547</v>
      </c>
      <c r="G60" s="44">
        <f t="shared" si="23"/>
        <v>3.3670033670033669E-3</v>
      </c>
      <c r="H60" s="44">
        <f t="shared" si="23"/>
        <v>2.2126022126022125E-2</v>
      </c>
      <c r="I60" s="44">
        <f t="shared" si="23"/>
        <v>0.1394901394901395</v>
      </c>
      <c r="J60" s="44">
        <f t="shared" si="23"/>
        <v>7.215007215007215E-3</v>
      </c>
      <c r="K60" s="44">
        <f t="shared" si="23"/>
        <v>3.8480038480038481E-3</v>
      </c>
      <c r="L60" s="44">
        <f t="shared" si="23"/>
        <v>2.886002886002886E-2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M88" zoomScale="60" workbookViewId="0">
      <selection activeCell="Y76" sqref="Y7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'26.8 Luweero-Kampala'!C3:G3</f>
        <v>MCC - C3 - STN87 - Kampala-Gulu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162</v>
      </c>
      <c r="E5" s="69"/>
      <c r="F5" s="41" t="s">
        <v>1</v>
      </c>
      <c r="G5" s="66">
        <f>'26.8 Kampala-Luweero'!G5:H5</f>
        <v>0</v>
      </c>
      <c r="H5" s="67"/>
      <c r="I5" s="14"/>
      <c r="J5" s="2" t="s">
        <v>5</v>
      </c>
      <c r="K5" s="66" t="str">
        <f>'26.8 Kampala-Luweero'!K5:L5</f>
        <v>Godfrey, Ibrahim N, Oliver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'26.8 Kampala-Luweero'!D6:E6</f>
        <v>Kampala</v>
      </c>
      <c r="E6" s="67"/>
      <c r="F6" s="2" t="s">
        <v>2</v>
      </c>
      <c r="G6" s="66" t="str">
        <f>'26.8 Kampala-Luweero'!G6:H6</f>
        <v>Luwero</v>
      </c>
      <c r="H6" s="67"/>
      <c r="J6" s="2" t="s">
        <v>21</v>
      </c>
      <c r="K6" s="66" t="str">
        <f>'26.8 Kampala-Luweero'!K6:L6</f>
        <v>Martin, Tracy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AVERAGE('20.8 Kampala-Luweero'!C10,'21.8 Kampala-Luweero'!C10,'22.8 Kampala-Luweero'!C10,'23.8 Kampala-Luweero'!C10,'24.8 Kampala-Luweero'!C10,'25.8 Kampala-Luweero 24Hrs'!C10,'26.8 Kampala-Luweero'!C10)</f>
        <v>6.5714285714285712</v>
      </c>
      <c r="D10" s="49">
        <f>AVERAGE('20.8 Kampala-Luweero'!D10,'21.8 Kampala-Luweero'!D10,'22.8 Kampala-Luweero'!D10,'23.8 Kampala-Luweero'!D10,'24.8 Kampala-Luweero'!D10,'25.8 Kampala-Luweero 24Hrs'!D10,'26.8 Kampala-Luweero'!D10)</f>
        <v>0.42857142857142855</v>
      </c>
      <c r="E10" s="49">
        <f>AVERAGE('20.8 Kampala-Luweero'!E10,'21.8 Kampala-Luweero'!E10,'22.8 Kampala-Luweero'!E10,'23.8 Kampala-Luweero'!E10,'24.8 Kampala-Luweero'!E10,'25.8 Kampala-Luweero 24Hrs'!E10,'26.8 Kampala-Luweero'!E10)</f>
        <v>6.7142857142857144</v>
      </c>
      <c r="F10" s="49">
        <f>AVERAGE('20.8 Kampala-Luweero'!F10,'21.8 Kampala-Luweero'!F10,'22.8 Kampala-Luweero'!F10,'23.8 Kampala-Luweero'!F10,'24.8 Kampala-Luweero'!F10,'25.8 Kampala-Luweero 24Hrs'!F10,'26.8 Kampala-Luweero'!F10)</f>
        <v>6</v>
      </c>
      <c r="G10" s="49">
        <f>AVERAGE('20.8 Kampala-Luweero'!G10,'21.8 Kampala-Luweero'!G10,'22.8 Kampala-Luweero'!G10,'23.8 Kampala-Luweero'!G10,'24.8 Kampala-Luweero'!G10,'25.8 Kampala-Luweero 24Hrs'!G10,'26.8 Kampala-Luweero'!G10)</f>
        <v>0</v>
      </c>
      <c r="H10" s="49">
        <f>AVERAGE('20.8 Kampala-Luweero'!H10,'21.8 Kampala-Luweero'!H10,'22.8 Kampala-Luweero'!H10,'23.8 Kampala-Luweero'!H10,'24.8 Kampala-Luweero'!H10,'25.8 Kampala-Luweero 24Hrs'!H10,'26.8 Kampala-Luweero'!H10)</f>
        <v>0.14285714285714285</v>
      </c>
      <c r="I10" s="49">
        <f>AVERAGE('20.8 Kampala-Luweero'!I10,'21.8 Kampala-Luweero'!I10,'22.8 Kampala-Luweero'!I10,'23.8 Kampala-Luweero'!I10,'24.8 Kampala-Luweero'!I10,'25.8 Kampala-Luweero 24Hrs'!I10,'26.8 Kampala-Luweero'!I10)</f>
        <v>7.8571428571428568</v>
      </c>
      <c r="J10" s="49">
        <f>AVERAGE('20.8 Kampala-Luweero'!J10,'21.8 Kampala-Luweero'!J10,'22.8 Kampala-Luweero'!J10,'23.8 Kampala-Luweero'!J10,'24.8 Kampala-Luweero'!J10,'25.8 Kampala-Luweero 24Hrs'!J10,'26.8 Kampala-Luweero'!J10)</f>
        <v>2.1428571428571428</v>
      </c>
      <c r="K10" s="49">
        <f>AVERAGE('20.8 Kampala-Luweero'!K10,'21.8 Kampala-Luweero'!K10,'22.8 Kampala-Luweero'!K10,'23.8 Kampala-Luweero'!K10,'24.8 Kampala-Luweero'!K10,'25.8 Kampala-Luweero 24Hrs'!K10,'26.8 Kampala-Luweero'!K10)</f>
        <v>0</v>
      </c>
      <c r="L10" s="49">
        <f>AVERAGE('20.8 Kampala-Luweero'!L10,'21.8 Kampala-Luweero'!L10,'22.8 Kampala-Luweero'!L10,'23.8 Kampala-Luweero'!L10,'24.8 Kampala-Luweero'!L10,'25.8 Kampala-Luweero 24Hrs'!L10,'26.8 Kampala-Luweero'!L10)</f>
        <v>1.4285714285714286</v>
      </c>
      <c r="M10" s="49">
        <f>AVERAGE('20.8 Kampala-Luweero'!M10,'21.8 Kampala-Luweero'!M10,'22.8 Kampala-Luweero'!M10,'23.8 Kampala-Luweero'!M10,'24.8 Kampala-Luweero'!M10,'25.8 Kampala-Luweero 24Hrs'!M10,'26.8 Kampala-Luweero'!M10)</f>
        <v>36.142857142857146</v>
      </c>
      <c r="N10" s="49">
        <f>AVERAGE('20.8 Kampala-Luweero'!N10,'21.8 Kampala-Luweero'!N10,'22.8 Kampala-Luweero'!N10,'23.8 Kampala-Luweero'!N10,'24.8 Kampala-Luweero'!N10,'25.8 Kampala-Luweero 24Hrs'!N10,'26.8 Kampala-Luweero'!N10)</f>
        <v>0</v>
      </c>
      <c r="O10" s="15">
        <f t="shared" ref="O10:O73" si="0">SUM(C10:L10,N10)</f>
        <v>31.285714285714285</v>
      </c>
      <c r="P10" s="15">
        <f t="shared" ref="P10:P73" si="1">SUM(C10:N10)</f>
        <v>67.428571428571431</v>
      </c>
      <c r="R10" s="1" t="s">
        <v>6</v>
      </c>
      <c r="S10" s="17">
        <f t="shared" ref="S10:AF10" si="2">SUM(C10:C13)</f>
        <v>29</v>
      </c>
      <c r="T10" s="17">
        <f t="shared" si="2"/>
        <v>1.8571428571428572</v>
      </c>
      <c r="U10" s="17">
        <f t="shared" si="2"/>
        <v>41.428571428571423</v>
      </c>
      <c r="V10" s="17">
        <f t="shared" si="2"/>
        <v>31.285714285714285</v>
      </c>
      <c r="W10" s="17">
        <f t="shared" si="2"/>
        <v>0.71428571428571419</v>
      </c>
      <c r="X10" s="17">
        <f t="shared" si="2"/>
        <v>2.5714285714285712</v>
      </c>
      <c r="Y10" s="17">
        <f t="shared" si="2"/>
        <v>22.571428571428569</v>
      </c>
      <c r="Z10" s="17">
        <f t="shared" si="2"/>
        <v>6.5714285714285712</v>
      </c>
      <c r="AA10" s="17">
        <f t="shared" si="2"/>
        <v>0.42857142857142855</v>
      </c>
      <c r="AB10" s="17">
        <f t="shared" si="2"/>
        <v>4.7142857142857144</v>
      </c>
      <c r="AC10" s="17">
        <f t="shared" si="2"/>
        <v>214</v>
      </c>
      <c r="AD10" s="17">
        <f t="shared" si="2"/>
        <v>0</v>
      </c>
      <c r="AE10" s="31">
        <f t="shared" si="2"/>
        <v>141.14285714285714</v>
      </c>
      <c r="AF10" s="31">
        <f t="shared" si="2"/>
        <v>355.14285714285711</v>
      </c>
    </row>
    <row r="11" spans="2:32" s="6" customFormat="1" ht="23.1" customHeight="1" x14ac:dyDescent="0.25">
      <c r="B11" s="23" t="s">
        <v>38</v>
      </c>
      <c r="C11" s="49">
        <f>AVERAGE('20.8 Kampala-Luweero'!C11,'21.8 Kampala-Luweero'!C11,'22.8 Kampala-Luweero'!C11,'23.8 Kampala-Luweero'!C11,'24.8 Kampala-Luweero'!C11,'25.8 Kampala-Luweero 24Hrs'!C11,'26.8 Kampala-Luweero'!C11)</f>
        <v>5</v>
      </c>
      <c r="D11" s="49">
        <f>AVERAGE('20.8 Kampala-Luweero'!D11,'21.8 Kampala-Luweero'!D11,'22.8 Kampala-Luweero'!D11,'23.8 Kampala-Luweero'!D11,'24.8 Kampala-Luweero'!D11,'25.8 Kampala-Luweero 24Hrs'!D11,'26.8 Kampala-Luweero'!D11)</f>
        <v>0</v>
      </c>
      <c r="E11" s="49">
        <f>AVERAGE('20.8 Kampala-Luweero'!E11,'21.8 Kampala-Luweero'!E11,'22.8 Kampala-Luweero'!E11,'23.8 Kampala-Luweero'!E11,'24.8 Kampala-Luweero'!E11,'25.8 Kampala-Luweero 24Hrs'!E11,'26.8 Kampala-Luweero'!E11)</f>
        <v>11.714285714285714</v>
      </c>
      <c r="F11" s="49">
        <f>AVERAGE('20.8 Kampala-Luweero'!F11,'21.8 Kampala-Luweero'!F11,'22.8 Kampala-Luweero'!F11,'23.8 Kampala-Luweero'!F11,'24.8 Kampala-Luweero'!F11,'25.8 Kampala-Luweero 24Hrs'!F11,'26.8 Kampala-Luweero'!F11)</f>
        <v>5.5714285714285712</v>
      </c>
      <c r="G11" s="49">
        <f>AVERAGE('20.8 Kampala-Luweero'!G11,'21.8 Kampala-Luweero'!G11,'22.8 Kampala-Luweero'!G11,'23.8 Kampala-Luweero'!G11,'24.8 Kampala-Luweero'!G11,'25.8 Kampala-Luweero 24Hrs'!G11,'26.8 Kampala-Luweero'!G11)</f>
        <v>0.14285714285714285</v>
      </c>
      <c r="H11" s="49">
        <f>AVERAGE('20.8 Kampala-Luweero'!H11,'21.8 Kampala-Luweero'!H11,'22.8 Kampala-Luweero'!H11,'23.8 Kampala-Luweero'!H11,'24.8 Kampala-Luweero'!H11,'25.8 Kampala-Luweero 24Hrs'!H11,'26.8 Kampala-Luweero'!H11)</f>
        <v>1</v>
      </c>
      <c r="I11" s="49">
        <f>AVERAGE('20.8 Kampala-Luweero'!I11,'21.8 Kampala-Luweero'!I11,'22.8 Kampala-Luweero'!I11,'23.8 Kampala-Luweero'!I11,'24.8 Kampala-Luweero'!I11,'25.8 Kampala-Luweero 24Hrs'!I11,'26.8 Kampala-Luweero'!I11)</f>
        <v>6</v>
      </c>
      <c r="J11" s="49">
        <f>AVERAGE('20.8 Kampala-Luweero'!J11,'21.8 Kampala-Luweero'!J11,'22.8 Kampala-Luweero'!J11,'23.8 Kampala-Luweero'!J11,'24.8 Kampala-Luweero'!J11,'25.8 Kampala-Luweero 24Hrs'!J11,'26.8 Kampala-Luweero'!J11)</f>
        <v>1.8571428571428572</v>
      </c>
      <c r="K11" s="49">
        <f>AVERAGE('20.8 Kampala-Luweero'!K11,'21.8 Kampala-Luweero'!K11,'22.8 Kampala-Luweero'!K11,'23.8 Kampala-Luweero'!K11,'24.8 Kampala-Luweero'!K11,'25.8 Kampala-Luweero 24Hrs'!K11,'26.8 Kampala-Luweero'!K11)</f>
        <v>0.14285714285714285</v>
      </c>
      <c r="L11" s="49">
        <f>AVERAGE('20.8 Kampala-Luweero'!L11,'21.8 Kampala-Luweero'!L11,'22.8 Kampala-Luweero'!L11,'23.8 Kampala-Luweero'!L11,'24.8 Kampala-Luweero'!L11,'25.8 Kampala-Luweero 24Hrs'!L11,'26.8 Kampala-Luweero'!L11)</f>
        <v>0.7142857142857143</v>
      </c>
      <c r="M11" s="49">
        <f>AVERAGE('20.8 Kampala-Luweero'!M11,'21.8 Kampala-Luweero'!M11,'22.8 Kampala-Luweero'!M11,'23.8 Kampala-Luweero'!M11,'24.8 Kampala-Luweero'!M11,'25.8 Kampala-Luweero 24Hrs'!M11,'26.8 Kampala-Luweero'!M11)</f>
        <v>50.571428571428569</v>
      </c>
      <c r="N11" s="49">
        <f>AVERAGE('20.8 Kampala-Luweero'!N11,'21.8 Kampala-Luweero'!N11,'22.8 Kampala-Luweero'!N11,'23.8 Kampala-Luweero'!N11,'24.8 Kampala-Luweero'!N11,'25.8 Kampala-Luweero 24Hrs'!N11,'26.8 Kampala-Luweero'!N11)</f>
        <v>0</v>
      </c>
      <c r="O11" s="15">
        <f t="shared" si="0"/>
        <v>32.142857142857139</v>
      </c>
      <c r="P11" s="15">
        <f t="shared" si="1"/>
        <v>82.714285714285708</v>
      </c>
      <c r="R11" s="1" t="s">
        <v>7</v>
      </c>
      <c r="S11" s="17">
        <f t="shared" ref="S11:AF11" si="3">SUM(C14:C17)</f>
        <v>34.857142857142861</v>
      </c>
      <c r="T11" s="17">
        <f t="shared" si="3"/>
        <v>1.7142857142857144</v>
      </c>
      <c r="U11" s="17">
        <f t="shared" si="3"/>
        <v>56.571428571428569</v>
      </c>
      <c r="V11" s="17">
        <f t="shared" si="3"/>
        <v>46.285714285714285</v>
      </c>
      <c r="W11" s="17">
        <f t="shared" si="3"/>
        <v>0.42857142857142855</v>
      </c>
      <c r="X11" s="17">
        <f t="shared" si="3"/>
        <v>2.8571428571428572</v>
      </c>
      <c r="Y11" s="17">
        <f t="shared" si="3"/>
        <v>25.428571428571431</v>
      </c>
      <c r="Z11" s="17">
        <f t="shared" si="3"/>
        <v>5.4285714285714288</v>
      </c>
      <c r="AA11" s="17">
        <f t="shared" si="3"/>
        <v>1.1428571428571428</v>
      </c>
      <c r="AB11" s="17">
        <f t="shared" si="3"/>
        <v>5.5714285714285712</v>
      </c>
      <c r="AC11" s="17">
        <f t="shared" si="3"/>
        <v>290.28571428571428</v>
      </c>
      <c r="AD11" s="17">
        <f t="shared" si="3"/>
        <v>0.14285714285714285</v>
      </c>
      <c r="AE11" s="31">
        <f t="shared" si="3"/>
        <v>180.42857142857142</v>
      </c>
      <c r="AF11" s="31">
        <f t="shared" si="3"/>
        <v>470.71428571428567</v>
      </c>
    </row>
    <row r="12" spans="2:32" ht="23.1" customHeight="1" x14ac:dyDescent="0.25">
      <c r="B12" s="23" t="s">
        <v>39</v>
      </c>
      <c r="C12" s="49">
        <f>AVERAGE('20.8 Kampala-Luweero'!C12,'21.8 Kampala-Luweero'!C12,'22.8 Kampala-Luweero'!C12,'23.8 Kampala-Luweero'!C12,'24.8 Kampala-Luweero'!C12,'25.8 Kampala-Luweero 24Hrs'!C12,'26.8 Kampala-Luweero'!C12)</f>
        <v>6.7142857142857144</v>
      </c>
      <c r="D12" s="49">
        <f>AVERAGE('20.8 Kampala-Luweero'!D12,'21.8 Kampala-Luweero'!D12,'22.8 Kampala-Luweero'!D12,'23.8 Kampala-Luweero'!D12,'24.8 Kampala-Luweero'!D12,'25.8 Kampala-Luweero 24Hrs'!D12,'26.8 Kampala-Luweero'!D12)</f>
        <v>0</v>
      </c>
      <c r="E12" s="49">
        <f>AVERAGE('20.8 Kampala-Luweero'!E12,'21.8 Kampala-Luweero'!E12,'22.8 Kampala-Luweero'!E12,'23.8 Kampala-Luweero'!E12,'24.8 Kampala-Luweero'!E12,'25.8 Kampala-Luweero 24Hrs'!E12,'26.8 Kampala-Luweero'!E12)</f>
        <v>9.4285714285714288</v>
      </c>
      <c r="F12" s="49">
        <f>AVERAGE('20.8 Kampala-Luweero'!F12,'21.8 Kampala-Luweero'!F12,'22.8 Kampala-Luweero'!F12,'23.8 Kampala-Luweero'!F12,'24.8 Kampala-Luweero'!F12,'25.8 Kampala-Luweero 24Hrs'!F12,'26.8 Kampala-Luweero'!F12)</f>
        <v>9</v>
      </c>
      <c r="G12" s="49">
        <f>AVERAGE('20.8 Kampala-Luweero'!G12,'21.8 Kampala-Luweero'!G12,'22.8 Kampala-Luweero'!G12,'23.8 Kampala-Luweero'!G12,'24.8 Kampala-Luweero'!G12,'25.8 Kampala-Luweero 24Hrs'!G12,'26.8 Kampala-Luweero'!G12)</f>
        <v>0.2857142857142857</v>
      </c>
      <c r="H12" s="49">
        <f>AVERAGE('20.8 Kampala-Luweero'!H12,'21.8 Kampala-Luweero'!H12,'22.8 Kampala-Luweero'!H12,'23.8 Kampala-Luweero'!H12,'24.8 Kampala-Luweero'!H12,'25.8 Kampala-Luweero 24Hrs'!H12,'26.8 Kampala-Luweero'!H12)</f>
        <v>0.2857142857142857</v>
      </c>
      <c r="I12" s="49">
        <f>AVERAGE('20.8 Kampala-Luweero'!I12,'21.8 Kampala-Luweero'!I12,'22.8 Kampala-Luweero'!I12,'23.8 Kampala-Luweero'!I12,'24.8 Kampala-Luweero'!I12,'25.8 Kampala-Luweero 24Hrs'!I12,'26.8 Kampala-Luweero'!I12)</f>
        <v>4.1428571428571432</v>
      </c>
      <c r="J12" s="49">
        <f>AVERAGE('20.8 Kampala-Luweero'!J12,'21.8 Kampala-Luweero'!J12,'22.8 Kampala-Luweero'!J12,'23.8 Kampala-Luweero'!J12,'24.8 Kampala-Luweero'!J12,'25.8 Kampala-Luweero 24Hrs'!J12,'26.8 Kampala-Luweero'!J12)</f>
        <v>1.2857142857142858</v>
      </c>
      <c r="K12" s="49">
        <f>AVERAGE('20.8 Kampala-Luweero'!K12,'21.8 Kampala-Luweero'!K12,'22.8 Kampala-Luweero'!K12,'23.8 Kampala-Luweero'!K12,'24.8 Kampala-Luweero'!K12,'25.8 Kampala-Luweero 24Hrs'!K12,'26.8 Kampala-Luweero'!K12)</f>
        <v>0.14285714285714285</v>
      </c>
      <c r="L12" s="49">
        <f>AVERAGE('20.8 Kampala-Luweero'!L12,'21.8 Kampala-Luweero'!L12,'22.8 Kampala-Luweero'!L12,'23.8 Kampala-Luweero'!L12,'24.8 Kampala-Luweero'!L12,'25.8 Kampala-Luweero 24Hrs'!L12,'26.8 Kampala-Luweero'!L12)</f>
        <v>0.7142857142857143</v>
      </c>
      <c r="M12" s="49">
        <f>AVERAGE('20.8 Kampala-Luweero'!M12,'21.8 Kampala-Luweero'!M12,'22.8 Kampala-Luweero'!M12,'23.8 Kampala-Luweero'!M12,'24.8 Kampala-Luweero'!M12,'25.8 Kampala-Luweero 24Hrs'!M12,'26.8 Kampala-Luweero'!M12)</f>
        <v>61.857142857142854</v>
      </c>
      <c r="N12" s="49">
        <f>AVERAGE('20.8 Kampala-Luweero'!N12,'21.8 Kampala-Luweero'!N12,'22.8 Kampala-Luweero'!N12,'23.8 Kampala-Luweero'!N12,'24.8 Kampala-Luweero'!N12,'25.8 Kampala-Luweero 24Hrs'!N12,'26.8 Kampala-Luweero'!N12)</f>
        <v>0</v>
      </c>
      <c r="O12" s="15">
        <f t="shared" si="0"/>
        <v>31.999999999999996</v>
      </c>
      <c r="P12" s="15">
        <f t="shared" si="1"/>
        <v>93.857142857142847</v>
      </c>
      <c r="R12" s="1" t="s">
        <v>8</v>
      </c>
      <c r="S12" s="17">
        <f t="shared" ref="S12:AF12" si="4">SUM(C18:C21)</f>
        <v>44.285714285714285</v>
      </c>
      <c r="T12" s="17">
        <f t="shared" si="4"/>
        <v>3</v>
      </c>
      <c r="U12" s="17">
        <f t="shared" si="4"/>
        <v>63.571428571428569</v>
      </c>
      <c r="V12" s="17">
        <f t="shared" si="4"/>
        <v>56.285714285714285</v>
      </c>
      <c r="W12" s="17">
        <f t="shared" si="4"/>
        <v>0.42857142857142855</v>
      </c>
      <c r="X12" s="17">
        <f t="shared" si="4"/>
        <v>4.4285714285714288</v>
      </c>
      <c r="Y12" s="17">
        <f t="shared" si="4"/>
        <v>19.857142857142858</v>
      </c>
      <c r="Z12" s="17">
        <f t="shared" si="4"/>
        <v>5.5714285714285712</v>
      </c>
      <c r="AA12" s="17">
        <f t="shared" si="4"/>
        <v>0.2857142857142857</v>
      </c>
      <c r="AB12" s="17">
        <f t="shared" si="4"/>
        <v>3.7142857142857144</v>
      </c>
      <c r="AC12" s="17">
        <f t="shared" si="4"/>
        <v>294.57142857142861</v>
      </c>
      <c r="AD12" s="17">
        <f t="shared" si="4"/>
        <v>0.14285714285714285</v>
      </c>
      <c r="AE12" s="31">
        <f t="shared" si="4"/>
        <v>201.57142857142856</v>
      </c>
      <c r="AF12" s="31">
        <f t="shared" si="4"/>
        <v>496.14285714285711</v>
      </c>
    </row>
    <row r="13" spans="2:32" ht="23.1" customHeight="1" x14ac:dyDescent="0.25">
      <c r="B13" s="23" t="s">
        <v>40</v>
      </c>
      <c r="C13" s="49">
        <f>AVERAGE('20.8 Kampala-Luweero'!C13,'21.8 Kampala-Luweero'!C13,'22.8 Kampala-Luweero'!C13,'23.8 Kampala-Luweero'!C13,'24.8 Kampala-Luweero'!C13,'25.8 Kampala-Luweero 24Hrs'!C13,'26.8 Kampala-Luweero'!C13)</f>
        <v>10.714285714285714</v>
      </c>
      <c r="D13" s="49">
        <f>AVERAGE('20.8 Kampala-Luweero'!D13,'21.8 Kampala-Luweero'!D13,'22.8 Kampala-Luweero'!D13,'23.8 Kampala-Luweero'!D13,'24.8 Kampala-Luweero'!D13,'25.8 Kampala-Luweero 24Hrs'!D13,'26.8 Kampala-Luweero'!D13)</f>
        <v>1.4285714285714286</v>
      </c>
      <c r="E13" s="49">
        <f>AVERAGE('20.8 Kampala-Luweero'!E13,'21.8 Kampala-Luweero'!E13,'22.8 Kampala-Luweero'!E13,'23.8 Kampala-Luweero'!E13,'24.8 Kampala-Luweero'!E13,'25.8 Kampala-Luweero 24Hrs'!E13,'26.8 Kampala-Luweero'!E13)</f>
        <v>13.571428571428571</v>
      </c>
      <c r="F13" s="49">
        <f>AVERAGE('20.8 Kampala-Luweero'!F13,'21.8 Kampala-Luweero'!F13,'22.8 Kampala-Luweero'!F13,'23.8 Kampala-Luweero'!F13,'24.8 Kampala-Luweero'!F13,'25.8 Kampala-Luweero 24Hrs'!F13,'26.8 Kampala-Luweero'!F13)</f>
        <v>10.714285714285714</v>
      </c>
      <c r="G13" s="49">
        <f>AVERAGE('20.8 Kampala-Luweero'!G13,'21.8 Kampala-Luweero'!G13,'22.8 Kampala-Luweero'!G13,'23.8 Kampala-Luweero'!G13,'24.8 Kampala-Luweero'!G13,'25.8 Kampala-Luweero 24Hrs'!G13,'26.8 Kampala-Luweero'!G13)</f>
        <v>0.2857142857142857</v>
      </c>
      <c r="H13" s="49">
        <f>AVERAGE('20.8 Kampala-Luweero'!H13,'21.8 Kampala-Luweero'!H13,'22.8 Kampala-Luweero'!H13,'23.8 Kampala-Luweero'!H13,'24.8 Kampala-Luweero'!H13,'25.8 Kampala-Luweero 24Hrs'!H13,'26.8 Kampala-Luweero'!H13)</f>
        <v>1.1428571428571428</v>
      </c>
      <c r="I13" s="49">
        <f>AVERAGE('20.8 Kampala-Luweero'!I13,'21.8 Kampala-Luweero'!I13,'22.8 Kampala-Luweero'!I13,'23.8 Kampala-Luweero'!I13,'24.8 Kampala-Luweero'!I13,'25.8 Kampala-Luweero 24Hrs'!I13,'26.8 Kampala-Luweero'!I13)</f>
        <v>4.5714285714285712</v>
      </c>
      <c r="J13" s="49">
        <f>AVERAGE('20.8 Kampala-Luweero'!J13,'21.8 Kampala-Luweero'!J13,'22.8 Kampala-Luweero'!J13,'23.8 Kampala-Luweero'!J13,'24.8 Kampala-Luweero'!J13,'25.8 Kampala-Luweero 24Hrs'!J13,'26.8 Kampala-Luweero'!J13)</f>
        <v>1.2857142857142858</v>
      </c>
      <c r="K13" s="49">
        <f>AVERAGE('20.8 Kampala-Luweero'!K13,'21.8 Kampala-Luweero'!K13,'22.8 Kampala-Luweero'!K13,'23.8 Kampala-Luweero'!K13,'24.8 Kampala-Luweero'!K13,'25.8 Kampala-Luweero 24Hrs'!K13,'26.8 Kampala-Luweero'!K13)</f>
        <v>0.14285714285714285</v>
      </c>
      <c r="L13" s="49">
        <f>AVERAGE('20.8 Kampala-Luweero'!L13,'21.8 Kampala-Luweero'!L13,'22.8 Kampala-Luweero'!L13,'23.8 Kampala-Luweero'!L13,'24.8 Kampala-Luweero'!L13,'25.8 Kampala-Luweero 24Hrs'!L13,'26.8 Kampala-Luweero'!L13)</f>
        <v>1.8571428571428572</v>
      </c>
      <c r="M13" s="49">
        <f>AVERAGE('20.8 Kampala-Luweero'!M13,'21.8 Kampala-Luweero'!M13,'22.8 Kampala-Luweero'!M13,'23.8 Kampala-Luweero'!M13,'24.8 Kampala-Luweero'!M13,'25.8 Kampala-Luweero 24Hrs'!M13,'26.8 Kampala-Luweero'!M13)</f>
        <v>65.428571428571431</v>
      </c>
      <c r="N13" s="49">
        <f>AVERAGE('20.8 Kampala-Luweero'!N13,'21.8 Kampala-Luweero'!N13,'22.8 Kampala-Luweero'!N13,'23.8 Kampala-Luweero'!N13,'24.8 Kampala-Luweero'!N13,'25.8 Kampala-Luweero 24Hrs'!N13,'26.8 Kampala-Luweero'!N13)</f>
        <v>0</v>
      </c>
      <c r="O13" s="15">
        <f t="shared" si="0"/>
        <v>45.714285714285715</v>
      </c>
      <c r="P13" s="15">
        <f t="shared" si="1"/>
        <v>111.14285714285714</v>
      </c>
      <c r="R13" s="1" t="s">
        <v>9</v>
      </c>
      <c r="S13" s="17">
        <f t="shared" ref="S13:AF13" si="5">SUM(C22:C25)</f>
        <v>41.857142857142861</v>
      </c>
      <c r="T13" s="17">
        <f t="shared" si="5"/>
        <v>2.7142857142857144</v>
      </c>
      <c r="U13" s="17">
        <f t="shared" si="5"/>
        <v>68.142857142857153</v>
      </c>
      <c r="V13" s="17">
        <f t="shared" si="5"/>
        <v>56.571428571428569</v>
      </c>
      <c r="W13" s="17">
        <f t="shared" si="5"/>
        <v>0.8571428571428571</v>
      </c>
      <c r="X13" s="17">
        <f t="shared" si="5"/>
        <v>3.4285714285714284</v>
      </c>
      <c r="Y13" s="17">
        <f t="shared" si="5"/>
        <v>22.142857142857142</v>
      </c>
      <c r="Z13" s="17">
        <f t="shared" si="5"/>
        <v>6.1428571428571432</v>
      </c>
      <c r="AA13" s="17">
        <f t="shared" si="5"/>
        <v>0.42857142857142855</v>
      </c>
      <c r="AB13" s="17">
        <f t="shared" si="5"/>
        <v>3.4285714285714288</v>
      </c>
      <c r="AC13" s="17">
        <f t="shared" si="5"/>
        <v>290.71428571428572</v>
      </c>
      <c r="AD13" s="17">
        <f t="shared" si="5"/>
        <v>0</v>
      </c>
      <c r="AE13" s="31">
        <f t="shared" si="5"/>
        <v>205.71428571428572</v>
      </c>
      <c r="AF13" s="31">
        <f t="shared" si="5"/>
        <v>496.42857142857144</v>
      </c>
    </row>
    <row r="14" spans="2:32" ht="23.1" customHeight="1" x14ac:dyDescent="0.25">
      <c r="B14" s="23" t="s">
        <v>41</v>
      </c>
      <c r="C14" s="49">
        <f>AVERAGE('20.8 Kampala-Luweero'!C14,'21.8 Kampala-Luweero'!C14,'22.8 Kampala-Luweero'!C14,'23.8 Kampala-Luweero'!C14,'24.8 Kampala-Luweero'!C14,'25.8 Kampala-Luweero 24Hrs'!C14,'26.8 Kampala-Luweero'!C14)</f>
        <v>6.5714285714285712</v>
      </c>
      <c r="D14" s="49">
        <f>AVERAGE('20.8 Kampala-Luweero'!D14,'21.8 Kampala-Luweero'!D14,'22.8 Kampala-Luweero'!D14,'23.8 Kampala-Luweero'!D14,'24.8 Kampala-Luweero'!D14,'25.8 Kampala-Luweero 24Hrs'!D14,'26.8 Kampala-Luweero'!D14)</f>
        <v>0.7142857142857143</v>
      </c>
      <c r="E14" s="49">
        <f>AVERAGE('20.8 Kampala-Luweero'!E14,'21.8 Kampala-Luweero'!E14,'22.8 Kampala-Luweero'!E14,'23.8 Kampala-Luweero'!E14,'24.8 Kampala-Luweero'!E14,'25.8 Kampala-Luweero 24Hrs'!E14,'26.8 Kampala-Luweero'!E14)</f>
        <v>14.428571428571429</v>
      </c>
      <c r="F14" s="49">
        <f>AVERAGE('20.8 Kampala-Luweero'!F14,'21.8 Kampala-Luweero'!F14,'22.8 Kampala-Luweero'!F14,'23.8 Kampala-Luweero'!F14,'24.8 Kampala-Luweero'!F14,'25.8 Kampala-Luweero 24Hrs'!F14,'26.8 Kampala-Luweero'!F14)</f>
        <v>9.5714285714285712</v>
      </c>
      <c r="G14" s="49">
        <f>AVERAGE('20.8 Kampala-Luweero'!G14,'21.8 Kampala-Luweero'!G14,'22.8 Kampala-Luweero'!G14,'23.8 Kampala-Luweero'!G14,'24.8 Kampala-Luweero'!G14,'25.8 Kampala-Luweero 24Hrs'!G14,'26.8 Kampala-Luweero'!G14)</f>
        <v>0</v>
      </c>
      <c r="H14" s="49">
        <f>AVERAGE('20.8 Kampala-Luweero'!H14,'21.8 Kampala-Luweero'!H14,'22.8 Kampala-Luweero'!H14,'23.8 Kampala-Luweero'!H14,'24.8 Kampala-Luweero'!H14,'25.8 Kampala-Luweero 24Hrs'!H14,'26.8 Kampala-Luweero'!H14)</f>
        <v>0.2857142857142857</v>
      </c>
      <c r="I14" s="49">
        <f>AVERAGE('20.8 Kampala-Luweero'!I14,'21.8 Kampala-Luweero'!I14,'22.8 Kampala-Luweero'!I14,'23.8 Kampala-Luweero'!I14,'24.8 Kampala-Luweero'!I14,'25.8 Kampala-Luweero 24Hrs'!I14,'26.8 Kampala-Luweero'!I14)</f>
        <v>6</v>
      </c>
      <c r="J14" s="49">
        <f>AVERAGE('20.8 Kampala-Luweero'!J14,'21.8 Kampala-Luweero'!J14,'22.8 Kampala-Luweero'!J14,'23.8 Kampala-Luweero'!J14,'24.8 Kampala-Luweero'!J14,'25.8 Kampala-Luweero 24Hrs'!J14,'26.8 Kampala-Luweero'!J14)</f>
        <v>1.5714285714285714</v>
      </c>
      <c r="K14" s="49">
        <f>AVERAGE('20.8 Kampala-Luweero'!K14,'21.8 Kampala-Luweero'!K14,'22.8 Kampala-Luweero'!K14,'23.8 Kampala-Luweero'!K14,'24.8 Kampala-Luweero'!K14,'25.8 Kampala-Luweero 24Hrs'!K14,'26.8 Kampala-Luweero'!K14)</f>
        <v>0.2857142857142857</v>
      </c>
      <c r="L14" s="49">
        <f>AVERAGE('20.8 Kampala-Luweero'!L14,'21.8 Kampala-Luweero'!L14,'22.8 Kampala-Luweero'!L14,'23.8 Kampala-Luweero'!L14,'24.8 Kampala-Luweero'!L14,'25.8 Kampala-Luweero 24Hrs'!L14,'26.8 Kampala-Luweero'!L14)</f>
        <v>1.5714285714285714</v>
      </c>
      <c r="M14" s="49">
        <f>AVERAGE('20.8 Kampala-Luweero'!M14,'21.8 Kampala-Luweero'!M14,'22.8 Kampala-Luweero'!M14,'23.8 Kampala-Luweero'!M14,'24.8 Kampala-Luweero'!M14,'25.8 Kampala-Luweero 24Hrs'!M14,'26.8 Kampala-Luweero'!M14)</f>
        <v>61.857142857142854</v>
      </c>
      <c r="N14" s="49">
        <f>AVERAGE('20.8 Kampala-Luweero'!N14,'21.8 Kampala-Luweero'!N14,'22.8 Kampala-Luweero'!N14,'23.8 Kampala-Luweero'!N14,'24.8 Kampala-Luweero'!N14,'25.8 Kampala-Luweero 24Hrs'!N14,'26.8 Kampala-Luweero'!N14)</f>
        <v>0</v>
      </c>
      <c r="O14" s="15">
        <f t="shared" si="0"/>
        <v>40.999999999999993</v>
      </c>
      <c r="P14" s="15">
        <f t="shared" si="1"/>
        <v>102.85714285714285</v>
      </c>
      <c r="R14" s="1" t="s">
        <v>10</v>
      </c>
      <c r="S14" s="17">
        <f t="shared" ref="S14:AF14" si="6">SUM(C26:C29)</f>
        <v>42.142857142857139</v>
      </c>
      <c r="T14" s="17">
        <f t="shared" si="6"/>
        <v>3.2857142857142856</v>
      </c>
      <c r="U14" s="17">
        <f t="shared" si="6"/>
        <v>63.714285714285708</v>
      </c>
      <c r="V14" s="17">
        <f t="shared" si="6"/>
        <v>56.142857142857139</v>
      </c>
      <c r="W14" s="17">
        <f t="shared" si="6"/>
        <v>1.4285714285714284</v>
      </c>
      <c r="X14" s="17">
        <f t="shared" si="6"/>
        <v>4.2857142857142856</v>
      </c>
      <c r="Y14" s="17">
        <f t="shared" si="6"/>
        <v>25.142857142857146</v>
      </c>
      <c r="Z14" s="17">
        <f t="shared" si="6"/>
        <v>6.2857142857142856</v>
      </c>
      <c r="AA14" s="17">
        <f t="shared" si="6"/>
        <v>0.42857142857142855</v>
      </c>
      <c r="AB14" s="17">
        <f t="shared" si="6"/>
        <v>3.4285714285714288</v>
      </c>
      <c r="AC14" s="17">
        <f t="shared" si="6"/>
        <v>277</v>
      </c>
      <c r="AD14" s="17">
        <f t="shared" si="6"/>
        <v>0</v>
      </c>
      <c r="AE14" s="31">
        <f t="shared" si="6"/>
        <v>206.28571428571431</v>
      </c>
      <c r="AF14" s="31">
        <f t="shared" si="6"/>
        <v>483.28571428571433</v>
      </c>
    </row>
    <row r="15" spans="2:32" ht="23.1" customHeight="1" x14ac:dyDescent="0.25">
      <c r="B15" s="23" t="s">
        <v>42</v>
      </c>
      <c r="C15" s="49">
        <f>AVERAGE('20.8 Kampala-Luweero'!C15,'21.8 Kampala-Luweero'!C15,'22.8 Kampala-Luweero'!C15,'23.8 Kampala-Luweero'!C15,'24.8 Kampala-Luweero'!C15,'25.8 Kampala-Luweero 24Hrs'!C15,'26.8 Kampala-Luweero'!C15)</f>
        <v>8.7142857142857135</v>
      </c>
      <c r="D15" s="49">
        <f>AVERAGE('20.8 Kampala-Luweero'!D15,'21.8 Kampala-Luweero'!D15,'22.8 Kampala-Luweero'!D15,'23.8 Kampala-Luweero'!D15,'24.8 Kampala-Luweero'!D15,'25.8 Kampala-Luweero 24Hrs'!D15,'26.8 Kampala-Luweero'!D15)</f>
        <v>0</v>
      </c>
      <c r="E15" s="49">
        <f>AVERAGE('20.8 Kampala-Luweero'!E15,'21.8 Kampala-Luweero'!E15,'22.8 Kampala-Luweero'!E15,'23.8 Kampala-Luweero'!E15,'24.8 Kampala-Luweero'!E15,'25.8 Kampala-Luweero 24Hrs'!E15,'26.8 Kampala-Luweero'!E15)</f>
        <v>15.714285714285714</v>
      </c>
      <c r="F15" s="49">
        <f>AVERAGE('20.8 Kampala-Luweero'!F15,'21.8 Kampala-Luweero'!F15,'22.8 Kampala-Luweero'!F15,'23.8 Kampala-Luweero'!F15,'24.8 Kampala-Luweero'!F15,'25.8 Kampala-Luweero 24Hrs'!F15,'26.8 Kampala-Luweero'!F15)</f>
        <v>12.428571428571429</v>
      </c>
      <c r="G15" s="49">
        <f>AVERAGE('20.8 Kampala-Luweero'!G15,'21.8 Kampala-Luweero'!G15,'22.8 Kampala-Luweero'!G15,'23.8 Kampala-Luweero'!G15,'24.8 Kampala-Luweero'!G15,'25.8 Kampala-Luweero 24Hrs'!G15,'26.8 Kampala-Luweero'!G15)</f>
        <v>0.14285714285714285</v>
      </c>
      <c r="H15" s="49">
        <f>AVERAGE('20.8 Kampala-Luweero'!H15,'21.8 Kampala-Luweero'!H15,'22.8 Kampala-Luweero'!H15,'23.8 Kampala-Luweero'!H15,'24.8 Kampala-Luweero'!H15,'25.8 Kampala-Luweero 24Hrs'!H15,'26.8 Kampala-Luweero'!H15)</f>
        <v>1</v>
      </c>
      <c r="I15" s="49">
        <f>AVERAGE('20.8 Kampala-Luweero'!I15,'21.8 Kampala-Luweero'!I15,'22.8 Kampala-Luweero'!I15,'23.8 Kampala-Luweero'!I15,'24.8 Kampala-Luweero'!I15,'25.8 Kampala-Luweero 24Hrs'!I15,'26.8 Kampala-Luweero'!I15)</f>
        <v>5.4285714285714288</v>
      </c>
      <c r="J15" s="49">
        <f>AVERAGE('20.8 Kampala-Luweero'!J15,'21.8 Kampala-Luweero'!J15,'22.8 Kampala-Luweero'!J15,'23.8 Kampala-Luweero'!J15,'24.8 Kampala-Luweero'!J15,'25.8 Kampala-Luweero 24Hrs'!J15,'26.8 Kampala-Luweero'!J15)</f>
        <v>1.1428571428571428</v>
      </c>
      <c r="K15" s="49">
        <f>AVERAGE('20.8 Kampala-Luweero'!K15,'21.8 Kampala-Luweero'!K15,'22.8 Kampala-Luweero'!K15,'23.8 Kampala-Luweero'!K15,'24.8 Kampala-Luweero'!K15,'25.8 Kampala-Luweero 24Hrs'!K15,'26.8 Kampala-Luweero'!K15)</f>
        <v>0</v>
      </c>
      <c r="L15" s="49">
        <f>AVERAGE('20.8 Kampala-Luweero'!L15,'21.8 Kampala-Luweero'!L15,'22.8 Kampala-Luweero'!L15,'23.8 Kampala-Luweero'!L15,'24.8 Kampala-Luweero'!L15,'25.8 Kampala-Luweero 24Hrs'!L15,'26.8 Kampala-Luweero'!L15)</f>
        <v>1.1428571428571428</v>
      </c>
      <c r="M15" s="49">
        <f>AVERAGE('20.8 Kampala-Luweero'!M15,'21.8 Kampala-Luweero'!M15,'22.8 Kampala-Luweero'!M15,'23.8 Kampala-Luweero'!M15,'24.8 Kampala-Luweero'!M15,'25.8 Kampala-Luweero 24Hrs'!M15,'26.8 Kampala-Luweero'!M15)</f>
        <v>74</v>
      </c>
      <c r="N15" s="49">
        <f>AVERAGE('20.8 Kampala-Luweero'!N15,'21.8 Kampala-Luweero'!N15,'22.8 Kampala-Luweero'!N15,'23.8 Kampala-Luweero'!N15,'24.8 Kampala-Luweero'!N15,'25.8 Kampala-Luweero 24Hrs'!N15,'26.8 Kampala-Luweero'!N15)</f>
        <v>0</v>
      </c>
      <c r="O15" s="15">
        <f t="shared" si="0"/>
        <v>45.714285714285722</v>
      </c>
      <c r="P15" s="15">
        <f t="shared" si="1"/>
        <v>119.71428571428572</v>
      </c>
      <c r="R15" s="1" t="s">
        <v>11</v>
      </c>
      <c r="S15" s="17">
        <f t="shared" ref="S15:AF15" si="7">SUM(C30:C33)</f>
        <v>43.142857142857139</v>
      </c>
      <c r="T15" s="17">
        <f t="shared" si="7"/>
        <v>3.2857142857142856</v>
      </c>
      <c r="U15" s="17">
        <f t="shared" si="7"/>
        <v>72.857142857142861</v>
      </c>
      <c r="V15" s="17">
        <f t="shared" si="7"/>
        <v>62.714285714285715</v>
      </c>
      <c r="W15" s="17">
        <f t="shared" si="7"/>
        <v>0.5714285714285714</v>
      </c>
      <c r="X15" s="17">
        <f t="shared" si="7"/>
        <v>5.7142857142857135</v>
      </c>
      <c r="Y15" s="17">
        <f t="shared" si="7"/>
        <v>28.428571428571431</v>
      </c>
      <c r="Z15" s="17">
        <f t="shared" si="7"/>
        <v>7</v>
      </c>
      <c r="AA15" s="17">
        <f t="shared" si="7"/>
        <v>1.7142857142857142</v>
      </c>
      <c r="AB15" s="17">
        <f t="shared" si="7"/>
        <v>7.8571428571428568</v>
      </c>
      <c r="AC15" s="17">
        <f t="shared" si="7"/>
        <v>246</v>
      </c>
      <c r="AD15" s="17">
        <f t="shared" si="7"/>
        <v>0.14285714285714285</v>
      </c>
      <c r="AE15" s="31">
        <f t="shared" si="7"/>
        <v>233.42857142857144</v>
      </c>
      <c r="AF15" s="31">
        <f t="shared" si="7"/>
        <v>479.42857142857144</v>
      </c>
    </row>
    <row r="16" spans="2:32" ht="23.1" customHeight="1" x14ac:dyDescent="0.25">
      <c r="B16" s="23" t="s">
        <v>43</v>
      </c>
      <c r="C16" s="49">
        <f>AVERAGE('20.8 Kampala-Luweero'!C16,'21.8 Kampala-Luweero'!C16,'22.8 Kampala-Luweero'!C16,'23.8 Kampala-Luweero'!C16,'24.8 Kampala-Luweero'!C16,'25.8 Kampala-Luweero 24Hrs'!C16,'26.8 Kampala-Luweero'!C16)</f>
        <v>8.4285714285714288</v>
      </c>
      <c r="D16" s="49">
        <f>AVERAGE('20.8 Kampala-Luweero'!D16,'21.8 Kampala-Luweero'!D16,'22.8 Kampala-Luweero'!D16,'23.8 Kampala-Luweero'!D16,'24.8 Kampala-Luweero'!D16,'25.8 Kampala-Luweero 24Hrs'!D16,'26.8 Kampala-Luweero'!D16)</f>
        <v>0</v>
      </c>
      <c r="E16" s="49">
        <f>AVERAGE('20.8 Kampala-Luweero'!E16,'21.8 Kampala-Luweero'!E16,'22.8 Kampala-Luweero'!E16,'23.8 Kampala-Luweero'!E16,'24.8 Kampala-Luweero'!E16,'25.8 Kampala-Luweero 24Hrs'!E16,'26.8 Kampala-Luweero'!E16)</f>
        <v>13</v>
      </c>
      <c r="F16" s="49">
        <f>AVERAGE('20.8 Kampala-Luweero'!F16,'21.8 Kampala-Luweero'!F16,'22.8 Kampala-Luweero'!F16,'23.8 Kampala-Luweero'!F16,'24.8 Kampala-Luweero'!F16,'25.8 Kampala-Luweero 24Hrs'!F16,'26.8 Kampala-Luweero'!F16)</f>
        <v>9.1428571428571423</v>
      </c>
      <c r="G16" s="49">
        <f>AVERAGE('20.8 Kampala-Luweero'!G16,'21.8 Kampala-Luweero'!G16,'22.8 Kampala-Luweero'!G16,'23.8 Kampala-Luweero'!G16,'24.8 Kampala-Luweero'!G16,'25.8 Kampala-Luweero 24Hrs'!G16,'26.8 Kampala-Luweero'!G16)</f>
        <v>0.14285714285714285</v>
      </c>
      <c r="H16" s="49">
        <f>AVERAGE('20.8 Kampala-Luweero'!H16,'21.8 Kampala-Luweero'!H16,'22.8 Kampala-Luweero'!H16,'23.8 Kampala-Luweero'!H16,'24.8 Kampala-Luweero'!H16,'25.8 Kampala-Luweero 24Hrs'!H16,'26.8 Kampala-Luweero'!H16)</f>
        <v>0.8571428571428571</v>
      </c>
      <c r="I16" s="49">
        <f>AVERAGE('20.8 Kampala-Luweero'!I16,'21.8 Kampala-Luweero'!I16,'22.8 Kampala-Luweero'!I16,'23.8 Kampala-Luweero'!I16,'24.8 Kampala-Luweero'!I16,'25.8 Kampala-Luweero 24Hrs'!I16,'26.8 Kampala-Luweero'!I16)</f>
        <v>8</v>
      </c>
      <c r="J16" s="49">
        <f>AVERAGE('20.8 Kampala-Luweero'!J16,'21.8 Kampala-Luweero'!J16,'22.8 Kampala-Luweero'!J16,'23.8 Kampala-Luweero'!J16,'24.8 Kampala-Luweero'!J16,'25.8 Kampala-Luweero 24Hrs'!J16,'26.8 Kampala-Luweero'!J16)</f>
        <v>1.5714285714285714</v>
      </c>
      <c r="K16" s="49">
        <f>AVERAGE('20.8 Kampala-Luweero'!K16,'21.8 Kampala-Luweero'!K16,'22.8 Kampala-Luweero'!K16,'23.8 Kampala-Luweero'!K16,'24.8 Kampala-Luweero'!K16,'25.8 Kampala-Luweero 24Hrs'!K16,'26.8 Kampala-Luweero'!K16)</f>
        <v>0.2857142857142857</v>
      </c>
      <c r="L16" s="49">
        <f>AVERAGE('20.8 Kampala-Luweero'!L16,'21.8 Kampala-Luweero'!L16,'22.8 Kampala-Luweero'!L16,'23.8 Kampala-Luweero'!L16,'24.8 Kampala-Luweero'!L16,'25.8 Kampala-Luweero 24Hrs'!L16,'26.8 Kampala-Luweero'!L16)</f>
        <v>1</v>
      </c>
      <c r="M16" s="49">
        <f>AVERAGE('20.8 Kampala-Luweero'!M16,'21.8 Kampala-Luweero'!M16,'22.8 Kampala-Luweero'!M16,'23.8 Kampala-Luweero'!M16,'24.8 Kampala-Luweero'!M16,'25.8 Kampala-Luweero 24Hrs'!M16,'26.8 Kampala-Luweero'!M16)</f>
        <v>79</v>
      </c>
      <c r="N16" s="49">
        <f>AVERAGE('20.8 Kampala-Luweero'!N16,'21.8 Kampala-Luweero'!N16,'22.8 Kampala-Luweero'!N16,'23.8 Kampala-Luweero'!N16,'24.8 Kampala-Luweero'!N16,'25.8 Kampala-Luweero 24Hrs'!N16,'26.8 Kampala-Luweero'!N16)</f>
        <v>0.14285714285714285</v>
      </c>
      <c r="O16" s="15">
        <f t="shared" si="0"/>
        <v>42.571428571428569</v>
      </c>
      <c r="P16" s="15">
        <f t="shared" si="1"/>
        <v>121.57142857142856</v>
      </c>
      <c r="R16" s="1" t="s">
        <v>12</v>
      </c>
      <c r="S16" s="17">
        <f t="shared" ref="S16:AF16" si="8">SUM(C34:C37)</f>
        <v>40.142857142857139</v>
      </c>
      <c r="T16" s="17">
        <f t="shared" si="8"/>
        <v>4.1428571428571432</v>
      </c>
      <c r="U16" s="17">
        <f t="shared" si="8"/>
        <v>72.142857142857153</v>
      </c>
      <c r="V16" s="17">
        <f t="shared" si="8"/>
        <v>63.142857142857146</v>
      </c>
      <c r="W16" s="17">
        <f t="shared" si="8"/>
        <v>1.857142857142857</v>
      </c>
      <c r="X16" s="17">
        <f t="shared" si="8"/>
        <v>7.7142857142857153</v>
      </c>
      <c r="Y16" s="17">
        <f t="shared" si="8"/>
        <v>29.714285714285715</v>
      </c>
      <c r="Z16" s="17">
        <f t="shared" si="8"/>
        <v>6.4285714285714288</v>
      </c>
      <c r="AA16" s="17">
        <f t="shared" si="8"/>
        <v>0.2857142857142857</v>
      </c>
      <c r="AB16" s="17">
        <f t="shared" si="8"/>
        <v>6.1428571428571423</v>
      </c>
      <c r="AC16" s="17">
        <f t="shared" si="8"/>
        <v>255</v>
      </c>
      <c r="AD16" s="17">
        <f t="shared" si="8"/>
        <v>0.42857142857142855</v>
      </c>
      <c r="AE16" s="31">
        <f t="shared" si="8"/>
        <v>232.14285714285714</v>
      </c>
      <c r="AF16" s="31">
        <f t="shared" si="8"/>
        <v>487.14285714285711</v>
      </c>
    </row>
    <row r="17" spans="2:32" ht="23.1" customHeight="1" x14ac:dyDescent="0.25">
      <c r="B17" s="23" t="s">
        <v>44</v>
      </c>
      <c r="C17" s="49">
        <f>AVERAGE('20.8 Kampala-Luweero'!C17,'21.8 Kampala-Luweero'!C17,'22.8 Kampala-Luweero'!C17,'23.8 Kampala-Luweero'!C17,'24.8 Kampala-Luweero'!C17,'25.8 Kampala-Luweero 24Hrs'!C17,'26.8 Kampala-Luweero'!C17)</f>
        <v>11.142857142857142</v>
      </c>
      <c r="D17" s="49">
        <f>AVERAGE('20.8 Kampala-Luweero'!D17,'21.8 Kampala-Luweero'!D17,'22.8 Kampala-Luweero'!D17,'23.8 Kampala-Luweero'!D17,'24.8 Kampala-Luweero'!D17,'25.8 Kampala-Luweero 24Hrs'!D17,'26.8 Kampala-Luweero'!D17)</f>
        <v>1</v>
      </c>
      <c r="E17" s="49">
        <f>AVERAGE('20.8 Kampala-Luweero'!E17,'21.8 Kampala-Luweero'!E17,'22.8 Kampala-Luweero'!E17,'23.8 Kampala-Luweero'!E17,'24.8 Kampala-Luweero'!E17,'25.8 Kampala-Luweero 24Hrs'!E17,'26.8 Kampala-Luweero'!E17)</f>
        <v>13.428571428571429</v>
      </c>
      <c r="F17" s="49">
        <f>AVERAGE('20.8 Kampala-Luweero'!F17,'21.8 Kampala-Luweero'!F17,'22.8 Kampala-Luweero'!F17,'23.8 Kampala-Luweero'!F17,'24.8 Kampala-Luweero'!F17,'25.8 Kampala-Luweero 24Hrs'!F17,'26.8 Kampala-Luweero'!F17)</f>
        <v>15.142857142857142</v>
      </c>
      <c r="G17" s="49">
        <f>AVERAGE('20.8 Kampala-Luweero'!G17,'21.8 Kampala-Luweero'!G17,'22.8 Kampala-Luweero'!G17,'23.8 Kampala-Luweero'!G17,'24.8 Kampala-Luweero'!G17,'25.8 Kampala-Luweero 24Hrs'!G17,'26.8 Kampala-Luweero'!G17)</f>
        <v>0.14285714285714285</v>
      </c>
      <c r="H17" s="49">
        <f>AVERAGE('20.8 Kampala-Luweero'!H17,'21.8 Kampala-Luweero'!H17,'22.8 Kampala-Luweero'!H17,'23.8 Kampala-Luweero'!H17,'24.8 Kampala-Luweero'!H17,'25.8 Kampala-Luweero 24Hrs'!H17,'26.8 Kampala-Luweero'!H17)</f>
        <v>0.7142857142857143</v>
      </c>
      <c r="I17" s="49">
        <f>AVERAGE('20.8 Kampala-Luweero'!I17,'21.8 Kampala-Luweero'!I17,'22.8 Kampala-Luweero'!I17,'23.8 Kampala-Luweero'!I17,'24.8 Kampala-Luweero'!I17,'25.8 Kampala-Luweero 24Hrs'!I17,'26.8 Kampala-Luweero'!I17)</f>
        <v>6</v>
      </c>
      <c r="J17" s="49">
        <f>AVERAGE('20.8 Kampala-Luweero'!J17,'21.8 Kampala-Luweero'!J17,'22.8 Kampala-Luweero'!J17,'23.8 Kampala-Luweero'!J17,'24.8 Kampala-Luweero'!J17,'25.8 Kampala-Luweero 24Hrs'!J17,'26.8 Kampala-Luweero'!J17)</f>
        <v>1.1428571428571428</v>
      </c>
      <c r="K17" s="49">
        <f>AVERAGE('20.8 Kampala-Luweero'!K17,'21.8 Kampala-Luweero'!K17,'22.8 Kampala-Luweero'!K17,'23.8 Kampala-Luweero'!K17,'24.8 Kampala-Luweero'!K17,'25.8 Kampala-Luweero 24Hrs'!K17,'26.8 Kampala-Luweero'!K17)</f>
        <v>0.5714285714285714</v>
      </c>
      <c r="L17" s="49">
        <f>AVERAGE('20.8 Kampala-Luweero'!L17,'21.8 Kampala-Luweero'!L17,'22.8 Kampala-Luweero'!L17,'23.8 Kampala-Luweero'!L17,'24.8 Kampala-Luweero'!L17,'25.8 Kampala-Luweero 24Hrs'!L17,'26.8 Kampala-Luweero'!L17)</f>
        <v>1.8571428571428572</v>
      </c>
      <c r="M17" s="49">
        <f>AVERAGE('20.8 Kampala-Luweero'!M17,'21.8 Kampala-Luweero'!M17,'22.8 Kampala-Luweero'!M17,'23.8 Kampala-Luweero'!M17,'24.8 Kampala-Luweero'!M17,'25.8 Kampala-Luweero 24Hrs'!M17,'26.8 Kampala-Luweero'!M17)</f>
        <v>75.428571428571431</v>
      </c>
      <c r="N17" s="49">
        <f>AVERAGE('20.8 Kampala-Luweero'!N17,'21.8 Kampala-Luweero'!N17,'22.8 Kampala-Luweero'!N17,'23.8 Kampala-Luweero'!N17,'24.8 Kampala-Luweero'!N17,'25.8 Kampala-Luweero 24Hrs'!N17,'26.8 Kampala-Luweero'!N17)</f>
        <v>0</v>
      </c>
      <c r="O17" s="15">
        <f t="shared" si="0"/>
        <v>51.142857142857139</v>
      </c>
      <c r="P17" s="15">
        <f t="shared" si="1"/>
        <v>126.57142857142857</v>
      </c>
      <c r="R17" s="1" t="s">
        <v>13</v>
      </c>
      <c r="S17" s="17">
        <f t="shared" ref="S17:AF17" si="9">SUM(C38:C41)</f>
        <v>35.571428571428569</v>
      </c>
      <c r="T17" s="17">
        <f t="shared" si="9"/>
        <v>2.8571428571428572</v>
      </c>
      <c r="U17" s="17">
        <f t="shared" si="9"/>
        <v>60.142857142857139</v>
      </c>
      <c r="V17" s="17">
        <f t="shared" si="9"/>
        <v>66.571428571428569</v>
      </c>
      <c r="W17" s="17">
        <f t="shared" si="9"/>
        <v>2.2857142857142856</v>
      </c>
      <c r="X17" s="17">
        <f t="shared" si="9"/>
        <v>7.5714285714285721</v>
      </c>
      <c r="Y17" s="17">
        <f t="shared" si="9"/>
        <v>29.857142857142858</v>
      </c>
      <c r="Z17" s="17">
        <f t="shared" si="9"/>
        <v>8</v>
      </c>
      <c r="AA17" s="17">
        <f t="shared" si="9"/>
        <v>0.85714285714285698</v>
      </c>
      <c r="AB17" s="17">
        <f t="shared" si="9"/>
        <v>7.8571428571428577</v>
      </c>
      <c r="AC17" s="17">
        <f t="shared" si="9"/>
        <v>241.14285714285717</v>
      </c>
      <c r="AD17" s="17">
        <f t="shared" si="9"/>
        <v>0</v>
      </c>
      <c r="AE17" s="31">
        <f t="shared" si="9"/>
        <v>221.57142857142856</v>
      </c>
      <c r="AF17" s="31">
        <f t="shared" si="9"/>
        <v>462.71428571428567</v>
      </c>
    </row>
    <row r="18" spans="2:32" ht="23.1" customHeight="1" x14ac:dyDescent="0.25">
      <c r="B18" s="23" t="s">
        <v>45</v>
      </c>
      <c r="C18" s="49">
        <f>AVERAGE('20.8 Kampala-Luweero'!C18,'21.8 Kampala-Luweero'!C18,'22.8 Kampala-Luweero'!C18,'23.8 Kampala-Luweero'!C18,'24.8 Kampala-Luweero'!C18,'25.8 Kampala-Luweero 24Hrs'!C18,'26.8 Kampala-Luweero'!C18)</f>
        <v>10.142857142857142</v>
      </c>
      <c r="D18" s="49">
        <f>AVERAGE('20.8 Kampala-Luweero'!D18,'21.8 Kampala-Luweero'!D18,'22.8 Kampala-Luweero'!D18,'23.8 Kampala-Luweero'!D18,'24.8 Kampala-Luweero'!D18,'25.8 Kampala-Luweero 24Hrs'!D18,'26.8 Kampala-Luweero'!D18)</f>
        <v>1.2857142857142858</v>
      </c>
      <c r="E18" s="49">
        <f>AVERAGE('20.8 Kampala-Luweero'!E18,'21.8 Kampala-Luweero'!E18,'22.8 Kampala-Luweero'!E18,'23.8 Kampala-Luweero'!E18,'24.8 Kampala-Luweero'!E18,'25.8 Kampala-Luweero 24Hrs'!E18,'26.8 Kampala-Luweero'!E18)</f>
        <v>16.857142857142858</v>
      </c>
      <c r="F18" s="49">
        <f>AVERAGE('20.8 Kampala-Luweero'!F18,'21.8 Kampala-Luweero'!F18,'22.8 Kampala-Luweero'!F18,'23.8 Kampala-Luweero'!F18,'24.8 Kampala-Luweero'!F18,'25.8 Kampala-Luweero 24Hrs'!F18,'26.8 Kampala-Luweero'!F18)</f>
        <v>12.857142857142858</v>
      </c>
      <c r="G18" s="49">
        <f>AVERAGE('20.8 Kampala-Luweero'!G18,'21.8 Kampala-Luweero'!G18,'22.8 Kampala-Luweero'!G18,'23.8 Kampala-Luweero'!G18,'24.8 Kampala-Luweero'!G18,'25.8 Kampala-Luweero 24Hrs'!G18,'26.8 Kampala-Luweero'!G18)</f>
        <v>0</v>
      </c>
      <c r="H18" s="49">
        <f>AVERAGE('20.8 Kampala-Luweero'!H18,'21.8 Kampala-Luweero'!H18,'22.8 Kampala-Luweero'!H18,'23.8 Kampala-Luweero'!H18,'24.8 Kampala-Luweero'!H18,'25.8 Kampala-Luweero 24Hrs'!H18,'26.8 Kampala-Luweero'!H18)</f>
        <v>0.7142857142857143</v>
      </c>
      <c r="I18" s="49">
        <f>AVERAGE('20.8 Kampala-Luweero'!I18,'21.8 Kampala-Luweero'!I18,'22.8 Kampala-Luweero'!I18,'23.8 Kampala-Luweero'!I18,'24.8 Kampala-Luweero'!I18,'25.8 Kampala-Luweero 24Hrs'!I18,'26.8 Kampala-Luweero'!I18)</f>
        <v>4.5714285714285712</v>
      </c>
      <c r="J18" s="49">
        <f>AVERAGE('20.8 Kampala-Luweero'!J18,'21.8 Kampala-Luweero'!J18,'22.8 Kampala-Luweero'!J18,'23.8 Kampala-Luweero'!J18,'24.8 Kampala-Luweero'!J18,'25.8 Kampala-Luweero 24Hrs'!J18,'26.8 Kampala-Luweero'!J18)</f>
        <v>1.7142857142857142</v>
      </c>
      <c r="K18" s="49">
        <f>AVERAGE('20.8 Kampala-Luweero'!K18,'21.8 Kampala-Luweero'!K18,'22.8 Kampala-Luweero'!K18,'23.8 Kampala-Luweero'!K18,'24.8 Kampala-Luweero'!K18,'25.8 Kampala-Luweero 24Hrs'!K18,'26.8 Kampala-Luweero'!K18)</f>
        <v>0.2857142857142857</v>
      </c>
      <c r="L18" s="49">
        <f>AVERAGE('20.8 Kampala-Luweero'!L18,'21.8 Kampala-Luweero'!L18,'22.8 Kampala-Luweero'!L18,'23.8 Kampala-Luweero'!L18,'24.8 Kampala-Luweero'!L18,'25.8 Kampala-Luweero 24Hrs'!L18,'26.8 Kampala-Luweero'!L18)</f>
        <v>0.7142857142857143</v>
      </c>
      <c r="M18" s="49">
        <f>AVERAGE('20.8 Kampala-Luweero'!M18,'21.8 Kampala-Luweero'!M18,'22.8 Kampala-Luweero'!M18,'23.8 Kampala-Luweero'!M18,'24.8 Kampala-Luweero'!M18,'25.8 Kampala-Luweero 24Hrs'!M18,'26.8 Kampala-Luweero'!M18)</f>
        <v>70.857142857142861</v>
      </c>
      <c r="N18" s="49">
        <f>AVERAGE('20.8 Kampala-Luweero'!N18,'21.8 Kampala-Luweero'!N18,'22.8 Kampala-Luweero'!N18,'23.8 Kampala-Luweero'!N18,'24.8 Kampala-Luweero'!N18,'25.8 Kampala-Luweero 24Hrs'!N18,'26.8 Kampala-Luweero'!N18)</f>
        <v>0</v>
      </c>
      <c r="O18" s="15">
        <f t="shared" si="0"/>
        <v>49.142857142857139</v>
      </c>
      <c r="P18" s="15">
        <f t="shared" si="1"/>
        <v>120</v>
      </c>
      <c r="R18" s="1" t="s">
        <v>14</v>
      </c>
      <c r="S18" s="17">
        <f t="shared" ref="S18:AF18" si="10">SUM(C42:C45)</f>
        <v>30.428571428571427</v>
      </c>
      <c r="T18" s="17">
        <f t="shared" si="10"/>
        <v>4.5714285714285712</v>
      </c>
      <c r="U18" s="17">
        <f t="shared" si="10"/>
        <v>62.714285714285708</v>
      </c>
      <c r="V18" s="17">
        <f t="shared" si="10"/>
        <v>68</v>
      </c>
      <c r="W18" s="17">
        <f t="shared" si="10"/>
        <v>1.2857142857142856</v>
      </c>
      <c r="X18" s="17">
        <f t="shared" si="10"/>
        <v>5.2857142857142856</v>
      </c>
      <c r="Y18" s="17">
        <f t="shared" si="10"/>
        <v>27.142857142857142</v>
      </c>
      <c r="Z18" s="17">
        <f t="shared" si="10"/>
        <v>6.5714285714285712</v>
      </c>
      <c r="AA18" s="17">
        <f t="shared" si="10"/>
        <v>1.1428571428571428</v>
      </c>
      <c r="AB18" s="17">
        <f t="shared" si="10"/>
        <v>6</v>
      </c>
      <c r="AC18" s="17">
        <f t="shared" si="10"/>
        <v>244.14285714285717</v>
      </c>
      <c r="AD18" s="17">
        <f t="shared" si="10"/>
        <v>0</v>
      </c>
      <c r="AE18" s="31">
        <f t="shared" si="10"/>
        <v>213.14285714285711</v>
      </c>
      <c r="AF18" s="31">
        <f t="shared" si="10"/>
        <v>457.28571428571428</v>
      </c>
    </row>
    <row r="19" spans="2:32" ht="23.1" customHeight="1" x14ac:dyDescent="0.25">
      <c r="B19" s="23" t="s">
        <v>46</v>
      </c>
      <c r="C19" s="49">
        <f>AVERAGE('20.8 Kampala-Luweero'!C19,'21.8 Kampala-Luweero'!C19,'22.8 Kampala-Luweero'!C19,'23.8 Kampala-Luweero'!C19,'24.8 Kampala-Luweero'!C19,'25.8 Kampala-Luweero 24Hrs'!C19,'26.8 Kampala-Luweero'!C19)</f>
        <v>10.857142857142858</v>
      </c>
      <c r="D19" s="49">
        <f>AVERAGE('20.8 Kampala-Luweero'!D19,'21.8 Kampala-Luweero'!D19,'22.8 Kampala-Luweero'!D19,'23.8 Kampala-Luweero'!D19,'24.8 Kampala-Luweero'!D19,'25.8 Kampala-Luweero 24Hrs'!D19,'26.8 Kampala-Luweero'!D19)</f>
        <v>0.2857142857142857</v>
      </c>
      <c r="E19" s="49">
        <f>AVERAGE('20.8 Kampala-Luweero'!E19,'21.8 Kampala-Luweero'!E19,'22.8 Kampala-Luweero'!E19,'23.8 Kampala-Luweero'!E19,'24.8 Kampala-Luweero'!E19,'25.8 Kampala-Luweero 24Hrs'!E19,'26.8 Kampala-Luweero'!E19)</f>
        <v>14</v>
      </c>
      <c r="F19" s="49">
        <f>AVERAGE('20.8 Kampala-Luweero'!F19,'21.8 Kampala-Luweero'!F19,'22.8 Kampala-Luweero'!F19,'23.8 Kampala-Luweero'!F19,'24.8 Kampala-Luweero'!F19,'25.8 Kampala-Luweero 24Hrs'!F19,'26.8 Kampala-Luweero'!F19)</f>
        <v>16.285714285714285</v>
      </c>
      <c r="G19" s="49">
        <f>AVERAGE('20.8 Kampala-Luweero'!G19,'21.8 Kampala-Luweero'!G19,'22.8 Kampala-Luweero'!G19,'23.8 Kampala-Luweero'!G19,'24.8 Kampala-Luweero'!G19,'25.8 Kampala-Luweero 24Hrs'!G19,'26.8 Kampala-Luweero'!G19)</f>
        <v>0.2857142857142857</v>
      </c>
      <c r="H19" s="49">
        <f>AVERAGE('20.8 Kampala-Luweero'!H19,'21.8 Kampala-Luweero'!H19,'22.8 Kampala-Luweero'!H19,'23.8 Kampala-Luweero'!H19,'24.8 Kampala-Luweero'!H19,'25.8 Kampala-Luweero 24Hrs'!H19,'26.8 Kampala-Luweero'!H19)</f>
        <v>1.2857142857142858</v>
      </c>
      <c r="I19" s="49">
        <f>AVERAGE('20.8 Kampala-Luweero'!I19,'21.8 Kampala-Luweero'!I19,'22.8 Kampala-Luweero'!I19,'23.8 Kampala-Luweero'!I19,'24.8 Kampala-Luweero'!I19,'25.8 Kampala-Luweero 24Hrs'!I19,'26.8 Kampala-Luweero'!I19)</f>
        <v>3.8571428571428572</v>
      </c>
      <c r="J19" s="49">
        <f>AVERAGE('20.8 Kampala-Luweero'!J19,'21.8 Kampala-Luweero'!J19,'22.8 Kampala-Luweero'!J19,'23.8 Kampala-Luweero'!J19,'24.8 Kampala-Luweero'!J19,'25.8 Kampala-Luweero 24Hrs'!J19,'26.8 Kampala-Luweero'!J19)</f>
        <v>0.7142857142857143</v>
      </c>
      <c r="K19" s="49">
        <f>AVERAGE('20.8 Kampala-Luweero'!K19,'21.8 Kampala-Luweero'!K19,'22.8 Kampala-Luweero'!K19,'23.8 Kampala-Luweero'!K19,'24.8 Kampala-Luweero'!K19,'25.8 Kampala-Luweero 24Hrs'!K19,'26.8 Kampala-Luweero'!K19)</f>
        <v>0</v>
      </c>
      <c r="L19" s="49">
        <f>AVERAGE('20.8 Kampala-Luweero'!L19,'21.8 Kampala-Luweero'!L19,'22.8 Kampala-Luweero'!L19,'23.8 Kampala-Luweero'!L19,'24.8 Kampala-Luweero'!L19,'25.8 Kampala-Luweero 24Hrs'!L19,'26.8 Kampala-Luweero'!L19)</f>
        <v>0.8571428571428571</v>
      </c>
      <c r="M19" s="49">
        <f>AVERAGE('20.8 Kampala-Luweero'!M19,'21.8 Kampala-Luweero'!M19,'22.8 Kampala-Luweero'!M19,'23.8 Kampala-Luweero'!M19,'24.8 Kampala-Luweero'!M19,'25.8 Kampala-Luweero 24Hrs'!M19,'26.8 Kampala-Luweero'!M19)</f>
        <v>76.571428571428569</v>
      </c>
      <c r="N19" s="49">
        <f>AVERAGE('20.8 Kampala-Luweero'!N19,'21.8 Kampala-Luweero'!N19,'22.8 Kampala-Luweero'!N19,'23.8 Kampala-Luweero'!N19,'24.8 Kampala-Luweero'!N19,'25.8 Kampala-Luweero 24Hrs'!N19,'26.8 Kampala-Luweero'!N19)</f>
        <v>0</v>
      </c>
      <c r="O19" s="15">
        <f t="shared" si="0"/>
        <v>48.428571428571423</v>
      </c>
      <c r="P19" s="15">
        <f t="shared" si="1"/>
        <v>125</v>
      </c>
      <c r="R19" s="1" t="s">
        <v>15</v>
      </c>
      <c r="S19" s="17">
        <f t="shared" ref="S19:AF19" si="11">SUM(C46:C49)</f>
        <v>36.857142857142861</v>
      </c>
      <c r="T19" s="17">
        <f t="shared" si="11"/>
        <v>3</v>
      </c>
      <c r="U19" s="17">
        <f t="shared" si="11"/>
        <v>60.428571428571431</v>
      </c>
      <c r="V19" s="17">
        <f t="shared" si="11"/>
        <v>62</v>
      </c>
      <c r="W19" s="17">
        <f t="shared" si="11"/>
        <v>0.85714285714285698</v>
      </c>
      <c r="X19" s="17">
        <f t="shared" si="11"/>
        <v>3.4285714285714284</v>
      </c>
      <c r="Y19" s="17">
        <f t="shared" si="11"/>
        <v>34.571428571428569</v>
      </c>
      <c r="Z19" s="17">
        <f t="shared" si="11"/>
        <v>8.2857142857142847</v>
      </c>
      <c r="AA19" s="17">
        <f t="shared" si="11"/>
        <v>1.5714285714285712</v>
      </c>
      <c r="AB19" s="17">
        <f t="shared" si="11"/>
        <v>9.1428571428571423</v>
      </c>
      <c r="AC19" s="17">
        <f t="shared" si="11"/>
        <v>255.71428571428569</v>
      </c>
      <c r="AD19" s="17">
        <f t="shared" si="11"/>
        <v>0</v>
      </c>
      <c r="AE19" s="31">
        <f t="shared" si="11"/>
        <v>220.14285714285714</v>
      </c>
      <c r="AF19" s="31">
        <f t="shared" si="11"/>
        <v>475.85714285714289</v>
      </c>
    </row>
    <row r="20" spans="2:32" ht="23.1" customHeight="1" x14ac:dyDescent="0.25">
      <c r="B20" s="23" t="s">
        <v>47</v>
      </c>
      <c r="C20" s="49">
        <f>AVERAGE('20.8 Kampala-Luweero'!C20,'21.8 Kampala-Luweero'!C20,'22.8 Kampala-Luweero'!C20,'23.8 Kampala-Luweero'!C20,'24.8 Kampala-Luweero'!C20,'25.8 Kampala-Luweero 24Hrs'!C20,'26.8 Kampala-Luweero'!C20)</f>
        <v>10.142857142857142</v>
      </c>
      <c r="D20" s="49">
        <f>AVERAGE('20.8 Kampala-Luweero'!D20,'21.8 Kampala-Luweero'!D20,'22.8 Kampala-Luweero'!D20,'23.8 Kampala-Luweero'!D20,'24.8 Kampala-Luweero'!D20,'25.8 Kampala-Luweero 24Hrs'!D20,'26.8 Kampala-Luweero'!D20)</f>
        <v>1.4285714285714286</v>
      </c>
      <c r="E20" s="49">
        <f>AVERAGE('20.8 Kampala-Luweero'!E20,'21.8 Kampala-Luweero'!E20,'22.8 Kampala-Luweero'!E20,'23.8 Kampala-Luweero'!E20,'24.8 Kampala-Luweero'!E20,'25.8 Kampala-Luweero 24Hrs'!E20,'26.8 Kampala-Luweero'!E20)</f>
        <v>16.428571428571427</v>
      </c>
      <c r="F20" s="49">
        <f>AVERAGE('20.8 Kampala-Luweero'!F20,'21.8 Kampala-Luweero'!F20,'22.8 Kampala-Luweero'!F20,'23.8 Kampala-Luweero'!F20,'24.8 Kampala-Luweero'!F20,'25.8 Kampala-Luweero 24Hrs'!F20,'26.8 Kampala-Luweero'!F20)</f>
        <v>13.142857142857142</v>
      </c>
      <c r="G20" s="49">
        <f>AVERAGE('20.8 Kampala-Luweero'!G20,'21.8 Kampala-Luweero'!G20,'22.8 Kampala-Luweero'!G20,'23.8 Kampala-Luweero'!G20,'24.8 Kampala-Luweero'!G20,'25.8 Kampala-Luweero 24Hrs'!G20,'26.8 Kampala-Luweero'!G20)</f>
        <v>0.14285714285714285</v>
      </c>
      <c r="H20" s="49">
        <f>AVERAGE('20.8 Kampala-Luweero'!H20,'21.8 Kampala-Luweero'!H20,'22.8 Kampala-Luweero'!H20,'23.8 Kampala-Luweero'!H20,'24.8 Kampala-Luweero'!H20,'25.8 Kampala-Luweero 24Hrs'!H20,'26.8 Kampala-Luweero'!H20)</f>
        <v>1.2857142857142858</v>
      </c>
      <c r="I20" s="49">
        <f>AVERAGE('20.8 Kampala-Luweero'!I20,'21.8 Kampala-Luweero'!I20,'22.8 Kampala-Luweero'!I20,'23.8 Kampala-Luweero'!I20,'24.8 Kampala-Luweero'!I20,'25.8 Kampala-Luweero 24Hrs'!I20,'26.8 Kampala-Luweero'!I20)</f>
        <v>6.4285714285714288</v>
      </c>
      <c r="J20" s="49">
        <f>AVERAGE('20.8 Kampala-Luweero'!J20,'21.8 Kampala-Luweero'!J20,'22.8 Kampala-Luweero'!J20,'23.8 Kampala-Luweero'!J20,'24.8 Kampala-Luweero'!J20,'25.8 Kampala-Luweero 24Hrs'!J20,'26.8 Kampala-Luweero'!J20)</f>
        <v>1.5714285714285714</v>
      </c>
      <c r="K20" s="49">
        <f>AVERAGE('20.8 Kampala-Luweero'!K20,'21.8 Kampala-Luweero'!K20,'22.8 Kampala-Luweero'!K20,'23.8 Kampala-Luweero'!K20,'24.8 Kampala-Luweero'!K20,'25.8 Kampala-Luweero 24Hrs'!K20,'26.8 Kampala-Luweero'!K20)</f>
        <v>0</v>
      </c>
      <c r="L20" s="49">
        <f>AVERAGE('20.8 Kampala-Luweero'!L20,'21.8 Kampala-Luweero'!L20,'22.8 Kampala-Luweero'!L20,'23.8 Kampala-Luweero'!L20,'24.8 Kampala-Luweero'!L20,'25.8 Kampala-Luweero 24Hrs'!L20,'26.8 Kampala-Luweero'!L20)</f>
        <v>1.2857142857142858</v>
      </c>
      <c r="M20" s="49">
        <f>AVERAGE('20.8 Kampala-Luweero'!M20,'21.8 Kampala-Luweero'!M20,'22.8 Kampala-Luweero'!M20,'23.8 Kampala-Luweero'!M20,'24.8 Kampala-Luweero'!M20,'25.8 Kampala-Luweero 24Hrs'!M20,'26.8 Kampala-Luweero'!M20)</f>
        <v>71.714285714285708</v>
      </c>
      <c r="N20" s="49">
        <f>AVERAGE('20.8 Kampala-Luweero'!N20,'21.8 Kampala-Luweero'!N20,'22.8 Kampala-Luweero'!N20,'23.8 Kampala-Luweero'!N20,'24.8 Kampala-Luweero'!N20,'25.8 Kampala-Luweero 24Hrs'!N20,'26.8 Kampala-Luweero'!N20)</f>
        <v>0</v>
      </c>
      <c r="O20" s="15">
        <f t="shared" si="0"/>
        <v>51.857142857142854</v>
      </c>
      <c r="P20" s="15">
        <f t="shared" si="1"/>
        <v>123.57142857142856</v>
      </c>
      <c r="R20" s="1" t="s">
        <v>16</v>
      </c>
      <c r="S20" s="17">
        <f t="shared" ref="S20:AF20" si="12">SUM(C50:C53)</f>
        <v>41.857142857142861</v>
      </c>
      <c r="T20" s="17">
        <f t="shared" si="12"/>
        <v>2.2857142857142856</v>
      </c>
      <c r="U20" s="17">
        <f t="shared" si="12"/>
        <v>49.857142857142861</v>
      </c>
      <c r="V20" s="17">
        <f t="shared" si="12"/>
        <v>60.714285714285708</v>
      </c>
      <c r="W20" s="17">
        <f t="shared" si="12"/>
        <v>0.71428571428571419</v>
      </c>
      <c r="X20" s="17">
        <f t="shared" si="12"/>
        <v>4.5714285714285712</v>
      </c>
      <c r="Y20" s="17">
        <f t="shared" si="12"/>
        <v>27.285714285714285</v>
      </c>
      <c r="Z20" s="17">
        <f t="shared" si="12"/>
        <v>9.571428571428573</v>
      </c>
      <c r="AA20" s="17">
        <f t="shared" si="12"/>
        <v>1.4285714285714284</v>
      </c>
      <c r="AB20" s="17">
        <f t="shared" si="12"/>
        <v>10.571428571428571</v>
      </c>
      <c r="AC20" s="17">
        <f t="shared" si="12"/>
        <v>282.42857142857139</v>
      </c>
      <c r="AD20" s="17">
        <f t="shared" si="12"/>
        <v>0</v>
      </c>
      <c r="AE20" s="31">
        <f t="shared" si="12"/>
        <v>208.85714285714289</v>
      </c>
      <c r="AF20" s="31">
        <f t="shared" si="12"/>
        <v>491.28571428571428</v>
      </c>
    </row>
    <row r="21" spans="2:32" ht="23.1" customHeight="1" x14ac:dyDescent="0.25">
      <c r="B21" s="23" t="s">
        <v>48</v>
      </c>
      <c r="C21" s="49">
        <f>AVERAGE('20.8 Kampala-Luweero'!C21,'21.8 Kampala-Luweero'!C21,'22.8 Kampala-Luweero'!C21,'23.8 Kampala-Luweero'!C21,'24.8 Kampala-Luweero'!C21,'25.8 Kampala-Luweero 24Hrs'!C21,'26.8 Kampala-Luweero'!C21)</f>
        <v>13.142857142857142</v>
      </c>
      <c r="D21" s="49">
        <f>AVERAGE('20.8 Kampala-Luweero'!D21,'21.8 Kampala-Luweero'!D21,'22.8 Kampala-Luweero'!D21,'23.8 Kampala-Luweero'!D21,'24.8 Kampala-Luweero'!D21,'25.8 Kampala-Luweero 24Hrs'!D21,'26.8 Kampala-Luweero'!D21)</f>
        <v>0</v>
      </c>
      <c r="E21" s="49">
        <f>AVERAGE('20.8 Kampala-Luweero'!E21,'21.8 Kampala-Luweero'!E21,'22.8 Kampala-Luweero'!E21,'23.8 Kampala-Luweero'!E21,'24.8 Kampala-Luweero'!E21,'25.8 Kampala-Luweero 24Hrs'!E21,'26.8 Kampala-Luweero'!E21)</f>
        <v>16.285714285714285</v>
      </c>
      <c r="F21" s="49">
        <f>AVERAGE('20.8 Kampala-Luweero'!F21,'21.8 Kampala-Luweero'!F21,'22.8 Kampala-Luweero'!F21,'23.8 Kampala-Luweero'!F21,'24.8 Kampala-Luweero'!F21,'25.8 Kampala-Luweero 24Hrs'!F21,'26.8 Kampala-Luweero'!F21)</f>
        <v>14</v>
      </c>
      <c r="G21" s="49">
        <f>AVERAGE('20.8 Kampala-Luweero'!G21,'21.8 Kampala-Luweero'!G21,'22.8 Kampala-Luweero'!G21,'23.8 Kampala-Luweero'!G21,'24.8 Kampala-Luweero'!G21,'25.8 Kampala-Luweero 24Hrs'!G21,'26.8 Kampala-Luweero'!G21)</f>
        <v>0</v>
      </c>
      <c r="H21" s="49">
        <f>AVERAGE('20.8 Kampala-Luweero'!H21,'21.8 Kampala-Luweero'!H21,'22.8 Kampala-Luweero'!H21,'23.8 Kampala-Luweero'!H21,'24.8 Kampala-Luweero'!H21,'25.8 Kampala-Luweero 24Hrs'!H21,'26.8 Kampala-Luweero'!H21)</f>
        <v>1.1428571428571428</v>
      </c>
      <c r="I21" s="49">
        <f>AVERAGE('20.8 Kampala-Luweero'!I21,'21.8 Kampala-Luweero'!I21,'22.8 Kampala-Luweero'!I21,'23.8 Kampala-Luweero'!I21,'24.8 Kampala-Luweero'!I21,'25.8 Kampala-Luweero 24Hrs'!I21,'26.8 Kampala-Luweero'!I21)</f>
        <v>5</v>
      </c>
      <c r="J21" s="49">
        <f>AVERAGE('20.8 Kampala-Luweero'!J21,'21.8 Kampala-Luweero'!J21,'22.8 Kampala-Luweero'!J21,'23.8 Kampala-Luweero'!J21,'24.8 Kampala-Luweero'!J21,'25.8 Kampala-Luweero 24Hrs'!J21,'26.8 Kampala-Luweero'!J21)</f>
        <v>1.5714285714285714</v>
      </c>
      <c r="K21" s="49">
        <f>AVERAGE('20.8 Kampala-Luweero'!K21,'21.8 Kampala-Luweero'!K21,'22.8 Kampala-Luweero'!K21,'23.8 Kampala-Luweero'!K21,'24.8 Kampala-Luweero'!K21,'25.8 Kampala-Luweero 24Hrs'!K21,'26.8 Kampala-Luweero'!K21)</f>
        <v>0</v>
      </c>
      <c r="L21" s="49">
        <f>AVERAGE('20.8 Kampala-Luweero'!L21,'21.8 Kampala-Luweero'!L21,'22.8 Kampala-Luweero'!L21,'23.8 Kampala-Luweero'!L21,'24.8 Kampala-Luweero'!L21,'25.8 Kampala-Luweero 24Hrs'!L21,'26.8 Kampala-Luweero'!L21)</f>
        <v>0.8571428571428571</v>
      </c>
      <c r="M21" s="49">
        <f>AVERAGE('20.8 Kampala-Luweero'!M21,'21.8 Kampala-Luweero'!M21,'22.8 Kampala-Luweero'!M21,'23.8 Kampala-Luweero'!M21,'24.8 Kampala-Luweero'!M21,'25.8 Kampala-Luweero 24Hrs'!M21,'26.8 Kampala-Luweero'!M21)</f>
        <v>75.428571428571431</v>
      </c>
      <c r="N21" s="49">
        <f>AVERAGE('20.8 Kampala-Luweero'!N21,'21.8 Kampala-Luweero'!N21,'22.8 Kampala-Luweero'!N21,'23.8 Kampala-Luweero'!N21,'24.8 Kampala-Luweero'!N21,'25.8 Kampala-Luweero 24Hrs'!N21,'26.8 Kampala-Luweero'!N21)</f>
        <v>0.14285714285714285</v>
      </c>
      <c r="O21" s="15">
        <f t="shared" si="0"/>
        <v>52.142857142857146</v>
      </c>
      <c r="P21" s="15">
        <f t="shared" si="1"/>
        <v>127.57142857142857</v>
      </c>
      <c r="R21" s="36" t="s">
        <v>20</v>
      </c>
      <c r="S21" s="34">
        <f t="shared" ref="S21:AF21" si="13">SUM(C54:C57)</f>
        <v>36</v>
      </c>
      <c r="T21" s="17">
        <f t="shared" si="13"/>
        <v>2</v>
      </c>
      <c r="U21" s="17">
        <f t="shared" si="13"/>
        <v>41.571428571428569</v>
      </c>
      <c r="V21" s="17">
        <f t="shared" si="13"/>
        <v>57.857142857142861</v>
      </c>
      <c r="W21" s="17">
        <f t="shared" si="13"/>
        <v>0.2857142857142857</v>
      </c>
      <c r="X21" s="17">
        <f t="shared" si="13"/>
        <v>2.4285714285714284</v>
      </c>
      <c r="Y21" s="17">
        <f t="shared" si="13"/>
        <v>30</v>
      </c>
      <c r="Z21" s="17">
        <f t="shared" si="13"/>
        <v>6.2857142857142865</v>
      </c>
      <c r="AA21" s="17">
        <f t="shared" si="13"/>
        <v>2.5714285714285712</v>
      </c>
      <c r="AB21" s="17">
        <f t="shared" si="13"/>
        <v>6.5714285714285712</v>
      </c>
      <c r="AC21" s="17">
        <f t="shared" si="13"/>
        <v>260.57142857142856</v>
      </c>
      <c r="AD21" s="17">
        <f t="shared" si="13"/>
        <v>0.2857142857142857</v>
      </c>
      <c r="AE21" s="31">
        <f t="shared" si="13"/>
        <v>185.85714285714283</v>
      </c>
      <c r="AF21" s="31">
        <f t="shared" si="13"/>
        <v>446.42857142857139</v>
      </c>
    </row>
    <row r="22" spans="2:32" ht="23.1" customHeight="1" x14ac:dyDescent="0.25">
      <c r="B22" s="23" t="s">
        <v>49</v>
      </c>
      <c r="C22" s="49">
        <f>AVERAGE('20.8 Kampala-Luweero'!C22,'21.8 Kampala-Luweero'!C22,'22.8 Kampala-Luweero'!C22,'23.8 Kampala-Luweero'!C22,'24.8 Kampala-Luweero'!C22,'25.8 Kampala-Luweero 24Hrs'!C22,'26.8 Kampala-Luweero'!C22)</f>
        <v>10.428571428571429</v>
      </c>
      <c r="D22" s="49">
        <f>AVERAGE('20.8 Kampala-Luweero'!D22,'21.8 Kampala-Luweero'!D22,'22.8 Kampala-Luweero'!D22,'23.8 Kampala-Luweero'!D22,'24.8 Kampala-Luweero'!D22,'25.8 Kampala-Luweero 24Hrs'!D22,'26.8 Kampala-Luweero'!D22)</f>
        <v>0.5714285714285714</v>
      </c>
      <c r="E22" s="49">
        <f>AVERAGE('20.8 Kampala-Luweero'!E22,'21.8 Kampala-Luweero'!E22,'22.8 Kampala-Luweero'!E22,'23.8 Kampala-Luweero'!E22,'24.8 Kampala-Luweero'!E22,'25.8 Kampala-Luweero 24Hrs'!E22,'26.8 Kampala-Luweero'!E22)</f>
        <v>16</v>
      </c>
      <c r="F22" s="49">
        <f>AVERAGE('20.8 Kampala-Luweero'!F22,'21.8 Kampala-Luweero'!F22,'22.8 Kampala-Luweero'!F22,'23.8 Kampala-Luweero'!F22,'24.8 Kampala-Luweero'!F22,'25.8 Kampala-Luweero 24Hrs'!F22,'26.8 Kampala-Luweero'!F22)</f>
        <v>14.142857142857142</v>
      </c>
      <c r="G22" s="49">
        <f>AVERAGE('20.8 Kampala-Luweero'!G22,'21.8 Kampala-Luweero'!G22,'22.8 Kampala-Luweero'!G22,'23.8 Kampala-Luweero'!G22,'24.8 Kampala-Luweero'!G22,'25.8 Kampala-Luweero 24Hrs'!G22,'26.8 Kampala-Luweero'!G22)</f>
        <v>0.14285714285714285</v>
      </c>
      <c r="H22" s="49">
        <f>AVERAGE('20.8 Kampala-Luweero'!H22,'21.8 Kampala-Luweero'!H22,'22.8 Kampala-Luweero'!H22,'23.8 Kampala-Luweero'!H22,'24.8 Kampala-Luweero'!H22,'25.8 Kampala-Luweero 24Hrs'!H22,'26.8 Kampala-Luweero'!H22)</f>
        <v>0.42857142857142855</v>
      </c>
      <c r="I22" s="49">
        <f>AVERAGE('20.8 Kampala-Luweero'!I22,'21.8 Kampala-Luweero'!I22,'22.8 Kampala-Luweero'!I22,'23.8 Kampala-Luweero'!I22,'24.8 Kampala-Luweero'!I22,'25.8 Kampala-Luweero 24Hrs'!I22,'26.8 Kampala-Luweero'!I22)</f>
        <v>4.7142857142857144</v>
      </c>
      <c r="J22" s="49">
        <f>AVERAGE('20.8 Kampala-Luweero'!J22,'21.8 Kampala-Luweero'!J22,'22.8 Kampala-Luweero'!J22,'23.8 Kampala-Luweero'!J22,'24.8 Kampala-Luweero'!J22,'25.8 Kampala-Luweero 24Hrs'!J22,'26.8 Kampala-Luweero'!J22)</f>
        <v>0.8571428571428571</v>
      </c>
      <c r="K22" s="49">
        <f>AVERAGE('20.8 Kampala-Luweero'!K22,'21.8 Kampala-Luweero'!K22,'22.8 Kampala-Luweero'!K22,'23.8 Kampala-Luweero'!K22,'24.8 Kampala-Luweero'!K22,'25.8 Kampala-Luweero 24Hrs'!K22,'26.8 Kampala-Luweero'!K22)</f>
        <v>0</v>
      </c>
      <c r="L22" s="49">
        <f>AVERAGE('20.8 Kampala-Luweero'!L22,'21.8 Kampala-Luweero'!L22,'22.8 Kampala-Luweero'!L22,'23.8 Kampala-Luweero'!L22,'24.8 Kampala-Luweero'!L22,'25.8 Kampala-Luweero 24Hrs'!L22,'26.8 Kampala-Luweero'!L22)</f>
        <v>0.14285714285714285</v>
      </c>
      <c r="M22" s="49">
        <f>AVERAGE('20.8 Kampala-Luweero'!M22,'21.8 Kampala-Luweero'!M22,'22.8 Kampala-Luweero'!M22,'23.8 Kampala-Luweero'!M22,'24.8 Kampala-Luweero'!M22,'25.8 Kampala-Luweero 24Hrs'!M22,'26.8 Kampala-Luweero'!M22)</f>
        <v>71.857142857142861</v>
      </c>
      <c r="N22" s="49">
        <f>AVERAGE('20.8 Kampala-Luweero'!N22,'21.8 Kampala-Luweero'!N22,'22.8 Kampala-Luweero'!N22,'23.8 Kampala-Luweero'!N22,'24.8 Kampala-Luweero'!N22,'25.8 Kampala-Luweero 24Hrs'!N22,'26.8 Kampala-Luweero'!N22)</f>
        <v>0</v>
      </c>
      <c r="O22" s="15">
        <f t="shared" si="0"/>
        <v>47.428571428571431</v>
      </c>
      <c r="P22" s="15">
        <f t="shared" si="1"/>
        <v>119.28571428571429</v>
      </c>
      <c r="R22" s="1" t="s">
        <v>146</v>
      </c>
      <c r="S22" s="34">
        <f>SUM(C58:C61)</f>
        <v>27</v>
      </c>
      <c r="T22" s="34">
        <f t="shared" ref="T22:AF22" si="14">SUM(D58:D61)</f>
        <v>6</v>
      </c>
      <c r="U22" s="34">
        <f t="shared" si="14"/>
        <v>25</v>
      </c>
      <c r="V22" s="34">
        <f t="shared" si="14"/>
        <v>42</v>
      </c>
      <c r="W22" s="34">
        <f t="shared" si="14"/>
        <v>0</v>
      </c>
      <c r="X22" s="34">
        <f t="shared" si="14"/>
        <v>2</v>
      </c>
      <c r="Y22" s="34">
        <f t="shared" si="14"/>
        <v>32</v>
      </c>
      <c r="Z22" s="34">
        <f t="shared" si="14"/>
        <v>1</v>
      </c>
      <c r="AA22" s="34">
        <f t="shared" si="14"/>
        <v>1</v>
      </c>
      <c r="AB22" s="34">
        <f t="shared" si="14"/>
        <v>10</v>
      </c>
      <c r="AC22" s="34">
        <f t="shared" si="14"/>
        <v>237</v>
      </c>
      <c r="AD22" s="34">
        <f t="shared" si="14"/>
        <v>0</v>
      </c>
      <c r="AE22" s="31">
        <f t="shared" si="14"/>
        <v>146</v>
      </c>
      <c r="AF22" s="31">
        <f t="shared" si="14"/>
        <v>383</v>
      </c>
    </row>
    <row r="23" spans="2:32" ht="23.1" customHeight="1" x14ac:dyDescent="0.25">
      <c r="B23" s="23" t="s">
        <v>50</v>
      </c>
      <c r="C23" s="49">
        <f>AVERAGE('20.8 Kampala-Luweero'!C23,'21.8 Kampala-Luweero'!C23,'22.8 Kampala-Luweero'!C23,'23.8 Kampala-Luweero'!C23,'24.8 Kampala-Luweero'!C23,'25.8 Kampala-Luweero 24Hrs'!C23,'26.8 Kampala-Luweero'!C23)</f>
        <v>10</v>
      </c>
      <c r="D23" s="49">
        <f>AVERAGE('20.8 Kampala-Luweero'!D23,'21.8 Kampala-Luweero'!D23,'22.8 Kampala-Luweero'!D23,'23.8 Kampala-Luweero'!D23,'24.8 Kampala-Luweero'!D23,'25.8 Kampala-Luweero 24Hrs'!D23,'26.8 Kampala-Luweero'!D23)</f>
        <v>1</v>
      </c>
      <c r="E23" s="49">
        <f>AVERAGE('20.8 Kampala-Luweero'!E23,'21.8 Kampala-Luweero'!E23,'22.8 Kampala-Luweero'!E23,'23.8 Kampala-Luweero'!E23,'24.8 Kampala-Luweero'!E23,'25.8 Kampala-Luweero 24Hrs'!E23,'26.8 Kampala-Luweero'!E23)</f>
        <v>17</v>
      </c>
      <c r="F23" s="49">
        <f>AVERAGE('20.8 Kampala-Luweero'!F23,'21.8 Kampala-Luweero'!F23,'22.8 Kampala-Luweero'!F23,'23.8 Kampala-Luweero'!F23,'24.8 Kampala-Luweero'!F23,'25.8 Kampala-Luweero 24Hrs'!F23,'26.8 Kampala-Luweero'!F23)</f>
        <v>13.142857142857142</v>
      </c>
      <c r="G23" s="49">
        <f>AVERAGE('20.8 Kampala-Luweero'!G23,'21.8 Kampala-Luweero'!G23,'22.8 Kampala-Luweero'!G23,'23.8 Kampala-Luweero'!G23,'24.8 Kampala-Luweero'!G23,'25.8 Kampala-Luweero 24Hrs'!G23,'26.8 Kampala-Luweero'!G23)</f>
        <v>0</v>
      </c>
      <c r="H23" s="49">
        <f>AVERAGE('20.8 Kampala-Luweero'!H23,'21.8 Kampala-Luweero'!H23,'22.8 Kampala-Luweero'!H23,'23.8 Kampala-Luweero'!H23,'24.8 Kampala-Luweero'!H23,'25.8 Kampala-Luweero 24Hrs'!H23,'26.8 Kampala-Luweero'!H23)</f>
        <v>1.1428571428571428</v>
      </c>
      <c r="I23" s="49">
        <f>AVERAGE('20.8 Kampala-Luweero'!I23,'21.8 Kampala-Luweero'!I23,'22.8 Kampala-Luweero'!I23,'23.8 Kampala-Luweero'!I23,'24.8 Kampala-Luweero'!I23,'25.8 Kampala-Luweero 24Hrs'!I23,'26.8 Kampala-Luweero'!I23)</f>
        <v>6.4285714285714288</v>
      </c>
      <c r="J23" s="49">
        <f>AVERAGE('20.8 Kampala-Luweero'!J23,'21.8 Kampala-Luweero'!J23,'22.8 Kampala-Luweero'!J23,'23.8 Kampala-Luweero'!J23,'24.8 Kampala-Luweero'!J23,'25.8 Kampala-Luweero 24Hrs'!J23,'26.8 Kampala-Luweero'!J23)</f>
        <v>2</v>
      </c>
      <c r="K23" s="49">
        <f>AVERAGE('20.8 Kampala-Luweero'!K23,'21.8 Kampala-Luweero'!K23,'22.8 Kampala-Luweero'!K23,'23.8 Kampala-Luweero'!K23,'24.8 Kampala-Luweero'!K23,'25.8 Kampala-Luweero 24Hrs'!K23,'26.8 Kampala-Luweero'!K23)</f>
        <v>0.14285714285714285</v>
      </c>
      <c r="L23" s="49">
        <f>AVERAGE('20.8 Kampala-Luweero'!L23,'21.8 Kampala-Luweero'!L23,'22.8 Kampala-Luweero'!L23,'23.8 Kampala-Luweero'!L23,'24.8 Kampala-Luweero'!L23,'25.8 Kampala-Luweero 24Hrs'!L23,'26.8 Kampala-Luweero'!L23)</f>
        <v>1.4285714285714286</v>
      </c>
      <c r="M23" s="49">
        <f>AVERAGE('20.8 Kampala-Luweero'!M23,'21.8 Kampala-Luweero'!M23,'22.8 Kampala-Luweero'!M23,'23.8 Kampala-Luweero'!M23,'24.8 Kampala-Luweero'!M23,'25.8 Kampala-Luweero 24Hrs'!M23,'26.8 Kampala-Luweero'!M23)</f>
        <v>76</v>
      </c>
      <c r="N23" s="49">
        <f>AVERAGE('20.8 Kampala-Luweero'!N23,'21.8 Kampala-Luweero'!N23,'22.8 Kampala-Luweero'!N23,'23.8 Kampala-Luweero'!N23,'24.8 Kampala-Luweero'!N23,'25.8 Kampala-Luweero 24Hrs'!N23,'26.8 Kampala-Luweero'!N23)</f>
        <v>0</v>
      </c>
      <c r="O23" s="15">
        <f t="shared" si="0"/>
        <v>52.285714285714292</v>
      </c>
      <c r="P23" s="15">
        <f t="shared" si="1"/>
        <v>128.28571428571428</v>
      </c>
      <c r="R23" s="1" t="s">
        <v>147</v>
      </c>
      <c r="S23" s="34">
        <f>SUM(C62:C65)</f>
        <v>21</v>
      </c>
      <c r="T23" s="34">
        <f t="shared" ref="T23:AF23" si="15">SUM(D62:D65)</f>
        <v>4</v>
      </c>
      <c r="U23" s="34">
        <f t="shared" si="15"/>
        <v>23</v>
      </c>
      <c r="V23" s="34">
        <f t="shared" si="15"/>
        <v>22</v>
      </c>
      <c r="W23" s="34">
        <f t="shared" si="15"/>
        <v>0</v>
      </c>
      <c r="X23" s="34">
        <f t="shared" si="15"/>
        <v>4</v>
      </c>
      <c r="Y23" s="34">
        <f t="shared" si="15"/>
        <v>24</v>
      </c>
      <c r="Z23" s="34">
        <f t="shared" si="15"/>
        <v>2</v>
      </c>
      <c r="AA23" s="34">
        <f t="shared" si="15"/>
        <v>1</v>
      </c>
      <c r="AB23" s="34">
        <f t="shared" si="15"/>
        <v>14</v>
      </c>
      <c r="AC23" s="34">
        <f t="shared" si="15"/>
        <v>165</v>
      </c>
      <c r="AD23" s="34">
        <f t="shared" si="15"/>
        <v>0</v>
      </c>
      <c r="AE23" s="31">
        <f t="shared" si="15"/>
        <v>115</v>
      </c>
      <c r="AF23" s="31">
        <f t="shared" si="15"/>
        <v>280</v>
      </c>
    </row>
    <row r="24" spans="2:32" ht="23.1" customHeight="1" x14ac:dyDescent="0.25">
      <c r="B24" s="23" t="s">
        <v>51</v>
      </c>
      <c r="C24" s="49">
        <f>AVERAGE('20.8 Kampala-Luweero'!C24,'21.8 Kampala-Luweero'!C24,'22.8 Kampala-Luweero'!C24,'23.8 Kampala-Luweero'!C24,'24.8 Kampala-Luweero'!C24,'25.8 Kampala-Luweero 24Hrs'!C24,'26.8 Kampala-Luweero'!C24)</f>
        <v>10.714285714285714</v>
      </c>
      <c r="D24" s="49">
        <f>AVERAGE('20.8 Kampala-Luweero'!D24,'21.8 Kampala-Luweero'!D24,'22.8 Kampala-Luweero'!D24,'23.8 Kampala-Luweero'!D24,'24.8 Kampala-Luweero'!D24,'25.8 Kampala-Luweero 24Hrs'!D24,'26.8 Kampala-Luweero'!D24)</f>
        <v>0.42857142857142855</v>
      </c>
      <c r="E24" s="49">
        <f>AVERAGE('20.8 Kampala-Luweero'!E24,'21.8 Kampala-Luweero'!E24,'22.8 Kampala-Luweero'!E24,'23.8 Kampala-Luweero'!E24,'24.8 Kampala-Luweero'!E24,'25.8 Kampala-Luweero 24Hrs'!E24,'26.8 Kampala-Luweero'!E24)</f>
        <v>19.857142857142858</v>
      </c>
      <c r="F24" s="49">
        <f>AVERAGE('20.8 Kampala-Luweero'!F24,'21.8 Kampala-Luweero'!F24,'22.8 Kampala-Luweero'!F24,'23.8 Kampala-Luweero'!F24,'24.8 Kampala-Luweero'!F24,'25.8 Kampala-Luweero 24Hrs'!F24,'26.8 Kampala-Luweero'!F24)</f>
        <v>13.285714285714286</v>
      </c>
      <c r="G24" s="49">
        <f>AVERAGE('20.8 Kampala-Luweero'!G24,'21.8 Kampala-Luweero'!G24,'22.8 Kampala-Luweero'!G24,'23.8 Kampala-Luweero'!G24,'24.8 Kampala-Luweero'!G24,'25.8 Kampala-Luweero 24Hrs'!G24,'26.8 Kampala-Luweero'!G24)</f>
        <v>0.42857142857142855</v>
      </c>
      <c r="H24" s="49">
        <f>AVERAGE('20.8 Kampala-Luweero'!H24,'21.8 Kampala-Luweero'!H24,'22.8 Kampala-Luweero'!H24,'23.8 Kampala-Luweero'!H24,'24.8 Kampala-Luweero'!H24,'25.8 Kampala-Luweero 24Hrs'!H24,'26.8 Kampala-Luweero'!H24)</f>
        <v>0.7142857142857143</v>
      </c>
      <c r="I24" s="49">
        <f>AVERAGE('20.8 Kampala-Luweero'!I24,'21.8 Kampala-Luweero'!I24,'22.8 Kampala-Luweero'!I24,'23.8 Kampala-Luweero'!I24,'24.8 Kampala-Luweero'!I24,'25.8 Kampala-Luweero 24Hrs'!I24,'26.8 Kampala-Luweero'!I24)</f>
        <v>5.8571428571428568</v>
      </c>
      <c r="J24" s="49">
        <f>AVERAGE('20.8 Kampala-Luweero'!J24,'21.8 Kampala-Luweero'!J24,'22.8 Kampala-Luweero'!J24,'23.8 Kampala-Luweero'!J24,'24.8 Kampala-Luweero'!J24,'25.8 Kampala-Luweero 24Hrs'!J24,'26.8 Kampala-Luweero'!J24)</f>
        <v>1.5714285714285714</v>
      </c>
      <c r="K24" s="49">
        <f>AVERAGE('20.8 Kampala-Luweero'!K24,'21.8 Kampala-Luweero'!K24,'22.8 Kampala-Luweero'!K24,'23.8 Kampala-Luweero'!K24,'24.8 Kampala-Luweero'!K24,'25.8 Kampala-Luweero 24Hrs'!K24,'26.8 Kampala-Luweero'!K24)</f>
        <v>0.14285714285714285</v>
      </c>
      <c r="L24" s="49">
        <f>AVERAGE('20.8 Kampala-Luweero'!L24,'21.8 Kampala-Luweero'!L24,'22.8 Kampala-Luweero'!L24,'23.8 Kampala-Luweero'!L24,'24.8 Kampala-Luweero'!L24,'25.8 Kampala-Luweero 24Hrs'!L24,'26.8 Kampala-Luweero'!L24)</f>
        <v>1.1428571428571428</v>
      </c>
      <c r="M24" s="49">
        <f>AVERAGE('20.8 Kampala-Luweero'!M24,'21.8 Kampala-Luweero'!M24,'22.8 Kampala-Luweero'!M24,'23.8 Kampala-Luweero'!M24,'24.8 Kampala-Luweero'!M24,'25.8 Kampala-Luweero 24Hrs'!M24,'26.8 Kampala-Luweero'!M24)</f>
        <v>76.571428571428569</v>
      </c>
      <c r="N24" s="49">
        <f>AVERAGE('20.8 Kampala-Luweero'!N24,'21.8 Kampala-Luweero'!N24,'22.8 Kampala-Luweero'!N24,'23.8 Kampala-Luweero'!N24,'24.8 Kampala-Luweero'!N24,'25.8 Kampala-Luweero 24Hrs'!N24,'26.8 Kampala-Luweero'!N24)</f>
        <v>0</v>
      </c>
      <c r="O24" s="15">
        <f t="shared" si="0"/>
        <v>54.142857142857146</v>
      </c>
      <c r="P24" s="15">
        <f t="shared" si="1"/>
        <v>130.71428571428572</v>
      </c>
      <c r="R24" s="1" t="s">
        <v>148</v>
      </c>
      <c r="S24" s="34">
        <f>SUM(C66:C69)</f>
        <v>12</v>
      </c>
      <c r="T24" s="34">
        <f t="shared" ref="T24:AF24" si="16">SUM(D66:D69)</f>
        <v>4</v>
      </c>
      <c r="U24" s="34">
        <f t="shared" si="16"/>
        <v>14</v>
      </c>
      <c r="V24" s="34">
        <f t="shared" si="16"/>
        <v>15</v>
      </c>
      <c r="W24" s="34">
        <f t="shared" si="16"/>
        <v>4</v>
      </c>
      <c r="X24" s="34">
        <f t="shared" si="16"/>
        <v>5</v>
      </c>
      <c r="Y24" s="34">
        <f t="shared" si="16"/>
        <v>23</v>
      </c>
      <c r="Z24" s="34">
        <f t="shared" si="16"/>
        <v>1</v>
      </c>
      <c r="AA24" s="34">
        <f t="shared" si="16"/>
        <v>2</v>
      </c>
      <c r="AB24" s="34">
        <f t="shared" si="16"/>
        <v>7</v>
      </c>
      <c r="AC24" s="34">
        <f t="shared" si="16"/>
        <v>88</v>
      </c>
      <c r="AD24" s="34">
        <f t="shared" si="16"/>
        <v>0</v>
      </c>
      <c r="AE24" s="31">
        <f t="shared" si="16"/>
        <v>87</v>
      </c>
      <c r="AF24" s="31">
        <f t="shared" si="16"/>
        <v>175</v>
      </c>
    </row>
    <row r="25" spans="2:32" ht="23.1" customHeight="1" x14ac:dyDescent="0.25">
      <c r="B25" s="23" t="s">
        <v>52</v>
      </c>
      <c r="C25" s="49">
        <f>AVERAGE('20.8 Kampala-Luweero'!C25,'21.8 Kampala-Luweero'!C25,'22.8 Kampala-Luweero'!C25,'23.8 Kampala-Luweero'!C25,'24.8 Kampala-Luweero'!C25,'25.8 Kampala-Luweero 24Hrs'!C25,'26.8 Kampala-Luweero'!C25)</f>
        <v>10.714285714285714</v>
      </c>
      <c r="D25" s="49">
        <f>AVERAGE('20.8 Kampala-Luweero'!D25,'21.8 Kampala-Luweero'!D25,'22.8 Kampala-Luweero'!D25,'23.8 Kampala-Luweero'!D25,'24.8 Kampala-Luweero'!D25,'25.8 Kampala-Luweero 24Hrs'!D25,'26.8 Kampala-Luweero'!D25)</f>
        <v>0.7142857142857143</v>
      </c>
      <c r="E25" s="49">
        <f>AVERAGE('20.8 Kampala-Luweero'!E25,'21.8 Kampala-Luweero'!E25,'22.8 Kampala-Luweero'!E25,'23.8 Kampala-Luweero'!E25,'24.8 Kampala-Luweero'!E25,'25.8 Kampala-Luweero 24Hrs'!E25,'26.8 Kampala-Luweero'!E25)</f>
        <v>15.285714285714286</v>
      </c>
      <c r="F25" s="49">
        <f>AVERAGE('20.8 Kampala-Luweero'!F25,'21.8 Kampala-Luweero'!F25,'22.8 Kampala-Luweero'!F25,'23.8 Kampala-Luweero'!F25,'24.8 Kampala-Luweero'!F25,'25.8 Kampala-Luweero 24Hrs'!F25,'26.8 Kampala-Luweero'!F25)</f>
        <v>16</v>
      </c>
      <c r="G25" s="49">
        <f>AVERAGE('20.8 Kampala-Luweero'!G25,'21.8 Kampala-Luweero'!G25,'22.8 Kampala-Luweero'!G25,'23.8 Kampala-Luweero'!G25,'24.8 Kampala-Luweero'!G25,'25.8 Kampala-Luweero 24Hrs'!G25,'26.8 Kampala-Luweero'!G25)</f>
        <v>0.2857142857142857</v>
      </c>
      <c r="H25" s="49">
        <f>AVERAGE('20.8 Kampala-Luweero'!H25,'21.8 Kampala-Luweero'!H25,'22.8 Kampala-Luweero'!H25,'23.8 Kampala-Luweero'!H25,'24.8 Kampala-Luweero'!H25,'25.8 Kampala-Luweero 24Hrs'!H25,'26.8 Kampala-Luweero'!H25)</f>
        <v>1.1428571428571428</v>
      </c>
      <c r="I25" s="49">
        <f>AVERAGE('20.8 Kampala-Luweero'!I25,'21.8 Kampala-Luweero'!I25,'22.8 Kampala-Luweero'!I25,'23.8 Kampala-Luweero'!I25,'24.8 Kampala-Luweero'!I25,'25.8 Kampala-Luweero 24Hrs'!I25,'26.8 Kampala-Luweero'!I25)</f>
        <v>5.1428571428571432</v>
      </c>
      <c r="J25" s="49">
        <f>AVERAGE('20.8 Kampala-Luweero'!J25,'21.8 Kampala-Luweero'!J25,'22.8 Kampala-Luweero'!J25,'23.8 Kampala-Luweero'!J25,'24.8 Kampala-Luweero'!J25,'25.8 Kampala-Luweero 24Hrs'!J25,'26.8 Kampala-Luweero'!J25)</f>
        <v>1.7142857142857142</v>
      </c>
      <c r="K25" s="49">
        <f>AVERAGE('20.8 Kampala-Luweero'!K25,'21.8 Kampala-Luweero'!K25,'22.8 Kampala-Luweero'!K25,'23.8 Kampala-Luweero'!K25,'24.8 Kampala-Luweero'!K25,'25.8 Kampala-Luweero 24Hrs'!K25,'26.8 Kampala-Luweero'!K25)</f>
        <v>0.14285714285714285</v>
      </c>
      <c r="L25" s="49">
        <f>AVERAGE('20.8 Kampala-Luweero'!L25,'21.8 Kampala-Luweero'!L25,'22.8 Kampala-Luweero'!L25,'23.8 Kampala-Luweero'!L25,'24.8 Kampala-Luweero'!L25,'25.8 Kampala-Luweero 24Hrs'!L25,'26.8 Kampala-Luweero'!L25)</f>
        <v>0.7142857142857143</v>
      </c>
      <c r="M25" s="49">
        <f>AVERAGE('20.8 Kampala-Luweero'!M25,'21.8 Kampala-Luweero'!M25,'22.8 Kampala-Luweero'!M25,'23.8 Kampala-Luweero'!M25,'24.8 Kampala-Luweero'!M25,'25.8 Kampala-Luweero 24Hrs'!M25,'26.8 Kampala-Luweero'!M25)</f>
        <v>66.285714285714292</v>
      </c>
      <c r="N25" s="49">
        <f>AVERAGE('20.8 Kampala-Luweero'!N25,'21.8 Kampala-Luweero'!N25,'22.8 Kampala-Luweero'!N25,'23.8 Kampala-Luweero'!N25,'24.8 Kampala-Luweero'!N25,'25.8 Kampala-Luweero 24Hrs'!N25,'26.8 Kampala-Luweero'!N25)</f>
        <v>0</v>
      </c>
      <c r="O25" s="15">
        <f t="shared" si="0"/>
        <v>51.857142857142868</v>
      </c>
      <c r="P25" s="15">
        <f t="shared" si="1"/>
        <v>118.14285714285717</v>
      </c>
      <c r="R25" s="1" t="s">
        <v>149</v>
      </c>
      <c r="S25" s="34">
        <f>SUM(C70:C73)</f>
        <v>8</v>
      </c>
      <c r="T25" s="34">
        <f t="shared" ref="T25:AF25" si="17">SUM(D70:D73)</f>
        <v>1</v>
      </c>
      <c r="U25" s="34">
        <f t="shared" si="17"/>
        <v>9</v>
      </c>
      <c r="V25" s="34">
        <f t="shared" si="17"/>
        <v>13</v>
      </c>
      <c r="W25" s="34">
        <f t="shared" si="17"/>
        <v>4</v>
      </c>
      <c r="X25" s="34">
        <f t="shared" si="17"/>
        <v>5</v>
      </c>
      <c r="Y25" s="34">
        <f t="shared" si="17"/>
        <v>13</v>
      </c>
      <c r="Z25" s="34">
        <f t="shared" si="17"/>
        <v>1</v>
      </c>
      <c r="AA25" s="34">
        <f t="shared" si="17"/>
        <v>2</v>
      </c>
      <c r="AB25" s="34">
        <f t="shared" si="17"/>
        <v>7</v>
      </c>
      <c r="AC25" s="34">
        <f t="shared" si="17"/>
        <v>34</v>
      </c>
      <c r="AD25" s="34">
        <f t="shared" si="17"/>
        <v>0</v>
      </c>
      <c r="AE25" s="31">
        <f t="shared" si="17"/>
        <v>63</v>
      </c>
      <c r="AF25" s="31">
        <f t="shared" si="17"/>
        <v>97</v>
      </c>
    </row>
    <row r="26" spans="2:32" ht="23.1" customHeight="1" x14ac:dyDescent="0.25">
      <c r="B26" s="23" t="s">
        <v>53</v>
      </c>
      <c r="C26" s="49">
        <f>AVERAGE('20.8 Kampala-Luweero'!C26,'21.8 Kampala-Luweero'!C26,'22.8 Kampala-Luweero'!C26,'23.8 Kampala-Luweero'!C26,'24.8 Kampala-Luweero'!C26,'25.8 Kampala-Luweero 24Hrs'!C26,'26.8 Kampala-Luweero'!C26)</f>
        <v>12</v>
      </c>
      <c r="D26" s="49">
        <f>AVERAGE('20.8 Kampala-Luweero'!D26,'21.8 Kampala-Luweero'!D26,'22.8 Kampala-Luweero'!D26,'23.8 Kampala-Luweero'!D26,'24.8 Kampala-Luweero'!D26,'25.8 Kampala-Luweero 24Hrs'!D26,'26.8 Kampala-Luweero'!D26)</f>
        <v>2</v>
      </c>
      <c r="E26" s="49">
        <f>AVERAGE('20.8 Kampala-Luweero'!E26,'21.8 Kampala-Luweero'!E26,'22.8 Kampala-Luweero'!E26,'23.8 Kampala-Luweero'!E26,'24.8 Kampala-Luweero'!E26,'25.8 Kampala-Luweero 24Hrs'!E26,'26.8 Kampala-Luweero'!E26)</f>
        <v>16.571428571428573</v>
      </c>
      <c r="F26" s="49">
        <f>AVERAGE('20.8 Kampala-Luweero'!F26,'21.8 Kampala-Luweero'!F26,'22.8 Kampala-Luweero'!F26,'23.8 Kampala-Luweero'!F26,'24.8 Kampala-Luweero'!F26,'25.8 Kampala-Luweero 24Hrs'!F26,'26.8 Kampala-Luweero'!F26)</f>
        <v>15.714285714285714</v>
      </c>
      <c r="G26" s="49">
        <f>AVERAGE('20.8 Kampala-Luweero'!G26,'21.8 Kampala-Luweero'!G26,'22.8 Kampala-Luweero'!G26,'23.8 Kampala-Luweero'!G26,'24.8 Kampala-Luweero'!G26,'25.8 Kampala-Luweero 24Hrs'!G26,'26.8 Kampala-Luweero'!G26)</f>
        <v>0.2857142857142857</v>
      </c>
      <c r="H26" s="49">
        <f>AVERAGE('20.8 Kampala-Luweero'!H26,'21.8 Kampala-Luweero'!H26,'22.8 Kampala-Luweero'!H26,'23.8 Kampala-Luweero'!H26,'24.8 Kampala-Luweero'!H26,'25.8 Kampala-Luweero 24Hrs'!H26,'26.8 Kampala-Luweero'!H26)</f>
        <v>0.7142857142857143</v>
      </c>
      <c r="I26" s="49">
        <f>AVERAGE('20.8 Kampala-Luweero'!I26,'21.8 Kampala-Luweero'!I26,'22.8 Kampala-Luweero'!I26,'23.8 Kampala-Luweero'!I26,'24.8 Kampala-Luweero'!I26,'25.8 Kampala-Luweero 24Hrs'!I26,'26.8 Kampala-Luweero'!I26)</f>
        <v>7.2857142857142856</v>
      </c>
      <c r="J26" s="49">
        <f>AVERAGE('20.8 Kampala-Luweero'!J26,'21.8 Kampala-Luweero'!J26,'22.8 Kampala-Luweero'!J26,'23.8 Kampala-Luweero'!J26,'24.8 Kampala-Luweero'!J26,'25.8 Kampala-Luweero 24Hrs'!J26,'26.8 Kampala-Luweero'!J26)</f>
        <v>1.5714285714285714</v>
      </c>
      <c r="K26" s="49">
        <f>AVERAGE('20.8 Kampala-Luweero'!K26,'21.8 Kampala-Luweero'!K26,'22.8 Kampala-Luweero'!K26,'23.8 Kampala-Luweero'!K26,'24.8 Kampala-Luweero'!K26,'25.8 Kampala-Luweero 24Hrs'!K26,'26.8 Kampala-Luweero'!K26)</f>
        <v>0.14285714285714285</v>
      </c>
      <c r="L26" s="49">
        <f>AVERAGE('20.8 Kampala-Luweero'!L26,'21.8 Kampala-Luweero'!L26,'22.8 Kampala-Luweero'!L26,'23.8 Kampala-Luweero'!L26,'24.8 Kampala-Luweero'!L26,'25.8 Kampala-Luweero 24Hrs'!L26,'26.8 Kampala-Luweero'!L26)</f>
        <v>1</v>
      </c>
      <c r="M26" s="49">
        <f>AVERAGE('20.8 Kampala-Luweero'!M26,'21.8 Kampala-Luweero'!M26,'22.8 Kampala-Luweero'!M26,'23.8 Kampala-Luweero'!M26,'24.8 Kampala-Luweero'!M26,'25.8 Kampala-Luweero 24Hrs'!M26,'26.8 Kampala-Luweero'!M26)</f>
        <v>68.142857142857139</v>
      </c>
      <c r="N26" s="49">
        <f>AVERAGE('20.8 Kampala-Luweero'!N26,'21.8 Kampala-Luweero'!N26,'22.8 Kampala-Luweero'!N26,'23.8 Kampala-Luweero'!N26,'24.8 Kampala-Luweero'!N26,'25.8 Kampala-Luweero 24Hrs'!N26,'26.8 Kampala-Luweero'!N26)</f>
        <v>0</v>
      </c>
      <c r="O26" s="15">
        <f t="shared" si="0"/>
        <v>57.285714285714285</v>
      </c>
      <c r="P26" s="15">
        <f t="shared" si="1"/>
        <v>125.42857142857142</v>
      </c>
      <c r="R26" s="1" t="s">
        <v>150</v>
      </c>
      <c r="S26" s="34">
        <f>SUM(C74:C77)</f>
        <v>7</v>
      </c>
      <c r="T26" s="34">
        <f t="shared" ref="T26:AF26" si="18">SUM(D74:D77)</f>
        <v>0</v>
      </c>
      <c r="U26" s="34">
        <f t="shared" si="18"/>
        <v>4</v>
      </c>
      <c r="V26" s="34">
        <f t="shared" si="18"/>
        <v>2</v>
      </c>
      <c r="W26" s="34">
        <f t="shared" si="18"/>
        <v>4</v>
      </c>
      <c r="X26" s="34">
        <f t="shared" si="18"/>
        <v>5</v>
      </c>
      <c r="Y26" s="34">
        <f t="shared" si="18"/>
        <v>10</v>
      </c>
      <c r="Z26" s="34">
        <f t="shared" si="18"/>
        <v>1</v>
      </c>
      <c r="AA26" s="34">
        <f t="shared" si="18"/>
        <v>0</v>
      </c>
      <c r="AB26" s="34">
        <f t="shared" si="18"/>
        <v>7</v>
      </c>
      <c r="AC26" s="34">
        <f t="shared" si="18"/>
        <v>16</v>
      </c>
      <c r="AD26" s="34">
        <f t="shared" si="18"/>
        <v>0</v>
      </c>
      <c r="AE26" s="31">
        <f t="shared" si="18"/>
        <v>40</v>
      </c>
      <c r="AF26" s="31">
        <f t="shared" si="18"/>
        <v>56</v>
      </c>
    </row>
    <row r="27" spans="2:32" ht="23.1" customHeight="1" x14ac:dyDescent="0.25">
      <c r="B27" s="23" t="s">
        <v>54</v>
      </c>
      <c r="C27" s="49">
        <f>AVERAGE('20.8 Kampala-Luweero'!C27,'21.8 Kampala-Luweero'!C27,'22.8 Kampala-Luweero'!C27,'23.8 Kampala-Luweero'!C27,'24.8 Kampala-Luweero'!C27,'25.8 Kampala-Luweero 24Hrs'!C27,'26.8 Kampala-Luweero'!C27)</f>
        <v>10.714285714285714</v>
      </c>
      <c r="D27" s="49">
        <f>AVERAGE('20.8 Kampala-Luweero'!D27,'21.8 Kampala-Luweero'!D27,'22.8 Kampala-Luweero'!D27,'23.8 Kampala-Luweero'!D27,'24.8 Kampala-Luweero'!D27,'25.8 Kampala-Luweero 24Hrs'!D27,'26.8 Kampala-Luweero'!D27)</f>
        <v>0.7142857142857143</v>
      </c>
      <c r="E27" s="49">
        <f>AVERAGE('20.8 Kampala-Luweero'!E27,'21.8 Kampala-Luweero'!E27,'22.8 Kampala-Luweero'!E27,'23.8 Kampala-Luweero'!E27,'24.8 Kampala-Luweero'!E27,'25.8 Kampala-Luweero 24Hrs'!E27,'26.8 Kampala-Luweero'!E27)</f>
        <v>17</v>
      </c>
      <c r="F27" s="49">
        <f>AVERAGE('20.8 Kampala-Luweero'!F27,'21.8 Kampala-Luweero'!F27,'22.8 Kampala-Luweero'!F27,'23.8 Kampala-Luweero'!F27,'24.8 Kampala-Luweero'!F27,'25.8 Kampala-Luweero 24Hrs'!F27,'26.8 Kampala-Luweero'!F27)</f>
        <v>13</v>
      </c>
      <c r="G27" s="49">
        <f>AVERAGE('20.8 Kampala-Luweero'!G27,'21.8 Kampala-Luweero'!G27,'22.8 Kampala-Luweero'!G27,'23.8 Kampala-Luweero'!G27,'24.8 Kampala-Luweero'!G27,'25.8 Kampala-Luweero 24Hrs'!G27,'26.8 Kampala-Luweero'!G27)</f>
        <v>0.5714285714285714</v>
      </c>
      <c r="H27" s="49">
        <f>AVERAGE('20.8 Kampala-Luweero'!H27,'21.8 Kampala-Luweero'!H27,'22.8 Kampala-Luweero'!H27,'23.8 Kampala-Luweero'!H27,'24.8 Kampala-Luweero'!H27,'25.8 Kampala-Luweero 24Hrs'!H27,'26.8 Kampala-Luweero'!H27)</f>
        <v>2.1428571428571428</v>
      </c>
      <c r="I27" s="49">
        <f>AVERAGE('20.8 Kampala-Luweero'!I27,'21.8 Kampala-Luweero'!I27,'22.8 Kampala-Luweero'!I27,'23.8 Kampala-Luweero'!I27,'24.8 Kampala-Luweero'!I27,'25.8 Kampala-Luweero 24Hrs'!I27,'26.8 Kampala-Luweero'!I27)</f>
        <v>5.1428571428571432</v>
      </c>
      <c r="J27" s="49">
        <f>AVERAGE('20.8 Kampala-Luweero'!J27,'21.8 Kampala-Luweero'!J27,'22.8 Kampala-Luweero'!J27,'23.8 Kampala-Luweero'!J27,'24.8 Kampala-Luweero'!J27,'25.8 Kampala-Luweero 24Hrs'!J27,'26.8 Kampala-Luweero'!J27)</f>
        <v>1.4285714285714286</v>
      </c>
      <c r="K27" s="49">
        <f>AVERAGE('20.8 Kampala-Luweero'!K27,'21.8 Kampala-Luweero'!K27,'22.8 Kampala-Luweero'!K27,'23.8 Kampala-Luweero'!K27,'24.8 Kampala-Luweero'!K27,'25.8 Kampala-Luweero 24Hrs'!K27,'26.8 Kampala-Luweero'!K27)</f>
        <v>0.14285714285714285</v>
      </c>
      <c r="L27" s="49">
        <f>AVERAGE('20.8 Kampala-Luweero'!L27,'21.8 Kampala-Luweero'!L27,'22.8 Kampala-Luweero'!L27,'23.8 Kampala-Luweero'!L27,'24.8 Kampala-Luweero'!L27,'25.8 Kampala-Luweero 24Hrs'!L27,'26.8 Kampala-Luweero'!L27)</f>
        <v>0.42857142857142855</v>
      </c>
      <c r="M27" s="49">
        <f>AVERAGE('20.8 Kampala-Luweero'!M27,'21.8 Kampala-Luweero'!M27,'22.8 Kampala-Luweero'!M27,'23.8 Kampala-Luweero'!M27,'24.8 Kampala-Luweero'!M27,'25.8 Kampala-Luweero 24Hrs'!M27,'26.8 Kampala-Luweero'!M27)</f>
        <v>70</v>
      </c>
      <c r="N27" s="49">
        <f>AVERAGE('20.8 Kampala-Luweero'!N27,'21.8 Kampala-Luweero'!N27,'22.8 Kampala-Luweero'!N27,'23.8 Kampala-Luweero'!N27,'24.8 Kampala-Luweero'!N27,'25.8 Kampala-Luweero 24Hrs'!N27,'26.8 Kampala-Luweero'!N27)</f>
        <v>0</v>
      </c>
      <c r="O27" s="15">
        <f t="shared" si="0"/>
        <v>51.285714285714299</v>
      </c>
      <c r="P27" s="15">
        <f t="shared" si="1"/>
        <v>121.28571428571431</v>
      </c>
      <c r="R27" s="1" t="s">
        <v>151</v>
      </c>
      <c r="S27" s="34">
        <f>SUM(C78:C81)</f>
        <v>4</v>
      </c>
      <c r="T27" s="34">
        <f t="shared" ref="T27:AF27" si="19">SUM(D78:D81)</f>
        <v>3</v>
      </c>
      <c r="U27" s="34">
        <f t="shared" si="19"/>
        <v>3</v>
      </c>
      <c r="V27" s="34">
        <f t="shared" si="19"/>
        <v>2</v>
      </c>
      <c r="W27" s="34">
        <f t="shared" si="19"/>
        <v>4</v>
      </c>
      <c r="X27" s="34">
        <f t="shared" si="19"/>
        <v>4</v>
      </c>
      <c r="Y27" s="34">
        <f t="shared" si="19"/>
        <v>5</v>
      </c>
      <c r="Z27" s="34">
        <f t="shared" si="19"/>
        <v>1</v>
      </c>
      <c r="AA27" s="34">
        <f t="shared" si="19"/>
        <v>0</v>
      </c>
      <c r="AB27" s="34">
        <f t="shared" si="19"/>
        <v>7</v>
      </c>
      <c r="AC27" s="34">
        <f t="shared" si="19"/>
        <v>13</v>
      </c>
      <c r="AD27" s="34">
        <f t="shared" si="19"/>
        <v>0</v>
      </c>
      <c r="AE27" s="31">
        <f t="shared" si="19"/>
        <v>33</v>
      </c>
      <c r="AF27" s="31">
        <f t="shared" si="19"/>
        <v>46</v>
      </c>
    </row>
    <row r="28" spans="2:32" ht="23.1" customHeight="1" x14ac:dyDescent="0.25">
      <c r="B28" s="23" t="s">
        <v>55</v>
      </c>
      <c r="C28" s="49">
        <f>AVERAGE('20.8 Kampala-Luweero'!C28,'21.8 Kampala-Luweero'!C28,'22.8 Kampala-Luweero'!C28,'23.8 Kampala-Luweero'!C28,'24.8 Kampala-Luweero'!C28,'25.8 Kampala-Luweero 24Hrs'!C28,'26.8 Kampala-Luweero'!C28)</f>
        <v>10.857142857142858</v>
      </c>
      <c r="D28" s="49">
        <f>AVERAGE('20.8 Kampala-Luweero'!D28,'21.8 Kampala-Luweero'!D28,'22.8 Kampala-Luweero'!D28,'23.8 Kampala-Luweero'!D28,'24.8 Kampala-Luweero'!D28,'25.8 Kampala-Luweero 24Hrs'!D28,'26.8 Kampala-Luweero'!D28)</f>
        <v>0.5714285714285714</v>
      </c>
      <c r="E28" s="49">
        <f>AVERAGE('20.8 Kampala-Luweero'!E28,'21.8 Kampala-Luweero'!E28,'22.8 Kampala-Luweero'!E28,'23.8 Kampala-Luweero'!E28,'24.8 Kampala-Luweero'!E28,'25.8 Kampala-Luweero 24Hrs'!E28,'26.8 Kampala-Luweero'!E28)</f>
        <v>16</v>
      </c>
      <c r="F28" s="49">
        <f>AVERAGE('20.8 Kampala-Luweero'!F28,'21.8 Kampala-Luweero'!F28,'22.8 Kampala-Luweero'!F28,'23.8 Kampala-Luweero'!F28,'24.8 Kampala-Luweero'!F28,'25.8 Kampala-Luweero 24Hrs'!F28,'26.8 Kampala-Luweero'!F28)</f>
        <v>15.571428571428571</v>
      </c>
      <c r="G28" s="49">
        <f>AVERAGE('20.8 Kampala-Luweero'!G28,'21.8 Kampala-Luweero'!G28,'22.8 Kampala-Luweero'!G28,'23.8 Kampala-Luweero'!G28,'24.8 Kampala-Luweero'!G28,'25.8 Kampala-Luweero 24Hrs'!G28,'26.8 Kampala-Luweero'!G28)</f>
        <v>0.42857142857142855</v>
      </c>
      <c r="H28" s="49">
        <f>AVERAGE('20.8 Kampala-Luweero'!H28,'21.8 Kampala-Luweero'!H28,'22.8 Kampala-Luweero'!H28,'23.8 Kampala-Luweero'!H28,'24.8 Kampala-Luweero'!H28,'25.8 Kampala-Luweero 24Hrs'!H28,'26.8 Kampala-Luweero'!H28)</f>
        <v>0.42857142857142855</v>
      </c>
      <c r="I28" s="49">
        <f>AVERAGE('20.8 Kampala-Luweero'!I28,'21.8 Kampala-Luweero'!I28,'22.8 Kampala-Luweero'!I28,'23.8 Kampala-Luweero'!I28,'24.8 Kampala-Luweero'!I28,'25.8 Kampala-Luweero 24Hrs'!I28,'26.8 Kampala-Luweero'!I28)</f>
        <v>6.2857142857142856</v>
      </c>
      <c r="J28" s="49">
        <f>AVERAGE('20.8 Kampala-Luweero'!J28,'21.8 Kampala-Luweero'!J28,'22.8 Kampala-Luweero'!J28,'23.8 Kampala-Luweero'!J28,'24.8 Kampala-Luweero'!J28,'25.8 Kampala-Luweero 24Hrs'!J28,'26.8 Kampala-Luweero'!J28)</f>
        <v>1.5714285714285714</v>
      </c>
      <c r="K28" s="49">
        <f>AVERAGE('20.8 Kampala-Luweero'!K28,'21.8 Kampala-Luweero'!K28,'22.8 Kampala-Luweero'!K28,'23.8 Kampala-Luweero'!K28,'24.8 Kampala-Luweero'!K28,'25.8 Kampala-Luweero 24Hrs'!K28,'26.8 Kampala-Luweero'!K28)</f>
        <v>0</v>
      </c>
      <c r="L28" s="49">
        <f>AVERAGE('20.8 Kampala-Luweero'!L28,'21.8 Kampala-Luweero'!L28,'22.8 Kampala-Luweero'!L28,'23.8 Kampala-Luweero'!L28,'24.8 Kampala-Luweero'!L28,'25.8 Kampala-Luweero 24Hrs'!L28,'26.8 Kampala-Luweero'!L28)</f>
        <v>1</v>
      </c>
      <c r="M28" s="49">
        <f>AVERAGE('20.8 Kampala-Luweero'!M28,'21.8 Kampala-Luweero'!M28,'22.8 Kampala-Luweero'!M28,'23.8 Kampala-Luweero'!M28,'24.8 Kampala-Luweero'!M28,'25.8 Kampala-Luweero 24Hrs'!M28,'26.8 Kampala-Luweero'!M28)</f>
        <v>68.285714285714292</v>
      </c>
      <c r="N28" s="49">
        <f>AVERAGE('20.8 Kampala-Luweero'!N28,'21.8 Kampala-Luweero'!N28,'22.8 Kampala-Luweero'!N28,'23.8 Kampala-Luweero'!N28,'24.8 Kampala-Luweero'!N28,'25.8 Kampala-Luweero 24Hrs'!N28,'26.8 Kampala-Luweero'!N28)</f>
        <v>0</v>
      </c>
      <c r="O28" s="15">
        <f t="shared" si="0"/>
        <v>52.714285714285715</v>
      </c>
      <c r="P28" s="15">
        <f t="shared" si="1"/>
        <v>121</v>
      </c>
      <c r="R28" s="1" t="s">
        <v>152</v>
      </c>
      <c r="S28" s="34">
        <f>SUM(C82:C85)</f>
        <v>4</v>
      </c>
      <c r="T28" s="34">
        <f t="shared" ref="T28:AF28" si="20">SUM(D82:D85)</f>
        <v>1</v>
      </c>
      <c r="U28" s="34">
        <f t="shared" si="20"/>
        <v>3</v>
      </c>
      <c r="V28" s="34">
        <f t="shared" si="20"/>
        <v>2</v>
      </c>
      <c r="W28" s="34">
        <f t="shared" si="20"/>
        <v>2</v>
      </c>
      <c r="X28" s="34">
        <f t="shared" si="20"/>
        <v>2</v>
      </c>
      <c r="Y28" s="34">
        <f t="shared" si="20"/>
        <v>4</v>
      </c>
      <c r="Z28" s="34">
        <f t="shared" si="20"/>
        <v>1</v>
      </c>
      <c r="AA28" s="34">
        <f t="shared" si="20"/>
        <v>0</v>
      </c>
      <c r="AB28" s="34">
        <f t="shared" si="20"/>
        <v>3</v>
      </c>
      <c r="AC28" s="34">
        <f t="shared" si="20"/>
        <v>5</v>
      </c>
      <c r="AD28" s="34">
        <f t="shared" si="20"/>
        <v>0</v>
      </c>
      <c r="AE28" s="31">
        <f t="shared" si="20"/>
        <v>22</v>
      </c>
      <c r="AF28" s="31">
        <f t="shared" si="20"/>
        <v>27</v>
      </c>
    </row>
    <row r="29" spans="2:32" ht="23.1" customHeight="1" x14ac:dyDescent="0.25">
      <c r="B29" s="23" t="s">
        <v>56</v>
      </c>
      <c r="C29" s="49">
        <f>AVERAGE('20.8 Kampala-Luweero'!C29,'21.8 Kampala-Luweero'!C29,'22.8 Kampala-Luweero'!C29,'23.8 Kampala-Luweero'!C29,'24.8 Kampala-Luweero'!C29,'25.8 Kampala-Luweero 24Hrs'!C29,'26.8 Kampala-Luweero'!C29)</f>
        <v>8.5714285714285712</v>
      </c>
      <c r="D29" s="49">
        <f>AVERAGE('20.8 Kampala-Luweero'!D29,'21.8 Kampala-Luweero'!D29,'22.8 Kampala-Luweero'!D29,'23.8 Kampala-Luweero'!D29,'24.8 Kampala-Luweero'!D29,'25.8 Kampala-Luweero 24Hrs'!D29,'26.8 Kampala-Luweero'!D29)</f>
        <v>0</v>
      </c>
      <c r="E29" s="49">
        <f>AVERAGE('20.8 Kampala-Luweero'!E29,'21.8 Kampala-Luweero'!E29,'22.8 Kampala-Luweero'!E29,'23.8 Kampala-Luweero'!E29,'24.8 Kampala-Luweero'!E29,'25.8 Kampala-Luweero 24Hrs'!E29,'26.8 Kampala-Luweero'!E29)</f>
        <v>14.142857142857142</v>
      </c>
      <c r="F29" s="49">
        <f>AVERAGE('20.8 Kampala-Luweero'!F29,'21.8 Kampala-Luweero'!F29,'22.8 Kampala-Luweero'!F29,'23.8 Kampala-Luweero'!F29,'24.8 Kampala-Luweero'!F29,'25.8 Kampala-Luweero 24Hrs'!F29,'26.8 Kampala-Luweero'!F29)</f>
        <v>11.857142857142858</v>
      </c>
      <c r="G29" s="49">
        <f>AVERAGE('20.8 Kampala-Luweero'!G29,'21.8 Kampala-Luweero'!G29,'22.8 Kampala-Luweero'!G29,'23.8 Kampala-Luweero'!G29,'24.8 Kampala-Luweero'!G29,'25.8 Kampala-Luweero 24Hrs'!G29,'26.8 Kampala-Luweero'!G29)</f>
        <v>0.14285714285714285</v>
      </c>
      <c r="H29" s="49">
        <f>AVERAGE('20.8 Kampala-Luweero'!H29,'21.8 Kampala-Luweero'!H29,'22.8 Kampala-Luweero'!H29,'23.8 Kampala-Luweero'!H29,'24.8 Kampala-Luweero'!H29,'25.8 Kampala-Luweero 24Hrs'!H29,'26.8 Kampala-Luweero'!H29)</f>
        <v>1</v>
      </c>
      <c r="I29" s="49">
        <f>AVERAGE('20.8 Kampala-Luweero'!I29,'21.8 Kampala-Luweero'!I29,'22.8 Kampala-Luweero'!I29,'23.8 Kampala-Luweero'!I29,'24.8 Kampala-Luweero'!I29,'25.8 Kampala-Luweero 24Hrs'!I29,'26.8 Kampala-Luweero'!I29)</f>
        <v>6.4285714285714288</v>
      </c>
      <c r="J29" s="49">
        <f>AVERAGE('20.8 Kampala-Luweero'!J29,'21.8 Kampala-Luweero'!J29,'22.8 Kampala-Luweero'!J29,'23.8 Kampala-Luweero'!J29,'24.8 Kampala-Luweero'!J29,'25.8 Kampala-Luweero 24Hrs'!J29,'26.8 Kampala-Luweero'!J29)</f>
        <v>1.7142857142857142</v>
      </c>
      <c r="K29" s="49">
        <f>AVERAGE('20.8 Kampala-Luweero'!K29,'21.8 Kampala-Luweero'!K29,'22.8 Kampala-Luweero'!K29,'23.8 Kampala-Luweero'!K29,'24.8 Kampala-Luweero'!K29,'25.8 Kampala-Luweero 24Hrs'!K29,'26.8 Kampala-Luweero'!K29)</f>
        <v>0.14285714285714285</v>
      </c>
      <c r="L29" s="49">
        <f>AVERAGE('20.8 Kampala-Luweero'!L29,'21.8 Kampala-Luweero'!L29,'22.8 Kampala-Luweero'!L29,'23.8 Kampala-Luweero'!L29,'24.8 Kampala-Luweero'!L29,'25.8 Kampala-Luweero 24Hrs'!L29,'26.8 Kampala-Luweero'!L29)</f>
        <v>1</v>
      </c>
      <c r="M29" s="49">
        <f>AVERAGE('20.8 Kampala-Luweero'!M29,'21.8 Kampala-Luweero'!M29,'22.8 Kampala-Luweero'!M29,'23.8 Kampala-Luweero'!M29,'24.8 Kampala-Luweero'!M29,'25.8 Kampala-Luweero 24Hrs'!M29,'26.8 Kampala-Luweero'!M29)</f>
        <v>70.571428571428569</v>
      </c>
      <c r="N29" s="49">
        <f>AVERAGE('20.8 Kampala-Luweero'!N29,'21.8 Kampala-Luweero'!N29,'22.8 Kampala-Luweero'!N29,'23.8 Kampala-Luweero'!N29,'24.8 Kampala-Luweero'!N29,'25.8 Kampala-Luweero 24Hrs'!N29,'26.8 Kampala-Luweero'!N29)</f>
        <v>0</v>
      </c>
      <c r="O29" s="15">
        <f t="shared" si="0"/>
        <v>45.000000000000007</v>
      </c>
      <c r="P29" s="15">
        <f t="shared" si="1"/>
        <v>115.57142857142858</v>
      </c>
      <c r="R29" s="1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2</v>
      </c>
      <c r="V29" s="34">
        <f t="shared" si="21"/>
        <v>2</v>
      </c>
      <c r="W29" s="34">
        <f t="shared" si="21"/>
        <v>2</v>
      </c>
      <c r="X29" s="34">
        <f t="shared" si="21"/>
        <v>2</v>
      </c>
      <c r="Y29" s="34">
        <f t="shared" si="21"/>
        <v>4</v>
      </c>
      <c r="Z29" s="34">
        <f t="shared" si="21"/>
        <v>1</v>
      </c>
      <c r="AA29" s="34">
        <f t="shared" si="21"/>
        <v>1</v>
      </c>
      <c r="AB29" s="34">
        <f t="shared" si="21"/>
        <v>1</v>
      </c>
      <c r="AC29" s="34">
        <f t="shared" si="21"/>
        <v>2</v>
      </c>
      <c r="AD29" s="34">
        <f t="shared" si="21"/>
        <v>0</v>
      </c>
      <c r="AE29" s="31">
        <f t="shared" si="21"/>
        <v>17</v>
      </c>
      <c r="AF29" s="31">
        <f t="shared" si="21"/>
        <v>19</v>
      </c>
    </row>
    <row r="30" spans="2:32" ht="23.1" customHeight="1" x14ac:dyDescent="0.25">
      <c r="B30" s="23" t="s">
        <v>57</v>
      </c>
      <c r="C30" s="49">
        <f>AVERAGE('20.8 Kampala-Luweero'!C30,'21.8 Kampala-Luweero'!C30,'22.8 Kampala-Luweero'!C30,'23.8 Kampala-Luweero'!C30,'24.8 Kampala-Luweero'!C30,'25.8 Kampala-Luweero 24Hrs'!C30,'26.8 Kampala-Luweero'!C30)</f>
        <v>10.285714285714286</v>
      </c>
      <c r="D30" s="49">
        <f>AVERAGE('20.8 Kampala-Luweero'!D30,'21.8 Kampala-Luweero'!D30,'22.8 Kampala-Luweero'!D30,'23.8 Kampala-Luweero'!D30,'24.8 Kampala-Luweero'!D30,'25.8 Kampala-Luweero 24Hrs'!D30,'26.8 Kampala-Luweero'!D30)</f>
        <v>1.1428571428571428</v>
      </c>
      <c r="E30" s="49">
        <f>AVERAGE('20.8 Kampala-Luweero'!E30,'21.8 Kampala-Luweero'!E30,'22.8 Kampala-Luweero'!E30,'23.8 Kampala-Luweero'!E30,'24.8 Kampala-Luweero'!E30,'25.8 Kampala-Luweero 24Hrs'!E30,'26.8 Kampala-Luweero'!E30)</f>
        <v>17.285714285714285</v>
      </c>
      <c r="F30" s="49">
        <f>AVERAGE('20.8 Kampala-Luweero'!F30,'21.8 Kampala-Luweero'!F30,'22.8 Kampala-Luweero'!F30,'23.8 Kampala-Luweero'!F30,'24.8 Kampala-Luweero'!F30,'25.8 Kampala-Luweero 24Hrs'!F30,'26.8 Kampala-Luweero'!F30)</f>
        <v>13.714285714285714</v>
      </c>
      <c r="G30" s="49">
        <f>AVERAGE('20.8 Kampala-Luweero'!G30,'21.8 Kampala-Luweero'!G30,'22.8 Kampala-Luweero'!G30,'23.8 Kampala-Luweero'!G30,'24.8 Kampala-Luweero'!G30,'25.8 Kampala-Luweero 24Hrs'!G30,'26.8 Kampala-Luweero'!G30)</f>
        <v>0.14285714285714285</v>
      </c>
      <c r="H30" s="49">
        <f>AVERAGE('20.8 Kampala-Luweero'!H30,'21.8 Kampala-Luweero'!H30,'22.8 Kampala-Luweero'!H30,'23.8 Kampala-Luweero'!H30,'24.8 Kampala-Luweero'!H30,'25.8 Kampala-Luweero 24Hrs'!H30,'26.8 Kampala-Luweero'!H30)</f>
        <v>1.4285714285714286</v>
      </c>
      <c r="I30" s="49">
        <f>AVERAGE('20.8 Kampala-Luweero'!I30,'21.8 Kampala-Luweero'!I30,'22.8 Kampala-Luweero'!I30,'23.8 Kampala-Luweero'!I30,'24.8 Kampala-Luweero'!I30,'25.8 Kampala-Luweero 24Hrs'!I30,'26.8 Kampala-Luweero'!I30)</f>
        <v>6.1428571428571432</v>
      </c>
      <c r="J30" s="49">
        <f>AVERAGE('20.8 Kampala-Luweero'!J30,'21.8 Kampala-Luweero'!J30,'22.8 Kampala-Luweero'!J30,'23.8 Kampala-Luweero'!J30,'24.8 Kampala-Luweero'!J30,'25.8 Kampala-Luweero 24Hrs'!J30,'26.8 Kampala-Luweero'!J30)</f>
        <v>2.2857142857142856</v>
      </c>
      <c r="K30" s="49">
        <f>AVERAGE('20.8 Kampala-Luweero'!K30,'21.8 Kampala-Luweero'!K30,'22.8 Kampala-Luweero'!K30,'23.8 Kampala-Luweero'!K30,'24.8 Kampala-Luweero'!K30,'25.8 Kampala-Luweero 24Hrs'!K30,'26.8 Kampala-Luweero'!K30)</f>
        <v>0.5714285714285714</v>
      </c>
      <c r="L30" s="49">
        <f>AVERAGE('20.8 Kampala-Luweero'!L30,'21.8 Kampala-Luweero'!L30,'22.8 Kampala-Luweero'!L30,'23.8 Kampala-Luweero'!L30,'24.8 Kampala-Luweero'!L30,'25.8 Kampala-Luweero 24Hrs'!L30,'26.8 Kampala-Luweero'!L30)</f>
        <v>2.7142857142857144</v>
      </c>
      <c r="M30" s="49">
        <f>AVERAGE('20.8 Kampala-Luweero'!M30,'21.8 Kampala-Luweero'!M30,'22.8 Kampala-Luweero'!M30,'23.8 Kampala-Luweero'!M30,'24.8 Kampala-Luweero'!M30,'25.8 Kampala-Luweero 24Hrs'!M30,'26.8 Kampala-Luweero'!M30)</f>
        <v>61.857142857142854</v>
      </c>
      <c r="N30" s="49">
        <f>AVERAGE('20.8 Kampala-Luweero'!N30,'21.8 Kampala-Luweero'!N30,'22.8 Kampala-Luweero'!N30,'23.8 Kampala-Luweero'!N30,'24.8 Kampala-Luweero'!N30,'25.8 Kampala-Luweero 24Hrs'!N30,'26.8 Kampala-Luweero'!N30)</f>
        <v>0</v>
      </c>
      <c r="O30" s="15">
        <f t="shared" si="0"/>
        <v>55.714285714285722</v>
      </c>
      <c r="P30" s="15">
        <f t="shared" si="1"/>
        <v>117.57142857142858</v>
      </c>
      <c r="R30" s="1" t="s">
        <v>154</v>
      </c>
      <c r="S30" s="34">
        <f>SUM(C90:C93)</f>
        <v>1</v>
      </c>
      <c r="T30" s="34">
        <f t="shared" ref="T30:AF30" si="22">SUM(D90:D93)</f>
        <v>1</v>
      </c>
      <c r="U30" s="34">
        <f t="shared" si="22"/>
        <v>1</v>
      </c>
      <c r="V30" s="34">
        <f t="shared" si="22"/>
        <v>2</v>
      </c>
      <c r="W30" s="34">
        <f t="shared" si="22"/>
        <v>2</v>
      </c>
      <c r="X30" s="34">
        <f t="shared" si="22"/>
        <v>2</v>
      </c>
      <c r="Y30" s="34">
        <f t="shared" si="22"/>
        <v>4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3</v>
      </c>
      <c r="AD30" s="34">
        <f t="shared" si="22"/>
        <v>0</v>
      </c>
      <c r="AE30" s="31">
        <f t="shared" si="22"/>
        <v>14</v>
      </c>
      <c r="AF30" s="31">
        <f t="shared" si="22"/>
        <v>17</v>
      </c>
    </row>
    <row r="31" spans="2:32" ht="23.1" customHeight="1" x14ac:dyDescent="0.25">
      <c r="B31" s="24" t="s">
        <v>58</v>
      </c>
      <c r="C31" s="49">
        <f>AVERAGE('20.8 Kampala-Luweero'!C31,'21.8 Kampala-Luweero'!C31,'22.8 Kampala-Luweero'!C31,'23.8 Kampala-Luweero'!C31,'24.8 Kampala-Luweero'!C31,'25.8 Kampala-Luweero 24Hrs'!C31,'26.8 Kampala-Luweero'!C31)</f>
        <v>10.285714285714286</v>
      </c>
      <c r="D31" s="49">
        <f>AVERAGE('20.8 Kampala-Luweero'!D31,'21.8 Kampala-Luweero'!D31,'22.8 Kampala-Luweero'!D31,'23.8 Kampala-Luweero'!D31,'24.8 Kampala-Luweero'!D31,'25.8 Kampala-Luweero 24Hrs'!D31,'26.8 Kampala-Luweero'!D31)</f>
        <v>0.7142857142857143</v>
      </c>
      <c r="E31" s="49">
        <f>AVERAGE('20.8 Kampala-Luweero'!E31,'21.8 Kampala-Luweero'!E31,'22.8 Kampala-Luweero'!E31,'23.8 Kampala-Luweero'!E31,'24.8 Kampala-Luweero'!E31,'25.8 Kampala-Luweero 24Hrs'!E31,'26.8 Kampala-Luweero'!E31)</f>
        <v>16.714285714285715</v>
      </c>
      <c r="F31" s="49">
        <f>AVERAGE('20.8 Kampala-Luweero'!F31,'21.8 Kampala-Luweero'!F31,'22.8 Kampala-Luweero'!F31,'23.8 Kampala-Luweero'!F31,'24.8 Kampala-Luweero'!F31,'25.8 Kampala-Luweero 24Hrs'!F31,'26.8 Kampala-Luweero'!F31)</f>
        <v>16.285714285714285</v>
      </c>
      <c r="G31" s="49">
        <f>AVERAGE('20.8 Kampala-Luweero'!G31,'21.8 Kampala-Luweero'!G31,'22.8 Kampala-Luweero'!G31,'23.8 Kampala-Luweero'!G31,'24.8 Kampala-Luweero'!G31,'25.8 Kampala-Luweero 24Hrs'!G31,'26.8 Kampala-Luweero'!G31)</f>
        <v>0</v>
      </c>
      <c r="H31" s="49">
        <f>AVERAGE('20.8 Kampala-Luweero'!H31,'21.8 Kampala-Luweero'!H31,'22.8 Kampala-Luweero'!H31,'23.8 Kampala-Luweero'!H31,'24.8 Kampala-Luweero'!H31,'25.8 Kampala-Luweero 24Hrs'!H31,'26.8 Kampala-Luweero'!H31)</f>
        <v>0.8571428571428571</v>
      </c>
      <c r="I31" s="49">
        <f>AVERAGE('20.8 Kampala-Luweero'!I31,'21.8 Kampala-Luweero'!I31,'22.8 Kampala-Luweero'!I31,'23.8 Kampala-Luweero'!I31,'24.8 Kampala-Luweero'!I31,'25.8 Kampala-Luweero 24Hrs'!I31,'26.8 Kampala-Luweero'!I31)</f>
        <v>8.2857142857142865</v>
      </c>
      <c r="J31" s="49">
        <f>AVERAGE('20.8 Kampala-Luweero'!J31,'21.8 Kampala-Luweero'!J31,'22.8 Kampala-Luweero'!J31,'23.8 Kampala-Luweero'!J31,'24.8 Kampala-Luweero'!J31,'25.8 Kampala-Luweero 24Hrs'!J31,'26.8 Kampala-Luweero'!J31)</f>
        <v>1.4285714285714286</v>
      </c>
      <c r="K31" s="49">
        <f>AVERAGE('20.8 Kampala-Luweero'!K31,'21.8 Kampala-Luweero'!K31,'22.8 Kampala-Luweero'!K31,'23.8 Kampala-Luweero'!K31,'24.8 Kampala-Luweero'!K31,'25.8 Kampala-Luweero 24Hrs'!K31,'26.8 Kampala-Luweero'!K31)</f>
        <v>0.5714285714285714</v>
      </c>
      <c r="L31" s="49">
        <f>AVERAGE('20.8 Kampala-Luweero'!L31,'21.8 Kampala-Luweero'!L31,'22.8 Kampala-Luweero'!L31,'23.8 Kampala-Luweero'!L31,'24.8 Kampala-Luweero'!L31,'25.8 Kampala-Luweero 24Hrs'!L31,'26.8 Kampala-Luweero'!L31)</f>
        <v>1.8571428571428572</v>
      </c>
      <c r="M31" s="49">
        <f>AVERAGE('20.8 Kampala-Luweero'!M31,'21.8 Kampala-Luweero'!M31,'22.8 Kampala-Luweero'!M31,'23.8 Kampala-Luweero'!M31,'24.8 Kampala-Luweero'!M31,'25.8 Kampala-Luweero 24Hrs'!M31,'26.8 Kampala-Luweero'!M31)</f>
        <v>61.714285714285715</v>
      </c>
      <c r="N31" s="49">
        <f>AVERAGE('20.8 Kampala-Luweero'!N31,'21.8 Kampala-Luweero'!N31,'22.8 Kampala-Luweero'!N31,'23.8 Kampala-Luweero'!N31,'24.8 Kampala-Luweero'!N31,'25.8 Kampala-Luweero 24Hrs'!N31,'26.8 Kampala-Luweero'!N31)</f>
        <v>0</v>
      </c>
      <c r="O31" s="15">
        <f t="shared" si="0"/>
        <v>56.999999999999993</v>
      </c>
      <c r="P31" s="15">
        <f t="shared" si="1"/>
        <v>118.71428571428571</v>
      </c>
      <c r="R31" s="1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3</v>
      </c>
      <c r="W31" s="34">
        <f t="shared" si="23"/>
        <v>1</v>
      </c>
      <c r="X31" s="34">
        <f t="shared" si="23"/>
        <v>2</v>
      </c>
      <c r="Y31" s="34">
        <f t="shared" si="23"/>
        <v>2</v>
      </c>
      <c r="Z31" s="34">
        <f t="shared" si="23"/>
        <v>0</v>
      </c>
      <c r="AA31" s="34">
        <f t="shared" si="23"/>
        <v>0</v>
      </c>
      <c r="AB31" s="34">
        <f t="shared" si="23"/>
        <v>1</v>
      </c>
      <c r="AC31" s="34">
        <f t="shared" si="23"/>
        <v>2</v>
      </c>
      <c r="AD31" s="34">
        <f t="shared" si="23"/>
        <v>0</v>
      </c>
      <c r="AE31" s="31">
        <f t="shared" si="23"/>
        <v>10</v>
      </c>
      <c r="AF31" s="31">
        <f t="shared" si="23"/>
        <v>12</v>
      </c>
    </row>
    <row r="32" spans="2:32" ht="23.1" customHeight="1" x14ac:dyDescent="0.25">
      <c r="B32" s="24" t="s">
        <v>59</v>
      </c>
      <c r="C32" s="49">
        <f>AVERAGE('20.8 Kampala-Luweero'!C32,'21.8 Kampala-Luweero'!C32,'22.8 Kampala-Luweero'!C32,'23.8 Kampala-Luweero'!C32,'24.8 Kampala-Luweero'!C32,'25.8 Kampala-Luweero 24Hrs'!C32,'26.8 Kampala-Luweero'!C32)</f>
        <v>11.714285714285714</v>
      </c>
      <c r="D32" s="49">
        <f>AVERAGE('20.8 Kampala-Luweero'!D32,'21.8 Kampala-Luweero'!D32,'22.8 Kampala-Luweero'!D32,'23.8 Kampala-Luweero'!D32,'24.8 Kampala-Luweero'!D32,'25.8 Kampala-Luweero 24Hrs'!D32,'26.8 Kampala-Luweero'!D32)</f>
        <v>1.1428571428571428</v>
      </c>
      <c r="E32" s="49">
        <f>AVERAGE('20.8 Kampala-Luweero'!E32,'21.8 Kampala-Luweero'!E32,'22.8 Kampala-Luweero'!E32,'23.8 Kampala-Luweero'!E32,'24.8 Kampala-Luweero'!E32,'25.8 Kampala-Luweero 24Hrs'!E32,'26.8 Kampala-Luweero'!E32)</f>
        <v>20.285714285714285</v>
      </c>
      <c r="F32" s="49">
        <f>AVERAGE('20.8 Kampala-Luweero'!F32,'21.8 Kampala-Luweero'!F32,'22.8 Kampala-Luweero'!F32,'23.8 Kampala-Luweero'!F32,'24.8 Kampala-Luweero'!F32,'25.8 Kampala-Luweero 24Hrs'!F32,'26.8 Kampala-Luweero'!F32)</f>
        <v>16</v>
      </c>
      <c r="G32" s="49">
        <f>AVERAGE('20.8 Kampala-Luweero'!G32,'21.8 Kampala-Luweero'!G32,'22.8 Kampala-Luweero'!G32,'23.8 Kampala-Luweero'!G32,'24.8 Kampala-Luweero'!G32,'25.8 Kampala-Luweero 24Hrs'!G32,'26.8 Kampala-Luweero'!G32)</f>
        <v>0.2857142857142857</v>
      </c>
      <c r="H32" s="49">
        <f>AVERAGE('20.8 Kampala-Luweero'!H32,'21.8 Kampala-Luweero'!H32,'22.8 Kampala-Luweero'!H32,'23.8 Kampala-Luweero'!H32,'24.8 Kampala-Luweero'!H32,'25.8 Kampala-Luweero 24Hrs'!H32,'26.8 Kampala-Luweero'!H32)</f>
        <v>1.8571428571428572</v>
      </c>
      <c r="I32" s="49">
        <f>AVERAGE('20.8 Kampala-Luweero'!I32,'21.8 Kampala-Luweero'!I32,'22.8 Kampala-Luweero'!I32,'23.8 Kampala-Luweero'!I32,'24.8 Kampala-Luweero'!I32,'25.8 Kampala-Luweero 24Hrs'!I32,'26.8 Kampala-Luweero'!I32)</f>
        <v>7.1428571428571432</v>
      </c>
      <c r="J32" s="49">
        <f>AVERAGE('20.8 Kampala-Luweero'!J32,'21.8 Kampala-Luweero'!J32,'22.8 Kampala-Luweero'!J32,'23.8 Kampala-Luweero'!J32,'24.8 Kampala-Luweero'!J32,'25.8 Kampala-Luweero 24Hrs'!J32,'26.8 Kampala-Luweero'!J32)</f>
        <v>1.7142857142857142</v>
      </c>
      <c r="K32" s="49">
        <f>AVERAGE('20.8 Kampala-Luweero'!K32,'21.8 Kampala-Luweero'!K32,'22.8 Kampala-Luweero'!K32,'23.8 Kampala-Luweero'!K32,'24.8 Kampala-Luweero'!K32,'25.8 Kampala-Luweero 24Hrs'!K32,'26.8 Kampala-Luweero'!K32)</f>
        <v>0.42857142857142855</v>
      </c>
      <c r="L32" s="49">
        <f>AVERAGE('20.8 Kampala-Luweero'!L32,'21.8 Kampala-Luweero'!L32,'22.8 Kampala-Luweero'!L32,'23.8 Kampala-Luweero'!L32,'24.8 Kampala-Luweero'!L32,'25.8 Kampala-Luweero 24Hrs'!L32,'26.8 Kampala-Luweero'!L32)</f>
        <v>1.5714285714285714</v>
      </c>
      <c r="M32" s="49">
        <f>AVERAGE('20.8 Kampala-Luweero'!M32,'21.8 Kampala-Luweero'!M32,'22.8 Kampala-Luweero'!M32,'23.8 Kampala-Luweero'!M32,'24.8 Kampala-Luweero'!M32,'25.8 Kampala-Luweero 24Hrs'!M32,'26.8 Kampala-Luweero'!M32)</f>
        <v>63</v>
      </c>
      <c r="N32" s="49">
        <f>AVERAGE('20.8 Kampala-Luweero'!N32,'21.8 Kampala-Luweero'!N32,'22.8 Kampala-Luweero'!N32,'23.8 Kampala-Luweero'!N32,'24.8 Kampala-Luweero'!N32,'25.8 Kampala-Luweero 24Hrs'!N32,'26.8 Kampala-Luweero'!N32)</f>
        <v>0.14285714285714285</v>
      </c>
      <c r="O32" s="15">
        <f t="shared" si="0"/>
        <v>62.285714285714285</v>
      </c>
      <c r="P32" s="15">
        <f t="shared" si="1"/>
        <v>125.28571428571428</v>
      </c>
      <c r="R32" s="1" t="s">
        <v>156</v>
      </c>
      <c r="S32" s="34">
        <f>SUM(C98:C101)</f>
        <v>8</v>
      </c>
      <c r="T32" s="34">
        <f t="shared" ref="T32:AF32" si="24">SUM(D98:D101)</f>
        <v>1</v>
      </c>
      <c r="U32" s="34">
        <f t="shared" si="24"/>
        <v>3</v>
      </c>
      <c r="V32" s="34">
        <f t="shared" si="24"/>
        <v>2</v>
      </c>
      <c r="W32" s="34">
        <f t="shared" si="24"/>
        <v>2</v>
      </c>
      <c r="X32" s="34">
        <f t="shared" si="24"/>
        <v>2</v>
      </c>
      <c r="Y32" s="34">
        <f t="shared" si="24"/>
        <v>3</v>
      </c>
      <c r="Z32" s="34">
        <f t="shared" si="24"/>
        <v>1</v>
      </c>
      <c r="AA32" s="34">
        <f t="shared" si="24"/>
        <v>0</v>
      </c>
      <c r="AB32" s="34">
        <f t="shared" si="24"/>
        <v>3</v>
      </c>
      <c r="AC32" s="34">
        <f t="shared" si="24"/>
        <v>4</v>
      </c>
      <c r="AD32" s="34">
        <f t="shared" si="24"/>
        <v>0</v>
      </c>
      <c r="AE32" s="31">
        <f t="shared" si="24"/>
        <v>25</v>
      </c>
      <c r="AF32" s="31">
        <f t="shared" si="24"/>
        <v>29</v>
      </c>
    </row>
    <row r="33" spans="2:32" ht="23.1" customHeight="1" x14ac:dyDescent="0.25">
      <c r="B33" s="23" t="s">
        <v>60</v>
      </c>
      <c r="C33" s="49">
        <f>AVERAGE('20.8 Kampala-Luweero'!C33,'21.8 Kampala-Luweero'!C33,'22.8 Kampala-Luweero'!C33,'23.8 Kampala-Luweero'!C33,'24.8 Kampala-Luweero'!C33,'25.8 Kampala-Luweero 24Hrs'!C33,'26.8 Kampala-Luweero'!C33)</f>
        <v>10.857142857142858</v>
      </c>
      <c r="D33" s="49">
        <f>AVERAGE('20.8 Kampala-Luweero'!D33,'21.8 Kampala-Luweero'!D33,'22.8 Kampala-Luweero'!D33,'23.8 Kampala-Luweero'!D33,'24.8 Kampala-Luweero'!D33,'25.8 Kampala-Luweero 24Hrs'!D33,'26.8 Kampala-Luweero'!D33)</f>
        <v>0.2857142857142857</v>
      </c>
      <c r="E33" s="49">
        <f>AVERAGE('20.8 Kampala-Luweero'!E33,'21.8 Kampala-Luweero'!E33,'22.8 Kampala-Luweero'!E33,'23.8 Kampala-Luweero'!E33,'24.8 Kampala-Luweero'!E33,'25.8 Kampala-Luweero 24Hrs'!E33,'26.8 Kampala-Luweero'!E33)</f>
        <v>18.571428571428573</v>
      </c>
      <c r="F33" s="49">
        <f>AVERAGE('20.8 Kampala-Luweero'!F33,'21.8 Kampala-Luweero'!F33,'22.8 Kampala-Luweero'!F33,'23.8 Kampala-Luweero'!F33,'24.8 Kampala-Luweero'!F33,'25.8 Kampala-Luweero 24Hrs'!F33,'26.8 Kampala-Luweero'!F33)</f>
        <v>16.714285714285715</v>
      </c>
      <c r="G33" s="49">
        <f>AVERAGE('20.8 Kampala-Luweero'!G33,'21.8 Kampala-Luweero'!G33,'22.8 Kampala-Luweero'!G33,'23.8 Kampala-Luweero'!G33,'24.8 Kampala-Luweero'!G33,'25.8 Kampala-Luweero 24Hrs'!G33,'26.8 Kampala-Luweero'!G33)</f>
        <v>0.14285714285714285</v>
      </c>
      <c r="H33" s="49">
        <f>AVERAGE('20.8 Kampala-Luweero'!H33,'21.8 Kampala-Luweero'!H33,'22.8 Kampala-Luweero'!H33,'23.8 Kampala-Luweero'!H33,'24.8 Kampala-Luweero'!H33,'25.8 Kampala-Luweero 24Hrs'!H33,'26.8 Kampala-Luweero'!H33)</f>
        <v>1.5714285714285714</v>
      </c>
      <c r="I33" s="49">
        <f>AVERAGE('20.8 Kampala-Luweero'!I33,'21.8 Kampala-Luweero'!I33,'22.8 Kampala-Luweero'!I33,'23.8 Kampala-Luweero'!I33,'24.8 Kampala-Luweero'!I33,'25.8 Kampala-Luweero 24Hrs'!I33,'26.8 Kampala-Luweero'!I33)</f>
        <v>6.8571428571428568</v>
      </c>
      <c r="J33" s="49">
        <f>AVERAGE('20.8 Kampala-Luweero'!J33,'21.8 Kampala-Luweero'!J33,'22.8 Kampala-Luweero'!J33,'23.8 Kampala-Luweero'!J33,'24.8 Kampala-Luweero'!J33,'25.8 Kampala-Luweero 24Hrs'!J33,'26.8 Kampala-Luweero'!J33)</f>
        <v>1.5714285714285714</v>
      </c>
      <c r="K33" s="49">
        <f>AVERAGE('20.8 Kampala-Luweero'!K33,'21.8 Kampala-Luweero'!K33,'22.8 Kampala-Luweero'!K33,'23.8 Kampala-Luweero'!K33,'24.8 Kampala-Luweero'!K33,'25.8 Kampala-Luweero 24Hrs'!K33,'26.8 Kampala-Luweero'!K33)</f>
        <v>0.14285714285714285</v>
      </c>
      <c r="L33" s="49">
        <f>AVERAGE('20.8 Kampala-Luweero'!L33,'21.8 Kampala-Luweero'!L33,'22.8 Kampala-Luweero'!L33,'23.8 Kampala-Luweero'!L33,'24.8 Kampala-Luweero'!L33,'25.8 Kampala-Luweero 24Hrs'!L33,'26.8 Kampala-Luweero'!L33)</f>
        <v>1.7142857142857142</v>
      </c>
      <c r="M33" s="49">
        <f>AVERAGE('20.8 Kampala-Luweero'!M33,'21.8 Kampala-Luweero'!M33,'22.8 Kampala-Luweero'!M33,'23.8 Kampala-Luweero'!M33,'24.8 Kampala-Luweero'!M33,'25.8 Kampala-Luweero 24Hrs'!M33,'26.8 Kampala-Luweero'!M33)</f>
        <v>59.428571428571431</v>
      </c>
      <c r="N33" s="49">
        <f>AVERAGE('20.8 Kampala-Luweero'!N33,'21.8 Kampala-Luweero'!N33,'22.8 Kampala-Luweero'!N33,'23.8 Kampala-Luweero'!N33,'24.8 Kampala-Luweero'!N33,'25.8 Kampala-Luweero 24Hrs'!N33,'26.8 Kampala-Luweero'!N33)</f>
        <v>0</v>
      </c>
      <c r="O33" s="15">
        <f t="shared" si="0"/>
        <v>58.428571428571431</v>
      </c>
      <c r="P33" s="15">
        <f t="shared" si="1"/>
        <v>117.85714285714286</v>
      </c>
      <c r="R33" s="1" t="s">
        <v>157</v>
      </c>
      <c r="S33" s="34">
        <f>SUM(C102:C105)</f>
        <v>25.5</v>
      </c>
      <c r="T33" s="34">
        <f t="shared" ref="T33:AF33" si="25">SUM(D102:D105)</f>
        <v>9.5</v>
      </c>
      <c r="U33" s="34">
        <f t="shared" si="25"/>
        <v>11.5</v>
      </c>
      <c r="V33" s="34">
        <f t="shared" si="25"/>
        <v>13</v>
      </c>
      <c r="W33" s="34">
        <f t="shared" si="25"/>
        <v>3</v>
      </c>
      <c r="X33" s="34">
        <f t="shared" si="25"/>
        <v>1</v>
      </c>
      <c r="Y33" s="34">
        <f t="shared" si="25"/>
        <v>9</v>
      </c>
      <c r="Z33" s="34">
        <f t="shared" si="25"/>
        <v>2</v>
      </c>
      <c r="AA33" s="34">
        <f t="shared" si="25"/>
        <v>2</v>
      </c>
      <c r="AB33" s="34">
        <f t="shared" si="25"/>
        <v>2</v>
      </c>
      <c r="AC33" s="34">
        <f t="shared" si="25"/>
        <v>29</v>
      </c>
      <c r="AD33" s="34">
        <f t="shared" si="25"/>
        <v>0</v>
      </c>
      <c r="AE33" s="31">
        <f t="shared" si="25"/>
        <v>78.5</v>
      </c>
      <c r="AF33" s="31">
        <f t="shared" si="25"/>
        <v>107.5</v>
      </c>
    </row>
    <row r="34" spans="2:32" ht="23.1" customHeight="1" x14ac:dyDescent="0.25">
      <c r="B34" s="24" t="s">
        <v>61</v>
      </c>
      <c r="C34" s="49">
        <f>AVERAGE('20.8 Kampala-Luweero'!C34,'21.8 Kampala-Luweero'!C34,'22.8 Kampala-Luweero'!C34,'23.8 Kampala-Luweero'!C34,'24.8 Kampala-Luweero'!C34,'25.8 Kampala-Luweero 24Hrs'!C34,'26.8 Kampala-Luweero'!C34)</f>
        <v>10.285714285714286</v>
      </c>
      <c r="D34" s="49">
        <f>AVERAGE('20.8 Kampala-Luweero'!D34,'21.8 Kampala-Luweero'!D34,'22.8 Kampala-Luweero'!D34,'23.8 Kampala-Luweero'!D34,'24.8 Kampala-Luweero'!D34,'25.8 Kampala-Luweero 24Hrs'!D34,'26.8 Kampala-Luweero'!D34)</f>
        <v>1</v>
      </c>
      <c r="E34" s="49">
        <f>AVERAGE('20.8 Kampala-Luweero'!E34,'21.8 Kampala-Luweero'!E34,'22.8 Kampala-Luweero'!E34,'23.8 Kampala-Luweero'!E34,'24.8 Kampala-Luweero'!E34,'25.8 Kampala-Luweero 24Hrs'!E34,'26.8 Kampala-Luweero'!E34)</f>
        <v>19.285714285714285</v>
      </c>
      <c r="F34" s="49">
        <f>AVERAGE('20.8 Kampala-Luweero'!F34,'21.8 Kampala-Luweero'!F34,'22.8 Kampala-Luweero'!F34,'23.8 Kampala-Luweero'!F34,'24.8 Kampala-Luweero'!F34,'25.8 Kampala-Luweero 24Hrs'!F34,'26.8 Kampala-Luweero'!F34)</f>
        <v>15.714285714285714</v>
      </c>
      <c r="G34" s="49">
        <f>AVERAGE('20.8 Kampala-Luweero'!G34,'21.8 Kampala-Luweero'!G34,'22.8 Kampala-Luweero'!G34,'23.8 Kampala-Luweero'!G34,'24.8 Kampala-Luweero'!G34,'25.8 Kampala-Luweero 24Hrs'!G34,'26.8 Kampala-Luweero'!G34)</f>
        <v>0.42857142857142855</v>
      </c>
      <c r="H34" s="49">
        <f>AVERAGE('20.8 Kampala-Luweero'!H34,'21.8 Kampala-Luweero'!H34,'22.8 Kampala-Luweero'!H34,'23.8 Kampala-Luweero'!H34,'24.8 Kampala-Luweero'!H34,'25.8 Kampala-Luweero 24Hrs'!H34,'26.8 Kampala-Luweero'!H34)</f>
        <v>2</v>
      </c>
      <c r="I34" s="49">
        <f>AVERAGE('20.8 Kampala-Luweero'!I34,'21.8 Kampala-Luweero'!I34,'22.8 Kampala-Luweero'!I34,'23.8 Kampala-Luweero'!I34,'24.8 Kampala-Luweero'!I34,'25.8 Kampala-Luweero 24Hrs'!I34,'26.8 Kampala-Luweero'!I34)</f>
        <v>7.5714285714285712</v>
      </c>
      <c r="J34" s="49">
        <f>AVERAGE('20.8 Kampala-Luweero'!J34,'21.8 Kampala-Luweero'!J34,'22.8 Kampala-Luweero'!J34,'23.8 Kampala-Luweero'!J34,'24.8 Kampala-Luweero'!J34,'25.8 Kampala-Luweero 24Hrs'!J34,'26.8 Kampala-Luweero'!J34)</f>
        <v>2</v>
      </c>
      <c r="K34" s="49">
        <f>AVERAGE('20.8 Kampala-Luweero'!K34,'21.8 Kampala-Luweero'!K34,'22.8 Kampala-Luweero'!K34,'23.8 Kampala-Luweero'!K34,'24.8 Kampala-Luweero'!K34,'25.8 Kampala-Luweero 24Hrs'!K34,'26.8 Kampala-Luweero'!K34)</f>
        <v>0</v>
      </c>
      <c r="L34" s="49">
        <f>AVERAGE('20.8 Kampala-Luweero'!L34,'21.8 Kampala-Luweero'!L34,'22.8 Kampala-Luweero'!L34,'23.8 Kampala-Luweero'!L34,'24.8 Kampala-Luweero'!L34,'25.8 Kampala-Luweero 24Hrs'!L34,'26.8 Kampala-Luweero'!L34)</f>
        <v>1.2857142857142858</v>
      </c>
      <c r="M34" s="49">
        <f>AVERAGE('20.8 Kampala-Luweero'!M34,'21.8 Kampala-Luweero'!M34,'22.8 Kampala-Luweero'!M34,'23.8 Kampala-Luweero'!M34,'24.8 Kampala-Luweero'!M34,'25.8 Kampala-Luweero 24Hrs'!M34,'26.8 Kampala-Luweero'!M34)</f>
        <v>60.714285714285715</v>
      </c>
      <c r="N34" s="49">
        <f>AVERAGE('20.8 Kampala-Luweero'!N34,'21.8 Kampala-Luweero'!N34,'22.8 Kampala-Luweero'!N34,'23.8 Kampala-Luweero'!N34,'24.8 Kampala-Luweero'!N34,'25.8 Kampala-Luweero 24Hrs'!N34,'26.8 Kampala-Luweero'!N34)</f>
        <v>0</v>
      </c>
      <c r="O34" s="15">
        <f t="shared" si="0"/>
        <v>59.571428571428569</v>
      </c>
      <c r="P34" s="15">
        <f t="shared" si="1"/>
        <v>120.28571428571428</v>
      </c>
      <c r="R34" s="51" t="s">
        <v>90</v>
      </c>
      <c r="S34" s="52">
        <f t="shared" ref="S34:AF34" si="26">MAX(S10:S12)</f>
        <v>44.285714285714285</v>
      </c>
      <c r="T34" s="52">
        <f t="shared" si="26"/>
        <v>3</v>
      </c>
      <c r="U34" s="52">
        <f t="shared" si="26"/>
        <v>63.571428571428569</v>
      </c>
      <c r="V34" s="52">
        <f t="shared" si="26"/>
        <v>56.285714285714285</v>
      </c>
      <c r="W34" s="52">
        <f t="shared" si="26"/>
        <v>0.71428571428571419</v>
      </c>
      <c r="X34" s="52">
        <f t="shared" si="26"/>
        <v>4.4285714285714288</v>
      </c>
      <c r="Y34" s="52">
        <f t="shared" si="26"/>
        <v>25.428571428571431</v>
      </c>
      <c r="Z34" s="52">
        <f t="shared" si="26"/>
        <v>6.5714285714285712</v>
      </c>
      <c r="AA34" s="52">
        <f t="shared" si="26"/>
        <v>1.1428571428571428</v>
      </c>
      <c r="AB34" s="52">
        <f t="shared" si="26"/>
        <v>5.5714285714285712</v>
      </c>
      <c r="AC34" s="52">
        <f t="shared" si="26"/>
        <v>294.57142857142861</v>
      </c>
      <c r="AD34" s="52">
        <f t="shared" si="26"/>
        <v>0.14285714285714285</v>
      </c>
      <c r="AE34" s="40">
        <f t="shared" si="26"/>
        <v>201.57142857142856</v>
      </c>
      <c r="AF34" s="40">
        <f t="shared" si="26"/>
        <v>496.14285714285711</v>
      </c>
    </row>
    <row r="35" spans="2:32" ht="23.1" customHeight="1" x14ac:dyDescent="0.25">
      <c r="B35" s="24" t="s">
        <v>62</v>
      </c>
      <c r="C35" s="49">
        <f>AVERAGE('20.8 Kampala-Luweero'!C35,'21.8 Kampala-Luweero'!C35,'22.8 Kampala-Luweero'!C35,'23.8 Kampala-Luweero'!C35,'24.8 Kampala-Luweero'!C35,'25.8 Kampala-Luweero 24Hrs'!C35,'26.8 Kampala-Luweero'!C35)</f>
        <v>10.142857142857142</v>
      </c>
      <c r="D35" s="49">
        <f>AVERAGE('20.8 Kampala-Luweero'!D35,'21.8 Kampala-Luweero'!D35,'22.8 Kampala-Luweero'!D35,'23.8 Kampala-Luweero'!D35,'24.8 Kampala-Luweero'!D35,'25.8 Kampala-Luweero 24Hrs'!D35,'26.8 Kampala-Luweero'!D35)</f>
        <v>0.8571428571428571</v>
      </c>
      <c r="E35" s="49">
        <f>AVERAGE('20.8 Kampala-Luweero'!E35,'21.8 Kampala-Luweero'!E35,'22.8 Kampala-Luweero'!E35,'23.8 Kampala-Luweero'!E35,'24.8 Kampala-Luweero'!E35,'25.8 Kampala-Luweero 24Hrs'!E35,'26.8 Kampala-Luweero'!E35)</f>
        <v>18.142857142857142</v>
      </c>
      <c r="F35" s="49">
        <f>AVERAGE('20.8 Kampala-Luweero'!F35,'21.8 Kampala-Luweero'!F35,'22.8 Kampala-Luweero'!F35,'23.8 Kampala-Luweero'!F35,'24.8 Kampala-Luweero'!F35,'25.8 Kampala-Luweero 24Hrs'!F35,'26.8 Kampala-Luweero'!F35)</f>
        <v>15.857142857142858</v>
      </c>
      <c r="G35" s="49">
        <f>AVERAGE('20.8 Kampala-Luweero'!G35,'21.8 Kampala-Luweero'!G35,'22.8 Kampala-Luweero'!G35,'23.8 Kampala-Luweero'!G35,'24.8 Kampala-Luweero'!G35,'25.8 Kampala-Luweero 24Hrs'!G35,'26.8 Kampala-Luweero'!G35)</f>
        <v>0.42857142857142855</v>
      </c>
      <c r="H35" s="49">
        <f>AVERAGE('20.8 Kampala-Luweero'!H35,'21.8 Kampala-Luweero'!H35,'22.8 Kampala-Luweero'!H35,'23.8 Kampala-Luweero'!H35,'24.8 Kampala-Luweero'!H35,'25.8 Kampala-Luweero 24Hrs'!H35,'26.8 Kampala-Luweero'!H35)</f>
        <v>1.4285714285714286</v>
      </c>
      <c r="I35" s="49">
        <f>AVERAGE('20.8 Kampala-Luweero'!I35,'21.8 Kampala-Luweero'!I35,'22.8 Kampala-Luweero'!I35,'23.8 Kampala-Luweero'!I35,'24.8 Kampala-Luweero'!I35,'25.8 Kampala-Luweero 24Hrs'!I35,'26.8 Kampala-Luweero'!I35)</f>
        <v>6.4285714285714288</v>
      </c>
      <c r="J35" s="49">
        <f>AVERAGE('20.8 Kampala-Luweero'!J35,'21.8 Kampala-Luweero'!J35,'22.8 Kampala-Luweero'!J35,'23.8 Kampala-Luweero'!J35,'24.8 Kampala-Luweero'!J35,'25.8 Kampala-Luweero 24Hrs'!J35,'26.8 Kampala-Luweero'!J35)</f>
        <v>1.5714285714285714</v>
      </c>
      <c r="K35" s="49">
        <f>AVERAGE('20.8 Kampala-Luweero'!K35,'21.8 Kampala-Luweero'!K35,'22.8 Kampala-Luweero'!K35,'23.8 Kampala-Luweero'!K35,'24.8 Kampala-Luweero'!K35,'25.8 Kampala-Luweero 24Hrs'!K35,'26.8 Kampala-Luweero'!K35)</f>
        <v>0</v>
      </c>
      <c r="L35" s="49">
        <f>AVERAGE('20.8 Kampala-Luweero'!L35,'21.8 Kampala-Luweero'!L35,'22.8 Kampala-Luweero'!L35,'23.8 Kampala-Luweero'!L35,'24.8 Kampala-Luweero'!L35,'25.8 Kampala-Luweero 24Hrs'!L35,'26.8 Kampala-Luweero'!L35)</f>
        <v>1.7142857142857142</v>
      </c>
      <c r="M35" s="49">
        <f>AVERAGE('20.8 Kampala-Luweero'!M35,'21.8 Kampala-Luweero'!M35,'22.8 Kampala-Luweero'!M35,'23.8 Kampala-Luweero'!M35,'24.8 Kampala-Luweero'!M35,'25.8 Kampala-Luweero 24Hrs'!M35,'26.8 Kampala-Luweero'!M35)</f>
        <v>69</v>
      </c>
      <c r="N35" s="49">
        <f>AVERAGE('20.8 Kampala-Luweero'!N35,'21.8 Kampala-Luweero'!N35,'22.8 Kampala-Luweero'!N35,'23.8 Kampala-Luweero'!N35,'24.8 Kampala-Luweero'!N35,'25.8 Kampala-Luweero 24Hrs'!N35,'26.8 Kampala-Luweero'!N35)</f>
        <v>0</v>
      </c>
      <c r="O35" s="15">
        <f t="shared" si="0"/>
        <v>56.571428571428577</v>
      </c>
      <c r="P35" s="15">
        <f t="shared" si="1"/>
        <v>125.57142857142858</v>
      </c>
      <c r="R35" s="51" t="s">
        <v>91</v>
      </c>
      <c r="S35" s="52">
        <f t="shared" ref="S35:AF35" si="27">MAX(S13:S18)</f>
        <v>43.142857142857139</v>
      </c>
      <c r="T35" s="52">
        <f t="shared" si="27"/>
        <v>4.5714285714285712</v>
      </c>
      <c r="U35" s="52">
        <f t="shared" si="27"/>
        <v>72.857142857142861</v>
      </c>
      <c r="V35" s="52">
        <f t="shared" si="27"/>
        <v>68</v>
      </c>
      <c r="W35" s="52">
        <f t="shared" si="27"/>
        <v>2.2857142857142856</v>
      </c>
      <c r="X35" s="52">
        <f t="shared" si="27"/>
        <v>7.7142857142857153</v>
      </c>
      <c r="Y35" s="52">
        <f t="shared" si="27"/>
        <v>29.857142857142858</v>
      </c>
      <c r="Z35" s="52">
        <f t="shared" si="27"/>
        <v>8</v>
      </c>
      <c r="AA35" s="52">
        <f t="shared" si="27"/>
        <v>1.7142857142857142</v>
      </c>
      <c r="AB35" s="52">
        <f t="shared" si="27"/>
        <v>7.8571428571428577</v>
      </c>
      <c r="AC35" s="52">
        <f t="shared" si="27"/>
        <v>290.71428571428572</v>
      </c>
      <c r="AD35" s="52">
        <f t="shared" si="27"/>
        <v>0.42857142857142855</v>
      </c>
      <c r="AE35" s="40">
        <f t="shared" si="27"/>
        <v>233.42857142857144</v>
      </c>
      <c r="AF35" s="40">
        <f t="shared" si="27"/>
        <v>496.42857142857144</v>
      </c>
    </row>
    <row r="36" spans="2:32" ht="23.1" customHeight="1" x14ac:dyDescent="0.25">
      <c r="B36" s="24" t="s">
        <v>63</v>
      </c>
      <c r="C36" s="49">
        <f>AVERAGE('20.8 Kampala-Luweero'!C36,'21.8 Kampala-Luweero'!C36,'22.8 Kampala-Luweero'!C36,'23.8 Kampala-Luweero'!C36,'24.8 Kampala-Luweero'!C36,'25.8 Kampala-Luweero 24Hrs'!C36,'26.8 Kampala-Luweero'!C36)</f>
        <v>10.571428571428571</v>
      </c>
      <c r="D36" s="49">
        <f>AVERAGE('20.8 Kampala-Luweero'!D36,'21.8 Kampala-Luweero'!D36,'22.8 Kampala-Luweero'!D36,'23.8 Kampala-Luweero'!D36,'24.8 Kampala-Luweero'!D36,'25.8 Kampala-Luweero 24Hrs'!D36,'26.8 Kampala-Luweero'!D36)</f>
        <v>1</v>
      </c>
      <c r="E36" s="49">
        <f>AVERAGE('20.8 Kampala-Luweero'!E36,'21.8 Kampala-Luweero'!E36,'22.8 Kampala-Luweero'!E36,'23.8 Kampala-Luweero'!E36,'24.8 Kampala-Luweero'!E36,'25.8 Kampala-Luweero 24Hrs'!E36,'26.8 Kampala-Luweero'!E36)</f>
        <v>19.857142857142858</v>
      </c>
      <c r="F36" s="49">
        <f>AVERAGE('20.8 Kampala-Luweero'!F36,'21.8 Kampala-Luweero'!F36,'22.8 Kampala-Luweero'!F36,'23.8 Kampala-Luweero'!F36,'24.8 Kampala-Luweero'!F36,'25.8 Kampala-Luweero 24Hrs'!F36,'26.8 Kampala-Luweero'!F36)</f>
        <v>14.857142857142858</v>
      </c>
      <c r="G36" s="49">
        <f>AVERAGE('20.8 Kampala-Luweero'!G36,'21.8 Kampala-Luweero'!G36,'22.8 Kampala-Luweero'!G36,'23.8 Kampala-Luweero'!G36,'24.8 Kampala-Luweero'!G36,'25.8 Kampala-Luweero 24Hrs'!G36,'26.8 Kampala-Luweero'!G36)</f>
        <v>0.42857142857142855</v>
      </c>
      <c r="H36" s="49">
        <f>AVERAGE('20.8 Kampala-Luweero'!H36,'21.8 Kampala-Luweero'!H36,'22.8 Kampala-Luweero'!H36,'23.8 Kampala-Luweero'!H36,'24.8 Kampala-Luweero'!H36,'25.8 Kampala-Luweero 24Hrs'!H36,'26.8 Kampala-Luweero'!H36)</f>
        <v>1.8571428571428572</v>
      </c>
      <c r="I36" s="49">
        <f>AVERAGE('20.8 Kampala-Luweero'!I36,'21.8 Kampala-Luweero'!I36,'22.8 Kampala-Luweero'!I36,'23.8 Kampala-Luweero'!I36,'24.8 Kampala-Luweero'!I36,'25.8 Kampala-Luweero 24Hrs'!I36,'26.8 Kampala-Luweero'!I36)</f>
        <v>7.8571428571428568</v>
      </c>
      <c r="J36" s="49">
        <f>AVERAGE('20.8 Kampala-Luweero'!J36,'21.8 Kampala-Luweero'!J36,'22.8 Kampala-Luweero'!J36,'23.8 Kampala-Luweero'!J36,'24.8 Kampala-Luweero'!J36,'25.8 Kampala-Luweero 24Hrs'!J36,'26.8 Kampala-Luweero'!J36)</f>
        <v>1.8571428571428572</v>
      </c>
      <c r="K36" s="49">
        <f>AVERAGE('20.8 Kampala-Luweero'!K36,'21.8 Kampala-Luweero'!K36,'22.8 Kampala-Luweero'!K36,'23.8 Kampala-Luweero'!K36,'24.8 Kampala-Luweero'!K36,'25.8 Kampala-Luweero 24Hrs'!K36,'26.8 Kampala-Luweero'!K36)</f>
        <v>0.14285714285714285</v>
      </c>
      <c r="L36" s="49">
        <f>AVERAGE('20.8 Kampala-Luweero'!L36,'21.8 Kampala-Luweero'!L36,'22.8 Kampala-Luweero'!L36,'23.8 Kampala-Luweero'!L36,'24.8 Kampala-Luweero'!L36,'25.8 Kampala-Luweero 24Hrs'!L36,'26.8 Kampala-Luweero'!L36)</f>
        <v>1.5714285714285714</v>
      </c>
      <c r="M36" s="49">
        <f>AVERAGE('20.8 Kampala-Luweero'!M36,'21.8 Kampala-Luweero'!M36,'22.8 Kampala-Luweero'!M36,'23.8 Kampala-Luweero'!M36,'24.8 Kampala-Luweero'!M36,'25.8 Kampala-Luweero 24Hrs'!M36,'26.8 Kampala-Luweero'!M36)</f>
        <v>62.285714285714285</v>
      </c>
      <c r="N36" s="49">
        <f>AVERAGE('20.8 Kampala-Luweero'!N36,'21.8 Kampala-Luweero'!N36,'22.8 Kampala-Luweero'!N36,'23.8 Kampala-Luweero'!N36,'24.8 Kampala-Luweero'!N36,'25.8 Kampala-Luweero 24Hrs'!N36,'26.8 Kampala-Luweero'!N36)</f>
        <v>0</v>
      </c>
      <c r="O36" s="15">
        <f t="shared" si="0"/>
        <v>60</v>
      </c>
      <c r="P36" s="15">
        <f t="shared" si="1"/>
        <v>122.28571428571428</v>
      </c>
      <c r="R36" s="51" t="s">
        <v>92</v>
      </c>
      <c r="S36" s="52">
        <f t="shared" ref="S36:AF36" si="28">MAX(S19:S21)</f>
        <v>41.857142857142861</v>
      </c>
      <c r="T36" s="52">
        <f t="shared" si="28"/>
        <v>3</v>
      </c>
      <c r="U36" s="52">
        <f t="shared" si="28"/>
        <v>60.428571428571431</v>
      </c>
      <c r="V36" s="52">
        <f t="shared" si="28"/>
        <v>62</v>
      </c>
      <c r="W36" s="52">
        <f t="shared" si="28"/>
        <v>0.85714285714285698</v>
      </c>
      <c r="X36" s="52">
        <f t="shared" si="28"/>
        <v>4.5714285714285712</v>
      </c>
      <c r="Y36" s="52">
        <f t="shared" si="28"/>
        <v>34.571428571428569</v>
      </c>
      <c r="Z36" s="52">
        <f t="shared" si="28"/>
        <v>9.571428571428573</v>
      </c>
      <c r="AA36" s="52">
        <f t="shared" si="28"/>
        <v>2.5714285714285712</v>
      </c>
      <c r="AB36" s="52">
        <f t="shared" si="28"/>
        <v>10.571428571428571</v>
      </c>
      <c r="AC36" s="52">
        <f t="shared" si="28"/>
        <v>282.42857142857139</v>
      </c>
      <c r="AD36" s="52">
        <f t="shared" si="28"/>
        <v>0.2857142857142857</v>
      </c>
      <c r="AE36" s="40">
        <f t="shared" si="28"/>
        <v>220.14285714285714</v>
      </c>
      <c r="AF36" s="40">
        <f t="shared" si="28"/>
        <v>491.28571428571428</v>
      </c>
    </row>
    <row r="37" spans="2:32" ht="23.1" customHeight="1" x14ac:dyDescent="0.25">
      <c r="B37" s="23" t="s">
        <v>64</v>
      </c>
      <c r="C37" s="49">
        <f>AVERAGE('20.8 Kampala-Luweero'!C37,'21.8 Kampala-Luweero'!C37,'22.8 Kampala-Luweero'!C37,'23.8 Kampala-Luweero'!C37,'24.8 Kampala-Luweero'!C37,'25.8 Kampala-Luweero 24Hrs'!C37,'26.8 Kampala-Luweero'!C37)</f>
        <v>9.1428571428571423</v>
      </c>
      <c r="D37" s="49">
        <f>AVERAGE('20.8 Kampala-Luweero'!D37,'21.8 Kampala-Luweero'!D37,'22.8 Kampala-Luweero'!D37,'23.8 Kampala-Luweero'!D37,'24.8 Kampala-Luweero'!D37,'25.8 Kampala-Luweero 24Hrs'!D37,'26.8 Kampala-Luweero'!D37)</f>
        <v>1.2857142857142858</v>
      </c>
      <c r="E37" s="49">
        <f>AVERAGE('20.8 Kampala-Luweero'!E37,'21.8 Kampala-Luweero'!E37,'22.8 Kampala-Luweero'!E37,'23.8 Kampala-Luweero'!E37,'24.8 Kampala-Luweero'!E37,'25.8 Kampala-Luweero 24Hrs'!E37,'26.8 Kampala-Luweero'!E37)</f>
        <v>14.857142857142858</v>
      </c>
      <c r="F37" s="49">
        <f>AVERAGE('20.8 Kampala-Luweero'!F37,'21.8 Kampala-Luweero'!F37,'22.8 Kampala-Luweero'!F37,'23.8 Kampala-Luweero'!F37,'24.8 Kampala-Luweero'!F37,'25.8 Kampala-Luweero 24Hrs'!F37,'26.8 Kampala-Luweero'!F37)</f>
        <v>16.714285714285715</v>
      </c>
      <c r="G37" s="49">
        <f>AVERAGE('20.8 Kampala-Luweero'!G37,'21.8 Kampala-Luweero'!G37,'22.8 Kampala-Luweero'!G37,'23.8 Kampala-Luweero'!G37,'24.8 Kampala-Luweero'!G37,'25.8 Kampala-Luweero 24Hrs'!G37,'26.8 Kampala-Luweero'!G37)</f>
        <v>0.5714285714285714</v>
      </c>
      <c r="H37" s="49">
        <f>AVERAGE('20.8 Kampala-Luweero'!H37,'21.8 Kampala-Luweero'!H37,'22.8 Kampala-Luweero'!H37,'23.8 Kampala-Luweero'!H37,'24.8 Kampala-Luweero'!H37,'25.8 Kampala-Luweero 24Hrs'!H37,'26.8 Kampala-Luweero'!H37)</f>
        <v>2.4285714285714284</v>
      </c>
      <c r="I37" s="49">
        <f>AVERAGE('20.8 Kampala-Luweero'!I37,'21.8 Kampala-Luweero'!I37,'22.8 Kampala-Luweero'!I37,'23.8 Kampala-Luweero'!I37,'24.8 Kampala-Luweero'!I37,'25.8 Kampala-Luweero 24Hrs'!I37,'26.8 Kampala-Luweero'!I37)</f>
        <v>7.8571428571428568</v>
      </c>
      <c r="J37" s="49">
        <f>AVERAGE('20.8 Kampala-Luweero'!J37,'21.8 Kampala-Luweero'!J37,'22.8 Kampala-Luweero'!J37,'23.8 Kampala-Luweero'!J37,'24.8 Kampala-Luweero'!J37,'25.8 Kampala-Luweero 24Hrs'!J37,'26.8 Kampala-Luweero'!J37)</f>
        <v>1</v>
      </c>
      <c r="K37" s="49">
        <f>AVERAGE('20.8 Kampala-Luweero'!K37,'21.8 Kampala-Luweero'!K37,'22.8 Kampala-Luweero'!K37,'23.8 Kampala-Luweero'!K37,'24.8 Kampala-Luweero'!K37,'25.8 Kampala-Luweero 24Hrs'!K37,'26.8 Kampala-Luweero'!K37)</f>
        <v>0.14285714285714285</v>
      </c>
      <c r="L37" s="49">
        <f>AVERAGE('20.8 Kampala-Luweero'!L37,'21.8 Kampala-Luweero'!L37,'22.8 Kampala-Luweero'!L37,'23.8 Kampala-Luweero'!L37,'24.8 Kampala-Luweero'!L37,'25.8 Kampala-Luweero 24Hrs'!L37,'26.8 Kampala-Luweero'!L37)</f>
        <v>1.5714285714285714</v>
      </c>
      <c r="M37" s="49">
        <f>AVERAGE('20.8 Kampala-Luweero'!M37,'21.8 Kampala-Luweero'!M37,'22.8 Kampala-Luweero'!M37,'23.8 Kampala-Luweero'!M37,'24.8 Kampala-Luweero'!M37,'25.8 Kampala-Luweero 24Hrs'!M37,'26.8 Kampala-Luweero'!M37)</f>
        <v>63</v>
      </c>
      <c r="N37" s="49">
        <f>AVERAGE('20.8 Kampala-Luweero'!N37,'21.8 Kampala-Luweero'!N37,'22.8 Kampala-Luweero'!N37,'23.8 Kampala-Luweero'!N37,'24.8 Kampala-Luweero'!N37,'25.8 Kampala-Luweero 24Hrs'!N37,'26.8 Kampala-Luweero'!N37)</f>
        <v>0.42857142857142855</v>
      </c>
      <c r="O37" s="15">
        <f t="shared" si="0"/>
        <v>56</v>
      </c>
      <c r="P37" s="15">
        <f t="shared" si="1"/>
        <v>119</v>
      </c>
      <c r="R37" s="37" t="s">
        <v>85</v>
      </c>
      <c r="S37" s="53">
        <f t="shared" ref="S37:AF37" si="29">SUM(S10:S12)</f>
        <v>108.14285714285714</v>
      </c>
      <c r="T37" s="54">
        <f t="shared" si="29"/>
        <v>6.5714285714285712</v>
      </c>
      <c r="U37" s="54">
        <f t="shared" si="29"/>
        <v>161.57142857142856</v>
      </c>
      <c r="V37" s="54">
        <f t="shared" si="29"/>
        <v>133.85714285714286</v>
      </c>
      <c r="W37" s="54">
        <f t="shared" si="29"/>
        <v>1.5714285714285714</v>
      </c>
      <c r="X37" s="54">
        <f t="shared" si="29"/>
        <v>9.8571428571428577</v>
      </c>
      <c r="Y37" s="54">
        <f t="shared" si="29"/>
        <v>67.857142857142861</v>
      </c>
      <c r="Z37" s="54">
        <f t="shared" si="29"/>
        <v>17.571428571428569</v>
      </c>
      <c r="AA37" s="54">
        <f t="shared" si="29"/>
        <v>1.8571428571428572</v>
      </c>
      <c r="AB37" s="54">
        <f t="shared" si="29"/>
        <v>14</v>
      </c>
      <c r="AC37" s="54">
        <f t="shared" si="29"/>
        <v>798.85714285714289</v>
      </c>
      <c r="AD37" s="54">
        <f t="shared" si="29"/>
        <v>0.2857142857142857</v>
      </c>
      <c r="AE37" s="55">
        <f t="shared" si="29"/>
        <v>523.14285714285711</v>
      </c>
      <c r="AF37" s="55">
        <f t="shared" si="29"/>
        <v>1322</v>
      </c>
    </row>
    <row r="38" spans="2:32" ht="23.1" customHeight="1" x14ac:dyDescent="0.25">
      <c r="B38" s="24" t="s">
        <v>65</v>
      </c>
      <c r="C38" s="49">
        <f>AVERAGE('20.8 Kampala-Luweero'!C38,'21.8 Kampala-Luweero'!C38,'22.8 Kampala-Luweero'!C38,'23.8 Kampala-Luweero'!C38,'24.8 Kampala-Luweero'!C38,'25.8 Kampala-Luweero 24Hrs'!C38,'26.8 Kampala-Luweero'!C38)</f>
        <v>9.4285714285714288</v>
      </c>
      <c r="D38" s="49">
        <f>AVERAGE('20.8 Kampala-Luweero'!D38,'21.8 Kampala-Luweero'!D38,'22.8 Kampala-Luweero'!D38,'23.8 Kampala-Luweero'!D38,'24.8 Kampala-Luweero'!D38,'25.8 Kampala-Luweero 24Hrs'!D38,'26.8 Kampala-Luweero'!D38)</f>
        <v>0.5714285714285714</v>
      </c>
      <c r="E38" s="49">
        <f>AVERAGE('20.8 Kampala-Luweero'!E38,'21.8 Kampala-Luweero'!E38,'22.8 Kampala-Luweero'!E38,'23.8 Kampala-Luweero'!E38,'24.8 Kampala-Luweero'!E38,'25.8 Kampala-Luweero 24Hrs'!E38,'26.8 Kampala-Luweero'!E38)</f>
        <v>17.285714285714285</v>
      </c>
      <c r="F38" s="49">
        <f>AVERAGE('20.8 Kampala-Luweero'!F38,'21.8 Kampala-Luweero'!F38,'22.8 Kampala-Luweero'!F38,'23.8 Kampala-Luweero'!F38,'24.8 Kampala-Luweero'!F38,'25.8 Kampala-Luweero 24Hrs'!F38,'26.8 Kampala-Luweero'!F38)</f>
        <v>17.428571428571427</v>
      </c>
      <c r="G38" s="49">
        <f>AVERAGE('20.8 Kampala-Luweero'!G38,'21.8 Kampala-Luweero'!G38,'22.8 Kampala-Luweero'!G38,'23.8 Kampala-Luweero'!G38,'24.8 Kampala-Luweero'!G38,'25.8 Kampala-Luweero 24Hrs'!G38,'26.8 Kampala-Luweero'!G38)</f>
        <v>0.5714285714285714</v>
      </c>
      <c r="H38" s="49">
        <f>AVERAGE('20.8 Kampala-Luweero'!H38,'21.8 Kampala-Luweero'!H38,'22.8 Kampala-Luweero'!H38,'23.8 Kampala-Luweero'!H38,'24.8 Kampala-Luweero'!H38,'25.8 Kampala-Luweero 24Hrs'!H38,'26.8 Kampala-Luweero'!H38)</f>
        <v>2.4285714285714284</v>
      </c>
      <c r="I38" s="49">
        <f>AVERAGE('20.8 Kampala-Luweero'!I38,'21.8 Kampala-Luweero'!I38,'22.8 Kampala-Luweero'!I38,'23.8 Kampala-Luweero'!I38,'24.8 Kampala-Luweero'!I38,'25.8 Kampala-Luweero 24Hrs'!I38,'26.8 Kampala-Luweero'!I38)</f>
        <v>7.1428571428571432</v>
      </c>
      <c r="J38" s="49">
        <f>AVERAGE('20.8 Kampala-Luweero'!J38,'21.8 Kampala-Luweero'!J38,'22.8 Kampala-Luweero'!J38,'23.8 Kampala-Luweero'!J38,'24.8 Kampala-Luweero'!J38,'25.8 Kampala-Luweero 24Hrs'!J38,'26.8 Kampala-Luweero'!J38)</f>
        <v>2.2857142857142856</v>
      </c>
      <c r="K38" s="49">
        <f>AVERAGE('20.8 Kampala-Luweero'!K38,'21.8 Kampala-Luweero'!K38,'22.8 Kampala-Luweero'!K38,'23.8 Kampala-Luweero'!K38,'24.8 Kampala-Luweero'!K38,'25.8 Kampala-Luweero 24Hrs'!K38,'26.8 Kampala-Luweero'!K38)</f>
        <v>0.14285714285714285</v>
      </c>
      <c r="L38" s="49">
        <f>AVERAGE('20.8 Kampala-Luweero'!L38,'21.8 Kampala-Luweero'!L38,'22.8 Kampala-Luweero'!L38,'23.8 Kampala-Luweero'!L38,'24.8 Kampala-Luweero'!L38,'25.8 Kampala-Luweero 24Hrs'!L38,'26.8 Kampala-Luweero'!L38)</f>
        <v>1.4285714285714286</v>
      </c>
      <c r="M38" s="49">
        <f>AVERAGE('20.8 Kampala-Luweero'!M38,'21.8 Kampala-Luweero'!M38,'22.8 Kampala-Luweero'!M38,'23.8 Kampala-Luweero'!M38,'24.8 Kampala-Luweero'!M38,'25.8 Kampala-Luweero 24Hrs'!M38,'26.8 Kampala-Luweero'!M38)</f>
        <v>50.285714285714285</v>
      </c>
      <c r="N38" s="49">
        <f>AVERAGE('20.8 Kampala-Luweero'!N38,'21.8 Kampala-Luweero'!N38,'22.8 Kampala-Luweero'!N38,'23.8 Kampala-Luweero'!N38,'24.8 Kampala-Luweero'!N38,'25.8 Kampala-Luweero 24Hrs'!N38,'26.8 Kampala-Luweero'!N38)</f>
        <v>0</v>
      </c>
      <c r="O38" s="15">
        <f t="shared" si="0"/>
        <v>58.714285714285715</v>
      </c>
      <c r="P38" s="15">
        <f t="shared" si="1"/>
        <v>109</v>
      </c>
      <c r="R38" s="28" t="s">
        <v>86</v>
      </c>
      <c r="S38" s="54">
        <f t="shared" ref="S38:AF38" si="30">SUM(S13:S18)</f>
        <v>233.28571428571425</v>
      </c>
      <c r="T38" s="54">
        <f t="shared" si="30"/>
        <v>20.857142857142854</v>
      </c>
      <c r="U38" s="54">
        <f t="shared" si="30"/>
        <v>399.71428571428572</v>
      </c>
      <c r="V38" s="54">
        <f t="shared" si="30"/>
        <v>373.14285714285711</v>
      </c>
      <c r="W38" s="54">
        <f t="shared" si="30"/>
        <v>8.2857142857142847</v>
      </c>
      <c r="X38" s="54">
        <f t="shared" si="30"/>
        <v>34</v>
      </c>
      <c r="Y38" s="54">
        <f t="shared" si="30"/>
        <v>162.42857142857144</v>
      </c>
      <c r="Z38" s="54">
        <f t="shared" si="30"/>
        <v>40.428571428571431</v>
      </c>
      <c r="AA38" s="54">
        <f t="shared" si="30"/>
        <v>4.8571428571428559</v>
      </c>
      <c r="AB38" s="54">
        <f t="shared" si="30"/>
        <v>34.714285714285715</v>
      </c>
      <c r="AC38" s="54">
        <f t="shared" si="30"/>
        <v>1554</v>
      </c>
      <c r="AD38" s="54">
        <f t="shared" si="30"/>
        <v>0.5714285714285714</v>
      </c>
      <c r="AE38" s="55">
        <f t="shared" si="30"/>
        <v>1312.2857142857142</v>
      </c>
      <c r="AF38" s="55">
        <f t="shared" si="30"/>
        <v>2866.2857142857142</v>
      </c>
    </row>
    <row r="39" spans="2:32" ht="23.1" customHeight="1" x14ac:dyDescent="0.25">
      <c r="B39" s="24" t="s">
        <v>66</v>
      </c>
      <c r="C39" s="49">
        <f>AVERAGE('20.8 Kampala-Luweero'!C39,'21.8 Kampala-Luweero'!C39,'22.8 Kampala-Luweero'!C39,'23.8 Kampala-Luweero'!C39,'24.8 Kampala-Luweero'!C39,'25.8 Kampala-Luweero 24Hrs'!C39,'26.8 Kampala-Luweero'!C39)</f>
        <v>8.2857142857142865</v>
      </c>
      <c r="D39" s="49">
        <f>AVERAGE('20.8 Kampala-Luweero'!D39,'21.8 Kampala-Luweero'!D39,'22.8 Kampala-Luweero'!D39,'23.8 Kampala-Luweero'!D39,'24.8 Kampala-Luweero'!D39,'25.8 Kampala-Luweero 24Hrs'!D39,'26.8 Kampala-Luweero'!D39)</f>
        <v>0</v>
      </c>
      <c r="E39" s="49">
        <f>AVERAGE('20.8 Kampala-Luweero'!E39,'21.8 Kampala-Luweero'!E39,'22.8 Kampala-Luweero'!E39,'23.8 Kampala-Luweero'!E39,'24.8 Kampala-Luweero'!E39,'25.8 Kampala-Luweero 24Hrs'!E39,'26.8 Kampala-Luweero'!E39)</f>
        <v>15.571428571428571</v>
      </c>
      <c r="F39" s="49">
        <f>AVERAGE('20.8 Kampala-Luweero'!F39,'21.8 Kampala-Luweero'!F39,'22.8 Kampala-Luweero'!F39,'23.8 Kampala-Luweero'!F39,'24.8 Kampala-Luweero'!F39,'25.8 Kampala-Luweero 24Hrs'!F39,'26.8 Kampala-Luweero'!F39)</f>
        <v>15.142857142857142</v>
      </c>
      <c r="G39" s="49">
        <f>AVERAGE('20.8 Kampala-Luweero'!G39,'21.8 Kampala-Luweero'!G39,'22.8 Kampala-Luweero'!G39,'23.8 Kampala-Luweero'!G39,'24.8 Kampala-Luweero'!G39,'25.8 Kampala-Luweero 24Hrs'!G39,'26.8 Kampala-Luweero'!G39)</f>
        <v>0.7142857142857143</v>
      </c>
      <c r="H39" s="49">
        <f>AVERAGE('20.8 Kampala-Luweero'!H39,'21.8 Kampala-Luweero'!H39,'22.8 Kampala-Luweero'!H39,'23.8 Kampala-Luweero'!H39,'24.8 Kampala-Luweero'!H39,'25.8 Kampala-Luweero 24Hrs'!H39,'26.8 Kampala-Luweero'!H39)</f>
        <v>1.2857142857142858</v>
      </c>
      <c r="I39" s="49">
        <f>AVERAGE('20.8 Kampala-Luweero'!I39,'21.8 Kampala-Luweero'!I39,'22.8 Kampala-Luweero'!I39,'23.8 Kampala-Luweero'!I39,'24.8 Kampala-Luweero'!I39,'25.8 Kampala-Luweero 24Hrs'!I39,'26.8 Kampala-Luweero'!I39)</f>
        <v>7.5714285714285712</v>
      </c>
      <c r="J39" s="49">
        <f>AVERAGE('20.8 Kampala-Luweero'!J39,'21.8 Kampala-Luweero'!J39,'22.8 Kampala-Luweero'!J39,'23.8 Kampala-Luweero'!J39,'24.8 Kampala-Luweero'!J39,'25.8 Kampala-Luweero 24Hrs'!J39,'26.8 Kampala-Luweero'!J39)</f>
        <v>2.7142857142857144</v>
      </c>
      <c r="K39" s="49">
        <f>AVERAGE('20.8 Kampala-Luweero'!K39,'21.8 Kampala-Luweero'!K39,'22.8 Kampala-Luweero'!K39,'23.8 Kampala-Luweero'!K39,'24.8 Kampala-Luweero'!K39,'25.8 Kampala-Luweero 24Hrs'!K39,'26.8 Kampala-Luweero'!K39)</f>
        <v>0.5714285714285714</v>
      </c>
      <c r="L39" s="49">
        <f>AVERAGE('20.8 Kampala-Luweero'!L39,'21.8 Kampala-Luweero'!L39,'22.8 Kampala-Luweero'!L39,'23.8 Kampala-Luweero'!L39,'24.8 Kampala-Luweero'!L39,'25.8 Kampala-Luweero 24Hrs'!L39,'26.8 Kampala-Luweero'!L39)</f>
        <v>1.7142857142857142</v>
      </c>
      <c r="M39" s="49">
        <f>AVERAGE('20.8 Kampala-Luweero'!M39,'21.8 Kampala-Luweero'!M39,'22.8 Kampala-Luweero'!M39,'23.8 Kampala-Luweero'!M39,'24.8 Kampala-Luweero'!M39,'25.8 Kampala-Luweero 24Hrs'!M39,'26.8 Kampala-Luweero'!M39)</f>
        <v>60.428571428571431</v>
      </c>
      <c r="N39" s="49">
        <f>AVERAGE('20.8 Kampala-Luweero'!N39,'21.8 Kampala-Luweero'!N39,'22.8 Kampala-Luweero'!N39,'23.8 Kampala-Luweero'!N39,'24.8 Kampala-Luweero'!N39,'25.8 Kampala-Luweero 24Hrs'!N39,'26.8 Kampala-Luweero'!N39)</f>
        <v>0</v>
      </c>
      <c r="O39" s="15">
        <f t="shared" si="0"/>
        <v>53.571428571428569</v>
      </c>
      <c r="P39" s="15">
        <f t="shared" si="1"/>
        <v>114</v>
      </c>
      <c r="R39" s="29" t="s">
        <v>87</v>
      </c>
      <c r="S39" s="54">
        <f t="shared" ref="S39:AF39" si="31">SUM(S19:S21)</f>
        <v>114.71428571428572</v>
      </c>
      <c r="T39" s="54">
        <f t="shared" si="31"/>
        <v>7.2857142857142856</v>
      </c>
      <c r="U39" s="54">
        <f t="shared" si="31"/>
        <v>151.85714285714286</v>
      </c>
      <c r="V39" s="54">
        <f t="shared" si="31"/>
        <v>180.57142857142856</v>
      </c>
      <c r="W39" s="54">
        <f t="shared" si="31"/>
        <v>1.8571428571428568</v>
      </c>
      <c r="X39" s="54">
        <f t="shared" si="31"/>
        <v>10.428571428571429</v>
      </c>
      <c r="Y39" s="54">
        <f t="shared" si="31"/>
        <v>91.857142857142861</v>
      </c>
      <c r="Z39" s="54">
        <f t="shared" si="31"/>
        <v>24.142857142857146</v>
      </c>
      <c r="AA39" s="54">
        <f t="shared" si="31"/>
        <v>5.5714285714285712</v>
      </c>
      <c r="AB39" s="54">
        <f t="shared" si="31"/>
        <v>26.285714285714285</v>
      </c>
      <c r="AC39" s="54">
        <f t="shared" si="31"/>
        <v>798.71428571428567</v>
      </c>
      <c r="AD39" s="54">
        <f t="shared" si="31"/>
        <v>0.2857142857142857</v>
      </c>
      <c r="AE39" s="55">
        <f t="shared" si="31"/>
        <v>614.85714285714289</v>
      </c>
      <c r="AF39" s="55">
        <f t="shared" si="31"/>
        <v>1413.5714285714284</v>
      </c>
    </row>
    <row r="40" spans="2:32" ht="23.1" customHeight="1" x14ac:dyDescent="0.25">
      <c r="B40" s="24" t="s">
        <v>67</v>
      </c>
      <c r="C40" s="49">
        <f>AVERAGE('20.8 Kampala-Luweero'!C40,'21.8 Kampala-Luweero'!C40,'22.8 Kampala-Luweero'!C40,'23.8 Kampala-Luweero'!C40,'24.8 Kampala-Luweero'!C40,'25.8 Kampala-Luweero 24Hrs'!C40,'26.8 Kampala-Luweero'!C40)</f>
        <v>8.7142857142857135</v>
      </c>
      <c r="D40" s="49">
        <f>AVERAGE('20.8 Kampala-Luweero'!D40,'21.8 Kampala-Luweero'!D40,'22.8 Kampala-Luweero'!D40,'23.8 Kampala-Luweero'!D40,'24.8 Kampala-Luweero'!D40,'25.8 Kampala-Luweero 24Hrs'!D40,'26.8 Kampala-Luweero'!D40)</f>
        <v>1.2857142857142858</v>
      </c>
      <c r="E40" s="49">
        <f>AVERAGE('20.8 Kampala-Luweero'!E40,'21.8 Kampala-Luweero'!E40,'22.8 Kampala-Luweero'!E40,'23.8 Kampala-Luweero'!E40,'24.8 Kampala-Luweero'!E40,'25.8 Kampala-Luweero 24Hrs'!E40,'26.8 Kampala-Luweero'!E40)</f>
        <v>13.142857142857142</v>
      </c>
      <c r="F40" s="49">
        <f>AVERAGE('20.8 Kampala-Luweero'!F40,'21.8 Kampala-Luweero'!F40,'22.8 Kampala-Luweero'!F40,'23.8 Kampala-Luweero'!F40,'24.8 Kampala-Luweero'!F40,'25.8 Kampala-Luweero 24Hrs'!F40,'26.8 Kampala-Luweero'!F40)</f>
        <v>15.714285714285714</v>
      </c>
      <c r="G40" s="49">
        <f>AVERAGE('20.8 Kampala-Luweero'!G40,'21.8 Kampala-Luweero'!G40,'22.8 Kampala-Luweero'!G40,'23.8 Kampala-Luweero'!G40,'24.8 Kampala-Luweero'!G40,'25.8 Kampala-Luweero 24Hrs'!G40,'26.8 Kampala-Luweero'!G40)</f>
        <v>0.14285714285714285</v>
      </c>
      <c r="H40" s="49">
        <f>AVERAGE('20.8 Kampala-Luweero'!H40,'21.8 Kampala-Luweero'!H40,'22.8 Kampala-Luweero'!H40,'23.8 Kampala-Luweero'!H40,'24.8 Kampala-Luweero'!H40,'25.8 Kampala-Luweero 24Hrs'!H40,'26.8 Kampala-Luweero'!H40)</f>
        <v>2.1428571428571428</v>
      </c>
      <c r="I40" s="49">
        <f>AVERAGE('20.8 Kampala-Luweero'!I40,'21.8 Kampala-Luweero'!I40,'22.8 Kampala-Luweero'!I40,'23.8 Kampala-Luweero'!I40,'24.8 Kampala-Luweero'!I40,'25.8 Kampala-Luweero 24Hrs'!I40,'26.8 Kampala-Luweero'!I40)</f>
        <v>8</v>
      </c>
      <c r="J40" s="49">
        <f>AVERAGE('20.8 Kampala-Luweero'!J40,'21.8 Kampala-Luweero'!J40,'22.8 Kampala-Luweero'!J40,'23.8 Kampala-Luweero'!J40,'24.8 Kampala-Luweero'!J40,'25.8 Kampala-Luweero 24Hrs'!J40,'26.8 Kampala-Luweero'!J40)</f>
        <v>1.5714285714285714</v>
      </c>
      <c r="K40" s="49">
        <f>AVERAGE('20.8 Kampala-Luweero'!K40,'21.8 Kampala-Luweero'!K40,'22.8 Kampala-Luweero'!K40,'23.8 Kampala-Luweero'!K40,'24.8 Kampala-Luweero'!K40,'25.8 Kampala-Luweero 24Hrs'!K40,'26.8 Kampala-Luweero'!K40)</f>
        <v>0</v>
      </c>
      <c r="L40" s="49">
        <f>AVERAGE('20.8 Kampala-Luweero'!L40,'21.8 Kampala-Luweero'!L40,'22.8 Kampala-Luweero'!L40,'23.8 Kampala-Luweero'!L40,'24.8 Kampala-Luweero'!L40,'25.8 Kampala-Luweero 24Hrs'!L40,'26.8 Kampala-Luweero'!L40)</f>
        <v>2.5714285714285716</v>
      </c>
      <c r="M40" s="49">
        <f>AVERAGE('20.8 Kampala-Luweero'!M40,'21.8 Kampala-Luweero'!M40,'22.8 Kampala-Luweero'!M40,'23.8 Kampala-Luweero'!M40,'24.8 Kampala-Luweero'!M40,'25.8 Kampala-Luweero 24Hrs'!M40,'26.8 Kampala-Luweero'!M40)</f>
        <v>66.857142857142861</v>
      </c>
      <c r="N40" s="49">
        <f>AVERAGE('20.8 Kampala-Luweero'!N40,'21.8 Kampala-Luweero'!N40,'22.8 Kampala-Luweero'!N40,'23.8 Kampala-Luweero'!N40,'24.8 Kampala-Luweero'!N40,'25.8 Kampala-Luweero 24Hrs'!N40,'26.8 Kampala-Luweero'!N40)</f>
        <v>0</v>
      </c>
      <c r="O40" s="15">
        <f t="shared" si="0"/>
        <v>53.285714285714285</v>
      </c>
      <c r="P40" s="15">
        <f t="shared" si="1"/>
        <v>120.14285714285714</v>
      </c>
      <c r="R40" s="5" t="s">
        <v>17</v>
      </c>
      <c r="S40" s="54">
        <f t="shared" ref="S40:AF40" si="32">SUM(S10:S21)</f>
        <v>456.14285714285722</v>
      </c>
      <c r="T40" s="54">
        <f t="shared" si="32"/>
        <v>34.714285714285708</v>
      </c>
      <c r="U40" s="54">
        <f t="shared" si="32"/>
        <v>713.14285714285722</v>
      </c>
      <c r="V40" s="54">
        <f t="shared" si="32"/>
        <v>687.57142857142856</v>
      </c>
      <c r="W40" s="54">
        <f t="shared" si="32"/>
        <v>11.714285714285712</v>
      </c>
      <c r="X40" s="54">
        <f t="shared" si="32"/>
        <v>54.285714285714285</v>
      </c>
      <c r="Y40" s="54">
        <f t="shared" si="32"/>
        <v>322.14285714285711</v>
      </c>
      <c r="Z40" s="54">
        <f t="shared" si="32"/>
        <v>82.142857142857139</v>
      </c>
      <c r="AA40" s="54">
        <f t="shared" si="32"/>
        <v>12.285714285714285</v>
      </c>
      <c r="AB40" s="54">
        <f t="shared" si="32"/>
        <v>75</v>
      </c>
      <c r="AC40" s="54">
        <f t="shared" si="32"/>
        <v>3151.5714285714289</v>
      </c>
      <c r="AD40" s="54">
        <f t="shared" si="32"/>
        <v>1.1428571428571428</v>
      </c>
      <c r="AE40" s="55">
        <f t="shared" si="32"/>
        <v>2450.2857142857142</v>
      </c>
      <c r="AF40" s="55">
        <f t="shared" si="32"/>
        <v>5601.857142857144</v>
      </c>
    </row>
    <row r="41" spans="2:32" ht="23.1" customHeight="1" x14ac:dyDescent="0.25">
      <c r="B41" s="23" t="s">
        <v>68</v>
      </c>
      <c r="C41" s="49">
        <f>AVERAGE('20.8 Kampala-Luweero'!C41,'21.8 Kampala-Luweero'!C41,'22.8 Kampala-Luweero'!C41,'23.8 Kampala-Luweero'!C41,'24.8 Kampala-Luweero'!C41,'25.8 Kampala-Luweero 24Hrs'!C41,'26.8 Kampala-Luweero'!C41)</f>
        <v>9.1428571428571423</v>
      </c>
      <c r="D41" s="49">
        <f>AVERAGE('20.8 Kampala-Luweero'!D41,'21.8 Kampala-Luweero'!D41,'22.8 Kampala-Luweero'!D41,'23.8 Kampala-Luweero'!D41,'24.8 Kampala-Luweero'!D41,'25.8 Kampala-Luweero 24Hrs'!D41,'26.8 Kampala-Luweero'!D41)</f>
        <v>1</v>
      </c>
      <c r="E41" s="49">
        <f>AVERAGE('20.8 Kampala-Luweero'!E41,'21.8 Kampala-Luweero'!E41,'22.8 Kampala-Luweero'!E41,'23.8 Kampala-Luweero'!E41,'24.8 Kampala-Luweero'!E41,'25.8 Kampala-Luweero 24Hrs'!E41,'26.8 Kampala-Luweero'!E41)</f>
        <v>14.142857142857142</v>
      </c>
      <c r="F41" s="49">
        <f>AVERAGE('20.8 Kampala-Luweero'!F41,'21.8 Kampala-Luweero'!F41,'22.8 Kampala-Luweero'!F41,'23.8 Kampala-Luweero'!F41,'24.8 Kampala-Luweero'!F41,'25.8 Kampala-Luweero 24Hrs'!F41,'26.8 Kampala-Luweero'!F41)</f>
        <v>18.285714285714285</v>
      </c>
      <c r="G41" s="49">
        <f>AVERAGE('20.8 Kampala-Luweero'!G41,'21.8 Kampala-Luweero'!G41,'22.8 Kampala-Luweero'!G41,'23.8 Kampala-Luweero'!G41,'24.8 Kampala-Luweero'!G41,'25.8 Kampala-Luweero 24Hrs'!G41,'26.8 Kampala-Luweero'!G41)</f>
        <v>0.8571428571428571</v>
      </c>
      <c r="H41" s="49">
        <f>AVERAGE('20.8 Kampala-Luweero'!H41,'21.8 Kampala-Luweero'!H41,'22.8 Kampala-Luweero'!H41,'23.8 Kampala-Luweero'!H41,'24.8 Kampala-Luweero'!H41,'25.8 Kampala-Luweero 24Hrs'!H41,'26.8 Kampala-Luweero'!H41)</f>
        <v>1.7142857142857142</v>
      </c>
      <c r="I41" s="49">
        <f>AVERAGE('20.8 Kampala-Luweero'!I41,'21.8 Kampala-Luweero'!I41,'22.8 Kampala-Luweero'!I41,'23.8 Kampala-Luweero'!I41,'24.8 Kampala-Luweero'!I41,'25.8 Kampala-Luweero 24Hrs'!I41,'26.8 Kampala-Luweero'!I41)</f>
        <v>7.1428571428571432</v>
      </c>
      <c r="J41" s="49">
        <f>AVERAGE('20.8 Kampala-Luweero'!J41,'21.8 Kampala-Luweero'!J41,'22.8 Kampala-Luweero'!J41,'23.8 Kampala-Luweero'!J41,'24.8 Kampala-Luweero'!J41,'25.8 Kampala-Luweero 24Hrs'!J41,'26.8 Kampala-Luweero'!J41)</f>
        <v>1.4285714285714286</v>
      </c>
      <c r="K41" s="49">
        <f>AVERAGE('20.8 Kampala-Luweero'!K41,'21.8 Kampala-Luweero'!K41,'22.8 Kampala-Luweero'!K41,'23.8 Kampala-Luweero'!K41,'24.8 Kampala-Luweero'!K41,'25.8 Kampala-Luweero 24Hrs'!K41,'26.8 Kampala-Luweero'!K41)</f>
        <v>0.14285714285714285</v>
      </c>
      <c r="L41" s="49">
        <f>AVERAGE('20.8 Kampala-Luweero'!L41,'21.8 Kampala-Luweero'!L41,'22.8 Kampala-Luweero'!L41,'23.8 Kampala-Luweero'!L41,'24.8 Kampala-Luweero'!L41,'25.8 Kampala-Luweero 24Hrs'!L41,'26.8 Kampala-Luweero'!L41)</f>
        <v>2.1428571428571428</v>
      </c>
      <c r="M41" s="49">
        <f>AVERAGE('20.8 Kampala-Luweero'!M41,'21.8 Kampala-Luweero'!M41,'22.8 Kampala-Luweero'!M41,'23.8 Kampala-Luweero'!M41,'24.8 Kampala-Luweero'!M41,'25.8 Kampala-Luweero 24Hrs'!M41,'26.8 Kampala-Luweero'!M41)</f>
        <v>63.571428571428569</v>
      </c>
      <c r="N41" s="49">
        <f>AVERAGE('20.8 Kampala-Luweero'!N41,'21.8 Kampala-Luweero'!N41,'22.8 Kampala-Luweero'!N41,'23.8 Kampala-Luweero'!N41,'24.8 Kampala-Luweero'!N41,'25.8 Kampala-Luweero 24Hrs'!N41,'26.8 Kampala-Luweero'!N41)</f>
        <v>0</v>
      </c>
      <c r="O41" s="15">
        <f t="shared" si="0"/>
        <v>56.000000000000007</v>
      </c>
      <c r="P41" s="15">
        <f t="shared" si="1"/>
        <v>119.57142857142858</v>
      </c>
      <c r="R41" s="5" t="s">
        <v>180</v>
      </c>
      <c r="S41" s="54">
        <f>SUM(S10:S33)</f>
        <v>576.64285714285722</v>
      </c>
      <c r="T41" s="54">
        <f t="shared" ref="T41:AD41" si="33">SUM(T10:T33)</f>
        <v>65.214285714285708</v>
      </c>
      <c r="U41" s="54">
        <f t="shared" si="33"/>
        <v>811.64285714285722</v>
      </c>
      <c r="V41" s="54">
        <f t="shared" si="33"/>
        <v>807.57142857142856</v>
      </c>
      <c r="W41" s="54">
        <f t="shared" si="33"/>
        <v>39.714285714285708</v>
      </c>
      <c r="X41" s="54">
        <f t="shared" si="33"/>
        <v>90.285714285714278</v>
      </c>
      <c r="Y41" s="54">
        <f t="shared" si="33"/>
        <v>455.14285714285711</v>
      </c>
      <c r="Z41" s="54">
        <f t="shared" si="33"/>
        <v>95.142857142857139</v>
      </c>
      <c r="AA41" s="54">
        <f t="shared" si="33"/>
        <v>21.285714285714285</v>
      </c>
      <c r="AB41" s="54">
        <f t="shared" si="33"/>
        <v>137</v>
      </c>
      <c r="AC41" s="54">
        <f t="shared" si="33"/>
        <v>3749.5714285714289</v>
      </c>
      <c r="AD41" s="54">
        <f t="shared" si="33"/>
        <v>1.1428571428571428</v>
      </c>
      <c r="AE41" s="55">
        <f>SUM(AE10:AE33)</f>
        <v>3100.7857142857142</v>
      </c>
      <c r="AF41" s="55">
        <f>SUM(AF10:AF33)</f>
        <v>6850.357142857144</v>
      </c>
    </row>
    <row r="42" spans="2:32" ht="23.1" customHeight="1" x14ac:dyDescent="0.25">
      <c r="B42" s="24" t="s">
        <v>69</v>
      </c>
      <c r="C42" s="49">
        <f>AVERAGE('20.8 Kampala-Luweero'!C42,'21.8 Kampala-Luweero'!C42,'22.8 Kampala-Luweero'!C42,'23.8 Kampala-Luweero'!C42,'24.8 Kampala-Luweero'!C42,'25.8 Kampala-Luweero 24Hrs'!C42,'26.8 Kampala-Luweero'!C42)</f>
        <v>7.1428571428571432</v>
      </c>
      <c r="D42" s="49">
        <f>AVERAGE('20.8 Kampala-Luweero'!D42,'21.8 Kampala-Luweero'!D42,'22.8 Kampala-Luweero'!D42,'23.8 Kampala-Luweero'!D42,'24.8 Kampala-Luweero'!D42,'25.8 Kampala-Luweero 24Hrs'!D42,'26.8 Kampala-Luweero'!D42)</f>
        <v>0.8571428571428571</v>
      </c>
      <c r="E42" s="49">
        <f>AVERAGE('20.8 Kampala-Luweero'!E42,'21.8 Kampala-Luweero'!E42,'22.8 Kampala-Luweero'!E42,'23.8 Kampala-Luweero'!E42,'24.8 Kampala-Luweero'!E42,'25.8 Kampala-Luweero 24Hrs'!E42,'26.8 Kampala-Luweero'!E42)</f>
        <v>14.142857142857142</v>
      </c>
      <c r="F42" s="49">
        <f>AVERAGE('20.8 Kampala-Luweero'!F42,'21.8 Kampala-Luweero'!F42,'22.8 Kampala-Luweero'!F42,'23.8 Kampala-Luweero'!F42,'24.8 Kampala-Luweero'!F42,'25.8 Kampala-Luweero 24Hrs'!F42,'26.8 Kampala-Luweero'!F42)</f>
        <v>14.714285714285714</v>
      </c>
      <c r="G42" s="49">
        <f>AVERAGE('20.8 Kampala-Luweero'!G42,'21.8 Kampala-Luweero'!G42,'22.8 Kampala-Luweero'!G42,'23.8 Kampala-Luweero'!G42,'24.8 Kampala-Luweero'!G42,'25.8 Kampala-Luweero 24Hrs'!G42,'26.8 Kampala-Luweero'!G42)</f>
        <v>0.42857142857142855</v>
      </c>
      <c r="H42" s="49">
        <f>AVERAGE('20.8 Kampala-Luweero'!H42,'21.8 Kampala-Luweero'!H42,'22.8 Kampala-Luweero'!H42,'23.8 Kampala-Luweero'!H42,'24.8 Kampala-Luweero'!H42,'25.8 Kampala-Luweero 24Hrs'!H42,'26.8 Kampala-Luweero'!H42)</f>
        <v>1.5714285714285714</v>
      </c>
      <c r="I42" s="49">
        <f>AVERAGE('20.8 Kampala-Luweero'!I42,'21.8 Kampala-Luweero'!I42,'22.8 Kampala-Luweero'!I42,'23.8 Kampala-Luweero'!I42,'24.8 Kampala-Luweero'!I42,'25.8 Kampala-Luweero 24Hrs'!I42,'26.8 Kampala-Luweero'!I42)</f>
        <v>5.8571428571428568</v>
      </c>
      <c r="J42" s="49">
        <f>AVERAGE('20.8 Kampala-Luweero'!J42,'21.8 Kampala-Luweero'!J42,'22.8 Kampala-Luweero'!J42,'23.8 Kampala-Luweero'!J42,'24.8 Kampala-Luweero'!J42,'25.8 Kampala-Luweero 24Hrs'!J42,'26.8 Kampala-Luweero'!J42)</f>
        <v>1.5714285714285714</v>
      </c>
      <c r="K42" s="49">
        <f>AVERAGE('20.8 Kampala-Luweero'!K42,'21.8 Kampala-Luweero'!K42,'22.8 Kampala-Luweero'!K42,'23.8 Kampala-Luweero'!K42,'24.8 Kampala-Luweero'!K42,'25.8 Kampala-Luweero 24Hrs'!K42,'26.8 Kampala-Luweero'!K42)</f>
        <v>0.2857142857142857</v>
      </c>
      <c r="L42" s="49">
        <f>AVERAGE('20.8 Kampala-Luweero'!L42,'21.8 Kampala-Luweero'!L42,'22.8 Kampala-Luweero'!L42,'23.8 Kampala-Luweero'!L42,'24.8 Kampala-Luweero'!L42,'25.8 Kampala-Luweero 24Hrs'!L42,'26.8 Kampala-Luweero'!L42)</f>
        <v>1</v>
      </c>
      <c r="M42" s="49">
        <f>AVERAGE('20.8 Kampala-Luweero'!M42,'21.8 Kampala-Luweero'!M42,'22.8 Kampala-Luweero'!M42,'23.8 Kampala-Luweero'!M42,'24.8 Kampala-Luweero'!M42,'25.8 Kampala-Luweero 24Hrs'!M42,'26.8 Kampala-Luweero'!M42)</f>
        <v>65.142857142857139</v>
      </c>
      <c r="N42" s="49">
        <f>AVERAGE('20.8 Kampala-Luweero'!N42,'21.8 Kampala-Luweero'!N42,'22.8 Kampala-Luweero'!N42,'23.8 Kampala-Luweero'!N42,'24.8 Kampala-Luweero'!N42,'25.8 Kampala-Luweero 24Hrs'!N42,'26.8 Kampala-Luweero'!N42)</f>
        <v>0</v>
      </c>
      <c r="O42" s="15">
        <f t="shared" si="0"/>
        <v>47.571428571428562</v>
      </c>
      <c r="P42" s="15">
        <f t="shared" si="1"/>
        <v>112.71428571428569</v>
      </c>
      <c r="R42" s="5" t="s">
        <v>160</v>
      </c>
      <c r="S42" s="48">
        <f>S41/S40</f>
        <v>1.2641716254306294</v>
      </c>
      <c r="T42" s="48">
        <f t="shared" ref="T42:AF42" si="34">T41/T40</f>
        <v>1.8786008230452675</v>
      </c>
      <c r="U42" s="48">
        <f t="shared" si="34"/>
        <v>1.1381209935897436</v>
      </c>
      <c r="V42" s="48">
        <f t="shared" si="34"/>
        <v>1.1745273218366923</v>
      </c>
      <c r="W42" s="48">
        <f t="shared" si="34"/>
        <v>3.3902439024390247</v>
      </c>
      <c r="X42" s="48">
        <f t="shared" si="34"/>
        <v>1.6631578947368419</v>
      </c>
      <c r="Y42" s="48">
        <f t="shared" si="34"/>
        <v>1.412860310421286</v>
      </c>
      <c r="Z42" s="48">
        <f t="shared" si="34"/>
        <v>1.1582608695652175</v>
      </c>
      <c r="AA42" s="48">
        <f t="shared" si="34"/>
        <v>1.7325581395348837</v>
      </c>
      <c r="AB42" s="48">
        <f t="shared" si="34"/>
        <v>1.8266666666666667</v>
      </c>
      <c r="AC42" s="48">
        <f t="shared" si="34"/>
        <v>1.1897466116676487</v>
      </c>
      <c r="AD42" s="48">
        <f t="shared" si="34"/>
        <v>1</v>
      </c>
      <c r="AE42" s="56">
        <f t="shared" si="34"/>
        <v>1.265479244402985</v>
      </c>
      <c r="AF42" s="56">
        <f t="shared" si="34"/>
        <v>1.2228725167673986</v>
      </c>
    </row>
    <row r="43" spans="2:32" ht="23.1" customHeight="1" x14ac:dyDescent="0.25">
      <c r="B43" s="23" t="s">
        <v>70</v>
      </c>
      <c r="C43" s="49">
        <f>AVERAGE('20.8 Kampala-Luweero'!C43,'21.8 Kampala-Luweero'!C43,'22.8 Kampala-Luweero'!C43,'23.8 Kampala-Luweero'!C43,'24.8 Kampala-Luweero'!C43,'25.8 Kampala-Luweero 24Hrs'!C43,'26.8 Kampala-Luweero'!C43)</f>
        <v>7</v>
      </c>
      <c r="D43" s="49">
        <f>AVERAGE('20.8 Kampala-Luweero'!D43,'21.8 Kampala-Luweero'!D43,'22.8 Kampala-Luweero'!D43,'23.8 Kampala-Luweero'!D43,'24.8 Kampala-Luweero'!D43,'25.8 Kampala-Luweero 24Hrs'!D43,'26.8 Kampala-Luweero'!D43)</f>
        <v>1</v>
      </c>
      <c r="E43" s="49">
        <f>AVERAGE('20.8 Kampala-Luweero'!E43,'21.8 Kampala-Luweero'!E43,'22.8 Kampala-Luweero'!E43,'23.8 Kampala-Luweero'!E43,'24.8 Kampala-Luweero'!E43,'25.8 Kampala-Luweero 24Hrs'!E43,'26.8 Kampala-Luweero'!E43)</f>
        <v>16.428571428571427</v>
      </c>
      <c r="F43" s="49">
        <f>AVERAGE('20.8 Kampala-Luweero'!F43,'21.8 Kampala-Luweero'!F43,'22.8 Kampala-Luweero'!F43,'23.8 Kampala-Luweero'!F43,'24.8 Kampala-Luweero'!F43,'25.8 Kampala-Luweero 24Hrs'!F43,'26.8 Kampala-Luweero'!F43)</f>
        <v>18.142857142857142</v>
      </c>
      <c r="G43" s="49">
        <f>AVERAGE('20.8 Kampala-Luweero'!G43,'21.8 Kampala-Luweero'!G43,'22.8 Kampala-Luweero'!G43,'23.8 Kampala-Luweero'!G43,'24.8 Kampala-Luweero'!G43,'25.8 Kampala-Luweero 24Hrs'!G43,'26.8 Kampala-Luweero'!G43)</f>
        <v>0.14285714285714285</v>
      </c>
      <c r="H43" s="49">
        <f>AVERAGE('20.8 Kampala-Luweero'!H43,'21.8 Kampala-Luweero'!H43,'22.8 Kampala-Luweero'!H43,'23.8 Kampala-Luweero'!H43,'24.8 Kampala-Luweero'!H43,'25.8 Kampala-Luweero 24Hrs'!H43,'26.8 Kampala-Luweero'!H43)</f>
        <v>1</v>
      </c>
      <c r="I43" s="49">
        <f>AVERAGE('20.8 Kampala-Luweero'!I43,'21.8 Kampala-Luweero'!I43,'22.8 Kampala-Luweero'!I43,'23.8 Kampala-Luweero'!I43,'24.8 Kampala-Luweero'!I43,'25.8 Kampala-Luweero 24Hrs'!I43,'26.8 Kampala-Luweero'!I43)</f>
        <v>6.8571428571428568</v>
      </c>
      <c r="J43" s="49">
        <f>AVERAGE('20.8 Kampala-Luweero'!J43,'21.8 Kampala-Luweero'!J43,'22.8 Kampala-Luweero'!J43,'23.8 Kampala-Luweero'!J43,'24.8 Kampala-Luweero'!J43,'25.8 Kampala-Luweero 24Hrs'!J43,'26.8 Kampala-Luweero'!J43)</f>
        <v>1.7142857142857142</v>
      </c>
      <c r="K43" s="49">
        <f>AVERAGE('20.8 Kampala-Luweero'!K43,'21.8 Kampala-Luweero'!K43,'22.8 Kampala-Luweero'!K43,'23.8 Kampala-Luweero'!K43,'24.8 Kampala-Luweero'!K43,'25.8 Kampala-Luweero 24Hrs'!K43,'26.8 Kampala-Luweero'!K43)</f>
        <v>0</v>
      </c>
      <c r="L43" s="49">
        <f>AVERAGE('20.8 Kampala-Luweero'!L43,'21.8 Kampala-Luweero'!L43,'22.8 Kampala-Luweero'!L43,'23.8 Kampala-Luweero'!L43,'24.8 Kampala-Luweero'!L43,'25.8 Kampala-Luweero 24Hrs'!L43,'26.8 Kampala-Luweero'!L43)</f>
        <v>2.4285714285714284</v>
      </c>
      <c r="M43" s="49">
        <f>AVERAGE('20.8 Kampala-Luweero'!M43,'21.8 Kampala-Luweero'!M43,'22.8 Kampala-Luweero'!M43,'23.8 Kampala-Luweero'!M43,'24.8 Kampala-Luweero'!M43,'25.8 Kampala-Luweero 24Hrs'!M43,'26.8 Kampala-Luweero'!M43)</f>
        <v>61.571428571428569</v>
      </c>
      <c r="N43" s="49">
        <f>AVERAGE('20.8 Kampala-Luweero'!N43,'21.8 Kampala-Luweero'!N43,'22.8 Kampala-Luweero'!N43,'23.8 Kampala-Luweero'!N43,'24.8 Kampala-Luweero'!N43,'25.8 Kampala-Luweero 24Hrs'!N43,'26.8 Kampala-Luweero'!N43)</f>
        <v>0</v>
      </c>
      <c r="O43" s="15">
        <f t="shared" si="0"/>
        <v>54.714285714285715</v>
      </c>
      <c r="P43" s="15">
        <f t="shared" si="1"/>
        <v>116.28571428571428</v>
      </c>
    </row>
    <row r="44" spans="2:32" ht="23.1" customHeight="1" x14ac:dyDescent="0.25">
      <c r="B44" s="25" t="s">
        <v>71</v>
      </c>
      <c r="C44" s="49">
        <f>AVERAGE('20.8 Kampala-Luweero'!C44,'21.8 Kampala-Luweero'!C44,'22.8 Kampala-Luweero'!C44,'23.8 Kampala-Luweero'!C44,'24.8 Kampala-Luweero'!C44,'25.8 Kampala-Luweero 24Hrs'!C44,'26.8 Kampala-Luweero'!C44)</f>
        <v>8.1428571428571423</v>
      </c>
      <c r="D44" s="49">
        <f>AVERAGE('20.8 Kampala-Luweero'!D44,'21.8 Kampala-Luweero'!D44,'22.8 Kampala-Luweero'!D44,'23.8 Kampala-Luweero'!D44,'24.8 Kampala-Luweero'!D44,'25.8 Kampala-Luweero 24Hrs'!D44,'26.8 Kampala-Luweero'!D44)</f>
        <v>1.5714285714285714</v>
      </c>
      <c r="E44" s="49">
        <f>AVERAGE('20.8 Kampala-Luweero'!E44,'21.8 Kampala-Luweero'!E44,'22.8 Kampala-Luweero'!E44,'23.8 Kampala-Luweero'!E44,'24.8 Kampala-Luweero'!E44,'25.8 Kampala-Luweero 24Hrs'!E44,'26.8 Kampala-Luweero'!E44)</f>
        <v>16.571428571428573</v>
      </c>
      <c r="F44" s="49">
        <f>AVERAGE('20.8 Kampala-Luweero'!F44,'21.8 Kampala-Luweero'!F44,'22.8 Kampala-Luweero'!F44,'23.8 Kampala-Luweero'!F44,'24.8 Kampala-Luweero'!F44,'25.8 Kampala-Luweero 24Hrs'!F44,'26.8 Kampala-Luweero'!F44)</f>
        <v>17.142857142857142</v>
      </c>
      <c r="G44" s="49">
        <f>AVERAGE('20.8 Kampala-Luweero'!G44,'21.8 Kampala-Luweero'!G44,'22.8 Kampala-Luweero'!G44,'23.8 Kampala-Luweero'!G44,'24.8 Kampala-Luweero'!G44,'25.8 Kampala-Luweero 24Hrs'!G44,'26.8 Kampala-Luweero'!G44)</f>
        <v>0.42857142857142855</v>
      </c>
      <c r="H44" s="49">
        <f>AVERAGE('20.8 Kampala-Luweero'!H44,'21.8 Kampala-Luweero'!H44,'22.8 Kampala-Luweero'!H44,'23.8 Kampala-Luweero'!H44,'24.8 Kampala-Luweero'!H44,'25.8 Kampala-Luweero 24Hrs'!H44,'26.8 Kampala-Luweero'!H44)</f>
        <v>1.1428571428571428</v>
      </c>
      <c r="I44" s="49">
        <f>AVERAGE('20.8 Kampala-Luweero'!I44,'21.8 Kampala-Luweero'!I44,'22.8 Kampala-Luweero'!I44,'23.8 Kampala-Luweero'!I44,'24.8 Kampala-Luweero'!I44,'25.8 Kampala-Luweero 24Hrs'!I44,'26.8 Kampala-Luweero'!I44)</f>
        <v>8.4285714285714288</v>
      </c>
      <c r="J44" s="49">
        <f>AVERAGE('20.8 Kampala-Luweero'!J44,'21.8 Kampala-Luweero'!J44,'22.8 Kampala-Luweero'!J44,'23.8 Kampala-Luweero'!J44,'24.8 Kampala-Luweero'!J44,'25.8 Kampala-Luweero 24Hrs'!J44,'26.8 Kampala-Luweero'!J44)</f>
        <v>2</v>
      </c>
      <c r="K44" s="49">
        <f>AVERAGE('20.8 Kampala-Luweero'!K44,'21.8 Kampala-Luweero'!K44,'22.8 Kampala-Luweero'!K44,'23.8 Kampala-Luweero'!K44,'24.8 Kampala-Luweero'!K44,'25.8 Kampala-Luweero 24Hrs'!K44,'26.8 Kampala-Luweero'!K44)</f>
        <v>0.2857142857142857</v>
      </c>
      <c r="L44" s="49">
        <f>AVERAGE('20.8 Kampala-Luweero'!L44,'21.8 Kampala-Luweero'!L44,'22.8 Kampala-Luweero'!L44,'23.8 Kampala-Luweero'!L44,'24.8 Kampala-Luweero'!L44,'25.8 Kampala-Luweero 24Hrs'!L44,'26.8 Kampala-Luweero'!L44)</f>
        <v>1.2857142857142858</v>
      </c>
      <c r="M44" s="49">
        <f>AVERAGE('20.8 Kampala-Luweero'!M44,'21.8 Kampala-Luweero'!M44,'22.8 Kampala-Luweero'!M44,'23.8 Kampala-Luweero'!M44,'24.8 Kampala-Luweero'!M44,'25.8 Kampala-Luweero 24Hrs'!M44,'26.8 Kampala-Luweero'!M44)</f>
        <v>53</v>
      </c>
      <c r="N44" s="49">
        <f>AVERAGE('20.8 Kampala-Luweero'!N44,'21.8 Kampala-Luweero'!N44,'22.8 Kampala-Luweero'!N44,'23.8 Kampala-Luweero'!N44,'24.8 Kampala-Luweero'!N44,'25.8 Kampala-Luweero 24Hrs'!N44,'26.8 Kampala-Luweero'!N44)</f>
        <v>0</v>
      </c>
      <c r="O44" s="15">
        <f t="shared" si="0"/>
        <v>57.000000000000007</v>
      </c>
      <c r="P44" s="15">
        <f t="shared" si="1"/>
        <v>110</v>
      </c>
    </row>
    <row r="45" spans="2:32" ht="23.1" customHeight="1" x14ac:dyDescent="0.25">
      <c r="B45" s="23" t="s">
        <v>72</v>
      </c>
      <c r="C45" s="49">
        <f>AVERAGE('20.8 Kampala-Luweero'!C45,'21.8 Kampala-Luweero'!C45,'22.8 Kampala-Luweero'!C45,'23.8 Kampala-Luweero'!C45,'24.8 Kampala-Luweero'!C45,'25.8 Kampala-Luweero 24Hrs'!C45,'26.8 Kampala-Luweero'!C45)</f>
        <v>8.1428571428571423</v>
      </c>
      <c r="D45" s="49">
        <f>AVERAGE('20.8 Kampala-Luweero'!D45,'21.8 Kampala-Luweero'!D45,'22.8 Kampala-Luweero'!D45,'23.8 Kampala-Luweero'!D45,'24.8 Kampala-Luweero'!D45,'25.8 Kampala-Luweero 24Hrs'!D45,'26.8 Kampala-Luweero'!D45)</f>
        <v>1.1428571428571428</v>
      </c>
      <c r="E45" s="49">
        <f>AVERAGE('20.8 Kampala-Luweero'!E45,'21.8 Kampala-Luweero'!E45,'22.8 Kampala-Luweero'!E45,'23.8 Kampala-Luweero'!E45,'24.8 Kampala-Luweero'!E45,'25.8 Kampala-Luweero 24Hrs'!E45,'26.8 Kampala-Luweero'!E45)</f>
        <v>15.571428571428571</v>
      </c>
      <c r="F45" s="49">
        <f>AVERAGE('20.8 Kampala-Luweero'!F45,'21.8 Kampala-Luweero'!F45,'22.8 Kampala-Luweero'!F45,'23.8 Kampala-Luweero'!F45,'24.8 Kampala-Luweero'!F45,'25.8 Kampala-Luweero 24Hrs'!F45,'26.8 Kampala-Luweero'!F45)</f>
        <v>18</v>
      </c>
      <c r="G45" s="49">
        <f>AVERAGE('20.8 Kampala-Luweero'!G45,'21.8 Kampala-Luweero'!G45,'22.8 Kampala-Luweero'!G45,'23.8 Kampala-Luweero'!G45,'24.8 Kampala-Luweero'!G45,'25.8 Kampala-Luweero 24Hrs'!G45,'26.8 Kampala-Luweero'!G45)</f>
        <v>0.2857142857142857</v>
      </c>
      <c r="H45" s="49">
        <f>AVERAGE('20.8 Kampala-Luweero'!H45,'21.8 Kampala-Luweero'!H45,'22.8 Kampala-Luweero'!H45,'23.8 Kampala-Luweero'!H45,'24.8 Kampala-Luweero'!H45,'25.8 Kampala-Luweero 24Hrs'!H45,'26.8 Kampala-Luweero'!H45)</f>
        <v>1.5714285714285714</v>
      </c>
      <c r="I45" s="49">
        <f>AVERAGE('20.8 Kampala-Luweero'!I45,'21.8 Kampala-Luweero'!I45,'22.8 Kampala-Luweero'!I45,'23.8 Kampala-Luweero'!I45,'24.8 Kampala-Luweero'!I45,'25.8 Kampala-Luweero 24Hrs'!I45,'26.8 Kampala-Luweero'!I45)</f>
        <v>6</v>
      </c>
      <c r="J45" s="49">
        <f>AVERAGE('20.8 Kampala-Luweero'!J45,'21.8 Kampala-Luweero'!J45,'22.8 Kampala-Luweero'!J45,'23.8 Kampala-Luweero'!J45,'24.8 Kampala-Luweero'!J45,'25.8 Kampala-Luweero 24Hrs'!J45,'26.8 Kampala-Luweero'!J45)</f>
        <v>1.2857142857142858</v>
      </c>
      <c r="K45" s="49">
        <f>AVERAGE('20.8 Kampala-Luweero'!K45,'21.8 Kampala-Luweero'!K45,'22.8 Kampala-Luweero'!K45,'23.8 Kampala-Luweero'!K45,'24.8 Kampala-Luweero'!K45,'25.8 Kampala-Luweero 24Hrs'!K45,'26.8 Kampala-Luweero'!K45)</f>
        <v>0.5714285714285714</v>
      </c>
      <c r="L45" s="49">
        <f>AVERAGE('20.8 Kampala-Luweero'!L45,'21.8 Kampala-Luweero'!L45,'22.8 Kampala-Luweero'!L45,'23.8 Kampala-Luweero'!L45,'24.8 Kampala-Luweero'!L45,'25.8 Kampala-Luweero 24Hrs'!L45,'26.8 Kampala-Luweero'!L45)</f>
        <v>1.2857142857142858</v>
      </c>
      <c r="M45" s="49">
        <f>AVERAGE('20.8 Kampala-Luweero'!M45,'21.8 Kampala-Luweero'!M45,'22.8 Kampala-Luweero'!M45,'23.8 Kampala-Luweero'!M45,'24.8 Kampala-Luweero'!M45,'25.8 Kampala-Luweero 24Hrs'!M45,'26.8 Kampala-Luweero'!M45)</f>
        <v>64.428571428571431</v>
      </c>
      <c r="N45" s="49">
        <f>AVERAGE('20.8 Kampala-Luweero'!N45,'21.8 Kampala-Luweero'!N45,'22.8 Kampala-Luweero'!N45,'23.8 Kampala-Luweero'!N45,'24.8 Kampala-Luweero'!N45,'25.8 Kampala-Luweero 24Hrs'!N45,'26.8 Kampala-Luweero'!N45)</f>
        <v>0</v>
      </c>
      <c r="O45" s="15">
        <f t="shared" si="0"/>
        <v>53.857142857142847</v>
      </c>
      <c r="P45" s="15">
        <f t="shared" si="1"/>
        <v>118.28571428571428</v>
      </c>
    </row>
    <row r="46" spans="2:32" ht="23.1" customHeight="1" x14ac:dyDescent="0.25">
      <c r="B46" s="24" t="s">
        <v>73</v>
      </c>
      <c r="C46" s="49">
        <f>AVERAGE('20.8 Kampala-Luweero'!C46,'21.8 Kampala-Luweero'!C46,'22.8 Kampala-Luweero'!C46,'23.8 Kampala-Luweero'!C46,'24.8 Kampala-Luweero'!C46,'25.8 Kampala-Luweero 24Hrs'!C46,'26.8 Kampala-Luweero'!C46)</f>
        <v>9.5714285714285712</v>
      </c>
      <c r="D46" s="49">
        <f>AVERAGE('20.8 Kampala-Luweero'!D46,'21.8 Kampala-Luweero'!D46,'22.8 Kampala-Luweero'!D46,'23.8 Kampala-Luweero'!D46,'24.8 Kampala-Luweero'!D46,'25.8 Kampala-Luweero 24Hrs'!D46,'26.8 Kampala-Luweero'!D46)</f>
        <v>1.2857142857142858</v>
      </c>
      <c r="E46" s="49">
        <f>AVERAGE('20.8 Kampala-Luweero'!E46,'21.8 Kampala-Luweero'!E46,'22.8 Kampala-Luweero'!E46,'23.8 Kampala-Luweero'!E46,'24.8 Kampala-Luweero'!E46,'25.8 Kampala-Luweero 24Hrs'!E46,'26.8 Kampala-Luweero'!E46)</f>
        <v>15</v>
      </c>
      <c r="F46" s="49">
        <f>AVERAGE('20.8 Kampala-Luweero'!F46,'21.8 Kampala-Luweero'!F46,'22.8 Kampala-Luweero'!F46,'23.8 Kampala-Luweero'!F46,'24.8 Kampala-Luweero'!F46,'25.8 Kampala-Luweero 24Hrs'!F46,'26.8 Kampala-Luweero'!F46)</f>
        <v>14.714285714285714</v>
      </c>
      <c r="G46" s="49">
        <f>AVERAGE('20.8 Kampala-Luweero'!G46,'21.8 Kampala-Luweero'!G46,'22.8 Kampala-Luweero'!G46,'23.8 Kampala-Luweero'!G46,'24.8 Kampala-Luweero'!G46,'25.8 Kampala-Luweero 24Hrs'!G46,'26.8 Kampala-Luweero'!G46)</f>
        <v>0.14285714285714285</v>
      </c>
      <c r="H46" s="49">
        <f>AVERAGE('20.8 Kampala-Luweero'!H46,'21.8 Kampala-Luweero'!H46,'22.8 Kampala-Luweero'!H46,'23.8 Kampala-Luweero'!H46,'24.8 Kampala-Luweero'!H46,'25.8 Kampala-Luweero 24Hrs'!H46,'26.8 Kampala-Luweero'!H46)</f>
        <v>0.42857142857142855</v>
      </c>
      <c r="I46" s="49">
        <f>AVERAGE('20.8 Kampala-Luweero'!I46,'21.8 Kampala-Luweero'!I46,'22.8 Kampala-Luweero'!I46,'23.8 Kampala-Luweero'!I46,'24.8 Kampala-Luweero'!I46,'25.8 Kampala-Luweero 24Hrs'!I46,'26.8 Kampala-Luweero'!I46)</f>
        <v>9.7142857142857135</v>
      </c>
      <c r="J46" s="49">
        <f>AVERAGE('20.8 Kampala-Luweero'!J46,'21.8 Kampala-Luweero'!J46,'22.8 Kampala-Luweero'!J46,'23.8 Kampala-Luweero'!J46,'24.8 Kampala-Luweero'!J46,'25.8 Kampala-Luweero 24Hrs'!J46,'26.8 Kampala-Luweero'!J46)</f>
        <v>2.4285714285714284</v>
      </c>
      <c r="K46" s="49">
        <f>AVERAGE('20.8 Kampala-Luweero'!K46,'21.8 Kampala-Luweero'!K46,'22.8 Kampala-Luweero'!K46,'23.8 Kampala-Luweero'!K46,'24.8 Kampala-Luweero'!K46,'25.8 Kampala-Luweero 24Hrs'!K46,'26.8 Kampala-Luweero'!K46)</f>
        <v>0.2857142857142857</v>
      </c>
      <c r="L46" s="49">
        <f>AVERAGE('20.8 Kampala-Luweero'!L46,'21.8 Kampala-Luweero'!L46,'22.8 Kampala-Luweero'!L46,'23.8 Kampala-Luweero'!L46,'24.8 Kampala-Luweero'!L46,'25.8 Kampala-Luweero 24Hrs'!L46,'26.8 Kampala-Luweero'!L46)</f>
        <v>2.1428571428571428</v>
      </c>
      <c r="M46" s="49">
        <f>AVERAGE('20.8 Kampala-Luweero'!M46,'21.8 Kampala-Luweero'!M46,'22.8 Kampala-Luweero'!M46,'23.8 Kampala-Luweero'!M46,'24.8 Kampala-Luweero'!M46,'25.8 Kampala-Luweero 24Hrs'!M46,'26.8 Kampala-Luweero'!M46)</f>
        <v>67.714285714285708</v>
      </c>
      <c r="N46" s="49">
        <f>AVERAGE('20.8 Kampala-Luweero'!N46,'21.8 Kampala-Luweero'!N46,'22.8 Kampala-Luweero'!N46,'23.8 Kampala-Luweero'!N46,'24.8 Kampala-Luweero'!N46,'25.8 Kampala-Luweero 24Hrs'!N46,'26.8 Kampala-Luweero'!N46)</f>
        <v>0</v>
      </c>
      <c r="O46" s="15">
        <f t="shared" si="0"/>
        <v>55.714285714285722</v>
      </c>
      <c r="P46" s="15">
        <f t="shared" si="1"/>
        <v>123.42857142857143</v>
      </c>
      <c r="R46" s="8"/>
      <c r="T46"/>
    </row>
    <row r="47" spans="2:32" ht="23.1" customHeight="1" x14ac:dyDescent="0.25">
      <c r="B47" s="24" t="s">
        <v>74</v>
      </c>
      <c r="C47" s="49">
        <f>AVERAGE('20.8 Kampala-Luweero'!C47,'21.8 Kampala-Luweero'!C47,'22.8 Kampala-Luweero'!C47,'23.8 Kampala-Luweero'!C47,'24.8 Kampala-Luweero'!C47,'25.8 Kampala-Luweero 24Hrs'!C47,'26.8 Kampala-Luweero'!C47)</f>
        <v>9.5714285714285712</v>
      </c>
      <c r="D47" s="49">
        <f>AVERAGE('20.8 Kampala-Luweero'!D47,'21.8 Kampala-Luweero'!D47,'22.8 Kampala-Luweero'!D47,'23.8 Kampala-Luweero'!D47,'24.8 Kampala-Luweero'!D47,'25.8 Kampala-Luweero 24Hrs'!D47,'26.8 Kampala-Luweero'!D47)</f>
        <v>0.14285714285714285</v>
      </c>
      <c r="E47" s="49">
        <f>AVERAGE('20.8 Kampala-Luweero'!E47,'21.8 Kampala-Luweero'!E47,'22.8 Kampala-Luweero'!E47,'23.8 Kampala-Luweero'!E47,'24.8 Kampala-Luweero'!E47,'25.8 Kampala-Luweero 24Hrs'!E47,'26.8 Kampala-Luweero'!E47)</f>
        <v>16.714285714285715</v>
      </c>
      <c r="F47" s="49">
        <f>AVERAGE('20.8 Kampala-Luweero'!F47,'21.8 Kampala-Luweero'!F47,'22.8 Kampala-Luweero'!F47,'23.8 Kampala-Luweero'!F47,'24.8 Kampala-Luweero'!F47,'25.8 Kampala-Luweero 24Hrs'!F47,'26.8 Kampala-Luweero'!F47)</f>
        <v>17.285714285714285</v>
      </c>
      <c r="G47" s="49">
        <f>AVERAGE('20.8 Kampala-Luweero'!G47,'21.8 Kampala-Luweero'!G47,'22.8 Kampala-Luweero'!G47,'23.8 Kampala-Luweero'!G47,'24.8 Kampala-Luweero'!G47,'25.8 Kampala-Luweero 24Hrs'!G47,'26.8 Kampala-Luweero'!G47)</f>
        <v>0.5714285714285714</v>
      </c>
      <c r="H47" s="49">
        <f>AVERAGE('20.8 Kampala-Luweero'!H47,'21.8 Kampala-Luweero'!H47,'22.8 Kampala-Luweero'!H47,'23.8 Kampala-Luweero'!H47,'24.8 Kampala-Luweero'!H47,'25.8 Kampala-Luweero 24Hrs'!H47,'26.8 Kampala-Luweero'!H47)</f>
        <v>1.5714285714285714</v>
      </c>
      <c r="I47" s="49">
        <f>AVERAGE('20.8 Kampala-Luweero'!I47,'21.8 Kampala-Luweero'!I47,'22.8 Kampala-Luweero'!I47,'23.8 Kampala-Luweero'!I47,'24.8 Kampala-Luweero'!I47,'25.8 Kampala-Luweero 24Hrs'!I47,'26.8 Kampala-Luweero'!I47)</f>
        <v>8.1428571428571423</v>
      </c>
      <c r="J47" s="49">
        <f>AVERAGE('20.8 Kampala-Luweero'!J47,'21.8 Kampala-Luweero'!J47,'22.8 Kampala-Luweero'!J47,'23.8 Kampala-Luweero'!J47,'24.8 Kampala-Luweero'!J47,'25.8 Kampala-Luweero 24Hrs'!J47,'26.8 Kampala-Luweero'!J47)</f>
        <v>1.2857142857142858</v>
      </c>
      <c r="K47" s="49">
        <f>AVERAGE('20.8 Kampala-Luweero'!K47,'21.8 Kampala-Luweero'!K47,'22.8 Kampala-Luweero'!K47,'23.8 Kampala-Luweero'!K47,'24.8 Kampala-Luweero'!K47,'25.8 Kampala-Luweero 24Hrs'!K47,'26.8 Kampala-Luweero'!K47)</f>
        <v>0.7142857142857143</v>
      </c>
      <c r="L47" s="49">
        <f>AVERAGE('20.8 Kampala-Luweero'!L47,'21.8 Kampala-Luweero'!L47,'22.8 Kampala-Luweero'!L47,'23.8 Kampala-Luweero'!L47,'24.8 Kampala-Luweero'!L47,'25.8 Kampala-Luweero 24Hrs'!L47,'26.8 Kampala-Luweero'!L47)</f>
        <v>2.4285714285714284</v>
      </c>
      <c r="M47" s="49">
        <f>AVERAGE('20.8 Kampala-Luweero'!M47,'21.8 Kampala-Luweero'!M47,'22.8 Kampala-Luweero'!M47,'23.8 Kampala-Luweero'!M47,'24.8 Kampala-Luweero'!M47,'25.8 Kampala-Luweero 24Hrs'!M47,'26.8 Kampala-Luweero'!M47)</f>
        <v>59.142857142857146</v>
      </c>
      <c r="N47" s="49">
        <f>AVERAGE('20.8 Kampala-Luweero'!N47,'21.8 Kampala-Luweero'!N47,'22.8 Kampala-Luweero'!N47,'23.8 Kampala-Luweero'!N47,'24.8 Kampala-Luweero'!N47,'25.8 Kampala-Luweero 24Hrs'!N47,'26.8 Kampala-Luweero'!N47)</f>
        <v>0</v>
      </c>
      <c r="O47" s="15">
        <f t="shared" si="0"/>
        <v>58.428571428571431</v>
      </c>
      <c r="P47" s="15">
        <f t="shared" si="1"/>
        <v>117.57142857142858</v>
      </c>
      <c r="R47" s="8"/>
      <c r="T47"/>
    </row>
    <row r="48" spans="2:32" ht="23.1" customHeight="1" x14ac:dyDescent="0.25">
      <c r="B48" s="24" t="s">
        <v>75</v>
      </c>
      <c r="C48" s="49">
        <f>AVERAGE('20.8 Kampala-Luweero'!C48,'21.8 Kampala-Luweero'!C48,'22.8 Kampala-Luweero'!C48,'23.8 Kampala-Luweero'!C48,'24.8 Kampala-Luweero'!C48,'25.8 Kampala-Luweero 24Hrs'!C48,'26.8 Kampala-Luweero'!C48)</f>
        <v>10.571428571428571</v>
      </c>
      <c r="D48" s="49">
        <f>AVERAGE('20.8 Kampala-Luweero'!D48,'21.8 Kampala-Luweero'!D48,'22.8 Kampala-Luweero'!D48,'23.8 Kampala-Luweero'!D48,'24.8 Kampala-Luweero'!D48,'25.8 Kampala-Luweero 24Hrs'!D48,'26.8 Kampala-Luweero'!D48)</f>
        <v>0.5714285714285714</v>
      </c>
      <c r="E48" s="49">
        <f>AVERAGE('20.8 Kampala-Luweero'!E48,'21.8 Kampala-Luweero'!E48,'22.8 Kampala-Luweero'!E48,'23.8 Kampala-Luweero'!E48,'24.8 Kampala-Luweero'!E48,'25.8 Kampala-Luweero 24Hrs'!E48,'26.8 Kampala-Luweero'!E48)</f>
        <v>15.857142857142858</v>
      </c>
      <c r="F48" s="49">
        <f>AVERAGE('20.8 Kampala-Luweero'!F48,'21.8 Kampala-Luweero'!F48,'22.8 Kampala-Luweero'!F48,'23.8 Kampala-Luweero'!F48,'24.8 Kampala-Luweero'!F48,'25.8 Kampala-Luweero 24Hrs'!F48,'26.8 Kampala-Luweero'!F48)</f>
        <v>15.714285714285714</v>
      </c>
      <c r="G48" s="49">
        <f>AVERAGE('20.8 Kampala-Luweero'!G48,'21.8 Kampala-Luweero'!G48,'22.8 Kampala-Luweero'!G48,'23.8 Kampala-Luweero'!G48,'24.8 Kampala-Luweero'!G48,'25.8 Kampala-Luweero 24Hrs'!G48,'26.8 Kampala-Luweero'!G48)</f>
        <v>0</v>
      </c>
      <c r="H48" s="49">
        <f>AVERAGE('20.8 Kampala-Luweero'!H48,'21.8 Kampala-Luweero'!H48,'22.8 Kampala-Luweero'!H48,'23.8 Kampala-Luweero'!H48,'24.8 Kampala-Luweero'!H48,'25.8 Kampala-Luweero 24Hrs'!H48,'26.8 Kampala-Luweero'!H48)</f>
        <v>0.5714285714285714</v>
      </c>
      <c r="I48" s="49">
        <f>AVERAGE('20.8 Kampala-Luweero'!I48,'21.8 Kampala-Luweero'!I48,'22.8 Kampala-Luweero'!I48,'23.8 Kampala-Luweero'!I48,'24.8 Kampala-Luweero'!I48,'25.8 Kampala-Luweero 24Hrs'!I48,'26.8 Kampala-Luweero'!I48)</f>
        <v>8.4285714285714288</v>
      </c>
      <c r="J48" s="49">
        <f>AVERAGE('20.8 Kampala-Luweero'!J48,'21.8 Kampala-Luweero'!J48,'22.8 Kampala-Luweero'!J48,'23.8 Kampala-Luweero'!J48,'24.8 Kampala-Luweero'!J48,'25.8 Kampala-Luweero 24Hrs'!J48,'26.8 Kampala-Luweero'!J48)</f>
        <v>2.4285714285714284</v>
      </c>
      <c r="K48" s="49">
        <f>AVERAGE('20.8 Kampala-Luweero'!K48,'21.8 Kampala-Luweero'!K48,'22.8 Kampala-Luweero'!K48,'23.8 Kampala-Luweero'!K48,'24.8 Kampala-Luweero'!K48,'25.8 Kampala-Luweero 24Hrs'!K48,'26.8 Kampala-Luweero'!K48)</f>
        <v>0.2857142857142857</v>
      </c>
      <c r="L48" s="49">
        <f>AVERAGE('20.8 Kampala-Luweero'!L48,'21.8 Kampala-Luweero'!L48,'22.8 Kampala-Luweero'!L48,'23.8 Kampala-Luweero'!L48,'24.8 Kampala-Luweero'!L48,'25.8 Kampala-Luweero 24Hrs'!L48,'26.8 Kampala-Luweero'!L48)</f>
        <v>2.2857142857142856</v>
      </c>
      <c r="M48" s="49">
        <f>AVERAGE('20.8 Kampala-Luweero'!M48,'21.8 Kampala-Luweero'!M48,'22.8 Kampala-Luweero'!M48,'23.8 Kampala-Luweero'!M48,'24.8 Kampala-Luweero'!M48,'25.8 Kampala-Luweero 24Hrs'!M48,'26.8 Kampala-Luweero'!M48)</f>
        <v>66.714285714285708</v>
      </c>
      <c r="N48" s="49">
        <f>AVERAGE('20.8 Kampala-Luweero'!N48,'21.8 Kampala-Luweero'!N48,'22.8 Kampala-Luweero'!N48,'23.8 Kampala-Luweero'!N48,'24.8 Kampala-Luweero'!N48,'25.8 Kampala-Luweero 24Hrs'!N48,'26.8 Kampala-Luweero'!N48)</f>
        <v>0</v>
      </c>
      <c r="O48" s="15">
        <f t="shared" si="0"/>
        <v>56.714285714285715</v>
      </c>
      <c r="P48" s="15">
        <f t="shared" si="1"/>
        <v>123.42857142857142</v>
      </c>
      <c r="R48" s="8"/>
      <c r="T48"/>
    </row>
    <row r="49" spans="2:20" ht="23.1" customHeight="1" x14ac:dyDescent="0.25">
      <c r="B49" s="23" t="s">
        <v>76</v>
      </c>
      <c r="C49" s="49">
        <f>AVERAGE('20.8 Kampala-Luweero'!C49,'21.8 Kampala-Luweero'!C49,'22.8 Kampala-Luweero'!C49,'23.8 Kampala-Luweero'!C49,'24.8 Kampala-Luweero'!C49,'25.8 Kampala-Luweero 24Hrs'!C49,'26.8 Kampala-Luweero'!C49)</f>
        <v>7.1428571428571432</v>
      </c>
      <c r="D49" s="49">
        <f>AVERAGE('20.8 Kampala-Luweero'!D49,'21.8 Kampala-Luweero'!D49,'22.8 Kampala-Luweero'!D49,'23.8 Kampala-Luweero'!D49,'24.8 Kampala-Luweero'!D49,'25.8 Kampala-Luweero 24Hrs'!D49,'26.8 Kampala-Luweero'!D49)</f>
        <v>1</v>
      </c>
      <c r="E49" s="49">
        <f>AVERAGE('20.8 Kampala-Luweero'!E49,'21.8 Kampala-Luweero'!E49,'22.8 Kampala-Luweero'!E49,'23.8 Kampala-Luweero'!E49,'24.8 Kampala-Luweero'!E49,'25.8 Kampala-Luweero 24Hrs'!E49,'26.8 Kampala-Luweero'!E49)</f>
        <v>12.857142857142858</v>
      </c>
      <c r="F49" s="49">
        <f>AVERAGE('20.8 Kampala-Luweero'!F49,'21.8 Kampala-Luweero'!F49,'22.8 Kampala-Luweero'!F49,'23.8 Kampala-Luweero'!F49,'24.8 Kampala-Luweero'!F49,'25.8 Kampala-Luweero 24Hrs'!F49,'26.8 Kampala-Luweero'!F49)</f>
        <v>14.285714285714286</v>
      </c>
      <c r="G49" s="49">
        <f>AVERAGE('20.8 Kampala-Luweero'!G49,'21.8 Kampala-Luweero'!G49,'22.8 Kampala-Luweero'!G49,'23.8 Kampala-Luweero'!G49,'24.8 Kampala-Luweero'!G49,'25.8 Kampala-Luweero 24Hrs'!G49,'26.8 Kampala-Luweero'!G49)</f>
        <v>0.14285714285714285</v>
      </c>
      <c r="H49" s="49">
        <f>AVERAGE('20.8 Kampala-Luweero'!H49,'21.8 Kampala-Luweero'!H49,'22.8 Kampala-Luweero'!H49,'23.8 Kampala-Luweero'!H49,'24.8 Kampala-Luweero'!H49,'25.8 Kampala-Luweero 24Hrs'!H49,'26.8 Kampala-Luweero'!H49)</f>
        <v>0.8571428571428571</v>
      </c>
      <c r="I49" s="49">
        <f>AVERAGE('20.8 Kampala-Luweero'!I49,'21.8 Kampala-Luweero'!I49,'22.8 Kampala-Luweero'!I49,'23.8 Kampala-Luweero'!I49,'24.8 Kampala-Luweero'!I49,'25.8 Kampala-Luweero 24Hrs'!I49,'26.8 Kampala-Luweero'!I49)</f>
        <v>8.2857142857142865</v>
      </c>
      <c r="J49" s="49">
        <f>AVERAGE('20.8 Kampala-Luweero'!J49,'21.8 Kampala-Luweero'!J49,'22.8 Kampala-Luweero'!J49,'23.8 Kampala-Luweero'!J49,'24.8 Kampala-Luweero'!J49,'25.8 Kampala-Luweero 24Hrs'!J49,'26.8 Kampala-Luweero'!J49)</f>
        <v>2.1428571428571428</v>
      </c>
      <c r="K49" s="49">
        <f>AVERAGE('20.8 Kampala-Luweero'!K49,'21.8 Kampala-Luweero'!K49,'22.8 Kampala-Luweero'!K49,'23.8 Kampala-Luweero'!K49,'24.8 Kampala-Luweero'!K49,'25.8 Kampala-Luweero 24Hrs'!K49,'26.8 Kampala-Luweero'!K49)</f>
        <v>0.2857142857142857</v>
      </c>
      <c r="L49" s="49">
        <f>AVERAGE('20.8 Kampala-Luweero'!L49,'21.8 Kampala-Luweero'!L49,'22.8 Kampala-Luweero'!L49,'23.8 Kampala-Luweero'!L49,'24.8 Kampala-Luweero'!L49,'25.8 Kampala-Luweero 24Hrs'!L49,'26.8 Kampala-Luweero'!L49)</f>
        <v>2.2857142857142856</v>
      </c>
      <c r="M49" s="49">
        <f>AVERAGE('20.8 Kampala-Luweero'!M49,'21.8 Kampala-Luweero'!M49,'22.8 Kampala-Luweero'!M49,'23.8 Kampala-Luweero'!M49,'24.8 Kampala-Luweero'!M49,'25.8 Kampala-Luweero 24Hrs'!M49,'26.8 Kampala-Luweero'!M49)</f>
        <v>62.142857142857146</v>
      </c>
      <c r="N49" s="49">
        <f>AVERAGE('20.8 Kampala-Luweero'!N49,'21.8 Kampala-Luweero'!N49,'22.8 Kampala-Luweero'!N49,'23.8 Kampala-Luweero'!N49,'24.8 Kampala-Luweero'!N49,'25.8 Kampala-Luweero 24Hrs'!N49,'26.8 Kampala-Luweero'!N49)</f>
        <v>0</v>
      </c>
      <c r="O49" s="15">
        <f t="shared" si="0"/>
        <v>49.285714285714285</v>
      </c>
      <c r="P49" s="15">
        <f t="shared" si="1"/>
        <v>111.42857142857143</v>
      </c>
      <c r="R49" s="8"/>
      <c r="T49"/>
    </row>
    <row r="50" spans="2:20" ht="23.1" customHeight="1" x14ac:dyDescent="0.25">
      <c r="B50" s="24" t="s">
        <v>77</v>
      </c>
      <c r="C50" s="49">
        <f>AVERAGE('20.8 Kampala-Luweero'!C50,'21.8 Kampala-Luweero'!C50,'22.8 Kampala-Luweero'!C50,'23.8 Kampala-Luweero'!C50,'24.8 Kampala-Luweero'!C50,'25.8 Kampala-Luweero 24Hrs'!C50,'26.8 Kampala-Luweero'!C50)</f>
        <v>9.4285714285714288</v>
      </c>
      <c r="D50" s="49">
        <f>AVERAGE('20.8 Kampala-Luweero'!D50,'21.8 Kampala-Luweero'!D50,'22.8 Kampala-Luweero'!D50,'23.8 Kampala-Luweero'!D50,'24.8 Kampala-Luweero'!D50,'25.8 Kampala-Luweero 24Hrs'!D50,'26.8 Kampala-Luweero'!D50)</f>
        <v>0.7142857142857143</v>
      </c>
      <c r="E50" s="49">
        <f>AVERAGE('20.8 Kampala-Luweero'!E50,'21.8 Kampala-Luweero'!E50,'22.8 Kampala-Luweero'!E50,'23.8 Kampala-Luweero'!E50,'24.8 Kampala-Luweero'!E50,'25.8 Kampala-Luweero 24Hrs'!E50,'26.8 Kampala-Luweero'!E50)</f>
        <v>14.571428571428571</v>
      </c>
      <c r="F50" s="49">
        <f>AVERAGE('20.8 Kampala-Luweero'!F50,'21.8 Kampala-Luweero'!F50,'22.8 Kampala-Luweero'!F50,'23.8 Kampala-Luweero'!F50,'24.8 Kampala-Luweero'!F50,'25.8 Kampala-Luweero 24Hrs'!F50,'26.8 Kampala-Luweero'!F50)</f>
        <v>16.285714285714285</v>
      </c>
      <c r="G50" s="49">
        <f>AVERAGE('20.8 Kampala-Luweero'!G50,'21.8 Kampala-Luweero'!G50,'22.8 Kampala-Luweero'!G50,'23.8 Kampala-Luweero'!G50,'24.8 Kampala-Luweero'!G50,'25.8 Kampala-Luweero 24Hrs'!G50,'26.8 Kampala-Luweero'!G50)</f>
        <v>0.14285714285714285</v>
      </c>
      <c r="H50" s="49">
        <f>AVERAGE('20.8 Kampala-Luweero'!H50,'21.8 Kampala-Luweero'!H50,'22.8 Kampala-Luweero'!H50,'23.8 Kampala-Luweero'!H50,'24.8 Kampala-Luweero'!H50,'25.8 Kampala-Luweero 24Hrs'!H50,'26.8 Kampala-Luweero'!H50)</f>
        <v>1.4285714285714286</v>
      </c>
      <c r="I50" s="49">
        <f>AVERAGE('20.8 Kampala-Luweero'!I50,'21.8 Kampala-Luweero'!I50,'22.8 Kampala-Luweero'!I50,'23.8 Kampala-Luweero'!I50,'24.8 Kampala-Luweero'!I50,'25.8 Kampala-Luweero 24Hrs'!I50,'26.8 Kampala-Luweero'!I50)</f>
        <v>7</v>
      </c>
      <c r="J50" s="49">
        <f>AVERAGE('20.8 Kampala-Luweero'!J50,'21.8 Kampala-Luweero'!J50,'22.8 Kampala-Luweero'!J50,'23.8 Kampala-Luweero'!J50,'24.8 Kampala-Luweero'!J50,'25.8 Kampala-Luweero 24Hrs'!J50,'26.8 Kampala-Luweero'!J50)</f>
        <v>2.7142857142857144</v>
      </c>
      <c r="K50" s="49">
        <f>AVERAGE('20.8 Kampala-Luweero'!K50,'21.8 Kampala-Luweero'!K50,'22.8 Kampala-Luweero'!K50,'23.8 Kampala-Luweero'!K50,'24.8 Kampala-Luweero'!K50,'25.8 Kampala-Luweero 24Hrs'!K50,'26.8 Kampala-Luweero'!K50)</f>
        <v>0.42857142857142855</v>
      </c>
      <c r="L50" s="49">
        <f>AVERAGE('20.8 Kampala-Luweero'!L50,'21.8 Kampala-Luweero'!L50,'22.8 Kampala-Luweero'!L50,'23.8 Kampala-Luweero'!L50,'24.8 Kampala-Luweero'!L50,'25.8 Kampala-Luweero 24Hrs'!L50,'26.8 Kampala-Luweero'!L50)</f>
        <v>2.4285714285714284</v>
      </c>
      <c r="M50" s="49">
        <f>AVERAGE('20.8 Kampala-Luweero'!M50,'21.8 Kampala-Luweero'!M50,'22.8 Kampala-Luweero'!M50,'23.8 Kampala-Luweero'!M50,'24.8 Kampala-Luweero'!M50,'25.8 Kampala-Luweero 24Hrs'!M50,'26.8 Kampala-Luweero'!M50)</f>
        <v>67.285714285714292</v>
      </c>
      <c r="N50" s="49">
        <f>AVERAGE('20.8 Kampala-Luweero'!N50,'21.8 Kampala-Luweero'!N50,'22.8 Kampala-Luweero'!N50,'23.8 Kampala-Luweero'!N50,'24.8 Kampala-Luweero'!N50,'25.8 Kampala-Luweero 24Hrs'!N50,'26.8 Kampala-Luweero'!N50)</f>
        <v>0</v>
      </c>
      <c r="O50" s="15">
        <f t="shared" si="0"/>
        <v>55.142857142857153</v>
      </c>
      <c r="P50" s="15">
        <f t="shared" si="1"/>
        <v>122.42857142857144</v>
      </c>
      <c r="R50" s="8"/>
      <c r="T50"/>
    </row>
    <row r="51" spans="2:20" ht="23.1" customHeight="1" x14ac:dyDescent="0.25">
      <c r="B51" s="24" t="s">
        <v>78</v>
      </c>
      <c r="C51" s="49">
        <f>AVERAGE('20.8 Kampala-Luweero'!C51,'21.8 Kampala-Luweero'!C51,'22.8 Kampala-Luweero'!C51,'23.8 Kampala-Luweero'!C51,'24.8 Kampala-Luweero'!C51,'25.8 Kampala-Luweero 24Hrs'!C51,'26.8 Kampala-Luweero'!C51)</f>
        <v>9.2857142857142865</v>
      </c>
      <c r="D51" s="49">
        <f>AVERAGE('20.8 Kampala-Luweero'!D51,'21.8 Kampala-Luweero'!D51,'22.8 Kampala-Luweero'!D51,'23.8 Kampala-Luweero'!D51,'24.8 Kampala-Luweero'!D51,'25.8 Kampala-Luweero 24Hrs'!D51,'26.8 Kampala-Luweero'!D51)</f>
        <v>0.14285714285714285</v>
      </c>
      <c r="E51" s="49">
        <f>AVERAGE('20.8 Kampala-Luweero'!E51,'21.8 Kampala-Luweero'!E51,'22.8 Kampala-Luweero'!E51,'23.8 Kampala-Luweero'!E51,'24.8 Kampala-Luweero'!E51,'25.8 Kampala-Luweero 24Hrs'!E51,'26.8 Kampala-Luweero'!E51)</f>
        <v>12.857142857142858</v>
      </c>
      <c r="F51" s="49">
        <f>AVERAGE('20.8 Kampala-Luweero'!F51,'21.8 Kampala-Luweero'!F51,'22.8 Kampala-Luweero'!F51,'23.8 Kampala-Luweero'!F51,'24.8 Kampala-Luweero'!F51,'25.8 Kampala-Luweero 24Hrs'!F51,'26.8 Kampala-Luweero'!F51)</f>
        <v>17.428571428571427</v>
      </c>
      <c r="G51" s="49">
        <f>AVERAGE('20.8 Kampala-Luweero'!G51,'21.8 Kampala-Luweero'!G51,'22.8 Kampala-Luweero'!G51,'23.8 Kampala-Luweero'!G51,'24.8 Kampala-Luweero'!G51,'25.8 Kampala-Luweero 24Hrs'!G51,'26.8 Kampala-Luweero'!G51)</f>
        <v>0.14285714285714285</v>
      </c>
      <c r="H51" s="49">
        <f>AVERAGE('20.8 Kampala-Luweero'!H51,'21.8 Kampala-Luweero'!H51,'22.8 Kampala-Luweero'!H51,'23.8 Kampala-Luweero'!H51,'24.8 Kampala-Luweero'!H51,'25.8 Kampala-Luweero 24Hrs'!H51,'26.8 Kampala-Luweero'!H51)</f>
        <v>1.1428571428571428</v>
      </c>
      <c r="I51" s="49">
        <f>AVERAGE('20.8 Kampala-Luweero'!I51,'21.8 Kampala-Luweero'!I51,'22.8 Kampala-Luweero'!I51,'23.8 Kampala-Luweero'!I51,'24.8 Kampala-Luweero'!I51,'25.8 Kampala-Luweero 24Hrs'!I51,'26.8 Kampala-Luweero'!I51)</f>
        <v>5.7142857142857144</v>
      </c>
      <c r="J51" s="49">
        <f>AVERAGE('20.8 Kampala-Luweero'!J51,'21.8 Kampala-Luweero'!J51,'22.8 Kampala-Luweero'!J51,'23.8 Kampala-Luweero'!J51,'24.8 Kampala-Luweero'!J51,'25.8 Kampala-Luweero 24Hrs'!J51,'26.8 Kampala-Luweero'!J51)</f>
        <v>2</v>
      </c>
      <c r="K51" s="49">
        <f>AVERAGE('20.8 Kampala-Luweero'!K51,'21.8 Kampala-Luweero'!K51,'22.8 Kampala-Luweero'!K51,'23.8 Kampala-Luweero'!K51,'24.8 Kampala-Luweero'!K51,'25.8 Kampala-Luweero 24Hrs'!K51,'26.8 Kampala-Luweero'!K51)</f>
        <v>0.2857142857142857</v>
      </c>
      <c r="L51" s="49">
        <f>AVERAGE('20.8 Kampala-Luweero'!L51,'21.8 Kampala-Luweero'!L51,'22.8 Kampala-Luweero'!L51,'23.8 Kampala-Luweero'!L51,'24.8 Kampala-Luweero'!L51,'25.8 Kampala-Luweero 24Hrs'!L51,'26.8 Kampala-Luweero'!L51)</f>
        <v>2.1428571428571428</v>
      </c>
      <c r="M51" s="49">
        <f>AVERAGE('20.8 Kampala-Luweero'!M51,'21.8 Kampala-Luweero'!M51,'22.8 Kampala-Luweero'!M51,'23.8 Kampala-Luweero'!M51,'24.8 Kampala-Luweero'!M51,'25.8 Kampala-Luweero 24Hrs'!M51,'26.8 Kampala-Luweero'!M51)</f>
        <v>73</v>
      </c>
      <c r="N51" s="49">
        <f>AVERAGE('20.8 Kampala-Luweero'!N51,'21.8 Kampala-Luweero'!N51,'22.8 Kampala-Luweero'!N51,'23.8 Kampala-Luweero'!N51,'24.8 Kampala-Luweero'!N51,'25.8 Kampala-Luweero 24Hrs'!N51,'26.8 Kampala-Luweero'!N51)</f>
        <v>0</v>
      </c>
      <c r="O51" s="15">
        <f t="shared" si="0"/>
        <v>51.142857142857146</v>
      </c>
      <c r="P51" s="15">
        <f t="shared" si="1"/>
        <v>124.14285714285714</v>
      </c>
      <c r="R51" s="8"/>
      <c r="T51"/>
    </row>
    <row r="52" spans="2:20" ht="23.1" customHeight="1" x14ac:dyDescent="0.25">
      <c r="B52" s="24" t="s">
        <v>79</v>
      </c>
      <c r="C52" s="49">
        <f>AVERAGE('20.8 Kampala-Luweero'!C52,'21.8 Kampala-Luweero'!C52,'22.8 Kampala-Luweero'!C52,'23.8 Kampala-Luweero'!C52,'24.8 Kampala-Luweero'!C52,'25.8 Kampala-Luweero 24Hrs'!C52,'26.8 Kampala-Luweero'!C52)</f>
        <v>10.714285714285714</v>
      </c>
      <c r="D52" s="49">
        <f>AVERAGE('20.8 Kampala-Luweero'!D52,'21.8 Kampala-Luweero'!D52,'22.8 Kampala-Luweero'!D52,'23.8 Kampala-Luweero'!D52,'24.8 Kampala-Luweero'!D52,'25.8 Kampala-Luweero 24Hrs'!D52,'26.8 Kampala-Luweero'!D52)</f>
        <v>0.2857142857142857</v>
      </c>
      <c r="E52" s="49">
        <f>AVERAGE('20.8 Kampala-Luweero'!E52,'21.8 Kampala-Luweero'!E52,'22.8 Kampala-Luweero'!E52,'23.8 Kampala-Luweero'!E52,'24.8 Kampala-Luweero'!E52,'25.8 Kampala-Luweero 24Hrs'!E52,'26.8 Kampala-Luweero'!E52)</f>
        <v>11.857142857142858</v>
      </c>
      <c r="F52" s="49">
        <f>AVERAGE('20.8 Kampala-Luweero'!F52,'21.8 Kampala-Luweero'!F52,'22.8 Kampala-Luweero'!F52,'23.8 Kampala-Luweero'!F52,'24.8 Kampala-Luweero'!F52,'25.8 Kampala-Luweero 24Hrs'!F52,'26.8 Kampala-Luweero'!F52)</f>
        <v>14</v>
      </c>
      <c r="G52" s="49">
        <f>AVERAGE('20.8 Kampala-Luweero'!G52,'21.8 Kampala-Luweero'!G52,'22.8 Kampala-Luweero'!G52,'23.8 Kampala-Luweero'!G52,'24.8 Kampala-Luweero'!G52,'25.8 Kampala-Luweero 24Hrs'!G52,'26.8 Kampala-Luweero'!G52)</f>
        <v>0.42857142857142855</v>
      </c>
      <c r="H52" s="49">
        <f>AVERAGE('20.8 Kampala-Luweero'!H52,'21.8 Kampala-Luweero'!H52,'22.8 Kampala-Luweero'!H52,'23.8 Kampala-Luweero'!H52,'24.8 Kampala-Luweero'!H52,'25.8 Kampala-Luweero 24Hrs'!H52,'26.8 Kampala-Luweero'!H52)</f>
        <v>0.8571428571428571</v>
      </c>
      <c r="I52" s="49">
        <f>AVERAGE('20.8 Kampala-Luweero'!I52,'21.8 Kampala-Luweero'!I52,'22.8 Kampala-Luweero'!I52,'23.8 Kampala-Luweero'!I52,'24.8 Kampala-Luweero'!I52,'25.8 Kampala-Luweero 24Hrs'!I52,'26.8 Kampala-Luweero'!I52)</f>
        <v>6.5714285714285712</v>
      </c>
      <c r="J52" s="49">
        <f>AVERAGE('20.8 Kampala-Luweero'!J52,'21.8 Kampala-Luweero'!J52,'22.8 Kampala-Luweero'!J52,'23.8 Kampala-Luweero'!J52,'24.8 Kampala-Luweero'!J52,'25.8 Kampala-Luweero 24Hrs'!J52,'26.8 Kampala-Luweero'!J52)</f>
        <v>2.1428571428571428</v>
      </c>
      <c r="K52" s="49">
        <f>AVERAGE('20.8 Kampala-Luweero'!K52,'21.8 Kampala-Luweero'!K52,'22.8 Kampala-Luweero'!K52,'23.8 Kampala-Luweero'!K52,'24.8 Kampala-Luweero'!K52,'25.8 Kampala-Luweero 24Hrs'!K52,'26.8 Kampala-Luweero'!K52)</f>
        <v>0.42857142857142855</v>
      </c>
      <c r="L52" s="49">
        <f>AVERAGE('20.8 Kampala-Luweero'!L52,'21.8 Kampala-Luweero'!L52,'22.8 Kampala-Luweero'!L52,'23.8 Kampala-Luweero'!L52,'24.8 Kampala-Luweero'!L52,'25.8 Kampala-Luweero 24Hrs'!L52,'26.8 Kampala-Luweero'!L52)</f>
        <v>3.1428571428571428</v>
      </c>
      <c r="M52" s="49">
        <f>AVERAGE('20.8 Kampala-Luweero'!M52,'21.8 Kampala-Luweero'!M52,'22.8 Kampala-Luweero'!M52,'23.8 Kampala-Luweero'!M52,'24.8 Kampala-Luweero'!M52,'25.8 Kampala-Luweero 24Hrs'!M52,'26.8 Kampala-Luweero'!M52)</f>
        <v>71.571428571428569</v>
      </c>
      <c r="N52" s="49">
        <f>AVERAGE('20.8 Kampala-Luweero'!N52,'21.8 Kampala-Luweero'!N52,'22.8 Kampala-Luweero'!N52,'23.8 Kampala-Luweero'!N52,'24.8 Kampala-Luweero'!N52,'25.8 Kampala-Luweero 24Hrs'!N52,'26.8 Kampala-Luweero'!N52)</f>
        <v>0</v>
      </c>
      <c r="O52" s="15">
        <f t="shared" si="0"/>
        <v>50.428571428571438</v>
      </c>
      <c r="P52" s="15">
        <f t="shared" si="1"/>
        <v>122</v>
      </c>
      <c r="R52" s="8"/>
      <c r="T52"/>
    </row>
    <row r="53" spans="2:20" ht="23.1" customHeight="1" x14ac:dyDescent="0.25">
      <c r="B53" s="23" t="s">
        <v>80</v>
      </c>
      <c r="C53" s="49">
        <f>AVERAGE('20.8 Kampala-Luweero'!C53,'21.8 Kampala-Luweero'!C53,'22.8 Kampala-Luweero'!C53,'23.8 Kampala-Luweero'!C53,'24.8 Kampala-Luweero'!C53,'25.8 Kampala-Luweero 24Hrs'!C53,'26.8 Kampala-Luweero'!C53)</f>
        <v>12.428571428571429</v>
      </c>
      <c r="D53" s="49">
        <f>AVERAGE('20.8 Kampala-Luweero'!D53,'21.8 Kampala-Luweero'!D53,'22.8 Kampala-Luweero'!D53,'23.8 Kampala-Luweero'!D53,'24.8 Kampala-Luweero'!D53,'25.8 Kampala-Luweero 24Hrs'!D53,'26.8 Kampala-Luweero'!D53)</f>
        <v>1.1428571428571428</v>
      </c>
      <c r="E53" s="49">
        <f>AVERAGE('20.8 Kampala-Luweero'!E53,'21.8 Kampala-Luweero'!E53,'22.8 Kampala-Luweero'!E53,'23.8 Kampala-Luweero'!E53,'24.8 Kampala-Luweero'!E53,'25.8 Kampala-Luweero 24Hrs'!E53,'26.8 Kampala-Luweero'!E53)</f>
        <v>10.571428571428571</v>
      </c>
      <c r="F53" s="49">
        <f>AVERAGE('20.8 Kampala-Luweero'!F53,'21.8 Kampala-Luweero'!F53,'22.8 Kampala-Luweero'!F53,'23.8 Kampala-Luweero'!F53,'24.8 Kampala-Luweero'!F53,'25.8 Kampala-Luweero 24Hrs'!F53,'26.8 Kampala-Luweero'!F53)</f>
        <v>13</v>
      </c>
      <c r="G53" s="49">
        <f>AVERAGE('20.8 Kampala-Luweero'!G53,'21.8 Kampala-Luweero'!G53,'22.8 Kampala-Luweero'!G53,'23.8 Kampala-Luweero'!G53,'24.8 Kampala-Luweero'!G53,'25.8 Kampala-Luweero 24Hrs'!G53,'26.8 Kampala-Luweero'!G53)</f>
        <v>0</v>
      </c>
      <c r="H53" s="49">
        <f>AVERAGE('20.8 Kampala-Luweero'!H53,'21.8 Kampala-Luweero'!H53,'22.8 Kampala-Luweero'!H53,'23.8 Kampala-Luweero'!H53,'24.8 Kampala-Luweero'!H53,'25.8 Kampala-Luweero 24Hrs'!H53,'26.8 Kampala-Luweero'!H53)</f>
        <v>1.1428571428571428</v>
      </c>
      <c r="I53" s="49">
        <f>AVERAGE('20.8 Kampala-Luweero'!I53,'21.8 Kampala-Luweero'!I53,'22.8 Kampala-Luweero'!I53,'23.8 Kampala-Luweero'!I53,'24.8 Kampala-Luweero'!I53,'25.8 Kampala-Luweero 24Hrs'!I53,'26.8 Kampala-Luweero'!I53)</f>
        <v>8</v>
      </c>
      <c r="J53" s="49">
        <f>AVERAGE('20.8 Kampala-Luweero'!J53,'21.8 Kampala-Luweero'!J53,'22.8 Kampala-Luweero'!J53,'23.8 Kampala-Luweero'!J53,'24.8 Kampala-Luweero'!J53,'25.8 Kampala-Luweero 24Hrs'!J53,'26.8 Kampala-Luweero'!J53)</f>
        <v>2.7142857142857144</v>
      </c>
      <c r="K53" s="49">
        <f>AVERAGE('20.8 Kampala-Luweero'!K53,'21.8 Kampala-Luweero'!K53,'22.8 Kampala-Luweero'!K53,'23.8 Kampala-Luweero'!K53,'24.8 Kampala-Luweero'!K53,'25.8 Kampala-Luweero 24Hrs'!K53,'26.8 Kampala-Luweero'!K53)</f>
        <v>0.2857142857142857</v>
      </c>
      <c r="L53" s="49">
        <f>AVERAGE('20.8 Kampala-Luweero'!L53,'21.8 Kampala-Luweero'!L53,'22.8 Kampala-Luweero'!L53,'23.8 Kampala-Luweero'!L53,'24.8 Kampala-Luweero'!L53,'25.8 Kampala-Luweero 24Hrs'!L53,'26.8 Kampala-Luweero'!L53)</f>
        <v>2.8571428571428572</v>
      </c>
      <c r="M53" s="49">
        <f>AVERAGE('20.8 Kampala-Luweero'!M53,'21.8 Kampala-Luweero'!M53,'22.8 Kampala-Luweero'!M53,'23.8 Kampala-Luweero'!M53,'24.8 Kampala-Luweero'!M53,'25.8 Kampala-Luweero 24Hrs'!M53,'26.8 Kampala-Luweero'!M53)</f>
        <v>70.571428571428569</v>
      </c>
      <c r="N53" s="49">
        <f>AVERAGE('20.8 Kampala-Luweero'!N53,'21.8 Kampala-Luweero'!N53,'22.8 Kampala-Luweero'!N53,'23.8 Kampala-Luweero'!N53,'24.8 Kampala-Luweero'!N53,'25.8 Kampala-Luweero 24Hrs'!N53,'26.8 Kampala-Luweero'!N53)</f>
        <v>0</v>
      </c>
      <c r="O53" s="15">
        <f t="shared" si="0"/>
        <v>52.142857142857139</v>
      </c>
      <c r="P53" s="15">
        <f t="shared" si="1"/>
        <v>122.71428571428571</v>
      </c>
      <c r="R53" s="8"/>
      <c r="T53"/>
    </row>
    <row r="54" spans="2:20" ht="23.1" customHeight="1" x14ac:dyDescent="0.25">
      <c r="B54" s="23" t="s">
        <v>81</v>
      </c>
      <c r="C54" s="49">
        <f>AVERAGE('20.8 Kampala-Luweero'!C54,'21.8 Kampala-Luweero'!C54,'22.8 Kampala-Luweero'!C54,'23.8 Kampala-Luweero'!C54,'24.8 Kampala-Luweero'!C54,'25.8 Kampala-Luweero 24Hrs'!C54,'26.8 Kampala-Luweero'!C54)</f>
        <v>9.2857142857142865</v>
      </c>
      <c r="D54" s="49">
        <f>AVERAGE('20.8 Kampala-Luweero'!D54,'21.8 Kampala-Luweero'!D54,'22.8 Kampala-Luweero'!D54,'23.8 Kampala-Luweero'!D54,'24.8 Kampala-Luweero'!D54,'25.8 Kampala-Luweero 24Hrs'!D54,'26.8 Kampala-Luweero'!D54)</f>
        <v>0.42857142857142855</v>
      </c>
      <c r="E54" s="49">
        <f>AVERAGE('20.8 Kampala-Luweero'!E54,'21.8 Kampala-Luweero'!E54,'22.8 Kampala-Luweero'!E54,'23.8 Kampala-Luweero'!E54,'24.8 Kampala-Luweero'!E54,'25.8 Kampala-Luweero 24Hrs'!E54,'26.8 Kampala-Luweero'!E54)</f>
        <v>9.2857142857142865</v>
      </c>
      <c r="F54" s="49">
        <f>AVERAGE('20.8 Kampala-Luweero'!F54,'21.8 Kampala-Luweero'!F54,'22.8 Kampala-Luweero'!F54,'23.8 Kampala-Luweero'!F54,'24.8 Kampala-Luweero'!F54,'25.8 Kampala-Luweero 24Hrs'!F54,'26.8 Kampala-Luweero'!F54)</f>
        <v>14.285714285714286</v>
      </c>
      <c r="G54" s="49">
        <f>AVERAGE('20.8 Kampala-Luweero'!G54,'21.8 Kampala-Luweero'!G54,'22.8 Kampala-Luweero'!G54,'23.8 Kampala-Luweero'!G54,'24.8 Kampala-Luweero'!G54,'25.8 Kampala-Luweero 24Hrs'!G54,'26.8 Kampala-Luweero'!G54)</f>
        <v>0</v>
      </c>
      <c r="H54" s="49">
        <f>AVERAGE('20.8 Kampala-Luweero'!H54,'21.8 Kampala-Luweero'!H54,'22.8 Kampala-Luweero'!H54,'23.8 Kampala-Luweero'!H54,'24.8 Kampala-Luweero'!H54,'25.8 Kampala-Luweero 24Hrs'!H54,'26.8 Kampala-Luweero'!H54)</f>
        <v>0.7142857142857143</v>
      </c>
      <c r="I54" s="49">
        <f>AVERAGE('20.8 Kampala-Luweero'!I54,'21.8 Kampala-Luweero'!I54,'22.8 Kampala-Luweero'!I54,'23.8 Kampala-Luweero'!I54,'24.8 Kampala-Luweero'!I54,'25.8 Kampala-Luweero 24Hrs'!I54,'26.8 Kampala-Luweero'!I54)</f>
        <v>7.7142857142857144</v>
      </c>
      <c r="J54" s="49">
        <f>AVERAGE('20.8 Kampala-Luweero'!J54,'21.8 Kampala-Luweero'!J54,'22.8 Kampala-Luweero'!J54,'23.8 Kampala-Luweero'!J54,'24.8 Kampala-Luweero'!J54,'25.8 Kampala-Luweero 24Hrs'!J54,'26.8 Kampala-Luweero'!J54)</f>
        <v>0.8571428571428571</v>
      </c>
      <c r="K54" s="49">
        <f>AVERAGE('20.8 Kampala-Luweero'!K54,'21.8 Kampala-Luweero'!K54,'22.8 Kampala-Luweero'!K54,'23.8 Kampala-Luweero'!K54,'24.8 Kampala-Luweero'!K54,'25.8 Kampala-Luweero 24Hrs'!K54,'26.8 Kampala-Luweero'!K54)</f>
        <v>0.5714285714285714</v>
      </c>
      <c r="L54" s="49">
        <f>AVERAGE('20.8 Kampala-Luweero'!L54,'21.8 Kampala-Luweero'!L54,'22.8 Kampala-Luweero'!L54,'23.8 Kampala-Luweero'!L54,'24.8 Kampala-Luweero'!L54,'25.8 Kampala-Luweero 24Hrs'!L54,'26.8 Kampala-Luweero'!L54)</f>
        <v>2</v>
      </c>
      <c r="M54" s="49">
        <f>AVERAGE('20.8 Kampala-Luweero'!M54,'21.8 Kampala-Luweero'!M54,'22.8 Kampala-Luweero'!M54,'23.8 Kampala-Luweero'!M54,'24.8 Kampala-Luweero'!M54,'25.8 Kampala-Luweero 24Hrs'!M54,'26.8 Kampala-Luweero'!M54)</f>
        <v>59.142857142857146</v>
      </c>
      <c r="N54" s="49">
        <f>AVERAGE('20.8 Kampala-Luweero'!N54,'21.8 Kampala-Luweero'!N54,'22.8 Kampala-Luweero'!N54,'23.8 Kampala-Luweero'!N54,'24.8 Kampala-Luweero'!N54,'25.8 Kampala-Luweero 24Hrs'!N54,'26.8 Kampala-Luweero'!N54)</f>
        <v>0</v>
      </c>
      <c r="O54" s="15">
        <f t="shared" si="0"/>
        <v>45.142857142857139</v>
      </c>
      <c r="P54" s="15">
        <f t="shared" si="1"/>
        <v>104.28571428571428</v>
      </c>
      <c r="R54" s="8"/>
      <c r="T54"/>
    </row>
    <row r="55" spans="2:20" ht="23.1" customHeight="1" x14ac:dyDescent="0.25">
      <c r="B55" s="23" t="s">
        <v>82</v>
      </c>
      <c r="C55" s="49">
        <f>AVERAGE('20.8 Kampala-Luweero'!C55,'21.8 Kampala-Luweero'!C55,'22.8 Kampala-Luweero'!C55,'23.8 Kampala-Luweero'!C55,'24.8 Kampala-Luweero'!C55,'25.8 Kampala-Luweero 24Hrs'!C55,'26.8 Kampala-Luweero'!C55)</f>
        <v>9.7142857142857135</v>
      </c>
      <c r="D55" s="49">
        <f>AVERAGE('20.8 Kampala-Luweero'!D55,'21.8 Kampala-Luweero'!D55,'22.8 Kampala-Luweero'!D55,'23.8 Kampala-Luweero'!D55,'24.8 Kampala-Luweero'!D55,'25.8 Kampala-Luweero 24Hrs'!D55,'26.8 Kampala-Luweero'!D55)</f>
        <v>0.7142857142857143</v>
      </c>
      <c r="E55" s="49">
        <f>AVERAGE('20.8 Kampala-Luweero'!E55,'21.8 Kampala-Luweero'!E55,'22.8 Kampala-Luweero'!E55,'23.8 Kampala-Luweero'!E55,'24.8 Kampala-Luweero'!E55,'25.8 Kampala-Luweero 24Hrs'!E55,'26.8 Kampala-Luweero'!E55)</f>
        <v>10.285714285714286</v>
      </c>
      <c r="F55" s="49">
        <f>AVERAGE('20.8 Kampala-Luweero'!F55,'21.8 Kampala-Luweero'!F55,'22.8 Kampala-Luweero'!F55,'23.8 Kampala-Luweero'!F55,'24.8 Kampala-Luweero'!F55,'25.8 Kampala-Luweero 24Hrs'!F55,'26.8 Kampala-Luweero'!F55)</f>
        <v>14.857142857142858</v>
      </c>
      <c r="G55" s="49">
        <f>AVERAGE('20.8 Kampala-Luweero'!G55,'21.8 Kampala-Luweero'!G55,'22.8 Kampala-Luweero'!G55,'23.8 Kampala-Luweero'!G55,'24.8 Kampala-Luweero'!G55,'25.8 Kampala-Luweero 24Hrs'!G55,'26.8 Kampala-Luweero'!G55)</f>
        <v>0.14285714285714285</v>
      </c>
      <c r="H55" s="49">
        <f>AVERAGE('20.8 Kampala-Luweero'!H55,'21.8 Kampala-Luweero'!H55,'22.8 Kampala-Luweero'!H55,'23.8 Kampala-Luweero'!H55,'24.8 Kampala-Luweero'!H55,'25.8 Kampala-Luweero 24Hrs'!H55,'26.8 Kampala-Luweero'!H55)</f>
        <v>0.42857142857142855</v>
      </c>
      <c r="I55" s="49">
        <f>AVERAGE('20.8 Kampala-Luweero'!I55,'21.8 Kampala-Luweero'!I55,'22.8 Kampala-Luweero'!I55,'23.8 Kampala-Luweero'!I55,'24.8 Kampala-Luweero'!I55,'25.8 Kampala-Luweero 24Hrs'!I55,'26.8 Kampala-Luweero'!I55)</f>
        <v>7.2857142857142856</v>
      </c>
      <c r="J55" s="49">
        <f>AVERAGE('20.8 Kampala-Luweero'!J55,'21.8 Kampala-Luweero'!J55,'22.8 Kampala-Luweero'!J55,'23.8 Kampala-Luweero'!J55,'24.8 Kampala-Luweero'!J55,'25.8 Kampala-Luweero 24Hrs'!J55,'26.8 Kampala-Luweero'!J55)</f>
        <v>2</v>
      </c>
      <c r="K55" s="49">
        <f>AVERAGE('20.8 Kampala-Luweero'!K55,'21.8 Kampala-Luweero'!K55,'22.8 Kampala-Luweero'!K55,'23.8 Kampala-Luweero'!K55,'24.8 Kampala-Luweero'!K55,'25.8 Kampala-Luweero 24Hrs'!K55,'26.8 Kampala-Luweero'!K55)</f>
        <v>0.42857142857142855</v>
      </c>
      <c r="L55" s="49">
        <f>AVERAGE('20.8 Kampala-Luweero'!L55,'21.8 Kampala-Luweero'!L55,'22.8 Kampala-Luweero'!L55,'23.8 Kampala-Luweero'!L55,'24.8 Kampala-Luweero'!L55,'25.8 Kampala-Luweero 24Hrs'!L55,'26.8 Kampala-Luweero'!L55)</f>
        <v>1</v>
      </c>
      <c r="M55" s="49">
        <f>AVERAGE('20.8 Kampala-Luweero'!M55,'21.8 Kampala-Luweero'!M55,'22.8 Kampala-Luweero'!M55,'23.8 Kampala-Luweero'!M55,'24.8 Kampala-Luweero'!M55,'25.8 Kampala-Luweero 24Hrs'!M55,'26.8 Kampala-Luweero'!M55)</f>
        <v>65.714285714285708</v>
      </c>
      <c r="N55" s="49">
        <f>AVERAGE('20.8 Kampala-Luweero'!N55,'21.8 Kampala-Luweero'!N55,'22.8 Kampala-Luweero'!N55,'23.8 Kampala-Luweero'!N55,'24.8 Kampala-Luweero'!N55,'25.8 Kampala-Luweero 24Hrs'!N55,'26.8 Kampala-Luweero'!N55)</f>
        <v>0</v>
      </c>
      <c r="O55" s="15">
        <f t="shared" si="0"/>
        <v>46.857142857142861</v>
      </c>
      <c r="P55" s="15">
        <f t="shared" si="1"/>
        <v>112.57142857142857</v>
      </c>
      <c r="R55" s="8"/>
      <c r="T55"/>
    </row>
    <row r="56" spans="2:20" ht="23.1" customHeight="1" x14ac:dyDescent="0.25">
      <c r="B56" s="23" t="s">
        <v>83</v>
      </c>
      <c r="C56" s="49">
        <f>AVERAGE('20.8 Kampala-Luweero'!C56,'21.8 Kampala-Luweero'!C56,'22.8 Kampala-Luweero'!C56,'23.8 Kampala-Luweero'!C56,'24.8 Kampala-Luweero'!C56,'25.8 Kampala-Luweero 24Hrs'!C56,'26.8 Kampala-Luweero'!C56)</f>
        <v>8</v>
      </c>
      <c r="D56" s="49">
        <f>AVERAGE('20.8 Kampala-Luweero'!D56,'21.8 Kampala-Luweero'!D56,'22.8 Kampala-Luweero'!D56,'23.8 Kampala-Luweero'!D56,'24.8 Kampala-Luweero'!D56,'25.8 Kampala-Luweero 24Hrs'!D56,'26.8 Kampala-Luweero'!D56)</f>
        <v>0.5714285714285714</v>
      </c>
      <c r="E56" s="49">
        <f>AVERAGE('20.8 Kampala-Luweero'!E56,'21.8 Kampala-Luweero'!E56,'22.8 Kampala-Luweero'!E56,'23.8 Kampala-Luweero'!E56,'24.8 Kampala-Luweero'!E56,'25.8 Kampala-Luweero 24Hrs'!E56,'26.8 Kampala-Luweero'!E56)</f>
        <v>10.714285714285714</v>
      </c>
      <c r="F56" s="49">
        <f>AVERAGE('20.8 Kampala-Luweero'!F56,'21.8 Kampala-Luweero'!F56,'22.8 Kampala-Luweero'!F56,'23.8 Kampala-Luweero'!F56,'24.8 Kampala-Luweero'!F56,'25.8 Kampala-Luweero 24Hrs'!F56,'26.8 Kampala-Luweero'!F56)</f>
        <v>12.714285714285714</v>
      </c>
      <c r="G56" s="49">
        <f>AVERAGE('20.8 Kampala-Luweero'!G56,'21.8 Kampala-Luweero'!G56,'22.8 Kampala-Luweero'!G56,'23.8 Kampala-Luweero'!G56,'24.8 Kampala-Luweero'!G56,'25.8 Kampala-Luweero 24Hrs'!G56,'26.8 Kampala-Luweero'!G56)</f>
        <v>0</v>
      </c>
      <c r="H56" s="49">
        <f>AVERAGE('20.8 Kampala-Luweero'!H56,'21.8 Kampala-Luweero'!H56,'22.8 Kampala-Luweero'!H56,'23.8 Kampala-Luweero'!H56,'24.8 Kampala-Luweero'!H56,'25.8 Kampala-Luweero 24Hrs'!H56,'26.8 Kampala-Luweero'!H56)</f>
        <v>0.42857142857142855</v>
      </c>
      <c r="I56" s="49">
        <f>AVERAGE('20.8 Kampala-Luweero'!I56,'21.8 Kampala-Luweero'!I56,'22.8 Kampala-Luweero'!I56,'23.8 Kampala-Luweero'!I56,'24.8 Kampala-Luweero'!I56,'25.8 Kampala-Luweero 24Hrs'!I56,'26.8 Kampala-Luweero'!I56)</f>
        <v>6.5714285714285712</v>
      </c>
      <c r="J56" s="49">
        <f>AVERAGE('20.8 Kampala-Luweero'!J56,'21.8 Kampala-Luweero'!J56,'22.8 Kampala-Luweero'!J56,'23.8 Kampala-Luweero'!J56,'24.8 Kampala-Luweero'!J56,'25.8 Kampala-Luweero 24Hrs'!J56,'26.8 Kampala-Luweero'!J56)</f>
        <v>0.7142857142857143</v>
      </c>
      <c r="K56" s="49">
        <f>AVERAGE('20.8 Kampala-Luweero'!K56,'21.8 Kampala-Luweero'!K56,'22.8 Kampala-Luweero'!K56,'23.8 Kampala-Luweero'!K56,'24.8 Kampala-Luweero'!K56,'25.8 Kampala-Luweero 24Hrs'!K56,'26.8 Kampala-Luweero'!K56)</f>
        <v>0.5714285714285714</v>
      </c>
      <c r="L56" s="49">
        <f>AVERAGE('20.8 Kampala-Luweero'!L56,'21.8 Kampala-Luweero'!L56,'22.8 Kampala-Luweero'!L56,'23.8 Kampala-Luweero'!L56,'24.8 Kampala-Luweero'!L56,'25.8 Kampala-Luweero 24Hrs'!L56,'26.8 Kampala-Luweero'!L56)</f>
        <v>2</v>
      </c>
      <c r="M56" s="49">
        <f>AVERAGE('20.8 Kampala-Luweero'!M56,'21.8 Kampala-Luweero'!M56,'22.8 Kampala-Luweero'!M56,'23.8 Kampala-Luweero'!M56,'24.8 Kampala-Luweero'!M56,'25.8 Kampala-Luweero 24Hrs'!M56,'26.8 Kampala-Luweero'!M56)</f>
        <v>58.285714285714285</v>
      </c>
      <c r="N56" s="49">
        <f>AVERAGE('20.8 Kampala-Luweero'!N56,'21.8 Kampala-Luweero'!N56,'22.8 Kampala-Luweero'!N56,'23.8 Kampala-Luweero'!N56,'24.8 Kampala-Luweero'!N56,'25.8 Kampala-Luweero 24Hrs'!N56,'26.8 Kampala-Luweero'!N56)</f>
        <v>0.2857142857142857</v>
      </c>
      <c r="O56" s="15">
        <f t="shared" si="0"/>
        <v>42.571428571428569</v>
      </c>
      <c r="P56" s="15">
        <f t="shared" si="1"/>
        <v>100.85714285714286</v>
      </c>
      <c r="R56" s="8"/>
      <c r="T56"/>
    </row>
    <row r="57" spans="2:20" ht="23.1" customHeight="1" x14ac:dyDescent="0.25">
      <c r="B57" s="23" t="s">
        <v>84</v>
      </c>
      <c r="C57" s="49">
        <f>AVERAGE('20.8 Kampala-Luweero'!C57,'21.8 Kampala-Luweero'!C57,'22.8 Kampala-Luweero'!C57,'23.8 Kampala-Luweero'!C57,'24.8 Kampala-Luweero'!C57,'25.8 Kampala-Luweero 24Hrs'!C57,'26.8 Kampala-Luweero'!C57)</f>
        <v>9</v>
      </c>
      <c r="D57" s="49">
        <f>AVERAGE('20.8 Kampala-Luweero'!D57,'21.8 Kampala-Luweero'!D57,'22.8 Kampala-Luweero'!D57,'23.8 Kampala-Luweero'!D57,'24.8 Kampala-Luweero'!D57,'25.8 Kampala-Luweero 24Hrs'!D57,'26.8 Kampala-Luweero'!D57)</f>
        <v>0.2857142857142857</v>
      </c>
      <c r="E57" s="49">
        <f>AVERAGE('20.8 Kampala-Luweero'!E57,'21.8 Kampala-Luweero'!E57,'22.8 Kampala-Luweero'!E57,'23.8 Kampala-Luweero'!E57,'24.8 Kampala-Luweero'!E57,'25.8 Kampala-Luweero 24Hrs'!E57,'26.8 Kampala-Luweero'!E57)</f>
        <v>11.285714285714286</v>
      </c>
      <c r="F57" s="49">
        <f>AVERAGE('20.8 Kampala-Luweero'!F57,'21.8 Kampala-Luweero'!F57,'22.8 Kampala-Luweero'!F57,'23.8 Kampala-Luweero'!F57,'24.8 Kampala-Luweero'!F57,'25.8 Kampala-Luweero 24Hrs'!F57,'26.8 Kampala-Luweero'!F57)</f>
        <v>16</v>
      </c>
      <c r="G57" s="49">
        <f>AVERAGE('20.8 Kampala-Luweero'!G57,'21.8 Kampala-Luweero'!G57,'22.8 Kampala-Luweero'!G57,'23.8 Kampala-Luweero'!G57,'24.8 Kampala-Luweero'!G57,'25.8 Kampala-Luweero 24Hrs'!G57,'26.8 Kampala-Luweero'!G57)</f>
        <v>0.14285714285714285</v>
      </c>
      <c r="H57" s="49">
        <f>AVERAGE('20.8 Kampala-Luweero'!H57,'21.8 Kampala-Luweero'!H57,'22.8 Kampala-Luweero'!H57,'23.8 Kampala-Luweero'!H57,'24.8 Kampala-Luweero'!H57,'25.8 Kampala-Luweero 24Hrs'!H57,'26.8 Kampala-Luweero'!H57)</f>
        <v>0.8571428571428571</v>
      </c>
      <c r="I57" s="49">
        <f>AVERAGE('20.8 Kampala-Luweero'!I57,'21.8 Kampala-Luweero'!I57,'22.8 Kampala-Luweero'!I57,'23.8 Kampala-Luweero'!I57,'24.8 Kampala-Luweero'!I57,'25.8 Kampala-Luweero 24Hrs'!I57,'26.8 Kampala-Luweero'!I57)</f>
        <v>8.4285714285714288</v>
      </c>
      <c r="J57" s="49">
        <f>AVERAGE('20.8 Kampala-Luweero'!J57,'21.8 Kampala-Luweero'!J57,'22.8 Kampala-Luweero'!J57,'23.8 Kampala-Luweero'!J57,'24.8 Kampala-Luweero'!J57,'25.8 Kampala-Luweero 24Hrs'!J57,'26.8 Kampala-Luweero'!J57)</f>
        <v>2.7142857142857144</v>
      </c>
      <c r="K57" s="49">
        <f>AVERAGE('20.8 Kampala-Luweero'!K57,'21.8 Kampala-Luweero'!K57,'22.8 Kampala-Luweero'!K57,'23.8 Kampala-Luweero'!K57,'24.8 Kampala-Luweero'!K57,'25.8 Kampala-Luweero 24Hrs'!K57,'26.8 Kampala-Luweero'!K57)</f>
        <v>1</v>
      </c>
      <c r="L57" s="49">
        <f>AVERAGE('20.8 Kampala-Luweero'!L57,'21.8 Kampala-Luweero'!L57,'22.8 Kampala-Luweero'!L57,'23.8 Kampala-Luweero'!L57,'24.8 Kampala-Luweero'!L57,'25.8 Kampala-Luweero 24Hrs'!L57,'26.8 Kampala-Luweero'!L57)</f>
        <v>1.5714285714285714</v>
      </c>
      <c r="M57" s="49">
        <f>AVERAGE('20.8 Kampala-Luweero'!M57,'21.8 Kampala-Luweero'!M57,'22.8 Kampala-Luweero'!M57,'23.8 Kampala-Luweero'!M57,'24.8 Kampala-Luweero'!M57,'25.8 Kampala-Luweero 24Hrs'!M57,'26.8 Kampala-Luweero'!M57)</f>
        <v>77.428571428571431</v>
      </c>
      <c r="N57" s="49">
        <f>AVERAGE('20.8 Kampala-Luweero'!N57,'21.8 Kampala-Luweero'!N57,'22.8 Kampala-Luweero'!N57,'23.8 Kampala-Luweero'!N57,'24.8 Kampala-Luweero'!N57,'25.8 Kampala-Luweero 24Hrs'!N57,'26.8 Kampala-Luweero'!N57)</f>
        <v>0</v>
      </c>
      <c r="O57" s="15">
        <f t="shared" si="0"/>
        <v>51.285714285714285</v>
      </c>
      <c r="P57" s="15">
        <f t="shared" si="1"/>
        <v>128.71428571428572</v>
      </c>
      <c r="R57" s="8"/>
      <c r="T57"/>
    </row>
    <row r="58" spans="2:20" ht="23.1" customHeight="1" x14ac:dyDescent="0.25">
      <c r="B58" s="23" t="s">
        <v>99</v>
      </c>
      <c r="C58" s="49">
        <f>AVERAGE('24.8 Kampala-Luweero'!C58,'25.8 Kampala-Luweero 24Hrs'!C58)</f>
        <v>7</v>
      </c>
      <c r="D58" s="49">
        <f>AVERAGE('24.8 Kampala-Luweero'!D58,'25.8 Kampala-Luweero 24Hrs'!D58)</f>
        <v>3</v>
      </c>
      <c r="E58" s="49">
        <f>AVERAGE('24.8 Kampala-Luweero'!E58,'25.8 Kampala-Luweero 24Hrs'!E58)</f>
        <v>7</v>
      </c>
      <c r="F58" s="49">
        <f>AVERAGE('24.8 Kampala-Luweero'!F58,'25.8 Kampala-Luweero 24Hrs'!F58)</f>
        <v>12</v>
      </c>
      <c r="G58" s="49">
        <f>AVERAGE('24.8 Kampala-Luweero'!G58,'25.8 Kampala-Luweero 24Hrs'!G58)</f>
        <v>0</v>
      </c>
      <c r="H58" s="49">
        <f>AVERAGE('24.8 Kampala-Luweero'!H58,'25.8 Kampala-Luweero 24Hrs'!H58)</f>
        <v>0</v>
      </c>
      <c r="I58" s="49">
        <f>AVERAGE('24.8 Kampala-Luweero'!I58,'25.8 Kampala-Luweero 24Hrs'!I58)</f>
        <v>8</v>
      </c>
      <c r="J58" s="49">
        <f>AVERAGE('24.8 Kampala-Luweero'!J58,'25.8 Kampala-Luweero 24Hrs'!J58)</f>
        <v>1</v>
      </c>
      <c r="K58" s="49">
        <f>AVERAGE('24.8 Kampala-Luweero'!K58,'25.8 Kampala-Luweero 24Hrs'!K58)</f>
        <v>1</v>
      </c>
      <c r="L58" s="49">
        <f>AVERAGE('24.8 Kampala-Luweero'!L58,'25.8 Kampala-Luweero 24Hrs'!L58)</f>
        <v>1</v>
      </c>
      <c r="M58" s="49">
        <f>AVERAGE('24.8 Kampala-Luweero'!M58,'25.8 Kampala-Luweero 24Hrs'!M58)</f>
        <v>55</v>
      </c>
      <c r="N58" s="49">
        <f>AVERAGE('24.8 Kampala-Luweero'!N58,'25.8 Kampala-Luweero 24Hrs'!N58)</f>
        <v>0</v>
      </c>
      <c r="O58" s="15">
        <f t="shared" si="0"/>
        <v>40</v>
      </c>
      <c r="P58" s="15">
        <f t="shared" si="1"/>
        <v>95</v>
      </c>
      <c r="R58" s="8"/>
      <c r="T58"/>
    </row>
    <row r="59" spans="2:20" ht="23.1" customHeight="1" x14ac:dyDescent="0.25">
      <c r="B59" s="23" t="s">
        <v>100</v>
      </c>
      <c r="C59" s="49">
        <f>AVERAGE('24.8 Kampala-Luweero'!C59,'25.8 Kampala-Luweero 24Hrs'!C59)</f>
        <v>8</v>
      </c>
      <c r="D59" s="49">
        <f>AVERAGE('24.8 Kampala-Luweero'!D59,'25.8 Kampala-Luweero 24Hrs'!D59)</f>
        <v>2</v>
      </c>
      <c r="E59" s="49">
        <f>AVERAGE('24.8 Kampala-Luweero'!E59,'25.8 Kampala-Luweero 24Hrs'!E59)</f>
        <v>5</v>
      </c>
      <c r="F59" s="49">
        <f>AVERAGE('24.8 Kampala-Luweero'!F59,'25.8 Kampala-Luweero 24Hrs'!F59)</f>
        <v>11</v>
      </c>
      <c r="G59" s="49">
        <f>AVERAGE('24.8 Kampala-Luweero'!G59,'25.8 Kampala-Luweero 24Hrs'!G59)</f>
        <v>0</v>
      </c>
      <c r="H59" s="49">
        <f>AVERAGE('24.8 Kampala-Luweero'!H59,'25.8 Kampala-Luweero 24Hrs'!H59)</f>
        <v>0</v>
      </c>
      <c r="I59" s="49">
        <f>AVERAGE('24.8 Kampala-Luweero'!I59,'25.8 Kampala-Luweero 24Hrs'!I59)</f>
        <v>8</v>
      </c>
      <c r="J59" s="49">
        <f>AVERAGE('24.8 Kampala-Luweero'!J59,'25.8 Kampala-Luweero 24Hrs'!J59)</f>
        <v>0</v>
      </c>
      <c r="K59" s="49">
        <f>AVERAGE('24.8 Kampala-Luweero'!K59,'25.8 Kampala-Luweero 24Hrs'!K59)</f>
        <v>0</v>
      </c>
      <c r="L59" s="49">
        <f>AVERAGE('24.8 Kampala-Luweero'!L59,'25.8 Kampala-Luweero 24Hrs'!L59)</f>
        <v>3</v>
      </c>
      <c r="M59" s="49">
        <f>AVERAGE('24.8 Kampala-Luweero'!M59,'25.8 Kampala-Luweero 24Hrs'!M59)</f>
        <v>60</v>
      </c>
      <c r="N59" s="49">
        <f>AVERAGE('24.8 Kampala-Luweero'!N59,'25.8 Kampala-Luweero 24Hrs'!N59)</f>
        <v>0</v>
      </c>
      <c r="O59" s="15">
        <f t="shared" si="0"/>
        <v>37</v>
      </c>
      <c r="P59" s="15">
        <f t="shared" si="1"/>
        <v>97</v>
      </c>
      <c r="R59" s="8"/>
      <c r="T59"/>
    </row>
    <row r="60" spans="2:20" ht="23.1" customHeight="1" x14ac:dyDescent="0.25">
      <c r="B60" s="23" t="s">
        <v>101</v>
      </c>
      <c r="C60" s="49">
        <f>AVERAGE('24.8 Kampala-Luweero'!C60,'25.8 Kampala-Luweero 24Hrs'!C60)</f>
        <v>7</v>
      </c>
      <c r="D60" s="49">
        <f>AVERAGE('24.8 Kampala-Luweero'!D60,'25.8 Kampala-Luweero 24Hrs'!D60)</f>
        <v>1</v>
      </c>
      <c r="E60" s="49">
        <f>AVERAGE('24.8 Kampala-Luweero'!E60,'25.8 Kampala-Luweero 24Hrs'!E60)</f>
        <v>6</v>
      </c>
      <c r="F60" s="49">
        <f>AVERAGE('24.8 Kampala-Luweero'!F60,'25.8 Kampala-Luweero 24Hrs'!F60)</f>
        <v>11</v>
      </c>
      <c r="G60" s="49">
        <f>AVERAGE('24.8 Kampala-Luweero'!G60,'25.8 Kampala-Luweero 24Hrs'!G60)</f>
        <v>0</v>
      </c>
      <c r="H60" s="49">
        <f>AVERAGE('24.8 Kampala-Luweero'!H60,'25.8 Kampala-Luweero 24Hrs'!H60)</f>
        <v>0</v>
      </c>
      <c r="I60" s="49">
        <f>AVERAGE('24.8 Kampala-Luweero'!I60,'25.8 Kampala-Luweero 24Hrs'!I60)</f>
        <v>8</v>
      </c>
      <c r="J60" s="49">
        <f>AVERAGE('24.8 Kampala-Luweero'!J60,'25.8 Kampala-Luweero 24Hrs'!J60)</f>
        <v>0</v>
      </c>
      <c r="K60" s="49">
        <f>AVERAGE('24.8 Kampala-Luweero'!K60,'25.8 Kampala-Luweero 24Hrs'!K60)</f>
        <v>0</v>
      </c>
      <c r="L60" s="49">
        <f>AVERAGE('24.8 Kampala-Luweero'!L60,'25.8 Kampala-Luweero 24Hrs'!L60)</f>
        <v>3</v>
      </c>
      <c r="M60" s="49">
        <f>AVERAGE('24.8 Kampala-Luweero'!M60,'25.8 Kampala-Luweero 24Hrs'!M60)</f>
        <v>66</v>
      </c>
      <c r="N60" s="49">
        <f>AVERAGE('24.8 Kampala-Luweero'!N60,'25.8 Kampala-Luweero 24Hrs'!N60)</f>
        <v>0</v>
      </c>
      <c r="O60" s="15">
        <f t="shared" si="0"/>
        <v>36</v>
      </c>
      <c r="P60" s="15">
        <f t="shared" si="1"/>
        <v>102</v>
      </c>
      <c r="R60" s="8"/>
      <c r="T60"/>
    </row>
    <row r="61" spans="2:20" ht="23.1" customHeight="1" x14ac:dyDescent="0.25">
      <c r="B61" s="23" t="s">
        <v>102</v>
      </c>
      <c r="C61" s="49">
        <f>AVERAGE('24.8 Kampala-Luweero'!C61,'25.8 Kampala-Luweero 24Hrs'!C61)</f>
        <v>5</v>
      </c>
      <c r="D61" s="49">
        <f>AVERAGE('24.8 Kampala-Luweero'!D61,'25.8 Kampala-Luweero 24Hrs'!D61)</f>
        <v>0</v>
      </c>
      <c r="E61" s="49">
        <f>AVERAGE('24.8 Kampala-Luweero'!E61,'25.8 Kampala-Luweero 24Hrs'!E61)</f>
        <v>7</v>
      </c>
      <c r="F61" s="49">
        <f>AVERAGE('24.8 Kampala-Luweero'!F61,'25.8 Kampala-Luweero 24Hrs'!F61)</f>
        <v>8</v>
      </c>
      <c r="G61" s="49">
        <f>AVERAGE('24.8 Kampala-Luweero'!G61,'25.8 Kampala-Luweero 24Hrs'!G61)</f>
        <v>0</v>
      </c>
      <c r="H61" s="49">
        <f>AVERAGE('24.8 Kampala-Luweero'!H61,'25.8 Kampala-Luweero 24Hrs'!H61)</f>
        <v>2</v>
      </c>
      <c r="I61" s="49">
        <f>AVERAGE('24.8 Kampala-Luweero'!I61,'25.8 Kampala-Luweero 24Hrs'!I61)</f>
        <v>8</v>
      </c>
      <c r="J61" s="49">
        <f>AVERAGE('24.8 Kampala-Luweero'!J61,'25.8 Kampala-Luweero 24Hrs'!J61)</f>
        <v>0</v>
      </c>
      <c r="K61" s="49">
        <f>AVERAGE('24.8 Kampala-Luweero'!K61,'25.8 Kampala-Luweero 24Hrs'!K61)</f>
        <v>0</v>
      </c>
      <c r="L61" s="49">
        <f>AVERAGE('24.8 Kampala-Luweero'!L61,'25.8 Kampala-Luweero 24Hrs'!L61)</f>
        <v>3</v>
      </c>
      <c r="M61" s="49">
        <f>AVERAGE('24.8 Kampala-Luweero'!M61,'25.8 Kampala-Luweero 24Hrs'!M61)</f>
        <v>56</v>
      </c>
      <c r="N61" s="49">
        <f>AVERAGE('24.8 Kampala-Luweero'!N61,'25.8 Kampala-Luweero 24Hrs'!N61)</f>
        <v>0</v>
      </c>
      <c r="O61" s="15">
        <f t="shared" si="0"/>
        <v>33</v>
      </c>
      <c r="P61" s="15">
        <f t="shared" si="1"/>
        <v>89</v>
      </c>
      <c r="R61" s="8"/>
      <c r="T61"/>
    </row>
    <row r="62" spans="2:20" ht="23.1" customHeight="1" x14ac:dyDescent="0.25">
      <c r="B62" s="23" t="s">
        <v>107</v>
      </c>
      <c r="C62" s="49">
        <f>AVERAGE('24.8 Kampala-Luweero'!C62,'25.8 Kampala-Luweero 24Hrs'!C62)</f>
        <v>6</v>
      </c>
      <c r="D62" s="49">
        <f>AVERAGE('24.8 Kampala-Luweero'!D62,'25.8 Kampala-Luweero 24Hrs'!D62)</f>
        <v>2</v>
      </c>
      <c r="E62" s="49">
        <f>AVERAGE('24.8 Kampala-Luweero'!E62,'25.8 Kampala-Luweero 24Hrs'!E62)</f>
        <v>8</v>
      </c>
      <c r="F62" s="49">
        <f>AVERAGE('24.8 Kampala-Luweero'!F62,'25.8 Kampala-Luweero 24Hrs'!F62)</f>
        <v>5</v>
      </c>
      <c r="G62" s="49">
        <f>AVERAGE('24.8 Kampala-Luweero'!G62,'25.8 Kampala-Luweero 24Hrs'!G62)</f>
        <v>0</v>
      </c>
      <c r="H62" s="49">
        <f>AVERAGE('24.8 Kampala-Luweero'!H62,'25.8 Kampala-Luweero 24Hrs'!H62)</f>
        <v>1</v>
      </c>
      <c r="I62" s="49">
        <f>AVERAGE('24.8 Kampala-Luweero'!I62,'25.8 Kampala-Luweero 24Hrs'!I62)</f>
        <v>5</v>
      </c>
      <c r="J62" s="49">
        <f>AVERAGE('24.8 Kampala-Luweero'!J62,'25.8 Kampala-Luweero 24Hrs'!J62)</f>
        <v>1</v>
      </c>
      <c r="K62" s="49">
        <f>AVERAGE('24.8 Kampala-Luweero'!K62,'25.8 Kampala-Luweero 24Hrs'!K62)</f>
        <v>0</v>
      </c>
      <c r="L62" s="49">
        <f>AVERAGE('24.8 Kampala-Luweero'!L62,'25.8 Kampala-Luweero 24Hrs'!L62)</f>
        <v>4</v>
      </c>
      <c r="M62" s="49">
        <f>AVERAGE('24.8 Kampala-Luweero'!M62,'25.8 Kampala-Luweero 24Hrs'!M62)</f>
        <v>45</v>
      </c>
      <c r="N62" s="49">
        <f>AVERAGE('24.8 Kampala-Luweero'!N62,'25.8 Kampala-Luweero 24Hrs'!N62)</f>
        <v>0</v>
      </c>
      <c r="O62" s="15">
        <f t="shared" si="0"/>
        <v>32</v>
      </c>
      <c r="P62" s="15">
        <f t="shared" si="1"/>
        <v>77</v>
      </c>
      <c r="R62" s="8"/>
      <c r="T62"/>
    </row>
    <row r="63" spans="2:20" ht="23.1" customHeight="1" x14ac:dyDescent="0.25">
      <c r="B63" s="23" t="s">
        <v>108</v>
      </c>
      <c r="C63" s="49">
        <f>AVERAGE('24.8 Kampala-Luweero'!C63,'25.8 Kampala-Luweero 24Hrs'!C63)</f>
        <v>5</v>
      </c>
      <c r="D63" s="49">
        <f>AVERAGE('24.8 Kampala-Luweero'!D63,'25.8 Kampala-Luweero 24Hrs'!D63)</f>
        <v>1</v>
      </c>
      <c r="E63" s="49">
        <f>AVERAGE('24.8 Kampala-Luweero'!E63,'25.8 Kampala-Luweero 24Hrs'!E63)</f>
        <v>6</v>
      </c>
      <c r="F63" s="49">
        <f>AVERAGE('24.8 Kampala-Luweero'!F63,'25.8 Kampala-Luweero 24Hrs'!F63)</f>
        <v>5</v>
      </c>
      <c r="G63" s="49">
        <f>AVERAGE('24.8 Kampala-Luweero'!G63,'25.8 Kampala-Luweero 24Hrs'!G63)</f>
        <v>0</v>
      </c>
      <c r="H63" s="49">
        <f>AVERAGE('24.8 Kampala-Luweero'!H63,'25.8 Kampala-Luweero 24Hrs'!H63)</f>
        <v>0</v>
      </c>
      <c r="I63" s="49">
        <f>AVERAGE('24.8 Kampala-Luweero'!I63,'25.8 Kampala-Luweero 24Hrs'!I63)</f>
        <v>8</v>
      </c>
      <c r="J63" s="49">
        <f>AVERAGE('24.8 Kampala-Luweero'!J63,'25.8 Kampala-Luweero 24Hrs'!J63)</f>
        <v>0</v>
      </c>
      <c r="K63" s="49">
        <f>AVERAGE('24.8 Kampala-Luweero'!K63,'25.8 Kampala-Luweero 24Hrs'!K63)</f>
        <v>1</v>
      </c>
      <c r="L63" s="49">
        <f>AVERAGE('24.8 Kampala-Luweero'!L63,'25.8 Kampala-Luweero 24Hrs'!L63)</f>
        <v>3</v>
      </c>
      <c r="M63" s="49">
        <f>AVERAGE('24.8 Kampala-Luweero'!M63,'25.8 Kampala-Luweero 24Hrs'!M63)</f>
        <v>47</v>
      </c>
      <c r="N63" s="49">
        <f>AVERAGE('24.8 Kampala-Luweero'!N63,'25.8 Kampala-Luweero 24Hrs'!N63)</f>
        <v>0</v>
      </c>
      <c r="O63" s="15">
        <f t="shared" si="0"/>
        <v>29</v>
      </c>
      <c r="P63" s="15">
        <f t="shared" si="1"/>
        <v>76</v>
      </c>
      <c r="R63" s="8"/>
      <c r="T63"/>
    </row>
    <row r="64" spans="2:20" ht="23.1" customHeight="1" x14ac:dyDescent="0.25">
      <c r="B64" s="23" t="s">
        <v>109</v>
      </c>
      <c r="C64" s="49">
        <f>AVERAGE('24.8 Kampala-Luweero'!C64,'25.8 Kampala-Luweero 24Hrs'!C64)</f>
        <v>6</v>
      </c>
      <c r="D64" s="49">
        <f>AVERAGE('24.8 Kampala-Luweero'!D64,'25.8 Kampala-Luweero 24Hrs'!D64)</f>
        <v>0</v>
      </c>
      <c r="E64" s="49">
        <f>AVERAGE('24.8 Kampala-Luweero'!E64,'25.8 Kampala-Luweero 24Hrs'!E64)</f>
        <v>5</v>
      </c>
      <c r="F64" s="49">
        <f>AVERAGE('24.8 Kampala-Luweero'!F64,'25.8 Kampala-Luweero 24Hrs'!F64)</f>
        <v>7</v>
      </c>
      <c r="G64" s="49">
        <f>AVERAGE('24.8 Kampala-Luweero'!G64,'25.8 Kampala-Luweero 24Hrs'!G64)</f>
        <v>0</v>
      </c>
      <c r="H64" s="49">
        <f>AVERAGE('24.8 Kampala-Luweero'!H64,'25.8 Kampala-Luweero 24Hrs'!H64)</f>
        <v>2</v>
      </c>
      <c r="I64" s="49">
        <f>AVERAGE('24.8 Kampala-Luweero'!I64,'25.8 Kampala-Luweero 24Hrs'!I64)</f>
        <v>6</v>
      </c>
      <c r="J64" s="49">
        <f>AVERAGE('24.8 Kampala-Luweero'!J64,'25.8 Kampala-Luweero 24Hrs'!J64)</f>
        <v>0</v>
      </c>
      <c r="K64" s="49">
        <f>AVERAGE('24.8 Kampala-Luweero'!K64,'25.8 Kampala-Luweero 24Hrs'!K64)</f>
        <v>0</v>
      </c>
      <c r="L64" s="49">
        <f>AVERAGE('24.8 Kampala-Luweero'!L64,'25.8 Kampala-Luweero 24Hrs'!L64)</f>
        <v>3</v>
      </c>
      <c r="M64" s="49">
        <f>AVERAGE('24.8 Kampala-Luweero'!M64,'25.8 Kampala-Luweero 24Hrs'!M64)</f>
        <v>38</v>
      </c>
      <c r="N64" s="49">
        <f>AVERAGE('24.8 Kampala-Luweero'!N64,'25.8 Kampala-Luweero 24Hrs'!N64)</f>
        <v>0</v>
      </c>
      <c r="O64" s="15">
        <f t="shared" si="0"/>
        <v>29</v>
      </c>
      <c r="P64" s="15">
        <f t="shared" si="1"/>
        <v>67</v>
      </c>
      <c r="R64" s="8"/>
      <c r="T64"/>
    </row>
    <row r="65" spans="2:20" ht="23.1" customHeight="1" x14ac:dyDescent="0.25">
      <c r="B65" s="23" t="s">
        <v>158</v>
      </c>
      <c r="C65" s="49">
        <f>AVERAGE('24.8 Kampala-Luweero'!C65,'25.8 Kampala-Luweero 24Hrs'!C65)</f>
        <v>4</v>
      </c>
      <c r="D65" s="49">
        <f>AVERAGE('24.8 Kampala-Luweero'!D65,'25.8 Kampala-Luweero 24Hrs'!D65)</f>
        <v>1</v>
      </c>
      <c r="E65" s="49">
        <f>AVERAGE('24.8 Kampala-Luweero'!E65,'25.8 Kampala-Luweero 24Hrs'!E65)</f>
        <v>4</v>
      </c>
      <c r="F65" s="49">
        <f>AVERAGE('24.8 Kampala-Luweero'!F65,'25.8 Kampala-Luweero 24Hrs'!F65)</f>
        <v>5</v>
      </c>
      <c r="G65" s="49">
        <f>AVERAGE('24.8 Kampala-Luweero'!G65,'25.8 Kampala-Luweero 24Hrs'!G65)</f>
        <v>0</v>
      </c>
      <c r="H65" s="49">
        <f>AVERAGE('24.8 Kampala-Luweero'!H65,'25.8 Kampala-Luweero 24Hrs'!H65)</f>
        <v>1</v>
      </c>
      <c r="I65" s="49">
        <f>AVERAGE('24.8 Kampala-Luweero'!I65,'25.8 Kampala-Luweero 24Hrs'!I65)</f>
        <v>5</v>
      </c>
      <c r="J65" s="49">
        <f>AVERAGE('24.8 Kampala-Luweero'!J65,'25.8 Kampala-Luweero 24Hrs'!J65)</f>
        <v>1</v>
      </c>
      <c r="K65" s="49">
        <f>AVERAGE('24.8 Kampala-Luweero'!K65,'25.8 Kampala-Luweero 24Hrs'!K65)</f>
        <v>0</v>
      </c>
      <c r="L65" s="49">
        <f>AVERAGE('24.8 Kampala-Luweero'!L65,'25.8 Kampala-Luweero 24Hrs'!L65)</f>
        <v>4</v>
      </c>
      <c r="M65" s="49">
        <f>AVERAGE('24.8 Kampala-Luweero'!M65,'25.8 Kampala-Luweero 24Hrs'!M65)</f>
        <v>35</v>
      </c>
      <c r="N65" s="49">
        <f>AVERAGE('24.8 Kampala-Luweero'!N65,'25.8 Kampala-Luweero 24Hrs'!N65)</f>
        <v>0</v>
      </c>
      <c r="O65" s="15">
        <f t="shared" si="0"/>
        <v>25</v>
      </c>
      <c r="P65" s="15">
        <f t="shared" si="1"/>
        <v>60</v>
      </c>
      <c r="R65" s="8"/>
      <c r="T65"/>
    </row>
    <row r="66" spans="2:20" ht="23.1" customHeight="1" x14ac:dyDescent="0.25">
      <c r="B66" s="23" t="s">
        <v>103</v>
      </c>
      <c r="C66" s="49">
        <f>AVERAGE('24.8 Kampala-Luweero'!C66,'25.8 Kampala-Luweero 24Hrs'!C66)</f>
        <v>3</v>
      </c>
      <c r="D66" s="49">
        <f>AVERAGE('24.8 Kampala-Luweero'!D66,'25.8 Kampala-Luweero 24Hrs'!D66)</f>
        <v>2</v>
      </c>
      <c r="E66" s="49">
        <f>AVERAGE('24.8 Kampala-Luweero'!E66,'25.8 Kampala-Luweero 24Hrs'!E66)</f>
        <v>5</v>
      </c>
      <c r="F66" s="49">
        <f>AVERAGE('24.8 Kampala-Luweero'!F66,'25.8 Kampala-Luweero 24Hrs'!F66)</f>
        <v>2</v>
      </c>
      <c r="G66" s="49">
        <f>AVERAGE('24.8 Kampala-Luweero'!G66,'25.8 Kampala-Luweero 24Hrs'!G66)</f>
        <v>1</v>
      </c>
      <c r="H66" s="49">
        <f>AVERAGE('24.8 Kampala-Luweero'!H66,'25.8 Kampala-Luweero 24Hrs'!H66)</f>
        <v>1</v>
      </c>
      <c r="I66" s="49">
        <f>AVERAGE('24.8 Kampala-Luweero'!I66,'25.8 Kampala-Luweero 24Hrs'!I66)</f>
        <v>7</v>
      </c>
      <c r="J66" s="49">
        <f>AVERAGE('24.8 Kampala-Luweero'!J66,'25.8 Kampala-Luweero 24Hrs'!J66)</f>
        <v>0</v>
      </c>
      <c r="K66" s="49">
        <f>AVERAGE('24.8 Kampala-Luweero'!K66,'25.8 Kampala-Luweero 24Hrs'!K66)</f>
        <v>0</v>
      </c>
      <c r="L66" s="49">
        <f>AVERAGE('24.8 Kampala-Luweero'!L66,'25.8 Kampala-Luweero 24Hrs'!L66)</f>
        <v>1</v>
      </c>
      <c r="M66" s="49">
        <f>AVERAGE('24.8 Kampala-Luweero'!M66,'25.8 Kampala-Luweero 24Hrs'!M66)</f>
        <v>33</v>
      </c>
      <c r="N66" s="49">
        <f>AVERAGE('24.8 Kampala-Luweero'!N66,'25.8 Kampala-Luweero 24Hrs'!N66)</f>
        <v>0</v>
      </c>
      <c r="O66" s="15">
        <f t="shared" si="0"/>
        <v>22</v>
      </c>
      <c r="P66" s="15">
        <f t="shared" si="1"/>
        <v>55</v>
      </c>
      <c r="R66" s="8"/>
      <c r="T66"/>
    </row>
    <row r="67" spans="2:20" ht="23.1" customHeight="1" x14ac:dyDescent="0.25">
      <c r="B67" s="23" t="s">
        <v>104</v>
      </c>
      <c r="C67" s="49">
        <f>AVERAGE('24.8 Kampala-Luweero'!C67,'25.8 Kampala-Luweero 24Hrs'!C67)</f>
        <v>3</v>
      </c>
      <c r="D67" s="49">
        <f>AVERAGE('24.8 Kampala-Luweero'!D67,'25.8 Kampala-Luweero 24Hrs'!D67)</f>
        <v>0</v>
      </c>
      <c r="E67" s="49">
        <f>AVERAGE('24.8 Kampala-Luweero'!E67,'25.8 Kampala-Luweero 24Hrs'!E67)</f>
        <v>4</v>
      </c>
      <c r="F67" s="49">
        <f>AVERAGE('24.8 Kampala-Luweero'!F67,'25.8 Kampala-Luweero 24Hrs'!F67)</f>
        <v>5</v>
      </c>
      <c r="G67" s="49">
        <f>AVERAGE('24.8 Kampala-Luweero'!G67,'25.8 Kampala-Luweero 24Hrs'!G67)</f>
        <v>1</v>
      </c>
      <c r="H67" s="49">
        <f>AVERAGE('24.8 Kampala-Luweero'!H67,'25.8 Kampala-Luweero 24Hrs'!H67)</f>
        <v>0</v>
      </c>
      <c r="I67" s="49">
        <f>AVERAGE('24.8 Kampala-Luweero'!I67,'25.8 Kampala-Luweero 24Hrs'!I67)</f>
        <v>3</v>
      </c>
      <c r="J67" s="49">
        <f>AVERAGE('24.8 Kampala-Luweero'!J67,'25.8 Kampala-Luweero 24Hrs'!J67)</f>
        <v>0</v>
      </c>
      <c r="K67" s="49">
        <f>AVERAGE('24.8 Kampala-Luweero'!K67,'25.8 Kampala-Luweero 24Hrs'!K67)</f>
        <v>0</v>
      </c>
      <c r="L67" s="49">
        <f>AVERAGE('24.8 Kampala-Luweero'!L67,'25.8 Kampala-Luweero 24Hrs'!L67)</f>
        <v>0</v>
      </c>
      <c r="M67" s="49">
        <f>AVERAGE('24.8 Kampala-Luweero'!M67,'25.8 Kampala-Luweero 24Hrs'!M67)</f>
        <v>24</v>
      </c>
      <c r="N67" s="49">
        <f>AVERAGE('24.8 Kampala-Luweero'!N67,'25.8 Kampala-Luweero 24Hrs'!N67)</f>
        <v>0</v>
      </c>
      <c r="O67" s="15">
        <f t="shared" si="0"/>
        <v>16</v>
      </c>
      <c r="P67" s="15">
        <f t="shared" si="1"/>
        <v>40</v>
      </c>
      <c r="R67" s="8"/>
      <c r="T67"/>
    </row>
    <row r="68" spans="2:20" ht="23.1" customHeight="1" x14ac:dyDescent="0.25">
      <c r="B68" s="23" t="s">
        <v>105</v>
      </c>
      <c r="C68" s="49">
        <f>AVERAGE('24.8 Kampala-Luweero'!C68,'25.8 Kampala-Luweero 24Hrs'!C68)</f>
        <v>4</v>
      </c>
      <c r="D68" s="49">
        <f>AVERAGE('24.8 Kampala-Luweero'!D68,'25.8 Kampala-Luweero 24Hrs'!D68)</f>
        <v>1</v>
      </c>
      <c r="E68" s="49">
        <f>AVERAGE('24.8 Kampala-Luweero'!E68,'25.8 Kampala-Luweero 24Hrs'!E68)</f>
        <v>3</v>
      </c>
      <c r="F68" s="49">
        <f>AVERAGE('24.8 Kampala-Luweero'!F68,'25.8 Kampala-Luweero 24Hrs'!F68)</f>
        <v>3</v>
      </c>
      <c r="G68" s="49">
        <f>AVERAGE('24.8 Kampala-Luweero'!G68,'25.8 Kampala-Luweero 24Hrs'!G68)</f>
        <v>2</v>
      </c>
      <c r="H68" s="49">
        <f>AVERAGE('24.8 Kampala-Luweero'!H68,'25.8 Kampala-Luweero 24Hrs'!H68)</f>
        <v>3</v>
      </c>
      <c r="I68" s="49">
        <f>AVERAGE('24.8 Kampala-Luweero'!I68,'25.8 Kampala-Luweero 24Hrs'!I68)</f>
        <v>8</v>
      </c>
      <c r="J68" s="49">
        <f>AVERAGE('24.8 Kampala-Luweero'!J68,'25.8 Kampala-Luweero 24Hrs'!J68)</f>
        <v>0</v>
      </c>
      <c r="K68" s="49">
        <f>AVERAGE('24.8 Kampala-Luweero'!K68,'25.8 Kampala-Luweero 24Hrs'!K68)</f>
        <v>2</v>
      </c>
      <c r="L68" s="49">
        <f>AVERAGE('24.8 Kampala-Luweero'!L68,'25.8 Kampala-Luweero 24Hrs'!L68)</f>
        <v>2</v>
      </c>
      <c r="M68" s="49">
        <f>AVERAGE('24.8 Kampala-Luweero'!M68,'25.8 Kampala-Luweero 24Hrs'!M68)</f>
        <v>17</v>
      </c>
      <c r="N68" s="49">
        <f>AVERAGE('24.8 Kampala-Luweero'!N68,'25.8 Kampala-Luweero 24Hrs'!N68)</f>
        <v>0</v>
      </c>
      <c r="O68" s="15">
        <f t="shared" si="0"/>
        <v>28</v>
      </c>
      <c r="P68" s="15">
        <f t="shared" si="1"/>
        <v>45</v>
      </c>
      <c r="R68" s="8"/>
      <c r="T68"/>
    </row>
    <row r="69" spans="2:20" ht="23.1" customHeight="1" x14ac:dyDescent="0.25">
      <c r="B69" s="23" t="s">
        <v>106</v>
      </c>
      <c r="C69" s="49">
        <f>AVERAGE('24.8 Kampala-Luweero'!C69,'25.8 Kampala-Luweero 24Hrs'!C69)</f>
        <v>2</v>
      </c>
      <c r="D69" s="49">
        <f>AVERAGE('24.8 Kampala-Luweero'!D69,'25.8 Kampala-Luweero 24Hrs'!D69)</f>
        <v>1</v>
      </c>
      <c r="E69" s="49">
        <f>AVERAGE('24.8 Kampala-Luweero'!E69,'25.8 Kampala-Luweero 24Hrs'!E69)</f>
        <v>2</v>
      </c>
      <c r="F69" s="49">
        <f>AVERAGE('24.8 Kampala-Luweero'!F69,'25.8 Kampala-Luweero 24Hrs'!F69)</f>
        <v>5</v>
      </c>
      <c r="G69" s="49">
        <f>AVERAGE('24.8 Kampala-Luweero'!G69,'25.8 Kampala-Luweero 24Hrs'!G69)</f>
        <v>0</v>
      </c>
      <c r="H69" s="49">
        <f>AVERAGE('24.8 Kampala-Luweero'!H69,'25.8 Kampala-Luweero 24Hrs'!H69)</f>
        <v>1</v>
      </c>
      <c r="I69" s="49">
        <f>AVERAGE('24.8 Kampala-Luweero'!I69,'25.8 Kampala-Luweero 24Hrs'!I69)</f>
        <v>5</v>
      </c>
      <c r="J69" s="49">
        <f>AVERAGE('24.8 Kampala-Luweero'!J69,'25.8 Kampala-Luweero 24Hrs'!J69)</f>
        <v>1</v>
      </c>
      <c r="K69" s="49">
        <f>AVERAGE('24.8 Kampala-Luweero'!K69,'25.8 Kampala-Luweero 24Hrs'!K69)</f>
        <v>0</v>
      </c>
      <c r="L69" s="49">
        <f>AVERAGE('24.8 Kampala-Luweero'!L69,'25.8 Kampala-Luweero 24Hrs'!L69)</f>
        <v>4</v>
      </c>
      <c r="M69" s="49">
        <f>AVERAGE('24.8 Kampala-Luweero'!M69,'25.8 Kampala-Luweero 24Hrs'!M69)</f>
        <v>14</v>
      </c>
      <c r="N69" s="49">
        <f>AVERAGE('24.8 Kampala-Luweero'!N69,'25.8 Kampala-Luweero 24Hrs'!N69)</f>
        <v>0</v>
      </c>
      <c r="O69" s="15">
        <f t="shared" si="0"/>
        <v>21</v>
      </c>
      <c r="P69" s="15">
        <f t="shared" si="1"/>
        <v>35</v>
      </c>
      <c r="R69" s="8"/>
      <c r="T69"/>
    </row>
    <row r="70" spans="2:20" ht="23.1" customHeight="1" x14ac:dyDescent="0.25">
      <c r="B70" s="23" t="s">
        <v>110</v>
      </c>
      <c r="C70" s="49">
        <f>AVERAGE('24.8 Kampala-Luweero'!C70,'25.8 Kampala-Luweero 24Hrs'!C70)</f>
        <v>3</v>
      </c>
      <c r="D70" s="49">
        <f>AVERAGE('24.8 Kampala-Luweero'!D70,'25.8 Kampala-Luweero 24Hrs'!D70)</f>
        <v>0</v>
      </c>
      <c r="E70" s="49">
        <f>AVERAGE('24.8 Kampala-Luweero'!E70,'25.8 Kampala-Luweero 24Hrs'!E70)</f>
        <v>3</v>
      </c>
      <c r="F70" s="49">
        <f>AVERAGE('24.8 Kampala-Luweero'!F70,'25.8 Kampala-Luweero 24Hrs'!F70)</f>
        <v>2</v>
      </c>
      <c r="G70" s="49">
        <f>AVERAGE('24.8 Kampala-Luweero'!G70,'25.8 Kampala-Luweero 24Hrs'!G70)</f>
        <v>1</v>
      </c>
      <c r="H70" s="49">
        <f>AVERAGE('24.8 Kampala-Luweero'!H70,'25.8 Kampala-Luweero 24Hrs'!H70)</f>
        <v>1</v>
      </c>
      <c r="I70" s="49">
        <f>AVERAGE('24.8 Kampala-Luweero'!I70,'25.8 Kampala-Luweero 24Hrs'!I70)</f>
        <v>3</v>
      </c>
      <c r="J70" s="49">
        <f>AVERAGE('24.8 Kampala-Luweero'!J70,'25.8 Kampala-Luweero 24Hrs'!J70)</f>
        <v>0</v>
      </c>
      <c r="K70" s="49">
        <f>AVERAGE('24.8 Kampala-Luweero'!K70,'25.8 Kampala-Luweero 24Hrs'!K70)</f>
        <v>2</v>
      </c>
      <c r="L70" s="49">
        <f>AVERAGE('24.8 Kampala-Luweero'!L70,'25.8 Kampala-Luweero 24Hrs'!L70)</f>
        <v>1</v>
      </c>
      <c r="M70" s="49">
        <f>AVERAGE('24.8 Kampala-Luweero'!M70,'25.8 Kampala-Luweero 24Hrs'!M70)</f>
        <v>13</v>
      </c>
      <c r="N70" s="49">
        <f>AVERAGE('24.8 Kampala-Luweero'!N70,'25.8 Kampala-Luweero 24Hrs'!N70)</f>
        <v>0</v>
      </c>
      <c r="O70" s="15">
        <f t="shared" si="0"/>
        <v>16</v>
      </c>
      <c r="P70" s="15">
        <f t="shared" si="1"/>
        <v>29</v>
      </c>
      <c r="R70" s="8"/>
      <c r="T70"/>
    </row>
    <row r="71" spans="2:20" ht="23.1" customHeight="1" x14ac:dyDescent="0.25">
      <c r="B71" s="23" t="s">
        <v>111</v>
      </c>
      <c r="C71" s="49">
        <f>AVERAGE('24.8 Kampala-Luweero'!C71,'25.8 Kampala-Luweero 24Hrs'!C71)</f>
        <v>1</v>
      </c>
      <c r="D71" s="49">
        <f>AVERAGE('24.8 Kampala-Luweero'!D71,'25.8 Kampala-Luweero 24Hrs'!D71)</f>
        <v>0</v>
      </c>
      <c r="E71" s="49">
        <f>AVERAGE('24.8 Kampala-Luweero'!E71,'25.8 Kampala-Luweero 24Hrs'!E71)</f>
        <v>1</v>
      </c>
      <c r="F71" s="49">
        <f>AVERAGE('24.8 Kampala-Luweero'!F71,'25.8 Kampala-Luweero 24Hrs'!F71)</f>
        <v>5</v>
      </c>
      <c r="G71" s="49">
        <f>AVERAGE('24.8 Kampala-Luweero'!G71,'25.8 Kampala-Luweero 24Hrs'!G71)</f>
        <v>1</v>
      </c>
      <c r="H71" s="49">
        <f>AVERAGE('24.8 Kampala-Luweero'!H71,'25.8 Kampala-Luweero 24Hrs'!H71)</f>
        <v>0</v>
      </c>
      <c r="I71" s="49">
        <f>AVERAGE('24.8 Kampala-Luweero'!I71,'25.8 Kampala-Luweero 24Hrs'!I71)</f>
        <v>3</v>
      </c>
      <c r="J71" s="49">
        <f>AVERAGE('24.8 Kampala-Luweero'!J71,'25.8 Kampala-Luweero 24Hrs'!J71)</f>
        <v>0</v>
      </c>
      <c r="K71" s="49">
        <f>AVERAGE('24.8 Kampala-Luweero'!K71,'25.8 Kampala-Luweero 24Hrs'!K71)</f>
        <v>0</v>
      </c>
      <c r="L71" s="49">
        <f>AVERAGE('24.8 Kampala-Luweero'!L71,'25.8 Kampala-Luweero 24Hrs'!L71)</f>
        <v>0</v>
      </c>
      <c r="M71" s="49">
        <f>AVERAGE('24.8 Kampala-Luweero'!M71,'25.8 Kampala-Luweero 24Hrs'!M71)</f>
        <v>10</v>
      </c>
      <c r="N71" s="49">
        <f>AVERAGE('24.8 Kampala-Luweero'!N71,'25.8 Kampala-Luweero 24Hrs'!N71)</f>
        <v>0</v>
      </c>
      <c r="O71" s="15">
        <f t="shared" si="0"/>
        <v>11</v>
      </c>
      <c r="P71" s="15">
        <f t="shared" si="1"/>
        <v>21</v>
      </c>
      <c r="R71" s="8"/>
      <c r="T71"/>
    </row>
    <row r="72" spans="2:20" ht="23.1" customHeight="1" x14ac:dyDescent="0.25">
      <c r="B72" s="23" t="s">
        <v>112</v>
      </c>
      <c r="C72" s="49">
        <f>AVERAGE('24.8 Kampala-Luweero'!C72,'25.8 Kampala-Luweero 24Hrs'!C72)</f>
        <v>2</v>
      </c>
      <c r="D72" s="49">
        <f>AVERAGE('24.8 Kampala-Luweero'!D72,'25.8 Kampala-Luweero 24Hrs'!D72)</f>
        <v>0</v>
      </c>
      <c r="E72" s="49">
        <f>AVERAGE('24.8 Kampala-Luweero'!E72,'25.8 Kampala-Luweero 24Hrs'!E72)</f>
        <v>3</v>
      </c>
      <c r="F72" s="49">
        <f>AVERAGE('24.8 Kampala-Luweero'!F72,'25.8 Kampala-Luweero 24Hrs'!F72)</f>
        <v>3</v>
      </c>
      <c r="G72" s="49">
        <f>AVERAGE('24.8 Kampala-Luweero'!G72,'25.8 Kampala-Luweero 24Hrs'!G72)</f>
        <v>2</v>
      </c>
      <c r="H72" s="49">
        <f>AVERAGE('24.8 Kampala-Luweero'!H72,'25.8 Kampala-Luweero 24Hrs'!H72)</f>
        <v>3</v>
      </c>
      <c r="I72" s="49">
        <f>AVERAGE('24.8 Kampala-Luweero'!I72,'25.8 Kampala-Luweero 24Hrs'!I72)</f>
        <v>2</v>
      </c>
      <c r="J72" s="49">
        <f>AVERAGE('24.8 Kampala-Luweero'!J72,'25.8 Kampala-Luweero 24Hrs'!J72)</f>
        <v>0</v>
      </c>
      <c r="K72" s="49">
        <f>AVERAGE('24.8 Kampala-Luweero'!K72,'25.8 Kampala-Luweero 24Hrs'!K72)</f>
        <v>0</v>
      </c>
      <c r="L72" s="49">
        <f>AVERAGE('24.8 Kampala-Luweero'!L72,'25.8 Kampala-Luweero 24Hrs'!L72)</f>
        <v>2</v>
      </c>
      <c r="M72" s="49">
        <f>AVERAGE('24.8 Kampala-Luweero'!M72,'25.8 Kampala-Luweero 24Hrs'!M72)</f>
        <v>7</v>
      </c>
      <c r="N72" s="49">
        <f>AVERAGE('24.8 Kampala-Luweero'!N72,'25.8 Kampala-Luweero 24Hrs'!N72)</f>
        <v>0</v>
      </c>
      <c r="O72" s="15">
        <f t="shared" si="0"/>
        <v>17</v>
      </c>
      <c r="P72" s="15">
        <f t="shared" si="1"/>
        <v>24</v>
      </c>
      <c r="R72" s="8"/>
      <c r="T72"/>
    </row>
    <row r="73" spans="2:20" ht="23.1" customHeight="1" x14ac:dyDescent="0.25">
      <c r="B73" s="23" t="s">
        <v>113</v>
      </c>
      <c r="C73" s="49">
        <f>AVERAGE('24.8 Kampala-Luweero'!C73,'25.8 Kampala-Luweero 24Hrs'!C73)</f>
        <v>2</v>
      </c>
      <c r="D73" s="49">
        <f>AVERAGE('24.8 Kampala-Luweero'!D73,'25.8 Kampala-Luweero 24Hrs'!D73)</f>
        <v>1</v>
      </c>
      <c r="E73" s="49">
        <f>AVERAGE('24.8 Kampala-Luweero'!E73,'25.8 Kampala-Luweero 24Hrs'!E73)</f>
        <v>2</v>
      </c>
      <c r="F73" s="49">
        <f>AVERAGE('24.8 Kampala-Luweero'!F73,'25.8 Kampala-Luweero 24Hrs'!F73)</f>
        <v>3</v>
      </c>
      <c r="G73" s="49">
        <f>AVERAGE('24.8 Kampala-Luweero'!G73,'25.8 Kampala-Luweero 24Hrs'!G73)</f>
        <v>0</v>
      </c>
      <c r="H73" s="49">
        <f>AVERAGE('24.8 Kampala-Luweero'!H73,'25.8 Kampala-Luweero 24Hrs'!H73)</f>
        <v>1</v>
      </c>
      <c r="I73" s="49">
        <f>AVERAGE('24.8 Kampala-Luweero'!I73,'25.8 Kampala-Luweero 24Hrs'!I73)</f>
        <v>5</v>
      </c>
      <c r="J73" s="49">
        <f>AVERAGE('24.8 Kampala-Luweero'!J73,'25.8 Kampala-Luweero 24Hrs'!J73)</f>
        <v>1</v>
      </c>
      <c r="K73" s="49">
        <f>AVERAGE('24.8 Kampala-Luweero'!K73,'25.8 Kampala-Luweero 24Hrs'!K73)</f>
        <v>0</v>
      </c>
      <c r="L73" s="49">
        <f>AVERAGE('24.8 Kampala-Luweero'!L73,'25.8 Kampala-Luweero 24Hrs'!L73)</f>
        <v>4</v>
      </c>
      <c r="M73" s="49">
        <f>AVERAGE('24.8 Kampala-Luweero'!M73,'25.8 Kampala-Luweero 24Hrs'!M73)</f>
        <v>4</v>
      </c>
      <c r="N73" s="49">
        <f>AVERAGE('24.8 Kampala-Luweero'!N73,'25.8 Kampala-Luweero 24Hrs'!N73)</f>
        <v>0</v>
      </c>
      <c r="O73" s="15">
        <f t="shared" si="0"/>
        <v>19</v>
      </c>
      <c r="P73" s="15">
        <f t="shared" si="1"/>
        <v>23</v>
      </c>
      <c r="R73" s="8"/>
      <c r="T73"/>
    </row>
    <row r="74" spans="2:20" ht="23.1" customHeight="1" x14ac:dyDescent="0.25">
      <c r="B74" s="23" t="s">
        <v>114</v>
      </c>
      <c r="C74" s="49">
        <f>AVERAGE('24.8 Kampala-Luweero'!C74,'25.8 Kampala-Luweero 24Hrs'!C74)</f>
        <v>2</v>
      </c>
      <c r="D74" s="49">
        <f>AVERAGE('24.8 Kampala-Luweero'!D74,'25.8 Kampala-Luweero 24Hrs'!D74)</f>
        <v>0</v>
      </c>
      <c r="E74" s="49">
        <f>AVERAGE('24.8 Kampala-Luweero'!E74,'25.8 Kampala-Luweero 24Hrs'!E74)</f>
        <v>2</v>
      </c>
      <c r="F74" s="49">
        <f>AVERAGE('24.8 Kampala-Luweero'!F74,'25.8 Kampala-Luweero 24Hrs'!F74)</f>
        <v>0</v>
      </c>
      <c r="G74" s="49">
        <f>AVERAGE('24.8 Kampala-Luweero'!G74,'25.8 Kampala-Luweero 24Hrs'!G74)</f>
        <v>1</v>
      </c>
      <c r="H74" s="49">
        <f>AVERAGE('24.8 Kampala-Luweero'!H74,'25.8 Kampala-Luweero 24Hrs'!H74)</f>
        <v>1</v>
      </c>
      <c r="I74" s="49">
        <f>AVERAGE('24.8 Kampala-Luweero'!I74,'25.8 Kampala-Luweero 24Hrs'!I74)</f>
        <v>3</v>
      </c>
      <c r="J74" s="49">
        <f>AVERAGE('24.8 Kampala-Luweero'!J74,'25.8 Kampala-Luweero 24Hrs'!J74)</f>
        <v>0</v>
      </c>
      <c r="K74" s="49">
        <f>AVERAGE('24.8 Kampala-Luweero'!K74,'25.8 Kampala-Luweero 24Hrs'!K74)</f>
        <v>0</v>
      </c>
      <c r="L74" s="49">
        <f>AVERAGE('24.8 Kampala-Luweero'!L74,'25.8 Kampala-Luweero 24Hrs'!L74)</f>
        <v>1</v>
      </c>
      <c r="M74" s="49">
        <f>AVERAGE('24.8 Kampala-Luweero'!M74,'25.8 Kampala-Luweero 24Hrs'!M74)</f>
        <v>5</v>
      </c>
      <c r="N74" s="49">
        <f>AVERAGE('24.8 Kampala-Luweero'!N74,'25.8 Kampala-Luweero 24Hrs'!N74)</f>
        <v>0</v>
      </c>
      <c r="O74" s="15">
        <f t="shared" ref="O74:O105" si="35">SUM(C74:L74,N74)</f>
        <v>10</v>
      </c>
      <c r="P74" s="15">
        <f t="shared" ref="P74:P105" si="36">SUM(C74:N74)</f>
        <v>15</v>
      </c>
      <c r="R74" s="8"/>
      <c r="T74"/>
    </row>
    <row r="75" spans="2:20" ht="23.1" customHeight="1" x14ac:dyDescent="0.25">
      <c r="B75" s="23" t="s">
        <v>115</v>
      </c>
      <c r="C75" s="49">
        <f>AVERAGE('24.8 Kampala-Luweero'!C75,'25.8 Kampala-Luweero 24Hrs'!C75)</f>
        <v>1</v>
      </c>
      <c r="D75" s="49">
        <f>AVERAGE('24.8 Kampala-Luweero'!D75,'25.8 Kampala-Luweero 24Hrs'!D75)</f>
        <v>0</v>
      </c>
      <c r="E75" s="49">
        <f>AVERAGE('24.8 Kampala-Luweero'!E75,'25.8 Kampala-Luweero 24Hrs'!E75)</f>
        <v>1</v>
      </c>
      <c r="F75" s="49">
        <f>AVERAGE('24.8 Kampala-Luweero'!F75,'25.8 Kampala-Luweero 24Hrs'!F75)</f>
        <v>1</v>
      </c>
      <c r="G75" s="49">
        <f>AVERAGE('24.8 Kampala-Luweero'!G75,'25.8 Kampala-Luweero 24Hrs'!G75)</f>
        <v>1</v>
      </c>
      <c r="H75" s="49">
        <f>AVERAGE('24.8 Kampala-Luweero'!H75,'25.8 Kampala-Luweero 24Hrs'!H75)</f>
        <v>0</v>
      </c>
      <c r="I75" s="49">
        <f>AVERAGE('24.8 Kampala-Luweero'!I75,'25.8 Kampala-Luweero 24Hrs'!I75)</f>
        <v>3</v>
      </c>
      <c r="J75" s="49">
        <f>AVERAGE('24.8 Kampala-Luweero'!J75,'25.8 Kampala-Luweero 24Hrs'!J75)</f>
        <v>0</v>
      </c>
      <c r="K75" s="49">
        <f>AVERAGE('24.8 Kampala-Luweero'!K75,'25.8 Kampala-Luweero 24Hrs'!K75)</f>
        <v>0</v>
      </c>
      <c r="L75" s="49">
        <f>AVERAGE('24.8 Kampala-Luweero'!L75,'25.8 Kampala-Luweero 24Hrs'!L75)</f>
        <v>0</v>
      </c>
      <c r="M75" s="49">
        <f>AVERAGE('24.8 Kampala-Luweero'!M75,'25.8 Kampala-Luweero 24Hrs'!M75)</f>
        <v>4</v>
      </c>
      <c r="N75" s="49">
        <f>AVERAGE('24.8 Kampala-Luweero'!N75,'25.8 Kampala-Luweero 24Hrs'!N75)</f>
        <v>0</v>
      </c>
      <c r="O75" s="15">
        <f t="shared" si="35"/>
        <v>7</v>
      </c>
      <c r="P75" s="15">
        <f t="shared" si="36"/>
        <v>11</v>
      </c>
      <c r="R75" s="8"/>
      <c r="T75"/>
    </row>
    <row r="76" spans="2:20" ht="23.1" customHeight="1" x14ac:dyDescent="0.25">
      <c r="B76" s="23" t="s">
        <v>116</v>
      </c>
      <c r="C76" s="49">
        <f>AVERAGE('24.8 Kampala-Luweero'!C76,'25.8 Kampala-Luweero 24Hrs'!C76)</f>
        <v>2</v>
      </c>
      <c r="D76" s="49">
        <f>AVERAGE('24.8 Kampala-Luweero'!D76,'25.8 Kampala-Luweero 24Hrs'!D76)</f>
        <v>0</v>
      </c>
      <c r="E76" s="49">
        <f>AVERAGE('24.8 Kampala-Luweero'!E76,'25.8 Kampala-Luweero 24Hrs'!E76)</f>
        <v>0</v>
      </c>
      <c r="F76" s="49">
        <f>AVERAGE('24.8 Kampala-Luweero'!F76,'25.8 Kampala-Luweero 24Hrs'!F76)</f>
        <v>1</v>
      </c>
      <c r="G76" s="49">
        <f>AVERAGE('24.8 Kampala-Luweero'!G76,'25.8 Kampala-Luweero 24Hrs'!G76)</f>
        <v>2</v>
      </c>
      <c r="H76" s="49">
        <f>AVERAGE('24.8 Kampala-Luweero'!H76,'25.8 Kampala-Luweero 24Hrs'!H76)</f>
        <v>3</v>
      </c>
      <c r="I76" s="49">
        <f>AVERAGE('24.8 Kampala-Luweero'!I76,'25.8 Kampala-Luweero 24Hrs'!I76)</f>
        <v>2</v>
      </c>
      <c r="J76" s="49">
        <f>AVERAGE('24.8 Kampala-Luweero'!J76,'25.8 Kampala-Luweero 24Hrs'!J76)</f>
        <v>0</v>
      </c>
      <c r="K76" s="49">
        <f>AVERAGE('24.8 Kampala-Luweero'!K76,'25.8 Kampala-Luweero 24Hrs'!K76)</f>
        <v>0</v>
      </c>
      <c r="L76" s="49">
        <f>AVERAGE('24.8 Kampala-Luweero'!L76,'25.8 Kampala-Luweero 24Hrs'!L76)</f>
        <v>2</v>
      </c>
      <c r="M76" s="49">
        <f>AVERAGE('24.8 Kampala-Luweero'!M76,'25.8 Kampala-Luweero 24Hrs'!M76)</f>
        <v>3</v>
      </c>
      <c r="N76" s="49">
        <f>AVERAGE('24.8 Kampala-Luweero'!N76,'25.8 Kampala-Luweero 24Hrs'!N76)</f>
        <v>0</v>
      </c>
      <c r="O76" s="15">
        <f t="shared" si="35"/>
        <v>12</v>
      </c>
      <c r="P76" s="15">
        <f t="shared" si="36"/>
        <v>15</v>
      </c>
      <c r="R76" s="8"/>
      <c r="T76"/>
    </row>
    <row r="77" spans="2:20" ht="23.1" customHeight="1" x14ac:dyDescent="0.25">
      <c r="B77" s="23" t="s">
        <v>117</v>
      </c>
      <c r="C77" s="49">
        <f>AVERAGE('24.8 Kampala-Luweero'!C77,'25.8 Kampala-Luweero 24Hrs'!C77)</f>
        <v>2</v>
      </c>
      <c r="D77" s="49">
        <f>AVERAGE('24.8 Kampala-Luweero'!D77,'25.8 Kampala-Luweero 24Hrs'!D77)</f>
        <v>0</v>
      </c>
      <c r="E77" s="49">
        <f>AVERAGE('24.8 Kampala-Luweero'!E77,'25.8 Kampala-Luweero 24Hrs'!E77)</f>
        <v>1</v>
      </c>
      <c r="F77" s="49">
        <f>AVERAGE('24.8 Kampala-Luweero'!F77,'25.8 Kampala-Luweero 24Hrs'!F77)</f>
        <v>0</v>
      </c>
      <c r="G77" s="49">
        <f>AVERAGE('24.8 Kampala-Luweero'!G77,'25.8 Kampala-Luweero 24Hrs'!G77)</f>
        <v>0</v>
      </c>
      <c r="H77" s="49">
        <f>AVERAGE('24.8 Kampala-Luweero'!H77,'25.8 Kampala-Luweero 24Hrs'!H77)</f>
        <v>1</v>
      </c>
      <c r="I77" s="49">
        <f>AVERAGE('24.8 Kampala-Luweero'!I77,'25.8 Kampala-Luweero 24Hrs'!I77)</f>
        <v>2</v>
      </c>
      <c r="J77" s="49">
        <f>AVERAGE('24.8 Kampala-Luweero'!J77,'25.8 Kampala-Luweero 24Hrs'!J77)</f>
        <v>1</v>
      </c>
      <c r="K77" s="49">
        <f>AVERAGE('24.8 Kampala-Luweero'!K77,'25.8 Kampala-Luweero 24Hrs'!K77)</f>
        <v>0</v>
      </c>
      <c r="L77" s="49">
        <f>AVERAGE('24.8 Kampala-Luweero'!L77,'25.8 Kampala-Luweero 24Hrs'!L77)</f>
        <v>4</v>
      </c>
      <c r="M77" s="49">
        <f>AVERAGE('24.8 Kampala-Luweero'!M77,'25.8 Kampala-Luweero 24Hrs'!M77)</f>
        <v>4</v>
      </c>
      <c r="N77" s="49">
        <f>AVERAGE('24.8 Kampala-Luweero'!N77,'25.8 Kampala-Luweero 24Hrs'!N77)</f>
        <v>0</v>
      </c>
      <c r="O77" s="15">
        <f t="shared" si="35"/>
        <v>11</v>
      </c>
      <c r="P77" s="15">
        <f t="shared" si="36"/>
        <v>15</v>
      </c>
      <c r="R77" s="8"/>
      <c r="T77"/>
    </row>
    <row r="78" spans="2:20" ht="23.1" customHeight="1" x14ac:dyDescent="0.25">
      <c r="B78" s="24" t="s">
        <v>118</v>
      </c>
      <c r="C78" s="49">
        <f>AVERAGE('24.8 Kampala-Luweero'!C78,'25.8 Kampala-Luweero 24Hrs'!C78)</f>
        <v>0</v>
      </c>
      <c r="D78" s="49">
        <f>AVERAGE('24.8 Kampala-Luweero'!D78,'25.8 Kampala-Luweero 24Hrs'!D78)</f>
        <v>0</v>
      </c>
      <c r="E78" s="49">
        <f>AVERAGE('24.8 Kampala-Luweero'!E78,'25.8 Kampala-Luweero 24Hrs'!E78)</f>
        <v>0</v>
      </c>
      <c r="F78" s="49">
        <f>AVERAGE('24.8 Kampala-Luweero'!F78,'25.8 Kampala-Luweero 24Hrs'!F78)</f>
        <v>1</v>
      </c>
      <c r="G78" s="49">
        <f>AVERAGE('24.8 Kampala-Luweero'!G78,'25.8 Kampala-Luweero 24Hrs'!G78)</f>
        <v>1</v>
      </c>
      <c r="H78" s="49">
        <f>AVERAGE('24.8 Kampala-Luweero'!H78,'25.8 Kampala-Luweero 24Hrs'!H78)</f>
        <v>1</v>
      </c>
      <c r="I78" s="49">
        <f>AVERAGE('24.8 Kampala-Luweero'!I78,'25.8 Kampala-Luweero 24Hrs'!I78)</f>
        <v>0</v>
      </c>
      <c r="J78" s="49">
        <f>AVERAGE('24.8 Kampala-Luweero'!J78,'25.8 Kampala-Luweero 24Hrs'!J78)</f>
        <v>0</v>
      </c>
      <c r="K78" s="49">
        <f>AVERAGE('24.8 Kampala-Luweero'!K78,'25.8 Kampala-Luweero 24Hrs'!K78)</f>
        <v>0</v>
      </c>
      <c r="L78" s="49">
        <f>AVERAGE('24.8 Kampala-Luweero'!L78,'25.8 Kampala-Luweero 24Hrs'!L78)</f>
        <v>1</v>
      </c>
      <c r="M78" s="49">
        <f>AVERAGE('24.8 Kampala-Luweero'!M78,'25.8 Kampala-Luweero 24Hrs'!M78)</f>
        <v>3</v>
      </c>
      <c r="N78" s="49">
        <f>AVERAGE('24.8 Kampala-Luweero'!N78,'25.8 Kampala-Luweero 24Hrs'!N78)</f>
        <v>0</v>
      </c>
      <c r="O78" s="15">
        <f t="shared" si="35"/>
        <v>4</v>
      </c>
      <c r="P78" s="15">
        <f t="shared" si="36"/>
        <v>7</v>
      </c>
      <c r="R78" s="8"/>
      <c r="T78"/>
    </row>
    <row r="79" spans="2:20" ht="23.1" customHeight="1" x14ac:dyDescent="0.25">
      <c r="B79" s="23" t="s">
        <v>119</v>
      </c>
      <c r="C79" s="49">
        <f>AVERAGE('24.8 Kampala-Luweero'!C79,'25.8 Kampala-Luweero 24Hrs'!C79)</f>
        <v>1</v>
      </c>
      <c r="D79" s="49">
        <f>AVERAGE('24.8 Kampala-Luweero'!D79,'25.8 Kampala-Luweero 24Hrs'!D79)</f>
        <v>0</v>
      </c>
      <c r="E79" s="49">
        <f>AVERAGE('24.8 Kampala-Luweero'!E79,'25.8 Kampala-Luweero 24Hrs'!E79)</f>
        <v>2</v>
      </c>
      <c r="F79" s="49">
        <f>AVERAGE('24.8 Kampala-Luweero'!F79,'25.8 Kampala-Luweero 24Hrs'!F79)</f>
        <v>0</v>
      </c>
      <c r="G79" s="49">
        <f>AVERAGE('24.8 Kampala-Luweero'!G79,'25.8 Kampala-Luweero 24Hrs'!G79)</f>
        <v>1</v>
      </c>
      <c r="H79" s="49">
        <f>AVERAGE('24.8 Kampala-Luweero'!H79,'25.8 Kampala-Luweero 24Hrs'!H79)</f>
        <v>0</v>
      </c>
      <c r="I79" s="49">
        <f>AVERAGE('24.8 Kampala-Luweero'!I79,'25.8 Kampala-Luweero 24Hrs'!I79)</f>
        <v>1</v>
      </c>
      <c r="J79" s="49">
        <f>AVERAGE('24.8 Kampala-Luweero'!J79,'25.8 Kampala-Luweero 24Hrs'!J79)</f>
        <v>0</v>
      </c>
      <c r="K79" s="49">
        <f>AVERAGE('24.8 Kampala-Luweero'!K79,'25.8 Kampala-Luweero 24Hrs'!K79)</f>
        <v>0</v>
      </c>
      <c r="L79" s="49">
        <f>AVERAGE('24.8 Kampala-Luweero'!L79,'25.8 Kampala-Luweero 24Hrs'!L79)</f>
        <v>0</v>
      </c>
      <c r="M79" s="49">
        <f>AVERAGE('24.8 Kampala-Luweero'!M79,'25.8 Kampala-Luweero 24Hrs'!M79)</f>
        <v>4</v>
      </c>
      <c r="N79" s="49">
        <f>AVERAGE('24.8 Kampala-Luweero'!N79,'25.8 Kampala-Luweero 24Hrs'!N79)</f>
        <v>0</v>
      </c>
      <c r="O79" s="15">
        <f t="shared" si="35"/>
        <v>5</v>
      </c>
      <c r="P79" s="15">
        <f t="shared" si="36"/>
        <v>9</v>
      </c>
      <c r="R79" s="8"/>
      <c r="T79"/>
    </row>
    <row r="80" spans="2:20" ht="23.1" customHeight="1" x14ac:dyDescent="0.25">
      <c r="B80" s="25" t="s">
        <v>120</v>
      </c>
      <c r="C80" s="49">
        <f>AVERAGE('24.8 Kampala-Luweero'!C80,'25.8 Kampala-Luweero 24Hrs'!C80)</f>
        <v>1</v>
      </c>
      <c r="D80" s="49">
        <f>AVERAGE('24.8 Kampala-Luweero'!D80,'25.8 Kampala-Luweero 24Hrs'!D80)</f>
        <v>1</v>
      </c>
      <c r="E80" s="49">
        <f>AVERAGE('24.8 Kampala-Luweero'!E80,'25.8 Kampala-Luweero 24Hrs'!E80)</f>
        <v>0</v>
      </c>
      <c r="F80" s="49">
        <f>AVERAGE('24.8 Kampala-Luweero'!F80,'25.8 Kampala-Luweero 24Hrs'!F80)</f>
        <v>1</v>
      </c>
      <c r="G80" s="49">
        <f>AVERAGE('24.8 Kampala-Luweero'!G80,'25.8 Kampala-Luweero 24Hrs'!G80)</f>
        <v>2</v>
      </c>
      <c r="H80" s="49">
        <f>AVERAGE('24.8 Kampala-Luweero'!H80,'25.8 Kampala-Luweero 24Hrs'!H80)</f>
        <v>2</v>
      </c>
      <c r="I80" s="49">
        <f>AVERAGE('24.8 Kampala-Luweero'!I80,'25.8 Kampala-Luweero 24Hrs'!I80)</f>
        <v>2</v>
      </c>
      <c r="J80" s="49">
        <f>AVERAGE('24.8 Kampala-Luweero'!J80,'25.8 Kampala-Luweero 24Hrs'!J80)</f>
        <v>0</v>
      </c>
      <c r="K80" s="49">
        <f>AVERAGE('24.8 Kampala-Luweero'!K80,'25.8 Kampala-Luweero 24Hrs'!K80)</f>
        <v>0</v>
      </c>
      <c r="L80" s="49">
        <f>AVERAGE('24.8 Kampala-Luweero'!L80,'25.8 Kampala-Luweero 24Hrs'!L80)</f>
        <v>2</v>
      </c>
      <c r="M80" s="49">
        <f>AVERAGE('24.8 Kampala-Luweero'!M80,'25.8 Kampala-Luweero 24Hrs'!M80)</f>
        <v>2</v>
      </c>
      <c r="N80" s="49">
        <f>AVERAGE('24.8 Kampala-Luweero'!N80,'25.8 Kampala-Luweero 24Hrs'!N80)</f>
        <v>0</v>
      </c>
      <c r="O80" s="15">
        <f t="shared" si="35"/>
        <v>11</v>
      </c>
      <c r="P80" s="15">
        <f t="shared" si="36"/>
        <v>13</v>
      </c>
      <c r="R80" s="8"/>
      <c r="T80"/>
    </row>
    <row r="81" spans="2:20" ht="23.1" customHeight="1" x14ac:dyDescent="0.25">
      <c r="B81" s="23" t="s">
        <v>121</v>
      </c>
      <c r="C81" s="49">
        <f>AVERAGE('24.8 Kampala-Luweero'!C81,'25.8 Kampala-Luweero 24Hrs'!C81)</f>
        <v>2</v>
      </c>
      <c r="D81" s="49">
        <f>AVERAGE('24.8 Kampala-Luweero'!D81,'25.8 Kampala-Luweero 24Hrs'!D81)</f>
        <v>2</v>
      </c>
      <c r="E81" s="49">
        <f>AVERAGE('24.8 Kampala-Luweero'!E81,'25.8 Kampala-Luweero 24Hrs'!E81)</f>
        <v>1</v>
      </c>
      <c r="F81" s="49">
        <f>AVERAGE('24.8 Kampala-Luweero'!F81,'25.8 Kampala-Luweero 24Hrs'!F81)</f>
        <v>0</v>
      </c>
      <c r="G81" s="49">
        <f>AVERAGE('24.8 Kampala-Luweero'!G81,'25.8 Kampala-Luweero 24Hrs'!G81)</f>
        <v>0</v>
      </c>
      <c r="H81" s="49">
        <f>AVERAGE('24.8 Kampala-Luweero'!H81,'25.8 Kampala-Luweero 24Hrs'!H81)</f>
        <v>1</v>
      </c>
      <c r="I81" s="49">
        <f>AVERAGE('24.8 Kampala-Luweero'!I81,'25.8 Kampala-Luweero 24Hrs'!I81)</f>
        <v>2</v>
      </c>
      <c r="J81" s="49">
        <f>AVERAGE('24.8 Kampala-Luweero'!J81,'25.8 Kampala-Luweero 24Hrs'!J81)</f>
        <v>1</v>
      </c>
      <c r="K81" s="49">
        <f>AVERAGE('24.8 Kampala-Luweero'!K81,'25.8 Kampala-Luweero 24Hrs'!K81)</f>
        <v>0</v>
      </c>
      <c r="L81" s="49">
        <f>AVERAGE('24.8 Kampala-Luweero'!L81,'25.8 Kampala-Luweero 24Hrs'!L81)</f>
        <v>4</v>
      </c>
      <c r="M81" s="49">
        <f>AVERAGE('24.8 Kampala-Luweero'!M81,'25.8 Kampala-Luweero 24Hrs'!M81)</f>
        <v>4</v>
      </c>
      <c r="N81" s="49">
        <f>AVERAGE('24.8 Kampala-Luweero'!N81,'25.8 Kampala-Luweero 24Hrs'!N81)</f>
        <v>0</v>
      </c>
      <c r="O81" s="15">
        <f t="shared" si="35"/>
        <v>13</v>
      </c>
      <c r="P81" s="15">
        <f t="shared" si="36"/>
        <v>17</v>
      </c>
      <c r="R81" s="8"/>
      <c r="T81"/>
    </row>
    <row r="82" spans="2:20" ht="23.1" customHeight="1" x14ac:dyDescent="0.25">
      <c r="B82" s="24" t="s">
        <v>122</v>
      </c>
      <c r="C82" s="49">
        <f>AVERAGE('24.8 Kampala-Luweero'!C82,'25.8 Kampala-Luweero 24Hrs'!C82)</f>
        <v>0</v>
      </c>
      <c r="D82" s="49">
        <f>AVERAGE('24.8 Kampala-Luweero'!D82,'25.8 Kampala-Luweero 24Hrs'!D82)</f>
        <v>0</v>
      </c>
      <c r="E82" s="49">
        <f>AVERAGE('24.8 Kampala-Luweero'!E82,'25.8 Kampala-Luweero 24Hrs'!E82)</f>
        <v>0</v>
      </c>
      <c r="F82" s="49">
        <f>AVERAGE('24.8 Kampala-Luweero'!F82,'25.8 Kampala-Luweero 24Hrs'!F82)</f>
        <v>1</v>
      </c>
      <c r="G82" s="49">
        <f>AVERAGE('24.8 Kampala-Luweero'!G82,'25.8 Kampala-Luweero 24Hrs'!G82)</f>
        <v>1</v>
      </c>
      <c r="H82" s="49">
        <f>AVERAGE('24.8 Kampala-Luweero'!H82,'25.8 Kampala-Luweero 24Hrs'!H82)</f>
        <v>1</v>
      </c>
      <c r="I82" s="49">
        <f>AVERAGE('24.8 Kampala-Luweero'!I82,'25.8 Kampala-Luweero 24Hrs'!I82)</f>
        <v>0</v>
      </c>
      <c r="J82" s="49">
        <f>AVERAGE('24.8 Kampala-Luweero'!J82,'25.8 Kampala-Luweero 24Hrs'!J82)</f>
        <v>0</v>
      </c>
      <c r="K82" s="49">
        <f>AVERAGE('24.8 Kampala-Luweero'!K82,'25.8 Kampala-Luweero 24Hrs'!K82)</f>
        <v>0</v>
      </c>
      <c r="L82" s="49">
        <f>AVERAGE('24.8 Kampala-Luweero'!L82,'25.8 Kampala-Luweero 24Hrs'!L82)</f>
        <v>1</v>
      </c>
      <c r="M82" s="49">
        <f>AVERAGE('24.8 Kampala-Luweero'!M82,'25.8 Kampala-Luweero 24Hrs'!M82)</f>
        <v>2</v>
      </c>
      <c r="N82" s="49">
        <f>AVERAGE('24.8 Kampala-Luweero'!N82,'25.8 Kampala-Luweero 24Hrs'!N82)</f>
        <v>0</v>
      </c>
      <c r="O82" s="15">
        <f t="shared" si="35"/>
        <v>4</v>
      </c>
      <c r="P82" s="15">
        <f t="shared" si="36"/>
        <v>6</v>
      </c>
      <c r="R82" s="8"/>
      <c r="T82"/>
    </row>
    <row r="83" spans="2:20" ht="23.1" customHeight="1" x14ac:dyDescent="0.25">
      <c r="B83" s="23" t="s">
        <v>123</v>
      </c>
      <c r="C83" s="49">
        <f>AVERAGE('24.8 Kampala-Luweero'!C83,'25.8 Kampala-Luweero 24Hrs'!C83)</f>
        <v>1</v>
      </c>
      <c r="D83" s="49">
        <f>AVERAGE('24.8 Kampala-Luweero'!D83,'25.8 Kampala-Luweero 24Hrs'!D83)</f>
        <v>1</v>
      </c>
      <c r="E83" s="49">
        <f>AVERAGE('24.8 Kampala-Luweero'!E83,'25.8 Kampala-Luweero 24Hrs'!E83)</f>
        <v>2</v>
      </c>
      <c r="F83" s="49">
        <f>AVERAGE('24.8 Kampala-Luweero'!F83,'25.8 Kampala-Luweero 24Hrs'!F83)</f>
        <v>0</v>
      </c>
      <c r="G83" s="49">
        <f>AVERAGE('24.8 Kampala-Luweero'!G83,'25.8 Kampala-Luweero 24Hrs'!G83)</f>
        <v>1</v>
      </c>
      <c r="H83" s="49">
        <f>AVERAGE('24.8 Kampala-Luweero'!H83,'25.8 Kampala-Luweero 24Hrs'!H83)</f>
        <v>0</v>
      </c>
      <c r="I83" s="49">
        <f>AVERAGE('24.8 Kampala-Luweero'!I83,'25.8 Kampala-Luweero 24Hrs'!I83)</f>
        <v>1</v>
      </c>
      <c r="J83" s="49">
        <f>AVERAGE('24.8 Kampala-Luweero'!J83,'25.8 Kampala-Luweero 24Hrs'!J83)</f>
        <v>0</v>
      </c>
      <c r="K83" s="49">
        <f>AVERAGE('24.8 Kampala-Luweero'!K83,'25.8 Kampala-Luweero 24Hrs'!K83)</f>
        <v>0</v>
      </c>
      <c r="L83" s="49">
        <f>AVERAGE('24.8 Kampala-Luweero'!L83,'25.8 Kampala-Luweero 24Hrs'!L83)</f>
        <v>0</v>
      </c>
      <c r="M83" s="49">
        <f>AVERAGE('24.8 Kampala-Luweero'!M83,'25.8 Kampala-Luweero 24Hrs'!M83)</f>
        <v>1</v>
      </c>
      <c r="N83" s="49">
        <f>AVERAGE('24.8 Kampala-Luweero'!N83,'25.8 Kampala-Luweero 24Hrs'!N83)</f>
        <v>0</v>
      </c>
      <c r="O83" s="15">
        <f t="shared" si="35"/>
        <v>6</v>
      </c>
      <c r="P83" s="15">
        <f t="shared" si="36"/>
        <v>7</v>
      </c>
      <c r="R83" s="8"/>
      <c r="T83"/>
    </row>
    <row r="84" spans="2:20" ht="23.1" customHeight="1" x14ac:dyDescent="0.25">
      <c r="B84" s="25" t="s">
        <v>124</v>
      </c>
      <c r="C84" s="49">
        <f>AVERAGE('24.8 Kampala-Luweero'!C84,'25.8 Kampala-Luweero 24Hrs'!C84)</f>
        <v>1</v>
      </c>
      <c r="D84" s="49">
        <f>AVERAGE('24.8 Kampala-Luweero'!D84,'25.8 Kampala-Luweero 24Hrs'!D84)</f>
        <v>0</v>
      </c>
      <c r="E84" s="49">
        <f>AVERAGE('24.8 Kampala-Luweero'!E84,'25.8 Kampala-Luweero 24Hrs'!E84)</f>
        <v>0</v>
      </c>
      <c r="F84" s="49">
        <f>AVERAGE('24.8 Kampala-Luweero'!F84,'25.8 Kampala-Luweero 24Hrs'!F84)</f>
        <v>1</v>
      </c>
      <c r="G84" s="49">
        <f>AVERAGE('24.8 Kampala-Luweero'!G84,'25.8 Kampala-Luweero 24Hrs'!G84)</f>
        <v>0</v>
      </c>
      <c r="H84" s="49">
        <f>AVERAGE('24.8 Kampala-Luweero'!H84,'25.8 Kampala-Luweero 24Hrs'!H84)</f>
        <v>0</v>
      </c>
      <c r="I84" s="49">
        <f>AVERAGE('24.8 Kampala-Luweero'!I84,'25.8 Kampala-Luweero 24Hrs'!I84)</f>
        <v>1</v>
      </c>
      <c r="J84" s="49">
        <f>AVERAGE('24.8 Kampala-Luweero'!J84,'25.8 Kampala-Luweero 24Hrs'!J84)</f>
        <v>0</v>
      </c>
      <c r="K84" s="49">
        <f>AVERAGE('24.8 Kampala-Luweero'!K84,'25.8 Kampala-Luweero 24Hrs'!K84)</f>
        <v>0</v>
      </c>
      <c r="L84" s="49">
        <f>AVERAGE('24.8 Kampala-Luweero'!L84,'25.8 Kampala-Luweero 24Hrs'!L84)</f>
        <v>1</v>
      </c>
      <c r="M84" s="49">
        <f>AVERAGE('24.8 Kampala-Luweero'!M84,'25.8 Kampala-Luweero 24Hrs'!M84)</f>
        <v>2</v>
      </c>
      <c r="N84" s="49">
        <f>AVERAGE('24.8 Kampala-Luweero'!N84,'25.8 Kampala-Luweero 24Hrs'!N84)</f>
        <v>0</v>
      </c>
      <c r="O84" s="15">
        <f t="shared" si="35"/>
        <v>4</v>
      </c>
      <c r="P84" s="15">
        <f t="shared" si="36"/>
        <v>6</v>
      </c>
      <c r="R84" s="8"/>
      <c r="T84"/>
    </row>
    <row r="85" spans="2:20" ht="23.1" customHeight="1" x14ac:dyDescent="0.25">
      <c r="B85" s="23" t="s">
        <v>125</v>
      </c>
      <c r="C85" s="49">
        <f>AVERAGE('24.8 Kampala-Luweero'!C85,'25.8 Kampala-Luweero 24Hrs'!C85)</f>
        <v>2</v>
      </c>
      <c r="D85" s="49">
        <f>AVERAGE('24.8 Kampala-Luweero'!D85,'25.8 Kampala-Luweero 24Hrs'!D85)</f>
        <v>0</v>
      </c>
      <c r="E85" s="49">
        <f>AVERAGE('24.8 Kampala-Luweero'!E85,'25.8 Kampala-Luweero 24Hrs'!E85)</f>
        <v>1</v>
      </c>
      <c r="F85" s="49">
        <f>AVERAGE('24.8 Kampala-Luweero'!F85,'25.8 Kampala-Luweero 24Hrs'!F85)</f>
        <v>0</v>
      </c>
      <c r="G85" s="49">
        <f>AVERAGE('24.8 Kampala-Luweero'!G85,'25.8 Kampala-Luweero 24Hrs'!G85)</f>
        <v>0</v>
      </c>
      <c r="H85" s="49">
        <f>AVERAGE('24.8 Kampala-Luweero'!H85,'25.8 Kampala-Luweero 24Hrs'!H85)</f>
        <v>1</v>
      </c>
      <c r="I85" s="49">
        <f>AVERAGE('24.8 Kampala-Luweero'!I85,'25.8 Kampala-Luweero 24Hrs'!I85)</f>
        <v>2</v>
      </c>
      <c r="J85" s="49">
        <f>AVERAGE('24.8 Kampala-Luweero'!J85,'25.8 Kampala-Luweero 24Hrs'!J85)</f>
        <v>1</v>
      </c>
      <c r="K85" s="49">
        <f>AVERAGE('24.8 Kampala-Luweero'!K85,'25.8 Kampala-Luweero 24Hrs'!K85)</f>
        <v>0</v>
      </c>
      <c r="L85" s="49">
        <f>AVERAGE('24.8 Kampala-Luweero'!L85,'25.8 Kampala-Luweero 24Hrs'!L85)</f>
        <v>1</v>
      </c>
      <c r="M85" s="49">
        <f>AVERAGE('24.8 Kampala-Luweero'!M85,'25.8 Kampala-Luweero 24Hrs'!M85)</f>
        <v>0</v>
      </c>
      <c r="N85" s="49">
        <f>AVERAGE('24.8 Kampala-Luweero'!N85,'25.8 Kampala-Luweero 24Hrs'!N85)</f>
        <v>0</v>
      </c>
      <c r="O85" s="15">
        <f t="shared" si="35"/>
        <v>8</v>
      </c>
      <c r="P85" s="15">
        <f t="shared" si="36"/>
        <v>8</v>
      </c>
      <c r="R85" s="8"/>
      <c r="T85"/>
    </row>
    <row r="86" spans="2:20" ht="23.1" customHeight="1" x14ac:dyDescent="0.25">
      <c r="B86" s="24" t="s">
        <v>126</v>
      </c>
      <c r="C86" s="49">
        <f>AVERAGE('24.8 Kampala-Luweero'!C86,'25.8 Kampala-Luweero 24Hrs'!C86)</f>
        <v>0</v>
      </c>
      <c r="D86" s="49">
        <f>AVERAGE('24.8 Kampala-Luweero'!D86,'25.8 Kampala-Luweero 24Hrs'!D86)</f>
        <v>0</v>
      </c>
      <c r="E86" s="49">
        <f>AVERAGE('24.8 Kampala-Luweero'!E86,'25.8 Kampala-Luweero 24Hrs'!E86)</f>
        <v>0</v>
      </c>
      <c r="F86" s="49">
        <f>AVERAGE('24.8 Kampala-Luweero'!F86,'25.8 Kampala-Luweero 24Hrs'!F86)</f>
        <v>1</v>
      </c>
      <c r="G86" s="49">
        <f>AVERAGE('24.8 Kampala-Luweero'!G86,'25.8 Kampala-Luweero 24Hrs'!G86)</f>
        <v>1</v>
      </c>
      <c r="H86" s="49">
        <f>AVERAGE('24.8 Kampala-Luweero'!H86,'25.8 Kampala-Luweero 24Hrs'!H86)</f>
        <v>1</v>
      </c>
      <c r="I86" s="49">
        <f>AVERAGE('24.8 Kampala-Luweero'!I86,'25.8 Kampala-Luweero 24Hrs'!I86)</f>
        <v>0</v>
      </c>
      <c r="J86" s="49">
        <f>AVERAGE('24.8 Kampala-Luweero'!J86,'25.8 Kampala-Luweero 24Hrs'!J86)</f>
        <v>0</v>
      </c>
      <c r="K86" s="49">
        <f>AVERAGE('24.8 Kampala-Luweero'!K86,'25.8 Kampala-Luweero 24Hrs'!K86)</f>
        <v>1</v>
      </c>
      <c r="L86" s="49">
        <f>AVERAGE('24.8 Kampala-Luweero'!L86,'25.8 Kampala-Luweero 24Hrs'!L86)</f>
        <v>1</v>
      </c>
      <c r="M86" s="49">
        <f>AVERAGE('24.8 Kampala-Luweero'!M86,'25.8 Kampala-Luweero 24Hrs'!M86)</f>
        <v>1</v>
      </c>
      <c r="N86" s="49">
        <f>AVERAGE('24.8 Kampala-Luweero'!N86,'25.8 Kampala-Luweero 24Hrs'!N86)</f>
        <v>0</v>
      </c>
      <c r="O86" s="15">
        <f t="shared" si="35"/>
        <v>5</v>
      </c>
      <c r="P86" s="15">
        <f t="shared" si="36"/>
        <v>6</v>
      </c>
      <c r="R86" s="8"/>
      <c r="T86"/>
    </row>
    <row r="87" spans="2:20" ht="23.1" customHeight="1" x14ac:dyDescent="0.25">
      <c r="B87" s="23" t="s">
        <v>127</v>
      </c>
      <c r="C87" s="49">
        <f>AVERAGE('24.8 Kampala-Luweero'!C87,'25.8 Kampala-Luweero 24Hrs'!C87)</f>
        <v>1</v>
      </c>
      <c r="D87" s="49">
        <f>AVERAGE('24.8 Kampala-Luweero'!D87,'25.8 Kampala-Luweero 24Hrs'!D87)</f>
        <v>0</v>
      </c>
      <c r="E87" s="49">
        <f>AVERAGE('24.8 Kampala-Luweero'!E87,'25.8 Kampala-Luweero 24Hrs'!E87)</f>
        <v>1</v>
      </c>
      <c r="F87" s="49">
        <f>AVERAGE('24.8 Kampala-Luweero'!F87,'25.8 Kampala-Luweero 24Hrs'!F87)</f>
        <v>0</v>
      </c>
      <c r="G87" s="49">
        <f>AVERAGE('24.8 Kampala-Luweero'!G87,'25.8 Kampala-Luweero 24Hrs'!G87)</f>
        <v>1</v>
      </c>
      <c r="H87" s="49">
        <f>AVERAGE('24.8 Kampala-Luweero'!H87,'25.8 Kampala-Luweero 24Hrs'!H87)</f>
        <v>0</v>
      </c>
      <c r="I87" s="49">
        <f>AVERAGE('24.8 Kampala-Luweero'!I87,'25.8 Kampala-Luweero 24Hrs'!I87)</f>
        <v>1</v>
      </c>
      <c r="J87" s="49">
        <f>AVERAGE('24.8 Kampala-Luweero'!J87,'25.8 Kampala-Luweero 24Hrs'!J87)</f>
        <v>0</v>
      </c>
      <c r="K87" s="49">
        <f>AVERAGE('24.8 Kampala-Luweero'!K87,'25.8 Kampala-Luweero 24Hrs'!K87)</f>
        <v>0</v>
      </c>
      <c r="L87" s="49">
        <f>AVERAGE('24.8 Kampala-Luweero'!L87,'25.8 Kampala-Luweero 24Hrs'!L87)</f>
        <v>0</v>
      </c>
      <c r="M87" s="49">
        <f>AVERAGE('24.8 Kampala-Luweero'!M87,'25.8 Kampala-Luweero 24Hrs'!M87)</f>
        <v>1</v>
      </c>
      <c r="N87" s="49">
        <f>AVERAGE('24.8 Kampala-Luweero'!N87,'25.8 Kampala-Luweero 24Hrs'!N87)</f>
        <v>0</v>
      </c>
      <c r="O87" s="15">
        <f t="shared" si="35"/>
        <v>4</v>
      </c>
      <c r="P87" s="15">
        <f t="shared" si="36"/>
        <v>5</v>
      </c>
      <c r="R87" s="8"/>
      <c r="T87"/>
    </row>
    <row r="88" spans="2:20" ht="23.1" customHeight="1" x14ac:dyDescent="0.25">
      <c r="B88" s="25" t="s">
        <v>128</v>
      </c>
      <c r="C88" s="49">
        <f>AVERAGE('24.8 Kampala-Luweero'!C88,'25.8 Kampala-Luweero 24Hrs'!C88)</f>
        <v>1</v>
      </c>
      <c r="D88" s="49">
        <f>AVERAGE('24.8 Kampala-Luweero'!D88,'25.8 Kampala-Luweero 24Hrs'!D88)</f>
        <v>0</v>
      </c>
      <c r="E88" s="49">
        <f>AVERAGE('24.8 Kampala-Luweero'!E88,'25.8 Kampala-Luweero 24Hrs'!E88)</f>
        <v>0</v>
      </c>
      <c r="F88" s="49">
        <f>AVERAGE('24.8 Kampala-Luweero'!F88,'25.8 Kampala-Luweero 24Hrs'!F88)</f>
        <v>1</v>
      </c>
      <c r="G88" s="49">
        <f>AVERAGE('24.8 Kampala-Luweero'!G88,'25.8 Kampala-Luweero 24Hrs'!G88)</f>
        <v>0</v>
      </c>
      <c r="H88" s="49">
        <f>AVERAGE('24.8 Kampala-Luweero'!H88,'25.8 Kampala-Luweero 24Hrs'!H88)</f>
        <v>0</v>
      </c>
      <c r="I88" s="49">
        <f>AVERAGE('24.8 Kampala-Luweero'!I88,'25.8 Kampala-Luweero 24Hrs'!I88)</f>
        <v>1</v>
      </c>
      <c r="J88" s="49">
        <f>AVERAGE('24.8 Kampala-Luweero'!J88,'25.8 Kampala-Luweero 24Hrs'!J88)</f>
        <v>0</v>
      </c>
      <c r="K88" s="49">
        <f>AVERAGE('24.8 Kampala-Luweero'!K88,'25.8 Kampala-Luweero 24Hrs'!K88)</f>
        <v>0</v>
      </c>
      <c r="L88" s="49">
        <f>AVERAGE('24.8 Kampala-Luweero'!L88,'25.8 Kampala-Luweero 24Hrs'!L88)</f>
        <v>0</v>
      </c>
      <c r="M88" s="49">
        <f>AVERAGE('24.8 Kampala-Luweero'!M88,'25.8 Kampala-Luweero 24Hrs'!M88)</f>
        <v>0</v>
      </c>
      <c r="N88" s="49">
        <f>AVERAGE('24.8 Kampala-Luweero'!N88,'25.8 Kampala-Luweero 24Hrs'!N88)</f>
        <v>0</v>
      </c>
      <c r="O88" s="15">
        <f t="shared" si="35"/>
        <v>3</v>
      </c>
      <c r="P88" s="15">
        <f t="shared" si="36"/>
        <v>3</v>
      </c>
      <c r="R88" s="8"/>
      <c r="T88"/>
    </row>
    <row r="89" spans="2:20" ht="23.1" customHeight="1" x14ac:dyDescent="0.25">
      <c r="B89" s="23" t="s">
        <v>129</v>
      </c>
      <c r="C89" s="49">
        <f>AVERAGE('24.8 Kampala-Luweero'!C89,'25.8 Kampala-Luweero 24Hrs'!C89)</f>
        <v>0</v>
      </c>
      <c r="D89" s="49">
        <f>AVERAGE('24.8 Kampala-Luweero'!D89,'25.8 Kampala-Luweero 24Hrs'!D89)</f>
        <v>0</v>
      </c>
      <c r="E89" s="49">
        <f>AVERAGE('24.8 Kampala-Luweero'!E89,'25.8 Kampala-Luweero 24Hrs'!E89)</f>
        <v>1</v>
      </c>
      <c r="F89" s="49">
        <f>AVERAGE('24.8 Kampala-Luweero'!F89,'25.8 Kampala-Luweero 24Hrs'!F89)</f>
        <v>0</v>
      </c>
      <c r="G89" s="49">
        <f>AVERAGE('24.8 Kampala-Luweero'!G89,'25.8 Kampala-Luweero 24Hrs'!G89)</f>
        <v>0</v>
      </c>
      <c r="H89" s="49">
        <f>AVERAGE('24.8 Kampala-Luweero'!H89,'25.8 Kampala-Luweero 24Hrs'!H89)</f>
        <v>1</v>
      </c>
      <c r="I89" s="49">
        <f>AVERAGE('24.8 Kampala-Luweero'!I89,'25.8 Kampala-Luweero 24Hrs'!I89)</f>
        <v>2</v>
      </c>
      <c r="J89" s="49">
        <f>AVERAGE('24.8 Kampala-Luweero'!J89,'25.8 Kampala-Luweero 24Hrs'!J89)</f>
        <v>1</v>
      </c>
      <c r="K89" s="49">
        <f>AVERAGE('24.8 Kampala-Luweero'!K89,'25.8 Kampala-Luweero 24Hrs'!K89)</f>
        <v>0</v>
      </c>
      <c r="L89" s="49">
        <f>AVERAGE('24.8 Kampala-Luweero'!L89,'25.8 Kampala-Luweero 24Hrs'!L89)</f>
        <v>0</v>
      </c>
      <c r="M89" s="49">
        <f>AVERAGE('24.8 Kampala-Luweero'!M89,'25.8 Kampala-Luweero 24Hrs'!M89)</f>
        <v>0</v>
      </c>
      <c r="N89" s="49">
        <f>AVERAGE('24.8 Kampala-Luweero'!N89,'25.8 Kampala-Luweero 24Hrs'!N89)</f>
        <v>0</v>
      </c>
      <c r="O89" s="15">
        <f t="shared" si="35"/>
        <v>5</v>
      </c>
      <c r="P89" s="15">
        <f t="shared" si="36"/>
        <v>5</v>
      </c>
      <c r="R89" s="8"/>
      <c r="T89"/>
    </row>
    <row r="90" spans="2:20" ht="23.1" customHeight="1" x14ac:dyDescent="0.25">
      <c r="B90" s="24" t="s">
        <v>130</v>
      </c>
      <c r="C90" s="49">
        <f>AVERAGE('24.8 Kampala-Luweero'!C90,'25.8 Kampala-Luweero 24Hrs'!C90)</f>
        <v>0</v>
      </c>
      <c r="D90" s="49">
        <f>AVERAGE('24.8 Kampala-Luweero'!D90,'25.8 Kampala-Luweero 24Hrs'!D90)</f>
        <v>1</v>
      </c>
      <c r="E90" s="49">
        <f>AVERAGE('24.8 Kampala-Luweero'!E90,'25.8 Kampala-Luweero 24Hrs'!E90)</f>
        <v>0</v>
      </c>
      <c r="F90" s="49">
        <f>AVERAGE('24.8 Kampala-Luweero'!F90,'25.8 Kampala-Luweero 24Hrs'!F90)</f>
        <v>1</v>
      </c>
      <c r="G90" s="49">
        <f>AVERAGE('24.8 Kampala-Luweero'!G90,'25.8 Kampala-Luweero 24Hrs'!G90)</f>
        <v>1</v>
      </c>
      <c r="H90" s="49">
        <f>AVERAGE('24.8 Kampala-Luweero'!H90,'25.8 Kampala-Luweero 24Hrs'!H90)</f>
        <v>1</v>
      </c>
      <c r="I90" s="49">
        <f>AVERAGE('24.8 Kampala-Luweero'!I90,'25.8 Kampala-Luweero 24Hrs'!I90)</f>
        <v>0</v>
      </c>
      <c r="J90" s="49">
        <f>AVERAGE('24.8 Kampala-Luweero'!J90,'25.8 Kampala-Luweero 24Hrs'!J90)</f>
        <v>0</v>
      </c>
      <c r="K90" s="49">
        <f>AVERAGE('24.8 Kampala-Luweero'!K90,'25.8 Kampala-Luweero 24Hrs'!K90)</f>
        <v>0</v>
      </c>
      <c r="L90" s="49">
        <f>AVERAGE('24.8 Kampala-Luweero'!L90,'25.8 Kampala-Luweero 24Hrs'!L90)</f>
        <v>0</v>
      </c>
      <c r="M90" s="49">
        <f>AVERAGE('24.8 Kampala-Luweero'!M90,'25.8 Kampala-Luweero 24Hrs'!M90)</f>
        <v>0</v>
      </c>
      <c r="N90" s="49">
        <f>AVERAGE('24.8 Kampala-Luweero'!N90,'25.8 Kampala-Luweero 24Hrs'!N90)</f>
        <v>0</v>
      </c>
      <c r="O90" s="15">
        <f t="shared" si="35"/>
        <v>4</v>
      </c>
      <c r="P90" s="15">
        <f t="shared" si="36"/>
        <v>4</v>
      </c>
      <c r="R90" s="8"/>
      <c r="T90"/>
    </row>
    <row r="91" spans="2:20" ht="23.1" customHeight="1" x14ac:dyDescent="0.25">
      <c r="B91" s="23" t="s">
        <v>131</v>
      </c>
      <c r="C91" s="49">
        <f>AVERAGE('24.8 Kampala-Luweero'!C91,'25.8 Kampala-Luweero 24Hrs'!C91)</f>
        <v>0</v>
      </c>
      <c r="D91" s="49">
        <f>AVERAGE('24.8 Kampala-Luweero'!D91,'25.8 Kampala-Luweero 24Hrs'!D91)</f>
        <v>0</v>
      </c>
      <c r="E91" s="49">
        <f>AVERAGE('24.8 Kampala-Luweero'!E91,'25.8 Kampala-Luweero 24Hrs'!E91)</f>
        <v>1</v>
      </c>
      <c r="F91" s="49">
        <f>AVERAGE('24.8 Kampala-Luweero'!F91,'25.8 Kampala-Luweero 24Hrs'!F91)</f>
        <v>0</v>
      </c>
      <c r="G91" s="49">
        <f>AVERAGE('24.8 Kampala-Luweero'!G91,'25.8 Kampala-Luweero 24Hrs'!G91)</f>
        <v>1</v>
      </c>
      <c r="H91" s="49">
        <f>AVERAGE('24.8 Kampala-Luweero'!H91,'25.8 Kampala-Luweero 24Hrs'!H91)</f>
        <v>0</v>
      </c>
      <c r="I91" s="49">
        <f>AVERAGE('24.8 Kampala-Luweero'!I91,'25.8 Kampala-Luweero 24Hrs'!I91)</f>
        <v>1</v>
      </c>
      <c r="J91" s="49">
        <f>AVERAGE('24.8 Kampala-Luweero'!J91,'25.8 Kampala-Luweero 24Hrs'!J91)</f>
        <v>0</v>
      </c>
      <c r="K91" s="49">
        <f>AVERAGE('24.8 Kampala-Luweero'!K91,'25.8 Kampala-Luweero 24Hrs'!K91)</f>
        <v>0</v>
      </c>
      <c r="L91" s="49">
        <f>AVERAGE('24.8 Kampala-Luweero'!L91,'25.8 Kampala-Luweero 24Hrs'!L91)</f>
        <v>0</v>
      </c>
      <c r="M91" s="49">
        <f>AVERAGE('24.8 Kampala-Luweero'!M91,'25.8 Kampala-Luweero 24Hrs'!M91)</f>
        <v>1</v>
      </c>
      <c r="N91" s="49">
        <f>AVERAGE('24.8 Kampala-Luweero'!N91,'25.8 Kampala-Luweero 24Hrs'!N91)</f>
        <v>0</v>
      </c>
      <c r="O91" s="15">
        <f t="shared" si="35"/>
        <v>3</v>
      </c>
      <c r="P91" s="15">
        <f t="shared" si="36"/>
        <v>4</v>
      </c>
      <c r="R91" s="8"/>
      <c r="T91"/>
    </row>
    <row r="92" spans="2:20" ht="23.1" customHeight="1" x14ac:dyDescent="0.25">
      <c r="B92" s="25" t="s">
        <v>132</v>
      </c>
      <c r="C92" s="49">
        <f>AVERAGE('24.8 Kampala-Luweero'!C92,'25.8 Kampala-Luweero 24Hrs'!C92)</f>
        <v>1</v>
      </c>
      <c r="D92" s="49">
        <f>AVERAGE('24.8 Kampala-Luweero'!D92,'25.8 Kampala-Luweero 24Hrs'!D92)</f>
        <v>0</v>
      </c>
      <c r="E92" s="49">
        <f>AVERAGE('24.8 Kampala-Luweero'!E92,'25.8 Kampala-Luweero 24Hrs'!E92)</f>
        <v>0</v>
      </c>
      <c r="F92" s="49">
        <f>AVERAGE('24.8 Kampala-Luweero'!F92,'25.8 Kampala-Luweero 24Hrs'!F92)</f>
        <v>1</v>
      </c>
      <c r="G92" s="49">
        <f>AVERAGE('24.8 Kampala-Luweero'!G92,'25.8 Kampala-Luweero 24Hrs'!G92)</f>
        <v>0</v>
      </c>
      <c r="H92" s="49">
        <f>AVERAGE('24.8 Kampala-Luweero'!H92,'25.8 Kampala-Luweero 24Hrs'!H92)</f>
        <v>0</v>
      </c>
      <c r="I92" s="49">
        <f>AVERAGE('24.8 Kampala-Luweero'!I92,'25.8 Kampala-Luweero 24Hrs'!I92)</f>
        <v>1</v>
      </c>
      <c r="J92" s="49">
        <f>AVERAGE('24.8 Kampala-Luweero'!J92,'25.8 Kampala-Luweero 24Hrs'!J92)</f>
        <v>0</v>
      </c>
      <c r="K92" s="49">
        <f>AVERAGE('24.8 Kampala-Luweero'!K92,'25.8 Kampala-Luweero 24Hrs'!K92)</f>
        <v>0</v>
      </c>
      <c r="L92" s="49">
        <f>AVERAGE('24.8 Kampala-Luweero'!L92,'25.8 Kampala-Luweero 24Hrs'!L92)</f>
        <v>0</v>
      </c>
      <c r="M92" s="49">
        <f>AVERAGE('24.8 Kampala-Luweero'!M92,'25.8 Kampala-Luweero 24Hrs'!M92)</f>
        <v>2</v>
      </c>
      <c r="N92" s="49">
        <f>AVERAGE('24.8 Kampala-Luweero'!N92,'25.8 Kampala-Luweero 24Hrs'!N92)</f>
        <v>0</v>
      </c>
      <c r="O92" s="15">
        <f t="shared" si="35"/>
        <v>3</v>
      </c>
      <c r="P92" s="15">
        <f t="shared" si="36"/>
        <v>5</v>
      </c>
      <c r="R92" s="8"/>
      <c r="T92"/>
    </row>
    <row r="93" spans="2:20" ht="23.1" customHeight="1" x14ac:dyDescent="0.25">
      <c r="B93" s="23" t="s">
        <v>133</v>
      </c>
      <c r="C93" s="49">
        <f>AVERAGE('24.8 Kampala-Luweero'!C93,'25.8 Kampala-Luweero 24Hrs'!C93)</f>
        <v>0</v>
      </c>
      <c r="D93" s="49">
        <f>AVERAGE('24.8 Kampala-Luweero'!D93,'25.8 Kampala-Luweero 24Hrs'!D93)</f>
        <v>0</v>
      </c>
      <c r="E93" s="49">
        <f>AVERAGE('24.8 Kampala-Luweero'!E93,'25.8 Kampala-Luweero 24Hrs'!E93)</f>
        <v>0</v>
      </c>
      <c r="F93" s="49">
        <f>AVERAGE('24.8 Kampala-Luweero'!F93,'25.8 Kampala-Luweero 24Hrs'!F93)</f>
        <v>0</v>
      </c>
      <c r="G93" s="49">
        <f>AVERAGE('24.8 Kampala-Luweero'!G93,'25.8 Kampala-Luweero 24Hrs'!G93)</f>
        <v>0</v>
      </c>
      <c r="H93" s="49">
        <f>AVERAGE('24.8 Kampala-Luweero'!H93,'25.8 Kampala-Luweero 24Hrs'!H93)</f>
        <v>1</v>
      </c>
      <c r="I93" s="49">
        <f>AVERAGE('24.8 Kampala-Luweero'!I93,'25.8 Kampala-Luweero 24Hrs'!I93)</f>
        <v>2</v>
      </c>
      <c r="J93" s="49">
        <f>AVERAGE('24.8 Kampala-Luweero'!J93,'25.8 Kampala-Luweero 24Hrs'!J93)</f>
        <v>1</v>
      </c>
      <c r="K93" s="49">
        <f>AVERAGE('24.8 Kampala-Luweero'!K93,'25.8 Kampala-Luweero 24Hrs'!K93)</f>
        <v>0</v>
      </c>
      <c r="L93" s="49">
        <f>AVERAGE('24.8 Kampala-Luweero'!L93,'25.8 Kampala-Luweero 24Hrs'!L93)</f>
        <v>0</v>
      </c>
      <c r="M93" s="49">
        <f>AVERAGE('24.8 Kampala-Luweero'!M93,'25.8 Kampala-Luweero 24Hrs'!M93)</f>
        <v>0</v>
      </c>
      <c r="N93" s="49">
        <f>AVERAGE('24.8 Kampala-Luweero'!N93,'25.8 Kampala-Luweero 24Hrs'!N93)</f>
        <v>0</v>
      </c>
      <c r="O93" s="15">
        <f t="shared" si="35"/>
        <v>4</v>
      </c>
      <c r="P93" s="15">
        <f t="shared" si="36"/>
        <v>4</v>
      </c>
      <c r="R93" s="8"/>
      <c r="T93"/>
    </row>
    <row r="94" spans="2:20" ht="23.1" customHeight="1" x14ac:dyDescent="0.25">
      <c r="B94" s="24" t="s">
        <v>134</v>
      </c>
      <c r="C94" s="49">
        <f>AVERAGE('24.8 Kampala-Luweero'!C94,'25.8 Kampala-Luweero 24Hrs'!C94)</f>
        <v>0</v>
      </c>
      <c r="D94" s="49">
        <f>AVERAGE('24.8 Kampala-Luweero'!D94,'25.8 Kampala-Luweero 24Hrs'!D94)</f>
        <v>0</v>
      </c>
      <c r="E94" s="49">
        <f>AVERAGE('24.8 Kampala-Luweero'!E94,'25.8 Kampala-Luweero 24Hrs'!E94)</f>
        <v>0</v>
      </c>
      <c r="F94" s="49">
        <f>AVERAGE('24.8 Kampala-Luweero'!F94,'25.8 Kampala-Luweero 24Hrs'!F94)</f>
        <v>1</v>
      </c>
      <c r="G94" s="49">
        <f>AVERAGE('24.8 Kampala-Luweero'!G94,'25.8 Kampala-Luweero 24Hrs'!G94)</f>
        <v>0</v>
      </c>
      <c r="H94" s="49">
        <f>AVERAGE('24.8 Kampala-Luweero'!H94,'25.8 Kampala-Luweero 24Hrs'!H94)</f>
        <v>1</v>
      </c>
      <c r="I94" s="49">
        <f>AVERAGE('24.8 Kampala-Luweero'!I94,'25.8 Kampala-Luweero 24Hrs'!I94)</f>
        <v>0</v>
      </c>
      <c r="J94" s="49">
        <f>AVERAGE('24.8 Kampala-Luweero'!J94,'25.8 Kampala-Luweero 24Hrs'!J94)</f>
        <v>0</v>
      </c>
      <c r="K94" s="49">
        <f>AVERAGE('24.8 Kampala-Luweero'!K94,'25.8 Kampala-Luweero 24Hrs'!K94)</f>
        <v>0</v>
      </c>
      <c r="L94" s="49">
        <f>AVERAGE('24.8 Kampala-Luweero'!L94,'25.8 Kampala-Luweero 24Hrs'!L94)</f>
        <v>0</v>
      </c>
      <c r="M94" s="49">
        <f>AVERAGE('24.8 Kampala-Luweero'!M94,'25.8 Kampala-Luweero 24Hrs'!M94)</f>
        <v>0</v>
      </c>
      <c r="N94" s="49">
        <f>AVERAGE('24.8 Kampala-Luweero'!N94,'25.8 Kampala-Luweero 24Hrs'!N94)</f>
        <v>0</v>
      </c>
      <c r="O94" s="15">
        <f t="shared" si="35"/>
        <v>2</v>
      </c>
      <c r="P94" s="15">
        <f t="shared" si="36"/>
        <v>2</v>
      </c>
      <c r="R94" s="8"/>
      <c r="T94"/>
    </row>
    <row r="95" spans="2:20" ht="23.1" customHeight="1" x14ac:dyDescent="0.25">
      <c r="B95" s="23" t="s">
        <v>135</v>
      </c>
      <c r="C95" s="49">
        <f>AVERAGE('24.8 Kampala-Luweero'!C95,'25.8 Kampala-Luweero 24Hrs'!C95)</f>
        <v>0</v>
      </c>
      <c r="D95" s="49">
        <f>AVERAGE('24.8 Kampala-Luweero'!D95,'25.8 Kampala-Luweero 24Hrs'!D95)</f>
        <v>0</v>
      </c>
      <c r="E95" s="49">
        <f>AVERAGE('24.8 Kampala-Luweero'!E95,'25.8 Kampala-Luweero 24Hrs'!E95)</f>
        <v>0</v>
      </c>
      <c r="F95" s="49">
        <f>AVERAGE('24.8 Kampala-Luweero'!F95,'25.8 Kampala-Luweero 24Hrs'!F95)</f>
        <v>0</v>
      </c>
      <c r="G95" s="49">
        <f>AVERAGE('24.8 Kampala-Luweero'!G95,'25.8 Kampala-Luweero 24Hrs'!G95)</f>
        <v>0</v>
      </c>
      <c r="H95" s="49">
        <f>AVERAGE('24.8 Kampala-Luweero'!H95,'25.8 Kampala-Luweero 24Hrs'!H95)</f>
        <v>0</v>
      </c>
      <c r="I95" s="49">
        <f>AVERAGE('24.8 Kampala-Luweero'!I95,'25.8 Kampala-Luweero 24Hrs'!I95)</f>
        <v>1</v>
      </c>
      <c r="J95" s="49">
        <f>AVERAGE('24.8 Kampala-Luweero'!J95,'25.8 Kampala-Luweero 24Hrs'!J95)</f>
        <v>0</v>
      </c>
      <c r="K95" s="49">
        <f>AVERAGE('24.8 Kampala-Luweero'!K95,'25.8 Kampala-Luweero 24Hrs'!K95)</f>
        <v>0</v>
      </c>
      <c r="L95" s="49">
        <f>AVERAGE('24.8 Kampala-Luweero'!L95,'25.8 Kampala-Luweero 24Hrs'!L95)</f>
        <v>0</v>
      </c>
      <c r="M95" s="49">
        <f>AVERAGE('24.8 Kampala-Luweero'!M95,'25.8 Kampala-Luweero 24Hrs'!M95)</f>
        <v>0</v>
      </c>
      <c r="N95" s="49">
        <f>AVERAGE('24.8 Kampala-Luweero'!N95,'25.8 Kampala-Luweero 24Hrs'!N95)</f>
        <v>0</v>
      </c>
      <c r="O95" s="15">
        <f t="shared" si="35"/>
        <v>1</v>
      </c>
      <c r="P95" s="15">
        <f t="shared" si="36"/>
        <v>1</v>
      </c>
      <c r="R95" s="8"/>
      <c r="T95"/>
    </row>
    <row r="96" spans="2:20" ht="23.1" customHeight="1" x14ac:dyDescent="0.25">
      <c r="B96" s="25" t="s">
        <v>136</v>
      </c>
      <c r="C96" s="49">
        <f>AVERAGE('24.8 Kampala-Luweero'!C96,'25.8 Kampala-Luweero 24Hrs'!C96)</f>
        <v>1</v>
      </c>
      <c r="D96" s="49">
        <f>AVERAGE('24.8 Kampala-Luweero'!D96,'25.8 Kampala-Luweero 24Hrs'!D96)</f>
        <v>0</v>
      </c>
      <c r="E96" s="49">
        <f>AVERAGE('24.8 Kampala-Luweero'!E96,'25.8 Kampala-Luweero 24Hrs'!E96)</f>
        <v>0</v>
      </c>
      <c r="F96" s="49">
        <f>AVERAGE('24.8 Kampala-Luweero'!F96,'25.8 Kampala-Luweero 24Hrs'!F96)</f>
        <v>1</v>
      </c>
      <c r="G96" s="49">
        <f>AVERAGE('24.8 Kampala-Luweero'!G96,'25.8 Kampala-Luweero 24Hrs'!G96)</f>
        <v>0</v>
      </c>
      <c r="H96" s="49">
        <f>AVERAGE('24.8 Kampala-Luweero'!H96,'25.8 Kampala-Luweero 24Hrs'!H96)</f>
        <v>0</v>
      </c>
      <c r="I96" s="49">
        <f>AVERAGE('24.8 Kampala-Luweero'!I96,'25.8 Kampala-Luweero 24Hrs'!I96)</f>
        <v>1</v>
      </c>
      <c r="J96" s="49">
        <f>AVERAGE('24.8 Kampala-Luweero'!J96,'25.8 Kampala-Luweero 24Hrs'!J96)</f>
        <v>0</v>
      </c>
      <c r="K96" s="49">
        <f>AVERAGE('24.8 Kampala-Luweero'!K96,'25.8 Kampala-Luweero 24Hrs'!K96)</f>
        <v>0</v>
      </c>
      <c r="L96" s="49">
        <f>AVERAGE('24.8 Kampala-Luweero'!L96,'25.8 Kampala-Luweero 24Hrs'!L96)</f>
        <v>0</v>
      </c>
      <c r="M96" s="49">
        <f>AVERAGE('24.8 Kampala-Luweero'!M96,'25.8 Kampala-Luweero 24Hrs'!M96)</f>
        <v>0</v>
      </c>
      <c r="N96" s="49">
        <f>AVERAGE('24.8 Kampala-Luweero'!N96,'25.8 Kampala-Luweero 24Hrs'!N96)</f>
        <v>0</v>
      </c>
      <c r="O96" s="15">
        <f t="shared" si="35"/>
        <v>3</v>
      </c>
      <c r="P96" s="15">
        <f t="shared" si="36"/>
        <v>3</v>
      </c>
      <c r="R96" s="8"/>
      <c r="T96"/>
    </row>
    <row r="97" spans="2:20" ht="23.1" customHeight="1" x14ac:dyDescent="0.25">
      <c r="B97" s="23" t="s">
        <v>137</v>
      </c>
      <c r="C97" s="49">
        <f>AVERAGE('24.8 Kampala-Luweero'!C97,'25.8 Kampala-Luweero 24Hrs'!C97)</f>
        <v>0</v>
      </c>
      <c r="D97" s="49">
        <f>AVERAGE('24.8 Kampala-Luweero'!D97,'25.8 Kampala-Luweero 24Hrs'!D97)</f>
        <v>0</v>
      </c>
      <c r="E97" s="49">
        <f>AVERAGE('24.8 Kampala-Luweero'!E97,'25.8 Kampala-Luweero 24Hrs'!E97)</f>
        <v>0</v>
      </c>
      <c r="F97" s="49">
        <f>AVERAGE('24.8 Kampala-Luweero'!F97,'25.8 Kampala-Luweero 24Hrs'!F97)</f>
        <v>1</v>
      </c>
      <c r="G97" s="49">
        <f>AVERAGE('24.8 Kampala-Luweero'!G97,'25.8 Kampala-Luweero 24Hrs'!G97)</f>
        <v>1</v>
      </c>
      <c r="H97" s="49">
        <f>AVERAGE('24.8 Kampala-Luweero'!H97,'25.8 Kampala-Luweero 24Hrs'!H97)</f>
        <v>1</v>
      </c>
      <c r="I97" s="49">
        <f>AVERAGE('24.8 Kampala-Luweero'!I97,'25.8 Kampala-Luweero 24Hrs'!I97)</f>
        <v>0</v>
      </c>
      <c r="J97" s="49">
        <f>AVERAGE('24.8 Kampala-Luweero'!J97,'25.8 Kampala-Luweero 24Hrs'!J97)</f>
        <v>0</v>
      </c>
      <c r="K97" s="49">
        <f>AVERAGE('24.8 Kampala-Luweero'!K97,'25.8 Kampala-Luweero 24Hrs'!K97)</f>
        <v>0</v>
      </c>
      <c r="L97" s="49">
        <f>AVERAGE('24.8 Kampala-Luweero'!L97,'25.8 Kampala-Luweero 24Hrs'!L97)</f>
        <v>1</v>
      </c>
      <c r="M97" s="49">
        <f>AVERAGE('24.8 Kampala-Luweero'!M97,'25.8 Kampala-Luweero 24Hrs'!M97)</f>
        <v>2</v>
      </c>
      <c r="N97" s="49">
        <f>AVERAGE('24.8 Kampala-Luweero'!N97,'25.8 Kampala-Luweero 24Hrs'!N97)</f>
        <v>0</v>
      </c>
      <c r="O97" s="15">
        <f t="shared" si="35"/>
        <v>4</v>
      </c>
      <c r="P97" s="15">
        <f t="shared" si="36"/>
        <v>6</v>
      </c>
      <c r="R97" s="8"/>
      <c r="T97"/>
    </row>
    <row r="98" spans="2:20" ht="23.1" customHeight="1" x14ac:dyDescent="0.25">
      <c r="B98" s="24" t="s">
        <v>138</v>
      </c>
      <c r="C98" s="49">
        <f>AVERAGE('24.8 Kampala-Luweero'!C98,'25.8 Kampala-Luweero 24Hrs'!C98)</f>
        <v>1</v>
      </c>
      <c r="D98" s="49">
        <f>AVERAGE('24.8 Kampala-Luweero'!D98,'25.8 Kampala-Luweero 24Hrs'!D98)</f>
        <v>0</v>
      </c>
      <c r="E98" s="49">
        <f>AVERAGE('24.8 Kampala-Luweero'!E98,'25.8 Kampala-Luweero 24Hrs'!E98)</f>
        <v>2</v>
      </c>
      <c r="F98" s="49">
        <f>AVERAGE('24.8 Kampala-Luweero'!F98,'25.8 Kampala-Luweero 24Hrs'!F98)</f>
        <v>0</v>
      </c>
      <c r="G98" s="49">
        <f>AVERAGE('24.8 Kampala-Luweero'!G98,'25.8 Kampala-Luweero 24Hrs'!G98)</f>
        <v>1</v>
      </c>
      <c r="H98" s="49">
        <f>AVERAGE('24.8 Kampala-Luweero'!H98,'25.8 Kampala-Luweero 24Hrs'!H98)</f>
        <v>0</v>
      </c>
      <c r="I98" s="49">
        <f>AVERAGE('24.8 Kampala-Luweero'!I98,'25.8 Kampala-Luweero 24Hrs'!I98)</f>
        <v>1</v>
      </c>
      <c r="J98" s="49">
        <f>AVERAGE('24.8 Kampala-Luweero'!J98,'25.8 Kampala-Luweero 24Hrs'!J98)</f>
        <v>0</v>
      </c>
      <c r="K98" s="49">
        <f>AVERAGE('24.8 Kampala-Luweero'!K98,'25.8 Kampala-Luweero 24Hrs'!K98)</f>
        <v>0</v>
      </c>
      <c r="L98" s="49">
        <f>AVERAGE('24.8 Kampala-Luweero'!L98,'25.8 Kampala-Luweero 24Hrs'!L98)</f>
        <v>0</v>
      </c>
      <c r="M98" s="49">
        <f>AVERAGE('24.8 Kampala-Luweero'!M98,'25.8 Kampala-Luweero 24Hrs'!M98)</f>
        <v>1</v>
      </c>
      <c r="N98" s="49">
        <f>AVERAGE('24.8 Kampala-Luweero'!N98,'25.8 Kampala-Luweero 24Hrs'!N98)</f>
        <v>0</v>
      </c>
      <c r="O98" s="15">
        <f t="shared" si="35"/>
        <v>5</v>
      </c>
      <c r="P98" s="15">
        <f t="shared" si="36"/>
        <v>6</v>
      </c>
      <c r="R98" s="8"/>
      <c r="T98"/>
    </row>
    <row r="99" spans="2:20" ht="23.1" customHeight="1" x14ac:dyDescent="0.25">
      <c r="B99" s="23" t="s">
        <v>139</v>
      </c>
      <c r="C99" s="49">
        <f>AVERAGE('24.8 Kampala-Luweero'!C99,'25.8 Kampala-Luweero 24Hrs'!C99)</f>
        <v>2</v>
      </c>
      <c r="D99" s="49">
        <f>AVERAGE('24.8 Kampala-Luweero'!D99,'25.8 Kampala-Luweero 24Hrs'!D99)</f>
        <v>0</v>
      </c>
      <c r="E99" s="49">
        <f>AVERAGE('24.8 Kampala-Luweero'!E99,'25.8 Kampala-Luweero 24Hrs'!E99)</f>
        <v>0</v>
      </c>
      <c r="F99" s="49">
        <f>AVERAGE('24.8 Kampala-Luweero'!F99,'25.8 Kampala-Luweero 24Hrs'!F99)</f>
        <v>1</v>
      </c>
      <c r="G99" s="49">
        <f>AVERAGE('24.8 Kampala-Luweero'!G99,'25.8 Kampala-Luweero 24Hrs'!G99)</f>
        <v>0</v>
      </c>
      <c r="H99" s="49">
        <f>AVERAGE('24.8 Kampala-Luweero'!H99,'25.8 Kampala-Luweero 24Hrs'!H99)</f>
        <v>0</v>
      </c>
      <c r="I99" s="49">
        <f>AVERAGE('24.8 Kampala-Luweero'!I99,'25.8 Kampala-Luweero 24Hrs'!I99)</f>
        <v>0</v>
      </c>
      <c r="J99" s="49">
        <f>AVERAGE('24.8 Kampala-Luweero'!J99,'25.8 Kampala-Luweero 24Hrs'!J99)</f>
        <v>0</v>
      </c>
      <c r="K99" s="49">
        <f>AVERAGE('24.8 Kampala-Luweero'!K99,'25.8 Kampala-Luweero 24Hrs'!K99)</f>
        <v>0</v>
      </c>
      <c r="L99" s="49">
        <f>AVERAGE('24.8 Kampala-Luweero'!L99,'25.8 Kampala-Luweero 24Hrs'!L99)</f>
        <v>1</v>
      </c>
      <c r="M99" s="49">
        <f>AVERAGE('24.8 Kampala-Luweero'!M99,'25.8 Kampala-Luweero 24Hrs'!M99)</f>
        <v>1</v>
      </c>
      <c r="N99" s="49">
        <f>AVERAGE('24.8 Kampala-Luweero'!N99,'25.8 Kampala-Luweero 24Hrs'!N99)</f>
        <v>0</v>
      </c>
      <c r="O99" s="15">
        <f t="shared" si="35"/>
        <v>4</v>
      </c>
      <c r="P99" s="15">
        <f t="shared" si="36"/>
        <v>5</v>
      </c>
      <c r="R99" s="8"/>
      <c r="T99"/>
    </row>
    <row r="100" spans="2:20" ht="23.1" customHeight="1" x14ac:dyDescent="0.25">
      <c r="B100" s="25" t="s">
        <v>140</v>
      </c>
      <c r="C100" s="49">
        <f>AVERAGE('24.8 Kampala-Luweero'!C100,'25.8 Kampala-Luweero 24Hrs'!C100)</f>
        <v>2</v>
      </c>
      <c r="D100" s="49">
        <f>AVERAGE('24.8 Kampala-Luweero'!D100,'25.8 Kampala-Luweero 24Hrs'!D100)</f>
        <v>1</v>
      </c>
      <c r="E100" s="49">
        <f>AVERAGE('24.8 Kampala-Luweero'!E100,'25.8 Kampala-Luweero 24Hrs'!E100)</f>
        <v>1</v>
      </c>
      <c r="F100" s="49">
        <f>AVERAGE('24.8 Kampala-Luweero'!F100,'25.8 Kampala-Luweero 24Hrs'!F100)</f>
        <v>0</v>
      </c>
      <c r="G100" s="49">
        <f>AVERAGE('24.8 Kampala-Luweero'!G100,'25.8 Kampala-Luweero 24Hrs'!G100)</f>
        <v>0</v>
      </c>
      <c r="H100" s="49">
        <f>AVERAGE('24.8 Kampala-Luweero'!H100,'25.8 Kampala-Luweero 24Hrs'!H100)</f>
        <v>1</v>
      </c>
      <c r="I100" s="49">
        <f>AVERAGE('24.8 Kampala-Luweero'!I100,'25.8 Kampala-Luweero 24Hrs'!I100)</f>
        <v>2</v>
      </c>
      <c r="J100" s="49">
        <f>AVERAGE('24.8 Kampala-Luweero'!J100,'25.8 Kampala-Luweero 24Hrs'!J100)</f>
        <v>1</v>
      </c>
      <c r="K100" s="49">
        <f>AVERAGE('24.8 Kampala-Luweero'!K100,'25.8 Kampala-Luweero 24Hrs'!K100)</f>
        <v>0</v>
      </c>
      <c r="L100" s="49">
        <f>AVERAGE('24.8 Kampala-Luweero'!L100,'25.8 Kampala-Luweero 24Hrs'!L100)</f>
        <v>1</v>
      </c>
      <c r="M100" s="49">
        <f>AVERAGE('24.8 Kampala-Luweero'!M100,'25.8 Kampala-Luweero 24Hrs'!M100)</f>
        <v>0</v>
      </c>
      <c r="N100" s="49">
        <f>AVERAGE('24.8 Kampala-Luweero'!N100,'25.8 Kampala-Luweero 24Hrs'!N100)</f>
        <v>0</v>
      </c>
      <c r="O100" s="15">
        <f t="shared" si="35"/>
        <v>9</v>
      </c>
      <c r="P100" s="15">
        <f t="shared" si="36"/>
        <v>9</v>
      </c>
      <c r="R100" s="8"/>
      <c r="T100"/>
    </row>
    <row r="101" spans="2:20" ht="23.1" customHeight="1" x14ac:dyDescent="0.25">
      <c r="B101" s="23" t="s">
        <v>141</v>
      </c>
      <c r="C101" s="49">
        <f>AVERAGE('24.8 Kampala-Luweero'!C101,'25.8 Kampala-Luweero 24Hrs'!C101)</f>
        <v>3</v>
      </c>
      <c r="D101" s="49">
        <f>AVERAGE('24.8 Kampala-Luweero'!D101,'25.8 Kampala-Luweero 24Hrs'!D101)</f>
        <v>0</v>
      </c>
      <c r="E101" s="49">
        <f>AVERAGE('24.8 Kampala-Luweero'!E101,'25.8 Kampala-Luweero 24Hrs'!E101)</f>
        <v>0</v>
      </c>
      <c r="F101" s="49">
        <f>AVERAGE('24.8 Kampala-Luweero'!F101,'25.8 Kampala-Luweero 24Hrs'!F101)</f>
        <v>1</v>
      </c>
      <c r="G101" s="49">
        <f>AVERAGE('24.8 Kampala-Luweero'!G101,'25.8 Kampala-Luweero 24Hrs'!G101)</f>
        <v>1</v>
      </c>
      <c r="H101" s="49">
        <f>AVERAGE('24.8 Kampala-Luweero'!H101,'25.8 Kampala-Luweero 24Hrs'!H101)</f>
        <v>1</v>
      </c>
      <c r="I101" s="49">
        <f>AVERAGE('24.8 Kampala-Luweero'!I101,'25.8 Kampala-Luweero 24Hrs'!I101)</f>
        <v>0</v>
      </c>
      <c r="J101" s="49">
        <f>AVERAGE('24.8 Kampala-Luweero'!J101,'25.8 Kampala-Luweero 24Hrs'!J101)</f>
        <v>0</v>
      </c>
      <c r="K101" s="49">
        <f>AVERAGE('24.8 Kampala-Luweero'!K101,'25.8 Kampala-Luweero 24Hrs'!K101)</f>
        <v>0</v>
      </c>
      <c r="L101" s="49">
        <f>AVERAGE('24.8 Kampala-Luweero'!L101,'25.8 Kampala-Luweero 24Hrs'!L101)</f>
        <v>1</v>
      </c>
      <c r="M101" s="49">
        <f>AVERAGE('24.8 Kampala-Luweero'!M101,'25.8 Kampala-Luweero 24Hrs'!M101)</f>
        <v>2</v>
      </c>
      <c r="N101" s="49">
        <f>AVERAGE('24.8 Kampala-Luweero'!N101,'25.8 Kampala-Luweero 24Hrs'!N101)</f>
        <v>0</v>
      </c>
      <c r="O101" s="15">
        <f t="shared" si="35"/>
        <v>7</v>
      </c>
      <c r="P101" s="15">
        <f t="shared" si="36"/>
        <v>9</v>
      </c>
      <c r="R101" s="8"/>
      <c r="T101"/>
    </row>
    <row r="102" spans="2:20" ht="23.1" customHeight="1" x14ac:dyDescent="0.25">
      <c r="B102" s="24" t="s">
        <v>142</v>
      </c>
      <c r="C102" s="49">
        <f>AVERAGE('24.8 Kampala-Luweero'!C102,'25.8 Kampala-Luweero 24Hrs'!C102)</f>
        <v>4</v>
      </c>
      <c r="D102" s="49">
        <f>AVERAGE('24.8 Kampala-Luweero'!D102,'25.8 Kampala-Luweero 24Hrs'!D102)</f>
        <v>0</v>
      </c>
      <c r="E102" s="49">
        <f>AVERAGE('24.8 Kampala-Luweero'!E102,'25.8 Kampala-Luweero 24Hrs'!E102)</f>
        <v>2</v>
      </c>
      <c r="F102" s="49">
        <f>AVERAGE('24.8 Kampala-Luweero'!F102,'25.8 Kampala-Luweero 24Hrs'!F102)</f>
        <v>0</v>
      </c>
      <c r="G102" s="49">
        <f>AVERAGE('24.8 Kampala-Luweero'!G102,'25.8 Kampala-Luweero 24Hrs'!G102)</f>
        <v>1</v>
      </c>
      <c r="H102" s="49">
        <f>AVERAGE('24.8 Kampala-Luweero'!H102,'25.8 Kampala-Luweero 24Hrs'!H102)</f>
        <v>0</v>
      </c>
      <c r="I102" s="49">
        <f>AVERAGE('24.8 Kampala-Luweero'!I102,'25.8 Kampala-Luweero 24Hrs'!I102)</f>
        <v>1</v>
      </c>
      <c r="J102" s="49">
        <f>AVERAGE('24.8 Kampala-Luweero'!J102,'25.8 Kampala-Luweero 24Hrs'!J102)</f>
        <v>0</v>
      </c>
      <c r="K102" s="49">
        <f>AVERAGE('24.8 Kampala-Luweero'!K102,'25.8 Kampala-Luweero 24Hrs'!K102)</f>
        <v>0</v>
      </c>
      <c r="L102" s="49">
        <f>AVERAGE('24.8 Kampala-Luweero'!L102,'25.8 Kampala-Luweero 24Hrs'!L102)</f>
        <v>0</v>
      </c>
      <c r="M102" s="49">
        <f>AVERAGE('24.8 Kampala-Luweero'!M102,'25.8 Kampala-Luweero 24Hrs'!M102)</f>
        <v>3</v>
      </c>
      <c r="N102" s="49">
        <f>AVERAGE('24.8 Kampala-Luweero'!N102,'25.8 Kampala-Luweero 24Hrs'!N102)</f>
        <v>0</v>
      </c>
      <c r="O102" s="15">
        <f t="shared" si="35"/>
        <v>8</v>
      </c>
      <c r="P102" s="15">
        <f t="shared" si="36"/>
        <v>11</v>
      </c>
      <c r="R102" s="8"/>
      <c r="T102"/>
    </row>
    <row r="103" spans="2:20" ht="23.1" customHeight="1" x14ac:dyDescent="0.25">
      <c r="B103" s="23" t="s">
        <v>143</v>
      </c>
      <c r="C103" s="49">
        <f>AVERAGE('24.8 Kampala-Luweero'!C103,'25.8 Kampala-Luweero 24Hrs'!C103)</f>
        <v>4.5</v>
      </c>
      <c r="D103" s="49">
        <f>AVERAGE('24.8 Kampala-Luweero'!D103,'25.8 Kampala-Luweero 24Hrs'!D103)</f>
        <v>2</v>
      </c>
      <c r="E103" s="49">
        <f>AVERAGE('24.8 Kampala-Luweero'!E103,'25.8 Kampala-Luweero 24Hrs'!E103)</f>
        <v>0</v>
      </c>
      <c r="F103" s="49">
        <f>AVERAGE('24.8 Kampala-Luweero'!F103,'25.8 Kampala-Luweero 24Hrs'!F103)</f>
        <v>1</v>
      </c>
      <c r="G103" s="49">
        <f>AVERAGE('24.8 Kampala-Luweero'!G103,'25.8 Kampala-Luweero 24Hrs'!G103)</f>
        <v>0</v>
      </c>
      <c r="H103" s="49">
        <f>AVERAGE('24.8 Kampala-Luweero'!H103,'25.8 Kampala-Luweero 24Hrs'!H103)</f>
        <v>0</v>
      </c>
      <c r="I103" s="49">
        <f>AVERAGE('24.8 Kampala-Luweero'!I103,'25.8 Kampala-Luweero 24Hrs'!I103)</f>
        <v>0</v>
      </c>
      <c r="J103" s="49">
        <f>AVERAGE('24.8 Kampala-Luweero'!J103,'25.8 Kampala-Luweero 24Hrs'!J103)</f>
        <v>0</v>
      </c>
      <c r="K103" s="49">
        <f>AVERAGE('24.8 Kampala-Luweero'!K103,'25.8 Kampala-Luweero 24Hrs'!K103)</f>
        <v>0</v>
      </c>
      <c r="L103" s="49">
        <f>AVERAGE('24.8 Kampala-Luweero'!L103,'25.8 Kampala-Luweero 24Hrs'!L103)</f>
        <v>1</v>
      </c>
      <c r="M103" s="49">
        <f>AVERAGE('24.8 Kampala-Luweero'!M103,'25.8 Kampala-Luweero 24Hrs'!M103)</f>
        <v>7</v>
      </c>
      <c r="N103" s="49">
        <f>AVERAGE('24.8 Kampala-Luweero'!N103,'25.8 Kampala-Luweero 24Hrs'!N103)</f>
        <v>0</v>
      </c>
      <c r="O103" s="15">
        <f t="shared" si="35"/>
        <v>8.5</v>
      </c>
      <c r="P103" s="15">
        <f t="shared" si="36"/>
        <v>15.5</v>
      </c>
      <c r="R103" s="8"/>
      <c r="T103"/>
    </row>
    <row r="104" spans="2:20" ht="23.1" customHeight="1" x14ac:dyDescent="0.25">
      <c r="B104" s="25" t="s">
        <v>144</v>
      </c>
      <c r="C104" s="49">
        <f>AVERAGE('24.8 Kampala-Luweero'!C104,'25.8 Kampala-Luweero 24Hrs'!C104)</f>
        <v>5</v>
      </c>
      <c r="D104" s="49">
        <f>AVERAGE('24.8 Kampala-Luweero'!D104,'25.8 Kampala-Luweero 24Hrs'!D104)</f>
        <v>3</v>
      </c>
      <c r="E104" s="49">
        <f>AVERAGE('24.8 Kampala-Luweero'!E104,'25.8 Kampala-Luweero 24Hrs'!E104)</f>
        <v>3</v>
      </c>
      <c r="F104" s="49">
        <f>AVERAGE('24.8 Kampala-Luweero'!F104,'25.8 Kampala-Luweero 24Hrs'!F104)</f>
        <v>4</v>
      </c>
      <c r="G104" s="49">
        <f>AVERAGE('24.8 Kampala-Luweero'!G104,'25.8 Kampala-Luweero 24Hrs'!G104)</f>
        <v>1</v>
      </c>
      <c r="H104" s="49">
        <f>AVERAGE('24.8 Kampala-Luweero'!H104,'25.8 Kampala-Luweero 24Hrs'!H104)</f>
        <v>1</v>
      </c>
      <c r="I104" s="49">
        <f>AVERAGE('24.8 Kampala-Luweero'!I104,'25.8 Kampala-Luweero 24Hrs'!I104)</f>
        <v>3.5</v>
      </c>
      <c r="J104" s="49">
        <f>AVERAGE('24.8 Kampala-Luweero'!J104,'25.8 Kampala-Luweero 24Hrs'!J104)</f>
        <v>1</v>
      </c>
      <c r="K104" s="49">
        <f>AVERAGE('24.8 Kampala-Luweero'!K104,'25.8 Kampala-Luweero 24Hrs'!K104)</f>
        <v>1</v>
      </c>
      <c r="L104" s="49">
        <f>AVERAGE('24.8 Kampala-Luweero'!L104,'25.8 Kampala-Luweero 24Hrs'!L104)</f>
        <v>1</v>
      </c>
      <c r="M104" s="49">
        <f>AVERAGE('24.8 Kampala-Luweero'!M104,'25.8 Kampala-Luweero 24Hrs'!M104)</f>
        <v>7</v>
      </c>
      <c r="N104" s="49">
        <f>AVERAGE('24.8 Kampala-Luweero'!N104,'25.8 Kampala-Luweero 24Hrs'!N104)</f>
        <v>0</v>
      </c>
      <c r="O104" s="15">
        <f t="shared" si="35"/>
        <v>23.5</v>
      </c>
      <c r="P104" s="15">
        <f t="shared" si="36"/>
        <v>30.5</v>
      </c>
      <c r="R104" s="8"/>
      <c r="T104"/>
    </row>
    <row r="105" spans="2:20" ht="23.1" customHeight="1" x14ac:dyDescent="0.25">
      <c r="B105" s="23" t="s">
        <v>145</v>
      </c>
      <c r="C105" s="49">
        <f>AVERAGE('24.8 Kampala-Luweero'!C105,'25.8 Kampala-Luweero 24Hrs'!C105)</f>
        <v>12</v>
      </c>
      <c r="D105" s="49">
        <f>AVERAGE('24.8 Kampala-Luweero'!D105,'25.8 Kampala-Luweero 24Hrs'!D105)</f>
        <v>4.5</v>
      </c>
      <c r="E105" s="49">
        <f>AVERAGE('24.8 Kampala-Luweero'!E105,'25.8 Kampala-Luweero 24Hrs'!E105)</f>
        <v>6.5</v>
      </c>
      <c r="F105" s="49">
        <f>AVERAGE('24.8 Kampala-Luweero'!F105,'25.8 Kampala-Luweero 24Hrs'!F105)</f>
        <v>8</v>
      </c>
      <c r="G105" s="49">
        <f>AVERAGE('24.8 Kampala-Luweero'!G105,'25.8 Kampala-Luweero 24Hrs'!G105)</f>
        <v>1</v>
      </c>
      <c r="H105" s="49">
        <f>AVERAGE('24.8 Kampala-Luweero'!H105,'25.8 Kampala-Luweero 24Hrs'!H105)</f>
        <v>0</v>
      </c>
      <c r="I105" s="49">
        <f>AVERAGE('24.8 Kampala-Luweero'!I105,'25.8 Kampala-Luweero 24Hrs'!I105)</f>
        <v>4.5</v>
      </c>
      <c r="J105" s="49">
        <f>AVERAGE('24.8 Kampala-Luweero'!J105,'25.8 Kampala-Luweero 24Hrs'!J105)</f>
        <v>1</v>
      </c>
      <c r="K105" s="49">
        <f>AVERAGE('24.8 Kampala-Luweero'!K105,'25.8 Kampala-Luweero 24Hrs'!K105)</f>
        <v>1</v>
      </c>
      <c r="L105" s="49">
        <f>AVERAGE('24.8 Kampala-Luweero'!L105,'25.8 Kampala-Luweero 24Hrs'!L105)</f>
        <v>0</v>
      </c>
      <c r="M105" s="49">
        <f>AVERAGE('24.8 Kampala-Luweero'!M105,'25.8 Kampala-Luweero 24Hrs'!M105)</f>
        <v>12</v>
      </c>
      <c r="N105" s="49">
        <f>AVERAGE('24.8 Kampala-Luweero'!N105,'25.8 Kampala-Luweero 24Hrs'!N105)</f>
        <v>0</v>
      </c>
      <c r="O105" s="15">
        <f t="shared" si="35"/>
        <v>38.5</v>
      </c>
      <c r="P105" s="15">
        <f t="shared" si="36"/>
        <v>50.5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576.64285714285734</v>
      </c>
      <c r="D106" s="16">
        <f t="shared" ref="D106:P106" si="37">SUM(D10:D105)</f>
        <v>65.214285714285722</v>
      </c>
      <c r="E106" s="16">
        <f t="shared" si="37"/>
        <v>811.64285714285722</v>
      </c>
      <c r="F106" s="16">
        <f t="shared" si="37"/>
        <v>807.57142857142878</v>
      </c>
      <c r="G106" s="16">
        <f t="shared" si="37"/>
        <v>39.714285714285708</v>
      </c>
      <c r="H106" s="16">
        <f t="shared" si="37"/>
        <v>90.285714285714278</v>
      </c>
      <c r="I106" s="16">
        <f t="shared" si="37"/>
        <v>455.14285714285717</v>
      </c>
      <c r="J106" s="16">
        <f t="shared" si="37"/>
        <v>95.14285714285711</v>
      </c>
      <c r="K106" s="16">
        <f t="shared" si="37"/>
        <v>21.285714285714288</v>
      </c>
      <c r="L106" s="16">
        <f t="shared" si="37"/>
        <v>137</v>
      </c>
      <c r="M106" s="16">
        <f t="shared" si="37"/>
        <v>3749.5714285714289</v>
      </c>
      <c r="N106" s="16">
        <f t="shared" si="37"/>
        <v>1.1428571428571428</v>
      </c>
      <c r="O106" s="16">
        <f t="shared" si="37"/>
        <v>3100.7857142857151</v>
      </c>
      <c r="P106" s="16">
        <f t="shared" si="37"/>
        <v>6850.3571428571422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8.4177050205932996E-2</v>
      </c>
      <c r="D107" s="43">
        <f t="shared" si="38"/>
        <v>9.5198373390334209E-3</v>
      </c>
      <c r="E107" s="43">
        <f t="shared" si="38"/>
        <v>0.11848183097857257</v>
      </c>
      <c r="F107" s="43">
        <f t="shared" si="38"/>
        <v>0.11788749283144782</v>
      </c>
      <c r="G107" s="43">
        <f t="shared" si="38"/>
        <v>5.7974036807257176E-3</v>
      </c>
      <c r="H107" s="43">
        <f t="shared" si="38"/>
        <v>1.317970908711746E-2</v>
      </c>
      <c r="I107" s="43">
        <f t="shared" si="38"/>
        <v>6.6440748657525681E-2</v>
      </c>
      <c r="J107" s="43">
        <f t="shared" si="38"/>
        <v>1.3888744069652256E-2</v>
      </c>
      <c r="K107" s="43">
        <f t="shared" si="38"/>
        <v>3.1072415411083892E-3</v>
      </c>
      <c r="L107" s="43">
        <f t="shared" si="38"/>
        <v>1.9998957301496274E-2</v>
      </c>
      <c r="M107" s="43">
        <f t="shared" si="38"/>
        <v>0.54735415254679121</v>
      </c>
      <c r="N107" s="43">
        <f t="shared" si="38"/>
        <v>1.6683176059642356E-4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0.18596669047015735</v>
      </c>
      <c r="D108" s="44">
        <f t="shared" ref="D108:N108" si="39">D106/$O$106</f>
        <v>2.1031535785860724E-2</v>
      </c>
      <c r="E108" s="44">
        <f t="shared" si="39"/>
        <v>0.26175393333486902</v>
      </c>
      <c r="F108" s="44">
        <f t="shared" si="39"/>
        <v>0.26044090207551079</v>
      </c>
      <c r="G108" s="44">
        <f t="shared" si="39"/>
        <v>1.2807813687774982E-2</v>
      </c>
      <c r="H108" s="44">
        <f t="shared" si="39"/>
        <v>2.9117044067171905E-2</v>
      </c>
      <c r="I108" s="44">
        <f t="shared" si="39"/>
        <v>0.14678307341457231</v>
      </c>
      <c r="J108" s="44">
        <f t="shared" si="39"/>
        <v>3.0683467323950133E-2</v>
      </c>
      <c r="K108" s="44">
        <f t="shared" si="39"/>
        <v>6.8646195664693269E-3</v>
      </c>
      <c r="L108" s="44">
        <f t="shared" si="39"/>
        <v>4.4182350095597879E-2</v>
      </c>
      <c r="M108" s="44"/>
      <c r="N108" s="44">
        <f t="shared" si="39"/>
        <v>3.6857017806546713E-4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A88" zoomScale="60" workbookViewId="0">
      <selection activeCell="D97" sqref="D9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'26.8 Luweero-Kampala'!C3:G3</f>
        <v>MCC - C3 - STN87 - Kampala-Gulu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162</v>
      </c>
      <c r="E5" s="69"/>
      <c r="F5" s="41" t="s">
        <v>1</v>
      </c>
      <c r="G5" s="66">
        <f>'26.8 Luweero-Kampala'!G5:H5</f>
        <v>0</v>
      </c>
      <c r="H5" s="67"/>
      <c r="I5" s="14"/>
      <c r="J5" s="2" t="s">
        <v>5</v>
      </c>
      <c r="K5" s="66" t="str">
        <f>'26.8 Luweero-Kampala'!K5:L5</f>
        <v>Godfrey, Ibrahim N, Oliver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'26.8 Luweero-Kampala'!D6:E6</f>
        <v>LUWERO</v>
      </c>
      <c r="E6" s="67"/>
      <c r="F6" s="2" t="s">
        <v>2</v>
      </c>
      <c r="G6" s="66" t="str">
        <f>'26.8 Luweero-Kampala'!G6:H6</f>
        <v>KAMPALA</v>
      </c>
      <c r="H6" s="67"/>
      <c r="J6" s="2" t="s">
        <v>21</v>
      </c>
      <c r="K6" s="66" t="str">
        <f>'26.8 Luweero-Kampala'!K6:L6</f>
        <v>Martin, Tracy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AVERAGE('20.8 Luwero-Kampala'!C10,'21.8 Luweero-Kampala'!C10,' 22.8 Luweero-Kampala'!C10,'23.Luweero-Kamplaa'!C10,'24.8 Luweero-Kampala'!C10,'25.8 Luwero-Kampala-24 HRS'!C10,'26.8 Luweero-Kampala'!C10)</f>
        <v>1.5714285714285714</v>
      </c>
      <c r="D10" s="49">
        <f>AVERAGE('20.8 Luwero-Kampala'!D10,'21.8 Luweero-Kampala'!D10,' 22.8 Luweero-Kampala'!D10,'23.Luweero-Kamplaa'!D10,'24.8 Luweero-Kampala'!D10,'25.8 Luwero-Kampala-24 HRS'!D10,'26.8 Luweero-Kampala'!D10)</f>
        <v>0</v>
      </c>
      <c r="E10" s="49">
        <f>AVERAGE('20.8 Luwero-Kampala'!E10,'21.8 Luweero-Kampala'!E10,' 22.8 Luweero-Kampala'!E10,'23.Luweero-Kamplaa'!E10,'24.8 Luweero-Kampala'!E10,'25.8 Luwero-Kampala-24 HRS'!E10,'26.8 Luweero-Kampala'!E10)</f>
        <v>6</v>
      </c>
      <c r="F10" s="49">
        <f>AVERAGE('20.8 Luwero-Kampala'!F10,'21.8 Luweero-Kampala'!F10,' 22.8 Luweero-Kampala'!F10,'23.Luweero-Kamplaa'!F10,'24.8 Luweero-Kampala'!F10,'25.8 Luwero-Kampala-24 HRS'!F10,'26.8 Luweero-Kampala'!F10)</f>
        <v>7.8571428571428568</v>
      </c>
      <c r="G10" s="49">
        <f>AVERAGE('20.8 Luwero-Kampala'!G10,'21.8 Luweero-Kampala'!G10,' 22.8 Luweero-Kampala'!G10,'23.Luweero-Kamplaa'!G10,'24.8 Luweero-Kampala'!G10,'25.8 Luwero-Kampala-24 HRS'!G10,'26.8 Luweero-Kampala'!G10)</f>
        <v>0.14285714285714285</v>
      </c>
      <c r="H10" s="49">
        <f>AVERAGE('20.8 Luwero-Kampala'!H10,'21.8 Luweero-Kampala'!H10,' 22.8 Luweero-Kampala'!H10,'23.Luweero-Kamplaa'!H10,'24.8 Luweero-Kampala'!H10,'25.8 Luwero-Kampala-24 HRS'!H10,'26.8 Luweero-Kampala'!H10)</f>
        <v>0.42857142857142855</v>
      </c>
      <c r="I10" s="49">
        <f>AVERAGE('20.8 Luwero-Kampala'!I10,'21.8 Luweero-Kampala'!I10,' 22.8 Luweero-Kampala'!I10,'23.Luweero-Kamplaa'!I10,'24.8 Luweero-Kampala'!I10,'25.8 Luwero-Kampala-24 HRS'!I10,'26.8 Luweero-Kampala'!I10)</f>
        <v>3.4285714285714284</v>
      </c>
      <c r="J10" s="49">
        <f>AVERAGE('20.8 Luwero-Kampala'!J10,'21.8 Luweero-Kampala'!J10,' 22.8 Luweero-Kampala'!J10,'23.Luweero-Kamplaa'!J10,'24.8 Luweero-Kampala'!J10,'25.8 Luwero-Kampala-24 HRS'!J10,'26.8 Luweero-Kampala'!J10)</f>
        <v>0.2857142857142857</v>
      </c>
      <c r="K10" s="49">
        <f>AVERAGE('20.8 Luwero-Kampala'!K10,'21.8 Luweero-Kampala'!K10,' 22.8 Luweero-Kampala'!K10,'23.Luweero-Kamplaa'!K10,'24.8 Luweero-Kampala'!K10,'25.8 Luwero-Kampala-24 HRS'!K10,'26.8 Luweero-Kampala'!K10)</f>
        <v>0.2857142857142857</v>
      </c>
      <c r="L10" s="49">
        <f>AVERAGE('20.8 Luwero-Kampala'!L10,'21.8 Luweero-Kampala'!L10,' 22.8 Luweero-Kampala'!L10,'23.Luweero-Kamplaa'!L10,'24.8 Luweero-Kampala'!L10,'25.8 Luwero-Kampala-24 HRS'!L10,'26.8 Luweero-Kampala'!L10)</f>
        <v>1.5714285714285714</v>
      </c>
      <c r="M10" s="49">
        <f>AVERAGE('20.8 Luwero-Kampala'!M10,'21.8 Luweero-Kampala'!M10,' 22.8 Luweero-Kampala'!M10,'23.Luweero-Kamplaa'!M10,'24.8 Luweero-Kampala'!M10,'25.8 Luwero-Kampala-24 HRS'!M10,'26.8 Luweero-Kampala'!M10)</f>
        <v>28.571428571428573</v>
      </c>
      <c r="N10" s="49">
        <f>AVERAGE('20.8 Luwero-Kampala'!N10,'21.8 Luweero-Kampala'!N10,' 22.8 Luweero-Kampala'!N10,'23.Luweero-Kamplaa'!N10,'24.8 Luweero-Kampala'!N10,'25.8 Luwero-Kampala-24 HRS'!N10,'26.8 Luweero-Kampala'!N10)</f>
        <v>0.14285714285714285</v>
      </c>
      <c r="O10" s="15">
        <f t="shared" ref="O10:O73" si="0">SUM(C10:L10,N10)</f>
        <v>21.714285714285712</v>
      </c>
      <c r="P10" s="15">
        <f t="shared" ref="P10:P73" si="1">SUM(C10:N10)</f>
        <v>50.285714285714285</v>
      </c>
      <c r="R10" s="1" t="s">
        <v>6</v>
      </c>
      <c r="S10" s="17">
        <f t="shared" ref="S10:AF10" si="2">SUM(C10:C13)</f>
        <v>12.857142857142858</v>
      </c>
      <c r="T10" s="17">
        <f t="shared" si="2"/>
        <v>0</v>
      </c>
      <c r="U10" s="17">
        <f t="shared" si="2"/>
        <v>24</v>
      </c>
      <c r="V10" s="17">
        <f t="shared" si="2"/>
        <v>38.428571428571431</v>
      </c>
      <c r="W10" s="17">
        <f t="shared" si="2"/>
        <v>0.42857142857142855</v>
      </c>
      <c r="X10" s="17">
        <f t="shared" si="2"/>
        <v>1</v>
      </c>
      <c r="Y10" s="17">
        <f t="shared" si="2"/>
        <v>13</v>
      </c>
      <c r="Z10" s="17">
        <f t="shared" si="2"/>
        <v>1.7142857142857142</v>
      </c>
      <c r="AA10" s="17">
        <f t="shared" si="2"/>
        <v>0.8571428571428571</v>
      </c>
      <c r="AB10" s="17">
        <f t="shared" si="2"/>
        <v>6.4285714285714288</v>
      </c>
      <c r="AC10" s="17">
        <f t="shared" si="2"/>
        <v>159</v>
      </c>
      <c r="AD10" s="17">
        <f t="shared" si="2"/>
        <v>0.14285714285714285</v>
      </c>
      <c r="AE10" s="31">
        <f t="shared" si="2"/>
        <v>98.857142857142847</v>
      </c>
      <c r="AF10" s="31">
        <f t="shared" si="2"/>
        <v>257.85714285714289</v>
      </c>
    </row>
    <row r="11" spans="2:32" s="6" customFormat="1" ht="23.1" customHeight="1" x14ac:dyDescent="0.25">
      <c r="B11" s="23" t="s">
        <v>38</v>
      </c>
      <c r="C11" s="49">
        <f>AVERAGE('20.8 Luwero-Kampala'!C11,'21.8 Luweero-Kampala'!C11,' 22.8 Luweero-Kampala'!C11,'23.Luweero-Kamplaa'!C11,'24.8 Luweero-Kampala'!C11,'25.8 Luwero-Kampala-24 HRS'!C11,'26.8 Luweero-Kampala'!C11)</f>
        <v>4</v>
      </c>
      <c r="D11" s="49">
        <f>AVERAGE('20.8 Luwero-Kampala'!D11,'21.8 Luweero-Kampala'!D11,' 22.8 Luweero-Kampala'!D11,'23.Luweero-Kamplaa'!D11,'24.8 Luweero-Kampala'!D11,'25.8 Luwero-Kampala-24 HRS'!D11,'26.8 Luweero-Kampala'!D11)</f>
        <v>0</v>
      </c>
      <c r="E11" s="49">
        <f>AVERAGE('20.8 Luwero-Kampala'!E11,'21.8 Luweero-Kampala'!E11,' 22.8 Luweero-Kampala'!E11,'23.Luweero-Kamplaa'!E11,'24.8 Luweero-Kampala'!E11,'25.8 Luwero-Kampala-24 HRS'!E11,'26.8 Luweero-Kampala'!E11)</f>
        <v>4.7142857142857144</v>
      </c>
      <c r="F11" s="49">
        <f>AVERAGE('20.8 Luwero-Kampala'!F11,'21.8 Luweero-Kampala'!F11,' 22.8 Luweero-Kampala'!F11,'23.Luweero-Kamplaa'!F11,'24.8 Luweero-Kampala'!F11,'25.8 Luwero-Kampala-24 HRS'!F11,'26.8 Luweero-Kampala'!F11)</f>
        <v>9.5714285714285712</v>
      </c>
      <c r="G11" s="49">
        <f>AVERAGE('20.8 Luwero-Kampala'!G11,'21.8 Luweero-Kampala'!G11,' 22.8 Luweero-Kampala'!G11,'23.Luweero-Kamplaa'!G11,'24.8 Luweero-Kampala'!G11,'25.8 Luwero-Kampala-24 HRS'!G11,'26.8 Luweero-Kampala'!G11)</f>
        <v>0</v>
      </c>
      <c r="H11" s="49">
        <f>AVERAGE('20.8 Luwero-Kampala'!H11,'21.8 Luweero-Kampala'!H11,' 22.8 Luweero-Kampala'!H11,'23.Luweero-Kamplaa'!H11,'24.8 Luweero-Kampala'!H11,'25.8 Luwero-Kampala-24 HRS'!H11,'26.8 Luweero-Kampala'!H11)</f>
        <v>0.42857142857142855</v>
      </c>
      <c r="I11" s="49">
        <f>AVERAGE('20.8 Luwero-Kampala'!I11,'21.8 Luweero-Kampala'!I11,' 22.8 Luweero-Kampala'!I11,'23.Luweero-Kamplaa'!I11,'24.8 Luweero-Kampala'!I11,'25.8 Luwero-Kampala-24 HRS'!I11,'26.8 Luweero-Kampala'!I11)</f>
        <v>2.7142857142857144</v>
      </c>
      <c r="J11" s="49">
        <f>AVERAGE('20.8 Luwero-Kampala'!J11,'21.8 Luweero-Kampala'!J11,' 22.8 Luweero-Kampala'!J11,'23.Luweero-Kamplaa'!J11,'24.8 Luweero-Kampala'!J11,'25.8 Luwero-Kampala-24 HRS'!J11,'26.8 Luweero-Kampala'!J11)</f>
        <v>0.42857142857142855</v>
      </c>
      <c r="K11" s="49">
        <f>AVERAGE('20.8 Luwero-Kampala'!K11,'21.8 Luweero-Kampala'!K11,' 22.8 Luweero-Kampala'!K11,'23.Luweero-Kamplaa'!K11,'24.8 Luweero-Kampala'!K11,'25.8 Luwero-Kampala-24 HRS'!K11,'26.8 Luweero-Kampala'!K11)</f>
        <v>0.2857142857142857</v>
      </c>
      <c r="L11" s="49">
        <f>AVERAGE('20.8 Luwero-Kampala'!L11,'21.8 Luweero-Kampala'!L11,' 22.8 Luweero-Kampala'!L11,'23.Luweero-Kamplaa'!L11,'24.8 Luweero-Kampala'!L11,'25.8 Luwero-Kampala-24 HRS'!L11,'26.8 Luweero-Kampala'!L11)</f>
        <v>2</v>
      </c>
      <c r="M11" s="49">
        <f>AVERAGE('20.8 Luwero-Kampala'!M11,'21.8 Luweero-Kampala'!M11,' 22.8 Luweero-Kampala'!M11,'23.Luweero-Kamplaa'!M11,'24.8 Luweero-Kampala'!M11,'25.8 Luwero-Kampala-24 HRS'!M11,'26.8 Luweero-Kampala'!M11)</f>
        <v>34.571428571428569</v>
      </c>
      <c r="N11" s="49">
        <f>AVERAGE('20.8 Luwero-Kampala'!N11,'21.8 Luweero-Kampala'!N11,' 22.8 Luweero-Kampala'!N11,'23.Luweero-Kamplaa'!N11,'24.8 Luweero-Kampala'!N11,'25.8 Luwero-Kampala-24 HRS'!N11,'26.8 Luweero-Kampala'!N11)</f>
        <v>0</v>
      </c>
      <c r="O11" s="15">
        <f t="shared" si="0"/>
        <v>24.142857142857139</v>
      </c>
      <c r="P11" s="15">
        <f t="shared" si="1"/>
        <v>58.714285714285708</v>
      </c>
      <c r="R11" s="1" t="s">
        <v>7</v>
      </c>
      <c r="S11" s="17">
        <f t="shared" ref="S11:AF11" si="3">SUM(C14:C17)</f>
        <v>18</v>
      </c>
      <c r="T11" s="17">
        <f t="shared" si="3"/>
        <v>0</v>
      </c>
      <c r="U11" s="17">
        <f t="shared" si="3"/>
        <v>39.571428571428577</v>
      </c>
      <c r="V11" s="17">
        <f t="shared" si="3"/>
        <v>53</v>
      </c>
      <c r="W11" s="17">
        <f t="shared" si="3"/>
        <v>0</v>
      </c>
      <c r="X11" s="17">
        <f t="shared" si="3"/>
        <v>1.1428571428571428</v>
      </c>
      <c r="Y11" s="17">
        <f t="shared" si="3"/>
        <v>15.285714285714285</v>
      </c>
      <c r="Z11" s="17">
        <f t="shared" si="3"/>
        <v>1.1428571428571428</v>
      </c>
      <c r="AA11" s="17">
        <f t="shared" si="3"/>
        <v>0.8571428571428571</v>
      </c>
      <c r="AB11" s="17">
        <f t="shared" si="3"/>
        <v>5</v>
      </c>
      <c r="AC11" s="17">
        <f t="shared" si="3"/>
        <v>236.85714285714289</v>
      </c>
      <c r="AD11" s="17">
        <f t="shared" si="3"/>
        <v>0.14285714285714285</v>
      </c>
      <c r="AE11" s="31">
        <f t="shared" si="3"/>
        <v>134.14285714285714</v>
      </c>
      <c r="AF11" s="31">
        <f t="shared" si="3"/>
        <v>371</v>
      </c>
    </row>
    <row r="12" spans="2:32" ht="23.1" customHeight="1" x14ac:dyDescent="0.25">
      <c r="B12" s="23" t="s">
        <v>39</v>
      </c>
      <c r="C12" s="49">
        <f>AVERAGE('20.8 Luwero-Kampala'!C12,'21.8 Luweero-Kampala'!C12,' 22.8 Luweero-Kampala'!C12,'23.Luweero-Kamplaa'!C12,'24.8 Luweero-Kampala'!C12,'25.8 Luwero-Kampala-24 HRS'!C12,'26.8 Luweero-Kampala'!C12)</f>
        <v>3.5714285714285716</v>
      </c>
      <c r="D12" s="49">
        <f>AVERAGE('20.8 Luwero-Kampala'!D12,'21.8 Luweero-Kampala'!D12,' 22.8 Luweero-Kampala'!D12,'23.Luweero-Kamplaa'!D12,'24.8 Luweero-Kampala'!D12,'25.8 Luwero-Kampala-24 HRS'!D12,'26.8 Luweero-Kampala'!D12)</f>
        <v>0</v>
      </c>
      <c r="E12" s="49">
        <f>AVERAGE('20.8 Luwero-Kampala'!E12,'21.8 Luweero-Kampala'!E12,' 22.8 Luweero-Kampala'!E12,'23.Luweero-Kamplaa'!E12,'24.8 Luweero-Kampala'!E12,'25.8 Luwero-Kampala-24 HRS'!E12,'26.8 Luweero-Kampala'!E12)</f>
        <v>6</v>
      </c>
      <c r="F12" s="49">
        <f>AVERAGE('20.8 Luwero-Kampala'!F12,'21.8 Luweero-Kampala'!F12,' 22.8 Luweero-Kampala'!F12,'23.Luweero-Kamplaa'!F12,'24.8 Luweero-Kampala'!F12,'25.8 Luwero-Kampala-24 HRS'!F12,'26.8 Luweero-Kampala'!F12)</f>
        <v>9.8571428571428577</v>
      </c>
      <c r="G12" s="49">
        <f>AVERAGE('20.8 Luwero-Kampala'!G12,'21.8 Luweero-Kampala'!G12,' 22.8 Luweero-Kampala'!G12,'23.Luweero-Kamplaa'!G12,'24.8 Luweero-Kampala'!G12,'25.8 Luwero-Kampala-24 HRS'!G12,'26.8 Luweero-Kampala'!G12)</f>
        <v>0.14285714285714285</v>
      </c>
      <c r="H12" s="49">
        <f>AVERAGE('20.8 Luwero-Kampala'!H12,'21.8 Luweero-Kampala'!H12,' 22.8 Luweero-Kampala'!H12,'23.Luweero-Kamplaa'!H12,'24.8 Luweero-Kampala'!H12,'25.8 Luwero-Kampala-24 HRS'!H12,'26.8 Luweero-Kampala'!H12)</f>
        <v>0</v>
      </c>
      <c r="I12" s="49">
        <f>AVERAGE('20.8 Luwero-Kampala'!I12,'21.8 Luweero-Kampala'!I12,' 22.8 Luweero-Kampala'!I12,'23.Luweero-Kamplaa'!I12,'24.8 Luweero-Kampala'!I12,'25.8 Luwero-Kampala-24 HRS'!I12,'26.8 Luweero-Kampala'!I12)</f>
        <v>3.5714285714285716</v>
      </c>
      <c r="J12" s="49">
        <f>AVERAGE('20.8 Luwero-Kampala'!J12,'21.8 Luweero-Kampala'!J12,' 22.8 Luweero-Kampala'!J12,'23.Luweero-Kamplaa'!J12,'24.8 Luweero-Kampala'!J12,'25.8 Luwero-Kampala-24 HRS'!J12,'26.8 Luweero-Kampala'!J12)</f>
        <v>0.42857142857142855</v>
      </c>
      <c r="K12" s="49">
        <f>AVERAGE('20.8 Luwero-Kampala'!K12,'21.8 Luweero-Kampala'!K12,' 22.8 Luweero-Kampala'!K12,'23.Luweero-Kamplaa'!K12,'24.8 Luweero-Kampala'!K12,'25.8 Luwero-Kampala-24 HRS'!K12,'26.8 Luweero-Kampala'!K12)</f>
        <v>0.2857142857142857</v>
      </c>
      <c r="L12" s="49">
        <f>AVERAGE('20.8 Luwero-Kampala'!L12,'21.8 Luweero-Kampala'!L12,' 22.8 Luweero-Kampala'!L12,'23.Luweero-Kamplaa'!L12,'24.8 Luweero-Kampala'!L12,'25.8 Luwero-Kampala-24 HRS'!L12,'26.8 Luweero-Kampala'!L12)</f>
        <v>1</v>
      </c>
      <c r="M12" s="49">
        <f>AVERAGE('20.8 Luwero-Kampala'!M12,'21.8 Luweero-Kampala'!M12,' 22.8 Luweero-Kampala'!M12,'23.Luweero-Kamplaa'!M12,'24.8 Luweero-Kampala'!M12,'25.8 Luwero-Kampala-24 HRS'!M12,'26.8 Luweero-Kampala'!M12)</f>
        <v>49.857142857142854</v>
      </c>
      <c r="N12" s="49">
        <f>AVERAGE('20.8 Luwero-Kampala'!N12,'21.8 Luweero-Kampala'!N12,' 22.8 Luweero-Kampala'!N12,'23.Luweero-Kamplaa'!N12,'24.8 Luweero-Kampala'!N12,'25.8 Luwero-Kampala-24 HRS'!N12,'26.8 Luweero-Kampala'!N12)</f>
        <v>0</v>
      </c>
      <c r="O12" s="15">
        <f t="shared" si="0"/>
        <v>24.857142857142858</v>
      </c>
      <c r="P12" s="15">
        <f t="shared" si="1"/>
        <v>74.714285714285708</v>
      </c>
      <c r="R12" s="1" t="s">
        <v>8</v>
      </c>
      <c r="S12" s="17">
        <f t="shared" ref="S12:AF12" si="4">SUM(C18:C21)</f>
        <v>24.142857142857146</v>
      </c>
      <c r="T12" s="17">
        <f t="shared" si="4"/>
        <v>0</v>
      </c>
      <c r="U12" s="17">
        <f t="shared" si="4"/>
        <v>39.571428571428569</v>
      </c>
      <c r="V12" s="17">
        <f t="shared" si="4"/>
        <v>55.428571428571423</v>
      </c>
      <c r="W12" s="17">
        <f t="shared" si="4"/>
        <v>0.8571428571428571</v>
      </c>
      <c r="X12" s="17">
        <f t="shared" si="4"/>
        <v>0.71428571428571419</v>
      </c>
      <c r="Y12" s="17">
        <f t="shared" si="4"/>
        <v>20</v>
      </c>
      <c r="Z12" s="17">
        <f t="shared" si="4"/>
        <v>0.8571428571428571</v>
      </c>
      <c r="AA12" s="17">
        <f t="shared" si="4"/>
        <v>0.14285714285714285</v>
      </c>
      <c r="AB12" s="17">
        <f t="shared" si="4"/>
        <v>4</v>
      </c>
      <c r="AC12" s="17">
        <f t="shared" si="4"/>
        <v>254.57142857142856</v>
      </c>
      <c r="AD12" s="17">
        <f t="shared" si="4"/>
        <v>0</v>
      </c>
      <c r="AE12" s="31">
        <f t="shared" si="4"/>
        <v>145.71428571428572</v>
      </c>
      <c r="AF12" s="31">
        <f t="shared" si="4"/>
        <v>400.28571428571428</v>
      </c>
    </row>
    <row r="13" spans="2:32" ht="23.1" customHeight="1" x14ac:dyDescent="0.25">
      <c r="B13" s="23" t="s">
        <v>40</v>
      </c>
      <c r="C13" s="49">
        <f>AVERAGE('20.8 Luwero-Kampala'!C13,'21.8 Luweero-Kampala'!C13,' 22.8 Luweero-Kampala'!C13,'23.Luweero-Kamplaa'!C13,'24.8 Luweero-Kampala'!C13,'25.8 Luwero-Kampala-24 HRS'!C13,'26.8 Luweero-Kampala'!C13)</f>
        <v>3.7142857142857144</v>
      </c>
      <c r="D13" s="49">
        <f>AVERAGE('20.8 Luwero-Kampala'!D13,'21.8 Luweero-Kampala'!D13,' 22.8 Luweero-Kampala'!D13,'23.Luweero-Kamplaa'!D13,'24.8 Luweero-Kampala'!D13,'25.8 Luwero-Kampala-24 HRS'!D13,'26.8 Luweero-Kampala'!D13)</f>
        <v>0</v>
      </c>
      <c r="E13" s="49">
        <f>AVERAGE('20.8 Luwero-Kampala'!E13,'21.8 Luweero-Kampala'!E13,' 22.8 Luweero-Kampala'!E13,'23.Luweero-Kamplaa'!E13,'24.8 Luweero-Kampala'!E13,'25.8 Luwero-Kampala-24 HRS'!E13,'26.8 Luweero-Kampala'!E13)</f>
        <v>7.2857142857142856</v>
      </c>
      <c r="F13" s="49">
        <f>AVERAGE('20.8 Luwero-Kampala'!F13,'21.8 Luweero-Kampala'!F13,' 22.8 Luweero-Kampala'!F13,'23.Luweero-Kamplaa'!F13,'24.8 Luweero-Kampala'!F13,'25.8 Luwero-Kampala-24 HRS'!F13,'26.8 Luweero-Kampala'!F13)</f>
        <v>11.142857142857142</v>
      </c>
      <c r="G13" s="49">
        <f>AVERAGE('20.8 Luwero-Kampala'!G13,'21.8 Luweero-Kampala'!G13,' 22.8 Luweero-Kampala'!G13,'23.Luweero-Kamplaa'!G13,'24.8 Luweero-Kampala'!G13,'25.8 Luwero-Kampala-24 HRS'!G13,'26.8 Luweero-Kampala'!G13)</f>
        <v>0.14285714285714285</v>
      </c>
      <c r="H13" s="49">
        <f>AVERAGE('20.8 Luwero-Kampala'!H13,'21.8 Luweero-Kampala'!H13,' 22.8 Luweero-Kampala'!H13,'23.Luweero-Kamplaa'!H13,'24.8 Luweero-Kampala'!H13,'25.8 Luwero-Kampala-24 HRS'!H13,'26.8 Luweero-Kampala'!H13)</f>
        <v>0.14285714285714285</v>
      </c>
      <c r="I13" s="49">
        <f>AVERAGE('20.8 Luwero-Kampala'!I13,'21.8 Luweero-Kampala'!I13,' 22.8 Luweero-Kampala'!I13,'23.Luweero-Kamplaa'!I13,'24.8 Luweero-Kampala'!I13,'25.8 Luwero-Kampala-24 HRS'!I13,'26.8 Luweero-Kampala'!I13)</f>
        <v>3.2857142857142856</v>
      </c>
      <c r="J13" s="49">
        <f>AVERAGE('20.8 Luwero-Kampala'!J13,'21.8 Luweero-Kampala'!J13,' 22.8 Luweero-Kampala'!J13,'23.Luweero-Kamplaa'!J13,'24.8 Luweero-Kampala'!J13,'25.8 Luwero-Kampala-24 HRS'!J13,'26.8 Luweero-Kampala'!J13)</f>
        <v>0.5714285714285714</v>
      </c>
      <c r="K13" s="49">
        <f>AVERAGE('20.8 Luwero-Kampala'!K13,'21.8 Luweero-Kampala'!K13,' 22.8 Luweero-Kampala'!K13,'23.Luweero-Kamplaa'!K13,'24.8 Luweero-Kampala'!K13,'25.8 Luwero-Kampala-24 HRS'!K13,'26.8 Luweero-Kampala'!K13)</f>
        <v>0</v>
      </c>
      <c r="L13" s="49">
        <f>AVERAGE('20.8 Luwero-Kampala'!L13,'21.8 Luweero-Kampala'!L13,' 22.8 Luweero-Kampala'!L13,'23.Luweero-Kamplaa'!L13,'24.8 Luweero-Kampala'!L13,'25.8 Luwero-Kampala-24 HRS'!L13,'26.8 Luweero-Kampala'!L13)</f>
        <v>1.8571428571428572</v>
      </c>
      <c r="M13" s="49">
        <f>AVERAGE('20.8 Luwero-Kampala'!M13,'21.8 Luweero-Kampala'!M13,' 22.8 Luweero-Kampala'!M13,'23.Luweero-Kamplaa'!M13,'24.8 Luweero-Kampala'!M13,'25.8 Luwero-Kampala-24 HRS'!M13,'26.8 Luweero-Kampala'!M13)</f>
        <v>46</v>
      </c>
      <c r="N13" s="49">
        <f>AVERAGE('20.8 Luwero-Kampala'!N13,'21.8 Luweero-Kampala'!N13,' 22.8 Luweero-Kampala'!N13,'23.Luweero-Kamplaa'!N13,'24.8 Luweero-Kampala'!N13,'25.8 Luwero-Kampala-24 HRS'!N13,'26.8 Luweero-Kampala'!N13)</f>
        <v>0</v>
      </c>
      <c r="O13" s="15">
        <f t="shared" si="0"/>
        <v>28.142857142857142</v>
      </c>
      <c r="P13" s="15">
        <f t="shared" si="1"/>
        <v>74.142857142857139</v>
      </c>
      <c r="R13" s="1" t="s">
        <v>9</v>
      </c>
      <c r="S13" s="17">
        <f t="shared" ref="S13:AF13" si="5">SUM(C22:C25)</f>
        <v>26</v>
      </c>
      <c r="T13" s="17">
        <f t="shared" si="5"/>
        <v>0</v>
      </c>
      <c r="U13" s="17">
        <f t="shared" si="5"/>
        <v>50.142857142857139</v>
      </c>
      <c r="V13" s="17">
        <f t="shared" si="5"/>
        <v>52.571428571428569</v>
      </c>
      <c r="W13" s="17">
        <f t="shared" si="5"/>
        <v>0.5714285714285714</v>
      </c>
      <c r="X13" s="17">
        <f t="shared" si="5"/>
        <v>1.1428571428571428</v>
      </c>
      <c r="Y13" s="17">
        <f t="shared" si="5"/>
        <v>22.571428571428569</v>
      </c>
      <c r="Z13" s="17">
        <f t="shared" si="5"/>
        <v>1.5714285714285714</v>
      </c>
      <c r="AA13" s="17">
        <f t="shared" si="5"/>
        <v>0.42857142857142855</v>
      </c>
      <c r="AB13" s="17">
        <f t="shared" si="5"/>
        <v>4.2857142857142856</v>
      </c>
      <c r="AC13" s="17">
        <f t="shared" si="5"/>
        <v>277.14285714285711</v>
      </c>
      <c r="AD13" s="17">
        <f t="shared" si="5"/>
        <v>0.14285714285714285</v>
      </c>
      <c r="AE13" s="31">
        <f t="shared" si="5"/>
        <v>159.42857142857144</v>
      </c>
      <c r="AF13" s="31">
        <f t="shared" si="5"/>
        <v>436.57142857142856</v>
      </c>
    </row>
    <row r="14" spans="2:32" ht="23.1" customHeight="1" x14ac:dyDescent="0.25">
      <c r="B14" s="23" t="s">
        <v>41</v>
      </c>
      <c r="C14" s="49">
        <f>AVERAGE('20.8 Luwero-Kampala'!C14,'21.8 Luweero-Kampala'!C14,' 22.8 Luweero-Kampala'!C14,'23.Luweero-Kamplaa'!C14,'24.8 Luweero-Kampala'!C14,'25.8 Luwero-Kampala-24 HRS'!C14,'26.8 Luweero-Kampala'!C14)</f>
        <v>3.5714285714285716</v>
      </c>
      <c r="D14" s="49">
        <f>AVERAGE('20.8 Luwero-Kampala'!D14,'21.8 Luweero-Kampala'!D14,' 22.8 Luweero-Kampala'!D14,'23.Luweero-Kamplaa'!D14,'24.8 Luweero-Kampala'!D14,'25.8 Luwero-Kampala-24 HRS'!D14,'26.8 Luweero-Kampala'!D14)</f>
        <v>0</v>
      </c>
      <c r="E14" s="49">
        <f>AVERAGE('20.8 Luwero-Kampala'!E14,'21.8 Luweero-Kampala'!E14,' 22.8 Luweero-Kampala'!E14,'23.Luweero-Kamplaa'!E14,'24.8 Luweero-Kampala'!E14,'25.8 Luwero-Kampala-24 HRS'!E14,'26.8 Luweero-Kampala'!E14)</f>
        <v>9.8571428571428577</v>
      </c>
      <c r="F14" s="49">
        <f>AVERAGE('20.8 Luwero-Kampala'!F14,'21.8 Luweero-Kampala'!F14,' 22.8 Luweero-Kampala'!F14,'23.Luweero-Kamplaa'!F14,'24.8 Luweero-Kampala'!F14,'25.8 Luwero-Kampala-24 HRS'!F14,'26.8 Luweero-Kampala'!F14)</f>
        <v>9.7142857142857135</v>
      </c>
      <c r="G14" s="49">
        <f>AVERAGE('20.8 Luwero-Kampala'!G14,'21.8 Luweero-Kampala'!G14,' 22.8 Luweero-Kampala'!G14,'23.Luweero-Kamplaa'!G14,'24.8 Luweero-Kampala'!G14,'25.8 Luwero-Kampala-24 HRS'!G14,'26.8 Luweero-Kampala'!G14)</f>
        <v>0</v>
      </c>
      <c r="H14" s="49">
        <f>AVERAGE('20.8 Luwero-Kampala'!H14,'21.8 Luweero-Kampala'!H14,' 22.8 Luweero-Kampala'!H14,'23.Luweero-Kamplaa'!H14,'24.8 Luweero-Kampala'!H14,'25.8 Luwero-Kampala-24 HRS'!H14,'26.8 Luweero-Kampala'!H14)</f>
        <v>0</v>
      </c>
      <c r="I14" s="49">
        <f>AVERAGE('20.8 Luwero-Kampala'!I14,'21.8 Luweero-Kampala'!I14,' 22.8 Luweero-Kampala'!I14,'23.Luweero-Kamplaa'!I14,'24.8 Luweero-Kampala'!I14,'25.8 Luwero-Kampala-24 HRS'!I14,'26.8 Luweero-Kampala'!I14)</f>
        <v>3</v>
      </c>
      <c r="J14" s="49">
        <f>AVERAGE('20.8 Luwero-Kampala'!J14,'21.8 Luweero-Kampala'!J14,' 22.8 Luweero-Kampala'!J14,'23.Luweero-Kamplaa'!J14,'24.8 Luweero-Kampala'!J14,'25.8 Luwero-Kampala-24 HRS'!J14,'26.8 Luweero-Kampala'!J14)</f>
        <v>0.42857142857142855</v>
      </c>
      <c r="K14" s="49">
        <f>AVERAGE('20.8 Luwero-Kampala'!K14,'21.8 Luweero-Kampala'!K14,' 22.8 Luweero-Kampala'!K14,'23.Luweero-Kamplaa'!K14,'24.8 Luweero-Kampala'!K14,'25.8 Luwero-Kampala-24 HRS'!K14,'26.8 Luweero-Kampala'!K14)</f>
        <v>0.2857142857142857</v>
      </c>
      <c r="L14" s="49">
        <f>AVERAGE('20.8 Luwero-Kampala'!L14,'21.8 Luweero-Kampala'!L14,' 22.8 Luweero-Kampala'!L14,'23.Luweero-Kamplaa'!L14,'24.8 Luweero-Kampala'!L14,'25.8 Luwero-Kampala-24 HRS'!L14,'26.8 Luweero-Kampala'!L14)</f>
        <v>0.5714285714285714</v>
      </c>
      <c r="M14" s="49">
        <f>AVERAGE('20.8 Luwero-Kampala'!M14,'21.8 Luweero-Kampala'!M14,' 22.8 Luweero-Kampala'!M14,'23.Luweero-Kamplaa'!M14,'24.8 Luweero-Kampala'!M14,'25.8 Luwero-Kampala-24 HRS'!M14,'26.8 Luweero-Kampala'!M14)</f>
        <v>54.142857142857146</v>
      </c>
      <c r="N14" s="49">
        <f>AVERAGE('20.8 Luwero-Kampala'!N14,'21.8 Luweero-Kampala'!N14,' 22.8 Luweero-Kampala'!N14,'23.Luweero-Kamplaa'!N14,'24.8 Luweero-Kampala'!N14,'25.8 Luwero-Kampala-24 HRS'!N14,'26.8 Luweero-Kampala'!N14)</f>
        <v>0</v>
      </c>
      <c r="O14" s="15">
        <f t="shared" si="0"/>
        <v>27.428571428571427</v>
      </c>
      <c r="P14" s="15">
        <f t="shared" si="1"/>
        <v>81.571428571428569</v>
      </c>
      <c r="R14" s="1" t="s">
        <v>10</v>
      </c>
      <c r="S14" s="17">
        <f t="shared" ref="S14:AF14" si="6">SUM(C26:C29)</f>
        <v>26.714285714285712</v>
      </c>
      <c r="T14" s="17">
        <f t="shared" si="6"/>
        <v>0</v>
      </c>
      <c r="U14" s="17">
        <f t="shared" si="6"/>
        <v>53.857142857142854</v>
      </c>
      <c r="V14" s="17">
        <f t="shared" si="6"/>
        <v>50.428571428571431</v>
      </c>
      <c r="W14" s="17">
        <f t="shared" si="6"/>
        <v>1.1428571428571428</v>
      </c>
      <c r="X14" s="17">
        <f t="shared" si="6"/>
        <v>2.714285714285714</v>
      </c>
      <c r="Y14" s="17">
        <f t="shared" si="6"/>
        <v>20.857142857142858</v>
      </c>
      <c r="Z14" s="17">
        <f t="shared" si="6"/>
        <v>1</v>
      </c>
      <c r="AA14" s="17">
        <f t="shared" si="6"/>
        <v>0.71428571428571419</v>
      </c>
      <c r="AB14" s="17">
        <f t="shared" si="6"/>
        <v>4</v>
      </c>
      <c r="AC14" s="17">
        <f t="shared" si="6"/>
        <v>263.14285714285717</v>
      </c>
      <c r="AD14" s="17">
        <f t="shared" si="6"/>
        <v>0</v>
      </c>
      <c r="AE14" s="31">
        <f t="shared" si="6"/>
        <v>161.42857142857144</v>
      </c>
      <c r="AF14" s="31">
        <f t="shared" si="6"/>
        <v>424.57142857142861</v>
      </c>
    </row>
    <row r="15" spans="2:32" ht="23.1" customHeight="1" x14ac:dyDescent="0.25">
      <c r="B15" s="23" t="s">
        <v>42</v>
      </c>
      <c r="C15" s="49">
        <f>AVERAGE('20.8 Luwero-Kampala'!C15,'21.8 Luweero-Kampala'!C15,' 22.8 Luweero-Kampala'!C15,'23.Luweero-Kamplaa'!C15,'24.8 Luweero-Kampala'!C15,'25.8 Luwero-Kampala-24 HRS'!C15,'26.8 Luweero-Kampala'!C15)</f>
        <v>3.7142857142857144</v>
      </c>
      <c r="D15" s="49">
        <f>AVERAGE('20.8 Luwero-Kampala'!D15,'21.8 Luweero-Kampala'!D15,' 22.8 Luweero-Kampala'!D15,'23.Luweero-Kamplaa'!D15,'24.8 Luweero-Kampala'!D15,'25.8 Luwero-Kampala-24 HRS'!D15,'26.8 Luweero-Kampala'!D15)</f>
        <v>0</v>
      </c>
      <c r="E15" s="49">
        <f>AVERAGE('20.8 Luwero-Kampala'!E15,'21.8 Luweero-Kampala'!E15,' 22.8 Luweero-Kampala'!E15,'23.Luweero-Kamplaa'!E15,'24.8 Luweero-Kampala'!E15,'25.8 Luwero-Kampala-24 HRS'!E15,'26.8 Luweero-Kampala'!E15)</f>
        <v>9.2857142857142865</v>
      </c>
      <c r="F15" s="49">
        <f>AVERAGE('20.8 Luwero-Kampala'!F15,'21.8 Luweero-Kampala'!F15,' 22.8 Luweero-Kampala'!F15,'23.Luweero-Kamplaa'!F15,'24.8 Luweero-Kampala'!F15,'25.8 Luwero-Kampala-24 HRS'!F15,'26.8 Luweero-Kampala'!F15)</f>
        <v>10.428571428571429</v>
      </c>
      <c r="G15" s="49">
        <f>AVERAGE('20.8 Luwero-Kampala'!G15,'21.8 Luweero-Kampala'!G15,' 22.8 Luweero-Kampala'!G15,'23.Luweero-Kamplaa'!G15,'24.8 Luweero-Kampala'!G15,'25.8 Luwero-Kampala-24 HRS'!G15,'26.8 Luweero-Kampala'!G15)</f>
        <v>0</v>
      </c>
      <c r="H15" s="49">
        <f>AVERAGE('20.8 Luwero-Kampala'!H15,'21.8 Luweero-Kampala'!H15,' 22.8 Luweero-Kampala'!H15,'23.Luweero-Kamplaa'!H15,'24.8 Luweero-Kampala'!H15,'25.8 Luwero-Kampala-24 HRS'!H15,'26.8 Luweero-Kampala'!H15)</f>
        <v>0.42857142857142855</v>
      </c>
      <c r="I15" s="49">
        <f>AVERAGE('20.8 Luwero-Kampala'!I15,'21.8 Luweero-Kampala'!I15,' 22.8 Luweero-Kampala'!I15,'23.Luweero-Kamplaa'!I15,'24.8 Luweero-Kampala'!I15,'25.8 Luwero-Kampala-24 HRS'!I15,'26.8 Luweero-Kampala'!I15)</f>
        <v>5.1428571428571432</v>
      </c>
      <c r="J15" s="49">
        <f>AVERAGE('20.8 Luwero-Kampala'!J15,'21.8 Luweero-Kampala'!J15,' 22.8 Luweero-Kampala'!J15,'23.Luweero-Kamplaa'!J15,'24.8 Luweero-Kampala'!J15,'25.8 Luwero-Kampala-24 HRS'!J15,'26.8 Luweero-Kampala'!J15)</f>
        <v>0.2857142857142857</v>
      </c>
      <c r="K15" s="49">
        <f>AVERAGE('20.8 Luwero-Kampala'!K15,'21.8 Luweero-Kampala'!K15,' 22.8 Luweero-Kampala'!K15,'23.Luweero-Kamplaa'!K15,'24.8 Luweero-Kampala'!K15,'25.8 Luwero-Kampala-24 HRS'!K15,'26.8 Luweero-Kampala'!K15)</f>
        <v>0</v>
      </c>
      <c r="L15" s="49">
        <f>AVERAGE('20.8 Luwero-Kampala'!L15,'21.8 Luweero-Kampala'!L15,' 22.8 Luweero-Kampala'!L15,'23.Luweero-Kamplaa'!L15,'24.8 Luweero-Kampala'!L15,'25.8 Luwero-Kampala-24 HRS'!L15,'26.8 Luweero-Kampala'!L15)</f>
        <v>1</v>
      </c>
      <c r="M15" s="49">
        <f>AVERAGE('20.8 Luwero-Kampala'!M15,'21.8 Luweero-Kampala'!M15,' 22.8 Luweero-Kampala'!M15,'23.Luweero-Kamplaa'!M15,'24.8 Luweero-Kampala'!M15,'25.8 Luwero-Kampala-24 HRS'!M15,'26.8 Luweero-Kampala'!M15)</f>
        <v>57.571428571428569</v>
      </c>
      <c r="N15" s="49">
        <f>AVERAGE('20.8 Luwero-Kampala'!N15,'21.8 Luweero-Kampala'!N15,' 22.8 Luweero-Kampala'!N15,'23.Luweero-Kamplaa'!N15,'24.8 Luweero-Kampala'!N15,'25.8 Luwero-Kampala-24 HRS'!N15,'26.8 Luweero-Kampala'!N15)</f>
        <v>0</v>
      </c>
      <c r="O15" s="15">
        <f t="shared" si="0"/>
        <v>30.285714285714285</v>
      </c>
      <c r="P15" s="15">
        <f t="shared" si="1"/>
        <v>87.857142857142861</v>
      </c>
      <c r="R15" s="1" t="s">
        <v>11</v>
      </c>
      <c r="S15" s="17">
        <f t="shared" ref="S15:AF15" si="7">SUM(C30:C33)</f>
        <v>26.714285714285715</v>
      </c>
      <c r="T15" s="17">
        <f t="shared" si="7"/>
        <v>0</v>
      </c>
      <c r="U15" s="17">
        <f t="shared" si="7"/>
        <v>48.285714285714292</v>
      </c>
      <c r="V15" s="17">
        <f t="shared" si="7"/>
        <v>52.428571428571431</v>
      </c>
      <c r="W15" s="17">
        <f t="shared" si="7"/>
        <v>0.5714285714285714</v>
      </c>
      <c r="X15" s="17">
        <f t="shared" si="7"/>
        <v>2.8571428571428568</v>
      </c>
      <c r="Y15" s="17">
        <f t="shared" si="7"/>
        <v>27.285714285714285</v>
      </c>
      <c r="Z15" s="17">
        <f t="shared" si="7"/>
        <v>1.857142857142857</v>
      </c>
      <c r="AA15" s="17">
        <f t="shared" si="7"/>
        <v>0.71428571428571419</v>
      </c>
      <c r="AB15" s="17">
        <f t="shared" si="7"/>
        <v>4.7142857142857144</v>
      </c>
      <c r="AC15" s="17">
        <f t="shared" si="7"/>
        <v>250.42857142857142</v>
      </c>
      <c r="AD15" s="17">
        <f t="shared" si="7"/>
        <v>0</v>
      </c>
      <c r="AE15" s="31">
        <f t="shared" si="7"/>
        <v>165.42857142857144</v>
      </c>
      <c r="AF15" s="31">
        <f t="shared" si="7"/>
        <v>415.85714285714289</v>
      </c>
    </row>
    <row r="16" spans="2:32" ht="23.1" customHeight="1" x14ac:dyDescent="0.25">
      <c r="B16" s="23" t="s">
        <v>43</v>
      </c>
      <c r="C16" s="49">
        <f>AVERAGE('20.8 Luwero-Kampala'!C16,'21.8 Luweero-Kampala'!C16,' 22.8 Luweero-Kampala'!C16,'23.Luweero-Kamplaa'!C16,'24.8 Luweero-Kampala'!C16,'25.8 Luwero-Kampala-24 HRS'!C16,'26.8 Luweero-Kampala'!C16)</f>
        <v>5.7142857142857144</v>
      </c>
      <c r="D16" s="49">
        <f>AVERAGE('20.8 Luwero-Kampala'!D16,'21.8 Luweero-Kampala'!D16,' 22.8 Luweero-Kampala'!D16,'23.Luweero-Kamplaa'!D16,'24.8 Luweero-Kampala'!D16,'25.8 Luwero-Kampala-24 HRS'!D16,'26.8 Luweero-Kampala'!D16)</f>
        <v>0</v>
      </c>
      <c r="E16" s="49">
        <f>AVERAGE('20.8 Luwero-Kampala'!E16,'21.8 Luweero-Kampala'!E16,' 22.8 Luweero-Kampala'!E16,'23.Luweero-Kamplaa'!E16,'24.8 Luweero-Kampala'!E16,'25.8 Luwero-Kampala-24 HRS'!E16,'26.8 Luweero-Kampala'!E16)</f>
        <v>10</v>
      </c>
      <c r="F16" s="49">
        <f>AVERAGE('20.8 Luwero-Kampala'!F16,'21.8 Luweero-Kampala'!F16,' 22.8 Luweero-Kampala'!F16,'23.Luweero-Kamplaa'!F16,'24.8 Luweero-Kampala'!F16,'25.8 Luwero-Kampala-24 HRS'!F16,'26.8 Luweero-Kampala'!F16)</f>
        <v>14.857142857142858</v>
      </c>
      <c r="G16" s="49">
        <f>AVERAGE('20.8 Luwero-Kampala'!G16,'21.8 Luweero-Kampala'!G16,' 22.8 Luweero-Kampala'!G16,'23.Luweero-Kamplaa'!G16,'24.8 Luweero-Kampala'!G16,'25.8 Luwero-Kampala-24 HRS'!G16,'26.8 Luweero-Kampala'!G16)</f>
        <v>0</v>
      </c>
      <c r="H16" s="49">
        <f>AVERAGE('20.8 Luwero-Kampala'!H16,'21.8 Luweero-Kampala'!H16,' 22.8 Luweero-Kampala'!H16,'23.Luweero-Kamplaa'!H16,'24.8 Luweero-Kampala'!H16,'25.8 Luwero-Kampala-24 HRS'!H16,'26.8 Luweero-Kampala'!H16)</f>
        <v>0.5714285714285714</v>
      </c>
      <c r="I16" s="49">
        <f>AVERAGE('20.8 Luwero-Kampala'!I16,'21.8 Luweero-Kampala'!I16,' 22.8 Luweero-Kampala'!I16,'23.Luweero-Kamplaa'!I16,'24.8 Luweero-Kampala'!I16,'25.8 Luwero-Kampala-24 HRS'!I16,'26.8 Luweero-Kampala'!I16)</f>
        <v>3</v>
      </c>
      <c r="J16" s="49">
        <f>AVERAGE('20.8 Luwero-Kampala'!J16,'21.8 Luweero-Kampala'!J16,' 22.8 Luweero-Kampala'!J16,'23.Luweero-Kamplaa'!J16,'24.8 Luweero-Kampala'!J16,'25.8 Luwero-Kampala-24 HRS'!J16,'26.8 Luweero-Kampala'!J16)</f>
        <v>0</v>
      </c>
      <c r="K16" s="49">
        <f>AVERAGE('20.8 Luwero-Kampala'!K16,'21.8 Luweero-Kampala'!K16,' 22.8 Luweero-Kampala'!K16,'23.Luweero-Kamplaa'!K16,'24.8 Luweero-Kampala'!K16,'25.8 Luwero-Kampala-24 HRS'!K16,'26.8 Luweero-Kampala'!K16)</f>
        <v>0.2857142857142857</v>
      </c>
      <c r="L16" s="49">
        <f>AVERAGE('20.8 Luwero-Kampala'!L16,'21.8 Luweero-Kampala'!L16,' 22.8 Luweero-Kampala'!L16,'23.Luweero-Kamplaa'!L16,'24.8 Luweero-Kampala'!L16,'25.8 Luwero-Kampala-24 HRS'!L16,'26.8 Luweero-Kampala'!L16)</f>
        <v>1.8571428571428572</v>
      </c>
      <c r="M16" s="49">
        <f>AVERAGE('20.8 Luwero-Kampala'!M16,'21.8 Luweero-Kampala'!M16,' 22.8 Luweero-Kampala'!M16,'23.Luweero-Kamplaa'!M16,'24.8 Luweero-Kampala'!M16,'25.8 Luwero-Kampala-24 HRS'!M16,'26.8 Luweero-Kampala'!M16)</f>
        <v>57.714285714285715</v>
      </c>
      <c r="N16" s="49">
        <f>AVERAGE('20.8 Luwero-Kampala'!N16,'21.8 Luweero-Kampala'!N16,' 22.8 Luweero-Kampala'!N16,'23.Luweero-Kamplaa'!N16,'24.8 Luweero-Kampala'!N16,'25.8 Luwero-Kampala-24 HRS'!N16,'26.8 Luweero-Kampala'!N16)</f>
        <v>0.14285714285714285</v>
      </c>
      <c r="O16" s="15">
        <f t="shared" si="0"/>
        <v>36.428571428571431</v>
      </c>
      <c r="P16" s="15">
        <f t="shared" si="1"/>
        <v>94.142857142857139</v>
      </c>
      <c r="R16" s="1" t="s">
        <v>12</v>
      </c>
      <c r="S16" s="17">
        <f t="shared" ref="S16:AF16" si="8">SUM(C34:C37)</f>
        <v>30.428571428571431</v>
      </c>
      <c r="T16" s="17">
        <f t="shared" si="8"/>
        <v>0</v>
      </c>
      <c r="U16" s="17">
        <f t="shared" si="8"/>
        <v>59</v>
      </c>
      <c r="V16" s="17">
        <f t="shared" si="8"/>
        <v>52.571428571428569</v>
      </c>
      <c r="W16" s="17">
        <f t="shared" si="8"/>
        <v>0.85714285714285698</v>
      </c>
      <c r="X16" s="17">
        <f t="shared" si="8"/>
        <v>3.7142857142857144</v>
      </c>
      <c r="Y16" s="17">
        <f t="shared" si="8"/>
        <v>27.285714285714285</v>
      </c>
      <c r="Z16" s="17">
        <f t="shared" si="8"/>
        <v>1.857142857142857</v>
      </c>
      <c r="AA16" s="17">
        <f t="shared" si="8"/>
        <v>0.2857142857142857</v>
      </c>
      <c r="AB16" s="17">
        <f t="shared" si="8"/>
        <v>4</v>
      </c>
      <c r="AC16" s="17">
        <f t="shared" si="8"/>
        <v>252.28571428571431</v>
      </c>
      <c r="AD16" s="17">
        <f t="shared" si="8"/>
        <v>0.2857142857142857</v>
      </c>
      <c r="AE16" s="31">
        <f t="shared" si="8"/>
        <v>180.28571428571431</v>
      </c>
      <c r="AF16" s="31">
        <f t="shared" si="8"/>
        <v>432.57142857142856</v>
      </c>
    </row>
    <row r="17" spans="2:32" ht="23.1" customHeight="1" x14ac:dyDescent="0.25">
      <c r="B17" s="23" t="s">
        <v>44</v>
      </c>
      <c r="C17" s="49">
        <f>AVERAGE('20.8 Luwero-Kampala'!C17,'21.8 Luweero-Kampala'!C17,' 22.8 Luweero-Kampala'!C17,'23.Luweero-Kamplaa'!C17,'24.8 Luweero-Kampala'!C17,'25.8 Luwero-Kampala-24 HRS'!C17,'26.8 Luweero-Kampala'!C17)</f>
        <v>5</v>
      </c>
      <c r="D17" s="49">
        <f>AVERAGE('20.8 Luwero-Kampala'!D17,'21.8 Luweero-Kampala'!D17,' 22.8 Luweero-Kampala'!D17,'23.Luweero-Kamplaa'!D17,'24.8 Luweero-Kampala'!D17,'25.8 Luwero-Kampala-24 HRS'!D17,'26.8 Luweero-Kampala'!D17)</f>
        <v>0</v>
      </c>
      <c r="E17" s="49">
        <f>AVERAGE('20.8 Luwero-Kampala'!E17,'21.8 Luweero-Kampala'!E17,' 22.8 Luweero-Kampala'!E17,'23.Luweero-Kamplaa'!E17,'24.8 Luweero-Kampala'!E17,'25.8 Luwero-Kampala-24 HRS'!E17,'26.8 Luweero-Kampala'!E17)</f>
        <v>10.428571428571429</v>
      </c>
      <c r="F17" s="49">
        <f>AVERAGE('20.8 Luwero-Kampala'!F17,'21.8 Luweero-Kampala'!F17,' 22.8 Luweero-Kampala'!F17,'23.Luweero-Kamplaa'!F17,'24.8 Luweero-Kampala'!F17,'25.8 Luwero-Kampala-24 HRS'!F17,'26.8 Luweero-Kampala'!F17)</f>
        <v>18</v>
      </c>
      <c r="G17" s="49">
        <f>AVERAGE('20.8 Luwero-Kampala'!G17,'21.8 Luweero-Kampala'!G17,' 22.8 Luweero-Kampala'!G17,'23.Luweero-Kamplaa'!G17,'24.8 Luweero-Kampala'!G17,'25.8 Luwero-Kampala-24 HRS'!G17,'26.8 Luweero-Kampala'!G17)</f>
        <v>0</v>
      </c>
      <c r="H17" s="49">
        <f>AVERAGE('20.8 Luwero-Kampala'!H17,'21.8 Luweero-Kampala'!H17,' 22.8 Luweero-Kampala'!H17,'23.Luweero-Kamplaa'!H17,'24.8 Luweero-Kampala'!H17,'25.8 Luwero-Kampala-24 HRS'!H17,'26.8 Luweero-Kampala'!H17)</f>
        <v>0.14285714285714285</v>
      </c>
      <c r="I17" s="49">
        <f>AVERAGE('20.8 Luwero-Kampala'!I17,'21.8 Luweero-Kampala'!I17,' 22.8 Luweero-Kampala'!I17,'23.Luweero-Kamplaa'!I17,'24.8 Luweero-Kampala'!I17,'25.8 Luwero-Kampala-24 HRS'!I17,'26.8 Luweero-Kampala'!I17)</f>
        <v>4.1428571428571432</v>
      </c>
      <c r="J17" s="49">
        <f>AVERAGE('20.8 Luwero-Kampala'!J17,'21.8 Luweero-Kampala'!J17,' 22.8 Luweero-Kampala'!J17,'23.Luweero-Kamplaa'!J17,'24.8 Luweero-Kampala'!J17,'25.8 Luwero-Kampala-24 HRS'!J17,'26.8 Luweero-Kampala'!J17)</f>
        <v>0.42857142857142855</v>
      </c>
      <c r="K17" s="49">
        <f>AVERAGE('20.8 Luwero-Kampala'!K17,'21.8 Luweero-Kampala'!K17,' 22.8 Luweero-Kampala'!K17,'23.Luweero-Kamplaa'!K17,'24.8 Luweero-Kampala'!K17,'25.8 Luwero-Kampala-24 HRS'!K17,'26.8 Luweero-Kampala'!K17)</f>
        <v>0.2857142857142857</v>
      </c>
      <c r="L17" s="49">
        <f>AVERAGE('20.8 Luwero-Kampala'!L17,'21.8 Luweero-Kampala'!L17,' 22.8 Luweero-Kampala'!L17,'23.Luweero-Kamplaa'!L17,'24.8 Luweero-Kampala'!L17,'25.8 Luwero-Kampala-24 HRS'!L17,'26.8 Luweero-Kampala'!L17)</f>
        <v>1.5714285714285714</v>
      </c>
      <c r="M17" s="49">
        <f>AVERAGE('20.8 Luwero-Kampala'!M17,'21.8 Luweero-Kampala'!M17,' 22.8 Luweero-Kampala'!M17,'23.Luweero-Kamplaa'!M17,'24.8 Luweero-Kampala'!M17,'25.8 Luwero-Kampala-24 HRS'!M17,'26.8 Luweero-Kampala'!M17)</f>
        <v>67.428571428571431</v>
      </c>
      <c r="N17" s="49">
        <f>AVERAGE('20.8 Luwero-Kampala'!N17,'21.8 Luweero-Kampala'!N17,' 22.8 Luweero-Kampala'!N17,'23.Luweero-Kamplaa'!N17,'24.8 Luweero-Kampala'!N17,'25.8 Luwero-Kampala-24 HRS'!N17,'26.8 Luweero-Kampala'!N17)</f>
        <v>0</v>
      </c>
      <c r="O17" s="15">
        <f t="shared" si="0"/>
        <v>40.000000000000007</v>
      </c>
      <c r="P17" s="15">
        <f t="shared" si="1"/>
        <v>107.42857142857144</v>
      </c>
      <c r="R17" s="1" t="s">
        <v>13</v>
      </c>
      <c r="S17" s="17">
        <f t="shared" ref="S17:AF17" si="9">SUM(C38:C41)</f>
        <v>35.428571428571431</v>
      </c>
      <c r="T17" s="17">
        <f t="shared" si="9"/>
        <v>0</v>
      </c>
      <c r="U17" s="17">
        <f t="shared" si="9"/>
        <v>67.714285714285722</v>
      </c>
      <c r="V17" s="17">
        <f t="shared" si="9"/>
        <v>48.428571428571431</v>
      </c>
      <c r="W17" s="17">
        <f t="shared" si="9"/>
        <v>0.8571428571428571</v>
      </c>
      <c r="X17" s="17">
        <f t="shared" si="9"/>
        <v>8.2857142857142865</v>
      </c>
      <c r="Y17" s="17">
        <f t="shared" si="9"/>
        <v>29</v>
      </c>
      <c r="Z17" s="17">
        <f t="shared" si="9"/>
        <v>1.2857142857142856</v>
      </c>
      <c r="AA17" s="17">
        <f t="shared" si="9"/>
        <v>0.5714285714285714</v>
      </c>
      <c r="AB17" s="17">
        <f t="shared" si="9"/>
        <v>6.2857142857142856</v>
      </c>
      <c r="AC17" s="17">
        <f t="shared" si="9"/>
        <v>253.28571428571428</v>
      </c>
      <c r="AD17" s="17">
        <f t="shared" si="9"/>
        <v>0</v>
      </c>
      <c r="AE17" s="31">
        <f t="shared" si="9"/>
        <v>197.85714285714286</v>
      </c>
      <c r="AF17" s="31">
        <f t="shared" si="9"/>
        <v>451.14285714285717</v>
      </c>
    </row>
    <row r="18" spans="2:32" ht="23.1" customHeight="1" x14ac:dyDescent="0.25">
      <c r="B18" s="23" t="s">
        <v>45</v>
      </c>
      <c r="C18" s="49">
        <f>AVERAGE('20.8 Luwero-Kampala'!C18,'21.8 Luweero-Kampala'!C18,' 22.8 Luweero-Kampala'!C18,'23.Luweero-Kamplaa'!C18,'24.8 Luweero-Kampala'!C18,'25.8 Luwero-Kampala-24 HRS'!C18,'26.8 Luweero-Kampala'!C18)</f>
        <v>4.8571428571428568</v>
      </c>
      <c r="D18" s="49">
        <f>AVERAGE('20.8 Luwero-Kampala'!D18,'21.8 Luweero-Kampala'!D18,' 22.8 Luweero-Kampala'!D18,'23.Luweero-Kamplaa'!D18,'24.8 Luweero-Kampala'!D18,'25.8 Luwero-Kampala-24 HRS'!D18,'26.8 Luweero-Kampala'!D18)</f>
        <v>0</v>
      </c>
      <c r="E18" s="49">
        <f>AVERAGE('20.8 Luwero-Kampala'!E18,'21.8 Luweero-Kampala'!E18,' 22.8 Luweero-Kampala'!E18,'23.Luweero-Kamplaa'!E18,'24.8 Luweero-Kampala'!E18,'25.8 Luwero-Kampala-24 HRS'!E18,'26.8 Luweero-Kampala'!E18)</f>
        <v>11</v>
      </c>
      <c r="F18" s="49">
        <f>AVERAGE('20.8 Luwero-Kampala'!F18,'21.8 Luweero-Kampala'!F18,' 22.8 Luweero-Kampala'!F18,'23.Luweero-Kamplaa'!F18,'24.8 Luweero-Kampala'!F18,'25.8 Luwero-Kampala-24 HRS'!F18,'26.8 Luweero-Kampala'!F18)</f>
        <v>14.857142857142858</v>
      </c>
      <c r="G18" s="49">
        <f>AVERAGE('20.8 Luwero-Kampala'!G18,'21.8 Luweero-Kampala'!G18,' 22.8 Luweero-Kampala'!G18,'23.Luweero-Kamplaa'!G18,'24.8 Luweero-Kampala'!G18,'25.8 Luwero-Kampala-24 HRS'!G18,'26.8 Luweero-Kampala'!G18)</f>
        <v>0.2857142857142857</v>
      </c>
      <c r="H18" s="49">
        <f>AVERAGE('20.8 Luwero-Kampala'!H18,'21.8 Luweero-Kampala'!H18,' 22.8 Luweero-Kampala'!H18,'23.Luweero-Kamplaa'!H18,'24.8 Luweero-Kampala'!H18,'25.8 Luwero-Kampala-24 HRS'!H18,'26.8 Luweero-Kampala'!H18)</f>
        <v>0.14285714285714285</v>
      </c>
      <c r="I18" s="49">
        <f>AVERAGE('20.8 Luwero-Kampala'!I18,'21.8 Luweero-Kampala'!I18,' 22.8 Luweero-Kampala'!I18,'23.Luweero-Kamplaa'!I18,'24.8 Luweero-Kampala'!I18,'25.8 Luwero-Kampala-24 HRS'!I18,'26.8 Luweero-Kampala'!I18)</f>
        <v>3.5714285714285716</v>
      </c>
      <c r="J18" s="49">
        <f>AVERAGE('20.8 Luwero-Kampala'!J18,'21.8 Luweero-Kampala'!J18,' 22.8 Luweero-Kampala'!J18,'23.Luweero-Kamplaa'!J18,'24.8 Luweero-Kampala'!J18,'25.8 Luwero-Kampala-24 HRS'!J18,'26.8 Luweero-Kampala'!J18)</f>
        <v>0.42857142857142855</v>
      </c>
      <c r="K18" s="49">
        <f>AVERAGE('20.8 Luwero-Kampala'!K18,'21.8 Luweero-Kampala'!K18,' 22.8 Luweero-Kampala'!K18,'23.Luweero-Kamplaa'!K18,'24.8 Luweero-Kampala'!K18,'25.8 Luwero-Kampala-24 HRS'!K18,'26.8 Luweero-Kampala'!K18)</f>
        <v>0</v>
      </c>
      <c r="L18" s="49">
        <f>AVERAGE('20.8 Luwero-Kampala'!L18,'21.8 Luweero-Kampala'!L18,' 22.8 Luweero-Kampala'!L18,'23.Luweero-Kamplaa'!L18,'24.8 Luweero-Kampala'!L18,'25.8 Luwero-Kampala-24 HRS'!L18,'26.8 Luweero-Kampala'!L18)</f>
        <v>0.7142857142857143</v>
      </c>
      <c r="M18" s="49">
        <f>AVERAGE('20.8 Luwero-Kampala'!M18,'21.8 Luweero-Kampala'!M18,' 22.8 Luweero-Kampala'!M18,'23.Luweero-Kamplaa'!M18,'24.8 Luweero-Kampala'!M18,'25.8 Luwero-Kampala-24 HRS'!M18,'26.8 Luweero-Kampala'!M18)</f>
        <v>57.571428571428569</v>
      </c>
      <c r="N18" s="49">
        <f>AVERAGE('20.8 Luwero-Kampala'!N18,'21.8 Luweero-Kampala'!N18,' 22.8 Luweero-Kampala'!N18,'23.Luweero-Kamplaa'!N18,'24.8 Luweero-Kampala'!N18,'25.8 Luwero-Kampala-24 HRS'!N18,'26.8 Luweero-Kampala'!N18)</f>
        <v>0</v>
      </c>
      <c r="O18" s="15">
        <f t="shared" si="0"/>
        <v>35.857142857142861</v>
      </c>
      <c r="P18" s="15">
        <f t="shared" si="1"/>
        <v>93.428571428571431</v>
      </c>
      <c r="R18" s="1" t="s">
        <v>14</v>
      </c>
      <c r="S18" s="17">
        <f t="shared" ref="S18:AF18" si="10">SUM(C42:C45)</f>
        <v>35.857142857142861</v>
      </c>
      <c r="T18" s="17">
        <f t="shared" si="10"/>
        <v>0</v>
      </c>
      <c r="U18" s="17">
        <f t="shared" si="10"/>
        <v>68.571428571428569</v>
      </c>
      <c r="V18" s="17">
        <f t="shared" si="10"/>
        <v>59.857142857142861</v>
      </c>
      <c r="W18" s="17">
        <f t="shared" si="10"/>
        <v>0.8571428571428571</v>
      </c>
      <c r="X18" s="17">
        <f t="shared" si="10"/>
        <v>5.1428571428571432</v>
      </c>
      <c r="Y18" s="17">
        <f t="shared" si="10"/>
        <v>28</v>
      </c>
      <c r="Z18" s="17">
        <f t="shared" si="10"/>
        <v>1.5714285714285712</v>
      </c>
      <c r="AA18" s="17">
        <f t="shared" si="10"/>
        <v>0.42857142857142855</v>
      </c>
      <c r="AB18" s="17">
        <f t="shared" si="10"/>
        <v>5.7142857142857144</v>
      </c>
      <c r="AC18" s="17">
        <f t="shared" si="10"/>
        <v>232.28571428571428</v>
      </c>
      <c r="AD18" s="17">
        <f t="shared" si="10"/>
        <v>0</v>
      </c>
      <c r="AE18" s="31">
        <f t="shared" si="10"/>
        <v>206</v>
      </c>
      <c r="AF18" s="31">
        <f t="shared" si="10"/>
        <v>438.28571428571433</v>
      </c>
    </row>
    <row r="19" spans="2:32" ht="23.1" customHeight="1" x14ac:dyDescent="0.25">
      <c r="B19" s="23" t="s">
        <v>46</v>
      </c>
      <c r="C19" s="49">
        <f>AVERAGE('20.8 Luwero-Kampala'!C19,'21.8 Luweero-Kampala'!C19,' 22.8 Luweero-Kampala'!C19,'23.Luweero-Kamplaa'!C19,'24.8 Luweero-Kampala'!C19,'25.8 Luwero-Kampala-24 HRS'!C19,'26.8 Luweero-Kampala'!C19)</f>
        <v>6.7142857142857144</v>
      </c>
      <c r="D19" s="49">
        <f>AVERAGE('20.8 Luwero-Kampala'!D19,'21.8 Luweero-Kampala'!D19,' 22.8 Luweero-Kampala'!D19,'23.Luweero-Kamplaa'!D19,'24.8 Luweero-Kampala'!D19,'25.8 Luwero-Kampala-24 HRS'!D19,'26.8 Luweero-Kampala'!D19)</f>
        <v>0</v>
      </c>
      <c r="E19" s="49">
        <f>AVERAGE('20.8 Luwero-Kampala'!E19,'21.8 Luweero-Kampala'!E19,' 22.8 Luweero-Kampala'!E19,'23.Luweero-Kamplaa'!E19,'24.8 Luweero-Kampala'!E19,'25.8 Luwero-Kampala-24 HRS'!E19,'26.8 Luweero-Kampala'!E19)</f>
        <v>8</v>
      </c>
      <c r="F19" s="49">
        <f>AVERAGE('20.8 Luwero-Kampala'!F19,'21.8 Luweero-Kampala'!F19,' 22.8 Luweero-Kampala'!F19,'23.Luweero-Kamplaa'!F19,'24.8 Luweero-Kampala'!F19,'25.8 Luwero-Kampala-24 HRS'!F19,'26.8 Luweero-Kampala'!F19)</f>
        <v>12.714285714285714</v>
      </c>
      <c r="G19" s="49">
        <f>AVERAGE('20.8 Luwero-Kampala'!G19,'21.8 Luweero-Kampala'!G19,' 22.8 Luweero-Kampala'!G19,'23.Luweero-Kamplaa'!G19,'24.8 Luweero-Kampala'!G19,'25.8 Luwero-Kampala-24 HRS'!G19,'26.8 Luweero-Kampala'!G19)</f>
        <v>0.14285714285714285</v>
      </c>
      <c r="H19" s="49">
        <f>AVERAGE('20.8 Luwero-Kampala'!H19,'21.8 Luweero-Kampala'!H19,' 22.8 Luweero-Kampala'!H19,'23.Luweero-Kamplaa'!H19,'24.8 Luweero-Kampala'!H19,'25.8 Luwero-Kampala-24 HRS'!H19,'26.8 Luweero-Kampala'!H19)</f>
        <v>0</v>
      </c>
      <c r="I19" s="49">
        <f>AVERAGE('20.8 Luwero-Kampala'!I19,'21.8 Luweero-Kampala'!I19,' 22.8 Luweero-Kampala'!I19,'23.Luweero-Kamplaa'!I19,'24.8 Luweero-Kampala'!I19,'25.8 Luwero-Kampala-24 HRS'!I19,'26.8 Luweero-Kampala'!I19)</f>
        <v>6.1428571428571432</v>
      </c>
      <c r="J19" s="49">
        <f>AVERAGE('20.8 Luwero-Kampala'!J19,'21.8 Luweero-Kampala'!J19,' 22.8 Luweero-Kampala'!J19,'23.Luweero-Kamplaa'!J19,'24.8 Luweero-Kampala'!J19,'25.8 Luwero-Kampala-24 HRS'!J19,'26.8 Luweero-Kampala'!J19)</f>
        <v>0</v>
      </c>
      <c r="K19" s="49">
        <f>AVERAGE('20.8 Luwero-Kampala'!K19,'21.8 Luweero-Kampala'!K19,' 22.8 Luweero-Kampala'!K19,'23.Luweero-Kamplaa'!K19,'24.8 Luweero-Kampala'!K19,'25.8 Luwero-Kampala-24 HRS'!K19,'26.8 Luweero-Kampala'!K19)</f>
        <v>0.14285714285714285</v>
      </c>
      <c r="L19" s="49">
        <f>AVERAGE('20.8 Luwero-Kampala'!L19,'21.8 Luweero-Kampala'!L19,' 22.8 Luweero-Kampala'!L19,'23.Luweero-Kamplaa'!L19,'24.8 Luweero-Kampala'!L19,'25.8 Luwero-Kampala-24 HRS'!L19,'26.8 Luweero-Kampala'!L19)</f>
        <v>1.4285714285714286</v>
      </c>
      <c r="M19" s="49">
        <f>AVERAGE('20.8 Luwero-Kampala'!M19,'21.8 Luweero-Kampala'!M19,' 22.8 Luweero-Kampala'!M19,'23.Luweero-Kamplaa'!M19,'24.8 Luweero-Kampala'!M19,'25.8 Luwero-Kampala-24 HRS'!M19,'26.8 Luweero-Kampala'!M19)</f>
        <v>65.142857142857139</v>
      </c>
      <c r="N19" s="49">
        <f>AVERAGE('20.8 Luwero-Kampala'!N19,'21.8 Luweero-Kampala'!N19,' 22.8 Luweero-Kampala'!N19,'23.Luweero-Kamplaa'!N19,'24.8 Luweero-Kampala'!N19,'25.8 Luwero-Kampala-24 HRS'!N19,'26.8 Luweero-Kampala'!N19)</f>
        <v>0</v>
      </c>
      <c r="O19" s="15">
        <f t="shared" si="0"/>
        <v>35.285714285714292</v>
      </c>
      <c r="P19" s="15">
        <f t="shared" si="1"/>
        <v>100.42857142857143</v>
      </c>
      <c r="R19" s="1" t="s">
        <v>15</v>
      </c>
      <c r="S19" s="17">
        <f t="shared" ref="S19:AF19" si="11">SUM(C46:C49)</f>
        <v>41</v>
      </c>
      <c r="T19" s="17">
        <f t="shared" si="11"/>
        <v>0</v>
      </c>
      <c r="U19" s="17">
        <f t="shared" si="11"/>
        <v>80.142857142857139</v>
      </c>
      <c r="V19" s="17">
        <f t="shared" si="11"/>
        <v>60.857142857142861</v>
      </c>
      <c r="W19" s="17">
        <f t="shared" si="11"/>
        <v>1.4285714285714284</v>
      </c>
      <c r="X19" s="17">
        <f t="shared" si="11"/>
        <v>5.2857142857142856</v>
      </c>
      <c r="Y19" s="17">
        <f t="shared" si="11"/>
        <v>28.714285714285715</v>
      </c>
      <c r="Z19" s="17">
        <f t="shared" si="11"/>
        <v>1.4285714285714284</v>
      </c>
      <c r="AA19" s="17">
        <f t="shared" si="11"/>
        <v>0.2857142857142857</v>
      </c>
      <c r="AB19" s="17">
        <f t="shared" si="11"/>
        <v>7</v>
      </c>
      <c r="AC19" s="17">
        <f t="shared" si="11"/>
        <v>258.28571428571428</v>
      </c>
      <c r="AD19" s="17">
        <f t="shared" si="11"/>
        <v>0</v>
      </c>
      <c r="AE19" s="31">
        <f t="shared" si="11"/>
        <v>226.14285714285717</v>
      </c>
      <c r="AF19" s="31">
        <f t="shared" si="11"/>
        <v>484.42857142857144</v>
      </c>
    </row>
    <row r="20" spans="2:32" ht="23.1" customHeight="1" x14ac:dyDescent="0.25">
      <c r="B20" s="23" t="s">
        <v>47</v>
      </c>
      <c r="C20" s="49">
        <f>AVERAGE('20.8 Luwero-Kampala'!C20,'21.8 Luweero-Kampala'!C20,' 22.8 Luweero-Kampala'!C20,'23.Luweero-Kamplaa'!C20,'24.8 Luweero-Kampala'!C20,'25.8 Luwero-Kampala-24 HRS'!C20,'26.8 Luweero-Kampala'!C20)</f>
        <v>6.1428571428571432</v>
      </c>
      <c r="D20" s="49">
        <f>AVERAGE('20.8 Luwero-Kampala'!D20,'21.8 Luweero-Kampala'!D20,' 22.8 Luweero-Kampala'!D20,'23.Luweero-Kamplaa'!D20,'24.8 Luweero-Kampala'!D20,'25.8 Luwero-Kampala-24 HRS'!D20,'26.8 Luweero-Kampala'!D20)</f>
        <v>0</v>
      </c>
      <c r="E20" s="49">
        <f>AVERAGE('20.8 Luwero-Kampala'!E20,'21.8 Luweero-Kampala'!E20,' 22.8 Luweero-Kampala'!E20,'23.Luweero-Kamplaa'!E20,'24.8 Luweero-Kampala'!E20,'25.8 Luwero-Kampala-24 HRS'!E20,'26.8 Luweero-Kampala'!E20)</f>
        <v>10.285714285714286</v>
      </c>
      <c r="F20" s="49">
        <f>AVERAGE('20.8 Luwero-Kampala'!F20,'21.8 Luweero-Kampala'!F20,' 22.8 Luweero-Kampala'!F20,'23.Luweero-Kamplaa'!F20,'24.8 Luweero-Kampala'!F20,'25.8 Luwero-Kampala-24 HRS'!F20,'26.8 Luweero-Kampala'!F20)</f>
        <v>13.285714285714286</v>
      </c>
      <c r="G20" s="49">
        <f>AVERAGE('20.8 Luwero-Kampala'!G20,'21.8 Luweero-Kampala'!G20,' 22.8 Luweero-Kampala'!G20,'23.Luweero-Kamplaa'!G20,'24.8 Luweero-Kampala'!G20,'25.8 Luwero-Kampala-24 HRS'!G20,'26.8 Luweero-Kampala'!G20)</f>
        <v>0.14285714285714285</v>
      </c>
      <c r="H20" s="49">
        <f>AVERAGE('20.8 Luwero-Kampala'!H20,'21.8 Luweero-Kampala'!H20,' 22.8 Luweero-Kampala'!H20,'23.Luweero-Kamplaa'!H20,'24.8 Luweero-Kampala'!H20,'25.8 Luwero-Kampala-24 HRS'!H20,'26.8 Luweero-Kampala'!H20)</f>
        <v>0.14285714285714285</v>
      </c>
      <c r="I20" s="49">
        <f>AVERAGE('20.8 Luwero-Kampala'!I20,'21.8 Luweero-Kampala'!I20,' 22.8 Luweero-Kampala'!I20,'23.Luweero-Kamplaa'!I20,'24.8 Luweero-Kampala'!I20,'25.8 Luwero-Kampala-24 HRS'!I20,'26.8 Luweero-Kampala'!I20)</f>
        <v>5.8571428571428568</v>
      </c>
      <c r="J20" s="49">
        <f>AVERAGE('20.8 Luwero-Kampala'!J20,'21.8 Luweero-Kampala'!J20,' 22.8 Luweero-Kampala'!J20,'23.Luweero-Kamplaa'!J20,'24.8 Luweero-Kampala'!J20,'25.8 Luwero-Kampala-24 HRS'!J20,'26.8 Luweero-Kampala'!J20)</f>
        <v>0.14285714285714285</v>
      </c>
      <c r="K20" s="49">
        <f>AVERAGE('20.8 Luwero-Kampala'!K20,'21.8 Luweero-Kampala'!K20,' 22.8 Luweero-Kampala'!K20,'23.Luweero-Kamplaa'!K20,'24.8 Luweero-Kampala'!K20,'25.8 Luwero-Kampala-24 HRS'!K20,'26.8 Luweero-Kampala'!K20)</f>
        <v>0</v>
      </c>
      <c r="L20" s="49">
        <f>AVERAGE('20.8 Luwero-Kampala'!L20,'21.8 Luweero-Kampala'!L20,' 22.8 Luweero-Kampala'!L20,'23.Luweero-Kamplaa'!L20,'24.8 Luweero-Kampala'!L20,'25.8 Luwero-Kampala-24 HRS'!L20,'26.8 Luweero-Kampala'!L20)</f>
        <v>1</v>
      </c>
      <c r="M20" s="49">
        <f>AVERAGE('20.8 Luwero-Kampala'!M20,'21.8 Luweero-Kampala'!M20,' 22.8 Luweero-Kampala'!M20,'23.Luweero-Kamplaa'!M20,'24.8 Luweero-Kampala'!M20,'25.8 Luwero-Kampala-24 HRS'!M20,'26.8 Luweero-Kampala'!M20)</f>
        <v>61.857142857142854</v>
      </c>
      <c r="N20" s="49">
        <f>AVERAGE('20.8 Luwero-Kampala'!N20,'21.8 Luweero-Kampala'!N20,' 22.8 Luweero-Kampala'!N20,'23.Luweero-Kamplaa'!N20,'24.8 Luweero-Kampala'!N20,'25.8 Luwero-Kampala-24 HRS'!N20,'26.8 Luweero-Kampala'!N20)</f>
        <v>0</v>
      </c>
      <c r="O20" s="15">
        <f t="shared" si="0"/>
        <v>37</v>
      </c>
      <c r="P20" s="15">
        <f t="shared" si="1"/>
        <v>98.857142857142861</v>
      </c>
      <c r="R20" s="1" t="s">
        <v>16</v>
      </c>
      <c r="S20" s="17">
        <f t="shared" ref="S20:AF20" si="12">SUM(C50:C53)</f>
        <v>43.714285714285715</v>
      </c>
      <c r="T20" s="17">
        <f t="shared" si="12"/>
        <v>0</v>
      </c>
      <c r="U20" s="17">
        <f t="shared" si="12"/>
        <v>80.428571428571416</v>
      </c>
      <c r="V20" s="17">
        <f t="shared" si="12"/>
        <v>66.285714285714278</v>
      </c>
      <c r="W20" s="17">
        <f t="shared" si="12"/>
        <v>1</v>
      </c>
      <c r="X20" s="17">
        <f t="shared" si="12"/>
        <v>5.7142857142857144</v>
      </c>
      <c r="Y20" s="17">
        <f t="shared" si="12"/>
        <v>31</v>
      </c>
      <c r="Z20" s="17">
        <f t="shared" si="12"/>
        <v>1.4285714285714284</v>
      </c>
      <c r="AA20" s="17">
        <f t="shared" si="12"/>
        <v>0.14285714285714285</v>
      </c>
      <c r="AB20" s="17">
        <f t="shared" si="12"/>
        <v>5.5714285714285712</v>
      </c>
      <c r="AC20" s="17">
        <f t="shared" si="12"/>
        <v>289.71428571428567</v>
      </c>
      <c r="AD20" s="17">
        <f t="shared" si="12"/>
        <v>0</v>
      </c>
      <c r="AE20" s="31">
        <f t="shared" si="12"/>
        <v>235.28571428571428</v>
      </c>
      <c r="AF20" s="31">
        <f t="shared" si="12"/>
        <v>525</v>
      </c>
    </row>
    <row r="21" spans="2:32" ht="23.1" customHeight="1" x14ac:dyDescent="0.25">
      <c r="B21" s="23" t="s">
        <v>48</v>
      </c>
      <c r="C21" s="49">
        <f>AVERAGE('20.8 Luwero-Kampala'!C21,'21.8 Luweero-Kampala'!C21,' 22.8 Luweero-Kampala'!C21,'23.Luweero-Kamplaa'!C21,'24.8 Luweero-Kampala'!C21,'25.8 Luwero-Kampala-24 HRS'!C21,'26.8 Luweero-Kampala'!C21)</f>
        <v>6.4285714285714288</v>
      </c>
      <c r="D21" s="49">
        <f>AVERAGE('20.8 Luwero-Kampala'!D21,'21.8 Luweero-Kampala'!D21,' 22.8 Luweero-Kampala'!D21,'23.Luweero-Kamplaa'!D21,'24.8 Luweero-Kampala'!D21,'25.8 Luwero-Kampala-24 HRS'!D21,'26.8 Luweero-Kampala'!D21)</f>
        <v>0</v>
      </c>
      <c r="E21" s="49">
        <f>AVERAGE('20.8 Luwero-Kampala'!E21,'21.8 Luweero-Kampala'!E21,' 22.8 Luweero-Kampala'!E21,'23.Luweero-Kamplaa'!E21,'24.8 Luweero-Kampala'!E21,'25.8 Luwero-Kampala-24 HRS'!E21,'26.8 Luweero-Kampala'!E21)</f>
        <v>10.285714285714286</v>
      </c>
      <c r="F21" s="49">
        <f>AVERAGE('20.8 Luwero-Kampala'!F21,'21.8 Luweero-Kampala'!F21,' 22.8 Luweero-Kampala'!F21,'23.Luweero-Kamplaa'!F21,'24.8 Luweero-Kampala'!F21,'25.8 Luwero-Kampala-24 HRS'!F21,'26.8 Luweero-Kampala'!F21)</f>
        <v>14.571428571428571</v>
      </c>
      <c r="G21" s="49">
        <f>AVERAGE('20.8 Luwero-Kampala'!G21,'21.8 Luweero-Kampala'!G21,' 22.8 Luweero-Kampala'!G21,'23.Luweero-Kamplaa'!G21,'24.8 Luweero-Kampala'!G21,'25.8 Luwero-Kampala-24 HRS'!G21,'26.8 Luweero-Kampala'!G21)</f>
        <v>0.2857142857142857</v>
      </c>
      <c r="H21" s="49">
        <f>AVERAGE('20.8 Luwero-Kampala'!H21,'21.8 Luweero-Kampala'!H21,' 22.8 Luweero-Kampala'!H21,'23.Luweero-Kamplaa'!H21,'24.8 Luweero-Kampala'!H21,'25.8 Luwero-Kampala-24 HRS'!H21,'26.8 Luweero-Kampala'!H21)</f>
        <v>0.42857142857142855</v>
      </c>
      <c r="I21" s="49">
        <f>AVERAGE('20.8 Luwero-Kampala'!I21,'21.8 Luweero-Kampala'!I21,' 22.8 Luweero-Kampala'!I21,'23.Luweero-Kamplaa'!I21,'24.8 Luweero-Kampala'!I21,'25.8 Luwero-Kampala-24 HRS'!I21,'26.8 Luweero-Kampala'!I21)</f>
        <v>4.4285714285714288</v>
      </c>
      <c r="J21" s="49">
        <f>AVERAGE('20.8 Luwero-Kampala'!J21,'21.8 Luweero-Kampala'!J21,' 22.8 Luweero-Kampala'!J21,'23.Luweero-Kamplaa'!J21,'24.8 Luweero-Kampala'!J21,'25.8 Luwero-Kampala-24 HRS'!J21,'26.8 Luweero-Kampala'!J21)</f>
        <v>0.2857142857142857</v>
      </c>
      <c r="K21" s="49">
        <f>AVERAGE('20.8 Luwero-Kampala'!K21,'21.8 Luweero-Kampala'!K21,' 22.8 Luweero-Kampala'!K21,'23.Luweero-Kamplaa'!K21,'24.8 Luweero-Kampala'!K21,'25.8 Luwero-Kampala-24 HRS'!K21,'26.8 Luweero-Kampala'!K21)</f>
        <v>0</v>
      </c>
      <c r="L21" s="49">
        <f>AVERAGE('20.8 Luwero-Kampala'!L21,'21.8 Luweero-Kampala'!L21,' 22.8 Luweero-Kampala'!L21,'23.Luweero-Kamplaa'!L21,'24.8 Luweero-Kampala'!L21,'25.8 Luwero-Kampala-24 HRS'!L21,'26.8 Luweero-Kampala'!L21)</f>
        <v>0.8571428571428571</v>
      </c>
      <c r="M21" s="49">
        <f>AVERAGE('20.8 Luwero-Kampala'!M21,'21.8 Luweero-Kampala'!M21,' 22.8 Luweero-Kampala'!M21,'23.Luweero-Kamplaa'!M21,'24.8 Luweero-Kampala'!M21,'25.8 Luwero-Kampala-24 HRS'!M21,'26.8 Luweero-Kampala'!M21)</f>
        <v>70</v>
      </c>
      <c r="N21" s="49">
        <f>AVERAGE('20.8 Luwero-Kampala'!N21,'21.8 Luweero-Kampala'!N21,' 22.8 Luweero-Kampala'!N21,'23.Luweero-Kamplaa'!N21,'24.8 Luweero-Kampala'!N21,'25.8 Luwero-Kampala-24 HRS'!N21,'26.8 Luweero-Kampala'!N21)</f>
        <v>0</v>
      </c>
      <c r="O21" s="15">
        <f t="shared" si="0"/>
        <v>37.571428571428562</v>
      </c>
      <c r="P21" s="15">
        <f t="shared" si="1"/>
        <v>107.57142857142856</v>
      </c>
      <c r="R21" s="36" t="s">
        <v>20</v>
      </c>
      <c r="S21" s="34">
        <f t="shared" ref="S21:AF21" si="13">SUM(C54:C57)</f>
        <v>45.142857142857139</v>
      </c>
      <c r="T21" s="17">
        <f t="shared" si="13"/>
        <v>0</v>
      </c>
      <c r="U21" s="17">
        <f t="shared" si="13"/>
        <v>87.999999999999986</v>
      </c>
      <c r="V21" s="17">
        <f t="shared" si="13"/>
        <v>59.571428571428569</v>
      </c>
      <c r="W21" s="17">
        <f t="shared" si="13"/>
        <v>1.5714285714285714</v>
      </c>
      <c r="X21" s="17">
        <f t="shared" si="13"/>
        <v>7.4285714285714288</v>
      </c>
      <c r="Y21" s="17">
        <f t="shared" si="13"/>
        <v>37.142857142857146</v>
      </c>
      <c r="Z21" s="17">
        <f t="shared" si="13"/>
        <v>1.8571428571428572</v>
      </c>
      <c r="AA21" s="17">
        <f t="shared" si="13"/>
        <v>0.5714285714285714</v>
      </c>
      <c r="AB21" s="17">
        <f t="shared" si="13"/>
        <v>6.5714285714285721</v>
      </c>
      <c r="AC21" s="17">
        <f t="shared" si="13"/>
        <v>265.14285714285711</v>
      </c>
      <c r="AD21" s="17">
        <f t="shared" si="13"/>
        <v>0</v>
      </c>
      <c r="AE21" s="31">
        <f t="shared" si="13"/>
        <v>247.85714285714286</v>
      </c>
      <c r="AF21" s="31">
        <f t="shared" si="13"/>
        <v>513</v>
      </c>
    </row>
    <row r="22" spans="2:32" ht="23.1" customHeight="1" x14ac:dyDescent="0.25">
      <c r="B22" s="23" t="s">
        <v>49</v>
      </c>
      <c r="C22" s="49">
        <f>AVERAGE('20.8 Luwero-Kampala'!C22,'21.8 Luweero-Kampala'!C22,' 22.8 Luweero-Kampala'!C22,'23.Luweero-Kamplaa'!C22,'24.8 Luweero-Kampala'!C22,'25.8 Luwero-Kampala-24 HRS'!C22,'26.8 Luweero-Kampala'!C22)</f>
        <v>7.7142857142857144</v>
      </c>
      <c r="D22" s="49">
        <f>AVERAGE('20.8 Luwero-Kampala'!D22,'21.8 Luweero-Kampala'!D22,' 22.8 Luweero-Kampala'!D22,'23.Luweero-Kamplaa'!D22,'24.8 Luweero-Kampala'!D22,'25.8 Luwero-Kampala-24 HRS'!D22,'26.8 Luweero-Kampala'!D22)</f>
        <v>0</v>
      </c>
      <c r="E22" s="49">
        <f>AVERAGE('20.8 Luwero-Kampala'!E22,'21.8 Luweero-Kampala'!E22,' 22.8 Luweero-Kampala'!E22,'23.Luweero-Kamplaa'!E22,'24.8 Luweero-Kampala'!E22,'25.8 Luwero-Kampala-24 HRS'!E22,'26.8 Luweero-Kampala'!E22)</f>
        <v>9.5714285714285712</v>
      </c>
      <c r="F22" s="49">
        <f>AVERAGE('20.8 Luwero-Kampala'!F22,'21.8 Luweero-Kampala'!F22,' 22.8 Luweero-Kampala'!F22,'23.Luweero-Kamplaa'!F22,'24.8 Luweero-Kampala'!F22,'25.8 Luwero-Kampala-24 HRS'!F22,'26.8 Luweero-Kampala'!F22)</f>
        <v>11.571428571428571</v>
      </c>
      <c r="G22" s="49">
        <f>AVERAGE('20.8 Luwero-Kampala'!G22,'21.8 Luweero-Kampala'!G22,' 22.8 Luweero-Kampala'!G22,'23.Luweero-Kamplaa'!G22,'24.8 Luweero-Kampala'!G22,'25.8 Luwero-Kampala-24 HRS'!G22,'26.8 Luweero-Kampala'!G22)</f>
        <v>0</v>
      </c>
      <c r="H22" s="49">
        <f>AVERAGE('20.8 Luwero-Kampala'!H22,'21.8 Luweero-Kampala'!H22,' 22.8 Luweero-Kampala'!H22,'23.Luweero-Kamplaa'!H22,'24.8 Luweero-Kampala'!H22,'25.8 Luwero-Kampala-24 HRS'!H22,'26.8 Luweero-Kampala'!H22)</f>
        <v>0.42857142857142855</v>
      </c>
      <c r="I22" s="49">
        <f>AVERAGE('20.8 Luwero-Kampala'!I22,'21.8 Luweero-Kampala'!I22,' 22.8 Luweero-Kampala'!I22,'23.Luweero-Kamplaa'!I22,'24.8 Luweero-Kampala'!I22,'25.8 Luwero-Kampala-24 HRS'!I22,'26.8 Luweero-Kampala'!I22)</f>
        <v>5.7142857142857144</v>
      </c>
      <c r="J22" s="49">
        <f>AVERAGE('20.8 Luwero-Kampala'!J22,'21.8 Luweero-Kampala'!J22,' 22.8 Luweero-Kampala'!J22,'23.Luweero-Kamplaa'!J22,'24.8 Luweero-Kampala'!J22,'25.8 Luwero-Kampala-24 HRS'!J22,'26.8 Luweero-Kampala'!J22)</f>
        <v>0.7142857142857143</v>
      </c>
      <c r="K22" s="49">
        <f>AVERAGE('20.8 Luwero-Kampala'!K22,'21.8 Luweero-Kampala'!K22,' 22.8 Luweero-Kampala'!K22,'23.Luweero-Kamplaa'!K22,'24.8 Luweero-Kampala'!K22,'25.8 Luwero-Kampala-24 HRS'!K22,'26.8 Luweero-Kampala'!K22)</f>
        <v>0.14285714285714285</v>
      </c>
      <c r="L22" s="49">
        <f>AVERAGE('20.8 Luwero-Kampala'!L22,'21.8 Luweero-Kampala'!L22,' 22.8 Luweero-Kampala'!L22,'23.Luweero-Kamplaa'!L22,'24.8 Luweero-Kampala'!L22,'25.8 Luwero-Kampala-24 HRS'!L22,'26.8 Luweero-Kampala'!L22)</f>
        <v>0.8571428571428571</v>
      </c>
      <c r="M22" s="49">
        <f>AVERAGE('20.8 Luwero-Kampala'!M22,'21.8 Luweero-Kampala'!M22,' 22.8 Luweero-Kampala'!M22,'23.Luweero-Kamplaa'!M22,'24.8 Luweero-Kampala'!M22,'25.8 Luwero-Kampala-24 HRS'!M22,'26.8 Luweero-Kampala'!M22)</f>
        <v>68.285714285714292</v>
      </c>
      <c r="N22" s="49">
        <f>AVERAGE('20.8 Luwero-Kampala'!N22,'21.8 Luweero-Kampala'!N22,' 22.8 Luweero-Kampala'!N22,'23.Luweero-Kamplaa'!N22,'24.8 Luweero-Kampala'!N22,'25.8 Luwero-Kampala-24 HRS'!N22,'26.8 Luweero-Kampala'!N22)</f>
        <v>0</v>
      </c>
      <c r="O22" s="15">
        <f t="shared" si="0"/>
        <v>36.714285714285708</v>
      </c>
      <c r="P22" s="15">
        <f t="shared" si="1"/>
        <v>105</v>
      </c>
      <c r="R22" s="1" t="s">
        <v>146</v>
      </c>
      <c r="S22" s="34">
        <f>SUM(C58:C61)</f>
        <v>44.5</v>
      </c>
      <c r="T22" s="34">
        <f t="shared" ref="T22:AF22" si="14">SUM(D58:D61)</f>
        <v>6</v>
      </c>
      <c r="U22" s="34">
        <f t="shared" si="14"/>
        <v>25</v>
      </c>
      <c r="V22" s="34">
        <f t="shared" si="14"/>
        <v>42</v>
      </c>
      <c r="W22" s="34">
        <f t="shared" si="14"/>
        <v>0</v>
      </c>
      <c r="X22" s="34">
        <f t="shared" si="14"/>
        <v>2</v>
      </c>
      <c r="Y22" s="34">
        <f t="shared" si="14"/>
        <v>32</v>
      </c>
      <c r="Z22" s="34">
        <f t="shared" si="14"/>
        <v>1</v>
      </c>
      <c r="AA22" s="34">
        <f t="shared" si="14"/>
        <v>1</v>
      </c>
      <c r="AB22" s="34">
        <f t="shared" si="14"/>
        <v>10</v>
      </c>
      <c r="AC22" s="34">
        <f t="shared" si="14"/>
        <v>237</v>
      </c>
      <c r="AD22" s="34">
        <f t="shared" si="14"/>
        <v>0</v>
      </c>
      <c r="AE22" s="31">
        <f t="shared" si="14"/>
        <v>163.5</v>
      </c>
      <c r="AF22" s="31">
        <f t="shared" si="14"/>
        <v>400.5</v>
      </c>
    </row>
    <row r="23" spans="2:32" ht="23.1" customHeight="1" x14ac:dyDescent="0.25">
      <c r="B23" s="23" t="s">
        <v>50</v>
      </c>
      <c r="C23" s="49">
        <f>AVERAGE('20.8 Luwero-Kampala'!C23,'21.8 Luweero-Kampala'!C23,' 22.8 Luweero-Kampala'!C23,'23.Luweero-Kamplaa'!C23,'24.8 Luweero-Kampala'!C23,'25.8 Luwero-Kampala-24 HRS'!C23,'26.8 Luweero-Kampala'!C23)</f>
        <v>6.7142857142857144</v>
      </c>
      <c r="D23" s="49">
        <f>AVERAGE('20.8 Luwero-Kampala'!D23,'21.8 Luweero-Kampala'!D23,' 22.8 Luweero-Kampala'!D23,'23.Luweero-Kamplaa'!D23,'24.8 Luweero-Kampala'!D23,'25.8 Luwero-Kampala-24 HRS'!D23,'26.8 Luweero-Kampala'!D23)</f>
        <v>0</v>
      </c>
      <c r="E23" s="49">
        <f>AVERAGE('20.8 Luwero-Kampala'!E23,'21.8 Luweero-Kampala'!E23,' 22.8 Luweero-Kampala'!E23,'23.Luweero-Kamplaa'!E23,'24.8 Luweero-Kampala'!E23,'25.8 Luwero-Kampala-24 HRS'!E23,'26.8 Luweero-Kampala'!E23)</f>
        <v>14</v>
      </c>
      <c r="F23" s="49">
        <f>AVERAGE('20.8 Luwero-Kampala'!F23,'21.8 Luweero-Kampala'!F23,' 22.8 Luweero-Kampala'!F23,'23.Luweero-Kamplaa'!F23,'24.8 Luweero-Kampala'!F23,'25.8 Luwero-Kampala-24 HRS'!F23,'26.8 Luweero-Kampala'!F23)</f>
        <v>14</v>
      </c>
      <c r="G23" s="49">
        <f>AVERAGE('20.8 Luwero-Kampala'!G23,'21.8 Luweero-Kampala'!G23,' 22.8 Luweero-Kampala'!G23,'23.Luweero-Kamplaa'!G23,'24.8 Luweero-Kampala'!G23,'25.8 Luwero-Kampala-24 HRS'!G23,'26.8 Luweero-Kampala'!G23)</f>
        <v>0</v>
      </c>
      <c r="H23" s="49">
        <f>AVERAGE('20.8 Luwero-Kampala'!H23,'21.8 Luweero-Kampala'!H23,' 22.8 Luweero-Kampala'!H23,'23.Luweero-Kamplaa'!H23,'24.8 Luweero-Kampala'!H23,'25.8 Luwero-Kampala-24 HRS'!H23,'26.8 Luweero-Kampala'!H23)</f>
        <v>0</v>
      </c>
      <c r="I23" s="49">
        <f>AVERAGE('20.8 Luwero-Kampala'!I23,'21.8 Luweero-Kampala'!I23,' 22.8 Luweero-Kampala'!I23,'23.Luweero-Kamplaa'!I23,'24.8 Luweero-Kampala'!I23,'25.8 Luwero-Kampala-24 HRS'!I23,'26.8 Luweero-Kampala'!I23)</f>
        <v>6.8571428571428568</v>
      </c>
      <c r="J23" s="49">
        <f>AVERAGE('20.8 Luwero-Kampala'!J23,'21.8 Luweero-Kampala'!J23,' 22.8 Luweero-Kampala'!J23,'23.Luweero-Kamplaa'!J23,'24.8 Luweero-Kampala'!J23,'25.8 Luwero-Kampala-24 HRS'!J23,'26.8 Luweero-Kampala'!J23)</f>
        <v>0.2857142857142857</v>
      </c>
      <c r="K23" s="49">
        <f>AVERAGE('20.8 Luwero-Kampala'!K23,'21.8 Luweero-Kampala'!K23,' 22.8 Luweero-Kampala'!K23,'23.Luweero-Kamplaa'!K23,'24.8 Luweero-Kampala'!K23,'25.8 Luwero-Kampala-24 HRS'!K23,'26.8 Luweero-Kampala'!K23)</f>
        <v>0.2857142857142857</v>
      </c>
      <c r="L23" s="49">
        <f>AVERAGE('20.8 Luwero-Kampala'!L23,'21.8 Luweero-Kampala'!L23,' 22.8 Luweero-Kampala'!L23,'23.Luweero-Kamplaa'!L23,'24.8 Luweero-Kampala'!L23,'25.8 Luwero-Kampala-24 HRS'!L23,'26.8 Luweero-Kampala'!L23)</f>
        <v>1.1428571428571428</v>
      </c>
      <c r="M23" s="49">
        <f>AVERAGE('20.8 Luwero-Kampala'!M23,'21.8 Luweero-Kampala'!M23,' 22.8 Luweero-Kampala'!M23,'23.Luweero-Kamplaa'!M23,'24.8 Luweero-Kampala'!M23,'25.8 Luwero-Kampala-24 HRS'!M23,'26.8 Luweero-Kampala'!M23)</f>
        <v>68</v>
      </c>
      <c r="N23" s="49">
        <f>AVERAGE('20.8 Luwero-Kampala'!N23,'21.8 Luweero-Kampala'!N23,' 22.8 Luweero-Kampala'!N23,'23.Luweero-Kamplaa'!N23,'24.8 Luweero-Kampala'!N23,'25.8 Luwero-Kampala-24 HRS'!N23,'26.8 Luweero-Kampala'!N23)</f>
        <v>0</v>
      </c>
      <c r="O23" s="15">
        <f t="shared" si="0"/>
        <v>43.285714285714285</v>
      </c>
      <c r="P23" s="15">
        <f t="shared" si="1"/>
        <v>111.28571428571428</v>
      </c>
      <c r="R23" s="1" t="s">
        <v>147</v>
      </c>
      <c r="S23" s="34">
        <f>SUM(C62:C65)</f>
        <v>32</v>
      </c>
      <c r="T23" s="34">
        <f t="shared" ref="T23:AF23" si="15">SUM(D62:D65)</f>
        <v>4</v>
      </c>
      <c r="U23" s="34">
        <f t="shared" si="15"/>
        <v>23</v>
      </c>
      <c r="V23" s="34">
        <f t="shared" si="15"/>
        <v>22</v>
      </c>
      <c r="W23" s="34">
        <f t="shared" si="15"/>
        <v>0</v>
      </c>
      <c r="X23" s="34">
        <f t="shared" si="15"/>
        <v>4</v>
      </c>
      <c r="Y23" s="34">
        <f t="shared" si="15"/>
        <v>24</v>
      </c>
      <c r="Z23" s="34">
        <f t="shared" si="15"/>
        <v>2</v>
      </c>
      <c r="AA23" s="34">
        <f t="shared" si="15"/>
        <v>1</v>
      </c>
      <c r="AB23" s="34">
        <f t="shared" si="15"/>
        <v>14</v>
      </c>
      <c r="AC23" s="34">
        <f t="shared" si="15"/>
        <v>165</v>
      </c>
      <c r="AD23" s="34">
        <f t="shared" si="15"/>
        <v>0</v>
      </c>
      <c r="AE23" s="31">
        <f t="shared" si="15"/>
        <v>126</v>
      </c>
      <c r="AF23" s="31">
        <f t="shared" si="15"/>
        <v>291</v>
      </c>
    </row>
    <row r="24" spans="2:32" ht="23.1" customHeight="1" x14ac:dyDescent="0.25">
      <c r="B24" s="23" t="s">
        <v>51</v>
      </c>
      <c r="C24" s="49">
        <f>AVERAGE('20.8 Luwero-Kampala'!C24,'21.8 Luweero-Kampala'!C24,' 22.8 Luweero-Kampala'!C24,'23.Luweero-Kamplaa'!C24,'24.8 Luweero-Kampala'!C24,'25.8 Luwero-Kampala-24 HRS'!C24,'26.8 Luweero-Kampala'!C24)</f>
        <v>4.8571428571428568</v>
      </c>
      <c r="D24" s="49">
        <f>AVERAGE('20.8 Luwero-Kampala'!D24,'21.8 Luweero-Kampala'!D24,' 22.8 Luweero-Kampala'!D24,'23.Luweero-Kamplaa'!D24,'24.8 Luweero-Kampala'!D24,'25.8 Luwero-Kampala-24 HRS'!D24,'26.8 Luweero-Kampala'!D24)</f>
        <v>0</v>
      </c>
      <c r="E24" s="49">
        <f>AVERAGE('20.8 Luwero-Kampala'!E24,'21.8 Luweero-Kampala'!E24,' 22.8 Luweero-Kampala'!E24,'23.Luweero-Kamplaa'!E24,'24.8 Luweero-Kampala'!E24,'25.8 Luwero-Kampala-24 HRS'!E24,'26.8 Luweero-Kampala'!E24)</f>
        <v>11.714285714285714</v>
      </c>
      <c r="F24" s="49">
        <f>AVERAGE('20.8 Luwero-Kampala'!F24,'21.8 Luweero-Kampala'!F24,' 22.8 Luweero-Kampala'!F24,'23.Luweero-Kamplaa'!F24,'24.8 Luweero-Kampala'!F24,'25.8 Luwero-Kampala-24 HRS'!F24,'26.8 Luweero-Kampala'!F24)</f>
        <v>13.571428571428571</v>
      </c>
      <c r="G24" s="49">
        <f>AVERAGE('20.8 Luwero-Kampala'!G24,'21.8 Luweero-Kampala'!G24,' 22.8 Luweero-Kampala'!G24,'23.Luweero-Kamplaa'!G24,'24.8 Luweero-Kampala'!G24,'25.8 Luwero-Kampala-24 HRS'!G24,'26.8 Luweero-Kampala'!G24)</f>
        <v>0.2857142857142857</v>
      </c>
      <c r="H24" s="49">
        <f>AVERAGE('20.8 Luwero-Kampala'!H24,'21.8 Luweero-Kampala'!H24,' 22.8 Luweero-Kampala'!H24,'23.Luweero-Kamplaa'!H24,'24.8 Luweero-Kampala'!H24,'25.8 Luwero-Kampala-24 HRS'!H24,'26.8 Luweero-Kampala'!H24)</f>
        <v>0.42857142857142855</v>
      </c>
      <c r="I24" s="49">
        <f>AVERAGE('20.8 Luwero-Kampala'!I24,'21.8 Luweero-Kampala'!I24,' 22.8 Luweero-Kampala'!I24,'23.Luweero-Kamplaa'!I24,'24.8 Luweero-Kampala'!I24,'25.8 Luwero-Kampala-24 HRS'!I24,'26.8 Luweero-Kampala'!I24)</f>
        <v>4</v>
      </c>
      <c r="J24" s="49">
        <f>AVERAGE('20.8 Luwero-Kampala'!J24,'21.8 Luweero-Kampala'!J24,' 22.8 Luweero-Kampala'!J24,'23.Luweero-Kamplaa'!J24,'24.8 Luweero-Kampala'!J24,'25.8 Luwero-Kampala-24 HRS'!J24,'26.8 Luweero-Kampala'!J24)</f>
        <v>0.14285714285714285</v>
      </c>
      <c r="K24" s="49">
        <f>AVERAGE('20.8 Luwero-Kampala'!K24,'21.8 Luweero-Kampala'!K24,' 22.8 Luweero-Kampala'!K24,'23.Luweero-Kamplaa'!K24,'24.8 Luweero-Kampala'!K24,'25.8 Luwero-Kampala-24 HRS'!K24,'26.8 Luweero-Kampala'!K24)</f>
        <v>0</v>
      </c>
      <c r="L24" s="49">
        <f>AVERAGE('20.8 Luwero-Kampala'!L24,'21.8 Luweero-Kampala'!L24,' 22.8 Luweero-Kampala'!L24,'23.Luweero-Kamplaa'!L24,'24.8 Luweero-Kampala'!L24,'25.8 Luwero-Kampala-24 HRS'!L24,'26.8 Luweero-Kampala'!L24)</f>
        <v>1</v>
      </c>
      <c r="M24" s="49">
        <f>AVERAGE('20.8 Luwero-Kampala'!M24,'21.8 Luweero-Kampala'!M24,' 22.8 Luweero-Kampala'!M24,'23.Luweero-Kamplaa'!M24,'24.8 Luweero-Kampala'!M24,'25.8 Luwero-Kampala-24 HRS'!M24,'26.8 Luweero-Kampala'!M24)</f>
        <v>73.142857142857139</v>
      </c>
      <c r="N24" s="49">
        <f>AVERAGE('20.8 Luwero-Kampala'!N24,'21.8 Luweero-Kampala'!N24,' 22.8 Luweero-Kampala'!N24,'23.Luweero-Kamplaa'!N24,'24.8 Luweero-Kampala'!N24,'25.8 Luwero-Kampala-24 HRS'!N24,'26.8 Luweero-Kampala'!N24)</f>
        <v>0</v>
      </c>
      <c r="O24" s="15">
        <f t="shared" si="0"/>
        <v>35.999999999999993</v>
      </c>
      <c r="P24" s="15">
        <f t="shared" si="1"/>
        <v>109.14285714285714</v>
      </c>
      <c r="R24" s="1" t="s">
        <v>148</v>
      </c>
      <c r="S24" s="34">
        <f>SUM(C66:C69)</f>
        <v>14.5</v>
      </c>
      <c r="T24" s="34">
        <f t="shared" ref="T24:AF24" si="16">SUM(D66:D69)</f>
        <v>4</v>
      </c>
      <c r="U24" s="34">
        <f t="shared" si="16"/>
        <v>14</v>
      </c>
      <c r="V24" s="34">
        <f t="shared" si="16"/>
        <v>15</v>
      </c>
      <c r="W24" s="34">
        <f t="shared" si="16"/>
        <v>4</v>
      </c>
      <c r="X24" s="34">
        <f t="shared" si="16"/>
        <v>5</v>
      </c>
      <c r="Y24" s="34">
        <f t="shared" si="16"/>
        <v>23</v>
      </c>
      <c r="Z24" s="34">
        <f t="shared" si="16"/>
        <v>1</v>
      </c>
      <c r="AA24" s="34">
        <f t="shared" si="16"/>
        <v>2</v>
      </c>
      <c r="AB24" s="34">
        <f t="shared" si="16"/>
        <v>7</v>
      </c>
      <c r="AC24" s="34">
        <f t="shared" si="16"/>
        <v>88</v>
      </c>
      <c r="AD24" s="34">
        <f t="shared" si="16"/>
        <v>0</v>
      </c>
      <c r="AE24" s="31">
        <f t="shared" si="16"/>
        <v>89.5</v>
      </c>
      <c r="AF24" s="31">
        <f t="shared" si="16"/>
        <v>177.5</v>
      </c>
    </row>
    <row r="25" spans="2:32" ht="23.1" customHeight="1" x14ac:dyDescent="0.25">
      <c r="B25" s="23" t="s">
        <v>52</v>
      </c>
      <c r="C25" s="49">
        <f>AVERAGE('20.8 Luwero-Kampala'!C25,'21.8 Luweero-Kampala'!C25,' 22.8 Luweero-Kampala'!C25,'23.Luweero-Kamplaa'!C25,'24.8 Luweero-Kampala'!C25,'25.8 Luwero-Kampala-24 HRS'!C25,'26.8 Luweero-Kampala'!C25)</f>
        <v>6.7142857142857144</v>
      </c>
      <c r="D25" s="49">
        <f>AVERAGE('20.8 Luwero-Kampala'!D25,'21.8 Luweero-Kampala'!D25,' 22.8 Luweero-Kampala'!D25,'23.Luweero-Kamplaa'!D25,'24.8 Luweero-Kampala'!D25,'25.8 Luwero-Kampala-24 HRS'!D25,'26.8 Luweero-Kampala'!D25)</f>
        <v>0</v>
      </c>
      <c r="E25" s="49">
        <f>AVERAGE('20.8 Luwero-Kampala'!E25,'21.8 Luweero-Kampala'!E25,' 22.8 Luweero-Kampala'!E25,'23.Luweero-Kamplaa'!E25,'24.8 Luweero-Kampala'!E25,'25.8 Luwero-Kampala-24 HRS'!E25,'26.8 Luweero-Kampala'!E25)</f>
        <v>14.857142857142858</v>
      </c>
      <c r="F25" s="49">
        <f>AVERAGE('20.8 Luwero-Kampala'!F25,'21.8 Luweero-Kampala'!F25,' 22.8 Luweero-Kampala'!F25,'23.Luweero-Kamplaa'!F25,'24.8 Luweero-Kampala'!F25,'25.8 Luwero-Kampala-24 HRS'!F25,'26.8 Luweero-Kampala'!F25)</f>
        <v>13.428571428571429</v>
      </c>
      <c r="G25" s="49">
        <f>AVERAGE('20.8 Luwero-Kampala'!G25,'21.8 Luweero-Kampala'!G25,' 22.8 Luweero-Kampala'!G25,'23.Luweero-Kamplaa'!G25,'24.8 Luweero-Kampala'!G25,'25.8 Luwero-Kampala-24 HRS'!G25,'26.8 Luweero-Kampala'!G25)</f>
        <v>0.2857142857142857</v>
      </c>
      <c r="H25" s="49">
        <f>AVERAGE('20.8 Luwero-Kampala'!H25,'21.8 Luweero-Kampala'!H25,' 22.8 Luweero-Kampala'!H25,'23.Luweero-Kamplaa'!H25,'24.8 Luweero-Kampala'!H25,'25.8 Luwero-Kampala-24 HRS'!H25,'26.8 Luweero-Kampala'!H25)</f>
        <v>0.2857142857142857</v>
      </c>
      <c r="I25" s="49">
        <f>AVERAGE('20.8 Luwero-Kampala'!I25,'21.8 Luweero-Kampala'!I25,' 22.8 Luweero-Kampala'!I25,'23.Luweero-Kamplaa'!I25,'24.8 Luweero-Kampala'!I25,'25.8 Luwero-Kampala-24 HRS'!I25,'26.8 Luweero-Kampala'!I25)</f>
        <v>6</v>
      </c>
      <c r="J25" s="49">
        <f>AVERAGE('20.8 Luwero-Kampala'!J25,'21.8 Luweero-Kampala'!J25,' 22.8 Luweero-Kampala'!J25,'23.Luweero-Kamplaa'!J25,'24.8 Luweero-Kampala'!J25,'25.8 Luwero-Kampala-24 HRS'!J25,'26.8 Luweero-Kampala'!J25)</f>
        <v>0.42857142857142855</v>
      </c>
      <c r="K25" s="49">
        <f>AVERAGE('20.8 Luwero-Kampala'!K25,'21.8 Luweero-Kampala'!K25,' 22.8 Luweero-Kampala'!K25,'23.Luweero-Kamplaa'!K25,'24.8 Luweero-Kampala'!K25,'25.8 Luwero-Kampala-24 HRS'!K25,'26.8 Luweero-Kampala'!K25)</f>
        <v>0</v>
      </c>
      <c r="L25" s="49">
        <f>AVERAGE('20.8 Luwero-Kampala'!L25,'21.8 Luweero-Kampala'!L25,' 22.8 Luweero-Kampala'!L25,'23.Luweero-Kamplaa'!L25,'24.8 Luweero-Kampala'!L25,'25.8 Luwero-Kampala-24 HRS'!L25,'26.8 Luweero-Kampala'!L25)</f>
        <v>1.2857142857142858</v>
      </c>
      <c r="M25" s="49">
        <f>AVERAGE('20.8 Luwero-Kampala'!M25,'21.8 Luweero-Kampala'!M25,' 22.8 Luweero-Kampala'!M25,'23.Luweero-Kamplaa'!M25,'24.8 Luweero-Kampala'!M25,'25.8 Luwero-Kampala-24 HRS'!M25,'26.8 Luweero-Kampala'!M25)</f>
        <v>67.714285714285708</v>
      </c>
      <c r="N25" s="49">
        <f>AVERAGE('20.8 Luwero-Kampala'!N25,'21.8 Luweero-Kampala'!N25,' 22.8 Luweero-Kampala'!N25,'23.Luweero-Kamplaa'!N25,'24.8 Luweero-Kampala'!N25,'25.8 Luwero-Kampala-24 HRS'!N25,'26.8 Luweero-Kampala'!N25)</f>
        <v>0.14285714285714285</v>
      </c>
      <c r="O25" s="15">
        <f t="shared" si="0"/>
        <v>43.428571428571431</v>
      </c>
      <c r="P25" s="15">
        <f t="shared" si="1"/>
        <v>111.14285714285714</v>
      </c>
      <c r="R25" s="1" t="s">
        <v>149</v>
      </c>
      <c r="S25" s="34">
        <f>SUM(C70:C73)</f>
        <v>8.5</v>
      </c>
      <c r="T25" s="34">
        <f t="shared" ref="T25:AF25" si="17">SUM(D70:D73)</f>
        <v>1</v>
      </c>
      <c r="U25" s="34">
        <f t="shared" si="17"/>
        <v>9</v>
      </c>
      <c r="V25" s="34">
        <f t="shared" si="17"/>
        <v>13</v>
      </c>
      <c r="W25" s="34">
        <f t="shared" si="17"/>
        <v>4</v>
      </c>
      <c r="X25" s="34">
        <f t="shared" si="17"/>
        <v>5</v>
      </c>
      <c r="Y25" s="34">
        <f t="shared" si="17"/>
        <v>13</v>
      </c>
      <c r="Z25" s="34">
        <f t="shared" si="17"/>
        <v>1</v>
      </c>
      <c r="AA25" s="34">
        <f t="shared" si="17"/>
        <v>2</v>
      </c>
      <c r="AB25" s="34">
        <f t="shared" si="17"/>
        <v>7</v>
      </c>
      <c r="AC25" s="34">
        <f t="shared" si="17"/>
        <v>34</v>
      </c>
      <c r="AD25" s="34">
        <f t="shared" si="17"/>
        <v>0</v>
      </c>
      <c r="AE25" s="31">
        <f t="shared" si="17"/>
        <v>63.5</v>
      </c>
      <c r="AF25" s="31">
        <f t="shared" si="17"/>
        <v>97.5</v>
      </c>
    </row>
    <row r="26" spans="2:32" ht="23.1" customHeight="1" x14ac:dyDescent="0.25">
      <c r="B26" s="23" t="s">
        <v>53</v>
      </c>
      <c r="C26" s="49">
        <f>AVERAGE('20.8 Luwero-Kampala'!C26,'21.8 Luweero-Kampala'!C26,' 22.8 Luweero-Kampala'!C26,'23.Luweero-Kamplaa'!C26,'24.8 Luweero-Kampala'!C26,'25.8 Luwero-Kampala-24 HRS'!C26,'26.8 Luweero-Kampala'!C26)</f>
        <v>6.2857142857142856</v>
      </c>
      <c r="D26" s="49">
        <f>AVERAGE('20.8 Luwero-Kampala'!D26,'21.8 Luweero-Kampala'!D26,' 22.8 Luweero-Kampala'!D26,'23.Luweero-Kamplaa'!D26,'24.8 Luweero-Kampala'!D26,'25.8 Luwero-Kampala-24 HRS'!D26,'26.8 Luweero-Kampala'!D26)</f>
        <v>0</v>
      </c>
      <c r="E26" s="49">
        <f>AVERAGE('20.8 Luwero-Kampala'!E26,'21.8 Luweero-Kampala'!E26,' 22.8 Luweero-Kampala'!E26,'23.Luweero-Kamplaa'!E26,'24.8 Luweero-Kampala'!E26,'25.8 Luwero-Kampala-24 HRS'!E26,'26.8 Luweero-Kampala'!E26)</f>
        <v>13</v>
      </c>
      <c r="F26" s="49">
        <f>AVERAGE('20.8 Luwero-Kampala'!F26,'21.8 Luweero-Kampala'!F26,' 22.8 Luweero-Kampala'!F26,'23.Luweero-Kamplaa'!F26,'24.8 Luweero-Kampala'!F26,'25.8 Luwero-Kampala-24 HRS'!F26,'26.8 Luweero-Kampala'!F26)</f>
        <v>13.428571428571429</v>
      </c>
      <c r="G26" s="49">
        <f>AVERAGE('20.8 Luwero-Kampala'!G26,'21.8 Luweero-Kampala'!G26,' 22.8 Luweero-Kampala'!G26,'23.Luweero-Kamplaa'!G26,'24.8 Luweero-Kampala'!G26,'25.8 Luwero-Kampala-24 HRS'!G26,'26.8 Luweero-Kampala'!G26)</f>
        <v>0.2857142857142857</v>
      </c>
      <c r="H26" s="49">
        <f>AVERAGE('20.8 Luwero-Kampala'!H26,'21.8 Luweero-Kampala'!H26,' 22.8 Luweero-Kampala'!H26,'23.Luweero-Kamplaa'!H26,'24.8 Luweero-Kampala'!H26,'25.8 Luwero-Kampala-24 HRS'!H26,'26.8 Luweero-Kampala'!H26)</f>
        <v>0.14285714285714285</v>
      </c>
      <c r="I26" s="49">
        <f>AVERAGE('20.8 Luwero-Kampala'!I26,'21.8 Luweero-Kampala'!I26,' 22.8 Luweero-Kampala'!I26,'23.Luweero-Kamplaa'!I26,'24.8 Luweero-Kampala'!I26,'25.8 Luwero-Kampala-24 HRS'!I26,'26.8 Luweero-Kampala'!I26)</f>
        <v>4.1428571428571432</v>
      </c>
      <c r="J26" s="49">
        <f>AVERAGE('20.8 Luwero-Kampala'!J26,'21.8 Luweero-Kampala'!J26,' 22.8 Luweero-Kampala'!J26,'23.Luweero-Kamplaa'!J26,'24.8 Luweero-Kampala'!J26,'25.8 Luwero-Kampala-24 HRS'!J26,'26.8 Luweero-Kampala'!J26)</f>
        <v>0.2857142857142857</v>
      </c>
      <c r="K26" s="49">
        <f>AVERAGE('20.8 Luwero-Kampala'!K26,'21.8 Luweero-Kampala'!K26,' 22.8 Luweero-Kampala'!K26,'23.Luweero-Kamplaa'!K26,'24.8 Luweero-Kampala'!K26,'25.8 Luwero-Kampala-24 HRS'!K26,'26.8 Luweero-Kampala'!K26)</f>
        <v>0.14285714285714285</v>
      </c>
      <c r="L26" s="49">
        <f>AVERAGE('20.8 Luwero-Kampala'!L26,'21.8 Luweero-Kampala'!L26,' 22.8 Luweero-Kampala'!L26,'23.Luweero-Kamplaa'!L26,'24.8 Luweero-Kampala'!L26,'25.8 Luwero-Kampala-24 HRS'!L26,'26.8 Luweero-Kampala'!L26)</f>
        <v>1.1428571428571428</v>
      </c>
      <c r="M26" s="49">
        <f>AVERAGE('20.8 Luwero-Kampala'!M26,'21.8 Luweero-Kampala'!M26,' 22.8 Luweero-Kampala'!M26,'23.Luweero-Kamplaa'!M26,'24.8 Luweero-Kampala'!M26,'25.8 Luwero-Kampala-24 HRS'!M26,'26.8 Luweero-Kampala'!M26)</f>
        <v>65.857142857142861</v>
      </c>
      <c r="N26" s="49">
        <f>AVERAGE('20.8 Luwero-Kampala'!N26,'21.8 Luweero-Kampala'!N26,' 22.8 Luweero-Kampala'!N26,'23.Luweero-Kamplaa'!N26,'24.8 Luweero-Kampala'!N26,'25.8 Luwero-Kampala-24 HRS'!N26,'26.8 Luweero-Kampala'!N26)</f>
        <v>0</v>
      </c>
      <c r="O26" s="15">
        <f t="shared" si="0"/>
        <v>38.857142857142868</v>
      </c>
      <c r="P26" s="15">
        <f t="shared" si="1"/>
        <v>104.71428571428572</v>
      </c>
      <c r="R26" s="1" t="s">
        <v>150</v>
      </c>
      <c r="S26" s="34">
        <f>SUM(C74:C77)</f>
        <v>7</v>
      </c>
      <c r="T26" s="34">
        <f t="shared" ref="T26:AF26" si="18">SUM(D74:D77)</f>
        <v>0</v>
      </c>
      <c r="U26" s="34">
        <f t="shared" si="18"/>
        <v>4</v>
      </c>
      <c r="V26" s="34">
        <f t="shared" si="18"/>
        <v>2</v>
      </c>
      <c r="W26" s="34">
        <f t="shared" si="18"/>
        <v>4</v>
      </c>
      <c r="X26" s="34">
        <f t="shared" si="18"/>
        <v>5</v>
      </c>
      <c r="Y26" s="34">
        <f t="shared" si="18"/>
        <v>10</v>
      </c>
      <c r="Z26" s="34">
        <f t="shared" si="18"/>
        <v>1</v>
      </c>
      <c r="AA26" s="34">
        <f t="shared" si="18"/>
        <v>0</v>
      </c>
      <c r="AB26" s="34">
        <f t="shared" si="18"/>
        <v>7</v>
      </c>
      <c r="AC26" s="34">
        <f t="shared" si="18"/>
        <v>16</v>
      </c>
      <c r="AD26" s="34">
        <f t="shared" si="18"/>
        <v>0</v>
      </c>
      <c r="AE26" s="31">
        <f t="shared" si="18"/>
        <v>40</v>
      </c>
      <c r="AF26" s="31">
        <f t="shared" si="18"/>
        <v>56</v>
      </c>
    </row>
    <row r="27" spans="2:32" ht="23.1" customHeight="1" x14ac:dyDescent="0.25">
      <c r="B27" s="23" t="s">
        <v>54</v>
      </c>
      <c r="C27" s="49">
        <f>AVERAGE('20.8 Luwero-Kampala'!C27,'21.8 Luweero-Kampala'!C27,' 22.8 Luweero-Kampala'!C27,'23.Luweero-Kamplaa'!C27,'24.8 Luweero-Kampala'!C27,'25.8 Luwero-Kampala-24 HRS'!C27,'26.8 Luweero-Kampala'!C27)</f>
        <v>6</v>
      </c>
      <c r="D27" s="49">
        <f>AVERAGE('20.8 Luwero-Kampala'!D27,'21.8 Luweero-Kampala'!D27,' 22.8 Luweero-Kampala'!D27,'23.Luweero-Kamplaa'!D27,'24.8 Luweero-Kampala'!D27,'25.8 Luwero-Kampala-24 HRS'!D27,'26.8 Luweero-Kampala'!D27)</f>
        <v>0</v>
      </c>
      <c r="E27" s="49">
        <f>AVERAGE('20.8 Luwero-Kampala'!E27,'21.8 Luweero-Kampala'!E27,' 22.8 Luweero-Kampala'!E27,'23.Luweero-Kamplaa'!E27,'24.8 Luweero-Kampala'!E27,'25.8 Luwero-Kampala-24 HRS'!E27,'26.8 Luweero-Kampala'!E27)</f>
        <v>14</v>
      </c>
      <c r="F27" s="49">
        <f>AVERAGE('20.8 Luwero-Kampala'!F27,'21.8 Luweero-Kampala'!F27,' 22.8 Luweero-Kampala'!F27,'23.Luweero-Kamplaa'!F27,'24.8 Luweero-Kampala'!F27,'25.8 Luwero-Kampala-24 HRS'!F27,'26.8 Luweero-Kampala'!F27)</f>
        <v>10.857142857142858</v>
      </c>
      <c r="G27" s="49">
        <f>AVERAGE('20.8 Luwero-Kampala'!G27,'21.8 Luweero-Kampala'!G27,' 22.8 Luweero-Kampala'!G27,'23.Luweero-Kamplaa'!G27,'24.8 Luweero-Kampala'!G27,'25.8 Luwero-Kampala-24 HRS'!G27,'26.8 Luweero-Kampala'!G27)</f>
        <v>0.14285714285714285</v>
      </c>
      <c r="H27" s="49">
        <f>AVERAGE('20.8 Luwero-Kampala'!H27,'21.8 Luweero-Kampala'!H27,' 22.8 Luweero-Kampala'!H27,'23.Luweero-Kamplaa'!H27,'24.8 Luweero-Kampala'!H27,'25.8 Luwero-Kampala-24 HRS'!H27,'26.8 Luweero-Kampala'!H27)</f>
        <v>0.5714285714285714</v>
      </c>
      <c r="I27" s="49">
        <f>AVERAGE('20.8 Luwero-Kampala'!I27,'21.8 Luweero-Kampala'!I27,' 22.8 Luweero-Kampala'!I27,'23.Luweero-Kamplaa'!I27,'24.8 Luweero-Kampala'!I27,'25.8 Luwero-Kampala-24 HRS'!I27,'26.8 Luweero-Kampala'!I27)</f>
        <v>6.2857142857142856</v>
      </c>
      <c r="J27" s="49">
        <f>AVERAGE('20.8 Luwero-Kampala'!J27,'21.8 Luweero-Kampala'!J27,' 22.8 Luweero-Kampala'!J27,'23.Luweero-Kamplaa'!J27,'24.8 Luweero-Kampala'!J27,'25.8 Luwero-Kampala-24 HRS'!J27,'26.8 Luweero-Kampala'!J27)</f>
        <v>0.2857142857142857</v>
      </c>
      <c r="K27" s="49">
        <f>AVERAGE('20.8 Luwero-Kampala'!K27,'21.8 Luweero-Kampala'!K27,' 22.8 Luweero-Kampala'!K27,'23.Luweero-Kamplaa'!K27,'24.8 Luweero-Kampala'!K27,'25.8 Luwero-Kampala-24 HRS'!K27,'26.8 Luweero-Kampala'!K27)</f>
        <v>0.2857142857142857</v>
      </c>
      <c r="L27" s="49">
        <f>AVERAGE('20.8 Luwero-Kampala'!L27,'21.8 Luweero-Kampala'!L27,' 22.8 Luweero-Kampala'!L27,'23.Luweero-Kamplaa'!L27,'24.8 Luweero-Kampala'!L27,'25.8 Luwero-Kampala-24 HRS'!L27,'26.8 Luweero-Kampala'!L27)</f>
        <v>1.2857142857142858</v>
      </c>
      <c r="M27" s="49">
        <f>AVERAGE('20.8 Luwero-Kampala'!M27,'21.8 Luweero-Kampala'!M27,' 22.8 Luweero-Kampala'!M27,'23.Luweero-Kamplaa'!M27,'24.8 Luweero-Kampala'!M27,'25.8 Luwero-Kampala-24 HRS'!M27,'26.8 Luweero-Kampala'!M27)</f>
        <v>66.857142857142861</v>
      </c>
      <c r="N27" s="49">
        <f>AVERAGE('20.8 Luwero-Kampala'!N27,'21.8 Luweero-Kampala'!N27,' 22.8 Luweero-Kampala'!N27,'23.Luweero-Kamplaa'!N27,'24.8 Luweero-Kampala'!N27,'25.8 Luwero-Kampala-24 HRS'!N27,'26.8 Luweero-Kampala'!N27)</f>
        <v>0</v>
      </c>
      <c r="O27" s="15">
        <f t="shared" si="0"/>
        <v>39.714285714285715</v>
      </c>
      <c r="P27" s="15">
        <f t="shared" si="1"/>
        <v>106.57142857142858</v>
      </c>
      <c r="R27" s="1" t="s">
        <v>151</v>
      </c>
      <c r="S27" s="34">
        <f>SUM(C78:C81)</f>
        <v>4</v>
      </c>
      <c r="T27" s="34">
        <f t="shared" ref="T27:AF27" si="19">SUM(D78:D81)</f>
        <v>3</v>
      </c>
      <c r="U27" s="34">
        <f t="shared" si="19"/>
        <v>3</v>
      </c>
      <c r="V27" s="34">
        <f t="shared" si="19"/>
        <v>2</v>
      </c>
      <c r="W27" s="34">
        <f t="shared" si="19"/>
        <v>4</v>
      </c>
      <c r="X27" s="34">
        <f t="shared" si="19"/>
        <v>4</v>
      </c>
      <c r="Y27" s="34">
        <f t="shared" si="19"/>
        <v>5</v>
      </c>
      <c r="Z27" s="34">
        <f t="shared" si="19"/>
        <v>1</v>
      </c>
      <c r="AA27" s="34">
        <f t="shared" si="19"/>
        <v>0</v>
      </c>
      <c r="AB27" s="34">
        <f t="shared" si="19"/>
        <v>7</v>
      </c>
      <c r="AC27" s="34">
        <f t="shared" si="19"/>
        <v>13</v>
      </c>
      <c r="AD27" s="34">
        <f t="shared" si="19"/>
        <v>0</v>
      </c>
      <c r="AE27" s="31">
        <f t="shared" si="19"/>
        <v>33</v>
      </c>
      <c r="AF27" s="31">
        <f t="shared" si="19"/>
        <v>46</v>
      </c>
    </row>
    <row r="28" spans="2:32" ht="23.1" customHeight="1" x14ac:dyDescent="0.25">
      <c r="B28" s="23" t="s">
        <v>55</v>
      </c>
      <c r="C28" s="49">
        <f>AVERAGE('20.8 Luwero-Kampala'!C28,'21.8 Luweero-Kampala'!C28,' 22.8 Luweero-Kampala'!C28,'23.Luweero-Kamplaa'!C28,'24.8 Luweero-Kampala'!C28,'25.8 Luwero-Kampala-24 HRS'!C28,'26.8 Luweero-Kampala'!C28)</f>
        <v>7.2857142857142856</v>
      </c>
      <c r="D28" s="49">
        <f>AVERAGE('20.8 Luwero-Kampala'!D28,'21.8 Luweero-Kampala'!D28,' 22.8 Luweero-Kampala'!D28,'23.Luweero-Kamplaa'!D28,'24.8 Luweero-Kampala'!D28,'25.8 Luwero-Kampala-24 HRS'!D28,'26.8 Luweero-Kampala'!D28)</f>
        <v>0</v>
      </c>
      <c r="E28" s="49">
        <f>AVERAGE('20.8 Luwero-Kampala'!E28,'21.8 Luweero-Kampala'!E28,' 22.8 Luweero-Kampala'!E28,'23.Luweero-Kamplaa'!E28,'24.8 Luweero-Kampala'!E28,'25.8 Luwero-Kampala-24 HRS'!E28,'26.8 Luweero-Kampala'!E28)</f>
        <v>13.571428571428571</v>
      </c>
      <c r="F28" s="49">
        <f>AVERAGE('20.8 Luwero-Kampala'!F28,'21.8 Luweero-Kampala'!F28,' 22.8 Luweero-Kampala'!F28,'23.Luweero-Kamplaa'!F28,'24.8 Luweero-Kampala'!F28,'25.8 Luwero-Kampala-24 HRS'!F28,'26.8 Luweero-Kampala'!F28)</f>
        <v>13.714285714285714</v>
      </c>
      <c r="G28" s="49">
        <f>AVERAGE('20.8 Luwero-Kampala'!G28,'21.8 Luweero-Kampala'!G28,' 22.8 Luweero-Kampala'!G28,'23.Luweero-Kamplaa'!G28,'24.8 Luweero-Kampala'!G28,'25.8 Luwero-Kampala-24 HRS'!G28,'26.8 Luweero-Kampala'!G28)</f>
        <v>0</v>
      </c>
      <c r="H28" s="49">
        <f>AVERAGE('20.8 Luwero-Kampala'!H28,'21.8 Luweero-Kampala'!H28,' 22.8 Luweero-Kampala'!H28,'23.Luweero-Kamplaa'!H28,'24.8 Luweero-Kampala'!H28,'25.8 Luwero-Kampala-24 HRS'!H28,'26.8 Luweero-Kampala'!H28)</f>
        <v>1.1428571428571428</v>
      </c>
      <c r="I28" s="49">
        <f>AVERAGE('20.8 Luwero-Kampala'!I28,'21.8 Luweero-Kampala'!I28,' 22.8 Luweero-Kampala'!I28,'23.Luweero-Kamplaa'!I28,'24.8 Luweero-Kampala'!I28,'25.8 Luwero-Kampala-24 HRS'!I28,'26.8 Luweero-Kampala'!I28)</f>
        <v>5.1428571428571432</v>
      </c>
      <c r="J28" s="49">
        <f>AVERAGE('20.8 Luwero-Kampala'!J28,'21.8 Luweero-Kampala'!J28,' 22.8 Luweero-Kampala'!J28,'23.Luweero-Kamplaa'!J28,'24.8 Luweero-Kampala'!J28,'25.8 Luwero-Kampala-24 HRS'!J28,'26.8 Luweero-Kampala'!J28)</f>
        <v>0</v>
      </c>
      <c r="K28" s="49">
        <f>AVERAGE('20.8 Luwero-Kampala'!K28,'21.8 Luweero-Kampala'!K28,' 22.8 Luweero-Kampala'!K28,'23.Luweero-Kamplaa'!K28,'24.8 Luweero-Kampala'!K28,'25.8 Luwero-Kampala-24 HRS'!K28,'26.8 Luweero-Kampala'!K28)</f>
        <v>0.2857142857142857</v>
      </c>
      <c r="L28" s="49">
        <f>AVERAGE('20.8 Luwero-Kampala'!L28,'21.8 Luweero-Kampala'!L28,' 22.8 Luweero-Kampala'!L28,'23.Luweero-Kamplaa'!L28,'24.8 Luweero-Kampala'!L28,'25.8 Luwero-Kampala-24 HRS'!L28,'26.8 Luweero-Kampala'!L28)</f>
        <v>0.5714285714285714</v>
      </c>
      <c r="M28" s="49">
        <f>AVERAGE('20.8 Luwero-Kampala'!M28,'21.8 Luweero-Kampala'!M28,' 22.8 Luweero-Kampala'!M28,'23.Luweero-Kamplaa'!M28,'24.8 Luweero-Kampala'!M28,'25.8 Luwero-Kampala-24 HRS'!M28,'26.8 Luweero-Kampala'!M28)</f>
        <v>67.857142857142861</v>
      </c>
      <c r="N28" s="49">
        <f>AVERAGE('20.8 Luwero-Kampala'!N28,'21.8 Luweero-Kampala'!N28,' 22.8 Luweero-Kampala'!N28,'23.Luweero-Kamplaa'!N28,'24.8 Luweero-Kampala'!N28,'25.8 Luwero-Kampala-24 HRS'!N28,'26.8 Luweero-Kampala'!N28)</f>
        <v>0</v>
      </c>
      <c r="O28" s="15">
        <f t="shared" si="0"/>
        <v>41.714285714285715</v>
      </c>
      <c r="P28" s="15">
        <f t="shared" si="1"/>
        <v>109.57142857142858</v>
      </c>
      <c r="R28" s="1" t="s">
        <v>152</v>
      </c>
      <c r="S28" s="34">
        <f>SUM(C82:C85)</f>
        <v>4</v>
      </c>
      <c r="T28" s="34">
        <f t="shared" ref="T28:AF28" si="20">SUM(D82:D85)</f>
        <v>1</v>
      </c>
      <c r="U28" s="34">
        <f t="shared" si="20"/>
        <v>3</v>
      </c>
      <c r="V28" s="34">
        <f t="shared" si="20"/>
        <v>2</v>
      </c>
      <c r="W28" s="34">
        <f t="shared" si="20"/>
        <v>2</v>
      </c>
      <c r="X28" s="34">
        <f t="shared" si="20"/>
        <v>2</v>
      </c>
      <c r="Y28" s="34">
        <f t="shared" si="20"/>
        <v>4</v>
      </c>
      <c r="Z28" s="34">
        <f t="shared" si="20"/>
        <v>1</v>
      </c>
      <c r="AA28" s="34">
        <f t="shared" si="20"/>
        <v>0</v>
      </c>
      <c r="AB28" s="34">
        <f t="shared" si="20"/>
        <v>3</v>
      </c>
      <c r="AC28" s="34">
        <f t="shared" si="20"/>
        <v>5</v>
      </c>
      <c r="AD28" s="34">
        <f t="shared" si="20"/>
        <v>0</v>
      </c>
      <c r="AE28" s="31">
        <f t="shared" si="20"/>
        <v>22</v>
      </c>
      <c r="AF28" s="31">
        <f t="shared" si="20"/>
        <v>27</v>
      </c>
    </row>
    <row r="29" spans="2:32" ht="23.1" customHeight="1" x14ac:dyDescent="0.25">
      <c r="B29" s="23" t="s">
        <v>56</v>
      </c>
      <c r="C29" s="49">
        <f>AVERAGE('20.8 Luwero-Kampala'!C29,'21.8 Luweero-Kampala'!C29,' 22.8 Luweero-Kampala'!C29,'23.Luweero-Kamplaa'!C29,'24.8 Luweero-Kampala'!C29,'25.8 Luwero-Kampala-24 HRS'!C29,'26.8 Luweero-Kampala'!C29)</f>
        <v>7.1428571428571432</v>
      </c>
      <c r="D29" s="49">
        <f>AVERAGE('20.8 Luwero-Kampala'!D29,'21.8 Luweero-Kampala'!D29,' 22.8 Luweero-Kampala'!D29,'23.Luweero-Kamplaa'!D29,'24.8 Luweero-Kampala'!D29,'25.8 Luwero-Kampala-24 HRS'!D29,'26.8 Luweero-Kampala'!D29)</f>
        <v>0</v>
      </c>
      <c r="E29" s="49">
        <f>AVERAGE('20.8 Luwero-Kampala'!E29,'21.8 Luweero-Kampala'!E29,' 22.8 Luweero-Kampala'!E29,'23.Luweero-Kamplaa'!E29,'24.8 Luweero-Kampala'!E29,'25.8 Luwero-Kampala-24 HRS'!E29,'26.8 Luweero-Kampala'!E29)</f>
        <v>13.285714285714286</v>
      </c>
      <c r="F29" s="49">
        <f>AVERAGE('20.8 Luwero-Kampala'!F29,'21.8 Luweero-Kampala'!F29,' 22.8 Luweero-Kampala'!F29,'23.Luweero-Kamplaa'!F29,'24.8 Luweero-Kampala'!F29,'25.8 Luwero-Kampala-24 HRS'!F29,'26.8 Luweero-Kampala'!F29)</f>
        <v>12.428571428571429</v>
      </c>
      <c r="G29" s="49">
        <f>AVERAGE('20.8 Luwero-Kampala'!G29,'21.8 Luweero-Kampala'!G29,' 22.8 Luweero-Kampala'!G29,'23.Luweero-Kamplaa'!G29,'24.8 Luweero-Kampala'!G29,'25.8 Luwero-Kampala-24 HRS'!G29,'26.8 Luweero-Kampala'!G29)</f>
        <v>0.7142857142857143</v>
      </c>
      <c r="H29" s="49">
        <f>AVERAGE('20.8 Luwero-Kampala'!H29,'21.8 Luweero-Kampala'!H29,' 22.8 Luweero-Kampala'!H29,'23.Luweero-Kamplaa'!H29,'24.8 Luweero-Kampala'!H29,'25.8 Luwero-Kampala-24 HRS'!H29,'26.8 Luweero-Kampala'!H29)</f>
        <v>0.8571428571428571</v>
      </c>
      <c r="I29" s="49">
        <f>AVERAGE('20.8 Luwero-Kampala'!I29,'21.8 Luweero-Kampala'!I29,' 22.8 Luweero-Kampala'!I29,'23.Luweero-Kamplaa'!I29,'24.8 Luweero-Kampala'!I29,'25.8 Luwero-Kampala-24 HRS'!I29,'26.8 Luweero-Kampala'!I29)</f>
        <v>5.2857142857142856</v>
      </c>
      <c r="J29" s="49">
        <f>AVERAGE('20.8 Luwero-Kampala'!J29,'21.8 Luweero-Kampala'!J29,' 22.8 Luweero-Kampala'!J29,'23.Luweero-Kamplaa'!J29,'24.8 Luweero-Kampala'!J29,'25.8 Luwero-Kampala-24 HRS'!J29,'26.8 Luweero-Kampala'!J29)</f>
        <v>0.42857142857142855</v>
      </c>
      <c r="K29" s="49">
        <f>AVERAGE('20.8 Luwero-Kampala'!K29,'21.8 Luweero-Kampala'!K29,' 22.8 Luweero-Kampala'!K29,'23.Luweero-Kamplaa'!K29,'24.8 Luweero-Kampala'!K29,'25.8 Luwero-Kampala-24 HRS'!K29,'26.8 Luweero-Kampala'!K29)</f>
        <v>0</v>
      </c>
      <c r="L29" s="49">
        <f>AVERAGE('20.8 Luwero-Kampala'!L29,'21.8 Luweero-Kampala'!L29,' 22.8 Luweero-Kampala'!L29,'23.Luweero-Kamplaa'!L29,'24.8 Luweero-Kampala'!L29,'25.8 Luwero-Kampala-24 HRS'!L29,'26.8 Luweero-Kampala'!L29)</f>
        <v>1</v>
      </c>
      <c r="M29" s="49">
        <f>AVERAGE('20.8 Luwero-Kampala'!M29,'21.8 Luweero-Kampala'!M29,' 22.8 Luweero-Kampala'!M29,'23.Luweero-Kamplaa'!M29,'24.8 Luweero-Kampala'!M29,'25.8 Luwero-Kampala-24 HRS'!M29,'26.8 Luweero-Kampala'!M29)</f>
        <v>62.571428571428569</v>
      </c>
      <c r="N29" s="49">
        <f>AVERAGE('20.8 Luwero-Kampala'!N29,'21.8 Luweero-Kampala'!N29,' 22.8 Luweero-Kampala'!N29,'23.Luweero-Kamplaa'!N29,'24.8 Luweero-Kampala'!N29,'25.8 Luwero-Kampala-24 HRS'!N29,'26.8 Luweero-Kampala'!N29)</f>
        <v>0</v>
      </c>
      <c r="O29" s="15">
        <f t="shared" si="0"/>
        <v>41.142857142857146</v>
      </c>
      <c r="P29" s="15">
        <f t="shared" si="1"/>
        <v>103.71428571428572</v>
      </c>
      <c r="R29" s="1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2</v>
      </c>
      <c r="V29" s="34">
        <f t="shared" si="21"/>
        <v>2</v>
      </c>
      <c r="W29" s="34">
        <f t="shared" si="21"/>
        <v>2</v>
      </c>
      <c r="X29" s="34">
        <f t="shared" si="21"/>
        <v>2</v>
      </c>
      <c r="Y29" s="34">
        <f t="shared" si="21"/>
        <v>4</v>
      </c>
      <c r="Z29" s="34">
        <f t="shared" si="21"/>
        <v>1</v>
      </c>
      <c r="AA29" s="34">
        <f t="shared" si="21"/>
        <v>1</v>
      </c>
      <c r="AB29" s="34">
        <f t="shared" si="21"/>
        <v>1</v>
      </c>
      <c r="AC29" s="34">
        <f t="shared" si="21"/>
        <v>2</v>
      </c>
      <c r="AD29" s="34">
        <f t="shared" si="21"/>
        <v>0</v>
      </c>
      <c r="AE29" s="31">
        <f t="shared" si="21"/>
        <v>17</v>
      </c>
      <c r="AF29" s="31">
        <f t="shared" si="21"/>
        <v>19</v>
      </c>
    </row>
    <row r="30" spans="2:32" ht="23.1" customHeight="1" x14ac:dyDescent="0.25">
      <c r="B30" s="23" t="s">
        <v>57</v>
      </c>
      <c r="C30" s="49">
        <f>AVERAGE('20.8 Luwero-Kampala'!C30,'21.8 Luweero-Kampala'!C30,' 22.8 Luweero-Kampala'!C30,'23.Luweero-Kamplaa'!C30,'24.8 Luweero-Kampala'!C30,'25.8 Luwero-Kampala-24 HRS'!C30,'26.8 Luweero-Kampala'!C30)</f>
        <v>7.4285714285714288</v>
      </c>
      <c r="D30" s="49">
        <f>AVERAGE('20.8 Luwero-Kampala'!D30,'21.8 Luweero-Kampala'!D30,' 22.8 Luweero-Kampala'!D30,'23.Luweero-Kamplaa'!D30,'24.8 Luweero-Kampala'!D30,'25.8 Luwero-Kampala-24 HRS'!D30,'26.8 Luweero-Kampala'!D30)</f>
        <v>0</v>
      </c>
      <c r="E30" s="49">
        <f>AVERAGE('20.8 Luwero-Kampala'!E30,'21.8 Luweero-Kampala'!E30,' 22.8 Luweero-Kampala'!E30,'23.Luweero-Kamplaa'!E30,'24.8 Luweero-Kampala'!E30,'25.8 Luwero-Kampala-24 HRS'!E30,'26.8 Luweero-Kampala'!E30)</f>
        <v>12.714285714285714</v>
      </c>
      <c r="F30" s="49">
        <f>AVERAGE('20.8 Luwero-Kampala'!F30,'21.8 Luweero-Kampala'!F30,' 22.8 Luweero-Kampala'!F30,'23.Luweero-Kamplaa'!F30,'24.8 Luweero-Kampala'!F30,'25.8 Luwero-Kampala-24 HRS'!F30,'26.8 Luweero-Kampala'!F30)</f>
        <v>12.428571428571429</v>
      </c>
      <c r="G30" s="49">
        <f>AVERAGE('20.8 Luwero-Kampala'!G30,'21.8 Luweero-Kampala'!G30,' 22.8 Luweero-Kampala'!G30,'23.Luweero-Kamplaa'!G30,'24.8 Luweero-Kampala'!G30,'25.8 Luwero-Kampala-24 HRS'!G30,'26.8 Luweero-Kampala'!G30)</f>
        <v>0</v>
      </c>
      <c r="H30" s="49">
        <f>AVERAGE('20.8 Luwero-Kampala'!H30,'21.8 Luweero-Kampala'!H30,' 22.8 Luweero-Kampala'!H30,'23.Luweero-Kamplaa'!H30,'24.8 Luweero-Kampala'!H30,'25.8 Luwero-Kampala-24 HRS'!H30,'26.8 Luweero-Kampala'!H30)</f>
        <v>0.7142857142857143</v>
      </c>
      <c r="I30" s="49">
        <f>AVERAGE('20.8 Luwero-Kampala'!I30,'21.8 Luweero-Kampala'!I30,' 22.8 Luweero-Kampala'!I30,'23.Luweero-Kamplaa'!I30,'24.8 Luweero-Kampala'!I30,'25.8 Luwero-Kampala-24 HRS'!I30,'26.8 Luweero-Kampala'!I30)</f>
        <v>7</v>
      </c>
      <c r="J30" s="49">
        <f>AVERAGE('20.8 Luwero-Kampala'!J30,'21.8 Luweero-Kampala'!J30,' 22.8 Luweero-Kampala'!J30,'23.Luweero-Kamplaa'!J30,'24.8 Luweero-Kampala'!J30,'25.8 Luwero-Kampala-24 HRS'!J30,'26.8 Luweero-Kampala'!J30)</f>
        <v>0.5714285714285714</v>
      </c>
      <c r="K30" s="49">
        <f>AVERAGE('20.8 Luwero-Kampala'!K30,'21.8 Luweero-Kampala'!K30,' 22.8 Luweero-Kampala'!K30,'23.Luweero-Kamplaa'!K30,'24.8 Luweero-Kampala'!K30,'25.8 Luwero-Kampala-24 HRS'!K30,'26.8 Luweero-Kampala'!K30)</f>
        <v>0</v>
      </c>
      <c r="L30" s="49">
        <f>AVERAGE('20.8 Luwero-Kampala'!L30,'21.8 Luweero-Kampala'!L30,' 22.8 Luweero-Kampala'!L30,'23.Luweero-Kamplaa'!L30,'24.8 Luweero-Kampala'!L30,'25.8 Luwero-Kampala-24 HRS'!L30,'26.8 Luweero-Kampala'!L30)</f>
        <v>1.4285714285714286</v>
      </c>
      <c r="M30" s="49">
        <f>AVERAGE('20.8 Luwero-Kampala'!M30,'21.8 Luweero-Kampala'!M30,' 22.8 Luweero-Kampala'!M30,'23.Luweero-Kamplaa'!M30,'24.8 Luweero-Kampala'!M30,'25.8 Luwero-Kampala-24 HRS'!M30,'26.8 Luweero-Kampala'!M30)</f>
        <v>63.857142857142854</v>
      </c>
      <c r="N30" s="49">
        <f>AVERAGE('20.8 Luwero-Kampala'!N30,'21.8 Luweero-Kampala'!N30,' 22.8 Luweero-Kampala'!N30,'23.Luweero-Kamplaa'!N30,'24.8 Luweero-Kampala'!N30,'25.8 Luwero-Kampala-24 HRS'!N30,'26.8 Luweero-Kampala'!N30)</f>
        <v>0</v>
      </c>
      <c r="O30" s="15">
        <f t="shared" si="0"/>
        <v>42.285714285714285</v>
      </c>
      <c r="P30" s="15">
        <f t="shared" si="1"/>
        <v>106.14285714285714</v>
      </c>
      <c r="R30" s="1" t="s">
        <v>154</v>
      </c>
      <c r="S30" s="34">
        <f>SUM(C90:C93)</f>
        <v>1</v>
      </c>
      <c r="T30" s="34">
        <f t="shared" ref="T30:AF30" si="22">SUM(D90:D93)</f>
        <v>1</v>
      </c>
      <c r="U30" s="34">
        <f t="shared" si="22"/>
        <v>1</v>
      </c>
      <c r="V30" s="34">
        <f t="shared" si="22"/>
        <v>2</v>
      </c>
      <c r="W30" s="34">
        <f t="shared" si="22"/>
        <v>2</v>
      </c>
      <c r="X30" s="34">
        <f t="shared" si="22"/>
        <v>2</v>
      </c>
      <c r="Y30" s="34">
        <f t="shared" si="22"/>
        <v>4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3</v>
      </c>
      <c r="AD30" s="34">
        <f t="shared" si="22"/>
        <v>0</v>
      </c>
      <c r="AE30" s="31">
        <f t="shared" si="22"/>
        <v>14</v>
      </c>
      <c r="AF30" s="31">
        <f t="shared" si="22"/>
        <v>17</v>
      </c>
    </row>
    <row r="31" spans="2:32" ht="23.1" customHeight="1" x14ac:dyDescent="0.25">
      <c r="B31" s="24" t="s">
        <v>58</v>
      </c>
      <c r="C31" s="49">
        <f>AVERAGE('20.8 Luwero-Kampala'!C31,'21.8 Luweero-Kampala'!C31,' 22.8 Luweero-Kampala'!C31,'23.Luweero-Kamplaa'!C31,'24.8 Luweero-Kampala'!C31,'25.8 Luwero-Kampala-24 HRS'!C31,'26.8 Luweero-Kampala'!C31)</f>
        <v>7.1428571428571432</v>
      </c>
      <c r="D31" s="49">
        <f>AVERAGE('20.8 Luwero-Kampala'!D31,'21.8 Luweero-Kampala'!D31,' 22.8 Luweero-Kampala'!D31,'23.Luweero-Kamplaa'!D31,'24.8 Luweero-Kampala'!D31,'25.8 Luwero-Kampala-24 HRS'!D31,'26.8 Luweero-Kampala'!D31)</f>
        <v>0</v>
      </c>
      <c r="E31" s="49">
        <f>AVERAGE('20.8 Luwero-Kampala'!E31,'21.8 Luweero-Kampala'!E31,' 22.8 Luweero-Kampala'!E31,'23.Luweero-Kamplaa'!E31,'24.8 Luweero-Kampala'!E31,'25.8 Luwero-Kampala-24 HRS'!E31,'26.8 Luweero-Kampala'!E31)</f>
        <v>9.7142857142857135</v>
      </c>
      <c r="F31" s="49">
        <f>AVERAGE('20.8 Luwero-Kampala'!F31,'21.8 Luweero-Kampala'!F31,' 22.8 Luweero-Kampala'!F31,'23.Luweero-Kamplaa'!F31,'24.8 Luweero-Kampala'!F31,'25.8 Luwero-Kampala-24 HRS'!F31,'26.8 Luweero-Kampala'!F31)</f>
        <v>13.285714285714286</v>
      </c>
      <c r="G31" s="49">
        <f>AVERAGE('20.8 Luwero-Kampala'!G31,'21.8 Luweero-Kampala'!G31,' 22.8 Luweero-Kampala'!G31,'23.Luweero-Kamplaa'!G31,'24.8 Luweero-Kampala'!G31,'25.8 Luwero-Kampala-24 HRS'!G31,'26.8 Luweero-Kampala'!G31)</f>
        <v>0.42857142857142855</v>
      </c>
      <c r="H31" s="49">
        <f>AVERAGE('20.8 Luwero-Kampala'!H31,'21.8 Luweero-Kampala'!H31,' 22.8 Luweero-Kampala'!H31,'23.Luweero-Kamplaa'!H31,'24.8 Luweero-Kampala'!H31,'25.8 Luwero-Kampala-24 HRS'!H31,'26.8 Luweero-Kampala'!H31)</f>
        <v>0.5714285714285714</v>
      </c>
      <c r="I31" s="49">
        <f>AVERAGE('20.8 Luwero-Kampala'!I31,'21.8 Luweero-Kampala'!I31,' 22.8 Luweero-Kampala'!I31,'23.Luweero-Kamplaa'!I31,'24.8 Luweero-Kampala'!I31,'25.8 Luwero-Kampala-24 HRS'!I31,'26.8 Luweero-Kampala'!I31)</f>
        <v>8</v>
      </c>
      <c r="J31" s="49">
        <f>AVERAGE('20.8 Luwero-Kampala'!J31,'21.8 Luweero-Kampala'!J31,' 22.8 Luweero-Kampala'!J31,'23.Luweero-Kamplaa'!J31,'24.8 Luweero-Kampala'!J31,'25.8 Luwero-Kampala-24 HRS'!J31,'26.8 Luweero-Kampala'!J31)</f>
        <v>0.2857142857142857</v>
      </c>
      <c r="K31" s="49">
        <f>AVERAGE('20.8 Luwero-Kampala'!K31,'21.8 Luweero-Kampala'!K31,' 22.8 Luweero-Kampala'!K31,'23.Luweero-Kamplaa'!K31,'24.8 Luweero-Kampala'!K31,'25.8 Luwero-Kampala-24 HRS'!K31,'26.8 Luweero-Kampala'!K31)</f>
        <v>0.2857142857142857</v>
      </c>
      <c r="L31" s="49">
        <f>AVERAGE('20.8 Luwero-Kampala'!L31,'21.8 Luweero-Kampala'!L31,' 22.8 Luweero-Kampala'!L31,'23.Luweero-Kamplaa'!L31,'24.8 Luweero-Kampala'!L31,'25.8 Luwero-Kampala-24 HRS'!L31,'26.8 Luweero-Kampala'!L31)</f>
        <v>0.8571428571428571</v>
      </c>
      <c r="M31" s="49">
        <f>AVERAGE('20.8 Luwero-Kampala'!M31,'21.8 Luweero-Kampala'!M31,' 22.8 Luweero-Kampala'!M31,'23.Luweero-Kamplaa'!M31,'24.8 Luweero-Kampala'!M31,'25.8 Luwero-Kampala-24 HRS'!M31,'26.8 Luweero-Kampala'!M31)</f>
        <v>66</v>
      </c>
      <c r="N31" s="49">
        <f>AVERAGE('20.8 Luwero-Kampala'!N31,'21.8 Luweero-Kampala'!N31,' 22.8 Luweero-Kampala'!N31,'23.Luweero-Kamplaa'!N31,'24.8 Luweero-Kampala'!N31,'25.8 Luwero-Kampala-24 HRS'!N31,'26.8 Luweero-Kampala'!N31)</f>
        <v>0</v>
      </c>
      <c r="O31" s="15">
        <f t="shared" si="0"/>
        <v>40.571428571428569</v>
      </c>
      <c r="P31" s="15">
        <f t="shared" si="1"/>
        <v>106.57142857142857</v>
      </c>
      <c r="R31" s="1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3</v>
      </c>
      <c r="W31" s="34">
        <f t="shared" si="23"/>
        <v>1</v>
      </c>
      <c r="X31" s="34">
        <f t="shared" si="23"/>
        <v>1.5</v>
      </c>
      <c r="Y31" s="34">
        <f t="shared" si="23"/>
        <v>2</v>
      </c>
      <c r="Z31" s="34">
        <f t="shared" si="23"/>
        <v>0</v>
      </c>
      <c r="AA31" s="34">
        <f t="shared" si="23"/>
        <v>0</v>
      </c>
      <c r="AB31" s="34">
        <f t="shared" si="23"/>
        <v>1</v>
      </c>
      <c r="AC31" s="34">
        <f t="shared" si="23"/>
        <v>2</v>
      </c>
      <c r="AD31" s="34">
        <f t="shared" si="23"/>
        <v>0</v>
      </c>
      <c r="AE31" s="31">
        <f t="shared" si="23"/>
        <v>9.5</v>
      </c>
      <c r="AF31" s="31">
        <f t="shared" si="23"/>
        <v>11.5</v>
      </c>
    </row>
    <row r="32" spans="2:32" ht="23.1" customHeight="1" x14ac:dyDescent="0.25">
      <c r="B32" s="24" t="s">
        <v>59</v>
      </c>
      <c r="C32" s="49">
        <f>AVERAGE('20.8 Luwero-Kampala'!C32,'21.8 Luweero-Kampala'!C32,' 22.8 Luweero-Kampala'!C32,'23.Luweero-Kamplaa'!C32,'24.8 Luweero-Kampala'!C32,'25.8 Luwero-Kampala-24 HRS'!C32,'26.8 Luweero-Kampala'!C32)</f>
        <v>6</v>
      </c>
      <c r="D32" s="49">
        <f>AVERAGE('20.8 Luwero-Kampala'!D32,'21.8 Luweero-Kampala'!D32,' 22.8 Luweero-Kampala'!D32,'23.Luweero-Kamplaa'!D32,'24.8 Luweero-Kampala'!D32,'25.8 Luwero-Kampala-24 HRS'!D32,'26.8 Luweero-Kampala'!D32)</f>
        <v>0</v>
      </c>
      <c r="E32" s="49">
        <f>AVERAGE('20.8 Luwero-Kampala'!E32,'21.8 Luweero-Kampala'!E32,' 22.8 Luweero-Kampala'!E32,'23.Luweero-Kamplaa'!E32,'24.8 Luweero-Kampala'!E32,'25.8 Luwero-Kampala-24 HRS'!E32,'26.8 Luweero-Kampala'!E32)</f>
        <v>11</v>
      </c>
      <c r="F32" s="49">
        <f>AVERAGE('20.8 Luwero-Kampala'!F32,'21.8 Luweero-Kampala'!F32,' 22.8 Luweero-Kampala'!F32,'23.Luweero-Kamplaa'!F32,'24.8 Luweero-Kampala'!F32,'25.8 Luwero-Kampala-24 HRS'!F32,'26.8 Luweero-Kampala'!F32)</f>
        <v>13.857142857142858</v>
      </c>
      <c r="G32" s="49">
        <f>AVERAGE('20.8 Luwero-Kampala'!G32,'21.8 Luweero-Kampala'!G32,' 22.8 Luweero-Kampala'!G32,'23.Luweero-Kamplaa'!G32,'24.8 Luweero-Kampala'!G32,'25.8 Luwero-Kampala-24 HRS'!G32,'26.8 Luweero-Kampala'!G32)</f>
        <v>0</v>
      </c>
      <c r="H32" s="49">
        <f>AVERAGE('20.8 Luwero-Kampala'!H32,'21.8 Luweero-Kampala'!H32,' 22.8 Luweero-Kampala'!H32,'23.Luweero-Kamplaa'!H32,'24.8 Luweero-Kampala'!H32,'25.8 Luwero-Kampala-24 HRS'!H32,'26.8 Luweero-Kampala'!H32)</f>
        <v>1.2857142857142858</v>
      </c>
      <c r="I32" s="49">
        <f>AVERAGE('20.8 Luwero-Kampala'!I32,'21.8 Luweero-Kampala'!I32,' 22.8 Luweero-Kampala'!I32,'23.Luweero-Kamplaa'!I32,'24.8 Luweero-Kampala'!I32,'25.8 Luwero-Kampala-24 HRS'!I32,'26.8 Luweero-Kampala'!I32)</f>
        <v>4.5714285714285712</v>
      </c>
      <c r="J32" s="49">
        <f>AVERAGE('20.8 Luwero-Kampala'!J32,'21.8 Luweero-Kampala'!J32,' 22.8 Luweero-Kampala'!J32,'23.Luweero-Kamplaa'!J32,'24.8 Luweero-Kampala'!J32,'25.8 Luwero-Kampala-24 HRS'!J32,'26.8 Luweero-Kampala'!J32)</f>
        <v>0.5714285714285714</v>
      </c>
      <c r="K32" s="49">
        <f>AVERAGE('20.8 Luwero-Kampala'!K32,'21.8 Luweero-Kampala'!K32,' 22.8 Luweero-Kampala'!K32,'23.Luweero-Kamplaa'!K32,'24.8 Luweero-Kampala'!K32,'25.8 Luwero-Kampala-24 HRS'!K32,'26.8 Luweero-Kampala'!K32)</f>
        <v>0.2857142857142857</v>
      </c>
      <c r="L32" s="49">
        <f>AVERAGE('20.8 Luwero-Kampala'!L32,'21.8 Luweero-Kampala'!L32,' 22.8 Luweero-Kampala'!L32,'23.Luweero-Kamplaa'!L32,'24.8 Luweero-Kampala'!L32,'25.8 Luwero-Kampala-24 HRS'!L32,'26.8 Luweero-Kampala'!L32)</f>
        <v>1</v>
      </c>
      <c r="M32" s="49">
        <f>AVERAGE('20.8 Luwero-Kampala'!M32,'21.8 Luweero-Kampala'!M32,' 22.8 Luweero-Kampala'!M32,'23.Luweero-Kamplaa'!M32,'24.8 Luweero-Kampala'!M32,'25.8 Luwero-Kampala-24 HRS'!M32,'26.8 Luweero-Kampala'!M32)</f>
        <v>58.285714285714285</v>
      </c>
      <c r="N32" s="49">
        <f>AVERAGE('20.8 Luwero-Kampala'!N32,'21.8 Luweero-Kampala'!N32,' 22.8 Luweero-Kampala'!N32,'23.Luweero-Kamplaa'!N32,'24.8 Luweero-Kampala'!N32,'25.8 Luwero-Kampala-24 HRS'!N32,'26.8 Luweero-Kampala'!N32)</f>
        <v>0</v>
      </c>
      <c r="O32" s="15">
        <f t="shared" si="0"/>
        <v>38.571428571428569</v>
      </c>
      <c r="P32" s="15">
        <f t="shared" si="1"/>
        <v>96.857142857142861</v>
      </c>
      <c r="R32" s="1" t="s">
        <v>156</v>
      </c>
      <c r="S32" s="34">
        <f>SUM(C98:C101)</f>
        <v>8</v>
      </c>
      <c r="T32" s="34">
        <f t="shared" ref="T32:AF32" si="24">SUM(D98:D101)</f>
        <v>1</v>
      </c>
      <c r="U32" s="34">
        <f t="shared" si="24"/>
        <v>2.5</v>
      </c>
      <c r="V32" s="34">
        <f t="shared" si="24"/>
        <v>2</v>
      </c>
      <c r="W32" s="34">
        <f t="shared" si="24"/>
        <v>2</v>
      </c>
      <c r="X32" s="34">
        <f t="shared" si="24"/>
        <v>2</v>
      </c>
      <c r="Y32" s="34">
        <f t="shared" si="24"/>
        <v>3</v>
      </c>
      <c r="Z32" s="34">
        <f t="shared" si="24"/>
        <v>1</v>
      </c>
      <c r="AA32" s="34">
        <f t="shared" si="24"/>
        <v>0</v>
      </c>
      <c r="AB32" s="34">
        <f t="shared" si="24"/>
        <v>3</v>
      </c>
      <c r="AC32" s="34">
        <f t="shared" si="24"/>
        <v>4</v>
      </c>
      <c r="AD32" s="34">
        <f t="shared" si="24"/>
        <v>0</v>
      </c>
      <c r="AE32" s="31">
        <f t="shared" si="24"/>
        <v>24.5</v>
      </c>
      <c r="AF32" s="31">
        <f t="shared" si="24"/>
        <v>28.5</v>
      </c>
    </row>
    <row r="33" spans="2:32" ht="23.1" customHeight="1" x14ac:dyDescent="0.25">
      <c r="B33" s="23" t="s">
        <v>60</v>
      </c>
      <c r="C33" s="49">
        <f>AVERAGE('20.8 Luwero-Kampala'!C33,'21.8 Luweero-Kampala'!C33,' 22.8 Luweero-Kampala'!C33,'23.Luweero-Kamplaa'!C33,'24.8 Luweero-Kampala'!C33,'25.8 Luwero-Kampala-24 HRS'!C33,'26.8 Luweero-Kampala'!C33)</f>
        <v>6.1428571428571432</v>
      </c>
      <c r="D33" s="49">
        <f>AVERAGE('20.8 Luwero-Kampala'!D33,'21.8 Luweero-Kampala'!D33,' 22.8 Luweero-Kampala'!D33,'23.Luweero-Kamplaa'!D33,'24.8 Luweero-Kampala'!D33,'25.8 Luwero-Kampala-24 HRS'!D33,'26.8 Luweero-Kampala'!D33)</f>
        <v>0</v>
      </c>
      <c r="E33" s="49">
        <f>AVERAGE('20.8 Luwero-Kampala'!E33,'21.8 Luweero-Kampala'!E33,' 22.8 Luweero-Kampala'!E33,'23.Luweero-Kamplaa'!E33,'24.8 Luweero-Kampala'!E33,'25.8 Luwero-Kampala-24 HRS'!E33,'26.8 Luweero-Kampala'!E33)</f>
        <v>14.857142857142858</v>
      </c>
      <c r="F33" s="49">
        <f>AVERAGE('20.8 Luwero-Kampala'!F33,'21.8 Luweero-Kampala'!F33,' 22.8 Luweero-Kampala'!F33,'23.Luweero-Kamplaa'!F33,'24.8 Luweero-Kampala'!F33,'25.8 Luwero-Kampala-24 HRS'!F33,'26.8 Luweero-Kampala'!F33)</f>
        <v>12.857142857142858</v>
      </c>
      <c r="G33" s="49">
        <f>AVERAGE('20.8 Luwero-Kampala'!G33,'21.8 Luweero-Kampala'!G33,' 22.8 Luweero-Kampala'!G33,'23.Luweero-Kamplaa'!G33,'24.8 Luweero-Kampala'!G33,'25.8 Luwero-Kampala-24 HRS'!G33,'26.8 Luweero-Kampala'!G33)</f>
        <v>0.14285714285714285</v>
      </c>
      <c r="H33" s="49">
        <f>AVERAGE('20.8 Luwero-Kampala'!H33,'21.8 Luweero-Kampala'!H33,' 22.8 Luweero-Kampala'!H33,'23.Luweero-Kamplaa'!H33,'24.8 Luweero-Kampala'!H33,'25.8 Luwero-Kampala-24 HRS'!H33,'26.8 Luweero-Kampala'!H33)</f>
        <v>0.2857142857142857</v>
      </c>
      <c r="I33" s="49">
        <f>AVERAGE('20.8 Luwero-Kampala'!I33,'21.8 Luweero-Kampala'!I33,' 22.8 Luweero-Kampala'!I33,'23.Luweero-Kamplaa'!I33,'24.8 Luweero-Kampala'!I33,'25.8 Luwero-Kampala-24 HRS'!I33,'26.8 Luweero-Kampala'!I33)</f>
        <v>7.7142857142857144</v>
      </c>
      <c r="J33" s="49">
        <f>AVERAGE('20.8 Luwero-Kampala'!J33,'21.8 Luweero-Kampala'!J33,' 22.8 Luweero-Kampala'!J33,'23.Luweero-Kamplaa'!J33,'24.8 Luweero-Kampala'!J33,'25.8 Luwero-Kampala-24 HRS'!J33,'26.8 Luweero-Kampala'!J33)</f>
        <v>0.42857142857142855</v>
      </c>
      <c r="K33" s="49">
        <f>AVERAGE('20.8 Luwero-Kampala'!K33,'21.8 Luweero-Kampala'!K33,' 22.8 Luweero-Kampala'!K33,'23.Luweero-Kamplaa'!K33,'24.8 Luweero-Kampala'!K33,'25.8 Luwero-Kampala-24 HRS'!K33,'26.8 Luweero-Kampala'!K33)</f>
        <v>0.14285714285714285</v>
      </c>
      <c r="L33" s="49">
        <f>AVERAGE('20.8 Luwero-Kampala'!L33,'21.8 Luweero-Kampala'!L33,' 22.8 Luweero-Kampala'!L33,'23.Luweero-Kamplaa'!L33,'24.8 Luweero-Kampala'!L33,'25.8 Luwero-Kampala-24 HRS'!L33,'26.8 Luweero-Kampala'!L33)</f>
        <v>1.4285714285714286</v>
      </c>
      <c r="M33" s="49">
        <f>AVERAGE('20.8 Luwero-Kampala'!M33,'21.8 Luweero-Kampala'!M33,' 22.8 Luweero-Kampala'!M33,'23.Luweero-Kamplaa'!M33,'24.8 Luweero-Kampala'!M33,'25.8 Luwero-Kampala-24 HRS'!M33,'26.8 Luweero-Kampala'!M33)</f>
        <v>62.285714285714285</v>
      </c>
      <c r="N33" s="49">
        <f>AVERAGE('20.8 Luwero-Kampala'!N33,'21.8 Luweero-Kampala'!N33,' 22.8 Luweero-Kampala'!N33,'23.Luweero-Kamplaa'!N33,'24.8 Luweero-Kampala'!N33,'25.8 Luwero-Kampala-24 HRS'!N33,'26.8 Luweero-Kampala'!N33)</f>
        <v>0</v>
      </c>
      <c r="O33" s="15">
        <f t="shared" si="0"/>
        <v>44.000000000000014</v>
      </c>
      <c r="P33" s="15">
        <f t="shared" si="1"/>
        <v>106.28571428571431</v>
      </c>
      <c r="R33" s="1" t="s">
        <v>157</v>
      </c>
      <c r="S33" s="34">
        <f>SUM(C102:C105)</f>
        <v>23</v>
      </c>
      <c r="T33" s="34">
        <f t="shared" ref="T33:AF33" si="25">SUM(D102:D105)</f>
        <v>6.5</v>
      </c>
      <c r="U33" s="34">
        <f t="shared" si="25"/>
        <v>4</v>
      </c>
      <c r="V33" s="34">
        <f t="shared" si="25"/>
        <v>7.5</v>
      </c>
      <c r="W33" s="34">
        <f t="shared" si="25"/>
        <v>2</v>
      </c>
      <c r="X33" s="34">
        <f t="shared" si="25"/>
        <v>1</v>
      </c>
      <c r="Y33" s="34">
        <f t="shared" si="25"/>
        <v>6.5</v>
      </c>
      <c r="Z33" s="34">
        <f t="shared" si="25"/>
        <v>2.5</v>
      </c>
      <c r="AA33" s="34">
        <f t="shared" si="25"/>
        <v>2</v>
      </c>
      <c r="AB33" s="34">
        <f t="shared" si="25"/>
        <v>2</v>
      </c>
      <c r="AC33" s="34">
        <f t="shared" si="25"/>
        <v>30.5</v>
      </c>
      <c r="AD33" s="34">
        <f t="shared" si="25"/>
        <v>0</v>
      </c>
      <c r="AE33" s="31">
        <f t="shared" si="25"/>
        <v>57</v>
      </c>
      <c r="AF33" s="31">
        <f t="shared" si="25"/>
        <v>87.5</v>
      </c>
    </row>
    <row r="34" spans="2:32" ht="23.1" customHeight="1" x14ac:dyDescent="0.25">
      <c r="B34" s="24" t="s">
        <v>61</v>
      </c>
      <c r="C34" s="49">
        <f>AVERAGE('20.8 Luwero-Kampala'!C34,'21.8 Luweero-Kampala'!C34,' 22.8 Luweero-Kampala'!C34,'23.Luweero-Kamplaa'!C34,'24.8 Luweero-Kampala'!C34,'25.8 Luwero-Kampala-24 HRS'!C34,'26.8 Luweero-Kampala'!C34)</f>
        <v>7</v>
      </c>
      <c r="D34" s="49">
        <f>AVERAGE('20.8 Luwero-Kampala'!D34,'21.8 Luweero-Kampala'!D34,' 22.8 Luweero-Kampala'!D34,'23.Luweero-Kamplaa'!D34,'24.8 Luweero-Kampala'!D34,'25.8 Luwero-Kampala-24 HRS'!D34,'26.8 Luweero-Kampala'!D34)</f>
        <v>0</v>
      </c>
      <c r="E34" s="49">
        <f>AVERAGE('20.8 Luwero-Kampala'!E34,'21.8 Luweero-Kampala'!E34,' 22.8 Luweero-Kampala'!E34,'23.Luweero-Kamplaa'!E34,'24.8 Luweero-Kampala'!E34,'25.8 Luwero-Kampala-24 HRS'!E34,'26.8 Luweero-Kampala'!E34)</f>
        <v>13</v>
      </c>
      <c r="F34" s="49">
        <f>AVERAGE('20.8 Luwero-Kampala'!F34,'21.8 Luweero-Kampala'!F34,' 22.8 Luweero-Kampala'!F34,'23.Luweero-Kamplaa'!F34,'24.8 Luweero-Kampala'!F34,'25.8 Luwero-Kampala-24 HRS'!F34,'26.8 Luweero-Kampala'!F34)</f>
        <v>11.857142857142858</v>
      </c>
      <c r="G34" s="49">
        <f>AVERAGE('20.8 Luwero-Kampala'!G34,'21.8 Luweero-Kampala'!G34,' 22.8 Luweero-Kampala'!G34,'23.Luweero-Kamplaa'!G34,'24.8 Luweero-Kampala'!G34,'25.8 Luwero-Kampala-24 HRS'!G34,'26.8 Luweero-Kampala'!G34)</f>
        <v>0.2857142857142857</v>
      </c>
      <c r="H34" s="49">
        <f>AVERAGE('20.8 Luwero-Kampala'!H34,'21.8 Luweero-Kampala'!H34,' 22.8 Luweero-Kampala'!H34,'23.Luweero-Kamplaa'!H34,'24.8 Luweero-Kampala'!H34,'25.8 Luwero-Kampala-24 HRS'!H34,'26.8 Luweero-Kampala'!H34)</f>
        <v>0.5714285714285714</v>
      </c>
      <c r="I34" s="49">
        <f>AVERAGE('20.8 Luwero-Kampala'!I34,'21.8 Luweero-Kampala'!I34,' 22.8 Luweero-Kampala'!I34,'23.Luweero-Kamplaa'!I34,'24.8 Luweero-Kampala'!I34,'25.8 Luwero-Kampala-24 HRS'!I34,'26.8 Luweero-Kampala'!I34)</f>
        <v>6.5714285714285712</v>
      </c>
      <c r="J34" s="49">
        <f>AVERAGE('20.8 Luwero-Kampala'!J34,'21.8 Luweero-Kampala'!J34,' 22.8 Luweero-Kampala'!J34,'23.Luweero-Kamplaa'!J34,'24.8 Luweero-Kampala'!J34,'25.8 Luwero-Kampala-24 HRS'!J34,'26.8 Luweero-Kampala'!J34)</f>
        <v>0.14285714285714285</v>
      </c>
      <c r="K34" s="49">
        <f>AVERAGE('20.8 Luwero-Kampala'!K34,'21.8 Luweero-Kampala'!K34,' 22.8 Luweero-Kampala'!K34,'23.Luweero-Kamplaa'!K34,'24.8 Luweero-Kampala'!K34,'25.8 Luwero-Kampala-24 HRS'!K34,'26.8 Luweero-Kampala'!K34)</f>
        <v>0</v>
      </c>
      <c r="L34" s="49">
        <f>AVERAGE('20.8 Luwero-Kampala'!L34,'21.8 Luweero-Kampala'!L34,' 22.8 Luweero-Kampala'!L34,'23.Luweero-Kamplaa'!L34,'24.8 Luweero-Kampala'!L34,'25.8 Luwero-Kampala-24 HRS'!L34,'26.8 Luweero-Kampala'!L34)</f>
        <v>1.1428571428571428</v>
      </c>
      <c r="M34" s="49">
        <f>AVERAGE('20.8 Luwero-Kampala'!M34,'21.8 Luweero-Kampala'!M34,' 22.8 Luweero-Kampala'!M34,'23.Luweero-Kamplaa'!M34,'24.8 Luweero-Kampala'!M34,'25.8 Luwero-Kampala-24 HRS'!M34,'26.8 Luweero-Kampala'!M34)</f>
        <v>68.285714285714292</v>
      </c>
      <c r="N34" s="49">
        <f>AVERAGE('20.8 Luwero-Kampala'!N34,'21.8 Luweero-Kampala'!N34,' 22.8 Luweero-Kampala'!N34,'23.Luweero-Kamplaa'!N34,'24.8 Luweero-Kampala'!N34,'25.8 Luwero-Kampala-24 HRS'!N34,'26.8 Luweero-Kampala'!N34)</f>
        <v>0.2857142857142857</v>
      </c>
      <c r="O34" s="15">
        <f t="shared" si="0"/>
        <v>40.857142857142861</v>
      </c>
      <c r="P34" s="15">
        <f t="shared" si="1"/>
        <v>109.14285714285715</v>
      </c>
      <c r="R34" s="51" t="s">
        <v>90</v>
      </c>
      <c r="S34" s="52">
        <f t="shared" ref="S34:AF34" si="26">MAX(S10:S12)</f>
        <v>24.142857142857146</v>
      </c>
      <c r="T34" s="52">
        <f t="shared" si="26"/>
        <v>0</v>
      </c>
      <c r="U34" s="52">
        <f t="shared" si="26"/>
        <v>39.571428571428577</v>
      </c>
      <c r="V34" s="52">
        <f t="shared" si="26"/>
        <v>55.428571428571423</v>
      </c>
      <c r="W34" s="52">
        <f t="shared" si="26"/>
        <v>0.8571428571428571</v>
      </c>
      <c r="X34" s="52">
        <f t="shared" si="26"/>
        <v>1.1428571428571428</v>
      </c>
      <c r="Y34" s="52">
        <f t="shared" si="26"/>
        <v>20</v>
      </c>
      <c r="Z34" s="52">
        <f t="shared" si="26"/>
        <v>1.7142857142857142</v>
      </c>
      <c r="AA34" s="52">
        <f t="shared" si="26"/>
        <v>0.8571428571428571</v>
      </c>
      <c r="AB34" s="52">
        <f t="shared" si="26"/>
        <v>6.4285714285714288</v>
      </c>
      <c r="AC34" s="52">
        <f t="shared" si="26"/>
        <v>254.57142857142856</v>
      </c>
      <c r="AD34" s="52">
        <f t="shared" si="26"/>
        <v>0.14285714285714285</v>
      </c>
      <c r="AE34" s="40">
        <f t="shared" si="26"/>
        <v>145.71428571428572</v>
      </c>
      <c r="AF34" s="40">
        <f t="shared" si="26"/>
        <v>400.28571428571428</v>
      </c>
    </row>
    <row r="35" spans="2:32" ht="23.1" customHeight="1" x14ac:dyDescent="0.25">
      <c r="B35" s="24" t="s">
        <v>62</v>
      </c>
      <c r="C35" s="49">
        <f>AVERAGE('20.8 Luwero-Kampala'!C35,'21.8 Luweero-Kampala'!C35,' 22.8 Luweero-Kampala'!C35,'23.Luweero-Kamplaa'!C35,'24.8 Luweero-Kampala'!C35,'25.8 Luwero-Kampala-24 HRS'!C35,'26.8 Luweero-Kampala'!C35)</f>
        <v>7.1428571428571432</v>
      </c>
      <c r="D35" s="49">
        <f>AVERAGE('20.8 Luwero-Kampala'!D35,'21.8 Luweero-Kampala'!D35,' 22.8 Luweero-Kampala'!D35,'23.Luweero-Kamplaa'!D35,'24.8 Luweero-Kampala'!D35,'25.8 Luwero-Kampala-24 HRS'!D35,'26.8 Luweero-Kampala'!D35)</f>
        <v>0</v>
      </c>
      <c r="E35" s="49">
        <f>AVERAGE('20.8 Luwero-Kampala'!E35,'21.8 Luweero-Kampala'!E35,' 22.8 Luweero-Kampala'!E35,'23.Luweero-Kamplaa'!E35,'24.8 Luweero-Kampala'!E35,'25.8 Luwero-Kampala-24 HRS'!E35,'26.8 Luweero-Kampala'!E35)</f>
        <v>16.571428571428573</v>
      </c>
      <c r="F35" s="49">
        <f>AVERAGE('20.8 Luwero-Kampala'!F35,'21.8 Luweero-Kampala'!F35,' 22.8 Luweero-Kampala'!F35,'23.Luweero-Kamplaa'!F35,'24.8 Luweero-Kampala'!F35,'25.8 Luwero-Kampala-24 HRS'!F35,'26.8 Luweero-Kampala'!F35)</f>
        <v>12.714285714285714</v>
      </c>
      <c r="G35" s="49">
        <f>AVERAGE('20.8 Luwero-Kampala'!G35,'21.8 Luweero-Kampala'!G35,' 22.8 Luweero-Kampala'!G35,'23.Luweero-Kamplaa'!G35,'24.8 Luweero-Kampala'!G35,'25.8 Luwero-Kampala-24 HRS'!G35,'26.8 Luweero-Kampala'!G35)</f>
        <v>0.2857142857142857</v>
      </c>
      <c r="H35" s="49">
        <f>AVERAGE('20.8 Luwero-Kampala'!H35,'21.8 Luweero-Kampala'!H35,' 22.8 Luweero-Kampala'!H35,'23.Luweero-Kamplaa'!H35,'24.8 Luweero-Kampala'!H35,'25.8 Luwero-Kampala-24 HRS'!H35,'26.8 Luweero-Kampala'!H35)</f>
        <v>0.7142857142857143</v>
      </c>
      <c r="I35" s="49">
        <f>AVERAGE('20.8 Luwero-Kampala'!I35,'21.8 Luweero-Kampala'!I35,' 22.8 Luweero-Kampala'!I35,'23.Luweero-Kamplaa'!I35,'24.8 Luweero-Kampala'!I35,'25.8 Luwero-Kampala-24 HRS'!I35,'26.8 Luweero-Kampala'!I35)</f>
        <v>6.4285714285714288</v>
      </c>
      <c r="J35" s="49">
        <f>AVERAGE('20.8 Luwero-Kampala'!J35,'21.8 Luweero-Kampala'!J35,' 22.8 Luweero-Kampala'!J35,'23.Luweero-Kamplaa'!J35,'24.8 Luweero-Kampala'!J35,'25.8 Luwero-Kampala-24 HRS'!J35,'26.8 Luweero-Kampala'!J35)</f>
        <v>1.1428571428571428</v>
      </c>
      <c r="K35" s="49">
        <f>AVERAGE('20.8 Luwero-Kampala'!K35,'21.8 Luweero-Kampala'!K35,' 22.8 Luweero-Kampala'!K35,'23.Luweero-Kamplaa'!K35,'24.8 Luweero-Kampala'!K35,'25.8 Luwero-Kampala-24 HRS'!K35,'26.8 Luweero-Kampala'!K35)</f>
        <v>0</v>
      </c>
      <c r="L35" s="49">
        <f>AVERAGE('20.8 Luwero-Kampala'!L35,'21.8 Luweero-Kampala'!L35,' 22.8 Luweero-Kampala'!L35,'23.Luweero-Kamplaa'!L35,'24.8 Luweero-Kampala'!L35,'25.8 Luwero-Kampala-24 HRS'!L35,'26.8 Luweero-Kampala'!L35)</f>
        <v>1.1428571428571428</v>
      </c>
      <c r="M35" s="49">
        <f>AVERAGE('20.8 Luwero-Kampala'!M35,'21.8 Luweero-Kampala'!M35,' 22.8 Luweero-Kampala'!M35,'23.Luweero-Kamplaa'!M35,'24.8 Luweero-Kampala'!M35,'25.8 Luwero-Kampala-24 HRS'!M35,'26.8 Luweero-Kampala'!M35)</f>
        <v>62.142857142857146</v>
      </c>
      <c r="N35" s="49">
        <f>AVERAGE('20.8 Luwero-Kampala'!N35,'21.8 Luweero-Kampala'!N35,' 22.8 Luweero-Kampala'!N35,'23.Luweero-Kamplaa'!N35,'24.8 Luweero-Kampala'!N35,'25.8 Luwero-Kampala-24 HRS'!N35,'26.8 Luweero-Kampala'!N35)</f>
        <v>0</v>
      </c>
      <c r="O35" s="15">
        <f t="shared" si="0"/>
        <v>46.142857142857153</v>
      </c>
      <c r="P35" s="15">
        <f t="shared" si="1"/>
        <v>108.28571428571431</v>
      </c>
      <c r="R35" s="51" t="s">
        <v>91</v>
      </c>
      <c r="S35" s="52">
        <f t="shared" ref="S35:AF35" si="27">MAX(S13:S18)</f>
        <v>35.857142857142861</v>
      </c>
      <c r="T35" s="52">
        <f t="shared" si="27"/>
        <v>0</v>
      </c>
      <c r="U35" s="52">
        <f t="shared" si="27"/>
        <v>68.571428571428569</v>
      </c>
      <c r="V35" s="52">
        <f t="shared" si="27"/>
        <v>59.857142857142861</v>
      </c>
      <c r="W35" s="52">
        <f t="shared" si="27"/>
        <v>1.1428571428571428</v>
      </c>
      <c r="X35" s="52">
        <f t="shared" si="27"/>
        <v>8.2857142857142865</v>
      </c>
      <c r="Y35" s="52">
        <f t="shared" si="27"/>
        <v>29</v>
      </c>
      <c r="Z35" s="52">
        <f t="shared" si="27"/>
        <v>1.857142857142857</v>
      </c>
      <c r="AA35" s="52">
        <f t="shared" si="27"/>
        <v>0.71428571428571419</v>
      </c>
      <c r="AB35" s="52">
        <f t="shared" si="27"/>
        <v>6.2857142857142856</v>
      </c>
      <c r="AC35" s="52">
        <f t="shared" si="27"/>
        <v>277.14285714285711</v>
      </c>
      <c r="AD35" s="52">
        <f t="shared" si="27"/>
        <v>0.2857142857142857</v>
      </c>
      <c r="AE35" s="40">
        <f t="shared" si="27"/>
        <v>206</v>
      </c>
      <c r="AF35" s="40">
        <f t="shared" si="27"/>
        <v>451.14285714285717</v>
      </c>
    </row>
    <row r="36" spans="2:32" ht="23.1" customHeight="1" x14ac:dyDescent="0.25">
      <c r="B36" s="24" t="s">
        <v>63</v>
      </c>
      <c r="C36" s="49">
        <f>AVERAGE('20.8 Luwero-Kampala'!C36,'21.8 Luweero-Kampala'!C36,' 22.8 Luweero-Kampala'!C36,'23.Luweero-Kamplaa'!C36,'24.8 Luweero-Kampala'!C36,'25.8 Luwero-Kampala-24 HRS'!C36,'26.8 Luweero-Kampala'!C36)</f>
        <v>8.2857142857142865</v>
      </c>
      <c r="D36" s="49">
        <f>AVERAGE('20.8 Luwero-Kampala'!D36,'21.8 Luweero-Kampala'!D36,' 22.8 Luweero-Kampala'!D36,'23.Luweero-Kamplaa'!D36,'24.8 Luweero-Kampala'!D36,'25.8 Luwero-Kampala-24 HRS'!D36,'26.8 Luweero-Kampala'!D36)</f>
        <v>0</v>
      </c>
      <c r="E36" s="49">
        <f>AVERAGE('20.8 Luwero-Kampala'!E36,'21.8 Luweero-Kampala'!E36,' 22.8 Luweero-Kampala'!E36,'23.Luweero-Kamplaa'!E36,'24.8 Luweero-Kampala'!E36,'25.8 Luwero-Kampala-24 HRS'!E36,'26.8 Luweero-Kampala'!E36)</f>
        <v>14.285714285714286</v>
      </c>
      <c r="F36" s="49">
        <f>AVERAGE('20.8 Luwero-Kampala'!F36,'21.8 Luweero-Kampala'!F36,' 22.8 Luweero-Kampala'!F36,'23.Luweero-Kamplaa'!F36,'24.8 Luweero-Kampala'!F36,'25.8 Luwero-Kampala-24 HRS'!F36,'26.8 Luweero-Kampala'!F36)</f>
        <v>13.857142857142858</v>
      </c>
      <c r="G36" s="49">
        <f>AVERAGE('20.8 Luwero-Kampala'!G36,'21.8 Luweero-Kampala'!G36,' 22.8 Luweero-Kampala'!G36,'23.Luweero-Kamplaa'!G36,'24.8 Luweero-Kampala'!G36,'25.8 Luwero-Kampala-24 HRS'!G36,'26.8 Luweero-Kampala'!G36)</f>
        <v>0.14285714285714285</v>
      </c>
      <c r="H36" s="49">
        <f>AVERAGE('20.8 Luwero-Kampala'!H36,'21.8 Luweero-Kampala'!H36,' 22.8 Luweero-Kampala'!H36,'23.Luweero-Kamplaa'!H36,'24.8 Luweero-Kampala'!H36,'25.8 Luwero-Kampala-24 HRS'!H36,'26.8 Luweero-Kampala'!H36)</f>
        <v>1.1428571428571428</v>
      </c>
      <c r="I36" s="49">
        <f>AVERAGE('20.8 Luwero-Kampala'!I36,'21.8 Luweero-Kampala'!I36,' 22.8 Luweero-Kampala'!I36,'23.Luweero-Kamplaa'!I36,'24.8 Luweero-Kampala'!I36,'25.8 Luwero-Kampala-24 HRS'!I36,'26.8 Luweero-Kampala'!I36)</f>
        <v>5.8571428571428568</v>
      </c>
      <c r="J36" s="49">
        <f>AVERAGE('20.8 Luwero-Kampala'!J36,'21.8 Luweero-Kampala'!J36,' 22.8 Luweero-Kampala'!J36,'23.Luweero-Kamplaa'!J36,'24.8 Luweero-Kampala'!J36,'25.8 Luwero-Kampala-24 HRS'!J36,'26.8 Luweero-Kampala'!J36)</f>
        <v>0.5714285714285714</v>
      </c>
      <c r="K36" s="49">
        <f>AVERAGE('20.8 Luwero-Kampala'!K36,'21.8 Luweero-Kampala'!K36,' 22.8 Luweero-Kampala'!K36,'23.Luweero-Kamplaa'!K36,'24.8 Luweero-Kampala'!K36,'25.8 Luwero-Kampala-24 HRS'!K36,'26.8 Luweero-Kampala'!K36)</f>
        <v>0.14285714285714285</v>
      </c>
      <c r="L36" s="49">
        <f>AVERAGE('20.8 Luwero-Kampala'!L36,'21.8 Luweero-Kampala'!L36,' 22.8 Luweero-Kampala'!L36,'23.Luweero-Kamplaa'!L36,'24.8 Luweero-Kampala'!L36,'25.8 Luwero-Kampala-24 HRS'!L36,'26.8 Luweero-Kampala'!L36)</f>
        <v>1</v>
      </c>
      <c r="M36" s="49">
        <f>AVERAGE('20.8 Luwero-Kampala'!M36,'21.8 Luweero-Kampala'!M36,' 22.8 Luweero-Kampala'!M36,'23.Luweero-Kamplaa'!M36,'24.8 Luweero-Kampala'!M36,'25.8 Luwero-Kampala-24 HRS'!M36,'26.8 Luweero-Kampala'!M36)</f>
        <v>66</v>
      </c>
      <c r="N36" s="49">
        <f>AVERAGE('20.8 Luwero-Kampala'!N36,'21.8 Luweero-Kampala'!N36,' 22.8 Luweero-Kampala'!N36,'23.Luweero-Kamplaa'!N36,'24.8 Luweero-Kampala'!N36,'25.8 Luwero-Kampala-24 HRS'!N36,'26.8 Luweero-Kampala'!N36)</f>
        <v>0</v>
      </c>
      <c r="O36" s="15">
        <f t="shared" si="0"/>
        <v>45.285714285714292</v>
      </c>
      <c r="P36" s="15">
        <f t="shared" si="1"/>
        <v>111.28571428571429</v>
      </c>
      <c r="R36" s="51" t="s">
        <v>92</v>
      </c>
      <c r="S36" s="52">
        <f t="shared" ref="S36:AF36" si="28">MAX(S19:S21)</f>
        <v>45.142857142857139</v>
      </c>
      <c r="T36" s="52">
        <f t="shared" si="28"/>
        <v>0</v>
      </c>
      <c r="U36" s="52">
        <f t="shared" si="28"/>
        <v>87.999999999999986</v>
      </c>
      <c r="V36" s="52">
        <f t="shared" si="28"/>
        <v>66.285714285714278</v>
      </c>
      <c r="W36" s="52">
        <f t="shared" si="28"/>
        <v>1.5714285714285714</v>
      </c>
      <c r="X36" s="52">
        <f t="shared" si="28"/>
        <v>7.4285714285714288</v>
      </c>
      <c r="Y36" s="52">
        <f t="shared" si="28"/>
        <v>37.142857142857146</v>
      </c>
      <c r="Z36" s="52">
        <f t="shared" si="28"/>
        <v>1.8571428571428572</v>
      </c>
      <c r="AA36" s="52">
        <f t="shared" si="28"/>
        <v>0.5714285714285714</v>
      </c>
      <c r="AB36" s="52">
        <f t="shared" si="28"/>
        <v>7</v>
      </c>
      <c r="AC36" s="52">
        <f t="shared" si="28"/>
        <v>289.71428571428567</v>
      </c>
      <c r="AD36" s="52">
        <f t="shared" si="28"/>
        <v>0</v>
      </c>
      <c r="AE36" s="40">
        <f t="shared" si="28"/>
        <v>247.85714285714286</v>
      </c>
      <c r="AF36" s="40">
        <f t="shared" si="28"/>
        <v>525</v>
      </c>
    </row>
    <row r="37" spans="2:32" ht="23.1" customHeight="1" x14ac:dyDescent="0.25">
      <c r="B37" s="23" t="s">
        <v>64</v>
      </c>
      <c r="C37" s="49">
        <f>AVERAGE('20.8 Luwero-Kampala'!C37,'21.8 Luweero-Kampala'!C37,' 22.8 Luweero-Kampala'!C37,'23.Luweero-Kamplaa'!C37,'24.8 Luweero-Kampala'!C37,'25.8 Luwero-Kampala-24 HRS'!C37,'26.8 Luweero-Kampala'!C37)</f>
        <v>8</v>
      </c>
      <c r="D37" s="49">
        <f>AVERAGE('20.8 Luwero-Kampala'!D37,'21.8 Luweero-Kampala'!D37,' 22.8 Luweero-Kampala'!D37,'23.Luweero-Kamplaa'!D37,'24.8 Luweero-Kampala'!D37,'25.8 Luwero-Kampala-24 HRS'!D37,'26.8 Luweero-Kampala'!D37)</f>
        <v>0</v>
      </c>
      <c r="E37" s="49">
        <f>AVERAGE('20.8 Luwero-Kampala'!E37,'21.8 Luweero-Kampala'!E37,' 22.8 Luweero-Kampala'!E37,'23.Luweero-Kamplaa'!E37,'24.8 Luweero-Kampala'!E37,'25.8 Luwero-Kampala-24 HRS'!E37,'26.8 Luweero-Kampala'!E37)</f>
        <v>15.142857142857142</v>
      </c>
      <c r="F37" s="49">
        <f>AVERAGE('20.8 Luwero-Kampala'!F37,'21.8 Luweero-Kampala'!F37,' 22.8 Luweero-Kampala'!F37,'23.Luweero-Kamplaa'!F37,'24.8 Luweero-Kampala'!F37,'25.8 Luwero-Kampala-24 HRS'!F37,'26.8 Luweero-Kampala'!F37)</f>
        <v>14.142857142857142</v>
      </c>
      <c r="G37" s="49">
        <f>AVERAGE('20.8 Luwero-Kampala'!G37,'21.8 Luweero-Kampala'!G37,' 22.8 Luweero-Kampala'!G37,'23.Luweero-Kamplaa'!G37,'24.8 Luweero-Kampala'!G37,'25.8 Luwero-Kampala-24 HRS'!G37,'26.8 Luweero-Kampala'!G37)</f>
        <v>0.14285714285714285</v>
      </c>
      <c r="H37" s="49">
        <f>AVERAGE('20.8 Luwero-Kampala'!H37,'21.8 Luweero-Kampala'!H37,' 22.8 Luweero-Kampala'!H37,'23.Luweero-Kamplaa'!H37,'24.8 Luweero-Kampala'!H37,'25.8 Luwero-Kampala-24 HRS'!H37,'26.8 Luweero-Kampala'!H37)</f>
        <v>1.2857142857142858</v>
      </c>
      <c r="I37" s="49">
        <f>AVERAGE('20.8 Luwero-Kampala'!I37,'21.8 Luweero-Kampala'!I37,' 22.8 Luweero-Kampala'!I37,'23.Luweero-Kamplaa'!I37,'24.8 Luweero-Kampala'!I37,'25.8 Luwero-Kampala-24 HRS'!I37,'26.8 Luweero-Kampala'!I37)</f>
        <v>8.4285714285714288</v>
      </c>
      <c r="J37" s="49">
        <f>AVERAGE('20.8 Luwero-Kampala'!J37,'21.8 Luweero-Kampala'!J37,' 22.8 Luweero-Kampala'!J37,'23.Luweero-Kamplaa'!J37,'24.8 Luweero-Kampala'!J37,'25.8 Luwero-Kampala-24 HRS'!J37,'26.8 Luweero-Kampala'!J37)</f>
        <v>0</v>
      </c>
      <c r="K37" s="49">
        <f>AVERAGE('20.8 Luwero-Kampala'!K37,'21.8 Luweero-Kampala'!K37,' 22.8 Luweero-Kampala'!K37,'23.Luweero-Kamplaa'!K37,'24.8 Luweero-Kampala'!K37,'25.8 Luwero-Kampala-24 HRS'!K37,'26.8 Luweero-Kampala'!K37)</f>
        <v>0.14285714285714285</v>
      </c>
      <c r="L37" s="49">
        <f>AVERAGE('20.8 Luwero-Kampala'!L37,'21.8 Luweero-Kampala'!L37,' 22.8 Luweero-Kampala'!L37,'23.Luweero-Kamplaa'!L37,'24.8 Luweero-Kampala'!L37,'25.8 Luwero-Kampala-24 HRS'!L37,'26.8 Luweero-Kampala'!L37)</f>
        <v>0.7142857142857143</v>
      </c>
      <c r="M37" s="49">
        <f>AVERAGE('20.8 Luwero-Kampala'!M37,'21.8 Luweero-Kampala'!M37,' 22.8 Luweero-Kampala'!M37,'23.Luweero-Kamplaa'!M37,'24.8 Luweero-Kampala'!M37,'25.8 Luwero-Kampala-24 HRS'!M37,'26.8 Luweero-Kampala'!M37)</f>
        <v>55.857142857142854</v>
      </c>
      <c r="N37" s="49">
        <f>AVERAGE('20.8 Luwero-Kampala'!N37,'21.8 Luweero-Kampala'!N37,' 22.8 Luweero-Kampala'!N37,'23.Luweero-Kamplaa'!N37,'24.8 Luweero-Kampala'!N37,'25.8 Luwero-Kampala-24 HRS'!N37,'26.8 Luweero-Kampala'!N37)</f>
        <v>0</v>
      </c>
      <c r="O37" s="15">
        <f t="shared" si="0"/>
        <v>48.000000000000007</v>
      </c>
      <c r="P37" s="15">
        <f t="shared" si="1"/>
        <v>103.85714285714286</v>
      </c>
      <c r="R37" s="37" t="s">
        <v>85</v>
      </c>
      <c r="S37" s="53">
        <f t="shared" ref="S37:AF37" si="29">SUM(S10:S12)</f>
        <v>55</v>
      </c>
      <c r="T37" s="54">
        <f t="shared" si="29"/>
        <v>0</v>
      </c>
      <c r="U37" s="54">
        <f t="shared" si="29"/>
        <v>103.14285714285714</v>
      </c>
      <c r="V37" s="54">
        <f t="shared" si="29"/>
        <v>146.85714285714286</v>
      </c>
      <c r="W37" s="54">
        <f t="shared" si="29"/>
        <v>1.2857142857142856</v>
      </c>
      <c r="X37" s="54">
        <f t="shared" si="29"/>
        <v>2.8571428571428568</v>
      </c>
      <c r="Y37" s="54">
        <f t="shared" si="29"/>
        <v>48.285714285714285</v>
      </c>
      <c r="Z37" s="54">
        <f t="shared" si="29"/>
        <v>3.714285714285714</v>
      </c>
      <c r="AA37" s="54">
        <f t="shared" si="29"/>
        <v>1.857142857142857</v>
      </c>
      <c r="AB37" s="54">
        <f t="shared" si="29"/>
        <v>15.428571428571429</v>
      </c>
      <c r="AC37" s="54">
        <f t="shared" si="29"/>
        <v>650.42857142857144</v>
      </c>
      <c r="AD37" s="54">
        <f t="shared" si="29"/>
        <v>0.2857142857142857</v>
      </c>
      <c r="AE37" s="55">
        <f t="shared" si="29"/>
        <v>378.71428571428572</v>
      </c>
      <c r="AF37" s="55">
        <f t="shared" si="29"/>
        <v>1029.1428571428571</v>
      </c>
    </row>
    <row r="38" spans="2:32" ht="23.1" customHeight="1" x14ac:dyDescent="0.25">
      <c r="B38" s="24" t="s">
        <v>65</v>
      </c>
      <c r="C38" s="49">
        <f>AVERAGE('20.8 Luwero-Kampala'!C38,'21.8 Luweero-Kampala'!C38,' 22.8 Luweero-Kampala'!C38,'23.Luweero-Kamplaa'!C38,'24.8 Luweero-Kampala'!C38,'25.8 Luwero-Kampala-24 HRS'!C38,'26.8 Luweero-Kampala'!C38)</f>
        <v>9.8571428571428577</v>
      </c>
      <c r="D38" s="49">
        <f>AVERAGE('20.8 Luwero-Kampala'!D38,'21.8 Luweero-Kampala'!D38,' 22.8 Luweero-Kampala'!D38,'23.Luweero-Kamplaa'!D38,'24.8 Luweero-Kampala'!D38,'25.8 Luwero-Kampala-24 HRS'!D38,'26.8 Luweero-Kampala'!D38)</f>
        <v>0</v>
      </c>
      <c r="E38" s="49">
        <f>AVERAGE('20.8 Luwero-Kampala'!E38,'21.8 Luweero-Kampala'!E38,' 22.8 Luweero-Kampala'!E38,'23.Luweero-Kamplaa'!E38,'24.8 Luweero-Kampala'!E38,'25.8 Luwero-Kampala-24 HRS'!E38,'26.8 Luweero-Kampala'!E38)</f>
        <v>15.857142857142858</v>
      </c>
      <c r="F38" s="49">
        <f>AVERAGE('20.8 Luwero-Kampala'!F38,'21.8 Luweero-Kampala'!F38,' 22.8 Luweero-Kampala'!F38,'23.Luweero-Kamplaa'!F38,'24.8 Luweero-Kampala'!F38,'25.8 Luwero-Kampala-24 HRS'!F38,'26.8 Luweero-Kampala'!F38)</f>
        <v>11.142857142857142</v>
      </c>
      <c r="G38" s="49">
        <f>AVERAGE('20.8 Luwero-Kampala'!G38,'21.8 Luweero-Kampala'!G38,' 22.8 Luweero-Kampala'!G38,'23.Luweero-Kamplaa'!G38,'24.8 Luweero-Kampala'!G38,'25.8 Luwero-Kampala-24 HRS'!G38,'26.8 Luweero-Kampala'!G38)</f>
        <v>0.2857142857142857</v>
      </c>
      <c r="H38" s="49">
        <f>AVERAGE('20.8 Luwero-Kampala'!H38,'21.8 Luweero-Kampala'!H38,' 22.8 Luweero-Kampala'!H38,'23.Luweero-Kamplaa'!H38,'24.8 Luweero-Kampala'!H38,'25.8 Luwero-Kampala-24 HRS'!H38,'26.8 Luweero-Kampala'!H38)</f>
        <v>3</v>
      </c>
      <c r="I38" s="49">
        <f>AVERAGE('20.8 Luwero-Kampala'!I38,'21.8 Luweero-Kampala'!I38,' 22.8 Luweero-Kampala'!I38,'23.Luweero-Kamplaa'!I38,'24.8 Luweero-Kampala'!I38,'25.8 Luwero-Kampala-24 HRS'!I38,'26.8 Luweero-Kampala'!I38)</f>
        <v>6</v>
      </c>
      <c r="J38" s="49">
        <f>AVERAGE('20.8 Luwero-Kampala'!J38,'21.8 Luweero-Kampala'!J38,' 22.8 Luweero-Kampala'!J38,'23.Luweero-Kamplaa'!J38,'24.8 Luweero-Kampala'!J38,'25.8 Luwero-Kampala-24 HRS'!J38,'26.8 Luweero-Kampala'!J38)</f>
        <v>0.5714285714285714</v>
      </c>
      <c r="K38" s="49">
        <f>AVERAGE('20.8 Luwero-Kampala'!K38,'21.8 Luweero-Kampala'!K38,' 22.8 Luweero-Kampala'!K38,'23.Luweero-Kamplaa'!K38,'24.8 Luweero-Kampala'!K38,'25.8 Luwero-Kampala-24 HRS'!K38,'26.8 Luweero-Kampala'!K38)</f>
        <v>0</v>
      </c>
      <c r="L38" s="49">
        <f>AVERAGE('20.8 Luwero-Kampala'!L38,'21.8 Luweero-Kampala'!L38,' 22.8 Luweero-Kampala'!L38,'23.Luweero-Kamplaa'!L38,'24.8 Luweero-Kampala'!L38,'25.8 Luwero-Kampala-24 HRS'!L38,'26.8 Luweero-Kampala'!L38)</f>
        <v>1.7142857142857142</v>
      </c>
      <c r="M38" s="49">
        <f>AVERAGE('20.8 Luwero-Kampala'!M38,'21.8 Luweero-Kampala'!M38,' 22.8 Luweero-Kampala'!M38,'23.Luweero-Kamplaa'!M38,'24.8 Luweero-Kampala'!M38,'25.8 Luwero-Kampala-24 HRS'!M38,'26.8 Luweero-Kampala'!M38)</f>
        <v>62.428571428571431</v>
      </c>
      <c r="N38" s="49">
        <f>AVERAGE('20.8 Luwero-Kampala'!N38,'21.8 Luweero-Kampala'!N38,' 22.8 Luweero-Kampala'!N38,'23.Luweero-Kamplaa'!N38,'24.8 Luweero-Kampala'!N38,'25.8 Luwero-Kampala-24 HRS'!N38,'26.8 Luweero-Kampala'!N38)</f>
        <v>0</v>
      </c>
      <c r="O38" s="15">
        <f t="shared" si="0"/>
        <v>48.428571428571431</v>
      </c>
      <c r="P38" s="15">
        <f t="shared" si="1"/>
        <v>110.85714285714286</v>
      </c>
      <c r="R38" s="28" t="s">
        <v>86</v>
      </c>
      <c r="S38" s="54">
        <f t="shared" ref="S38:AF38" si="30">SUM(S13:S18)</f>
        <v>181.14285714285714</v>
      </c>
      <c r="T38" s="54">
        <f t="shared" si="30"/>
        <v>0</v>
      </c>
      <c r="U38" s="54">
        <f t="shared" si="30"/>
        <v>347.57142857142856</v>
      </c>
      <c r="V38" s="54">
        <f t="shared" si="30"/>
        <v>316.28571428571433</v>
      </c>
      <c r="W38" s="54">
        <f t="shared" si="30"/>
        <v>4.8571428571428568</v>
      </c>
      <c r="X38" s="54">
        <f t="shared" si="30"/>
        <v>23.857142857142858</v>
      </c>
      <c r="Y38" s="54">
        <f t="shared" si="30"/>
        <v>155</v>
      </c>
      <c r="Z38" s="54">
        <f t="shared" si="30"/>
        <v>9.1428571428571423</v>
      </c>
      <c r="AA38" s="54">
        <f t="shared" si="30"/>
        <v>3.1428571428571428</v>
      </c>
      <c r="AB38" s="54">
        <f t="shared" si="30"/>
        <v>29</v>
      </c>
      <c r="AC38" s="54">
        <f t="shared" si="30"/>
        <v>1528.5714285714284</v>
      </c>
      <c r="AD38" s="54">
        <f t="shared" si="30"/>
        <v>0.42857142857142855</v>
      </c>
      <c r="AE38" s="55">
        <f t="shared" si="30"/>
        <v>1070.4285714285716</v>
      </c>
      <c r="AF38" s="55">
        <f t="shared" si="30"/>
        <v>2599</v>
      </c>
    </row>
    <row r="39" spans="2:32" ht="23.1" customHeight="1" x14ac:dyDescent="0.25">
      <c r="B39" s="24" t="s">
        <v>66</v>
      </c>
      <c r="C39" s="49">
        <f>AVERAGE('20.8 Luwero-Kampala'!C39,'21.8 Luweero-Kampala'!C39,' 22.8 Luweero-Kampala'!C39,'23.Luweero-Kamplaa'!C39,'24.8 Luweero-Kampala'!C39,'25.8 Luwero-Kampala-24 HRS'!C39,'26.8 Luweero-Kampala'!C39)</f>
        <v>10.857142857142858</v>
      </c>
      <c r="D39" s="49">
        <f>AVERAGE('20.8 Luwero-Kampala'!D39,'21.8 Luweero-Kampala'!D39,' 22.8 Luweero-Kampala'!D39,'23.Luweero-Kamplaa'!D39,'24.8 Luweero-Kampala'!D39,'25.8 Luwero-Kampala-24 HRS'!D39,'26.8 Luweero-Kampala'!D39)</f>
        <v>0</v>
      </c>
      <c r="E39" s="49">
        <f>AVERAGE('20.8 Luwero-Kampala'!E39,'21.8 Luweero-Kampala'!E39,' 22.8 Luweero-Kampala'!E39,'23.Luweero-Kamplaa'!E39,'24.8 Luweero-Kampala'!E39,'25.8 Luwero-Kampala-24 HRS'!E39,'26.8 Luweero-Kampala'!E39)</f>
        <v>15.857142857142858</v>
      </c>
      <c r="F39" s="49">
        <f>AVERAGE('20.8 Luwero-Kampala'!F39,'21.8 Luweero-Kampala'!F39,' 22.8 Luweero-Kampala'!F39,'23.Luweero-Kamplaa'!F39,'24.8 Luweero-Kampala'!F39,'25.8 Luwero-Kampala-24 HRS'!F39,'26.8 Luweero-Kampala'!F39)</f>
        <v>12.285714285714286</v>
      </c>
      <c r="G39" s="49">
        <f>AVERAGE('20.8 Luwero-Kampala'!G39,'21.8 Luweero-Kampala'!G39,' 22.8 Luweero-Kampala'!G39,'23.Luweero-Kamplaa'!G39,'24.8 Luweero-Kampala'!G39,'25.8 Luwero-Kampala-24 HRS'!G39,'26.8 Luweero-Kampala'!G39)</f>
        <v>0.14285714285714285</v>
      </c>
      <c r="H39" s="49">
        <f>AVERAGE('20.8 Luwero-Kampala'!H39,'21.8 Luweero-Kampala'!H39,' 22.8 Luweero-Kampala'!H39,'23.Luweero-Kamplaa'!H39,'24.8 Luweero-Kampala'!H39,'25.8 Luwero-Kampala-24 HRS'!H39,'26.8 Luweero-Kampala'!H39)</f>
        <v>2.2857142857142856</v>
      </c>
      <c r="I39" s="49">
        <f>AVERAGE('20.8 Luwero-Kampala'!I39,'21.8 Luweero-Kampala'!I39,' 22.8 Luweero-Kampala'!I39,'23.Luweero-Kamplaa'!I39,'24.8 Luweero-Kampala'!I39,'25.8 Luwero-Kampala-24 HRS'!I39,'26.8 Luweero-Kampala'!I39)</f>
        <v>6.1428571428571432</v>
      </c>
      <c r="J39" s="49">
        <f>AVERAGE('20.8 Luwero-Kampala'!J39,'21.8 Luweero-Kampala'!J39,' 22.8 Luweero-Kampala'!J39,'23.Luweero-Kamplaa'!J39,'24.8 Luweero-Kampala'!J39,'25.8 Luwero-Kampala-24 HRS'!J39,'26.8 Luweero-Kampala'!J39)</f>
        <v>0.2857142857142857</v>
      </c>
      <c r="K39" s="49">
        <f>AVERAGE('20.8 Luwero-Kampala'!K39,'21.8 Luweero-Kampala'!K39,' 22.8 Luweero-Kampala'!K39,'23.Luweero-Kamplaa'!K39,'24.8 Luweero-Kampala'!K39,'25.8 Luwero-Kampala-24 HRS'!K39,'26.8 Luweero-Kampala'!K39)</f>
        <v>0</v>
      </c>
      <c r="L39" s="49">
        <f>AVERAGE('20.8 Luwero-Kampala'!L39,'21.8 Luweero-Kampala'!L39,' 22.8 Luweero-Kampala'!L39,'23.Luweero-Kamplaa'!L39,'24.8 Luweero-Kampala'!L39,'25.8 Luwero-Kampala-24 HRS'!L39,'26.8 Luweero-Kampala'!L39)</f>
        <v>2</v>
      </c>
      <c r="M39" s="49">
        <f>AVERAGE('20.8 Luwero-Kampala'!M39,'21.8 Luweero-Kampala'!M39,' 22.8 Luweero-Kampala'!M39,'23.Luweero-Kamplaa'!M39,'24.8 Luweero-Kampala'!M39,'25.8 Luwero-Kampala-24 HRS'!M39,'26.8 Luweero-Kampala'!M39)</f>
        <v>59.714285714285715</v>
      </c>
      <c r="N39" s="49">
        <f>AVERAGE('20.8 Luwero-Kampala'!N39,'21.8 Luweero-Kampala'!N39,' 22.8 Luweero-Kampala'!N39,'23.Luweero-Kamplaa'!N39,'24.8 Luweero-Kampala'!N39,'25.8 Luwero-Kampala-24 HRS'!N39,'26.8 Luweero-Kampala'!N39)</f>
        <v>0</v>
      </c>
      <c r="O39" s="15">
        <f t="shared" si="0"/>
        <v>49.857142857142861</v>
      </c>
      <c r="P39" s="15">
        <f t="shared" si="1"/>
        <v>109.57142857142858</v>
      </c>
      <c r="R39" s="29" t="s">
        <v>87</v>
      </c>
      <c r="S39" s="54">
        <f t="shared" ref="S39:AF39" si="31">SUM(S19:S21)</f>
        <v>129.85714285714286</v>
      </c>
      <c r="T39" s="54">
        <f t="shared" si="31"/>
        <v>0</v>
      </c>
      <c r="U39" s="54">
        <f t="shared" si="31"/>
        <v>248.57142857142856</v>
      </c>
      <c r="V39" s="54">
        <f t="shared" si="31"/>
        <v>186.71428571428572</v>
      </c>
      <c r="W39" s="54">
        <f t="shared" si="31"/>
        <v>4</v>
      </c>
      <c r="X39" s="54">
        <f t="shared" si="31"/>
        <v>18.428571428571431</v>
      </c>
      <c r="Y39" s="54">
        <f t="shared" si="31"/>
        <v>96.857142857142861</v>
      </c>
      <c r="Z39" s="54">
        <f t="shared" si="31"/>
        <v>4.7142857142857135</v>
      </c>
      <c r="AA39" s="54">
        <f t="shared" si="31"/>
        <v>1</v>
      </c>
      <c r="AB39" s="54">
        <f t="shared" si="31"/>
        <v>19.142857142857142</v>
      </c>
      <c r="AC39" s="54">
        <f t="shared" si="31"/>
        <v>813.14285714285711</v>
      </c>
      <c r="AD39" s="54">
        <f t="shared" si="31"/>
        <v>0</v>
      </c>
      <c r="AE39" s="55">
        <f t="shared" si="31"/>
        <v>709.28571428571433</v>
      </c>
      <c r="AF39" s="55">
        <f t="shared" si="31"/>
        <v>1522.4285714285716</v>
      </c>
    </row>
    <row r="40" spans="2:32" ht="23.1" customHeight="1" x14ac:dyDescent="0.25">
      <c r="B40" s="24" t="s">
        <v>67</v>
      </c>
      <c r="C40" s="49">
        <f>AVERAGE('20.8 Luwero-Kampala'!C40,'21.8 Luweero-Kampala'!C40,' 22.8 Luweero-Kampala'!C40,'23.Luweero-Kamplaa'!C40,'24.8 Luweero-Kampala'!C40,'25.8 Luwero-Kampala-24 HRS'!C40,'26.8 Luweero-Kampala'!C40)</f>
        <v>6.8571428571428568</v>
      </c>
      <c r="D40" s="49">
        <f>AVERAGE('20.8 Luwero-Kampala'!D40,'21.8 Luweero-Kampala'!D40,' 22.8 Luweero-Kampala'!D40,'23.Luweero-Kamplaa'!D40,'24.8 Luweero-Kampala'!D40,'25.8 Luwero-Kampala-24 HRS'!D40,'26.8 Luweero-Kampala'!D40)</f>
        <v>0</v>
      </c>
      <c r="E40" s="49">
        <f>AVERAGE('20.8 Luwero-Kampala'!E40,'21.8 Luweero-Kampala'!E40,' 22.8 Luweero-Kampala'!E40,'23.Luweero-Kamplaa'!E40,'24.8 Luweero-Kampala'!E40,'25.8 Luwero-Kampala-24 HRS'!E40,'26.8 Luweero-Kampala'!E40)</f>
        <v>17</v>
      </c>
      <c r="F40" s="49">
        <f>AVERAGE('20.8 Luwero-Kampala'!F40,'21.8 Luweero-Kampala'!F40,' 22.8 Luweero-Kampala'!F40,'23.Luweero-Kamplaa'!F40,'24.8 Luweero-Kampala'!F40,'25.8 Luwero-Kampala-24 HRS'!F40,'26.8 Luweero-Kampala'!F40)</f>
        <v>12.285714285714286</v>
      </c>
      <c r="G40" s="49">
        <f>AVERAGE('20.8 Luwero-Kampala'!G40,'21.8 Luweero-Kampala'!G40,' 22.8 Luweero-Kampala'!G40,'23.Luweero-Kamplaa'!G40,'24.8 Luweero-Kampala'!G40,'25.8 Luwero-Kampala-24 HRS'!G40,'26.8 Luweero-Kampala'!G40)</f>
        <v>0</v>
      </c>
      <c r="H40" s="49">
        <f>AVERAGE('20.8 Luwero-Kampala'!H40,'21.8 Luweero-Kampala'!H40,' 22.8 Luweero-Kampala'!H40,'23.Luweero-Kamplaa'!H40,'24.8 Luweero-Kampala'!H40,'25.8 Luwero-Kampala-24 HRS'!H40,'26.8 Luweero-Kampala'!H40)</f>
        <v>1.4285714285714286</v>
      </c>
      <c r="I40" s="49">
        <f>AVERAGE('20.8 Luwero-Kampala'!I40,'21.8 Luweero-Kampala'!I40,' 22.8 Luweero-Kampala'!I40,'23.Luweero-Kamplaa'!I40,'24.8 Luweero-Kampala'!I40,'25.8 Luwero-Kampala-24 HRS'!I40,'26.8 Luweero-Kampala'!I40)</f>
        <v>8.4285714285714288</v>
      </c>
      <c r="J40" s="49">
        <f>AVERAGE('20.8 Luwero-Kampala'!J40,'21.8 Luweero-Kampala'!J40,' 22.8 Luweero-Kampala'!J40,'23.Luweero-Kamplaa'!J40,'24.8 Luweero-Kampala'!J40,'25.8 Luwero-Kampala-24 HRS'!J40,'26.8 Luweero-Kampala'!J40)</f>
        <v>0.14285714285714285</v>
      </c>
      <c r="K40" s="49">
        <f>AVERAGE('20.8 Luwero-Kampala'!K40,'21.8 Luweero-Kampala'!K40,' 22.8 Luweero-Kampala'!K40,'23.Luweero-Kamplaa'!K40,'24.8 Luweero-Kampala'!K40,'25.8 Luwero-Kampala-24 HRS'!K40,'26.8 Luweero-Kampala'!K40)</f>
        <v>0.2857142857142857</v>
      </c>
      <c r="L40" s="49">
        <f>AVERAGE('20.8 Luwero-Kampala'!L40,'21.8 Luweero-Kampala'!L40,' 22.8 Luweero-Kampala'!L40,'23.Luweero-Kamplaa'!L40,'24.8 Luweero-Kampala'!L40,'25.8 Luwero-Kampala-24 HRS'!L40,'26.8 Luweero-Kampala'!L40)</f>
        <v>1.2857142857142858</v>
      </c>
      <c r="M40" s="49">
        <f>AVERAGE('20.8 Luwero-Kampala'!M40,'21.8 Luweero-Kampala'!M40,' 22.8 Luweero-Kampala'!M40,'23.Luweero-Kamplaa'!M40,'24.8 Luweero-Kampala'!M40,'25.8 Luwero-Kampala-24 HRS'!M40,'26.8 Luweero-Kampala'!M40)</f>
        <v>64.714285714285708</v>
      </c>
      <c r="N40" s="49">
        <f>AVERAGE('20.8 Luwero-Kampala'!N40,'21.8 Luweero-Kampala'!N40,' 22.8 Luweero-Kampala'!N40,'23.Luweero-Kamplaa'!N40,'24.8 Luweero-Kampala'!N40,'25.8 Luwero-Kampala-24 HRS'!N40,'26.8 Luweero-Kampala'!N40)</f>
        <v>0</v>
      </c>
      <c r="O40" s="15">
        <f t="shared" si="0"/>
        <v>47.714285714285722</v>
      </c>
      <c r="P40" s="15">
        <f t="shared" si="1"/>
        <v>112.42857142857143</v>
      </c>
      <c r="R40" s="5" t="s">
        <v>17</v>
      </c>
      <c r="S40" s="54">
        <f t="shared" ref="S40:AF40" si="32">SUM(S10:S21)</f>
        <v>366</v>
      </c>
      <c r="T40" s="54">
        <f t="shared" si="32"/>
        <v>0</v>
      </c>
      <c r="U40" s="54">
        <f t="shared" si="32"/>
        <v>699.28571428571433</v>
      </c>
      <c r="V40" s="54">
        <f t="shared" si="32"/>
        <v>649.857142857143</v>
      </c>
      <c r="W40" s="54">
        <f t="shared" si="32"/>
        <v>10.142857142857141</v>
      </c>
      <c r="X40" s="54">
        <f t="shared" si="32"/>
        <v>45.142857142857139</v>
      </c>
      <c r="Y40" s="54">
        <f t="shared" si="32"/>
        <v>300.14285714285717</v>
      </c>
      <c r="Z40" s="54">
        <f t="shared" si="32"/>
        <v>17.571428571428569</v>
      </c>
      <c r="AA40" s="54">
        <f t="shared" si="32"/>
        <v>6</v>
      </c>
      <c r="AB40" s="54">
        <f t="shared" si="32"/>
        <v>63.571428571428569</v>
      </c>
      <c r="AC40" s="54">
        <f t="shared" si="32"/>
        <v>2992.1428571428569</v>
      </c>
      <c r="AD40" s="54">
        <f t="shared" si="32"/>
        <v>0.71428571428571419</v>
      </c>
      <c r="AE40" s="55">
        <f t="shared" si="32"/>
        <v>2158.4285714285711</v>
      </c>
      <c r="AF40" s="55">
        <f t="shared" si="32"/>
        <v>5150.5714285714284</v>
      </c>
    </row>
    <row r="41" spans="2:32" ht="23.1" customHeight="1" x14ac:dyDescent="0.25">
      <c r="B41" s="23" t="s">
        <v>68</v>
      </c>
      <c r="C41" s="49">
        <f>AVERAGE('20.8 Luwero-Kampala'!C41,'21.8 Luweero-Kampala'!C41,' 22.8 Luweero-Kampala'!C41,'23.Luweero-Kamplaa'!C41,'24.8 Luweero-Kampala'!C41,'25.8 Luwero-Kampala-24 HRS'!C41,'26.8 Luweero-Kampala'!C41)</f>
        <v>7.8571428571428568</v>
      </c>
      <c r="D41" s="49">
        <f>AVERAGE('20.8 Luwero-Kampala'!D41,'21.8 Luweero-Kampala'!D41,' 22.8 Luweero-Kampala'!D41,'23.Luweero-Kamplaa'!D41,'24.8 Luweero-Kampala'!D41,'25.8 Luwero-Kampala-24 HRS'!D41,'26.8 Luweero-Kampala'!D41)</f>
        <v>0</v>
      </c>
      <c r="E41" s="49">
        <f>AVERAGE('20.8 Luwero-Kampala'!E41,'21.8 Luweero-Kampala'!E41,' 22.8 Luweero-Kampala'!E41,'23.Luweero-Kamplaa'!E41,'24.8 Luweero-Kampala'!E41,'25.8 Luwero-Kampala-24 HRS'!E41,'26.8 Luweero-Kampala'!E41)</f>
        <v>19</v>
      </c>
      <c r="F41" s="49">
        <f>AVERAGE('20.8 Luwero-Kampala'!F41,'21.8 Luweero-Kampala'!F41,' 22.8 Luweero-Kampala'!F41,'23.Luweero-Kamplaa'!F41,'24.8 Luweero-Kampala'!F41,'25.8 Luwero-Kampala-24 HRS'!F41,'26.8 Luweero-Kampala'!F41)</f>
        <v>12.714285714285714</v>
      </c>
      <c r="G41" s="49">
        <f>AVERAGE('20.8 Luwero-Kampala'!G41,'21.8 Luweero-Kampala'!G41,' 22.8 Luweero-Kampala'!G41,'23.Luweero-Kamplaa'!G41,'24.8 Luweero-Kampala'!G41,'25.8 Luwero-Kampala-24 HRS'!G41,'26.8 Luweero-Kampala'!G41)</f>
        <v>0.42857142857142855</v>
      </c>
      <c r="H41" s="49">
        <f>AVERAGE('20.8 Luwero-Kampala'!H41,'21.8 Luweero-Kampala'!H41,' 22.8 Luweero-Kampala'!H41,'23.Luweero-Kamplaa'!H41,'24.8 Luweero-Kampala'!H41,'25.8 Luwero-Kampala-24 HRS'!H41,'26.8 Luweero-Kampala'!H41)</f>
        <v>1.5714285714285714</v>
      </c>
      <c r="I41" s="49">
        <f>AVERAGE('20.8 Luwero-Kampala'!I41,'21.8 Luweero-Kampala'!I41,' 22.8 Luweero-Kampala'!I41,'23.Luweero-Kamplaa'!I41,'24.8 Luweero-Kampala'!I41,'25.8 Luwero-Kampala-24 HRS'!I41,'26.8 Luweero-Kampala'!I41)</f>
        <v>8.4285714285714288</v>
      </c>
      <c r="J41" s="49">
        <f>AVERAGE('20.8 Luwero-Kampala'!J41,'21.8 Luweero-Kampala'!J41,' 22.8 Luweero-Kampala'!J41,'23.Luweero-Kamplaa'!J41,'24.8 Luweero-Kampala'!J41,'25.8 Luwero-Kampala-24 HRS'!J41,'26.8 Luweero-Kampala'!J41)</f>
        <v>0.2857142857142857</v>
      </c>
      <c r="K41" s="49">
        <f>AVERAGE('20.8 Luwero-Kampala'!K41,'21.8 Luweero-Kampala'!K41,' 22.8 Luweero-Kampala'!K41,'23.Luweero-Kamplaa'!K41,'24.8 Luweero-Kampala'!K41,'25.8 Luwero-Kampala-24 HRS'!K41,'26.8 Luweero-Kampala'!K41)</f>
        <v>0.2857142857142857</v>
      </c>
      <c r="L41" s="49">
        <f>AVERAGE('20.8 Luwero-Kampala'!L41,'21.8 Luweero-Kampala'!L41,' 22.8 Luweero-Kampala'!L41,'23.Luweero-Kamplaa'!L41,'24.8 Luweero-Kampala'!L41,'25.8 Luwero-Kampala-24 HRS'!L41,'26.8 Luweero-Kampala'!L41)</f>
        <v>1.2857142857142858</v>
      </c>
      <c r="M41" s="49">
        <f>AVERAGE('20.8 Luwero-Kampala'!M41,'21.8 Luweero-Kampala'!M41,' 22.8 Luweero-Kampala'!M41,'23.Luweero-Kamplaa'!M41,'24.8 Luweero-Kampala'!M41,'25.8 Luwero-Kampala-24 HRS'!M41,'26.8 Luweero-Kampala'!M41)</f>
        <v>66.428571428571431</v>
      </c>
      <c r="N41" s="49">
        <f>AVERAGE('20.8 Luwero-Kampala'!N41,'21.8 Luweero-Kampala'!N41,' 22.8 Luweero-Kampala'!N41,'23.Luweero-Kamplaa'!N41,'24.8 Luweero-Kampala'!N41,'25.8 Luwero-Kampala-24 HRS'!N41,'26.8 Luweero-Kampala'!N41)</f>
        <v>0</v>
      </c>
      <c r="O41" s="15">
        <f t="shared" si="0"/>
        <v>51.857142857142854</v>
      </c>
      <c r="P41" s="15">
        <f t="shared" si="1"/>
        <v>118.28571428571428</v>
      </c>
      <c r="R41" s="5" t="s">
        <v>180</v>
      </c>
      <c r="S41" s="54">
        <f>SUM(S10:S33)</f>
        <v>515.5</v>
      </c>
      <c r="T41" s="54">
        <f t="shared" ref="T41:AD41" si="33">SUM(T10:T33)</f>
        <v>27.5</v>
      </c>
      <c r="U41" s="54">
        <f t="shared" si="33"/>
        <v>789.78571428571433</v>
      </c>
      <c r="V41" s="54">
        <f t="shared" si="33"/>
        <v>764.357142857143</v>
      </c>
      <c r="W41" s="54">
        <f t="shared" si="33"/>
        <v>37.142857142857139</v>
      </c>
      <c r="X41" s="54">
        <f t="shared" si="33"/>
        <v>80.642857142857139</v>
      </c>
      <c r="Y41" s="54">
        <f t="shared" si="33"/>
        <v>430.64285714285717</v>
      </c>
      <c r="Z41" s="54">
        <f t="shared" si="33"/>
        <v>31.071428571428569</v>
      </c>
      <c r="AA41" s="54">
        <f t="shared" si="33"/>
        <v>15</v>
      </c>
      <c r="AB41" s="54">
        <f t="shared" si="33"/>
        <v>125.57142857142857</v>
      </c>
      <c r="AC41" s="54">
        <f t="shared" si="33"/>
        <v>3591.6428571428569</v>
      </c>
      <c r="AD41" s="54">
        <f t="shared" si="33"/>
        <v>0.71428571428571419</v>
      </c>
      <c r="AE41" s="55">
        <f>SUM(AE10:AE33)</f>
        <v>2817.9285714285711</v>
      </c>
      <c r="AF41" s="55">
        <f>SUM(AF10:AF33)</f>
        <v>6409.5714285714284</v>
      </c>
    </row>
    <row r="42" spans="2:32" ht="23.1" customHeight="1" x14ac:dyDescent="0.25">
      <c r="B42" s="24" t="s">
        <v>69</v>
      </c>
      <c r="C42" s="49">
        <f>AVERAGE('20.8 Luwero-Kampala'!C42,'21.8 Luweero-Kampala'!C42,' 22.8 Luweero-Kampala'!C42,'23.Luweero-Kamplaa'!C42,'24.8 Luweero-Kampala'!C42,'25.8 Luwero-Kampala-24 HRS'!C42,'26.8 Luweero-Kampala'!C42)</f>
        <v>7.2857142857142856</v>
      </c>
      <c r="D42" s="49">
        <f>AVERAGE('20.8 Luwero-Kampala'!D42,'21.8 Luweero-Kampala'!D42,' 22.8 Luweero-Kampala'!D42,'23.Luweero-Kamplaa'!D42,'24.8 Luweero-Kampala'!D42,'25.8 Luwero-Kampala-24 HRS'!D42,'26.8 Luweero-Kampala'!D42)</f>
        <v>0</v>
      </c>
      <c r="E42" s="49">
        <f>AVERAGE('20.8 Luwero-Kampala'!E42,'21.8 Luweero-Kampala'!E42,' 22.8 Luweero-Kampala'!E42,'23.Luweero-Kamplaa'!E42,'24.8 Luweero-Kampala'!E42,'25.8 Luwero-Kampala-24 HRS'!E42,'26.8 Luweero-Kampala'!E42)</f>
        <v>19.142857142857142</v>
      </c>
      <c r="F42" s="49">
        <f>AVERAGE('20.8 Luwero-Kampala'!F42,'21.8 Luweero-Kampala'!F42,' 22.8 Luweero-Kampala'!F42,'23.Luweero-Kamplaa'!F42,'24.8 Luweero-Kampala'!F42,'25.8 Luwero-Kampala-24 HRS'!F42,'26.8 Luweero-Kampala'!F42)</f>
        <v>17.857142857142858</v>
      </c>
      <c r="G42" s="49">
        <f>AVERAGE('20.8 Luwero-Kampala'!G42,'21.8 Luweero-Kampala'!G42,' 22.8 Luweero-Kampala'!G42,'23.Luweero-Kamplaa'!G42,'24.8 Luweero-Kampala'!G42,'25.8 Luwero-Kampala-24 HRS'!G42,'26.8 Luweero-Kampala'!G42)</f>
        <v>0.14285714285714285</v>
      </c>
      <c r="H42" s="49">
        <f>AVERAGE('20.8 Luwero-Kampala'!H42,'21.8 Luweero-Kampala'!H42,' 22.8 Luweero-Kampala'!H42,'23.Luweero-Kamplaa'!H42,'24.8 Luweero-Kampala'!H42,'25.8 Luwero-Kampala-24 HRS'!H42,'26.8 Luweero-Kampala'!H42)</f>
        <v>1.1428571428571428</v>
      </c>
      <c r="I42" s="49">
        <f>AVERAGE('20.8 Luwero-Kampala'!I42,'21.8 Luweero-Kampala'!I42,' 22.8 Luweero-Kampala'!I42,'23.Luweero-Kamplaa'!I42,'24.8 Luweero-Kampala'!I42,'25.8 Luwero-Kampala-24 HRS'!I42,'26.8 Luweero-Kampala'!I42)</f>
        <v>7.5714285714285712</v>
      </c>
      <c r="J42" s="49">
        <f>AVERAGE('20.8 Luwero-Kampala'!J42,'21.8 Luweero-Kampala'!J42,' 22.8 Luweero-Kampala'!J42,'23.Luweero-Kamplaa'!J42,'24.8 Luweero-Kampala'!J42,'25.8 Luwero-Kampala-24 HRS'!J42,'26.8 Luweero-Kampala'!J42)</f>
        <v>0.42857142857142855</v>
      </c>
      <c r="K42" s="49">
        <f>AVERAGE('20.8 Luwero-Kampala'!K42,'21.8 Luweero-Kampala'!K42,' 22.8 Luweero-Kampala'!K42,'23.Luweero-Kamplaa'!K42,'24.8 Luweero-Kampala'!K42,'25.8 Luwero-Kampala-24 HRS'!K42,'26.8 Luweero-Kampala'!K42)</f>
        <v>0</v>
      </c>
      <c r="L42" s="49">
        <f>AVERAGE('20.8 Luwero-Kampala'!L42,'21.8 Luweero-Kampala'!L42,' 22.8 Luweero-Kampala'!L42,'23.Luweero-Kamplaa'!L42,'24.8 Luweero-Kampala'!L42,'25.8 Luwero-Kampala-24 HRS'!L42,'26.8 Luweero-Kampala'!L42)</f>
        <v>0.5714285714285714</v>
      </c>
      <c r="M42" s="49">
        <f>AVERAGE('20.8 Luwero-Kampala'!M42,'21.8 Luweero-Kampala'!M42,' 22.8 Luweero-Kampala'!M42,'23.Luweero-Kamplaa'!M42,'24.8 Luweero-Kampala'!M42,'25.8 Luwero-Kampala-24 HRS'!M42,'26.8 Luweero-Kampala'!M42)</f>
        <v>57.428571428571431</v>
      </c>
      <c r="N42" s="49">
        <f>AVERAGE('20.8 Luwero-Kampala'!N42,'21.8 Luweero-Kampala'!N42,' 22.8 Luweero-Kampala'!N42,'23.Luweero-Kamplaa'!N42,'24.8 Luweero-Kampala'!N42,'25.8 Luwero-Kampala-24 HRS'!N42,'26.8 Luweero-Kampala'!N42)</f>
        <v>0</v>
      </c>
      <c r="O42" s="15">
        <f t="shared" si="0"/>
        <v>54.142857142857146</v>
      </c>
      <c r="P42" s="15">
        <f t="shared" si="1"/>
        <v>111.57142857142858</v>
      </c>
      <c r="R42" s="5" t="s">
        <v>160</v>
      </c>
      <c r="S42" s="48">
        <f>S41/S40</f>
        <v>1.4084699453551912</v>
      </c>
      <c r="T42" s="48" t="e">
        <f t="shared" ref="T42:AF42" si="34">T41/T40</f>
        <v>#DIV/0!</v>
      </c>
      <c r="U42" s="48">
        <f t="shared" si="34"/>
        <v>1.129417773237998</v>
      </c>
      <c r="V42" s="48">
        <f t="shared" si="34"/>
        <v>1.1761925697955595</v>
      </c>
      <c r="W42" s="48">
        <f t="shared" si="34"/>
        <v>3.6619718309859159</v>
      </c>
      <c r="X42" s="48">
        <f t="shared" si="34"/>
        <v>1.7863924050632911</v>
      </c>
      <c r="Y42" s="48">
        <f t="shared" si="34"/>
        <v>1.434792955735364</v>
      </c>
      <c r="Z42" s="48">
        <f t="shared" si="34"/>
        <v>1.7682926829268293</v>
      </c>
      <c r="AA42" s="48">
        <f t="shared" si="34"/>
        <v>2.5</v>
      </c>
      <c r="AB42" s="48">
        <f t="shared" si="34"/>
        <v>1.9752808988764046</v>
      </c>
      <c r="AC42" s="48">
        <f t="shared" si="34"/>
        <v>1.2003580806875149</v>
      </c>
      <c r="AD42" s="48">
        <f t="shared" si="34"/>
        <v>1</v>
      </c>
      <c r="AE42" s="56">
        <f t="shared" si="34"/>
        <v>1.3055463630948443</v>
      </c>
      <c r="AF42" s="56">
        <f t="shared" si="34"/>
        <v>1.2444388972097409</v>
      </c>
    </row>
    <row r="43" spans="2:32" ht="23.1" customHeight="1" x14ac:dyDescent="0.25">
      <c r="B43" s="23" t="s">
        <v>70</v>
      </c>
      <c r="C43" s="49">
        <f>AVERAGE('20.8 Luwero-Kampala'!C43,'21.8 Luweero-Kampala'!C43,' 22.8 Luweero-Kampala'!C43,'23.Luweero-Kamplaa'!C43,'24.8 Luweero-Kampala'!C43,'25.8 Luwero-Kampala-24 HRS'!C43,'26.8 Luweero-Kampala'!C43)</f>
        <v>9.7142857142857135</v>
      </c>
      <c r="D43" s="49">
        <f>AVERAGE('20.8 Luwero-Kampala'!D43,'21.8 Luweero-Kampala'!D43,' 22.8 Luweero-Kampala'!D43,'23.Luweero-Kamplaa'!D43,'24.8 Luweero-Kampala'!D43,'25.8 Luwero-Kampala-24 HRS'!D43,'26.8 Luweero-Kampala'!D43)</f>
        <v>0</v>
      </c>
      <c r="E43" s="49">
        <f>AVERAGE('20.8 Luwero-Kampala'!E43,'21.8 Luweero-Kampala'!E43,' 22.8 Luweero-Kampala'!E43,'23.Luweero-Kamplaa'!E43,'24.8 Luweero-Kampala'!E43,'25.8 Luwero-Kampala-24 HRS'!E43,'26.8 Luweero-Kampala'!E43)</f>
        <v>16.285714285714285</v>
      </c>
      <c r="F43" s="49">
        <f>AVERAGE('20.8 Luwero-Kampala'!F43,'21.8 Luweero-Kampala'!F43,' 22.8 Luweero-Kampala'!F43,'23.Luweero-Kamplaa'!F43,'24.8 Luweero-Kampala'!F43,'25.8 Luwero-Kampala-24 HRS'!F43,'26.8 Luweero-Kampala'!F43)</f>
        <v>14.571428571428571</v>
      </c>
      <c r="G43" s="49">
        <f>AVERAGE('20.8 Luwero-Kampala'!G43,'21.8 Luweero-Kampala'!G43,' 22.8 Luweero-Kampala'!G43,'23.Luweero-Kamplaa'!G43,'24.8 Luweero-Kampala'!G43,'25.8 Luwero-Kampala-24 HRS'!G43,'26.8 Luweero-Kampala'!G43)</f>
        <v>0.14285714285714285</v>
      </c>
      <c r="H43" s="49">
        <f>AVERAGE('20.8 Luwero-Kampala'!H43,'21.8 Luweero-Kampala'!H43,' 22.8 Luweero-Kampala'!H43,'23.Luweero-Kamplaa'!H43,'24.8 Luweero-Kampala'!H43,'25.8 Luwero-Kampala-24 HRS'!H43,'26.8 Luweero-Kampala'!H43)</f>
        <v>0.5714285714285714</v>
      </c>
      <c r="I43" s="49">
        <f>AVERAGE('20.8 Luwero-Kampala'!I43,'21.8 Luweero-Kampala'!I43,' 22.8 Luweero-Kampala'!I43,'23.Luweero-Kamplaa'!I43,'24.8 Luweero-Kampala'!I43,'25.8 Luwero-Kampala-24 HRS'!I43,'26.8 Luweero-Kampala'!I43)</f>
        <v>7.4285714285714288</v>
      </c>
      <c r="J43" s="49">
        <f>AVERAGE('20.8 Luwero-Kampala'!J43,'21.8 Luweero-Kampala'!J43,' 22.8 Luweero-Kampala'!J43,'23.Luweero-Kamplaa'!J43,'24.8 Luweero-Kampala'!J43,'25.8 Luwero-Kampala-24 HRS'!J43,'26.8 Luweero-Kampala'!J43)</f>
        <v>0.2857142857142857</v>
      </c>
      <c r="K43" s="49">
        <f>AVERAGE('20.8 Luwero-Kampala'!K43,'21.8 Luweero-Kampala'!K43,' 22.8 Luweero-Kampala'!K43,'23.Luweero-Kamplaa'!K43,'24.8 Luweero-Kampala'!K43,'25.8 Luwero-Kampala-24 HRS'!K43,'26.8 Luweero-Kampala'!K43)</f>
        <v>0.2857142857142857</v>
      </c>
      <c r="L43" s="49">
        <f>AVERAGE('20.8 Luwero-Kampala'!L43,'21.8 Luweero-Kampala'!L43,' 22.8 Luweero-Kampala'!L43,'23.Luweero-Kamplaa'!L43,'24.8 Luweero-Kampala'!L43,'25.8 Luwero-Kampala-24 HRS'!L43,'26.8 Luweero-Kampala'!L43)</f>
        <v>1.5714285714285714</v>
      </c>
      <c r="M43" s="49">
        <f>AVERAGE('20.8 Luwero-Kampala'!M43,'21.8 Luweero-Kampala'!M43,' 22.8 Luweero-Kampala'!M43,'23.Luweero-Kamplaa'!M43,'24.8 Luweero-Kampala'!M43,'25.8 Luwero-Kampala-24 HRS'!M43,'26.8 Luweero-Kampala'!M43)</f>
        <v>60.428571428571431</v>
      </c>
      <c r="N43" s="49">
        <f>AVERAGE('20.8 Luwero-Kampala'!N43,'21.8 Luweero-Kampala'!N43,' 22.8 Luweero-Kampala'!N43,'23.Luweero-Kamplaa'!N43,'24.8 Luweero-Kampala'!N43,'25.8 Luwero-Kampala-24 HRS'!N43,'26.8 Luweero-Kampala'!N43)</f>
        <v>0</v>
      </c>
      <c r="O43" s="15">
        <f t="shared" si="0"/>
        <v>50.857142857142854</v>
      </c>
      <c r="P43" s="15">
        <f t="shared" si="1"/>
        <v>111.28571428571428</v>
      </c>
    </row>
    <row r="44" spans="2:32" ht="23.1" customHeight="1" x14ac:dyDescent="0.25">
      <c r="B44" s="25" t="s">
        <v>71</v>
      </c>
      <c r="C44" s="49">
        <f>AVERAGE('20.8 Luwero-Kampala'!C44,'21.8 Luweero-Kampala'!C44,' 22.8 Luweero-Kampala'!C44,'23.Luweero-Kamplaa'!C44,'24.8 Luweero-Kampala'!C44,'25.8 Luwero-Kampala-24 HRS'!C44,'26.8 Luweero-Kampala'!C44)</f>
        <v>9.8571428571428577</v>
      </c>
      <c r="D44" s="49">
        <f>AVERAGE('20.8 Luwero-Kampala'!D44,'21.8 Luweero-Kampala'!D44,' 22.8 Luweero-Kampala'!D44,'23.Luweero-Kamplaa'!D44,'24.8 Luweero-Kampala'!D44,'25.8 Luwero-Kampala-24 HRS'!D44,'26.8 Luweero-Kampala'!D44)</f>
        <v>0</v>
      </c>
      <c r="E44" s="49">
        <f>AVERAGE('20.8 Luwero-Kampala'!E44,'21.8 Luweero-Kampala'!E44,' 22.8 Luweero-Kampala'!E44,'23.Luweero-Kamplaa'!E44,'24.8 Luweero-Kampala'!E44,'25.8 Luwero-Kampala-24 HRS'!E44,'26.8 Luweero-Kampala'!E44)</f>
        <v>15</v>
      </c>
      <c r="F44" s="49">
        <f>AVERAGE('20.8 Luwero-Kampala'!F44,'21.8 Luweero-Kampala'!F44,' 22.8 Luweero-Kampala'!F44,'23.Luweero-Kamplaa'!F44,'24.8 Luweero-Kampala'!F44,'25.8 Luwero-Kampala-24 HRS'!F44,'26.8 Luweero-Kampala'!F44)</f>
        <v>13.285714285714286</v>
      </c>
      <c r="G44" s="49">
        <f>AVERAGE('20.8 Luwero-Kampala'!G44,'21.8 Luweero-Kampala'!G44,' 22.8 Luweero-Kampala'!G44,'23.Luweero-Kamplaa'!G44,'24.8 Luweero-Kampala'!G44,'25.8 Luwero-Kampala-24 HRS'!G44,'26.8 Luweero-Kampala'!G44)</f>
        <v>0.2857142857142857</v>
      </c>
      <c r="H44" s="49">
        <f>AVERAGE('20.8 Luwero-Kampala'!H44,'21.8 Luweero-Kampala'!H44,' 22.8 Luweero-Kampala'!H44,'23.Luweero-Kamplaa'!H44,'24.8 Luweero-Kampala'!H44,'25.8 Luwero-Kampala-24 HRS'!H44,'26.8 Luweero-Kampala'!H44)</f>
        <v>2</v>
      </c>
      <c r="I44" s="49">
        <f>AVERAGE('20.8 Luwero-Kampala'!I44,'21.8 Luweero-Kampala'!I44,' 22.8 Luweero-Kampala'!I44,'23.Luweero-Kamplaa'!I44,'24.8 Luweero-Kampala'!I44,'25.8 Luwero-Kampala-24 HRS'!I44,'26.8 Luweero-Kampala'!I44)</f>
        <v>6.5714285714285712</v>
      </c>
      <c r="J44" s="49">
        <f>AVERAGE('20.8 Luwero-Kampala'!J44,'21.8 Luweero-Kampala'!J44,' 22.8 Luweero-Kampala'!J44,'23.Luweero-Kamplaa'!J44,'24.8 Luweero-Kampala'!J44,'25.8 Luwero-Kampala-24 HRS'!J44,'26.8 Luweero-Kampala'!J44)</f>
        <v>0.5714285714285714</v>
      </c>
      <c r="K44" s="49">
        <f>AVERAGE('20.8 Luwero-Kampala'!K44,'21.8 Luweero-Kampala'!K44,' 22.8 Luweero-Kampala'!K44,'23.Luweero-Kamplaa'!K44,'24.8 Luweero-Kampala'!K44,'25.8 Luwero-Kampala-24 HRS'!K44,'26.8 Luweero-Kampala'!K44)</f>
        <v>0</v>
      </c>
      <c r="L44" s="49">
        <f>AVERAGE('20.8 Luwero-Kampala'!L44,'21.8 Luweero-Kampala'!L44,' 22.8 Luweero-Kampala'!L44,'23.Luweero-Kamplaa'!L44,'24.8 Luweero-Kampala'!L44,'25.8 Luwero-Kampala-24 HRS'!L44,'26.8 Luweero-Kampala'!L44)</f>
        <v>1.8571428571428572</v>
      </c>
      <c r="M44" s="49">
        <f>AVERAGE('20.8 Luwero-Kampala'!M44,'21.8 Luweero-Kampala'!M44,' 22.8 Luweero-Kampala'!M44,'23.Luweero-Kamplaa'!M44,'24.8 Luweero-Kampala'!M44,'25.8 Luwero-Kampala-24 HRS'!M44,'26.8 Luweero-Kampala'!M44)</f>
        <v>52.428571428571431</v>
      </c>
      <c r="N44" s="49">
        <f>AVERAGE('20.8 Luwero-Kampala'!N44,'21.8 Luweero-Kampala'!N44,' 22.8 Luweero-Kampala'!N44,'23.Luweero-Kamplaa'!N44,'24.8 Luweero-Kampala'!N44,'25.8 Luwero-Kampala-24 HRS'!N44,'26.8 Luweero-Kampala'!N44)</f>
        <v>0</v>
      </c>
      <c r="O44" s="15">
        <f t="shared" si="0"/>
        <v>49.428571428571423</v>
      </c>
      <c r="P44" s="15">
        <f t="shared" si="1"/>
        <v>101.85714285714286</v>
      </c>
    </row>
    <row r="45" spans="2:32" ht="23.1" customHeight="1" x14ac:dyDescent="0.25">
      <c r="B45" s="23" t="s">
        <v>72</v>
      </c>
      <c r="C45" s="49">
        <f>AVERAGE('20.8 Luwero-Kampala'!C45,'21.8 Luweero-Kampala'!C45,' 22.8 Luweero-Kampala'!C45,'23.Luweero-Kamplaa'!C45,'24.8 Luweero-Kampala'!C45,'25.8 Luwero-Kampala-24 HRS'!C45,'26.8 Luweero-Kampala'!C45)</f>
        <v>9</v>
      </c>
      <c r="D45" s="49">
        <f>AVERAGE('20.8 Luwero-Kampala'!D45,'21.8 Luweero-Kampala'!D45,' 22.8 Luweero-Kampala'!D45,'23.Luweero-Kamplaa'!D45,'24.8 Luweero-Kampala'!D45,'25.8 Luwero-Kampala-24 HRS'!D45,'26.8 Luweero-Kampala'!D45)</f>
        <v>0</v>
      </c>
      <c r="E45" s="49">
        <f>AVERAGE('20.8 Luwero-Kampala'!E45,'21.8 Luweero-Kampala'!E45,' 22.8 Luweero-Kampala'!E45,'23.Luweero-Kamplaa'!E45,'24.8 Luweero-Kampala'!E45,'25.8 Luwero-Kampala-24 HRS'!E45,'26.8 Luweero-Kampala'!E45)</f>
        <v>18.142857142857142</v>
      </c>
      <c r="F45" s="49">
        <f>AVERAGE('20.8 Luwero-Kampala'!F45,'21.8 Luweero-Kampala'!F45,' 22.8 Luweero-Kampala'!F45,'23.Luweero-Kamplaa'!F45,'24.8 Luweero-Kampala'!F45,'25.8 Luwero-Kampala-24 HRS'!F45,'26.8 Luweero-Kampala'!F45)</f>
        <v>14.142857142857142</v>
      </c>
      <c r="G45" s="49">
        <f>AVERAGE('20.8 Luwero-Kampala'!G45,'21.8 Luweero-Kampala'!G45,' 22.8 Luweero-Kampala'!G45,'23.Luweero-Kamplaa'!G45,'24.8 Luweero-Kampala'!G45,'25.8 Luwero-Kampala-24 HRS'!G45,'26.8 Luweero-Kampala'!G45)</f>
        <v>0.2857142857142857</v>
      </c>
      <c r="H45" s="49">
        <f>AVERAGE('20.8 Luwero-Kampala'!H45,'21.8 Luweero-Kampala'!H45,' 22.8 Luweero-Kampala'!H45,'23.Luweero-Kamplaa'!H45,'24.8 Luweero-Kampala'!H45,'25.8 Luwero-Kampala-24 HRS'!H45,'26.8 Luweero-Kampala'!H45)</f>
        <v>1.4285714285714286</v>
      </c>
      <c r="I45" s="49">
        <f>AVERAGE('20.8 Luwero-Kampala'!I45,'21.8 Luweero-Kampala'!I45,' 22.8 Luweero-Kampala'!I45,'23.Luweero-Kamplaa'!I45,'24.8 Luweero-Kampala'!I45,'25.8 Luwero-Kampala-24 HRS'!I45,'26.8 Luweero-Kampala'!I45)</f>
        <v>6.4285714285714288</v>
      </c>
      <c r="J45" s="49">
        <f>AVERAGE('20.8 Luwero-Kampala'!J45,'21.8 Luweero-Kampala'!J45,' 22.8 Luweero-Kampala'!J45,'23.Luweero-Kamplaa'!J45,'24.8 Luweero-Kampala'!J45,'25.8 Luwero-Kampala-24 HRS'!J45,'26.8 Luweero-Kampala'!J45)</f>
        <v>0.2857142857142857</v>
      </c>
      <c r="K45" s="49">
        <f>AVERAGE('20.8 Luwero-Kampala'!K45,'21.8 Luweero-Kampala'!K45,' 22.8 Luweero-Kampala'!K45,'23.Luweero-Kamplaa'!K45,'24.8 Luweero-Kampala'!K45,'25.8 Luwero-Kampala-24 HRS'!K45,'26.8 Luweero-Kampala'!K45)</f>
        <v>0.14285714285714285</v>
      </c>
      <c r="L45" s="49">
        <f>AVERAGE('20.8 Luwero-Kampala'!L45,'21.8 Luweero-Kampala'!L45,' 22.8 Luweero-Kampala'!L45,'23.Luweero-Kamplaa'!L45,'24.8 Luweero-Kampala'!L45,'25.8 Luwero-Kampala-24 HRS'!L45,'26.8 Luweero-Kampala'!L45)</f>
        <v>1.7142857142857142</v>
      </c>
      <c r="M45" s="49">
        <f>AVERAGE('20.8 Luwero-Kampala'!M45,'21.8 Luweero-Kampala'!M45,' 22.8 Luweero-Kampala'!M45,'23.Luweero-Kamplaa'!M45,'24.8 Luweero-Kampala'!M45,'25.8 Luwero-Kampala-24 HRS'!M45,'26.8 Luweero-Kampala'!M45)</f>
        <v>62</v>
      </c>
      <c r="N45" s="49">
        <f>AVERAGE('20.8 Luwero-Kampala'!N45,'21.8 Luweero-Kampala'!N45,' 22.8 Luweero-Kampala'!N45,'23.Luweero-Kamplaa'!N45,'24.8 Luweero-Kampala'!N45,'25.8 Luwero-Kampala-24 HRS'!N45,'26.8 Luweero-Kampala'!N45)</f>
        <v>0</v>
      </c>
      <c r="O45" s="15">
        <f t="shared" si="0"/>
        <v>51.571428571428577</v>
      </c>
      <c r="P45" s="15">
        <f t="shared" si="1"/>
        <v>113.57142857142858</v>
      </c>
    </row>
    <row r="46" spans="2:32" ht="23.1" customHeight="1" x14ac:dyDescent="0.25">
      <c r="B46" s="24" t="s">
        <v>73</v>
      </c>
      <c r="C46" s="49">
        <f>AVERAGE('20.8 Luwero-Kampala'!C46,'21.8 Luweero-Kampala'!C46,' 22.8 Luweero-Kampala'!C46,'23.Luweero-Kamplaa'!C46,'24.8 Luweero-Kampala'!C46,'25.8 Luwero-Kampala-24 HRS'!C46,'26.8 Luweero-Kampala'!C46)</f>
        <v>9.2857142857142865</v>
      </c>
      <c r="D46" s="49">
        <f>AVERAGE('20.8 Luwero-Kampala'!D46,'21.8 Luweero-Kampala'!D46,' 22.8 Luweero-Kampala'!D46,'23.Luweero-Kamplaa'!D46,'24.8 Luweero-Kampala'!D46,'25.8 Luwero-Kampala-24 HRS'!D46,'26.8 Luweero-Kampala'!D46)</f>
        <v>0</v>
      </c>
      <c r="E46" s="49">
        <f>AVERAGE('20.8 Luwero-Kampala'!E46,'21.8 Luweero-Kampala'!E46,' 22.8 Luweero-Kampala'!E46,'23.Luweero-Kamplaa'!E46,'24.8 Luweero-Kampala'!E46,'25.8 Luwero-Kampala-24 HRS'!E46,'26.8 Luweero-Kampala'!E46)</f>
        <v>20.571428571428573</v>
      </c>
      <c r="F46" s="49">
        <f>AVERAGE('20.8 Luwero-Kampala'!F46,'21.8 Luweero-Kampala'!F46,' 22.8 Luweero-Kampala'!F46,'23.Luweero-Kamplaa'!F46,'24.8 Luweero-Kampala'!F46,'25.8 Luwero-Kampala-24 HRS'!F46,'26.8 Luweero-Kampala'!F46)</f>
        <v>12.571428571428571</v>
      </c>
      <c r="G46" s="49">
        <f>AVERAGE('20.8 Luwero-Kampala'!G46,'21.8 Luweero-Kampala'!G46,' 22.8 Luweero-Kampala'!G46,'23.Luweero-Kamplaa'!G46,'24.8 Luweero-Kampala'!G46,'25.8 Luwero-Kampala-24 HRS'!G46,'26.8 Luweero-Kampala'!G46)</f>
        <v>0</v>
      </c>
      <c r="H46" s="49">
        <f>AVERAGE('20.8 Luwero-Kampala'!H46,'21.8 Luweero-Kampala'!H46,' 22.8 Luweero-Kampala'!H46,'23.Luweero-Kamplaa'!H46,'24.8 Luweero-Kampala'!H46,'25.8 Luwero-Kampala-24 HRS'!H46,'26.8 Luweero-Kampala'!H46)</f>
        <v>1.5714285714285714</v>
      </c>
      <c r="I46" s="49">
        <f>AVERAGE('20.8 Luwero-Kampala'!I46,'21.8 Luweero-Kampala'!I46,' 22.8 Luweero-Kampala'!I46,'23.Luweero-Kamplaa'!I46,'24.8 Luweero-Kampala'!I46,'25.8 Luwero-Kampala-24 HRS'!I46,'26.8 Luweero-Kampala'!I46)</f>
        <v>6.4285714285714288</v>
      </c>
      <c r="J46" s="49">
        <f>AVERAGE('20.8 Luwero-Kampala'!J46,'21.8 Luweero-Kampala'!J46,' 22.8 Luweero-Kampala'!J46,'23.Luweero-Kamplaa'!J46,'24.8 Luweero-Kampala'!J46,'25.8 Luwero-Kampala-24 HRS'!J46,'26.8 Luweero-Kampala'!J46)</f>
        <v>0.42857142857142855</v>
      </c>
      <c r="K46" s="49">
        <f>AVERAGE('20.8 Luwero-Kampala'!K46,'21.8 Luweero-Kampala'!K46,' 22.8 Luweero-Kampala'!K46,'23.Luweero-Kamplaa'!K46,'24.8 Luweero-Kampala'!K46,'25.8 Luwero-Kampala-24 HRS'!K46,'26.8 Luweero-Kampala'!K46)</f>
        <v>0</v>
      </c>
      <c r="L46" s="49">
        <f>AVERAGE('20.8 Luwero-Kampala'!L46,'21.8 Luweero-Kampala'!L46,' 22.8 Luweero-Kampala'!L46,'23.Luweero-Kamplaa'!L46,'24.8 Luweero-Kampala'!L46,'25.8 Luwero-Kampala-24 HRS'!L46,'26.8 Luweero-Kampala'!L46)</f>
        <v>1.5714285714285714</v>
      </c>
      <c r="M46" s="49">
        <f>AVERAGE('20.8 Luwero-Kampala'!M46,'21.8 Luweero-Kampala'!M46,' 22.8 Luweero-Kampala'!M46,'23.Luweero-Kamplaa'!M46,'24.8 Luweero-Kampala'!M46,'25.8 Luwero-Kampala-24 HRS'!M46,'26.8 Luweero-Kampala'!M46)</f>
        <v>62.714285714285715</v>
      </c>
      <c r="N46" s="49">
        <f>AVERAGE('20.8 Luwero-Kampala'!N46,'21.8 Luweero-Kampala'!N46,' 22.8 Luweero-Kampala'!N46,'23.Luweero-Kamplaa'!N46,'24.8 Luweero-Kampala'!N46,'25.8 Luwero-Kampala-24 HRS'!N46,'26.8 Luweero-Kampala'!N46)</f>
        <v>0</v>
      </c>
      <c r="O46" s="15">
        <f t="shared" si="0"/>
        <v>52.428571428571431</v>
      </c>
      <c r="P46" s="15">
        <f t="shared" si="1"/>
        <v>115.14285714285714</v>
      </c>
      <c r="R46" s="8"/>
      <c r="T46"/>
    </row>
    <row r="47" spans="2:32" ht="23.1" customHeight="1" x14ac:dyDescent="0.25">
      <c r="B47" s="24" t="s">
        <v>74</v>
      </c>
      <c r="C47" s="49">
        <f>AVERAGE('20.8 Luwero-Kampala'!C47,'21.8 Luweero-Kampala'!C47,' 22.8 Luweero-Kampala'!C47,'23.Luweero-Kamplaa'!C47,'24.8 Luweero-Kampala'!C47,'25.8 Luwero-Kampala-24 HRS'!C47,'26.8 Luweero-Kampala'!C47)</f>
        <v>10.857142857142858</v>
      </c>
      <c r="D47" s="49">
        <f>AVERAGE('20.8 Luwero-Kampala'!D47,'21.8 Luweero-Kampala'!D47,' 22.8 Luweero-Kampala'!D47,'23.Luweero-Kamplaa'!D47,'24.8 Luweero-Kampala'!D47,'25.8 Luwero-Kampala-24 HRS'!D47,'26.8 Luweero-Kampala'!D47)</f>
        <v>0</v>
      </c>
      <c r="E47" s="49">
        <f>AVERAGE('20.8 Luwero-Kampala'!E47,'21.8 Luweero-Kampala'!E47,' 22.8 Luweero-Kampala'!E47,'23.Luweero-Kamplaa'!E47,'24.8 Luweero-Kampala'!E47,'25.8 Luwero-Kampala-24 HRS'!E47,'26.8 Luweero-Kampala'!E47)</f>
        <v>19.857142857142858</v>
      </c>
      <c r="F47" s="49">
        <f>AVERAGE('20.8 Luwero-Kampala'!F47,'21.8 Luweero-Kampala'!F47,' 22.8 Luweero-Kampala'!F47,'23.Luweero-Kamplaa'!F47,'24.8 Luweero-Kampala'!F47,'25.8 Luwero-Kampala-24 HRS'!F47,'26.8 Luweero-Kampala'!F47)</f>
        <v>15.428571428571429</v>
      </c>
      <c r="G47" s="49">
        <f>AVERAGE('20.8 Luwero-Kampala'!G47,'21.8 Luweero-Kampala'!G47,' 22.8 Luweero-Kampala'!G47,'23.Luweero-Kamplaa'!G47,'24.8 Luweero-Kampala'!G47,'25.8 Luwero-Kampala-24 HRS'!G47,'26.8 Luweero-Kampala'!G47)</f>
        <v>0.5714285714285714</v>
      </c>
      <c r="H47" s="49">
        <f>AVERAGE('20.8 Luwero-Kampala'!H47,'21.8 Luweero-Kampala'!H47,' 22.8 Luweero-Kampala'!H47,'23.Luweero-Kamplaa'!H47,'24.8 Luweero-Kampala'!H47,'25.8 Luwero-Kampala-24 HRS'!H47,'26.8 Luweero-Kampala'!H47)</f>
        <v>1.4285714285714286</v>
      </c>
      <c r="I47" s="49">
        <f>AVERAGE('20.8 Luwero-Kampala'!I47,'21.8 Luweero-Kampala'!I47,' 22.8 Luweero-Kampala'!I47,'23.Luweero-Kamplaa'!I47,'24.8 Luweero-Kampala'!I47,'25.8 Luwero-Kampala-24 HRS'!I47,'26.8 Luweero-Kampala'!I47)</f>
        <v>8.2857142857142865</v>
      </c>
      <c r="J47" s="49">
        <f>AVERAGE('20.8 Luwero-Kampala'!J47,'21.8 Luweero-Kampala'!J47,' 22.8 Luweero-Kampala'!J47,'23.Luweero-Kamplaa'!J47,'24.8 Luweero-Kampala'!J47,'25.8 Luwero-Kampala-24 HRS'!J47,'26.8 Luweero-Kampala'!J47)</f>
        <v>0.42857142857142855</v>
      </c>
      <c r="K47" s="49">
        <f>AVERAGE('20.8 Luwero-Kampala'!K47,'21.8 Luweero-Kampala'!K47,' 22.8 Luweero-Kampala'!K47,'23.Luweero-Kamplaa'!K47,'24.8 Luweero-Kampala'!K47,'25.8 Luwero-Kampala-24 HRS'!K47,'26.8 Luweero-Kampala'!K47)</f>
        <v>0</v>
      </c>
      <c r="L47" s="49">
        <f>AVERAGE('20.8 Luwero-Kampala'!L47,'21.8 Luweero-Kampala'!L47,' 22.8 Luweero-Kampala'!L47,'23.Luweero-Kamplaa'!L47,'24.8 Luweero-Kampala'!L47,'25.8 Luwero-Kampala-24 HRS'!L47,'26.8 Luweero-Kampala'!L47)</f>
        <v>1.2857142857142858</v>
      </c>
      <c r="M47" s="49">
        <f>AVERAGE('20.8 Luwero-Kampala'!M47,'21.8 Luweero-Kampala'!M47,' 22.8 Luweero-Kampala'!M47,'23.Luweero-Kamplaa'!M47,'24.8 Luweero-Kampala'!M47,'25.8 Luwero-Kampala-24 HRS'!M47,'26.8 Luweero-Kampala'!M47)</f>
        <v>56</v>
      </c>
      <c r="N47" s="49">
        <f>AVERAGE('20.8 Luwero-Kampala'!N47,'21.8 Luweero-Kampala'!N47,' 22.8 Luweero-Kampala'!N47,'23.Luweero-Kamplaa'!N47,'24.8 Luweero-Kampala'!N47,'25.8 Luwero-Kampala-24 HRS'!N47,'26.8 Luweero-Kampala'!N47)</f>
        <v>0</v>
      </c>
      <c r="O47" s="15">
        <f t="shared" si="0"/>
        <v>58.142857142857146</v>
      </c>
      <c r="P47" s="15">
        <f t="shared" si="1"/>
        <v>114.14285714285714</v>
      </c>
      <c r="R47" s="8"/>
      <c r="T47"/>
    </row>
    <row r="48" spans="2:32" ht="23.1" customHeight="1" x14ac:dyDescent="0.25">
      <c r="B48" s="24" t="s">
        <v>75</v>
      </c>
      <c r="C48" s="49">
        <f>AVERAGE('20.8 Luwero-Kampala'!C48,'21.8 Luweero-Kampala'!C48,' 22.8 Luweero-Kampala'!C48,'23.Luweero-Kamplaa'!C48,'24.8 Luweero-Kampala'!C48,'25.8 Luwero-Kampala-24 HRS'!C48,'26.8 Luweero-Kampala'!C48)</f>
        <v>12.571428571428571</v>
      </c>
      <c r="D48" s="49">
        <f>AVERAGE('20.8 Luwero-Kampala'!D48,'21.8 Luweero-Kampala'!D48,' 22.8 Luweero-Kampala'!D48,'23.Luweero-Kamplaa'!D48,'24.8 Luweero-Kampala'!D48,'25.8 Luwero-Kampala-24 HRS'!D48,'26.8 Luweero-Kampala'!D48)</f>
        <v>0</v>
      </c>
      <c r="E48" s="49">
        <f>AVERAGE('20.8 Luwero-Kampala'!E48,'21.8 Luweero-Kampala'!E48,' 22.8 Luweero-Kampala'!E48,'23.Luweero-Kamplaa'!E48,'24.8 Luweero-Kampala'!E48,'25.8 Luwero-Kampala-24 HRS'!E48,'26.8 Luweero-Kampala'!E48)</f>
        <v>20.571428571428573</v>
      </c>
      <c r="F48" s="49">
        <f>AVERAGE('20.8 Luwero-Kampala'!F48,'21.8 Luweero-Kampala'!F48,' 22.8 Luweero-Kampala'!F48,'23.Luweero-Kamplaa'!F48,'24.8 Luweero-Kampala'!F48,'25.8 Luwero-Kampala-24 HRS'!F48,'26.8 Luweero-Kampala'!F48)</f>
        <v>17</v>
      </c>
      <c r="G48" s="49">
        <f>AVERAGE('20.8 Luwero-Kampala'!G48,'21.8 Luweero-Kampala'!G48,' 22.8 Luweero-Kampala'!G48,'23.Luweero-Kamplaa'!G48,'24.8 Luweero-Kampala'!G48,'25.8 Luwero-Kampala-24 HRS'!G48,'26.8 Luweero-Kampala'!G48)</f>
        <v>0.7142857142857143</v>
      </c>
      <c r="H48" s="49">
        <f>AVERAGE('20.8 Luwero-Kampala'!H48,'21.8 Luweero-Kampala'!H48,' 22.8 Luweero-Kampala'!H48,'23.Luweero-Kamplaa'!H48,'24.8 Luweero-Kampala'!H48,'25.8 Luwero-Kampala-24 HRS'!H48,'26.8 Luweero-Kampala'!H48)</f>
        <v>1.5714285714285714</v>
      </c>
      <c r="I48" s="49">
        <f>AVERAGE('20.8 Luwero-Kampala'!I48,'21.8 Luweero-Kampala'!I48,' 22.8 Luweero-Kampala'!I48,'23.Luweero-Kamplaa'!I48,'24.8 Luweero-Kampala'!I48,'25.8 Luwero-Kampala-24 HRS'!I48,'26.8 Luweero-Kampala'!I48)</f>
        <v>6.8571428571428568</v>
      </c>
      <c r="J48" s="49">
        <f>AVERAGE('20.8 Luwero-Kampala'!J48,'21.8 Luweero-Kampala'!J48,' 22.8 Luweero-Kampala'!J48,'23.Luweero-Kamplaa'!J48,'24.8 Luweero-Kampala'!J48,'25.8 Luwero-Kampala-24 HRS'!J48,'26.8 Luweero-Kampala'!J48)</f>
        <v>0.2857142857142857</v>
      </c>
      <c r="K48" s="49">
        <f>AVERAGE('20.8 Luwero-Kampala'!K48,'21.8 Luweero-Kampala'!K48,' 22.8 Luweero-Kampala'!K48,'23.Luweero-Kamplaa'!K48,'24.8 Luweero-Kampala'!K48,'25.8 Luwero-Kampala-24 HRS'!K48,'26.8 Luweero-Kampala'!K48)</f>
        <v>0.14285714285714285</v>
      </c>
      <c r="L48" s="49">
        <f>AVERAGE('20.8 Luwero-Kampala'!L48,'21.8 Luweero-Kampala'!L48,' 22.8 Luweero-Kampala'!L48,'23.Luweero-Kamplaa'!L48,'24.8 Luweero-Kampala'!L48,'25.8 Luwero-Kampala-24 HRS'!L48,'26.8 Luweero-Kampala'!L48)</f>
        <v>2</v>
      </c>
      <c r="M48" s="49">
        <f>AVERAGE('20.8 Luwero-Kampala'!M48,'21.8 Luweero-Kampala'!M48,' 22.8 Luweero-Kampala'!M48,'23.Luweero-Kamplaa'!M48,'24.8 Luweero-Kampala'!M48,'25.8 Luwero-Kampala-24 HRS'!M48,'26.8 Luweero-Kampala'!M48)</f>
        <v>70</v>
      </c>
      <c r="N48" s="49">
        <f>AVERAGE('20.8 Luwero-Kampala'!N48,'21.8 Luweero-Kampala'!N48,' 22.8 Luweero-Kampala'!N48,'23.Luweero-Kamplaa'!N48,'24.8 Luweero-Kampala'!N48,'25.8 Luwero-Kampala-24 HRS'!N48,'26.8 Luweero-Kampala'!N48)</f>
        <v>0</v>
      </c>
      <c r="O48" s="15">
        <f t="shared" si="0"/>
        <v>61.714285714285715</v>
      </c>
      <c r="P48" s="15">
        <f t="shared" si="1"/>
        <v>131.71428571428572</v>
      </c>
      <c r="R48" s="8"/>
      <c r="T48"/>
    </row>
    <row r="49" spans="2:20" ht="23.1" customHeight="1" x14ac:dyDescent="0.25">
      <c r="B49" s="23" t="s">
        <v>76</v>
      </c>
      <c r="C49" s="49">
        <f>AVERAGE('20.8 Luwero-Kampala'!C49,'21.8 Luweero-Kampala'!C49,' 22.8 Luweero-Kampala'!C49,'23.Luweero-Kamplaa'!C49,'24.8 Luweero-Kampala'!C49,'25.8 Luwero-Kampala-24 HRS'!C49,'26.8 Luweero-Kampala'!C49)</f>
        <v>8.2857142857142865</v>
      </c>
      <c r="D49" s="49">
        <f>AVERAGE('20.8 Luwero-Kampala'!D49,'21.8 Luweero-Kampala'!D49,' 22.8 Luweero-Kampala'!D49,'23.Luweero-Kamplaa'!D49,'24.8 Luweero-Kampala'!D49,'25.8 Luwero-Kampala-24 HRS'!D49,'26.8 Luweero-Kampala'!D49)</f>
        <v>0</v>
      </c>
      <c r="E49" s="49">
        <f>AVERAGE('20.8 Luwero-Kampala'!E49,'21.8 Luweero-Kampala'!E49,' 22.8 Luweero-Kampala'!E49,'23.Luweero-Kamplaa'!E49,'24.8 Luweero-Kampala'!E49,'25.8 Luwero-Kampala-24 HRS'!E49,'26.8 Luweero-Kampala'!E49)</f>
        <v>19.142857142857142</v>
      </c>
      <c r="F49" s="49">
        <f>AVERAGE('20.8 Luwero-Kampala'!F49,'21.8 Luweero-Kampala'!F49,' 22.8 Luweero-Kampala'!F49,'23.Luweero-Kamplaa'!F49,'24.8 Luweero-Kampala'!F49,'25.8 Luwero-Kampala-24 HRS'!F49,'26.8 Luweero-Kampala'!F49)</f>
        <v>15.857142857142858</v>
      </c>
      <c r="G49" s="49">
        <f>AVERAGE('20.8 Luwero-Kampala'!G49,'21.8 Luweero-Kampala'!G49,' 22.8 Luweero-Kampala'!G49,'23.Luweero-Kamplaa'!G49,'24.8 Luweero-Kampala'!G49,'25.8 Luwero-Kampala-24 HRS'!G49,'26.8 Luweero-Kampala'!G49)</f>
        <v>0.14285714285714285</v>
      </c>
      <c r="H49" s="49">
        <f>AVERAGE('20.8 Luwero-Kampala'!H49,'21.8 Luweero-Kampala'!H49,' 22.8 Luweero-Kampala'!H49,'23.Luweero-Kamplaa'!H49,'24.8 Luweero-Kampala'!H49,'25.8 Luwero-Kampala-24 HRS'!H49,'26.8 Luweero-Kampala'!H49)</f>
        <v>0.7142857142857143</v>
      </c>
      <c r="I49" s="49">
        <f>AVERAGE('20.8 Luwero-Kampala'!I49,'21.8 Luweero-Kampala'!I49,' 22.8 Luweero-Kampala'!I49,'23.Luweero-Kamplaa'!I49,'24.8 Luweero-Kampala'!I49,'25.8 Luwero-Kampala-24 HRS'!I49,'26.8 Luweero-Kampala'!I49)</f>
        <v>7.1428571428571432</v>
      </c>
      <c r="J49" s="49">
        <f>AVERAGE('20.8 Luwero-Kampala'!J49,'21.8 Luweero-Kampala'!J49,' 22.8 Luweero-Kampala'!J49,'23.Luweero-Kamplaa'!J49,'24.8 Luweero-Kampala'!J49,'25.8 Luwero-Kampala-24 HRS'!J49,'26.8 Luweero-Kampala'!J49)</f>
        <v>0.2857142857142857</v>
      </c>
      <c r="K49" s="49">
        <f>AVERAGE('20.8 Luwero-Kampala'!K49,'21.8 Luweero-Kampala'!K49,' 22.8 Luweero-Kampala'!K49,'23.Luweero-Kamplaa'!K49,'24.8 Luweero-Kampala'!K49,'25.8 Luwero-Kampala-24 HRS'!K49,'26.8 Luweero-Kampala'!K49)</f>
        <v>0.14285714285714285</v>
      </c>
      <c r="L49" s="49">
        <f>AVERAGE('20.8 Luwero-Kampala'!L49,'21.8 Luweero-Kampala'!L49,' 22.8 Luweero-Kampala'!L49,'23.Luweero-Kamplaa'!L49,'24.8 Luweero-Kampala'!L49,'25.8 Luwero-Kampala-24 HRS'!L49,'26.8 Luweero-Kampala'!L49)</f>
        <v>2.1428571428571428</v>
      </c>
      <c r="M49" s="49">
        <f>AVERAGE('20.8 Luwero-Kampala'!M49,'21.8 Luweero-Kampala'!M49,' 22.8 Luweero-Kampala'!M49,'23.Luweero-Kamplaa'!M49,'24.8 Luweero-Kampala'!M49,'25.8 Luwero-Kampala-24 HRS'!M49,'26.8 Luweero-Kampala'!M49)</f>
        <v>69.571428571428569</v>
      </c>
      <c r="N49" s="49">
        <f>AVERAGE('20.8 Luwero-Kampala'!N49,'21.8 Luweero-Kampala'!N49,' 22.8 Luweero-Kampala'!N49,'23.Luweero-Kamplaa'!N49,'24.8 Luweero-Kampala'!N49,'25.8 Luwero-Kampala-24 HRS'!N49,'26.8 Luweero-Kampala'!N49)</f>
        <v>0</v>
      </c>
      <c r="O49" s="15">
        <f t="shared" si="0"/>
        <v>53.857142857142875</v>
      </c>
      <c r="P49" s="15">
        <f t="shared" si="1"/>
        <v>123.42857142857144</v>
      </c>
      <c r="R49" s="8"/>
      <c r="T49"/>
    </row>
    <row r="50" spans="2:20" ht="23.1" customHeight="1" x14ac:dyDescent="0.25">
      <c r="B50" s="24" t="s">
        <v>77</v>
      </c>
      <c r="C50" s="49">
        <f>AVERAGE('20.8 Luwero-Kampala'!C50,'21.8 Luweero-Kampala'!C50,' 22.8 Luweero-Kampala'!C50,'23.Luweero-Kamplaa'!C50,'24.8 Luweero-Kampala'!C50,'25.8 Luwero-Kampala-24 HRS'!C50,'26.8 Luweero-Kampala'!C50)</f>
        <v>9.4285714285714288</v>
      </c>
      <c r="D50" s="49">
        <f>AVERAGE('20.8 Luwero-Kampala'!D50,'21.8 Luweero-Kampala'!D50,' 22.8 Luweero-Kampala'!D50,'23.Luweero-Kamplaa'!D50,'24.8 Luweero-Kampala'!D50,'25.8 Luwero-Kampala-24 HRS'!D50,'26.8 Luweero-Kampala'!D50)</f>
        <v>0</v>
      </c>
      <c r="E50" s="49">
        <f>AVERAGE('20.8 Luwero-Kampala'!E50,'21.8 Luweero-Kampala'!E50,' 22.8 Luweero-Kampala'!E50,'23.Luweero-Kamplaa'!E50,'24.8 Luweero-Kampala'!E50,'25.8 Luwero-Kampala-24 HRS'!E50,'26.8 Luweero-Kampala'!E50)</f>
        <v>19.428571428571427</v>
      </c>
      <c r="F50" s="49">
        <f>AVERAGE('20.8 Luwero-Kampala'!F50,'21.8 Luweero-Kampala'!F50,' 22.8 Luweero-Kampala'!F50,'23.Luweero-Kamplaa'!F50,'24.8 Luweero-Kampala'!F50,'25.8 Luwero-Kampala-24 HRS'!F50,'26.8 Luweero-Kampala'!F50)</f>
        <v>15.285714285714286</v>
      </c>
      <c r="G50" s="49">
        <f>AVERAGE('20.8 Luwero-Kampala'!G50,'21.8 Luweero-Kampala'!G50,' 22.8 Luweero-Kampala'!G50,'23.Luweero-Kamplaa'!G50,'24.8 Luweero-Kampala'!G50,'25.8 Luwero-Kampala-24 HRS'!G50,'26.8 Luweero-Kampala'!G50)</f>
        <v>0.14285714285714285</v>
      </c>
      <c r="H50" s="49">
        <f>AVERAGE('20.8 Luwero-Kampala'!H50,'21.8 Luweero-Kampala'!H50,' 22.8 Luweero-Kampala'!H50,'23.Luweero-Kamplaa'!H50,'24.8 Luweero-Kampala'!H50,'25.8 Luwero-Kampala-24 HRS'!H50,'26.8 Luweero-Kampala'!H50)</f>
        <v>1.1428571428571428</v>
      </c>
      <c r="I50" s="49">
        <f>AVERAGE('20.8 Luwero-Kampala'!I50,'21.8 Luweero-Kampala'!I50,' 22.8 Luweero-Kampala'!I50,'23.Luweero-Kamplaa'!I50,'24.8 Luweero-Kampala'!I50,'25.8 Luwero-Kampala-24 HRS'!I50,'26.8 Luweero-Kampala'!I50)</f>
        <v>6.5714285714285712</v>
      </c>
      <c r="J50" s="49">
        <f>AVERAGE('20.8 Luwero-Kampala'!J50,'21.8 Luweero-Kampala'!J50,' 22.8 Luweero-Kampala'!J50,'23.Luweero-Kamplaa'!J50,'24.8 Luweero-Kampala'!J50,'25.8 Luwero-Kampala-24 HRS'!J50,'26.8 Luweero-Kampala'!J50)</f>
        <v>0.14285714285714285</v>
      </c>
      <c r="K50" s="49">
        <f>AVERAGE('20.8 Luwero-Kampala'!K50,'21.8 Luweero-Kampala'!K50,' 22.8 Luweero-Kampala'!K50,'23.Luweero-Kamplaa'!K50,'24.8 Luweero-Kampala'!K50,'25.8 Luwero-Kampala-24 HRS'!K50,'26.8 Luweero-Kampala'!K50)</f>
        <v>0.14285714285714285</v>
      </c>
      <c r="L50" s="49">
        <f>AVERAGE('20.8 Luwero-Kampala'!L50,'21.8 Luweero-Kampala'!L50,' 22.8 Luweero-Kampala'!L50,'23.Luweero-Kamplaa'!L50,'24.8 Luweero-Kampala'!L50,'25.8 Luwero-Kampala-24 HRS'!L50,'26.8 Luweero-Kampala'!L50)</f>
        <v>1.4285714285714286</v>
      </c>
      <c r="M50" s="49">
        <f>AVERAGE('20.8 Luwero-Kampala'!M50,'21.8 Luweero-Kampala'!M50,' 22.8 Luweero-Kampala'!M50,'23.Luweero-Kamplaa'!M50,'24.8 Luweero-Kampala'!M50,'25.8 Luwero-Kampala-24 HRS'!M50,'26.8 Luweero-Kampala'!M50)</f>
        <v>70.571428571428569</v>
      </c>
      <c r="N50" s="49">
        <f>AVERAGE('20.8 Luwero-Kampala'!N50,'21.8 Luweero-Kampala'!N50,' 22.8 Luweero-Kampala'!N50,'23.Luweero-Kamplaa'!N50,'24.8 Luweero-Kampala'!N50,'25.8 Luwero-Kampala-24 HRS'!N50,'26.8 Luweero-Kampala'!N50)</f>
        <v>0</v>
      </c>
      <c r="O50" s="15">
        <f t="shared" si="0"/>
        <v>53.714285714285722</v>
      </c>
      <c r="P50" s="15">
        <f t="shared" si="1"/>
        <v>124.28571428571429</v>
      </c>
      <c r="R50" s="8"/>
      <c r="T50"/>
    </row>
    <row r="51" spans="2:20" ht="23.1" customHeight="1" x14ac:dyDescent="0.25">
      <c r="B51" s="24" t="s">
        <v>78</v>
      </c>
      <c r="C51" s="49">
        <f>AVERAGE('20.8 Luwero-Kampala'!C51,'21.8 Luweero-Kampala'!C51,' 22.8 Luweero-Kampala'!C51,'23.Luweero-Kamplaa'!C51,'24.8 Luweero-Kampala'!C51,'25.8 Luwero-Kampala-24 HRS'!C51,'26.8 Luweero-Kampala'!C51)</f>
        <v>10.571428571428571</v>
      </c>
      <c r="D51" s="49">
        <f>AVERAGE('20.8 Luwero-Kampala'!D51,'21.8 Luweero-Kampala'!D51,' 22.8 Luweero-Kampala'!D51,'23.Luweero-Kamplaa'!D51,'24.8 Luweero-Kampala'!D51,'25.8 Luwero-Kampala-24 HRS'!D51,'26.8 Luweero-Kampala'!D51)</f>
        <v>0</v>
      </c>
      <c r="E51" s="49">
        <f>AVERAGE('20.8 Luwero-Kampala'!E51,'21.8 Luweero-Kampala'!E51,' 22.8 Luweero-Kampala'!E51,'23.Luweero-Kamplaa'!E51,'24.8 Luweero-Kampala'!E51,'25.8 Luwero-Kampala-24 HRS'!E51,'26.8 Luweero-Kampala'!E51)</f>
        <v>17.857142857142858</v>
      </c>
      <c r="F51" s="49">
        <f>AVERAGE('20.8 Luwero-Kampala'!F51,'21.8 Luweero-Kampala'!F51,' 22.8 Luweero-Kampala'!F51,'23.Luweero-Kamplaa'!F51,'24.8 Luweero-Kampala'!F51,'25.8 Luwero-Kampala-24 HRS'!F51,'26.8 Luweero-Kampala'!F51)</f>
        <v>17.285714285714285</v>
      </c>
      <c r="G51" s="49">
        <f>AVERAGE('20.8 Luwero-Kampala'!G51,'21.8 Luweero-Kampala'!G51,' 22.8 Luweero-Kampala'!G51,'23.Luweero-Kamplaa'!G51,'24.8 Luweero-Kampala'!G51,'25.8 Luwero-Kampala-24 HRS'!G51,'26.8 Luweero-Kampala'!G51)</f>
        <v>0.42857142857142855</v>
      </c>
      <c r="H51" s="49">
        <f>AVERAGE('20.8 Luwero-Kampala'!H51,'21.8 Luweero-Kampala'!H51,' 22.8 Luweero-Kampala'!H51,'23.Luweero-Kamplaa'!H51,'24.8 Luweero-Kampala'!H51,'25.8 Luwero-Kampala-24 HRS'!H51,'26.8 Luweero-Kampala'!H51)</f>
        <v>0.8571428571428571</v>
      </c>
      <c r="I51" s="49">
        <f>AVERAGE('20.8 Luwero-Kampala'!I51,'21.8 Luweero-Kampala'!I51,' 22.8 Luweero-Kampala'!I51,'23.Luweero-Kamplaa'!I51,'24.8 Luweero-Kampala'!I51,'25.8 Luwero-Kampala-24 HRS'!I51,'26.8 Luweero-Kampala'!I51)</f>
        <v>8</v>
      </c>
      <c r="J51" s="49">
        <f>AVERAGE('20.8 Luwero-Kampala'!J51,'21.8 Luweero-Kampala'!J51,' 22.8 Luweero-Kampala'!J51,'23.Luweero-Kamplaa'!J51,'24.8 Luweero-Kampala'!J51,'25.8 Luwero-Kampala-24 HRS'!J51,'26.8 Luweero-Kampala'!J51)</f>
        <v>0.2857142857142857</v>
      </c>
      <c r="K51" s="49">
        <f>AVERAGE('20.8 Luwero-Kampala'!K51,'21.8 Luweero-Kampala'!K51,' 22.8 Luweero-Kampala'!K51,'23.Luweero-Kamplaa'!K51,'24.8 Luweero-Kampala'!K51,'25.8 Luwero-Kampala-24 HRS'!K51,'26.8 Luweero-Kampala'!K51)</f>
        <v>0</v>
      </c>
      <c r="L51" s="49">
        <f>AVERAGE('20.8 Luwero-Kampala'!L51,'21.8 Luweero-Kampala'!L51,' 22.8 Luweero-Kampala'!L51,'23.Luweero-Kamplaa'!L51,'24.8 Luweero-Kampala'!L51,'25.8 Luwero-Kampala-24 HRS'!L51,'26.8 Luweero-Kampala'!L51)</f>
        <v>1.5714285714285714</v>
      </c>
      <c r="M51" s="49">
        <f>AVERAGE('20.8 Luwero-Kampala'!M51,'21.8 Luweero-Kampala'!M51,' 22.8 Luweero-Kampala'!M51,'23.Luweero-Kamplaa'!M51,'24.8 Luweero-Kampala'!M51,'25.8 Luwero-Kampala-24 HRS'!M51,'26.8 Luweero-Kampala'!M51)</f>
        <v>79</v>
      </c>
      <c r="N51" s="49">
        <f>AVERAGE('20.8 Luwero-Kampala'!N51,'21.8 Luweero-Kampala'!N51,' 22.8 Luweero-Kampala'!N51,'23.Luweero-Kamplaa'!N51,'24.8 Luweero-Kampala'!N51,'25.8 Luwero-Kampala-24 HRS'!N51,'26.8 Luweero-Kampala'!N51)</f>
        <v>0</v>
      </c>
      <c r="O51" s="15">
        <f t="shared" si="0"/>
        <v>56.857142857142854</v>
      </c>
      <c r="P51" s="15">
        <f t="shared" si="1"/>
        <v>135.85714285714286</v>
      </c>
      <c r="R51" s="8"/>
      <c r="T51"/>
    </row>
    <row r="52" spans="2:20" ht="23.1" customHeight="1" x14ac:dyDescent="0.25">
      <c r="B52" s="24" t="s">
        <v>79</v>
      </c>
      <c r="C52" s="49">
        <f>AVERAGE('20.8 Luwero-Kampala'!C52,'21.8 Luweero-Kampala'!C52,' 22.8 Luweero-Kampala'!C52,'23.Luweero-Kamplaa'!C52,'24.8 Luweero-Kampala'!C52,'25.8 Luwero-Kampala-24 HRS'!C52,'26.8 Luweero-Kampala'!C52)</f>
        <v>10.285714285714286</v>
      </c>
      <c r="D52" s="49">
        <f>AVERAGE('20.8 Luwero-Kampala'!D52,'21.8 Luweero-Kampala'!D52,' 22.8 Luweero-Kampala'!D52,'23.Luweero-Kamplaa'!D52,'24.8 Luweero-Kampala'!D52,'25.8 Luwero-Kampala-24 HRS'!D52,'26.8 Luweero-Kampala'!D52)</f>
        <v>0</v>
      </c>
      <c r="E52" s="49">
        <f>AVERAGE('20.8 Luwero-Kampala'!E52,'21.8 Luweero-Kampala'!E52,' 22.8 Luweero-Kampala'!E52,'23.Luweero-Kamplaa'!E52,'24.8 Luweero-Kampala'!E52,'25.8 Luwero-Kampala-24 HRS'!E52,'26.8 Luweero-Kampala'!E52)</f>
        <v>21.428571428571427</v>
      </c>
      <c r="F52" s="49">
        <f>AVERAGE('20.8 Luwero-Kampala'!F52,'21.8 Luweero-Kampala'!F52,' 22.8 Luweero-Kampala'!F52,'23.Luweero-Kamplaa'!F52,'24.8 Luweero-Kampala'!F52,'25.8 Luwero-Kampala-24 HRS'!F52,'26.8 Luweero-Kampala'!F52)</f>
        <v>16.142857142857142</v>
      </c>
      <c r="G52" s="49">
        <f>AVERAGE('20.8 Luwero-Kampala'!G52,'21.8 Luweero-Kampala'!G52,' 22.8 Luweero-Kampala'!G52,'23.Luweero-Kamplaa'!G52,'24.8 Luweero-Kampala'!G52,'25.8 Luwero-Kampala-24 HRS'!G52,'26.8 Luweero-Kampala'!G52)</f>
        <v>0.42857142857142855</v>
      </c>
      <c r="H52" s="49">
        <f>AVERAGE('20.8 Luwero-Kampala'!H52,'21.8 Luweero-Kampala'!H52,' 22.8 Luweero-Kampala'!H52,'23.Luweero-Kamplaa'!H52,'24.8 Luweero-Kampala'!H52,'25.8 Luwero-Kampala-24 HRS'!H52,'26.8 Luweero-Kampala'!H52)</f>
        <v>1.8571428571428572</v>
      </c>
      <c r="I52" s="49">
        <f>AVERAGE('20.8 Luwero-Kampala'!I52,'21.8 Luweero-Kampala'!I52,' 22.8 Luweero-Kampala'!I52,'23.Luweero-Kamplaa'!I52,'24.8 Luweero-Kampala'!I52,'25.8 Luwero-Kampala-24 HRS'!I52,'26.8 Luweero-Kampala'!I52)</f>
        <v>8</v>
      </c>
      <c r="J52" s="49">
        <f>AVERAGE('20.8 Luwero-Kampala'!J52,'21.8 Luweero-Kampala'!J52,' 22.8 Luweero-Kampala'!J52,'23.Luweero-Kamplaa'!J52,'24.8 Luweero-Kampala'!J52,'25.8 Luwero-Kampala-24 HRS'!J52,'26.8 Luweero-Kampala'!J52)</f>
        <v>0.2857142857142857</v>
      </c>
      <c r="K52" s="49">
        <f>AVERAGE('20.8 Luwero-Kampala'!K52,'21.8 Luweero-Kampala'!K52,' 22.8 Luweero-Kampala'!K52,'23.Luweero-Kamplaa'!K52,'24.8 Luweero-Kampala'!K52,'25.8 Luwero-Kampala-24 HRS'!K52,'26.8 Luweero-Kampala'!K52)</f>
        <v>0</v>
      </c>
      <c r="L52" s="49">
        <f>AVERAGE('20.8 Luwero-Kampala'!L52,'21.8 Luweero-Kampala'!L52,' 22.8 Luweero-Kampala'!L52,'23.Luweero-Kamplaa'!L52,'24.8 Luweero-Kampala'!L52,'25.8 Luwero-Kampala-24 HRS'!L52,'26.8 Luweero-Kampala'!L52)</f>
        <v>1</v>
      </c>
      <c r="M52" s="49">
        <f>AVERAGE('20.8 Luwero-Kampala'!M52,'21.8 Luweero-Kampala'!M52,' 22.8 Luweero-Kampala'!M52,'23.Luweero-Kamplaa'!M52,'24.8 Luweero-Kampala'!M52,'25.8 Luwero-Kampala-24 HRS'!M52,'26.8 Luweero-Kampala'!M52)</f>
        <v>69</v>
      </c>
      <c r="N52" s="49">
        <f>AVERAGE('20.8 Luwero-Kampala'!N52,'21.8 Luweero-Kampala'!N52,' 22.8 Luweero-Kampala'!N52,'23.Luweero-Kamplaa'!N52,'24.8 Luweero-Kampala'!N52,'25.8 Luwero-Kampala-24 HRS'!N52,'26.8 Luweero-Kampala'!N52)</f>
        <v>0</v>
      </c>
      <c r="O52" s="15">
        <f t="shared" si="0"/>
        <v>59.428571428571431</v>
      </c>
      <c r="P52" s="15">
        <f t="shared" si="1"/>
        <v>128.42857142857144</v>
      </c>
      <c r="R52" s="8"/>
      <c r="T52"/>
    </row>
    <row r="53" spans="2:20" ht="23.1" customHeight="1" x14ac:dyDescent="0.25">
      <c r="B53" s="23" t="s">
        <v>80</v>
      </c>
      <c r="C53" s="49">
        <f>AVERAGE('20.8 Luwero-Kampala'!C53,'21.8 Luweero-Kampala'!C53,' 22.8 Luweero-Kampala'!C53,'23.Luweero-Kamplaa'!C53,'24.8 Luweero-Kampala'!C53,'25.8 Luwero-Kampala-24 HRS'!C53,'26.8 Luweero-Kampala'!C53)</f>
        <v>13.428571428571429</v>
      </c>
      <c r="D53" s="49">
        <f>AVERAGE('20.8 Luwero-Kampala'!D53,'21.8 Luweero-Kampala'!D53,' 22.8 Luweero-Kampala'!D53,'23.Luweero-Kamplaa'!D53,'24.8 Luweero-Kampala'!D53,'25.8 Luwero-Kampala-24 HRS'!D53,'26.8 Luweero-Kampala'!D53)</f>
        <v>0</v>
      </c>
      <c r="E53" s="49">
        <f>AVERAGE('20.8 Luwero-Kampala'!E53,'21.8 Luweero-Kampala'!E53,' 22.8 Luweero-Kampala'!E53,'23.Luweero-Kamplaa'!E53,'24.8 Luweero-Kampala'!E53,'25.8 Luwero-Kampala-24 HRS'!E53,'26.8 Luweero-Kampala'!E53)</f>
        <v>21.714285714285715</v>
      </c>
      <c r="F53" s="49">
        <f>AVERAGE('20.8 Luwero-Kampala'!F53,'21.8 Luweero-Kampala'!F53,' 22.8 Luweero-Kampala'!F53,'23.Luweero-Kamplaa'!F53,'24.8 Luweero-Kampala'!F53,'25.8 Luwero-Kampala-24 HRS'!F53,'26.8 Luweero-Kampala'!F53)</f>
        <v>17.571428571428573</v>
      </c>
      <c r="G53" s="49">
        <f>AVERAGE('20.8 Luwero-Kampala'!G53,'21.8 Luweero-Kampala'!G53,' 22.8 Luweero-Kampala'!G53,'23.Luweero-Kamplaa'!G53,'24.8 Luweero-Kampala'!G53,'25.8 Luwero-Kampala-24 HRS'!G53,'26.8 Luweero-Kampala'!G53)</f>
        <v>0</v>
      </c>
      <c r="H53" s="49">
        <f>AVERAGE('20.8 Luwero-Kampala'!H53,'21.8 Luweero-Kampala'!H53,' 22.8 Luweero-Kampala'!H53,'23.Luweero-Kamplaa'!H53,'24.8 Luweero-Kampala'!H53,'25.8 Luwero-Kampala-24 HRS'!H53,'26.8 Luweero-Kampala'!H53)</f>
        <v>1.8571428571428572</v>
      </c>
      <c r="I53" s="49">
        <f>AVERAGE('20.8 Luwero-Kampala'!I53,'21.8 Luweero-Kampala'!I53,' 22.8 Luweero-Kampala'!I53,'23.Luweero-Kamplaa'!I53,'24.8 Luweero-Kampala'!I53,'25.8 Luwero-Kampala-24 HRS'!I53,'26.8 Luweero-Kampala'!I53)</f>
        <v>8.4285714285714288</v>
      </c>
      <c r="J53" s="49">
        <f>AVERAGE('20.8 Luwero-Kampala'!J53,'21.8 Luweero-Kampala'!J53,' 22.8 Luweero-Kampala'!J53,'23.Luweero-Kamplaa'!J53,'24.8 Luweero-Kampala'!J53,'25.8 Luwero-Kampala-24 HRS'!J53,'26.8 Luweero-Kampala'!J53)</f>
        <v>0.7142857142857143</v>
      </c>
      <c r="K53" s="49">
        <f>AVERAGE('20.8 Luwero-Kampala'!K53,'21.8 Luweero-Kampala'!K53,' 22.8 Luweero-Kampala'!K53,'23.Luweero-Kamplaa'!K53,'24.8 Luweero-Kampala'!K53,'25.8 Luwero-Kampala-24 HRS'!K53,'26.8 Luweero-Kampala'!K53)</f>
        <v>0</v>
      </c>
      <c r="L53" s="49">
        <f>AVERAGE('20.8 Luwero-Kampala'!L53,'21.8 Luweero-Kampala'!L53,' 22.8 Luweero-Kampala'!L53,'23.Luweero-Kamplaa'!L53,'24.8 Luweero-Kampala'!L53,'25.8 Luwero-Kampala-24 HRS'!L53,'26.8 Luweero-Kampala'!L53)</f>
        <v>1.5714285714285714</v>
      </c>
      <c r="M53" s="49">
        <f>AVERAGE('20.8 Luwero-Kampala'!M53,'21.8 Luweero-Kampala'!M53,' 22.8 Luweero-Kampala'!M53,'23.Luweero-Kamplaa'!M53,'24.8 Luweero-Kampala'!M53,'25.8 Luwero-Kampala-24 HRS'!M53,'26.8 Luweero-Kampala'!M53)</f>
        <v>71.142857142857139</v>
      </c>
      <c r="N53" s="49">
        <f>AVERAGE('20.8 Luwero-Kampala'!N53,'21.8 Luweero-Kampala'!N53,' 22.8 Luweero-Kampala'!N53,'23.Luweero-Kamplaa'!N53,'24.8 Luweero-Kampala'!N53,'25.8 Luwero-Kampala-24 HRS'!N53,'26.8 Luweero-Kampala'!N53)</f>
        <v>0</v>
      </c>
      <c r="O53" s="15">
        <f t="shared" si="0"/>
        <v>65.285714285714292</v>
      </c>
      <c r="P53" s="15">
        <f t="shared" si="1"/>
        <v>136.42857142857144</v>
      </c>
      <c r="R53" s="8"/>
      <c r="T53"/>
    </row>
    <row r="54" spans="2:20" ht="23.1" customHeight="1" x14ac:dyDescent="0.25">
      <c r="B54" s="23" t="s">
        <v>81</v>
      </c>
      <c r="C54" s="49">
        <f>AVERAGE('20.8 Luwero-Kampala'!C54,'21.8 Luweero-Kampala'!C54,' 22.8 Luweero-Kampala'!C54,'23.Luweero-Kamplaa'!C54,'24.8 Luweero-Kampala'!C54,'25.8 Luwero-Kampala-24 HRS'!C54,'26.8 Luweero-Kampala'!C54)</f>
        <v>8.1428571428571423</v>
      </c>
      <c r="D54" s="49">
        <f>AVERAGE('20.8 Luwero-Kampala'!D54,'21.8 Luweero-Kampala'!D54,' 22.8 Luweero-Kampala'!D54,'23.Luweero-Kamplaa'!D54,'24.8 Luweero-Kampala'!D54,'25.8 Luwero-Kampala-24 HRS'!D54,'26.8 Luweero-Kampala'!D54)</f>
        <v>0</v>
      </c>
      <c r="E54" s="49">
        <f>AVERAGE('20.8 Luwero-Kampala'!E54,'21.8 Luweero-Kampala'!E54,' 22.8 Luweero-Kampala'!E54,'23.Luweero-Kamplaa'!E54,'24.8 Luweero-Kampala'!E54,'25.8 Luwero-Kampala-24 HRS'!E54,'26.8 Luweero-Kampala'!E54)</f>
        <v>22.142857142857142</v>
      </c>
      <c r="F54" s="49">
        <f>AVERAGE('20.8 Luwero-Kampala'!F54,'21.8 Luweero-Kampala'!F54,' 22.8 Luweero-Kampala'!F54,'23.Luweero-Kamplaa'!F54,'24.8 Luweero-Kampala'!F54,'25.8 Luwero-Kampala-24 HRS'!F54,'26.8 Luweero-Kampala'!F54)</f>
        <v>14.428571428571429</v>
      </c>
      <c r="G54" s="49">
        <f>AVERAGE('20.8 Luwero-Kampala'!G54,'21.8 Luweero-Kampala'!G54,' 22.8 Luweero-Kampala'!G54,'23.Luweero-Kamplaa'!G54,'24.8 Luweero-Kampala'!G54,'25.8 Luwero-Kampala-24 HRS'!G54,'26.8 Luweero-Kampala'!G54)</f>
        <v>0.14285714285714285</v>
      </c>
      <c r="H54" s="49">
        <f>AVERAGE('20.8 Luwero-Kampala'!H54,'21.8 Luweero-Kampala'!H54,' 22.8 Luweero-Kampala'!H54,'23.Luweero-Kamplaa'!H54,'24.8 Luweero-Kampala'!H54,'25.8 Luwero-Kampala-24 HRS'!H54,'26.8 Luweero-Kampala'!H54)</f>
        <v>2</v>
      </c>
      <c r="I54" s="49">
        <f>AVERAGE('20.8 Luwero-Kampala'!I54,'21.8 Luweero-Kampala'!I54,' 22.8 Luweero-Kampala'!I54,'23.Luweero-Kamplaa'!I54,'24.8 Luweero-Kampala'!I54,'25.8 Luwero-Kampala-24 HRS'!I54,'26.8 Luweero-Kampala'!I54)</f>
        <v>8.4285714285714288</v>
      </c>
      <c r="J54" s="49">
        <f>AVERAGE('20.8 Luwero-Kampala'!J54,'21.8 Luweero-Kampala'!J54,' 22.8 Luweero-Kampala'!J54,'23.Luweero-Kamplaa'!J54,'24.8 Luweero-Kampala'!J54,'25.8 Luwero-Kampala-24 HRS'!J54,'26.8 Luweero-Kampala'!J54)</f>
        <v>0.14285714285714285</v>
      </c>
      <c r="K54" s="49">
        <f>AVERAGE('20.8 Luwero-Kampala'!K54,'21.8 Luweero-Kampala'!K54,' 22.8 Luweero-Kampala'!K54,'23.Luweero-Kamplaa'!K54,'24.8 Luweero-Kampala'!K54,'25.8 Luwero-Kampala-24 HRS'!K54,'26.8 Luweero-Kampala'!K54)</f>
        <v>0.2857142857142857</v>
      </c>
      <c r="L54" s="49">
        <f>AVERAGE('20.8 Luwero-Kampala'!L54,'21.8 Luweero-Kampala'!L54,' 22.8 Luweero-Kampala'!L54,'23.Luweero-Kamplaa'!L54,'24.8 Luweero-Kampala'!L54,'25.8 Luwero-Kampala-24 HRS'!L54,'26.8 Luweero-Kampala'!L54)</f>
        <v>1.2857142857142858</v>
      </c>
      <c r="M54" s="49">
        <f>AVERAGE('20.8 Luwero-Kampala'!M54,'21.8 Luweero-Kampala'!M54,' 22.8 Luweero-Kampala'!M54,'23.Luweero-Kamplaa'!M54,'24.8 Luweero-Kampala'!M54,'25.8 Luwero-Kampala-24 HRS'!M54,'26.8 Luweero-Kampala'!M54)</f>
        <v>64</v>
      </c>
      <c r="N54" s="49">
        <f>AVERAGE('20.8 Luwero-Kampala'!N54,'21.8 Luweero-Kampala'!N54,' 22.8 Luweero-Kampala'!N54,'23.Luweero-Kamplaa'!N54,'24.8 Luweero-Kampala'!N54,'25.8 Luwero-Kampala-24 HRS'!N54,'26.8 Luweero-Kampala'!N54)</f>
        <v>0</v>
      </c>
      <c r="O54" s="15">
        <f t="shared" si="0"/>
        <v>57.000000000000007</v>
      </c>
      <c r="P54" s="15">
        <f t="shared" si="1"/>
        <v>121</v>
      </c>
      <c r="R54" s="8"/>
      <c r="T54"/>
    </row>
    <row r="55" spans="2:20" ht="23.1" customHeight="1" x14ac:dyDescent="0.25">
      <c r="B55" s="23" t="s">
        <v>82</v>
      </c>
      <c r="C55" s="49">
        <f>AVERAGE('20.8 Luwero-Kampala'!C55,'21.8 Luweero-Kampala'!C55,' 22.8 Luweero-Kampala'!C55,'23.Luweero-Kamplaa'!C55,'24.8 Luweero-Kampala'!C55,'25.8 Luwero-Kampala-24 HRS'!C55,'26.8 Luweero-Kampala'!C55)</f>
        <v>12</v>
      </c>
      <c r="D55" s="49">
        <f>AVERAGE('20.8 Luwero-Kampala'!D55,'21.8 Luweero-Kampala'!D55,' 22.8 Luweero-Kampala'!D55,'23.Luweero-Kamplaa'!D55,'24.8 Luweero-Kampala'!D55,'25.8 Luwero-Kampala-24 HRS'!D55,'26.8 Luweero-Kampala'!D55)</f>
        <v>0</v>
      </c>
      <c r="E55" s="49">
        <f>AVERAGE('20.8 Luwero-Kampala'!E55,'21.8 Luweero-Kampala'!E55,' 22.8 Luweero-Kampala'!E55,'23.Luweero-Kamplaa'!E55,'24.8 Luweero-Kampala'!E55,'25.8 Luwero-Kampala-24 HRS'!E55,'26.8 Luweero-Kampala'!E55)</f>
        <v>22</v>
      </c>
      <c r="F55" s="49">
        <f>AVERAGE('20.8 Luwero-Kampala'!F55,'21.8 Luweero-Kampala'!F55,' 22.8 Luweero-Kampala'!F55,'23.Luweero-Kamplaa'!F55,'24.8 Luweero-Kampala'!F55,'25.8 Luwero-Kampala-24 HRS'!F55,'26.8 Luweero-Kampala'!F55)</f>
        <v>15.714285714285714</v>
      </c>
      <c r="G55" s="49">
        <f>AVERAGE('20.8 Luwero-Kampala'!G55,'21.8 Luweero-Kampala'!G55,' 22.8 Luweero-Kampala'!G55,'23.Luweero-Kamplaa'!G55,'24.8 Luweero-Kampala'!G55,'25.8 Luwero-Kampala-24 HRS'!G55,'26.8 Luweero-Kampala'!G55)</f>
        <v>0</v>
      </c>
      <c r="H55" s="49">
        <f>AVERAGE('20.8 Luwero-Kampala'!H55,'21.8 Luweero-Kampala'!H55,' 22.8 Luweero-Kampala'!H55,'23.Luweero-Kamplaa'!H55,'24.8 Luweero-Kampala'!H55,'25.8 Luwero-Kampala-24 HRS'!H55,'26.8 Luweero-Kampala'!H55)</f>
        <v>1.2857142857142858</v>
      </c>
      <c r="I55" s="49">
        <f>AVERAGE('20.8 Luwero-Kampala'!I55,'21.8 Luweero-Kampala'!I55,' 22.8 Luweero-Kampala'!I55,'23.Luweero-Kamplaa'!I55,'24.8 Luweero-Kampala'!I55,'25.8 Luwero-Kampala-24 HRS'!I55,'26.8 Luweero-Kampala'!I55)</f>
        <v>10.571428571428571</v>
      </c>
      <c r="J55" s="49">
        <f>AVERAGE('20.8 Luwero-Kampala'!J55,'21.8 Luweero-Kampala'!J55,' 22.8 Luweero-Kampala'!J55,'23.Luweero-Kamplaa'!J55,'24.8 Luweero-Kampala'!J55,'25.8 Luwero-Kampala-24 HRS'!J55,'26.8 Luweero-Kampala'!J55)</f>
        <v>0.7142857142857143</v>
      </c>
      <c r="K55" s="49">
        <f>AVERAGE('20.8 Luwero-Kampala'!K55,'21.8 Luweero-Kampala'!K55,' 22.8 Luweero-Kampala'!K55,'23.Luweero-Kamplaa'!K55,'24.8 Luweero-Kampala'!K55,'25.8 Luwero-Kampala-24 HRS'!K55,'26.8 Luweero-Kampala'!K55)</f>
        <v>0.14285714285714285</v>
      </c>
      <c r="L55" s="49">
        <f>AVERAGE('20.8 Luwero-Kampala'!L55,'21.8 Luweero-Kampala'!L55,' 22.8 Luweero-Kampala'!L55,'23.Luweero-Kamplaa'!L55,'24.8 Luweero-Kampala'!L55,'25.8 Luwero-Kampala-24 HRS'!L55,'26.8 Luweero-Kampala'!L55)</f>
        <v>1.8571428571428572</v>
      </c>
      <c r="M55" s="49">
        <f>AVERAGE('20.8 Luwero-Kampala'!M55,'21.8 Luweero-Kampala'!M55,' 22.8 Luweero-Kampala'!M55,'23.Luweero-Kamplaa'!M55,'24.8 Luweero-Kampala'!M55,'25.8 Luwero-Kampala-24 HRS'!M55,'26.8 Luweero-Kampala'!M55)</f>
        <v>65</v>
      </c>
      <c r="N55" s="49">
        <f>AVERAGE('20.8 Luwero-Kampala'!N55,'21.8 Luweero-Kampala'!N55,' 22.8 Luweero-Kampala'!N55,'23.Luweero-Kamplaa'!N55,'24.8 Luweero-Kampala'!N55,'25.8 Luwero-Kampala-24 HRS'!N55,'26.8 Luweero-Kampala'!N55)</f>
        <v>0</v>
      </c>
      <c r="O55" s="15">
        <f t="shared" si="0"/>
        <v>64.285714285714292</v>
      </c>
      <c r="P55" s="15">
        <f t="shared" si="1"/>
        <v>129.28571428571428</v>
      </c>
      <c r="R55" s="8"/>
      <c r="T55"/>
    </row>
    <row r="56" spans="2:20" ht="23.1" customHeight="1" x14ac:dyDescent="0.25">
      <c r="B56" s="23" t="s">
        <v>83</v>
      </c>
      <c r="C56" s="49">
        <f>AVERAGE('20.8 Luwero-Kampala'!C56,'21.8 Luweero-Kampala'!C56,' 22.8 Luweero-Kampala'!C56,'23.Luweero-Kamplaa'!C56,'24.8 Luweero-Kampala'!C56,'25.8 Luwero-Kampala-24 HRS'!C56,'26.8 Luweero-Kampala'!C56)</f>
        <v>14.857142857142858</v>
      </c>
      <c r="D56" s="49">
        <f>AVERAGE('20.8 Luwero-Kampala'!D56,'21.8 Luweero-Kampala'!D56,' 22.8 Luweero-Kampala'!D56,'23.Luweero-Kamplaa'!D56,'24.8 Luweero-Kampala'!D56,'25.8 Luwero-Kampala-24 HRS'!D56,'26.8 Luweero-Kampala'!D56)</f>
        <v>0</v>
      </c>
      <c r="E56" s="49">
        <f>AVERAGE('20.8 Luwero-Kampala'!E56,'21.8 Luweero-Kampala'!E56,' 22.8 Luweero-Kampala'!E56,'23.Luweero-Kamplaa'!E56,'24.8 Luweero-Kampala'!E56,'25.8 Luwero-Kampala-24 HRS'!E56,'26.8 Luweero-Kampala'!E56)</f>
        <v>23.285714285714285</v>
      </c>
      <c r="F56" s="49">
        <f>AVERAGE('20.8 Luwero-Kampala'!F56,'21.8 Luweero-Kampala'!F56,' 22.8 Luweero-Kampala'!F56,'23.Luweero-Kamplaa'!F56,'24.8 Luweero-Kampala'!F56,'25.8 Luwero-Kampala-24 HRS'!F56,'26.8 Luweero-Kampala'!F56)</f>
        <v>15</v>
      </c>
      <c r="G56" s="49">
        <f>AVERAGE('20.8 Luwero-Kampala'!G56,'21.8 Luweero-Kampala'!G56,' 22.8 Luweero-Kampala'!G56,'23.Luweero-Kamplaa'!G56,'24.8 Luweero-Kampala'!G56,'25.8 Luwero-Kampala-24 HRS'!G56,'26.8 Luweero-Kampala'!G56)</f>
        <v>0.42857142857142855</v>
      </c>
      <c r="H56" s="49">
        <f>AVERAGE('20.8 Luwero-Kampala'!H56,'21.8 Luweero-Kampala'!H56,' 22.8 Luweero-Kampala'!H56,'23.Luweero-Kamplaa'!H56,'24.8 Luweero-Kampala'!H56,'25.8 Luwero-Kampala-24 HRS'!H56,'26.8 Luweero-Kampala'!H56)</f>
        <v>2.1428571428571428</v>
      </c>
      <c r="I56" s="49">
        <f>AVERAGE('20.8 Luwero-Kampala'!I56,'21.8 Luweero-Kampala'!I56,' 22.8 Luweero-Kampala'!I56,'23.Luweero-Kamplaa'!I56,'24.8 Luweero-Kampala'!I56,'25.8 Luwero-Kampala-24 HRS'!I56,'26.8 Luweero-Kampala'!I56)</f>
        <v>8.8571428571428577</v>
      </c>
      <c r="J56" s="49">
        <f>AVERAGE('20.8 Luwero-Kampala'!J56,'21.8 Luweero-Kampala'!J56,' 22.8 Luweero-Kampala'!J56,'23.Luweero-Kamplaa'!J56,'24.8 Luweero-Kampala'!J56,'25.8 Luwero-Kampala-24 HRS'!J56,'26.8 Luweero-Kampala'!J56)</f>
        <v>0.42857142857142855</v>
      </c>
      <c r="K56" s="49">
        <f>AVERAGE('20.8 Luwero-Kampala'!K56,'21.8 Luweero-Kampala'!K56,' 22.8 Luweero-Kampala'!K56,'23.Luweero-Kamplaa'!K56,'24.8 Luweero-Kampala'!K56,'25.8 Luwero-Kampala-24 HRS'!K56,'26.8 Luweero-Kampala'!K56)</f>
        <v>0.14285714285714285</v>
      </c>
      <c r="L56" s="49">
        <f>AVERAGE('20.8 Luwero-Kampala'!L56,'21.8 Luweero-Kampala'!L56,' 22.8 Luweero-Kampala'!L56,'23.Luweero-Kamplaa'!L56,'24.8 Luweero-Kampala'!L56,'25.8 Luwero-Kampala-24 HRS'!L56,'26.8 Luweero-Kampala'!L56)</f>
        <v>2.5714285714285716</v>
      </c>
      <c r="M56" s="49">
        <f>AVERAGE('20.8 Luwero-Kampala'!M56,'21.8 Luweero-Kampala'!M56,' 22.8 Luweero-Kampala'!M56,'23.Luweero-Kamplaa'!M56,'24.8 Luweero-Kampala'!M56,'25.8 Luwero-Kampala-24 HRS'!M56,'26.8 Luweero-Kampala'!M56)</f>
        <v>63.142857142857146</v>
      </c>
      <c r="N56" s="49">
        <f>AVERAGE('20.8 Luwero-Kampala'!N56,'21.8 Luweero-Kampala'!N56,' 22.8 Luweero-Kampala'!N56,'23.Luweero-Kamplaa'!N56,'24.8 Luweero-Kampala'!N56,'25.8 Luwero-Kampala-24 HRS'!N56,'26.8 Luweero-Kampala'!N56)</f>
        <v>0</v>
      </c>
      <c r="O56" s="15">
        <f t="shared" si="0"/>
        <v>67.714285714285708</v>
      </c>
      <c r="P56" s="15">
        <f t="shared" si="1"/>
        <v>130.85714285714286</v>
      </c>
      <c r="R56" s="8"/>
      <c r="T56"/>
    </row>
    <row r="57" spans="2:20" ht="23.1" customHeight="1" x14ac:dyDescent="0.25">
      <c r="B57" s="23" t="s">
        <v>84</v>
      </c>
      <c r="C57" s="49">
        <f>AVERAGE('20.8 Luwero-Kampala'!C57,'21.8 Luweero-Kampala'!C57,' 22.8 Luweero-Kampala'!C57,'23.Luweero-Kamplaa'!C57,'24.8 Luweero-Kampala'!C57,'25.8 Luwero-Kampala-24 HRS'!C57,'26.8 Luweero-Kampala'!C57)</f>
        <v>10.142857142857142</v>
      </c>
      <c r="D57" s="49">
        <f>AVERAGE('20.8 Luwero-Kampala'!D57,'21.8 Luweero-Kampala'!D57,' 22.8 Luweero-Kampala'!D57,'23.Luweero-Kamplaa'!D57,'24.8 Luweero-Kampala'!D57,'25.8 Luwero-Kampala-24 HRS'!D57,'26.8 Luweero-Kampala'!D57)</f>
        <v>0</v>
      </c>
      <c r="E57" s="49">
        <f>AVERAGE('20.8 Luwero-Kampala'!E57,'21.8 Luweero-Kampala'!E57,' 22.8 Luweero-Kampala'!E57,'23.Luweero-Kamplaa'!E57,'24.8 Luweero-Kampala'!E57,'25.8 Luwero-Kampala-24 HRS'!E57,'26.8 Luweero-Kampala'!E57)</f>
        <v>20.571428571428573</v>
      </c>
      <c r="F57" s="49">
        <f>AVERAGE('20.8 Luwero-Kampala'!F57,'21.8 Luweero-Kampala'!F57,' 22.8 Luweero-Kampala'!F57,'23.Luweero-Kamplaa'!F57,'24.8 Luweero-Kampala'!F57,'25.8 Luwero-Kampala-24 HRS'!F57,'26.8 Luweero-Kampala'!F57)</f>
        <v>14.428571428571429</v>
      </c>
      <c r="G57" s="49">
        <f>AVERAGE('20.8 Luwero-Kampala'!G57,'21.8 Luweero-Kampala'!G57,' 22.8 Luweero-Kampala'!G57,'23.Luweero-Kamplaa'!G57,'24.8 Luweero-Kampala'!G57,'25.8 Luwero-Kampala-24 HRS'!G57,'26.8 Luweero-Kampala'!G57)</f>
        <v>1</v>
      </c>
      <c r="H57" s="49">
        <f>AVERAGE('20.8 Luwero-Kampala'!H57,'21.8 Luweero-Kampala'!H57,' 22.8 Luweero-Kampala'!H57,'23.Luweero-Kamplaa'!H57,'24.8 Luweero-Kampala'!H57,'25.8 Luwero-Kampala-24 HRS'!H57,'26.8 Luweero-Kampala'!H57)</f>
        <v>2</v>
      </c>
      <c r="I57" s="49">
        <f>AVERAGE('20.8 Luwero-Kampala'!I57,'21.8 Luweero-Kampala'!I57,' 22.8 Luweero-Kampala'!I57,'23.Luweero-Kamplaa'!I57,'24.8 Luweero-Kampala'!I57,'25.8 Luwero-Kampala-24 HRS'!I57,'26.8 Luweero-Kampala'!I57)</f>
        <v>9.2857142857142865</v>
      </c>
      <c r="J57" s="49">
        <f>AVERAGE('20.8 Luwero-Kampala'!J57,'21.8 Luweero-Kampala'!J57,' 22.8 Luweero-Kampala'!J57,'23.Luweero-Kamplaa'!J57,'24.8 Luweero-Kampala'!J57,'25.8 Luwero-Kampala-24 HRS'!J57,'26.8 Luweero-Kampala'!J57)</f>
        <v>0.5714285714285714</v>
      </c>
      <c r="K57" s="49">
        <f>AVERAGE('20.8 Luwero-Kampala'!K57,'21.8 Luweero-Kampala'!K57,' 22.8 Luweero-Kampala'!K57,'23.Luweero-Kamplaa'!K57,'24.8 Luweero-Kampala'!K57,'25.8 Luwero-Kampala-24 HRS'!K57,'26.8 Luweero-Kampala'!K57)</f>
        <v>0</v>
      </c>
      <c r="L57" s="49">
        <f>AVERAGE('20.8 Luwero-Kampala'!L57,'21.8 Luweero-Kampala'!L57,' 22.8 Luweero-Kampala'!L57,'23.Luweero-Kamplaa'!L57,'24.8 Luweero-Kampala'!L57,'25.8 Luwero-Kampala-24 HRS'!L57,'26.8 Luweero-Kampala'!L57)</f>
        <v>0.8571428571428571</v>
      </c>
      <c r="M57" s="49">
        <f>AVERAGE('20.8 Luwero-Kampala'!M57,'21.8 Luweero-Kampala'!M57,' 22.8 Luweero-Kampala'!M57,'23.Luweero-Kamplaa'!M57,'24.8 Luweero-Kampala'!M57,'25.8 Luwero-Kampala-24 HRS'!M57,'26.8 Luweero-Kampala'!M57)</f>
        <v>73</v>
      </c>
      <c r="N57" s="49">
        <f>AVERAGE('20.8 Luwero-Kampala'!N57,'21.8 Luweero-Kampala'!N57,' 22.8 Luweero-Kampala'!N57,'23.Luweero-Kamplaa'!N57,'24.8 Luweero-Kampala'!N57,'25.8 Luwero-Kampala-24 HRS'!N57,'26.8 Luweero-Kampala'!N57)</f>
        <v>0</v>
      </c>
      <c r="O57" s="15">
        <f t="shared" si="0"/>
        <v>58.857142857142854</v>
      </c>
      <c r="P57" s="15">
        <f t="shared" si="1"/>
        <v>131.85714285714286</v>
      </c>
      <c r="R57" s="8"/>
      <c r="T57"/>
    </row>
    <row r="58" spans="2:20" ht="23.1" customHeight="1" x14ac:dyDescent="0.25">
      <c r="B58" s="23" t="s">
        <v>99</v>
      </c>
      <c r="C58" s="49">
        <f>AVERAGE('24.8 Luweero-Kampala'!C58,'25.8 Luwero-Kampala-24 HRS'!C58)</f>
        <v>12</v>
      </c>
      <c r="D58" s="49">
        <f>AVERAGE('24.8 Luweero-Kampala'!D58,'25.8 Luwero-Kampala-24 HRS'!D58)</f>
        <v>3</v>
      </c>
      <c r="E58" s="49">
        <f>AVERAGE('24.8 Luweero-Kampala'!E58,'25.8 Luwero-Kampala-24 HRS'!E58)</f>
        <v>7</v>
      </c>
      <c r="F58" s="49">
        <f>AVERAGE('24.8 Luweero-Kampala'!F58,'25.8 Luwero-Kampala-24 HRS'!F58)</f>
        <v>12</v>
      </c>
      <c r="G58" s="49">
        <f>AVERAGE('24.8 Luweero-Kampala'!G58,'25.8 Luwero-Kampala-24 HRS'!G58)</f>
        <v>0</v>
      </c>
      <c r="H58" s="49">
        <f>AVERAGE('24.8 Luweero-Kampala'!H58,'25.8 Luwero-Kampala-24 HRS'!H58)</f>
        <v>0</v>
      </c>
      <c r="I58" s="49">
        <f>AVERAGE('24.8 Luweero-Kampala'!I58,'25.8 Luwero-Kampala-24 HRS'!I58)</f>
        <v>8</v>
      </c>
      <c r="J58" s="49">
        <f>AVERAGE('24.8 Luweero-Kampala'!J58,'25.8 Luwero-Kampala-24 HRS'!J58)</f>
        <v>1</v>
      </c>
      <c r="K58" s="49">
        <f>AVERAGE('24.8 Luweero-Kampala'!K58,'25.8 Luwero-Kampala-24 HRS'!K58)</f>
        <v>1</v>
      </c>
      <c r="L58" s="49">
        <f>AVERAGE('24.8 Luweero-Kampala'!L58,'25.8 Luwero-Kampala-24 HRS'!L58)</f>
        <v>1</v>
      </c>
      <c r="M58" s="49">
        <f>AVERAGE('24.8 Luweero-Kampala'!M58,'25.8 Luwero-Kampala-24 HRS'!M58)</f>
        <v>55</v>
      </c>
      <c r="N58" s="49">
        <f>AVERAGE('24.8 Luweero-Kampala'!N58,'25.8 Luwero-Kampala-24 HRS'!N58)</f>
        <v>0</v>
      </c>
      <c r="O58" s="15">
        <f t="shared" si="0"/>
        <v>45</v>
      </c>
      <c r="P58" s="15">
        <f t="shared" si="1"/>
        <v>100</v>
      </c>
      <c r="R58" s="8"/>
      <c r="T58"/>
    </row>
    <row r="59" spans="2:20" ht="23.1" customHeight="1" x14ac:dyDescent="0.25">
      <c r="B59" s="23" t="s">
        <v>100</v>
      </c>
      <c r="C59" s="49">
        <f>AVERAGE('24.8 Luweero-Kampala'!C59,'25.8 Luwero-Kampala-24 HRS'!C59)</f>
        <v>13</v>
      </c>
      <c r="D59" s="49">
        <f>AVERAGE('24.8 Luweero-Kampala'!D59,'25.8 Luwero-Kampala-24 HRS'!D59)</f>
        <v>2</v>
      </c>
      <c r="E59" s="49">
        <f>AVERAGE('24.8 Luweero-Kampala'!E59,'25.8 Luwero-Kampala-24 HRS'!E59)</f>
        <v>5</v>
      </c>
      <c r="F59" s="49">
        <f>AVERAGE('24.8 Luweero-Kampala'!F59,'25.8 Luwero-Kampala-24 HRS'!F59)</f>
        <v>11</v>
      </c>
      <c r="G59" s="49">
        <f>AVERAGE('24.8 Luweero-Kampala'!G59,'25.8 Luwero-Kampala-24 HRS'!G59)</f>
        <v>0</v>
      </c>
      <c r="H59" s="49">
        <f>AVERAGE('24.8 Luweero-Kampala'!H59,'25.8 Luwero-Kampala-24 HRS'!H59)</f>
        <v>0</v>
      </c>
      <c r="I59" s="49">
        <f>AVERAGE('24.8 Luweero-Kampala'!I59,'25.8 Luwero-Kampala-24 HRS'!I59)</f>
        <v>8</v>
      </c>
      <c r="J59" s="49">
        <f>AVERAGE('24.8 Luweero-Kampala'!J59,'25.8 Luwero-Kampala-24 HRS'!J59)</f>
        <v>0</v>
      </c>
      <c r="K59" s="49">
        <f>AVERAGE('24.8 Luweero-Kampala'!K59,'25.8 Luwero-Kampala-24 HRS'!K59)</f>
        <v>0</v>
      </c>
      <c r="L59" s="49">
        <f>AVERAGE('24.8 Luweero-Kampala'!L59,'25.8 Luwero-Kampala-24 HRS'!L59)</f>
        <v>3</v>
      </c>
      <c r="M59" s="49">
        <f>AVERAGE('24.8 Luweero-Kampala'!M59,'25.8 Luwero-Kampala-24 HRS'!M59)</f>
        <v>60</v>
      </c>
      <c r="N59" s="49">
        <f>AVERAGE('24.8 Luweero-Kampala'!N59,'25.8 Luwero-Kampala-24 HRS'!N59)</f>
        <v>0</v>
      </c>
      <c r="O59" s="15">
        <f t="shared" si="0"/>
        <v>42</v>
      </c>
      <c r="P59" s="15">
        <f t="shared" si="1"/>
        <v>102</v>
      </c>
      <c r="R59" s="8"/>
      <c r="T59"/>
    </row>
    <row r="60" spans="2:20" ht="23.1" customHeight="1" x14ac:dyDescent="0.25">
      <c r="B60" s="23" t="s">
        <v>101</v>
      </c>
      <c r="C60" s="49">
        <f>AVERAGE('24.8 Luweero-Kampala'!C60,'25.8 Luwero-Kampala-24 HRS'!C60)</f>
        <v>11</v>
      </c>
      <c r="D60" s="49">
        <f>AVERAGE('24.8 Luweero-Kampala'!D60,'25.8 Luwero-Kampala-24 HRS'!D60)</f>
        <v>1</v>
      </c>
      <c r="E60" s="49">
        <f>AVERAGE('24.8 Luweero-Kampala'!E60,'25.8 Luwero-Kampala-24 HRS'!E60)</f>
        <v>6</v>
      </c>
      <c r="F60" s="49">
        <f>AVERAGE('24.8 Luweero-Kampala'!F60,'25.8 Luwero-Kampala-24 HRS'!F60)</f>
        <v>11</v>
      </c>
      <c r="G60" s="49">
        <f>AVERAGE('24.8 Luweero-Kampala'!G60,'25.8 Luwero-Kampala-24 HRS'!G60)</f>
        <v>0</v>
      </c>
      <c r="H60" s="49">
        <f>AVERAGE('24.8 Luweero-Kampala'!H60,'25.8 Luwero-Kampala-24 HRS'!H60)</f>
        <v>0</v>
      </c>
      <c r="I60" s="49">
        <f>AVERAGE('24.8 Luweero-Kampala'!I60,'25.8 Luwero-Kampala-24 HRS'!I60)</f>
        <v>8</v>
      </c>
      <c r="J60" s="49">
        <f>AVERAGE('24.8 Luweero-Kampala'!J60,'25.8 Luwero-Kampala-24 HRS'!J60)</f>
        <v>0</v>
      </c>
      <c r="K60" s="49">
        <f>AVERAGE('24.8 Luweero-Kampala'!K60,'25.8 Luwero-Kampala-24 HRS'!K60)</f>
        <v>0</v>
      </c>
      <c r="L60" s="49">
        <f>AVERAGE('24.8 Luweero-Kampala'!L60,'25.8 Luwero-Kampala-24 HRS'!L60)</f>
        <v>3</v>
      </c>
      <c r="M60" s="49">
        <f>AVERAGE('24.8 Luweero-Kampala'!M60,'25.8 Luwero-Kampala-24 HRS'!M60)</f>
        <v>66</v>
      </c>
      <c r="N60" s="49">
        <f>AVERAGE('24.8 Luweero-Kampala'!N60,'25.8 Luwero-Kampala-24 HRS'!N60)</f>
        <v>0</v>
      </c>
      <c r="O60" s="15">
        <f t="shared" si="0"/>
        <v>40</v>
      </c>
      <c r="P60" s="15">
        <f t="shared" si="1"/>
        <v>106</v>
      </c>
      <c r="R60" s="8"/>
      <c r="T60"/>
    </row>
    <row r="61" spans="2:20" ht="23.1" customHeight="1" x14ac:dyDescent="0.25">
      <c r="B61" s="23" t="s">
        <v>102</v>
      </c>
      <c r="C61" s="49">
        <f>AVERAGE('24.8 Luweero-Kampala'!C61,'25.8 Luwero-Kampala-24 HRS'!C61)</f>
        <v>8.5</v>
      </c>
      <c r="D61" s="49">
        <f>AVERAGE('24.8 Luweero-Kampala'!D61,'25.8 Luwero-Kampala-24 HRS'!D61)</f>
        <v>0</v>
      </c>
      <c r="E61" s="49">
        <f>AVERAGE('24.8 Luweero-Kampala'!E61,'25.8 Luwero-Kampala-24 HRS'!E61)</f>
        <v>7</v>
      </c>
      <c r="F61" s="49">
        <f>AVERAGE('24.8 Luweero-Kampala'!F61,'25.8 Luwero-Kampala-24 HRS'!F61)</f>
        <v>8</v>
      </c>
      <c r="G61" s="49">
        <f>AVERAGE('24.8 Luweero-Kampala'!G61,'25.8 Luwero-Kampala-24 HRS'!G61)</f>
        <v>0</v>
      </c>
      <c r="H61" s="49">
        <f>AVERAGE('24.8 Luweero-Kampala'!H61,'25.8 Luwero-Kampala-24 HRS'!H61)</f>
        <v>2</v>
      </c>
      <c r="I61" s="49">
        <f>AVERAGE('24.8 Luweero-Kampala'!I61,'25.8 Luwero-Kampala-24 HRS'!I61)</f>
        <v>8</v>
      </c>
      <c r="J61" s="49">
        <f>AVERAGE('24.8 Luweero-Kampala'!J61,'25.8 Luwero-Kampala-24 HRS'!J61)</f>
        <v>0</v>
      </c>
      <c r="K61" s="49">
        <f>AVERAGE('24.8 Luweero-Kampala'!K61,'25.8 Luwero-Kampala-24 HRS'!K61)</f>
        <v>0</v>
      </c>
      <c r="L61" s="49">
        <f>AVERAGE('24.8 Luweero-Kampala'!L61,'25.8 Luwero-Kampala-24 HRS'!L61)</f>
        <v>3</v>
      </c>
      <c r="M61" s="49">
        <f>AVERAGE('24.8 Luweero-Kampala'!M61,'25.8 Luwero-Kampala-24 HRS'!M61)</f>
        <v>56</v>
      </c>
      <c r="N61" s="49">
        <f>AVERAGE('24.8 Luweero-Kampala'!N61,'25.8 Luwero-Kampala-24 HRS'!N61)</f>
        <v>0</v>
      </c>
      <c r="O61" s="15">
        <f t="shared" si="0"/>
        <v>36.5</v>
      </c>
      <c r="P61" s="15">
        <f t="shared" si="1"/>
        <v>92.5</v>
      </c>
      <c r="R61" s="8"/>
      <c r="T61"/>
    </row>
    <row r="62" spans="2:20" ht="23.1" customHeight="1" x14ac:dyDescent="0.25">
      <c r="B62" s="23" t="s">
        <v>107</v>
      </c>
      <c r="C62" s="49">
        <f>AVERAGE('24.8 Luweero-Kampala'!C62,'25.8 Luwero-Kampala-24 HRS'!C62)</f>
        <v>11</v>
      </c>
      <c r="D62" s="49">
        <f>AVERAGE('24.8 Luweero-Kampala'!D62,'25.8 Luwero-Kampala-24 HRS'!D62)</f>
        <v>2</v>
      </c>
      <c r="E62" s="49">
        <f>AVERAGE('24.8 Luweero-Kampala'!E62,'25.8 Luwero-Kampala-24 HRS'!E62)</f>
        <v>8</v>
      </c>
      <c r="F62" s="49">
        <f>AVERAGE('24.8 Luweero-Kampala'!F62,'25.8 Luwero-Kampala-24 HRS'!F62)</f>
        <v>5</v>
      </c>
      <c r="G62" s="49">
        <f>AVERAGE('24.8 Luweero-Kampala'!G62,'25.8 Luwero-Kampala-24 HRS'!G62)</f>
        <v>0</v>
      </c>
      <c r="H62" s="49">
        <f>AVERAGE('24.8 Luweero-Kampala'!H62,'25.8 Luwero-Kampala-24 HRS'!H62)</f>
        <v>1</v>
      </c>
      <c r="I62" s="49">
        <f>AVERAGE('24.8 Luweero-Kampala'!I62,'25.8 Luwero-Kampala-24 HRS'!I62)</f>
        <v>5</v>
      </c>
      <c r="J62" s="49">
        <f>AVERAGE('24.8 Luweero-Kampala'!J62,'25.8 Luwero-Kampala-24 HRS'!J62)</f>
        <v>1</v>
      </c>
      <c r="K62" s="49">
        <f>AVERAGE('24.8 Luweero-Kampala'!K62,'25.8 Luwero-Kampala-24 HRS'!K62)</f>
        <v>0</v>
      </c>
      <c r="L62" s="49">
        <f>AVERAGE('24.8 Luweero-Kampala'!L62,'25.8 Luwero-Kampala-24 HRS'!L62)</f>
        <v>4</v>
      </c>
      <c r="M62" s="49">
        <f>AVERAGE('24.8 Luweero-Kampala'!M62,'25.8 Luwero-Kampala-24 HRS'!M62)</f>
        <v>45</v>
      </c>
      <c r="N62" s="49">
        <f>AVERAGE('24.8 Luweero-Kampala'!N62,'25.8 Luwero-Kampala-24 HRS'!N62)</f>
        <v>0</v>
      </c>
      <c r="O62" s="15">
        <f t="shared" si="0"/>
        <v>37</v>
      </c>
      <c r="P62" s="15">
        <f t="shared" si="1"/>
        <v>82</v>
      </c>
      <c r="R62" s="8"/>
      <c r="T62"/>
    </row>
    <row r="63" spans="2:20" ht="23.1" customHeight="1" x14ac:dyDescent="0.25">
      <c r="B63" s="23" t="s">
        <v>108</v>
      </c>
      <c r="C63" s="49">
        <f>AVERAGE('24.8 Luweero-Kampala'!C63,'25.8 Luwero-Kampala-24 HRS'!C63)</f>
        <v>7.5</v>
      </c>
      <c r="D63" s="49">
        <f>AVERAGE('24.8 Luweero-Kampala'!D63,'25.8 Luwero-Kampala-24 HRS'!D63)</f>
        <v>1</v>
      </c>
      <c r="E63" s="49">
        <f>AVERAGE('24.8 Luweero-Kampala'!E63,'25.8 Luwero-Kampala-24 HRS'!E63)</f>
        <v>6</v>
      </c>
      <c r="F63" s="49">
        <f>AVERAGE('24.8 Luweero-Kampala'!F63,'25.8 Luwero-Kampala-24 HRS'!F63)</f>
        <v>5</v>
      </c>
      <c r="G63" s="49">
        <f>AVERAGE('24.8 Luweero-Kampala'!G63,'25.8 Luwero-Kampala-24 HRS'!G63)</f>
        <v>0</v>
      </c>
      <c r="H63" s="49">
        <f>AVERAGE('24.8 Luweero-Kampala'!H63,'25.8 Luwero-Kampala-24 HRS'!H63)</f>
        <v>0</v>
      </c>
      <c r="I63" s="49">
        <f>AVERAGE('24.8 Luweero-Kampala'!I63,'25.8 Luwero-Kampala-24 HRS'!I63)</f>
        <v>8</v>
      </c>
      <c r="J63" s="49">
        <f>AVERAGE('24.8 Luweero-Kampala'!J63,'25.8 Luwero-Kampala-24 HRS'!J63)</f>
        <v>0</v>
      </c>
      <c r="K63" s="49">
        <f>AVERAGE('24.8 Luweero-Kampala'!K63,'25.8 Luwero-Kampala-24 HRS'!K63)</f>
        <v>1</v>
      </c>
      <c r="L63" s="49">
        <f>AVERAGE('24.8 Luweero-Kampala'!L63,'25.8 Luwero-Kampala-24 HRS'!L63)</f>
        <v>3</v>
      </c>
      <c r="M63" s="49">
        <f>AVERAGE('24.8 Luweero-Kampala'!M63,'25.8 Luwero-Kampala-24 HRS'!M63)</f>
        <v>47</v>
      </c>
      <c r="N63" s="49">
        <f>AVERAGE('24.8 Luweero-Kampala'!N63,'25.8 Luwero-Kampala-24 HRS'!N63)</f>
        <v>0</v>
      </c>
      <c r="O63" s="15">
        <f t="shared" si="0"/>
        <v>31.5</v>
      </c>
      <c r="P63" s="15">
        <f t="shared" si="1"/>
        <v>78.5</v>
      </c>
      <c r="R63" s="8"/>
      <c r="T63"/>
    </row>
    <row r="64" spans="2:20" ht="23.1" customHeight="1" x14ac:dyDescent="0.25">
      <c r="B64" s="23" t="s">
        <v>109</v>
      </c>
      <c r="C64" s="49">
        <f>AVERAGE('24.8 Luweero-Kampala'!C64,'25.8 Luwero-Kampala-24 HRS'!C64)</f>
        <v>7</v>
      </c>
      <c r="D64" s="49">
        <f>AVERAGE('24.8 Luweero-Kampala'!D64,'25.8 Luwero-Kampala-24 HRS'!D64)</f>
        <v>0</v>
      </c>
      <c r="E64" s="49">
        <f>AVERAGE('24.8 Luweero-Kampala'!E64,'25.8 Luwero-Kampala-24 HRS'!E64)</f>
        <v>5</v>
      </c>
      <c r="F64" s="49">
        <f>AVERAGE('24.8 Luweero-Kampala'!F64,'25.8 Luwero-Kampala-24 HRS'!F64)</f>
        <v>7</v>
      </c>
      <c r="G64" s="49">
        <f>AVERAGE('24.8 Luweero-Kampala'!G64,'25.8 Luwero-Kampala-24 HRS'!G64)</f>
        <v>0</v>
      </c>
      <c r="H64" s="49">
        <f>AVERAGE('24.8 Luweero-Kampala'!H64,'25.8 Luwero-Kampala-24 HRS'!H64)</f>
        <v>2</v>
      </c>
      <c r="I64" s="49">
        <f>AVERAGE('24.8 Luweero-Kampala'!I64,'25.8 Luwero-Kampala-24 HRS'!I64)</f>
        <v>6</v>
      </c>
      <c r="J64" s="49">
        <f>AVERAGE('24.8 Luweero-Kampala'!J64,'25.8 Luwero-Kampala-24 HRS'!J64)</f>
        <v>0</v>
      </c>
      <c r="K64" s="49">
        <f>AVERAGE('24.8 Luweero-Kampala'!K64,'25.8 Luwero-Kampala-24 HRS'!K64)</f>
        <v>0</v>
      </c>
      <c r="L64" s="49">
        <f>AVERAGE('24.8 Luweero-Kampala'!L64,'25.8 Luwero-Kampala-24 HRS'!L64)</f>
        <v>3</v>
      </c>
      <c r="M64" s="49">
        <f>AVERAGE('24.8 Luweero-Kampala'!M64,'25.8 Luwero-Kampala-24 HRS'!M64)</f>
        <v>38</v>
      </c>
      <c r="N64" s="49">
        <f>AVERAGE('24.8 Luweero-Kampala'!N64,'25.8 Luwero-Kampala-24 HRS'!N64)</f>
        <v>0</v>
      </c>
      <c r="O64" s="15">
        <f t="shared" si="0"/>
        <v>30</v>
      </c>
      <c r="P64" s="15">
        <f t="shared" si="1"/>
        <v>68</v>
      </c>
      <c r="R64" s="8"/>
      <c r="T64"/>
    </row>
    <row r="65" spans="2:20" ht="23.1" customHeight="1" x14ac:dyDescent="0.25">
      <c r="B65" s="23" t="s">
        <v>158</v>
      </c>
      <c r="C65" s="49">
        <f>AVERAGE('24.8 Luweero-Kampala'!C65,'25.8 Luwero-Kampala-24 HRS'!C65)</f>
        <v>6.5</v>
      </c>
      <c r="D65" s="49">
        <f>AVERAGE('24.8 Luweero-Kampala'!D65,'25.8 Luwero-Kampala-24 HRS'!D65)</f>
        <v>1</v>
      </c>
      <c r="E65" s="49">
        <f>AVERAGE('24.8 Luweero-Kampala'!E65,'25.8 Luwero-Kampala-24 HRS'!E65)</f>
        <v>4</v>
      </c>
      <c r="F65" s="49">
        <f>AVERAGE('24.8 Luweero-Kampala'!F65,'25.8 Luwero-Kampala-24 HRS'!F65)</f>
        <v>5</v>
      </c>
      <c r="G65" s="49">
        <f>AVERAGE('24.8 Luweero-Kampala'!G65,'25.8 Luwero-Kampala-24 HRS'!G65)</f>
        <v>0</v>
      </c>
      <c r="H65" s="49">
        <f>AVERAGE('24.8 Luweero-Kampala'!H65,'25.8 Luwero-Kampala-24 HRS'!H65)</f>
        <v>1</v>
      </c>
      <c r="I65" s="49">
        <f>AVERAGE('24.8 Luweero-Kampala'!I65,'25.8 Luwero-Kampala-24 HRS'!I65)</f>
        <v>5</v>
      </c>
      <c r="J65" s="49">
        <f>AVERAGE('24.8 Luweero-Kampala'!J65,'25.8 Luwero-Kampala-24 HRS'!J65)</f>
        <v>1</v>
      </c>
      <c r="K65" s="49">
        <f>AVERAGE('24.8 Luweero-Kampala'!K65,'25.8 Luwero-Kampala-24 HRS'!K65)</f>
        <v>0</v>
      </c>
      <c r="L65" s="49">
        <f>AVERAGE('24.8 Luweero-Kampala'!L65,'25.8 Luwero-Kampala-24 HRS'!L65)</f>
        <v>4</v>
      </c>
      <c r="M65" s="49">
        <f>AVERAGE('24.8 Luweero-Kampala'!M65,'25.8 Luwero-Kampala-24 HRS'!M65)</f>
        <v>35</v>
      </c>
      <c r="N65" s="49">
        <f>AVERAGE('24.8 Luweero-Kampala'!N65,'25.8 Luwero-Kampala-24 HRS'!N65)</f>
        <v>0</v>
      </c>
      <c r="O65" s="15">
        <f t="shared" si="0"/>
        <v>27.5</v>
      </c>
      <c r="P65" s="15">
        <f t="shared" si="1"/>
        <v>62.5</v>
      </c>
      <c r="R65" s="8"/>
      <c r="T65"/>
    </row>
    <row r="66" spans="2:20" ht="23.1" customHeight="1" x14ac:dyDescent="0.25">
      <c r="B66" s="23" t="s">
        <v>103</v>
      </c>
      <c r="C66" s="49">
        <f>AVERAGE('24.8 Luweero-Kampala'!C66,'25.8 Luwero-Kampala-24 HRS'!C66)</f>
        <v>5</v>
      </c>
      <c r="D66" s="49">
        <f>AVERAGE('24.8 Luweero-Kampala'!D66,'25.8 Luwero-Kampala-24 HRS'!D66)</f>
        <v>2</v>
      </c>
      <c r="E66" s="49">
        <f>AVERAGE('24.8 Luweero-Kampala'!E66,'25.8 Luwero-Kampala-24 HRS'!E66)</f>
        <v>5</v>
      </c>
      <c r="F66" s="49">
        <f>AVERAGE('24.8 Luweero-Kampala'!F66,'25.8 Luwero-Kampala-24 HRS'!F66)</f>
        <v>2</v>
      </c>
      <c r="G66" s="49">
        <f>AVERAGE('24.8 Luweero-Kampala'!G66,'25.8 Luwero-Kampala-24 HRS'!G66)</f>
        <v>1</v>
      </c>
      <c r="H66" s="49">
        <f>AVERAGE('24.8 Luweero-Kampala'!H66,'25.8 Luwero-Kampala-24 HRS'!H66)</f>
        <v>1</v>
      </c>
      <c r="I66" s="49">
        <f>AVERAGE('24.8 Luweero-Kampala'!I66,'25.8 Luwero-Kampala-24 HRS'!I66)</f>
        <v>7</v>
      </c>
      <c r="J66" s="49">
        <f>AVERAGE('24.8 Luweero-Kampala'!J66,'25.8 Luwero-Kampala-24 HRS'!J66)</f>
        <v>0</v>
      </c>
      <c r="K66" s="49">
        <f>AVERAGE('24.8 Luweero-Kampala'!K66,'25.8 Luwero-Kampala-24 HRS'!K66)</f>
        <v>0</v>
      </c>
      <c r="L66" s="49">
        <f>AVERAGE('24.8 Luweero-Kampala'!L66,'25.8 Luwero-Kampala-24 HRS'!L66)</f>
        <v>1</v>
      </c>
      <c r="M66" s="49">
        <f>AVERAGE('24.8 Luweero-Kampala'!M66,'25.8 Luwero-Kampala-24 HRS'!M66)</f>
        <v>33</v>
      </c>
      <c r="N66" s="49">
        <f>AVERAGE('24.8 Luweero-Kampala'!N66,'25.8 Luwero-Kampala-24 HRS'!N66)</f>
        <v>0</v>
      </c>
      <c r="O66" s="15">
        <f t="shared" si="0"/>
        <v>24</v>
      </c>
      <c r="P66" s="15">
        <f t="shared" si="1"/>
        <v>57</v>
      </c>
      <c r="R66" s="8"/>
      <c r="T66"/>
    </row>
    <row r="67" spans="2:20" ht="23.1" customHeight="1" x14ac:dyDescent="0.25">
      <c r="B67" s="23" t="s">
        <v>104</v>
      </c>
      <c r="C67" s="49">
        <f>AVERAGE('24.8 Luweero-Kampala'!C67,'25.8 Luwero-Kampala-24 HRS'!C67)</f>
        <v>3</v>
      </c>
      <c r="D67" s="49">
        <f>AVERAGE('24.8 Luweero-Kampala'!D67,'25.8 Luwero-Kampala-24 HRS'!D67)</f>
        <v>0</v>
      </c>
      <c r="E67" s="49">
        <f>AVERAGE('24.8 Luweero-Kampala'!E67,'25.8 Luwero-Kampala-24 HRS'!E67)</f>
        <v>4</v>
      </c>
      <c r="F67" s="49">
        <f>AVERAGE('24.8 Luweero-Kampala'!F67,'25.8 Luwero-Kampala-24 HRS'!F67)</f>
        <v>5</v>
      </c>
      <c r="G67" s="49">
        <f>AVERAGE('24.8 Luweero-Kampala'!G67,'25.8 Luwero-Kampala-24 HRS'!G67)</f>
        <v>1</v>
      </c>
      <c r="H67" s="49">
        <f>AVERAGE('24.8 Luweero-Kampala'!H67,'25.8 Luwero-Kampala-24 HRS'!H67)</f>
        <v>0</v>
      </c>
      <c r="I67" s="49">
        <f>AVERAGE('24.8 Luweero-Kampala'!I67,'25.8 Luwero-Kampala-24 HRS'!I67)</f>
        <v>3</v>
      </c>
      <c r="J67" s="49">
        <f>AVERAGE('24.8 Luweero-Kampala'!J67,'25.8 Luwero-Kampala-24 HRS'!J67)</f>
        <v>0</v>
      </c>
      <c r="K67" s="49">
        <f>AVERAGE('24.8 Luweero-Kampala'!K67,'25.8 Luwero-Kampala-24 HRS'!K67)</f>
        <v>0</v>
      </c>
      <c r="L67" s="49">
        <f>AVERAGE('24.8 Luweero-Kampala'!L67,'25.8 Luwero-Kampala-24 HRS'!L67)</f>
        <v>0</v>
      </c>
      <c r="M67" s="49">
        <f>AVERAGE('24.8 Luweero-Kampala'!M67,'25.8 Luwero-Kampala-24 HRS'!M67)</f>
        <v>24</v>
      </c>
      <c r="N67" s="49">
        <f>AVERAGE('24.8 Luweero-Kampala'!N67,'25.8 Luwero-Kampala-24 HRS'!N67)</f>
        <v>0</v>
      </c>
      <c r="O67" s="15">
        <f t="shared" si="0"/>
        <v>16</v>
      </c>
      <c r="P67" s="15">
        <f t="shared" si="1"/>
        <v>40</v>
      </c>
      <c r="R67" s="8"/>
      <c r="T67"/>
    </row>
    <row r="68" spans="2:20" ht="23.1" customHeight="1" x14ac:dyDescent="0.25">
      <c r="B68" s="23" t="s">
        <v>105</v>
      </c>
      <c r="C68" s="49">
        <f>AVERAGE('24.8 Luweero-Kampala'!C68,'25.8 Luwero-Kampala-24 HRS'!C68)</f>
        <v>4.5</v>
      </c>
      <c r="D68" s="49">
        <f>AVERAGE('24.8 Luweero-Kampala'!D68,'25.8 Luwero-Kampala-24 HRS'!D68)</f>
        <v>1</v>
      </c>
      <c r="E68" s="49">
        <f>AVERAGE('24.8 Luweero-Kampala'!E68,'25.8 Luwero-Kampala-24 HRS'!E68)</f>
        <v>3</v>
      </c>
      <c r="F68" s="49">
        <f>AVERAGE('24.8 Luweero-Kampala'!F68,'25.8 Luwero-Kampala-24 HRS'!F68)</f>
        <v>3</v>
      </c>
      <c r="G68" s="49">
        <f>AVERAGE('24.8 Luweero-Kampala'!G68,'25.8 Luwero-Kampala-24 HRS'!G68)</f>
        <v>2</v>
      </c>
      <c r="H68" s="49">
        <f>AVERAGE('24.8 Luweero-Kampala'!H68,'25.8 Luwero-Kampala-24 HRS'!H68)</f>
        <v>3</v>
      </c>
      <c r="I68" s="49">
        <f>AVERAGE('24.8 Luweero-Kampala'!I68,'25.8 Luwero-Kampala-24 HRS'!I68)</f>
        <v>8</v>
      </c>
      <c r="J68" s="49">
        <f>AVERAGE('24.8 Luweero-Kampala'!J68,'25.8 Luwero-Kampala-24 HRS'!J68)</f>
        <v>0</v>
      </c>
      <c r="K68" s="49">
        <f>AVERAGE('24.8 Luweero-Kampala'!K68,'25.8 Luwero-Kampala-24 HRS'!K68)</f>
        <v>2</v>
      </c>
      <c r="L68" s="49">
        <f>AVERAGE('24.8 Luweero-Kampala'!L68,'25.8 Luwero-Kampala-24 HRS'!L68)</f>
        <v>2</v>
      </c>
      <c r="M68" s="49">
        <f>AVERAGE('24.8 Luweero-Kampala'!M68,'25.8 Luwero-Kampala-24 HRS'!M68)</f>
        <v>17</v>
      </c>
      <c r="N68" s="49">
        <f>AVERAGE('24.8 Luweero-Kampala'!N68,'25.8 Luwero-Kampala-24 HRS'!N68)</f>
        <v>0</v>
      </c>
      <c r="O68" s="15">
        <f t="shared" si="0"/>
        <v>28.5</v>
      </c>
      <c r="P68" s="15">
        <f t="shared" si="1"/>
        <v>45.5</v>
      </c>
      <c r="R68" s="8"/>
      <c r="T68"/>
    </row>
    <row r="69" spans="2:20" ht="23.1" customHeight="1" x14ac:dyDescent="0.25">
      <c r="B69" s="23" t="s">
        <v>106</v>
      </c>
      <c r="C69" s="49">
        <f>AVERAGE('24.8 Luweero-Kampala'!C69,'25.8 Luwero-Kampala-24 HRS'!C69)</f>
        <v>2</v>
      </c>
      <c r="D69" s="49">
        <f>AVERAGE('24.8 Luweero-Kampala'!D69,'25.8 Luwero-Kampala-24 HRS'!D69)</f>
        <v>1</v>
      </c>
      <c r="E69" s="49">
        <f>AVERAGE('24.8 Luweero-Kampala'!E69,'25.8 Luwero-Kampala-24 HRS'!E69)</f>
        <v>2</v>
      </c>
      <c r="F69" s="49">
        <f>AVERAGE('24.8 Luweero-Kampala'!F69,'25.8 Luwero-Kampala-24 HRS'!F69)</f>
        <v>5</v>
      </c>
      <c r="G69" s="49">
        <f>AVERAGE('24.8 Luweero-Kampala'!G69,'25.8 Luwero-Kampala-24 HRS'!G69)</f>
        <v>0</v>
      </c>
      <c r="H69" s="49">
        <f>AVERAGE('24.8 Luweero-Kampala'!H69,'25.8 Luwero-Kampala-24 HRS'!H69)</f>
        <v>1</v>
      </c>
      <c r="I69" s="49">
        <f>AVERAGE('24.8 Luweero-Kampala'!I69,'25.8 Luwero-Kampala-24 HRS'!I69)</f>
        <v>5</v>
      </c>
      <c r="J69" s="49">
        <f>AVERAGE('24.8 Luweero-Kampala'!J69,'25.8 Luwero-Kampala-24 HRS'!J69)</f>
        <v>1</v>
      </c>
      <c r="K69" s="49">
        <f>AVERAGE('24.8 Luweero-Kampala'!K69,'25.8 Luwero-Kampala-24 HRS'!K69)</f>
        <v>0</v>
      </c>
      <c r="L69" s="49">
        <f>AVERAGE('24.8 Luweero-Kampala'!L69,'25.8 Luwero-Kampala-24 HRS'!L69)</f>
        <v>4</v>
      </c>
      <c r="M69" s="49">
        <f>AVERAGE('24.8 Luweero-Kampala'!M69,'25.8 Luwero-Kampala-24 HRS'!M69)</f>
        <v>14</v>
      </c>
      <c r="N69" s="49">
        <f>AVERAGE('24.8 Luweero-Kampala'!N69,'25.8 Luwero-Kampala-24 HRS'!N69)</f>
        <v>0</v>
      </c>
      <c r="O69" s="15">
        <f t="shared" si="0"/>
        <v>21</v>
      </c>
      <c r="P69" s="15">
        <f t="shared" si="1"/>
        <v>35</v>
      </c>
      <c r="R69" s="8"/>
      <c r="T69"/>
    </row>
    <row r="70" spans="2:20" ht="23.1" customHeight="1" x14ac:dyDescent="0.25">
      <c r="B70" s="23" t="s">
        <v>110</v>
      </c>
      <c r="C70" s="49">
        <f>AVERAGE('24.8 Luweero-Kampala'!C70,'25.8 Luwero-Kampala-24 HRS'!C70)</f>
        <v>3.5</v>
      </c>
      <c r="D70" s="49">
        <f>AVERAGE('24.8 Luweero-Kampala'!D70,'25.8 Luwero-Kampala-24 HRS'!D70)</f>
        <v>0</v>
      </c>
      <c r="E70" s="49">
        <f>AVERAGE('24.8 Luweero-Kampala'!E70,'25.8 Luwero-Kampala-24 HRS'!E70)</f>
        <v>3</v>
      </c>
      <c r="F70" s="49">
        <f>AVERAGE('24.8 Luweero-Kampala'!F70,'25.8 Luwero-Kampala-24 HRS'!F70)</f>
        <v>2</v>
      </c>
      <c r="G70" s="49">
        <f>AVERAGE('24.8 Luweero-Kampala'!G70,'25.8 Luwero-Kampala-24 HRS'!G70)</f>
        <v>1</v>
      </c>
      <c r="H70" s="49">
        <f>AVERAGE('24.8 Luweero-Kampala'!H70,'25.8 Luwero-Kampala-24 HRS'!H70)</f>
        <v>1</v>
      </c>
      <c r="I70" s="49">
        <f>AVERAGE('24.8 Luweero-Kampala'!I70,'25.8 Luwero-Kampala-24 HRS'!I70)</f>
        <v>3</v>
      </c>
      <c r="J70" s="49">
        <f>AVERAGE('24.8 Luweero-Kampala'!J70,'25.8 Luwero-Kampala-24 HRS'!J70)</f>
        <v>0</v>
      </c>
      <c r="K70" s="49">
        <f>AVERAGE('24.8 Luweero-Kampala'!K70,'25.8 Luwero-Kampala-24 HRS'!K70)</f>
        <v>2</v>
      </c>
      <c r="L70" s="49">
        <f>AVERAGE('24.8 Luweero-Kampala'!L70,'25.8 Luwero-Kampala-24 HRS'!L70)</f>
        <v>1</v>
      </c>
      <c r="M70" s="49">
        <f>AVERAGE('24.8 Luweero-Kampala'!M70,'25.8 Luwero-Kampala-24 HRS'!M70)</f>
        <v>13</v>
      </c>
      <c r="N70" s="49">
        <f>AVERAGE('24.8 Luweero-Kampala'!N70,'25.8 Luwero-Kampala-24 HRS'!N70)</f>
        <v>0</v>
      </c>
      <c r="O70" s="15">
        <f t="shared" si="0"/>
        <v>16.5</v>
      </c>
      <c r="P70" s="15">
        <f t="shared" si="1"/>
        <v>29.5</v>
      </c>
      <c r="R70" s="8"/>
      <c r="T70"/>
    </row>
    <row r="71" spans="2:20" ht="23.1" customHeight="1" x14ac:dyDescent="0.25">
      <c r="B71" s="23" t="s">
        <v>111</v>
      </c>
      <c r="C71" s="49">
        <f>AVERAGE('24.8 Luweero-Kampala'!C71,'25.8 Luwero-Kampala-24 HRS'!C71)</f>
        <v>1</v>
      </c>
      <c r="D71" s="49">
        <f>AVERAGE('24.8 Luweero-Kampala'!D71,'25.8 Luwero-Kampala-24 HRS'!D71)</f>
        <v>0</v>
      </c>
      <c r="E71" s="49">
        <f>AVERAGE('24.8 Luweero-Kampala'!E71,'25.8 Luwero-Kampala-24 HRS'!E71)</f>
        <v>1</v>
      </c>
      <c r="F71" s="49">
        <f>AVERAGE('24.8 Luweero-Kampala'!F71,'25.8 Luwero-Kampala-24 HRS'!F71)</f>
        <v>5</v>
      </c>
      <c r="G71" s="49">
        <f>AVERAGE('24.8 Luweero-Kampala'!G71,'25.8 Luwero-Kampala-24 HRS'!G71)</f>
        <v>1</v>
      </c>
      <c r="H71" s="49">
        <f>AVERAGE('24.8 Luweero-Kampala'!H71,'25.8 Luwero-Kampala-24 HRS'!H71)</f>
        <v>0</v>
      </c>
      <c r="I71" s="49">
        <f>AVERAGE('24.8 Luweero-Kampala'!I71,'25.8 Luwero-Kampala-24 HRS'!I71)</f>
        <v>3</v>
      </c>
      <c r="J71" s="49">
        <f>AVERAGE('24.8 Luweero-Kampala'!J71,'25.8 Luwero-Kampala-24 HRS'!J71)</f>
        <v>0</v>
      </c>
      <c r="K71" s="49">
        <f>AVERAGE('24.8 Luweero-Kampala'!K71,'25.8 Luwero-Kampala-24 HRS'!K71)</f>
        <v>0</v>
      </c>
      <c r="L71" s="49">
        <f>AVERAGE('24.8 Luweero-Kampala'!L71,'25.8 Luwero-Kampala-24 HRS'!L71)</f>
        <v>0</v>
      </c>
      <c r="M71" s="49">
        <f>AVERAGE('24.8 Luweero-Kampala'!M71,'25.8 Luwero-Kampala-24 HRS'!M71)</f>
        <v>10</v>
      </c>
      <c r="N71" s="49">
        <f>AVERAGE('24.8 Luweero-Kampala'!N71,'25.8 Luwero-Kampala-24 HRS'!N71)</f>
        <v>0</v>
      </c>
      <c r="O71" s="15">
        <f t="shared" si="0"/>
        <v>11</v>
      </c>
      <c r="P71" s="15">
        <f t="shared" si="1"/>
        <v>21</v>
      </c>
      <c r="R71" s="8"/>
      <c r="T71"/>
    </row>
    <row r="72" spans="2:20" ht="23.1" customHeight="1" x14ac:dyDescent="0.25">
      <c r="B72" s="23" t="s">
        <v>112</v>
      </c>
      <c r="C72" s="49">
        <f>AVERAGE('24.8 Luweero-Kampala'!C72,'25.8 Luwero-Kampala-24 HRS'!C72)</f>
        <v>2</v>
      </c>
      <c r="D72" s="49">
        <f>AVERAGE('24.8 Luweero-Kampala'!D72,'25.8 Luwero-Kampala-24 HRS'!D72)</f>
        <v>0</v>
      </c>
      <c r="E72" s="49">
        <f>AVERAGE('24.8 Luweero-Kampala'!E72,'25.8 Luwero-Kampala-24 HRS'!E72)</f>
        <v>3</v>
      </c>
      <c r="F72" s="49">
        <f>AVERAGE('24.8 Luweero-Kampala'!F72,'25.8 Luwero-Kampala-24 HRS'!F72)</f>
        <v>3</v>
      </c>
      <c r="G72" s="49">
        <f>AVERAGE('24.8 Luweero-Kampala'!G72,'25.8 Luwero-Kampala-24 HRS'!G72)</f>
        <v>2</v>
      </c>
      <c r="H72" s="49">
        <f>AVERAGE('24.8 Luweero-Kampala'!H72,'25.8 Luwero-Kampala-24 HRS'!H72)</f>
        <v>3</v>
      </c>
      <c r="I72" s="49">
        <f>AVERAGE('24.8 Luweero-Kampala'!I72,'25.8 Luwero-Kampala-24 HRS'!I72)</f>
        <v>2</v>
      </c>
      <c r="J72" s="49">
        <f>AVERAGE('24.8 Luweero-Kampala'!J72,'25.8 Luwero-Kampala-24 HRS'!J72)</f>
        <v>0</v>
      </c>
      <c r="K72" s="49">
        <f>AVERAGE('24.8 Luweero-Kampala'!K72,'25.8 Luwero-Kampala-24 HRS'!K72)</f>
        <v>0</v>
      </c>
      <c r="L72" s="49">
        <f>AVERAGE('24.8 Luweero-Kampala'!L72,'25.8 Luwero-Kampala-24 HRS'!L72)</f>
        <v>2</v>
      </c>
      <c r="M72" s="49">
        <f>AVERAGE('24.8 Luweero-Kampala'!M72,'25.8 Luwero-Kampala-24 HRS'!M72)</f>
        <v>7</v>
      </c>
      <c r="N72" s="49">
        <f>AVERAGE('24.8 Luweero-Kampala'!N72,'25.8 Luwero-Kampala-24 HRS'!N72)</f>
        <v>0</v>
      </c>
      <c r="O72" s="15">
        <f t="shared" si="0"/>
        <v>17</v>
      </c>
      <c r="P72" s="15">
        <f t="shared" si="1"/>
        <v>24</v>
      </c>
      <c r="R72" s="8"/>
      <c r="T72"/>
    </row>
    <row r="73" spans="2:20" ht="23.1" customHeight="1" x14ac:dyDescent="0.25">
      <c r="B73" s="23" t="s">
        <v>113</v>
      </c>
      <c r="C73" s="49">
        <f>AVERAGE('24.8 Luweero-Kampala'!C73,'25.8 Luwero-Kampala-24 HRS'!C73)</f>
        <v>2</v>
      </c>
      <c r="D73" s="49">
        <f>AVERAGE('24.8 Luweero-Kampala'!D73,'25.8 Luwero-Kampala-24 HRS'!D73)</f>
        <v>1</v>
      </c>
      <c r="E73" s="49">
        <f>AVERAGE('24.8 Luweero-Kampala'!E73,'25.8 Luwero-Kampala-24 HRS'!E73)</f>
        <v>2</v>
      </c>
      <c r="F73" s="49">
        <f>AVERAGE('24.8 Luweero-Kampala'!F73,'25.8 Luwero-Kampala-24 HRS'!F73)</f>
        <v>3</v>
      </c>
      <c r="G73" s="49">
        <f>AVERAGE('24.8 Luweero-Kampala'!G73,'25.8 Luwero-Kampala-24 HRS'!G73)</f>
        <v>0</v>
      </c>
      <c r="H73" s="49">
        <f>AVERAGE('24.8 Luweero-Kampala'!H73,'25.8 Luwero-Kampala-24 HRS'!H73)</f>
        <v>1</v>
      </c>
      <c r="I73" s="49">
        <f>AVERAGE('24.8 Luweero-Kampala'!I73,'25.8 Luwero-Kampala-24 HRS'!I73)</f>
        <v>5</v>
      </c>
      <c r="J73" s="49">
        <f>AVERAGE('24.8 Luweero-Kampala'!J73,'25.8 Luwero-Kampala-24 HRS'!J73)</f>
        <v>1</v>
      </c>
      <c r="K73" s="49">
        <f>AVERAGE('24.8 Luweero-Kampala'!K73,'25.8 Luwero-Kampala-24 HRS'!K73)</f>
        <v>0</v>
      </c>
      <c r="L73" s="49">
        <f>AVERAGE('24.8 Luweero-Kampala'!L73,'25.8 Luwero-Kampala-24 HRS'!L73)</f>
        <v>4</v>
      </c>
      <c r="M73" s="49">
        <f>AVERAGE('24.8 Luweero-Kampala'!M73,'25.8 Luwero-Kampala-24 HRS'!M73)</f>
        <v>4</v>
      </c>
      <c r="N73" s="49">
        <f>AVERAGE('24.8 Luweero-Kampala'!N73,'25.8 Luwero-Kampala-24 HRS'!N73)</f>
        <v>0</v>
      </c>
      <c r="O73" s="15">
        <f t="shared" si="0"/>
        <v>19</v>
      </c>
      <c r="P73" s="15">
        <f t="shared" si="1"/>
        <v>23</v>
      </c>
      <c r="R73" s="8"/>
      <c r="T73"/>
    </row>
    <row r="74" spans="2:20" ht="23.1" customHeight="1" x14ac:dyDescent="0.25">
      <c r="B74" s="23" t="s">
        <v>114</v>
      </c>
      <c r="C74" s="49">
        <f>AVERAGE('24.8 Luweero-Kampala'!C74,'25.8 Luwero-Kampala-24 HRS'!C74)</f>
        <v>2</v>
      </c>
      <c r="D74" s="49">
        <f>AVERAGE('24.8 Luweero-Kampala'!D74,'25.8 Luwero-Kampala-24 HRS'!D74)</f>
        <v>0</v>
      </c>
      <c r="E74" s="49">
        <f>AVERAGE('24.8 Luweero-Kampala'!E74,'25.8 Luwero-Kampala-24 HRS'!E74)</f>
        <v>2</v>
      </c>
      <c r="F74" s="49">
        <f>AVERAGE('24.8 Luweero-Kampala'!F74,'25.8 Luwero-Kampala-24 HRS'!F74)</f>
        <v>0</v>
      </c>
      <c r="G74" s="49">
        <f>AVERAGE('24.8 Luweero-Kampala'!G74,'25.8 Luwero-Kampala-24 HRS'!G74)</f>
        <v>1</v>
      </c>
      <c r="H74" s="49">
        <f>AVERAGE('24.8 Luweero-Kampala'!H74,'25.8 Luwero-Kampala-24 HRS'!H74)</f>
        <v>1</v>
      </c>
      <c r="I74" s="49">
        <f>AVERAGE('24.8 Luweero-Kampala'!I74,'25.8 Luwero-Kampala-24 HRS'!I74)</f>
        <v>3</v>
      </c>
      <c r="J74" s="49">
        <f>AVERAGE('24.8 Luweero-Kampala'!J74,'25.8 Luwero-Kampala-24 HRS'!J74)</f>
        <v>0</v>
      </c>
      <c r="K74" s="49">
        <f>AVERAGE('24.8 Luweero-Kampala'!K74,'25.8 Luwero-Kampala-24 HRS'!K74)</f>
        <v>0</v>
      </c>
      <c r="L74" s="49">
        <f>AVERAGE('24.8 Luweero-Kampala'!L74,'25.8 Luwero-Kampala-24 HRS'!L74)</f>
        <v>1</v>
      </c>
      <c r="M74" s="49">
        <f>AVERAGE('24.8 Luweero-Kampala'!M74,'25.8 Luwero-Kampala-24 HRS'!M74)</f>
        <v>5</v>
      </c>
      <c r="N74" s="49">
        <f>AVERAGE('24.8 Luweero-Kampala'!N74,'25.8 Luwero-Kampala-24 HRS'!N74)</f>
        <v>0</v>
      </c>
      <c r="O74" s="15">
        <f t="shared" ref="O74:O105" si="35">SUM(C74:L74,N74)</f>
        <v>10</v>
      </c>
      <c r="P74" s="15">
        <f t="shared" ref="P74:P105" si="36">SUM(C74:N74)</f>
        <v>15</v>
      </c>
      <c r="R74" s="8"/>
      <c r="T74"/>
    </row>
    <row r="75" spans="2:20" ht="23.1" customHeight="1" x14ac:dyDescent="0.25">
      <c r="B75" s="23" t="s">
        <v>115</v>
      </c>
      <c r="C75" s="49">
        <f>AVERAGE('24.8 Luweero-Kampala'!C75,'25.8 Luwero-Kampala-24 HRS'!C75)</f>
        <v>1</v>
      </c>
      <c r="D75" s="49">
        <f>AVERAGE('24.8 Luweero-Kampala'!D75,'25.8 Luwero-Kampala-24 HRS'!D75)</f>
        <v>0</v>
      </c>
      <c r="E75" s="49">
        <f>AVERAGE('24.8 Luweero-Kampala'!E75,'25.8 Luwero-Kampala-24 HRS'!E75)</f>
        <v>1</v>
      </c>
      <c r="F75" s="49">
        <f>AVERAGE('24.8 Luweero-Kampala'!F75,'25.8 Luwero-Kampala-24 HRS'!F75)</f>
        <v>1</v>
      </c>
      <c r="G75" s="49">
        <f>AVERAGE('24.8 Luweero-Kampala'!G75,'25.8 Luwero-Kampala-24 HRS'!G75)</f>
        <v>1</v>
      </c>
      <c r="H75" s="49">
        <f>AVERAGE('24.8 Luweero-Kampala'!H75,'25.8 Luwero-Kampala-24 HRS'!H75)</f>
        <v>0</v>
      </c>
      <c r="I75" s="49">
        <f>AVERAGE('24.8 Luweero-Kampala'!I75,'25.8 Luwero-Kampala-24 HRS'!I75)</f>
        <v>3</v>
      </c>
      <c r="J75" s="49">
        <f>AVERAGE('24.8 Luweero-Kampala'!J75,'25.8 Luwero-Kampala-24 HRS'!J75)</f>
        <v>0</v>
      </c>
      <c r="K75" s="49">
        <f>AVERAGE('24.8 Luweero-Kampala'!K75,'25.8 Luwero-Kampala-24 HRS'!K75)</f>
        <v>0</v>
      </c>
      <c r="L75" s="49">
        <f>AVERAGE('24.8 Luweero-Kampala'!L75,'25.8 Luwero-Kampala-24 HRS'!L75)</f>
        <v>0</v>
      </c>
      <c r="M75" s="49">
        <f>AVERAGE('24.8 Luweero-Kampala'!M75,'25.8 Luwero-Kampala-24 HRS'!M75)</f>
        <v>4</v>
      </c>
      <c r="N75" s="49">
        <f>AVERAGE('24.8 Luweero-Kampala'!N75,'25.8 Luwero-Kampala-24 HRS'!N75)</f>
        <v>0</v>
      </c>
      <c r="O75" s="15">
        <f t="shared" si="35"/>
        <v>7</v>
      </c>
      <c r="P75" s="15">
        <f t="shared" si="36"/>
        <v>11</v>
      </c>
      <c r="R75" s="8"/>
      <c r="T75"/>
    </row>
    <row r="76" spans="2:20" ht="23.1" customHeight="1" x14ac:dyDescent="0.25">
      <c r="B76" s="23" t="s">
        <v>116</v>
      </c>
      <c r="C76" s="49">
        <f>AVERAGE('24.8 Luweero-Kampala'!C76,'25.8 Luwero-Kampala-24 HRS'!C76)</f>
        <v>2</v>
      </c>
      <c r="D76" s="49">
        <f>AVERAGE('24.8 Luweero-Kampala'!D76,'25.8 Luwero-Kampala-24 HRS'!D76)</f>
        <v>0</v>
      </c>
      <c r="E76" s="49">
        <f>AVERAGE('24.8 Luweero-Kampala'!E76,'25.8 Luwero-Kampala-24 HRS'!E76)</f>
        <v>0</v>
      </c>
      <c r="F76" s="49">
        <f>AVERAGE('24.8 Luweero-Kampala'!F76,'25.8 Luwero-Kampala-24 HRS'!F76)</f>
        <v>1</v>
      </c>
      <c r="G76" s="49">
        <f>AVERAGE('24.8 Luweero-Kampala'!G76,'25.8 Luwero-Kampala-24 HRS'!G76)</f>
        <v>2</v>
      </c>
      <c r="H76" s="49">
        <f>AVERAGE('24.8 Luweero-Kampala'!H76,'25.8 Luwero-Kampala-24 HRS'!H76)</f>
        <v>3</v>
      </c>
      <c r="I76" s="49">
        <f>AVERAGE('24.8 Luweero-Kampala'!I76,'25.8 Luwero-Kampala-24 HRS'!I76)</f>
        <v>2</v>
      </c>
      <c r="J76" s="49">
        <f>AVERAGE('24.8 Luweero-Kampala'!J76,'25.8 Luwero-Kampala-24 HRS'!J76)</f>
        <v>0</v>
      </c>
      <c r="K76" s="49">
        <f>AVERAGE('24.8 Luweero-Kampala'!K76,'25.8 Luwero-Kampala-24 HRS'!K76)</f>
        <v>0</v>
      </c>
      <c r="L76" s="49">
        <f>AVERAGE('24.8 Luweero-Kampala'!L76,'25.8 Luwero-Kampala-24 HRS'!L76)</f>
        <v>2</v>
      </c>
      <c r="M76" s="49">
        <f>AVERAGE('24.8 Luweero-Kampala'!M76,'25.8 Luwero-Kampala-24 HRS'!M76)</f>
        <v>3</v>
      </c>
      <c r="N76" s="49">
        <f>AVERAGE('24.8 Luweero-Kampala'!N76,'25.8 Luwero-Kampala-24 HRS'!N76)</f>
        <v>0</v>
      </c>
      <c r="O76" s="15">
        <f t="shared" si="35"/>
        <v>12</v>
      </c>
      <c r="P76" s="15">
        <f t="shared" si="36"/>
        <v>15</v>
      </c>
      <c r="R76" s="8"/>
      <c r="T76"/>
    </row>
    <row r="77" spans="2:20" ht="23.1" customHeight="1" x14ac:dyDescent="0.25">
      <c r="B77" s="23" t="s">
        <v>117</v>
      </c>
      <c r="C77" s="49">
        <f>AVERAGE('24.8 Luweero-Kampala'!C77,'25.8 Luwero-Kampala-24 HRS'!C77)</f>
        <v>2</v>
      </c>
      <c r="D77" s="49">
        <f>AVERAGE('24.8 Luweero-Kampala'!D77,'25.8 Luwero-Kampala-24 HRS'!D77)</f>
        <v>0</v>
      </c>
      <c r="E77" s="49">
        <f>AVERAGE('24.8 Luweero-Kampala'!E77,'25.8 Luwero-Kampala-24 HRS'!E77)</f>
        <v>1</v>
      </c>
      <c r="F77" s="49">
        <f>AVERAGE('24.8 Luweero-Kampala'!F77,'25.8 Luwero-Kampala-24 HRS'!F77)</f>
        <v>0</v>
      </c>
      <c r="G77" s="49">
        <f>AVERAGE('24.8 Luweero-Kampala'!G77,'25.8 Luwero-Kampala-24 HRS'!G77)</f>
        <v>0</v>
      </c>
      <c r="H77" s="49">
        <f>AVERAGE('24.8 Luweero-Kampala'!H77,'25.8 Luwero-Kampala-24 HRS'!H77)</f>
        <v>1</v>
      </c>
      <c r="I77" s="49">
        <f>AVERAGE('24.8 Luweero-Kampala'!I77,'25.8 Luwero-Kampala-24 HRS'!I77)</f>
        <v>2</v>
      </c>
      <c r="J77" s="49">
        <f>AVERAGE('24.8 Luweero-Kampala'!J77,'25.8 Luwero-Kampala-24 HRS'!J77)</f>
        <v>1</v>
      </c>
      <c r="K77" s="49">
        <f>AVERAGE('24.8 Luweero-Kampala'!K77,'25.8 Luwero-Kampala-24 HRS'!K77)</f>
        <v>0</v>
      </c>
      <c r="L77" s="49">
        <f>AVERAGE('24.8 Luweero-Kampala'!L77,'25.8 Luwero-Kampala-24 HRS'!L77)</f>
        <v>4</v>
      </c>
      <c r="M77" s="49">
        <f>AVERAGE('24.8 Luweero-Kampala'!M77,'25.8 Luwero-Kampala-24 HRS'!M77)</f>
        <v>4</v>
      </c>
      <c r="N77" s="49">
        <f>AVERAGE('24.8 Luweero-Kampala'!N77,'25.8 Luwero-Kampala-24 HRS'!N77)</f>
        <v>0</v>
      </c>
      <c r="O77" s="15">
        <f t="shared" si="35"/>
        <v>11</v>
      </c>
      <c r="P77" s="15">
        <f t="shared" si="36"/>
        <v>15</v>
      </c>
      <c r="R77" s="8"/>
      <c r="T77"/>
    </row>
    <row r="78" spans="2:20" ht="23.1" customHeight="1" x14ac:dyDescent="0.25">
      <c r="B78" s="24" t="s">
        <v>118</v>
      </c>
      <c r="C78" s="49">
        <f>AVERAGE('24.8 Luweero-Kampala'!C78,'25.8 Luwero-Kampala-24 HRS'!C78)</f>
        <v>0</v>
      </c>
      <c r="D78" s="49">
        <f>AVERAGE('24.8 Luweero-Kampala'!D78,'25.8 Luwero-Kampala-24 HRS'!D78)</f>
        <v>0</v>
      </c>
      <c r="E78" s="49">
        <f>AVERAGE('24.8 Luweero-Kampala'!E78,'25.8 Luwero-Kampala-24 HRS'!E78)</f>
        <v>0</v>
      </c>
      <c r="F78" s="49">
        <f>AVERAGE('24.8 Luweero-Kampala'!F78,'25.8 Luwero-Kampala-24 HRS'!F78)</f>
        <v>1</v>
      </c>
      <c r="G78" s="49">
        <f>AVERAGE('24.8 Luweero-Kampala'!G78,'25.8 Luwero-Kampala-24 HRS'!G78)</f>
        <v>1</v>
      </c>
      <c r="H78" s="49">
        <f>AVERAGE('24.8 Luweero-Kampala'!H78,'25.8 Luwero-Kampala-24 HRS'!H78)</f>
        <v>1</v>
      </c>
      <c r="I78" s="49">
        <f>AVERAGE('24.8 Luweero-Kampala'!I78,'25.8 Luwero-Kampala-24 HRS'!I78)</f>
        <v>0</v>
      </c>
      <c r="J78" s="49">
        <f>AVERAGE('24.8 Luweero-Kampala'!J78,'25.8 Luwero-Kampala-24 HRS'!J78)</f>
        <v>0</v>
      </c>
      <c r="K78" s="49">
        <f>AVERAGE('24.8 Luweero-Kampala'!K78,'25.8 Luwero-Kampala-24 HRS'!K78)</f>
        <v>0</v>
      </c>
      <c r="L78" s="49">
        <f>AVERAGE('24.8 Luweero-Kampala'!L78,'25.8 Luwero-Kampala-24 HRS'!L78)</f>
        <v>1</v>
      </c>
      <c r="M78" s="49">
        <f>AVERAGE('24.8 Luweero-Kampala'!M78,'25.8 Luwero-Kampala-24 HRS'!M78)</f>
        <v>3</v>
      </c>
      <c r="N78" s="49">
        <f>AVERAGE('24.8 Luweero-Kampala'!N78,'25.8 Luwero-Kampala-24 HRS'!N78)</f>
        <v>0</v>
      </c>
      <c r="O78" s="15">
        <f t="shared" si="35"/>
        <v>4</v>
      </c>
      <c r="P78" s="15">
        <f t="shared" si="36"/>
        <v>7</v>
      </c>
      <c r="R78" s="8"/>
      <c r="T78"/>
    </row>
    <row r="79" spans="2:20" ht="23.1" customHeight="1" x14ac:dyDescent="0.25">
      <c r="B79" s="23" t="s">
        <v>119</v>
      </c>
      <c r="C79" s="49">
        <f>AVERAGE('24.8 Luweero-Kampala'!C79,'25.8 Luwero-Kampala-24 HRS'!C79)</f>
        <v>1</v>
      </c>
      <c r="D79" s="49">
        <f>AVERAGE('24.8 Luweero-Kampala'!D79,'25.8 Luwero-Kampala-24 HRS'!D79)</f>
        <v>0</v>
      </c>
      <c r="E79" s="49">
        <f>AVERAGE('24.8 Luweero-Kampala'!E79,'25.8 Luwero-Kampala-24 HRS'!E79)</f>
        <v>2</v>
      </c>
      <c r="F79" s="49">
        <f>AVERAGE('24.8 Luweero-Kampala'!F79,'25.8 Luwero-Kampala-24 HRS'!F79)</f>
        <v>0</v>
      </c>
      <c r="G79" s="49">
        <f>AVERAGE('24.8 Luweero-Kampala'!G79,'25.8 Luwero-Kampala-24 HRS'!G79)</f>
        <v>1</v>
      </c>
      <c r="H79" s="49">
        <f>AVERAGE('24.8 Luweero-Kampala'!H79,'25.8 Luwero-Kampala-24 HRS'!H79)</f>
        <v>0</v>
      </c>
      <c r="I79" s="49">
        <f>AVERAGE('24.8 Luweero-Kampala'!I79,'25.8 Luwero-Kampala-24 HRS'!I79)</f>
        <v>1</v>
      </c>
      <c r="J79" s="49">
        <f>AVERAGE('24.8 Luweero-Kampala'!J79,'25.8 Luwero-Kampala-24 HRS'!J79)</f>
        <v>0</v>
      </c>
      <c r="K79" s="49">
        <f>AVERAGE('24.8 Luweero-Kampala'!K79,'25.8 Luwero-Kampala-24 HRS'!K79)</f>
        <v>0</v>
      </c>
      <c r="L79" s="49">
        <f>AVERAGE('24.8 Luweero-Kampala'!L79,'25.8 Luwero-Kampala-24 HRS'!L79)</f>
        <v>0</v>
      </c>
      <c r="M79" s="49">
        <f>AVERAGE('24.8 Luweero-Kampala'!M79,'25.8 Luwero-Kampala-24 HRS'!M79)</f>
        <v>4</v>
      </c>
      <c r="N79" s="49">
        <f>AVERAGE('24.8 Luweero-Kampala'!N79,'25.8 Luwero-Kampala-24 HRS'!N79)</f>
        <v>0</v>
      </c>
      <c r="O79" s="15">
        <f t="shared" si="35"/>
        <v>5</v>
      </c>
      <c r="P79" s="15">
        <f t="shared" si="36"/>
        <v>9</v>
      </c>
      <c r="R79" s="8"/>
      <c r="T79"/>
    </row>
    <row r="80" spans="2:20" ht="23.1" customHeight="1" x14ac:dyDescent="0.25">
      <c r="B80" s="25" t="s">
        <v>120</v>
      </c>
      <c r="C80" s="49">
        <f>AVERAGE('24.8 Luweero-Kampala'!C80,'25.8 Luwero-Kampala-24 HRS'!C80)</f>
        <v>1</v>
      </c>
      <c r="D80" s="49">
        <f>AVERAGE('24.8 Luweero-Kampala'!D80,'25.8 Luwero-Kampala-24 HRS'!D80)</f>
        <v>1</v>
      </c>
      <c r="E80" s="49">
        <f>AVERAGE('24.8 Luweero-Kampala'!E80,'25.8 Luwero-Kampala-24 HRS'!E80)</f>
        <v>0</v>
      </c>
      <c r="F80" s="49">
        <f>AVERAGE('24.8 Luweero-Kampala'!F80,'25.8 Luwero-Kampala-24 HRS'!F80)</f>
        <v>1</v>
      </c>
      <c r="G80" s="49">
        <f>AVERAGE('24.8 Luweero-Kampala'!G80,'25.8 Luwero-Kampala-24 HRS'!G80)</f>
        <v>2</v>
      </c>
      <c r="H80" s="49">
        <f>AVERAGE('24.8 Luweero-Kampala'!H80,'25.8 Luwero-Kampala-24 HRS'!H80)</f>
        <v>2</v>
      </c>
      <c r="I80" s="49">
        <f>AVERAGE('24.8 Luweero-Kampala'!I80,'25.8 Luwero-Kampala-24 HRS'!I80)</f>
        <v>2</v>
      </c>
      <c r="J80" s="49">
        <f>AVERAGE('24.8 Luweero-Kampala'!J80,'25.8 Luwero-Kampala-24 HRS'!J80)</f>
        <v>0</v>
      </c>
      <c r="K80" s="49">
        <f>AVERAGE('24.8 Luweero-Kampala'!K80,'25.8 Luwero-Kampala-24 HRS'!K80)</f>
        <v>0</v>
      </c>
      <c r="L80" s="49">
        <f>AVERAGE('24.8 Luweero-Kampala'!L80,'25.8 Luwero-Kampala-24 HRS'!L80)</f>
        <v>2</v>
      </c>
      <c r="M80" s="49">
        <f>AVERAGE('24.8 Luweero-Kampala'!M80,'25.8 Luwero-Kampala-24 HRS'!M80)</f>
        <v>2</v>
      </c>
      <c r="N80" s="49">
        <f>AVERAGE('24.8 Luweero-Kampala'!N80,'25.8 Luwero-Kampala-24 HRS'!N80)</f>
        <v>0</v>
      </c>
      <c r="O80" s="15">
        <f t="shared" si="35"/>
        <v>11</v>
      </c>
      <c r="P80" s="15">
        <f t="shared" si="36"/>
        <v>13</v>
      </c>
      <c r="R80" s="8"/>
      <c r="T80"/>
    </row>
    <row r="81" spans="2:20" ht="23.1" customHeight="1" x14ac:dyDescent="0.25">
      <c r="B81" s="23" t="s">
        <v>121</v>
      </c>
      <c r="C81" s="49">
        <f>AVERAGE('24.8 Luweero-Kampala'!C81,'25.8 Luwero-Kampala-24 HRS'!C81)</f>
        <v>2</v>
      </c>
      <c r="D81" s="49">
        <f>AVERAGE('24.8 Luweero-Kampala'!D81,'25.8 Luwero-Kampala-24 HRS'!D81)</f>
        <v>2</v>
      </c>
      <c r="E81" s="49">
        <f>AVERAGE('24.8 Luweero-Kampala'!E81,'25.8 Luwero-Kampala-24 HRS'!E81)</f>
        <v>1</v>
      </c>
      <c r="F81" s="49">
        <f>AVERAGE('24.8 Luweero-Kampala'!F81,'25.8 Luwero-Kampala-24 HRS'!F81)</f>
        <v>0</v>
      </c>
      <c r="G81" s="49">
        <f>AVERAGE('24.8 Luweero-Kampala'!G81,'25.8 Luwero-Kampala-24 HRS'!G81)</f>
        <v>0</v>
      </c>
      <c r="H81" s="49">
        <f>AVERAGE('24.8 Luweero-Kampala'!H81,'25.8 Luwero-Kampala-24 HRS'!H81)</f>
        <v>1</v>
      </c>
      <c r="I81" s="49">
        <f>AVERAGE('24.8 Luweero-Kampala'!I81,'25.8 Luwero-Kampala-24 HRS'!I81)</f>
        <v>2</v>
      </c>
      <c r="J81" s="49">
        <f>AVERAGE('24.8 Luweero-Kampala'!J81,'25.8 Luwero-Kampala-24 HRS'!J81)</f>
        <v>1</v>
      </c>
      <c r="K81" s="49">
        <f>AVERAGE('24.8 Luweero-Kampala'!K81,'25.8 Luwero-Kampala-24 HRS'!K81)</f>
        <v>0</v>
      </c>
      <c r="L81" s="49">
        <f>AVERAGE('24.8 Luweero-Kampala'!L81,'25.8 Luwero-Kampala-24 HRS'!L81)</f>
        <v>4</v>
      </c>
      <c r="M81" s="49">
        <f>AVERAGE('24.8 Luweero-Kampala'!M81,'25.8 Luwero-Kampala-24 HRS'!M81)</f>
        <v>4</v>
      </c>
      <c r="N81" s="49">
        <f>AVERAGE('24.8 Luweero-Kampala'!N81,'25.8 Luwero-Kampala-24 HRS'!N81)</f>
        <v>0</v>
      </c>
      <c r="O81" s="15">
        <f t="shared" si="35"/>
        <v>13</v>
      </c>
      <c r="P81" s="15">
        <f t="shared" si="36"/>
        <v>17</v>
      </c>
      <c r="R81" s="8"/>
      <c r="T81"/>
    </row>
    <row r="82" spans="2:20" ht="23.1" customHeight="1" x14ac:dyDescent="0.25">
      <c r="B82" s="24" t="s">
        <v>122</v>
      </c>
      <c r="C82" s="49">
        <f>AVERAGE('24.8 Luweero-Kampala'!C82,'25.8 Luwero-Kampala-24 HRS'!C82)</f>
        <v>0</v>
      </c>
      <c r="D82" s="49">
        <f>AVERAGE('24.8 Luweero-Kampala'!D82,'25.8 Luwero-Kampala-24 HRS'!D82)</f>
        <v>0</v>
      </c>
      <c r="E82" s="49">
        <f>AVERAGE('24.8 Luweero-Kampala'!E82,'25.8 Luwero-Kampala-24 HRS'!E82)</f>
        <v>0</v>
      </c>
      <c r="F82" s="49">
        <f>AVERAGE('24.8 Luweero-Kampala'!F82,'25.8 Luwero-Kampala-24 HRS'!F82)</f>
        <v>1</v>
      </c>
      <c r="G82" s="49">
        <f>AVERAGE('24.8 Luweero-Kampala'!G82,'25.8 Luwero-Kampala-24 HRS'!G82)</f>
        <v>1</v>
      </c>
      <c r="H82" s="49">
        <f>AVERAGE('24.8 Luweero-Kampala'!H82,'25.8 Luwero-Kampala-24 HRS'!H82)</f>
        <v>1</v>
      </c>
      <c r="I82" s="49">
        <f>AVERAGE('24.8 Luweero-Kampala'!I82,'25.8 Luwero-Kampala-24 HRS'!I82)</f>
        <v>0</v>
      </c>
      <c r="J82" s="49">
        <f>AVERAGE('24.8 Luweero-Kampala'!J82,'25.8 Luwero-Kampala-24 HRS'!J82)</f>
        <v>0</v>
      </c>
      <c r="K82" s="49">
        <f>AVERAGE('24.8 Luweero-Kampala'!K82,'25.8 Luwero-Kampala-24 HRS'!K82)</f>
        <v>0</v>
      </c>
      <c r="L82" s="49">
        <f>AVERAGE('24.8 Luweero-Kampala'!L82,'25.8 Luwero-Kampala-24 HRS'!L82)</f>
        <v>1</v>
      </c>
      <c r="M82" s="49">
        <f>AVERAGE('24.8 Luweero-Kampala'!M82,'25.8 Luwero-Kampala-24 HRS'!M82)</f>
        <v>2</v>
      </c>
      <c r="N82" s="49">
        <f>AVERAGE('24.8 Luweero-Kampala'!N82,'25.8 Luwero-Kampala-24 HRS'!N82)</f>
        <v>0</v>
      </c>
      <c r="O82" s="15">
        <f t="shared" si="35"/>
        <v>4</v>
      </c>
      <c r="P82" s="15">
        <f t="shared" si="36"/>
        <v>6</v>
      </c>
      <c r="R82" s="8"/>
      <c r="T82"/>
    </row>
    <row r="83" spans="2:20" ht="23.1" customHeight="1" x14ac:dyDescent="0.25">
      <c r="B83" s="23" t="s">
        <v>123</v>
      </c>
      <c r="C83" s="49">
        <f>AVERAGE('24.8 Luweero-Kampala'!C83,'25.8 Luwero-Kampala-24 HRS'!C83)</f>
        <v>1</v>
      </c>
      <c r="D83" s="49">
        <f>AVERAGE('24.8 Luweero-Kampala'!D83,'25.8 Luwero-Kampala-24 HRS'!D83)</f>
        <v>1</v>
      </c>
      <c r="E83" s="49">
        <f>AVERAGE('24.8 Luweero-Kampala'!E83,'25.8 Luwero-Kampala-24 HRS'!E83)</f>
        <v>2</v>
      </c>
      <c r="F83" s="49">
        <f>AVERAGE('24.8 Luweero-Kampala'!F83,'25.8 Luwero-Kampala-24 HRS'!F83)</f>
        <v>0</v>
      </c>
      <c r="G83" s="49">
        <f>AVERAGE('24.8 Luweero-Kampala'!G83,'25.8 Luwero-Kampala-24 HRS'!G83)</f>
        <v>1</v>
      </c>
      <c r="H83" s="49">
        <f>AVERAGE('24.8 Luweero-Kampala'!H83,'25.8 Luwero-Kampala-24 HRS'!H83)</f>
        <v>0</v>
      </c>
      <c r="I83" s="49">
        <f>AVERAGE('24.8 Luweero-Kampala'!I83,'25.8 Luwero-Kampala-24 HRS'!I83)</f>
        <v>1</v>
      </c>
      <c r="J83" s="49">
        <f>AVERAGE('24.8 Luweero-Kampala'!J83,'25.8 Luwero-Kampala-24 HRS'!J83)</f>
        <v>0</v>
      </c>
      <c r="K83" s="49">
        <f>AVERAGE('24.8 Luweero-Kampala'!K83,'25.8 Luwero-Kampala-24 HRS'!K83)</f>
        <v>0</v>
      </c>
      <c r="L83" s="49">
        <f>AVERAGE('24.8 Luweero-Kampala'!L83,'25.8 Luwero-Kampala-24 HRS'!L83)</f>
        <v>0</v>
      </c>
      <c r="M83" s="49">
        <f>AVERAGE('24.8 Luweero-Kampala'!M83,'25.8 Luwero-Kampala-24 HRS'!M83)</f>
        <v>1</v>
      </c>
      <c r="N83" s="49">
        <f>AVERAGE('24.8 Luweero-Kampala'!N83,'25.8 Luwero-Kampala-24 HRS'!N83)</f>
        <v>0</v>
      </c>
      <c r="O83" s="15">
        <f t="shared" si="35"/>
        <v>6</v>
      </c>
      <c r="P83" s="15">
        <f t="shared" si="36"/>
        <v>7</v>
      </c>
      <c r="R83" s="8"/>
      <c r="T83"/>
    </row>
    <row r="84" spans="2:20" ht="23.1" customHeight="1" x14ac:dyDescent="0.25">
      <c r="B84" s="25" t="s">
        <v>124</v>
      </c>
      <c r="C84" s="49">
        <f>AVERAGE('24.8 Luweero-Kampala'!C84,'25.8 Luwero-Kampala-24 HRS'!C84)</f>
        <v>1</v>
      </c>
      <c r="D84" s="49">
        <f>AVERAGE('24.8 Luweero-Kampala'!D84,'25.8 Luwero-Kampala-24 HRS'!D84)</f>
        <v>0</v>
      </c>
      <c r="E84" s="49">
        <f>AVERAGE('24.8 Luweero-Kampala'!E84,'25.8 Luwero-Kampala-24 HRS'!E84)</f>
        <v>0</v>
      </c>
      <c r="F84" s="49">
        <f>AVERAGE('24.8 Luweero-Kampala'!F84,'25.8 Luwero-Kampala-24 HRS'!F84)</f>
        <v>1</v>
      </c>
      <c r="G84" s="49">
        <f>AVERAGE('24.8 Luweero-Kampala'!G84,'25.8 Luwero-Kampala-24 HRS'!G84)</f>
        <v>0</v>
      </c>
      <c r="H84" s="49">
        <f>AVERAGE('24.8 Luweero-Kampala'!H84,'25.8 Luwero-Kampala-24 HRS'!H84)</f>
        <v>0</v>
      </c>
      <c r="I84" s="49">
        <f>AVERAGE('24.8 Luweero-Kampala'!I84,'25.8 Luwero-Kampala-24 HRS'!I84)</f>
        <v>1</v>
      </c>
      <c r="J84" s="49">
        <f>AVERAGE('24.8 Luweero-Kampala'!J84,'25.8 Luwero-Kampala-24 HRS'!J84)</f>
        <v>0</v>
      </c>
      <c r="K84" s="49">
        <f>AVERAGE('24.8 Luweero-Kampala'!K84,'25.8 Luwero-Kampala-24 HRS'!K84)</f>
        <v>0</v>
      </c>
      <c r="L84" s="49">
        <f>AVERAGE('24.8 Luweero-Kampala'!L84,'25.8 Luwero-Kampala-24 HRS'!L84)</f>
        <v>1</v>
      </c>
      <c r="M84" s="49">
        <f>AVERAGE('24.8 Luweero-Kampala'!M84,'25.8 Luwero-Kampala-24 HRS'!M84)</f>
        <v>2</v>
      </c>
      <c r="N84" s="49">
        <f>AVERAGE('24.8 Luweero-Kampala'!N84,'25.8 Luwero-Kampala-24 HRS'!N84)</f>
        <v>0</v>
      </c>
      <c r="O84" s="15">
        <f t="shared" si="35"/>
        <v>4</v>
      </c>
      <c r="P84" s="15">
        <f t="shared" si="36"/>
        <v>6</v>
      </c>
      <c r="R84" s="8"/>
      <c r="T84"/>
    </row>
    <row r="85" spans="2:20" ht="23.1" customHeight="1" x14ac:dyDescent="0.25">
      <c r="B85" s="23" t="s">
        <v>125</v>
      </c>
      <c r="C85" s="49">
        <f>AVERAGE('24.8 Luweero-Kampala'!C85,'25.8 Luwero-Kampala-24 HRS'!C85)</f>
        <v>2</v>
      </c>
      <c r="D85" s="49">
        <f>AVERAGE('24.8 Luweero-Kampala'!D85,'25.8 Luwero-Kampala-24 HRS'!D85)</f>
        <v>0</v>
      </c>
      <c r="E85" s="49">
        <f>AVERAGE('24.8 Luweero-Kampala'!E85,'25.8 Luwero-Kampala-24 HRS'!E85)</f>
        <v>1</v>
      </c>
      <c r="F85" s="49">
        <f>AVERAGE('24.8 Luweero-Kampala'!F85,'25.8 Luwero-Kampala-24 HRS'!F85)</f>
        <v>0</v>
      </c>
      <c r="G85" s="49">
        <f>AVERAGE('24.8 Luweero-Kampala'!G85,'25.8 Luwero-Kampala-24 HRS'!G85)</f>
        <v>0</v>
      </c>
      <c r="H85" s="49">
        <f>AVERAGE('24.8 Luweero-Kampala'!H85,'25.8 Luwero-Kampala-24 HRS'!H85)</f>
        <v>1</v>
      </c>
      <c r="I85" s="49">
        <f>AVERAGE('24.8 Luweero-Kampala'!I85,'25.8 Luwero-Kampala-24 HRS'!I85)</f>
        <v>2</v>
      </c>
      <c r="J85" s="49">
        <f>AVERAGE('24.8 Luweero-Kampala'!J85,'25.8 Luwero-Kampala-24 HRS'!J85)</f>
        <v>1</v>
      </c>
      <c r="K85" s="49">
        <f>AVERAGE('24.8 Luweero-Kampala'!K85,'25.8 Luwero-Kampala-24 HRS'!K85)</f>
        <v>0</v>
      </c>
      <c r="L85" s="49">
        <f>AVERAGE('24.8 Luweero-Kampala'!L85,'25.8 Luwero-Kampala-24 HRS'!L85)</f>
        <v>1</v>
      </c>
      <c r="M85" s="49">
        <f>AVERAGE('24.8 Luweero-Kampala'!M85,'25.8 Luwero-Kampala-24 HRS'!M85)</f>
        <v>0</v>
      </c>
      <c r="N85" s="49">
        <f>AVERAGE('24.8 Luweero-Kampala'!N85,'25.8 Luwero-Kampala-24 HRS'!N85)</f>
        <v>0</v>
      </c>
      <c r="O85" s="15">
        <f t="shared" si="35"/>
        <v>8</v>
      </c>
      <c r="P85" s="15">
        <f t="shared" si="36"/>
        <v>8</v>
      </c>
      <c r="R85" s="8"/>
      <c r="T85"/>
    </row>
    <row r="86" spans="2:20" ht="23.1" customHeight="1" x14ac:dyDescent="0.25">
      <c r="B86" s="24" t="s">
        <v>126</v>
      </c>
      <c r="C86" s="49">
        <f>AVERAGE('24.8 Luweero-Kampala'!C86,'25.8 Luwero-Kampala-24 HRS'!C86)</f>
        <v>0</v>
      </c>
      <c r="D86" s="49">
        <f>AVERAGE('24.8 Luweero-Kampala'!D86,'25.8 Luwero-Kampala-24 HRS'!D86)</f>
        <v>0</v>
      </c>
      <c r="E86" s="49">
        <f>AVERAGE('24.8 Luweero-Kampala'!E86,'25.8 Luwero-Kampala-24 HRS'!E86)</f>
        <v>0</v>
      </c>
      <c r="F86" s="49">
        <f>AVERAGE('24.8 Luweero-Kampala'!F86,'25.8 Luwero-Kampala-24 HRS'!F86)</f>
        <v>1</v>
      </c>
      <c r="G86" s="49">
        <f>AVERAGE('24.8 Luweero-Kampala'!G86,'25.8 Luwero-Kampala-24 HRS'!G86)</f>
        <v>1</v>
      </c>
      <c r="H86" s="49">
        <f>AVERAGE('24.8 Luweero-Kampala'!H86,'25.8 Luwero-Kampala-24 HRS'!H86)</f>
        <v>1</v>
      </c>
      <c r="I86" s="49">
        <f>AVERAGE('24.8 Luweero-Kampala'!I86,'25.8 Luwero-Kampala-24 HRS'!I86)</f>
        <v>0</v>
      </c>
      <c r="J86" s="49">
        <f>AVERAGE('24.8 Luweero-Kampala'!J86,'25.8 Luwero-Kampala-24 HRS'!J86)</f>
        <v>0</v>
      </c>
      <c r="K86" s="49">
        <f>AVERAGE('24.8 Luweero-Kampala'!K86,'25.8 Luwero-Kampala-24 HRS'!K86)</f>
        <v>1</v>
      </c>
      <c r="L86" s="49">
        <f>AVERAGE('24.8 Luweero-Kampala'!L86,'25.8 Luwero-Kampala-24 HRS'!L86)</f>
        <v>1</v>
      </c>
      <c r="M86" s="49">
        <f>AVERAGE('24.8 Luweero-Kampala'!M86,'25.8 Luwero-Kampala-24 HRS'!M86)</f>
        <v>1</v>
      </c>
      <c r="N86" s="49">
        <f>AVERAGE('24.8 Luweero-Kampala'!N86,'25.8 Luwero-Kampala-24 HRS'!N86)</f>
        <v>0</v>
      </c>
      <c r="O86" s="15">
        <f t="shared" si="35"/>
        <v>5</v>
      </c>
      <c r="P86" s="15">
        <f t="shared" si="36"/>
        <v>6</v>
      </c>
      <c r="R86" s="8"/>
      <c r="T86"/>
    </row>
    <row r="87" spans="2:20" ht="23.1" customHeight="1" x14ac:dyDescent="0.25">
      <c r="B87" s="23" t="s">
        <v>127</v>
      </c>
      <c r="C87" s="49">
        <f>AVERAGE('24.8 Luweero-Kampala'!C87,'25.8 Luwero-Kampala-24 HRS'!C87)</f>
        <v>1</v>
      </c>
      <c r="D87" s="49">
        <f>AVERAGE('24.8 Luweero-Kampala'!D87,'25.8 Luwero-Kampala-24 HRS'!D87)</f>
        <v>0</v>
      </c>
      <c r="E87" s="49">
        <f>AVERAGE('24.8 Luweero-Kampala'!E87,'25.8 Luwero-Kampala-24 HRS'!E87)</f>
        <v>1</v>
      </c>
      <c r="F87" s="49">
        <f>AVERAGE('24.8 Luweero-Kampala'!F87,'25.8 Luwero-Kampala-24 HRS'!F87)</f>
        <v>0</v>
      </c>
      <c r="G87" s="49">
        <f>AVERAGE('24.8 Luweero-Kampala'!G87,'25.8 Luwero-Kampala-24 HRS'!G87)</f>
        <v>1</v>
      </c>
      <c r="H87" s="49">
        <f>AVERAGE('24.8 Luweero-Kampala'!H87,'25.8 Luwero-Kampala-24 HRS'!H87)</f>
        <v>0</v>
      </c>
      <c r="I87" s="49">
        <f>AVERAGE('24.8 Luweero-Kampala'!I87,'25.8 Luwero-Kampala-24 HRS'!I87)</f>
        <v>1</v>
      </c>
      <c r="J87" s="49">
        <f>AVERAGE('24.8 Luweero-Kampala'!J87,'25.8 Luwero-Kampala-24 HRS'!J87)</f>
        <v>0</v>
      </c>
      <c r="K87" s="49">
        <f>AVERAGE('24.8 Luweero-Kampala'!K87,'25.8 Luwero-Kampala-24 HRS'!K87)</f>
        <v>0</v>
      </c>
      <c r="L87" s="49">
        <f>AVERAGE('24.8 Luweero-Kampala'!L87,'25.8 Luwero-Kampala-24 HRS'!L87)</f>
        <v>0</v>
      </c>
      <c r="M87" s="49">
        <f>AVERAGE('24.8 Luweero-Kampala'!M87,'25.8 Luwero-Kampala-24 HRS'!M87)</f>
        <v>1</v>
      </c>
      <c r="N87" s="49">
        <f>AVERAGE('24.8 Luweero-Kampala'!N87,'25.8 Luwero-Kampala-24 HRS'!N87)</f>
        <v>0</v>
      </c>
      <c r="O87" s="15">
        <f t="shared" si="35"/>
        <v>4</v>
      </c>
      <c r="P87" s="15">
        <f t="shared" si="36"/>
        <v>5</v>
      </c>
      <c r="R87" s="8"/>
      <c r="T87"/>
    </row>
    <row r="88" spans="2:20" ht="23.1" customHeight="1" x14ac:dyDescent="0.25">
      <c r="B88" s="25" t="s">
        <v>128</v>
      </c>
      <c r="C88" s="49">
        <f>AVERAGE('24.8 Luweero-Kampala'!C88,'25.8 Luwero-Kampala-24 HRS'!C88)</f>
        <v>1</v>
      </c>
      <c r="D88" s="49">
        <f>AVERAGE('24.8 Luweero-Kampala'!D88,'25.8 Luwero-Kampala-24 HRS'!D88)</f>
        <v>0</v>
      </c>
      <c r="E88" s="49">
        <f>AVERAGE('24.8 Luweero-Kampala'!E88,'25.8 Luwero-Kampala-24 HRS'!E88)</f>
        <v>0</v>
      </c>
      <c r="F88" s="49">
        <f>AVERAGE('24.8 Luweero-Kampala'!F88,'25.8 Luwero-Kampala-24 HRS'!F88)</f>
        <v>1</v>
      </c>
      <c r="G88" s="49">
        <f>AVERAGE('24.8 Luweero-Kampala'!G88,'25.8 Luwero-Kampala-24 HRS'!G88)</f>
        <v>0</v>
      </c>
      <c r="H88" s="49">
        <f>AVERAGE('24.8 Luweero-Kampala'!H88,'25.8 Luwero-Kampala-24 HRS'!H88)</f>
        <v>0</v>
      </c>
      <c r="I88" s="49">
        <f>AVERAGE('24.8 Luweero-Kampala'!I88,'25.8 Luwero-Kampala-24 HRS'!I88)</f>
        <v>1</v>
      </c>
      <c r="J88" s="49">
        <f>AVERAGE('24.8 Luweero-Kampala'!J88,'25.8 Luwero-Kampala-24 HRS'!J88)</f>
        <v>0</v>
      </c>
      <c r="K88" s="49">
        <f>AVERAGE('24.8 Luweero-Kampala'!K88,'25.8 Luwero-Kampala-24 HRS'!K88)</f>
        <v>0</v>
      </c>
      <c r="L88" s="49">
        <f>AVERAGE('24.8 Luweero-Kampala'!L88,'25.8 Luwero-Kampala-24 HRS'!L88)</f>
        <v>0</v>
      </c>
      <c r="M88" s="49">
        <f>AVERAGE('24.8 Luweero-Kampala'!M88,'25.8 Luwero-Kampala-24 HRS'!M88)</f>
        <v>0</v>
      </c>
      <c r="N88" s="49">
        <f>AVERAGE('24.8 Luweero-Kampala'!N88,'25.8 Luwero-Kampala-24 HRS'!N88)</f>
        <v>0</v>
      </c>
      <c r="O88" s="15">
        <f t="shared" si="35"/>
        <v>3</v>
      </c>
      <c r="P88" s="15">
        <f t="shared" si="36"/>
        <v>3</v>
      </c>
      <c r="R88" s="8"/>
      <c r="T88"/>
    </row>
    <row r="89" spans="2:20" ht="23.1" customHeight="1" x14ac:dyDescent="0.25">
      <c r="B89" s="23" t="s">
        <v>129</v>
      </c>
      <c r="C89" s="49">
        <f>AVERAGE('24.8 Luweero-Kampala'!C89,'25.8 Luwero-Kampala-24 HRS'!C89)</f>
        <v>0</v>
      </c>
      <c r="D89" s="49">
        <f>AVERAGE('24.8 Luweero-Kampala'!D89,'25.8 Luwero-Kampala-24 HRS'!D89)</f>
        <v>0</v>
      </c>
      <c r="E89" s="49">
        <f>AVERAGE('24.8 Luweero-Kampala'!E89,'25.8 Luwero-Kampala-24 HRS'!E89)</f>
        <v>1</v>
      </c>
      <c r="F89" s="49">
        <f>AVERAGE('24.8 Luweero-Kampala'!F89,'25.8 Luwero-Kampala-24 HRS'!F89)</f>
        <v>0</v>
      </c>
      <c r="G89" s="49">
        <f>AVERAGE('24.8 Luweero-Kampala'!G89,'25.8 Luwero-Kampala-24 HRS'!G89)</f>
        <v>0</v>
      </c>
      <c r="H89" s="49">
        <f>AVERAGE('24.8 Luweero-Kampala'!H89,'25.8 Luwero-Kampala-24 HRS'!H89)</f>
        <v>1</v>
      </c>
      <c r="I89" s="49">
        <f>AVERAGE('24.8 Luweero-Kampala'!I89,'25.8 Luwero-Kampala-24 HRS'!I89)</f>
        <v>2</v>
      </c>
      <c r="J89" s="49">
        <f>AVERAGE('24.8 Luweero-Kampala'!J89,'25.8 Luwero-Kampala-24 HRS'!J89)</f>
        <v>1</v>
      </c>
      <c r="K89" s="49">
        <f>AVERAGE('24.8 Luweero-Kampala'!K89,'25.8 Luwero-Kampala-24 HRS'!K89)</f>
        <v>0</v>
      </c>
      <c r="L89" s="49">
        <f>AVERAGE('24.8 Luweero-Kampala'!L89,'25.8 Luwero-Kampala-24 HRS'!L89)</f>
        <v>0</v>
      </c>
      <c r="M89" s="49">
        <f>AVERAGE('24.8 Luweero-Kampala'!M89,'25.8 Luwero-Kampala-24 HRS'!M89)</f>
        <v>0</v>
      </c>
      <c r="N89" s="49">
        <f>AVERAGE('24.8 Luweero-Kampala'!N89,'25.8 Luwero-Kampala-24 HRS'!N89)</f>
        <v>0</v>
      </c>
      <c r="O89" s="15">
        <f t="shared" si="35"/>
        <v>5</v>
      </c>
      <c r="P89" s="15">
        <f t="shared" si="36"/>
        <v>5</v>
      </c>
      <c r="R89" s="8"/>
      <c r="T89"/>
    </row>
    <row r="90" spans="2:20" ht="23.1" customHeight="1" x14ac:dyDescent="0.25">
      <c r="B90" s="24" t="s">
        <v>130</v>
      </c>
      <c r="C90" s="49">
        <f>AVERAGE('24.8 Luweero-Kampala'!C90,'25.8 Luwero-Kampala-24 HRS'!C90)</f>
        <v>0</v>
      </c>
      <c r="D90" s="49">
        <f>AVERAGE('24.8 Luweero-Kampala'!D90,'25.8 Luwero-Kampala-24 HRS'!D90)</f>
        <v>1</v>
      </c>
      <c r="E90" s="49">
        <f>AVERAGE('24.8 Luweero-Kampala'!E90,'25.8 Luwero-Kampala-24 HRS'!E90)</f>
        <v>0</v>
      </c>
      <c r="F90" s="49">
        <f>AVERAGE('24.8 Luweero-Kampala'!F90,'25.8 Luwero-Kampala-24 HRS'!F90)</f>
        <v>1</v>
      </c>
      <c r="G90" s="49">
        <f>AVERAGE('24.8 Luweero-Kampala'!G90,'25.8 Luwero-Kampala-24 HRS'!G90)</f>
        <v>1</v>
      </c>
      <c r="H90" s="49">
        <f>AVERAGE('24.8 Luweero-Kampala'!H90,'25.8 Luwero-Kampala-24 HRS'!H90)</f>
        <v>1</v>
      </c>
      <c r="I90" s="49">
        <f>AVERAGE('24.8 Luweero-Kampala'!I90,'25.8 Luwero-Kampala-24 HRS'!I90)</f>
        <v>0</v>
      </c>
      <c r="J90" s="49">
        <f>AVERAGE('24.8 Luweero-Kampala'!J90,'25.8 Luwero-Kampala-24 HRS'!J90)</f>
        <v>0</v>
      </c>
      <c r="K90" s="49">
        <f>AVERAGE('24.8 Luweero-Kampala'!K90,'25.8 Luwero-Kampala-24 HRS'!K90)</f>
        <v>0</v>
      </c>
      <c r="L90" s="49">
        <f>AVERAGE('24.8 Luweero-Kampala'!L90,'25.8 Luwero-Kampala-24 HRS'!L90)</f>
        <v>0</v>
      </c>
      <c r="M90" s="49">
        <f>AVERAGE('24.8 Luweero-Kampala'!M90,'25.8 Luwero-Kampala-24 HRS'!M90)</f>
        <v>0</v>
      </c>
      <c r="N90" s="49">
        <f>AVERAGE('24.8 Luweero-Kampala'!N90,'25.8 Luwero-Kampala-24 HRS'!N90)</f>
        <v>0</v>
      </c>
      <c r="O90" s="15">
        <f t="shared" si="35"/>
        <v>4</v>
      </c>
      <c r="P90" s="15">
        <f t="shared" si="36"/>
        <v>4</v>
      </c>
      <c r="R90" s="8"/>
      <c r="T90"/>
    </row>
    <row r="91" spans="2:20" ht="23.1" customHeight="1" x14ac:dyDescent="0.25">
      <c r="B91" s="23" t="s">
        <v>131</v>
      </c>
      <c r="C91" s="49">
        <f>AVERAGE('24.8 Luweero-Kampala'!C91,'25.8 Luwero-Kampala-24 HRS'!C91)</f>
        <v>0</v>
      </c>
      <c r="D91" s="49">
        <f>AVERAGE('24.8 Luweero-Kampala'!D91,'25.8 Luwero-Kampala-24 HRS'!D91)</f>
        <v>0</v>
      </c>
      <c r="E91" s="49">
        <f>AVERAGE('24.8 Luweero-Kampala'!E91,'25.8 Luwero-Kampala-24 HRS'!E91)</f>
        <v>1</v>
      </c>
      <c r="F91" s="49">
        <f>AVERAGE('24.8 Luweero-Kampala'!F91,'25.8 Luwero-Kampala-24 HRS'!F91)</f>
        <v>0</v>
      </c>
      <c r="G91" s="49">
        <f>AVERAGE('24.8 Luweero-Kampala'!G91,'25.8 Luwero-Kampala-24 HRS'!G91)</f>
        <v>1</v>
      </c>
      <c r="H91" s="49">
        <f>AVERAGE('24.8 Luweero-Kampala'!H91,'25.8 Luwero-Kampala-24 HRS'!H91)</f>
        <v>0</v>
      </c>
      <c r="I91" s="49">
        <f>AVERAGE('24.8 Luweero-Kampala'!I91,'25.8 Luwero-Kampala-24 HRS'!I91)</f>
        <v>1</v>
      </c>
      <c r="J91" s="49">
        <f>AVERAGE('24.8 Luweero-Kampala'!J91,'25.8 Luwero-Kampala-24 HRS'!J91)</f>
        <v>0</v>
      </c>
      <c r="K91" s="49">
        <f>AVERAGE('24.8 Luweero-Kampala'!K91,'25.8 Luwero-Kampala-24 HRS'!K91)</f>
        <v>0</v>
      </c>
      <c r="L91" s="49">
        <f>AVERAGE('24.8 Luweero-Kampala'!L91,'25.8 Luwero-Kampala-24 HRS'!L91)</f>
        <v>0</v>
      </c>
      <c r="M91" s="49">
        <f>AVERAGE('24.8 Luweero-Kampala'!M91,'25.8 Luwero-Kampala-24 HRS'!M91)</f>
        <v>1</v>
      </c>
      <c r="N91" s="49">
        <f>AVERAGE('24.8 Luweero-Kampala'!N91,'25.8 Luwero-Kampala-24 HRS'!N91)</f>
        <v>0</v>
      </c>
      <c r="O91" s="15">
        <f t="shared" si="35"/>
        <v>3</v>
      </c>
      <c r="P91" s="15">
        <f t="shared" si="36"/>
        <v>4</v>
      </c>
      <c r="R91" s="8"/>
      <c r="T91"/>
    </row>
    <row r="92" spans="2:20" ht="23.1" customHeight="1" x14ac:dyDescent="0.25">
      <c r="B92" s="25" t="s">
        <v>132</v>
      </c>
      <c r="C92" s="49">
        <f>AVERAGE('24.8 Luweero-Kampala'!C92,'25.8 Luwero-Kampala-24 HRS'!C92)</f>
        <v>1</v>
      </c>
      <c r="D92" s="49">
        <f>AVERAGE('24.8 Luweero-Kampala'!D92,'25.8 Luwero-Kampala-24 HRS'!D92)</f>
        <v>0</v>
      </c>
      <c r="E92" s="49">
        <f>AVERAGE('24.8 Luweero-Kampala'!E92,'25.8 Luwero-Kampala-24 HRS'!E92)</f>
        <v>0</v>
      </c>
      <c r="F92" s="49">
        <f>AVERAGE('24.8 Luweero-Kampala'!F92,'25.8 Luwero-Kampala-24 HRS'!F92)</f>
        <v>1</v>
      </c>
      <c r="G92" s="49">
        <f>AVERAGE('24.8 Luweero-Kampala'!G92,'25.8 Luwero-Kampala-24 HRS'!G92)</f>
        <v>0</v>
      </c>
      <c r="H92" s="49">
        <f>AVERAGE('24.8 Luweero-Kampala'!H92,'25.8 Luwero-Kampala-24 HRS'!H92)</f>
        <v>0</v>
      </c>
      <c r="I92" s="49">
        <f>AVERAGE('24.8 Luweero-Kampala'!I92,'25.8 Luwero-Kampala-24 HRS'!I92)</f>
        <v>1</v>
      </c>
      <c r="J92" s="49">
        <f>AVERAGE('24.8 Luweero-Kampala'!J92,'25.8 Luwero-Kampala-24 HRS'!J92)</f>
        <v>0</v>
      </c>
      <c r="K92" s="49">
        <f>AVERAGE('24.8 Luweero-Kampala'!K92,'25.8 Luwero-Kampala-24 HRS'!K92)</f>
        <v>0</v>
      </c>
      <c r="L92" s="49">
        <f>AVERAGE('24.8 Luweero-Kampala'!L92,'25.8 Luwero-Kampala-24 HRS'!L92)</f>
        <v>0</v>
      </c>
      <c r="M92" s="49">
        <f>AVERAGE('24.8 Luweero-Kampala'!M92,'25.8 Luwero-Kampala-24 HRS'!M92)</f>
        <v>2</v>
      </c>
      <c r="N92" s="49">
        <f>AVERAGE('24.8 Luweero-Kampala'!N92,'25.8 Luwero-Kampala-24 HRS'!N92)</f>
        <v>0</v>
      </c>
      <c r="O92" s="15">
        <f t="shared" si="35"/>
        <v>3</v>
      </c>
      <c r="P92" s="15">
        <f t="shared" si="36"/>
        <v>5</v>
      </c>
      <c r="R92" s="8"/>
      <c r="T92"/>
    </row>
    <row r="93" spans="2:20" ht="23.1" customHeight="1" x14ac:dyDescent="0.25">
      <c r="B93" s="23" t="s">
        <v>133</v>
      </c>
      <c r="C93" s="49">
        <f>AVERAGE('24.8 Luweero-Kampala'!C93,'25.8 Luwero-Kampala-24 HRS'!C93)</f>
        <v>0</v>
      </c>
      <c r="D93" s="49">
        <f>AVERAGE('24.8 Luweero-Kampala'!D93,'25.8 Luwero-Kampala-24 HRS'!D93)</f>
        <v>0</v>
      </c>
      <c r="E93" s="49">
        <f>AVERAGE('24.8 Luweero-Kampala'!E93,'25.8 Luwero-Kampala-24 HRS'!E93)</f>
        <v>0</v>
      </c>
      <c r="F93" s="49">
        <f>AVERAGE('24.8 Luweero-Kampala'!F93,'25.8 Luwero-Kampala-24 HRS'!F93)</f>
        <v>0</v>
      </c>
      <c r="G93" s="49">
        <f>AVERAGE('24.8 Luweero-Kampala'!G93,'25.8 Luwero-Kampala-24 HRS'!G93)</f>
        <v>0</v>
      </c>
      <c r="H93" s="49">
        <f>AVERAGE('24.8 Luweero-Kampala'!H93,'25.8 Luwero-Kampala-24 HRS'!H93)</f>
        <v>1</v>
      </c>
      <c r="I93" s="49">
        <f>AVERAGE('24.8 Luweero-Kampala'!I93,'25.8 Luwero-Kampala-24 HRS'!I93)</f>
        <v>2</v>
      </c>
      <c r="J93" s="49">
        <f>AVERAGE('24.8 Luweero-Kampala'!J93,'25.8 Luwero-Kampala-24 HRS'!J93)</f>
        <v>1</v>
      </c>
      <c r="K93" s="49">
        <f>AVERAGE('24.8 Luweero-Kampala'!K93,'25.8 Luwero-Kampala-24 HRS'!K93)</f>
        <v>0</v>
      </c>
      <c r="L93" s="49">
        <f>AVERAGE('24.8 Luweero-Kampala'!L93,'25.8 Luwero-Kampala-24 HRS'!L93)</f>
        <v>0</v>
      </c>
      <c r="M93" s="49">
        <f>AVERAGE('24.8 Luweero-Kampala'!M93,'25.8 Luwero-Kampala-24 HRS'!M93)</f>
        <v>0</v>
      </c>
      <c r="N93" s="49">
        <f>AVERAGE('24.8 Luweero-Kampala'!N93,'25.8 Luwero-Kampala-24 HRS'!N93)</f>
        <v>0</v>
      </c>
      <c r="O93" s="15">
        <f t="shared" si="35"/>
        <v>4</v>
      </c>
      <c r="P93" s="15">
        <f t="shared" si="36"/>
        <v>4</v>
      </c>
      <c r="R93" s="8"/>
      <c r="T93"/>
    </row>
    <row r="94" spans="2:20" ht="23.1" customHeight="1" x14ac:dyDescent="0.25">
      <c r="B94" s="24" t="s">
        <v>134</v>
      </c>
      <c r="C94" s="49">
        <f>AVERAGE('24.8 Luweero-Kampala'!C94,'25.8 Luwero-Kampala-24 HRS'!C94)</f>
        <v>0</v>
      </c>
      <c r="D94" s="49">
        <f>AVERAGE('24.8 Luweero-Kampala'!D94,'25.8 Luwero-Kampala-24 HRS'!D94)</f>
        <v>0</v>
      </c>
      <c r="E94" s="49">
        <f>AVERAGE('24.8 Luweero-Kampala'!E94,'25.8 Luwero-Kampala-24 HRS'!E94)</f>
        <v>0</v>
      </c>
      <c r="F94" s="49">
        <f>AVERAGE('24.8 Luweero-Kampala'!F94,'25.8 Luwero-Kampala-24 HRS'!F94)</f>
        <v>1</v>
      </c>
      <c r="G94" s="49">
        <f>AVERAGE('24.8 Luweero-Kampala'!G94,'25.8 Luwero-Kampala-24 HRS'!G94)</f>
        <v>0</v>
      </c>
      <c r="H94" s="49">
        <f>AVERAGE('24.8 Luweero-Kampala'!H94,'25.8 Luwero-Kampala-24 HRS'!H94)</f>
        <v>0.5</v>
      </c>
      <c r="I94" s="49">
        <f>AVERAGE('24.8 Luweero-Kampala'!I94,'25.8 Luwero-Kampala-24 HRS'!I94)</f>
        <v>0</v>
      </c>
      <c r="J94" s="49">
        <f>AVERAGE('24.8 Luweero-Kampala'!J94,'25.8 Luwero-Kampala-24 HRS'!J94)</f>
        <v>0</v>
      </c>
      <c r="K94" s="49">
        <f>AVERAGE('24.8 Luweero-Kampala'!K94,'25.8 Luwero-Kampala-24 HRS'!K94)</f>
        <v>0</v>
      </c>
      <c r="L94" s="49">
        <f>AVERAGE('24.8 Luweero-Kampala'!L94,'25.8 Luwero-Kampala-24 HRS'!L94)</f>
        <v>0</v>
      </c>
      <c r="M94" s="49">
        <f>AVERAGE('24.8 Luweero-Kampala'!M94,'25.8 Luwero-Kampala-24 HRS'!M94)</f>
        <v>0</v>
      </c>
      <c r="N94" s="49">
        <f>AVERAGE('24.8 Luweero-Kampala'!N94,'25.8 Luwero-Kampala-24 HRS'!N94)</f>
        <v>0</v>
      </c>
      <c r="O94" s="15">
        <f t="shared" si="35"/>
        <v>1.5</v>
      </c>
      <c r="P94" s="15">
        <f t="shared" si="36"/>
        <v>1.5</v>
      </c>
      <c r="R94" s="8"/>
      <c r="T94"/>
    </row>
    <row r="95" spans="2:20" ht="23.1" customHeight="1" x14ac:dyDescent="0.25">
      <c r="B95" s="23" t="s">
        <v>135</v>
      </c>
      <c r="C95" s="49">
        <f>AVERAGE('24.8 Luweero-Kampala'!C95,'25.8 Luwero-Kampala-24 HRS'!C95)</f>
        <v>0</v>
      </c>
      <c r="D95" s="49">
        <f>AVERAGE('24.8 Luweero-Kampala'!D95,'25.8 Luwero-Kampala-24 HRS'!D95)</f>
        <v>0</v>
      </c>
      <c r="E95" s="49">
        <f>AVERAGE('24.8 Luweero-Kampala'!E95,'25.8 Luwero-Kampala-24 HRS'!E95)</f>
        <v>0</v>
      </c>
      <c r="F95" s="49">
        <f>AVERAGE('24.8 Luweero-Kampala'!F95,'25.8 Luwero-Kampala-24 HRS'!F95)</f>
        <v>0</v>
      </c>
      <c r="G95" s="49">
        <f>AVERAGE('24.8 Luweero-Kampala'!G95,'25.8 Luwero-Kampala-24 HRS'!G95)</f>
        <v>0</v>
      </c>
      <c r="H95" s="49">
        <f>AVERAGE('24.8 Luweero-Kampala'!H95,'25.8 Luwero-Kampala-24 HRS'!H95)</f>
        <v>0</v>
      </c>
      <c r="I95" s="49">
        <f>AVERAGE('24.8 Luweero-Kampala'!I95,'25.8 Luwero-Kampala-24 HRS'!I95)</f>
        <v>1</v>
      </c>
      <c r="J95" s="49">
        <f>AVERAGE('24.8 Luweero-Kampala'!J95,'25.8 Luwero-Kampala-24 HRS'!J95)</f>
        <v>0</v>
      </c>
      <c r="K95" s="49">
        <f>AVERAGE('24.8 Luweero-Kampala'!K95,'25.8 Luwero-Kampala-24 HRS'!K95)</f>
        <v>0</v>
      </c>
      <c r="L95" s="49">
        <f>AVERAGE('24.8 Luweero-Kampala'!L95,'25.8 Luwero-Kampala-24 HRS'!L95)</f>
        <v>0</v>
      </c>
      <c r="M95" s="49">
        <f>AVERAGE('24.8 Luweero-Kampala'!M95,'25.8 Luwero-Kampala-24 HRS'!M95)</f>
        <v>0</v>
      </c>
      <c r="N95" s="49">
        <f>AVERAGE('24.8 Luweero-Kampala'!N95,'25.8 Luwero-Kampala-24 HRS'!N95)</f>
        <v>0</v>
      </c>
      <c r="O95" s="15">
        <f t="shared" si="35"/>
        <v>1</v>
      </c>
      <c r="P95" s="15">
        <f t="shared" si="36"/>
        <v>1</v>
      </c>
      <c r="R95" s="8"/>
      <c r="T95"/>
    </row>
    <row r="96" spans="2:20" ht="23.1" customHeight="1" x14ac:dyDescent="0.25">
      <c r="B96" s="25" t="s">
        <v>136</v>
      </c>
      <c r="C96" s="49">
        <f>AVERAGE('24.8 Luweero-Kampala'!C96,'25.8 Luwero-Kampala-24 HRS'!C96)</f>
        <v>1</v>
      </c>
      <c r="D96" s="49">
        <f>AVERAGE('24.8 Luweero-Kampala'!D96,'25.8 Luwero-Kampala-24 HRS'!D96)</f>
        <v>0</v>
      </c>
      <c r="E96" s="49">
        <f>AVERAGE('24.8 Luweero-Kampala'!E96,'25.8 Luwero-Kampala-24 HRS'!E96)</f>
        <v>0</v>
      </c>
      <c r="F96" s="49">
        <f>AVERAGE('24.8 Luweero-Kampala'!F96,'25.8 Luwero-Kampala-24 HRS'!F96)</f>
        <v>1</v>
      </c>
      <c r="G96" s="49">
        <f>AVERAGE('24.8 Luweero-Kampala'!G96,'25.8 Luwero-Kampala-24 HRS'!G96)</f>
        <v>0</v>
      </c>
      <c r="H96" s="49">
        <f>AVERAGE('24.8 Luweero-Kampala'!H96,'25.8 Luwero-Kampala-24 HRS'!H96)</f>
        <v>0</v>
      </c>
      <c r="I96" s="49">
        <f>AVERAGE('24.8 Luweero-Kampala'!I96,'25.8 Luwero-Kampala-24 HRS'!I96)</f>
        <v>1</v>
      </c>
      <c r="J96" s="49">
        <f>AVERAGE('24.8 Luweero-Kampala'!J96,'25.8 Luwero-Kampala-24 HRS'!J96)</f>
        <v>0</v>
      </c>
      <c r="K96" s="49">
        <f>AVERAGE('24.8 Luweero-Kampala'!K96,'25.8 Luwero-Kampala-24 HRS'!K96)</f>
        <v>0</v>
      </c>
      <c r="L96" s="49">
        <f>AVERAGE('24.8 Luweero-Kampala'!L96,'25.8 Luwero-Kampala-24 HRS'!L96)</f>
        <v>0</v>
      </c>
      <c r="M96" s="49">
        <f>AVERAGE('24.8 Luweero-Kampala'!M96,'25.8 Luwero-Kampala-24 HRS'!M96)</f>
        <v>0</v>
      </c>
      <c r="N96" s="49">
        <f>AVERAGE('24.8 Luweero-Kampala'!N96,'25.8 Luwero-Kampala-24 HRS'!N96)</f>
        <v>0</v>
      </c>
      <c r="O96" s="15">
        <f t="shared" si="35"/>
        <v>3</v>
      </c>
      <c r="P96" s="15">
        <f t="shared" si="36"/>
        <v>3</v>
      </c>
      <c r="R96" s="8"/>
      <c r="T96"/>
    </row>
    <row r="97" spans="2:20" ht="23.1" customHeight="1" x14ac:dyDescent="0.25">
      <c r="B97" s="23" t="s">
        <v>137</v>
      </c>
      <c r="C97" s="49">
        <f>AVERAGE('24.8 Luweero-Kampala'!C97,'25.8 Luwero-Kampala-24 HRS'!C97)</f>
        <v>0</v>
      </c>
      <c r="D97" s="49">
        <f>AVERAGE('24.8 Luweero-Kampala'!D97,'25.8 Luwero-Kampala-24 HRS'!D97)</f>
        <v>0</v>
      </c>
      <c r="E97" s="49">
        <f>AVERAGE('24.8 Luweero-Kampala'!E97,'25.8 Luwero-Kampala-24 HRS'!E97)</f>
        <v>0</v>
      </c>
      <c r="F97" s="49">
        <f>AVERAGE('24.8 Luweero-Kampala'!F97,'25.8 Luwero-Kampala-24 HRS'!F97)</f>
        <v>1</v>
      </c>
      <c r="G97" s="49">
        <f>AVERAGE('24.8 Luweero-Kampala'!G97,'25.8 Luwero-Kampala-24 HRS'!G97)</f>
        <v>1</v>
      </c>
      <c r="H97" s="49">
        <f>AVERAGE('24.8 Luweero-Kampala'!H97,'25.8 Luwero-Kampala-24 HRS'!H97)</f>
        <v>1</v>
      </c>
      <c r="I97" s="49">
        <f>AVERAGE('24.8 Luweero-Kampala'!I97,'25.8 Luwero-Kampala-24 HRS'!I97)</f>
        <v>0</v>
      </c>
      <c r="J97" s="49">
        <f>AVERAGE('24.8 Luweero-Kampala'!J97,'25.8 Luwero-Kampala-24 HRS'!J97)</f>
        <v>0</v>
      </c>
      <c r="K97" s="49">
        <f>AVERAGE('24.8 Luweero-Kampala'!K97,'25.8 Luwero-Kampala-24 HRS'!K97)</f>
        <v>0</v>
      </c>
      <c r="L97" s="49">
        <f>AVERAGE('24.8 Luweero-Kampala'!L97,'25.8 Luwero-Kampala-24 HRS'!L97)</f>
        <v>1</v>
      </c>
      <c r="M97" s="49">
        <f>AVERAGE('24.8 Luweero-Kampala'!M97,'25.8 Luwero-Kampala-24 HRS'!M97)</f>
        <v>2</v>
      </c>
      <c r="N97" s="49">
        <f>AVERAGE('24.8 Luweero-Kampala'!N97,'25.8 Luwero-Kampala-24 HRS'!N97)</f>
        <v>0</v>
      </c>
      <c r="O97" s="15">
        <f t="shared" si="35"/>
        <v>4</v>
      </c>
      <c r="P97" s="15">
        <f t="shared" si="36"/>
        <v>6</v>
      </c>
      <c r="R97" s="8"/>
      <c r="T97"/>
    </row>
    <row r="98" spans="2:20" ht="23.1" customHeight="1" x14ac:dyDescent="0.25">
      <c r="B98" s="24" t="s">
        <v>138</v>
      </c>
      <c r="C98" s="49">
        <f>AVERAGE('24.8 Luweero-Kampala'!C98,'25.8 Luwero-Kampala-24 HRS'!C98)</f>
        <v>1</v>
      </c>
      <c r="D98" s="49">
        <f>AVERAGE('24.8 Luweero-Kampala'!D98,'25.8 Luwero-Kampala-24 HRS'!D98)</f>
        <v>0</v>
      </c>
      <c r="E98" s="49">
        <f>AVERAGE('24.8 Luweero-Kampala'!E98,'25.8 Luwero-Kampala-24 HRS'!E98)</f>
        <v>1.5</v>
      </c>
      <c r="F98" s="49">
        <f>AVERAGE('24.8 Luweero-Kampala'!F98,'25.8 Luwero-Kampala-24 HRS'!F98)</f>
        <v>0</v>
      </c>
      <c r="G98" s="49">
        <f>AVERAGE('24.8 Luweero-Kampala'!G98,'25.8 Luwero-Kampala-24 HRS'!G98)</f>
        <v>1</v>
      </c>
      <c r="H98" s="49">
        <f>AVERAGE('24.8 Luweero-Kampala'!H98,'25.8 Luwero-Kampala-24 HRS'!H98)</f>
        <v>0</v>
      </c>
      <c r="I98" s="49">
        <f>AVERAGE('24.8 Luweero-Kampala'!I98,'25.8 Luwero-Kampala-24 HRS'!I98)</f>
        <v>1</v>
      </c>
      <c r="J98" s="49">
        <f>AVERAGE('24.8 Luweero-Kampala'!J98,'25.8 Luwero-Kampala-24 HRS'!J98)</f>
        <v>0</v>
      </c>
      <c r="K98" s="49">
        <f>AVERAGE('24.8 Luweero-Kampala'!K98,'25.8 Luwero-Kampala-24 HRS'!K98)</f>
        <v>0</v>
      </c>
      <c r="L98" s="49">
        <f>AVERAGE('24.8 Luweero-Kampala'!L98,'25.8 Luwero-Kampala-24 HRS'!L98)</f>
        <v>0</v>
      </c>
      <c r="M98" s="49">
        <f>AVERAGE('24.8 Luweero-Kampala'!M98,'25.8 Luwero-Kampala-24 HRS'!M98)</f>
        <v>1</v>
      </c>
      <c r="N98" s="49">
        <f>AVERAGE('24.8 Luweero-Kampala'!N98,'25.8 Luwero-Kampala-24 HRS'!N98)</f>
        <v>0</v>
      </c>
      <c r="O98" s="15">
        <f t="shared" si="35"/>
        <v>4.5</v>
      </c>
      <c r="P98" s="15">
        <f t="shared" si="36"/>
        <v>5.5</v>
      </c>
      <c r="R98" s="8"/>
      <c r="T98"/>
    </row>
    <row r="99" spans="2:20" ht="23.1" customHeight="1" x14ac:dyDescent="0.25">
      <c r="B99" s="23" t="s">
        <v>139</v>
      </c>
      <c r="C99" s="49">
        <f>AVERAGE('24.8 Luweero-Kampala'!C99,'25.8 Luwero-Kampala-24 HRS'!C99)</f>
        <v>2</v>
      </c>
      <c r="D99" s="49">
        <f>AVERAGE('24.8 Luweero-Kampala'!D99,'25.8 Luwero-Kampala-24 HRS'!D99)</f>
        <v>0</v>
      </c>
      <c r="E99" s="49">
        <f>AVERAGE('24.8 Luweero-Kampala'!E99,'25.8 Luwero-Kampala-24 HRS'!E99)</f>
        <v>0</v>
      </c>
      <c r="F99" s="49">
        <f>AVERAGE('24.8 Luweero-Kampala'!F99,'25.8 Luwero-Kampala-24 HRS'!F99)</f>
        <v>1</v>
      </c>
      <c r="G99" s="49">
        <f>AVERAGE('24.8 Luweero-Kampala'!G99,'25.8 Luwero-Kampala-24 HRS'!G99)</f>
        <v>0</v>
      </c>
      <c r="H99" s="49">
        <f>AVERAGE('24.8 Luweero-Kampala'!H99,'25.8 Luwero-Kampala-24 HRS'!H99)</f>
        <v>0</v>
      </c>
      <c r="I99" s="49">
        <f>AVERAGE('24.8 Luweero-Kampala'!I99,'25.8 Luwero-Kampala-24 HRS'!I99)</f>
        <v>0</v>
      </c>
      <c r="J99" s="49">
        <f>AVERAGE('24.8 Luweero-Kampala'!J99,'25.8 Luwero-Kampala-24 HRS'!J99)</f>
        <v>0</v>
      </c>
      <c r="K99" s="49">
        <f>AVERAGE('24.8 Luweero-Kampala'!K99,'25.8 Luwero-Kampala-24 HRS'!K99)</f>
        <v>0</v>
      </c>
      <c r="L99" s="49">
        <f>AVERAGE('24.8 Luweero-Kampala'!L99,'25.8 Luwero-Kampala-24 HRS'!L99)</f>
        <v>1</v>
      </c>
      <c r="M99" s="49">
        <f>AVERAGE('24.8 Luweero-Kampala'!M99,'25.8 Luwero-Kampala-24 HRS'!M99)</f>
        <v>1</v>
      </c>
      <c r="N99" s="49">
        <f>AVERAGE('24.8 Luweero-Kampala'!N99,'25.8 Luwero-Kampala-24 HRS'!N99)</f>
        <v>0</v>
      </c>
      <c r="O99" s="15">
        <f t="shared" si="35"/>
        <v>4</v>
      </c>
      <c r="P99" s="15">
        <f t="shared" si="36"/>
        <v>5</v>
      </c>
      <c r="R99" s="8"/>
      <c r="T99"/>
    </row>
    <row r="100" spans="2:20" ht="23.1" customHeight="1" x14ac:dyDescent="0.25">
      <c r="B100" s="25" t="s">
        <v>140</v>
      </c>
      <c r="C100" s="49">
        <f>AVERAGE('24.8 Luweero-Kampala'!C100,'25.8 Luwero-Kampala-24 HRS'!C100)</f>
        <v>2</v>
      </c>
      <c r="D100" s="49">
        <f>AVERAGE('24.8 Luweero-Kampala'!D100,'25.8 Luwero-Kampala-24 HRS'!D100)</f>
        <v>1</v>
      </c>
      <c r="E100" s="49">
        <f>AVERAGE('24.8 Luweero-Kampala'!E100,'25.8 Luwero-Kampala-24 HRS'!E100)</f>
        <v>1</v>
      </c>
      <c r="F100" s="49">
        <f>AVERAGE('24.8 Luweero-Kampala'!F100,'25.8 Luwero-Kampala-24 HRS'!F100)</f>
        <v>0</v>
      </c>
      <c r="G100" s="49">
        <f>AVERAGE('24.8 Luweero-Kampala'!G100,'25.8 Luwero-Kampala-24 HRS'!G100)</f>
        <v>0</v>
      </c>
      <c r="H100" s="49">
        <f>AVERAGE('24.8 Luweero-Kampala'!H100,'25.8 Luwero-Kampala-24 HRS'!H100)</f>
        <v>1</v>
      </c>
      <c r="I100" s="49">
        <f>AVERAGE('24.8 Luweero-Kampala'!I100,'25.8 Luwero-Kampala-24 HRS'!I100)</f>
        <v>2</v>
      </c>
      <c r="J100" s="49">
        <f>AVERAGE('24.8 Luweero-Kampala'!J100,'25.8 Luwero-Kampala-24 HRS'!J100)</f>
        <v>1</v>
      </c>
      <c r="K100" s="49">
        <f>AVERAGE('24.8 Luweero-Kampala'!K100,'25.8 Luwero-Kampala-24 HRS'!K100)</f>
        <v>0</v>
      </c>
      <c r="L100" s="49">
        <f>AVERAGE('24.8 Luweero-Kampala'!L100,'25.8 Luwero-Kampala-24 HRS'!L100)</f>
        <v>1</v>
      </c>
      <c r="M100" s="49">
        <f>AVERAGE('24.8 Luweero-Kampala'!M100,'25.8 Luwero-Kampala-24 HRS'!M100)</f>
        <v>0</v>
      </c>
      <c r="N100" s="49">
        <f>AVERAGE('24.8 Luweero-Kampala'!N100,'25.8 Luwero-Kampala-24 HRS'!N100)</f>
        <v>0</v>
      </c>
      <c r="O100" s="15">
        <f t="shared" si="35"/>
        <v>9</v>
      </c>
      <c r="P100" s="15">
        <f t="shared" si="36"/>
        <v>9</v>
      </c>
      <c r="R100" s="8"/>
      <c r="T100"/>
    </row>
    <row r="101" spans="2:20" ht="23.1" customHeight="1" x14ac:dyDescent="0.25">
      <c r="B101" s="23" t="s">
        <v>141</v>
      </c>
      <c r="C101" s="49">
        <f>AVERAGE('24.8 Luweero-Kampala'!C101,'25.8 Luwero-Kampala-24 HRS'!C101)</f>
        <v>3</v>
      </c>
      <c r="D101" s="49">
        <f>AVERAGE('24.8 Luweero-Kampala'!D101,'25.8 Luwero-Kampala-24 HRS'!D101)</f>
        <v>0</v>
      </c>
      <c r="E101" s="49">
        <f>AVERAGE('24.8 Luweero-Kampala'!E101,'25.8 Luwero-Kampala-24 HRS'!E101)</f>
        <v>0</v>
      </c>
      <c r="F101" s="49">
        <f>AVERAGE('24.8 Luweero-Kampala'!F101,'25.8 Luwero-Kampala-24 HRS'!F101)</f>
        <v>1</v>
      </c>
      <c r="G101" s="49">
        <f>AVERAGE('24.8 Luweero-Kampala'!G101,'25.8 Luwero-Kampala-24 HRS'!G101)</f>
        <v>1</v>
      </c>
      <c r="H101" s="49">
        <f>AVERAGE('24.8 Luweero-Kampala'!H101,'25.8 Luwero-Kampala-24 HRS'!H101)</f>
        <v>1</v>
      </c>
      <c r="I101" s="49">
        <f>AVERAGE('24.8 Luweero-Kampala'!I101,'25.8 Luwero-Kampala-24 HRS'!I101)</f>
        <v>0</v>
      </c>
      <c r="J101" s="49">
        <f>AVERAGE('24.8 Luweero-Kampala'!J101,'25.8 Luwero-Kampala-24 HRS'!J101)</f>
        <v>0</v>
      </c>
      <c r="K101" s="49">
        <f>AVERAGE('24.8 Luweero-Kampala'!K101,'25.8 Luwero-Kampala-24 HRS'!K101)</f>
        <v>0</v>
      </c>
      <c r="L101" s="49">
        <f>AVERAGE('24.8 Luweero-Kampala'!L101,'25.8 Luwero-Kampala-24 HRS'!L101)</f>
        <v>1</v>
      </c>
      <c r="M101" s="49">
        <f>AVERAGE('24.8 Luweero-Kampala'!M101,'25.8 Luwero-Kampala-24 HRS'!M101)</f>
        <v>2</v>
      </c>
      <c r="N101" s="49">
        <f>AVERAGE('24.8 Luweero-Kampala'!N101,'25.8 Luwero-Kampala-24 HRS'!N101)</f>
        <v>0</v>
      </c>
      <c r="O101" s="15">
        <f t="shared" si="35"/>
        <v>7</v>
      </c>
      <c r="P101" s="15">
        <f t="shared" si="36"/>
        <v>9</v>
      </c>
      <c r="R101" s="8"/>
      <c r="T101"/>
    </row>
    <row r="102" spans="2:20" ht="23.1" customHeight="1" x14ac:dyDescent="0.25">
      <c r="B102" s="24" t="s">
        <v>142</v>
      </c>
      <c r="C102" s="49">
        <f>AVERAGE('24.8 Luweero-Kampala'!C102,'25.8 Luwero-Kampala-24 HRS'!C102)</f>
        <v>4</v>
      </c>
      <c r="D102" s="49">
        <f>AVERAGE('24.8 Luweero-Kampala'!D102,'25.8 Luwero-Kampala-24 HRS'!D102)</f>
        <v>0</v>
      </c>
      <c r="E102" s="49">
        <f>AVERAGE('24.8 Luweero-Kampala'!E102,'25.8 Luwero-Kampala-24 HRS'!E102)</f>
        <v>1.5</v>
      </c>
      <c r="F102" s="49">
        <f>AVERAGE('24.8 Luweero-Kampala'!F102,'25.8 Luwero-Kampala-24 HRS'!F102)</f>
        <v>0</v>
      </c>
      <c r="G102" s="49">
        <f>AVERAGE('24.8 Luweero-Kampala'!G102,'25.8 Luwero-Kampala-24 HRS'!G102)</f>
        <v>1</v>
      </c>
      <c r="H102" s="49">
        <f>AVERAGE('24.8 Luweero-Kampala'!H102,'25.8 Luwero-Kampala-24 HRS'!H102)</f>
        <v>0</v>
      </c>
      <c r="I102" s="49">
        <f>AVERAGE('24.8 Luweero-Kampala'!I102,'25.8 Luwero-Kampala-24 HRS'!I102)</f>
        <v>1</v>
      </c>
      <c r="J102" s="49">
        <f>AVERAGE('24.8 Luweero-Kampala'!J102,'25.8 Luwero-Kampala-24 HRS'!J102)</f>
        <v>0</v>
      </c>
      <c r="K102" s="49">
        <f>AVERAGE('24.8 Luweero-Kampala'!K102,'25.8 Luwero-Kampala-24 HRS'!K102)</f>
        <v>0</v>
      </c>
      <c r="L102" s="49">
        <f>AVERAGE('24.8 Luweero-Kampala'!L102,'25.8 Luwero-Kampala-24 HRS'!L102)</f>
        <v>0</v>
      </c>
      <c r="M102" s="49">
        <f>AVERAGE('24.8 Luweero-Kampala'!M102,'25.8 Luwero-Kampala-24 HRS'!M102)</f>
        <v>3</v>
      </c>
      <c r="N102" s="49">
        <f>AVERAGE('24.8 Luweero-Kampala'!N102,'25.8 Luwero-Kampala-24 HRS'!N102)</f>
        <v>0</v>
      </c>
      <c r="O102" s="15">
        <f t="shared" si="35"/>
        <v>7.5</v>
      </c>
      <c r="P102" s="15">
        <f t="shared" si="36"/>
        <v>10.5</v>
      </c>
      <c r="R102" s="8"/>
      <c r="T102"/>
    </row>
    <row r="103" spans="2:20" ht="23.1" customHeight="1" x14ac:dyDescent="0.25">
      <c r="B103" s="23" t="s">
        <v>143</v>
      </c>
      <c r="C103" s="49">
        <f>AVERAGE('24.8 Luweero-Kampala'!C103,'25.8 Luwero-Kampala-24 HRS'!C103)</f>
        <v>4</v>
      </c>
      <c r="D103" s="49">
        <f>AVERAGE('24.8 Luweero-Kampala'!D103,'25.8 Luwero-Kampala-24 HRS'!D103)</f>
        <v>1.5</v>
      </c>
      <c r="E103" s="49">
        <f>AVERAGE('24.8 Luweero-Kampala'!E103,'25.8 Luwero-Kampala-24 HRS'!E103)</f>
        <v>0</v>
      </c>
      <c r="F103" s="49">
        <f>AVERAGE('24.8 Luweero-Kampala'!F103,'25.8 Luwero-Kampala-24 HRS'!F103)</f>
        <v>2</v>
      </c>
      <c r="G103" s="49">
        <f>AVERAGE('24.8 Luweero-Kampala'!G103,'25.8 Luwero-Kampala-24 HRS'!G103)</f>
        <v>0</v>
      </c>
      <c r="H103" s="49">
        <f>AVERAGE('24.8 Luweero-Kampala'!H103,'25.8 Luwero-Kampala-24 HRS'!H103)</f>
        <v>0</v>
      </c>
      <c r="I103" s="49">
        <f>AVERAGE('24.8 Luweero-Kampala'!I103,'25.8 Luwero-Kampala-24 HRS'!I103)</f>
        <v>0</v>
      </c>
      <c r="J103" s="49">
        <f>AVERAGE('24.8 Luweero-Kampala'!J103,'25.8 Luwero-Kampala-24 HRS'!J103)</f>
        <v>0</v>
      </c>
      <c r="K103" s="49">
        <f>AVERAGE('24.8 Luweero-Kampala'!K103,'25.8 Luwero-Kampala-24 HRS'!K103)</f>
        <v>0</v>
      </c>
      <c r="L103" s="49">
        <f>AVERAGE('24.8 Luweero-Kampala'!L103,'25.8 Luwero-Kampala-24 HRS'!L103)</f>
        <v>1</v>
      </c>
      <c r="M103" s="49">
        <f>AVERAGE('24.8 Luweero-Kampala'!M103,'25.8 Luwero-Kampala-24 HRS'!M103)</f>
        <v>5</v>
      </c>
      <c r="N103" s="49">
        <f>AVERAGE('24.8 Luweero-Kampala'!N103,'25.8 Luwero-Kampala-24 HRS'!N103)</f>
        <v>0</v>
      </c>
      <c r="O103" s="15">
        <f t="shared" si="35"/>
        <v>8.5</v>
      </c>
      <c r="P103" s="15">
        <f t="shared" si="36"/>
        <v>13.5</v>
      </c>
      <c r="R103" s="8"/>
      <c r="T103"/>
    </row>
    <row r="104" spans="2:20" ht="23.1" customHeight="1" x14ac:dyDescent="0.25">
      <c r="B104" s="25" t="s">
        <v>144</v>
      </c>
      <c r="C104" s="49">
        <f>AVERAGE('24.8 Luweero-Kampala'!C104,'25.8 Luwero-Kampala-24 HRS'!C104)</f>
        <v>5</v>
      </c>
      <c r="D104" s="49">
        <f>AVERAGE('24.8 Luweero-Kampala'!D104,'25.8 Luwero-Kampala-24 HRS'!D104)</f>
        <v>3</v>
      </c>
      <c r="E104" s="49">
        <f>AVERAGE('24.8 Luweero-Kampala'!E104,'25.8 Luwero-Kampala-24 HRS'!E104)</f>
        <v>1</v>
      </c>
      <c r="F104" s="49">
        <f>AVERAGE('24.8 Luweero-Kampala'!F104,'25.8 Luwero-Kampala-24 HRS'!F104)</f>
        <v>2.5</v>
      </c>
      <c r="G104" s="49">
        <f>AVERAGE('24.8 Luweero-Kampala'!G104,'25.8 Luwero-Kampala-24 HRS'!G104)</f>
        <v>0</v>
      </c>
      <c r="H104" s="49">
        <f>AVERAGE('24.8 Luweero-Kampala'!H104,'25.8 Luwero-Kampala-24 HRS'!H104)</f>
        <v>1</v>
      </c>
      <c r="I104" s="49">
        <f>AVERAGE('24.8 Luweero-Kampala'!I104,'25.8 Luwero-Kampala-24 HRS'!I104)</f>
        <v>2</v>
      </c>
      <c r="J104" s="49">
        <f>AVERAGE('24.8 Luweero-Kampala'!J104,'25.8 Luwero-Kampala-24 HRS'!J104)</f>
        <v>1</v>
      </c>
      <c r="K104" s="49">
        <f>AVERAGE('24.8 Luweero-Kampala'!K104,'25.8 Luwero-Kampala-24 HRS'!K104)</f>
        <v>1</v>
      </c>
      <c r="L104" s="49">
        <f>AVERAGE('24.8 Luweero-Kampala'!L104,'25.8 Luwero-Kampala-24 HRS'!L104)</f>
        <v>1</v>
      </c>
      <c r="M104" s="49">
        <f>AVERAGE('24.8 Luweero-Kampala'!M104,'25.8 Luwero-Kampala-24 HRS'!M104)</f>
        <v>8</v>
      </c>
      <c r="N104" s="49">
        <f>AVERAGE('24.8 Luweero-Kampala'!N104,'25.8 Luwero-Kampala-24 HRS'!N104)</f>
        <v>0</v>
      </c>
      <c r="O104" s="15">
        <f t="shared" si="35"/>
        <v>17.5</v>
      </c>
      <c r="P104" s="15">
        <f t="shared" si="36"/>
        <v>25.5</v>
      </c>
      <c r="R104" s="8"/>
      <c r="T104"/>
    </row>
    <row r="105" spans="2:20" ht="23.1" customHeight="1" x14ac:dyDescent="0.25">
      <c r="B105" s="23" t="s">
        <v>145</v>
      </c>
      <c r="C105" s="49">
        <f>AVERAGE('24.8 Luweero-Kampala'!C105,'25.8 Luwero-Kampala-24 HRS'!C105)</f>
        <v>10</v>
      </c>
      <c r="D105" s="49">
        <f>AVERAGE('24.8 Luweero-Kampala'!D105,'25.8 Luwero-Kampala-24 HRS'!D105)</f>
        <v>2</v>
      </c>
      <c r="E105" s="49">
        <f>AVERAGE('24.8 Luweero-Kampala'!E105,'25.8 Luwero-Kampala-24 HRS'!E105)</f>
        <v>1.5</v>
      </c>
      <c r="F105" s="49">
        <f>AVERAGE('24.8 Luweero-Kampala'!F105,'25.8 Luwero-Kampala-24 HRS'!F105)</f>
        <v>3</v>
      </c>
      <c r="G105" s="49">
        <f>AVERAGE('24.8 Luweero-Kampala'!G105,'25.8 Luwero-Kampala-24 HRS'!G105)</f>
        <v>1</v>
      </c>
      <c r="H105" s="49">
        <f>AVERAGE('24.8 Luweero-Kampala'!H105,'25.8 Luwero-Kampala-24 HRS'!H105)</f>
        <v>0</v>
      </c>
      <c r="I105" s="49">
        <f>AVERAGE('24.8 Luweero-Kampala'!I105,'25.8 Luwero-Kampala-24 HRS'!I105)</f>
        <v>3.5</v>
      </c>
      <c r="J105" s="49">
        <f>AVERAGE('24.8 Luweero-Kampala'!J105,'25.8 Luwero-Kampala-24 HRS'!J105)</f>
        <v>1.5</v>
      </c>
      <c r="K105" s="49">
        <f>AVERAGE('24.8 Luweero-Kampala'!K105,'25.8 Luwero-Kampala-24 HRS'!K105)</f>
        <v>1</v>
      </c>
      <c r="L105" s="49">
        <f>AVERAGE('24.8 Luweero-Kampala'!L105,'25.8 Luwero-Kampala-24 HRS'!L105)</f>
        <v>0</v>
      </c>
      <c r="M105" s="49">
        <f>AVERAGE('24.8 Luweero-Kampala'!M105,'25.8 Luwero-Kampala-24 HRS'!M105)</f>
        <v>14.5</v>
      </c>
      <c r="N105" s="49">
        <f>AVERAGE('24.8 Luweero-Kampala'!N105,'25.8 Luwero-Kampala-24 HRS'!N105)</f>
        <v>0</v>
      </c>
      <c r="O105" s="15">
        <f t="shared" si="35"/>
        <v>23.5</v>
      </c>
      <c r="P105" s="15">
        <f t="shared" si="36"/>
        <v>38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515.5</v>
      </c>
      <c r="D106" s="16">
        <f t="shared" ref="D106:P106" si="37">SUM(D10:D105)</f>
        <v>27.5</v>
      </c>
      <c r="E106" s="16">
        <f t="shared" si="37"/>
        <v>789.78571428571422</v>
      </c>
      <c r="F106" s="16">
        <f t="shared" si="37"/>
        <v>764.35714285714278</v>
      </c>
      <c r="G106" s="16">
        <f t="shared" si="37"/>
        <v>37.142857142857146</v>
      </c>
      <c r="H106" s="16">
        <f t="shared" si="37"/>
        <v>80.642857142857139</v>
      </c>
      <c r="I106" s="16">
        <f t="shared" si="37"/>
        <v>430.64285714285705</v>
      </c>
      <c r="J106" s="16">
        <f t="shared" si="37"/>
        <v>31.071428571428573</v>
      </c>
      <c r="K106" s="16">
        <f t="shared" si="37"/>
        <v>15</v>
      </c>
      <c r="L106" s="16">
        <f t="shared" si="37"/>
        <v>125.57142857142856</v>
      </c>
      <c r="M106" s="16">
        <f t="shared" si="37"/>
        <v>3591.6428571428573</v>
      </c>
      <c r="N106" s="16">
        <f t="shared" si="37"/>
        <v>0.71428571428571419</v>
      </c>
      <c r="O106" s="16">
        <f t="shared" si="37"/>
        <v>2817.9285714285711</v>
      </c>
      <c r="P106" s="16">
        <f t="shared" si="37"/>
        <v>6409.5714285714303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8.0426594156061224E-2</v>
      </c>
      <c r="D107" s="43">
        <f t="shared" si="38"/>
        <v>4.2904584661332375E-3</v>
      </c>
      <c r="E107" s="43">
        <f t="shared" si="38"/>
        <v>0.12321973833775376</v>
      </c>
      <c r="F107" s="43">
        <f t="shared" si="38"/>
        <v>0.11925245726257601</v>
      </c>
      <c r="G107" s="43">
        <f t="shared" si="38"/>
        <v>5.794904941270866E-3</v>
      </c>
      <c r="H107" s="43">
        <f t="shared" si="38"/>
        <v>1.2581630151336167E-2</v>
      </c>
      <c r="I107" s="43">
        <f t="shared" si="38"/>
        <v>6.7187465174850081E-2</v>
      </c>
      <c r="J107" s="43">
        <f t="shared" si="38"/>
        <v>4.8476608643323593E-3</v>
      </c>
      <c r="K107" s="43">
        <f t="shared" si="38"/>
        <v>2.3402500724363112E-3</v>
      </c>
      <c r="L107" s="43">
        <f t="shared" si="38"/>
        <v>1.9591236320681115E-2</v>
      </c>
      <c r="M107" s="43">
        <f t="shared" si="38"/>
        <v>0.56035616377292874</v>
      </c>
      <c r="N107" s="43">
        <f t="shared" si="38"/>
        <v>1.1144047963982432E-4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0.18293579376948621</v>
      </c>
      <c r="D108" s="44">
        <f t="shared" ref="D108:N108" si="39">D106/$O$106</f>
        <v>9.7589414716990706E-3</v>
      </c>
      <c r="E108" s="44">
        <f t="shared" si="39"/>
        <v>0.28027172948721202</v>
      </c>
      <c r="F108" s="44">
        <f t="shared" si="39"/>
        <v>0.27124787711338116</v>
      </c>
      <c r="G108" s="44">
        <f t="shared" si="39"/>
        <v>1.318090796177537E-2</v>
      </c>
      <c r="H108" s="44">
        <f t="shared" si="39"/>
        <v>2.8617779017008443E-2</v>
      </c>
      <c r="I108" s="44">
        <f t="shared" si="39"/>
        <v>0.15282248865681478</v>
      </c>
      <c r="J108" s="44">
        <f t="shared" si="39"/>
        <v>1.1026336468023626E-2</v>
      </c>
      <c r="K108" s="44">
        <f t="shared" si="39"/>
        <v>5.3230589845631292E-3</v>
      </c>
      <c r="L108" s="44">
        <f t="shared" si="39"/>
        <v>4.4561608070771336E-2</v>
      </c>
      <c r="M108" s="44"/>
      <c r="N108" s="44">
        <f t="shared" si="39"/>
        <v>2.534789992649109E-4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A4" zoomScale="60" workbookViewId="0">
      <selection activeCell="D103" sqref="D10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19" width="10.7109375" style="8" customWidth="1"/>
    <col min="20" max="20" width="11.85546875" style="8" bestFit="1" customWidth="1"/>
    <col min="21" max="31" width="10.7109375" customWidth="1"/>
    <col min="32" max="32" width="11.85546875" bestFit="1" customWidth="1"/>
    <col min="33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'26.8 Luweero-Kampala'!C3:G3</f>
        <v>MCC - C3 - STN87 - Kampala-Gulu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162</v>
      </c>
      <c r="E5" s="69"/>
      <c r="F5" s="41" t="s">
        <v>1</v>
      </c>
      <c r="G5" s="66">
        <f>'Avg Week GULU-KAMPALA'!G5:H5</f>
        <v>0</v>
      </c>
      <c r="H5" s="67"/>
      <c r="I5" s="14"/>
      <c r="J5" s="2" t="s">
        <v>5</v>
      </c>
      <c r="K5" s="66" t="str">
        <f>'Avg Week GULU-KAMPALA'!K5:L5</f>
        <v>Godfrey, Ibrahim N, Oliver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70" t="s">
        <v>161</v>
      </c>
      <c r="E6" s="71"/>
      <c r="F6" s="2" t="s">
        <v>2</v>
      </c>
      <c r="G6" s="70" t="s">
        <v>161</v>
      </c>
      <c r="H6" s="71"/>
      <c r="J6" s="2" t="s">
        <v>21</v>
      </c>
      <c r="K6" s="66" t="str">
        <f>'Avg Week GULU-KAMPALA'!K6:L6</f>
        <v>Martin, Tracy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KAMPALA-GULU'!C10+'Avg Week GULU-KAMPALA'!C10</f>
        <v>8.1428571428571423</v>
      </c>
      <c r="D10" s="49">
        <f>'Avg Week KAMPALA-GULU'!D10+'Avg Week GULU-KAMPALA'!D10</f>
        <v>0.42857142857142855</v>
      </c>
      <c r="E10" s="49">
        <f>'Avg Week KAMPALA-GULU'!E10+'Avg Week GULU-KAMPALA'!E10</f>
        <v>12.714285714285715</v>
      </c>
      <c r="F10" s="49">
        <f>'Avg Week KAMPALA-GULU'!F10+'Avg Week GULU-KAMPALA'!F10</f>
        <v>13.857142857142858</v>
      </c>
      <c r="G10" s="49">
        <f>'Avg Week KAMPALA-GULU'!G10+'Avg Week GULU-KAMPALA'!G10</f>
        <v>0.14285714285714285</v>
      </c>
      <c r="H10" s="49">
        <f>'Avg Week KAMPALA-GULU'!H10+'Avg Week GULU-KAMPALA'!H10</f>
        <v>0.5714285714285714</v>
      </c>
      <c r="I10" s="49">
        <f>'Avg Week KAMPALA-GULU'!I10+'Avg Week GULU-KAMPALA'!I10</f>
        <v>11.285714285714285</v>
      </c>
      <c r="J10" s="49">
        <f>'Avg Week KAMPALA-GULU'!J10+'Avg Week GULU-KAMPALA'!J10</f>
        <v>2.4285714285714284</v>
      </c>
      <c r="K10" s="49">
        <f>'Avg Week KAMPALA-GULU'!K10+'Avg Week GULU-KAMPALA'!K10</f>
        <v>0.2857142857142857</v>
      </c>
      <c r="L10" s="49">
        <f>'Avg Week KAMPALA-GULU'!L10+'Avg Week GULU-KAMPALA'!L10</f>
        <v>3</v>
      </c>
      <c r="M10" s="49">
        <f>'Avg Week KAMPALA-GULU'!M10+'Avg Week GULU-KAMPALA'!M10</f>
        <v>64.714285714285722</v>
      </c>
      <c r="N10" s="49">
        <f>'Avg Week KAMPALA-GULU'!N10+'Avg Week GULU-KAMPALA'!N10</f>
        <v>0.14285714285714285</v>
      </c>
      <c r="O10" s="15">
        <f t="shared" ref="O10:O73" si="0">SUM(C10:L10,N10)</f>
        <v>53</v>
      </c>
      <c r="P10" s="15">
        <f t="shared" ref="P10:P73" si="1">SUM(C10:N10)</f>
        <v>117.71428571428572</v>
      </c>
      <c r="R10" s="1" t="s">
        <v>6</v>
      </c>
      <c r="S10" s="17">
        <f t="shared" ref="S10:AF10" si="2">SUM(C10:C13)</f>
        <v>41.857142857142861</v>
      </c>
      <c r="T10" s="17">
        <f t="shared" si="2"/>
        <v>1.8571428571428572</v>
      </c>
      <c r="U10" s="17">
        <f t="shared" si="2"/>
        <v>65.428571428571431</v>
      </c>
      <c r="V10" s="17">
        <f t="shared" si="2"/>
        <v>69.714285714285722</v>
      </c>
      <c r="W10" s="17">
        <f t="shared" si="2"/>
        <v>1.1428571428571428</v>
      </c>
      <c r="X10" s="17">
        <f t="shared" si="2"/>
        <v>3.5714285714285712</v>
      </c>
      <c r="Y10" s="17">
        <f t="shared" si="2"/>
        <v>35.571428571428569</v>
      </c>
      <c r="Z10" s="17">
        <f t="shared" si="2"/>
        <v>8.2857142857142847</v>
      </c>
      <c r="AA10" s="17">
        <f t="shared" si="2"/>
        <v>1.2857142857142856</v>
      </c>
      <c r="AB10" s="17">
        <f t="shared" si="2"/>
        <v>11.142857142857142</v>
      </c>
      <c r="AC10" s="17">
        <f t="shared" si="2"/>
        <v>373</v>
      </c>
      <c r="AD10" s="17">
        <f t="shared" si="2"/>
        <v>0.14285714285714285</v>
      </c>
      <c r="AE10" s="31">
        <f t="shared" si="2"/>
        <v>240</v>
      </c>
      <c r="AF10" s="31">
        <f t="shared" si="2"/>
        <v>613</v>
      </c>
    </row>
    <row r="11" spans="2:32" s="6" customFormat="1" ht="23.1" customHeight="1" x14ac:dyDescent="0.25">
      <c r="B11" s="23" t="s">
        <v>38</v>
      </c>
      <c r="C11" s="49">
        <f>'Avg Week KAMPALA-GULU'!C11+'Avg Week GULU-KAMPALA'!C11</f>
        <v>9</v>
      </c>
      <c r="D11" s="49">
        <f>'Avg Week KAMPALA-GULU'!D11+'Avg Week GULU-KAMPALA'!D11</f>
        <v>0</v>
      </c>
      <c r="E11" s="49">
        <f>'Avg Week KAMPALA-GULU'!E11+'Avg Week GULU-KAMPALA'!E11</f>
        <v>16.428571428571427</v>
      </c>
      <c r="F11" s="49">
        <f>'Avg Week KAMPALA-GULU'!F11+'Avg Week GULU-KAMPALA'!F11</f>
        <v>15.142857142857142</v>
      </c>
      <c r="G11" s="49">
        <f>'Avg Week KAMPALA-GULU'!G11+'Avg Week GULU-KAMPALA'!G11</f>
        <v>0.14285714285714285</v>
      </c>
      <c r="H11" s="49">
        <f>'Avg Week KAMPALA-GULU'!H11+'Avg Week GULU-KAMPALA'!H11</f>
        <v>1.4285714285714286</v>
      </c>
      <c r="I11" s="49">
        <f>'Avg Week KAMPALA-GULU'!I11+'Avg Week GULU-KAMPALA'!I11</f>
        <v>8.7142857142857153</v>
      </c>
      <c r="J11" s="49">
        <f>'Avg Week KAMPALA-GULU'!J11+'Avg Week GULU-KAMPALA'!J11</f>
        <v>2.2857142857142856</v>
      </c>
      <c r="K11" s="49">
        <f>'Avg Week KAMPALA-GULU'!K11+'Avg Week GULU-KAMPALA'!K11</f>
        <v>0.42857142857142855</v>
      </c>
      <c r="L11" s="49">
        <f>'Avg Week KAMPALA-GULU'!L11+'Avg Week GULU-KAMPALA'!L11</f>
        <v>2.7142857142857144</v>
      </c>
      <c r="M11" s="49">
        <f>'Avg Week KAMPALA-GULU'!M11+'Avg Week GULU-KAMPALA'!M11</f>
        <v>85.142857142857139</v>
      </c>
      <c r="N11" s="49">
        <f>'Avg Week KAMPALA-GULU'!N11+'Avg Week GULU-KAMPALA'!N11</f>
        <v>0</v>
      </c>
      <c r="O11" s="15">
        <f t="shared" si="0"/>
        <v>56.285714285714292</v>
      </c>
      <c r="P11" s="15">
        <f t="shared" si="1"/>
        <v>141.42857142857144</v>
      </c>
      <c r="R11" s="1" t="s">
        <v>7</v>
      </c>
      <c r="S11" s="17">
        <f t="shared" ref="S11:AF11" si="3">SUM(C14:C17)</f>
        <v>52.857142857142847</v>
      </c>
      <c r="T11" s="17">
        <f t="shared" si="3"/>
        <v>1.7142857142857144</v>
      </c>
      <c r="U11" s="17">
        <f t="shared" si="3"/>
        <v>96.142857142857139</v>
      </c>
      <c r="V11" s="17">
        <f t="shared" si="3"/>
        <v>99.285714285714278</v>
      </c>
      <c r="W11" s="17">
        <f t="shared" si="3"/>
        <v>0.42857142857142855</v>
      </c>
      <c r="X11" s="17">
        <f t="shared" si="3"/>
        <v>4</v>
      </c>
      <c r="Y11" s="17">
        <f t="shared" si="3"/>
        <v>40.714285714285715</v>
      </c>
      <c r="Z11" s="17">
        <f t="shared" si="3"/>
        <v>6.5714285714285712</v>
      </c>
      <c r="AA11" s="17">
        <f t="shared" si="3"/>
        <v>2</v>
      </c>
      <c r="AB11" s="17">
        <f t="shared" si="3"/>
        <v>10.571428571428571</v>
      </c>
      <c r="AC11" s="17">
        <f t="shared" si="3"/>
        <v>527.14285714285711</v>
      </c>
      <c r="AD11" s="17">
        <f t="shared" si="3"/>
        <v>0.2857142857142857</v>
      </c>
      <c r="AE11" s="31">
        <f t="shared" si="3"/>
        <v>314.57142857142856</v>
      </c>
      <c r="AF11" s="31">
        <f t="shared" si="3"/>
        <v>841.71428571428578</v>
      </c>
    </row>
    <row r="12" spans="2:32" ht="23.1" customHeight="1" x14ac:dyDescent="0.25">
      <c r="B12" s="23" t="s">
        <v>39</v>
      </c>
      <c r="C12" s="49">
        <f>'Avg Week KAMPALA-GULU'!C12+'Avg Week GULU-KAMPALA'!C12</f>
        <v>10.285714285714286</v>
      </c>
      <c r="D12" s="49">
        <f>'Avg Week KAMPALA-GULU'!D12+'Avg Week GULU-KAMPALA'!D12</f>
        <v>0</v>
      </c>
      <c r="E12" s="49">
        <f>'Avg Week KAMPALA-GULU'!E12+'Avg Week GULU-KAMPALA'!E12</f>
        <v>15.428571428571429</v>
      </c>
      <c r="F12" s="49">
        <f>'Avg Week KAMPALA-GULU'!F12+'Avg Week GULU-KAMPALA'!F12</f>
        <v>18.857142857142858</v>
      </c>
      <c r="G12" s="49">
        <f>'Avg Week KAMPALA-GULU'!G12+'Avg Week GULU-KAMPALA'!G12</f>
        <v>0.42857142857142855</v>
      </c>
      <c r="H12" s="49">
        <f>'Avg Week KAMPALA-GULU'!H12+'Avg Week GULU-KAMPALA'!H12</f>
        <v>0.2857142857142857</v>
      </c>
      <c r="I12" s="49">
        <f>'Avg Week KAMPALA-GULU'!I12+'Avg Week GULU-KAMPALA'!I12</f>
        <v>7.7142857142857153</v>
      </c>
      <c r="J12" s="49">
        <f>'Avg Week KAMPALA-GULU'!J12+'Avg Week GULU-KAMPALA'!J12</f>
        <v>1.7142857142857144</v>
      </c>
      <c r="K12" s="49">
        <f>'Avg Week KAMPALA-GULU'!K12+'Avg Week GULU-KAMPALA'!K12</f>
        <v>0.42857142857142855</v>
      </c>
      <c r="L12" s="49">
        <f>'Avg Week KAMPALA-GULU'!L12+'Avg Week GULU-KAMPALA'!L12</f>
        <v>1.7142857142857144</v>
      </c>
      <c r="M12" s="49">
        <f>'Avg Week KAMPALA-GULU'!M12+'Avg Week GULU-KAMPALA'!M12</f>
        <v>111.71428571428571</v>
      </c>
      <c r="N12" s="49">
        <f>'Avg Week KAMPALA-GULU'!N12+'Avg Week GULU-KAMPALA'!N12</f>
        <v>0</v>
      </c>
      <c r="O12" s="15">
        <f t="shared" si="0"/>
        <v>56.857142857142861</v>
      </c>
      <c r="P12" s="15">
        <f t="shared" si="1"/>
        <v>168.57142857142856</v>
      </c>
      <c r="R12" s="1" t="s">
        <v>8</v>
      </c>
      <c r="S12" s="17">
        <f t="shared" ref="S12:AF12" si="4">SUM(C18:C21)</f>
        <v>68.428571428571416</v>
      </c>
      <c r="T12" s="17">
        <f t="shared" si="4"/>
        <v>3</v>
      </c>
      <c r="U12" s="17">
        <f t="shared" si="4"/>
        <v>103.14285714285715</v>
      </c>
      <c r="V12" s="17">
        <f t="shared" si="4"/>
        <v>111.71428571428571</v>
      </c>
      <c r="W12" s="17">
        <f t="shared" si="4"/>
        <v>1.2857142857142856</v>
      </c>
      <c r="X12" s="17">
        <f t="shared" si="4"/>
        <v>5.1428571428571432</v>
      </c>
      <c r="Y12" s="17">
        <f t="shared" si="4"/>
        <v>39.857142857142854</v>
      </c>
      <c r="Z12" s="17">
        <f t="shared" si="4"/>
        <v>6.4285714285714288</v>
      </c>
      <c r="AA12" s="17">
        <f t="shared" si="4"/>
        <v>0.42857142857142855</v>
      </c>
      <c r="AB12" s="17">
        <f t="shared" si="4"/>
        <v>7.7142857142857144</v>
      </c>
      <c r="AC12" s="17">
        <f t="shared" si="4"/>
        <v>549.14285714285711</v>
      </c>
      <c r="AD12" s="17">
        <f t="shared" si="4"/>
        <v>0.14285714285714285</v>
      </c>
      <c r="AE12" s="31">
        <f t="shared" si="4"/>
        <v>347.28571428571428</v>
      </c>
      <c r="AF12" s="31">
        <f t="shared" si="4"/>
        <v>896.42857142857144</v>
      </c>
    </row>
    <row r="13" spans="2:32" ht="23.1" customHeight="1" x14ac:dyDescent="0.25">
      <c r="B13" s="23" t="s">
        <v>40</v>
      </c>
      <c r="C13" s="49">
        <f>'Avg Week KAMPALA-GULU'!C13+'Avg Week GULU-KAMPALA'!C13</f>
        <v>14.428571428571427</v>
      </c>
      <c r="D13" s="49">
        <f>'Avg Week KAMPALA-GULU'!D13+'Avg Week GULU-KAMPALA'!D13</f>
        <v>1.4285714285714286</v>
      </c>
      <c r="E13" s="49">
        <f>'Avg Week KAMPALA-GULU'!E13+'Avg Week GULU-KAMPALA'!E13</f>
        <v>20.857142857142858</v>
      </c>
      <c r="F13" s="49">
        <f>'Avg Week KAMPALA-GULU'!F13+'Avg Week GULU-KAMPALA'!F13</f>
        <v>21.857142857142854</v>
      </c>
      <c r="G13" s="49">
        <f>'Avg Week KAMPALA-GULU'!G13+'Avg Week GULU-KAMPALA'!G13</f>
        <v>0.42857142857142855</v>
      </c>
      <c r="H13" s="49">
        <f>'Avg Week KAMPALA-GULU'!H13+'Avg Week GULU-KAMPALA'!H13</f>
        <v>1.2857142857142856</v>
      </c>
      <c r="I13" s="49">
        <f>'Avg Week KAMPALA-GULU'!I13+'Avg Week GULU-KAMPALA'!I13</f>
        <v>7.8571428571428568</v>
      </c>
      <c r="J13" s="49">
        <f>'Avg Week KAMPALA-GULU'!J13+'Avg Week GULU-KAMPALA'!J13</f>
        <v>1.8571428571428572</v>
      </c>
      <c r="K13" s="49">
        <f>'Avg Week KAMPALA-GULU'!K13+'Avg Week GULU-KAMPALA'!K13</f>
        <v>0.14285714285714285</v>
      </c>
      <c r="L13" s="49">
        <f>'Avg Week KAMPALA-GULU'!L13+'Avg Week GULU-KAMPALA'!L13</f>
        <v>3.7142857142857144</v>
      </c>
      <c r="M13" s="49">
        <f>'Avg Week KAMPALA-GULU'!M13+'Avg Week GULU-KAMPALA'!M13</f>
        <v>111.42857142857143</v>
      </c>
      <c r="N13" s="49">
        <f>'Avg Week KAMPALA-GULU'!N13+'Avg Week GULU-KAMPALA'!N13</f>
        <v>0</v>
      </c>
      <c r="O13" s="15">
        <f t="shared" si="0"/>
        <v>73.857142857142847</v>
      </c>
      <c r="P13" s="15">
        <f t="shared" si="1"/>
        <v>185.28571428571428</v>
      </c>
      <c r="R13" s="1" t="s">
        <v>9</v>
      </c>
      <c r="S13" s="17">
        <f t="shared" ref="S13:AF13" si="5">SUM(C22:C25)</f>
        <v>67.857142857142861</v>
      </c>
      <c r="T13" s="17">
        <f t="shared" si="5"/>
        <v>2.7142857142857144</v>
      </c>
      <c r="U13" s="17">
        <f t="shared" si="5"/>
        <v>118.28571428571428</v>
      </c>
      <c r="V13" s="17">
        <f t="shared" si="5"/>
        <v>109.14285714285715</v>
      </c>
      <c r="W13" s="17">
        <f t="shared" si="5"/>
        <v>1.4285714285714284</v>
      </c>
      <c r="X13" s="17">
        <f t="shared" si="5"/>
        <v>4.5714285714285712</v>
      </c>
      <c r="Y13" s="17">
        <f t="shared" si="5"/>
        <v>44.714285714285708</v>
      </c>
      <c r="Z13" s="17">
        <f t="shared" si="5"/>
        <v>7.7142857142857135</v>
      </c>
      <c r="AA13" s="17">
        <f t="shared" si="5"/>
        <v>0.85714285714285698</v>
      </c>
      <c r="AB13" s="17">
        <f t="shared" si="5"/>
        <v>7.7142857142857135</v>
      </c>
      <c r="AC13" s="17">
        <f t="shared" si="5"/>
        <v>567.85714285714289</v>
      </c>
      <c r="AD13" s="17">
        <f t="shared" si="5"/>
        <v>0.14285714285714285</v>
      </c>
      <c r="AE13" s="31">
        <f t="shared" si="5"/>
        <v>365.14285714285711</v>
      </c>
      <c r="AF13" s="31">
        <f t="shared" si="5"/>
        <v>933</v>
      </c>
    </row>
    <row r="14" spans="2:32" ht="23.1" customHeight="1" x14ac:dyDescent="0.25">
      <c r="B14" s="23" t="s">
        <v>41</v>
      </c>
      <c r="C14" s="49">
        <f>'Avg Week KAMPALA-GULU'!C14+'Avg Week GULU-KAMPALA'!C14</f>
        <v>10.142857142857142</v>
      </c>
      <c r="D14" s="49">
        <f>'Avg Week KAMPALA-GULU'!D14+'Avg Week GULU-KAMPALA'!D14</f>
        <v>0.7142857142857143</v>
      </c>
      <c r="E14" s="49">
        <f>'Avg Week KAMPALA-GULU'!E14+'Avg Week GULU-KAMPALA'!E14</f>
        <v>24.285714285714285</v>
      </c>
      <c r="F14" s="49">
        <f>'Avg Week KAMPALA-GULU'!F14+'Avg Week GULU-KAMPALA'!F14</f>
        <v>19.285714285714285</v>
      </c>
      <c r="G14" s="49">
        <f>'Avg Week KAMPALA-GULU'!G14+'Avg Week GULU-KAMPALA'!G14</f>
        <v>0</v>
      </c>
      <c r="H14" s="49">
        <f>'Avg Week KAMPALA-GULU'!H14+'Avg Week GULU-KAMPALA'!H14</f>
        <v>0.2857142857142857</v>
      </c>
      <c r="I14" s="49">
        <f>'Avg Week KAMPALA-GULU'!I14+'Avg Week GULU-KAMPALA'!I14</f>
        <v>9</v>
      </c>
      <c r="J14" s="49">
        <f>'Avg Week KAMPALA-GULU'!J14+'Avg Week GULU-KAMPALA'!J14</f>
        <v>2</v>
      </c>
      <c r="K14" s="49">
        <f>'Avg Week KAMPALA-GULU'!K14+'Avg Week GULU-KAMPALA'!K14</f>
        <v>0.5714285714285714</v>
      </c>
      <c r="L14" s="49">
        <f>'Avg Week KAMPALA-GULU'!L14+'Avg Week GULU-KAMPALA'!L14</f>
        <v>2.1428571428571428</v>
      </c>
      <c r="M14" s="49">
        <f>'Avg Week KAMPALA-GULU'!M14+'Avg Week GULU-KAMPALA'!M14</f>
        <v>116</v>
      </c>
      <c r="N14" s="49">
        <f>'Avg Week KAMPALA-GULU'!N14+'Avg Week GULU-KAMPALA'!N14</f>
        <v>0</v>
      </c>
      <c r="O14" s="15">
        <f t="shared" si="0"/>
        <v>68.428571428571416</v>
      </c>
      <c r="P14" s="15">
        <f t="shared" si="1"/>
        <v>184.42857142857142</v>
      </c>
      <c r="R14" s="1" t="s">
        <v>10</v>
      </c>
      <c r="S14" s="17">
        <f t="shared" ref="S14:AF14" si="6">SUM(C26:C29)</f>
        <v>68.857142857142861</v>
      </c>
      <c r="T14" s="17">
        <f t="shared" si="6"/>
        <v>3.2857142857142856</v>
      </c>
      <c r="U14" s="17">
        <f t="shared" si="6"/>
        <v>117.57142857142857</v>
      </c>
      <c r="V14" s="17">
        <f t="shared" si="6"/>
        <v>106.57142857142856</v>
      </c>
      <c r="W14" s="17">
        <f t="shared" si="6"/>
        <v>2.5714285714285712</v>
      </c>
      <c r="X14" s="17">
        <f t="shared" si="6"/>
        <v>7</v>
      </c>
      <c r="Y14" s="17">
        <f t="shared" si="6"/>
        <v>46</v>
      </c>
      <c r="Z14" s="17">
        <f t="shared" si="6"/>
        <v>7.2857142857142865</v>
      </c>
      <c r="AA14" s="17">
        <f t="shared" si="6"/>
        <v>1.1428571428571428</v>
      </c>
      <c r="AB14" s="17">
        <f t="shared" si="6"/>
        <v>7.4285714285714288</v>
      </c>
      <c r="AC14" s="17">
        <f t="shared" si="6"/>
        <v>540.14285714285722</v>
      </c>
      <c r="AD14" s="17">
        <f t="shared" si="6"/>
        <v>0</v>
      </c>
      <c r="AE14" s="31">
        <f t="shared" si="6"/>
        <v>367.71428571428567</v>
      </c>
      <c r="AF14" s="31">
        <f t="shared" si="6"/>
        <v>907.85714285714289</v>
      </c>
    </row>
    <row r="15" spans="2:32" ht="23.1" customHeight="1" x14ac:dyDescent="0.25">
      <c r="B15" s="23" t="s">
        <v>42</v>
      </c>
      <c r="C15" s="49">
        <f>'Avg Week KAMPALA-GULU'!C15+'Avg Week GULU-KAMPALA'!C15</f>
        <v>12.428571428571427</v>
      </c>
      <c r="D15" s="49">
        <f>'Avg Week KAMPALA-GULU'!D15+'Avg Week GULU-KAMPALA'!D15</f>
        <v>0</v>
      </c>
      <c r="E15" s="49">
        <f>'Avg Week KAMPALA-GULU'!E15+'Avg Week GULU-KAMPALA'!E15</f>
        <v>25</v>
      </c>
      <c r="F15" s="49">
        <f>'Avg Week KAMPALA-GULU'!F15+'Avg Week GULU-KAMPALA'!F15</f>
        <v>22.857142857142858</v>
      </c>
      <c r="G15" s="49">
        <f>'Avg Week KAMPALA-GULU'!G15+'Avg Week GULU-KAMPALA'!G15</f>
        <v>0.14285714285714285</v>
      </c>
      <c r="H15" s="49">
        <f>'Avg Week KAMPALA-GULU'!H15+'Avg Week GULU-KAMPALA'!H15</f>
        <v>1.4285714285714286</v>
      </c>
      <c r="I15" s="49">
        <f>'Avg Week KAMPALA-GULU'!I15+'Avg Week GULU-KAMPALA'!I15</f>
        <v>10.571428571428573</v>
      </c>
      <c r="J15" s="49">
        <f>'Avg Week KAMPALA-GULU'!J15+'Avg Week GULU-KAMPALA'!J15</f>
        <v>1.4285714285714284</v>
      </c>
      <c r="K15" s="49">
        <f>'Avg Week KAMPALA-GULU'!K15+'Avg Week GULU-KAMPALA'!K15</f>
        <v>0</v>
      </c>
      <c r="L15" s="49">
        <f>'Avg Week KAMPALA-GULU'!L15+'Avg Week GULU-KAMPALA'!L15</f>
        <v>2.1428571428571428</v>
      </c>
      <c r="M15" s="49">
        <f>'Avg Week KAMPALA-GULU'!M15+'Avg Week GULU-KAMPALA'!M15</f>
        <v>131.57142857142856</v>
      </c>
      <c r="N15" s="49">
        <f>'Avg Week KAMPALA-GULU'!N15+'Avg Week GULU-KAMPALA'!N15</f>
        <v>0</v>
      </c>
      <c r="O15" s="15">
        <f t="shared" si="0"/>
        <v>76.000000000000014</v>
      </c>
      <c r="P15" s="15">
        <f t="shared" si="1"/>
        <v>207.57142857142856</v>
      </c>
      <c r="R15" s="1" t="s">
        <v>11</v>
      </c>
      <c r="S15" s="17">
        <f t="shared" ref="S15:AF15" si="7">SUM(C30:C33)</f>
        <v>69.857142857142861</v>
      </c>
      <c r="T15" s="17">
        <f t="shared" si="7"/>
        <v>3.2857142857142856</v>
      </c>
      <c r="U15" s="17">
        <f t="shared" si="7"/>
        <v>121.14285714285715</v>
      </c>
      <c r="V15" s="17">
        <f t="shared" si="7"/>
        <v>115.14285714285714</v>
      </c>
      <c r="W15" s="17">
        <f t="shared" si="7"/>
        <v>1.1428571428571428</v>
      </c>
      <c r="X15" s="17">
        <f t="shared" si="7"/>
        <v>8.5714285714285712</v>
      </c>
      <c r="Y15" s="17">
        <f t="shared" si="7"/>
        <v>55.714285714285708</v>
      </c>
      <c r="Z15" s="17">
        <f t="shared" si="7"/>
        <v>8.8571428571428577</v>
      </c>
      <c r="AA15" s="17">
        <f t="shared" si="7"/>
        <v>2.4285714285714279</v>
      </c>
      <c r="AB15" s="17">
        <f t="shared" si="7"/>
        <v>12.571428571428571</v>
      </c>
      <c r="AC15" s="17">
        <f t="shared" si="7"/>
        <v>496.42857142857144</v>
      </c>
      <c r="AD15" s="17">
        <f t="shared" si="7"/>
        <v>0.14285714285714285</v>
      </c>
      <c r="AE15" s="31">
        <f t="shared" si="7"/>
        <v>398.85714285714283</v>
      </c>
      <c r="AF15" s="31">
        <f t="shared" si="7"/>
        <v>895.28571428571422</v>
      </c>
    </row>
    <row r="16" spans="2:32" ht="23.1" customHeight="1" x14ac:dyDescent="0.25">
      <c r="B16" s="23" t="s">
        <v>43</v>
      </c>
      <c r="C16" s="49">
        <f>'Avg Week KAMPALA-GULU'!C16+'Avg Week GULU-KAMPALA'!C16</f>
        <v>14.142857142857142</v>
      </c>
      <c r="D16" s="49">
        <f>'Avg Week KAMPALA-GULU'!D16+'Avg Week GULU-KAMPALA'!D16</f>
        <v>0</v>
      </c>
      <c r="E16" s="49">
        <f>'Avg Week KAMPALA-GULU'!E16+'Avg Week GULU-KAMPALA'!E16</f>
        <v>23</v>
      </c>
      <c r="F16" s="49">
        <f>'Avg Week KAMPALA-GULU'!F16+'Avg Week GULU-KAMPALA'!F16</f>
        <v>24</v>
      </c>
      <c r="G16" s="49">
        <f>'Avg Week KAMPALA-GULU'!G16+'Avg Week GULU-KAMPALA'!G16</f>
        <v>0.14285714285714285</v>
      </c>
      <c r="H16" s="49">
        <f>'Avg Week KAMPALA-GULU'!H16+'Avg Week GULU-KAMPALA'!H16</f>
        <v>1.4285714285714284</v>
      </c>
      <c r="I16" s="49">
        <f>'Avg Week KAMPALA-GULU'!I16+'Avg Week GULU-KAMPALA'!I16</f>
        <v>11</v>
      </c>
      <c r="J16" s="49">
        <f>'Avg Week KAMPALA-GULU'!J16+'Avg Week GULU-KAMPALA'!J16</f>
        <v>1.5714285714285714</v>
      </c>
      <c r="K16" s="49">
        <f>'Avg Week KAMPALA-GULU'!K16+'Avg Week GULU-KAMPALA'!K16</f>
        <v>0.5714285714285714</v>
      </c>
      <c r="L16" s="49">
        <f>'Avg Week KAMPALA-GULU'!L16+'Avg Week GULU-KAMPALA'!L16</f>
        <v>2.8571428571428572</v>
      </c>
      <c r="M16" s="49">
        <f>'Avg Week KAMPALA-GULU'!M16+'Avg Week GULU-KAMPALA'!M16</f>
        <v>136.71428571428572</v>
      </c>
      <c r="N16" s="49">
        <f>'Avg Week KAMPALA-GULU'!N16+'Avg Week GULU-KAMPALA'!N16</f>
        <v>0.2857142857142857</v>
      </c>
      <c r="O16" s="15">
        <f t="shared" si="0"/>
        <v>79.000000000000014</v>
      </c>
      <c r="P16" s="15">
        <f t="shared" si="1"/>
        <v>215.71428571428572</v>
      </c>
      <c r="R16" s="1" t="s">
        <v>12</v>
      </c>
      <c r="S16" s="17">
        <f t="shared" ref="S16:AF16" si="8">SUM(C34:C37)</f>
        <v>70.571428571428569</v>
      </c>
      <c r="T16" s="17">
        <f t="shared" si="8"/>
        <v>4.1428571428571432</v>
      </c>
      <c r="U16" s="17">
        <f t="shared" si="8"/>
        <v>131.14285714285714</v>
      </c>
      <c r="V16" s="17">
        <f t="shared" si="8"/>
        <v>115.71428571428572</v>
      </c>
      <c r="W16" s="17">
        <f t="shared" si="8"/>
        <v>2.714285714285714</v>
      </c>
      <c r="X16" s="17">
        <f t="shared" si="8"/>
        <v>11.428571428571427</v>
      </c>
      <c r="Y16" s="17">
        <f t="shared" si="8"/>
        <v>57</v>
      </c>
      <c r="Z16" s="17">
        <f t="shared" si="8"/>
        <v>8.2857142857142865</v>
      </c>
      <c r="AA16" s="17">
        <f t="shared" si="8"/>
        <v>0.5714285714285714</v>
      </c>
      <c r="AB16" s="17">
        <f t="shared" si="8"/>
        <v>10.142857142857142</v>
      </c>
      <c r="AC16" s="17">
        <f t="shared" si="8"/>
        <v>507.28571428571422</v>
      </c>
      <c r="AD16" s="17">
        <f t="shared" si="8"/>
        <v>0.71428571428571419</v>
      </c>
      <c r="AE16" s="31">
        <f t="shared" si="8"/>
        <v>412.42857142857139</v>
      </c>
      <c r="AF16" s="31">
        <f t="shared" si="8"/>
        <v>919.71428571428567</v>
      </c>
    </row>
    <row r="17" spans="2:32" ht="23.1" customHeight="1" x14ac:dyDescent="0.25">
      <c r="B17" s="23" t="s">
        <v>44</v>
      </c>
      <c r="C17" s="49">
        <f>'Avg Week KAMPALA-GULU'!C17+'Avg Week GULU-KAMPALA'!C17</f>
        <v>16.142857142857142</v>
      </c>
      <c r="D17" s="49">
        <f>'Avg Week KAMPALA-GULU'!D17+'Avg Week GULU-KAMPALA'!D17</f>
        <v>1</v>
      </c>
      <c r="E17" s="49">
        <f>'Avg Week KAMPALA-GULU'!E17+'Avg Week GULU-KAMPALA'!E17</f>
        <v>23.857142857142858</v>
      </c>
      <c r="F17" s="49">
        <f>'Avg Week KAMPALA-GULU'!F17+'Avg Week GULU-KAMPALA'!F17</f>
        <v>33.142857142857139</v>
      </c>
      <c r="G17" s="49">
        <f>'Avg Week KAMPALA-GULU'!G17+'Avg Week GULU-KAMPALA'!G17</f>
        <v>0.14285714285714285</v>
      </c>
      <c r="H17" s="49">
        <f>'Avg Week KAMPALA-GULU'!H17+'Avg Week GULU-KAMPALA'!H17</f>
        <v>0.85714285714285721</v>
      </c>
      <c r="I17" s="49">
        <f>'Avg Week KAMPALA-GULU'!I17+'Avg Week GULU-KAMPALA'!I17</f>
        <v>10.142857142857142</v>
      </c>
      <c r="J17" s="49">
        <f>'Avg Week KAMPALA-GULU'!J17+'Avg Week GULU-KAMPALA'!J17</f>
        <v>1.5714285714285714</v>
      </c>
      <c r="K17" s="49">
        <f>'Avg Week KAMPALA-GULU'!K17+'Avg Week GULU-KAMPALA'!K17</f>
        <v>0.8571428571428571</v>
      </c>
      <c r="L17" s="49">
        <f>'Avg Week KAMPALA-GULU'!L17+'Avg Week GULU-KAMPALA'!L17</f>
        <v>3.4285714285714288</v>
      </c>
      <c r="M17" s="49">
        <f>'Avg Week KAMPALA-GULU'!M17+'Avg Week GULU-KAMPALA'!M17</f>
        <v>142.85714285714286</v>
      </c>
      <c r="N17" s="49">
        <f>'Avg Week KAMPALA-GULU'!N17+'Avg Week GULU-KAMPALA'!N17</f>
        <v>0</v>
      </c>
      <c r="O17" s="15">
        <f t="shared" si="0"/>
        <v>91.142857142857139</v>
      </c>
      <c r="P17" s="15">
        <f t="shared" si="1"/>
        <v>234</v>
      </c>
      <c r="R17" s="1" t="s">
        <v>13</v>
      </c>
      <c r="S17" s="17">
        <f t="shared" ref="S17:AF17" si="9">SUM(C38:C41)</f>
        <v>71</v>
      </c>
      <c r="T17" s="17">
        <f t="shared" si="9"/>
        <v>2.8571428571428572</v>
      </c>
      <c r="U17" s="17">
        <f t="shared" si="9"/>
        <v>127.85714285714285</v>
      </c>
      <c r="V17" s="17">
        <f t="shared" si="9"/>
        <v>115</v>
      </c>
      <c r="W17" s="17">
        <f t="shared" si="9"/>
        <v>3.1428571428571428</v>
      </c>
      <c r="X17" s="17">
        <f t="shared" si="9"/>
        <v>15.857142857142858</v>
      </c>
      <c r="Y17" s="17">
        <f t="shared" si="9"/>
        <v>58.857142857142861</v>
      </c>
      <c r="Z17" s="17">
        <f t="shared" si="9"/>
        <v>9.2857142857142847</v>
      </c>
      <c r="AA17" s="17">
        <f t="shared" si="9"/>
        <v>1.4285714285714284</v>
      </c>
      <c r="AB17" s="17">
        <f t="shared" si="9"/>
        <v>14.142857142857144</v>
      </c>
      <c r="AC17" s="17">
        <f t="shared" si="9"/>
        <v>494.42857142857144</v>
      </c>
      <c r="AD17" s="17">
        <f t="shared" si="9"/>
        <v>0</v>
      </c>
      <c r="AE17" s="31">
        <f t="shared" si="9"/>
        <v>419.42857142857144</v>
      </c>
      <c r="AF17" s="31">
        <f t="shared" si="9"/>
        <v>913.85714285714289</v>
      </c>
    </row>
    <row r="18" spans="2:32" ht="23.1" customHeight="1" x14ac:dyDescent="0.25">
      <c r="B18" s="23" t="s">
        <v>45</v>
      </c>
      <c r="C18" s="49">
        <f>'Avg Week KAMPALA-GULU'!C18+'Avg Week GULU-KAMPALA'!C18</f>
        <v>15</v>
      </c>
      <c r="D18" s="49">
        <f>'Avg Week KAMPALA-GULU'!D18+'Avg Week GULU-KAMPALA'!D18</f>
        <v>1.2857142857142858</v>
      </c>
      <c r="E18" s="49">
        <f>'Avg Week KAMPALA-GULU'!E18+'Avg Week GULU-KAMPALA'!E18</f>
        <v>27.857142857142858</v>
      </c>
      <c r="F18" s="49">
        <f>'Avg Week KAMPALA-GULU'!F18+'Avg Week GULU-KAMPALA'!F18</f>
        <v>27.714285714285715</v>
      </c>
      <c r="G18" s="49">
        <f>'Avg Week KAMPALA-GULU'!G18+'Avg Week GULU-KAMPALA'!G18</f>
        <v>0.2857142857142857</v>
      </c>
      <c r="H18" s="49">
        <f>'Avg Week KAMPALA-GULU'!H18+'Avg Week GULU-KAMPALA'!H18</f>
        <v>0.85714285714285721</v>
      </c>
      <c r="I18" s="49">
        <f>'Avg Week KAMPALA-GULU'!I18+'Avg Week GULU-KAMPALA'!I18</f>
        <v>8.1428571428571423</v>
      </c>
      <c r="J18" s="49">
        <f>'Avg Week KAMPALA-GULU'!J18+'Avg Week GULU-KAMPALA'!J18</f>
        <v>2.1428571428571428</v>
      </c>
      <c r="K18" s="49">
        <f>'Avg Week KAMPALA-GULU'!K18+'Avg Week GULU-KAMPALA'!K18</f>
        <v>0.2857142857142857</v>
      </c>
      <c r="L18" s="49">
        <f>'Avg Week KAMPALA-GULU'!L18+'Avg Week GULU-KAMPALA'!L18</f>
        <v>1.4285714285714286</v>
      </c>
      <c r="M18" s="49">
        <f>'Avg Week KAMPALA-GULU'!M18+'Avg Week GULU-KAMPALA'!M18</f>
        <v>128.42857142857144</v>
      </c>
      <c r="N18" s="49">
        <f>'Avg Week KAMPALA-GULU'!N18+'Avg Week GULU-KAMPALA'!N18</f>
        <v>0</v>
      </c>
      <c r="O18" s="15">
        <f t="shared" si="0"/>
        <v>85.000000000000014</v>
      </c>
      <c r="P18" s="15">
        <f t="shared" si="1"/>
        <v>213.42857142857144</v>
      </c>
      <c r="R18" s="1" t="s">
        <v>14</v>
      </c>
      <c r="S18" s="17">
        <f t="shared" ref="S18:AF18" si="10">SUM(C42:C45)</f>
        <v>66.285714285714292</v>
      </c>
      <c r="T18" s="17">
        <f t="shared" si="10"/>
        <v>4.5714285714285712</v>
      </c>
      <c r="U18" s="17">
        <f t="shared" si="10"/>
        <v>131.28571428571428</v>
      </c>
      <c r="V18" s="17">
        <f t="shared" si="10"/>
        <v>127.85714285714285</v>
      </c>
      <c r="W18" s="17">
        <f t="shared" si="10"/>
        <v>2.1428571428571423</v>
      </c>
      <c r="X18" s="17">
        <f t="shared" si="10"/>
        <v>10.428571428571429</v>
      </c>
      <c r="Y18" s="17">
        <f t="shared" si="10"/>
        <v>55.142857142857139</v>
      </c>
      <c r="Z18" s="17">
        <f t="shared" si="10"/>
        <v>8.1428571428571423</v>
      </c>
      <c r="AA18" s="17">
        <f t="shared" si="10"/>
        <v>1.5714285714285712</v>
      </c>
      <c r="AB18" s="17">
        <f t="shared" si="10"/>
        <v>11.714285714285715</v>
      </c>
      <c r="AC18" s="17">
        <f t="shared" si="10"/>
        <v>476.42857142857144</v>
      </c>
      <c r="AD18" s="17">
        <f t="shared" si="10"/>
        <v>0</v>
      </c>
      <c r="AE18" s="31">
        <f t="shared" si="10"/>
        <v>419.14285714285711</v>
      </c>
      <c r="AF18" s="31">
        <f t="shared" si="10"/>
        <v>895.57142857142844</v>
      </c>
    </row>
    <row r="19" spans="2:32" ht="23.1" customHeight="1" x14ac:dyDescent="0.25">
      <c r="B19" s="23" t="s">
        <v>46</v>
      </c>
      <c r="C19" s="49">
        <f>'Avg Week KAMPALA-GULU'!C19+'Avg Week GULU-KAMPALA'!C19</f>
        <v>17.571428571428573</v>
      </c>
      <c r="D19" s="49">
        <f>'Avg Week KAMPALA-GULU'!D19+'Avg Week GULU-KAMPALA'!D19</f>
        <v>0.2857142857142857</v>
      </c>
      <c r="E19" s="49">
        <f>'Avg Week KAMPALA-GULU'!E19+'Avg Week GULU-KAMPALA'!E19</f>
        <v>22</v>
      </c>
      <c r="F19" s="49">
        <f>'Avg Week KAMPALA-GULU'!F19+'Avg Week GULU-KAMPALA'!F19</f>
        <v>29</v>
      </c>
      <c r="G19" s="49">
        <f>'Avg Week KAMPALA-GULU'!G19+'Avg Week GULU-KAMPALA'!G19</f>
        <v>0.42857142857142855</v>
      </c>
      <c r="H19" s="49">
        <f>'Avg Week KAMPALA-GULU'!H19+'Avg Week GULU-KAMPALA'!H19</f>
        <v>1.2857142857142858</v>
      </c>
      <c r="I19" s="49">
        <f>'Avg Week KAMPALA-GULU'!I19+'Avg Week GULU-KAMPALA'!I19</f>
        <v>10</v>
      </c>
      <c r="J19" s="49">
        <f>'Avg Week KAMPALA-GULU'!J19+'Avg Week GULU-KAMPALA'!J19</f>
        <v>0.7142857142857143</v>
      </c>
      <c r="K19" s="49">
        <f>'Avg Week KAMPALA-GULU'!K19+'Avg Week GULU-KAMPALA'!K19</f>
        <v>0.14285714285714285</v>
      </c>
      <c r="L19" s="49">
        <f>'Avg Week KAMPALA-GULU'!L19+'Avg Week GULU-KAMPALA'!L19</f>
        <v>2.2857142857142856</v>
      </c>
      <c r="M19" s="49">
        <f>'Avg Week KAMPALA-GULU'!M19+'Avg Week GULU-KAMPALA'!M19</f>
        <v>141.71428571428572</v>
      </c>
      <c r="N19" s="49">
        <f>'Avg Week KAMPALA-GULU'!N19+'Avg Week GULU-KAMPALA'!N19</f>
        <v>0</v>
      </c>
      <c r="O19" s="15">
        <f t="shared" si="0"/>
        <v>83.714285714285722</v>
      </c>
      <c r="P19" s="15">
        <f t="shared" si="1"/>
        <v>225.42857142857144</v>
      </c>
      <c r="R19" s="1" t="s">
        <v>15</v>
      </c>
      <c r="S19" s="17">
        <f t="shared" ref="S19:AF19" si="11">SUM(C46:C49)</f>
        <v>77.857142857142861</v>
      </c>
      <c r="T19" s="17">
        <f t="shared" si="11"/>
        <v>3</v>
      </c>
      <c r="U19" s="17">
        <f t="shared" si="11"/>
        <v>140.57142857142856</v>
      </c>
      <c r="V19" s="17">
        <f t="shared" si="11"/>
        <v>122.85714285714286</v>
      </c>
      <c r="W19" s="17">
        <f t="shared" si="11"/>
        <v>2.2857142857142856</v>
      </c>
      <c r="X19" s="17">
        <f t="shared" si="11"/>
        <v>8.7142857142857135</v>
      </c>
      <c r="Y19" s="17">
        <f t="shared" si="11"/>
        <v>63.285714285714285</v>
      </c>
      <c r="Z19" s="17">
        <f t="shared" si="11"/>
        <v>9.7142857142857135</v>
      </c>
      <c r="AA19" s="17">
        <f t="shared" si="11"/>
        <v>1.8571428571428572</v>
      </c>
      <c r="AB19" s="17">
        <f t="shared" si="11"/>
        <v>16.142857142857146</v>
      </c>
      <c r="AC19" s="17">
        <f t="shared" si="11"/>
        <v>514</v>
      </c>
      <c r="AD19" s="17">
        <f t="shared" si="11"/>
        <v>0</v>
      </c>
      <c r="AE19" s="31">
        <f t="shared" si="11"/>
        <v>446.28571428571428</v>
      </c>
      <c r="AF19" s="31">
        <f t="shared" si="11"/>
        <v>960.28571428571422</v>
      </c>
    </row>
    <row r="20" spans="2:32" ht="23.1" customHeight="1" x14ac:dyDescent="0.25">
      <c r="B20" s="23" t="s">
        <v>47</v>
      </c>
      <c r="C20" s="49">
        <f>'Avg Week KAMPALA-GULU'!C20+'Avg Week GULU-KAMPALA'!C20</f>
        <v>16.285714285714285</v>
      </c>
      <c r="D20" s="49">
        <f>'Avg Week KAMPALA-GULU'!D20+'Avg Week GULU-KAMPALA'!D20</f>
        <v>1.4285714285714286</v>
      </c>
      <c r="E20" s="49">
        <f>'Avg Week KAMPALA-GULU'!E20+'Avg Week GULU-KAMPALA'!E20</f>
        <v>26.714285714285715</v>
      </c>
      <c r="F20" s="49">
        <f>'Avg Week KAMPALA-GULU'!F20+'Avg Week GULU-KAMPALA'!F20</f>
        <v>26.428571428571431</v>
      </c>
      <c r="G20" s="49">
        <f>'Avg Week KAMPALA-GULU'!G20+'Avg Week GULU-KAMPALA'!G20</f>
        <v>0.2857142857142857</v>
      </c>
      <c r="H20" s="49">
        <f>'Avg Week KAMPALA-GULU'!H20+'Avg Week GULU-KAMPALA'!H20</f>
        <v>1.4285714285714286</v>
      </c>
      <c r="I20" s="49">
        <f>'Avg Week KAMPALA-GULU'!I20+'Avg Week GULU-KAMPALA'!I20</f>
        <v>12.285714285714285</v>
      </c>
      <c r="J20" s="49">
        <f>'Avg Week KAMPALA-GULU'!J20+'Avg Week GULU-KAMPALA'!J20</f>
        <v>1.7142857142857142</v>
      </c>
      <c r="K20" s="49">
        <f>'Avg Week KAMPALA-GULU'!K20+'Avg Week GULU-KAMPALA'!K20</f>
        <v>0</v>
      </c>
      <c r="L20" s="49">
        <f>'Avg Week KAMPALA-GULU'!L20+'Avg Week GULU-KAMPALA'!L20</f>
        <v>2.2857142857142856</v>
      </c>
      <c r="M20" s="49">
        <f>'Avg Week KAMPALA-GULU'!M20+'Avg Week GULU-KAMPALA'!M20</f>
        <v>133.57142857142856</v>
      </c>
      <c r="N20" s="49">
        <f>'Avg Week KAMPALA-GULU'!N20+'Avg Week GULU-KAMPALA'!N20</f>
        <v>0</v>
      </c>
      <c r="O20" s="15">
        <f t="shared" si="0"/>
        <v>88.857142857142861</v>
      </c>
      <c r="P20" s="15">
        <f t="shared" si="1"/>
        <v>222.42857142857142</v>
      </c>
      <c r="R20" s="1" t="s">
        <v>16</v>
      </c>
      <c r="S20" s="17">
        <f t="shared" ref="S20:AF20" si="12">SUM(C50:C53)</f>
        <v>85.571428571428569</v>
      </c>
      <c r="T20" s="17">
        <f t="shared" si="12"/>
        <v>2.2857142857142856</v>
      </c>
      <c r="U20" s="17">
        <f t="shared" si="12"/>
        <v>130.28571428571428</v>
      </c>
      <c r="V20" s="17">
        <f t="shared" si="12"/>
        <v>126.99999999999999</v>
      </c>
      <c r="W20" s="17">
        <f t="shared" si="12"/>
        <v>1.7142857142857142</v>
      </c>
      <c r="X20" s="17">
        <f t="shared" si="12"/>
        <v>10.285714285714285</v>
      </c>
      <c r="Y20" s="17">
        <f t="shared" si="12"/>
        <v>58.285714285714285</v>
      </c>
      <c r="Z20" s="17">
        <f t="shared" si="12"/>
        <v>11</v>
      </c>
      <c r="AA20" s="17">
        <f t="shared" si="12"/>
        <v>1.5714285714285712</v>
      </c>
      <c r="AB20" s="17">
        <f t="shared" si="12"/>
        <v>16.142857142857142</v>
      </c>
      <c r="AC20" s="17">
        <f t="shared" si="12"/>
        <v>572.14285714285711</v>
      </c>
      <c r="AD20" s="17">
        <f t="shared" si="12"/>
        <v>0</v>
      </c>
      <c r="AE20" s="31">
        <f t="shared" si="12"/>
        <v>444.14285714285711</v>
      </c>
      <c r="AF20" s="31">
        <f t="shared" si="12"/>
        <v>1016.2857142857142</v>
      </c>
    </row>
    <row r="21" spans="2:32" ht="23.1" customHeight="1" x14ac:dyDescent="0.25">
      <c r="B21" s="23" t="s">
        <v>48</v>
      </c>
      <c r="C21" s="49">
        <f>'Avg Week KAMPALA-GULU'!C21+'Avg Week GULU-KAMPALA'!C21</f>
        <v>19.571428571428569</v>
      </c>
      <c r="D21" s="49">
        <f>'Avg Week KAMPALA-GULU'!D21+'Avg Week GULU-KAMPALA'!D21</f>
        <v>0</v>
      </c>
      <c r="E21" s="49">
        <f>'Avg Week KAMPALA-GULU'!E21+'Avg Week GULU-KAMPALA'!E21</f>
        <v>26.571428571428569</v>
      </c>
      <c r="F21" s="49">
        <f>'Avg Week KAMPALA-GULU'!F21+'Avg Week GULU-KAMPALA'!F21</f>
        <v>28.571428571428569</v>
      </c>
      <c r="G21" s="49">
        <f>'Avg Week KAMPALA-GULU'!G21+'Avg Week GULU-KAMPALA'!G21</f>
        <v>0.2857142857142857</v>
      </c>
      <c r="H21" s="49">
        <f>'Avg Week KAMPALA-GULU'!H21+'Avg Week GULU-KAMPALA'!H21</f>
        <v>1.5714285714285714</v>
      </c>
      <c r="I21" s="49">
        <f>'Avg Week KAMPALA-GULU'!I21+'Avg Week GULU-KAMPALA'!I21</f>
        <v>9.4285714285714288</v>
      </c>
      <c r="J21" s="49">
        <f>'Avg Week KAMPALA-GULU'!J21+'Avg Week GULU-KAMPALA'!J21</f>
        <v>1.8571428571428572</v>
      </c>
      <c r="K21" s="49">
        <f>'Avg Week KAMPALA-GULU'!K21+'Avg Week GULU-KAMPALA'!K21</f>
        <v>0</v>
      </c>
      <c r="L21" s="49">
        <f>'Avg Week KAMPALA-GULU'!L21+'Avg Week GULU-KAMPALA'!L21</f>
        <v>1.7142857142857142</v>
      </c>
      <c r="M21" s="49">
        <f>'Avg Week KAMPALA-GULU'!M21+'Avg Week GULU-KAMPALA'!M21</f>
        <v>145.42857142857144</v>
      </c>
      <c r="N21" s="49">
        <f>'Avg Week KAMPALA-GULU'!N21+'Avg Week GULU-KAMPALA'!N21</f>
        <v>0.14285714285714285</v>
      </c>
      <c r="O21" s="15">
        <f t="shared" si="0"/>
        <v>89.714285714285708</v>
      </c>
      <c r="P21" s="15">
        <f t="shared" si="1"/>
        <v>235.14285714285714</v>
      </c>
      <c r="R21" s="36" t="s">
        <v>20</v>
      </c>
      <c r="S21" s="34">
        <f t="shared" ref="S21:AF21" si="13">SUM(C54:C57)</f>
        <v>81.142857142857139</v>
      </c>
      <c r="T21" s="17">
        <f t="shared" si="13"/>
        <v>2</v>
      </c>
      <c r="U21" s="17">
        <f t="shared" si="13"/>
        <v>129.57142857142858</v>
      </c>
      <c r="V21" s="17">
        <f t="shared" si="13"/>
        <v>117.42857142857143</v>
      </c>
      <c r="W21" s="17">
        <f t="shared" si="13"/>
        <v>1.857142857142857</v>
      </c>
      <c r="X21" s="17">
        <f t="shared" si="13"/>
        <v>9.8571428571428577</v>
      </c>
      <c r="Y21" s="17">
        <f t="shared" si="13"/>
        <v>67.142857142857139</v>
      </c>
      <c r="Z21" s="17">
        <f t="shared" si="13"/>
        <v>8.1428571428571423</v>
      </c>
      <c r="AA21" s="17">
        <f t="shared" si="13"/>
        <v>3.1428571428571423</v>
      </c>
      <c r="AB21" s="17">
        <f t="shared" si="13"/>
        <v>13.142857142857142</v>
      </c>
      <c r="AC21" s="17">
        <f t="shared" si="13"/>
        <v>525.71428571428578</v>
      </c>
      <c r="AD21" s="17">
        <f t="shared" si="13"/>
        <v>0.2857142857142857</v>
      </c>
      <c r="AE21" s="31">
        <f t="shared" si="13"/>
        <v>433.71428571428572</v>
      </c>
      <c r="AF21" s="31">
        <f t="shared" si="13"/>
        <v>959.42857142857133</v>
      </c>
    </row>
    <row r="22" spans="2:32" ht="23.1" customHeight="1" x14ac:dyDescent="0.25">
      <c r="B22" s="23" t="s">
        <v>49</v>
      </c>
      <c r="C22" s="49">
        <f>'Avg Week KAMPALA-GULU'!C22+'Avg Week GULU-KAMPALA'!C22</f>
        <v>18.142857142857142</v>
      </c>
      <c r="D22" s="49">
        <f>'Avg Week KAMPALA-GULU'!D22+'Avg Week GULU-KAMPALA'!D22</f>
        <v>0.5714285714285714</v>
      </c>
      <c r="E22" s="49">
        <f>'Avg Week KAMPALA-GULU'!E22+'Avg Week GULU-KAMPALA'!E22</f>
        <v>25.571428571428569</v>
      </c>
      <c r="F22" s="49">
        <f>'Avg Week KAMPALA-GULU'!F22+'Avg Week GULU-KAMPALA'!F22</f>
        <v>25.714285714285715</v>
      </c>
      <c r="G22" s="49">
        <f>'Avg Week KAMPALA-GULU'!G22+'Avg Week GULU-KAMPALA'!G22</f>
        <v>0.14285714285714285</v>
      </c>
      <c r="H22" s="49">
        <f>'Avg Week KAMPALA-GULU'!H22+'Avg Week GULU-KAMPALA'!H22</f>
        <v>0.8571428571428571</v>
      </c>
      <c r="I22" s="49">
        <f>'Avg Week KAMPALA-GULU'!I22+'Avg Week GULU-KAMPALA'!I22</f>
        <v>10.428571428571429</v>
      </c>
      <c r="J22" s="49">
        <f>'Avg Week KAMPALA-GULU'!J22+'Avg Week GULU-KAMPALA'!J22</f>
        <v>1.5714285714285714</v>
      </c>
      <c r="K22" s="49">
        <f>'Avg Week KAMPALA-GULU'!K22+'Avg Week GULU-KAMPALA'!K22</f>
        <v>0.14285714285714285</v>
      </c>
      <c r="L22" s="49">
        <f>'Avg Week KAMPALA-GULU'!L22+'Avg Week GULU-KAMPALA'!L22</f>
        <v>1</v>
      </c>
      <c r="M22" s="49">
        <f>'Avg Week KAMPALA-GULU'!M22+'Avg Week GULU-KAMPALA'!M22</f>
        <v>140.14285714285717</v>
      </c>
      <c r="N22" s="49">
        <f>'Avg Week KAMPALA-GULU'!N22+'Avg Week GULU-KAMPALA'!N22</f>
        <v>0</v>
      </c>
      <c r="O22" s="15">
        <f t="shared" si="0"/>
        <v>84.142857142857139</v>
      </c>
      <c r="P22" s="15">
        <f t="shared" si="1"/>
        <v>224.28571428571431</v>
      </c>
      <c r="R22" s="1" t="s">
        <v>146</v>
      </c>
      <c r="S22" s="34">
        <f>SUM(C58:C61)</f>
        <v>71.5</v>
      </c>
      <c r="T22" s="34">
        <f t="shared" ref="T22:AF22" si="14">SUM(D58:D61)</f>
        <v>12</v>
      </c>
      <c r="U22" s="34">
        <f t="shared" si="14"/>
        <v>50</v>
      </c>
      <c r="V22" s="34">
        <f t="shared" si="14"/>
        <v>84</v>
      </c>
      <c r="W22" s="34">
        <f t="shared" si="14"/>
        <v>0</v>
      </c>
      <c r="X22" s="34">
        <f t="shared" si="14"/>
        <v>4</v>
      </c>
      <c r="Y22" s="34">
        <f t="shared" si="14"/>
        <v>64</v>
      </c>
      <c r="Z22" s="34">
        <f t="shared" si="14"/>
        <v>2</v>
      </c>
      <c r="AA22" s="34">
        <f t="shared" si="14"/>
        <v>2</v>
      </c>
      <c r="AB22" s="34">
        <f t="shared" si="14"/>
        <v>20</v>
      </c>
      <c r="AC22" s="34">
        <f t="shared" si="14"/>
        <v>474</v>
      </c>
      <c r="AD22" s="34">
        <f t="shared" si="14"/>
        <v>0</v>
      </c>
      <c r="AE22" s="31">
        <f t="shared" si="14"/>
        <v>309.5</v>
      </c>
      <c r="AF22" s="31">
        <f t="shared" si="14"/>
        <v>783.5</v>
      </c>
    </row>
    <row r="23" spans="2:32" ht="23.1" customHeight="1" x14ac:dyDescent="0.25">
      <c r="B23" s="23" t="s">
        <v>50</v>
      </c>
      <c r="C23" s="49">
        <f>'Avg Week KAMPALA-GULU'!C23+'Avg Week GULU-KAMPALA'!C23</f>
        <v>16.714285714285715</v>
      </c>
      <c r="D23" s="49">
        <f>'Avg Week KAMPALA-GULU'!D23+'Avg Week GULU-KAMPALA'!D23</f>
        <v>1</v>
      </c>
      <c r="E23" s="49">
        <f>'Avg Week KAMPALA-GULU'!E23+'Avg Week GULU-KAMPALA'!E23</f>
        <v>31</v>
      </c>
      <c r="F23" s="49">
        <f>'Avg Week KAMPALA-GULU'!F23+'Avg Week GULU-KAMPALA'!F23</f>
        <v>27.142857142857142</v>
      </c>
      <c r="G23" s="49">
        <f>'Avg Week KAMPALA-GULU'!G23+'Avg Week GULU-KAMPALA'!G23</f>
        <v>0</v>
      </c>
      <c r="H23" s="49">
        <f>'Avg Week KAMPALA-GULU'!H23+'Avg Week GULU-KAMPALA'!H23</f>
        <v>1.1428571428571428</v>
      </c>
      <c r="I23" s="49">
        <f>'Avg Week KAMPALA-GULU'!I23+'Avg Week GULU-KAMPALA'!I23</f>
        <v>13.285714285714285</v>
      </c>
      <c r="J23" s="49">
        <f>'Avg Week KAMPALA-GULU'!J23+'Avg Week GULU-KAMPALA'!J23</f>
        <v>2.2857142857142856</v>
      </c>
      <c r="K23" s="49">
        <f>'Avg Week KAMPALA-GULU'!K23+'Avg Week GULU-KAMPALA'!K23</f>
        <v>0.42857142857142855</v>
      </c>
      <c r="L23" s="49">
        <f>'Avg Week KAMPALA-GULU'!L23+'Avg Week GULU-KAMPALA'!L23</f>
        <v>2.5714285714285712</v>
      </c>
      <c r="M23" s="49">
        <f>'Avg Week KAMPALA-GULU'!M23+'Avg Week GULU-KAMPALA'!M23</f>
        <v>144</v>
      </c>
      <c r="N23" s="49">
        <f>'Avg Week KAMPALA-GULU'!N23+'Avg Week GULU-KAMPALA'!N23</f>
        <v>0</v>
      </c>
      <c r="O23" s="15">
        <f t="shared" si="0"/>
        <v>95.571428571428569</v>
      </c>
      <c r="P23" s="15">
        <f t="shared" si="1"/>
        <v>239.57142857142856</v>
      </c>
      <c r="R23" s="1" t="s">
        <v>147</v>
      </c>
      <c r="S23" s="34">
        <f>SUM(C62:C65)</f>
        <v>53</v>
      </c>
      <c r="T23" s="34">
        <f t="shared" ref="T23:AF23" si="15">SUM(D62:D65)</f>
        <v>8</v>
      </c>
      <c r="U23" s="34">
        <f t="shared" si="15"/>
        <v>46</v>
      </c>
      <c r="V23" s="34">
        <f t="shared" si="15"/>
        <v>44</v>
      </c>
      <c r="W23" s="34">
        <f t="shared" si="15"/>
        <v>0</v>
      </c>
      <c r="X23" s="34">
        <f t="shared" si="15"/>
        <v>8</v>
      </c>
      <c r="Y23" s="34">
        <f t="shared" si="15"/>
        <v>48</v>
      </c>
      <c r="Z23" s="34">
        <f t="shared" si="15"/>
        <v>4</v>
      </c>
      <c r="AA23" s="34">
        <f t="shared" si="15"/>
        <v>2</v>
      </c>
      <c r="AB23" s="34">
        <f t="shared" si="15"/>
        <v>28</v>
      </c>
      <c r="AC23" s="34">
        <f t="shared" si="15"/>
        <v>330</v>
      </c>
      <c r="AD23" s="34">
        <f t="shared" si="15"/>
        <v>0</v>
      </c>
      <c r="AE23" s="31">
        <f t="shared" si="15"/>
        <v>241</v>
      </c>
      <c r="AF23" s="31">
        <f t="shared" si="15"/>
        <v>571</v>
      </c>
    </row>
    <row r="24" spans="2:32" ht="23.1" customHeight="1" x14ac:dyDescent="0.25">
      <c r="B24" s="23" t="s">
        <v>51</v>
      </c>
      <c r="C24" s="49">
        <f>'Avg Week KAMPALA-GULU'!C24+'Avg Week GULU-KAMPALA'!C24</f>
        <v>15.571428571428569</v>
      </c>
      <c r="D24" s="49">
        <f>'Avg Week KAMPALA-GULU'!D24+'Avg Week GULU-KAMPALA'!D24</f>
        <v>0.42857142857142855</v>
      </c>
      <c r="E24" s="49">
        <f>'Avg Week KAMPALA-GULU'!E24+'Avg Week GULU-KAMPALA'!E24</f>
        <v>31.571428571428569</v>
      </c>
      <c r="F24" s="49">
        <f>'Avg Week KAMPALA-GULU'!F24+'Avg Week GULU-KAMPALA'!F24</f>
        <v>26.857142857142858</v>
      </c>
      <c r="G24" s="49">
        <f>'Avg Week KAMPALA-GULU'!G24+'Avg Week GULU-KAMPALA'!G24</f>
        <v>0.71428571428571419</v>
      </c>
      <c r="H24" s="49">
        <f>'Avg Week KAMPALA-GULU'!H24+'Avg Week GULU-KAMPALA'!H24</f>
        <v>1.1428571428571428</v>
      </c>
      <c r="I24" s="49">
        <f>'Avg Week KAMPALA-GULU'!I24+'Avg Week GULU-KAMPALA'!I24</f>
        <v>9.8571428571428577</v>
      </c>
      <c r="J24" s="49">
        <f>'Avg Week KAMPALA-GULU'!J24+'Avg Week GULU-KAMPALA'!J24</f>
        <v>1.7142857142857142</v>
      </c>
      <c r="K24" s="49">
        <f>'Avg Week KAMPALA-GULU'!K24+'Avg Week GULU-KAMPALA'!K24</f>
        <v>0.14285714285714285</v>
      </c>
      <c r="L24" s="49">
        <f>'Avg Week KAMPALA-GULU'!L24+'Avg Week GULU-KAMPALA'!L24</f>
        <v>2.1428571428571428</v>
      </c>
      <c r="M24" s="49">
        <f>'Avg Week KAMPALA-GULU'!M24+'Avg Week GULU-KAMPALA'!M24</f>
        <v>149.71428571428572</v>
      </c>
      <c r="N24" s="49">
        <f>'Avg Week KAMPALA-GULU'!N24+'Avg Week GULU-KAMPALA'!N24</f>
        <v>0</v>
      </c>
      <c r="O24" s="15">
        <f t="shared" si="0"/>
        <v>90.142857142857125</v>
      </c>
      <c r="P24" s="15">
        <f t="shared" si="1"/>
        <v>239.85714285714283</v>
      </c>
      <c r="R24" s="1" t="s">
        <v>148</v>
      </c>
      <c r="S24" s="34">
        <f>SUM(C66:C69)</f>
        <v>26.5</v>
      </c>
      <c r="T24" s="34">
        <f t="shared" ref="T24:AF24" si="16">SUM(D66:D69)</f>
        <v>8</v>
      </c>
      <c r="U24" s="34">
        <f t="shared" si="16"/>
        <v>28</v>
      </c>
      <c r="V24" s="34">
        <f t="shared" si="16"/>
        <v>30</v>
      </c>
      <c r="W24" s="34">
        <f t="shared" si="16"/>
        <v>8</v>
      </c>
      <c r="X24" s="34">
        <f t="shared" si="16"/>
        <v>10</v>
      </c>
      <c r="Y24" s="34">
        <f t="shared" si="16"/>
        <v>46</v>
      </c>
      <c r="Z24" s="34">
        <f t="shared" si="16"/>
        <v>2</v>
      </c>
      <c r="AA24" s="34">
        <f t="shared" si="16"/>
        <v>4</v>
      </c>
      <c r="AB24" s="34">
        <f t="shared" si="16"/>
        <v>14</v>
      </c>
      <c r="AC24" s="34">
        <f t="shared" si="16"/>
        <v>176</v>
      </c>
      <c r="AD24" s="34">
        <f t="shared" si="16"/>
        <v>0</v>
      </c>
      <c r="AE24" s="31">
        <f t="shared" si="16"/>
        <v>176.5</v>
      </c>
      <c r="AF24" s="31">
        <f t="shared" si="16"/>
        <v>352.5</v>
      </c>
    </row>
    <row r="25" spans="2:32" ht="23.1" customHeight="1" x14ac:dyDescent="0.25">
      <c r="B25" s="23" t="s">
        <v>52</v>
      </c>
      <c r="C25" s="49">
        <f>'Avg Week KAMPALA-GULU'!C25+'Avg Week GULU-KAMPALA'!C25</f>
        <v>17.428571428571427</v>
      </c>
      <c r="D25" s="49">
        <f>'Avg Week KAMPALA-GULU'!D25+'Avg Week GULU-KAMPALA'!D25</f>
        <v>0.7142857142857143</v>
      </c>
      <c r="E25" s="49">
        <f>'Avg Week KAMPALA-GULU'!E25+'Avg Week GULU-KAMPALA'!E25</f>
        <v>30.142857142857146</v>
      </c>
      <c r="F25" s="49">
        <f>'Avg Week KAMPALA-GULU'!F25+'Avg Week GULU-KAMPALA'!F25</f>
        <v>29.428571428571431</v>
      </c>
      <c r="G25" s="49">
        <f>'Avg Week KAMPALA-GULU'!G25+'Avg Week GULU-KAMPALA'!G25</f>
        <v>0.5714285714285714</v>
      </c>
      <c r="H25" s="49">
        <f>'Avg Week KAMPALA-GULU'!H25+'Avg Week GULU-KAMPALA'!H25</f>
        <v>1.4285714285714284</v>
      </c>
      <c r="I25" s="49">
        <f>'Avg Week KAMPALA-GULU'!I25+'Avg Week GULU-KAMPALA'!I25</f>
        <v>11.142857142857142</v>
      </c>
      <c r="J25" s="49">
        <f>'Avg Week KAMPALA-GULU'!J25+'Avg Week GULU-KAMPALA'!J25</f>
        <v>2.1428571428571428</v>
      </c>
      <c r="K25" s="49">
        <f>'Avg Week KAMPALA-GULU'!K25+'Avg Week GULU-KAMPALA'!K25</f>
        <v>0.14285714285714285</v>
      </c>
      <c r="L25" s="49">
        <f>'Avg Week KAMPALA-GULU'!L25+'Avg Week GULU-KAMPALA'!L25</f>
        <v>2</v>
      </c>
      <c r="M25" s="49">
        <f>'Avg Week KAMPALA-GULU'!M25+'Avg Week GULU-KAMPALA'!M25</f>
        <v>134</v>
      </c>
      <c r="N25" s="49">
        <f>'Avg Week KAMPALA-GULU'!N25+'Avg Week GULU-KAMPALA'!N25</f>
        <v>0.14285714285714285</v>
      </c>
      <c r="O25" s="15">
        <f t="shared" si="0"/>
        <v>95.285714285714278</v>
      </c>
      <c r="P25" s="15">
        <f t="shared" si="1"/>
        <v>229.28571428571428</v>
      </c>
      <c r="R25" s="1" t="s">
        <v>149</v>
      </c>
      <c r="S25" s="34">
        <f>SUM(C70:C73)</f>
        <v>16.5</v>
      </c>
      <c r="T25" s="34">
        <f t="shared" ref="T25:AF25" si="17">SUM(D70:D73)</f>
        <v>2</v>
      </c>
      <c r="U25" s="34">
        <f t="shared" si="17"/>
        <v>18</v>
      </c>
      <c r="V25" s="34">
        <f t="shared" si="17"/>
        <v>26</v>
      </c>
      <c r="W25" s="34">
        <f t="shared" si="17"/>
        <v>8</v>
      </c>
      <c r="X25" s="34">
        <f t="shared" si="17"/>
        <v>10</v>
      </c>
      <c r="Y25" s="34">
        <f t="shared" si="17"/>
        <v>26</v>
      </c>
      <c r="Z25" s="34">
        <f t="shared" si="17"/>
        <v>2</v>
      </c>
      <c r="AA25" s="34">
        <f t="shared" si="17"/>
        <v>4</v>
      </c>
      <c r="AB25" s="34">
        <f t="shared" si="17"/>
        <v>14</v>
      </c>
      <c r="AC25" s="34">
        <f t="shared" si="17"/>
        <v>68</v>
      </c>
      <c r="AD25" s="34">
        <f t="shared" si="17"/>
        <v>0</v>
      </c>
      <c r="AE25" s="31">
        <f t="shared" si="17"/>
        <v>126.5</v>
      </c>
      <c r="AF25" s="31">
        <f t="shared" si="17"/>
        <v>194.5</v>
      </c>
    </row>
    <row r="26" spans="2:32" ht="23.1" customHeight="1" x14ac:dyDescent="0.25">
      <c r="B26" s="23" t="s">
        <v>53</v>
      </c>
      <c r="C26" s="49">
        <f>'Avg Week KAMPALA-GULU'!C26+'Avg Week GULU-KAMPALA'!C26</f>
        <v>18.285714285714285</v>
      </c>
      <c r="D26" s="49">
        <f>'Avg Week KAMPALA-GULU'!D26+'Avg Week GULU-KAMPALA'!D26</f>
        <v>2</v>
      </c>
      <c r="E26" s="49">
        <f>'Avg Week KAMPALA-GULU'!E26+'Avg Week GULU-KAMPALA'!E26</f>
        <v>29.571428571428573</v>
      </c>
      <c r="F26" s="49">
        <f>'Avg Week KAMPALA-GULU'!F26+'Avg Week GULU-KAMPALA'!F26</f>
        <v>29.142857142857142</v>
      </c>
      <c r="G26" s="49">
        <f>'Avg Week KAMPALA-GULU'!G26+'Avg Week GULU-KAMPALA'!G26</f>
        <v>0.5714285714285714</v>
      </c>
      <c r="H26" s="49">
        <f>'Avg Week KAMPALA-GULU'!H26+'Avg Week GULU-KAMPALA'!H26</f>
        <v>0.85714285714285721</v>
      </c>
      <c r="I26" s="49">
        <f>'Avg Week KAMPALA-GULU'!I26+'Avg Week GULU-KAMPALA'!I26</f>
        <v>11.428571428571429</v>
      </c>
      <c r="J26" s="49">
        <f>'Avg Week KAMPALA-GULU'!J26+'Avg Week GULU-KAMPALA'!J26</f>
        <v>1.8571428571428572</v>
      </c>
      <c r="K26" s="49">
        <f>'Avg Week KAMPALA-GULU'!K26+'Avg Week GULU-KAMPALA'!K26</f>
        <v>0.2857142857142857</v>
      </c>
      <c r="L26" s="49">
        <f>'Avg Week KAMPALA-GULU'!L26+'Avg Week GULU-KAMPALA'!L26</f>
        <v>2.1428571428571428</v>
      </c>
      <c r="M26" s="49">
        <f>'Avg Week KAMPALA-GULU'!M26+'Avg Week GULU-KAMPALA'!M26</f>
        <v>134</v>
      </c>
      <c r="N26" s="49">
        <f>'Avg Week KAMPALA-GULU'!N26+'Avg Week GULU-KAMPALA'!N26</f>
        <v>0</v>
      </c>
      <c r="O26" s="15">
        <f t="shared" si="0"/>
        <v>96.142857142857153</v>
      </c>
      <c r="P26" s="15">
        <f t="shared" si="1"/>
        <v>230.14285714285717</v>
      </c>
      <c r="R26" s="1" t="s">
        <v>150</v>
      </c>
      <c r="S26" s="34">
        <f>SUM(C74:C77)</f>
        <v>14</v>
      </c>
      <c r="T26" s="34">
        <f t="shared" ref="T26:AF26" si="18">SUM(D74:D77)</f>
        <v>0</v>
      </c>
      <c r="U26" s="34">
        <f t="shared" si="18"/>
        <v>8</v>
      </c>
      <c r="V26" s="34">
        <f t="shared" si="18"/>
        <v>4</v>
      </c>
      <c r="W26" s="34">
        <f t="shared" si="18"/>
        <v>8</v>
      </c>
      <c r="X26" s="34">
        <f t="shared" si="18"/>
        <v>10</v>
      </c>
      <c r="Y26" s="34">
        <f t="shared" si="18"/>
        <v>20</v>
      </c>
      <c r="Z26" s="34">
        <f t="shared" si="18"/>
        <v>2</v>
      </c>
      <c r="AA26" s="34">
        <f t="shared" si="18"/>
        <v>0</v>
      </c>
      <c r="AB26" s="34">
        <f t="shared" si="18"/>
        <v>14</v>
      </c>
      <c r="AC26" s="34">
        <f t="shared" si="18"/>
        <v>32</v>
      </c>
      <c r="AD26" s="34">
        <f t="shared" si="18"/>
        <v>0</v>
      </c>
      <c r="AE26" s="31">
        <f t="shared" si="18"/>
        <v>80</v>
      </c>
      <c r="AF26" s="31">
        <f t="shared" si="18"/>
        <v>112</v>
      </c>
    </row>
    <row r="27" spans="2:32" ht="23.1" customHeight="1" x14ac:dyDescent="0.25">
      <c r="B27" s="23" t="s">
        <v>54</v>
      </c>
      <c r="C27" s="49">
        <f>'Avg Week KAMPALA-GULU'!C27+'Avg Week GULU-KAMPALA'!C27</f>
        <v>16.714285714285715</v>
      </c>
      <c r="D27" s="49">
        <f>'Avg Week KAMPALA-GULU'!D27+'Avg Week GULU-KAMPALA'!D27</f>
        <v>0.7142857142857143</v>
      </c>
      <c r="E27" s="49">
        <f>'Avg Week KAMPALA-GULU'!E27+'Avg Week GULU-KAMPALA'!E27</f>
        <v>31</v>
      </c>
      <c r="F27" s="49">
        <f>'Avg Week KAMPALA-GULU'!F27+'Avg Week GULU-KAMPALA'!F27</f>
        <v>23.857142857142858</v>
      </c>
      <c r="G27" s="49">
        <f>'Avg Week KAMPALA-GULU'!G27+'Avg Week GULU-KAMPALA'!G27</f>
        <v>0.71428571428571419</v>
      </c>
      <c r="H27" s="49">
        <f>'Avg Week KAMPALA-GULU'!H27+'Avg Week GULU-KAMPALA'!H27</f>
        <v>2.7142857142857144</v>
      </c>
      <c r="I27" s="49">
        <f>'Avg Week KAMPALA-GULU'!I27+'Avg Week GULU-KAMPALA'!I27</f>
        <v>11.428571428571429</v>
      </c>
      <c r="J27" s="49">
        <f>'Avg Week KAMPALA-GULU'!J27+'Avg Week GULU-KAMPALA'!J27</f>
        <v>1.7142857142857144</v>
      </c>
      <c r="K27" s="49">
        <f>'Avg Week KAMPALA-GULU'!K27+'Avg Week GULU-KAMPALA'!K27</f>
        <v>0.42857142857142855</v>
      </c>
      <c r="L27" s="49">
        <f>'Avg Week KAMPALA-GULU'!L27+'Avg Week GULU-KAMPALA'!L27</f>
        <v>1.7142857142857144</v>
      </c>
      <c r="M27" s="49">
        <f>'Avg Week KAMPALA-GULU'!M27+'Avg Week GULU-KAMPALA'!M27</f>
        <v>136.85714285714286</v>
      </c>
      <c r="N27" s="49">
        <f>'Avg Week KAMPALA-GULU'!N27+'Avg Week GULU-KAMPALA'!N27</f>
        <v>0</v>
      </c>
      <c r="O27" s="15">
        <f t="shared" si="0"/>
        <v>90.999999999999986</v>
      </c>
      <c r="P27" s="15">
        <f t="shared" si="1"/>
        <v>227.85714285714283</v>
      </c>
      <c r="R27" s="1" t="s">
        <v>151</v>
      </c>
      <c r="S27" s="34">
        <f>SUM(C78:C81)</f>
        <v>8</v>
      </c>
      <c r="T27" s="34">
        <f t="shared" ref="T27:AF27" si="19">SUM(D78:D81)</f>
        <v>6</v>
      </c>
      <c r="U27" s="34">
        <f t="shared" si="19"/>
        <v>6</v>
      </c>
      <c r="V27" s="34">
        <f t="shared" si="19"/>
        <v>4</v>
      </c>
      <c r="W27" s="34">
        <f t="shared" si="19"/>
        <v>8</v>
      </c>
      <c r="X27" s="34">
        <f t="shared" si="19"/>
        <v>8</v>
      </c>
      <c r="Y27" s="34">
        <f t="shared" si="19"/>
        <v>10</v>
      </c>
      <c r="Z27" s="34">
        <f t="shared" si="19"/>
        <v>2</v>
      </c>
      <c r="AA27" s="34">
        <f t="shared" si="19"/>
        <v>0</v>
      </c>
      <c r="AB27" s="34">
        <f t="shared" si="19"/>
        <v>14</v>
      </c>
      <c r="AC27" s="34">
        <f t="shared" si="19"/>
        <v>26</v>
      </c>
      <c r="AD27" s="34">
        <f t="shared" si="19"/>
        <v>0</v>
      </c>
      <c r="AE27" s="31">
        <f t="shared" si="19"/>
        <v>66</v>
      </c>
      <c r="AF27" s="31">
        <f t="shared" si="19"/>
        <v>92</v>
      </c>
    </row>
    <row r="28" spans="2:32" ht="23.1" customHeight="1" x14ac:dyDescent="0.25">
      <c r="B28" s="23" t="s">
        <v>55</v>
      </c>
      <c r="C28" s="49">
        <f>'Avg Week KAMPALA-GULU'!C28+'Avg Week GULU-KAMPALA'!C28</f>
        <v>18.142857142857142</v>
      </c>
      <c r="D28" s="49">
        <f>'Avg Week KAMPALA-GULU'!D28+'Avg Week GULU-KAMPALA'!D28</f>
        <v>0.5714285714285714</v>
      </c>
      <c r="E28" s="49">
        <f>'Avg Week KAMPALA-GULU'!E28+'Avg Week GULU-KAMPALA'!E28</f>
        <v>29.571428571428569</v>
      </c>
      <c r="F28" s="49">
        <f>'Avg Week KAMPALA-GULU'!F28+'Avg Week GULU-KAMPALA'!F28</f>
        <v>29.285714285714285</v>
      </c>
      <c r="G28" s="49">
        <f>'Avg Week KAMPALA-GULU'!G28+'Avg Week GULU-KAMPALA'!G28</f>
        <v>0.42857142857142855</v>
      </c>
      <c r="H28" s="49">
        <f>'Avg Week KAMPALA-GULU'!H28+'Avg Week GULU-KAMPALA'!H28</f>
        <v>1.5714285714285714</v>
      </c>
      <c r="I28" s="49">
        <f>'Avg Week KAMPALA-GULU'!I28+'Avg Week GULU-KAMPALA'!I28</f>
        <v>11.428571428571429</v>
      </c>
      <c r="J28" s="49">
        <f>'Avg Week KAMPALA-GULU'!J28+'Avg Week GULU-KAMPALA'!J28</f>
        <v>1.5714285714285714</v>
      </c>
      <c r="K28" s="49">
        <f>'Avg Week KAMPALA-GULU'!K28+'Avg Week GULU-KAMPALA'!K28</f>
        <v>0.2857142857142857</v>
      </c>
      <c r="L28" s="49">
        <f>'Avg Week KAMPALA-GULU'!L28+'Avg Week GULU-KAMPALA'!L28</f>
        <v>1.5714285714285714</v>
      </c>
      <c r="M28" s="49">
        <f>'Avg Week KAMPALA-GULU'!M28+'Avg Week GULU-KAMPALA'!M28</f>
        <v>136.14285714285717</v>
      </c>
      <c r="N28" s="49">
        <f>'Avg Week KAMPALA-GULU'!N28+'Avg Week GULU-KAMPALA'!N28</f>
        <v>0</v>
      </c>
      <c r="O28" s="15">
        <f t="shared" si="0"/>
        <v>94.428571428571431</v>
      </c>
      <c r="P28" s="15">
        <f t="shared" si="1"/>
        <v>230.57142857142861</v>
      </c>
      <c r="R28" s="1" t="s">
        <v>152</v>
      </c>
      <c r="S28" s="34">
        <f>SUM(C82:C85)</f>
        <v>8</v>
      </c>
      <c r="T28" s="34">
        <f t="shared" ref="T28:AF28" si="20">SUM(D82:D85)</f>
        <v>2</v>
      </c>
      <c r="U28" s="34">
        <f t="shared" si="20"/>
        <v>6</v>
      </c>
      <c r="V28" s="34">
        <f t="shared" si="20"/>
        <v>4</v>
      </c>
      <c r="W28" s="34">
        <f t="shared" si="20"/>
        <v>4</v>
      </c>
      <c r="X28" s="34">
        <f t="shared" si="20"/>
        <v>4</v>
      </c>
      <c r="Y28" s="34">
        <f t="shared" si="20"/>
        <v>8</v>
      </c>
      <c r="Z28" s="34">
        <f t="shared" si="20"/>
        <v>2</v>
      </c>
      <c r="AA28" s="34">
        <f t="shared" si="20"/>
        <v>0</v>
      </c>
      <c r="AB28" s="34">
        <f t="shared" si="20"/>
        <v>6</v>
      </c>
      <c r="AC28" s="34">
        <f t="shared" si="20"/>
        <v>10</v>
      </c>
      <c r="AD28" s="34">
        <f t="shared" si="20"/>
        <v>0</v>
      </c>
      <c r="AE28" s="31">
        <f t="shared" si="20"/>
        <v>44</v>
      </c>
      <c r="AF28" s="31">
        <f t="shared" si="20"/>
        <v>54</v>
      </c>
    </row>
    <row r="29" spans="2:32" ht="23.1" customHeight="1" x14ac:dyDescent="0.25">
      <c r="B29" s="23" t="s">
        <v>56</v>
      </c>
      <c r="C29" s="49">
        <f>'Avg Week KAMPALA-GULU'!C29+'Avg Week GULU-KAMPALA'!C29</f>
        <v>15.714285714285715</v>
      </c>
      <c r="D29" s="49">
        <f>'Avg Week KAMPALA-GULU'!D29+'Avg Week GULU-KAMPALA'!D29</f>
        <v>0</v>
      </c>
      <c r="E29" s="49">
        <f>'Avg Week KAMPALA-GULU'!E29+'Avg Week GULU-KAMPALA'!E29</f>
        <v>27.428571428571431</v>
      </c>
      <c r="F29" s="49">
        <f>'Avg Week KAMPALA-GULU'!F29+'Avg Week GULU-KAMPALA'!F29</f>
        <v>24.285714285714285</v>
      </c>
      <c r="G29" s="49">
        <f>'Avg Week KAMPALA-GULU'!G29+'Avg Week GULU-KAMPALA'!G29</f>
        <v>0.85714285714285721</v>
      </c>
      <c r="H29" s="49">
        <f>'Avg Week KAMPALA-GULU'!H29+'Avg Week GULU-KAMPALA'!H29</f>
        <v>1.8571428571428572</v>
      </c>
      <c r="I29" s="49">
        <f>'Avg Week KAMPALA-GULU'!I29+'Avg Week GULU-KAMPALA'!I29</f>
        <v>11.714285714285715</v>
      </c>
      <c r="J29" s="49">
        <f>'Avg Week KAMPALA-GULU'!J29+'Avg Week GULU-KAMPALA'!J29</f>
        <v>2.1428571428571428</v>
      </c>
      <c r="K29" s="49">
        <f>'Avg Week KAMPALA-GULU'!K29+'Avg Week GULU-KAMPALA'!K29</f>
        <v>0.14285714285714285</v>
      </c>
      <c r="L29" s="49">
        <f>'Avg Week KAMPALA-GULU'!L29+'Avg Week GULU-KAMPALA'!L29</f>
        <v>2</v>
      </c>
      <c r="M29" s="49">
        <f>'Avg Week KAMPALA-GULU'!M29+'Avg Week GULU-KAMPALA'!M29</f>
        <v>133.14285714285714</v>
      </c>
      <c r="N29" s="49">
        <f>'Avg Week KAMPALA-GULU'!N29+'Avg Week GULU-KAMPALA'!N29</f>
        <v>0</v>
      </c>
      <c r="O29" s="15">
        <f t="shared" si="0"/>
        <v>86.142857142857139</v>
      </c>
      <c r="P29" s="15">
        <f t="shared" si="1"/>
        <v>219.28571428571428</v>
      </c>
      <c r="R29" s="1" t="s">
        <v>153</v>
      </c>
      <c r="S29" s="34">
        <f>SUM(C86:C89)</f>
        <v>4</v>
      </c>
      <c r="T29" s="34">
        <f t="shared" ref="T29:AF29" si="21">SUM(D86:D89)</f>
        <v>0</v>
      </c>
      <c r="U29" s="34">
        <f t="shared" si="21"/>
        <v>4</v>
      </c>
      <c r="V29" s="34">
        <f t="shared" si="21"/>
        <v>4</v>
      </c>
      <c r="W29" s="34">
        <f t="shared" si="21"/>
        <v>4</v>
      </c>
      <c r="X29" s="34">
        <f t="shared" si="21"/>
        <v>4</v>
      </c>
      <c r="Y29" s="34">
        <f t="shared" si="21"/>
        <v>8</v>
      </c>
      <c r="Z29" s="34">
        <f t="shared" si="21"/>
        <v>2</v>
      </c>
      <c r="AA29" s="34">
        <f t="shared" si="21"/>
        <v>2</v>
      </c>
      <c r="AB29" s="34">
        <f t="shared" si="21"/>
        <v>2</v>
      </c>
      <c r="AC29" s="34">
        <f t="shared" si="21"/>
        <v>4</v>
      </c>
      <c r="AD29" s="34">
        <f t="shared" si="21"/>
        <v>0</v>
      </c>
      <c r="AE29" s="31">
        <f t="shared" si="21"/>
        <v>34</v>
      </c>
      <c r="AF29" s="31">
        <f t="shared" si="21"/>
        <v>38</v>
      </c>
    </row>
    <row r="30" spans="2:32" ht="23.1" customHeight="1" x14ac:dyDescent="0.25">
      <c r="B30" s="23" t="s">
        <v>57</v>
      </c>
      <c r="C30" s="49">
        <f>'Avg Week KAMPALA-GULU'!C30+'Avg Week GULU-KAMPALA'!C30</f>
        <v>17.714285714285715</v>
      </c>
      <c r="D30" s="49">
        <f>'Avg Week KAMPALA-GULU'!D30+'Avg Week GULU-KAMPALA'!D30</f>
        <v>1.1428571428571428</v>
      </c>
      <c r="E30" s="49">
        <f>'Avg Week KAMPALA-GULU'!E30+'Avg Week GULU-KAMPALA'!E30</f>
        <v>30</v>
      </c>
      <c r="F30" s="49">
        <f>'Avg Week KAMPALA-GULU'!F30+'Avg Week GULU-KAMPALA'!F30</f>
        <v>26.142857142857142</v>
      </c>
      <c r="G30" s="49">
        <f>'Avg Week KAMPALA-GULU'!G30+'Avg Week GULU-KAMPALA'!G30</f>
        <v>0.14285714285714285</v>
      </c>
      <c r="H30" s="49">
        <f>'Avg Week KAMPALA-GULU'!H30+'Avg Week GULU-KAMPALA'!H30</f>
        <v>2.1428571428571428</v>
      </c>
      <c r="I30" s="49">
        <f>'Avg Week KAMPALA-GULU'!I30+'Avg Week GULU-KAMPALA'!I30</f>
        <v>13.142857142857142</v>
      </c>
      <c r="J30" s="49">
        <f>'Avg Week KAMPALA-GULU'!J30+'Avg Week GULU-KAMPALA'!J30</f>
        <v>2.8571428571428568</v>
      </c>
      <c r="K30" s="49">
        <f>'Avg Week KAMPALA-GULU'!K30+'Avg Week GULU-KAMPALA'!K30</f>
        <v>0.5714285714285714</v>
      </c>
      <c r="L30" s="49">
        <f>'Avg Week KAMPALA-GULU'!L30+'Avg Week GULU-KAMPALA'!L30</f>
        <v>4.1428571428571432</v>
      </c>
      <c r="M30" s="49">
        <f>'Avg Week KAMPALA-GULU'!M30+'Avg Week GULU-KAMPALA'!M30</f>
        <v>125.71428571428571</v>
      </c>
      <c r="N30" s="49">
        <f>'Avg Week KAMPALA-GULU'!N30+'Avg Week GULU-KAMPALA'!N30</f>
        <v>0</v>
      </c>
      <c r="O30" s="15">
        <f t="shared" si="0"/>
        <v>97.999999999999986</v>
      </c>
      <c r="P30" s="15">
        <f t="shared" si="1"/>
        <v>223.71428571428569</v>
      </c>
      <c r="R30" s="1" t="s">
        <v>154</v>
      </c>
      <c r="S30" s="34">
        <f>SUM(C90:C93)</f>
        <v>2</v>
      </c>
      <c r="T30" s="34">
        <f t="shared" ref="T30:AF30" si="22">SUM(D90:D93)</f>
        <v>2</v>
      </c>
      <c r="U30" s="34">
        <f t="shared" si="22"/>
        <v>2</v>
      </c>
      <c r="V30" s="34">
        <f t="shared" si="22"/>
        <v>4</v>
      </c>
      <c r="W30" s="34">
        <f t="shared" si="22"/>
        <v>4</v>
      </c>
      <c r="X30" s="34">
        <f t="shared" si="22"/>
        <v>4</v>
      </c>
      <c r="Y30" s="34">
        <f t="shared" si="22"/>
        <v>8</v>
      </c>
      <c r="Z30" s="34">
        <f t="shared" si="22"/>
        <v>2</v>
      </c>
      <c r="AA30" s="34">
        <f t="shared" si="22"/>
        <v>0</v>
      </c>
      <c r="AB30" s="34">
        <f t="shared" si="22"/>
        <v>0</v>
      </c>
      <c r="AC30" s="34">
        <f t="shared" si="22"/>
        <v>6</v>
      </c>
      <c r="AD30" s="34">
        <f t="shared" si="22"/>
        <v>0</v>
      </c>
      <c r="AE30" s="31">
        <f t="shared" si="22"/>
        <v>28</v>
      </c>
      <c r="AF30" s="31">
        <f t="shared" si="22"/>
        <v>34</v>
      </c>
    </row>
    <row r="31" spans="2:32" ht="23.1" customHeight="1" x14ac:dyDescent="0.25">
      <c r="B31" s="24" t="s">
        <v>58</v>
      </c>
      <c r="C31" s="49">
        <f>'Avg Week KAMPALA-GULU'!C31+'Avg Week GULU-KAMPALA'!C31</f>
        <v>17.428571428571431</v>
      </c>
      <c r="D31" s="49">
        <f>'Avg Week KAMPALA-GULU'!D31+'Avg Week GULU-KAMPALA'!D31</f>
        <v>0.7142857142857143</v>
      </c>
      <c r="E31" s="49">
        <f>'Avg Week KAMPALA-GULU'!E31+'Avg Week GULU-KAMPALA'!E31</f>
        <v>26.428571428571431</v>
      </c>
      <c r="F31" s="49">
        <f>'Avg Week KAMPALA-GULU'!F31+'Avg Week GULU-KAMPALA'!F31</f>
        <v>29.571428571428569</v>
      </c>
      <c r="G31" s="49">
        <f>'Avg Week KAMPALA-GULU'!G31+'Avg Week GULU-KAMPALA'!G31</f>
        <v>0.42857142857142855</v>
      </c>
      <c r="H31" s="49">
        <f>'Avg Week KAMPALA-GULU'!H31+'Avg Week GULU-KAMPALA'!H31</f>
        <v>1.4285714285714284</v>
      </c>
      <c r="I31" s="49">
        <f>'Avg Week KAMPALA-GULU'!I31+'Avg Week GULU-KAMPALA'!I31</f>
        <v>16.285714285714285</v>
      </c>
      <c r="J31" s="49">
        <f>'Avg Week KAMPALA-GULU'!J31+'Avg Week GULU-KAMPALA'!J31</f>
        <v>1.7142857142857144</v>
      </c>
      <c r="K31" s="49">
        <f>'Avg Week KAMPALA-GULU'!K31+'Avg Week GULU-KAMPALA'!K31</f>
        <v>0.8571428571428571</v>
      </c>
      <c r="L31" s="49">
        <f>'Avg Week KAMPALA-GULU'!L31+'Avg Week GULU-KAMPALA'!L31</f>
        <v>2.7142857142857144</v>
      </c>
      <c r="M31" s="49">
        <f>'Avg Week KAMPALA-GULU'!M31+'Avg Week GULU-KAMPALA'!M31</f>
        <v>127.71428571428572</v>
      </c>
      <c r="N31" s="49">
        <f>'Avg Week KAMPALA-GULU'!N31+'Avg Week GULU-KAMPALA'!N31</f>
        <v>0</v>
      </c>
      <c r="O31" s="15">
        <f t="shared" si="0"/>
        <v>97.571428571428555</v>
      </c>
      <c r="P31" s="15">
        <f t="shared" si="1"/>
        <v>225.28571428571428</v>
      </c>
      <c r="R31" s="1" t="s">
        <v>155</v>
      </c>
      <c r="S31" s="34">
        <f>SUM(C94:C97)</f>
        <v>2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6</v>
      </c>
      <c r="W31" s="34">
        <f t="shared" si="23"/>
        <v>2</v>
      </c>
      <c r="X31" s="34">
        <f t="shared" si="23"/>
        <v>3.5</v>
      </c>
      <c r="Y31" s="34">
        <f t="shared" si="23"/>
        <v>4</v>
      </c>
      <c r="Z31" s="34">
        <f t="shared" si="23"/>
        <v>0</v>
      </c>
      <c r="AA31" s="34">
        <f t="shared" si="23"/>
        <v>0</v>
      </c>
      <c r="AB31" s="34">
        <f t="shared" si="23"/>
        <v>2</v>
      </c>
      <c r="AC31" s="34">
        <f t="shared" si="23"/>
        <v>4</v>
      </c>
      <c r="AD31" s="34">
        <f t="shared" si="23"/>
        <v>0</v>
      </c>
      <c r="AE31" s="31">
        <f t="shared" si="23"/>
        <v>19.5</v>
      </c>
      <c r="AF31" s="31">
        <f t="shared" si="23"/>
        <v>23.5</v>
      </c>
    </row>
    <row r="32" spans="2:32" ht="23.1" customHeight="1" x14ac:dyDescent="0.25">
      <c r="B32" s="24" t="s">
        <v>59</v>
      </c>
      <c r="C32" s="49">
        <f>'Avg Week KAMPALA-GULU'!C32+'Avg Week GULU-KAMPALA'!C32</f>
        <v>17.714285714285715</v>
      </c>
      <c r="D32" s="49">
        <f>'Avg Week KAMPALA-GULU'!D32+'Avg Week GULU-KAMPALA'!D32</f>
        <v>1.1428571428571428</v>
      </c>
      <c r="E32" s="49">
        <f>'Avg Week KAMPALA-GULU'!E32+'Avg Week GULU-KAMPALA'!E32</f>
        <v>31.285714285714285</v>
      </c>
      <c r="F32" s="49">
        <f>'Avg Week KAMPALA-GULU'!F32+'Avg Week GULU-KAMPALA'!F32</f>
        <v>29.857142857142858</v>
      </c>
      <c r="G32" s="49">
        <f>'Avg Week KAMPALA-GULU'!G32+'Avg Week GULU-KAMPALA'!G32</f>
        <v>0.2857142857142857</v>
      </c>
      <c r="H32" s="49">
        <f>'Avg Week KAMPALA-GULU'!H32+'Avg Week GULU-KAMPALA'!H32</f>
        <v>3.1428571428571432</v>
      </c>
      <c r="I32" s="49">
        <f>'Avg Week KAMPALA-GULU'!I32+'Avg Week GULU-KAMPALA'!I32</f>
        <v>11.714285714285715</v>
      </c>
      <c r="J32" s="49">
        <f>'Avg Week KAMPALA-GULU'!J32+'Avg Week GULU-KAMPALA'!J32</f>
        <v>2.2857142857142856</v>
      </c>
      <c r="K32" s="49">
        <f>'Avg Week KAMPALA-GULU'!K32+'Avg Week GULU-KAMPALA'!K32</f>
        <v>0.71428571428571419</v>
      </c>
      <c r="L32" s="49">
        <f>'Avg Week KAMPALA-GULU'!L32+'Avg Week GULU-KAMPALA'!L32</f>
        <v>2.5714285714285712</v>
      </c>
      <c r="M32" s="49">
        <f>'Avg Week KAMPALA-GULU'!M32+'Avg Week GULU-KAMPALA'!M32</f>
        <v>121.28571428571428</v>
      </c>
      <c r="N32" s="49">
        <f>'Avg Week KAMPALA-GULU'!N32+'Avg Week GULU-KAMPALA'!N32</f>
        <v>0.14285714285714285</v>
      </c>
      <c r="O32" s="15">
        <f t="shared" si="0"/>
        <v>100.85714285714285</v>
      </c>
      <c r="P32" s="15">
        <f t="shared" si="1"/>
        <v>222.14285714285714</v>
      </c>
      <c r="R32" s="1" t="s">
        <v>156</v>
      </c>
      <c r="S32" s="34">
        <f>SUM(C98:C101)</f>
        <v>16</v>
      </c>
      <c r="T32" s="34">
        <f t="shared" ref="T32:AF32" si="24">SUM(D98:D101)</f>
        <v>2</v>
      </c>
      <c r="U32" s="34">
        <f t="shared" si="24"/>
        <v>5.5</v>
      </c>
      <c r="V32" s="34">
        <f t="shared" si="24"/>
        <v>4</v>
      </c>
      <c r="W32" s="34">
        <f t="shared" si="24"/>
        <v>4</v>
      </c>
      <c r="X32" s="34">
        <f t="shared" si="24"/>
        <v>4</v>
      </c>
      <c r="Y32" s="34">
        <f t="shared" si="24"/>
        <v>6</v>
      </c>
      <c r="Z32" s="34">
        <f t="shared" si="24"/>
        <v>2</v>
      </c>
      <c r="AA32" s="34">
        <f t="shared" si="24"/>
        <v>0</v>
      </c>
      <c r="AB32" s="34">
        <f t="shared" si="24"/>
        <v>6</v>
      </c>
      <c r="AC32" s="34">
        <f t="shared" si="24"/>
        <v>8</v>
      </c>
      <c r="AD32" s="34">
        <f t="shared" si="24"/>
        <v>0</v>
      </c>
      <c r="AE32" s="31">
        <f t="shared" si="24"/>
        <v>49.5</v>
      </c>
      <c r="AF32" s="31">
        <f t="shared" si="24"/>
        <v>57.5</v>
      </c>
    </row>
    <row r="33" spans="2:32" ht="23.1" customHeight="1" x14ac:dyDescent="0.25">
      <c r="B33" s="23" t="s">
        <v>60</v>
      </c>
      <c r="C33" s="49">
        <f>'Avg Week KAMPALA-GULU'!C33+'Avg Week GULU-KAMPALA'!C33</f>
        <v>17</v>
      </c>
      <c r="D33" s="49">
        <f>'Avg Week KAMPALA-GULU'!D33+'Avg Week GULU-KAMPALA'!D33</f>
        <v>0.2857142857142857</v>
      </c>
      <c r="E33" s="49">
        <f>'Avg Week KAMPALA-GULU'!E33+'Avg Week GULU-KAMPALA'!E33</f>
        <v>33.428571428571431</v>
      </c>
      <c r="F33" s="49">
        <f>'Avg Week KAMPALA-GULU'!F33+'Avg Week GULU-KAMPALA'!F33</f>
        <v>29.571428571428573</v>
      </c>
      <c r="G33" s="49">
        <f>'Avg Week KAMPALA-GULU'!G33+'Avg Week GULU-KAMPALA'!G33</f>
        <v>0.2857142857142857</v>
      </c>
      <c r="H33" s="49">
        <f>'Avg Week KAMPALA-GULU'!H33+'Avg Week GULU-KAMPALA'!H33</f>
        <v>1.8571428571428572</v>
      </c>
      <c r="I33" s="49">
        <f>'Avg Week KAMPALA-GULU'!I33+'Avg Week GULU-KAMPALA'!I33</f>
        <v>14.571428571428571</v>
      </c>
      <c r="J33" s="49">
        <f>'Avg Week KAMPALA-GULU'!J33+'Avg Week GULU-KAMPALA'!J33</f>
        <v>2</v>
      </c>
      <c r="K33" s="49">
        <f>'Avg Week KAMPALA-GULU'!K33+'Avg Week GULU-KAMPALA'!K33</f>
        <v>0.2857142857142857</v>
      </c>
      <c r="L33" s="49">
        <f>'Avg Week KAMPALA-GULU'!L33+'Avg Week GULU-KAMPALA'!L33</f>
        <v>3.1428571428571428</v>
      </c>
      <c r="M33" s="49">
        <f>'Avg Week KAMPALA-GULU'!M33+'Avg Week GULU-KAMPALA'!M33</f>
        <v>121.71428571428572</v>
      </c>
      <c r="N33" s="49">
        <f>'Avg Week KAMPALA-GULU'!N33+'Avg Week GULU-KAMPALA'!N33</f>
        <v>0</v>
      </c>
      <c r="O33" s="15">
        <f t="shared" si="0"/>
        <v>102.42857142857144</v>
      </c>
      <c r="P33" s="15">
        <f t="shared" si="1"/>
        <v>224.14285714285717</v>
      </c>
      <c r="R33" s="1" t="s">
        <v>157</v>
      </c>
      <c r="S33" s="34">
        <f>SUM(C102:C105)</f>
        <v>48.5</v>
      </c>
      <c r="T33" s="34">
        <f t="shared" ref="T33:AF33" si="25">SUM(D102:D105)</f>
        <v>16</v>
      </c>
      <c r="U33" s="34">
        <f t="shared" si="25"/>
        <v>15.5</v>
      </c>
      <c r="V33" s="34">
        <f t="shared" si="25"/>
        <v>20.5</v>
      </c>
      <c r="W33" s="34">
        <f t="shared" si="25"/>
        <v>5</v>
      </c>
      <c r="X33" s="34">
        <f t="shared" si="25"/>
        <v>2</v>
      </c>
      <c r="Y33" s="34">
        <f t="shared" si="25"/>
        <v>15.5</v>
      </c>
      <c r="Z33" s="34">
        <f t="shared" si="25"/>
        <v>4.5</v>
      </c>
      <c r="AA33" s="34">
        <f t="shared" si="25"/>
        <v>4</v>
      </c>
      <c r="AB33" s="34">
        <f t="shared" si="25"/>
        <v>4</v>
      </c>
      <c r="AC33" s="34">
        <f t="shared" si="25"/>
        <v>57.5</v>
      </c>
      <c r="AD33" s="34">
        <f t="shared" si="25"/>
        <v>0</v>
      </c>
      <c r="AE33" s="31">
        <f t="shared" si="25"/>
        <v>135.5</v>
      </c>
      <c r="AF33" s="31">
        <f t="shared" si="25"/>
        <v>193</v>
      </c>
    </row>
    <row r="34" spans="2:32" ht="23.1" customHeight="1" x14ac:dyDescent="0.25">
      <c r="B34" s="24" t="s">
        <v>61</v>
      </c>
      <c r="C34" s="49">
        <f>'Avg Week KAMPALA-GULU'!C34+'Avg Week GULU-KAMPALA'!C34</f>
        <v>17.285714285714285</v>
      </c>
      <c r="D34" s="49">
        <f>'Avg Week KAMPALA-GULU'!D34+'Avg Week GULU-KAMPALA'!D34</f>
        <v>1</v>
      </c>
      <c r="E34" s="49">
        <f>'Avg Week KAMPALA-GULU'!E34+'Avg Week GULU-KAMPALA'!E34</f>
        <v>32.285714285714285</v>
      </c>
      <c r="F34" s="49">
        <f>'Avg Week KAMPALA-GULU'!F34+'Avg Week GULU-KAMPALA'!F34</f>
        <v>27.571428571428569</v>
      </c>
      <c r="G34" s="49">
        <f>'Avg Week KAMPALA-GULU'!G34+'Avg Week GULU-KAMPALA'!G34</f>
        <v>0.71428571428571419</v>
      </c>
      <c r="H34" s="49">
        <f>'Avg Week KAMPALA-GULU'!H34+'Avg Week GULU-KAMPALA'!H34</f>
        <v>2.5714285714285712</v>
      </c>
      <c r="I34" s="49">
        <f>'Avg Week KAMPALA-GULU'!I34+'Avg Week GULU-KAMPALA'!I34</f>
        <v>14.142857142857142</v>
      </c>
      <c r="J34" s="49">
        <f>'Avg Week KAMPALA-GULU'!J34+'Avg Week GULU-KAMPALA'!J34</f>
        <v>2.1428571428571428</v>
      </c>
      <c r="K34" s="49">
        <f>'Avg Week KAMPALA-GULU'!K34+'Avg Week GULU-KAMPALA'!K34</f>
        <v>0</v>
      </c>
      <c r="L34" s="49">
        <f>'Avg Week KAMPALA-GULU'!L34+'Avg Week GULU-KAMPALA'!L34</f>
        <v>2.4285714285714288</v>
      </c>
      <c r="M34" s="49">
        <f>'Avg Week KAMPALA-GULU'!M34+'Avg Week GULU-KAMPALA'!M34</f>
        <v>129</v>
      </c>
      <c r="N34" s="49">
        <f>'Avg Week KAMPALA-GULU'!N34+'Avg Week GULU-KAMPALA'!N34</f>
        <v>0.2857142857142857</v>
      </c>
      <c r="O34" s="15">
        <f t="shared" si="0"/>
        <v>100.42857142857142</v>
      </c>
      <c r="P34" s="15">
        <f t="shared" si="1"/>
        <v>229.42857142857139</v>
      </c>
      <c r="R34" s="51" t="s">
        <v>90</v>
      </c>
      <c r="S34" s="52">
        <f t="shared" ref="S34:AF34" si="26">MAX(S10:S12)</f>
        <v>68.428571428571416</v>
      </c>
      <c r="T34" s="52">
        <f t="shared" si="26"/>
        <v>3</v>
      </c>
      <c r="U34" s="52">
        <f t="shared" si="26"/>
        <v>103.14285714285715</v>
      </c>
      <c r="V34" s="52">
        <f t="shared" si="26"/>
        <v>111.71428571428571</v>
      </c>
      <c r="W34" s="52">
        <f t="shared" si="26"/>
        <v>1.2857142857142856</v>
      </c>
      <c r="X34" s="52">
        <f t="shared" si="26"/>
        <v>5.1428571428571432</v>
      </c>
      <c r="Y34" s="52">
        <f t="shared" si="26"/>
        <v>40.714285714285715</v>
      </c>
      <c r="Z34" s="52">
        <f t="shared" si="26"/>
        <v>8.2857142857142847</v>
      </c>
      <c r="AA34" s="52">
        <f t="shared" si="26"/>
        <v>2</v>
      </c>
      <c r="AB34" s="52">
        <f t="shared" si="26"/>
        <v>11.142857142857142</v>
      </c>
      <c r="AC34" s="52">
        <f t="shared" si="26"/>
        <v>549.14285714285711</v>
      </c>
      <c r="AD34" s="52">
        <f t="shared" si="26"/>
        <v>0.2857142857142857</v>
      </c>
      <c r="AE34" s="40">
        <f t="shared" si="26"/>
        <v>347.28571428571428</v>
      </c>
      <c r="AF34" s="40">
        <f t="shared" si="26"/>
        <v>896.42857142857144</v>
      </c>
    </row>
    <row r="35" spans="2:32" ht="23.1" customHeight="1" x14ac:dyDescent="0.25">
      <c r="B35" s="24" t="s">
        <v>62</v>
      </c>
      <c r="C35" s="49">
        <f>'Avg Week KAMPALA-GULU'!C35+'Avg Week GULU-KAMPALA'!C35</f>
        <v>17.285714285714285</v>
      </c>
      <c r="D35" s="49">
        <f>'Avg Week KAMPALA-GULU'!D35+'Avg Week GULU-KAMPALA'!D35</f>
        <v>0.8571428571428571</v>
      </c>
      <c r="E35" s="49">
        <f>'Avg Week KAMPALA-GULU'!E35+'Avg Week GULU-KAMPALA'!E35</f>
        <v>34.714285714285715</v>
      </c>
      <c r="F35" s="49">
        <f>'Avg Week KAMPALA-GULU'!F35+'Avg Week GULU-KAMPALA'!F35</f>
        <v>28.571428571428569</v>
      </c>
      <c r="G35" s="49">
        <f>'Avg Week KAMPALA-GULU'!G35+'Avg Week GULU-KAMPALA'!G35</f>
        <v>0.71428571428571419</v>
      </c>
      <c r="H35" s="49">
        <f>'Avg Week KAMPALA-GULU'!H35+'Avg Week GULU-KAMPALA'!H35</f>
        <v>2.1428571428571428</v>
      </c>
      <c r="I35" s="49">
        <f>'Avg Week KAMPALA-GULU'!I35+'Avg Week GULU-KAMPALA'!I35</f>
        <v>12.857142857142858</v>
      </c>
      <c r="J35" s="49">
        <f>'Avg Week KAMPALA-GULU'!J35+'Avg Week GULU-KAMPALA'!J35</f>
        <v>2.7142857142857144</v>
      </c>
      <c r="K35" s="49">
        <f>'Avg Week KAMPALA-GULU'!K35+'Avg Week GULU-KAMPALA'!K35</f>
        <v>0</v>
      </c>
      <c r="L35" s="49">
        <f>'Avg Week KAMPALA-GULU'!L35+'Avg Week GULU-KAMPALA'!L35</f>
        <v>2.8571428571428568</v>
      </c>
      <c r="M35" s="49">
        <f>'Avg Week KAMPALA-GULU'!M35+'Avg Week GULU-KAMPALA'!M35</f>
        <v>131.14285714285714</v>
      </c>
      <c r="N35" s="49">
        <f>'Avg Week KAMPALA-GULU'!N35+'Avg Week GULU-KAMPALA'!N35</f>
        <v>0</v>
      </c>
      <c r="O35" s="15">
        <f t="shared" si="0"/>
        <v>102.71428571428571</v>
      </c>
      <c r="P35" s="15">
        <f t="shared" si="1"/>
        <v>233.85714285714283</v>
      </c>
      <c r="R35" s="51" t="s">
        <v>91</v>
      </c>
      <c r="S35" s="52">
        <f t="shared" ref="S35:AF35" si="27">MAX(S13:S18)</f>
        <v>71</v>
      </c>
      <c r="T35" s="52">
        <f t="shared" si="27"/>
        <v>4.5714285714285712</v>
      </c>
      <c r="U35" s="52">
        <f t="shared" si="27"/>
        <v>131.28571428571428</v>
      </c>
      <c r="V35" s="52">
        <f t="shared" si="27"/>
        <v>127.85714285714285</v>
      </c>
      <c r="W35" s="52">
        <f t="shared" si="27"/>
        <v>3.1428571428571428</v>
      </c>
      <c r="X35" s="52">
        <f t="shared" si="27"/>
        <v>15.857142857142858</v>
      </c>
      <c r="Y35" s="52">
        <f t="shared" si="27"/>
        <v>58.857142857142861</v>
      </c>
      <c r="Z35" s="52">
        <f t="shared" si="27"/>
        <v>9.2857142857142847</v>
      </c>
      <c r="AA35" s="52">
        <f t="shared" si="27"/>
        <v>2.4285714285714279</v>
      </c>
      <c r="AB35" s="52">
        <f t="shared" si="27"/>
        <v>14.142857142857144</v>
      </c>
      <c r="AC35" s="52">
        <f t="shared" si="27"/>
        <v>567.85714285714289</v>
      </c>
      <c r="AD35" s="52">
        <f t="shared" si="27"/>
        <v>0.71428571428571419</v>
      </c>
      <c r="AE35" s="40">
        <f t="shared" si="27"/>
        <v>419.42857142857144</v>
      </c>
      <c r="AF35" s="40">
        <f t="shared" si="27"/>
        <v>933</v>
      </c>
    </row>
    <row r="36" spans="2:32" ht="23.1" customHeight="1" x14ac:dyDescent="0.25">
      <c r="B36" s="24" t="s">
        <v>63</v>
      </c>
      <c r="C36" s="49">
        <f>'Avg Week KAMPALA-GULU'!C36+'Avg Week GULU-KAMPALA'!C36</f>
        <v>18.857142857142858</v>
      </c>
      <c r="D36" s="49">
        <f>'Avg Week KAMPALA-GULU'!D36+'Avg Week GULU-KAMPALA'!D36</f>
        <v>1</v>
      </c>
      <c r="E36" s="49">
        <f>'Avg Week KAMPALA-GULU'!E36+'Avg Week GULU-KAMPALA'!E36</f>
        <v>34.142857142857146</v>
      </c>
      <c r="F36" s="49">
        <f>'Avg Week KAMPALA-GULU'!F36+'Avg Week GULU-KAMPALA'!F36</f>
        <v>28.714285714285715</v>
      </c>
      <c r="G36" s="49">
        <f>'Avg Week KAMPALA-GULU'!G36+'Avg Week GULU-KAMPALA'!G36</f>
        <v>0.5714285714285714</v>
      </c>
      <c r="H36" s="49">
        <f>'Avg Week KAMPALA-GULU'!H36+'Avg Week GULU-KAMPALA'!H36</f>
        <v>3</v>
      </c>
      <c r="I36" s="49">
        <f>'Avg Week KAMPALA-GULU'!I36+'Avg Week GULU-KAMPALA'!I36</f>
        <v>13.714285714285714</v>
      </c>
      <c r="J36" s="49">
        <f>'Avg Week KAMPALA-GULU'!J36+'Avg Week GULU-KAMPALA'!J36</f>
        <v>2.4285714285714288</v>
      </c>
      <c r="K36" s="49">
        <f>'Avg Week KAMPALA-GULU'!K36+'Avg Week GULU-KAMPALA'!K36</f>
        <v>0.2857142857142857</v>
      </c>
      <c r="L36" s="49">
        <f>'Avg Week KAMPALA-GULU'!L36+'Avg Week GULU-KAMPALA'!L36</f>
        <v>2.5714285714285712</v>
      </c>
      <c r="M36" s="49">
        <f>'Avg Week KAMPALA-GULU'!M36+'Avg Week GULU-KAMPALA'!M36</f>
        <v>128.28571428571428</v>
      </c>
      <c r="N36" s="49">
        <f>'Avg Week KAMPALA-GULU'!N36+'Avg Week GULU-KAMPALA'!N36</f>
        <v>0</v>
      </c>
      <c r="O36" s="15">
        <f t="shared" si="0"/>
        <v>105.28571428571429</v>
      </c>
      <c r="P36" s="15">
        <f t="shared" si="1"/>
        <v>233.57142857142856</v>
      </c>
      <c r="R36" s="51" t="s">
        <v>92</v>
      </c>
      <c r="S36" s="52">
        <f t="shared" ref="S36:AF36" si="28">MAX(S19:S21)</f>
        <v>85.571428571428569</v>
      </c>
      <c r="T36" s="52">
        <f t="shared" si="28"/>
        <v>3</v>
      </c>
      <c r="U36" s="52">
        <f t="shared" si="28"/>
        <v>140.57142857142856</v>
      </c>
      <c r="V36" s="52">
        <f t="shared" si="28"/>
        <v>126.99999999999999</v>
      </c>
      <c r="W36" s="52">
        <f t="shared" si="28"/>
        <v>2.2857142857142856</v>
      </c>
      <c r="X36" s="52">
        <f t="shared" si="28"/>
        <v>10.285714285714285</v>
      </c>
      <c r="Y36" s="52">
        <f t="shared" si="28"/>
        <v>67.142857142857139</v>
      </c>
      <c r="Z36" s="52">
        <f t="shared" si="28"/>
        <v>11</v>
      </c>
      <c r="AA36" s="52">
        <f t="shared" si="28"/>
        <v>3.1428571428571423</v>
      </c>
      <c r="AB36" s="52">
        <f t="shared" si="28"/>
        <v>16.142857142857146</v>
      </c>
      <c r="AC36" s="52">
        <f t="shared" si="28"/>
        <v>572.14285714285711</v>
      </c>
      <c r="AD36" s="52">
        <f t="shared" si="28"/>
        <v>0.2857142857142857</v>
      </c>
      <c r="AE36" s="40">
        <f t="shared" si="28"/>
        <v>446.28571428571428</v>
      </c>
      <c r="AF36" s="40">
        <f t="shared" si="28"/>
        <v>1016.2857142857142</v>
      </c>
    </row>
    <row r="37" spans="2:32" ht="23.1" customHeight="1" x14ac:dyDescent="0.25">
      <c r="B37" s="23" t="s">
        <v>64</v>
      </c>
      <c r="C37" s="49">
        <f>'Avg Week KAMPALA-GULU'!C37+'Avg Week GULU-KAMPALA'!C37</f>
        <v>17.142857142857142</v>
      </c>
      <c r="D37" s="49">
        <f>'Avg Week KAMPALA-GULU'!D37+'Avg Week GULU-KAMPALA'!D37</f>
        <v>1.2857142857142858</v>
      </c>
      <c r="E37" s="49">
        <f>'Avg Week KAMPALA-GULU'!E37+'Avg Week GULU-KAMPALA'!E37</f>
        <v>30</v>
      </c>
      <c r="F37" s="49">
        <f>'Avg Week KAMPALA-GULU'!F37+'Avg Week GULU-KAMPALA'!F37</f>
        <v>30.857142857142858</v>
      </c>
      <c r="G37" s="49">
        <f>'Avg Week KAMPALA-GULU'!G37+'Avg Week GULU-KAMPALA'!G37</f>
        <v>0.71428571428571419</v>
      </c>
      <c r="H37" s="49">
        <f>'Avg Week KAMPALA-GULU'!H37+'Avg Week GULU-KAMPALA'!H37</f>
        <v>3.7142857142857144</v>
      </c>
      <c r="I37" s="49">
        <f>'Avg Week KAMPALA-GULU'!I37+'Avg Week GULU-KAMPALA'!I37</f>
        <v>16.285714285714285</v>
      </c>
      <c r="J37" s="49">
        <f>'Avg Week KAMPALA-GULU'!J37+'Avg Week GULU-KAMPALA'!J37</f>
        <v>1</v>
      </c>
      <c r="K37" s="49">
        <f>'Avg Week KAMPALA-GULU'!K37+'Avg Week GULU-KAMPALA'!K37</f>
        <v>0.2857142857142857</v>
      </c>
      <c r="L37" s="49">
        <f>'Avg Week KAMPALA-GULU'!L37+'Avg Week GULU-KAMPALA'!L37</f>
        <v>2.2857142857142856</v>
      </c>
      <c r="M37" s="49">
        <f>'Avg Week KAMPALA-GULU'!M37+'Avg Week GULU-KAMPALA'!M37</f>
        <v>118.85714285714286</v>
      </c>
      <c r="N37" s="49">
        <f>'Avg Week KAMPALA-GULU'!N37+'Avg Week GULU-KAMPALA'!N37</f>
        <v>0.42857142857142855</v>
      </c>
      <c r="O37" s="15">
        <f t="shared" si="0"/>
        <v>104.00000000000001</v>
      </c>
      <c r="P37" s="15">
        <f t="shared" si="1"/>
        <v>222.85714285714286</v>
      </c>
      <c r="R37" s="37" t="s">
        <v>85</v>
      </c>
      <c r="S37" s="53">
        <f t="shared" ref="S37:AF37" si="29">SUM(S10:S12)</f>
        <v>163.14285714285711</v>
      </c>
      <c r="T37" s="54">
        <f t="shared" si="29"/>
        <v>6.5714285714285712</v>
      </c>
      <c r="U37" s="54">
        <f t="shared" si="29"/>
        <v>264.71428571428572</v>
      </c>
      <c r="V37" s="54">
        <f t="shared" si="29"/>
        <v>280.71428571428572</v>
      </c>
      <c r="W37" s="54">
        <f t="shared" si="29"/>
        <v>2.8571428571428568</v>
      </c>
      <c r="X37" s="54">
        <f t="shared" si="29"/>
        <v>12.714285714285715</v>
      </c>
      <c r="Y37" s="54">
        <f t="shared" si="29"/>
        <v>116.14285714285714</v>
      </c>
      <c r="Z37" s="54">
        <f t="shared" si="29"/>
        <v>21.285714285714285</v>
      </c>
      <c r="AA37" s="54">
        <f t="shared" si="29"/>
        <v>3.714285714285714</v>
      </c>
      <c r="AB37" s="54">
        <f t="shared" si="29"/>
        <v>29.428571428571431</v>
      </c>
      <c r="AC37" s="54">
        <f t="shared" si="29"/>
        <v>1449.2857142857142</v>
      </c>
      <c r="AD37" s="54">
        <f t="shared" si="29"/>
        <v>0.5714285714285714</v>
      </c>
      <c r="AE37" s="55">
        <f t="shared" si="29"/>
        <v>901.85714285714289</v>
      </c>
      <c r="AF37" s="55">
        <f t="shared" si="29"/>
        <v>2351.1428571428573</v>
      </c>
    </row>
    <row r="38" spans="2:32" ht="23.1" customHeight="1" x14ac:dyDescent="0.25">
      <c r="B38" s="24" t="s">
        <v>65</v>
      </c>
      <c r="C38" s="49">
        <f>'Avg Week KAMPALA-GULU'!C38+'Avg Week GULU-KAMPALA'!C38</f>
        <v>19.285714285714285</v>
      </c>
      <c r="D38" s="49">
        <f>'Avg Week KAMPALA-GULU'!D38+'Avg Week GULU-KAMPALA'!D38</f>
        <v>0.5714285714285714</v>
      </c>
      <c r="E38" s="49">
        <f>'Avg Week KAMPALA-GULU'!E38+'Avg Week GULU-KAMPALA'!E38</f>
        <v>33.142857142857139</v>
      </c>
      <c r="F38" s="49">
        <f>'Avg Week KAMPALA-GULU'!F38+'Avg Week GULU-KAMPALA'!F38</f>
        <v>28.571428571428569</v>
      </c>
      <c r="G38" s="49">
        <f>'Avg Week KAMPALA-GULU'!G38+'Avg Week GULU-KAMPALA'!G38</f>
        <v>0.8571428571428571</v>
      </c>
      <c r="H38" s="49">
        <f>'Avg Week KAMPALA-GULU'!H38+'Avg Week GULU-KAMPALA'!H38</f>
        <v>5.4285714285714288</v>
      </c>
      <c r="I38" s="49">
        <f>'Avg Week KAMPALA-GULU'!I38+'Avg Week GULU-KAMPALA'!I38</f>
        <v>13.142857142857142</v>
      </c>
      <c r="J38" s="49">
        <f>'Avg Week KAMPALA-GULU'!J38+'Avg Week GULU-KAMPALA'!J38</f>
        <v>2.8571428571428568</v>
      </c>
      <c r="K38" s="49">
        <f>'Avg Week KAMPALA-GULU'!K38+'Avg Week GULU-KAMPALA'!K38</f>
        <v>0.14285714285714285</v>
      </c>
      <c r="L38" s="49">
        <f>'Avg Week KAMPALA-GULU'!L38+'Avg Week GULU-KAMPALA'!L38</f>
        <v>3.1428571428571428</v>
      </c>
      <c r="M38" s="49">
        <f>'Avg Week KAMPALA-GULU'!M38+'Avg Week GULU-KAMPALA'!M38</f>
        <v>112.71428571428572</v>
      </c>
      <c r="N38" s="49">
        <f>'Avg Week KAMPALA-GULU'!N38+'Avg Week GULU-KAMPALA'!N38</f>
        <v>0</v>
      </c>
      <c r="O38" s="15">
        <f t="shared" si="0"/>
        <v>107.14285714285714</v>
      </c>
      <c r="P38" s="15">
        <f t="shared" si="1"/>
        <v>219.85714285714286</v>
      </c>
      <c r="R38" s="28" t="s">
        <v>86</v>
      </c>
      <c r="S38" s="54">
        <f t="shared" ref="S38:AF38" si="30">SUM(S13:S18)</f>
        <v>414.42857142857144</v>
      </c>
      <c r="T38" s="54">
        <f t="shared" si="30"/>
        <v>20.857142857142854</v>
      </c>
      <c r="U38" s="54">
        <f t="shared" si="30"/>
        <v>747.28571428571422</v>
      </c>
      <c r="V38" s="54">
        <f t="shared" si="30"/>
        <v>689.42857142857156</v>
      </c>
      <c r="W38" s="54">
        <f t="shared" si="30"/>
        <v>13.142857142857141</v>
      </c>
      <c r="X38" s="54">
        <f t="shared" si="30"/>
        <v>57.857142857142861</v>
      </c>
      <c r="Y38" s="54">
        <f t="shared" si="30"/>
        <v>317.42857142857144</v>
      </c>
      <c r="Z38" s="54">
        <f t="shared" si="30"/>
        <v>49.571428571428569</v>
      </c>
      <c r="AA38" s="54">
        <f t="shared" si="30"/>
        <v>7.9999999999999982</v>
      </c>
      <c r="AB38" s="54">
        <f t="shared" si="30"/>
        <v>63.714285714285722</v>
      </c>
      <c r="AC38" s="54">
        <f t="shared" si="30"/>
        <v>3082.5714285714289</v>
      </c>
      <c r="AD38" s="54">
        <f t="shared" si="30"/>
        <v>0.99999999999999989</v>
      </c>
      <c r="AE38" s="55">
        <f t="shared" si="30"/>
        <v>2382.7142857142853</v>
      </c>
      <c r="AF38" s="55">
        <f t="shared" si="30"/>
        <v>5465.2857142857138</v>
      </c>
    </row>
    <row r="39" spans="2:32" ht="23.1" customHeight="1" x14ac:dyDescent="0.25">
      <c r="B39" s="24" t="s">
        <v>66</v>
      </c>
      <c r="C39" s="49">
        <f>'Avg Week KAMPALA-GULU'!C39+'Avg Week GULU-KAMPALA'!C39</f>
        <v>19.142857142857146</v>
      </c>
      <c r="D39" s="49">
        <f>'Avg Week KAMPALA-GULU'!D39+'Avg Week GULU-KAMPALA'!D39</f>
        <v>0</v>
      </c>
      <c r="E39" s="49">
        <f>'Avg Week KAMPALA-GULU'!E39+'Avg Week GULU-KAMPALA'!E39</f>
        <v>31.428571428571431</v>
      </c>
      <c r="F39" s="49">
        <f>'Avg Week KAMPALA-GULU'!F39+'Avg Week GULU-KAMPALA'!F39</f>
        <v>27.428571428571431</v>
      </c>
      <c r="G39" s="49">
        <f>'Avg Week KAMPALA-GULU'!G39+'Avg Week GULU-KAMPALA'!G39</f>
        <v>0.85714285714285721</v>
      </c>
      <c r="H39" s="49">
        <f>'Avg Week KAMPALA-GULU'!H39+'Avg Week GULU-KAMPALA'!H39</f>
        <v>3.5714285714285712</v>
      </c>
      <c r="I39" s="49">
        <f>'Avg Week KAMPALA-GULU'!I39+'Avg Week GULU-KAMPALA'!I39</f>
        <v>13.714285714285715</v>
      </c>
      <c r="J39" s="49">
        <f>'Avg Week KAMPALA-GULU'!J39+'Avg Week GULU-KAMPALA'!J39</f>
        <v>3</v>
      </c>
      <c r="K39" s="49">
        <f>'Avg Week KAMPALA-GULU'!K39+'Avg Week GULU-KAMPALA'!K39</f>
        <v>0.5714285714285714</v>
      </c>
      <c r="L39" s="49">
        <f>'Avg Week KAMPALA-GULU'!L39+'Avg Week GULU-KAMPALA'!L39</f>
        <v>3.7142857142857144</v>
      </c>
      <c r="M39" s="49">
        <f>'Avg Week KAMPALA-GULU'!M39+'Avg Week GULU-KAMPALA'!M39</f>
        <v>120.14285714285714</v>
      </c>
      <c r="N39" s="49">
        <f>'Avg Week KAMPALA-GULU'!N39+'Avg Week GULU-KAMPALA'!N39</f>
        <v>0</v>
      </c>
      <c r="O39" s="15">
        <f t="shared" si="0"/>
        <v>103.42857142857142</v>
      </c>
      <c r="P39" s="15">
        <f t="shared" si="1"/>
        <v>223.57142857142856</v>
      </c>
      <c r="R39" s="29" t="s">
        <v>87</v>
      </c>
      <c r="S39" s="54">
        <f t="shared" ref="S39:AF39" si="31">SUM(S19:S21)</f>
        <v>244.57142857142858</v>
      </c>
      <c r="T39" s="54">
        <f t="shared" si="31"/>
        <v>7.2857142857142856</v>
      </c>
      <c r="U39" s="54">
        <f t="shared" si="31"/>
        <v>400.42857142857144</v>
      </c>
      <c r="V39" s="54">
        <f t="shared" si="31"/>
        <v>367.28571428571428</v>
      </c>
      <c r="W39" s="54">
        <f t="shared" si="31"/>
        <v>5.8571428571428568</v>
      </c>
      <c r="X39" s="54">
        <f t="shared" si="31"/>
        <v>28.857142857142858</v>
      </c>
      <c r="Y39" s="54">
        <f t="shared" si="31"/>
        <v>188.71428571428572</v>
      </c>
      <c r="Z39" s="54">
        <f t="shared" si="31"/>
        <v>28.857142857142858</v>
      </c>
      <c r="AA39" s="54">
        <f t="shared" si="31"/>
        <v>6.5714285714285712</v>
      </c>
      <c r="AB39" s="54">
        <f t="shared" si="31"/>
        <v>45.428571428571431</v>
      </c>
      <c r="AC39" s="54">
        <f t="shared" si="31"/>
        <v>1611.8571428571429</v>
      </c>
      <c r="AD39" s="54">
        <f t="shared" si="31"/>
        <v>0.2857142857142857</v>
      </c>
      <c r="AE39" s="55">
        <f t="shared" si="31"/>
        <v>1324.1428571428571</v>
      </c>
      <c r="AF39" s="55">
        <f t="shared" si="31"/>
        <v>2936</v>
      </c>
    </row>
    <row r="40" spans="2:32" ht="23.1" customHeight="1" x14ac:dyDescent="0.25">
      <c r="B40" s="24" t="s">
        <v>67</v>
      </c>
      <c r="C40" s="49">
        <f>'Avg Week KAMPALA-GULU'!C40+'Avg Week GULU-KAMPALA'!C40</f>
        <v>15.571428571428569</v>
      </c>
      <c r="D40" s="49">
        <f>'Avg Week KAMPALA-GULU'!D40+'Avg Week GULU-KAMPALA'!D40</f>
        <v>1.2857142857142858</v>
      </c>
      <c r="E40" s="49">
        <f>'Avg Week KAMPALA-GULU'!E40+'Avg Week GULU-KAMPALA'!E40</f>
        <v>30.142857142857142</v>
      </c>
      <c r="F40" s="49">
        <f>'Avg Week KAMPALA-GULU'!F40+'Avg Week GULU-KAMPALA'!F40</f>
        <v>28</v>
      </c>
      <c r="G40" s="49">
        <f>'Avg Week KAMPALA-GULU'!G40+'Avg Week GULU-KAMPALA'!G40</f>
        <v>0.14285714285714285</v>
      </c>
      <c r="H40" s="49">
        <f>'Avg Week KAMPALA-GULU'!H40+'Avg Week GULU-KAMPALA'!H40</f>
        <v>3.5714285714285712</v>
      </c>
      <c r="I40" s="49">
        <f>'Avg Week KAMPALA-GULU'!I40+'Avg Week GULU-KAMPALA'!I40</f>
        <v>16.428571428571431</v>
      </c>
      <c r="J40" s="49">
        <f>'Avg Week KAMPALA-GULU'!J40+'Avg Week GULU-KAMPALA'!J40</f>
        <v>1.7142857142857142</v>
      </c>
      <c r="K40" s="49">
        <f>'Avg Week KAMPALA-GULU'!K40+'Avg Week GULU-KAMPALA'!K40</f>
        <v>0.2857142857142857</v>
      </c>
      <c r="L40" s="49">
        <f>'Avg Week KAMPALA-GULU'!L40+'Avg Week GULU-KAMPALA'!L40</f>
        <v>3.8571428571428577</v>
      </c>
      <c r="M40" s="49">
        <f>'Avg Week KAMPALA-GULU'!M40+'Avg Week GULU-KAMPALA'!M40</f>
        <v>131.57142857142856</v>
      </c>
      <c r="N40" s="49">
        <f>'Avg Week KAMPALA-GULU'!N40+'Avg Week GULU-KAMPALA'!N40</f>
        <v>0</v>
      </c>
      <c r="O40" s="15">
        <f t="shared" si="0"/>
        <v>101</v>
      </c>
      <c r="P40" s="15">
        <f t="shared" si="1"/>
        <v>232.57142857142856</v>
      </c>
      <c r="R40" s="5" t="s">
        <v>17</v>
      </c>
      <c r="S40" s="54">
        <f t="shared" ref="S40:AF40" si="32">SUM(S10:S21)</f>
        <v>822.14285714285711</v>
      </c>
      <c r="T40" s="54">
        <f t="shared" si="32"/>
        <v>34.714285714285708</v>
      </c>
      <c r="U40" s="54">
        <f t="shared" si="32"/>
        <v>1412.4285714285713</v>
      </c>
      <c r="V40" s="54">
        <f t="shared" si="32"/>
        <v>1337.4285714285713</v>
      </c>
      <c r="W40" s="54">
        <f t="shared" si="32"/>
        <v>21.857142857142854</v>
      </c>
      <c r="X40" s="54">
        <f t="shared" si="32"/>
        <v>99.428571428571416</v>
      </c>
      <c r="Y40" s="54">
        <f t="shared" si="32"/>
        <v>622.28571428571422</v>
      </c>
      <c r="Z40" s="54">
        <f t="shared" si="32"/>
        <v>99.714285714285694</v>
      </c>
      <c r="AA40" s="54">
        <f t="shared" si="32"/>
        <v>18.285714285714285</v>
      </c>
      <c r="AB40" s="54">
        <f t="shared" si="32"/>
        <v>138.57142857142856</v>
      </c>
      <c r="AC40" s="54">
        <f t="shared" si="32"/>
        <v>6143.7142857142862</v>
      </c>
      <c r="AD40" s="54">
        <f t="shared" si="32"/>
        <v>1.8571428571428568</v>
      </c>
      <c r="AE40" s="55">
        <f t="shared" si="32"/>
        <v>4608.7142857142853</v>
      </c>
      <c r="AF40" s="55">
        <f t="shared" si="32"/>
        <v>10752.428571428569</v>
      </c>
    </row>
    <row r="41" spans="2:32" ht="23.1" customHeight="1" x14ac:dyDescent="0.25">
      <c r="B41" s="23" t="s">
        <v>68</v>
      </c>
      <c r="C41" s="49">
        <f>'Avg Week KAMPALA-GULU'!C41+'Avg Week GULU-KAMPALA'!C41</f>
        <v>17</v>
      </c>
      <c r="D41" s="49">
        <f>'Avg Week KAMPALA-GULU'!D41+'Avg Week GULU-KAMPALA'!D41</f>
        <v>1</v>
      </c>
      <c r="E41" s="49">
        <f>'Avg Week KAMPALA-GULU'!E41+'Avg Week GULU-KAMPALA'!E41</f>
        <v>33.142857142857139</v>
      </c>
      <c r="F41" s="49">
        <f>'Avg Week KAMPALA-GULU'!F41+'Avg Week GULU-KAMPALA'!F41</f>
        <v>31</v>
      </c>
      <c r="G41" s="49">
        <f>'Avg Week KAMPALA-GULU'!G41+'Avg Week GULU-KAMPALA'!G41</f>
        <v>1.2857142857142856</v>
      </c>
      <c r="H41" s="49">
        <f>'Avg Week KAMPALA-GULU'!H41+'Avg Week GULU-KAMPALA'!H41</f>
        <v>3.2857142857142856</v>
      </c>
      <c r="I41" s="49">
        <f>'Avg Week KAMPALA-GULU'!I41+'Avg Week GULU-KAMPALA'!I41</f>
        <v>15.571428571428573</v>
      </c>
      <c r="J41" s="49">
        <f>'Avg Week KAMPALA-GULU'!J41+'Avg Week GULU-KAMPALA'!J41</f>
        <v>1.7142857142857144</v>
      </c>
      <c r="K41" s="49">
        <f>'Avg Week KAMPALA-GULU'!K41+'Avg Week GULU-KAMPALA'!K41</f>
        <v>0.42857142857142855</v>
      </c>
      <c r="L41" s="49">
        <f>'Avg Week KAMPALA-GULU'!L41+'Avg Week GULU-KAMPALA'!L41</f>
        <v>3.4285714285714288</v>
      </c>
      <c r="M41" s="49">
        <f>'Avg Week KAMPALA-GULU'!M41+'Avg Week GULU-KAMPALA'!M41</f>
        <v>130</v>
      </c>
      <c r="N41" s="49">
        <f>'Avg Week KAMPALA-GULU'!N41+'Avg Week GULU-KAMPALA'!N41</f>
        <v>0</v>
      </c>
      <c r="O41" s="15">
        <f t="shared" si="0"/>
        <v>107.85714285714286</v>
      </c>
      <c r="P41" s="15">
        <f t="shared" si="1"/>
        <v>237.85714285714286</v>
      </c>
      <c r="R41" s="5" t="s">
        <v>180</v>
      </c>
      <c r="S41" s="54">
        <f>SUM(S10:S33)</f>
        <v>1092.1428571428571</v>
      </c>
      <c r="T41" s="54">
        <f t="shared" ref="T41:AD41" si="33">SUM(T10:T33)</f>
        <v>92.714285714285708</v>
      </c>
      <c r="U41" s="54">
        <f t="shared" si="33"/>
        <v>1601.4285714285713</v>
      </c>
      <c r="V41" s="54">
        <f t="shared" si="33"/>
        <v>1571.9285714285713</v>
      </c>
      <c r="W41" s="54">
        <f t="shared" si="33"/>
        <v>76.857142857142861</v>
      </c>
      <c r="X41" s="54">
        <f t="shared" si="33"/>
        <v>170.92857142857142</v>
      </c>
      <c r="Y41" s="54">
        <f t="shared" si="33"/>
        <v>885.78571428571422</v>
      </c>
      <c r="Z41" s="54">
        <f t="shared" si="33"/>
        <v>126.21428571428569</v>
      </c>
      <c r="AA41" s="54">
        <f t="shared" si="33"/>
        <v>36.285714285714285</v>
      </c>
      <c r="AB41" s="54">
        <f t="shared" si="33"/>
        <v>262.57142857142856</v>
      </c>
      <c r="AC41" s="54">
        <f t="shared" si="33"/>
        <v>7339.2142857142862</v>
      </c>
      <c r="AD41" s="54">
        <f t="shared" si="33"/>
        <v>1.8571428571428568</v>
      </c>
      <c r="AE41" s="55">
        <f>SUM(AE10:AE33)</f>
        <v>5918.7142857142853</v>
      </c>
      <c r="AF41" s="55">
        <f>SUM(AF10:AF33)</f>
        <v>13257.928571428569</v>
      </c>
    </row>
    <row r="42" spans="2:32" ht="23.1" customHeight="1" x14ac:dyDescent="0.25">
      <c r="B42" s="24" t="s">
        <v>69</v>
      </c>
      <c r="C42" s="49">
        <f>'Avg Week KAMPALA-GULU'!C42+'Avg Week GULU-KAMPALA'!C42</f>
        <v>14.428571428571429</v>
      </c>
      <c r="D42" s="49">
        <f>'Avg Week KAMPALA-GULU'!D42+'Avg Week GULU-KAMPALA'!D42</f>
        <v>0.8571428571428571</v>
      </c>
      <c r="E42" s="49">
        <f>'Avg Week KAMPALA-GULU'!E42+'Avg Week GULU-KAMPALA'!E42</f>
        <v>33.285714285714285</v>
      </c>
      <c r="F42" s="49">
        <f>'Avg Week KAMPALA-GULU'!F42+'Avg Week GULU-KAMPALA'!F42</f>
        <v>32.571428571428569</v>
      </c>
      <c r="G42" s="49">
        <f>'Avg Week KAMPALA-GULU'!G42+'Avg Week GULU-KAMPALA'!G42</f>
        <v>0.5714285714285714</v>
      </c>
      <c r="H42" s="49">
        <f>'Avg Week KAMPALA-GULU'!H42+'Avg Week GULU-KAMPALA'!H42</f>
        <v>2.7142857142857144</v>
      </c>
      <c r="I42" s="49">
        <f>'Avg Week KAMPALA-GULU'!I42+'Avg Week GULU-KAMPALA'!I42</f>
        <v>13.428571428571427</v>
      </c>
      <c r="J42" s="49">
        <f>'Avg Week KAMPALA-GULU'!J42+'Avg Week GULU-KAMPALA'!J42</f>
        <v>2</v>
      </c>
      <c r="K42" s="49">
        <f>'Avg Week KAMPALA-GULU'!K42+'Avg Week GULU-KAMPALA'!K42</f>
        <v>0.2857142857142857</v>
      </c>
      <c r="L42" s="49">
        <f>'Avg Week KAMPALA-GULU'!L42+'Avg Week GULU-KAMPALA'!L42</f>
        <v>1.5714285714285714</v>
      </c>
      <c r="M42" s="49">
        <f>'Avg Week KAMPALA-GULU'!M42+'Avg Week GULU-KAMPALA'!M42</f>
        <v>122.57142857142857</v>
      </c>
      <c r="N42" s="49">
        <f>'Avg Week KAMPALA-GULU'!N42+'Avg Week GULU-KAMPALA'!N42</f>
        <v>0</v>
      </c>
      <c r="O42" s="15">
        <f t="shared" si="0"/>
        <v>101.71428571428571</v>
      </c>
      <c r="P42" s="15">
        <f t="shared" si="1"/>
        <v>224.28571428571428</v>
      </c>
      <c r="R42" s="5" t="s">
        <v>160</v>
      </c>
      <c r="S42" s="48">
        <f>S41/S40</f>
        <v>1.3284100781928758</v>
      </c>
      <c r="T42" s="48">
        <f t="shared" ref="T42:AF42" si="34">T41/T40</f>
        <v>2.6707818930041154</v>
      </c>
      <c r="U42" s="48">
        <f t="shared" si="34"/>
        <v>1.1338120764640438</v>
      </c>
      <c r="V42" s="48">
        <f t="shared" si="34"/>
        <v>1.175336466566973</v>
      </c>
      <c r="W42" s="48">
        <f t="shared" si="34"/>
        <v>3.5163398692810466</v>
      </c>
      <c r="X42" s="48">
        <f t="shared" si="34"/>
        <v>1.719109195402299</v>
      </c>
      <c r="Y42" s="48">
        <f t="shared" si="34"/>
        <v>1.4234389348025711</v>
      </c>
      <c r="Z42" s="48">
        <f t="shared" si="34"/>
        <v>1.265759312320917</v>
      </c>
      <c r="AA42" s="48">
        <f t="shared" si="34"/>
        <v>1.984375</v>
      </c>
      <c r="AB42" s="48">
        <f t="shared" si="34"/>
        <v>1.8948453608247424</v>
      </c>
      <c r="AC42" s="48">
        <f t="shared" si="34"/>
        <v>1.1945891270985445</v>
      </c>
      <c r="AD42" s="48">
        <f t="shared" si="34"/>
        <v>1</v>
      </c>
      <c r="AE42" s="56">
        <f t="shared" si="34"/>
        <v>1.2842441337838257</v>
      </c>
      <c r="AF42" s="56">
        <f t="shared" si="34"/>
        <v>1.2330171256991775</v>
      </c>
    </row>
    <row r="43" spans="2:32" ht="23.1" customHeight="1" x14ac:dyDescent="0.25">
      <c r="B43" s="23" t="s">
        <v>70</v>
      </c>
      <c r="C43" s="49">
        <f>'Avg Week KAMPALA-GULU'!C43+'Avg Week GULU-KAMPALA'!C43</f>
        <v>16.714285714285715</v>
      </c>
      <c r="D43" s="49">
        <f>'Avg Week KAMPALA-GULU'!D43+'Avg Week GULU-KAMPALA'!D43</f>
        <v>1</v>
      </c>
      <c r="E43" s="49">
        <f>'Avg Week KAMPALA-GULU'!E43+'Avg Week GULU-KAMPALA'!E43</f>
        <v>32.714285714285708</v>
      </c>
      <c r="F43" s="49">
        <f>'Avg Week KAMPALA-GULU'!F43+'Avg Week GULU-KAMPALA'!F43</f>
        <v>32.714285714285715</v>
      </c>
      <c r="G43" s="49">
        <f>'Avg Week KAMPALA-GULU'!G43+'Avg Week GULU-KAMPALA'!G43</f>
        <v>0.2857142857142857</v>
      </c>
      <c r="H43" s="49">
        <f>'Avg Week KAMPALA-GULU'!H43+'Avg Week GULU-KAMPALA'!H43</f>
        <v>1.5714285714285714</v>
      </c>
      <c r="I43" s="49">
        <f>'Avg Week KAMPALA-GULU'!I43+'Avg Week GULU-KAMPALA'!I43</f>
        <v>14.285714285714285</v>
      </c>
      <c r="J43" s="49">
        <f>'Avg Week KAMPALA-GULU'!J43+'Avg Week GULU-KAMPALA'!J43</f>
        <v>2</v>
      </c>
      <c r="K43" s="49">
        <f>'Avg Week KAMPALA-GULU'!K43+'Avg Week GULU-KAMPALA'!K43</f>
        <v>0.2857142857142857</v>
      </c>
      <c r="L43" s="49">
        <f>'Avg Week KAMPALA-GULU'!L43+'Avg Week GULU-KAMPALA'!L43</f>
        <v>4</v>
      </c>
      <c r="M43" s="49">
        <f>'Avg Week KAMPALA-GULU'!M43+'Avg Week GULU-KAMPALA'!M43</f>
        <v>122</v>
      </c>
      <c r="N43" s="49">
        <f>'Avg Week KAMPALA-GULU'!N43+'Avg Week GULU-KAMPALA'!N43</f>
        <v>0</v>
      </c>
      <c r="O43" s="15">
        <f t="shared" si="0"/>
        <v>105.57142857142857</v>
      </c>
      <c r="P43" s="15">
        <f t="shared" si="1"/>
        <v>227.57142857142856</v>
      </c>
    </row>
    <row r="44" spans="2:32" ht="23.1" customHeight="1" x14ac:dyDescent="0.25">
      <c r="B44" s="25" t="s">
        <v>71</v>
      </c>
      <c r="C44" s="49">
        <f>'Avg Week KAMPALA-GULU'!C44+'Avg Week GULU-KAMPALA'!C44</f>
        <v>18</v>
      </c>
      <c r="D44" s="49">
        <f>'Avg Week KAMPALA-GULU'!D44+'Avg Week GULU-KAMPALA'!D44</f>
        <v>1.5714285714285714</v>
      </c>
      <c r="E44" s="49">
        <f>'Avg Week KAMPALA-GULU'!E44+'Avg Week GULU-KAMPALA'!E44</f>
        <v>31.571428571428573</v>
      </c>
      <c r="F44" s="49">
        <f>'Avg Week KAMPALA-GULU'!F44+'Avg Week GULU-KAMPALA'!F44</f>
        <v>30.428571428571431</v>
      </c>
      <c r="G44" s="49">
        <f>'Avg Week KAMPALA-GULU'!G44+'Avg Week GULU-KAMPALA'!G44</f>
        <v>0.71428571428571419</v>
      </c>
      <c r="H44" s="49">
        <f>'Avg Week KAMPALA-GULU'!H44+'Avg Week GULU-KAMPALA'!H44</f>
        <v>3.1428571428571428</v>
      </c>
      <c r="I44" s="49">
        <f>'Avg Week KAMPALA-GULU'!I44+'Avg Week GULU-KAMPALA'!I44</f>
        <v>15</v>
      </c>
      <c r="J44" s="49">
        <f>'Avg Week KAMPALA-GULU'!J44+'Avg Week GULU-KAMPALA'!J44</f>
        <v>2.5714285714285712</v>
      </c>
      <c r="K44" s="49">
        <f>'Avg Week KAMPALA-GULU'!K44+'Avg Week GULU-KAMPALA'!K44</f>
        <v>0.2857142857142857</v>
      </c>
      <c r="L44" s="49">
        <f>'Avg Week KAMPALA-GULU'!L44+'Avg Week GULU-KAMPALA'!L44</f>
        <v>3.1428571428571432</v>
      </c>
      <c r="M44" s="49">
        <f>'Avg Week KAMPALA-GULU'!M44+'Avg Week GULU-KAMPALA'!M44</f>
        <v>105.42857142857143</v>
      </c>
      <c r="N44" s="49">
        <f>'Avg Week KAMPALA-GULU'!N44+'Avg Week GULU-KAMPALA'!N44</f>
        <v>0</v>
      </c>
      <c r="O44" s="15">
        <f t="shared" si="0"/>
        <v>106.42857142857143</v>
      </c>
      <c r="P44" s="15">
        <f t="shared" si="1"/>
        <v>211.85714285714286</v>
      </c>
    </row>
    <row r="45" spans="2:32" ht="23.1" customHeight="1" x14ac:dyDescent="0.25">
      <c r="B45" s="23" t="s">
        <v>72</v>
      </c>
      <c r="C45" s="49">
        <f>'Avg Week KAMPALA-GULU'!C45+'Avg Week GULU-KAMPALA'!C45</f>
        <v>17.142857142857142</v>
      </c>
      <c r="D45" s="49">
        <f>'Avg Week KAMPALA-GULU'!D45+'Avg Week GULU-KAMPALA'!D45</f>
        <v>1.1428571428571428</v>
      </c>
      <c r="E45" s="49">
        <f>'Avg Week KAMPALA-GULU'!E45+'Avg Week GULU-KAMPALA'!E45</f>
        <v>33.714285714285715</v>
      </c>
      <c r="F45" s="49">
        <f>'Avg Week KAMPALA-GULU'!F45+'Avg Week GULU-KAMPALA'!F45</f>
        <v>32.142857142857139</v>
      </c>
      <c r="G45" s="49">
        <f>'Avg Week KAMPALA-GULU'!G45+'Avg Week GULU-KAMPALA'!G45</f>
        <v>0.5714285714285714</v>
      </c>
      <c r="H45" s="49">
        <f>'Avg Week KAMPALA-GULU'!H45+'Avg Week GULU-KAMPALA'!H45</f>
        <v>3</v>
      </c>
      <c r="I45" s="49">
        <f>'Avg Week KAMPALA-GULU'!I45+'Avg Week GULU-KAMPALA'!I45</f>
        <v>12.428571428571429</v>
      </c>
      <c r="J45" s="49">
        <f>'Avg Week KAMPALA-GULU'!J45+'Avg Week GULU-KAMPALA'!J45</f>
        <v>1.5714285714285716</v>
      </c>
      <c r="K45" s="49">
        <f>'Avg Week KAMPALA-GULU'!K45+'Avg Week GULU-KAMPALA'!K45</f>
        <v>0.71428571428571419</v>
      </c>
      <c r="L45" s="49">
        <f>'Avg Week KAMPALA-GULU'!L45+'Avg Week GULU-KAMPALA'!L45</f>
        <v>3</v>
      </c>
      <c r="M45" s="49">
        <f>'Avg Week KAMPALA-GULU'!M45+'Avg Week GULU-KAMPALA'!M45</f>
        <v>126.42857142857143</v>
      </c>
      <c r="N45" s="49">
        <f>'Avg Week KAMPALA-GULU'!N45+'Avg Week GULU-KAMPALA'!N45</f>
        <v>0</v>
      </c>
      <c r="O45" s="15">
        <f t="shared" si="0"/>
        <v>105.42857142857142</v>
      </c>
      <c r="P45" s="15">
        <f t="shared" si="1"/>
        <v>231.85714285714283</v>
      </c>
    </row>
    <row r="46" spans="2:32" ht="23.1" customHeight="1" x14ac:dyDescent="0.25">
      <c r="B46" s="24" t="s">
        <v>73</v>
      </c>
      <c r="C46" s="49">
        <f>'Avg Week KAMPALA-GULU'!C46+'Avg Week GULU-KAMPALA'!C46</f>
        <v>18.857142857142858</v>
      </c>
      <c r="D46" s="49">
        <f>'Avg Week KAMPALA-GULU'!D46+'Avg Week GULU-KAMPALA'!D46</f>
        <v>1.2857142857142858</v>
      </c>
      <c r="E46" s="49">
        <f>'Avg Week KAMPALA-GULU'!E46+'Avg Week GULU-KAMPALA'!E46</f>
        <v>35.571428571428569</v>
      </c>
      <c r="F46" s="49">
        <f>'Avg Week KAMPALA-GULU'!F46+'Avg Week GULU-KAMPALA'!F46</f>
        <v>27.285714285714285</v>
      </c>
      <c r="G46" s="49">
        <f>'Avg Week KAMPALA-GULU'!G46+'Avg Week GULU-KAMPALA'!G46</f>
        <v>0.14285714285714285</v>
      </c>
      <c r="H46" s="49">
        <f>'Avg Week KAMPALA-GULU'!H46+'Avg Week GULU-KAMPALA'!H46</f>
        <v>2</v>
      </c>
      <c r="I46" s="49">
        <f>'Avg Week KAMPALA-GULU'!I46+'Avg Week GULU-KAMPALA'!I46</f>
        <v>16.142857142857142</v>
      </c>
      <c r="J46" s="49">
        <f>'Avg Week KAMPALA-GULU'!J46+'Avg Week GULU-KAMPALA'!J46</f>
        <v>2.8571428571428568</v>
      </c>
      <c r="K46" s="49">
        <f>'Avg Week KAMPALA-GULU'!K46+'Avg Week GULU-KAMPALA'!K46</f>
        <v>0.2857142857142857</v>
      </c>
      <c r="L46" s="49">
        <f>'Avg Week KAMPALA-GULU'!L46+'Avg Week GULU-KAMPALA'!L46</f>
        <v>3.7142857142857144</v>
      </c>
      <c r="M46" s="49">
        <f>'Avg Week KAMPALA-GULU'!M46+'Avg Week GULU-KAMPALA'!M46</f>
        <v>130.42857142857142</v>
      </c>
      <c r="N46" s="49">
        <f>'Avg Week KAMPALA-GULU'!N46+'Avg Week GULU-KAMPALA'!N46</f>
        <v>0</v>
      </c>
      <c r="O46" s="15">
        <f t="shared" si="0"/>
        <v>108.14285714285714</v>
      </c>
      <c r="P46" s="15">
        <f t="shared" si="1"/>
        <v>238.57142857142856</v>
      </c>
      <c r="R46" s="8"/>
      <c r="T46"/>
    </row>
    <row r="47" spans="2:32" ht="23.1" customHeight="1" x14ac:dyDescent="0.25">
      <c r="B47" s="24" t="s">
        <v>74</v>
      </c>
      <c r="C47" s="49">
        <f>'Avg Week KAMPALA-GULU'!C47+'Avg Week GULU-KAMPALA'!C47</f>
        <v>20.428571428571431</v>
      </c>
      <c r="D47" s="49">
        <f>'Avg Week KAMPALA-GULU'!D47+'Avg Week GULU-KAMPALA'!D47</f>
        <v>0.14285714285714285</v>
      </c>
      <c r="E47" s="49">
        <f>'Avg Week KAMPALA-GULU'!E47+'Avg Week GULU-KAMPALA'!E47</f>
        <v>36.571428571428569</v>
      </c>
      <c r="F47" s="49">
        <f>'Avg Week KAMPALA-GULU'!F47+'Avg Week GULU-KAMPALA'!F47</f>
        <v>32.714285714285715</v>
      </c>
      <c r="G47" s="49">
        <f>'Avg Week KAMPALA-GULU'!G47+'Avg Week GULU-KAMPALA'!G47</f>
        <v>1.1428571428571428</v>
      </c>
      <c r="H47" s="49">
        <f>'Avg Week KAMPALA-GULU'!H47+'Avg Week GULU-KAMPALA'!H47</f>
        <v>3</v>
      </c>
      <c r="I47" s="49">
        <f>'Avg Week KAMPALA-GULU'!I47+'Avg Week GULU-KAMPALA'!I47</f>
        <v>16.428571428571431</v>
      </c>
      <c r="J47" s="49">
        <f>'Avg Week KAMPALA-GULU'!J47+'Avg Week GULU-KAMPALA'!J47</f>
        <v>1.7142857142857144</v>
      </c>
      <c r="K47" s="49">
        <f>'Avg Week KAMPALA-GULU'!K47+'Avg Week GULU-KAMPALA'!K47</f>
        <v>0.7142857142857143</v>
      </c>
      <c r="L47" s="49">
        <f>'Avg Week KAMPALA-GULU'!L47+'Avg Week GULU-KAMPALA'!L47</f>
        <v>3.7142857142857144</v>
      </c>
      <c r="M47" s="49">
        <f>'Avg Week KAMPALA-GULU'!M47+'Avg Week GULU-KAMPALA'!M47</f>
        <v>115.14285714285714</v>
      </c>
      <c r="N47" s="49">
        <f>'Avg Week KAMPALA-GULU'!N47+'Avg Week GULU-KAMPALA'!N47</f>
        <v>0</v>
      </c>
      <c r="O47" s="15">
        <f t="shared" si="0"/>
        <v>116.57142857142856</v>
      </c>
      <c r="P47" s="15">
        <f t="shared" si="1"/>
        <v>231.71428571428569</v>
      </c>
      <c r="R47" s="8"/>
      <c r="T47"/>
    </row>
    <row r="48" spans="2:32" ht="23.1" customHeight="1" x14ac:dyDescent="0.25">
      <c r="B48" s="24" t="s">
        <v>75</v>
      </c>
      <c r="C48" s="49">
        <f>'Avg Week KAMPALA-GULU'!C48+'Avg Week GULU-KAMPALA'!C48</f>
        <v>23.142857142857142</v>
      </c>
      <c r="D48" s="49">
        <f>'Avg Week KAMPALA-GULU'!D48+'Avg Week GULU-KAMPALA'!D48</f>
        <v>0.5714285714285714</v>
      </c>
      <c r="E48" s="49">
        <f>'Avg Week KAMPALA-GULU'!E48+'Avg Week GULU-KAMPALA'!E48</f>
        <v>36.428571428571431</v>
      </c>
      <c r="F48" s="49">
        <f>'Avg Week KAMPALA-GULU'!F48+'Avg Week GULU-KAMPALA'!F48</f>
        <v>32.714285714285715</v>
      </c>
      <c r="G48" s="49">
        <f>'Avg Week KAMPALA-GULU'!G48+'Avg Week GULU-KAMPALA'!G48</f>
        <v>0.7142857142857143</v>
      </c>
      <c r="H48" s="49">
        <f>'Avg Week KAMPALA-GULU'!H48+'Avg Week GULU-KAMPALA'!H48</f>
        <v>2.1428571428571428</v>
      </c>
      <c r="I48" s="49">
        <f>'Avg Week KAMPALA-GULU'!I48+'Avg Week GULU-KAMPALA'!I48</f>
        <v>15.285714285714285</v>
      </c>
      <c r="J48" s="49">
        <f>'Avg Week KAMPALA-GULU'!J48+'Avg Week GULU-KAMPALA'!J48</f>
        <v>2.714285714285714</v>
      </c>
      <c r="K48" s="49">
        <f>'Avg Week KAMPALA-GULU'!K48+'Avg Week GULU-KAMPALA'!K48</f>
        <v>0.42857142857142855</v>
      </c>
      <c r="L48" s="49">
        <f>'Avg Week KAMPALA-GULU'!L48+'Avg Week GULU-KAMPALA'!L48</f>
        <v>4.2857142857142856</v>
      </c>
      <c r="M48" s="49">
        <f>'Avg Week KAMPALA-GULU'!M48+'Avg Week GULU-KAMPALA'!M48</f>
        <v>136.71428571428572</v>
      </c>
      <c r="N48" s="49">
        <f>'Avg Week KAMPALA-GULU'!N48+'Avg Week GULU-KAMPALA'!N48</f>
        <v>0</v>
      </c>
      <c r="O48" s="15">
        <f t="shared" si="0"/>
        <v>118.42857142857143</v>
      </c>
      <c r="P48" s="15">
        <f t="shared" si="1"/>
        <v>255.14285714285717</v>
      </c>
      <c r="R48" s="8"/>
      <c r="T48"/>
    </row>
    <row r="49" spans="2:20" ht="23.1" customHeight="1" x14ac:dyDescent="0.25">
      <c r="B49" s="23" t="s">
        <v>76</v>
      </c>
      <c r="C49" s="49">
        <f>'Avg Week KAMPALA-GULU'!C49+'Avg Week GULU-KAMPALA'!C49</f>
        <v>15.428571428571431</v>
      </c>
      <c r="D49" s="49">
        <f>'Avg Week KAMPALA-GULU'!D49+'Avg Week GULU-KAMPALA'!D49</f>
        <v>1</v>
      </c>
      <c r="E49" s="49">
        <f>'Avg Week KAMPALA-GULU'!E49+'Avg Week GULU-KAMPALA'!E49</f>
        <v>32</v>
      </c>
      <c r="F49" s="49">
        <f>'Avg Week KAMPALA-GULU'!F49+'Avg Week GULU-KAMPALA'!F49</f>
        <v>30.142857142857146</v>
      </c>
      <c r="G49" s="49">
        <f>'Avg Week KAMPALA-GULU'!G49+'Avg Week GULU-KAMPALA'!G49</f>
        <v>0.2857142857142857</v>
      </c>
      <c r="H49" s="49">
        <f>'Avg Week KAMPALA-GULU'!H49+'Avg Week GULU-KAMPALA'!H49</f>
        <v>1.5714285714285714</v>
      </c>
      <c r="I49" s="49">
        <f>'Avg Week KAMPALA-GULU'!I49+'Avg Week GULU-KAMPALA'!I49</f>
        <v>15.428571428571431</v>
      </c>
      <c r="J49" s="49">
        <f>'Avg Week KAMPALA-GULU'!J49+'Avg Week GULU-KAMPALA'!J49</f>
        <v>2.4285714285714284</v>
      </c>
      <c r="K49" s="49">
        <f>'Avg Week KAMPALA-GULU'!K49+'Avg Week GULU-KAMPALA'!K49</f>
        <v>0.42857142857142855</v>
      </c>
      <c r="L49" s="49">
        <f>'Avg Week KAMPALA-GULU'!L49+'Avg Week GULU-KAMPALA'!L49</f>
        <v>4.4285714285714288</v>
      </c>
      <c r="M49" s="49">
        <f>'Avg Week KAMPALA-GULU'!M49+'Avg Week GULU-KAMPALA'!M49</f>
        <v>131.71428571428572</v>
      </c>
      <c r="N49" s="49">
        <f>'Avg Week KAMPALA-GULU'!N49+'Avg Week GULU-KAMPALA'!N49</f>
        <v>0</v>
      </c>
      <c r="O49" s="15">
        <f t="shared" si="0"/>
        <v>103.14285714285717</v>
      </c>
      <c r="P49" s="15">
        <f t="shared" si="1"/>
        <v>234.85714285714289</v>
      </c>
      <c r="R49" s="8"/>
      <c r="T49"/>
    </row>
    <row r="50" spans="2:20" ht="23.1" customHeight="1" x14ac:dyDescent="0.25">
      <c r="B50" s="24" t="s">
        <v>77</v>
      </c>
      <c r="C50" s="49">
        <f>'Avg Week KAMPALA-GULU'!C50+'Avg Week GULU-KAMPALA'!C50</f>
        <v>18.857142857142858</v>
      </c>
      <c r="D50" s="49">
        <f>'Avg Week KAMPALA-GULU'!D50+'Avg Week GULU-KAMPALA'!D50</f>
        <v>0.7142857142857143</v>
      </c>
      <c r="E50" s="49">
        <f>'Avg Week KAMPALA-GULU'!E50+'Avg Week GULU-KAMPALA'!E50</f>
        <v>34</v>
      </c>
      <c r="F50" s="49">
        <f>'Avg Week KAMPALA-GULU'!F50+'Avg Week GULU-KAMPALA'!F50</f>
        <v>31.571428571428569</v>
      </c>
      <c r="G50" s="49">
        <f>'Avg Week KAMPALA-GULU'!G50+'Avg Week GULU-KAMPALA'!G50</f>
        <v>0.2857142857142857</v>
      </c>
      <c r="H50" s="49">
        <f>'Avg Week KAMPALA-GULU'!H50+'Avg Week GULU-KAMPALA'!H50</f>
        <v>2.5714285714285712</v>
      </c>
      <c r="I50" s="49">
        <f>'Avg Week KAMPALA-GULU'!I50+'Avg Week GULU-KAMPALA'!I50</f>
        <v>13.571428571428571</v>
      </c>
      <c r="J50" s="49">
        <f>'Avg Week KAMPALA-GULU'!J50+'Avg Week GULU-KAMPALA'!J50</f>
        <v>2.8571428571428572</v>
      </c>
      <c r="K50" s="49">
        <f>'Avg Week KAMPALA-GULU'!K50+'Avg Week GULU-KAMPALA'!K50</f>
        <v>0.5714285714285714</v>
      </c>
      <c r="L50" s="49">
        <f>'Avg Week KAMPALA-GULU'!L50+'Avg Week GULU-KAMPALA'!L50</f>
        <v>3.8571428571428568</v>
      </c>
      <c r="M50" s="49">
        <f>'Avg Week KAMPALA-GULU'!M50+'Avg Week GULU-KAMPALA'!M50</f>
        <v>137.85714285714286</v>
      </c>
      <c r="N50" s="49">
        <f>'Avg Week KAMPALA-GULU'!N50+'Avg Week GULU-KAMPALA'!N50</f>
        <v>0</v>
      </c>
      <c r="O50" s="15">
        <f t="shared" si="0"/>
        <v>108.85714285714286</v>
      </c>
      <c r="P50" s="15">
        <f t="shared" si="1"/>
        <v>246.71428571428572</v>
      </c>
      <c r="R50" s="8"/>
      <c r="T50"/>
    </row>
    <row r="51" spans="2:20" ht="23.1" customHeight="1" x14ac:dyDescent="0.25">
      <c r="B51" s="24" t="s">
        <v>78</v>
      </c>
      <c r="C51" s="49">
        <f>'Avg Week KAMPALA-GULU'!C51+'Avg Week GULU-KAMPALA'!C51</f>
        <v>19.857142857142858</v>
      </c>
      <c r="D51" s="49">
        <f>'Avg Week KAMPALA-GULU'!D51+'Avg Week GULU-KAMPALA'!D51</f>
        <v>0.14285714285714285</v>
      </c>
      <c r="E51" s="49">
        <f>'Avg Week KAMPALA-GULU'!E51+'Avg Week GULU-KAMPALA'!E51</f>
        <v>30.714285714285715</v>
      </c>
      <c r="F51" s="49">
        <f>'Avg Week KAMPALA-GULU'!F51+'Avg Week GULU-KAMPALA'!F51</f>
        <v>34.714285714285708</v>
      </c>
      <c r="G51" s="49">
        <f>'Avg Week KAMPALA-GULU'!G51+'Avg Week GULU-KAMPALA'!G51</f>
        <v>0.5714285714285714</v>
      </c>
      <c r="H51" s="49">
        <f>'Avg Week KAMPALA-GULU'!H51+'Avg Week GULU-KAMPALA'!H51</f>
        <v>2</v>
      </c>
      <c r="I51" s="49">
        <f>'Avg Week KAMPALA-GULU'!I51+'Avg Week GULU-KAMPALA'!I51</f>
        <v>13.714285714285715</v>
      </c>
      <c r="J51" s="49">
        <f>'Avg Week KAMPALA-GULU'!J51+'Avg Week GULU-KAMPALA'!J51</f>
        <v>2.2857142857142856</v>
      </c>
      <c r="K51" s="49">
        <f>'Avg Week KAMPALA-GULU'!K51+'Avg Week GULU-KAMPALA'!K51</f>
        <v>0.2857142857142857</v>
      </c>
      <c r="L51" s="49">
        <f>'Avg Week KAMPALA-GULU'!L51+'Avg Week GULU-KAMPALA'!L51</f>
        <v>3.7142857142857144</v>
      </c>
      <c r="M51" s="49">
        <f>'Avg Week KAMPALA-GULU'!M51+'Avg Week GULU-KAMPALA'!M51</f>
        <v>152</v>
      </c>
      <c r="N51" s="49">
        <f>'Avg Week KAMPALA-GULU'!N51+'Avg Week GULU-KAMPALA'!N51</f>
        <v>0</v>
      </c>
      <c r="O51" s="15">
        <f t="shared" si="0"/>
        <v>107.99999999999999</v>
      </c>
      <c r="P51" s="15">
        <f t="shared" si="1"/>
        <v>260</v>
      </c>
      <c r="R51" s="8"/>
      <c r="T51"/>
    </row>
    <row r="52" spans="2:20" ht="23.1" customHeight="1" x14ac:dyDescent="0.25">
      <c r="B52" s="24" t="s">
        <v>79</v>
      </c>
      <c r="C52" s="49">
        <f>'Avg Week KAMPALA-GULU'!C52+'Avg Week GULU-KAMPALA'!C52</f>
        <v>21</v>
      </c>
      <c r="D52" s="49">
        <f>'Avg Week KAMPALA-GULU'!D52+'Avg Week GULU-KAMPALA'!D52</f>
        <v>0.2857142857142857</v>
      </c>
      <c r="E52" s="49">
        <f>'Avg Week KAMPALA-GULU'!E52+'Avg Week GULU-KAMPALA'!E52</f>
        <v>33.285714285714285</v>
      </c>
      <c r="F52" s="49">
        <f>'Avg Week KAMPALA-GULU'!F52+'Avg Week GULU-KAMPALA'!F52</f>
        <v>30.142857142857142</v>
      </c>
      <c r="G52" s="49">
        <f>'Avg Week KAMPALA-GULU'!G52+'Avg Week GULU-KAMPALA'!G52</f>
        <v>0.8571428571428571</v>
      </c>
      <c r="H52" s="49">
        <f>'Avg Week KAMPALA-GULU'!H52+'Avg Week GULU-KAMPALA'!H52</f>
        <v>2.7142857142857144</v>
      </c>
      <c r="I52" s="49">
        <f>'Avg Week KAMPALA-GULU'!I52+'Avg Week GULU-KAMPALA'!I52</f>
        <v>14.571428571428571</v>
      </c>
      <c r="J52" s="49">
        <f>'Avg Week KAMPALA-GULU'!J52+'Avg Week GULU-KAMPALA'!J52</f>
        <v>2.4285714285714284</v>
      </c>
      <c r="K52" s="49">
        <f>'Avg Week KAMPALA-GULU'!K52+'Avg Week GULU-KAMPALA'!K52</f>
        <v>0.42857142857142855</v>
      </c>
      <c r="L52" s="49">
        <f>'Avg Week KAMPALA-GULU'!L52+'Avg Week GULU-KAMPALA'!L52</f>
        <v>4.1428571428571423</v>
      </c>
      <c r="M52" s="49">
        <f>'Avg Week KAMPALA-GULU'!M52+'Avg Week GULU-KAMPALA'!M52</f>
        <v>140.57142857142856</v>
      </c>
      <c r="N52" s="49">
        <f>'Avg Week KAMPALA-GULU'!N52+'Avg Week GULU-KAMPALA'!N52</f>
        <v>0</v>
      </c>
      <c r="O52" s="15">
        <f t="shared" si="0"/>
        <v>109.85714285714285</v>
      </c>
      <c r="P52" s="15">
        <f t="shared" si="1"/>
        <v>250.42857142857139</v>
      </c>
      <c r="R52" s="8"/>
      <c r="T52"/>
    </row>
    <row r="53" spans="2:20" ht="23.1" customHeight="1" x14ac:dyDescent="0.25">
      <c r="B53" s="23" t="s">
        <v>80</v>
      </c>
      <c r="C53" s="49">
        <f>'Avg Week KAMPALA-GULU'!C53+'Avg Week GULU-KAMPALA'!C53</f>
        <v>25.857142857142858</v>
      </c>
      <c r="D53" s="49">
        <f>'Avg Week KAMPALA-GULU'!D53+'Avg Week GULU-KAMPALA'!D53</f>
        <v>1.1428571428571428</v>
      </c>
      <c r="E53" s="49">
        <f>'Avg Week KAMPALA-GULU'!E53+'Avg Week GULU-KAMPALA'!E53</f>
        <v>32.285714285714285</v>
      </c>
      <c r="F53" s="49">
        <f>'Avg Week KAMPALA-GULU'!F53+'Avg Week GULU-KAMPALA'!F53</f>
        <v>30.571428571428573</v>
      </c>
      <c r="G53" s="49">
        <f>'Avg Week KAMPALA-GULU'!G53+'Avg Week GULU-KAMPALA'!G53</f>
        <v>0</v>
      </c>
      <c r="H53" s="49">
        <f>'Avg Week KAMPALA-GULU'!H53+'Avg Week GULU-KAMPALA'!H53</f>
        <v>3</v>
      </c>
      <c r="I53" s="49">
        <f>'Avg Week KAMPALA-GULU'!I53+'Avg Week GULU-KAMPALA'!I53</f>
        <v>16.428571428571431</v>
      </c>
      <c r="J53" s="49">
        <f>'Avg Week KAMPALA-GULU'!J53+'Avg Week GULU-KAMPALA'!J53</f>
        <v>3.4285714285714288</v>
      </c>
      <c r="K53" s="49">
        <f>'Avg Week KAMPALA-GULU'!K53+'Avg Week GULU-KAMPALA'!K53</f>
        <v>0.2857142857142857</v>
      </c>
      <c r="L53" s="49">
        <f>'Avg Week KAMPALA-GULU'!L53+'Avg Week GULU-KAMPALA'!L53</f>
        <v>4.4285714285714288</v>
      </c>
      <c r="M53" s="49">
        <f>'Avg Week KAMPALA-GULU'!M53+'Avg Week GULU-KAMPALA'!M53</f>
        <v>141.71428571428572</v>
      </c>
      <c r="N53" s="49">
        <f>'Avg Week KAMPALA-GULU'!N53+'Avg Week GULU-KAMPALA'!N53</f>
        <v>0</v>
      </c>
      <c r="O53" s="15">
        <f t="shared" si="0"/>
        <v>117.42857142857144</v>
      </c>
      <c r="P53" s="15">
        <f t="shared" si="1"/>
        <v>259.14285714285717</v>
      </c>
      <c r="R53" s="8"/>
      <c r="T53"/>
    </row>
    <row r="54" spans="2:20" ht="23.1" customHeight="1" x14ac:dyDescent="0.25">
      <c r="B54" s="23" t="s">
        <v>81</v>
      </c>
      <c r="C54" s="49">
        <f>'Avg Week KAMPALA-GULU'!C54+'Avg Week GULU-KAMPALA'!C54</f>
        <v>17.428571428571431</v>
      </c>
      <c r="D54" s="49">
        <f>'Avg Week KAMPALA-GULU'!D54+'Avg Week GULU-KAMPALA'!D54</f>
        <v>0.42857142857142855</v>
      </c>
      <c r="E54" s="49">
        <f>'Avg Week KAMPALA-GULU'!E54+'Avg Week GULU-KAMPALA'!E54</f>
        <v>31.428571428571431</v>
      </c>
      <c r="F54" s="49">
        <f>'Avg Week KAMPALA-GULU'!F54+'Avg Week GULU-KAMPALA'!F54</f>
        <v>28.714285714285715</v>
      </c>
      <c r="G54" s="49">
        <f>'Avg Week KAMPALA-GULU'!G54+'Avg Week GULU-KAMPALA'!G54</f>
        <v>0.14285714285714285</v>
      </c>
      <c r="H54" s="49">
        <f>'Avg Week KAMPALA-GULU'!H54+'Avg Week GULU-KAMPALA'!H54</f>
        <v>2.7142857142857144</v>
      </c>
      <c r="I54" s="49">
        <f>'Avg Week KAMPALA-GULU'!I54+'Avg Week GULU-KAMPALA'!I54</f>
        <v>16.142857142857142</v>
      </c>
      <c r="J54" s="49">
        <f>'Avg Week KAMPALA-GULU'!J54+'Avg Week GULU-KAMPALA'!J54</f>
        <v>1</v>
      </c>
      <c r="K54" s="49">
        <f>'Avg Week KAMPALA-GULU'!K54+'Avg Week GULU-KAMPALA'!K54</f>
        <v>0.8571428571428571</v>
      </c>
      <c r="L54" s="49">
        <f>'Avg Week KAMPALA-GULU'!L54+'Avg Week GULU-KAMPALA'!L54</f>
        <v>3.2857142857142856</v>
      </c>
      <c r="M54" s="49">
        <f>'Avg Week KAMPALA-GULU'!M54+'Avg Week GULU-KAMPALA'!M54</f>
        <v>123.14285714285714</v>
      </c>
      <c r="N54" s="49">
        <f>'Avg Week KAMPALA-GULU'!N54+'Avg Week GULU-KAMPALA'!N54</f>
        <v>0</v>
      </c>
      <c r="O54" s="15">
        <f t="shared" si="0"/>
        <v>102.14285714285714</v>
      </c>
      <c r="P54" s="15">
        <f t="shared" si="1"/>
        <v>225.28571428571428</v>
      </c>
      <c r="R54" s="8"/>
      <c r="T54"/>
    </row>
    <row r="55" spans="2:20" ht="23.1" customHeight="1" x14ac:dyDescent="0.25">
      <c r="B55" s="23" t="s">
        <v>82</v>
      </c>
      <c r="C55" s="49">
        <f>'Avg Week KAMPALA-GULU'!C55+'Avg Week GULU-KAMPALA'!C55</f>
        <v>21.714285714285715</v>
      </c>
      <c r="D55" s="49">
        <f>'Avg Week KAMPALA-GULU'!D55+'Avg Week GULU-KAMPALA'!D55</f>
        <v>0.7142857142857143</v>
      </c>
      <c r="E55" s="49">
        <f>'Avg Week KAMPALA-GULU'!E55+'Avg Week GULU-KAMPALA'!E55</f>
        <v>32.285714285714285</v>
      </c>
      <c r="F55" s="49">
        <f>'Avg Week KAMPALA-GULU'!F55+'Avg Week GULU-KAMPALA'!F55</f>
        <v>30.571428571428569</v>
      </c>
      <c r="G55" s="49">
        <f>'Avg Week KAMPALA-GULU'!G55+'Avg Week GULU-KAMPALA'!G55</f>
        <v>0.14285714285714285</v>
      </c>
      <c r="H55" s="49">
        <f>'Avg Week KAMPALA-GULU'!H55+'Avg Week GULU-KAMPALA'!H55</f>
        <v>1.7142857142857144</v>
      </c>
      <c r="I55" s="49">
        <f>'Avg Week KAMPALA-GULU'!I55+'Avg Week GULU-KAMPALA'!I55</f>
        <v>17.857142857142858</v>
      </c>
      <c r="J55" s="49">
        <f>'Avg Week KAMPALA-GULU'!J55+'Avg Week GULU-KAMPALA'!J55</f>
        <v>2.7142857142857144</v>
      </c>
      <c r="K55" s="49">
        <f>'Avg Week KAMPALA-GULU'!K55+'Avg Week GULU-KAMPALA'!K55</f>
        <v>0.5714285714285714</v>
      </c>
      <c r="L55" s="49">
        <f>'Avg Week KAMPALA-GULU'!L55+'Avg Week GULU-KAMPALA'!L55</f>
        <v>2.8571428571428572</v>
      </c>
      <c r="M55" s="49">
        <f>'Avg Week KAMPALA-GULU'!M55+'Avg Week GULU-KAMPALA'!M55</f>
        <v>130.71428571428572</v>
      </c>
      <c r="N55" s="49">
        <f>'Avg Week KAMPALA-GULU'!N55+'Avg Week GULU-KAMPALA'!N55</f>
        <v>0</v>
      </c>
      <c r="O55" s="15">
        <f t="shared" si="0"/>
        <v>111.14285714285712</v>
      </c>
      <c r="P55" s="15">
        <f t="shared" si="1"/>
        <v>241.85714285714283</v>
      </c>
      <c r="R55" s="8"/>
      <c r="T55"/>
    </row>
    <row r="56" spans="2:20" ht="23.1" customHeight="1" x14ac:dyDescent="0.25">
      <c r="B56" s="23" t="s">
        <v>83</v>
      </c>
      <c r="C56" s="49">
        <f>'Avg Week KAMPALA-GULU'!C56+'Avg Week GULU-KAMPALA'!C56</f>
        <v>22.857142857142858</v>
      </c>
      <c r="D56" s="49">
        <f>'Avg Week KAMPALA-GULU'!D56+'Avg Week GULU-KAMPALA'!D56</f>
        <v>0.5714285714285714</v>
      </c>
      <c r="E56" s="49">
        <f>'Avg Week KAMPALA-GULU'!E56+'Avg Week GULU-KAMPALA'!E56</f>
        <v>34</v>
      </c>
      <c r="F56" s="49">
        <f>'Avg Week KAMPALA-GULU'!F56+'Avg Week GULU-KAMPALA'!F56</f>
        <v>27.714285714285715</v>
      </c>
      <c r="G56" s="49">
        <f>'Avg Week KAMPALA-GULU'!G56+'Avg Week GULU-KAMPALA'!G56</f>
        <v>0.42857142857142855</v>
      </c>
      <c r="H56" s="49">
        <f>'Avg Week KAMPALA-GULU'!H56+'Avg Week GULU-KAMPALA'!H56</f>
        <v>2.5714285714285712</v>
      </c>
      <c r="I56" s="49">
        <f>'Avg Week KAMPALA-GULU'!I56+'Avg Week GULU-KAMPALA'!I56</f>
        <v>15.428571428571429</v>
      </c>
      <c r="J56" s="49">
        <f>'Avg Week KAMPALA-GULU'!J56+'Avg Week GULU-KAMPALA'!J56</f>
        <v>1.1428571428571428</v>
      </c>
      <c r="K56" s="49">
        <f>'Avg Week KAMPALA-GULU'!K56+'Avg Week GULU-KAMPALA'!K56</f>
        <v>0.71428571428571419</v>
      </c>
      <c r="L56" s="49">
        <f>'Avg Week KAMPALA-GULU'!L56+'Avg Week GULU-KAMPALA'!L56</f>
        <v>4.5714285714285712</v>
      </c>
      <c r="M56" s="49">
        <f>'Avg Week KAMPALA-GULU'!M56+'Avg Week GULU-KAMPALA'!M56</f>
        <v>121.42857142857143</v>
      </c>
      <c r="N56" s="49">
        <f>'Avg Week KAMPALA-GULU'!N56+'Avg Week GULU-KAMPALA'!N56</f>
        <v>0.2857142857142857</v>
      </c>
      <c r="O56" s="15">
        <f t="shared" si="0"/>
        <v>110.28571428571428</v>
      </c>
      <c r="P56" s="15">
        <f t="shared" si="1"/>
        <v>231.71428571428569</v>
      </c>
      <c r="R56" s="8"/>
      <c r="T56"/>
    </row>
    <row r="57" spans="2:20" ht="23.1" customHeight="1" x14ac:dyDescent="0.25">
      <c r="B57" s="23" t="s">
        <v>84</v>
      </c>
      <c r="C57" s="49">
        <f>'Avg Week KAMPALA-GULU'!C57+'Avg Week GULU-KAMPALA'!C57</f>
        <v>19.142857142857142</v>
      </c>
      <c r="D57" s="49">
        <f>'Avg Week KAMPALA-GULU'!D57+'Avg Week GULU-KAMPALA'!D57</f>
        <v>0.2857142857142857</v>
      </c>
      <c r="E57" s="49">
        <f>'Avg Week KAMPALA-GULU'!E57+'Avg Week GULU-KAMPALA'!E57</f>
        <v>31.857142857142861</v>
      </c>
      <c r="F57" s="49">
        <f>'Avg Week KAMPALA-GULU'!F57+'Avg Week GULU-KAMPALA'!F57</f>
        <v>30.428571428571431</v>
      </c>
      <c r="G57" s="49">
        <f>'Avg Week KAMPALA-GULU'!G57+'Avg Week GULU-KAMPALA'!G57</f>
        <v>1.1428571428571428</v>
      </c>
      <c r="H57" s="49">
        <f>'Avg Week KAMPALA-GULU'!H57+'Avg Week GULU-KAMPALA'!H57</f>
        <v>2.8571428571428572</v>
      </c>
      <c r="I57" s="49">
        <f>'Avg Week KAMPALA-GULU'!I57+'Avg Week GULU-KAMPALA'!I57</f>
        <v>17.714285714285715</v>
      </c>
      <c r="J57" s="49">
        <f>'Avg Week KAMPALA-GULU'!J57+'Avg Week GULU-KAMPALA'!J57</f>
        <v>3.2857142857142856</v>
      </c>
      <c r="K57" s="49">
        <f>'Avg Week KAMPALA-GULU'!K57+'Avg Week GULU-KAMPALA'!K57</f>
        <v>1</v>
      </c>
      <c r="L57" s="49">
        <f>'Avg Week KAMPALA-GULU'!L57+'Avg Week GULU-KAMPALA'!L57</f>
        <v>2.4285714285714284</v>
      </c>
      <c r="M57" s="49">
        <f>'Avg Week KAMPALA-GULU'!M57+'Avg Week GULU-KAMPALA'!M57</f>
        <v>150.42857142857144</v>
      </c>
      <c r="N57" s="49">
        <f>'Avg Week KAMPALA-GULU'!N57+'Avg Week GULU-KAMPALA'!N57</f>
        <v>0</v>
      </c>
      <c r="O57" s="15">
        <f t="shared" si="0"/>
        <v>110.14285714285717</v>
      </c>
      <c r="P57" s="15">
        <f t="shared" si="1"/>
        <v>260.57142857142861</v>
      </c>
      <c r="R57" s="8"/>
      <c r="T57"/>
    </row>
    <row r="58" spans="2:20" ht="23.1" customHeight="1" x14ac:dyDescent="0.25">
      <c r="B58" s="23" t="s">
        <v>99</v>
      </c>
      <c r="C58" s="49">
        <f>'Avg Week KAMPALA-GULU'!C58+'Avg Week GULU-KAMPALA'!C58</f>
        <v>19</v>
      </c>
      <c r="D58" s="49">
        <f>'Avg Week KAMPALA-GULU'!D58+'Avg Week GULU-KAMPALA'!D58</f>
        <v>6</v>
      </c>
      <c r="E58" s="49">
        <f>'Avg Week KAMPALA-GULU'!E58+'Avg Week GULU-KAMPALA'!E58</f>
        <v>14</v>
      </c>
      <c r="F58" s="49">
        <f>'Avg Week KAMPALA-GULU'!F58+'Avg Week GULU-KAMPALA'!F58</f>
        <v>24</v>
      </c>
      <c r="G58" s="49">
        <f>'Avg Week KAMPALA-GULU'!G58+'Avg Week GULU-KAMPALA'!G58</f>
        <v>0</v>
      </c>
      <c r="H58" s="49">
        <f>'Avg Week KAMPALA-GULU'!H58+'Avg Week GULU-KAMPALA'!H58</f>
        <v>0</v>
      </c>
      <c r="I58" s="49">
        <f>'Avg Week KAMPALA-GULU'!I58+'Avg Week GULU-KAMPALA'!I58</f>
        <v>16</v>
      </c>
      <c r="J58" s="49">
        <f>'Avg Week KAMPALA-GULU'!J58+'Avg Week GULU-KAMPALA'!J58</f>
        <v>2</v>
      </c>
      <c r="K58" s="49">
        <f>'Avg Week KAMPALA-GULU'!K58+'Avg Week GULU-KAMPALA'!K58</f>
        <v>2</v>
      </c>
      <c r="L58" s="49">
        <f>'Avg Week KAMPALA-GULU'!L58+'Avg Week GULU-KAMPALA'!L58</f>
        <v>2</v>
      </c>
      <c r="M58" s="49">
        <f>'Avg Week KAMPALA-GULU'!M58+'Avg Week GULU-KAMPALA'!M58</f>
        <v>110</v>
      </c>
      <c r="N58" s="49">
        <f>'Avg Week KAMPALA-GULU'!N58+'Avg Week GULU-KAMPALA'!N58</f>
        <v>0</v>
      </c>
      <c r="O58" s="15">
        <f t="shared" si="0"/>
        <v>85</v>
      </c>
      <c r="P58" s="15">
        <f t="shared" si="1"/>
        <v>195</v>
      </c>
      <c r="R58" s="8"/>
      <c r="T58"/>
    </row>
    <row r="59" spans="2:20" ht="23.1" customHeight="1" x14ac:dyDescent="0.25">
      <c r="B59" s="23" t="s">
        <v>100</v>
      </c>
      <c r="C59" s="49">
        <f>'Avg Week KAMPALA-GULU'!C59+'Avg Week GULU-KAMPALA'!C59</f>
        <v>21</v>
      </c>
      <c r="D59" s="49">
        <f>'Avg Week KAMPALA-GULU'!D59+'Avg Week GULU-KAMPALA'!D59</f>
        <v>4</v>
      </c>
      <c r="E59" s="49">
        <f>'Avg Week KAMPALA-GULU'!E59+'Avg Week GULU-KAMPALA'!E59</f>
        <v>10</v>
      </c>
      <c r="F59" s="49">
        <f>'Avg Week KAMPALA-GULU'!F59+'Avg Week GULU-KAMPALA'!F59</f>
        <v>22</v>
      </c>
      <c r="G59" s="49">
        <f>'Avg Week KAMPALA-GULU'!G59+'Avg Week GULU-KAMPALA'!G59</f>
        <v>0</v>
      </c>
      <c r="H59" s="49">
        <f>'Avg Week KAMPALA-GULU'!H59+'Avg Week GULU-KAMPALA'!H59</f>
        <v>0</v>
      </c>
      <c r="I59" s="49">
        <f>'Avg Week KAMPALA-GULU'!I59+'Avg Week GULU-KAMPALA'!I59</f>
        <v>16</v>
      </c>
      <c r="J59" s="49">
        <f>'Avg Week KAMPALA-GULU'!J59+'Avg Week GULU-KAMPALA'!J59</f>
        <v>0</v>
      </c>
      <c r="K59" s="49">
        <f>'Avg Week KAMPALA-GULU'!K59+'Avg Week GULU-KAMPALA'!K59</f>
        <v>0</v>
      </c>
      <c r="L59" s="49">
        <f>'Avg Week KAMPALA-GULU'!L59+'Avg Week GULU-KAMPALA'!L59</f>
        <v>6</v>
      </c>
      <c r="M59" s="49">
        <f>'Avg Week KAMPALA-GULU'!M59+'Avg Week GULU-KAMPALA'!M59</f>
        <v>120</v>
      </c>
      <c r="N59" s="49">
        <f>'Avg Week KAMPALA-GULU'!N59+'Avg Week GULU-KAMPALA'!N59</f>
        <v>0</v>
      </c>
      <c r="O59" s="15">
        <f t="shared" si="0"/>
        <v>79</v>
      </c>
      <c r="P59" s="15">
        <f t="shared" si="1"/>
        <v>199</v>
      </c>
      <c r="R59" s="8"/>
      <c r="T59"/>
    </row>
    <row r="60" spans="2:20" ht="23.1" customHeight="1" x14ac:dyDescent="0.25">
      <c r="B60" s="23" t="s">
        <v>101</v>
      </c>
      <c r="C60" s="49">
        <f>'Avg Week KAMPALA-GULU'!C60+'Avg Week GULU-KAMPALA'!C60</f>
        <v>18</v>
      </c>
      <c r="D60" s="49">
        <f>'Avg Week KAMPALA-GULU'!D60+'Avg Week GULU-KAMPALA'!D60</f>
        <v>2</v>
      </c>
      <c r="E60" s="49">
        <f>'Avg Week KAMPALA-GULU'!E60+'Avg Week GULU-KAMPALA'!E60</f>
        <v>12</v>
      </c>
      <c r="F60" s="49">
        <f>'Avg Week KAMPALA-GULU'!F60+'Avg Week GULU-KAMPALA'!F60</f>
        <v>22</v>
      </c>
      <c r="G60" s="49">
        <f>'Avg Week KAMPALA-GULU'!G60+'Avg Week GULU-KAMPALA'!G60</f>
        <v>0</v>
      </c>
      <c r="H60" s="49">
        <f>'Avg Week KAMPALA-GULU'!H60+'Avg Week GULU-KAMPALA'!H60</f>
        <v>0</v>
      </c>
      <c r="I60" s="49">
        <f>'Avg Week KAMPALA-GULU'!I60+'Avg Week GULU-KAMPALA'!I60</f>
        <v>16</v>
      </c>
      <c r="J60" s="49">
        <f>'Avg Week KAMPALA-GULU'!J60+'Avg Week GULU-KAMPALA'!J60</f>
        <v>0</v>
      </c>
      <c r="K60" s="49">
        <f>'Avg Week KAMPALA-GULU'!K60+'Avg Week GULU-KAMPALA'!K60</f>
        <v>0</v>
      </c>
      <c r="L60" s="49">
        <f>'Avg Week KAMPALA-GULU'!L60+'Avg Week GULU-KAMPALA'!L60</f>
        <v>6</v>
      </c>
      <c r="M60" s="49">
        <f>'Avg Week KAMPALA-GULU'!M60+'Avg Week GULU-KAMPALA'!M60</f>
        <v>132</v>
      </c>
      <c r="N60" s="49">
        <f>'Avg Week KAMPALA-GULU'!N60+'Avg Week GULU-KAMPALA'!N60</f>
        <v>0</v>
      </c>
      <c r="O60" s="15">
        <f t="shared" si="0"/>
        <v>76</v>
      </c>
      <c r="P60" s="15">
        <f t="shared" si="1"/>
        <v>208</v>
      </c>
      <c r="R60" s="8"/>
      <c r="T60"/>
    </row>
    <row r="61" spans="2:20" ht="23.1" customHeight="1" x14ac:dyDescent="0.25">
      <c r="B61" s="23" t="s">
        <v>102</v>
      </c>
      <c r="C61" s="49">
        <f>'Avg Week KAMPALA-GULU'!C61+'Avg Week GULU-KAMPALA'!C61</f>
        <v>13.5</v>
      </c>
      <c r="D61" s="49">
        <f>'Avg Week KAMPALA-GULU'!D61+'Avg Week GULU-KAMPALA'!D61</f>
        <v>0</v>
      </c>
      <c r="E61" s="49">
        <f>'Avg Week KAMPALA-GULU'!E61+'Avg Week GULU-KAMPALA'!E61</f>
        <v>14</v>
      </c>
      <c r="F61" s="49">
        <f>'Avg Week KAMPALA-GULU'!F61+'Avg Week GULU-KAMPALA'!F61</f>
        <v>16</v>
      </c>
      <c r="G61" s="49">
        <f>'Avg Week KAMPALA-GULU'!G61+'Avg Week GULU-KAMPALA'!G61</f>
        <v>0</v>
      </c>
      <c r="H61" s="49">
        <f>'Avg Week KAMPALA-GULU'!H61+'Avg Week GULU-KAMPALA'!H61</f>
        <v>4</v>
      </c>
      <c r="I61" s="49">
        <f>'Avg Week KAMPALA-GULU'!I61+'Avg Week GULU-KAMPALA'!I61</f>
        <v>16</v>
      </c>
      <c r="J61" s="49">
        <f>'Avg Week KAMPALA-GULU'!J61+'Avg Week GULU-KAMPALA'!J61</f>
        <v>0</v>
      </c>
      <c r="K61" s="49">
        <f>'Avg Week KAMPALA-GULU'!K61+'Avg Week GULU-KAMPALA'!K61</f>
        <v>0</v>
      </c>
      <c r="L61" s="49">
        <f>'Avg Week KAMPALA-GULU'!L61+'Avg Week GULU-KAMPALA'!L61</f>
        <v>6</v>
      </c>
      <c r="M61" s="49">
        <f>'Avg Week KAMPALA-GULU'!M61+'Avg Week GULU-KAMPALA'!M61</f>
        <v>112</v>
      </c>
      <c r="N61" s="49">
        <f>'Avg Week KAMPALA-GULU'!N61+'Avg Week GULU-KAMPALA'!N61</f>
        <v>0</v>
      </c>
      <c r="O61" s="15">
        <f t="shared" si="0"/>
        <v>69.5</v>
      </c>
      <c r="P61" s="15">
        <f t="shared" si="1"/>
        <v>181.5</v>
      </c>
      <c r="R61" s="8"/>
      <c r="T61"/>
    </row>
    <row r="62" spans="2:20" ht="23.1" customHeight="1" x14ac:dyDescent="0.25">
      <c r="B62" s="23" t="s">
        <v>107</v>
      </c>
      <c r="C62" s="49">
        <f>'Avg Week KAMPALA-GULU'!C62+'Avg Week GULU-KAMPALA'!C62</f>
        <v>17</v>
      </c>
      <c r="D62" s="49">
        <f>'Avg Week KAMPALA-GULU'!D62+'Avg Week GULU-KAMPALA'!D62</f>
        <v>4</v>
      </c>
      <c r="E62" s="49">
        <f>'Avg Week KAMPALA-GULU'!E62+'Avg Week GULU-KAMPALA'!E62</f>
        <v>16</v>
      </c>
      <c r="F62" s="49">
        <f>'Avg Week KAMPALA-GULU'!F62+'Avg Week GULU-KAMPALA'!F62</f>
        <v>10</v>
      </c>
      <c r="G62" s="49">
        <f>'Avg Week KAMPALA-GULU'!G62+'Avg Week GULU-KAMPALA'!G62</f>
        <v>0</v>
      </c>
      <c r="H62" s="49">
        <f>'Avg Week KAMPALA-GULU'!H62+'Avg Week GULU-KAMPALA'!H62</f>
        <v>2</v>
      </c>
      <c r="I62" s="49">
        <f>'Avg Week KAMPALA-GULU'!I62+'Avg Week GULU-KAMPALA'!I62</f>
        <v>10</v>
      </c>
      <c r="J62" s="49">
        <f>'Avg Week KAMPALA-GULU'!J62+'Avg Week GULU-KAMPALA'!J62</f>
        <v>2</v>
      </c>
      <c r="K62" s="49">
        <f>'Avg Week KAMPALA-GULU'!K62+'Avg Week GULU-KAMPALA'!K62</f>
        <v>0</v>
      </c>
      <c r="L62" s="49">
        <f>'Avg Week KAMPALA-GULU'!L62+'Avg Week GULU-KAMPALA'!L62</f>
        <v>8</v>
      </c>
      <c r="M62" s="49">
        <f>'Avg Week KAMPALA-GULU'!M62+'Avg Week GULU-KAMPALA'!M62</f>
        <v>90</v>
      </c>
      <c r="N62" s="49">
        <f>'Avg Week KAMPALA-GULU'!N62+'Avg Week GULU-KAMPALA'!N62</f>
        <v>0</v>
      </c>
      <c r="O62" s="15">
        <f t="shared" si="0"/>
        <v>69</v>
      </c>
      <c r="P62" s="15">
        <f t="shared" si="1"/>
        <v>159</v>
      </c>
      <c r="R62" s="8"/>
      <c r="T62"/>
    </row>
    <row r="63" spans="2:20" ht="23.1" customHeight="1" x14ac:dyDescent="0.25">
      <c r="B63" s="23" t="s">
        <v>108</v>
      </c>
      <c r="C63" s="49">
        <f>'Avg Week KAMPALA-GULU'!C63+'Avg Week GULU-KAMPALA'!C63</f>
        <v>12.5</v>
      </c>
      <c r="D63" s="49">
        <f>'Avg Week KAMPALA-GULU'!D63+'Avg Week GULU-KAMPALA'!D63</f>
        <v>2</v>
      </c>
      <c r="E63" s="49">
        <f>'Avg Week KAMPALA-GULU'!E63+'Avg Week GULU-KAMPALA'!E63</f>
        <v>12</v>
      </c>
      <c r="F63" s="49">
        <f>'Avg Week KAMPALA-GULU'!F63+'Avg Week GULU-KAMPALA'!F63</f>
        <v>10</v>
      </c>
      <c r="G63" s="49">
        <f>'Avg Week KAMPALA-GULU'!G63+'Avg Week GULU-KAMPALA'!G63</f>
        <v>0</v>
      </c>
      <c r="H63" s="49">
        <f>'Avg Week KAMPALA-GULU'!H63+'Avg Week GULU-KAMPALA'!H63</f>
        <v>0</v>
      </c>
      <c r="I63" s="49">
        <f>'Avg Week KAMPALA-GULU'!I63+'Avg Week GULU-KAMPALA'!I63</f>
        <v>16</v>
      </c>
      <c r="J63" s="49">
        <f>'Avg Week KAMPALA-GULU'!J63+'Avg Week GULU-KAMPALA'!J63</f>
        <v>0</v>
      </c>
      <c r="K63" s="49">
        <f>'Avg Week KAMPALA-GULU'!K63+'Avg Week GULU-KAMPALA'!K63</f>
        <v>2</v>
      </c>
      <c r="L63" s="49">
        <f>'Avg Week KAMPALA-GULU'!L63+'Avg Week GULU-KAMPALA'!L63</f>
        <v>6</v>
      </c>
      <c r="M63" s="49">
        <f>'Avg Week KAMPALA-GULU'!M63+'Avg Week GULU-KAMPALA'!M63</f>
        <v>94</v>
      </c>
      <c r="N63" s="49">
        <f>'Avg Week KAMPALA-GULU'!N63+'Avg Week GULU-KAMPALA'!N63</f>
        <v>0</v>
      </c>
      <c r="O63" s="15">
        <f t="shared" si="0"/>
        <v>60.5</v>
      </c>
      <c r="P63" s="15">
        <f t="shared" si="1"/>
        <v>154.5</v>
      </c>
      <c r="R63" s="8"/>
      <c r="T63"/>
    </row>
    <row r="64" spans="2:20" ht="23.1" customHeight="1" x14ac:dyDescent="0.25">
      <c r="B64" s="23" t="s">
        <v>109</v>
      </c>
      <c r="C64" s="49">
        <f>'Avg Week KAMPALA-GULU'!C64+'Avg Week GULU-KAMPALA'!C64</f>
        <v>13</v>
      </c>
      <c r="D64" s="49">
        <f>'Avg Week KAMPALA-GULU'!D64+'Avg Week GULU-KAMPALA'!D64</f>
        <v>0</v>
      </c>
      <c r="E64" s="49">
        <f>'Avg Week KAMPALA-GULU'!E64+'Avg Week GULU-KAMPALA'!E64</f>
        <v>10</v>
      </c>
      <c r="F64" s="49">
        <f>'Avg Week KAMPALA-GULU'!F64+'Avg Week GULU-KAMPALA'!F64</f>
        <v>14</v>
      </c>
      <c r="G64" s="49">
        <f>'Avg Week KAMPALA-GULU'!G64+'Avg Week GULU-KAMPALA'!G64</f>
        <v>0</v>
      </c>
      <c r="H64" s="49">
        <f>'Avg Week KAMPALA-GULU'!H64+'Avg Week GULU-KAMPALA'!H64</f>
        <v>4</v>
      </c>
      <c r="I64" s="49">
        <f>'Avg Week KAMPALA-GULU'!I64+'Avg Week GULU-KAMPALA'!I64</f>
        <v>12</v>
      </c>
      <c r="J64" s="49">
        <f>'Avg Week KAMPALA-GULU'!J64+'Avg Week GULU-KAMPALA'!J64</f>
        <v>0</v>
      </c>
      <c r="K64" s="49">
        <f>'Avg Week KAMPALA-GULU'!K64+'Avg Week GULU-KAMPALA'!K64</f>
        <v>0</v>
      </c>
      <c r="L64" s="49">
        <f>'Avg Week KAMPALA-GULU'!L64+'Avg Week GULU-KAMPALA'!L64</f>
        <v>6</v>
      </c>
      <c r="M64" s="49">
        <f>'Avg Week KAMPALA-GULU'!M64+'Avg Week GULU-KAMPALA'!M64</f>
        <v>76</v>
      </c>
      <c r="N64" s="49">
        <f>'Avg Week KAMPALA-GULU'!N64+'Avg Week GULU-KAMPALA'!N64</f>
        <v>0</v>
      </c>
      <c r="O64" s="15">
        <f t="shared" si="0"/>
        <v>59</v>
      </c>
      <c r="P64" s="15">
        <f t="shared" si="1"/>
        <v>135</v>
      </c>
      <c r="R64" s="8"/>
      <c r="T64"/>
    </row>
    <row r="65" spans="2:20" ht="23.1" customHeight="1" x14ac:dyDescent="0.25">
      <c r="B65" s="23" t="s">
        <v>158</v>
      </c>
      <c r="C65" s="49">
        <f>'Avg Week KAMPALA-GULU'!C65+'Avg Week GULU-KAMPALA'!C65</f>
        <v>10.5</v>
      </c>
      <c r="D65" s="49">
        <f>'Avg Week KAMPALA-GULU'!D65+'Avg Week GULU-KAMPALA'!D65</f>
        <v>2</v>
      </c>
      <c r="E65" s="49">
        <f>'Avg Week KAMPALA-GULU'!E65+'Avg Week GULU-KAMPALA'!E65</f>
        <v>8</v>
      </c>
      <c r="F65" s="49">
        <f>'Avg Week KAMPALA-GULU'!F65+'Avg Week GULU-KAMPALA'!F65</f>
        <v>10</v>
      </c>
      <c r="G65" s="49">
        <f>'Avg Week KAMPALA-GULU'!G65+'Avg Week GULU-KAMPALA'!G65</f>
        <v>0</v>
      </c>
      <c r="H65" s="49">
        <f>'Avg Week KAMPALA-GULU'!H65+'Avg Week GULU-KAMPALA'!H65</f>
        <v>2</v>
      </c>
      <c r="I65" s="49">
        <f>'Avg Week KAMPALA-GULU'!I65+'Avg Week GULU-KAMPALA'!I65</f>
        <v>10</v>
      </c>
      <c r="J65" s="49">
        <f>'Avg Week KAMPALA-GULU'!J65+'Avg Week GULU-KAMPALA'!J65</f>
        <v>2</v>
      </c>
      <c r="K65" s="49">
        <f>'Avg Week KAMPALA-GULU'!K65+'Avg Week GULU-KAMPALA'!K65</f>
        <v>0</v>
      </c>
      <c r="L65" s="49">
        <f>'Avg Week KAMPALA-GULU'!L65+'Avg Week GULU-KAMPALA'!L65</f>
        <v>8</v>
      </c>
      <c r="M65" s="49">
        <f>'Avg Week KAMPALA-GULU'!M65+'Avg Week GULU-KAMPALA'!M65</f>
        <v>70</v>
      </c>
      <c r="N65" s="49">
        <f>'Avg Week KAMPALA-GULU'!N65+'Avg Week GULU-KAMPALA'!N65</f>
        <v>0</v>
      </c>
      <c r="O65" s="15">
        <f t="shared" si="0"/>
        <v>52.5</v>
      </c>
      <c r="P65" s="15">
        <f t="shared" si="1"/>
        <v>122.5</v>
      </c>
      <c r="R65" s="8"/>
      <c r="T65"/>
    </row>
    <row r="66" spans="2:20" ht="23.1" customHeight="1" x14ac:dyDescent="0.25">
      <c r="B66" s="23" t="s">
        <v>103</v>
      </c>
      <c r="C66" s="49">
        <f>'Avg Week KAMPALA-GULU'!C66+'Avg Week GULU-KAMPALA'!C66</f>
        <v>8</v>
      </c>
      <c r="D66" s="49">
        <f>'Avg Week KAMPALA-GULU'!D66+'Avg Week GULU-KAMPALA'!D66</f>
        <v>4</v>
      </c>
      <c r="E66" s="49">
        <f>'Avg Week KAMPALA-GULU'!E66+'Avg Week GULU-KAMPALA'!E66</f>
        <v>10</v>
      </c>
      <c r="F66" s="49">
        <f>'Avg Week KAMPALA-GULU'!F66+'Avg Week GULU-KAMPALA'!F66</f>
        <v>4</v>
      </c>
      <c r="G66" s="49">
        <f>'Avg Week KAMPALA-GULU'!G66+'Avg Week GULU-KAMPALA'!G66</f>
        <v>2</v>
      </c>
      <c r="H66" s="49">
        <f>'Avg Week KAMPALA-GULU'!H66+'Avg Week GULU-KAMPALA'!H66</f>
        <v>2</v>
      </c>
      <c r="I66" s="49">
        <f>'Avg Week KAMPALA-GULU'!I66+'Avg Week GULU-KAMPALA'!I66</f>
        <v>14</v>
      </c>
      <c r="J66" s="49">
        <f>'Avg Week KAMPALA-GULU'!J66+'Avg Week GULU-KAMPALA'!J66</f>
        <v>0</v>
      </c>
      <c r="K66" s="49">
        <f>'Avg Week KAMPALA-GULU'!K66+'Avg Week GULU-KAMPALA'!K66</f>
        <v>0</v>
      </c>
      <c r="L66" s="49">
        <f>'Avg Week KAMPALA-GULU'!L66+'Avg Week GULU-KAMPALA'!L66</f>
        <v>2</v>
      </c>
      <c r="M66" s="49">
        <f>'Avg Week KAMPALA-GULU'!M66+'Avg Week GULU-KAMPALA'!M66</f>
        <v>66</v>
      </c>
      <c r="N66" s="49">
        <f>'Avg Week KAMPALA-GULU'!N66+'Avg Week GULU-KAMPALA'!N66</f>
        <v>0</v>
      </c>
      <c r="O66" s="15">
        <f t="shared" si="0"/>
        <v>46</v>
      </c>
      <c r="P66" s="15">
        <f t="shared" si="1"/>
        <v>112</v>
      </c>
      <c r="R66" s="8"/>
      <c r="T66"/>
    </row>
    <row r="67" spans="2:20" ht="23.1" customHeight="1" x14ac:dyDescent="0.25">
      <c r="B67" s="23" t="s">
        <v>104</v>
      </c>
      <c r="C67" s="49">
        <f>'Avg Week KAMPALA-GULU'!C67+'Avg Week GULU-KAMPALA'!C67</f>
        <v>6</v>
      </c>
      <c r="D67" s="49">
        <f>'Avg Week KAMPALA-GULU'!D67+'Avg Week GULU-KAMPALA'!D67</f>
        <v>0</v>
      </c>
      <c r="E67" s="49">
        <f>'Avg Week KAMPALA-GULU'!E67+'Avg Week GULU-KAMPALA'!E67</f>
        <v>8</v>
      </c>
      <c r="F67" s="49">
        <f>'Avg Week KAMPALA-GULU'!F67+'Avg Week GULU-KAMPALA'!F67</f>
        <v>10</v>
      </c>
      <c r="G67" s="49">
        <f>'Avg Week KAMPALA-GULU'!G67+'Avg Week GULU-KAMPALA'!G67</f>
        <v>2</v>
      </c>
      <c r="H67" s="49">
        <f>'Avg Week KAMPALA-GULU'!H67+'Avg Week GULU-KAMPALA'!H67</f>
        <v>0</v>
      </c>
      <c r="I67" s="49">
        <f>'Avg Week KAMPALA-GULU'!I67+'Avg Week GULU-KAMPALA'!I67</f>
        <v>6</v>
      </c>
      <c r="J67" s="49">
        <f>'Avg Week KAMPALA-GULU'!J67+'Avg Week GULU-KAMPALA'!J67</f>
        <v>0</v>
      </c>
      <c r="K67" s="49">
        <f>'Avg Week KAMPALA-GULU'!K67+'Avg Week GULU-KAMPALA'!K67</f>
        <v>0</v>
      </c>
      <c r="L67" s="49">
        <f>'Avg Week KAMPALA-GULU'!L67+'Avg Week GULU-KAMPALA'!L67</f>
        <v>0</v>
      </c>
      <c r="M67" s="49">
        <f>'Avg Week KAMPALA-GULU'!M67+'Avg Week GULU-KAMPALA'!M67</f>
        <v>48</v>
      </c>
      <c r="N67" s="49">
        <f>'Avg Week KAMPALA-GULU'!N67+'Avg Week GULU-KAMPALA'!N67</f>
        <v>0</v>
      </c>
      <c r="O67" s="15">
        <f t="shared" si="0"/>
        <v>32</v>
      </c>
      <c r="P67" s="15">
        <f t="shared" si="1"/>
        <v>80</v>
      </c>
      <c r="R67" s="8"/>
      <c r="T67"/>
    </row>
    <row r="68" spans="2:20" ht="23.1" customHeight="1" x14ac:dyDescent="0.25">
      <c r="B68" s="23" t="s">
        <v>105</v>
      </c>
      <c r="C68" s="49">
        <f>'Avg Week KAMPALA-GULU'!C68+'Avg Week GULU-KAMPALA'!C68</f>
        <v>8.5</v>
      </c>
      <c r="D68" s="49">
        <f>'Avg Week KAMPALA-GULU'!D68+'Avg Week GULU-KAMPALA'!D68</f>
        <v>2</v>
      </c>
      <c r="E68" s="49">
        <f>'Avg Week KAMPALA-GULU'!E68+'Avg Week GULU-KAMPALA'!E68</f>
        <v>6</v>
      </c>
      <c r="F68" s="49">
        <f>'Avg Week KAMPALA-GULU'!F68+'Avg Week GULU-KAMPALA'!F68</f>
        <v>6</v>
      </c>
      <c r="G68" s="49">
        <f>'Avg Week KAMPALA-GULU'!G68+'Avg Week GULU-KAMPALA'!G68</f>
        <v>4</v>
      </c>
      <c r="H68" s="49">
        <f>'Avg Week KAMPALA-GULU'!H68+'Avg Week GULU-KAMPALA'!H68</f>
        <v>6</v>
      </c>
      <c r="I68" s="49">
        <f>'Avg Week KAMPALA-GULU'!I68+'Avg Week GULU-KAMPALA'!I68</f>
        <v>16</v>
      </c>
      <c r="J68" s="49">
        <f>'Avg Week KAMPALA-GULU'!J68+'Avg Week GULU-KAMPALA'!J68</f>
        <v>0</v>
      </c>
      <c r="K68" s="49">
        <f>'Avg Week KAMPALA-GULU'!K68+'Avg Week GULU-KAMPALA'!K68</f>
        <v>4</v>
      </c>
      <c r="L68" s="49">
        <f>'Avg Week KAMPALA-GULU'!L68+'Avg Week GULU-KAMPALA'!L68</f>
        <v>4</v>
      </c>
      <c r="M68" s="49">
        <f>'Avg Week KAMPALA-GULU'!M68+'Avg Week GULU-KAMPALA'!M68</f>
        <v>34</v>
      </c>
      <c r="N68" s="49">
        <f>'Avg Week KAMPALA-GULU'!N68+'Avg Week GULU-KAMPALA'!N68</f>
        <v>0</v>
      </c>
      <c r="O68" s="15">
        <f t="shared" si="0"/>
        <v>56.5</v>
      </c>
      <c r="P68" s="15">
        <f t="shared" si="1"/>
        <v>90.5</v>
      </c>
      <c r="R68" s="8"/>
      <c r="T68"/>
    </row>
    <row r="69" spans="2:20" ht="23.1" customHeight="1" x14ac:dyDescent="0.25">
      <c r="B69" s="23" t="s">
        <v>106</v>
      </c>
      <c r="C69" s="49">
        <f>'Avg Week KAMPALA-GULU'!C69+'Avg Week GULU-KAMPALA'!C69</f>
        <v>4</v>
      </c>
      <c r="D69" s="49">
        <f>'Avg Week KAMPALA-GULU'!D69+'Avg Week GULU-KAMPALA'!D69</f>
        <v>2</v>
      </c>
      <c r="E69" s="49">
        <f>'Avg Week KAMPALA-GULU'!E69+'Avg Week GULU-KAMPALA'!E69</f>
        <v>4</v>
      </c>
      <c r="F69" s="49">
        <f>'Avg Week KAMPALA-GULU'!F69+'Avg Week GULU-KAMPALA'!F69</f>
        <v>10</v>
      </c>
      <c r="G69" s="49">
        <f>'Avg Week KAMPALA-GULU'!G69+'Avg Week GULU-KAMPALA'!G69</f>
        <v>0</v>
      </c>
      <c r="H69" s="49">
        <f>'Avg Week KAMPALA-GULU'!H69+'Avg Week GULU-KAMPALA'!H69</f>
        <v>2</v>
      </c>
      <c r="I69" s="49">
        <f>'Avg Week KAMPALA-GULU'!I69+'Avg Week GULU-KAMPALA'!I69</f>
        <v>10</v>
      </c>
      <c r="J69" s="49">
        <f>'Avg Week KAMPALA-GULU'!J69+'Avg Week GULU-KAMPALA'!J69</f>
        <v>2</v>
      </c>
      <c r="K69" s="49">
        <f>'Avg Week KAMPALA-GULU'!K69+'Avg Week GULU-KAMPALA'!K69</f>
        <v>0</v>
      </c>
      <c r="L69" s="49">
        <f>'Avg Week KAMPALA-GULU'!L69+'Avg Week GULU-KAMPALA'!L69</f>
        <v>8</v>
      </c>
      <c r="M69" s="49">
        <f>'Avg Week KAMPALA-GULU'!M69+'Avg Week GULU-KAMPALA'!M69</f>
        <v>28</v>
      </c>
      <c r="N69" s="49">
        <f>'Avg Week KAMPALA-GULU'!N69+'Avg Week GULU-KAMPALA'!N69</f>
        <v>0</v>
      </c>
      <c r="O69" s="15">
        <f t="shared" si="0"/>
        <v>42</v>
      </c>
      <c r="P69" s="15">
        <f t="shared" si="1"/>
        <v>70</v>
      </c>
      <c r="R69" s="8"/>
      <c r="T69"/>
    </row>
    <row r="70" spans="2:20" ht="23.1" customHeight="1" x14ac:dyDescent="0.25">
      <c r="B70" s="23" t="s">
        <v>110</v>
      </c>
      <c r="C70" s="49">
        <f>'Avg Week KAMPALA-GULU'!C70+'Avg Week GULU-KAMPALA'!C70</f>
        <v>6.5</v>
      </c>
      <c r="D70" s="49">
        <f>'Avg Week KAMPALA-GULU'!D70+'Avg Week GULU-KAMPALA'!D70</f>
        <v>0</v>
      </c>
      <c r="E70" s="49">
        <f>'Avg Week KAMPALA-GULU'!E70+'Avg Week GULU-KAMPALA'!E70</f>
        <v>6</v>
      </c>
      <c r="F70" s="49">
        <f>'Avg Week KAMPALA-GULU'!F70+'Avg Week GULU-KAMPALA'!F70</f>
        <v>4</v>
      </c>
      <c r="G70" s="49">
        <f>'Avg Week KAMPALA-GULU'!G70+'Avg Week GULU-KAMPALA'!G70</f>
        <v>2</v>
      </c>
      <c r="H70" s="49">
        <f>'Avg Week KAMPALA-GULU'!H70+'Avg Week GULU-KAMPALA'!H70</f>
        <v>2</v>
      </c>
      <c r="I70" s="49">
        <f>'Avg Week KAMPALA-GULU'!I70+'Avg Week GULU-KAMPALA'!I70</f>
        <v>6</v>
      </c>
      <c r="J70" s="49">
        <f>'Avg Week KAMPALA-GULU'!J70+'Avg Week GULU-KAMPALA'!J70</f>
        <v>0</v>
      </c>
      <c r="K70" s="49">
        <f>'Avg Week KAMPALA-GULU'!K70+'Avg Week GULU-KAMPALA'!K70</f>
        <v>4</v>
      </c>
      <c r="L70" s="49">
        <f>'Avg Week KAMPALA-GULU'!L70+'Avg Week GULU-KAMPALA'!L70</f>
        <v>2</v>
      </c>
      <c r="M70" s="49">
        <f>'Avg Week KAMPALA-GULU'!M70+'Avg Week GULU-KAMPALA'!M70</f>
        <v>26</v>
      </c>
      <c r="N70" s="49">
        <f>'Avg Week KAMPALA-GULU'!N70+'Avg Week GULU-KAMPALA'!N70</f>
        <v>0</v>
      </c>
      <c r="O70" s="15">
        <f t="shared" si="0"/>
        <v>32.5</v>
      </c>
      <c r="P70" s="15">
        <f t="shared" si="1"/>
        <v>58.5</v>
      </c>
      <c r="R70" s="8"/>
      <c r="T70"/>
    </row>
    <row r="71" spans="2:20" ht="23.1" customHeight="1" x14ac:dyDescent="0.25">
      <c r="B71" s="23" t="s">
        <v>111</v>
      </c>
      <c r="C71" s="49">
        <f>'Avg Week KAMPALA-GULU'!C71+'Avg Week GULU-KAMPALA'!C71</f>
        <v>2</v>
      </c>
      <c r="D71" s="49">
        <f>'Avg Week KAMPALA-GULU'!D71+'Avg Week GULU-KAMPALA'!D71</f>
        <v>0</v>
      </c>
      <c r="E71" s="49">
        <f>'Avg Week KAMPALA-GULU'!E71+'Avg Week GULU-KAMPALA'!E71</f>
        <v>2</v>
      </c>
      <c r="F71" s="49">
        <f>'Avg Week KAMPALA-GULU'!F71+'Avg Week GULU-KAMPALA'!F71</f>
        <v>10</v>
      </c>
      <c r="G71" s="49">
        <f>'Avg Week KAMPALA-GULU'!G71+'Avg Week GULU-KAMPALA'!G71</f>
        <v>2</v>
      </c>
      <c r="H71" s="49">
        <f>'Avg Week KAMPALA-GULU'!H71+'Avg Week GULU-KAMPALA'!H71</f>
        <v>0</v>
      </c>
      <c r="I71" s="49">
        <f>'Avg Week KAMPALA-GULU'!I71+'Avg Week GULU-KAMPALA'!I71</f>
        <v>6</v>
      </c>
      <c r="J71" s="49">
        <f>'Avg Week KAMPALA-GULU'!J71+'Avg Week GULU-KAMPALA'!J71</f>
        <v>0</v>
      </c>
      <c r="K71" s="49">
        <f>'Avg Week KAMPALA-GULU'!K71+'Avg Week GULU-KAMPALA'!K71</f>
        <v>0</v>
      </c>
      <c r="L71" s="49">
        <f>'Avg Week KAMPALA-GULU'!L71+'Avg Week GULU-KAMPALA'!L71</f>
        <v>0</v>
      </c>
      <c r="M71" s="49">
        <f>'Avg Week KAMPALA-GULU'!M71+'Avg Week GULU-KAMPALA'!M71</f>
        <v>20</v>
      </c>
      <c r="N71" s="49">
        <f>'Avg Week KAMPALA-GULU'!N71+'Avg Week GULU-KAMPALA'!N71</f>
        <v>0</v>
      </c>
      <c r="O71" s="15">
        <f t="shared" si="0"/>
        <v>22</v>
      </c>
      <c r="P71" s="15">
        <f t="shared" si="1"/>
        <v>42</v>
      </c>
      <c r="R71" s="8"/>
      <c r="T71"/>
    </row>
    <row r="72" spans="2:20" ht="23.1" customHeight="1" x14ac:dyDescent="0.25">
      <c r="B72" s="23" t="s">
        <v>112</v>
      </c>
      <c r="C72" s="49">
        <f>'Avg Week KAMPALA-GULU'!C72+'Avg Week GULU-KAMPALA'!C72</f>
        <v>4</v>
      </c>
      <c r="D72" s="49">
        <f>'Avg Week KAMPALA-GULU'!D72+'Avg Week GULU-KAMPALA'!D72</f>
        <v>0</v>
      </c>
      <c r="E72" s="49">
        <f>'Avg Week KAMPALA-GULU'!E72+'Avg Week GULU-KAMPALA'!E72</f>
        <v>6</v>
      </c>
      <c r="F72" s="49">
        <f>'Avg Week KAMPALA-GULU'!F72+'Avg Week GULU-KAMPALA'!F72</f>
        <v>6</v>
      </c>
      <c r="G72" s="49">
        <f>'Avg Week KAMPALA-GULU'!G72+'Avg Week GULU-KAMPALA'!G72</f>
        <v>4</v>
      </c>
      <c r="H72" s="49">
        <f>'Avg Week KAMPALA-GULU'!H72+'Avg Week GULU-KAMPALA'!H72</f>
        <v>6</v>
      </c>
      <c r="I72" s="49">
        <f>'Avg Week KAMPALA-GULU'!I72+'Avg Week GULU-KAMPALA'!I72</f>
        <v>4</v>
      </c>
      <c r="J72" s="49">
        <f>'Avg Week KAMPALA-GULU'!J72+'Avg Week GULU-KAMPALA'!J72</f>
        <v>0</v>
      </c>
      <c r="K72" s="49">
        <f>'Avg Week KAMPALA-GULU'!K72+'Avg Week GULU-KAMPALA'!K72</f>
        <v>0</v>
      </c>
      <c r="L72" s="49">
        <f>'Avg Week KAMPALA-GULU'!L72+'Avg Week GULU-KAMPALA'!L72</f>
        <v>4</v>
      </c>
      <c r="M72" s="49">
        <f>'Avg Week KAMPALA-GULU'!M72+'Avg Week GULU-KAMPALA'!M72</f>
        <v>14</v>
      </c>
      <c r="N72" s="49">
        <f>'Avg Week KAMPALA-GULU'!N72+'Avg Week GULU-KAMPALA'!N72</f>
        <v>0</v>
      </c>
      <c r="O72" s="15">
        <f t="shared" si="0"/>
        <v>34</v>
      </c>
      <c r="P72" s="15">
        <f t="shared" si="1"/>
        <v>48</v>
      </c>
      <c r="R72" s="8"/>
      <c r="T72"/>
    </row>
    <row r="73" spans="2:20" ht="23.1" customHeight="1" x14ac:dyDescent="0.25">
      <c r="B73" s="23" t="s">
        <v>113</v>
      </c>
      <c r="C73" s="49">
        <f>'Avg Week KAMPALA-GULU'!C73+'Avg Week GULU-KAMPALA'!C73</f>
        <v>4</v>
      </c>
      <c r="D73" s="49">
        <f>'Avg Week KAMPALA-GULU'!D73+'Avg Week GULU-KAMPALA'!D73</f>
        <v>2</v>
      </c>
      <c r="E73" s="49">
        <f>'Avg Week KAMPALA-GULU'!E73+'Avg Week GULU-KAMPALA'!E73</f>
        <v>4</v>
      </c>
      <c r="F73" s="49">
        <f>'Avg Week KAMPALA-GULU'!F73+'Avg Week GULU-KAMPALA'!F73</f>
        <v>6</v>
      </c>
      <c r="G73" s="49">
        <f>'Avg Week KAMPALA-GULU'!G73+'Avg Week GULU-KAMPALA'!G73</f>
        <v>0</v>
      </c>
      <c r="H73" s="49">
        <f>'Avg Week KAMPALA-GULU'!H73+'Avg Week GULU-KAMPALA'!H73</f>
        <v>2</v>
      </c>
      <c r="I73" s="49">
        <f>'Avg Week KAMPALA-GULU'!I73+'Avg Week GULU-KAMPALA'!I73</f>
        <v>10</v>
      </c>
      <c r="J73" s="49">
        <f>'Avg Week KAMPALA-GULU'!J73+'Avg Week GULU-KAMPALA'!J73</f>
        <v>2</v>
      </c>
      <c r="K73" s="49">
        <f>'Avg Week KAMPALA-GULU'!K73+'Avg Week GULU-KAMPALA'!K73</f>
        <v>0</v>
      </c>
      <c r="L73" s="49">
        <f>'Avg Week KAMPALA-GULU'!L73+'Avg Week GULU-KAMPALA'!L73</f>
        <v>8</v>
      </c>
      <c r="M73" s="49">
        <f>'Avg Week KAMPALA-GULU'!M73+'Avg Week GULU-KAMPALA'!M73</f>
        <v>8</v>
      </c>
      <c r="N73" s="49">
        <f>'Avg Week KAMPALA-GULU'!N73+'Avg Week GULU-KAMPALA'!N73</f>
        <v>0</v>
      </c>
      <c r="O73" s="15">
        <f t="shared" si="0"/>
        <v>38</v>
      </c>
      <c r="P73" s="15">
        <f t="shared" si="1"/>
        <v>46</v>
      </c>
      <c r="R73" s="8"/>
      <c r="T73"/>
    </row>
    <row r="74" spans="2:20" ht="23.1" customHeight="1" x14ac:dyDescent="0.25">
      <c r="B74" s="23" t="s">
        <v>114</v>
      </c>
      <c r="C74" s="49">
        <f>'Avg Week KAMPALA-GULU'!C74+'Avg Week GULU-KAMPALA'!C74</f>
        <v>4</v>
      </c>
      <c r="D74" s="49">
        <f>'Avg Week KAMPALA-GULU'!D74+'Avg Week GULU-KAMPALA'!D74</f>
        <v>0</v>
      </c>
      <c r="E74" s="49">
        <f>'Avg Week KAMPALA-GULU'!E74+'Avg Week GULU-KAMPALA'!E74</f>
        <v>4</v>
      </c>
      <c r="F74" s="49">
        <f>'Avg Week KAMPALA-GULU'!F74+'Avg Week GULU-KAMPALA'!F74</f>
        <v>0</v>
      </c>
      <c r="G74" s="49">
        <f>'Avg Week KAMPALA-GULU'!G74+'Avg Week GULU-KAMPALA'!G74</f>
        <v>2</v>
      </c>
      <c r="H74" s="49">
        <f>'Avg Week KAMPALA-GULU'!H74+'Avg Week GULU-KAMPALA'!H74</f>
        <v>2</v>
      </c>
      <c r="I74" s="49">
        <f>'Avg Week KAMPALA-GULU'!I74+'Avg Week GULU-KAMPALA'!I74</f>
        <v>6</v>
      </c>
      <c r="J74" s="49">
        <f>'Avg Week KAMPALA-GULU'!J74+'Avg Week GULU-KAMPALA'!J74</f>
        <v>0</v>
      </c>
      <c r="K74" s="49">
        <f>'Avg Week KAMPALA-GULU'!K74+'Avg Week GULU-KAMPALA'!K74</f>
        <v>0</v>
      </c>
      <c r="L74" s="49">
        <f>'Avg Week KAMPALA-GULU'!L74+'Avg Week GULU-KAMPALA'!L74</f>
        <v>2</v>
      </c>
      <c r="M74" s="49">
        <f>'Avg Week KAMPALA-GULU'!M74+'Avg Week GULU-KAMPALA'!M74</f>
        <v>10</v>
      </c>
      <c r="N74" s="49">
        <f>'Avg Week KAMPALA-GULU'!N74+'Avg Week GULU-KAMPALA'!N74</f>
        <v>0</v>
      </c>
      <c r="O74" s="15">
        <f t="shared" ref="O74:O105" si="35">SUM(C74:L74,N74)</f>
        <v>20</v>
      </c>
      <c r="P74" s="15">
        <f t="shared" ref="P74:P105" si="36">SUM(C74:N74)</f>
        <v>30</v>
      </c>
      <c r="R74" s="8"/>
      <c r="T74"/>
    </row>
    <row r="75" spans="2:20" ht="23.1" customHeight="1" x14ac:dyDescent="0.25">
      <c r="B75" s="23" t="s">
        <v>115</v>
      </c>
      <c r="C75" s="49">
        <f>'Avg Week KAMPALA-GULU'!C75+'Avg Week GULU-KAMPALA'!C75</f>
        <v>2</v>
      </c>
      <c r="D75" s="49">
        <f>'Avg Week KAMPALA-GULU'!D75+'Avg Week GULU-KAMPALA'!D75</f>
        <v>0</v>
      </c>
      <c r="E75" s="49">
        <f>'Avg Week KAMPALA-GULU'!E75+'Avg Week GULU-KAMPALA'!E75</f>
        <v>2</v>
      </c>
      <c r="F75" s="49">
        <f>'Avg Week KAMPALA-GULU'!F75+'Avg Week GULU-KAMPALA'!F75</f>
        <v>2</v>
      </c>
      <c r="G75" s="49">
        <f>'Avg Week KAMPALA-GULU'!G75+'Avg Week GULU-KAMPALA'!G75</f>
        <v>2</v>
      </c>
      <c r="H75" s="49">
        <f>'Avg Week KAMPALA-GULU'!H75+'Avg Week GULU-KAMPALA'!H75</f>
        <v>0</v>
      </c>
      <c r="I75" s="49">
        <f>'Avg Week KAMPALA-GULU'!I75+'Avg Week GULU-KAMPALA'!I75</f>
        <v>6</v>
      </c>
      <c r="J75" s="49">
        <f>'Avg Week KAMPALA-GULU'!J75+'Avg Week GULU-KAMPALA'!J75</f>
        <v>0</v>
      </c>
      <c r="K75" s="49">
        <f>'Avg Week KAMPALA-GULU'!K75+'Avg Week GULU-KAMPALA'!K75</f>
        <v>0</v>
      </c>
      <c r="L75" s="49">
        <f>'Avg Week KAMPALA-GULU'!L75+'Avg Week GULU-KAMPALA'!L75</f>
        <v>0</v>
      </c>
      <c r="M75" s="49">
        <f>'Avg Week KAMPALA-GULU'!M75+'Avg Week GULU-KAMPALA'!M75</f>
        <v>8</v>
      </c>
      <c r="N75" s="49">
        <f>'Avg Week KAMPALA-GULU'!N75+'Avg Week GULU-KAMPALA'!N75</f>
        <v>0</v>
      </c>
      <c r="O75" s="15">
        <f t="shared" si="35"/>
        <v>14</v>
      </c>
      <c r="P75" s="15">
        <f t="shared" si="36"/>
        <v>22</v>
      </c>
      <c r="R75" s="8"/>
      <c r="T75"/>
    </row>
    <row r="76" spans="2:20" ht="23.1" customHeight="1" x14ac:dyDescent="0.25">
      <c r="B76" s="23" t="s">
        <v>116</v>
      </c>
      <c r="C76" s="49">
        <f>'Avg Week KAMPALA-GULU'!C76+'Avg Week GULU-KAMPALA'!C76</f>
        <v>4</v>
      </c>
      <c r="D76" s="49">
        <f>'Avg Week KAMPALA-GULU'!D76+'Avg Week GULU-KAMPALA'!D76</f>
        <v>0</v>
      </c>
      <c r="E76" s="49">
        <f>'Avg Week KAMPALA-GULU'!E76+'Avg Week GULU-KAMPALA'!E76</f>
        <v>0</v>
      </c>
      <c r="F76" s="49">
        <f>'Avg Week KAMPALA-GULU'!F76+'Avg Week GULU-KAMPALA'!F76</f>
        <v>2</v>
      </c>
      <c r="G76" s="49">
        <f>'Avg Week KAMPALA-GULU'!G76+'Avg Week GULU-KAMPALA'!G76</f>
        <v>4</v>
      </c>
      <c r="H76" s="49">
        <f>'Avg Week KAMPALA-GULU'!H76+'Avg Week GULU-KAMPALA'!H76</f>
        <v>6</v>
      </c>
      <c r="I76" s="49">
        <f>'Avg Week KAMPALA-GULU'!I76+'Avg Week GULU-KAMPALA'!I76</f>
        <v>4</v>
      </c>
      <c r="J76" s="49">
        <f>'Avg Week KAMPALA-GULU'!J76+'Avg Week GULU-KAMPALA'!J76</f>
        <v>0</v>
      </c>
      <c r="K76" s="49">
        <f>'Avg Week KAMPALA-GULU'!K76+'Avg Week GULU-KAMPALA'!K76</f>
        <v>0</v>
      </c>
      <c r="L76" s="49">
        <f>'Avg Week KAMPALA-GULU'!L76+'Avg Week GULU-KAMPALA'!L76</f>
        <v>4</v>
      </c>
      <c r="M76" s="49">
        <f>'Avg Week KAMPALA-GULU'!M76+'Avg Week GULU-KAMPALA'!M76</f>
        <v>6</v>
      </c>
      <c r="N76" s="49">
        <f>'Avg Week KAMPALA-GULU'!N76+'Avg Week GULU-KAMPALA'!N76</f>
        <v>0</v>
      </c>
      <c r="O76" s="15">
        <f t="shared" si="35"/>
        <v>24</v>
      </c>
      <c r="P76" s="15">
        <f t="shared" si="36"/>
        <v>30</v>
      </c>
      <c r="R76" s="8"/>
      <c r="T76"/>
    </row>
    <row r="77" spans="2:20" ht="23.1" customHeight="1" x14ac:dyDescent="0.25">
      <c r="B77" s="23" t="s">
        <v>117</v>
      </c>
      <c r="C77" s="49">
        <f>'Avg Week KAMPALA-GULU'!C77+'Avg Week GULU-KAMPALA'!C77</f>
        <v>4</v>
      </c>
      <c r="D77" s="49">
        <f>'Avg Week KAMPALA-GULU'!D77+'Avg Week GULU-KAMPALA'!D77</f>
        <v>0</v>
      </c>
      <c r="E77" s="49">
        <f>'Avg Week KAMPALA-GULU'!E77+'Avg Week GULU-KAMPALA'!E77</f>
        <v>2</v>
      </c>
      <c r="F77" s="49">
        <f>'Avg Week KAMPALA-GULU'!F77+'Avg Week GULU-KAMPALA'!F77</f>
        <v>0</v>
      </c>
      <c r="G77" s="49">
        <f>'Avg Week KAMPALA-GULU'!G77+'Avg Week GULU-KAMPALA'!G77</f>
        <v>0</v>
      </c>
      <c r="H77" s="49">
        <f>'Avg Week KAMPALA-GULU'!H77+'Avg Week GULU-KAMPALA'!H77</f>
        <v>2</v>
      </c>
      <c r="I77" s="49">
        <f>'Avg Week KAMPALA-GULU'!I77+'Avg Week GULU-KAMPALA'!I77</f>
        <v>4</v>
      </c>
      <c r="J77" s="49">
        <f>'Avg Week KAMPALA-GULU'!J77+'Avg Week GULU-KAMPALA'!J77</f>
        <v>2</v>
      </c>
      <c r="K77" s="49">
        <f>'Avg Week KAMPALA-GULU'!K77+'Avg Week GULU-KAMPALA'!K77</f>
        <v>0</v>
      </c>
      <c r="L77" s="49">
        <f>'Avg Week KAMPALA-GULU'!L77+'Avg Week GULU-KAMPALA'!L77</f>
        <v>8</v>
      </c>
      <c r="M77" s="49">
        <f>'Avg Week KAMPALA-GULU'!M77+'Avg Week GULU-KAMPALA'!M77</f>
        <v>8</v>
      </c>
      <c r="N77" s="49">
        <f>'Avg Week KAMPALA-GULU'!N77+'Avg Week GULU-KAMPALA'!N77</f>
        <v>0</v>
      </c>
      <c r="O77" s="15">
        <f t="shared" si="35"/>
        <v>22</v>
      </c>
      <c r="P77" s="15">
        <f t="shared" si="36"/>
        <v>30</v>
      </c>
      <c r="R77" s="8"/>
      <c r="T77"/>
    </row>
    <row r="78" spans="2:20" ht="23.1" customHeight="1" x14ac:dyDescent="0.25">
      <c r="B78" s="24" t="s">
        <v>118</v>
      </c>
      <c r="C78" s="49">
        <f>'Avg Week KAMPALA-GULU'!C78+'Avg Week GULU-KAMPALA'!C78</f>
        <v>0</v>
      </c>
      <c r="D78" s="49">
        <f>'Avg Week KAMPALA-GULU'!D78+'Avg Week GULU-KAMPALA'!D78</f>
        <v>0</v>
      </c>
      <c r="E78" s="49">
        <f>'Avg Week KAMPALA-GULU'!E78+'Avg Week GULU-KAMPALA'!E78</f>
        <v>0</v>
      </c>
      <c r="F78" s="49">
        <f>'Avg Week KAMPALA-GULU'!F78+'Avg Week GULU-KAMPALA'!F78</f>
        <v>2</v>
      </c>
      <c r="G78" s="49">
        <f>'Avg Week KAMPALA-GULU'!G78+'Avg Week GULU-KAMPALA'!G78</f>
        <v>2</v>
      </c>
      <c r="H78" s="49">
        <f>'Avg Week KAMPALA-GULU'!H78+'Avg Week GULU-KAMPALA'!H78</f>
        <v>2</v>
      </c>
      <c r="I78" s="49">
        <f>'Avg Week KAMPALA-GULU'!I78+'Avg Week GULU-KAMPALA'!I78</f>
        <v>0</v>
      </c>
      <c r="J78" s="49">
        <f>'Avg Week KAMPALA-GULU'!J78+'Avg Week GULU-KAMPALA'!J78</f>
        <v>0</v>
      </c>
      <c r="K78" s="49">
        <f>'Avg Week KAMPALA-GULU'!K78+'Avg Week GULU-KAMPALA'!K78</f>
        <v>0</v>
      </c>
      <c r="L78" s="49">
        <f>'Avg Week KAMPALA-GULU'!L78+'Avg Week GULU-KAMPALA'!L78</f>
        <v>2</v>
      </c>
      <c r="M78" s="49">
        <f>'Avg Week KAMPALA-GULU'!M78+'Avg Week GULU-KAMPALA'!M78</f>
        <v>6</v>
      </c>
      <c r="N78" s="49">
        <f>'Avg Week KAMPALA-GULU'!N78+'Avg Week GULU-KAMPALA'!N78</f>
        <v>0</v>
      </c>
      <c r="O78" s="15">
        <f t="shared" si="35"/>
        <v>8</v>
      </c>
      <c r="P78" s="15">
        <f t="shared" si="36"/>
        <v>14</v>
      </c>
      <c r="R78" s="8"/>
      <c r="T78"/>
    </row>
    <row r="79" spans="2:20" ht="23.1" customHeight="1" x14ac:dyDescent="0.25">
      <c r="B79" s="23" t="s">
        <v>119</v>
      </c>
      <c r="C79" s="49">
        <f>'Avg Week KAMPALA-GULU'!C79+'Avg Week GULU-KAMPALA'!C79</f>
        <v>2</v>
      </c>
      <c r="D79" s="49">
        <f>'Avg Week KAMPALA-GULU'!D79+'Avg Week GULU-KAMPALA'!D79</f>
        <v>0</v>
      </c>
      <c r="E79" s="49">
        <f>'Avg Week KAMPALA-GULU'!E79+'Avg Week GULU-KAMPALA'!E79</f>
        <v>4</v>
      </c>
      <c r="F79" s="49">
        <f>'Avg Week KAMPALA-GULU'!F79+'Avg Week GULU-KAMPALA'!F79</f>
        <v>0</v>
      </c>
      <c r="G79" s="49">
        <f>'Avg Week KAMPALA-GULU'!G79+'Avg Week GULU-KAMPALA'!G79</f>
        <v>2</v>
      </c>
      <c r="H79" s="49">
        <f>'Avg Week KAMPALA-GULU'!H79+'Avg Week GULU-KAMPALA'!H79</f>
        <v>0</v>
      </c>
      <c r="I79" s="49">
        <f>'Avg Week KAMPALA-GULU'!I79+'Avg Week GULU-KAMPALA'!I79</f>
        <v>2</v>
      </c>
      <c r="J79" s="49">
        <f>'Avg Week KAMPALA-GULU'!J79+'Avg Week GULU-KAMPALA'!J79</f>
        <v>0</v>
      </c>
      <c r="K79" s="49">
        <f>'Avg Week KAMPALA-GULU'!K79+'Avg Week GULU-KAMPALA'!K79</f>
        <v>0</v>
      </c>
      <c r="L79" s="49">
        <f>'Avg Week KAMPALA-GULU'!L79+'Avg Week GULU-KAMPALA'!L79</f>
        <v>0</v>
      </c>
      <c r="M79" s="49">
        <f>'Avg Week KAMPALA-GULU'!M79+'Avg Week GULU-KAMPALA'!M79</f>
        <v>8</v>
      </c>
      <c r="N79" s="49">
        <f>'Avg Week KAMPALA-GULU'!N79+'Avg Week GULU-KAMPALA'!N79</f>
        <v>0</v>
      </c>
      <c r="O79" s="15">
        <f t="shared" si="35"/>
        <v>10</v>
      </c>
      <c r="P79" s="15">
        <f t="shared" si="36"/>
        <v>18</v>
      </c>
      <c r="R79" s="8"/>
      <c r="T79"/>
    </row>
    <row r="80" spans="2:20" ht="23.1" customHeight="1" x14ac:dyDescent="0.25">
      <c r="B80" s="25" t="s">
        <v>120</v>
      </c>
      <c r="C80" s="49">
        <f>'Avg Week KAMPALA-GULU'!C80+'Avg Week GULU-KAMPALA'!C80</f>
        <v>2</v>
      </c>
      <c r="D80" s="49">
        <f>'Avg Week KAMPALA-GULU'!D80+'Avg Week GULU-KAMPALA'!D80</f>
        <v>2</v>
      </c>
      <c r="E80" s="49">
        <f>'Avg Week KAMPALA-GULU'!E80+'Avg Week GULU-KAMPALA'!E80</f>
        <v>0</v>
      </c>
      <c r="F80" s="49">
        <f>'Avg Week KAMPALA-GULU'!F80+'Avg Week GULU-KAMPALA'!F80</f>
        <v>2</v>
      </c>
      <c r="G80" s="49">
        <f>'Avg Week KAMPALA-GULU'!G80+'Avg Week GULU-KAMPALA'!G80</f>
        <v>4</v>
      </c>
      <c r="H80" s="49">
        <f>'Avg Week KAMPALA-GULU'!H80+'Avg Week GULU-KAMPALA'!H80</f>
        <v>4</v>
      </c>
      <c r="I80" s="49">
        <f>'Avg Week KAMPALA-GULU'!I80+'Avg Week GULU-KAMPALA'!I80</f>
        <v>4</v>
      </c>
      <c r="J80" s="49">
        <f>'Avg Week KAMPALA-GULU'!J80+'Avg Week GULU-KAMPALA'!J80</f>
        <v>0</v>
      </c>
      <c r="K80" s="49">
        <f>'Avg Week KAMPALA-GULU'!K80+'Avg Week GULU-KAMPALA'!K80</f>
        <v>0</v>
      </c>
      <c r="L80" s="49">
        <f>'Avg Week KAMPALA-GULU'!L80+'Avg Week GULU-KAMPALA'!L80</f>
        <v>4</v>
      </c>
      <c r="M80" s="49">
        <f>'Avg Week KAMPALA-GULU'!M80+'Avg Week GULU-KAMPALA'!M80</f>
        <v>4</v>
      </c>
      <c r="N80" s="49">
        <f>'Avg Week KAMPALA-GULU'!N80+'Avg Week GULU-KAMPALA'!N80</f>
        <v>0</v>
      </c>
      <c r="O80" s="15">
        <f t="shared" si="35"/>
        <v>22</v>
      </c>
      <c r="P80" s="15">
        <f t="shared" si="36"/>
        <v>26</v>
      </c>
      <c r="R80" s="8"/>
      <c r="T80"/>
    </row>
    <row r="81" spans="2:20" ht="23.1" customHeight="1" x14ac:dyDescent="0.25">
      <c r="B81" s="23" t="s">
        <v>121</v>
      </c>
      <c r="C81" s="49">
        <f>'Avg Week KAMPALA-GULU'!C81+'Avg Week GULU-KAMPALA'!C81</f>
        <v>4</v>
      </c>
      <c r="D81" s="49">
        <f>'Avg Week KAMPALA-GULU'!D81+'Avg Week GULU-KAMPALA'!D81</f>
        <v>4</v>
      </c>
      <c r="E81" s="49">
        <f>'Avg Week KAMPALA-GULU'!E81+'Avg Week GULU-KAMPALA'!E81</f>
        <v>2</v>
      </c>
      <c r="F81" s="49">
        <f>'Avg Week KAMPALA-GULU'!F81+'Avg Week GULU-KAMPALA'!F81</f>
        <v>0</v>
      </c>
      <c r="G81" s="49">
        <f>'Avg Week KAMPALA-GULU'!G81+'Avg Week GULU-KAMPALA'!G81</f>
        <v>0</v>
      </c>
      <c r="H81" s="49">
        <f>'Avg Week KAMPALA-GULU'!H81+'Avg Week GULU-KAMPALA'!H81</f>
        <v>2</v>
      </c>
      <c r="I81" s="49">
        <f>'Avg Week KAMPALA-GULU'!I81+'Avg Week GULU-KAMPALA'!I81</f>
        <v>4</v>
      </c>
      <c r="J81" s="49">
        <f>'Avg Week KAMPALA-GULU'!J81+'Avg Week GULU-KAMPALA'!J81</f>
        <v>2</v>
      </c>
      <c r="K81" s="49">
        <f>'Avg Week KAMPALA-GULU'!K81+'Avg Week GULU-KAMPALA'!K81</f>
        <v>0</v>
      </c>
      <c r="L81" s="49">
        <f>'Avg Week KAMPALA-GULU'!L81+'Avg Week GULU-KAMPALA'!L81</f>
        <v>8</v>
      </c>
      <c r="M81" s="49">
        <f>'Avg Week KAMPALA-GULU'!M81+'Avg Week GULU-KAMPALA'!M81</f>
        <v>8</v>
      </c>
      <c r="N81" s="49">
        <f>'Avg Week KAMPALA-GULU'!N81+'Avg Week GULU-KAMPALA'!N81</f>
        <v>0</v>
      </c>
      <c r="O81" s="15">
        <f t="shared" si="35"/>
        <v>26</v>
      </c>
      <c r="P81" s="15">
        <f t="shared" si="36"/>
        <v>34</v>
      </c>
      <c r="R81" s="8"/>
      <c r="T81"/>
    </row>
    <row r="82" spans="2:20" ht="23.1" customHeight="1" x14ac:dyDescent="0.25">
      <c r="B82" s="24" t="s">
        <v>122</v>
      </c>
      <c r="C82" s="49">
        <f>'Avg Week KAMPALA-GULU'!C82+'Avg Week GULU-KAMPALA'!C82</f>
        <v>0</v>
      </c>
      <c r="D82" s="49">
        <f>'Avg Week KAMPALA-GULU'!D82+'Avg Week GULU-KAMPALA'!D82</f>
        <v>0</v>
      </c>
      <c r="E82" s="49">
        <f>'Avg Week KAMPALA-GULU'!E82+'Avg Week GULU-KAMPALA'!E82</f>
        <v>0</v>
      </c>
      <c r="F82" s="49">
        <f>'Avg Week KAMPALA-GULU'!F82+'Avg Week GULU-KAMPALA'!F82</f>
        <v>2</v>
      </c>
      <c r="G82" s="49">
        <f>'Avg Week KAMPALA-GULU'!G82+'Avg Week GULU-KAMPALA'!G82</f>
        <v>2</v>
      </c>
      <c r="H82" s="49">
        <f>'Avg Week KAMPALA-GULU'!H82+'Avg Week GULU-KAMPALA'!H82</f>
        <v>2</v>
      </c>
      <c r="I82" s="49">
        <f>'Avg Week KAMPALA-GULU'!I82+'Avg Week GULU-KAMPALA'!I82</f>
        <v>0</v>
      </c>
      <c r="J82" s="49">
        <f>'Avg Week KAMPALA-GULU'!J82+'Avg Week GULU-KAMPALA'!J82</f>
        <v>0</v>
      </c>
      <c r="K82" s="49">
        <f>'Avg Week KAMPALA-GULU'!K82+'Avg Week GULU-KAMPALA'!K82</f>
        <v>0</v>
      </c>
      <c r="L82" s="49">
        <f>'Avg Week KAMPALA-GULU'!L82+'Avg Week GULU-KAMPALA'!L82</f>
        <v>2</v>
      </c>
      <c r="M82" s="49">
        <f>'Avg Week KAMPALA-GULU'!M82+'Avg Week GULU-KAMPALA'!M82</f>
        <v>4</v>
      </c>
      <c r="N82" s="49">
        <f>'Avg Week KAMPALA-GULU'!N82+'Avg Week GULU-KAMPALA'!N82</f>
        <v>0</v>
      </c>
      <c r="O82" s="15">
        <f t="shared" si="35"/>
        <v>8</v>
      </c>
      <c r="P82" s="15">
        <f t="shared" si="36"/>
        <v>12</v>
      </c>
      <c r="R82" s="8"/>
      <c r="T82"/>
    </row>
    <row r="83" spans="2:20" ht="23.1" customHeight="1" x14ac:dyDescent="0.25">
      <c r="B83" s="23" t="s">
        <v>123</v>
      </c>
      <c r="C83" s="49">
        <f>'Avg Week KAMPALA-GULU'!C83+'Avg Week GULU-KAMPALA'!C83</f>
        <v>2</v>
      </c>
      <c r="D83" s="49">
        <f>'Avg Week KAMPALA-GULU'!D83+'Avg Week GULU-KAMPALA'!D83</f>
        <v>2</v>
      </c>
      <c r="E83" s="49">
        <f>'Avg Week KAMPALA-GULU'!E83+'Avg Week GULU-KAMPALA'!E83</f>
        <v>4</v>
      </c>
      <c r="F83" s="49">
        <f>'Avg Week KAMPALA-GULU'!F83+'Avg Week GULU-KAMPALA'!F83</f>
        <v>0</v>
      </c>
      <c r="G83" s="49">
        <f>'Avg Week KAMPALA-GULU'!G83+'Avg Week GULU-KAMPALA'!G83</f>
        <v>2</v>
      </c>
      <c r="H83" s="49">
        <f>'Avg Week KAMPALA-GULU'!H83+'Avg Week GULU-KAMPALA'!H83</f>
        <v>0</v>
      </c>
      <c r="I83" s="49">
        <f>'Avg Week KAMPALA-GULU'!I83+'Avg Week GULU-KAMPALA'!I83</f>
        <v>2</v>
      </c>
      <c r="J83" s="49">
        <f>'Avg Week KAMPALA-GULU'!J83+'Avg Week GULU-KAMPALA'!J83</f>
        <v>0</v>
      </c>
      <c r="K83" s="49">
        <f>'Avg Week KAMPALA-GULU'!K83+'Avg Week GULU-KAMPALA'!K83</f>
        <v>0</v>
      </c>
      <c r="L83" s="49">
        <f>'Avg Week KAMPALA-GULU'!L83+'Avg Week GULU-KAMPALA'!L83</f>
        <v>0</v>
      </c>
      <c r="M83" s="49">
        <f>'Avg Week KAMPALA-GULU'!M83+'Avg Week GULU-KAMPALA'!M83</f>
        <v>2</v>
      </c>
      <c r="N83" s="49">
        <f>'Avg Week KAMPALA-GULU'!N83+'Avg Week GULU-KAMPALA'!N83</f>
        <v>0</v>
      </c>
      <c r="O83" s="15">
        <f t="shared" si="35"/>
        <v>12</v>
      </c>
      <c r="P83" s="15">
        <f t="shared" si="36"/>
        <v>14</v>
      </c>
      <c r="R83" s="8"/>
      <c r="T83"/>
    </row>
    <row r="84" spans="2:20" ht="23.1" customHeight="1" x14ac:dyDescent="0.25">
      <c r="B84" s="25" t="s">
        <v>124</v>
      </c>
      <c r="C84" s="49">
        <f>'Avg Week KAMPALA-GULU'!C84+'Avg Week GULU-KAMPALA'!C84</f>
        <v>2</v>
      </c>
      <c r="D84" s="49">
        <f>'Avg Week KAMPALA-GULU'!D84+'Avg Week GULU-KAMPALA'!D84</f>
        <v>0</v>
      </c>
      <c r="E84" s="49">
        <f>'Avg Week KAMPALA-GULU'!E84+'Avg Week GULU-KAMPALA'!E84</f>
        <v>0</v>
      </c>
      <c r="F84" s="49">
        <f>'Avg Week KAMPALA-GULU'!F84+'Avg Week GULU-KAMPALA'!F84</f>
        <v>2</v>
      </c>
      <c r="G84" s="49">
        <f>'Avg Week KAMPALA-GULU'!G84+'Avg Week GULU-KAMPALA'!G84</f>
        <v>0</v>
      </c>
      <c r="H84" s="49">
        <f>'Avg Week KAMPALA-GULU'!H84+'Avg Week GULU-KAMPALA'!H84</f>
        <v>0</v>
      </c>
      <c r="I84" s="49">
        <f>'Avg Week KAMPALA-GULU'!I84+'Avg Week GULU-KAMPALA'!I84</f>
        <v>2</v>
      </c>
      <c r="J84" s="49">
        <f>'Avg Week KAMPALA-GULU'!J84+'Avg Week GULU-KAMPALA'!J84</f>
        <v>0</v>
      </c>
      <c r="K84" s="49">
        <f>'Avg Week KAMPALA-GULU'!K84+'Avg Week GULU-KAMPALA'!K84</f>
        <v>0</v>
      </c>
      <c r="L84" s="49">
        <f>'Avg Week KAMPALA-GULU'!L84+'Avg Week GULU-KAMPALA'!L84</f>
        <v>2</v>
      </c>
      <c r="M84" s="49">
        <f>'Avg Week KAMPALA-GULU'!M84+'Avg Week GULU-KAMPALA'!M84</f>
        <v>4</v>
      </c>
      <c r="N84" s="49">
        <f>'Avg Week KAMPALA-GULU'!N84+'Avg Week GULU-KAMPALA'!N84</f>
        <v>0</v>
      </c>
      <c r="O84" s="15">
        <f t="shared" si="35"/>
        <v>8</v>
      </c>
      <c r="P84" s="15">
        <f t="shared" si="36"/>
        <v>12</v>
      </c>
      <c r="R84" s="8"/>
      <c r="T84"/>
    </row>
    <row r="85" spans="2:20" ht="23.1" customHeight="1" x14ac:dyDescent="0.25">
      <c r="B85" s="23" t="s">
        <v>125</v>
      </c>
      <c r="C85" s="49">
        <f>'Avg Week KAMPALA-GULU'!C85+'Avg Week GULU-KAMPALA'!C85</f>
        <v>4</v>
      </c>
      <c r="D85" s="49">
        <f>'Avg Week KAMPALA-GULU'!D85+'Avg Week GULU-KAMPALA'!D85</f>
        <v>0</v>
      </c>
      <c r="E85" s="49">
        <f>'Avg Week KAMPALA-GULU'!E85+'Avg Week GULU-KAMPALA'!E85</f>
        <v>2</v>
      </c>
      <c r="F85" s="49">
        <f>'Avg Week KAMPALA-GULU'!F85+'Avg Week GULU-KAMPALA'!F85</f>
        <v>0</v>
      </c>
      <c r="G85" s="49">
        <f>'Avg Week KAMPALA-GULU'!G85+'Avg Week GULU-KAMPALA'!G85</f>
        <v>0</v>
      </c>
      <c r="H85" s="49">
        <f>'Avg Week KAMPALA-GULU'!H85+'Avg Week GULU-KAMPALA'!H85</f>
        <v>2</v>
      </c>
      <c r="I85" s="49">
        <f>'Avg Week KAMPALA-GULU'!I85+'Avg Week GULU-KAMPALA'!I85</f>
        <v>4</v>
      </c>
      <c r="J85" s="49">
        <f>'Avg Week KAMPALA-GULU'!J85+'Avg Week GULU-KAMPALA'!J85</f>
        <v>2</v>
      </c>
      <c r="K85" s="49">
        <f>'Avg Week KAMPALA-GULU'!K85+'Avg Week GULU-KAMPALA'!K85</f>
        <v>0</v>
      </c>
      <c r="L85" s="49">
        <f>'Avg Week KAMPALA-GULU'!L85+'Avg Week GULU-KAMPALA'!L85</f>
        <v>2</v>
      </c>
      <c r="M85" s="49">
        <f>'Avg Week KAMPALA-GULU'!M85+'Avg Week GULU-KAMPALA'!M85</f>
        <v>0</v>
      </c>
      <c r="N85" s="49">
        <f>'Avg Week KAMPALA-GULU'!N85+'Avg Week GULU-KAMPALA'!N85</f>
        <v>0</v>
      </c>
      <c r="O85" s="15">
        <f t="shared" si="35"/>
        <v>16</v>
      </c>
      <c r="P85" s="15">
        <f t="shared" si="36"/>
        <v>16</v>
      </c>
      <c r="R85" s="8"/>
      <c r="T85"/>
    </row>
    <row r="86" spans="2:20" ht="23.1" customHeight="1" x14ac:dyDescent="0.25">
      <c r="B86" s="24" t="s">
        <v>126</v>
      </c>
      <c r="C86" s="49">
        <f>'Avg Week KAMPALA-GULU'!C86+'Avg Week GULU-KAMPALA'!C86</f>
        <v>0</v>
      </c>
      <c r="D86" s="49">
        <f>'Avg Week KAMPALA-GULU'!D86+'Avg Week GULU-KAMPALA'!D86</f>
        <v>0</v>
      </c>
      <c r="E86" s="49">
        <f>'Avg Week KAMPALA-GULU'!E86+'Avg Week GULU-KAMPALA'!E86</f>
        <v>0</v>
      </c>
      <c r="F86" s="49">
        <f>'Avg Week KAMPALA-GULU'!F86+'Avg Week GULU-KAMPALA'!F86</f>
        <v>2</v>
      </c>
      <c r="G86" s="49">
        <f>'Avg Week KAMPALA-GULU'!G86+'Avg Week GULU-KAMPALA'!G86</f>
        <v>2</v>
      </c>
      <c r="H86" s="49">
        <f>'Avg Week KAMPALA-GULU'!H86+'Avg Week GULU-KAMPALA'!H86</f>
        <v>2</v>
      </c>
      <c r="I86" s="49">
        <f>'Avg Week KAMPALA-GULU'!I86+'Avg Week GULU-KAMPALA'!I86</f>
        <v>0</v>
      </c>
      <c r="J86" s="49">
        <f>'Avg Week KAMPALA-GULU'!J86+'Avg Week GULU-KAMPALA'!J86</f>
        <v>0</v>
      </c>
      <c r="K86" s="49">
        <f>'Avg Week KAMPALA-GULU'!K86+'Avg Week GULU-KAMPALA'!K86</f>
        <v>2</v>
      </c>
      <c r="L86" s="49">
        <f>'Avg Week KAMPALA-GULU'!L86+'Avg Week GULU-KAMPALA'!L86</f>
        <v>2</v>
      </c>
      <c r="M86" s="49">
        <f>'Avg Week KAMPALA-GULU'!M86+'Avg Week GULU-KAMPALA'!M86</f>
        <v>2</v>
      </c>
      <c r="N86" s="49">
        <f>'Avg Week KAMPALA-GULU'!N86+'Avg Week GULU-KAMPALA'!N86</f>
        <v>0</v>
      </c>
      <c r="O86" s="15">
        <f t="shared" si="35"/>
        <v>10</v>
      </c>
      <c r="P86" s="15">
        <f t="shared" si="36"/>
        <v>12</v>
      </c>
      <c r="R86" s="8"/>
      <c r="T86"/>
    </row>
    <row r="87" spans="2:20" ht="23.1" customHeight="1" x14ac:dyDescent="0.25">
      <c r="B87" s="23" t="s">
        <v>127</v>
      </c>
      <c r="C87" s="49">
        <f>'Avg Week KAMPALA-GULU'!C87+'Avg Week GULU-KAMPALA'!C87</f>
        <v>2</v>
      </c>
      <c r="D87" s="49">
        <f>'Avg Week KAMPALA-GULU'!D87+'Avg Week GULU-KAMPALA'!D87</f>
        <v>0</v>
      </c>
      <c r="E87" s="49">
        <f>'Avg Week KAMPALA-GULU'!E87+'Avg Week GULU-KAMPALA'!E87</f>
        <v>2</v>
      </c>
      <c r="F87" s="49">
        <f>'Avg Week KAMPALA-GULU'!F87+'Avg Week GULU-KAMPALA'!F87</f>
        <v>0</v>
      </c>
      <c r="G87" s="49">
        <f>'Avg Week KAMPALA-GULU'!G87+'Avg Week GULU-KAMPALA'!G87</f>
        <v>2</v>
      </c>
      <c r="H87" s="49">
        <f>'Avg Week KAMPALA-GULU'!H87+'Avg Week GULU-KAMPALA'!H87</f>
        <v>0</v>
      </c>
      <c r="I87" s="49">
        <f>'Avg Week KAMPALA-GULU'!I87+'Avg Week GULU-KAMPALA'!I87</f>
        <v>2</v>
      </c>
      <c r="J87" s="49">
        <f>'Avg Week KAMPALA-GULU'!J87+'Avg Week GULU-KAMPALA'!J87</f>
        <v>0</v>
      </c>
      <c r="K87" s="49">
        <f>'Avg Week KAMPALA-GULU'!K87+'Avg Week GULU-KAMPALA'!K87</f>
        <v>0</v>
      </c>
      <c r="L87" s="49">
        <f>'Avg Week KAMPALA-GULU'!L87+'Avg Week GULU-KAMPALA'!L87</f>
        <v>0</v>
      </c>
      <c r="M87" s="49">
        <f>'Avg Week KAMPALA-GULU'!M87+'Avg Week GULU-KAMPALA'!M87</f>
        <v>2</v>
      </c>
      <c r="N87" s="49">
        <f>'Avg Week KAMPALA-GULU'!N87+'Avg Week GULU-KAMPALA'!N87</f>
        <v>0</v>
      </c>
      <c r="O87" s="15">
        <f t="shared" si="35"/>
        <v>8</v>
      </c>
      <c r="P87" s="15">
        <f t="shared" si="36"/>
        <v>10</v>
      </c>
      <c r="R87" s="8"/>
      <c r="T87"/>
    </row>
    <row r="88" spans="2:20" ht="23.1" customHeight="1" x14ac:dyDescent="0.25">
      <c r="B88" s="25" t="s">
        <v>128</v>
      </c>
      <c r="C88" s="49">
        <f>'Avg Week KAMPALA-GULU'!C88+'Avg Week GULU-KAMPALA'!C88</f>
        <v>2</v>
      </c>
      <c r="D88" s="49">
        <f>'Avg Week KAMPALA-GULU'!D88+'Avg Week GULU-KAMPALA'!D88</f>
        <v>0</v>
      </c>
      <c r="E88" s="49">
        <f>'Avg Week KAMPALA-GULU'!E88+'Avg Week GULU-KAMPALA'!E88</f>
        <v>0</v>
      </c>
      <c r="F88" s="49">
        <f>'Avg Week KAMPALA-GULU'!F88+'Avg Week GULU-KAMPALA'!F88</f>
        <v>2</v>
      </c>
      <c r="G88" s="49">
        <f>'Avg Week KAMPALA-GULU'!G88+'Avg Week GULU-KAMPALA'!G88</f>
        <v>0</v>
      </c>
      <c r="H88" s="49">
        <f>'Avg Week KAMPALA-GULU'!H88+'Avg Week GULU-KAMPALA'!H88</f>
        <v>0</v>
      </c>
      <c r="I88" s="49">
        <f>'Avg Week KAMPALA-GULU'!I88+'Avg Week GULU-KAMPALA'!I88</f>
        <v>2</v>
      </c>
      <c r="J88" s="49">
        <f>'Avg Week KAMPALA-GULU'!J88+'Avg Week GULU-KAMPALA'!J88</f>
        <v>0</v>
      </c>
      <c r="K88" s="49">
        <f>'Avg Week KAMPALA-GULU'!K88+'Avg Week GULU-KAMPALA'!K88</f>
        <v>0</v>
      </c>
      <c r="L88" s="49">
        <f>'Avg Week KAMPALA-GULU'!L88+'Avg Week GULU-KAMPALA'!L88</f>
        <v>0</v>
      </c>
      <c r="M88" s="49">
        <f>'Avg Week KAMPALA-GULU'!M88+'Avg Week GULU-KAMPALA'!M88</f>
        <v>0</v>
      </c>
      <c r="N88" s="49">
        <f>'Avg Week KAMPALA-GULU'!N88+'Avg Week GULU-KAMPALA'!N88</f>
        <v>0</v>
      </c>
      <c r="O88" s="15">
        <f t="shared" si="35"/>
        <v>6</v>
      </c>
      <c r="P88" s="15">
        <f t="shared" si="36"/>
        <v>6</v>
      </c>
      <c r="R88" s="8"/>
      <c r="T88"/>
    </row>
    <row r="89" spans="2:20" ht="23.1" customHeight="1" x14ac:dyDescent="0.25">
      <c r="B89" s="23" t="s">
        <v>129</v>
      </c>
      <c r="C89" s="49">
        <f>'Avg Week KAMPALA-GULU'!C89+'Avg Week GULU-KAMPALA'!C89</f>
        <v>0</v>
      </c>
      <c r="D89" s="49">
        <f>'Avg Week KAMPALA-GULU'!D89+'Avg Week GULU-KAMPALA'!D89</f>
        <v>0</v>
      </c>
      <c r="E89" s="49">
        <f>'Avg Week KAMPALA-GULU'!E89+'Avg Week GULU-KAMPALA'!E89</f>
        <v>2</v>
      </c>
      <c r="F89" s="49">
        <f>'Avg Week KAMPALA-GULU'!F89+'Avg Week GULU-KAMPALA'!F89</f>
        <v>0</v>
      </c>
      <c r="G89" s="49">
        <f>'Avg Week KAMPALA-GULU'!G89+'Avg Week GULU-KAMPALA'!G89</f>
        <v>0</v>
      </c>
      <c r="H89" s="49">
        <f>'Avg Week KAMPALA-GULU'!H89+'Avg Week GULU-KAMPALA'!H89</f>
        <v>2</v>
      </c>
      <c r="I89" s="49">
        <f>'Avg Week KAMPALA-GULU'!I89+'Avg Week GULU-KAMPALA'!I89</f>
        <v>4</v>
      </c>
      <c r="J89" s="49">
        <f>'Avg Week KAMPALA-GULU'!J89+'Avg Week GULU-KAMPALA'!J89</f>
        <v>2</v>
      </c>
      <c r="K89" s="49">
        <f>'Avg Week KAMPALA-GULU'!K89+'Avg Week GULU-KAMPALA'!K89</f>
        <v>0</v>
      </c>
      <c r="L89" s="49">
        <f>'Avg Week KAMPALA-GULU'!L89+'Avg Week GULU-KAMPALA'!L89</f>
        <v>0</v>
      </c>
      <c r="M89" s="49">
        <f>'Avg Week KAMPALA-GULU'!M89+'Avg Week GULU-KAMPALA'!M89</f>
        <v>0</v>
      </c>
      <c r="N89" s="49">
        <f>'Avg Week KAMPALA-GULU'!N89+'Avg Week GULU-KAMPALA'!N89</f>
        <v>0</v>
      </c>
      <c r="O89" s="15">
        <f t="shared" si="35"/>
        <v>10</v>
      </c>
      <c r="P89" s="15">
        <f t="shared" si="36"/>
        <v>10</v>
      </c>
      <c r="R89" s="8"/>
      <c r="T89"/>
    </row>
    <row r="90" spans="2:20" ht="23.1" customHeight="1" x14ac:dyDescent="0.25">
      <c r="B90" s="24" t="s">
        <v>130</v>
      </c>
      <c r="C90" s="49">
        <f>'Avg Week KAMPALA-GULU'!C90+'Avg Week GULU-KAMPALA'!C90</f>
        <v>0</v>
      </c>
      <c r="D90" s="49">
        <f>'Avg Week KAMPALA-GULU'!D90+'Avg Week GULU-KAMPALA'!D90</f>
        <v>2</v>
      </c>
      <c r="E90" s="49">
        <f>'Avg Week KAMPALA-GULU'!E90+'Avg Week GULU-KAMPALA'!E90</f>
        <v>0</v>
      </c>
      <c r="F90" s="49">
        <f>'Avg Week KAMPALA-GULU'!F90+'Avg Week GULU-KAMPALA'!F90</f>
        <v>2</v>
      </c>
      <c r="G90" s="49">
        <f>'Avg Week KAMPALA-GULU'!G90+'Avg Week GULU-KAMPALA'!G90</f>
        <v>2</v>
      </c>
      <c r="H90" s="49">
        <f>'Avg Week KAMPALA-GULU'!H90+'Avg Week GULU-KAMPALA'!H90</f>
        <v>2</v>
      </c>
      <c r="I90" s="49">
        <f>'Avg Week KAMPALA-GULU'!I90+'Avg Week GULU-KAMPALA'!I90</f>
        <v>0</v>
      </c>
      <c r="J90" s="49">
        <f>'Avg Week KAMPALA-GULU'!J90+'Avg Week GULU-KAMPALA'!J90</f>
        <v>0</v>
      </c>
      <c r="K90" s="49">
        <f>'Avg Week KAMPALA-GULU'!K90+'Avg Week GULU-KAMPALA'!K90</f>
        <v>0</v>
      </c>
      <c r="L90" s="49">
        <f>'Avg Week KAMPALA-GULU'!L90+'Avg Week GULU-KAMPALA'!L90</f>
        <v>0</v>
      </c>
      <c r="M90" s="49">
        <f>'Avg Week KAMPALA-GULU'!M90+'Avg Week GULU-KAMPALA'!M90</f>
        <v>0</v>
      </c>
      <c r="N90" s="49">
        <f>'Avg Week KAMPALA-GULU'!N90+'Avg Week GULU-KAMPALA'!N90</f>
        <v>0</v>
      </c>
      <c r="O90" s="15">
        <f t="shared" si="35"/>
        <v>8</v>
      </c>
      <c r="P90" s="15">
        <f t="shared" si="36"/>
        <v>8</v>
      </c>
      <c r="R90" s="8"/>
      <c r="T90"/>
    </row>
    <row r="91" spans="2:20" ht="23.1" customHeight="1" x14ac:dyDescent="0.25">
      <c r="B91" s="23" t="s">
        <v>131</v>
      </c>
      <c r="C91" s="49">
        <f>'Avg Week KAMPALA-GULU'!C91+'Avg Week GULU-KAMPALA'!C91</f>
        <v>0</v>
      </c>
      <c r="D91" s="49">
        <f>'Avg Week KAMPALA-GULU'!D91+'Avg Week GULU-KAMPALA'!D91</f>
        <v>0</v>
      </c>
      <c r="E91" s="49">
        <f>'Avg Week KAMPALA-GULU'!E91+'Avg Week GULU-KAMPALA'!E91</f>
        <v>2</v>
      </c>
      <c r="F91" s="49">
        <f>'Avg Week KAMPALA-GULU'!F91+'Avg Week GULU-KAMPALA'!F91</f>
        <v>0</v>
      </c>
      <c r="G91" s="49">
        <f>'Avg Week KAMPALA-GULU'!G91+'Avg Week GULU-KAMPALA'!G91</f>
        <v>2</v>
      </c>
      <c r="H91" s="49">
        <f>'Avg Week KAMPALA-GULU'!H91+'Avg Week GULU-KAMPALA'!H91</f>
        <v>0</v>
      </c>
      <c r="I91" s="49">
        <f>'Avg Week KAMPALA-GULU'!I91+'Avg Week GULU-KAMPALA'!I91</f>
        <v>2</v>
      </c>
      <c r="J91" s="49">
        <f>'Avg Week KAMPALA-GULU'!J91+'Avg Week GULU-KAMPALA'!J91</f>
        <v>0</v>
      </c>
      <c r="K91" s="49">
        <f>'Avg Week KAMPALA-GULU'!K91+'Avg Week GULU-KAMPALA'!K91</f>
        <v>0</v>
      </c>
      <c r="L91" s="49">
        <f>'Avg Week KAMPALA-GULU'!L91+'Avg Week GULU-KAMPALA'!L91</f>
        <v>0</v>
      </c>
      <c r="M91" s="49">
        <f>'Avg Week KAMPALA-GULU'!M91+'Avg Week GULU-KAMPALA'!M91</f>
        <v>2</v>
      </c>
      <c r="N91" s="49">
        <f>'Avg Week KAMPALA-GULU'!N91+'Avg Week GULU-KAMPALA'!N91</f>
        <v>0</v>
      </c>
      <c r="O91" s="15">
        <f t="shared" si="35"/>
        <v>6</v>
      </c>
      <c r="P91" s="15">
        <f t="shared" si="36"/>
        <v>8</v>
      </c>
      <c r="R91" s="8"/>
      <c r="T91"/>
    </row>
    <row r="92" spans="2:20" ht="23.1" customHeight="1" x14ac:dyDescent="0.25">
      <c r="B92" s="25" t="s">
        <v>132</v>
      </c>
      <c r="C92" s="49">
        <f>'Avg Week KAMPALA-GULU'!C92+'Avg Week GULU-KAMPALA'!C92</f>
        <v>2</v>
      </c>
      <c r="D92" s="49">
        <f>'Avg Week KAMPALA-GULU'!D92+'Avg Week GULU-KAMPALA'!D92</f>
        <v>0</v>
      </c>
      <c r="E92" s="49">
        <f>'Avg Week KAMPALA-GULU'!E92+'Avg Week GULU-KAMPALA'!E92</f>
        <v>0</v>
      </c>
      <c r="F92" s="49">
        <f>'Avg Week KAMPALA-GULU'!F92+'Avg Week GULU-KAMPALA'!F92</f>
        <v>2</v>
      </c>
      <c r="G92" s="49">
        <f>'Avg Week KAMPALA-GULU'!G92+'Avg Week GULU-KAMPALA'!G92</f>
        <v>0</v>
      </c>
      <c r="H92" s="49">
        <f>'Avg Week KAMPALA-GULU'!H92+'Avg Week GULU-KAMPALA'!H92</f>
        <v>0</v>
      </c>
      <c r="I92" s="49">
        <f>'Avg Week KAMPALA-GULU'!I92+'Avg Week GULU-KAMPALA'!I92</f>
        <v>2</v>
      </c>
      <c r="J92" s="49">
        <f>'Avg Week KAMPALA-GULU'!J92+'Avg Week GULU-KAMPALA'!J92</f>
        <v>0</v>
      </c>
      <c r="K92" s="49">
        <f>'Avg Week KAMPALA-GULU'!K92+'Avg Week GULU-KAMPALA'!K92</f>
        <v>0</v>
      </c>
      <c r="L92" s="49">
        <f>'Avg Week KAMPALA-GULU'!L92+'Avg Week GULU-KAMPALA'!L92</f>
        <v>0</v>
      </c>
      <c r="M92" s="49">
        <f>'Avg Week KAMPALA-GULU'!M92+'Avg Week GULU-KAMPALA'!M92</f>
        <v>4</v>
      </c>
      <c r="N92" s="49">
        <f>'Avg Week KAMPALA-GULU'!N92+'Avg Week GULU-KAMPALA'!N92</f>
        <v>0</v>
      </c>
      <c r="O92" s="15">
        <f t="shared" si="35"/>
        <v>6</v>
      </c>
      <c r="P92" s="15">
        <f t="shared" si="36"/>
        <v>10</v>
      </c>
      <c r="R92" s="8"/>
      <c r="T92"/>
    </row>
    <row r="93" spans="2:20" ht="23.1" customHeight="1" x14ac:dyDescent="0.25">
      <c r="B93" s="23" t="s">
        <v>133</v>
      </c>
      <c r="C93" s="49">
        <f>'Avg Week KAMPALA-GULU'!C93+'Avg Week GULU-KAMPALA'!C93</f>
        <v>0</v>
      </c>
      <c r="D93" s="49">
        <f>'Avg Week KAMPALA-GULU'!D93+'Avg Week GULU-KAMPALA'!D93</f>
        <v>0</v>
      </c>
      <c r="E93" s="49">
        <f>'Avg Week KAMPALA-GULU'!E93+'Avg Week GULU-KAMPALA'!E93</f>
        <v>0</v>
      </c>
      <c r="F93" s="49">
        <f>'Avg Week KAMPALA-GULU'!F93+'Avg Week GULU-KAMPALA'!F93</f>
        <v>0</v>
      </c>
      <c r="G93" s="49">
        <f>'Avg Week KAMPALA-GULU'!G93+'Avg Week GULU-KAMPALA'!G93</f>
        <v>0</v>
      </c>
      <c r="H93" s="49">
        <f>'Avg Week KAMPALA-GULU'!H93+'Avg Week GULU-KAMPALA'!H93</f>
        <v>2</v>
      </c>
      <c r="I93" s="49">
        <f>'Avg Week KAMPALA-GULU'!I93+'Avg Week GULU-KAMPALA'!I93</f>
        <v>4</v>
      </c>
      <c r="J93" s="49">
        <f>'Avg Week KAMPALA-GULU'!J93+'Avg Week GULU-KAMPALA'!J93</f>
        <v>2</v>
      </c>
      <c r="K93" s="49">
        <f>'Avg Week KAMPALA-GULU'!K93+'Avg Week GULU-KAMPALA'!K93</f>
        <v>0</v>
      </c>
      <c r="L93" s="49">
        <f>'Avg Week KAMPALA-GULU'!L93+'Avg Week GULU-KAMPALA'!L93</f>
        <v>0</v>
      </c>
      <c r="M93" s="49">
        <f>'Avg Week KAMPALA-GULU'!M93+'Avg Week GULU-KAMPALA'!M93</f>
        <v>0</v>
      </c>
      <c r="N93" s="49">
        <f>'Avg Week KAMPALA-GULU'!N93+'Avg Week GULU-KAMPALA'!N93</f>
        <v>0</v>
      </c>
      <c r="O93" s="15">
        <f t="shared" si="35"/>
        <v>8</v>
      </c>
      <c r="P93" s="15">
        <f t="shared" si="36"/>
        <v>8</v>
      </c>
      <c r="R93" s="8"/>
      <c r="T93"/>
    </row>
    <row r="94" spans="2:20" ht="23.1" customHeight="1" x14ac:dyDescent="0.25">
      <c r="B94" s="24" t="s">
        <v>134</v>
      </c>
      <c r="C94" s="49">
        <f>'Avg Week KAMPALA-GULU'!C94+'Avg Week GULU-KAMPALA'!C94</f>
        <v>0</v>
      </c>
      <c r="D94" s="49">
        <f>'Avg Week KAMPALA-GULU'!D94+'Avg Week GULU-KAMPALA'!D94</f>
        <v>0</v>
      </c>
      <c r="E94" s="49">
        <f>'Avg Week KAMPALA-GULU'!E94+'Avg Week GULU-KAMPALA'!E94</f>
        <v>0</v>
      </c>
      <c r="F94" s="49">
        <f>'Avg Week KAMPALA-GULU'!F94+'Avg Week GULU-KAMPALA'!F94</f>
        <v>2</v>
      </c>
      <c r="G94" s="49">
        <f>'Avg Week KAMPALA-GULU'!G94+'Avg Week GULU-KAMPALA'!G94</f>
        <v>0</v>
      </c>
      <c r="H94" s="49">
        <f>'Avg Week KAMPALA-GULU'!H94+'Avg Week GULU-KAMPALA'!H94</f>
        <v>1.5</v>
      </c>
      <c r="I94" s="49">
        <f>'Avg Week KAMPALA-GULU'!I94+'Avg Week GULU-KAMPALA'!I94</f>
        <v>0</v>
      </c>
      <c r="J94" s="49">
        <f>'Avg Week KAMPALA-GULU'!J94+'Avg Week GULU-KAMPALA'!J94</f>
        <v>0</v>
      </c>
      <c r="K94" s="49">
        <f>'Avg Week KAMPALA-GULU'!K94+'Avg Week GULU-KAMPALA'!K94</f>
        <v>0</v>
      </c>
      <c r="L94" s="49">
        <f>'Avg Week KAMPALA-GULU'!L94+'Avg Week GULU-KAMPALA'!L94</f>
        <v>0</v>
      </c>
      <c r="M94" s="49">
        <f>'Avg Week KAMPALA-GULU'!M94+'Avg Week GULU-KAMPALA'!M94</f>
        <v>0</v>
      </c>
      <c r="N94" s="49">
        <f>'Avg Week KAMPALA-GULU'!N94+'Avg Week GULU-KAMPALA'!N94</f>
        <v>0</v>
      </c>
      <c r="O94" s="15">
        <f t="shared" si="35"/>
        <v>3.5</v>
      </c>
      <c r="P94" s="15">
        <f t="shared" si="36"/>
        <v>3.5</v>
      </c>
      <c r="R94" s="8"/>
      <c r="T94"/>
    </row>
    <row r="95" spans="2:20" ht="23.1" customHeight="1" x14ac:dyDescent="0.25">
      <c r="B95" s="23" t="s">
        <v>135</v>
      </c>
      <c r="C95" s="49">
        <f>'Avg Week KAMPALA-GULU'!C95+'Avg Week GULU-KAMPALA'!C95</f>
        <v>0</v>
      </c>
      <c r="D95" s="49">
        <f>'Avg Week KAMPALA-GULU'!D95+'Avg Week GULU-KAMPALA'!D95</f>
        <v>0</v>
      </c>
      <c r="E95" s="49">
        <f>'Avg Week KAMPALA-GULU'!E95+'Avg Week GULU-KAMPALA'!E95</f>
        <v>0</v>
      </c>
      <c r="F95" s="49">
        <f>'Avg Week KAMPALA-GULU'!F95+'Avg Week GULU-KAMPALA'!F95</f>
        <v>0</v>
      </c>
      <c r="G95" s="49">
        <f>'Avg Week KAMPALA-GULU'!G95+'Avg Week GULU-KAMPALA'!G95</f>
        <v>0</v>
      </c>
      <c r="H95" s="49">
        <f>'Avg Week KAMPALA-GULU'!H95+'Avg Week GULU-KAMPALA'!H95</f>
        <v>0</v>
      </c>
      <c r="I95" s="49">
        <f>'Avg Week KAMPALA-GULU'!I95+'Avg Week GULU-KAMPALA'!I95</f>
        <v>2</v>
      </c>
      <c r="J95" s="49">
        <f>'Avg Week KAMPALA-GULU'!J95+'Avg Week GULU-KAMPALA'!J95</f>
        <v>0</v>
      </c>
      <c r="K95" s="49">
        <f>'Avg Week KAMPALA-GULU'!K95+'Avg Week GULU-KAMPALA'!K95</f>
        <v>0</v>
      </c>
      <c r="L95" s="49">
        <f>'Avg Week KAMPALA-GULU'!L95+'Avg Week GULU-KAMPALA'!L95</f>
        <v>0</v>
      </c>
      <c r="M95" s="49">
        <f>'Avg Week KAMPALA-GULU'!M95+'Avg Week GULU-KAMPALA'!M95</f>
        <v>0</v>
      </c>
      <c r="N95" s="49">
        <f>'Avg Week KAMPALA-GULU'!N95+'Avg Week GULU-KAMPALA'!N95</f>
        <v>0</v>
      </c>
      <c r="O95" s="15">
        <f t="shared" si="35"/>
        <v>2</v>
      </c>
      <c r="P95" s="15">
        <f t="shared" si="36"/>
        <v>2</v>
      </c>
      <c r="R95" s="8"/>
      <c r="T95"/>
    </row>
    <row r="96" spans="2:20" ht="23.1" customHeight="1" x14ac:dyDescent="0.25">
      <c r="B96" s="25" t="s">
        <v>136</v>
      </c>
      <c r="C96" s="49">
        <f>'Avg Week KAMPALA-GULU'!C96+'Avg Week GULU-KAMPALA'!C96</f>
        <v>2</v>
      </c>
      <c r="D96" s="49">
        <f>'Avg Week KAMPALA-GULU'!D96+'Avg Week GULU-KAMPALA'!D96</f>
        <v>0</v>
      </c>
      <c r="E96" s="49">
        <f>'Avg Week KAMPALA-GULU'!E96+'Avg Week GULU-KAMPALA'!E96</f>
        <v>0</v>
      </c>
      <c r="F96" s="49">
        <f>'Avg Week KAMPALA-GULU'!F96+'Avg Week GULU-KAMPALA'!F96</f>
        <v>2</v>
      </c>
      <c r="G96" s="49">
        <f>'Avg Week KAMPALA-GULU'!G96+'Avg Week GULU-KAMPALA'!G96</f>
        <v>0</v>
      </c>
      <c r="H96" s="49">
        <f>'Avg Week KAMPALA-GULU'!H96+'Avg Week GULU-KAMPALA'!H96</f>
        <v>0</v>
      </c>
      <c r="I96" s="49">
        <f>'Avg Week KAMPALA-GULU'!I96+'Avg Week GULU-KAMPALA'!I96</f>
        <v>2</v>
      </c>
      <c r="J96" s="49">
        <f>'Avg Week KAMPALA-GULU'!J96+'Avg Week GULU-KAMPALA'!J96</f>
        <v>0</v>
      </c>
      <c r="K96" s="49">
        <f>'Avg Week KAMPALA-GULU'!K96+'Avg Week GULU-KAMPALA'!K96</f>
        <v>0</v>
      </c>
      <c r="L96" s="49">
        <f>'Avg Week KAMPALA-GULU'!L96+'Avg Week GULU-KAMPALA'!L96</f>
        <v>0</v>
      </c>
      <c r="M96" s="49">
        <f>'Avg Week KAMPALA-GULU'!M96+'Avg Week GULU-KAMPALA'!M96</f>
        <v>0</v>
      </c>
      <c r="N96" s="49">
        <f>'Avg Week KAMPALA-GULU'!N96+'Avg Week GULU-KAMPALA'!N96</f>
        <v>0</v>
      </c>
      <c r="O96" s="15">
        <f t="shared" si="35"/>
        <v>6</v>
      </c>
      <c r="P96" s="15">
        <f t="shared" si="36"/>
        <v>6</v>
      </c>
      <c r="R96" s="8"/>
      <c r="T96"/>
    </row>
    <row r="97" spans="2:20" ht="23.1" customHeight="1" x14ac:dyDescent="0.25">
      <c r="B97" s="23" t="s">
        <v>137</v>
      </c>
      <c r="C97" s="49">
        <f>'Avg Week KAMPALA-GULU'!C97+'Avg Week GULU-KAMPALA'!C97</f>
        <v>0</v>
      </c>
      <c r="D97" s="49">
        <f>'Avg Week KAMPALA-GULU'!D97+'Avg Week GULU-KAMPALA'!D97</f>
        <v>0</v>
      </c>
      <c r="E97" s="49">
        <f>'Avg Week KAMPALA-GULU'!E97+'Avg Week GULU-KAMPALA'!E97</f>
        <v>0</v>
      </c>
      <c r="F97" s="49">
        <f>'Avg Week KAMPALA-GULU'!F97+'Avg Week GULU-KAMPALA'!F97</f>
        <v>2</v>
      </c>
      <c r="G97" s="49">
        <f>'Avg Week KAMPALA-GULU'!G97+'Avg Week GULU-KAMPALA'!G97</f>
        <v>2</v>
      </c>
      <c r="H97" s="49">
        <f>'Avg Week KAMPALA-GULU'!H97+'Avg Week GULU-KAMPALA'!H97</f>
        <v>2</v>
      </c>
      <c r="I97" s="49">
        <f>'Avg Week KAMPALA-GULU'!I97+'Avg Week GULU-KAMPALA'!I97</f>
        <v>0</v>
      </c>
      <c r="J97" s="49">
        <f>'Avg Week KAMPALA-GULU'!J97+'Avg Week GULU-KAMPALA'!J97</f>
        <v>0</v>
      </c>
      <c r="K97" s="49">
        <f>'Avg Week KAMPALA-GULU'!K97+'Avg Week GULU-KAMPALA'!K97</f>
        <v>0</v>
      </c>
      <c r="L97" s="49">
        <f>'Avg Week KAMPALA-GULU'!L97+'Avg Week GULU-KAMPALA'!L97</f>
        <v>2</v>
      </c>
      <c r="M97" s="49">
        <f>'Avg Week KAMPALA-GULU'!M97+'Avg Week GULU-KAMPALA'!M97</f>
        <v>4</v>
      </c>
      <c r="N97" s="49">
        <f>'Avg Week KAMPALA-GULU'!N97+'Avg Week GULU-KAMPALA'!N97</f>
        <v>0</v>
      </c>
      <c r="O97" s="15">
        <f t="shared" si="35"/>
        <v>8</v>
      </c>
      <c r="P97" s="15">
        <f t="shared" si="36"/>
        <v>12</v>
      </c>
      <c r="R97" s="8"/>
      <c r="T97"/>
    </row>
    <row r="98" spans="2:20" ht="23.1" customHeight="1" x14ac:dyDescent="0.25">
      <c r="B98" s="24" t="s">
        <v>138</v>
      </c>
      <c r="C98" s="49">
        <f>'Avg Week KAMPALA-GULU'!C98+'Avg Week GULU-KAMPALA'!C98</f>
        <v>2</v>
      </c>
      <c r="D98" s="49">
        <f>'Avg Week KAMPALA-GULU'!D98+'Avg Week GULU-KAMPALA'!D98</f>
        <v>0</v>
      </c>
      <c r="E98" s="49">
        <f>'Avg Week KAMPALA-GULU'!E98+'Avg Week GULU-KAMPALA'!E98</f>
        <v>3.5</v>
      </c>
      <c r="F98" s="49">
        <f>'Avg Week KAMPALA-GULU'!F98+'Avg Week GULU-KAMPALA'!F98</f>
        <v>0</v>
      </c>
      <c r="G98" s="49">
        <f>'Avg Week KAMPALA-GULU'!G98+'Avg Week GULU-KAMPALA'!G98</f>
        <v>2</v>
      </c>
      <c r="H98" s="49">
        <f>'Avg Week KAMPALA-GULU'!H98+'Avg Week GULU-KAMPALA'!H98</f>
        <v>0</v>
      </c>
      <c r="I98" s="49">
        <f>'Avg Week KAMPALA-GULU'!I98+'Avg Week GULU-KAMPALA'!I98</f>
        <v>2</v>
      </c>
      <c r="J98" s="49">
        <f>'Avg Week KAMPALA-GULU'!J98+'Avg Week GULU-KAMPALA'!J98</f>
        <v>0</v>
      </c>
      <c r="K98" s="49">
        <f>'Avg Week KAMPALA-GULU'!K98+'Avg Week GULU-KAMPALA'!K98</f>
        <v>0</v>
      </c>
      <c r="L98" s="49">
        <f>'Avg Week KAMPALA-GULU'!L98+'Avg Week GULU-KAMPALA'!L98</f>
        <v>0</v>
      </c>
      <c r="M98" s="49">
        <f>'Avg Week KAMPALA-GULU'!M98+'Avg Week GULU-KAMPALA'!M98</f>
        <v>2</v>
      </c>
      <c r="N98" s="49">
        <f>'Avg Week KAMPALA-GULU'!N98+'Avg Week GULU-KAMPALA'!N98</f>
        <v>0</v>
      </c>
      <c r="O98" s="15">
        <f t="shared" si="35"/>
        <v>9.5</v>
      </c>
      <c r="P98" s="15">
        <f t="shared" si="36"/>
        <v>11.5</v>
      </c>
      <c r="R98" s="8"/>
      <c r="T98"/>
    </row>
    <row r="99" spans="2:20" ht="23.1" customHeight="1" x14ac:dyDescent="0.25">
      <c r="B99" s="23" t="s">
        <v>139</v>
      </c>
      <c r="C99" s="49">
        <f>'Avg Week KAMPALA-GULU'!C99+'Avg Week GULU-KAMPALA'!C99</f>
        <v>4</v>
      </c>
      <c r="D99" s="49">
        <f>'Avg Week KAMPALA-GULU'!D99+'Avg Week GULU-KAMPALA'!D99</f>
        <v>0</v>
      </c>
      <c r="E99" s="49">
        <f>'Avg Week KAMPALA-GULU'!E99+'Avg Week GULU-KAMPALA'!E99</f>
        <v>0</v>
      </c>
      <c r="F99" s="49">
        <f>'Avg Week KAMPALA-GULU'!F99+'Avg Week GULU-KAMPALA'!F99</f>
        <v>2</v>
      </c>
      <c r="G99" s="49">
        <f>'Avg Week KAMPALA-GULU'!G99+'Avg Week GULU-KAMPALA'!G99</f>
        <v>0</v>
      </c>
      <c r="H99" s="49">
        <f>'Avg Week KAMPALA-GULU'!H99+'Avg Week GULU-KAMPALA'!H99</f>
        <v>0</v>
      </c>
      <c r="I99" s="49">
        <f>'Avg Week KAMPALA-GULU'!I99+'Avg Week GULU-KAMPALA'!I99</f>
        <v>0</v>
      </c>
      <c r="J99" s="49">
        <f>'Avg Week KAMPALA-GULU'!J99+'Avg Week GULU-KAMPALA'!J99</f>
        <v>0</v>
      </c>
      <c r="K99" s="49">
        <f>'Avg Week KAMPALA-GULU'!K99+'Avg Week GULU-KAMPALA'!K99</f>
        <v>0</v>
      </c>
      <c r="L99" s="49">
        <f>'Avg Week KAMPALA-GULU'!L99+'Avg Week GULU-KAMPALA'!L99</f>
        <v>2</v>
      </c>
      <c r="M99" s="49">
        <f>'Avg Week KAMPALA-GULU'!M99+'Avg Week GULU-KAMPALA'!M99</f>
        <v>2</v>
      </c>
      <c r="N99" s="49">
        <f>'Avg Week KAMPALA-GULU'!N99+'Avg Week GULU-KAMPALA'!N99</f>
        <v>0</v>
      </c>
      <c r="O99" s="15">
        <f t="shared" si="35"/>
        <v>8</v>
      </c>
      <c r="P99" s="15">
        <f t="shared" si="36"/>
        <v>10</v>
      </c>
      <c r="R99" s="8"/>
      <c r="T99"/>
    </row>
    <row r="100" spans="2:20" ht="23.1" customHeight="1" x14ac:dyDescent="0.25">
      <c r="B100" s="25" t="s">
        <v>140</v>
      </c>
      <c r="C100" s="49">
        <f>'Avg Week KAMPALA-GULU'!C100+'Avg Week GULU-KAMPALA'!C100</f>
        <v>4</v>
      </c>
      <c r="D100" s="49">
        <f>'Avg Week KAMPALA-GULU'!D100+'Avg Week GULU-KAMPALA'!D100</f>
        <v>2</v>
      </c>
      <c r="E100" s="49">
        <f>'Avg Week KAMPALA-GULU'!E100+'Avg Week GULU-KAMPALA'!E100</f>
        <v>2</v>
      </c>
      <c r="F100" s="49">
        <f>'Avg Week KAMPALA-GULU'!F100+'Avg Week GULU-KAMPALA'!F100</f>
        <v>0</v>
      </c>
      <c r="G100" s="49">
        <f>'Avg Week KAMPALA-GULU'!G100+'Avg Week GULU-KAMPALA'!G100</f>
        <v>0</v>
      </c>
      <c r="H100" s="49">
        <f>'Avg Week KAMPALA-GULU'!H100+'Avg Week GULU-KAMPALA'!H100</f>
        <v>2</v>
      </c>
      <c r="I100" s="49">
        <f>'Avg Week KAMPALA-GULU'!I100+'Avg Week GULU-KAMPALA'!I100</f>
        <v>4</v>
      </c>
      <c r="J100" s="49">
        <f>'Avg Week KAMPALA-GULU'!J100+'Avg Week GULU-KAMPALA'!J100</f>
        <v>2</v>
      </c>
      <c r="K100" s="49">
        <f>'Avg Week KAMPALA-GULU'!K100+'Avg Week GULU-KAMPALA'!K100</f>
        <v>0</v>
      </c>
      <c r="L100" s="49">
        <f>'Avg Week KAMPALA-GULU'!L100+'Avg Week GULU-KAMPALA'!L100</f>
        <v>2</v>
      </c>
      <c r="M100" s="49">
        <f>'Avg Week KAMPALA-GULU'!M100+'Avg Week GULU-KAMPALA'!M100</f>
        <v>0</v>
      </c>
      <c r="N100" s="49">
        <f>'Avg Week KAMPALA-GULU'!N100+'Avg Week GULU-KAMPALA'!N100</f>
        <v>0</v>
      </c>
      <c r="O100" s="15">
        <f t="shared" si="35"/>
        <v>18</v>
      </c>
      <c r="P100" s="15">
        <f t="shared" si="36"/>
        <v>18</v>
      </c>
      <c r="R100" s="8"/>
      <c r="T100"/>
    </row>
    <row r="101" spans="2:20" ht="23.1" customHeight="1" x14ac:dyDescent="0.25">
      <c r="B101" s="23" t="s">
        <v>141</v>
      </c>
      <c r="C101" s="49">
        <f>'Avg Week KAMPALA-GULU'!C101+'Avg Week GULU-KAMPALA'!C101</f>
        <v>6</v>
      </c>
      <c r="D101" s="49">
        <f>'Avg Week KAMPALA-GULU'!D101+'Avg Week GULU-KAMPALA'!D101</f>
        <v>0</v>
      </c>
      <c r="E101" s="49">
        <f>'Avg Week KAMPALA-GULU'!E101+'Avg Week GULU-KAMPALA'!E101</f>
        <v>0</v>
      </c>
      <c r="F101" s="49">
        <f>'Avg Week KAMPALA-GULU'!F101+'Avg Week GULU-KAMPALA'!F101</f>
        <v>2</v>
      </c>
      <c r="G101" s="49">
        <f>'Avg Week KAMPALA-GULU'!G101+'Avg Week GULU-KAMPALA'!G101</f>
        <v>2</v>
      </c>
      <c r="H101" s="49">
        <f>'Avg Week KAMPALA-GULU'!H101+'Avg Week GULU-KAMPALA'!H101</f>
        <v>2</v>
      </c>
      <c r="I101" s="49">
        <f>'Avg Week KAMPALA-GULU'!I101+'Avg Week GULU-KAMPALA'!I101</f>
        <v>0</v>
      </c>
      <c r="J101" s="49">
        <f>'Avg Week KAMPALA-GULU'!J101+'Avg Week GULU-KAMPALA'!J101</f>
        <v>0</v>
      </c>
      <c r="K101" s="49">
        <f>'Avg Week KAMPALA-GULU'!K101+'Avg Week GULU-KAMPALA'!K101</f>
        <v>0</v>
      </c>
      <c r="L101" s="49">
        <f>'Avg Week KAMPALA-GULU'!L101+'Avg Week GULU-KAMPALA'!L101</f>
        <v>2</v>
      </c>
      <c r="M101" s="49">
        <f>'Avg Week KAMPALA-GULU'!M101+'Avg Week GULU-KAMPALA'!M101</f>
        <v>4</v>
      </c>
      <c r="N101" s="49">
        <f>'Avg Week KAMPALA-GULU'!N101+'Avg Week GULU-KAMPALA'!N101</f>
        <v>0</v>
      </c>
      <c r="O101" s="15">
        <f t="shared" si="35"/>
        <v>14</v>
      </c>
      <c r="P101" s="15">
        <f t="shared" si="36"/>
        <v>18</v>
      </c>
      <c r="R101" s="8"/>
      <c r="T101"/>
    </row>
    <row r="102" spans="2:20" ht="23.1" customHeight="1" x14ac:dyDescent="0.25">
      <c r="B102" s="24" t="s">
        <v>142</v>
      </c>
      <c r="C102" s="49">
        <f>'Avg Week KAMPALA-GULU'!C102+'Avg Week GULU-KAMPALA'!C102</f>
        <v>8</v>
      </c>
      <c r="D102" s="49">
        <f>'Avg Week KAMPALA-GULU'!D102+'Avg Week GULU-KAMPALA'!D102</f>
        <v>0</v>
      </c>
      <c r="E102" s="49">
        <f>'Avg Week KAMPALA-GULU'!E102+'Avg Week GULU-KAMPALA'!E102</f>
        <v>3.5</v>
      </c>
      <c r="F102" s="49">
        <f>'Avg Week KAMPALA-GULU'!F102+'Avg Week GULU-KAMPALA'!F102</f>
        <v>0</v>
      </c>
      <c r="G102" s="49">
        <f>'Avg Week KAMPALA-GULU'!G102+'Avg Week GULU-KAMPALA'!G102</f>
        <v>2</v>
      </c>
      <c r="H102" s="49">
        <f>'Avg Week KAMPALA-GULU'!H102+'Avg Week GULU-KAMPALA'!H102</f>
        <v>0</v>
      </c>
      <c r="I102" s="49">
        <f>'Avg Week KAMPALA-GULU'!I102+'Avg Week GULU-KAMPALA'!I102</f>
        <v>2</v>
      </c>
      <c r="J102" s="49">
        <f>'Avg Week KAMPALA-GULU'!J102+'Avg Week GULU-KAMPALA'!J102</f>
        <v>0</v>
      </c>
      <c r="K102" s="49">
        <f>'Avg Week KAMPALA-GULU'!K102+'Avg Week GULU-KAMPALA'!K102</f>
        <v>0</v>
      </c>
      <c r="L102" s="49">
        <f>'Avg Week KAMPALA-GULU'!L102+'Avg Week GULU-KAMPALA'!L102</f>
        <v>0</v>
      </c>
      <c r="M102" s="49">
        <f>'Avg Week KAMPALA-GULU'!M102+'Avg Week GULU-KAMPALA'!M102</f>
        <v>6</v>
      </c>
      <c r="N102" s="49">
        <f>'Avg Week KAMPALA-GULU'!N102+'Avg Week GULU-KAMPALA'!N102</f>
        <v>0</v>
      </c>
      <c r="O102" s="15">
        <f t="shared" si="35"/>
        <v>15.5</v>
      </c>
      <c r="P102" s="15">
        <f t="shared" si="36"/>
        <v>21.5</v>
      </c>
      <c r="R102" s="8"/>
      <c r="T102"/>
    </row>
    <row r="103" spans="2:20" ht="23.1" customHeight="1" x14ac:dyDescent="0.25">
      <c r="B103" s="23" t="s">
        <v>143</v>
      </c>
      <c r="C103" s="49">
        <f>'Avg Week KAMPALA-GULU'!C103+'Avg Week GULU-KAMPALA'!C103</f>
        <v>8.5</v>
      </c>
      <c r="D103" s="49">
        <f>'Avg Week KAMPALA-GULU'!D103+'Avg Week GULU-KAMPALA'!D103</f>
        <v>3.5</v>
      </c>
      <c r="E103" s="49">
        <f>'Avg Week KAMPALA-GULU'!E103+'Avg Week GULU-KAMPALA'!E103</f>
        <v>0</v>
      </c>
      <c r="F103" s="49">
        <f>'Avg Week KAMPALA-GULU'!F103+'Avg Week GULU-KAMPALA'!F103</f>
        <v>3</v>
      </c>
      <c r="G103" s="49">
        <f>'Avg Week KAMPALA-GULU'!G103+'Avg Week GULU-KAMPALA'!G103</f>
        <v>0</v>
      </c>
      <c r="H103" s="49">
        <f>'Avg Week KAMPALA-GULU'!H103+'Avg Week GULU-KAMPALA'!H103</f>
        <v>0</v>
      </c>
      <c r="I103" s="49">
        <f>'Avg Week KAMPALA-GULU'!I103+'Avg Week GULU-KAMPALA'!I103</f>
        <v>0</v>
      </c>
      <c r="J103" s="49">
        <f>'Avg Week KAMPALA-GULU'!J103+'Avg Week GULU-KAMPALA'!J103</f>
        <v>0</v>
      </c>
      <c r="K103" s="49">
        <f>'Avg Week KAMPALA-GULU'!K103+'Avg Week GULU-KAMPALA'!K103</f>
        <v>0</v>
      </c>
      <c r="L103" s="49">
        <f>'Avg Week KAMPALA-GULU'!L103+'Avg Week GULU-KAMPALA'!L103</f>
        <v>2</v>
      </c>
      <c r="M103" s="49">
        <v>10</v>
      </c>
      <c r="N103" s="49">
        <f>'Avg Week KAMPALA-GULU'!N103+'Avg Week GULU-KAMPALA'!N103</f>
        <v>0</v>
      </c>
      <c r="O103" s="15">
        <f t="shared" si="35"/>
        <v>17</v>
      </c>
      <c r="P103" s="15">
        <f t="shared" si="36"/>
        <v>27</v>
      </c>
      <c r="R103" s="8"/>
      <c r="T103"/>
    </row>
    <row r="104" spans="2:20" ht="23.1" customHeight="1" x14ac:dyDescent="0.25">
      <c r="B104" s="25" t="s">
        <v>144</v>
      </c>
      <c r="C104" s="49">
        <f>'Avg Week KAMPALA-GULU'!C104+'Avg Week GULU-KAMPALA'!C104</f>
        <v>10</v>
      </c>
      <c r="D104" s="49">
        <f>'Avg Week KAMPALA-GULU'!D104+'Avg Week GULU-KAMPALA'!D104</f>
        <v>6</v>
      </c>
      <c r="E104" s="49">
        <f>'Avg Week KAMPALA-GULU'!E104+'Avg Week GULU-KAMPALA'!E104</f>
        <v>4</v>
      </c>
      <c r="F104" s="49">
        <f>'Avg Week KAMPALA-GULU'!F104+'Avg Week GULU-KAMPALA'!F104</f>
        <v>6.5</v>
      </c>
      <c r="G104" s="49">
        <f>'Avg Week KAMPALA-GULU'!G104+'Avg Week GULU-KAMPALA'!G104</f>
        <v>1</v>
      </c>
      <c r="H104" s="49">
        <f>'Avg Week KAMPALA-GULU'!H104+'Avg Week GULU-KAMPALA'!H104</f>
        <v>2</v>
      </c>
      <c r="I104" s="49">
        <f>'Avg Week KAMPALA-GULU'!I104+'Avg Week GULU-KAMPALA'!I104</f>
        <v>5.5</v>
      </c>
      <c r="J104" s="49">
        <f>'Avg Week KAMPALA-GULU'!J104+'Avg Week GULU-KAMPALA'!J104</f>
        <v>2</v>
      </c>
      <c r="K104" s="49">
        <f>'Avg Week KAMPALA-GULU'!K104+'Avg Week GULU-KAMPALA'!K104</f>
        <v>2</v>
      </c>
      <c r="L104" s="49">
        <f>'Avg Week KAMPALA-GULU'!L104+'Avg Week GULU-KAMPALA'!L104</f>
        <v>2</v>
      </c>
      <c r="M104" s="49">
        <f>'Avg Week KAMPALA-GULU'!M104+'Avg Week GULU-KAMPALA'!M104</f>
        <v>15</v>
      </c>
      <c r="N104" s="49">
        <f>'Avg Week KAMPALA-GULU'!N104+'Avg Week GULU-KAMPALA'!N104</f>
        <v>0</v>
      </c>
      <c r="O104" s="15">
        <f t="shared" si="35"/>
        <v>41</v>
      </c>
      <c r="P104" s="15">
        <f t="shared" si="36"/>
        <v>56</v>
      </c>
      <c r="R104" s="8"/>
      <c r="T104"/>
    </row>
    <row r="105" spans="2:20" ht="23.1" customHeight="1" x14ac:dyDescent="0.25">
      <c r="B105" s="23" t="s">
        <v>145</v>
      </c>
      <c r="C105" s="49">
        <f>'Avg Week KAMPALA-GULU'!C105+'Avg Week GULU-KAMPALA'!C105</f>
        <v>22</v>
      </c>
      <c r="D105" s="49">
        <f>'Avg Week KAMPALA-GULU'!D105+'Avg Week GULU-KAMPALA'!D105</f>
        <v>6.5</v>
      </c>
      <c r="E105" s="49">
        <f>'Avg Week KAMPALA-GULU'!E105+'Avg Week GULU-KAMPALA'!E105</f>
        <v>8</v>
      </c>
      <c r="F105" s="49">
        <f>'Avg Week KAMPALA-GULU'!F105+'Avg Week GULU-KAMPALA'!F105</f>
        <v>11</v>
      </c>
      <c r="G105" s="49">
        <f>'Avg Week KAMPALA-GULU'!G105+'Avg Week GULU-KAMPALA'!G105</f>
        <v>2</v>
      </c>
      <c r="H105" s="49">
        <f>'Avg Week KAMPALA-GULU'!H105+'Avg Week GULU-KAMPALA'!H105</f>
        <v>0</v>
      </c>
      <c r="I105" s="49">
        <f>'Avg Week KAMPALA-GULU'!I105+'Avg Week GULU-KAMPALA'!I105</f>
        <v>8</v>
      </c>
      <c r="J105" s="49">
        <f>'Avg Week KAMPALA-GULU'!J105+'Avg Week GULU-KAMPALA'!J105</f>
        <v>2.5</v>
      </c>
      <c r="K105" s="49">
        <f>'Avg Week KAMPALA-GULU'!K105+'Avg Week GULU-KAMPALA'!K105</f>
        <v>2</v>
      </c>
      <c r="L105" s="49">
        <f>'Avg Week KAMPALA-GULU'!L105+'Avg Week GULU-KAMPALA'!L105</f>
        <v>0</v>
      </c>
      <c r="M105" s="49">
        <f>'Avg Week KAMPALA-GULU'!M105+'Avg Week GULU-KAMPALA'!M105</f>
        <v>26.5</v>
      </c>
      <c r="N105" s="49">
        <f>'Avg Week KAMPALA-GULU'!N105+'Avg Week GULU-KAMPALA'!N105</f>
        <v>0</v>
      </c>
      <c r="O105" s="15">
        <f t="shared" si="35"/>
        <v>62</v>
      </c>
      <c r="P105" s="15">
        <f t="shared" si="36"/>
        <v>88.5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1092.1428571428571</v>
      </c>
      <c r="D106" s="16">
        <f t="shared" ref="D106:P106" si="37">SUM(D10:D105)</f>
        <v>92.714285714285722</v>
      </c>
      <c r="E106" s="16">
        <f t="shared" si="37"/>
        <v>1601.4285714285711</v>
      </c>
      <c r="F106" s="16">
        <f t="shared" si="37"/>
        <v>1571.9285714285718</v>
      </c>
      <c r="G106" s="16">
        <f t="shared" si="37"/>
        <v>76.857142857142847</v>
      </c>
      <c r="H106" s="16">
        <f t="shared" si="37"/>
        <v>170.92857142857139</v>
      </c>
      <c r="I106" s="16">
        <f t="shared" si="37"/>
        <v>885.78571428571422</v>
      </c>
      <c r="J106" s="16">
        <f t="shared" si="37"/>
        <v>126.21428571428572</v>
      </c>
      <c r="K106" s="16">
        <f t="shared" si="37"/>
        <v>36.285714285714292</v>
      </c>
      <c r="L106" s="16">
        <f t="shared" si="37"/>
        <v>262.57142857142856</v>
      </c>
      <c r="M106" s="16">
        <f t="shared" si="37"/>
        <v>7339.2142857142844</v>
      </c>
      <c r="N106" s="16">
        <f t="shared" si="37"/>
        <v>1.8571428571428572</v>
      </c>
      <c r="O106" s="16">
        <f t="shared" si="37"/>
        <v>5918.7142857142853</v>
      </c>
      <c r="P106" s="16">
        <f t="shared" si="37"/>
        <v>13257.928571428572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8.2376583284395857E-2</v>
      </c>
      <c r="D107" s="43">
        <f t="shared" si="38"/>
        <v>6.9931200198264116E-3</v>
      </c>
      <c r="E107" s="43">
        <f t="shared" si="38"/>
        <v>0.1207902548879107</v>
      </c>
      <c r="F107" s="43">
        <f t="shared" si="38"/>
        <v>0.11856517124523872</v>
      </c>
      <c r="G107" s="43">
        <f t="shared" si="38"/>
        <v>5.7970702167436184E-3</v>
      </c>
      <c r="H107" s="43">
        <f t="shared" si="38"/>
        <v>1.2892554859356392E-2</v>
      </c>
      <c r="I107" s="43">
        <f t="shared" si="38"/>
        <v>6.6811773009142761E-2</v>
      </c>
      <c r="J107" s="43">
        <f t="shared" si="38"/>
        <v>9.5199099191319476E-3</v>
      </c>
      <c r="K107" s="43">
        <f t="shared" si="38"/>
        <v>2.7369067566038654E-3</v>
      </c>
      <c r="L107" s="43">
        <f t="shared" si="38"/>
        <v>1.9804860703298833E-2</v>
      </c>
      <c r="M107" s="43">
        <f t="shared" si="38"/>
        <v>0.55357171719348519</v>
      </c>
      <c r="N107" s="43">
        <f t="shared" si="38"/>
        <v>1.4007790486555215E-4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0.18452366585407062</v>
      </c>
      <c r="D108" s="44">
        <f t="shared" ref="D108:N108" si="39">D106/$O$106</f>
        <v>1.5664598971784415E-2</v>
      </c>
      <c r="E108" s="44">
        <f t="shared" si="39"/>
        <v>0.27057034587627621</v>
      </c>
      <c r="F108" s="44">
        <f t="shared" si="39"/>
        <v>0.26558615529434487</v>
      </c>
      <c r="G108" s="44">
        <f t="shared" si="39"/>
        <v>1.2985445680770437E-2</v>
      </c>
      <c r="H108" s="44">
        <f t="shared" si="39"/>
        <v>2.8879341555839825E-2</v>
      </c>
      <c r="I108" s="44">
        <f t="shared" si="39"/>
        <v>0.14965846829668605</v>
      </c>
      <c r="J108" s="44">
        <f t="shared" si="39"/>
        <v>2.1324612005503129E-2</v>
      </c>
      <c r="K108" s="44">
        <f t="shared" si="39"/>
        <v>6.1306750983563044E-3</v>
      </c>
      <c r="L108" s="44">
        <f t="shared" si="39"/>
        <v>4.4362916656609783E-2</v>
      </c>
      <c r="M108" s="44"/>
      <c r="N108" s="44">
        <f t="shared" si="39"/>
        <v>3.137747097583935E-4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20.8 Kampala-Luweero</vt:lpstr>
      <vt:lpstr>20.8 Luwero-Kampala</vt:lpstr>
      <vt:lpstr>21.8 Kampala-Luweero</vt:lpstr>
      <vt:lpstr>21.8 Luweero-Kampala</vt:lpstr>
      <vt:lpstr>22.8 Kampala-Luweero</vt:lpstr>
      <vt:lpstr> 22.8 Luweero-Kampala</vt:lpstr>
      <vt:lpstr>23.8 Kampala-Luweero</vt:lpstr>
      <vt:lpstr>23.Luweero-Kamplaa</vt:lpstr>
      <vt:lpstr>24.8 Luweero-Kampala</vt:lpstr>
      <vt:lpstr>24.8 Kampala-Luweero</vt:lpstr>
      <vt:lpstr>25.8 Kampala-Luweero 24Hrs</vt:lpstr>
      <vt:lpstr>25.8 Luwero-Kampala-24 HRS</vt:lpstr>
      <vt:lpstr>26.8 Kampala-Luweero</vt:lpstr>
      <vt:lpstr>26.8 Luweero-Kampala</vt:lpstr>
      <vt:lpstr>Avg Week KAMPALA-GULU</vt:lpstr>
      <vt:lpstr>Avg Week GULU-KAMPALA</vt:lpstr>
      <vt:lpstr>Avg Week KAMPALA-GULU-2Dir</vt:lpstr>
      <vt:lpstr>' 22.8 Luweero-Kampala'!Print_Area</vt:lpstr>
      <vt:lpstr>'20.8 Kampala-Luweero'!Print_Area</vt:lpstr>
      <vt:lpstr>'20.8 Luwero-Kampala'!Print_Area</vt:lpstr>
      <vt:lpstr>'21.8 Kampala-Luweero'!Print_Area</vt:lpstr>
      <vt:lpstr>'21.8 Luweero-Kampala'!Print_Area</vt:lpstr>
      <vt:lpstr>'22.8 Kampala-Luweero'!Print_Area</vt:lpstr>
      <vt:lpstr>'23.8 Kampala-Luweero'!Print_Area</vt:lpstr>
      <vt:lpstr>'23.Luweero-Kamplaa'!Print_Area</vt:lpstr>
      <vt:lpstr>'24.8 Kampala-Luweero'!Print_Area</vt:lpstr>
      <vt:lpstr>'24.8 Luweero-Kampala'!Print_Area</vt:lpstr>
      <vt:lpstr>'25.8 Kampala-Luweero 24Hrs'!Print_Area</vt:lpstr>
      <vt:lpstr>'25.8 Luwero-Kampala-24 HRS'!Print_Area</vt:lpstr>
      <vt:lpstr>'26.8 Kampala-Luweero'!Print_Area</vt:lpstr>
      <vt:lpstr>'26.8 Luweero-Kampala'!Print_Area</vt:lpstr>
      <vt:lpstr>'Avg Week GULU-KAMPALA'!Print_Area</vt:lpstr>
      <vt:lpstr>'Avg Week KAMPALA-GULU'!Print_Area</vt:lpstr>
      <vt:lpstr>'Avg Week KAMPALA-GULU-2Dir'!Print_Area</vt:lpstr>
      <vt:lpstr>' 22.8 Luweero-Kampala'!Print_Titles</vt:lpstr>
      <vt:lpstr>'20.8 Kampala-Luweero'!Print_Titles</vt:lpstr>
      <vt:lpstr>'20.8 Luwero-Kampala'!Print_Titles</vt:lpstr>
      <vt:lpstr>'21.8 Kampala-Luweero'!Print_Titles</vt:lpstr>
      <vt:lpstr>'21.8 Luweero-Kampala'!Print_Titles</vt:lpstr>
      <vt:lpstr>'22.8 Kampala-Luweero'!Print_Titles</vt:lpstr>
      <vt:lpstr>'23.8 Kampala-Luweero'!Print_Titles</vt:lpstr>
      <vt:lpstr>'23.Luweero-Kamplaa'!Print_Titles</vt:lpstr>
      <vt:lpstr>'24.8 Kampala-Luweero'!Print_Titles</vt:lpstr>
      <vt:lpstr>'24.8 Luweero-Kampala'!Print_Titles</vt:lpstr>
      <vt:lpstr>'25.8 Kampala-Luweero 24Hrs'!Print_Titles</vt:lpstr>
      <vt:lpstr>'25.8 Luwero-Kampala-24 HRS'!Print_Titles</vt:lpstr>
      <vt:lpstr>'26.8 Kampala-Luweero'!Print_Titles</vt:lpstr>
      <vt:lpstr>'26.8 Luweero-Kampala'!Print_Titles</vt:lpstr>
      <vt:lpstr>'Avg Week GULU-KAMPALA'!Print_Titles</vt:lpstr>
      <vt:lpstr>'Avg Week KAMPALA-GULU'!Print_Titles</vt:lpstr>
      <vt:lpstr>'Avg Week KAMPALA-GULU-2Dir'!Print_Titles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USER</cp:lastModifiedBy>
  <cp:lastPrinted>2019-07-25T18:18:41Z</cp:lastPrinted>
  <dcterms:created xsi:type="dcterms:W3CDTF">2010-07-06T07:39:49Z</dcterms:created>
  <dcterms:modified xsi:type="dcterms:W3CDTF">2020-04-08T21:09:11Z</dcterms:modified>
</cp:coreProperties>
</file>