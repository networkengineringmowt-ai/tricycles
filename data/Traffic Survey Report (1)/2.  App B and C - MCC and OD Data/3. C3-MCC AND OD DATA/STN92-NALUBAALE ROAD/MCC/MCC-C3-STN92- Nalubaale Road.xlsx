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MCC-OD\C-3 Analysis Complete\STN92-NALUBAALE ROAD\MCC\"/>
    </mc:Choice>
  </mc:AlternateContent>
  <xr:revisionPtr revIDLastSave="0" documentId="13_ncr:1_{B2E3C89A-E120-4550-89C1-A13A1C924BE4}" xr6:coauthVersionLast="45" xr6:coauthVersionMax="45" xr10:uidLastSave="{00000000-0000-0000-0000-000000000000}"/>
  <bookViews>
    <workbookView xWindow="-120" yWindow="-120" windowWidth="20730" windowHeight="11160" tabRatio="907" firstSheet="12" activeTab="16" xr2:uid="{00000000-000D-0000-FFFF-FFFF00000000}"/>
  </bookViews>
  <sheets>
    <sheet name="19.08 Kampala-Bukaya" sheetId="93" r:id="rId1"/>
    <sheet name="19.08 Bukaya-Kampala" sheetId="94" r:id="rId2"/>
    <sheet name="20.08 Kampala-Bukaya" sheetId="95" r:id="rId3"/>
    <sheet name="20.08 Bukaya-Kampala" sheetId="96" r:id="rId4"/>
    <sheet name="21.08 Kampala-Bukaya" sheetId="97" r:id="rId5"/>
    <sheet name="21.08 Bukaya-Kampala" sheetId="98" r:id="rId6"/>
    <sheet name="22.08 Kampala-Bukaya" sheetId="99" r:id="rId7"/>
    <sheet name="22.08 Bukaya-Kampala" sheetId="100" r:id="rId8"/>
    <sheet name="23.08 Kampala-Bukaya-24h" sheetId="101" r:id="rId9"/>
    <sheet name="23.08 Bukaya-Kampala-24h" sheetId="109" r:id="rId10"/>
    <sheet name="24.08 Kampala-Bukaya-24h" sheetId="105" r:id="rId11"/>
    <sheet name="24.08 Bukaya-Kampala-24h" sheetId="110" r:id="rId12"/>
    <sheet name="25.08 Kampala-Bukaya" sheetId="103" r:id="rId13"/>
    <sheet name="25.08 Bukaya-Kampala" sheetId="104" r:id="rId14"/>
    <sheet name="Avg Week Kampala-Bukaya" sheetId="107" r:id="rId15"/>
    <sheet name="Avg Week Bukaya-Kampala" sheetId="108" r:id="rId16"/>
    <sheet name="Avg Week Kampala-Bukaya-2Dir" sheetId="111" r:id="rId17"/>
  </sheets>
  <definedNames>
    <definedName name="_xlnm.Print_Area" localSheetId="1">'19.08 Bukaya-Kampala'!$A$1:$AF$60</definedName>
    <definedName name="_xlnm.Print_Area" localSheetId="0">'19.08 Kampala-Bukaya'!$A$1:$AF$60</definedName>
    <definedName name="_xlnm.Print_Area" localSheetId="3">'20.08 Bukaya-Kampala'!$A$1:$AF$60</definedName>
    <definedName name="_xlnm.Print_Area" localSheetId="2">'20.08 Kampala-Bukaya'!$A$1:$AF$60</definedName>
    <definedName name="_xlnm.Print_Area" localSheetId="5">'21.08 Bukaya-Kampala'!$A$1:$AF$60</definedName>
    <definedName name="_xlnm.Print_Area" localSheetId="4">'21.08 Kampala-Bukaya'!$A$1:$AF$60</definedName>
    <definedName name="_xlnm.Print_Area" localSheetId="7">'22.08 Bukaya-Kampala'!$A$1:$AF$60</definedName>
    <definedName name="_xlnm.Print_Area" localSheetId="6">'22.08 Kampala-Bukaya'!$A$1:$AF$60</definedName>
    <definedName name="_xlnm.Print_Area" localSheetId="9">'23.08 Bukaya-Kampala-24h'!$A$1:$AF$108</definedName>
    <definedName name="_xlnm.Print_Area" localSheetId="8">'23.08 Kampala-Bukaya-24h'!$A$1:$AF$108</definedName>
    <definedName name="_xlnm.Print_Area" localSheetId="11">'24.08 Bukaya-Kampala-24h'!$A$1:$AF$108</definedName>
    <definedName name="_xlnm.Print_Area" localSheetId="10">'24.08 Kampala-Bukaya-24h'!$A$1:$AF$108</definedName>
    <definedName name="_xlnm.Print_Area" localSheetId="13">'25.08 Bukaya-Kampala'!$A$1:$AF$60</definedName>
    <definedName name="_xlnm.Print_Area" localSheetId="12">'25.08 Kampala-Bukaya'!$A$1:$AF$60</definedName>
    <definedName name="_xlnm.Print_Area" localSheetId="15">'Avg Week Bukaya-Kampala'!$A$1:$AF$108</definedName>
    <definedName name="_xlnm.Print_Area" localSheetId="14">'Avg Week Kampala-Bukaya'!$A$1:$AF$108</definedName>
    <definedName name="_xlnm.Print_Area" localSheetId="16">'Avg Week Kampala-Bukaya-2Dir'!$A$1:$AF$108</definedName>
    <definedName name="_xlnm.Print_Titles" localSheetId="1">'19.08 Bukaya-Kampala'!$1:$8</definedName>
    <definedName name="_xlnm.Print_Titles" localSheetId="0">'19.08 Kampala-Bukaya'!$1:$8</definedName>
    <definedName name="_xlnm.Print_Titles" localSheetId="3">'20.08 Bukaya-Kampala'!$1:$8</definedName>
    <definedName name="_xlnm.Print_Titles" localSheetId="2">'20.08 Kampala-Bukaya'!$1:$8</definedName>
    <definedName name="_xlnm.Print_Titles" localSheetId="5">'21.08 Bukaya-Kampala'!$1:$8</definedName>
    <definedName name="_xlnm.Print_Titles" localSheetId="4">'21.08 Kampala-Bukaya'!$1:$8</definedName>
    <definedName name="_xlnm.Print_Titles" localSheetId="7">'22.08 Bukaya-Kampala'!$1:$8</definedName>
    <definedName name="_xlnm.Print_Titles" localSheetId="6">'22.08 Kampala-Bukaya'!$1:$8</definedName>
    <definedName name="_xlnm.Print_Titles" localSheetId="9">'23.08 Bukaya-Kampala-24h'!$1:$8</definedName>
    <definedName name="_xlnm.Print_Titles" localSheetId="8">'23.08 Kampala-Bukaya-24h'!$1:$8</definedName>
    <definedName name="_xlnm.Print_Titles" localSheetId="11">'24.08 Bukaya-Kampala-24h'!$1:$8</definedName>
    <definedName name="_xlnm.Print_Titles" localSheetId="10">'24.08 Kampala-Bukaya-24h'!$1:$8</definedName>
    <definedName name="_xlnm.Print_Titles" localSheetId="13">'25.08 Bukaya-Kampala'!$1:$8</definedName>
    <definedName name="_xlnm.Print_Titles" localSheetId="12">'25.08 Kampala-Bukaya'!$1:$8</definedName>
    <definedName name="_xlnm.Print_Titles" localSheetId="15">'Avg Week Bukaya-Kampala'!$1:$8</definedName>
    <definedName name="_xlnm.Print_Titles" localSheetId="14">'Avg Week Kampala-Bukaya'!$1:$8</definedName>
    <definedName name="_xlnm.Print_Titles" localSheetId="16">'Avg Week Kampala-Bukaya-2Dir'!$1:$8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06" i="111" l="1"/>
  <c r="P106" i="111"/>
  <c r="O11" i="111"/>
  <c r="P11" i="111"/>
  <c r="O12" i="111"/>
  <c r="P12" i="111"/>
  <c r="O13" i="111"/>
  <c r="P13" i="111"/>
  <c r="O14" i="111"/>
  <c r="P14" i="111"/>
  <c r="O15" i="111"/>
  <c r="P15" i="111"/>
  <c r="O16" i="111"/>
  <c r="P16" i="111"/>
  <c r="O17" i="111"/>
  <c r="P17" i="111"/>
  <c r="O18" i="111"/>
  <c r="P18" i="111"/>
  <c r="O19" i="111"/>
  <c r="P19" i="111"/>
  <c r="O20" i="111"/>
  <c r="P20" i="111"/>
  <c r="O21" i="111"/>
  <c r="P21" i="111"/>
  <c r="O22" i="111"/>
  <c r="P22" i="111"/>
  <c r="O23" i="111"/>
  <c r="P23" i="111"/>
  <c r="O24" i="111"/>
  <c r="P24" i="111"/>
  <c r="O25" i="111"/>
  <c r="P25" i="111"/>
  <c r="O26" i="111"/>
  <c r="P26" i="111"/>
  <c r="O27" i="111"/>
  <c r="P27" i="111"/>
  <c r="O28" i="111"/>
  <c r="P28" i="111"/>
  <c r="O29" i="111"/>
  <c r="P29" i="111"/>
  <c r="O30" i="111"/>
  <c r="P30" i="111"/>
  <c r="O31" i="111"/>
  <c r="P31" i="111"/>
  <c r="O32" i="111"/>
  <c r="P32" i="111"/>
  <c r="O33" i="111"/>
  <c r="P33" i="111"/>
  <c r="O34" i="111"/>
  <c r="P34" i="111"/>
  <c r="O35" i="111"/>
  <c r="P35" i="111"/>
  <c r="O36" i="111"/>
  <c r="P36" i="111"/>
  <c r="O37" i="111"/>
  <c r="P37" i="111"/>
  <c r="O38" i="111"/>
  <c r="P38" i="111"/>
  <c r="O39" i="111"/>
  <c r="P39" i="111"/>
  <c r="O40" i="111"/>
  <c r="P40" i="111"/>
  <c r="O41" i="111"/>
  <c r="P41" i="111"/>
  <c r="O42" i="111"/>
  <c r="P42" i="111"/>
  <c r="O43" i="111"/>
  <c r="P43" i="111"/>
  <c r="O44" i="111"/>
  <c r="P44" i="111"/>
  <c r="O45" i="111"/>
  <c r="P45" i="111"/>
  <c r="O46" i="111"/>
  <c r="P46" i="111"/>
  <c r="O47" i="111"/>
  <c r="P47" i="111"/>
  <c r="O48" i="111"/>
  <c r="P48" i="111"/>
  <c r="O49" i="111"/>
  <c r="P49" i="111"/>
  <c r="O50" i="111"/>
  <c r="P50" i="111"/>
  <c r="O51" i="111"/>
  <c r="P51" i="111"/>
  <c r="O52" i="111"/>
  <c r="P52" i="111"/>
  <c r="O53" i="111"/>
  <c r="P53" i="111"/>
  <c r="O54" i="111"/>
  <c r="P54" i="111"/>
  <c r="O55" i="111"/>
  <c r="P55" i="111"/>
  <c r="O56" i="111"/>
  <c r="P56" i="111"/>
  <c r="O57" i="111"/>
  <c r="P57" i="111"/>
  <c r="O58" i="111"/>
  <c r="P58" i="111"/>
  <c r="O59" i="111"/>
  <c r="P59" i="111"/>
  <c r="O60" i="111"/>
  <c r="P60" i="111"/>
  <c r="O61" i="111"/>
  <c r="P61" i="111"/>
  <c r="O62" i="111"/>
  <c r="P62" i="111"/>
  <c r="O63" i="111"/>
  <c r="P63" i="111"/>
  <c r="O64" i="111"/>
  <c r="P64" i="111"/>
  <c r="O65" i="111"/>
  <c r="P65" i="111"/>
  <c r="O66" i="111"/>
  <c r="P66" i="111"/>
  <c r="O67" i="111"/>
  <c r="P67" i="111"/>
  <c r="O68" i="111"/>
  <c r="P68" i="111"/>
  <c r="O69" i="111"/>
  <c r="P69" i="111"/>
  <c r="O70" i="111"/>
  <c r="P70" i="111"/>
  <c r="O71" i="111"/>
  <c r="P71" i="111"/>
  <c r="O72" i="111"/>
  <c r="P72" i="111"/>
  <c r="O73" i="111"/>
  <c r="P73" i="111"/>
  <c r="O74" i="111"/>
  <c r="P74" i="111"/>
  <c r="O75" i="111"/>
  <c r="P75" i="111"/>
  <c r="O76" i="111"/>
  <c r="P76" i="111"/>
  <c r="O77" i="111"/>
  <c r="P77" i="111"/>
  <c r="O78" i="111"/>
  <c r="P78" i="111"/>
  <c r="O79" i="111"/>
  <c r="P79" i="111"/>
  <c r="O80" i="111"/>
  <c r="P80" i="111"/>
  <c r="O81" i="111"/>
  <c r="P81" i="111"/>
  <c r="O82" i="111"/>
  <c r="P82" i="111"/>
  <c r="O83" i="111"/>
  <c r="P83" i="111"/>
  <c r="O84" i="111"/>
  <c r="P84" i="111"/>
  <c r="O85" i="111"/>
  <c r="P85" i="111"/>
  <c r="O86" i="111"/>
  <c r="P86" i="111"/>
  <c r="O87" i="111"/>
  <c r="P87" i="111"/>
  <c r="O88" i="111"/>
  <c r="P88" i="111"/>
  <c r="O89" i="111"/>
  <c r="P89" i="111"/>
  <c r="O90" i="111"/>
  <c r="P90" i="111"/>
  <c r="O91" i="111"/>
  <c r="P91" i="111"/>
  <c r="O92" i="111"/>
  <c r="P92" i="111"/>
  <c r="O93" i="111"/>
  <c r="P93" i="111"/>
  <c r="O94" i="111"/>
  <c r="P94" i="111"/>
  <c r="O95" i="111"/>
  <c r="P95" i="111"/>
  <c r="O96" i="111"/>
  <c r="P96" i="111"/>
  <c r="O97" i="111"/>
  <c r="P97" i="111"/>
  <c r="O98" i="111"/>
  <c r="P98" i="111"/>
  <c r="O99" i="111"/>
  <c r="P99" i="111"/>
  <c r="O100" i="111"/>
  <c r="P100" i="111"/>
  <c r="O101" i="111"/>
  <c r="P101" i="111"/>
  <c r="O102" i="111"/>
  <c r="P102" i="111"/>
  <c r="O103" i="111"/>
  <c r="P103" i="111"/>
  <c r="O104" i="111"/>
  <c r="P104" i="111"/>
  <c r="O105" i="111"/>
  <c r="P105" i="111"/>
  <c r="D58" i="107" l="1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J60" i="107"/>
  <c r="K60" i="107"/>
  <c r="L60" i="107"/>
  <c r="M60" i="107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H64" i="107"/>
  <c r="I64" i="107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K77" i="107"/>
  <c r="L77" i="107"/>
  <c r="M77" i="107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C58" i="107"/>
  <c r="O104" i="108" l="1"/>
  <c r="P104" i="108" s="1"/>
  <c r="O96" i="108"/>
  <c r="O88" i="108"/>
  <c r="P88" i="108" s="1"/>
  <c r="O80" i="108"/>
  <c r="O72" i="108"/>
  <c r="O64" i="108"/>
  <c r="P64" i="108" s="1"/>
  <c r="AC33" i="108"/>
  <c r="U33" i="108"/>
  <c r="Y32" i="108"/>
  <c r="AC31" i="108"/>
  <c r="U31" i="108"/>
  <c r="Y30" i="108"/>
  <c r="AC29" i="108"/>
  <c r="U29" i="108"/>
  <c r="Y28" i="108"/>
  <c r="AC27" i="108"/>
  <c r="U27" i="108"/>
  <c r="Y26" i="108"/>
  <c r="AC25" i="108"/>
  <c r="U25" i="108"/>
  <c r="Y24" i="108"/>
  <c r="AC23" i="108"/>
  <c r="U23" i="108"/>
  <c r="Y22" i="108"/>
  <c r="K105" i="111"/>
  <c r="N104" i="111"/>
  <c r="F104" i="111"/>
  <c r="I103" i="111"/>
  <c r="G101" i="111"/>
  <c r="J100" i="111"/>
  <c r="M99" i="111"/>
  <c r="J105" i="111"/>
  <c r="M104" i="111"/>
  <c r="E104" i="111"/>
  <c r="H103" i="111"/>
  <c r="N101" i="111"/>
  <c r="F101" i="111"/>
  <c r="I100" i="111"/>
  <c r="L99" i="111"/>
  <c r="J97" i="111"/>
  <c r="M96" i="111"/>
  <c r="E96" i="111"/>
  <c r="H95" i="111"/>
  <c r="N93" i="111"/>
  <c r="F93" i="111"/>
  <c r="I92" i="111"/>
  <c r="L91" i="111"/>
  <c r="J89" i="111"/>
  <c r="M88" i="111"/>
  <c r="E88" i="111"/>
  <c r="H87" i="111"/>
  <c r="N85" i="111"/>
  <c r="F85" i="111"/>
  <c r="I84" i="111"/>
  <c r="L83" i="111"/>
  <c r="J81" i="111"/>
  <c r="M80" i="111"/>
  <c r="E80" i="111"/>
  <c r="H79" i="111"/>
  <c r="N77" i="111"/>
  <c r="F77" i="111"/>
  <c r="I76" i="111"/>
  <c r="L75" i="111"/>
  <c r="J73" i="111"/>
  <c r="M72" i="111"/>
  <c r="E72" i="111"/>
  <c r="H71" i="111"/>
  <c r="N69" i="111"/>
  <c r="F69" i="111"/>
  <c r="I68" i="111"/>
  <c r="L67" i="111"/>
  <c r="J65" i="111"/>
  <c r="M64" i="111"/>
  <c r="E64" i="111"/>
  <c r="H63" i="111"/>
  <c r="N61" i="111"/>
  <c r="F61" i="111"/>
  <c r="I60" i="111"/>
  <c r="L59" i="111"/>
  <c r="O87" i="107"/>
  <c r="P87" i="107" s="1"/>
  <c r="C87" i="111"/>
  <c r="T33" i="107"/>
  <c r="D102" i="111"/>
  <c r="O95" i="108"/>
  <c r="P95" i="108" s="1"/>
  <c r="T33" i="108"/>
  <c r="AB31" i="108"/>
  <c r="X30" i="108"/>
  <c r="X28" i="108"/>
  <c r="T25" i="108"/>
  <c r="S33" i="107"/>
  <c r="O102" i="107"/>
  <c r="C102" i="111"/>
  <c r="AA31" i="107"/>
  <c r="K94" i="111"/>
  <c r="O101" i="108"/>
  <c r="P101" i="108" s="1"/>
  <c r="O100" i="108"/>
  <c r="P100" i="108" s="1"/>
  <c r="O76" i="108"/>
  <c r="P76" i="108" s="1"/>
  <c r="S22" i="107"/>
  <c r="O58" i="107"/>
  <c r="P58" i="107" s="1"/>
  <c r="C58" i="111"/>
  <c r="O99" i="108"/>
  <c r="P99" i="108" s="1"/>
  <c r="O91" i="108"/>
  <c r="O83" i="108"/>
  <c r="P83" i="108" s="1"/>
  <c r="O75" i="108"/>
  <c r="P75" i="108" s="1"/>
  <c r="O103" i="108"/>
  <c r="O63" i="108"/>
  <c r="T31" i="108"/>
  <c r="T27" i="108"/>
  <c r="X26" i="108"/>
  <c r="X24" i="108"/>
  <c r="O94" i="107"/>
  <c r="S31" i="107"/>
  <c r="C94" i="111"/>
  <c r="O93" i="108"/>
  <c r="O92" i="108"/>
  <c r="P92" i="108" s="1"/>
  <c r="S22" i="108"/>
  <c r="O58" i="108"/>
  <c r="S32" i="108"/>
  <c r="O98" i="108"/>
  <c r="S30" i="108"/>
  <c r="O90" i="108"/>
  <c r="P90" i="108" s="1"/>
  <c r="S28" i="108"/>
  <c r="O82" i="108"/>
  <c r="P82" i="108" s="1"/>
  <c r="S26" i="108"/>
  <c r="O74" i="108"/>
  <c r="S24" i="108"/>
  <c r="O66" i="108"/>
  <c r="O103" i="107"/>
  <c r="P103" i="107" s="1"/>
  <c r="C103" i="111"/>
  <c r="O71" i="108"/>
  <c r="X32" i="108"/>
  <c r="T29" i="108"/>
  <c r="T23" i="108"/>
  <c r="O86" i="107"/>
  <c r="S29" i="107"/>
  <c r="C86" i="111"/>
  <c r="O85" i="108"/>
  <c r="P85" i="108" s="1"/>
  <c r="O84" i="108"/>
  <c r="O105" i="108"/>
  <c r="O97" i="108"/>
  <c r="P97" i="108" s="1"/>
  <c r="O89" i="108"/>
  <c r="O81" i="108"/>
  <c r="P81" i="108" s="1"/>
  <c r="O73" i="108"/>
  <c r="P73" i="108" s="1"/>
  <c r="O65" i="108"/>
  <c r="P65" i="108" s="1"/>
  <c r="O79" i="107"/>
  <c r="C79" i="111"/>
  <c r="O71" i="107"/>
  <c r="P71" i="107" s="1"/>
  <c r="C71" i="111"/>
  <c r="O63" i="107"/>
  <c r="C63" i="111"/>
  <c r="E99" i="111"/>
  <c r="X32" i="107"/>
  <c r="H98" i="111"/>
  <c r="K97" i="111"/>
  <c r="N96" i="111"/>
  <c r="F96" i="111"/>
  <c r="I95" i="111"/>
  <c r="AB31" i="107"/>
  <c r="L94" i="111"/>
  <c r="T31" i="107"/>
  <c r="D94" i="111"/>
  <c r="G93" i="111"/>
  <c r="J92" i="111"/>
  <c r="M91" i="111"/>
  <c r="E91" i="111"/>
  <c r="X30" i="107"/>
  <c r="H90" i="111"/>
  <c r="K89" i="111"/>
  <c r="N88" i="111"/>
  <c r="F88" i="111"/>
  <c r="I87" i="111"/>
  <c r="AB29" i="107"/>
  <c r="L86" i="111"/>
  <c r="T29" i="107"/>
  <c r="P86" i="107"/>
  <c r="D86" i="111"/>
  <c r="G85" i="111"/>
  <c r="J84" i="111"/>
  <c r="M83" i="111"/>
  <c r="E83" i="111"/>
  <c r="X28" i="107"/>
  <c r="H82" i="111"/>
  <c r="K81" i="111"/>
  <c r="N80" i="111"/>
  <c r="F80" i="111"/>
  <c r="I79" i="111"/>
  <c r="AB27" i="107"/>
  <c r="L78" i="111"/>
  <c r="T27" i="107"/>
  <c r="D78" i="111"/>
  <c r="G77" i="111"/>
  <c r="J76" i="111"/>
  <c r="M75" i="111"/>
  <c r="E75" i="111"/>
  <c r="X26" i="107"/>
  <c r="H74" i="111"/>
  <c r="K73" i="111"/>
  <c r="N72" i="111"/>
  <c r="F72" i="111"/>
  <c r="I71" i="111"/>
  <c r="AB25" i="107"/>
  <c r="L70" i="111"/>
  <c r="T25" i="107"/>
  <c r="D70" i="111"/>
  <c r="G69" i="111"/>
  <c r="J68" i="111"/>
  <c r="M67" i="111"/>
  <c r="E67" i="111"/>
  <c r="X24" i="107"/>
  <c r="H66" i="111"/>
  <c r="K65" i="111"/>
  <c r="N64" i="111"/>
  <c r="F64" i="111"/>
  <c r="I63" i="111"/>
  <c r="AB23" i="107"/>
  <c r="L62" i="111"/>
  <c r="T23" i="107"/>
  <c r="D62" i="111"/>
  <c r="G61" i="111"/>
  <c r="J60" i="111"/>
  <c r="M59" i="111"/>
  <c r="E59" i="111"/>
  <c r="X22" i="107"/>
  <c r="H58" i="111"/>
  <c r="P89" i="108"/>
  <c r="O95" i="107"/>
  <c r="C95" i="111"/>
  <c r="AB33" i="107"/>
  <c r="L102" i="111"/>
  <c r="O79" i="108"/>
  <c r="AB27" i="108"/>
  <c r="AB25" i="108"/>
  <c r="X22" i="108"/>
  <c r="S25" i="107"/>
  <c r="O70" i="107"/>
  <c r="C70" i="111"/>
  <c r="O62" i="107"/>
  <c r="P62" i="107" s="1"/>
  <c r="S23" i="107"/>
  <c r="C62" i="111"/>
  <c r="D91" i="111"/>
  <c r="W30" i="107"/>
  <c r="G90" i="111"/>
  <c r="W28" i="107"/>
  <c r="G82" i="111"/>
  <c r="D75" i="111"/>
  <c r="W26" i="107"/>
  <c r="G74" i="111"/>
  <c r="D67" i="111"/>
  <c r="W24" i="107"/>
  <c r="G66" i="111"/>
  <c r="AA23" i="107"/>
  <c r="K62" i="111"/>
  <c r="D59" i="111"/>
  <c r="W22" i="107"/>
  <c r="G58" i="111"/>
  <c r="O87" i="108"/>
  <c r="P87" i="108" s="1"/>
  <c r="AB33" i="108"/>
  <c r="AB29" i="108"/>
  <c r="AB23" i="108"/>
  <c r="O78" i="107"/>
  <c r="C78" i="111"/>
  <c r="S27" i="107"/>
  <c r="AA33" i="107"/>
  <c r="K102" i="111"/>
  <c r="P99" i="107"/>
  <c r="D99" i="111"/>
  <c r="W32" i="107"/>
  <c r="G98" i="111"/>
  <c r="AA29" i="107"/>
  <c r="K86" i="111"/>
  <c r="D83" i="111"/>
  <c r="AA27" i="107"/>
  <c r="K78" i="111"/>
  <c r="AA25" i="107"/>
  <c r="K70" i="111"/>
  <c r="S33" i="108"/>
  <c r="O102" i="108"/>
  <c r="P102" i="108" s="1"/>
  <c r="O94" i="108"/>
  <c r="S31" i="108"/>
  <c r="O86" i="108"/>
  <c r="AE29" i="108" s="1"/>
  <c r="S29" i="108"/>
  <c r="O78" i="108"/>
  <c r="P78" i="108" s="1"/>
  <c r="S27" i="108"/>
  <c r="S25" i="108"/>
  <c r="O70" i="108"/>
  <c r="O62" i="108"/>
  <c r="S23" i="108"/>
  <c r="AA33" i="108"/>
  <c r="W32" i="108"/>
  <c r="AA31" i="108"/>
  <c r="P91" i="108"/>
  <c r="W30" i="108"/>
  <c r="AA29" i="108"/>
  <c r="W28" i="108"/>
  <c r="AA27" i="108"/>
  <c r="W26" i="108"/>
  <c r="AA25" i="108"/>
  <c r="W24" i="108"/>
  <c r="AA23" i="108"/>
  <c r="W22" i="108"/>
  <c r="O101" i="107"/>
  <c r="P101" i="107" s="1"/>
  <c r="C101" i="111"/>
  <c r="O93" i="107"/>
  <c r="C93" i="111"/>
  <c r="O85" i="107"/>
  <c r="C85" i="111"/>
  <c r="O77" i="107"/>
  <c r="P77" i="107" s="1"/>
  <c r="C77" i="111"/>
  <c r="O69" i="107"/>
  <c r="C69" i="111"/>
  <c r="O61" i="107"/>
  <c r="P61" i="107" s="1"/>
  <c r="C61" i="111"/>
  <c r="I105" i="111"/>
  <c r="L104" i="111"/>
  <c r="D104" i="111"/>
  <c r="G103" i="111"/>
  <c r="Z33" i="107"/>
  <c r="J102" i="111"/>
  <c r="M101" i="111"/>
  <c r="E101" i="111"/>
  <c r="H100" i="111"/>
  <c r="K99" i="111"/>
  <c r="AD32" i="107"/>
  <c r="N98" i="111"/>
  <c r="V32" i="107"/>
  <c r="F98" i="111"/>
  <c r="I97" i="111"/>
  <c r="L96" i="111"/>
  <c r="D96" i="111"/>
  <c r="G95" i="111"/>
  <c r="Z31" i="107"/>
  <c r="J94" i="111"/>
  <c r="M93" i="111"/>
  <c r="E93" i="111"/>
  <c r="H92" i="111"/>
  <c r="K91" i="111"/>
  <c r="AD30" i="107"/>
  <c r="N90" i="111"/>
  <c r="F90" i="111"/>
  <c r="V30" i="107"/>
  <c r="I89" i="111"/>
  <c r="L88" i="111"/>
  <c r="D88" i="111"/>
  <c r="G87" i="111"/>
  <c r="Z29" i="107"/>
  <c r="J86" i="111"/>
  <c r="M85" i="111"/>
  <c r="E85" i="111"/>
  <c r="H84" i="111"/>
  <c r="K83" i="111"/>
  <c r="AD28" i="107"/>
  <c r="N82" i="111"/>
  <c r="V28" i="107"/>
  <c r="F82" i="111"/>
  <c r="I81" i="111"/>
  <c r="L80" i="111"/>
  <c r="D80" i="111"/>
  <c r="G79" i="111"/>
  <c r="Z27" i="107"/>
  <c r="J78" i="111"/>
  <c r="M77" i="111"/>
  <c r="E77" i="111"/>
  <c r="H76" i="111"/>
  <c r="K75" i="111"/>
  <c r="AD26" i="107"/>
  <c r="N74" i="111"/>
  <c r="V26" i="107"/>
  <c r="F74" i="111"/>
  <c r="I73" i="111"/>
  <c r="L72" i="111"/>
  <c r="D72" i="111"/>
  <c r="G71" i="111"/>
  <c r="Z25" i="107"/>
  <c r="J70" i="111"/>
  <c r="M69" i="111"/>
  <c r="E69" i="111"/>
  <c r="H68" i="111"/>
  <c r="K67" i="111"/>
  <c r="AD24" i="107"/>
  <c r="N66" i="111"/>
  <c r="V24" i="107"/>
  <c r="F66" i="111"/>
  <c r="I65" i="111"/>
  <c r="L64" i="111"/>
  <c r="D64" i="111"/>
  <c r="G63" i="111"/>
  <c r="Z23" i="107"/>
  <c r="J62" i="111"/>
  <c r="M61" i="111"/>
  <c r="E61" i="111"/>
  <c r="H60" i="111"/>
  <c r="K59" i="111"/>
  <c r="N58" i="111"/>
  <c r="AD22" i="107"/>
  <c r="F58" i="111"/>
  <c r="V22" i="107"/>
  <c r="O77" i="108"/>
  <c r="O69" i="108"/>
  <c r="O61" i="108"/>
  <c r="Z33" i="108"/>
  <c r="AD32" i="108"/>
  <c r="V32" i="108"/>
  <c r="P96" i="108"/>
  <c r="Z31" i="108"/>
  <c r="AD30" i="108"/>
  <c r="V30" i="108"/>
  <c r="Z29" i="108"/>
  <c r="AD28" i="108"/>
  <c r="V28" i="108"/>
  <c r="P80" i="108"/>
  <c r="Z27" i="108"/>
  <c r="AD26" i="108"/>
  <c r="V26" i="108"/>
  <c r="P72" i="108"/>
  <c r="Z25" i="108"/>
  <c r="AD24" i="108"/>
  <c r="V24" i="108"/>
  <c r="Z23" i="108"/>
  <c r="AD22" i="108"/>
  <c r="V22" i="108"/>
  <c r="O100" i="107"/>
  <c r="C100" i="111"/>
  <c r="C92" i="111"/>
  <c r="O92" i="107"/>
  <c r="O84" i="107"/>
  <c r="C84" i="111"/>
  <c r="O76" i="107"/>
  <c r="C76" i="111"/>
  <c r="O68" i="107"/>
  <c r="C68" i="111"/>
  <c r="O60" i="107"/>
  <c r="C60" i="111"/>
  <c r="H105" i="111"/>
  <c r="K104" i="111"/>
  <c r="N103" i="111"/>
  <c r="F103" i="111"/>
  <c r="Y33" i="107"/>
  <c r="I102" i="111"/>
  <c r="L101" i="111"/>
  <c r="D101" i="111"/>
  <c r="G100" i="111"/>
  <c r="J99" i="111"/>
  <c r="AC32" i="107"/>
  <c r="M98" i="111"/>
  <c r="U32" i="107"/>
  <c r="E98" i="111"/>
  <c r="H97" i="111"/>
  <c r="K96" i="111"/>
  <c r="N95" i="111"/>
  <c r="F95" i="111"/>
  <c r="I94" i="111"/>
  <c r="Y31" i="107"/>
  <c r="L93" i="111"/>
  <c r="P93" i="107"/>
  <c r="D93" i="111"/>
  <c r="G92" i="111"/>
  <c r="J91" i="111"/>
  <c r="AC30" i="107"/>
  <c r="M90" i="111"/>
  <c r="U30" i="107"/>
  <c r="E90" i="111"/>
  <c r="H89" i="111"/>
  <c r="K88" i="111"/>
  <c r="N87" i="111"/>
  <c r="F87" i="111"/>
  <c r="Y29" i="107"/>
  <c r="I86" i="111"/>
  <c r="L85" i="111"/>
  <c r="P85" i="107"/>
  <c r="D85" i="111"/>
  <c r="G84" i="111"/>
  <c r="J83" i="111"/>
  <c r="AC28" i="107"/>
  <c r="M82" i="111"/>
  <c r="U28" i="107"/>
  <c r="E82" i="111"/>
  <c r="H81" i="111"/>
  <c r="K80" i="111"/>
  <c r="N79" i="111"/>
  <c r="F79" i="111"/>
  <c r="Y27" i="107"/>
  <c r="I78" i="111"/>
  <c r="L77" i="111"/>
  <c r="D77" i="111"/>
  <c r="G76" i="111"/>
  <c r="J75" i="111"/>
  <c r="AC26" i="107"/>
  <c r="M74" i="111"/>
  <c r="U26" i="107"/>
  <c r="E74" i="111"/>
  <c r="H73" i="111"/>
  <c r="K72" i="111"/>
  <c r="N71" i="111"/>
  <c r="F71" i="111"/>
  <c r="Y25" i="107"/>
  <c r="I70" i="111"/>
  <c r="L69" i="111"/>
  <c r="P69" i="107"/>
  <c r="D69" i="111"/>
  <c r="G68" i="111"/>
  <c r="J67" i="111"/>
  <c r="AC24" i="107"/>
  <c r="M66" i="111"/>
  <c r="U24" i="107"/>
  <c r="E66" i="111"/>
  <c r="H65" i="111"/>
  <c r="K64" i="111"/>
  <c r="N63" i="111"/>
  <c r="F63" i="111"/>
  <c r="I62" i="111"/>
  <c r="Y23" i="107"/>
  <c r="L61" i="111"/>
  <c r="D61" i="111"/>
  <c r="G60" i="111"/>
  <c r="J59" i="111"/>
  <c r="AC22" i="107"/>
  <c r="M58" i="111"/>
  <c r="U22" i="107"/>
  <c r="E58" i="111"/>
  <c r="O68" i="108"/>
  <c r="P68" i="108" s="1"/>
  <c r="O60" i="108"/>
  <c r="Y33" i="108"/>
  <c r="AC32" i="108"/>
  <c r="U32" i="108"/>
  <c r="Y31" i="108"/>
  <c r="P93" i="108"/>
  <c r="AC30" i="108"/>
  <c r="U30" i="108"/>
  <c r="Y29" i="108"/>
  <c r="AC28" i="108"/>
  <c r="U28" i="108"/>
  <c r="Y27" i="108"/>
  <c r="P77" i="108"/>
  <c r="AC26" i="108"/>
  <c r="U26" i="108"/>
  <c r="Y25" i="108"/>
  <c r="AC24" i="108"/>
  <c r="U24" i="108"/>
  <c r="Y23" i="108"/>
  <c r="P61" i="108"/>
  <c r="AC22" i="108"/>
  <c r="U22" i="108"/>
  <c r="O99" i="107"/>
  <c r="C99" i="111"/>
  <c r="O91" i="107"/>
  <c r="P91" i="107" s="1"/>
  <c r="C91" i="111"/>
  <c r="O83" i="107"/>
  <c r="P83" i="107" s="1"/>
  <c r="C83" i="111"/>
  <c r="O75" i="107"/>
  <c r="P75" i="107" s="1"/>
  <c r="C75" i="111"/>
  <c r="O67" i="107"/>
  <c r="P67" i="107" s="1"/>
  <c r="C67" i="111"/>
  <c r="O59" i="107"/>
  <c r="C59" i="111"/>
  <c r="G105" i="111"/>
  <c r="J104" i="111"/>
  <c r="M103" i="111"/>
  <c r="E103" i="111"/>
  <c r="X33" i="107"/>
  <c r="H102" i="111"/>
  <c r="K101" i="111"/>
  <c r="N100" i="111"/>
  <c r="F100" i="111"/>
  <c r="I99" i="111"/>
  <c r="AB32" i="107"/>
  <c r="L98" i="111"/>
  <c r="T32" i="107"/>
  <c r="D98" i="111"/>
  <c r="G97" i="111"/>
  <c r="J96" i="111"/>
  <c r="M95" i="111"/>
  <c r="E95" i="111"/>
  <c r="X31" i="107"/>
  <c r="H94" i="111"/>
  <c r="K93" i="111"/>
  <c r="N92" i="111"/>
  <c r="F92" i="111"/>
  <c r="I91" i="111"/>
  <c r="AB30" i="107"/>
  <c r="L90" i="111"/>
  <c r="AB30" i="111" s="1"/>
  <c r="T30" i="107"/>
  <c r="D90" i="111"/>
  <c r="G89" i="111"/>
  <c r="J88" i="111"/>
  <c r="M87" i="111"/>
  <c r="E87" i="111"/>
  <c r="X29" i="107"/>
  <c r="H86" i="111"/>
  <c r="K85" i="111"/>
  <c r="N84" i="111"/>
  <c r="F84" i="111"/>
  <c r="I83" i="111"/>
  <c r="AB28" i="107"/>
  <c r="L82" i="111"/>
  <c r="T28" i="107"/>
  <c r="D82" i="111"/>
  <c r="G81" i="111"/>
  <c r="J80" i="111"/>
  <c r="M79" i="111"/>
  <c r="E79" i="111"/>
  <c r="X27" i="107"/>
  <c r="H78" i="111"/>
  <c r="K77" i="111"/>
  <c r="N76" i="111"/>
  <c r="F76" i="111"/>
  <c r="I75" i="111"/>
  <c r="AB26" i="107"/>
  <c r="L74" i="111"/>
  <c r="T26" i="107"/>
  <c r="D74" i="111"/>
  <c r="G73" i="111"/>
  <c r="J72" i="111"/>
  <c r="M71" i="111"/>
  <c r="E71" i="111"/>
  <c r="X25" i="107"/>
  <c r="H70" i="111"/>
  <c r="K69" i="111"/>
  <c r="N68" i="111"/>
  <c r="F68" i="111"/>
  <c r="I67" i="111"/>
  <c r="L66" i="111"/>
  <c r="AB24" i="107"/>
  <c r="D66" i="111"/>
  <c r="T24" i="107"/>
  <c r="G65" i="111"/>
  <c r="J64" i="111"/>
  <c r="M63" i="111"/>
  <c r="E63" i="111"/>
  <c r="H62" i="111"/>
  <c r="X23" i="107"/>
  <c r="K61" i="111"/>
  <c r="N60" i="111"/>
  <c r="F60" i="111"/>
  <c r="I59" i="111"/>
  <c r="AB22" i="107"/>
  <c r="L58" i="111"/>
  <c r="T22" i="107"/>
  <c r="D58" i="111"/>
  <c r="O67" i="108"/>
  <c r="O59" i="108"/>
  <c r="X33" i="108"/>
  <c r="AB32" i="108"/>
  <c r="T32" i="108"/>
  <c r="X31" i="108"/>
  <c r="AB30" i="108"/>
  <c r="T30" i="108"/>
  <c r="X29" i="108"/>
  <c r="AB28" i="108"/>
  <c r="T28" i="108"/>
  <c r="X27" i="108"/>
  <c r="AB26" i="108"/>
  <c r="T26" i="108"/>
  <c r="P74" i="108"/>
  <c r="X25" i="108"/>
  <c r="AB24" i="108"/>
  <c r="T24" i="108"/>
  <c r="X23" i="108"/>
  <c r="AB22" i="108"/>
  <c r="T22" i="108"/>
  <c r="P58" i="108"/>
  <c r="S32" i="107"/>
  <c r="O98" i="107"/>
  <c r="C98" i="111"/>
  <c r="S30" i="107"/>
  <c r="O90" i="107"/>
  <c r="C90" i="111"/>
  <c r="O82" i="107"/>
  <c r="S28" i="107"/>
  <c r="C82" i="111"/>
  <c r="S26" i="107"/>
  <c r="O74" i="107"/>
  <c r="P74" i="107" s="1"/>
  <c r="C74" i="111"/>
  <c r="S24" i="107"/>
  <c r="O66" i="107"/>
  <c r="P66" i="107" s="1"/>
  <c r="C66" i="111"/>
  <c r="N105" i="111"/>
  <c r="F105" i="111"/>
  <c r="I104" i="111"/>
  <c r="L103" i="111"/>
  <c r="D103" i="111"/>
  <c r="W33" i="107"/>
  <c r="G102" i="111"/>
  <c r="J101" i="111"/>
  <c r="M100" i="111"/>
  <c r="E100" i="111"/>
  <c r="H99" i="111"/>
  <c r="AA32" i="107"/>
  <c r="K98" i="111"/>
  <c r="N97" i="111"/>
  <c r="F97" i="111"/>
  <c r="I96" i="111"/>
  <c r="L95" i="111"/>
  <c r="P95" i="107"/>
  <c r="D95" i="111"/>
  <c r="W31" i="107"/>
  <c r="G94" i="111"/>
  <c r="J93" i="111"/>
  <c r="M92" i="111"/>
  <c r="E92" i="111"/>
  <c r="H91" i="111"/>
  <c r="AA30" i="107"/>
  <c r="K90" i="111"/>
  <c r="N89" i="111"/>
  <c r="F89" i="111"/>
  <c r="I88" i="111"/>
  <c r="L87" i="111"/>
  <c r="D87" i="111"/>
  <c r="W29" i="107"/>
  <c r="G86" i="111"/>
  <c r="J85" i="111"/>
  <c r="M84" i="111"/>
  <c r="E84" i="111"/>
  <c r="H83" i="111"/>
  <c r="AA28" i="107"/>
  <c r="K82" i="111"/>
  <c r="N81" i="111"/>
  <c r="F81" i="111"/>
  <c r="I80" i="111"/>
  <c r="L79" i="111"/>
  <c r="P79" i="107"/>
  <c r="D79" i="111"/>
  <c r="W27" i="107"/>
  <c r="G78" i="111"/>
  <c r="J77" i="111"/>
  <c r="M76" i="111"/>
  <c r="E76" i="111"/>
  <c r="H75" i="111"/>
  <c r="AA26" i="107"/>
  <c r="K74" i="111"/>
  <c r="N73" i="111"/>
  <c r="F73" i="111"/>
  <c r="I72" i="111"/>
  <c r="L71" i="111"/>
  <c r="D71" i="111"/>
  <c r="G70" i="111"/>
  <c r="W25" i="107"/>
  <c r="J69" i="111"/>
  <c r="M68" i="111"/>
  <c r="E68" i="111"/>
  <c r="H67" i="111"/>
  <c r="AA24" i="107"/>
  <c r="K66" i="111"/>
  <c r="N65" i="111"/>
  <c r="F65" i="111"/>
  <c r="I64" i="111"/>
  <c r="L63" i="111"/>
  <c r="P63" i="107"/>
  <c r="D63" i="111"/>
  <c r="G62" i="111"/>
  <c r="W23" i="107"/>
  <c r="J61" i="111"/>
  <c r="M60" i="111"/>
  <c r="E60" i="111"/>
  <c r="H59" i="111"/>
  <c r="AA22" i="107"/>
  <c r="K58" i="111"/>
  <c r="W33" i="108"/>
  <c r="AA32" i="108"/>
  <c r="W31" i="108"/>
  <c r="AA30" i="108"/>
  <c r="W29" i="108"/>
  <c r="AA28" i="108"/>
  <c r="W27" i="108"/>
  <c r="AA26" i="108"/>
  <c r="P71" i="108"/>
  <c r="W25" i="108"/>
  <c r="AA24" i="108"/>
  <c r="P63" i="108"/>
  <c r="W23" i="108"/>
  <c r="AA22" i="108"/>
  <c r="O105" i="107"/>
  <c r="P105" i="107" s="1"/>
  <c r="C105" i="111"/>
  <c r="O97" i="107"/>
  <c r="C97" i="111"/>
  <c r="O89" i="107"/>
  <c r="C89" i="111"/>
  <c r="O81" i="107"/>
  <c r="C81" i="111"/>
  <c r="O73" i="107"/>
  <c r="P73" i="107" s="1"/>
  <c r="C73" i="111"/>
  <c r="O65" i="107"/>
  <c r="P65" i="107" s="1"/>
  <c r="C65" i="111"/>
  <c r="M105" i="111"/>
  <c r="E105" i="111"/>
  <c r="H104" i="111"/>
  <c r="K103" i="111"/>
  <c r="AD33" i="107"/>
  <c r="N102" i="111"/>
  <c r="V33" i="107"/>
  <c r="F102" i="111"/>
  <c r="I101" i="111"/>
  <c r="L100" i="111"/>
  <c r="P100" i="107"/>
  <c r="D100" i="111"/>
  <c r="G99" i="111"/>
  <c r="Z32" i="107"/>
  <c r="J98" i="111"/>
  <c r="M97" i="111"/>
  <c r="E97" i="111"/>
  <c r="H96" i="111"/>
  <c r="K95" i="111"/>
  <c r="AD31" i="107"/>
  <c r="N94" i="111"/>
  <c r="V31" i="107"/>
  <c r="F94" i="111"/>
  <c r="I93" i="111"/>
  <c r="L92" i="111"/>
  <c r="P92" i="107"/>
  <c r="D92" i="111"/>
  <c r="G91" i="111"/>
  <c r="Z30" i="107"/>
  <c r="J90" i="111"/>
  <c r="M89" i="111"/>
  <c r="E89" i="111"/>
  <c r="H88" i="111"/>
  <c r="K87" i="111"/>
  <c r="AD29" i="107"/>
  <c r="N86" i="111"/>
  <c r="V29" i="107"/>
  <c r="F86" i="111"/>
  <c r="V29" i="111" s="1"/>
  <c r="I85" i="111"/>
  <c r="L84" i="111"/>
  <c r="D84" i="111"/>
  <c r="G83" i="111"/>
  <c r="Z28" i="107"/>
  <c r="J82" i="111"/>
  <c r="M81" i="111"/>
  <c r="E81" i="111"/>
  <c r="H80" i="111"/>
  <c r="K79" i="111"/>
  <c r="AD27" i="107"/>
  <c r="N78" i="111"/>
  <c r="V27" i="107"/>
  <c r="F78" i="111"/>
  <c r="I77" i="111"/>
  <c r="L76" i="111"/>
  <c r="D76" i="111"/>
  <c r="G75" i="111"/>
  <c r="Z26" i="107"/>
  <c r="J74" i="111"/>
  <c r="M73" i="111"/>
  <c r="E73" i="111"/>
  <c r="H72" i="111"/>
  <c r="K71" i="111"/>
  <c r="AD25" i="107"/>
  <c r="N70" i="111"/>
  <c r="V25" i="107"/>
  <c r="F70" i="111"/>
  <c r="I69" i="111"/>
  <c r="L68" i="111"/>
  <c r="P68" i="107"/>
  <c r="D68" i="111"/>
  <c r="G67" i="111"/>
  <c r="Z24" i="107"/>
  <c r="J66" i="111"/>
  <c r="M65" i="111"/>
  <c r="E65" i="111"/>
  <c r="H64" i="111"/>
  <c r="K63" i="111"/>
  <c r="N62" i="111"/>
  <c r="AD23" i="107"/>
  <c r="F62" i="111"/>
  <c r="V23" i="107"/>
  <c r="I61" i="111"/>
  <c r="L60" i="111"/>
  <c r="D60" i="111"/>
  <c r="P60" i="107"/>
  <c r="G59" i="111"/>
  <c r="Z22" i="107"/>
  <c r="J58" i="111"/>
  <c r="AD33" i="108"/>
  <c r="V33" i="108"/>
  <c r="Z32" i="108"/>
  <c r="AD31" i="108"/>
  <c r="V31" i="108"/>
  <c r="Z30" i="108"/>
  <c r="AD29" i="108"/>
  <c r="V29" i="108"/>
  <c r="P84" i="108"/>
  <c r="Z28" i="108"/>
  <c r="AD27" i="108"/>
  <c r="V27" i="108"/>
  <c r="Z26" i="108"/>
  <c r="AD25" i="108"/>
  <c r="V25" i="108"/>
  <c r="Z24" i="108"/>
  <c r="AD23" i="108"/>
  <c r="V23" i="108"/>
  <c r="P60" i="108"/>
  <c r="Z22" i="108"/>
  <c r="O104" i="107"/>
  <c r="C104" i="111"/>
  <c r="O96" i="107"/>
  <c r="C96" i="111"/>
  <c r="O88" i="107"/>
  <c r="C88" i="111"/>
  <c r="O80" i="107"/>
  <c r="C80" i="111"/>
  <c r="O72" i="107"/>
  <c r="C72" i="111"/>
  <c r="O64" i="107"/>
  <c r="C64" i="111"/>
  <c r="L105" i="111"/>
  <c r="D105" i="111"/>
  <c r="G104" i="111"/>
  <c r="J103" i="111"/>
  <c r="AC33" i="107"/>
  <c r="M102" i="111"/>
  <c r="U33" i="107"/>
  <c r="E102" i="111"/>
  <c r="H101" i="111"/>
  <c r="K100" i="111"/>
  <c r="N99" i="111"/>
  <c r="F99" i="111"/>
  <c r="Y32" i="107"/>
  <c r="I98" i="111"/>
  <c r="L97" i="111"/>
  <c r="P97" i="107"/>
  <c r="D97" i="111"/>
  <c r="G96" i="111"/>
  <c r="J95" i="111"/>
  <c r="AC31" i="107"/>
  <c r="M94" i="111"/>
  <c r="U31" i="107"/>
  <c r="E94" i="111"/>
  <c r="H93" i="111"/>
  <c r="K92" i="111"/>
  <c r="N91" i="111"/>
  <c r="F91" i="111"/>
  <c r="Y30" i="107"/>
  <c r="I90" i="111"/>
  <c r="Y30" i="111" s="1"/>
  <c r="L89" i="111"/>
  <c r="P89" i="107"/>
  <c r="D89" i="111"/>
  <c r="G88" i="111"/>
  <c r="J87" i="111"/>
  <c r="AC29" i="107"/>
  <c r="M86" i="111"/>
  <c r="U29" i="107"/>
  <c r="E86" i="111"/>
  <c r="H85" i="111"/>
  <c r="K84" i="111"/>
  <c r="N83" i="111"/>
  <c r="F83" i="111"/>
  <c r="Y28" i="107"/>
  <c r="I82" i="111"/>
  <c r="L81" i="111"/>
  <c r="P81" i="107"/>
  <c r="D81" i="111"/>
  <c r="G80" i="111"/>
  <c r="J79" i="111"/>
  <c r="M78" i="111"/>
  <c r="AC27" i="107"/>
  <c r="U27" i="107"/>
  <c r="E78" i="111"/>
  <c r="H77" i="111"/>
  <c r="K76" i="111"/>
  <c r="N75" i="111"/>
  <c r="F75" i="111"/>
  <c r="Y26" i="107"/>
  <c r="I74" i="111"/>
  <c r="L73" i="111"/>
  <c r="D73" i="111"/>
  <c r="G72" i="111"/>
  <c r="J71" i="111"/>
  <c r="AC25" i="107"/>
  <c r="M70" i="111"/>
  <c r="U25" i="107"/>
  <c r="E70" i="111"/>
  <c r="H69" i="111"/>
  <c r="K68" i="111"/>
  <c r="N67" i="111"/>
  <c r="F67" i="111"/>
  <c r="Y24" i="107"/>
  <c r="I66" i="111"/>
  <c r="L65" i="111"/>
  <c r="D65" i="111"/>
  <c r="G64" i="111"/>
  <c r="J63" i="111"/>
  <c r="AC23" i="107"/>
  <c r="M62" i="111"/>
  <c r="U23" i="107"/>
  <c r="E62" i="111"/>
  <c r="H61" i="111"/>
  <c r="K60" i="111"/>
  <c r="N59" i="111"/>
  <c r="F59" i="111"/>
  <c r="Y22" i="107"/>
  <c r="I58" i="111"/>
  <c r="L106" i="109"/>
  <c r="L106" i="101"/>
  <c r="L58" i="94"/>
  <c r="AD29" i="111" l="1"/>
  <c r="AE25" i="108"/>
  <c r="U33" i="111"/>
  <c r="Y22" i="111"/>
  <c r="W33" i="111"/>
  <c r="S30" i="111"/>
  <c r="AC26" i="111"/>
  <c r="AD27" i="111"/>
  <c r="AD25" i="111"/>
  <c r="V33" i="111"/>
  <c r="AD28" i="111"/>
  <c r="V25" i="111"/>
  <c r="AA26" i="111"/>
  <c r="Z32" i="111"/>
  <c r="S32" i="111"/>
  <c r="U23" i="111"/>
  <c r="AC28" i="111"/>
  <c r="Y25" i="111"/>
  <c r="P59" i="108"/>
  <c r="AB23" i="111"/>
  <c r="AD30" i="111"/>
  <c r="AE23" i="108"/>
  <c r="AE32" i="108"/>
  <c r="P104" i="107"/>
  <c r="V31" i="111"/>
  <c r="P84" i="107"/>
  <c r="AB28" i="111"/>
  <c r="Y27" i="111"/>
  <c r="X27" i="111"/>
  <c r="AA27" i="111"/>
  <c r="AB25" i="111"/>
  <c r="Y24" i="111"/>
  <c r="V27" i="111"/>
  <c r="V26" i="111"/>
  <c r="Z27" i="111"/>
  <c r="S24" i="111"/>
  <c r="U24" i="111"/>
  <c r="S23" i="111"/>
  <c r="X22" i="111"/>
  <c r="T24" i="111"/>
  <c r="Z24" i="111"/>
  <c r="AC25" i="111"/>
  <c r="AC23" i="111"/>
  <c r="AF24" i="107"/>
  <c r="AE31" i="107"/>
  <c r="U31" i="111"/>
  <c r="P86" i="108"/>
  <c r="AF29" i="108" s="1"/>
  <c r="U29" i="111"/>
  <c r="AC33" i="111"/>
  <c r="Z28" i="111"/>
  <c r="AD31" i="111"/>
  <c r="AA24" i="111"/>
  <c r="W31" i="111"/>
  <c r="AA32" i="111"/>
  <c r="AE30" i="107"/>
  <c r="AB26" i="111"/>
  <c r="AC24" i="111"/>
  <c r="Z23" i="111"/>
  <c r="AD26" i="111"/>
  <c r="P96" i="107"/>
  <c r="AA33" i="111"/>
  <c r="W24" i="111"/>
  <c r="W28" i="111"/>
  <c r="AE23" i="107"/>
  <c r="AB33" i="111"/>
  <c r="T31" i="111"/>
  <c r="AE26" i="108"/>
  <c r="AE22" i="108"/>
  <c r="T33" i="111"/>
  <c r="AA23" i="111"/>
  <c r="Z30" i="111"/>
  <c r="W25" i="111"/>
  <c r="T22" i="111"/>
  <c r="Y32" i="111"/>
  <c r="U27" i="111"/>
  <c r="AC31" i="111"/>
  <c r="Z26" i="111"/>
  <c r="P79" i="108"/>
  <c r="AF27" i="108" s="1"/>
  <c r="W23" i="111"/>
  <c r="S26" i="111"/>
  <c r="AF28" i="108"/>
  <c r="X23" i="111"/>
  <c r="AC22" i="111"/>
  <c r="Y23" i="111"/>
  <c r="V22" i="111"/>
  <c r="AD24" i="111"/>
  <c r="P88" i="107"/>
  <c r="AE31" i="108"/>
  <c r="S25" i="111"/>
  <c r="T29" i="111"/>
  <c r="X32" i="111"/>
  <c r="P70" i="108"/>
  <c r="AF25" i="108" s="1"/>
  <c r="AE24" i="108"/>
  <c r="AE33" i="107"/>
  <c r="AE24" i="107"/>
  <c r="U22" i="111"/>
  <c r="U25" i="111"/>
  <c r="Y28" i="111"/>
  <c r="AC29" i="111"/>
  <c r="AA22" i="111"/>
  <c r="W29" i="111"/>
  <c r="AA30" i="111"/>
  <c r="AE26" i="107"/>
  <c r="P66" i="108"/>
  <c r="P98" i="108"/>
  <c r="AF32" i="108" s="1"/>
  <c r="AB22" i="111"/>
  <c r="AB24" i="111"/>
  <c r="T32" i="111"/>
  <c r="U32" i="111"/>
  <c r="P80" i="107"/>
  <c r="P67" i="108"/>
  <c r="AE33" i="108"/>
  <c r="AA29" i="111"/>
  <c r="W22" i="111"/>
  <c r="W30" i="111"/>
  <c r="AE25" i="107"/>
  <c r="T27" i="111"/>
  <c r="X30" i="111"/>
  <c r="P94" i="107"/>
  <c r="S29" i="111"/>
  <c r="AE28" i="108"/>
  <c r="P102" i="107"/>
  <c r="AE28" i="107"/>
  <c r="Z22" i="111"/>
  <c r="V23" i="111"/>
  <c r="AE32" i="107"/>
  <c r="T30" i="111"/>
  <c r="X33" i="111"/>
  <c r="P69" i="108"/>
  <c r="U30" i="111"/>
  <c r="Y33" i="111"/>
  <c r="AD22" i="111"/>
  <c r="P72" i="107"/>
  <c r="V32" i="111"/>
  <c r="Z33" i="111"/>
  <c r="S27" i="111"/>
  <c r="T25" i="111"/>
  <c r="X28" i="111"/>
  <c r="AB31" i="111"/>
  <c r="P94" i="108"/>
  <c r="AF31" i="108" s="1"/>
  <c r="AA31" i="111"/>
  <c r="AE22" i="107"/>
  <c r="AD33" i="111"/>
  <c r="X25" i="111"/>
  <c r="Z25" i="111"/>
  <c r="Y26" i="111"/>
  <c r="AC27" i="111"/>
  <c r="P76" i="107"/>
  <c r="W27" i="111"/>
  <c r="AA28" i="111"/>
  <c r="S28" i="111"/>
  <c r="T28" i="111"/>
  <c r="P90" i="107"/>
  <c r="X31" i="111"/>
  <c r="P98" i="107"/>
  <c r="U28" i="111"/>
  <c r="AC32" i="111"/>
  <c r="P64" i="107"/>
  <c r="Z31" i="111"/>
  <c r="AA25" i="111"/>
  <c r="W32" i="111"/>
  <c r="AE27" i="107"/>
  <c r="P59" i="107"/>
  <c r="W26" i="111"/>
  <c r="T23" i="111"/>
  <c r="X26" i="111"/>
  <c r="P78" i="107"/>
  <c r="AB29" i="111"/>
  <c r="AE29" i="107"/>
  <c r="AE30" i="108"/>
  <c r="S31" i="111"/>
  <c r="V24" i="111"/>
  <c r="AD23" i="111"/>
  <c r="AF22" i="108"/>
  <c r="AF26" i="108"/>
  <c r="AF30" i="108"/>
  <c r="T26" i="111"/>
  <c r="P82" i="107"/>
  <c r="X29" i="111"/>
  <c r="AB32" i="111"/>
  <c r="U26" i="111"/>
  <c r="Y29" i="111"/>
  <c r="AC30" i="111"/>
  <c r="Y31" i="111"/>
  <c r="V28" i="111"/>
  <c r="Z29" i="111"/>
  <c r="V30" i="111"/>
  <c r="AD32" i="111"/>
  <c r="AE27" i="108"/>
  <c r="X24" i="111"/>
  <c r="P70" i="107"/>
  <c r="AB27" i="111"/>
  <c r="P62" i="108"/>
  <c r="AF23" i="108" s="1"/>
  <c r="P103" i="108"/>
  <c r="S22" i="111"/>
  <c r="S33" i="111"/>
  <c r="P105" i="108"/>
  <c r="C3" i="94"/>
  <c r="AE22" i="111" l="1"/>
  <c r="AE33" i="111"/>
  <c r="AE32" i="111"/>
  <c r="AF29" i="111"/>
  <c r="AF29" i="107"/>
  <c r="AE28" i="111"/>
  <c r="AE27" i="111"/>
  <c r="AE26" i="111"/>
  <c r="AF24" i="111"/>
  <c r="AF23" i="111"/>
  <c r="AF31" i="107"/>
  <c r="AF31" i="111"/>
  <c r="AE24" i="111"/>
  <c r="AF27" i="107"/>
  <c r="AF30" i="107"/>
  <c r="AF30" i="111"/>
  <c r="AF23" i="107"/>
  <c r="AF33" i="107"/>
  <c r="AF33" i="111"/>
  <c r="AE30" i="111"/>
  <c r="AF28" i="107"/>
  <c r="AF28" i="111"/>
  <c r="AE23" i="111"/>
  <c r="AF26" i="111"/>
  <c r="AF33" i="108"/>
  <c r="AF26" i="107"/>
  <c r="AF22" i="111"/>
  <c r="AF25" i="107"/>
  <c r="AF25" i="111"/>
  <c r="AF32" i="107"/>
  <c r="AF32" i="111"/>
  <c r="AF22" i="107"/>
  <c r="AE29" i="111"/>
  <c r="AE25" i="111"/>
  <c r="AF24" i="108"/>
  <c r="AE31" i="111"/>
  <c r="K6" i="98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AF27" i="111" l="1"/>
  <c r="K5" i="104"/>
  <c r="K5" i="108" s="1"/>
  <c r="K5" i="111" s="1"/>
  <c r="K5" i="107"/>
  <c r="K6" i="107"/>
  <c r="K6" i="104"/>
  <c r="K6" i="108" s="1"/>
  <c r="K6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Y19" i="105"/>
  <c r="X19" i="105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A19" i="103"/>
  <c r="AA27" i="103" s="1"/>
  <c r="Z19" i="103"/>
  <c r="Z27" i="103" s="1"/>
  <c r="Y19" i="103"/>
  <c r="Y27" i="103" s="1"/>
  <c r="X19" i="103"/>
  <c r="W19" i="103"/>
  <c r="W27" i="103" s="1"/>
  <c r="V19" i="103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W39" i="105" l="1"/>
  <c r="V27" i="103"/>
  <c r="AD27" i="103"/>
  <c r="Z39" i="105"/>
  <c r="U39" i="109"/>
  <c r="AB27" i="103"/>
  <c r="W27" i="99"/>
  <c r="W39" i="101"/>
  <c r="X27" i="103"/>
  <c r="Y39" i="109"/>
  <c r="AA27" i="99"/>
  <c r="X39" i="105"/>
  <c r="X26" i="98"/>
  <c r="AA26" i="95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W38" i="110" s="1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H106" i="108" s="1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G106" i="107" s="1"/>
  <c r="H10" i="107"/>
  <c r="I10" i="107"/>
  <c r="I106" i="107" s="1"/>
  <c r="J10" i="107"/>
  <c r="K10" i="107"/>
  <c r="L10" i="107"/>
  <c r="M10" i="107"/>
  <c r="M106" i="107" s="1"/>
  <c r="N10" i="107"/>
  <c r="C10" i="107"/>
  <c r="C106" i="107" s="1"/>
  <c r="I106" i="108" l="1"/>
  <c r="H106" i="107"/>
  <c r="L106" i="108"/>
  <c r="G106" i="108"/>
  <c r="F106" i="107"/>
  <c r="AF33" i="101"/>
  <c r="C106" i="108"/>
  <c r="E106" i="108"/>
  <c r="N106" i="107"/>
  <c r="E106" i="107"/>
  <c r="T26" i="103"/>
  <c r="Z26" i="95"/>
  <c r="S38" i="105"/>
  <c r="U38" i="109"/>
  <c r="N106" i="108"/>
  <c r="J106" i="108"/>
  <c r="L106" i="107"/>
  <c r="K106" i="107"/>
  <c r="S35" i="110"/>
  <c r="F106" i="108"/>
  <c r="S38" i="110"/>
  <c r="M106" i="108"/>
  <c r="D106" i="107"/>
  <c r="J106" i="107"/>
  <c r="X26" i="96"/>
  <c r="AF32" i="101"/>
  <c r="D106" i="108"/>
  <c r="K106" i="108"/>
  <c r="AF28" i="101"/>
  <c r="Y38" i="105"/>
  <c r="T19" i="108"/>
  <c r="AF25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L108" i="109" s="1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L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57" i="108" s="1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P57" i="107" s="1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AA41" i="107" s="1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L108" i="101" s="1"/>
  <c r="Y24" i="99"/>
  <c r="P106" i="101"/>
  <c r="L107" i="101" s="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AE10" i="94"/>
  <c r="AF10" i="94"/>
  <c r="P58" i="94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S42" i="110" l="1"/>
  <c r="U41" i="107"/>
  <c r="U41" i="108"/>
  <c r="O106" i="107"/>
  <c r="H108" i="107" s="1"/>
  <c r="Y41" i="107"/>
  <c r="U36" i="107"/>
  <c r="AB41" i="107"/>
  <c r="AB42" i="107" s="1"/>
  <c r="AC41" i="107"/>
  <c r="O106" i="108"/>
  <c r="H108" i="108" s="1"/>
  <c r="X41" i="108"/>
  <c r="H106" i="111"/>
  <c r="AC41" i="108"/>
  <c r="Y34" i="108"/>
  <c r="S41" i="107"/>
  <c r="S42" i="107" s="1"/>
  <c r="P106" i="108"/>
  <c r="H107" i="108" s="1"/>
  <c r="AD41" i="108"/>
  <c r="N106" i="111"/>
  <c r="K106" i="111"/>
  <c r="V41" i="108"/>
  <c r="V41" i="107"/>
  <c r="W41" i="108"/>
  <c r="AB41" i="108"/>
  <c r="AB42" i="108" s="1"/>
  <c r="P106" i="107"/>
  <c r="C107" i="107" s="1"/>
  <c r="S41" i="108"/>
  <c r="S42" i="108" s="1"/>
  <c r="AA41" i="108"/>
  <c r="Y41" i="108"/>
  <c r="AD41" i="107"/>
  <c r="T41" i="107"/>
  <c r="T41" i="108"/>
  <c r="X41" i="107"/>
  <c r="X42" i="107" s="1"/>
  <c r="S36" i="107"/>
  <c r="Z41" i="107"/>
  <c r="Z42" i="107" s="1"/>
  <c r="W41" i="107"/>
  <c r="AA42" i="110"/>
  <c r="Z41" i="108"/>
  <c r="F106" i="111"/>
  <c r="G106" i="111"/>
  <c r="I106" i="111"/>
  <c r="C106" i="111"/>
  <c r="J106" i="111"/>
  <c r="E106" i="111"/>
  <c r="M106" i="111"/>
  <c r="D106" i="111"/>
  <c r="L106" i="111"/>
  <c r="AD12" i="111"/>
  <c r="U39" i="107"/>
  <c r="X42" i="109"/>
  <c r="T12" i="111"/>
  <c r="T13" i="111"/>
  <c r="V22" i="93"/>
  <c r="AE24" i="98"/>
  <c r="V39" i="107"/>
  <c r="AF10" i="108"/>
  <c r="J107" i="109"/>
  <c r="C108" i="101"/>
  <c r="H59" i="94"/>
  <c r="L59" i="94"/>
  <c r="C60" i="94"/>
  <c r="L60" i="94"/>
  <c r="T11" i="111"/>
  <c r="V17" i="111"/>
  <c r="AA12" i="111"/>
  <c r="X14" i="111"/>
  <c r="AD11" i="111"/>
  <c r="T17" i="111"/>
  <c r="AB19" i="111"/>
  <c r="AA15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V11" i="111"/>
  <c r="X12" i="111"/>
  <c r="Z12" i="111"/>
  <c r="S10" i="111"/>
  <c r="AB36" i="108"/>
  <c r="AD37" i="108"/>
  <c r="P10" i="111"/>
  <c r="X19" i="111"/>
  <c r="W10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U20" i="111"/>
  <c r="X10" i="111"/>
  <c r="X41" i="111" s="1"/>
  <c r="T39" i="108"/>
  <c r="U10" i="111"/>
  <c r="AC10" i="111"/>
  <c r="U16" i="111"/>
  <c r="AC16" i="111"/>
  <c r="Y16" i="111"/>
  <c r="S19" i="111"/>
  <c r="AA19" i="111"/>
  <c r="Y20" i="111"/>
  <c r="U21" i="111"/>
  <c r="Y18" i="111"/>
  <c r="W21" i="111"/>
  <c r="O10" i="111"/>
  <c r="C108" i="110"/>
  <c r="AD10" i="111"/>
  <c r="X36" i="108"/>
  <c r="V34" i="108"/>
  <c r="Y10" i="111"/>
  <c r="Y11" i="111"/>
  <c r="U11" i="111"/>
  <c r="AC11" i="111"/>
  <c r="Y12" i="111"/>
  <c r="U12" i="111"/>
  <c r="AC12" i="111"/>
  <c r="Y13" i="111"/>
  <c r="U13" i="111"/>
  <c r="AC13" i="111"/>
  <c r="W14" i="111"/>
  <c r="AA14" i="111"/>
  <c r="AC15" i="111"/>
  <c r="Y15" i="111"/>
  <c r="U15" i="111"/>
  <c r="AC17" i="111"/>
  <c r="Y17" i="111"/>
  <c r="U17" i="111"/>
  <c r="U18" i="111"/>
  <c r="AC18" i="111"/>
  <c r="AC19" i="111"/>
  <c r="W19" i="111"/>
  <c r="AA20" i="111"/>
  <c r="W20" i="111"/>
  <c r="S14" i="111"/>
  <c r="S16" i="111"/>
  <c r="S20" i="111"/>
  <c r="S21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C107" i="109"/>
  <c r="E107" i="109"/>
  <c r="G107" i="109"/>
  <c r="I107" i="109"/>
  <c r="K107" i="109"/>
  <c r="D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U36" i="108"/>
  <c r="V36" i="107"/>
  <c r="AD37" i="107"/>
  <c r="AD35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E107" i="101"/>
  <c r="G107" i="101"/>
  <c r="I107" i="101"/>
  <c r="K107" i="101"/>
  <c r="D107" i="101"/>
  <c r="H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41" i="107" l="1"/>
  <c r="AD42" i="108"/>
  <c r="AC42" i="107"/>
  <c r="AD41" i="111"/>
  <c r="AF41" i="108"/>
  <c r="T42" i="108"/>
  <c r="AE41" i="108"/>
  <c r="T42" i="107"/>
  <c r="W42" i="108"/>
  <c r="Y42" i="107"/>
  <c r="Z42" i="108"/>
  <c r="AD42" i="107"/>
  <c r="V42" i="107"/>
  <c r="AC42" i="108"/>
  <c r="Y42" i="108"/>
  <c r="V42" i="108"/>
  <c r="U42" i="108"/>
  <c r="AF41" i="107"/>
  <c r="AA41" i="111"/>
  <c r="W42" i="107"/>
  <c r="AA42" i="108"/>
  <c r="X42" i="108"/>
  <c r="U42" i="107"/>
  <c r="Y41" i="111"/>
  <c r="K108" i="111"/>
  <c r="U41" i="111"/>
  <c r="AB41" i="111"/>
  <c r="V41" i="111"/>
  <c r="W41" i="111"/>
  <c r="K107" i="111"/>
  <c r="Z41" i="111"/>
  <c r="AC41" i="111"/>
  <c r="S41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X42" i="111" s="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T42" i="111" s="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AF42" i="108" s="1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A42" i="111" l="1"/>
  <c r="AD42" i="111"/>
  <c r="AE42" i="108"/>
  <c r="N107" i="111"/>
  <c r="AF42" i="107"/>
  <c r="AE42" i="107"/>
  <c r="AF34" i="111"/>
  <c r="AF41" i="111"/>
  <c r="AC42" i="111"/>
  <c r="V42" i="111"/>
  <c r="Y42" i="111"/>
  <c r="AE41" i="111"/>
  <c r="S42" i="111"/>
  <c r="Z42" i="111"/>
  <c r="W42" i="111"/>
  <c r="AB42" i="111"/>
  <c r="U42" i="111"/>
  <c r="AF3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E42" i="111" l="1"/>
  <c r="AF42" i="111"/>
</calcChain>
</file>

<file path=xl/sharedStrings.xml><?xml version="1.0" encoding="utf-8"?>
<sst xmlns="http://schemas.openxmlformats.org/spreadsheetml/2006/main" count="2324" uniqueCount="176">
  <si>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</si>
  <si>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</si>
  <si>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</si>
  <si>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</si>
  <si>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</si>
  <si>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</si>
  <si>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</si>
  <si>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</si>
  <si>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</si>
  <si>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</si>
  <si>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</si>
  <si>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</si>
  <si>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</si>
  <si>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</si>
  <si>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</si>
  <si>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</si>
  <si>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</si>
  <si>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</si>
  <si>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</si>
  <si>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</si>
  <si>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</si>
  <si>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</si>
  <si>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</si>
  <si>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</si>
  <si>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</si>
  <si>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</si>
  <si>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</si>
  <si>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</si>
  <si>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</si>
  <si>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</si>
  <si>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</si>
  <si>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</si>
  <si>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</si>
  <si>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</si>
  <si>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</si>
  <si>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</si>
  <si>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</si>
  <si>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</si>
  <si>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</si>
  <si>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</si>
  <si>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</si>
  <si>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</si>
  <si>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</si>
  <si>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</si>
  <si>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</si>
  <si>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</si>
  <si>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</si>
  <si>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</si>
  <si>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</si>
  <si>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</si>
  <si>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</si>
  <si>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</si>
  <si>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</si>
  <si>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</si>
  <si>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</si>
  <si>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</si>
  <si>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</si>
  <si>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</si>
  <si>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</si>
  <si>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</si>
  <si>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</si>
  <si>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</si>
  <si>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</si>
  <si>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</si>
  <si>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</si>
  <si>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</si>
  <si>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</si>
  <si>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</si>
  <si>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</si>
  <si>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</si>
  <si>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</si>
  <si>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</si>
  <si>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</si>
  <si>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</si>
  <si>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</si>
  <si>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</si>
  <si>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</si>
  <si>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</si>
  <si>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</si>
  <si>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</si>
  <si>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</si>
  <si>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</si>
  <si>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</si>
  <si>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</si>
  <si>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</si>
  <si>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</si>
  <si>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</si>
  <si>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</si>
  <si>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</si>
  <si>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</si>
  <si>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</si>
  <si>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</si>
  <si>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</si>
  <si>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</si>
  <si>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</si>
  <si>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</si>
  <si>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</si>
  <si>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</si>
  <si>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</si>
  <si>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</si>
  <si>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</si>
  <si>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</si>
  <si>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</si>
  <si>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</si>
  <si>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</si>
  <si>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</si>
  <si>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</si>
  <si>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</si>
  <si>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</si>
  <si>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</si>
  <si>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</si>
  <si>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</si>
  <si>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</si>
  <si>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</si>
  <si>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</si>
  <si>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</si>
  <si>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</si>
  <si>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</si>
  <si>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</si>
  <si>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</si>
  <si>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</si>
  <si>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</si>
  <si>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</si>
  <si>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</si>
  <si>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</si>
  <si>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</si>
  <si>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</si>
  <si>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</si>
  <si>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</si>
  <si>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</si>
  <si>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</si>
  <si>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</si>
  <si>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</si>
  <si>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</si>
  <si>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</si>
  <si>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</si>
  <si>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</si>
  <si>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</si>
  <si>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</si>
  <si>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</si>
  <si>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</si>
  <si>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</si>
  <si>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</si>
  <si>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</si>
  <si>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</si>
  <si>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</si>
  <si>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</si>
  <si>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</si>
  <si>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</si>
  <si>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</si>
  <si>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</si>
  <si>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</si>
  <si>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</si>
  <si>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</si>
  <si>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</si>
  <si>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</si>
  <si>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</si>
  <si>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</si>
  <si>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</si>
  <si>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</si>
  <si>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</si>
  <si>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</si>
  <si>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xxx</t>
  </si>
  <si>
    <t>AVERAGE WEEK</t>
  </si>
  <si>
    <t>19.08.19</t>
  </si>
  <si>
    <t>MCC - C3 - STN92 - NALUBAALE ROAD</t>
  </si>
  <si>
    <t>Kampala</t>
  </si>
  <si>
    <t>20.08.19</t>
  </si>
  <si>
    <t>21.08.19</t>
  </si>
  <si>
    <t>22.08.19</t>
  </si>
  <si>
    <t>23.08.19</t>
  </si>
  <si>
    <t>24.08.19</t>
  </si>
  <si>
    <t>25.08.19</t>
  </si>
  <si>
    <t>Bukaya</t>
  </si>
  <si>
    <t>Nyenga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</si>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</sst>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'19.08 Kampala-Bukaya'!$AE$9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Kampala-Bukaya'!$AE$10:$AE$21</c:f>
              <c:numCache>
                <c:formatCode>0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32</c:v>
                </c:pt>
                <c:pt idx="3">
                  <c:v>39</c:v>
                </c:pt>
                <c:pt idx="4">
                  <c:v>48</c:v>
                </c:pt>
                <c:pt idx="5">
                  <c:v>47</c:v>
                </c:pt>
                <c:pt idx="6">
                  <c:v>56</c:v>
                </c:pt>
                <c:pt idx="7">
                  <c:v>47</c:v>
                </c:pt>
                <c:pt idx="8">
                  <c:v>40</c:v>
                </c:pt>
                <c:pt idx="9">
                  <c:v>30</c:v>
                </c:pt>
                <c:pt idx="10">
                  <c:v>41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'19.08 Kampala-Bukaya'!$AF$9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Kampala-Bukaya'!$AF$10:$AF$21</c:f>
              <c:numCache>
                <c:formatCode>0</c:formatCode>
                <c:ptCount val="12"/>
                <c:pt idx="0">
                  <c:v>73</c:v>
                </c:pt>
                <c:pt idx="1">
                  <c:v>81</c:v>
                </c:pt>
                <c:pt idx="2">
                  <c:v>118</c:v>
                </c:pt>
                <c:pt idx="3">
                  <c:v>122</c:v>
                </c:pt>
                <c:pt idx="4">
                  <c:v>135</c:v>
                </c:pt>
                <c:pt idx="5">
                  <c:v>132</c:v>
                </c:pt>
                <c:pt idx="6">
                  <c:v>135</c:v>
                </c:pt>
                <c:pt idx="7">
                  <c:v>134</c:v>
                </c:pt>
                <c:pt idx="8">
                  <c:v>122</c:v>
                </c:pt>
                <c:pt idx="9">
                  <c:v>138</c:v>
                </c:pt>
                <c:pt idx="10">
                  <c:v>142</c:v>
                </c:pt>
                <c:pt idx="11">
                  <c:v>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356480"/>
        <c:axId val="327359224"/>
      </c:lineChart>
      <c:catAx>
        <c:axId val="327356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27359224"/>
        <c:crosses val="autoZero"/>
        <c:auto val="1"/>
        <c:lblAlgn val="ctr"/>
        <c:lblOffset val="100"/>
        <c:noMultiLvlLbl val="0"/>
      </c:catAx>
      <c:valAx>
        <c:axId val="327359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2735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'19.08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'19.08 Kampala-Bukaya'!$C$59:$N$59</c:f>
              <c:numCache>
                <c:formatCode>0.0%</c:formatCode>
                <c:ptCount val="12"/>
                <c:pt idx="0">
                  <c:v>9.4314381270903011E-2</c:v>
                </c:pt>
                <c:pt idx="1">
                  <c:v>0</c:v>
                </c:pt>
                <c:pt idx="2">
                  <c:v>8.2274247491638794E-2</c:v>
                </c:pt>
                <c:pt idx="3">
                  <c:v>6.354515050167224E-2</c:v>
                </c:pt>
                <c:pt idx="4">
                  <c:v>6.6889632107023408E-4</c:v>
                </c:pt>
                <c:pt idx="5">
                  <c:v>0</c:v>
                </c:pt>
                <c:pt idx="6">
                  <c:v>6.0200668896321072E-2</c:v>
                </c:pt>
                <c:pt idx="7">
                  <c:v>1.3377926421404682E-3</c:v>
                </c:pt>
                <c:pt idx="8">
                  <c:v>6.688963210702341E-3</c:v>
                </c:pt>
                <c:pt idx="9">
                  <c:v>1.3377926421404682E-3</c:v>
                </c:pt>
                <c:pt idx="10">
                  <c:v>0.68896321070234112</c:v>
                </c:pt>
                <c:pt idx="11">
                  <c:v>6.6889632107023408E-4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'19.08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'19.08 Kampala-Bukaya'!$C$60:$N$60</c:f>
              <c:numCache>
                <c:formatCode>0.00%</c:formatCode>
                <c:ptCount val="12"/>
                <c:pt idx="0">
                  <c:v>0.3032258064516129</c:v>
                </c:pt>
                <c:pt idx="1">
                  <c:v>0</c:v>
                </c:pt>
                <c:pt idx="2">
                  <c:v>0.26451612903225807</c:v>
                </c:pt>
                <c:pt idx="3">
                  <c:v>0.20430107526881722</c:v>
                </c:pt>
                <c:pt idx="4">
                  <c:v>2.1505376344086021E-3</c:v>
                </c:pt>
                <c:pt idx="5">
                  <c:v>0</c:v>
                </c:pt>
                <c:pt idx="6">
                  <c:v>0.19354838709677419</c:v>
                </c:pt>
                <c:pt idx="7">
                  <c:v>4.3010752688172043E-3</c:v>
                </c:pt>
                <c:pt idx="8">
                  <c:v>2.1505376344086023E-2</c:v>
                </c:pt>
                <c:pt idx="9">
                  <c:v>4.3010752688172043E-3</c:v>
                </c:pt>
                <c:pt idx="11">
                  <c:v>2.1505376344086021E-3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'19.08 Bukaya-Kampala'!$AE$9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Bukaya-Kampala'!$AE$10:$AE$21</c:f>
              <c:numCache>
                <c:formatCode>0</c:formatCode>
                <c:ptCount val="12"/>
                <c:pt idx="0">
                  <c:v>12</c:v>
                </c:pt>
                <c:pt idx="1">
                  <c:v>17</c:v>
                </c:pt>
                <c:pt idx="2">
                  <c:v>18</c:v>
                </c:pt>
                <c:pt idx="3">
                  <c:v>17</c:v>
                </c:pt>
                <c:pt idx="4">
                  <c:v>28</c:v>
                </c:pt>
                <c:pt idx="5">
                  <c:v>23</c:v>
                </c:pt>
                <c:pt idx="6">
                  <c:v>21</c:v>
                </c:pt>
                <c:pt idx="7">
                  <c:v>35</c:v>
                </c:pt>
                <c:pt idx="8">
                  <c:v>36</c:v>
                </c:pt>
                <c:pt idx="9">
                  <c:v>51</c:v>
                </c:pt>
                <c:pt idx="10">
                  <c:v>75</c:v>
                </c:pt>
                <c:pt idx="11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'19.08 Bukaya-Kampala'!$AF$9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Bukaya-Kampala'!$AF$10:$AF$21</c:f>
              <c:numCache>
                <c:formatCode>0</c:formatCode>
                <c:ptCount val="12"/>
                <c:pt idx="0">
                  <c:v>76</c:v>
                </c:pt>
                <c:pt idx="1">
                  <c:v>81</c:v>
                </c:pt>
                <c:pt idx="2">
                  <c:v>87</c:v>
                </c:pt>
                <c:pt idx="3">
                  <c:v>93</c:v>
                </c:pt>
                <c:pt idx="4">
                  <c:v>105</c:v>
                </c:pt>
                <c:pt idx="5">
                  <c:v>101</c:v>
                </c:pt>
                <c:pt idx="6">
                  <c:v>96</c:v>
                </c:pt>
                <c:pt idx="7">
                  <c:v>129</c:v>
                </c:pt>
                <c:pt idx="8">
                  <c:v>127</c:v>
                </c:pt>
                <c:pt idx="9">
                  <c:v>147</c:v>
                </c:pt>
                <c:pt idx="10">
                  <c:v>204</c:v>
                </c:pt>
                <c:pt idx="11">
                  <c:v>190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363928"/>
        <c:axId val="327356872"/>
      </c:lineChart>
      <c:catAx>
        <c:axId val="3273639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27356872"/>
        <c:crosses val="autoZero"/>
        <c:auto val="1"/>
        <c:lblAlgn val="ctr"/>
        <c:lblOffset val="100"/>
        <c:noMultiLvlLbl val="0"/>
      </c:catAx>
      <c:valAx>
        <c:axId val="327356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2736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'19.08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'19.08 Bukaya-Kampala'!$C$59:$N$59</c:f>
              <c:numCache>
                <c:formatCode>0.0%</c:formatCode>
                <c:ptCount val="12"/>
                <c:pt idx="0">
                  <c:v>7.4512534818941503E-2</c:v>
                </c:pt>
                <c:pt idx="1">
                  <c:v>0</c:v>
                </c:pt>
                <c:pt idx="2">
                  <c:v>8.1476323119777164E-2</c:v>
                </c:pt>
                <c:pt idx="3">
                  <c:v>6.1977715877437327E-2</c:v>
                </c:pt>
                <c:pt idx="4">
                  <c:v>1.3927576601671309E-3</c:v>
                </c:pt>
                <c:pt idx="5">
                  <c:v>0</c:v>
                </c:pt>
                <c:pt idx="6">
                  <c:v>5.1532033426183843E-2</c:v>
                </c:pt>
                <c:pt idx="7">
                  <c:v>1.3927576601671309E-3</c:v>
                </c:pt>
                <c:pt idx="8">
                  <c:v>5.5710306406685237E-3</c:v>
                </c:pt>
                <c:pt idx="9">
                  <c:v>6.9637883008356546E-4</c:v>
                </c:pt>
                <c:pt idx="10">
                  <c:v>0.7214484679665738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'19.08 Bukaya-Kampala'!$S$9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'19.08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Bukaya-Kampala'!$S$10:$S$21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9</c:v>
                </c:pt>
                <c:pt idx="5">
                  <c:v>4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24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'19.08 Bukaya-Kampala'!$T$9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'19.08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Bukaya-Kampala'!$T$10:$T$21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'19.08 Bukaya-Kampala'!$U$9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'19.08 Bukaya-Kampala'!$U$10:$U$21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11</c:v>
                </c:pt>
                <c:pt idx="8">
                  <c:v>9</c:v>
                </c:pt>
                <c:pt idx="9">
                  <c:v>21</c:v>
                </c:pt>
                <c:pt idx="10">
                  <c:v>26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'19.08 Bukaya-Kampala'!$V$9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'19.08 Bukaya-Kampala'!$V$10:$V$21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5</c:v>
                </c:pt>
                <c:pt idx="9">
                  <c:v>9</c:v>
                </c:pt>
                <c:pt idx="10">
                  <c:v>17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'19.08 Bukaya-Kampala'!$W$9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'19.08 Bukaya-Kampala'!$W$10:$W$21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'19.08 Bukaya-Kampala'!$X$9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'19.08 Bukaya-Kampala'!$X$10:$X$21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'19.08 Bukaya-Kampala'!$Y$9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Bukaya-Kampala'!$Y$10:$Y$21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8</c:v>
                </c:pt>
                <c:pt idx="5">
                  <c:v>4</c:v>
                </c:pt>
                <c:pt idx="6">
                  <c:v>4</c:v>
                </c:pt>
                <c:pt idx="7">
                  <c:v>10</c:v>
                </c:pt>
                <c:pt idx="8">
                  <c:v>8</c:v>
                </c:pt>
                <c:pt idx="9">
                  <c:v>11</c:v>
                </c:pt>
                <c:pt idx="10">
                  <c:v>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'19.08 Bukaya-Kampala'!$Z$9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Bukaya-Kampala'!$Z$10:$Z$21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'19.08 Bukaya-Kampala'!$AA$9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Bukaya-Kampala'!$AA$10:$AA$21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'19.08 Bukaya-Kampala'!$AB$9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Bukaya-Kampala'!$AB$10:$AB$21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'19.08 Bukaya-Kampala'!$AC$9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Bukaya-Kampala'!$AC$10:$AC$21</c:f>
              <c:numCache>
                <c:formatCode>0</c:formatCode>
                <c:ptCount val="12"/>
                <c:pt idx="0">
                  <c:v>64</c:v>
                </c:pt>
                <c:pt idx="1">
                  <c:v>64</c:v>
                </c:pt>
                <c:pt idx="2">
                  <c:v>69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75</c:v>
                </c:pt>
                <c:pt idx="7">
                  <c:v>94</c:v>
                </c:pt>
                <c:pt idx="8">
                  <c:v>91</c:v>
                </c:pt>
                <c:pt idx="9">
                  <c:v>96</c:v>
                </c:pt>
                <c:pt idx="10">
                  <c:v>129</c:v>
                </c:pt>
                <c:pt idx="11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'19.08 Bukaya-Kampala'!$AD$9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Bukaya-Kampala'!$AD$10:$AD$21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347688"/>
        <c:axId val="388343376"/>
      </c:lineChart>
      <c:catAx>
        <c:axId val="388347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88343376"/>
        <c:crosses val="autoZero"/>
        <c:auto val="1"/>
        <c:lblAlgn val="ctr"/>
        <c:lblOffset val="100"/>
        <c:noMultiLvlLbl val="0"/>
      </c:catAx>
      <c:valAx>
        <c:axId val="3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8834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'19.08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'19.08 Bukaya-Kampala'!$C$60:$N$60</c:f>
              <c:numCache>
                <c:formatCode>0.00%</c:formatCode>
                <c:ptCount val="12"/>
                <c:pt idx="0">
                  <c:v>0.26750000000000002</c:v>
                </c:pt>
                <c:pt idx="1">
                  <c:v>0</c:v>
                </c:pt>
                <c:pt idx="2">
                  <c:v>0.29249999999999998</c:v>
                </c:pt>
                <c:pt idx="3">
                  <c:v>0.2225</c:v>
                </c:pt>
                <c:pt idx="4">
                  <c:v>5.0000000000000001E-3</c:v>
                </c:pt>
                <c:pt idx="5">
                  <c:v>0</c:v>
                </c:pt>
                <c:pt idx="6">
                  <c:v>0.185</c:v>
                </c:pt>
                <c:pt idx="7">
                  <c:v>5.0000000000000001E-3</c:v>
                </c:pt>
                <c:pt idx="8">
                  <c:v>0.02</c:v>
                </c:pt>
                <c:pt idx="9">
                  <c:v>2.5000000000000001E-3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'20.08 Kampala-Bukaya'!$AE$9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Kampala-Bukaya'!$AE$10:$AE$21</c:f>
              <c:numCache>
                <c:formatCode>0</c:formatCode>
                <c:ptCount val="12"/>
                <c:pt idx="0">
                  <c:v>21</c:v>
                </c:pt>
                <c:pt idx="1">
                  <c:v>27</c:v>
                </c:pt>
                <c:pt idx="2">
                  <c:v>28</c:v>
                </c:pt>
                <c:pt idx="3">
                  <c:v>47</c:v>
                </c:pt>
                <c:pt idx="4">
                  <c:v>47</c:v>
                </c:pt>
                <c:pt idx="5">
                  <c:v>38</c:v>
                </c:pt>
                <c:pt idx="6">
                  <c:v>48</c:v>
                </c:pt>
                <c:pt idx="7">
                  <c:v>44</c:v>
                </c:pt>
                <c:pt idx="8">
                  <c:v>41</c:v>
                </c:pt>
                <c:pt idx="9">
                  <c:v>35</c:v>
                </c:pt>
                <c:pt idx="10">
                  <c:v>36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'20.08 Kampala-Bukaya'!$AF$9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Kampala-Bukaya'!$AF$10:$AF$21</c:f>
              <c:numCache>
                <c:formatCode>0</c:formatCode>
                <c:ptCount val="12"/>
                <c:pt idx="0">
                  <c:v>75</c:v>
                </c:pt>
                <c:pt idx="1">
                  <c:v>98</c:v>
                </c:pt>
                <c:pt idx="2">
                  <c:v>98</c:v>
                </c:pt>
                <c:pt idx="3">
                  <c:v>131</c:v>
                </c:pt>
                <c:pt idx="4">
                  <c:v>132</c:v>
                </c:pt>
                <c:pt idx="5">
                  <c:v>118</c:v>
                </c:pt>
                <c:pt idx="6">
                  <c:v>94</c:v>
                </c:pt>
                <c:pt idx="7">
                  <c:v>122</c:v>
                </c:pt>
                <c:pt idx="8">
                  <c:v>130</c:v>
                </c:pt>
                <c:pt idx="9">
                  <c:v>124</c:v>
                </c:pt>
                <c:pt idx="10">
                  <c:v>134</c:v>
                </c:pt>
                <c:pt idx="11">
                  <c:v>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342592"/>
        <c:axId val="388345728"/>
      </c:lineChart>
      <c:catAx>
        <c:axId val="3883425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88345728"/>
        <c:crosses val="autoZero"/>
        <c:auto val="1"/>
        <c:lblAlgn val="ctr"/>
        <c:lblOffset val="100"/>
        <c:noMultiLvlLbl val="0"/>
      </c:catAx>
      <c:valAx>
        <c:axId val="388345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8834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'20.08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'20.08 Kampala-Bukaya'!$C$59:$N$59</c:f>
              <c:numCache>
                <c:formatCode>0.0%</c:formatCode>
                <c:ptCount val="12"/>
                <c:pt idx="0">
                  <c:v>8.2788671023965144E-2</c:v>
                </c:pt>
                <c:pt idx="1">
                  <c:v>0</c:v>
                </c:pt>
                <c:pt idx="2">
                  <c:v>9.586056644880174E-2</c:v>
                </c:pt>
                <c:pt idx="3">
                  <c:v>5.8097312999273787E-2</c:v>
                </c:pt>
                <c:pt idx="4">
                  <c:v>2.1786492374727671E-3</c:v>
                </c:pt>
                <c:pt idx="5">
                  <c:v>3.6310820624546117E-3</c:v>
                </c:pt>
                <c:pt idx="6">
                  <c:v>6.9716775599128547E-2</c:v>
                </c:pt>
                <c:pt idx="7">
                  <c:v>1.4524328249818446E-3</c:v>
                </c:pt>
                <c:pt idx="8">
                  <c:v>4.3572984749455342E-3</c:v>
                </c:pt>
                <c:pt idx="9">
                  <c:v>0</c:v>
                </c:pt>
                <c:pt idx="10">
                  <c:v>0.68046477850399423</c:v>
                </c:pt>
                <c:pt idx="11">
                  <c:v>1.4524328249818446E-3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'20.08 Kampala-Bukaya'!$S$9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Kampala-Bukaya'!$S$10:$S$21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'20.08 Kampala-Bukaya'!$T$9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Kampala-Bukaya'!$T$10:$T$21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'20.08 Kampala-Bukaya'!$U$9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'20.08 Kampala-Bukaya'!$U$10:$U$21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14</c:v>
                </c:pt>
                <c:pt idx="4">
                  <c:v>17</c:v>
                </c:pt>
                <c:pt idx="5">
                  <c:v>15</c:v>
                </c:pt>
                <c:pt idx="6">
                  <c:v>17</c:v>
                </c:pt>
                <c:pt idx="7">
                  <c:v>12</c:v>
                </c:pt>
                <c:pt idx="8">
                  <c:v>13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'20.08 Kampala-Bukaya'!$V$9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'20.08 Kampala-Bukaya'!$V$10:$V$21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5</c:v>
                </c:pt>
                <c:pt idx="7">
                  <c:v>10</c:v>
                </c:pt>
                <c:pt idx="8">
                  <c:v>7</c:v>
                </c:pt>
                <c:pt idx="9">
                  <c:v>6</c:v>
                </c:pt>
                <c:pt idx="10">
                  <c:v>11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'20.08 Kampala-Bukaya'!$W$9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'20.08 Kampala-Bukaya'!$W$10:$W$21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'20.08 Kampala-Bukaya'!$X$9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'20.08 Kampala-Bukaya'!$X$10:$X$21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'20.08 Kampala-Bukaya'!$Y$9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Kampala-Bukaya'!$Y$10:$Y$21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13</c:v>
                </c:pt>
                <c:pt idx="4">
                  <c:v>11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'20.08 Kampala-Bukaya'!$Z$9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Kampala-Bukaya'!$Z$10:$Z$21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'20.08 Kampala-Bukaya'!$AA$9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Kampala-Bukaya'!$AA$10:$AA$21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'20.08 Kampala-Bukaya'!$AB$9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Kampala-Bukaya'!$AB$10:$AB$21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'20.08 Kampala-Bukaya'!$AC$9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Kampala-Bukaya'!$AC$10:$AC$21</c:f>
              <c:numCache>
                <c:formatCode>0</c:formatCode>
                <c:ptCount val="12"/>
                <c:pt idx="0">
                  <c:v>54</c:v>
                </c:pt>
                <c:pt idx="1">
                  <c:v>71</c:v>
                </c:pt>
                <c:pt idx="2">
                  <c:v>70</c:v>
                </c:pt>
                <c:pt idx="3">
                  <c:v>84</c:v>
                </c:pt>
                <c:pt idx="4">
                  <c:v>85</c:v>
                </c:pt>
                <c:pt idx="5">
                  <c:v>80</c:v>
                </c:pt>
                <c:pt idx="6">
                  <c:v>46</c:v>
                </c:pt>
                <c:pt idx="7">
                  <c:v>78</c:v>
                </c:pt>
                <c:pt idx="8">
                  <c:v>89</c:v>
                </c:pt>
                <c:pt idx="9">
                  <c:v>89</c:v>
                </c:pt>
                <c:pt idx="10">
                  <c:v>98</c:v>
                </c:pt>
                <c:pt idx="11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'20.08 Kampala-Bukaya'!$AD$9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Kampala-Bukaya'!$AD$10:$AD$21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341808"/>
        <c:axId val="388348472"/>
      </c:lineChart>
      <c:catAx>
        <c:axId val="38834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88348472"/>
        <c:crosses val="autoZero"/>
        <c:auto val="1"/>
        <c:lblAlgn val="ctr"/>
        <c:lblOffset val="100"/>
        <c:noMultiLvlLbl val="0"/>
      </c:catAx>
      <c:valAx>
        <c:axId val="38834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8834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'20.08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'20.08 Kampala-Bukaya'!$C$60:$N$60</c:f>
              <c:numCache>
                <c:formatCode>0.00%</c:formatCode>
                <c:ptCount val="12"/>
                <c:pt idx="0">
                  <c:v>0.25909090909090909</c:v>
                </c:pt>
                <c:pt idx="1">
                  <c:v>0</c:v>
                </c:pt>
                <c:pt idx="2">
                  <c:v>0.3</c:v>
                </c:pt>
                <c:pt idx="3">
                  <c:v>0.18181818181818182</c:v>
                </c:pt>
                <c:pt idx="4">
                  <c:v>6.8181818181818179E-3</c:v>
                </c:pt>
                <c:pt idx="5">
                  <c:v>1.1363636363636364E-2</c:v>
                </c:pt>
                <c:pt idx="6">
                  <c:v>0.21818181818181817</c:v>
                </c:pt>
                <c:pt idx="7">
                  <c:v>4.5454545454545452E-3</c:v>
                </c:pt>
                <c:pt idx="8">
                  <c:v>1.3636363636363636E-2</c:v>
                </c:pt>
                <c:pt idx="9">
                  <c:v>0</c:v>
                </c:pt>
                <c:pt idx="11">
                  <c:v>4.5454545454545452E-3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'20.08 Bukaya-Kampala'!$AE$9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Bukaya-Kampala'!$AE$10:$AE$21</c:f>
              <c:numCache>
                <c:formatCode>0</c:formatCode>
                <c:ptCount val="12"/>
                <c:pt idx="0">
                  <c:v>12</c:v>
                </c:pt>
                <c:pt idx="1">
                  <c:v>21</c:v>
                </c:pt>
                <c:pt idx="2">
                  <c:v>19</c:v>
                </c:pt>
                <c:pt idx="3">
                  <c:v>25</c:v>
                </c:pt>
                <c:pt idx="4">
                  <c:v>26</c:v>
                </c:pt>
                <c:pt idx="5">
                  <c:v>26</c:v>
                </c:pt>
                <c:pt idx="6">
                  <c:v>31</c:v>
                </c:pt>
                <c:pt idx="7">
                  <c:v>26</c:v>
                </c:pt>
                <c:pt idx="8">
                  <c:v>44</c:v>
                </c:pt>
                <c:pt idx="9">
                  <c:v>41</c:v>
                </c:pt>
                <c:pt idx="10">
                  <c:v>67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'20.08 Bukaya-Kampala'!$AF$9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Bukaya-Kampala'!$AF$10:$AF$21</c:f>
              <c:numCache>
                <c:formatCode>0</c:formatCode>
                <c:ptCount val="12"/>
                <c:pt idx="0">
                  <c:v>60</c:v>
                </c:pt>
                <c:pt idx="1">
                  <c:v>81</c:v>
                </c:pt>
                <c:pt idx="2">
                  <c:v>82</c:v>
                </c:pt>
                <c:pt idx="3">
                  <c:v>106</c:v>
                </c:pt>
                <c:pt idx="4">
                  <c:v>101</c:v>
                </c:pt>
                <c:pt idx="5">
                  <c:v>120</c:v>
                </c:pt>
                <c:pt idx="6">
                  <c:v>98</c:v>
                </c:pt>
                <c:pt idx="7">
                  <c:v>126</c:v>
                </c:pt>
                <c:pt idx="8">
                  <c:v>126</c:v>
                </c:pt>
                <c:pt idx="9">
                  <c:v>130</c:v>
                </c:pt>
                <c:pt idx="10">
                  <c:v>158</c:v>
                </c:pt>
                <c:pt idx="11">
                  <c:v>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346904"/>
        <c:axId val="388346512"/>
      </c:lineChart>
      <c:catAx>
        <c:axId val="388346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88346512"/>
        <c:crosses val="autoZero"/>
        <c:auto val="1"/>
        <c:lblAlgn val="ctr"/>
        <c:lblOffset val="100"/>
        <c:noMultiLvlLbl val="0"/>
      </c:catAx>
      <c:valAx>
        <c:axId val="388346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8834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'20.08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'20.08 Bukaya-Kampala'!$C$59:$N$59</c:f>
              <c:numCache>
                <c:formatCode>0.0%</c:formatCode>
                <c:ptCount val="12"/>
                <c:pt idx="0">
                  <c:v>6.8679245283018872E-2</c:v>
                </c:pt>
                <c:pt idx="1">
                  <c:v>0</c:v>
                </c:pt>
                <c:pt idx="2">
                  <c:v>8.0754716981132069E-2</c:v>
                </c:pt>
                <c:pt idx="3">
                  <c:v>6.1132075471698112E-2</c:v>
                </c:pt>
                <c:pt idx="4">
                  <c:v>3.0188679245283017E-3</c:v>
                </c:pt>
                <c:pt idx="5">
                  <c:v>0</c:v>
                </c:pt>
                <c:pt idx="6">
                  <c:v>6.4905660377358496E-2</c:v>
                </c:pt>
                <c:pt idx="7">
                  <c:v>3.0188679245283017E-3</c:v>
                </c:pt>
                <c:pt idx="8">
                  <c:v>6.0377358490566035E-3</c:v>
                </c:pt>
                <c:pt idx="9">
                  <c:v>0</c:v>
                </c:pt>
                <c:pt idx="10">
                  <c:v>0.71169811320754717</c:v>
                </c:pt>
                <c:pt idx="11">
                  <c:v>7.5471698113207543E-4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'20.08 Bukaya-Kampala'!$S$9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Bukaya-Kampala'!$S$10:$S$21</c:f>
              <c:numCache>
                <c:formatCode>0</c:formatCode>
                <c:ptCount val="12"/>
                <c:pt idx="0">
                  <c:v>3</c:v>
                </c:pt>
                <c:pt idx="1">
                  <c:v>9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22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'20.08 Bukaya-Kampala'!$T$9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Bukaya-Kampala'!$T$10:$T$21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'20.08 Bukaya-Kampala'!$U$9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'20.08 Bukaya-Kampala'!$U$10:$U$21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12</c:v>
                </c:pt>
                <c:pt idx="7">
                  <c:v>6</c:v>
                </c:pt>
                <c:pt idx="8">
                  <c:v>17</c:v>
                </c:pt>
                <c:pt idx="9">
                  <c:v>10</c:v>
                </c:pt>
                <c:pt idx="10">
                  <c:v>19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'20.08 Bukaya-Kampala'!$V$9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'20.08 Bukaya-Kampala'!$V$10:$V$21</c:f>
              <c:numCache>
                <c:formatCode>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6</c:v>
                </c:pt>
                <c:pt idx="9">
                  <c:v>10</c:v>
                </c:pt>
                <c:pt idx="10">
                  <c:v>14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'20.08 Bukaya-Kampala'!$W$9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'20.08 Bukaya-Kampala'!$W$10:$W$21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'20.08 Bukaya-Kampala'!$X$9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'20.08 Bukaya-Kampala'!$X$10:$X$21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'20.08 Bukaya-Kampala'!$Y$9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Bukaya-Kampala'!$Y$10:$Y$21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8</c:v>
                </c:pt>
                <c:pt idx="6">
                  <c:v>5</c:v>
                </c:pt>
                <c:pt idx="7">
                  <c:v>3</c:v>
                </c:pt>
                <c:pt idx="8">
                  <c:v>12</c:v>
                </c:pt>
                <c:pt idx="9">
                  <c:v>13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'20.08 Bukaya-Kampala'!$Z$9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Bukaya-Kampala'!$Z$10:$Z$21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'20.08 Bukaya-Kampala'!$AA$9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Bukaya-Kampala'!$AA$10:$AA$21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'20.08 Bukaya-Kampala'!$AB$9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Bukaya-Kampala'!$AB$10:$AB$21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'20.08 Bukaya-Kampala'!$AC$9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Bukaya-Kampala'!$AC$10:$AC$21</c:f>
              <c:numCache>
                <c:formatCode>0</c:formatCode>
                <c:ptCount val="12"/>
                <c:pt idx="0">
                  <c:v>48</c:v>
                </c:pt>
                <c:pt idx="1">
                  <c:v>60</c:v>
                </c:pt>
                <c:pt idx="2">
                  <c:v>63</c:v>
                </c:pt>
                <c:pt idx="3">
                  <c:v>81</c:v>
                </c:pt>
                <c:pt idx="4">
                  <c:v>75</c:v>
                </c:pt>
                <c:pt idx="5">
                  <c:v>94</c:v>
                </c:pt>
                <c:pt idx="6">
                  <c:v>67</c:v>
                </c:pt>
                <c:pt idx="7">
                  <c:v>100</c:v>
                </c:pt>
                <c:pt idx="8">
                  <c:v>82</c:v>
                </c:pt>
                <c:pt idx="9">
                  <c:v>89</c:v>
                </c:pt>
                <c:pt idx="10">
                  <c:v>91</c:v>
                </c:pt>
                <c:pt idx="11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'20.08 Bukaya-Kampala'!$AD$9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Bukaya-Kampala'!$AD$10:$AD$21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348864"/>
        <c:axId val="358278600"/>
      </c:lineChart>
      <c:catAx>
        <c:axId val="38834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58278600"/>
        <c:crosses val="autoZero"/>
        <c:auto val="1"/>
        <c:lblAlgn val="ctr"/>
        <c:lblOffset val="100"/>
        <c:noMultiLvlLbl val="0"/>
      </c:catAx>
      <c:valAx>
        <c:axId val="35827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883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'20.08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'20.08 Bukaya-Kampala'!$C$60:$N$60</c:f>
              <c:numCache>
                <c:formatCode>0.00%</c:formatCode>
                <c:ptCount val="12"/>
                <c:pt idx="0">
                  <c:v>0.23821989528795812</c:v>
                </c:pt>
                <c:pt idx="1">
                  <c:v>0</c:v>
                </c:pt>
                <c:pt idx="2">
                  <c:v>0.28010471204188481</c:v>
                </c:pt>
                <c:pt idx="3">
                  <c:v>0.21204188481675393</c:v>
                </c:pt>
                <c:pt idx="4">
                  <c:v>1.0471204188481676E-2</c:v>
                </c:pt>
                <c:pt idx="5">
                  <c:v>0</c:v>
                </c:pt>
                <c:pt idx="6">
                  <c:v>0.22513089005235601</c:v>
                </c:pt>
                <c:pt idx="7">
                  <c:v>1.0471204188481676E-2</c:v>
                </c:pt>
                <c:pt idx="8">
                  <c:v>2.0942408376963352E-2</c:v>
                </c:pt>
                <c:pt idx="9">
                  <c:v>0</c:v>
                </c:pt>
                <c:pt idx="11">
                  <c:v>2.617801047120419E-3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'21.08 Kampala-Bukaya'!$AE$9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Kampala-Bukaya'!$AE$10:$AE$21</c:f>
              <c:numCache>
                <c:formatCode>0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43</c:v>
                </c:pt>
                <c:pt idx="3">
                  <c:v>30</c:v>
                </c:pt>
                <c:pt idx="4">
                  <c:v>24</c:v>
                </c:pt>
                <c:pt idx="5">
                  <c:v>38</c:v>
                </c:pt>
                <c:pt idx="6">
                  <c:v>49</c:v>
                </c:pt>
                <c:pt idx="7">
                  <c:v>37</c:v>
                </c:pt>
                <c:pt idx="8">
                  <c:v>37</c:v>
                </c:pt>
                <c:pt idx="9">
                  <c:v>40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'21.08 Kampala-Bukaya'!$AF$9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Kampala-Bukaya'!$AF$10:$AF$21</c:f>
              <c:numCache>
                <c:formatCode>0</c:formatCode>
                <c:ptCount val="12"/>
                <c:pt idx="0">
                  <c:v>64</c:v>
                </c:pt>
                <c:pt idx="1">
                  <c:v>92</c:v>
                </c:pt>
                <c:pt idx="2">
                  <c:v>94</c:v>
                </c:pt>
                <c:pt idx="3">
                  <c:v>100</c:v>
                </c:pt>
                <c:pt idx="4">
                  <c:v>95</c:v>
                </c:pt>
                <c:pt idx="5">
                  <c:v>117</c:v>
                </c:pt>
                <c:pt idx="6">
                  <c:v>133</c:v>
                </c:pt>
                <c:pt idx="7">
                  <c:v>108</c:v>
                </c:pt>
                <c:pt idx="8">
                  <c:v>92</c:v>
                </c:pt>
                <c:pt idx="9">
                  <c:v>138</c:v>
                </c:pt>
                <c:pt idx="10">
                  <c:v>86</c:v>
                </c:pt>
                <c:pt idx="11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544768"/>
        <c:axId val="466545552"/>
      </c:lineChart>
      <c:catAx>
        <c:axId val="466544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545552"/>
        <c:crosses val="autoZero"/>
        <c:auto val="1"/>
        <c:lblAlgn val="ctr"/>
        <c:lblOffset val="100"/>
        <c:noMultiLvlLbl val="0"/>
      </c:catAx>
      <c:valAx>
        <c:axId val="466545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54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'21.08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'21.08 Kampala-Bukaya'!$C$59:$N$59</c:f>
              <c:numCache>
                <c:formatCode>0.0%</c:formatCode>
                <c:ptCount val="12"/>
                <c:pt idx="0">
                  <c:v>9.5316351684470002E-2</c:v>
                </c:pt>
                <c:pt idx="1">
                  <c:v>0</c:v>
                </c:pt>
                <c:pt idx="2">
                  <c:v>7.4774034511092852E-2</c:v>
                </c:pt>
                <c:pt idx="3">
                  <c:v>6.8200493015612165E-2</c:v>
                </c:pt>
                <c:pt idx="4">
                  <c:v>6.5735414954806899E-3</c:v>
                </c:pt>
                <c:pt idx="5">
                  <c:v>8.2169268693508624E-4</c:v>
                </c:pt>
                <c:pt idx="6">
                  <c:v>6.9022185702547242E-2</c:v>
                </c:pt>
                <c:pt idx="7">
                  <c:v>2.4650780608052587E-3</c:v>
                </c:pt>
                <c:pt idx="8">
                  <c:v>4.1084634346754316E-3</c:v>
                </c:pt>
                <c:pt idx="9">
                  <c:v>0</c:v>
                </c:pt>
                <c:pt idx="10">
                  <c:v>0.67871815940838132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'21.08 Kampala-Bukaya'!$S$9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'21.08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Kampala-Bukaya'!$S$10:$S$21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14</c:v>
                </c:pt>
                <c:pt idx="3">
                  <c:v>7</c:v>
                </c:pt>
                <c:pt idx="4">
                  <c:v>7</c:v>
                </c:pt>
                <c:pt idx="5">
                  <c:v>9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11</c:v>
                </c:pt>
                <c:pt idx="10">
                  <c:v>8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'21.08 Kampala-Bukaya'!$T$9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'21.08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Kampala-Bukaya'!$T$10:$T$21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'21.08 Kampala-Bukaya'!$U$9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'21.08 Kampala-Bukaya'!$U$10:$U$21</c:f>
              <c:numCache>
                <c:formatCode>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14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'21.08 Kampala-Bukaya'!$V$9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'21.08 Kampala-Bukaya'!$V$10:$V$21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2</c:v>
                </c:pt>
                <c:pt idx="5">
                  <c:v>13</c:v>
                </c:pt>
                <c:pt idx="6">
                  <c:v>8</c:v>
                </c:pt>
                <c:pt idx="7">
                  <c:v>7</c:v>
                </c:pt>
                <c:pt idx="8">
                  <c:v>10</c:v>
                </c:pt>
                <c:pt idx="9">
                  <c:v>7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'21.08 Kampala-Bukaya'!$W$9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'21.08 Kampala-Bukaya'!$W$10:$W$21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'21.08 Kampala-Bukaya'!$X$9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'21.08 Kampala-Bukaya'!$X$10:$X$21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'21.08 Kampala-Bukaya'!$Y$9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Kampala-Bukaya'!$Y$10:$Y$21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13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'21.08 Kampala-Bukaya'!$Z$9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Kampala-Bukaya'!$Z$10:$Z$21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'21.08 Kampala-Bukaya'!$AA$9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Kampala-Bukaya'!$AA$10:$AA$21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'21.08 Kampala-Bukaya'!$AB$9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Kampala-Bukaya'!$AB$10:$AB$21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'21.08 Kampala-Bukaya'!$AC$9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Kampala-Bukaya'!$AC$10:$AC$21</c:f>
              <c:numCache>
                <c:formatCode>0</c:formatCode>
                <c:ptCount val="12"/>
                <c:pt idx="0">
                  <c:v>44</c:v>
                </c:pt>
                <c:pt idx="1">
                  <c:v>67</c:v>
                </c:pt>
                <c:pt idx="2">
                  <c:v>51</c:v>
                </c:pt>
                <c:pt idx="3">
                  <c:v>70</c:v>
                </c:pt>
                <c:pt idx="4">
                  <c:v>71</c:v>
                </c:pt>
                <c:pt idx="5">
                  <c:v>79</c:v>
                </c:pt>
                <c:pt idx="6">
                  <c:v>84</c:v>
                </c:pt>
                <c:pt idx="7">
                  <c:v>71</c:v>
                </c:pt>
                <c:pt idx="8">
                  <c:v>55</c:v>
                </c:pt>
                <c:pt idx="9">
                  <c:v>98</c:v>
                </c:pt>
                <c:pt idx="10">
                  <c:v>63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'21.08 Kampala-Bukaya'!$AD$9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Kampala-Bukaya'!$AD$10:$AD$21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549864"/>
        <c:axId val="466546336"/>
      </c:lineChart>
      <c:catAx>
        <c:axId val="466549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546336"/>
        <c:crosses val="autoZero"/>
        <c:auto val="1"/>
        <c:lblAlgn val="ctr"/>
        <c:lblOffset val="100"/>
        <c:noMultiLvlLbl val="0"/>
      </c:catAx>
      <c:valAx>
        <c:axId val="46654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54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'21.08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'21.08 Kampala-Bukaya'!$C$60:$N$60</c:f>
              <c:numCache>
                <c:formatCode>0.00%</c:formatCode>
                <c:ptCount val="12"/>
                <c:pt idx="0">
                  <c:v>0.29667519181585678</c:v>
                </c:pt>
                <c:pt idx="1">
                  <c:v>0</c:v>
                </c:pt>
                <c:pt idx="2">
                  <c:v>0.23273657289002558</c:v>
                </c:pt>
                <c:pt idx="3">
                  <c:v>0.21227621483375958</c:v>
                </c:pt>
                <c:pt idx="4">
                  <c:v>2.0460358056265986E-2</c:v>
                </c:pt>
                <c:pt idx="5">
                  <c:v>2.5575447570332483E-3</c:v>
                </c:pt>
                <c:pt idx="6">
                  <c:v>0.21483375959079284</c:v>
                </c:pt>
                <c:pt idx="7">
                  <c:v>7.6726342710997444E-3</c:v>
                </c:pt>
                <c:pt idx="8">
                  <c:v>1.278772378516624E-2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'21.08 Bukaya-Kampala'!$AE$9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Bukaya-Kampala'!$AE$10:$AE$21</c:f>
              <c:numCache>
                <c:formatCode>0</c:formatCode>
                <c:ptCount val="12"/>
                <c:pt idx="0">
                  <c:v>16</c:v>
                </c:pt>
                <c:pt idx="1">
                  <c:v>22</c:v>
                </c:pt>
                <c:pt idx="2">
                  <c:v>25</c:v>
                </c:pt>
                <c:pt idx="3">
                  <c:v>23</c:v>
                </c:pt>
                <c:pt idx="4">
                  <c:v>25</c:v>
                </c:pt>
                <c:pt idx="5">
                  <c:v>24</c:v>
                </c:pt>
                <c:pt idx="6">
                  <c:v>35</c:v>
                </c:pt>
                <c:pt idx="7">
                  <c:v>29</c:v>
                </c:pt>
                <c:pt idx="8">
                  <c:v>41</c:v>
                </c:pt>
                <c:pt idx="9">
                  <c:v>46</c:v>
                </c:pt>
                <c:pt idx="10">
                  <c:v>44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'21.08 Bukaya-Kampala'!$AF$9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Bukaya-Kampala'!$AF$10:$AF$21</c:f>
              <c:numCache>
                <c:formatCode>0</c:formatCode>
                <c:ptCount val="12"/>
                <c:pt idx="0">
                  <c:v>64</c:v>
                </c:pt>
                <c:pt idx="1">
                  <c:v>79</c:v>
                </c:pt>
                <c:pt idx="2">
                  <c:v>89</c:v>
                </c:pt>
                <c:pt idx="3">
                  <c:v>93</c:v>
                </c:pt>
                <c:pt idx="4">
                  <c:v>95</c:v>
                </c:pt>
                <c:pt idx="5">
                  <c:v>98</c:v>
                </c:pt>
                <c:pt idx="6">
                  <c:v>111</c:v>
                </c:pt>
                <c:pt idx="7">
                  <c:v>101</c:v>
                </c:pt>
                <c:pt idx="8">
                  <c:v>111</c:v>
                </c:pt>
                <c:pt idx="9">
                  <c:v>143</c:v>
                </c:pt>
                <c:pt idx="10">
                  <c:v>114</c:v>
                </c:pt>
                <c:pt idx="11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548688"/>
        <c:axId val="466549080"/>
      </c:lineChart>
      <c:catAx>
        <c:axId val="4665486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549080"/>
        <c:crosses val="autoZero"/>
        <c:auto val="1"/>
        <c:lblAlgn val="ctr"/>
        <c:lblOffset val="100"/>
        <c:noMultiLvlLbl val="0"/>
      </c:catAx>
      <c:valAx>
        <c:axId val="466549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54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'21.08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'21.08 Bukaya-Kampala'!$C$59:$N$59</c:f>
              <c:numCache>
                <c:formatCode>0.0%</c:formatCode>
                <c:ptCount val="12"/>
                <c:pt idx="0">
                  <c:v>7.545605306799337E-2</c:v>
                </c:pt>
                <c:pt idx="1">
                  <c:v>0</c:v>
                </c:pt>
                <c:pt idx="2">
                  <c:v>8.5406301824212272E-2</c:v>
                </c:pt>
                <c:pt idx="3">
                  <c:v>6.3847429519071311E-2</c:v>
                </c:pt>
                <c:pt idx="4">
                  <c:v>5.8043117744610278E-3</c:v>
                </c:pt>
                <c:pt idx="5">
                  <c:v>8.2918739635157548E-4</c:v>
                </c:pt>
                <c:pt idx="6">
                  <c:v>6.5505804311774454E-2</c:v>
                </c:pt>
                <c:pt idx="7">
                  <c:v>2.4875621890547263E-3</c:v>
                </c:pt>
                <c:pt idx="8">
                  <c:v>6.6334991708126038E-3</c:v>
                </c:pt>
                <c:pt idx="9">
                  <c:v>8.2918739635157548E-4</c:v>
                </c:pt>
                <c:pt idx="10">
                  <c:v>0.69320066334991703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'21.08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'21.08 Bukaya-Kampala'!$C$60:$N$60</c:f>
              <c:numCache>
                <c:formatCode>0.00%</c:formatCode>
                <c:ptCount val="12"/>
                <c:pt idx="0">
                  <c:v>0.24594594594594596</c:v>
                </c:pt>
                <c:pt idx="1">
                  <c:v>0</c:v>
                </c:pt>
                <c:pt idx="2">
                  <c:v>0.27837837837837837</c:v>
                </c:pt>
                <c:pt idx="3">
                  <c:v>0.20810810810810812</c:v>
                </c:pt>
                <c:pt idx="4">
                  <c:v>1.891891891891892E-2</c:v>
                </c:pt>
                <c:pt idx="5">
                  <c:v>2.7027027027027029E-3</c:v>
                </c:pt>
                <c:pt idx="6">
                  <c:v>0.21351351351351353</c:v>
                </c:pt>
                <c:pt idx="7">
                  <c:v>8.1081081081081086E-3</c:v>
                </c:pt>
                <c:pt idx="8">
                  <c:v>2.1621621621621623E-2</c:v>
                </c:pt>
                <c:pt idx="9">
                  <c:v>2.7027027027027029E-3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'22.08 Kampala-Bukaya'!$AE$9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Kampala-Bukaya'!$AE$10:$AE$21</c:f>
              <c:numCache>
                <c:formatCode>0</c:formatCode>
                <c:ptCount val="12"/>
                <c:pt idx="0">
                  <c:v>25</c:v>
                </c:pt>
                <c:pt idx="1">
                  <c:v>23</c:v>
                </c:pt>
                <c:pt idx="2">
                  <c:v>27</c:v>
                </c:pt>
                <c:pt idx="3">
                  <c:v>44</c:v>
                </c:pt>
                <c:pt idx="4">
                  <c:v>33</c:v>
                </c:pt>
                <c:pt idx="5">
                  <c:v>33</c:v>
                </c:pt>
                <c:pt idx="6">
                  <c:v>34</c:v>
                </c:pt>
                <c:pt idx="7">
                  <c:v>41</c:v>
                </c:pt>
                <c:pt idx="8">
                  <c:v>37</c:v>
                </c:pt>
                <c:pt idx="9">
                  <c:v>35</c:v>
                </c:pt>
                <c:pt idx="10">
                  <c:v>33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'22.08 Kampala-Bukaya'!$AF$9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Kampala-Bukaya'!$AF$10:$AF$21</c:f>
              <c:numCache>
                <c:formatCode>0</c:formatCode>
                <c:ptCount val="12"/>
                <c:pt idx="0">
                  <c:v>76</c:v>
                </c:pt>
                <c:pt idx="1">
                  <c:v>83</c:v>
                </c:pt>
                <c:pt idx="2">
                  <c:v>114</c:v>
                </c:pt>
                <c:pt idx="3">
                  <c:v>121</c:v>
                </c:pt>
                <c:pt idx="4">
                  <c:v>142</c:v>
                </c:pt>
                <c:pt idx="5">
                  <c:v>104</c:v>
                </c:pt>
                <c:pt idx="6">
                  <c:v>92</c:v>
                </c:pt>
                <c:pt idx="7">
                  <c:v>103</c:v>
                </c:pt>
                <c:pt idx="8">
                  <c:v>106</c:v>
                </c:pt>
                <c:pt idx="9">
                  <c:v>103</c:v>
                </c:pt>
                <c:pt idx="10">
                  <c:v>136</c:v>
                </c:pt>
                <c:pt idx="11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543200"/>
        <c:axId val="466545944"/>
      </c:lineChart>
      <c:catAx>
        <c:axId val="4665432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545944"/>
        <c:crosses val="autoZero"/>
        <c:auto val="1"/>
        <c:lblAlgn val="ctr"/>
        <c:lblOffset val="100"/>
        <c:noMultiLvlLbl val="0"/>
      </c:catAx>
      <c:valAx>
        <c:axId val="466545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54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Kampala-Bukaya'!$C$59:$N$59</c:f>
              <c:numCache>
                <c:formatCode>0.0%</c:formatCode>
                <c:ptCount val="12"/>
                <c:pt idx="0">
                  <c:v>7.7692307692307686E-2</c:v>
                </c:pt>
                <c:pt idx="1">
                  <c:v>0</c:v>
                </c:pt>
                <c:pt idx="2">
                  <c:v>8.5384615384615378E-2</c:v>
                </c:pt>
                <c:pt idx="3">
                  <c:v>6.4615384615384616E-2</c:v>
                </c:pt>
                <c:pt idx="4">
                  <c:v>1.5384615384615385E-3</c:v>
                </c:pt>
                <c:pt idx="5">
                  <c:v>0</c:v>
                </c:pt>
                <c:pt idx="6">
                  <c:v>6.4615384615384616E-2</c:v>
                </c:pt>
                <c:pt idx="7">
                  <c:v>1.5384615384615385E-3</c:v>
                </c:pt>
                <c:pt idx="8">
                  <c:v>6.1538461538461538E-3</c:v>
                </c:pt>
                <c:pt idx="9">
                  <c:v>7.6923076923076923E-4</c:v>
                </c:pt>
                <c:pt idx="10">
                  <c:v>0.69769230769230772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'22.08 Kampala-Bukaya'!$S$9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Kampala-Bukaya'!$S$10:$S$21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15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'22.08 Kampala-Bukaya'!$T$9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Kampala-Bukaya'!$T$10:$T$21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'22.08 Kampala-Bukaya'!$U$9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'22.08 Kampala-Bukaya'!$U$10:$U$21</c:f>
              <c:numCache>
                <c:formatCode>0</c:formatCode>
                <c:ptCount val="12"/>
                <c:pt idx="0">
                  <c:v>13</c:v>
                </c:pt>
                <c:pt idx="1">
                  <c:v>8</c:v>
                </c:pt>
                <c:pt idx="2">
                  <c:v>6</c:v>
                </c:pt>
                <c:pt idx="3">
                  <c:v>13</c:v>
                </c:pt>
                <c:pt idx="4">
                  <c:v>8</c:v>
                </c:pt>
                <c:pt idx="5">
                  <c:v>6</c:v>
                </c:pt>
                <c:pt idx="6">
                  <c:v>7</c:v>
                </c:pt>
                <c:pt idx="7">
                  <c:v>17</c:v>
                </c:pt>
                <c:pt idx="8">
                  <c:v>8</c:v>
                </c:pt>
                <c:pt idx="9">
                  <c:v>7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'22.08 Kampala-Bukaya'!$V$9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'22.08 Kampala-Bukaya'!$V$10:$V$21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'22.08 Kampala-Bukaya'!$W$9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'22.08 Kampala-Bukaya'!$W$10:$W$21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'22.08 Kampala-Bukaya'!$X$9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'22.08 Kampala-Bukaya'!$X$10:$X$21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'22.08 Kampala-Bukaya'!$Y$9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Kampala-Bukaya'!$Y$10:$Y$21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4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  <c:pt idx="6">
                  <c:v>10</c:v>
                </c:pt>
                <c:pt idx="7">
                  <c:v>7</c:v>
                </c:pt>
                <c:pt idx="8">
                  <c:v>12</c:v>
                </c:pt>
                <c:pt idx="9">
                  <c:v>10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'22.08 Kampala-Bukaya'!$Z$9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Kampala-Bukaya'!$Z$10:$Z$21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'22.08 Kampala-Bukaya'!$AA$9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Kampala-Bukaya'!$AA$10:$AA$21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'22.08 Kampala-Bukaya'!$AB$9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Kampala-Bukaya'!$AB$10:$AB$21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'22.08 Kampala-Bukaya'!$AC$9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Kampala-Bukaya'!$AC$10:$AC$21</c:f>
              <c:numCache>
                <c:formatCode>0</c:formatCode>
                <c:ptCount val="12"/>
                <c:pt idx="0">
                  <c:v>51</c:v>
                </c:pt>
                <c:pt idx="1">
                  <c:v>60</c:v>
                </c:pt>
                <c:pt idx="2">
                  <c:v>87</c:v>
                </c:pt>
                <c:pt idx="3">
                  <c:v>77</c:v>
                </c:pt>
                <c:pt idx="4">
                  <c:v>109</c:v>
                </c:pt>
                <c:pt idx="5">
                  <c:v>71</c:v>
                </c:pt>
                <c:pt idx="6">
                  <c:v>58</c:v>
                </c:pt>
                <c:pt idx="7">
                  <c:v>62</c:v>
                </c:pt>
                <c:pt idx="8">
                  <c:v>69</c:v>
                </c:pt>
                <c:pt idx="9">
                  <c:v>68</c:v>
                </c:pt>
                <c:pt idx="10">
                  <c:v>103</c:v>
                </c:pt>
                <c:pt idx="11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'22.08 Kampala-Bukaya'!$AD$9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Kampala-Bukaya'!$AD$10:$AD$21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360792"/>
        <c:axId val="466159608"/>
      </c:lineChart>
      <c:catAx>
        <c:axId val="32736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159608"/>
        <c:crosses val="autoZero"/>
        <c:auto val="1"/>
        <c:lblAlgn val="ctr"/>
        <c:lblOffset val="100"/>
        <c:noMultiLvlLbl val="0"/>
      </c:catAx>
      <c:valAx>
        <c:axId val="46615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2736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Kampala-Bukaya'!$C$60:$N$60</c:f>
              <c:numCache>
                <c:formatCode>0.00%</c:formatCode>
                <c:ptCount val="12"/>
                <c:pt idx="0">
                  <c:v>0.25699745547073793</c:v>
                </c:pt>
                <c:pt idx="1">
                  <c:v>0</c:v>
                </c:pt>
                <c:pt idx="2">
                  <c:v>0.28244274809160308</c:v>
                </c:pt>
                <c:pt idx="3">
                  <c:v>0.21374045801526717</c:v>
                </c:pt>
                <c:pt idx="4">
                  <c:v>5.0890585241730284E-3</c:v>
                </c:pt>
                <c:pt idx="5">
                  <c:v>0</c:v>
                </c:pt>
                <c:pt idx="6">
                  <c:v>0.21374045801526717</c:v>
                </c:pt>
                <c:pt idx="7">
                  <c:v>5.0890585241730284E-3</c:v>
                </c:pt>
                <c:pt idx="8">
                  <c:v>2.0356234096692113E-2</c:v>
                </c:pt>
                <c:pt idx="9">
                  <c:v>2.5445292620865142E-3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'22.08 Bukaya-Kampala'!$AE$9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Bukaya-Kampala'!$AE$10:$AE$21</c:f>
              <c:numCache>
                <c:formatCode>0</c:formatCode>
                <c:ptCount val="12"/>
                <c:pt idx="0">
                  <c:v>13</c:v>
                </c:pt>
                <c:pt idx="1">
                  <c:v>22</c:v>
                </c:pt>
                <c:pt idx="2">
                  <c:v>20</c:v>
                </c:pt>
                <c:pt idx="3">
                  <c:v>19</c:v>
                </c:pt>
                <c:pt idx="4">
                  <c:v>30</c:v>
                </c:pt>
                <c:pt idx="5">
                  <c:v>28</c:v>
                </c:pt>
                <c:pt idx="6">
                  <c:v>29</c:v>
                </c:pt>
                <c:pt idx="7">
                  <c:v>26</c:v>
                </c:pt>
                <c:pt idx="8">
                  <c:v>41</c:v>
                </c:pt>
                <c:pt idx="9">
                  <c:v>44</c:v>
                </c:pt>
                <c:pt idx="10">
                  <c:v>57</c:v>
                </c:pt>
                <c:pt idx="11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'22.08 Bukaya-Kampala'!$AF$9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Bukaya-Kampala'!$AF$10:$AF$21</c:f>
              <c:numCache>
                <c:formatCode>0</c:formatCode>
                <c:ptCount val="12"/>
                <c:pt idx="0">
                  <c:v>67</c:v>
                </c:pt>
                <c:pt idx="1">
                  <c:v>89</c:v>
                </c:pt>
                <c:pt idx="2">
                  <c:v>98</c:v>
                </c:pt>
                <c:pt idx="3">
                  <c:v>105</c:v>
                </c:pt>
                <c:pt idx="4">
                  <c:v>120</c:v>
                </c:pt>
                <c:pt idx="5">
                  <c:v>113</c:v>
                </c:pt>
                <c:pt idx="6">
                  <c:v>111</c:v>
                </c:pt>
                <c:pt idx="7">
                  <c:v>93</c:v>
                </c:pt>
                <c:pt idx="8">
                  <c:v>121</c:v>
                </c:pt>
                <c:pt idx="9">
                  <c:v>130</c:v>
                </c:pt>
                <c:pt idx="10">
                  <c:v>138</c:v>
                </c:pt>
                <c:pt idx="11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163920"/>
        <c:axId val="466161568"/>
      </c:lineChart>
      <c:catAx>
        <c:axId val="4661639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161568"/>
        <c:crosses val="autoZero"/>
        <c:auto val="1"/>
        <c:lblAlgn val="ctr"/>
        <c:lblOffset val="100"/>
        <c:noMultiLvlLbl val="0"/>
      </c:catAx>
      <c:valAx>
        <c:axId val="466161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16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Bukaya-Kampala'!$C$59:$N$59</c:f>
              <c:numCache>
                <c:formatCode>0.0%</c:formatCode>
                <c:ptCount val="12"/>
                <c:pt idx="0">
                  <c:v>7.6457229371688112E-2</c:v>
                </c:pt>
                <c:pt idx="1">
                  <c:v>0</c:v>
                </c:pt>
                <c:pt idx="2">
                  <c:v>9.7653292959878873E-2</c:v>
                </c:pt>
                <c:pt idx="3">
                  <c:v>5.6775170325510979E-2</c:v>
                </c:pt>
                <c:pt idx="4">
                  <c:v>2.2710068130204391E-3</c:v>
                </c:pt>
                <c:pt idx="5">
                  <c:v>7.5700227100681302E-4</c:v>
                </c:pt>
                <c:pt idx="6">
                  <c:v>4.6934140802422405E-2</c:v>
                </c:pt>
                <c:pt idx="7">
                  <c:v>3.0280090840272521E-3</c:v>
                </c:pt>
                <c:pt idx="8">
                  <c:v>6.0560181680545042E-3</c:v>
                </c:pt>
                <c:pt idx="9">
                  <c:v>0</c:v>
                </c:pt>
                <c:pt idx="10">
                  <c:v>0.71006813020439064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'22.08 Bukaya-Kampala'!$S$9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Bukaya-Kampala'!$S$10:$S$21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11</c:v>
                </c:pt>
                <c:pt idx="7">
                  <c:v>8</c:v>
                </c:pt>
                <c:pt idx="8">
                  <c:v>13</c:v>
                </c:pt>
                <c:pt idx="9">
                  <c:v>11</c:v>
                </c:pt>
                <c:pt idx="10">
                  <c:v>18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'22.08 Bukaya-Kampala'!$T$9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Bukaya-Kampala'!$T$10:$T$21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'22.08 Bukaya-Kampala'!$U$9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'22.08 Bukaya-Kampala'!$U$10:$U$21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4">
                  <c:v>8</c:v>
                </c:pt>
                <c:pt idx="5">
                  <c:v>14</c:v>
                </c:pt>
                <c:pt idx="6">
                  <c:v>9</c:v>
                </c:pt>
                <c:pt idx="7">
                  <c:v>6</c:v>
                </c:pt>
                <c:pt idx="8">
                  <c:v>9</c:v>
                </c:pt>
                <c:pt idx="9">
                  <c:v>18</c:v>
                </c:pt>
                <c:pt idx="10">
                  <c:v>21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'22.08 Bukaya-Kampala'!$V$9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'22.08 Bukaya-Kampala'!$V$10:$V$21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'22.08 Bukaya-Kampala'!$W$9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'22.08 Bukaya-Kampala'!$W$10:$W$21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'22.08 Bukaya-Kampala'!$X$9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'22.08 Bukaya-Kampala'!$X$10:$X$21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'22.08 Bukaya-Kampala'!$Y$9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Bukaya-Kampala'!$Y$10:$Y$21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8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12</c:v>
                </c:pt>
                <c:pt idx="9">
                  <c:v>6</c:v>
                </c:pt>
                <c:pt idx="10">
                  <c:v>5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'22.08 Bukaya-Kampala'!$Z$9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Bukaya-Kampala'!$Z$10:$Z$21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'22.08 Bukaya-Kampala'!$AA$9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Bukaya-Kampala'!$AA$10:$AA$21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'22.08 Bukaya-Kampala'!$AB$9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Bukaya-Kampala'!$AB$10:$AB$21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'22.08 Bukaya-Kampala'!$AC$9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Bukaya-Kampala'!$AC$10:$AC$21</c:f>
              <c:numCache>
                <c:formatCode>0</c:formatCode>
                <c:ptCount val="12"/>
                <c:pt idx="0">
                  <c:v>54</c:v>
                </c:pt>
                <c:pt idx="1">
                  <c:v>67</c:v>
                </c:pt>
                <c:pt idx="2">
                  <c:v>78</c:v>
                </c:pt>
                <c:pt idx="3">
                  <c:v>86</c:v>
                </c:pt>
                <c:pt idx="4">
                  <c:v>90</c:v>
                </c:pt>
                <c:pt idx="5">
                  <c:v>85</c:v>
                </c:pt>
                <c:pt idx="6">
                  <c:v>82</c:v>
                </c:pt>
                <c:pt idx="7">
                  <c:v>67</c:v>
                </c:pt>
                <c:pt idx="8">
                  <c:v>80</c:v>
                </c:pt>
                <c:pt idx="9">
                  <c:v>86</c:v>
                </c:pt>
                <c:pt idx="10">
                  <c:v>81</c:v>
                </c:pt>
                <c:pt idx="1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'22.08 Bukaya-Kampala'!$AD$9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Bukaya-Kampala'!$AD$10:$AD$21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157648"/>
        <c:axId val="466162744"/>
      </c:lineChart>
      <c:catAx>
        <c:axId val="46615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162744"/>
        <c:crosses val="autoZero"/>
        <c:auto val="1"/>
        <c:lblAlgn val="ctr"/>
        <c:lblOffset val="100"/>
        <c:noMultiLvlLbl val="0"/>
      </c:catAx>
      <c:valAx>
        <c:axId val="46616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15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Bukaya-Kampala'!$C$60:$N$60</c:f>
              <c:numCache>
                <c:formatCode>0.00%</c:formatCode>
                <c:ptCount val="12"/>
                <c:pt idx="0">
                  <c:v>0.26370757180156656</c:v>
                </c:pt>
                <c:pt idx="1">
                  <c:v>0</c:v>
                </c:pt>
                <c:pt idx="2">
                  <c:v>0.33681462140992169</c:v>
                </c:pt>
                <c:pt idx="3">
                  <c:v>0.195822454308094</c:v>
                </c:pt>
                <c:pt idx="4">
                  <c:v>7.832898172323759E-3</c:v>
                </c:pt>
                <c:pt idx="5">
                  <c:v>2.6109660574412533E-3</c:v>
                </c:pt>
                <c:pt idx="6">
                  <c:v>0.16187989556135771</c:v>
                </c:pt>
                <c:pt idx="7">
                  <c:v>1.0443864229765013E-2</c:v>
                </c:pt>
                <c:pt idx="8">
                  <c:v>2.0887728459530026E-2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Kampala-Bukaya-24h'!$AE$9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'23.08 Kampala-Bukaya-24h'!$R$10:$R$33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'23.08 Kampala-Bukaya-24h'!$AE$10:$AE$33</c:f>
              <c:numCache>
                <c:formatCode>0</c:formatCode>
                <c:ptCount val="24"/>
                <c:pt idx="0">
                  <c:v>16</c:v>
                </c:pt>
                <c:pt idx="1">
                  <c:v>32</c:v>
                </c:pt>
                <c:pt idx="2">
                  <c:v>29</c:v>
                </c:pt>
                <c:pt idx="3">
                  <c:v>27</c:v>
                </c:pt>
                <c:pt idx="4">
                  <c:v>27</c:v>
                </c:pt>
                <c:pt idx="5">
                  <c:v>42</c:v>
                </c:pt>
                <c:pt idx="6">
                  <c:v>48</c:v>
                </c:pt>
                <c:pt idx="7">
                  <c:v>46</c:v>
                </c:pt>
                <c:pt idx="8">
                  <c:v>33</c:v>
                </c:pt>
                <c:pt idx="9">
                  <c:v>33</c:v>
                </c:pt>
                <c:pt idx="10">
                  <c:v>44</c:v>
                </c:pt>
                <c:pt idx="11">
                  <c:v>37</c:v>
                </c:pt>
                <c:pt idx="12">
                  <c:v>31</c:v>
                </c:pt>
                <c:pt idx="13">
                  <c:v>47</c:v>
                </c:pt>
                <c:pt idx="14">
                  <c:v>32</c:v>
                </c:pt>
                <c:pt idx="15">
                  <c:v>28</c:v>
                </c:pt>
                <c:pt idx="16">
                  <c:v>37</c:v>
                </c:pt>
                <c:pt idx="17">
                  <c:v>28</c:v>
                </c:pt>
                <c:pt idx="18">
                  <c:v>10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'23.08 Kampala-Bukaya-24h'!$AF$9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'23.08 Kampala-Bukaya-24h'!$R$10:$R$33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'23.08 Kampala-Bukaya-24h'!$AF$10:$AF$33</c:f>
              <c:numCache>
                <c:formatCode>0</c:formatCode>
                <c:ptCount val="24"/>
                <c:pt idx="0">
                  <c:v>73</c:v>
                </c:pt>
                <c:pt idx="1">
                  <c:v>87</c:v>
                </c:pt>
                <c:pt idx="2">
                  <c:v>82</c:v>
                </c:pt>
                <c:pt idx="3">
                  <c:v>103</c:v>
                </c:pt>
                <c:pt idx="4">
                  <c:v>95</c:v>
                </c:pt>
                <c:pt idx="5">
                  <c:v>138</c:v>
                </c:pt>
                <c:pt idx="6">
                  <c:v>101</c:v>
                </c:pt>
                <c:pt idx="7">
                  <c:v>106</c:v>
                </c:pt>
                <c:pt idx="8">
                  <c:v>108</c:v>
                </c:pt>
                <c:pt idx="9">
                  <c:v>121</c:v>
                </c:pt>
                <c:pt idx="10">
                  <c:v>115</c:v>
                </c:pt>
                <c:pt idx="11">
                  <c:v>116</c:v>
                </c:pt>
                <c:pt idx="12">
                  <c:v>89</c:v>
                </c:pt>
                <c:pt idx="13">
                  <c:v>100</c:v>
                </c:pt>
                <c:pt idx="14">
                  <c:v>70</c:v>
                </c:pt>
                <c:pt idx="15">
                  <c:v>45</c:v>
                </c:pt>
                <c:pt idx="16">
                  <c:v>37</c:v>
                </c:pt>
                <c:pt idx="17">
                  <c:v>28</c:v>
                </c:pt>
                <c:pt idx="18">
                  <c:v>10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7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158432"/>
        <c:axId val="466158824"/>
      </c:lineChart>
      <c:catAx>
        <c:axId val="466158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158824"/>
        <c:crosses val="autoZero"/>
        <c:auto val="1"/>
        <c:lblAlgn val="ctr"/>
        <c:lblOffset val="100"/>
        <c:noMultiLvlLbl val="0"/>
      </c:catAx>
      <c:valAx>
        <c:axId val="466158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615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Kampala-Bukaya-24h'!$C$9:$N$9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Kampala-Bukaya-24h'!$C$107:$N$107</c:f>
              <c:numCache>
                <c:formatCode>0.0%</c:formatCode>
                <c:ptCount val="12"/>
                <c:pt idx="0">
                  <c:v>0.10113704368641532</c:v>
                </c:pt>
                <c:pt idx="1">
                  <c:v>2.3937761819269898E-3</c:v>
                </c:pt>
                <c:pt idx="2">
                  <c:v>0.10293237582286056</c:v>
                </c:pt>
                <c:pt idx="3">
                  <c:v>8.3782166367444649E-2</c:v>
                </c:pt>
                <c:pt idx="4">
                  <c:v>3.5906642728904849E-3</c:v>
                </c:pt>
                <c:pt idx="5">
                  <c:v>5.9844404548174744E-4</c:v>
                </c:pt>
                <c:pt idx="6">
                  <c:v>9.2758827049670853E-2</c:v>
                </c:pt>
                <c:pt idx="7">
                  <c:v>1.7953321364452424E-3</c:v>
                </c:pt>
                <c:pt idx="8">
                  <c:v>6.582884500299222E-3</c:v>
                </c:pt>
                <c:pt idx="9">
                  <c:v>0</c:v>
                </c:pt>
                <c:pt idx="10">
                  <c:v>0.60442848593656495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Kampala-Bukaya-24h'!$C$9:$N$9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Kampala-Bukaya-24h'!$C$108:$N$108</c:f>
              <c:numCache>
                <c:formatCode>0.00%</c:formatCode>
                <c:ptCount val="12"/>
                <c:pt idx="0">
                  <c:v>0.2556732223903177</c:v>
                </c:pt>
                <c:pt idx="1">
                  <c:v>6.0514372163388806E-3</c:v>
                </c:pt>
                <c:pt idx="2">
                  <c:v>0.26021180030257185</c:v>
                </c:pt>
                <c:pt idx="3">
                  <c:v>0.2118003025718608</c:v>
                </c:pt>
                <c:pt idx="4">
                  <c:v>9.0771558245083209E-3</c:v>
                </c:pt>
                <c:pt idx="5">
                  <c:v>1.5128593040847202E-3</c:v>
                </c:pt>
                <c:pt idx="6">
                  <c:v>0.23449319213313161</c:v>
                </c:pt>
                <c:pt idx="7">
                  <c:v>4.5385779122541605E-3</c:v>
                </c:pt>
                <c:pt idx="8">
                  <c:v>1.6641452344931921E-2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Bukaya-Kampala-24h'!$AE$9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'23.08 Bukaya-Kampala-24h'!$R$10:$R$33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'23.08 Bukaya-Kampala-24h'!$AE$10:$AE$33</c:f>
              <c:numCache>
                <c:formatCode>0</c:formatCode>
                <c:ptCount val="24"/>
                <c:pt idx="0">
                  <c:v>12</c:v>
                </c:pt>
                <c:pt idx="1">
                  <c:v>15</c:v>
                </c:pt>
                <c:pt idx="2">
                  <c:v>22</c:v>
                </c:pt>
                <c:pt idx="3">
                  <c:v>23</c:v>
                </c:pt>
                <c:pt idx="4">
                  <c:v>28</c:v>
                </c:pt>
                <c:pt idx="5">
                  <c:v>32</c:v>
                </c:pt>
                <c:pt idx="6">
                  <c:v>28</c:v>
                </c:pt>
                <c:pt idx="7">
                  <c:v>29</c:v>
                </c:pt>
                <c:pt idx="8">
                  <c:v>24</c:v>
                </c:pt>
                <c:pt idx="9">
                  <c:v>39</c:v>
                </c:pt>
                <c:pt idx="10">
                  <c:v>53</c:v>
                </c:pt>
                <c:pt idx="11">
                  <c:v>46</c:v>
                </c:pt>
                <c:pt idx="12">
                  <c:v>31</c:v>
                </c:pt>
                <c:pt idx="13">
                  <c:v>47</c:v>
                </c:pt>
                <c:pt idx="14">
                  <c:v>32</c:v>
                </c:pt>
                <c:pt idx="15">
                  <c:v>28</c:v>
                </c:pt>
                <c:pt idx="16">
                  <c:v>37</c:v>
                </c:pt>
                <c:pt idx="17">
                  <c:v>28</c:v>
                </c:pt>
                <c:pt idx="18">
                  <c:v>10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'23.08 Bukaya-Kampala-24h'!$AF$9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'23.08 Bukaya-Kampala-24h'!$R$10:$R$33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'23.08 Bukaya-Kampala-24h'!$AF$10:$AF$33</c:f>
              <c:numCache>
                <c:formatCode>0</c:formatCode>
                <c:ptCount val="24"/>
                <c:pt idx="0">
                  <c:v>83</c:v>
                </c:pt>
                <c:pt idx="1">
                  <c:v>80</c:v>
                </c:pt>
                <c:pt idx="2">
                  <c:v>79</c:v>
                </c:pt>
                <c:pt idx="3">
                  <c:v>95</c:v>
                </c:pt>
                <c:pt idx="4">
                  <c:v>89</c:v>
                </c:pt>
                <c:pt idx="5">
                  <c:v>121</c:v>
                </c:pt>
                <c:pt idx="6">
                  <c:v>77</c:v>
                </c:pt>
                <c:pt idx="7">
                  <c:v>108</c:v>
                </c:pt>
                <c:pt idx="8">
                  <c:v>100</c:v>
                </c:pt>
                <c:pt idx="9">
                  <c:v>115</c:v>
                </c:pt>
                <c:pt idx="10">
                  <c:v>134</c:v>
                </c:pt>
                <c:pt idx="11">
                  <c:v>133</c:v>
                </c:pt>
                <c:pt idx="12">
                  <c:v>89</c:v>
                </c:pt>
                <c:pt idx="13">
                  <c:v>100</c:v>
                </c:pt>
                <c:pt idx="14">
                  <c:v>70</c:v>
                </c:pt>
                <c:pt idx="15">
                  <c:v>45</c:v>
                </c:pt>
                <c:pt idx="16">
                  <c:v>37</c:v>
                </c:pt>
                <c:pt idx="17">
                  <c:v>28</c:v>
                </c:pt>
                <c:pt idx="18">
                  <c:v>10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7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299296"/>
        <c:axId val="462301256"/>
      </c:lineChart>
      <c:catAx>
        <c:axId val="462299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301256"/>
        <c:crosses val="autoZero"/>
        <c:auto val="1"/>
        <c:lblAlgn val="ctr"/>
        <c:lblOffset val="100"/>
        <c:noMultiLvlLbl val="0"/>
      </c:catAx>
      <c:valAx>
        <c:axId val="462301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29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Bukaya-Kampala-24h'!$C$9:$N$9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Bukaya-Kampala-24h'!$C$107:$N$107</c:f>
              <c:numCache>
                <c:formatCode>0.0%</c:formatCode>
                <c:ptCount val="12"/>
                <c:pt idx="0">
                  <c:v>8.8414634146341459E-2</c:v>
                </c:pt>
                <c:pt idx="1">
                  <c:v>2.4390243902439024E-3</c:v>
                </c:pt>
                <c:pt idx="2">
                  <c:v>0.10914634146341463</c:v>
                </c:pt>
                <c:pt idx="3">
                  <c:v>7.4999999999999997E-2</c:v>
                </c:pt>
                <c:pt idx="4">
                  <c:v>2.4390243902439024E-3</c:v>
                </c:pt>
                <c:pt idx="5">
                  <c:v>6.0975609756097561E-4</c:v>
                </c:pt>
                <c:pt idx="6">
                  <c:v>7.8658536585365854E-2</c:v>
                </c:pt>
                <c:pt idx="7">
                  <c:v>1.8292682926829269E-3</c:v>
                </c:pt>
                <c:pt idx="8">
                  <c:v>6.0975609756097563E-3</c:v>
                </c:pt>
                <c:pt idx="9">
                  <c:v>0</c:v>
                </c:pt>
                <c:pt idx="10">
                  <c:v>0.63536585365853659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Bukaya-Kampala-24h'!$C$9:$N$9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Bukaya-Kampala-24h'!$C$108:$N$108</c:f>
              <c:numCache>
                <c:formatCode>0.00%</c:formatCode>
                <c:ptCount val="12"/>
                <c:pt idx="0">
                  <c:v>0.24247491638795987</c:v>
                </c:pt>
                <c:pt idx="1">
                  <c:v>6.688963210702341E-3</c:v>
                </c:pt>
                <c:pt idx="2">
                  <c:v>0.29933110367892979</c:v>
                </c:pt>
                <c:pt idx="3">
                  <c:v>0.20568561872909699</c:v>
                </c:pt>
                <c:pt idx="4">
                  <c:v>6.688963210702341E-3</c:v>
                </c:pt>
                <c:pt idx="5">
                  <c:v>1.6722408026755853E-3</c:v>
                </c:pt>
                <c:pt idx="6">
                  <c:v>0.2157190635451505</c:v>
                </c:pt>
                <c:pt idx="7">
                  <c:v>5.016722408026756E-3</c:v>
                </c:pt>
                <c:pt idx="8">
                  <c:v>1.6722408026755852E-2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'24.08 Kampala-Bukaya-24h'!$AE$9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'24.08 Kampala-Bukaya-24h'!$R$10:$R$33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Kampala-Bukaya-24h'!$AE$10:$AE$33</c:f>
              <c:numCache>
                <c:formatCode>0</c:formatCode>
                <c:ptCount val="24"/>
                <c:pt idx="0">
                  <c:v>30</c:v>
                </c:pt>
                <c:pt idx="1">
                  <c:v>38</c:v>
                </c:pt>
                <c:pt idx="2">
                  <c:v>34</c:v>
                </c:pt>
                <c:pt idx="3">
                  <c:v>55</c:v>
                </c:pt>
                <c:pt idx="4">
                  <c:v>49</c:v>
                </c:pt>
                <c:pt idx="5">
                  <c:v>56</c:v>
                </c:pt>
                <c:pt idx="6">
                  <c:v>38</c:v>
                </c:pt>
                <c:pt idx="7">
                  <c:v>58</c:v>
                </c:pt>
                <c:pt idx="8">
                  <c:v>35</c:v>
                </c:pt>
                <c:pt idx="9">
                  <c:v>44</c:v>
                </c:pt>
                <c:pt idx="10">
                  <c:v>40</c:v>
                </c:pt>
                <c:pt idx="11">
                  <c:v>38</c:v>
                </c:pt>
                <c:pt idx="12">
                  <c:v>31</c:v>
                </c:pt>
                <c:pt idx="13">
                  <c:v>47</c:v>
                </c:pt>
                <c:pt idx="14">
                  <c:v>32</c:v>
                </c:pt>
                <c:pt idx="15">
                  <c:v>28</c:v>
                </c:pt>
                <c:pt idx="16">
                  <c:v>37</c:v>
                </c:pt>
                <c:pt idx="17">
                  <c:v>28</c:v>
                </c:pt>
                <c:pt idx="18">
                  <c:v>10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'24.08 Kampala-Bukaya-24h'!$AF$9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'24.08 Kampala-Bukaya-24h'!$R$10:$R$33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Kampala-Bukaya-24h'!$AF$10:$AF$33</c:f>
              <c:numCache>
                <c:formatCode>0</c:formatCode>
                <c:ptCount val="24"/>
                <c:pt idx="0">
                  <c:v>85</c:v>
                </c:pt>
                <c:pt idx="1">
                  <c:v>107</c:v>
                </c:pt>
                <c:pt idx="2">
                  <c:v>102</c:v>
                </c:pt>
                <c:pt idx="3">
                  <c:v>138</c:v>
                </c:pt>
                <c:pt idx="4">
                  <c:v>151</c:v>
                </c:pt>
                <c:pt idx="5">
                  <c:v>130</c:v>
                </c:pt>
                <c:pt idx="6">
                  <c:v>117</c:v>
                </c:pt>
                <c:pt idx="7">
                  <c:v>128</c:v>
                </c:pt>
                <c:pt idx="8">
                  <c:v>118</c:v>
                </c:pt>
                <c:pt idx="9">
                  <c:v>138</c:v>
                </c:pt>
                <c:pt idx="10">
                  <c:v>126</c:v>
                </c:pt>
                <c:pt idx="11">
                  <c:v>121</c:v>
                </c:pt>
                <c:pt idx="12">
                  <c:v>89</c:v>
                </c:pt>
                <c:pt idx="13">
                  <c:v>100</c:v>
                </c:pt>
                <c:pt idx="14">
                  <c:v>70</c:v>
                </c:pt>
                <c:pt idx="15">
                  <c:v>45</c:v>
                </c:pt>
                <c:pt idx="16">
                  <c:v>37</c:v>
                </c:pt>
                <c:pt idx="17">
                  <c:v>28</c:v>
                </c:pt>
                <c:pt idx="18">
                  <c:v>10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7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304392"/>
        <c:axId val="462304784"/>
      </c:lineChart>
      <c:catAx>
        <c:axId val="462304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304784"/>
        <c:crosses val="autoZero"/>
        <c:auto val="1"/>
        <c:lblAlgn val="ctr"/>
        <c:lblOffset val="100"/>
        <c:noMultiLvlLbl val="0"/>
      </c:catAx>
      <c:valAx>
        <c:axId val="462304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30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Kampala-Bukaya-24h'!$C$9:$N$9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Kampala-Bukaya-24h'!$C$107:$N$107</c:f>
              <c:numCache>
                <c:formatCode>0.0%</c:formatCode>
                <c:ptCount val="12"/>
                <c:pt idx="0">
                  <c:v>0.11552729199788023</c:v>
                </c:pt>
                <c:pt idx="1">
                  <c:v>2.1197668256491787E-3</c:v>
                </c:pt>
                <c:pt idx="2">
                  <c:v>0.11976682564917859</c:v>
                </c:pt>
                <c:pt idx="3">
                  <c:v>8.1611022787493381E-2</c:v>
                </c:pt>
                <c:pt idx="4">
                  <c:v>2.1197668256491787E-3</c:v>
                </c:pt>
                <c:pt idx="5">
                  <c:v>5.2994170641229468E-4</c:v>
                </c:pt>
                <c:pt idx="6">
                  <c:v>7.3661897191308959E-2</c:v>
                </c:pt>
                <c:pt idx="7">
                  <c:v>2.6497085320614732E-3</c:v>
                </c:pt>
                <c:pt idx="8">
                  <c:v>4.7694753577106515E-3</c:v>
                </c:pt>
                <c:pt idx="9">
                  <c:v>1.0598834128245894E-3</c:v>
                </c:pt>
                <c:pt idx="10">
                  <c:v>0.59618441971383151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Kampala-Bukaya-24h'!$C$9:$N$9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Kampala-Bukaya-24h'!$C$108:$N$108</c:f>
              <c:numCache>
                <c:formatCode>0.00%</c:formatCode>
                <c:ptCount val="12"/>
                <c:pt idx="0">
                  <c:v>0.28608923884514437</c:v>
                </c:pt>
                <c:pt idx="1">
                  <c:v>5.2493438320209973E-3</c:v>
                </c:pt>
                <c:pt idx="2">
                  <c:v>0.29658792650918636</c:v>
                </c:pt>
                <c:pt idx="3">
                  <c:v>0.20209973753280841</c:v>
                </c:pt>
                <c:pt idx="4">
                  <c:v>5.2493438320209973E-3</c:v>
                </c:pt>
                <c:pt idx="5">
                  <c:v>1.3123359580052493E-3</c:v>
                </c:pt>
                <c:pt idx="6">
                  <c:v>0.18241469816272965</c:v>
                </c:pt>
                <c:pt idx="7">
                  <c:v>6.5616797900262466E-3</c:v>
                </c:pt>
                <c:pt idx="8">
                  <c:v>1.1811023622047244E-2</c:v>
                </c:pt>
                <c:pt idx="9">
                  <c:v>2.6246719160104987E-3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'24.08 Bukaya-Kampala-24h'!$AE$9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'24.08 Bukaya-Kampala-24h'!$R$10:$R$33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Bukaya-Kampala-24h'!$AE$10:$AE$33</c:f>
              <c:numCache>
                <c:formatCode>0</c:formatCode>
                <c:ptCount val="24"/>
                <c:pt idx="0">
                  <c:v>29</c:v>
                </c:pt>
                <c:pt idx="1">
                  <c:v>16</c:v>
                </c:pt>
                <c:pt idx="2">
                  <c:v>23</c:v>
                </c:pt>
                <c:pt idx="3">
                  <c:v>30</c:v>
                </c:pt>
                <c:pt idx="4">
                  <c:v>26</c:v>
                </c:pt>
                <c:pt idx="5">
                  <c:v>35</c:v>
                </c:pt>
                <c:pt idx="6">
                  <c:v>40</c:v>
                </c:pt>
                <c:pt idx="7">
                  <c:v>40</c:v>
                </c:pt>
                <c:pt idx="8">
                  <c:v>48</c:v>
                </c:pt>
                <c:pt idx="9">
                  <c:v>39</c:v>
                </c:pt>
                <c:pt idx="10">
                  <c:v>59</c:v>
                </c:pt>
                <c:pt idx="11">
                  <c:v>64</c:v>
                </c:pt>
                <c:pt idx="12">
                  <c:v>31</c:v>
                </c:pt>
                <c:pt idx="13">
                  <c:v>47</c:v>
                </c:pt>
                <c:pt idx="14">
                  <c:v>32</c:v>
                </c:pt>
                <c:pt idx="15">
                  <c:v>28</c:v>
                </c:pt>
                <c:pt idx="16">
                  <c:v>37</c:v>
                </c:pt>
                <c:pt idx="17">
                  <c:v>28</c:v>
                </c:pt>
                <c:pt idx="18">
                  <c:v>10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'24.08 Bukaya-Kampala-24h'!$AF$9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'24.08 Bukaya-Kampala-24h'!$R$10:$R$33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Bukaya-Kampala-24h'!$AF$10:$AF$33</c:f>
              <c:numCache>
                <c:formatCode>0</c:formatCode>
                <c:ptCount val="24"/>
                <c:pt idx="0">
                  <c:v>71</c:v>
                </c:pt>
                <c:pt idx="1">
                  <c:v>72</c:v>
                </c:pt>
                <c:pt idx="2">
                  <c:v>96</c:v>
                </c:pt>
                <c:pt idx="3">
                  <c:v>129</c:v>
                </c:pt>
                <c:pt idx="4">
                  <c:v>124</c:v>
                </c:pt>
                <c:pt idx="5">
                  <c:v>123</c:v>
                </c:pt>
                <c:pt idx="6">
                  <c:v>118</c:v>
                </c:pt>
                <c:pt idx="7">
                  <c:v>105</c:v>
                </c:pt>
                <c:pt idx="8">
                  <c:v>130</c:v>
                </c:pt>
                <c:pt idx="9">
                  <c:v>134</c:v>
                </c:pt>
                <c:pt idx="10">
                  <c:v>140</c:v>
                </c:pt>
                <c:pt idx="11">
                  <c:v>154</c:v>
                </c:pt>
                <c:pt idx="12">
                  <c:v>89</c:v>
                </c:pt>
                <c:pt idx="13">
                  <c:v>100</c:v>
                </c:pt>
                <c:pt idx="14">
                  <c:v>70</c:v>
                </c:pt>
                <c:pt idx="15">
                  <c:v>45</c:v>
                </c:pt>
                <c:pt idx="16">
                  <c:v>37</c:v>
                </c:pt>
                <c:pt idx="17">
                  <c:v>28</c:v>
                </c:pt>
                <c:pt idx="18">
                  <c:v>10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7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748208"/>
        <c:axId val="462745464"/>
      </c:lineChart>
      <c:catAx>
        <c:axId val="462748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45464"/>
        <c:crosses val="autoZero"/>
        <c:auto val="1"/>
        <c:lblAlgn val="ctr"/>
        <c:lblOffset val="100"/>
        <c:noMultiLvlLbl val="0"/>
      </c:catAx>
      <c:valAx>
        <c:axId val="462745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4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Bukaya-Kampala-24h'!$C$9:$N$9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Bukaya-Kampala-24h'!$C$107:$N$107</c:f>
              <c:numCache>
                <c:formatCode>0.0%</c:formatCode>
                <c:ptCount val="12"/>
                <c:pt idx="0">
                  <c:v>0.10976948408342481</c:v>
                </c:pt>
                <c:pt idx="1">
                  <c:v>2.1953896816684962E-3</c:v>
                </c:pt>
                <c:pt idx="2">
                  <c:v>0.11306256860592755</c:v>
                </c:pt>
                <c:pt idx="3">
                  <c:v>7.5192096597145999E-2</c:v>
                </c:pt>
                <c:pt idx="4">
                  <c:v>4.3907793633369925E-3</c:v>
                </c:pt>
                <c:pt idx="5">
                  <c:v>5.4884742041712406E-4</c:v>
                </c:pt>
                <c:pt idx="6">
                  <c:v>6.9703622392974757E-2</c:v>
                </c:pt>
                <c:pt idx="7">
                  <c:v>2.1953896816684962E-3</c:v>
                </c:pt>
                <c:pt idx="8">
                  <c:v>4.9396267837541162E-3</c:v>
                </c:pt>
                <c:pt idx="9">
                  <c:v>0</c:v>
                </c:pt>
                <c:pt idx="10">
                  <c:v>0.61800219538968171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Bukaya-Kampala-24h'!$C$9:$N$9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Bukaya-Kampala-24h'!$C$108:$N$108</c:f>
              <c:numCache>
                <c:formatCode>0.00%</c:formatCode>
                <c:ptCount val="12"/>
                <c:pt idx="0">
                  <c:v>0.28735632183908044</c:v>
                </c:pt>
                <c:pt idx="1">
                  <c:v>5.7471264367816091E-3</c:v>
                </c:pt>
                <c:pt idx="2">
                  <c:v>0.29597701149425287</c:v>
                </c:pt>
                <c:pt idx="3">
                  <c:v>0.19683908045977011</c:v>
                </c:pt>
                <c:pt idx="4">
                  <c:v>1.1494252873563218E-2</c:v>
                </c:pt>
                <c:pt idx="5">
                  <c:v>1.4367816091954023E-3</c:v>
                </c:pt>
                <c:pt idx="6">
                  <c:v>0.18247126436781611</c:v>
                </c:pt>
                <c:pt idx="7">
                  <c:v>5.7471264367816091E-3</c:v>
                </c:pt>
                <c:pt idx="8">
                  <c:v>1.2931034482758621E-2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Kampala-Bukaya'!$AE$9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Kampala-Bukaya'!$AE$10:$AE$21</c:f>
              <c:numCache>
                <c:formatCode>0</c:formatCode>
                <c:ptCount val="12"/>
                <c:pt idx="0">
                  <c:v>25</c:v>
                </c:pt>
                <c:pt idx="1">
                  <c:v>28</c:v>
                </c:pt>
                <c:pt idx="2">
                  <c:v>49</c:v>
                </c:pt>
                <c:pt idx="3">
                  <c:v>67</c:v>
                </c:pt>
                <c:pt idx="4">
                  <c:v>55</c:v>
                </c:pt>
                <c:pt idx="5">
                  <c:v>54</c:v>
                </c:pt>
                <c:pt idx="6">
                  <c:v>59</c:v>
                </c:pt>
                <c:pt idx="7">
                  <c:v>47</c:v>
                </c:pt>
                <c:pt idx="8">
                  <c:v>43</c:v>
                </c:pt>
                <c:pt idx="9">
                  <c:v>30</c:v>
                </c:pt>
                <c:pt idx="10">
                  <c:v>27</c:v>
                </c:pt>
                <c:pt idx="11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'25.08 Kampala-Bukaya'!$AF$9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Kampala-Bukaya'!$AF$10:$AF$21</c:f>
              <c:numCache>
                <c:formatCode>0</c:formatCode>
                <c:ptCount val="12"/>
                <c:pt idx="0">
                  <c:v>65</c:v>
                </c:pt>
                <c:pt idx="1">
                  <c:v>78</c:v>
                </c:pt>
                <c:pt idx="2">
                  <c:v>128</c:v>
                </c:pt>
                <c:pt idx="3">
                  <c:v>147</c:v>
                </c:pt>
                <c:pt idx="4">
                  <c:v>142</c:v>
                </c:pt>
                <c:pt idx="5">
                  <c:v>149</c:v>
                </c:pt>
                <c:pt idx="6">
                  <c:v>130</c:v>
                </c:pt>
                <c:pt idx="7">
                  <c:v>120</c:v>
                </c:pt>
                <c:pt idx="8">
                  <c:v>111</c:v>
                </c:pt>
                <c:pt idx="9">
                  <c:v>106</c:v>
                </c:pt>
                <c:pt idx="10">
                  <c:v>113</c:v>
                </c:pt>
                <c:pt idx="11">
                  <c:v>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743896"/>
        <c:axId val="462746640"/>
      </c:lineChart>
      <c:catAx>
        <c:axId val="4627438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46640"/>
        <c:crosses val="autoZero"/>
        <c:auto val="1"/>
        <c:lblAlgn val="ctr"/>
        <c:lblOffset val="100"/>
        <c:noMultiLvlLbl val="0"/>
      </c:catAx>
      <c:valAx>
        <c:axId val="462746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4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Kampala-Bukaya'!$C$59:$N$59</c:f>
              <c:numCache>
                <c:formatCode>0.0%</c:formatCode>
                <c:ptCount val="12"/>
                <c:pt idx="0">
                  <c:v>0.12875536480686695</c:v>
                </c:pt>
                <c:pt idx="1">
                  <c:v>0</c:v>
                </c:pt>
                <c:pt idx="2">
                  <c:v>0.10872675250357654</c:v>
                </c:pt>
                <c:pt idx="3">
                  <c:v>7.9399141630901282E-2</c:v>
                </c:pt>
                <c:pt idx="4">
                  <c:v>4.2918454935622317E-3</c:v>
                </c:pt>
                <c:pt idx="5">
                  <c:v>0</c:v>
                </c:pt>
                <c:pt idx="6">
                  <c:v>4.4349070100143065E-2</c:v>
                </c:pt>
                <c:pt idx="7">
                  <c:v>7.1530758226037196E-4</c:v>
                </c:pt>
                <c:pt idx="8">
                  <c:v>7.1530758226037196E-4</c:v>
                </c:pt>
                <c:pt idx="9">
                  <c:v>0</c:v>
                </c:pt>
                <c:pt idx="10">
                  <c:v>0.63304721030042921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Kampala-Bukaya'!$S$9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Kampala-Bukaya'!$S$10:$S$21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21</c:v>
                </c:pt>
                <c:pt idx="3">
                  <c:v>23</c:v>
                </c:pt>
                <c:pt idx="4">
                  <c:v>20</c:v>
                </c:pt>
                <c:pt idx="5">
                  <c:v>15</c:v>
                </c:pt>
                <c:pt idx="6">
                  <c:v>22</c:v>
                </c:pt>
                <c:pt idx="7">
                  <c:v>22</c:v>
                </c:pt>
                <c:pt idx="8">
                  <c:v>14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'25.08 Kampala-Bukaya'!$T$9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'25.08 Kampala-Bukaya'!$R$10:$R$21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Kampala-Bukaya'!$T$10:$T$21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'25.08 Kampala-Bukaya'!$U$9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'25.08 Kampala-Bukaya'!$U$10:$U$21</c:f>
              <c:numCache>
                <c:formatCode>0</c:formatCode>
                <c:ptCount val="12"/>
                <c:pt idx="0">
                  <c:v>10</c:v>
                </c:pt>
                <c:pt idx="1">
                  <c:v>6</c:v>
                </c:pt>
                <c:pt idx="2">
                  <c:v>11</c:v>
                </c:pt>
                <c:pt idx="3">
                  <c:v>26</c:v>
                </c:pt>
                <c:pt idx="4">
                  <c:v>18</c:v>
                </c:pt>
                <c:pt idx="5">
                  <c:v>20</c:v>
                </c:pt>
                <c:pt idx="6">
                  <c:v>21</c:v>
                </c:pt>
                <c:pt idx="7">
                  <c:v>7</c:v>
                </c:pt>
                <c:pt idx="8">
                  <c:v>13</c:v>
                </c:pt>
                <c:pt idx="9">
                  <c:v>5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'25.08 Kampala-Bukaya'!$V$9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'25.08 Kampala-Bukaya'!$V$10:$V$21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11</c:v>
                </c:pt>
                <c:pt idx="4">
                  <c:v>9</c:v>
                </c:pt>
                <c:pt idx="5">
                  <c:v>11</c:v>
                </c:pt>
                <c:pt idx="6">
                  <c:v>11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'25.08 Kampala-Bukaya'!$W$9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'25.08 Kampala-Bukaya'!$W$10:$W$21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'25.08 Kampala-Bukaya'!$X$9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'25.08 Kampala-Bukaya'!$X$10:$X$21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'25.08 Kampala-Bukaya'!$Y$9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Kampala-Bukaya'!$Y$10:$Y$21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9</c:v>
                </c:pt>
                <c:pt idx="8">
                  <c:v>7</c:v>
                </c:pt>
                <c:pt idx="9">
                  <c:v>5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'25.08 Kampala-Bukaya'!$Z$9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Kampala-Bukaya'!$Z$10:$Z$21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'25.08 Kampala-Bukaya'!$AA$9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Kampala-Bukaya'!$AA$10:$AA$21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'25.08 Kampala-Bukaya'!$AB$9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Kampala-Bukaya'!$AB$10:$AB$21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'25.08 Kampala-Bukaya'!$AC$9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Kampala-Bukaya'!$AC$10:$AC$21</c:f>
              <c:numCache>
                <c:formatCode>0</c:formatCode>
                <c:ptCount val="12"/>
                <c:pt idx="0">
                  <c:v>40</c:v>
                </c:pt>
                <c:pt idx="1">
                  <c:v>50</c:v>
                </c:pt>
                <c:pt idx="2">
                  <c:v>79</c:v>
                </c:pt>
                <c:pt idx="3">
                  <c:v>80</c:v>
                </c:pt>
                <c:pt idx="4">
                  <c:v>87</c:v>
                </c:pt>
                <c:pt idx="5">
                  <c:v>95</c:v>
                </c:pt>
                <c:pt idx="6">
                  <c:v>71</c:v>
                </c:pt>
                <c:pt idx="7">
                  <c:v>73</c:v>
                </c:pt>
                <c:pt idx="8">
                  <c:v>68</c:v>
                </c:pt>
                <c:pt idx="9">
                  <c:v>76</c:v>
                </c:pt>
                <c:pt idx="10">
                  <c:v>86</c:v>
                </c:pt>
                <c:pt idx="1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'25.08 Kampala-Bukaya'!$AD$9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Kampala-Bukaya'!$AD$10:$AD$21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745072"/>
        <c:axId val="462744288"/>
      </c:lineChart>
      <c:catAx>
        <c:axId val="46274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44288"/>
        <c:crosses val="autoZero"/>
        <c:auto val="1"/>
        <c:lblAlgn val="ctr"/>
        <c:lblOffset val="100"/>
        <c:noMultiLvlLbl val="0"/>
      </c:catAx>
      <c:valAx>
        <c:axId val="46274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4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Kampala-Bukaya'!$C$60:$N$60</c:f>
              <c:numCache>
                <c:formatCode>0.00%</c:formatCode>
                <c:ptCount val="12"/>
                <c:pt idx="0">
                  <c:v>0.35087719298245612</c:v>
                </c:pt>
                <c:pt idx="1">
                  <c:v>0</c:v>
                </c:pt>
                <c:pt idx="2">
                  <c:v>0.29629629629629628</c:v>
                </c:pt>
                <c:pt idx="3">
                  <c:v>0.21637426900584794</c:v>
                </c:pt>
                <c:pt idx="4">
                  <c:v>1.1695906432748537E-2</c:v>
                </c:pt>
                <c:pt idx="5">
                  <c:v>0</c:v>
                </c:pt>
                <c:pt idx="6">
                  <c:v>0.12085769980506822</c:v>
                </c:pt>
                <c:pt idx="7">
                  <c:v>1.9493177387914229E-3</c:v>
                </c:pt>
                <c:pt idx="8">
                  <c:v>1.9493177387914229E-3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Bukaya-Kampala'!$AE$9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Bukaya-Kampala'!$AE$10:$AE$21</c:f>
              <c:numCache>
                <c:formatCode>0</c:formatCode>
                <c:ptCount val="12"/>
                <c:pt idx="0">
                  <c:v>13</c:v>
                </c:pt>
                <c:pt idx="1">
                  <c:v>16</c:v>
                </c:pt>
                <c:pt idx="2">
                  <c:v>23</c:v>
                </c:pt>
                <c:pt idx="3">
                  <c:v>27</c:v>
                </c:pt>
                <c:pt idx="4">
                  <c:v>30</c:v>
                </c:pt>
                <c:pt idx="5">
                  <c:v>23</c:v>
                </c:pt>
                <c:pt idx="6">
                  <c:v>37</c:v>
                </c:pt>
                <c:pt idx="7">
                  <c:v>51</c:v>
                </c:pt>
                <c:pt idx="8">
                  <c:v>85</c:v>
                </c:pt>
                <c:pt idx="9">
                  <c:v>63</c:v>
                </c:pt>
                <c:pt idx="10">
                  <c:v>83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'25.08 Bukaya-Kampala'!$AF$9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Bukaya-Kampala'!$AF$10:$AF$21</c:f>
              <c:numCache>
                <c:formatCode>0</c:formatCode>
                <c:ptCount val="12"/>
                <c:pt idx="0">
                  <c:v>50</c:v>
                </c:pt>
                <c:pt idx="1">
                  <c:v>90</c:v>
                </c:pt>
                <c:pt idx="2">
                  <c:v>93</c:v>
                </c:pt>
                <c:pt idx="3">
                  <c:v>100</c:v>
                </c:pt>
                <c:pt idx="4">
                  <c:v>93</c:v>
                </c:pt>
                <c:pt idx="5">
                  <c:v>117</c:v>
                </c:pt>
                <c:pt idx="6">
                  <c:v>124</c:v>
                </c:pt>
                <c:pt idx="7">
                  <c:v>127</c:v>
                </c:pt>
                <c:pt idx="8">
                  <c:v>168</c:v>
                </c:pt>
                <c:pt idx="9">
                  <c:v>150</c:v>
                </c:pt>
                <c:pt idx="10">
                  <c:v>172</c:v>
                </c:pt>
                <c:pt idx="11">
                  <c:v>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745856"/>
        <c:axId val="462741544"/>
      </c:lineChart>
      <c:catAx>
        <c:axId val="462745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41544"/>
        <c:crosses val="autoZero"/>
        <c:auto val="1"/>
        <c:lblAlgn val="ctr"/>
        <c:lblOffset val="100"/>
        <c:noMultiLvlLbl val="0"/>
      </c:catAx>
      <c:valAx>
        <c:axId val="4627415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Bukaya-Kampala'!$C$59:$N$59</c:f>
              <c:numCache>
                <c:formatCode>0.0%</c:formatCode>
                <c:ptCount val="12"/>
                <c:pt idx="0">
                  <c:v>0.11479944674965421</c:v>
                </c:pt>
                <c:pt idx="1">
                  <c:v>0</c:v>
                </c:pt>
                <c:pt idx="2">
                  <c:v>0.11618257261410789</c:v>
                </c:pt>
                <c:pt idx="3">
                  <c:v>7.7455048409405258E-2</c:v>
                </c:pt>
                <c:pt idx="4">
                  <c:v>5.5325034578146614E-3</c:v>
                </c:pt>
                <c:pt idx="5">
                  <c:v>0</c:v>
                </c:pt>
                <c:pt idx="6">
                  <c:v>4.0110650069156296E-2</c:v>
                </c:pt>
                <c:pt idx="7">
                  <c:v>6.9156293222683268E-4</c:v>
                </c:pt>
                <c:pt idx="8">
                  <c:v>1.3831258644536654E-3</c:v>
                </c:pt>
                <c:pt idx="9">
                  <c:v>0</c:v>
                </c:pt>
                <c:pt idx="10">
                  <c:v>0.64384508990318123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Bukaya-Kampala'!$S$9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Bukaya-Kampala'!$S$10:$S$21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15</c:v>
                </c:pt>
                <c:pt idx="7">
                  <c:v>15</c:v>
                </c:pt>
                <c:pt idx="8">
                  <c:v>30</c:v>
                </c:pt>
                <c:pt idx="9">
                  <c:v>21</c:v>
                </c:pt>
                <c:pt idx="10">
                  <c:v>31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'25.08 Bukaya-Kampala'!$T$9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'25.08 Bukaya-Kampala'!$R$10:$R$21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Bukaya-Kampala'!$T$10:$T$21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'25.08 Bukaya-Kampala'!$U$9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'25.08 Bukaya-Kampala'!$U$10:$U$21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22</c:v>
                </c:pt>
                <c:pt idx="8">
                  <c:v>34</c:v>
                </c:pt>
                <c:pt idx="9">
                  <c:v>19</c:v>
                </c:pt>
                <c:pt idx="10">
                  <c:v>28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'25.08 Bukaya-Kampala'!$V$9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'25.08 Bukaya-Kampala'!$V$10:$V$21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11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'25.08 Bukaya-Kampala'!$W$9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'25.08 Bukaya-Kampala'!$W$10:$W$21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'25.08 Bukaya-Kampala'!$X$9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'25.08 Bukaya-Kampala'!$X$10:$X$21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'25.08 Bukaya-Kampala'!$Y$9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Bukaya-Kampala'!$Y$10:$Y$21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9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'25.08 Bukaya-Kampala'!$Z$9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Bukaya-Kampala'!$Z$10:$Z$21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'25.08 Bukaya-Kampala'!$AA$9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Bukaya-Kampala'!$AA$10:$AA$21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'25.08 Bukaya-Kampala'!$AB$9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Bukaya-Kampala'!$AB$10:$AB$21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'25.08 Bukaya-Kampala'!$AC$9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Bukaya-Kampala'!$AC$10:$AC$21</c:f>
              <c:numCache>
                <c:formatCode>0</c:formatCode>
                <c:ptCount val="12"/>
                <c:pt idx="0">
                  <c:v>37</c:v>
                </c:pt>
                <c:pt idx="1">
                  <c:v>74</c:v>
                </c:pt>
                <c:pt idx="2">
                  <c:v>70</c:v>
                </c:pt>
                <c:pt idx="3">
                  <c:v>73</c:v>
                </c:pt>
                <c:pt idx="4">
                  <c:v>63</c:v>
                </c:pt>
                <c:pt idx="5">
                  <c:v>94</c:v>
                </c:pt>
                <c:pt idx="6">
                  <c:v>87</c:v>
                </c:pt>
                <c:pt idx="7">
                  <c:v>76</c:v>
                </c:pt>
                <c:pt idx="8">
                  <c:v>83</c:v>
                </c:pt>
                <c:pt idx="9">
                  <c:v>87</c:v>
                </c:pt>
                <c:pt idx="10">
                  <c:v>89</c:v>
                </c:pt>
                <c:pt idx="11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'25.08 Bukaya-Kampala'!$AD$9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Bukaya-Kampala'!$AD$10:$AD$21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302432"/>
        <c:axId val="462302824"/>
      </c:lineChart>
      <c:catAx>
        <c:axId val="46230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302824"/>
        <c:crosses val="autoZero"/>
        <c:auto val="1"/>
        <c:lblAlgn val="ctr"/>
        <c:lblOffset val="100"/>
        <c:noMultiLvlLbl val="0"/>
      </c:catAx>
      <c:valAx>
        <c:axId val="46230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30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Bukaya-Kampala'!$C$60:$N$60</c:f>
              <c:numCache>
                <c:formatCode>0.00%</c:formatCode>
                <c:ptCount val="12"/>
                <c:pt idx="0">
                  <c:v>0.32233009708737864</c:v>
                </c:pt>
                <c:pt idx="1">
                  <c:v>0</c:v>
                </c:pt>
                <c:pt idx="2">
                  <c:v>0.32621359223300972</c:v>
                </c:pt>
                <c:pt idx="3">
                  <c:v>0.2174757281553398</c:v>
                </c:pt>
                <c:pt idx="4">
                  <c:v>1.5533980582524271E-2</c:v>
                </c:pt>
                <c:pt idx="5">
                  <c:v>0</c:v>
                </c:pt>
                <c:pt idx="6">
                  <c:v>0.11262135922330097</c:v>
                </c:pt>
                <c:pt idx="7">
                  <c:v>1.9417475728155339E-3</c:v>
                </c:pt>
                <c:pt idx="8">
                  <c:v>3.8834951456310678E-3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Kampala-Bukaya'!$AE$9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Kampala-Bukaya'!$R$10:$R$33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Kampala-Bukaya'!$AE$10:$AE$33</c:f>
              <c:numCache>
                <c:formatCode>0</c:formatCode>
                <c:ptCount val="24"/>
                <c:pt idx="0">
                  <c:v>22.428571428571427</c:v>
                </c:pt>
                <c:pt idx="1">
                  <c:v>28.285714285714285</c:v>
                </c:pt>
                <c:pt idx="2">
                  <c:v>34.571428571428569</c:v>
                </c:pt>
                <c:pt idx="3">
                  <c:v>44.142857142857139</c:v>
                </c:pt>
                <c:pt idx="4">
                  <c:v>40.428571428571423</c:v>
                </c:pt>
                <c:pt idx="5">
                  <c:v>44</c:v>
                </c:pt>
                <c:pt idx="6">
                  <c:v>47.428571428571431</c:v>
                </c:pt>
                <c:pt idx="7">
                  <c:v>45.714285714285708</c:v>
                </c:pt>
                <c:pt idx="8">
                  <c:v>38</c:v>
                </c:pt>
                <c:pt idx="9">
                  <c:v>35.285714285714292</c:v>
                </c:pt>
                <c:pt idx="10">
                  <c:v>34.857142857142861</c:v>
                </c:pt>
                <c:pt idx="11">
                  <c:v>32.142857142857146</c:v>
                </c:pt>
                <c:pt idx="12">
                  <c:v>31</c:v>
                </c:pt>
                <c:pt idx="13">
                  <c:v>47</c:v>
                </c:pt>
                <c:pt idx="14">
                  <c:v>32</c:v>
                </c:pt>
                <c:pt idx="15">
                  <c:v>28</c:v>
                </c:pt>
                <c:pt idx="16">
                  <c:v>37</c:v>
                </c:pt>
                <c:pt idx="17">
                  <c:v>28</c:v>
                </c:pt>
                <c:pt idx="18">
                  <c:v>10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Kampala-Bukaya'!$AF$9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Kampala-Bukaya'!$R$10:$R$33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Kampala-Bukaya'!$AF$10:$AF$33</c:f>
              <c:numCache>
                <c:formatCode>0</c:formatCode>
                <c:ptCount val="24"/>
                <c:pt idx="0">
                  <c:v>73</c:v>
                </c:pt>
                <c:pt idx="1">
                  <c:v>89.428571428571431</c:v>
                </c:pt>
                <c:pt idx="2">
                  <c:v>105.14285714285714</c:v>
                </c:pt>
                <c:pt idx="3">
                  <c:v>123.14285714285714</c:v>
                </c:pt>
                <c:pt idx="4">
                  <c:v>127.42857142857143</c:v>
                </c:pt>
                <c:pt idx="5">
                  <c:v>126.85714285714286</c:v>
                </c:pt>
                <c:pt idx="6">
                  <c:v>114.57142857142857</c:v>
                </c:pt>
                <c:pt idx="7">
                  <c:v>117.28571428571428</c:v>
                </c:pt>
                <c:pt idx="8">
                  <c:v>112.42857142857142</c:v>
                </c:pt>
                <c:pt idx="9">
                  <c:v>124</c:v>
                </c:pt>
                <c:pt idx="10">
                  <c:v>121.71428571428572</c:v>
                </c:pt>
                <c:pt idx="11">
                  <c:v>127.14285714285715</c:v>
                </c:pt>
                <c:pt idx="12">
                  <c:v>107</c:v>
                </c:pt>
                <c:pt idx="13">
                  <c:v>143</c:v>
                </c:pt>
                <c:pt idx="14">
                  <c:v>94</c:v>
                </c:pt>
                <c:pt idx="15">
                  <c:v>63</c:v>
                </c:pt>
                <c:pt idx="16">
                  <c:v>68</c:v>
                </c:pt>
                <c:pt idx="17">
                  <c:v>49</c:v>
                </c:pt>
                <c:pt idx="18">
                  <c:v>15</c:v>
                </c:pt>
                <c:pt idx="19">
                  <c:v>12</c:v>
                </c:pt>
                <c:pt idx="20">
                  <c:v>0</c:v>
                </c:pt>
                <c:pt idx="21">
                  <c:v>13</c:v>
                </c:pt>
                <c:pt idx="22">
                  <c:v>11</c:v>
                </c:pt>
                <c:pt idx="23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749744"/>
        <c:axId val="462754840"/>
      </c:lineChart>
      <c:catAx>
        <c:axId val="4627497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54840"/>
        <c:crosses val="autoZero"/>
        <c:auto val="1"/>
        <c:lblAlgn val="ctr"/>
        <c:lblOffset val="100"/>
        <c:noMultiLvlLbl val="0"/>
      </c:catAx>
      <c:valAx>
        <c:axId val="462754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4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Kampala-Bukaya'!$C$107:$N$107</c:f>
              <c:numCache>
                <c:formatCode>0.0%</c:formatCode>
                <c:ptCount val="12"/>
                <c:pt idx="0">
                  <c:v>9.890508302516135E-2</c:v>
                </c:pt>
                <c:pt idx="1">
                  <c:v>2.030309622217388E-3</c:v>
                </c:pt>
                <c:pt idx="2">
                  <c:v>9.5859618591835227E-2</c:v>
                </c:pt>
                <c:pt idx="3">
                  <c:v>7.0480748314117894E-2</c:v>
                </c:pt>
                <c:pt idx="4">
                  <c:v>3.2629976071350871E-3</c:v>
                </c:pt>
                <c:pt idx="5">
                  <c:v>9.4264375317235874E-4</c:v>
                </c:pt>
                <c:pt idx="6">
                  <c:v>7.2511057936335305E-2</c:v>
                </c:pt>
                <c:pt idx="7">
                  <c:v>2.0303096222173875E-3</c:v>
                </c:pt>
                <c:pt idx="8">
                  <c:v>5.8008846349068234E-3</c:v>
                </c:pt>
                <c:pt idx="9">
                  <c:v>3.6255528968167635E-4</c:v>
                </c:pt>
                <c:pt idx="10">
                  <c:v>0.55217170618519307</c:v>
                </c:pt>
                <c:pt idx="11">
                  <c:v>2.1753317380900585E-4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Kampala-Bukaya'!$C$9:$N$9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Kampala-Bukaya'!$C$108:$N$108</c:f>
              <c:numCache>
                <c:formatCode>0.00%</c:formatCode>
                <c:ptCount val="12"/>
                <c:pt idx="0">
                  <c:v>0.28065843621399178</c:v>
                </c:pt>
                <c:pt idx="1">
                  <c:v>5.761316872427983E-3</c:v>
                </c:pt>
                <c:pt idx="2">
                  <c:v>0.27201646090534976</c:v>
                </c:pt>
                <c:pt idx="3">
                  <c:v>0.19999999999999998</c:v>
                </c:pt>
                <c:pt idx="4">
                  <c:v>9.259259259259257E-3</c:v>
                </c:pt>
                <c:pt idx="5">
                  <c:v>2.6748971193415638E-3</c:v>
                </c:pt>
                <c:pt idx="6">
                  <c:v>0.20576131687242802</c:v>
                </c:pt>
                <c:pt idx="7">
                  <c:v>5.7613168724279821E-3</c:v>
                </c:pt>
                <c:pt idx="8">
                  <c:v>1.646090534979424E-2</c:v>
                </c:pt>
                <c:pt idx="9">
                  <c:v>1.0288065843621398E-3</c:v>
                </c:pt>
                <c:pt idx="11">
                  <c:v>6.1728395061728383E-4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Bukaya-Kampala'!$AE$9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Bukaya-Kampala'!$R$10:$R$33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Bukaya-Kampala'!$AE$10:$AE$33</c:f>
              <c:numCache>
                <c:formatCode>0</c:formatCode>
                <c:ptCount val="24"/>
                <c:pt idx="0">
                  <c:v>15.285714285714285</c:v>
                </c:pt>
                <c:pt idx="1">
                  <c:v>18.428571428571431</c:v>
                </c:pt>
                <c:pt idx="2">
                  <c:v>21.428571428571431</c:v>
                </c:pt>
                <c:pt idx="3">
                  <c:v>23.428571428571431</c:v>
                </c:pt>
                <c:pt idx="4">
                  <c:v>27.571428571428577</c:v>
                </c:pt>
                <c:pt idx="5">
                  <c:v>27.285714285714285</c:v>
                </c:pt>
                <c:pt idx="6">
                  <c:v>31.571428571428569</c:v>
                </c:pt>
                <c:pt idx="7">
                  <c:v>33.714285714285715</c:v>
                </c:pt>
                <c:pt idx="8">
                  <c:v>45.571428571428569</c:v>
                </c:pt>
                <c:pt idx="9">
                  <c:v>46.142857142857139</c:v>
                </c:pt>
                <c:pt idx="10">
                  <c:v>62.571428571428577</c:v>
                </c:pt>
                <c:pt idx="11">
                  <c:v>54.142857142857139</c:v>
                </c:pt>
                <c:pt idx="12">
                  <c:v>31</c:v>
                </c:pt>
                <c:pt idx="13">
                  <c:v>47</c:v>
                </c:pt>
                <c:pt idx="14">
                  <c:v>32</c:v>
                </c:pt>
                <c:pt idx="15">
                  <c:v>28</c:v>
                </c:pt>
                <c:pt idx="16">
                  <c:v>37</c:v>
                </c:pt>
                <c:pt idx="17">
                  <c:v>28</c:v>
                </c:pt>
                <c:pt idx="18">
                  <c:v>10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6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Bukaya-Kampala'!$AF$9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Bukaya-Kampala'!$R$10:$R$33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Bukaya-Kampala'!$AF$10:$AF$33</c:f>
              <c:numCache>
                <c:formatCode>0</c:formatCode>
                <c:ptCount val="24"/>
                <c:pt idx="0">
                  <c:v>67.285714285714278</c:v>
                </c:pt>
                <c:pt idx="1">
                  <c:v>81.714285714285722</c:v>
                </c:pt>
                <c:pt idx="2">
                  <c:v>89.142857142857139</c:v>
                </c:pt>
                <c:pt idx="3">
                  <c:v>103</c:v>
                </c:pt>
                <c:pt idx="4">
                  <c:v>103.85714285714285</c:v>
                </c:pt>
                <c:pt idx="5">
                  <c:v>113.28571428571428</c:v>
                </c:pt>
                <c:pt idx="6">
                  <c:v>105</c:v>
                </c:pt>
                <c:pt idx="7">
                  <c:v>112.71428571428572</c:v>
                </c:pt>
                <c:pt idx="8">
                  <c:v>126.14285714285714</c:v>
                </c:pt>
                <c:pt idx="9">
                  <c:v>135.57142857142856</c:v>
                </c:pt>
                <c:pt idx="10">
                  <c:v>151.42857142857144</c:v>
                </c:pt>
                <c:pt idx="11">
                  <c:v>155.42857142857144</c:v>
                </c:pt>
                <c:pt idx="12">
                  <c:v>107</c:v>
                </c:pt>
                <c:pt idx="13">
                  <c:v>143</c:v>
                </c:pt>
                <c:pt idx="14">
                  <c:v>94</c:v>
                </c:pt>
                <c:pt idx="15">
                  <c:v>63</c:v>
                </c:pt>
                <c:pt idx="16">
                  <c:v>68</c:v>
                </c:pt>
                <c:pt idx="17">
                  <c:v>49</c:v>
                </c:pt>
                <c:pt idx="18">
                  <c:v>15</c:v>
                </c:pt>
                <c:pt idx="19">
                  <c:v>12</c:v>
                </c:pt>
                <c:pt idx="20">
                  <c:v>0</c:v>
                </c:pt>
                <c:pt idx="21">
                  <c:v>13</c:v>
                </c:pt>
                <c:pt idx="22">
                  <c:v>11</c:v>
                </c:pt>
                <c:pt idx="23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756016"/>
        <c:axId val="462754056"/>
      </c:lineChart>
      <c:catAx>
        <c:axId val="4627560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54056"/>
        <c:crosses val="autoZero"/>
        <c:auto val="1"/>
        <c:lblAlgn val="ctr"/>
        <c:lblOffset val="100"/>
        <c:noMultiLvlLbl val="0"/>
      </c:catAx>
      <c:valAx>
        <c:axId val="462754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6275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Bukaya-Kampala'!$C$107:$N$107</c:f>
              <c:numCache>
                <c:formatCode>0.0%</c:formatCode>
                <c:ptCount val="12"/>
                <c:pt idx="0">
                  <c:v>8.9698565993561616E-2</c:v>
                </c:pt>
                <c:pt idx="1">
                  <c:v>2.048580626280363E-3</c:v>
                </c:pt>
                <c:pt idx="2">
                  <c:v>9.6868598185542887E-2</c:v>
                </c:pt>
                <c:pt idx="3">
                  <c:v>6.723734269827332E-2</c:v>
                </c:pt>
                <c:pt idx="4">
                  <c:v>3.731343283582089E-3</c:v>
                </c:pt>
                <c:pt idx="5">
                  <c:v>6.5847234416154508E-4</c:v>
                </c:pt>
                <c:pt idx="6">
                  <c:v>6.6213052385133156E-2</c:v>
                </c:pt>
                <c:pt idx="7">
                  <c:v>2.2680714076675442E-3</c:v>
                </c:pt>
                <c:pt idx="8">
                  <c:v>6.0725782850453618E-3</c:v>
                </c:pt>
                <c:pt idx="9">
                  <c:v>1.4632718759145447E-4</c:v>
                </c:pt>
                <c:pt idx="10">
                  <c:v>0.56679836113549886</c:v>
                </c:pt>
                <c:pt idx="11">
                  <c:v>7.3163593795727233E-5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Bukaya-Kampala'!$C$9:$N$9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Bukaya-Kampala'!$C$108:$N$108</c:f>
              <c:numCache>
                <c:formatCode>0.00%</c:formatCode>
                <c:ptCount val="12"/>
                <c:pt idx="0">
                  <c:v>0.26774404891897802</c:v>
                </c:pt>
                <c:pt idx="1">
                  <c:v>6.1148722428477839E-3</c:v>
                </c:pt>
                <c:pt idx="2">
                  <c:v>0.28914610176894523</c:v>
                </c:pt>
                <c:pt idx="3">
                  <c:v>0.20069884254203971</c:v>
                </c:pt>
                <c:pt idx="4">
                  <c:v>1.1137803013758461E-2</c:v>
                </c:pt>
                <c:pt idx="5">
                  <c:v>1.9654946494867876E-3</c:v>
                </c:pt>
                <c:pt idx="6">
                  <c:v>0.19764140642061584</c:v>
                </c:pt>
                <c:pt idx="7">
                  <c:v>6.7700371260100449E-3</c:v>
                </c:pt>
                <c:pt idx="8">
                  <c:v>1.8126228434155931E-2</c:v>
                </c:pt>
                <c:pt idx="9">
                  <c:v>4.3677658877484165E-4</c:v>
                </c:pt>
                <c:pt idx="11">
                  <c:v>2.1838829438742082E-4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Kampala-Bukaya-2Dir'!$C$9:$N$9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Kampala-Bukaya-2Dir'!$C$107:$N$107</c:f>
              <c:numCache>
                <c:formatCode>0.0%</c:formatCode>
                <c:ptCount val="12"/>
                <c:pt idx="0">
                  <c:v>0.10443127293254306</c:v>
                </c:pt>
                <c:pt idx="1">
                  <c:v>2.257973468811742E-3</c:v>
                </c:pt>
                <c:pt idx="2">
                  <c:v>0.1066892464013548</c:v>
                </c:pt>
                <c:pt idx="3">
                  <c:v>7.6246925527196488E-2</c:v>
                </c:pt>
                <c:pt idx="4">
                  <c:v>3.8708116608201291E-3</c:v>
                </c:pt>
                <c:pt idx="5">
                  <c:v>8.8706100560461277E-4</c:v>
                </c:pt>
                <c:pt idx="6">
                  <c:v>7.6811418894399422E-2</c:v>
                </c:pt>
                <c:pt idx="7">
                  <c:v>2.3789363332123704E-3</c:v>
                </c:pt>
                <c:pt idx="8">
                  <c:v>6.5723156324341767E-3</c:v>
                </c:pt>
                <c:pt idx="9">
                  <c:v>2.8224668360146774E-4</c:v>
                </c:pt>
                <c:pt idx="10">
                  <c:v>0.61941050764082095</c:v>
                </c:pt>
                <c:pt idx="11">
                  <c:v>1.612838192008387E-4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Kampala-Bukaya-2Dir'!$C$9:$N$9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Kampala-Bukaya-2Dir'!$C$108:$N$108</c:f>
              <c:numCache>
                <c:formatCode>0.00%</c:formatCode>
                <c:ptCount val="12"/>
                <c:pt idx="0">
                  <c:v>0.27439347388494545</c:v>
                </c:pt>
                <c:pt idx="1">
                  <c:v>5.9328318677826048E-3</c:v>
                </c:pt>
                <c:pt idx="2">
                  <c:v>0.28032630575272804</c:v>
                </c:pt>
                <c:pt idx="3">
                  <c:v>0.20033901896387329</c:v>
                </c:pt>
                <c:pt idx="4">
                  <c:v>1.0170568916198752E-2</c:v>
                </c:pt>
                <c:pt idx="5">
                  <c:v>2.3307553766288803E-3</c:v>
                </c:pt>
                <c:pt idx="6">
                  <c:v>0.20182222693081894</c:v>
                </c:pt>
                <c:pt idx="7">
                  <c:v>6.2506621464138139E-3</c:v>
                </c:pt>
                <c:pt idx="8">
                  <c:v>1.7268778472295795E-2</c:v>
                </c:pt>
                <c:pt idx="9">
                  <c:v>7.4160398347282561E-4</c:v>
                </c:pt>
                <c:pt idx="11">
                  <c:v>4.2377370484161461E-4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Kampala-Bukaya-2Dir'!$S$9:$AF$9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Kampala-Bukaya-2Dir'!$S$41:$AF$41</c:f>
              <c:numCache>
                <c:formatCode>_(* #,##0_);_(* \(#,##0\);_(* "-"_);_(@_)</c:formatCode>
                <c:ptCount val="14"/>
                <c:pt idx="0">
                  <c:v>370</c:v>
                </c:pt>
                <c:pt idx="1">
                  <c:v>0</c:v>
                </c:pt>
                <c:pt idx="2">
                  <c:v>378</c:v>
                </c:pt>
                <c:pt idx="3">
                  <c:v>270.14285714285717</c:v>
                </c:pt>
                <c:pt idx="4">
                  <c:v>13.714285714285715</c:v>
                </c:pt>
                <c:pt idx="5">
                  <c:v>3.1428571428571428</c:v>
                </c:pt>
                <c:pt idx="6">
                  <c:v>272.14285714285717</c:v>
                </c:pt>
                <c:pt idx="7">
                  <c:v>8.428571428571427</c:v>
                </c:pt>
                <c:pt idx="8">
                  <c:v>23.285714285714285</c:v>
                </c:pt>
                <c:pt idx="9">
                  <c:v>1</c:v>
                </c:pt>
                <c:pt idx="10">
                  <c:v>2194.5714285714284</c:v>
                </c:pt>
                <c:pt idx="11">
                  <c:v>0.5714285714285714</c:v>
                </c:pt>
                <c:pt idx="12">
                  <c:v>1348.4285714285713</c:v>
                </c:pt>
                <c:pt idx="13">
                  <c:v>3542.9999999999995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B-4D48-845D-4AFE47AE17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Kampala-Bukaya-2Dir'!$S$9:$AF$9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Kampala-Bukaya-2Dir'!$S$42:$AF$42</c:f>
              <c:numCache>
                <c:formatCode>0.000</c:formatCode>
                <c:ptCount val="14"/>
                <c:pt idx="0">
                  <c:v>1.5416666666666667</c:v>
                </c:pt>
                <c:pt idx="1">
                  <c:v>0</c:v>
                </c:pt>
                <c:pt idx="2">
                  <c:v>1.5</c:v>
                </c:pt>
                <c:pt idx="3">
                  <c:v>1.4996034892942109</c:v>
                </c:pt>
                <c:pt idx="4">
                  <c:v>1.7777777777777777</c:v>
                </c:pt>
                <c:pt idx="5">
                  <c:v>2.75</c:v>
                </c:pt>
                <c:pt idx="6">
                  <c:v>1.7429094236047575</c:v>
                </c:pt>
                <c:pt idx="7">
                  <c:v>1.9032258064516128</c:v>
                </c:pt>
                <c:pt idx="8">
                  <c:v>2.0632911392405062</c:v>
                </c:pt>
                <c:pt idx="9">
                  <c:v>1</c:v>
                </c:pt>
                <c:pt idx="10">
                  <c:v>1.1949284380833851</c:v>
                </c:pt>
                <c:pt idx="11">
                  <c:v>1</c:v>
                </c:pt>
                <c:pt idx="12">
                  <c:v>1.5781641865908711</c:v>
                </c:pt>
                <c:pt idx="13">
                  <c:v>1.3166109253065776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1-40EC-A10B-304C458B8C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Kampala-Bukaya-2Dir'!$AE$9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Kampala-Bukaya-2Dir'!$R$10:$R$33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Kampala-Bukaya-2Dir'!$AE$10:$AE$33</c:f>
              <c:numCache>
                <c:formatCode>0</c:formatCode>
                <c:ptCount val="24"/>
                <c:pt idx="0">
                  <c:v>37.714285714285715</c:v>
                </c:pt>
                <c:pt idx="1">
                  <c:v>46.714285714285708</c:v>
                </c:pt>
                <c:pt idx="2">
                  <c:v>56</c:v>
                </c:pt>
                <c:pt idx="3">
                  <c:v>67.571428571428569</c:v>
                </c:pt>
                <c:pt idx="4">
                  <c:v>68</c:v>
                </c:pt>
                <c:pt idx="5">
                  <c:v>71.285714285714292</c:v>
                </c:pt>
                <c:pt idx="6">
                  <c:v>79</c:v>
                </c:pt>
                <c:pt idx="7">
                  <c:v>79.428571428571416</c:v>
                </c:pt>
                <c:pt idx="8">
                  <c:v>83.571428571428555</c:v>
                </c:pt>
                <c:pt idx="9">
                  <c:v>81.428571428571416</c:v>
                </c:pt>
                <c:pt idx="10">
                  <c:v>97.428571428571402</c:v>
                </c:pt>
                <c:pt idx="11">
                  <c:v>86.285714285714278</c:v>
                </c:pt>
                <c:pt idx="12">
                  <c:v>62</c:v>
                </c:pt>
                <c:pt idx="13">
                  <c:v>94</c:v>
                </c:pt>
                <c:pt idx="14">
                  <c:v>64</c:v>
                </c:pt>
                <c:pt idx="15">
                  <c:v>56</c:v>
                </c:pt>
                <c:pt idx="16">
                  <c:v>74</c:v>
                </c:pt>
                <c:pt idx="17">
                  <c:v>56</c:v>
                </c:pt>
                <c:pt idx="18">
                  <c:v>20</c:v>
                </c:pt>
                <c:pt idx="19">
                  <c:v>14</c:v>
                </c:pt>
                <c:pt idx="20">
                  <c:v>0</c:v>
                </c:pt>
                <c:pt idx="21">
                  <c:v>16</c:v>
                </c:pt>
                <c:pt idx="22">
                  <c:v>12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C3-476B-A82E-5DFA515FFE18}"/>
            </c:ext>
          </c:extLst>
        </c:ser>
        <c:ser>
          <c:idx val="1"/>
          <c:order val="1"/>
          <c:tx>
            <c:strRef>
              <c:f>'Avg Week Kampala-Bukaya-2Dir'!$AF$9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Kampala-Bukaya-2Dir'!$R$10:$R$33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Kampala-Bukaya-2Dir'!$AF$10:$AF$33</c:f>
              <c:numCache>
                <c:formatCode>0</c:formatCode>
                <c:ptCount val="24"/>
                <c:pt idx="0">
                  <c:v>140.28571428571428</c:v>
                </c:pt>
                <c:pt idx="1">
                  <c:v>171.14285714285714</c:v>
                </c:pt>
                <c:pt idx="2">
                  <c:v>194.28571428571428</c:v>
                </c:pt>
                <c:pt idx="3">
                  <c:v>226.14285714285711</c:v>
                </c:pt>
                <c:pt idx="4">
                  <c:v>231.28571428571428</c:v>
                </c:pt>
                <c:pt idx="5">
                  <c:v>240.14285714285714</c:v>
                </c:pt>
                <c:pt idx="6">
                  <c:v>219.57142857142856</c:v>
                </c:pt>
                <c:pt idx="7">
                  <c:v>230</c:v>
                </c:pt>
                <c:pt idx="8">
                  <c:v>238.57142857142856</c:v>
                </c:pt>
                <c:pt idx="9">
                  <c:v>259.57142857142856</c:v>
                </c:pt>
                <c:pt idx="10">
                  <c:v>273.14285714285711</c:v>
                </c:pt>
                <c:pt idx="11">
                  <c:v>266.85714285714283</c:v>
                </c:pt>
                <c:pt idx="12">
                  <c:v>178</c:v>
                </c:pt>
                <c:pt idx="13">
                  <c:v>200</c:v>
                </c:pt>
                <c:pt idx="14">
                  <c:v>140</c:v>
                </c:pt>
                <c:pt idx="15">
                  <c:v>90</c:v>
                </c:pt>
                <c:pt idx="16">
                  <c:v>74</c:v>
                </c:pt>
                <c:pt idx="17">
                  <c:v>56</c:v>
                </c:pt>
                <c:pt idx="18">
                  <c:v>20</c:v>
                </c:pt>
                <c:pt idx="19">
                  <c:v>14</c:v>
                </c:pt>
                <c:pt idx="20">
                  <c:v>0</c:v>
                </c:pt>
                <c:pt idx="21">
                  <c:v>16</c:v>
                </c:pt>
                <c:pt idx="22">
                  <c:v>14</c:v>
                </c:pt>
                <c:pt idx="23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C3-476B-A82E-5DFA515FFE18}"/>
            </c:ext>
          </c:extLst>
        </c:ser>
        <c:ser>
          <c:idx val="5"/>
          <c:order val="2"/>
          <c:tx>
            <c:strRef>
              <c:f>'Avg Week Kampala-Bukaya-2Dir'!$AC$9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Kampala-Bukaya-2Dir'!$R$10:$R$33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Kampala-Bukaya-2Dir'!$AC$10:$AC$33</c:f>
              <c:numCache>
                <c:formatCode>0</c:formatCode>
                <c:ptCount val="24"/>
                <c:pt idx="0">
                  <c:v>102.57142857142858</c:v>
                </c:pt>
                <c:pt idx="1">
                  <c:v>124.42857142857144</c:v>
                </c:pt>
                <c:pt idx="2">
                  <c:v>138.28571428571428</c:v>
                </c:pt>
                <c:pt idx="3">
                  <c:v>158.57142857142856</c:v>
                </c:pt>
                <c:pt idx="4">
                  <c:v>163.28571428571428</c:v>
                </c:pt>
                <c:pt idx="5">
                  <c:v>168.85714285714286</c:v>
                </c:pt>
                <c:pt idx="6">
                  <c:v>140.57142857142856</c:v>
                </c:pt>
                <c:pt idx="7">
                  <c:v>150.57142857142858</c:v>
                </c:pt>
                <c:pt idx="8">
                  <c:v>155</c:v>
                </c:pt>
                <c:pt idx="9">
                  <c:v>178.14285714285714</c:v>
                </c:pt>
                <c:pt idx="10">
                  <c:v>175.71428571428572</c:v>
                </c:pt>
                <c:pt idx="11">
                  <c:v>180.57142857142856</c:v>
                </c:pt>
                <c:pt idx="12">
                  <c:v>116</c:v>
                </c:pt>
                <c:pt idx="13">
                  <c:v>106</c:v>
                </c:pt>
                <c:pt idx="14">
                  <c:v>76</c:v>
                </c:pt>
                <c:pt idx="15">
                  <c:v>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3-476B-A82E-5DFA515FF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6349</xdr:rowOff>
    </xdr:from>
    <xdr:to>
      <xdr:col>27</xdr:col>
      <xdr:colOff>698500</xdr:colOff>
      <xdr:row>59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60</xdr:row>
      <xdr:rowOff>9525</xdr:rowOff>
    </xdr:from>
    <xdr:to>
      <xdr:col>23</xdr:col>
      <xdr:colOff>15875</xdr:colOff>
      <xdr:row>74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60</xdr:row>
      <xdr:rowOff>111126</xdr:rowOff>
    </xdr:from>
    <xdr:to>
      <xdr:col>30</xdr:col>
      <xdr:colOff>698500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6349</xdr:rowOff>
    </xdr:from>
    <xdr:to>
      <xdr:col>28</xdr:col>
      <xdr:colOff>15874</xdr:colOff>
      <xdr:row>59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60</xdr:row>
      <xdr:rowOff>9526</xdr:rowOff>
    </xdr:from>
    <xdr:to>
      <xdr:col>23</xdr:col>
      <xdr:colOff>15876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15874</xdr:colOff>
      <xdr:row>59</xdr:row>
      <xdr:rowOff>269875</xdr:rowOff>
    </xdr:from>
    <xdr:to>
      <xdr:col>31</xdr:col>
      <xdr:colOff>15874</xdr:colOff>
      <xdr:row>73</xdr:row>
      <xdr:rowOff>254000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0</xdr:rowOff>
    </xdr:from>
    <xdr:to>
      <xdr:col>23</xdr:col>
      <xdr:colOff>650874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75</xdr:row>
      <xdr:rowOff>15875</xdr:rowOff>
    </xdr:from>
    <xdr:to>
      <xdr:col>23</xdr:col>
      <xdr:colOff>650874</xdr:colOff>
      <xdr:row>91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666750</xdr:colOff>
      <xdr:row>59</xdr:row>
      <xdr:rowOff>0</xdr:rowOff>
    </xdr:from>
    <xdr:to>
      <xdr:col>30</xdr:col>
      <xdr:colOff>650875</xdr:colOff>
      <xdr:row>74</xdr:row>
      <xdr:rowOff>284163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650875</xdr:colOff>
      <xdr:row>75</xdr:row>
      <xdr:rowOff>15874</xdr:rowOff>
    </xdr:from>
    <xdr:to>
      <xdr:col>30</xdr:col>
      <xdr:colOff>635000</xdr:colOff>
      <xdr:row>91</xdr:row>
      <xdr:rowOff>63499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31750</xdr:colOff>
      <xdr:row>58</xdr:row>
      <xdr:rowOff>269875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N4" sqref="N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165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54" t="s">
        <v>174</v>
      </c>
      <c r="H5" s="55"/>
      <c r="I5" s="14"/>
      <c r="J5" s="2" t="s">
        <v>5</v>
      </c>
      <c r="K5" s="54" t="s">
        <v>162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166</v>
      </c>
      <c r="E6" s="55"/>
      <c r="F6" s="2" t="s">
        <v>2</v>
      </c>
      <c r="G6" s="54" t="s">
        <v>173</v>
      </c>
      <c r="H6" s="55"/>
      <c r="J6" s="2" t="s">
        <v>21</v>
      </c>
      <c r="K6" s="54" t="s">
        <v>162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11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7</v>
      </c>
      <c r="T10" s="17">
        <f t="shared" si="2"/>
        <v>0</v>
      </c>
      <c r="U10" s="17">
        <f t="shared" si="2"/>
        <v>5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53</v>
      </c>
      <c r="AD10" s="17">
        <f t="shared" si="2"/>
        <v>1</v>
      </c>
      <c r="AE10" s="31">
        <f t="shared" si="2"/>
        <v>20</v>
      </c>
      <c r="AF10" s="31">
        <f t="shared" si="2"/>
        <v>73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2</v>
      </c>
      <c r="P11" s="15">
        <f t="shared" si="1"/>
        <v>12</v>
      </c>
      <c r="R11" s="1" t="s">
        <v>7</v>
      </c>
      <c r="S11" s="17">
        <f t="shared" ref="S11:AF11" si="3">SUM(C14:C17)</f>
        <v>6</v>
      </c>
      <c r="T11" s="17">
        <f t="shared" si="3"/>
        <v>0</v>
      </c>
      <c r="U11" s="17">
        <f t="shared" si="3"/>
        <v>9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56</v>
      </c>
      <c r="AD11" s="17">
        <f t="shared" si="3"/>
        <v>0</v>
      </c>
      <c r="AE11" s="31">
        <f t="shared" si="3"/>
        <v>25</v>
      </c>
      <c r="AF11" s="31">
        <f t="shared" si="3"/>
        <v>81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2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20</v>
      </c>
      <c r="N12" s="50">
        <v>1</v>
      </c>
      <c r="O12" s="15">
        <f t="shared" si="0"/>
        <v>6</v>
      </c>
      <c r="P12" s="15">
        <f t="shared" si="1"/>
        <v>26</v>
      </c>
      <c r="R12" s="1" t="s">
        <v>8</v>
      </c>
      <c r="S12" s="17">
        <f t="shared" ref="S12:AF12" si="4">SUM(C18:C21)</f>
        <v>10</v>
      </c>
      <c r="T12" s="17">
        <f t="shared" si="4"/>
        <v>0</v>
      </c>
      <c r="U12" s="17">
        <f t="shared" si="4"/>
        <v>5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2</v>
      </c>
      <c r="AA12" s="17">
        <f t="shared" si="4"/>
        <v>0</v>
      </c>
      <c r="AB12" s="17">
        <f t="shared" si="4"/>
        <v>1</v>
      </c>
      <c r="AC12" s="17">
        <f t="shared" si="4"/>
        <v>86</v>
      </c>
      <c r="AD12" s="17">
        <f t="shared" si="4"/>
        <v>0</v>
      </c>
      <c r="AE12" s="31">
        <f t="shared" si="4"/>
        <v>32</v>
      </c>
      <c r="AF12" s="31">
        <f t="shared" si="4"/>
        <v>118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3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9</v>
      </c>
      <c r="P13" s="15">
        <f t="shared" si="1"/>
        <v>21</v>
      </c>
      <c r="R13" s="1" t="s">
        <v>9</v>
      </c>
      <c r="S13" s="17">
        <f t="shared" ref="S13:AF13" si="5">SUM(C22:C25)</f>
        <v>12</v>
      </c>
      <c r="T13" s="17">
        <f t="shared" si="5"/>
        <v>0</v>
      </c>
      <c r="U13" s="17">
        <f t="shared" si="5"/>
        <v>12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83</v>
      </c>
      <c r="AD13" s="17">
        <f t="shared" si="5"/>
        <v>0</v>
      </c>
      <c r="AE13" s="31">
        <f t="shared" si="5"/>
        <v>39</v>
      </c>
      <c r="AF13" s="31">
        <f t="shared" si="5"/>
        <v>122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4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1</v>
      </c>
      <c r="L14" s="50">
        <v>0</v>
      </c>
      <c r="M14" s="50">
        <v>16</v>
      </c>
      <c r="N14" s="50">
        <v>0</v>
      </c>
      <c r="O14" s="15">
        <f t="shared" si="0"/>
        <v>8</v>
      </c>
      <c r="P14" s="15">
        <f t="shared" si="1"/>
        <v>24</v>
      </c>
      <c r="R14" s="1" t="s">
        <v>10</v>
      </c>
      <c r="S14" s="17">
        <f t="shared" ref="S14:AF14" si="6">SUM(C26:C29)</f>
        <v>13</v>
      </c>
      <c r="T14" s="17">
        <f t="shared" si="6"/>
        <v>0</v>
      </c>
      <c r="U14" s="17">
        <f t="shared" si="6"/>
        <v>13</v>
      </c>
      <c r="V14" s="17">
        <f t="shared" si="6"/>
        <v>10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87</v>
      </c>
      <c r="AD14" s="17">
        <f t="shared" si="6"/>
        <v>0</v>
      </c>
      <c r="AE14" s="31">
        <f t="shared" si="6"/>
        <v>48</v>
      </c>
      <c r="AF14" s="31">
        <f t="shared" si="6"/>
        <v>135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5">
        <f t="shared" si="0"/>
        <v>1</v>
      </c>
      <c r="P15" s="15">
        <f t="shared" si="1"/>
        <v>14</v>
      </c>
      <c r="R15" s="1" t="s">
        <v>11</v>
      </c>
      <c r="S15" s="17">
        <f t="shared" ref="S15:AF15" si="7">SUM(C30:C33)</f>
        <v>16</v>
      </c>
      <c r="T15" s="17">
        <f t="shared" si="7"/>
        <v>0</v>
      </c>
      <c r="U15" s="17">
        <f t="shared" si="7"/>
        <v>10</v>
      </c>
      <c r="V15" s="17">
        <f t="shared" si="7"/>
        <v>10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85</v>
      </c>
      <c r="AD15" s="17">
        <f t="shared" si="7"/>
        <v>0</v>
      </c>
      <c r="AE15" s="31">
        <f t="shared" si="7"/>
        <v>47</v>
      </c>
      <c r="AF15" s="31">
        <f t="shared" si="7"/>
        <v>132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3</v>
      </c>
      <c r="F16" s="50">
        <v>2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14</v>
      </c>
      <c r="N16" s="50">
        <v>0</v>
      </c>
      <c r="O16" s="15">
        <f t="shared" si="0"/>
        <v>9</v>
      </c>
      <c r="P16" s="15">
        <f t="shared" si="1"/>
        <v>23</v>
      </c>
      <c r="R16" s="1" t="s">
        <v>12</v>
      </c>
      <c r="S16" s="17">
        <f t="shared" ref="S16:AF16" si="8">SUM(C34:C37)</f>
        <v>16</v>
      </c>
      <c r="T16" s="17">
        <f t="shared" si="8"/>
        <v>0</v>
      </c>
      <c r="U16" s="17">
        <f t="shared" si="8"/>
        <v>13</v>
      </c>
      <c r="V16" s="17">
        <f t="shared" si="8"/>
        <v>16</v>
      </c>
      <c r="W16" s="17">
        <f t="shared" si="8"/>
        <v>1</v>
      </c>
      <c r="X16" s="17">
        <f t="shared" si="8"/>
        <v>0</v>
      </c>
      <c r="Y16" s="17">
        <f t="shared" si="8"/>
        <v>9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79</v>
      </c>
      <c r="AD16" s="17">
        <f t="shared" si="8"/>
        <v>0</v>
      </c>
      <c r="AE16" s="31">
        <f t="shared" si="8"/>
        <v>56</v>
      </c>
      <c r="AF16" s="31">
        <f t="shared" si="8"/>
        <v>135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2</v>
      </c>
      <c r="F17" s="50">
        <v>3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13</v>
      </c>
      <c r="N17" s="50">
        <v>0</v>
      </c>
      <c r="O17" s="15">
        <f t="shared" si="0"/>
        <v>7</v>
      </c>
      <c r="P17" s="15">
        <f t="shared" si="1"/>
        <v>20</v>
      </c>
      <c r="R17" s="1" t="s">
        <v>13</v>
      </c>
      <c r="S17" s="17">
        <f t="shared" ref="S17:AF17" si="9">SUM(C38:C41)</f>
        <v>19</v>
      </c>
      <c r="T17" s="17">
        <f t="shared" si="9"/>
        <v>0</v>
      </c>
      <c r="U17" s="17">
        <f t="shared" si="9"/>
        <v>12</v>
      </c>
      <c r="V17" s="17">
        <f t="shared" si="9"/>
        <v>8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87</v>
      </c>
      <c r="AD17" s="17">
        <f t="shared" si="9"/>
        <v>0</v>
      </c>
      <c r="AE17" s="31">
        <f t="shared" si="9"/>
        <v>47</v>
      </c>
      <c r="AF17" s="31">
        <f t="shared" si="9"/>
        <v>134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3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29</v>
      </c>
      <c r="N18" s="50">
        <v>0</v>
      </c>
      <c r="O18" s="15">
        <f t="shared" si="0"/>
        <v>9</v>
      </c>
      <c r="P18" s="15">
        <f t="shared" si="1"/>
        <v>38</v>
      </c>
      <c r="R18" s="1" t="s">
        <v>14</v>
      </c>
      <c r="S18" s="17">
        <f t="shared" ref="S18:AF18" si="10">SUM(C42:C45)</f>
        <v>11</v>
      </c>
      <c r="T18" s="17">
        <f t="shared" si="10"/>
        <v>0</v>
      </c>
      <c r="U18" s="17">
        <f t="shared" si="10"/>
        <v>10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82</v>
      </c>
      <c r="AD18" s="17">
        <f t="shared" si="10"/>
        <v>0</v>
      </c>
      <c r="AE18" s="31">
        <f t="shared" si="10"/>
        <v>40</v>
      </c>
      <c r="AF18" s="31">
        <f t="shared" si="10"/>
        <v>122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2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19</v>
      </c>
      <c r="N19" s="50">
        <v>0</v>
      </c>
      <c r="O19" s="15">
        <f t="shared" si="0"/>
        <v>8</v>
      </c>
      <c r="P19" s="15">
        <f t="shared" si="1"/>
        <v>27</v>
      </c>
      <c r="R19" s="1" t="s">
        <v>15</v>
      </c>
      <c r="S19" s="17">
        <f t="shared" ref="S19:AF19" si="11">SUM(C46:C49)</f>
        <v>7</v>
      </c>
      <c r="T19" s="17">
        <f t="shared" si="11"/>
        <v>0</v>
      </c>
      <c r="U19" s="17">
        <f t="shared" si="11"/>
        <v>7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0</v>
      </c>
      <c r="AA19" s="17">
        <f t="shared" si="11"/>
        <v>3</v>
      </c>
      <c r="AB19" s="17">
        <f t="shared" si="11"/>
        <v>0</v>
      </c>
      <c r="AC19" s="17">
        <f t="shared" si="11"/>
        <v>108</v>
      </c>
      <c r="AD19" s="17">
        <f t="shared" si="11"/>
        <v>0</v>
      </c>
      <c r="AE19" s="31">
        <f t="shared" si="11"/>
        <v>30</v>
      </c>
      <c r="AF19" s="31">
        <f t="shared" si="11"/>
        <v>138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18</v>
      </c>
      <c r="N20" s="50">
        <v>0</v>
      </c>
      <c r="O20" s="15">
        <f t="shared" si="0"/>
        <v>4</v>
      </c>
      <c r="P20" s="15">
        <f t="shared" si="1"/>
        <v>22</v>
      </c>
      <c r="R20" s="1" t="s">
        <v>16</v>
      </c>
      <c r="S20" s="17">
        <f t="shared" ref="S20:AF20" si="12">SUM(C50:C53)</f>
        <v>11</v>
      </c>
      <c r="T20" s="17">
        <f t="shared" si="12"/>
        <v>0</v>
      </c>
      <c r="U20" s="17">
        <f t="shared" si="12"/>
        <v>14</v>
      </c>
      <c r="V20" s="17">
        <f t="shared" si="12"/>
        <v>8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101</v>
      </c>
      <c r="AD20" s="17">
        <f t="shared" si="12"/>
        <v>0</v>
      </c>
      <c r="AE20" s="31">
        <f t="shared" si="12"/>
        <v>41</v>
      </c>
      <c r="AF20" s="31">
        <f t="shared" si="12"/>
        <v>142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0</v>
      </c>
      <c r="F21" s="50">
        <v>4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1</v>
      </c>
      <c r="M21" s="50">
        <v>20</v>
      </c>
      <c r="N21" s="50">
        <v>0</v>
      </c>
      <c r="O21" s="15">
        <f t="shared" si="0"/>
        <v>11</v>
      </c>
      <c r="P21" s="15">
        <f t="shared" si="1"/>
        <v>31</v>
      </c>
      <c r="R21" s="36" t="s">
        <v>20</v>
      </c>
      <c r="S21" s="34">
        <f t="shared" ref="S21:AF21" si="13">SUM(C54:C57)</f>
        <v>13</v>
      </c>
      <c r="T21" s="17">
        <f t="shared" si="13"/>
        <v>0</v>
      </c>
      <c r="U21" s="17">
        <f t="shared" si="13"/>
        <v>13</v>
      </c>
      <c r="V21" s="17">
        <f t="shared" si="13"/>
        <v>6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123</v>
      </c>
      <c r="AD21" s="17">
        <f t="shared" si="13"/>
        <v>0</v>
      </c>
      <c r="AE21" s="31">
        <f t="shared" si="13"/>
        <v>40</v>
      </c>
      <c r="AF21" s="31">
        <f t="shared" si="13"/>
        <v>163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8</v>
      </c>
      <c r="P22" s="15">
        <f t="shared" si="1"/>
        <v>28</v>
      </c>
      <c r="R22" s="38" t="s">
        <v>90</v>
      </c>
      <c r="S22" s="39">
        <f>MAX(S10:S12)</f>
        <v>10</v>
      </c>
      <c r="T22" s="39">
        <f t="shared" ref="T22:AF22" si="14">MAX(T10:T12)</f>
        <v>0</v>
      </c>
      <c r="U22" s="39">
        <f t="shared" si="14"/>
        <v>9</v>
      </c>
      <c r="V22" s="39">
        <f t="shared" si="14"/>
        <v>7</v>
      </c>
      <c r="W22" s="39">
        <f t="shared" si="14"/>
        <v>0</v>
      </c>
      <c r="X22" s="39">
        <f t="shared" si="14"/>
        <v>0</v>
      </c>
      <c r="Y22" s="39">
        <f t="shared" si="14"/>
        <v>7</v>
      </c>
      <c r="Z22" s="39">
        <f t="shared" si="14"/>
        <v>2</v>
      </c>
      <c r="AA22" s="39">
        <f t="shared" si="14"/>
        <v>1</v>
      </c>
      <c r="AB22" s="39">
        <f t="shared" si="14"/>
        <v>1</v>
      </c>
      <c r="AC22" s="39">
        <f t="shared" si="14"/>
        <v>86</v>
      </c>
      <c r="AD22" s="39">
        <f t="shared" si="14"/>
        <v>1</v>
      </c>
      <c r="AE22" s="40">
        <f t="shared" si="14"/>
        <v>32</v>
      </c>
      <c r="AF22" s="40">
        <f t="shared" si="14"/>
        <v>118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3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23</v>
      </c>
      <c r="N23" s="50">
        <v>0</v>
      </c>
      <c r="O23" s="15">
        <f t="shared" si="0"/>
        <v>11</v>
      </c>
      <c r="P23" s="15">
        <f t="shared" si="1"/>
        <v>34</v>
      </c>
      <c r="R23" s="38" t="s">
        <v>91</v>
      </c>
      <c r="S23" s="39">
        <f>MAX(S13:S18)</f>
        <v>19</v>
      </c>
      <c r="T23" s="39">
        <f t="shared" ref="T23:AF23" si="15">MAX(T13:T18)</f>
        <v>0</v>
      </c>
      <c r="U23" s="39">
        <f t="shared" si="15"/>
        <v>13</v>
      </c>
      <c r="V23" s="39">
        <f t="shared" si="15"/>
        <v>16</v>
      </c>
      <c r="W23" s="39">
        <f t="shared" si="15"/>
        <v>1</v>
      </c>
      <c r="X23" s="39">
        <f t="shared" si="15"/>
        <v>0</v>
      </c>
      <c r="Y23" s="39">
        <f t="shared" si="15"/>
        <v>11</v>
      </c>
      <c r="Z23" s="39">
        <f t="shared" si="15"/>
        <v>0</v>
      </c>
      <c r="AA23" s="39">
        <f t="shared" si="15"/>
        <v>2</v>
      </c>
      <c r="AB23" s="39">
        <f t="shared" si="15"/>
        <v>1</v>
      </c>
      <c r="AC23" s="39">
        <f t="shared" si="15"/>
        <v>87</v>
      </c>
      <c r="AD23" s="39">
        <f t="shared" si="15"/>
        <v>0</v>
      </c>
      <c r="AE23" s="40">
        <f t="shared" si="15"/>
        <v>56</v>
      </c>
      <c r="AF23" s="40">
        <f t="shared" si="15"/>
        <v>135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6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17</v>
      </c>
      <c r="N24" s="50">
        <v>0</v>
      </c>
      <c r="O24" s="15">
        <f t="shared" si="0"/>
        <v>10</v>
      </c>
      <c r="P24" s="15">
        <f t="shared" si="1"/>
        <v>27</v>
      </c>
      <c r="R24" s="38" t="s">
        <v>92</v>
      </c>
      <c r="S24" s="39">
        <f>MAX(S19:S21)</f>
        <v>13</v>
      </c>
      <c r="T24" s="39">
        <f t="shared" ref="T24:AF24" si="16">MAX(T19:T21)</f>
        <v>0</v>
      </c>
      <c r="U24" s="39">
        <f t="shared" si="16"/>
        <v>14</v>
      </c>
      <c r="V24" s="39">
        <f t="shared" si="16"/>
        <v>8</v>
      </c>
      <c r="W24" s="39">
        <f t="shared" si="16"/>
        <v>0</v>
      </c>
      <c r="X24" s="39">
        <f t="shared" si="16"/>
        <v>0</v>
      </c>
      <c r="Y24" s="39">
        <f t="shared" si="16"/>
        <v>8</v>
      </c>
      <c r="Z24" s="39">
        <f t="shared" si="16"/>
        <v>0</v>
      </c>
      <c r="AA24" s="39">
        <f t="shared" si="16"/>
        <v>3</v>
      </c>
      <c r="AB24" s="39">
        <f t="shared" si="16"/>
        <v>0</v>
      </c>
      <c r="AC24" s="39">
        <f t="shared" si="16"/>
        <v>123</v>
      </c>
      <c r="AD24" s="39">
        <f t="shared" si="16"/>
        <v>0</v>
      </c>
      <c r="AE24" s="40">
        <f t="shared" si="16"/>
        <v>41</v>
      </c>
      <c r="AF24" s="40">
        <f t="shared" si="16"/>
        <v>163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2</v>
      </c>
      <c r="F25" s="50">
        <v>3</v>
      </c>
      <c r="G25" s="50">
        <v>0</v>
      </c>
      <c r="H25" s="50">
        <v>0</v>
      </c>
      <c r="I25" s="50">
        <v>0</v>
      </c>
      <c r="J25" s="50">
        <v>0</v>
      </c>
      <c r="K25" s="50">
        <v>2</v>
      </c>
      <c r="L25" s="50">
        <v>0</v>
      </c>
      <c r="M25" s="50">
        <v>23</v>
      </c>
      <c r="N25" s="50">
        <v>0</v>
      </c>
      <c r="O25" s="15">
        <f t="shared" si="0"/>
        <v>10</v>
      </c>
      <c r="P25" s="15">
        <f t="shared" si="1"/>
        <v>33</v>
      </c>
      <c r="R25" s="37" t="s">
        <v>85</v>
      </c>
      <c r="S25" s="35">
        <f t="shared" ref="S25:AF25" si="17">SUM(S10:S12)</f>
        <v>23</v>
      </c>
      <c r="T25" s="16">
        <f t="shared" si="17"/>
        <v>0</v>
      </c>
      <c r="U25" s="16">
        <f t="shared" si="17"/>
        <v>19</v>
      </c>
      <c r="V25" s="16">
        <f t="shared" si="17"/>
        <v>16</v>
      </c>
      <c r="W25" s="16">
        <f t="shared" si="17"/>
        <v>0</v>
      </c>
      <c r="X25" s="16">
        <f t="shared" si="17"/>
        <v>0</v>
      </c>
      <c r="Y25" s="16">
        <f t="shared" si="17"/>
        <v>14</v>
      </c>
      <c r="Z25" s="16">
        <f t="shared" si="17"/>
        <v>2</v>
      </c>
      <c r="AA25" s="16">
        <f t="shared" si="17"/>
        <v>1</v>
      </c>
      <c r="AB25" s="16">
        <f t="shared" si="17"/>
        <v>1</v>
      </c>
      <c r="AC25" s="16">
        <f t="shared" si="17"/>
        <v>195</v>
      </c>
      <c r="AD25" s="16">
        <f t="shared" si="17"/>
        <v>1</v>
      </c>
      <c r="AE25" s="32">
        <f t="shared" si="17"/>
        <v>77</v>
      </c>
      <c r="AF25" s="32">
        <f t="shared" si="17"/>
        <v>272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5</v>
      </c>
      <c r="F26" s="50">
        <v>3</v>
      </c>
      <c r="G26" s="50">
        <v>0</v>
      </c>
      <c r="H26" s="50">
        <v>0</v>
      </c>
      <c r="I26" s="50">
        <v>1</v>
      </c>
      <c r="J26" s="50">
        <v>0</v>
      </c>
      <c r="K26" s="50">
        <v>1</v>
      </c>
      <c r="L26" s="50">
        <v>0</v>
      </c>
      <c r="M26" s="50">
        <v>27</v>
      </c>
      <c r="N26" s="50">
        <v>0</v>
      </c>
      <c r="O26" s="15">
        <f t="shared" si="0"/>
        <v>13</v>
      </c>
      <c r="P26" s="15">
        <f t="shared" si="1"/>
        <v>40</v>
      </c>
      <c r="R26" s="28" t="s">
        <v>86</v>
      </c>
      <c r="S26" s="16">
        <f t="shared" ref="S26:AF26" si="18">SUM(S13:S18)</f>
        <v>87</v>
      </c>
      <c r="T26" s="16">
        <f t="shared" si="18"/>
        <v>0</v>
      </c>
      <c r="U26" s="16">
        <f t="shared" si="18"/>
        <v>70</v>
      </c>
      <c r="V26" s="16">
        <f t="shared" si="18"/>
        <v>58</v>
      </c>
      <c r="W26" s="16">
        <f t="shared" si="18"/>
        <v>1</v>
      </c>
      <c r="X26" s="16">
        <f t="shared" si="18"/>
        <v>0</v>
      </c>
      <c r="Y26" s="16">
        <f t="shared" si="18"/>
        <v>55</v>
      </c>
      <c r="Z26" s="16">
        <f t="shared" si="18"/>
        <v>0</v>
      </c>
      <c r="AA26" s="16">
        <f t="shared" si="18"/>
        <v>5</v>
      </c>
      <c r="AB26" s="16">
        <f t="shared" si="18"/>
        <v>1</v>
      </c>
      <c r="AC26" s="16">
        <f t="shared" si="18"/>
        <v>503</v>
      </c>
      <c r="AD26" s="16">
        <f t="shared" si="18"/>
        <v>0</v>
      </c>
      <c r="AE26" s="32">
        <f t="shared" si="18"/>
        <v>277</v>
      </c>
      <c r="AF26" s="32">
        <f t="shared" si="18"/>
        <v>780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2</v>
      </c>
      <c r="F27" s="50">
        <v>1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25</v>
      </c>
      <c r="N27" s="50">
        <v>0</v>
      </c>
      <c r="O27" s="15">
        <f t="shared" si="0"/>
        <v>6</v>
      </c>
      <c r="P27" s="15">
        <f t="shared" si="1"/>
        <v>31</v>
      </c>
      <c r="R27" s="29" t="s">
        <v>87</v>
      </c>
      <c r="S27" s="16">
        <f t="shared" ref="S27:AF27" si="19">SUM(S19:S21)</f>
        <v>31</v>
      </c>
      <c r="T27" s="16">
        <f t="shared" si="19"/>
        <v>0</v>
      </c>
      <c r="U27" s="16">
        <f t="shared" si="19"/>
        <v>34</v>
      </c>
      <c r="V27" s="16">
        <f t="shared" si="19"/>
        <v>21</v>
      </c>
      <c r="W27" s="16">
        <f t="shared" si="19"/>
        <v>0</v>
      </c>
      <c r="X27" s="16">
        <f t="shared" si="19"/>
        <v>0</v>
      </c>
      <c r="Y27" s="16">
        <f t="shared" si="19"/>
        <v>21</v>
      </c>
      <c r="Z27" s="16">
        <f t="shared" si="19"/>
        <v>0</v>
      </c>
      <c r="AA27" s="16">
        <f t="shared" si="19"/>
        <v>4</v>
      </c>
      <c r="AB27" s="16">
        <f t="shared" si="19"/>
        <v>0</v>
      </c>
      <c r="AC27" s="16">
        <f t="shared" si="19"/>
        <v>332</v>
      </c>
      <c r="AD27" s="16">
        <f t="shared" si="19"/>
        <v>0</v>
      </c>
      <c r="AE27" s="32">
        <f t="shared" si="19"/>
        <v>111</v>
      </c>
      <c r="AF27" s="32">
        <f t="shared" si="19"/>
        <v>443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1</v>
      </c>
      <c r="F28" s="50">
        <v>5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16</v>
      </c>
      <c r="P28" s="15">
        <f t="shared" si="1"/>
        <v>33</v>
      </c>
      <c r="R28" s="5" t="s">
        <v>17</v>
      </c>
      <c r="S28" s="16">
        <f t="shared" ref="S28:AF28" si="20">SUM(S10:S21)</f>
        <v>141</v>
      </c>
      <c r="T28" s="16">
        <f t="shared" si="20"/>
        <v>0</v>
      </c>
      <c r="U28" s="16">
        <f t="shared" si="20"/>
        <v>123</v>
      </c>
      <c r="V28" s="16">
        <f t="shared" si="20"/>
        <v>95</v>
      </c>
      <c r="W28" s="16">
        <f t="shared" si="20"/>
        <v>1</v>
      </c>
      <c r="X28" s="16">
        <f t="shared" si="20"/>
        <v>0</v>
      </c>
      <c r="Y28" s="16">
        <f t="shared" si="20"/>
        <v>90</v>
      </c>
      <c r="Z28" s="16">
        <f t="shared" si="20"/>
        <v>2</v>
      </c>
      <c r="AA28" s="16">
        <f t="shared" si="20"/>
        <v>10</v>
      </c>
      <c r="AB28" s="16">
        <f t="shared" si="20"/>
        <v>2</v>
      </c>
      <c r="AC28" s="16">
        <f t="shared" si="20"/>
        <v>1030</v>
      </c>
      <c r="AD28" s="16">
        <f t="shared" si="20"/>
        <v>1</v>
      </c>
      <c r="AE28" s="32">
        <f t="shared" si="20"/>
        <v>465</v>
      </c>
      <c r="AF28" s="32">
        <f t="shared" si="20"/>
        <v>1495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5</v>
      </c>
      <c r="F29" s="50">
        <v>1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18</v>
      </c>
      <c r="N29" s="50">
        <v>0</v>
      </c>
      <c r="O29" s="15">
        <f t="shared" si="0"/>
        <v>13</v>
      </c>
      <c r="P29" s="15">
        <f t="shared" si="1"/>
        <v>31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3</v>
      </c>
      <c r="F30" s="50">
        <v>4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24</v>
      </c>
      <c r="N30" s="50">
        <v>0</v>
      </c>
      <c r="O30" s="15">
        <f t="shared" si="0"/>
        <v>13</v>
      </c>
      <c r="P30" s="15">
        <f t="shared" si="1"/>
        <v>37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2</v>
      </c>
      <c r="F31" s="50">
        <v>2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16</v>
      </c>
      <c r="N31" s="50">
        <v>0</v>
      </c>
      <c r="O31" s="15">
        <f t="shared" si="0"/>
        <v>11</v>
      </c>
      <c r="P31" s="15">
        <f t="shared" si="1"/>
        <v>27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2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26</v>
      </c>
      <c r="N32" s="50">
        <v>0</v>
      </c>
      <c r="O32" s="15">
        <f t="shared" si="0"/>
        <v>7</v>
      </c>
      <c r="P32" s="15">
        <f t="shared" si="1"/>
        <v>33</v>
      </c>
    </row>
    <row r="33" spans="2:20" ht="23.1" customHeight="1" x14ac:dyDescent="0.25">
      <c r="B33" s="23" t="s">
        <v>60</v>
      </c>
      <c r="C33" s="50">
        <v>5</v>
      </c>
      <c r="D33" s="50">
        <v>0</v>
      </c>
      <c r="E33" s="50">
        <v>3</v>
      </c>
      <c r="F33" s="50">
        <v>3</v>
      </c>
      <c r="G33" s="50">
        <v>0</v>
      </c>
      <c r="H33" s="50">
        <v>0</v>
      </c>
      <c r="I33" s="50">
        <v>5</v>
      </c>
      <c r="J33" s="50">
        <v>0</v>
      </c>
      <c r="K33" s="50">
        <v>0</v>
      </c>
      <c r="L33" s="50">
        <v>0</v>
      </c>
      <c r="M33" s="50">
        <v>19</v>
      </c>
      <c r="N33" s="50">
        <v>0</v>
      </c>
      <c r="O33" s="15">
        <f t="shared" si="0"/>
        <v>16</v>
      </c>
      <c r="P33" s="15">
        <f t="shared" si="1"/>
        <v>35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1</v>
      </c>
      <c r="F34" s="50">
        <v>2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30</v>
      </c>
      <c r="N34" s="50">
        <v>0</v>
      </c>
      <c r="O34" s="15">
        <f t="shared" si="0"/>
        <v>9</v>
      </c>
      <c r="P34" s="15">
        <f t="shared" si="1"/>
        <v>39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3</v>
      </c>
      <c r="F35" s="50">
        <v>3</v>
      </c>
      <c r="G35" s="50">
        <v>0</v>
      </c>
      <c r="H35" s="50">
        <v>0</v>
      </c>
      <c r="I35" s="50">
        <v>3</v>
      </c>
      <c r="J35" s="50">
        <v>0</v>
      </c>
      <c r="K35" s="50">
        <v>1</v>
      </c>
      <c r="L35" s="50">
        <v>0</v>
      </c>
      <c r="M35" s="50">
        <v>13</v>
      </c>
      <c r="N35" s="50">
        <v>0</v>
      </c>
      <c r="O35" s="15">
        <f t="shared" si="0"/>
        <v>12</v>
      </c>
      <c r="P35" s="15">
        <f t="shared" si="1"/>
        <v>25</v>
      </c>
    </row>
    <row r="36" spans="2:20" ht="23.1" customHeight="1" x14ac:dyDescent="0.25">
      <c r="B36" s="24" t="s">
        <v>63</v>
      </c>
      <c r="C36" s="50">
        <v>7</v>
      </c>
      <c r="D36" s="50">
        <v>0</v>
      </c>
      <c r="E36" s="50">
        <v>5</v>
      </c>
      <c r="F36" s="50">
        <v>6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16</v>
      </c>
      <c r="N36" s="50">
        <v>0</v>
      </c>
      <c r="O36" s="15">
        <f t="shared" si="0"/>
        <v>19</v>
      </c>
      <c r="P36" s="15">
        <f t="shared" si="1"/>
        <v>35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4</v>
      </c>
      <c r="F37" s="50">
        <v>5</v>
      </c>
      <c r="G37" s="50">
        <v>1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20</v>
      </c>
      <c r="N37" s="50">
        <v>0</v>
      </c>
      <c r="O37" s="15">
        <f t="shared" si="0"/>
        <v>16</v>
      </c>
      <c r="P37" s="15">
        <f t="shared" si="1"/>
        <v>36</v>
      </c>
    </row>
    <row r="38" spans="2:20" ht="23.1" customHeight="1" x14ac:dyDescent="0.25">
      <c r="B38" s="24" t="s">
        <v>65</v>
      </c>
      <c r="C38" s="50">
        <v>7</v>
      </c>
      <c r="D38" s="50">
        <v>0</v>
      </c>
      <c r="E38" s="50">
        <v>2</v>
      </c>
      <c r="F38" s="50">
        <v>2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20</v>
      </c>
      <c r="N38" s="50">
        <v>0</v>
      </c>
      <c r="O38" s="15">
        <f t="shared" si="0"/>
        <v>14</v>
      </c>
      <c r="P38" s="15">
        <f t="shared" si="1"/>
        <v>34</v>
      </c>
    </row>
    <row r="39" spans="2:20" ht="23.1" customHeight="1" x14ac:dyDescent="0.25">
      <c r="B39" s="24" t="s">
        <v>66</v>
      </c>
      <c r="C39" s="50">
        <v>6</v>
      </c>
      <c r="D39" s="50">
        <v>0</v>
      </c>
      <c r="E39" s="50">
        <v>4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1</v>
      </c>
      <c r="L39" s="50">
        <v>0</v>
      </c>
      <c r="M39" s="50">
        <v>23</v>
      </c>
      <c r="N39" s="50">
        <v>0</v>
      </c>
      <c r="O39" s="15">
        <f t="shared" si="0"/>
        <v>13</v>
      </c>
      <c r="P39" s="15">
        <f t="shared" si="1"/>
        <v>36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2</v>
      </c>
      <c r="F40" s="50">
        <v>5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27</v>
      </c>
      <c r="N40" s="50">
        <v>0</v>
      </c>
      <c r="O40" s="15">
        <f t="shared" si="0"/>
        <v>11</v>
      </c>
      <c r="P40" s="15">
        <f t="shared" si="1"/>
        <v>38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4</v>
      </c>
      <c r="F41" s="50">
        <v>1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17</v>
      </c>
      <c r="N41" s="50">
        <v>0</v>
      </c>
      <c r="O41" s="15">
        <f t="shared" si="0"/>
        <v>9</v>
      </c>
      <c r="P41" s="15">
        <f t="shared" si="1"/>
        <v>26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4</v>
      </c>
      <c r="F42" s="50">
        <v>2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26</v>
      </c>
      <c r="N42" s="50">
        <v>0</v>
      </c>
      <c r="O42" s="15">
        <f t="shared" si="0"/>
        <v>11</v>
      </c>
      <c r="P42" s="15">
        <f t="shared" si="1"/>
        <v>37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2</v>
      </c>
      <c r="F43" s="50">
        <v>0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1</v>
      </c>
      <c r="M43" s="50">
        <v>16</v>
      </c>
      <c r="N43" s="50">
        <v>0</v>
      </c>
      <c r="O43" s="15">
        <f t="shared" si="0"/>
        <v>9</v>
      </c>
      <c r="P43" s="15">
        <f t="shared" si="1"/>
        <v>25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1</v>
      </c>
      <c r="F44" s="50">
        <v>3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17</v>
      </c>
      <c r="N44" s="50">
        <v>0</v>
      </c>
      <c r="O44" s="15">
        <f t="shared" si="0"/>
        <v>9</v>
      </c>
      <c r="P44" s="15">
        <f t="shared" si="1"/>
        <v>26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3</v>
      </c>
      <c r="F45" s="50">
        <v>3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23</v>
      </c>
      <c r="N45" s="50">
        <v>0</v>
      </c>
      <c r="O45" s="15">
        <f t="shared" si="0"/>
        <v>11</v>
      </c>
      <c r="P45" s="15">
        <f t="shared" si="1"/>
        <v>34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4</v>
      </c>
      <c r="F46" s="50">
        <v>3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27</v>
      </c>
      <c r="N46" s="50">
        <v>0</v>
      </c>
      <c r="O46" s="15">
        <f t="shared" si="0"/>
        <v>8</v>
      </c>
      <c r="P46" s="15">
        <f t="shared" si="1"/>
        <v>35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2</v>
      </c>
      <c r="F47" s="50">
        <v>2</v>
      </c>
      <c r="G47" s="50">
        <v>0</v>
      </c>
      <c r="H47" s="50">
        <v>0</v>
      </c>
      <c r="I47" s="50">
        <v>2</v>
      </c>
      <c r="J47" s="50">
        <v>0</v>
      </c>
      <c r="K47" s="50">
        <v>2</v>
      </c>
      <c r="L47" s="50">
        <v>0</v>
      </c>
      <c r="M47" s="50">
        <v>30</v>
      </c>
      <c r="N47" s="50">
        <v>0</v>
      </c>
      <c r="O47" s="15">
        <f t="shared" si="0"/>
        <v>10</v>
      </c>
      <c r="P47" s="15">
        <f t="shared" si="1"/>
        <v>40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1</v>
      </c>
      <c r="F48" s="50">
        <v>2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24</v>
      </c>
      <c r="N48" s="50">
        <v>0</v>
      </c>
      <c r="O48" s="15">
        <f t="shared" si="0"/>
        <v>9</v>
      </c>
      <c r="P48" s="15">
        <f t="shared" si="1"/>
        <v>33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1</v>
      </c>
      <c r="L49" s="50">
        <v>0</v>
      </c>
      <c r="M49" s="50">
        <v>27</v>
      </c>
      <c r="N49" s="50">
        <v>0</v>
      </c>
      <c r="O49" s="15">
        <f t="shared" si="0"/>
        <v>3</v>
      </c>
      <c r="P49" s="15">
        <f t="shared" si="1"/>
        <v>30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3</v>
      </c>
      <c r="F50" s="50">
        <v>2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18</v>
      </c>
      <c r="N50" s="50">
        <v>0</v>
      </c>
      <c r="O50" s="15">
        <f t="shared" si="0"/>
        <v>10</v>
      </c>
      <c r="P50" s="15">
        <f t="shared" si="1"/>
        <v>28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2</v>
      </c>
      <c r="F51" s="50">
        <v>2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19</v>
      </c>
      <c r="N51" s="50">
        <v>0</v>
      </c>
      <c r="O51" s="15">
        <f t="shared" si="0"/>
        <v>10</v>
      </c>
      <c r="P51" s="15">
        <f t="shared" si="1"/>
        <v>29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3</v>
      </c>
      <c r="F52" s="50">
        <v>3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32</v>
      </c>
      <c r="N52" s="50">
        <v>0</v>
      </c>
      <c r="O52" s="15">
        <f t="shared" si="0"/>
        <v>9</v>
      </c>
      <c r="P52" s="15">
        <f t="shared" si="1"/>
        <v>41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6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32</v>
      </c>
      <c r="N53" s="50">
        <v>0</v>
      </c>
      <c r="O53" s="15">
        <f t="shared" si="0"/>
        <v>12</v>
      </c>
      <c r="P53" s="15">
        <f t="shared" si="1"/>
        <v>44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5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24</v>
      </c>
      <c r="N54" s="50">
        <v>0</v>
      </c>
      <c r="O54" s="15">
        <f t="shared" si="0"/>
        <v>8</v>
      </c>
      <c r="P54" s="15">
        <f t="shared" si="1"/>
        <v>32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3</v>
      </c>
      <c r="F55" s="50">
        <v>3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33</v>
      </c>
      <c r="N55" s="50">
        <v>0</v>
      </c>
      <c r="O55" s="15">
        <f t="shared" si="0"/>
        <v>10</v>
      </c>
      <c r="P55" s="15">
        <f t="shared" si="1"/>
        <v>43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4</v>
      </c>
      <c r="F56" s="50">
        <v>1</v>
      </c>
      <c r="G56" s="50">
        <v>0</v>
      </c>
      <c r="H56" s="50">
        <v>0</v>
      </c>
      <c r="I56" s="50">
        <v>2</v>
      </c>
      <c r="J56" s="50">
        <v>0</v>
      </c>
      <c r="K56" s="50">
        <v>1</v>
      </c>
      <c r="L56" s="50">
        <v>0</v>
      </c>
      <c r="M56" s="50">
        <v>39</v>
      </c>
      <c r="N56" s="50">
        <v>0</v>
      </c>
      <c r="O56" s="15">
        <f t="shared" si="0"/>
        <v>13</v>
      </c>
      <c r="P56" s="15">
        <f t="shared" si="1"/>
        <v>52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1</v>
      </c>
      <c r="F57" s="50">
        <v>2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27</v>
      </c>
      <c r="N57" s="50">
        <v>0</v>
      </c>
      <c r="O57" s="15">
        <f t="shared" si="0"/>
        <v>9</v>
      </c>
      <c r="P57" s="15">
        <f t="shared" si="1"/>
        <v>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141</v>
      </c>
      <c r="D58" s="16">
        <f t="shared" si="21"/>
        <v>0</v>
      </c>
      <c r="E58" s="16">
        <f t="shared" si="21"/>
        <v>123</v>
      </c>
      <c r="F58" s="16">
        <f t="shared" si="21"/>
        <v>95</v>
      </c>
      <c r="G58" s="16">
        <f t="shared" si="21"/>
        <v>1</v>
      </c>
      <c r="H58" s="16">
        <f t="shared" si="21"/>
        <v>0</v>
      </c>
      <c r="I58" s="16">
        <f t="shared" si="21"/>
        <v>90</v>
      </c>
      <c r="J58" s="16">
        <f t="shared" si="21"/>
        <v>2</v>
      </c>
      <c r="K58" s="16">
        <f t="shared" si="21"/>
        <v>10</v>
      </c>
      <c r="L58" s="16">
        <f t="shared" si="21"/>
        <v>2</v>
      </c>
      <c r="M58" s="16">
        <f t="shared" si="21"/>
        <v>1030</v>
      </c>
      <c r="N58" s="16">
        <f t="shared" si="21"/>
        <v>1</v>
      </c>
      <c r="O58" s="16">
        <f t="shared" si="21"/>
        <v>465</v>
      </c>
      <c r="P58" s="16">
        <f t="shared" si="21"/>
        <v>1495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9.4314381270903011E-2</v>
      </c>
      <c r="D59" s="43">
        <f t="shared" si="22"/>
        <v>0</v>
      </c>
      <c r="E59" s="43">
        <f t="shared" si="22"/>
        <v>8.2274247491638794E-2</v>
      </c>
      <c r="F59" s="43">
        <f t="shared" si="22"/>
        <v>6.354515050167224E-2</v>
      </c>
      <c r="G59" s="43">
        <f t="shared" si="22"/>
        <v>6.6889632107023408E-4</v>
      </c>
      <c r="H59" s="43">
        <f t="shared" si="22"/>
        <v>0</v>
      </c>
      <c r="I59" s="43">
        <f t="shared" si="22"/>
        <v>6.0200668896321072E-2</v>
      </c>
      <c r="J59" s="43">
        <f t="shared" si="22"/>
        <v>1.3377926421404682E-3</v>
      </c>
      <c r="K59" s="43">
        <f t="shared" si="22"/>
        <v>6.688963210702341E-3</v>
      </c>
      <c r="L59" s="43">
        <f t="shared" si="22"/>
        <v>1.3377926421404682E-3</v>
      </c>
      <c r="M59" s="43">
        <f t="shared" si="22"/>
        <v>0.68896321070234112</v>
      </c>
      <c r="N59" s="43">
        <f t="shared" si="22"/>
        <v>6.6889632107023408E-4</v>
      </c>
      <c r="R59" s="8"/>
      <c r="T59"/>
    </row>
    <row r="60" spans="2:20" ht="23.1" customHeight="1" x14ac:dyDescent="0.25">
      <c r="B60" s="42" t="s">
        <v>94</v>
      </c>
      <c r="C60" s="44">
        <f>C58/$O$58</f>
        <v>0.3032258064516129</v>
      </c>
      <c r="D60" s="44">
        <f t="shared" ref="D60:N60" si="23">D58/$O$58</f>
        <v>0</v>
      </c>
      <c r="E60" s="44">
        <f t="shared" si="23"/>
        <v>0.26451612903225807</v>
      </c>
      <c r="F60" s="44">
        <f t="shared" si="23"/>
        <v>0.20430107526881722</v>
      </c>
      <c r="G60" s="44">
        <f t="shared" si="23"/>
        <v>2.1505376344086021E-3</v>
      </c>
      <c r="H60" s="44">
        <f t="shared" si="23"/>
        <v>0</v>
      </c>
      <c r="I60" s="44">
        <f t="shared" si="23"/>
        <v>0.19354838709677419</v>
      </c>
      <c r="J60" s="44">
        <f t="shared" si="23"/>
        <v>4.3010752688172043E-3</v>
      </c>
      <c r="K60" s="44">
        <f t="shared" si="23"/>
        <v>2.1505376344086023E-2</v>
      </c>
      <c r="L60" s="44">
        <f t="shared" si="23"/>
        <v>4.3010752688172043E-3</v>
      </c>
      <c r="M60" s="44"/>
      <c r="N60" s="44">
        <f t="shared" si="23"/>
        <v>2.1505376344086021E-3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Kampala-Bukaya'!C3:G3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'19.08 Kampala-Bukaya'!D5</f>
        <v>19.08.19</v>
      </c>
      <c r="E5" s="3"/>
      <c r="F5" s="41" t="s">
        <v>1</v>
      </c>
      <c r="G5" s="60" t="str">
        <f>'19.08 Kampala-Bukaya'!G5:H5</f>
        <v>Nyenga</v>
      </c>
      <c r="H5" s="61"/>
      <c r="I5" s="14"/>
      <c r="J5" s="2" t="s">
        <v>5</v>
      </c>
      <c r="K5" s="60" t="str">
        <f>'19.08 Kampala-Bukaya'!K5:L5</f>
        <v>xxx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173</v>
      </c>
      <c r="E6" s="55"/>
      <c r="F6" s="2" t="s">
        <v>2</v>
      </c>
      <c r="G6" s="54" t="s">
        <v>166</v>
      </c>
      <c r="H6" s="55"/>
      <c r="J6" s="2" t="s">
        <v>21</v>
      </c>
      <c r="K6" s="60" t="str">
        <f>'19.08 Kampala-Bukaya'!K6:L6</f>
        <v>xxx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2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>SUM(L10:L13)</f>
        <v>0</v>
      </c>
      <c r="AC10" s="17">
        <f t="shared" si="2"/>
        <v>64</v>
      </c>
      <c r="AD10" s="17">
        <f t="shared" si="2"/>
        <v>0</v>
      </c>
      <c r="AE10" s="31">
        <f t="shared" si="2"/>
        <v>12</v>
      </c>
      <c r="AF10" s="31">
        <f t="shared" si="2"/>
        <v>76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17</v>
      </c>
      <c r="N11" s="50">
        <v>0</v>
      </c>
      <c r="O11" s="15">
        <f t="shared" si="0"/>
        <v>2</v>
      </c>
      <c r="P11" s="15">
        <f t="shared" si="1"/>
        <v>19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1</v>
      </c>
      <c r="V11" s="17">
        <f t="shared" si="3"/>
        <v>8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1</v>
      </c>
      <c r="AB11" s="17">
        <f>SUM(L14:L17)</f>
        <v>1</v>
      </c>
      <c r="AC11" s="17">
        <f t="shared" si="3"/>
        <v>64</v>
      </c>
      <c r="AD11" s="17">
        <f t="shared" si="3"/>
        <v>0</v>
      </c>
      <c r="AE11" s="31">
        <f t="shared" si="3"/>
        <v>17</v>
      </c>
      <c r="AF11" s="31">
        <f t="shared" si="3"/>
        <v>81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4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20</v>
      </c>
      <c r="N12" s="50">
        <v>0</v>
      </c>
      <c r="O12" s="15">
        <f t="shared" si="0"/>
        <v>5</v>
      </c>
      <c r="P12" s="15">
        <f t="shared" si="1"/>
        <v>25</v>
      </c>
      <c r="R12" s="1" t="s">
        <v>8</v>
      </c>
      <c r="S12" s="17">
        <f t="shared" ref="S12:AF12" si="4">SUM(C18:C21)</f>
        <v>5</v>
      </c>
      <c r="T12" s="17">
        <f t="shared" si="4"/>
        <v>0</v>
      </c>
      <c r="U12" s="17">
        <f t="shared" si="4"/>
        <v>3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1</v>
      </c>
      <c r="AA12" s="17">
        <f t="shared" si="4"/>
        <v>1</v>
      </c>
      <c r="AB12" s="17">
        <f>SUM(L18:L21)</f>
        <v>0</v>
      </c>
      <c r="AC12" s="17">
        <f t="shared" si="4"/>
        <v>69</v>
      </c>
      <c r="AD12" s="17">
        <f t="shared" si="4"/>
        <v>0</v>
      </c>
      <c r="AE12" s="31">
        <f t="shared" si="4"/>
        <v>18</v>
      </c>
      <c r="AF12" s="31">
        <f t="shared" si="4"/>
        <v>87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17</v>
      </c>
      <c r="N13" s="50">
        <v>0</v>
      </c>
      <c r="O13" s="15">
        <f t="shared" si="0"/>
        <v>2</v>
      </c>
      <c r="P13" s="15">
        <f t="shared" si="1"/>
        <v>19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7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>SUM(L22:L25)</f>
        <v>0</v>
      </c>
      <c r="AC13" s="17">
        <f t="shared" si="5"/>
        <v>76</v>
      </c>
      <c r="AD13" s="17">
        <f t="shared" si="5"/>
        <v>0</v>
      </c>
      <c r="AE13" s="31">
        <f t="shared" si="5"/>
        <v>17</v>
      </c>
      <c r="AF13" s="31">
        <f t="shared" si="5"/>
        <v>93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1</v>
      </c>
      <c r="L14" s="50">
        <v>1</v>
      </c>
      <c r="M14" s="50">
        <v>16</v>
      </c>
      <c r="N14" s="50">
        <v>0</v>
      </c>
      <c r="O14" s="15">
        <f t="shared" si="0"/>
        <v>7</v>
      </c>
      <c r="P14" s="15">
        <f t="shared" si="1"/>
        <v>23</v>
      </c>
      <c r="R14" s="1" t="s">
        <v>10</v>
      </c>
      <c r="S14" s="17">
        <f t="shared" ref="S14:AF14" si="6">SUM(C26:C29)</f>
        <v>9</v>
      </c>
      <c r="T14" s="17">
        <f t="shared" si="6"/>
        <v>0</v>
      </c>
      <c r="U14" s="17">
        <f t="shared" si="6"/>
        <v>5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0</v>
      </c>
      <c r="AA14" s="17">
        <f t="shared" si="6"/>
        <v>0</v>
      </c>
      <c r="AB14" s="17">
        <f>SUM(L26:L29)</f>
        <v>0</v>
      </c>
      <c r="AC14" s="17">
        <f t="shared" si="6"/>
        <v>77</v>
      </c>
      <c r="AD14" s="17">
        <f t="shared" si="6"/>
        <v>0</v>
      </c>
      <c r="AE14" s="31">
        <f t="shared" si="6"/>
        <v>28</v>
      </c>
      <c r="AF14" s="31">
        <f t="shared" si="6"/>
        <v>105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14</v>
      </c>
      <c r="N15" s="50">
        <v>0</v>
      </c>
      <c r="O15" s="15">
        <f t="shared" si="0"/>
        <v>3</v>
      </c>
      <c r="P15" s="15">
        <f t="shared" si="1"/>
        <v>17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7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2</v>
      </c>
      <c r="AB15" s="17">
        <f>SUM(L30:L33)</f>
        <v>0</v>
      </c>
      <c r="AC15" s="17">
        <f t="shared" si="7"/>
        <v>78</v>
      </c>
      <c r="AD15" s="17">
        <f t="shared" si="7"/>
        <v>0</v>
      </c>
      <c r="AE15" s="31">
        <f t="shared" si="7"/>
        <v>23</v>
      </c>
      <c r="AF15" s="31">
        <f t="shared" si="7"/>
        <v>101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16</v>
      </c>
      <c r="N16" s="50">
        <v>0</v>
      </c>
      <c r="O16" s="15">
        <f t="shared" si="0"/>
        <v>3</v>
      </c>
      <c r="P16" s="15">
        <f t="shared" si="1"/>
        <v>19</v>
      </c>
      <c r="R16" s="1" t="s">
        <v>12</v>
      </c>
      <c r="S16" s="17">
        <f t="shared" ref="S16:AF16" si="8">SUM(C34:C37)</f>
        <v>8</v>
      </c>
      <c r="T16" s="17">
        <f t="shared" si="8"/>
        <v>0</v>
      </c>
      <c r="U16" s="17">
        <f t="shared" si="8"/>
        <v>3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>SUM(L34:L37)</f>
        <v>0</v>
      </c>
      <c r="AC16" s="17">
        <f t="shared" si="8"/>
        <v>75</v>
      </c>
      <c r="AD16" s="17">
        <f t="shared" si="8"/>
        <v>0</v>
      </c>
      <c r="AE16" s="31">
        <f t="shared" si="8"/>
        <v>21</v>
      </c>
      <c r="AF16" s="31">
        <f t="shared" si="8"/>
        <v>96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18</v>
      </c>
      <c r="N17" s="50">
        <v>0</v>
      </c>
      <c r="O17" s="15">
        <f t="shared" si="0"/>
        <v>4</v>
      </c>
      <c r="P17" s="15">
        <f t="shared" si="1"/>
        <v>22</v>
      </c>
      <c r="R17" s="1" t="s">
        <v>13</v>
      </c>
      <c r="S17" s="17">
        <f t="shared" ref="S17:AF17" si="9">SUM(C38:C41)</f>
        <v>9</v>
      </c>
      <c r="T17" s="17">
        <f t="shared" si="9"/>
        <v>0</v>
      </c>
      <c r="U17" s="17">
        <f t="shared" si="9"/>
        <v>11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0</v>
      </c>
      <c r="AA17" s="17">
        <f t="shared" si="9"/>
        <v>1</v>
      </c>
      <c r="AB17" s="17">
        <f>SUM(L38:L41)</f>
        <v>0</v>
      </c>
      <c r="AC17" s="17">
        <f t="shared" si="9"/>
        <v>94</v>
      </c>
      <c r="AD17" s="17">
        <f t="shared" si="9"/>
        <v>0</v>
      </c>
      <c r="AE17" s="31">
        <f t="shared" si="9"/>
        <v>35</v>
      </c>
      <c r="AF17" s="31">
        <f t="shared" si="9"/>
        <v>129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16</v>
      </c>
      <c r="N18" s="50">
        <v>0</v>
      </c>
      <c r="O18" s="15">
        <f t="shared" si="0"/>
        <v>7</v>
      </c>
      <c r="P18" s="15">
        <f t="shared" si="1"/>
        <v>23</v>
      </c>
      <c r="R18" s="1" t="s">
        <v>14</v>
      </c>
      <c r="S18" s="17">
        <f t="shared" ref="S18:AF18" si="10">SUM(C42:C45)</f>
        <v>11</v>
      </c>
      <c r="T18" s="17">
        <f t="shared" si="10"/>
        <v>0</v>
      </c>
      <c r="U18" s="17">
        <f t="shared" si="10"/>
        <v>9</v>
      </c>
      <c r="V18" s="17">
        <f t="shared" si="10"/>
        <v>5</v>
      </c>
      <c r="W18" s="17">
        <f t="shared" si="10"/>
        <v>1</v>
      </c>
      <c r="X18" s="17">
        <f t="shared" si="10"/>
        <v>0</v>
      </c>
      <c r="Y18" s="17">
        <f t="shared" si="10"/>
        <v>8</v>
      </c>
      <c r="Z18" s="17">
        <f t="shared" si="10"/>
        <v>1</v>
      </c>
      <c r="AA18" s="17">
        <f t="shared" si="10"/>
        <v>1</v>
      </c>
      <c r="AB18" s="17">
        <f>SUM(L42:L45)</f>
        <v>0</v>
      </c>
      <c r="AC18" s="17">
        <f t="shared" si="10"/>
        <v>91</v>
      </c>
      <c r="AD18" s="17">
        <f t="shared" si="10"/>
        <v>0</v>
      </c>
      <c r="AE18" s="31">
        <f t="shared" si="10"/>
        <v>36</v>
      </c>
      <c r="AF18" s="31">
        <f t="shared" si="10"/>
        <v>127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15</v>
      </c>
      <c r="N19" s="50">
        <v>0</v>
      </c>
      <c r="O19" s="15">
        <f t="shared" si="0"/>
        <v>2</v>
      </c>
      <c r="P19" s="15">
        <f t="shared" si="1"/>
        <v>17</v>
      </c>
      <c r="R19" s="1" t="s">
        <v>15</v>
      </c>
      <c r="S19" s="17">
        <f t="shared" ref="S19:AF19" si="11">SUM(C46:C49)</f>
        <v>10</v>
      </c>
      <c r="T19" s="17">
        <f t="shared" si="11"/>
        <v>0</v>
      </c>
      <c r="U19" s="17">
        <f t="shared" si="11"/>
        <v>21</v>
      </c>
      <c r="V19" s="17">
        <f t="shared" si="11"/>
        <v>9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0</v>
      </c>
      <c r="AA19" s="17">
        <f t="shared" si="11"/>
        <v>0</v>
      </c>
      <c r="AB19" s="17">
        <f>SUM(L46:L49)</f>
        <v>0</v>
      </c>
      <c r="AC19" s="17">
        <f t="shared" si="11"/>
        <v>96</v>
      </c>
      <c r="AD19" s="17">
        <f t="shared" si="11"/>
        <v>0</v>
      </c>
      <c r="AE19" s="31">
        <f t="shared" si="11"/>
        <v>51</v>
      </c>
      <c r="AF19" s="31">
        <f t="shared" si="11"/>
        <v>147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2</v>
      </c>
      <c r="F20" s="50">
        <v>1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7</v>
      </c>
      <c r="P20" s="15">
        <f t="shared" si="1"/>
        <v>22</v>
      </c>
      <c r="R20" s="1" t="s">
        <v>16</v>
      </c>
      <c r="S20" s="17">
        <f t="shared" ref="S20:AF20" si="12">SUM(C50:C53)</f>
        <v>24</v>
      </c>
      <c r="T20" s="17">
        <f t="shared" si="12"/>
        <v>0</v>
      </c>
      <c r="U20" s="17">
        <f t="shared" si="12"/>
        <v>26</v>
      </c>
      <c r="V20" s="17">
        <f t="shared" si="12"/>
        <v>17</v>
      </c>
      <c r="W20" s="17">
        <f t="shared" si="12"/>
        <v>1</v>
      </c>
      <c r="X20" s="17">
        <f t="shared" si="12"/>
        <v>0</v>
      </c>
      <c r="Y20" s="17">
        <f t="shared" si="12"/>
        <v>6</v>
      </c>
      <c r="Z20" s="17">
        <f t="shared" si="12"/>
        <v>0</v>
      </c>
      <c r="AA20" s="17">
        <f t="shared" si="12"/>
        <v>1</v>
      </c>
      <c r="AB20" s="17">
        <f>SUM(L50:L53)</f>
        <v>0</v>
      </c>
      <c r="AC20" s="17">
        <f t="shared" si="12"/>
        <v>129</v>
      </c>
      <c r="AD20" s="17">
        <f t="shared" si="12"/>
        <v>0</v>
      </c>
      <c r="AE20" s="31">
        <f t="shared" si="12"/>
        <v>75</v>
      </c>
      <c r="AF20" s="31">
        <f t="shared" si="12"/>
        <v>204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23</v>
      </c>
      <c r="N21" s="50">
        <v>0</v>
      </c>
      <c r="O21" s="15">
        <f t="shared" si="0"/>
        <v>2</v>
      </c>
      <c r="P21" s="15">
        <f t="shared" si="1"/>
        <v>25</v>
      </c>
      <c r="R21" s="36" t="s">
        <v>20</v>
      </c>
      <c r="S21" s="34">
        <f t="shared" ref="S21:AF21" si="13">SUM(C54:C57)</f>
        <v>19</v>
      </c>
      <c r="T21" s="17">
        <f t="shared" si="13"/>
        <v>0</v>
      </c>
      <c r="U21" s="17">
        <f t="shared" si="13"/>
        <v>22</v>
      </c>
      <c r="V21" s="17">
        <f t="shared" si="13"/>
        <v>12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0</v>
      </c>
      <c r="AA21" s="17">
        <f t="shared" si="13"/>
        <v>1</v>
      </c>
      <c r="AB21" s="17">
        <f>SUM(L54:L57)</f>
        <v>0</v>
      </c>
      <c r="AC21" s="17">
        <f t="shared" si="13"/>
        <v>123</v>
      </c>
      <c r="AD21" s="17">
        <f t="shared" si="13"/>
        <v>0</v>
      </c>
      <c r="AE21" s="31">
        <f t="shared" si="13"/>
        <v>67</v>
      </c>
      <c r="AF21" s="31">
        <f t="shared" si="13"/>
        <v>190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3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15</v>
      </c>
      <c r="N22" s="50">
        <v>0</v>
      </c>
      <c r="O22" s="15">
        <f t="shared" si="0"/>
        <v>4</v>
      </c>
      <c r="P22" s="15">
        <f t="shared" si="1"/>
        <v>19</v>
      </c>
      <c r="R22" s="38" t="s">
        <v>90</v>
      </c>
      <c r="S22" s="39">
        <f>MAX(S10:S12)</f>
        <v>5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8</v>
      </c>
      <c r="W22" s="39">
        <f t="shared" si="14"/>
        <v>0</v>
      </c>
      <c r="X22" s="39">
        <f t="shared" si="14"/>
        <v>0</v>
      </c>
      <c r="Y22" s="39">
        <f t="shared" si="14"/>
        <v>5</v>
      </c>
      <c r="Z22" s="39">
        <f t="shared" si="14"/>
        <v>1</v>
      </c>
      <c r="AA22" s="39">
        <f t="shared" si="14"/>
        <v>1</v>
      </c>
      <c r="AB22" s="39">
        <f t="shared" si="14"/>
        <v>1</v>
      </c>
      <c r="AC22" s="39">
        <f t="shared" si="14"/>
        <v>69</v>
      </c>
      <c r="AD22" s="39">
        <f t="shared" si="14"/>
        <v>0</v>
      </c>
      <c r="AE22" s="40">
        <f t="shared" si="14"/>
        <v>18</v>
      </c>
      <c r="AF22" s="40">
        <f t="shared" si="14"/>
        <v>87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2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23</v>
      </c>
      <c r="N23" s="50">
        <v>0</v>
      </c>
      <c r="O23" s="15">
        <f t="shared" si="0"/>
        <v>6</v>
      </c>
      <c r="P23" s="15">
        <f t="shared" si="1"/>
        <v>29</v>
      </c>
      <c r="R23" s="38" t="s">
        <v>91</v>
      </c>
      <c r="S23" s="39">
        <f>MAX(S13:S18)</f>
        <v>11</v>
      </c>
      <c r="T23" s="39">
        <f t="shared" ref="T23:AF23" si="15">MAX(T13:T18)</f>
        <v>0</v>
      </c>
      <c r="U23" s="39">
        <f t="shared" si="15"/>
        <v>11</v>
      </c>
      <c r="V23" s="39">
        <f t="shared" si="15"/>
        <v>6</v>
      </c>
      <c r="W23" s="39">
        <f t="shared" si="15"/>
        <v>1</v>
      </c>
      <c r="X23" s="39">
        <f t="shared" si="15"/>
        <v>0</v>
      </c>
      <c r="Y23" s="39">
        <f t="shared" si="15"/>
        <v>10</v>
      </c>
      <c r="Z23" s="39">
        <f t="shared" si="15"/>
        <v>1</v>
      </c>
      <c r="AA23" s="39">
        <f t="shared" si="15"/>
        <v>2</v>
      </c>
      <c r="AB23" s="39">
        <f t="shared" si="15"/>
        <v>0</v>
      </c>
      <c r="AC23" s="39">
        <f t="shared" si="15"/>
        <v>94</v>
      </c>
      <c r="AD23" s="39">
        <f t="shared" si="15"/>
        <v>0</v>
      </c>
      <c r="AE23" s="40">
        <f t="shared" si="15"/>
        <v>36</v>
      </c>
      <c r="AF23" s="40">
        <f t="shared" si="15"/>
        <v>129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2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15</v>
      </c>
      <c r="N24" s="50">
        <v>0</v>
      </c>
      <c r="O24" s="15">
        <f t="shared" si="0"/>
        <v>6</v>
      </c>
      <c r="P24" s="15">
        <f t="shared" si="1"/>
        <v>21</v>
      </c>
      <c r="R24" s="38" t="s">
        <v>92</v>
      </c>
      <c r="S24" s="39">
        <f>MAX(S19:S21)</f>
        <v>24</v>
      </c>
      <c r="T24" s="39">
        <f t="shared" ref="T24:AF24" si="16">MAX(T19:T21)</f>
        <v>0</v>
      </c>
      <c r="U24" s="39">
        <f t="shared" si="16"/>
        <v>26</v>
      </c>
      <c r="V24" s="39">
        <f t="shared" si="16"/>
        <v>17</v>
      </c>
      <c r="W24" s="39">
        <f t="shared" si="16"/>
        <v>1</v>
      </c>
      <c r="X24" s="39">
        <f t="shared" si="16"/>
        <v>0</v>
      </c>
      <c r="Y24" s="39">
        <f t="shared" si="16"/>
        <v>13</v>
      </c>
      <c r="Z24" s="39">
        <f t="shared" si="16"/>
        <v>0</v>
      </c>
      <c r="AA24" s="39">
        <f t="shared" si="16"/>
        <v>1</v>
      </c>
      <c r="AB24" s="39">
        <f t="shared" si="16"/>
        <v>0</v>
      </c>
      <c r="AC24" s="39">
        <f t="shared" si="16"/>
        <v>129</v>
      </c>
      <c r="AD24" s="39">
        <f t="shared" si="16"/>
        <v>0</v>
      </c>
      <c r="AE24" s="40">
        <f t="shared" si="16"/>
        <v>75</v>
      </c>
      <c r="AF24" s="40">
        <f t="shared" si="16"/>
        <v>204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23</v>
      </c>
      <c r="N25" s="50">
        <v>0</v>
      </c>
      <c r="O25" s="15">
        <f t="shared" si="0"/>
        <v>1</v>
      </c>
      <c r="P25" s="15">
        <f t="shared" si="1"/>
        <v>24</v>
      </c>
      <c r="R25" s="37" t="s">
        <v>85</v>
      </c>
      <c r="S25" s="35">
        <f t="shared" ref="S25:AF25" si="17">SUM(S10:S12)</f>
        <v>10</v>
      </c>
      <c r="T25" s="16">
        <f t="shared" si="17"/>
        <v>0</v>
      </c>
      <c r="U25" s="16">
        <f t="shared" si="17"/>
        <v>6</v>
      </c>
      <c r="V25" s="16">
        <f t="shared" si="17"/>
        <v>18</v>
      </c>
      <c r="W25" s="16">
        <f t="shared" si="17"/>
        <v>0</v>
      </c>
      <c r="X25" s="16">
        <f t="shared" si="17"/>
        <v>0</v>
      </c>
      <c r="Y25" s="16">
        <f t="shared" si="17"/>
        <v>9</v>
      </c>
      <c r="Z25" s="16">
        <f t="shared" si="17"/>
        <v>1</v>
      </c>
      <c r="AA25" s="16">
        <f t="shared" si="17"/>
        <v>2</v>
      </c>
      <c r="AB25" s="16">
        <f t="shared" si="17"/>
        <v>1</v>
      </c>
      <c r="AC25" s="16">
        <f t="shared" si="17"/>
        <v>197</v>
      </c>
      <c r="AD25" s="16">
        <f t="shared" si="17"/>
        <v>0</v>
      </c>
      <c r="AE25" s="32">
        <f t="shared" si="17"/>
        <v>47</v>
      </c>
      <c r="AF25" s="32">
        <f t="shared" si="17"/>
        <v>244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1</v>
      </c>
      <c r="F26" s="50">
        <v>2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17</v>
      </c>
      <c r="N26" s="50">
        <v>0</v>
      </c>
      <c r="O26" s="15">
        <f t="shared" si="0"/>
        <v>9</v>
      </c>
      <c r="P26" s="15">
        <f t="shared" si="1"/>
        <v>26</v>
      </c>
      <c r="R26" s="28" t="s">
        <v>86</v>
      </c>
      <c r="S26" s="16">
        <f t="shared" ref="S26:AF26" si="18">SUM(S13:S18)</f>
        <v>44</v>
      </c>
      <c r="T26" s="16">
        <f t="shared" si="18"/>
        <v>0</v>
      </c>
      <c r="U26" s="16">
        <f t="shared" si="18"/>
        <v>42</v>
      </c>
      <c r="V26" s="16">
        <f t="shared" si="18"/>
        <v>33</v>
      </c>
      <c r="W26" s="16">
        <f t="shared" si="18"/>
        <v>1</v>
      </c>
      <c r="X26" s="16">
        <f t="shared" si="18"/>
        <v>0</v>
      </c>
      <c r="Y26" s="16">
        <f t="shared" si="18"/>
        <v>35</v>
      </c>
      <c r="Z26" s="16">
        <f t="shared" si="18"/>
        <v>1</v>
      </c>
      <c r="AA26" s="16">
        <f t="shared" si="18"/>
        <v>4</v>
      </c>
      <c r="AB26" s="16">
        <f t="shared" si="18"/>
        <v>0</v>
      </c>
      <c r="AC26" s="16">
        <f t="shared" si="18"/>
        <v>491</v>
      </c>
      <c r="AD26" s="16">
        <f t="shared" si="18"/>
        <v>0</v>
      </c>
      <c r="AE26" s="32">
        <f t="shared" si="18"/>
        <v>160</v>
      </c>
      <c r="AF26" s="32">
        <f t="shared" si="18"/>
        <v>651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1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6</v>
      </c>
      <c r="P27" s="15">
        <f t="shared" si="1"/>
        <v>24</v>
      </c>
      <c r="R27" s="29" t="s">
        <v>87</v>
      </c>
      <c r="S27" s="16">
        <f t="shared" ref="S27:AF27" si="19">SUM(S19:S21)</f>
        <v>53</v>
      </c>
      <c r="T27" s="16">
        <f t="shared" si="19"/>
        <v>0</v>
      </c>
      <c r="U27" s="16">
        <f t="shared" si="19"/>
        <v>69</v>
      </c>
      <c r="V27" s="16">
        <f t="shared" si="19"/>
        <v>38</v>
      </c>
      <c r="W27" s="16">
        <f t="shared" si="19"/>
        <v>1</v>
      </c>
      <c r="X27" s="16">
        <f t="shared" si="19"/>
        <v>0</v>
      </c>
      <c r="Y27" s="16">
        <f t="shared" si="19"/>
        <v>30</v>
      </c>
      <c r="Z27" s="16">
        <f t="shared" si="19"/>
        <v>0</v>
      </c>
      <c r="AA27" s="16">
        <f t="shared" si="19"/>
        <v>2</v>
      </c>
      <c r="AB27" s="16">
        <f t="shared" si="19"/>
        <v>0</v>
      </c>
      <c r="AC27" s="16">
        <f t="shared" si="19"/>
        <v>348</v>
      </c>
      <c r="AD27" s="16">
        <f t="shared" si="19"/>
        <v>0</v>
      </c>
      <c r="AE27" s="32">
        <f t="shared" si="19"/>
        <v>193</v>
      </c>
      <c r="AF27" s="32">
        <f t="shared" si="19"/>
        <v>541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2</v>
      </c>
      <c r="F28" s="50">
        <v>1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0</v>
      </c>
      <c r="M28" s="50">
        <v>28</v>
      </c>
      <c r="N28" s="50">
        <v>0</v>
      </c>
      <c r="O28" s="15">
        <f t="shared" si="0"/>
        <v>10</v>
      </c>
      <c r="P28" s="15">
        <f t="shared" si="1"/>
        <v>38</v>
      </c>
      <c r="R28" s="5" t="s">
        <v>17</v>
      </c>
      <c r="S28" s="16">
        <f t="shared" ref="S28:AF28" si="20">SUM(S10:S21)</f>
        <v>107</v>
      </c>
      <c r="T28" s="16">
        <f t="shared" si="20"/>
        <v>0</v>
      </c>
      <c r="U28" s="16">
        <f t="shared" si="20"/>
        <v>117</v>
      </c>
      <c r="V28" s="16">
        <f t="shared" si="20"/>
        <v>89</v>
      </c>
      <c r="W28" s="16">
        <f t="shared" si="20"/>
        <v>2</v>
      </c>
      <c r="X28" s="16">
        <f t="shared" si="20"/>
        <v>0</v>
      </c>
      <c r="Y28" s="16">
        <f t="shared" si="20"/>
        <v>74</v>
      </c>
      <c r="Z28" s="16">
        <f t="shared" si="20"/>
        <v>2</v>
      </c>
      <c r="AA28" s="16">
        <f t="shared" si="20"/>
        <v>8</v>
      </c>
      <c r="AB28" s="16">
        <f t="shared" si="20"/>
        <v>1</v>
      </c>
      <c r="AC28" s="16">
        <f t="shared" si="20"/>
        <v>1036</v>
      </c>
      <c r="AD28" s="16">
        <f t="shared" si="20"/>
        <v>0</v>
      </c>
      <c r="AE28" s="32">
        <f t="shared" si="20"/>
        <v>400</v>
      </c>
      <c r="AF28" s="32">
        <f t="shared" si="20"/>
        <v>1436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1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14</v>
      </c>
      <c r="N29" s="50">
        <v>0</v>
      </c>
      <c r="O29" s="15">
        <f t="shared" si="0"/>
        <v>3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3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2</v>
      </c>
      <c r="L30" s="50">
        <v>0</v>
      </c>
      <c r="M30" s="50">
        <v>20</v>
      </c>
      <c r="N30" s="50">
        <v>0</v>
      </c>
      <c r="O30" s="15">
        <f t="shared" si="0"/>
        <v>8</v>
      </c>
      <c r="P30" s="15">
        <f t="shared" si="1"/>
        <v>28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2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17</v>
      </c>
      <c r="N31" s="50">
        <v>0</v>
      </c>
      <c r="O31" s="15">
        <f t="shared" si="0"/>
        <v>5</v>
      </c>
      <c r="P31" s="15">
        <f t="shared" si="1"/>
        <v>22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19</v>
      </c>
      <c r="N32" s="50">
        <v>0</v>
      </c>
      <c r="O32" s="15">
        <f t="shared" si="0"/>
        <v>5</v>
      </c>
      <c r="P32" s="15">
        <f t="shared" si="1"/>
        <v>24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22</v>
      </c>
      <c r="N33" s="50">
        <v>0</v>
      </c>
      <c r="O33" s="15">
        <f t="shared" si="0"/>
        <v>5</v>
      </c>
      <c r="P33" s="15">
        <f t="shared" si="1"/>
        <v>27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25</v>
      </c>
      <c r="N34" s="50">
        <v>0</v>
      </c>
      <c r="O34" s="15">
        <f t="shared" si="0"/>
        <v>4</v>
      </c>
      <c r="P34" s="15">
        <f t="shared" si="1"/>
        <v>29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21</v>
      </c>
      <c r="N35" s="50">
        <v>0</v>
      </c>
      <c r="O35" s="15">
        <f t="shared" si="0"/>
        <v>3</v>
      </c>
      <c r="P35" s="15">
        <f t="shared" si="1"/>
        <v>24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3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6</v>
      </c>
      <c r="P36" s="15">
        <f t="shared" si="1"/>
        <v>25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2</v>
      </c>
      <c r="F37" s="50">
        <v>3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8</v>
      </c>
      <c r="P37" s="15">
        <f t="shared" si="1"/>
        <v>18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2</v>
      </c>
      <c r="F38" s="50">
        <v>2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28</v>
      </c>
      <c r="N38" s="50">
        <v>0</v>
      </c>
      <c r="O38" s="15">
        <f t="shared" si="0"/>
        <v>9</v>
      </c>
      <c r="P38" s="15">
        <f t="shared" si="1"/>
        <v>37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2</v>
      </c>
      <c r="F39" s="50">
        <v>1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19</v>
      </c>
      <c r="N39" s="50">
        <v>0</v>
      </c>
      <c r="O39" s="15">
        <f t="shared" si="0"/>
        <v>6</v>
      </c>
      <c r="P39" s="15">
        <f t="shared" si="1"/>
        <v>25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5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1</v>
      </c>
      <c r="L40" s="50">
        <v>0</v>
      </c>
      <c r="M40" s="50">
        <v>32</v>
      </c>
      <c r="N40" s="50">
        <v>0</v>
      </c>
      <c r="O40" s="15">
        <f t="shared" si="0"/>
        <v>13</v>
      </c>
      <c r="P40" s="15">
        <f t="shared" si="1"/>
        <v>45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2</v>
      </c>
      <c r="F41" s="50">
        <v>1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15</v>
      </c>
      <c r="N41" s="50">
        <v>0</v>
      </c>
      <c r="O41" s="15">
        <f t="shared" si="0"/>
        <v>7</v>
      </c>
      <c r="P41" s="15">
        <f t="shared" si="1"/>
        <v>22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25</v>
      </c>
      <c r="N42" s="50">
        <v>0</v>
      </c>
      <c r="O42" s="15">
        <f t="shared" si="0"/>
        <v>9</v>
      </c>
      <c r="P42" s="15">
        <f t="shared" si="1"/>
        <v>34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3</v>
      </c>
      <c r="F43" s="50">
        <v>1</v>
      </c>
      <c r="G43" s="50">
        <v>1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19</v>
      </c>
      <c r="N43" s="50">
        <v>0</v>
      </c>
      <c r="O43" s="15">
        <f t="shared" si="0"/>
        <v>10</v>
      </c>
      <c r="P43" s="15">
        <f t="shared" si="1"/>
        <v>29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2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21</v>
      </c>
      <c r="N44" s="50">
        <v>0</v>
      </c>
      <c r="O44" s="15">
        <f t="shared" si="0"/>
        <v>5</v>
      </c>
      <c r="P44" s="15">
        <f t="shared" si="1"/>
        <v>26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4</v>
      </c>
      <c r="F45" s="50">
        <v>1</v>
      </c>
      <c r="G45" s="50">
        <v>0</v>
      </c>
      <c r="H45" s="50">
        <v>0</v>
      </c>
      <c r="I45" s="50">
        <v>3</v>
      </c>
      <c r="J45" s="50">
        <v>0</v>
      </c>
      <c r="K45" s="50">
        <v>1</v>
      </c>
      <c r="L45" s="50">
        <v>0</v>
      </c>
      <c r="M45" s="50">
        <v>26</v>
      </c>
      <c r="N45" s="50">
        <v>0</v>
      </c>
      <c r="O45" s="15">
        <f t="shared" si="0"/>
        <v>12</v>
      </c>
      <c r="P45" s="15">
        <f t="shared" si="1"/>
        <v>38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4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24</v>
      </c>
      <c r="N46" s="50">
        <v>0</v>
      </c>
      <c r="O46" s="15">
        <f t="shared" si="0"/>
        <v>9</v>
      </c>
      <c r="P46" s="15">
        <f t="shared" si="1"/>
        <v>33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7</v>
      </c>
      <c r="F47" s="50">
        <v>2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18</v>
      </c>
      <c r="N47" s="50">
        <v>0</v>
      </c>
      <c r="O47" s="15">
        <f t="shared" si="0"/>
        <v>14</v>
      </c>
      <c r="P47" s="15">
        <f t="shared" si="1"/>
        <v>32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6</v>
      </c>
      <c r="F48" s="50">
        <v>3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27</v>
      </c>
      <c r="N48" s="50">
        <v>0</v>
      </c>
      <c r="O48" s="15">
        <f t="shared" si="0"/>
        <v>14</v>
      </c>
      <c r="P48" s="15">
        <f t="shared" si="1"/>
        <v>41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0</v>
      </c>
      <c r="E49" s="50">
        <v>4</v>
      </c>
      <c r="F49" s="50">
        <v>2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27</v>
      </c>
      <c r="N49" s="50">
        <v>0</v>
      </c>
      <c r="O49" s="15">
        <f t="shared" si="0"/>
        <v>14</v>
      </c>
      <c r="P49" s="15">
        <f t="shared" si="1"/>
        <v>41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11</v>
      </c>
      <c r="F50" s="50">
        <v>5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33</v>
      </c>
      <c r="N50" s="50">
        <v>0</v>
      </c>
      <c r="O50" s="15">
        <f t="shared" si="0"/>
        <v>21</v>
      </c>
      <c r="P50" s="15">
        <f t="shared" si="1"/>
        <v>54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0</v>
      </c>
      <c r="E51" s="50">
        <v>4</v>
      </c>
      <c r="F51" s="50">
        <v>6</v>
      </c>
      <c r="G51" s="50">
        <v>1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33</v>
      </c>
      <c r="N51" s="50">
        <v>0</v>
      </c>
      <c r="O51" s="15">
        <f t="shared" si="0"/>
        <v>20</v>
      </c>
      <c r="P51" s="15">
        <f t="shared" si="1"/>
        <v>53</v>
      </c>
      <c r="R51" s="8"/>
      <c r="T51"/>
    </row>
    <row r="52" spans="2:20" ht="23.1" customHeight="1" x14ac:dyDescent="0.25">
      <c r="B52" s="24" t="s">
        <v>79</v>
      </c>
      <c r="C52" s="50">
        <v>8</v>
      </c>
      <c r="D52" s="50">
        <v>0</v>
      </c>
      <c r="E52" s="50">
        <v>4</v>
      </c>
      <c r="F52" s="50">
        <v>4</v>
      </c>
      <c r="G52" s="50">
        <v>0</v>
      </c>
      <c r="H52" s="50">
        <v>0</v>
      </c>
      <c r="I52" s="50">
        <v>1</v>
      </c>
      <c r="J52" s="50">
        <v>0</v>
      </c>
      <c r="K52" s="50">
        <v>1</v>
      </c>
      <c r="L52" s="50">
        <v>0</v>
      </c>
      <c r="M52" s="50">
        <v>34</v>
      </c>
      <c r="N52" s="50">
        <v>0</v>
      </c>
      <c r="O52" s="15">
        <f t="shared" si="0"/>
        <v>18</v>
      </c>
      <c r="P52" s="15">
        <f t="shared" si="1"/>
        <v>52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0</v>
      </c>
      <c r="E53" s="50">
        <v>7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29</v>
      </c>
      <c r="N53" s="50">
        <v>0</v>
      </c>
      <c r="O53" s="15">
        <f t="shared" si="0"/>
        <v>16</v>
      </c>
      <c r="P53" s="15">
        <f t="shared" si="1"/>
        <v>45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10</v>
      </c>
      <c r="F54" s="50">
        <v>2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31</v>
      </c>
      <c r="N54" s="50">
        <v>0</v>
      </c>
      <c r="O54" s="15">
        <f t="shared" si="0"/>
        <v>16</v>
      </c>
      <c r="P54" s="15">
        <f t="shared" si="1"/>
        <v>47</v>
      </c>
      <c r="R54" s="8"/>
      <c r="T54"/>
    </row>
    <row r="55" spans="2:20" ht="23.1" customHeight="1" x14ac:dyDescent="0.25">
      <c r="B55" s="23" t="s">
        <v>82</v>
      </c>
      <c r="C55" s="50">
        <v>8</v>
      </c>
      <c r="D55" s="50">
        <v>0</v>
      </c>
      <c r="E55" s="50">
        <v>7</v>
      </c>
      <c r="F55" s="50">
        <v>4</v>
      </c>
      <c r="G55" s="50">
        <v>0</v>
      </c>
      <c r="H55" s="50">
        <v>0</v>
      </c>
      <c r="I55" s="50">
        <v>2</v>
      </c>
      <c r="J55" s="50">
        <v>0</v>
      </c>
      <c r="K55" s="50">
        <v>1</v>
      </c>
      <c r="L55" s="50">
        <v>0</v>
      </c>
      <c r="M55" s="50">
        <v>31</v>
      </c>
      <c r="N55" s="50">
        <v>0</v>
      </c>
      <c r="O55" s="15">
        <f t="shared" si="0"/>
        <v>22</v>
      </c>
      <c r="P55" s="15">
        <f t="shared" si="1"/>
        <v>53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2</v>
      </c>
      <c r="F56" s="50">
        <v>4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23</v>
      </c>
      <c r="N56" s="50">
        <v>0</v>
      </c>
      <c r="O56" s="15">
        <f t="shared" si="0"/>
        <v>15</v>
      </c>
      <c r="P56" s="15">
        <f t="shared" si="1"/>
        <v>38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0</v>
      </c>
      <c r="E57" s="50">
        <v>3</v>
      </c>
      <c r="F57" s="50">
        <v>2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38</v>
      </c>
      <c r="N57" s="50">
        <v>0</v>
      </c>
      <c r="O57" s="15">
        <f t="shared" si="0"/>
        <v>14</v>
      </c>
      <c r="P57" s="15">
        <f t="shared" si="1"/>
        <v>52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107</v>
      </c>
      <c r="D58" s="16">
        <f t="shared" si="21"/>
        <v>0</v>
      </c>
      <c r="E58" s="16">
        <f t="shared" si="21"/>
        <v>117</v>
      </c>
      <c r="F58" s="16">
        <f t="shared" si="21"/>
        <v>89</v>
      </c>
      <c r="G58" s="16">
        <f t="shared" si="21"/>
        <v>2</v>
      </c>
      <c r="H58" s="16">
        <f t="shared" si="21"/>
        <v>0</v>
      </c>
      <c r="I58" s="16">
        <f t="shared" si="21"/>
        <v>74</v>
      </c>
      <c r="J58" s="16">
        <f t="shared" si="21"/>
        <v>2</v>
      </c>
      <c r="K58" s="16">
        <f t="shared" si="21"/>
        <v>8</v>
      </c>
      <c r="L58" s="16">
        <f t="shared" si="21"/>
        <v>1</v>
      </c>
      <c r="M58" s="16">
        <f t="shared" si="21"/>
        <v>1036</v>
      </c>
      <c r="N58" s="16">
        <f t="shared" si="21"/>
        <v>0</v>
      </c>
      <c r="O58" s="16">
        <f t="shared" si="21"/>
        <v>400</v>
      </c>
      <c r="P58" s="16">
        <f t="shared" si="21"/>
        <v>1436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7.4512534818941503E-2</v>
      </c>
      <c r="D59" s="43">
        <f t="shared" si="22"/>
        <v>0</v>
      </c>
      <c r="E59" s="43">
        <f t="shared" si="22"/>
        <v>8.1476323119777164E-2</v>
      </c>
      <c r="F59" s="43">
        <f t="shared" si="22"/>
        <v>6.1977715877437327E-2</v>
      </c>
      <c r="G59" s="43">
        <f t="shared" si="22"/>
        <v>1.3927576601671309E-3</v>
      </c>
      <c r="H59" s="43">
        <f t="shared" si="22"/>
        <v>0</v>
      </c>
      <c r="I59" s="43">
        <f t="shared" si="22"/>
        <v>5.1532033426183843E-2</v>
      </c>
      <c r="J59" s="43">
        <f t="shared" si="22"/>
        <v>1.3927576601671309E-3</v>
      </c>
      <c r="K59" s="43">
        <f t="shared" si="22"/>
        <v>5.5710306406685237E-3</v>
      </c>
      <c r="L59" s="43">
        <f t="shared" si="22"/>
        <v>6.9637883008356546E-4</v>
      </c>
      <c r="M59" s="43">
        <f t="shared" si="22"/>
        <v>0.7214484679665738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0.26750000000000002</v>
      </c>
      <c r="D60" s="44">
        <f t="shared" ref="D60:N60" si="23">D58/$O$58</f>
        <v>0</v>
      </c>
      <c r="E60" s="44">
        <f t="shared" si="23"/>
        <v>0.29249999999999998</v>
      </c>
      <c r="F60" s="44">
        <f t="shared" si="23"/>
        <v>0.2225</v>
      </c>
      <c r="G60" s="44">
        <f t="shared" si="23"/>
        <v>5.0000000000000001E-3</v>
      </c>
      <c r="H60" s="44">
        <f t="shared" si="23"/>
        <v>0</v>
      </c>
      <c r="I60" s="44">
        <f t="shared" si="23"/>
        <v>0.185</v>
      </c>
      <c r="J60" s="44">
        <f t="shared" si="23"/>
        <v>5.0000000000000001E-3</v>
      </c>
      <c r="K60" s="44">
        <f t="shared" si="23"/>
        <v>0.02</v>
      </c>
      <c r="L60" s="44">
        <f t="shared" si="23"/>
        <v>2.5000000000000001E-3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60" workbookViewId="0">
      <selection activeCell="G15" sqref="G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Kampala-Bukaya'!C3:G3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3" t="str">
        <f>'19.08 Kampala-Bukaya'!G5:H5</f>
        <v>Nyenga</v>
      </c>
      <c r="H5" s="64"/>
      <c r="I5" s="14"/>
      <c r="J5" s="2" t="s">
        <v>5</v>
      </c>
      <c r="K5" s="63" t="str">
        <f>'19.08 Kampala-Bukaya'!K5:L5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Kampala-Bukaya'!D6:E6</f>
        <v>Kampala</v>
      </c>
      <c r="E6" s="64"/>
      <c r="F6" s="2" t="s">
        <v>2</v>
      </c>
      <c r="G6" s="63" t="str">
        <f>'19.08 Kampala-Bukaya'!G6:H6</f>
        <v>Bukaya</v>
      </c>
      <c r="H6" s="64"/>
      <c r="J6" s="2" t="s">
        <v>21</v>
      </c>
      <c r="K6" s="63" t="str">
        <f>'19.08 Kampala-Bukaya'!K6:L6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7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54</v>
      </c>
      <c r="AD10" s="17">
        <f t="shared" si="2"/>
        <v>0</v>
      </c>
      <c r="AE10" s="31">
        <f t="shared" si="2"/>
        <v>21</v>
      </c>
      <c r="AF10" s="31">
        <f t="shared" si="2"/>
        <v>75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2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6</v>
      </c>
      <c r="P11" s="15">
        <f t="shared" si="1"/>
        <v>15</v>
      </c>
      <c r="R11" s="1" t="s">
        <v>7</v>
      </c>
      <c r="S11" s="17">
        <f t="shared" ref="S11:AF11" si="3">SUM(C14:C17)</f>
        <v>5</v>
      </c>
      <c r="T11" s="17">
        <f t="shared" si="3"/>
        <v>0</v>
      </c>
      <c r="U11" s="17">
        <f t="shared" si="3"/>
        <v>10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71</v>
      </c>
      <c r="AD11" s="17">
        <f t="shared" si="3"/>
        <v>1</v>
      </c>
      <c r="AE11" s="31">
        <f t="shared" si="3"/>
        <v>27</v>
      </c>
      <c r="AF11" s="31">
        <f t="shared" si="3"/>
        <v>98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2</v>
      </c>
      <c r="F12" s="50">
        <v>1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6</v>
      </c>
      <c r="P12" s="15">
        <f t="shared" si="1"/>
        <v>18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7</v>
      </c>
      <c r="V12" s="17">
        <f t="shared" si="4"/>
        <v>8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70</v>
      </c>
      <c r="AD12" s="17">
        <f t="shared" si="4"/>
        <v>0</v>
      </c>
      <c r="AE12" s="31">
        <f t="shared" si="4"/>
        <v>28</v>
      </c>
      <c r="AF12" s="31">
        <f t="shared" si="4"/>
        <v>98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3</v>
      </c>
      <c r="F13" s="50">
        <v>0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20</v>
      </c>
      <c r="N13" s="50">
        <v>0</v>
      </c>
      <c r="O13" s="15">
        <f t="shared" si="0"/>
        <v>8</v>
      </c>
      <c r="P13" s="15">
        <f t="shared" si="1"/>
        <v>28</v>
      </c>
      <c r="R13" s="1" t="s">
        <v>9</v>
      </c>
      <c r="S13" s="17">
        <f t="shared" ref="S13:AF13" si="5">SUM(C22:C25)</f>
        <v>12</v>
      </c>
      <c r="T13" s="17">
        <f t="shared" si="5"/>
        <v>0</v>
      </c>
      <c r="U13" s="17">
        <f t="shared" si="5"/>
        <v>14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84</v>
      </c>
      <c r="AD13" s="17">
        <f t="shared" si="5"/>
        <v>0</v>
      </c>
      <c r="AE13" s="31">
        <f t="shared" si="5"/>
        <v>47</v>
      </c>
      <c r="AF13" s="31">
        <f t="shared" si="5"/>
        <v>131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21</v>
      </c>
      <c r="N14" s="50">
        <v>0</v>
      </c>
      <c r="O14" s="15">
        <f t="shared" si="0"/>
        <v>6</v>
      </c>
      <c r="P14" s="15">
        <f t="shared" si="1"/>
        <v>27</v>
      </c>
      <c r="R14" s="1" t="s">
        <v>10</v>
      </c>
      <c r="S14" s="17">
        <f t="shared" ref="S14:AF14" si="6">SUM(C26:C29)</f>
        <v>11</v>
      </c>
      <c r="T14" s="17">
        <f t="shared" si="6"/>
        <v>0</v>
      </c>
      <c r="U14" s="17">
        <f t="shared" si="6"/>
        <v>17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85</v>
      </c>
      <c r="AD14" s="17">
        <f t="shared" si="6"/>
        <v>0</v>
      </c>
      <c r="AE14" s="31">
        <f t="shared" si="6"/>
        <v>47</v>
      </c>
      <c r="AF14" s="31">
        <f t="shared" si="6"/>
        <v>132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5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17</v>
      </c>
      <c r="N15" s="50">
        <v>1</v>
      </c>
      <c r="O15" s="15">
        <f t="shared" si="0"/>
        <v>8</v>
      </c>
      <c r="P15" s="15">
        <f t="shared" si="1"/>
        <v>25</v>
      </c>
      <c r="R15" s="1" t="s">
        <v>11</v>
      </c>
      <c r="S15" s="17">
        <f t="shared" ref="S15:AF15" si="7">SUM(C30:C33)</f>
        <v>8</v>
      </c>
      <c r="T15" s="17">
        <f t="shared" si="7"/>
        <v>0</v>
      </c>
      <c r="U15" s="17">
        <f t="shared" si="7"/>
        <v>15</v>
      </c>
      <c r="V15" s="17">
        <f t="shared" si="7"/>
        <v>7</v>
      </c>
      <c r="W15" s="17">
        <f t="shared" si="7"/>
        <v>2</v>
      </c>
      <c r="X15" s="17">
        <f t="shared" si="7"/>
        <v>0</v>
      </c>
      <c r="Y15" s="17">
        <f t="shared" si="7"/>
        <v>6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80</v>
      </c>
      <c r="AD15" s="17">
        <f t="shared" si="7"/>
        <v>0</v>
      </c>
      <c r="AE15" s="31">
        <f t="shared" si="7"/>
        <v>38</v>
      </c>
      <c r="AF15" s="31">
        <f t="shared" si="7"/>
        <v>118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14</v>
      </c>
      <c r="N16" s="50">
        <v>0</v>
      </c>
      <c r="O16" s="15">
        <f t="shared" si="0"/>
        <v>7</v>
      </c>
      <c r="P16" s="15">
        <f t="shared" si="1"/>
        <v>21</v>
      </c>
      <c r="R16" s="1" t="s">
        <v>12</v>
      </c>
      <c r="S16" s="17">
        <f t="shared" ref="S16:AF16" si="8">SUM(C34:C37)</f>
        <v>13</v>
      </c>
      <c r="T16" s="17">
        <f t="shared" si="8"/>
        <v>0</v>
      </c>
      <c r="U16" s="17">
        <f t="shared" si="8"/>
        <v>17</v>
      </c>
      <c r="V16" s="17">
        <f t="shared" si="8"/>
        <v>5</v>
      </c>
      <c r="W16" s="17">
        <f t="shared" si="8"/>
        <v>0</v>
      </c>
      <c r="X16" s="17">
        <f t="shared" si="8"/>
        <v>5</v>
      </c>
      <c r="Y16" s="17">
        <f t="shared" si="8"/>
        <v>6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46</v>
      </c>
      <c r="AD16" s="17">
        <f t="shared" si="8"/>
        <v>0</v>
      </c>
      <c r="AE16" s="31">
        <f t="shared" si="8"/>
        <v>48</v>
      </c>
      <c r="AF16" s="31">
        <f t="shared" si="8"/>
        <v>94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2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19</v>
      </c>
      <c r="N17" s="50">
        <v>0</v>
      </c>
      <c r="O17" s="15">
        <f t="shared" si="0"/>
        <v>6</v>
      </c>
      <c r="P17" s="15">
        <f t="shared" si="1"/>
        <v>25</v>
      </c>
      <c r="R17" s="1" t="s">
        <v>13</v>
      </c>
      <c r="S17" s="17">
        <f t="shared" ref="S17:AF17" si="9">SUM(C38:C41)</f>
        <v>14</v>
      </c>
      <c r="T17" s="17">
        <f t="shared" si="9"/>
        <v>0</v>
      </c>
      <c r="U17" s="17">
        <f t="shared" si="9"/>
        <v>12</v>
      </c>
      <c r="V17" s="17">
        <f t="shared" si="9"/>
        <v>10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78</v>
      </c>
      <c r="AD17" s="17">
        <f t="shared" si="9"/>
        <v>0</v>
      </c>
      <c r="AE17" s="31">
        <f t="shared" si="9"/>
        <v>44</v>
      </c>
      <c r="AF17" s="31">
        <f t="shared" si="9"/>
        <v>122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8</v>
      </c>
      <c r="N18" s="50">
        <v>0</v>
      </c>
      <c r="O18" s="15">
        <f t="shared" si="0"/>
        <v>5</v>
      </c>
      <c r="P18" s="15">
        <f t="shared" si="1"/>
        <v>13</v>
      </c>
      <c r="R18" s="1" t="s">
        <v>14</v>
      </c>
      <c r="S18" s="17">
        <f t="shared" ref="S18:AF18" si="10">SUM(C42:C45)</f>
        <v>14</v>
      </c>
      <c r="T18" s="17">
        <f t="shared" si="10"/>
        <v>0</v>
      </c>
      <c r="U18" s="17">
        <f t="shared" si="10"/>
        <v>13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89</v>
      </c>
      <c r="AD18" s="17">
        <f t="shared" si="10"/>
        <v>0</v>
      </c>
      <c r="AE18" s="31">
        <f t="shared" si="10"/>
        <v>41</v>
      </c>
      <c r="AF18" s="31">
        <f t="shared" si="10"/>
        <v>130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2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3</v>
      </c>
      <c r="P19" s="15">
        <f t="shared" si="1"/>
        <v>23</v>
      </c>
      <c r="R19" s="1" t="s">
        <v>15</v>
      </c>
      <c r="S19" s="17">
        <f t="shared" ref="S19:AF19" si="11">SUM(C46:C49)</f>
        <v>13</v>
      </c>
      <c r="T19" s="17">
        <f t="shared" si="11"/>
        <v>0</v>
      </c>
      <c r="U19" s="17">
        <f t="shared" si="11"/>
        <v>8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89</v>
      </c>
      <c r="AD19" s="17">
        <f t="shared" si="11"/>
        <v>0</v>
      </c>
      <c r="AE19" s="31">
        <f t="shared" si="11"/>
        <v>35</v>
      </c>
      <c r="AF19" s="31">
        <f t="shared" si="11"/>
        <v>124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2</v>
      </c>
      <c r="F20" s="50">
        <v>6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26</v>
      </c>
      <c r="N20" s="50">
        <v>0</v>
      </c>
      <c r="O20" s="15">
        <f t="shared" si="0"/>
        <v>15</v>
      </c>
      <c r="P20" s="15">
        <f t="shared" si="1"/>
        <v>41</v>
      </c>
      <c r="R20" s="1" t="s">
        <v>16</v>
      </c>
      <c r="S20" s="17">
        <f t="shared" ref="S20:AF20" si="12">SUM(C50:C53)</f>
        <v>7</v>
      </c>
      <c r="T20" s="17">
        <f t="shared" si="12"/>
        <v>0</v>
      </c>
      <c r="U20" s="17">
        <f t="shared" si="12"/>
        <v>6</v>
      </c>
      <c r="V20" s="17">
        <f t="shared" si="12"/>
        <v>11</v>
      </c>
      <c r="W20" s="17">
        <f t="shared" si="12"/>
        <v>1</v>
      </c>
      <c r="X20" s="17">
        <f t="shared" si="12"/>
        <v>0</v>
      </c>
      <c r="Y20" s="17">
        <f t="shared" si="12"/>
        <v>10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98</v>
      </c>
      <c r="AD20" s="17">
        <f t="shared" si="12"/>
        <v>0</v>
      </c>
      <c r="AE20" s="31">
        <f t="shared" si="12"/>
        <v>36</v>
      </c>
      <c r="AF20" s="31">
        <f t="shared" si="12"/>
        <v>134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2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5</v>
      </c>
      <c r="P21" s="15">
        <f t="shared" si="1"/>
        <v>21</v>
      </c>
      <c r="R21" s="36" t="s">
        <v>20</v>
      </c>
      <c r="S21" s="34">
        <f t="shared" ref="S21:AF21" si="13">SUM(C54:C57)</f>
        <v>6</v>
      </c>
      <c r="T21" s="17">
        <f t="shared" si="13"/>
        <v>0</v>
      </c>
      <c r="U21" s="17">
        <f t="shared" si="13"/>
        <v>6</v>
      </c>
      <c r="V21" s="17">
        <f t="shared" si="13"/>
        <v>7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93</v>
      </c>
      <c r="AD21" s="17">
        <f t="shared" si="13"/>
        <v>1</v>
      </c>
      <c r="AE21" s="31">
        <f t="shared" si="13"/>
        <v>28</v>
      </c>
      <c r="AF21" s="31">
        <f t="shared" si="13"/>
        <v>121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7</v>
      </c>
      <c r="F22" s="50">
        <v>1</v>
      </c>
      <c r="G22" s="50">
        <v>0</v>
      </c>
      <c r="H22" s="50">
        <v>0</v>
      </c>
      <c r="I22" s="50">
        <v>3</v>
      </c>
      <c r="J22" s="50">
        <v>0</v>
      </c>
      <c r="K22" s="50">
        <v>1</v>
      </c>
      <c r="L22" s="50">
        <v>0</v>
      </c>
      <c r="M22" s="50">
        <v>24</v>
      </c>
      <c r="N22" s="50">
        <v>0</v>
      </c>
      <c r="O22" s="15">
        <f t="shared" si="0"/>
        <v>14</v>
      </c>
      <c r="P22" s="15">
        <f t="shared" si="1"/>
        <v>38</v>
      </c>
      <c r="R22" s="38" t="s">
        <v>90</v>
      </c>
      <c r="S22" s="39">
        <f>MAX(S10:S12)</f>
        <v>6</v>
      </c>
      <c r="T22" s="39">
        <f t="shared" ref="T22:AF22" si="14">MAX(T10:T12)</f>
        <v>0</v>
      </c>
      <c r="U22" s="39">
        <f t="shared" si="14"/>
        <v>10</v>
      </c>
      <c r="V22" s="39">
        <f t="shared" si="14"/>
        <v>8</v>
      </c>
      <c r="W22" s="39">
        <f t="shared" si="14"/>
        <v>0</v>
      </c>
      <c r="X22" s="39">
        <f t="shared" si="14"/>
        <v>0</v>
      </c>
      <c r="Y22" s="39">
        <f t="shared" si="14"/>
        <v>7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71</v>
      </c>
      <c r="AD22" s="39">
        <f t="shared" si="14"/>
        <v>1</v>
      </c>
      <c r="AE22" s="40">
        <f t="shared" si="14"/>
        <v>28</v>
      </c>
      <c r="AF22" s="40">
        <f t="shared" si="14"/>
        <v>98</v>
      </c>
    </row>
    <row r="23" spans="2:32" ht="23.1" customHeight="1" x14ac:dyDescent="0.25">
      <c r="B23" s="23" t="s">
        <v>50</v>
      </c>
      <c r="C23" s="50">
        <v>6</v>
      </c>
      <c r="D23" s="50">
        <v>0</v>
      </c>
      <c r="E23" s="50">
        <v>3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15</v>
      </c>
      <c r="N23" s="50">
        <v>0</v>
      </c>
      <c r="O23" s="15">
        <f t="shared" si="0"/>
        <v>11</v>
      </c>
      <c r="P23" s="15">
        <f t="shared" si="1"/>
        <v>26</v>
      </c>
      <c r="R23" s="38" t="s">
        <v>91</v>
      </c>
      <c r="S23" s="39">
        <f>MAX(S13:S18)</f>
        <v>14</v>
      </c>
      <c r="T23" s="39">
        <f t="shared" ref="T23:AF23" si="15">MAX(T13:T18)</f>
        <v>0</v>
      </c>
      <c r="U23" s="39">
        <f t="shared" si="15"/>
        <v>17</v>
      </c>
      <c r="V23" s="39">
        <f t="shared" si="15"/>
        <v>10</v>
      </c>
      <c r="W23" s="39">
        <f t="shared" si="15"/>
        <v>2</v>
      </c>
      <c r="X23" s="39">
        <f t="shared" si="15"/>
        <v>5</v>
      </c>
      <c r="Y23" s="39">
        <f t="shared" si="15"/>
        <v>13</v>
      </c>
      <c r="Z23" s="39">
        <f t="shared" si="15"/>
        <v>1</v>
      </c>
      <c r="AA23" s="39">
        <f t="shared" si="15"/>
        <v>2</v>
      </c>
      <c r="AB23" s="39">
        <f t="shared" si="15"/>
        <v>0</v>
      </c>
      <c r="AC23" s="39">
        <f t="shared" si="15"/>
        <v>89</v>
      </c>
      <c r="AD23" s="39">
        <f t="shared" si="15"/>
        <v>0</v>
      </c>
      <c r="AE23" s="40">
        <f t="shared" si="15"/>
        <v>48</v>
      </c>
      <c r="AF23" s="40">
        <f t="shared" si="15"/>
        <v>132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2</v>
      </c>
      <c r="F24" s="50">
        <v>3</v>
      </c>
      <c r="G24" s="50">
        <v>0</v>
      </c>
      <c r="H24" s="50">
        <v>0</v>
      </c>
      <c r="I24" s="50">
        <v>4</v>
      </c>
      <c r="J24" s="50">
        <v>0</v>
      </c>
      <c r="K24" s="50">
        <v>1</v>
      </c>
      <c r="L24" s="50">
        <v>0</v>
      </c>
      <c r="M24" s="50">
        <v>23</v>
      </c>
      <c r="N24" s="50">
        <v>0</v>
      </c>
      <c r="O24" s="15">
        <f t="shared" si="0"/>
        <v>14</v>
      </c>
      <c r="P24" s="15">
        <f t="shared" si="1"/>
        <v>37</v>
      </c>
      <c r="R24" s="38" t="s">
        <v>92</v>
      </c>
      <c r="S24" s="39">
        <f>MAX(S19:S21)</f>
        <v>13</v>
      </c>
      <c r="T24" s="39">
        <f t="shared" ref="T24:AF24" si="16">MAX(T19:T21)</f>
        <v>0</v>
      </c>
      <c r="U24" s="39">
        <f t="shared" si="16"/>
        <v>8</v>
      </c>
      <c r="V24" s="39">
        <f t="shared" si="16"/>
        <v>11</v>
      </c>
      <c r="W24" s="39">
        <f t="shared" si="16"/>
        <v>1</v>
      </c>
      <c r="X24" s="39">
        <f t="shared" si="16"/>
        <v>0</v>
      </c>
      <c r="Y24" s="39">
        <f t="shared" si="16"/>
        <v>10</v>
      </c>
      <c r="Z24" s="39">
        <f t="shared" si="16"/>
        <v>0</v>
      </c>
      <c r="AA24" s="39">
        <f t="shared" si="16"/>
        <v>1</v>
      </c>
      <c r="AB24" s="39">
        <f t="shared" si="16"/>
        <v>0</v>
      </c>
      <c r="AC24" s="39">
        <f t="shared" si="16"/>
        <v>98</v>
      </c>
      <c r="AD24" s="39">
        <f t="shared" si="16"/>
        <v>1</v>
      </c>
      <c r="AE24" s="40">
        <f t="shared" si="16"/>
        <v>36</v>
      </c>
      <c r="AF24" s="40">
        <f t="shared" si="16"/>
        <v>134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2</v>
      </c>
      <c r="F25" s="50">
        <v>2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22</v>
      </c>
      <c r="N25" s="50">
        <v>0</v>
      </c>
      <c r="O25" s="15">
        <f t="shared" si="0"/>
        <v>8</v>
      </c>
      <c r="P25" s="15">
        <f t="shared" si="1"/>
        <v>30</v>
      </c>
      <c r="R25" s="37" t="s">
        <v>85</v>
      </c>
      <c r="S25" s="35">
        <f t="shared" ref="S25:AF25" si="17">SUM(S10:S12)</f>
        <v>16</v>
      </c>
      <c r="T25" s="16">
        <f t="shared" si="17"/>
        <v>0</v>
      </c>
      <c r="U25" s="16">
        <f t="shared" si="17"/>
        <v>24</v>
      </c>
      <c r="V25" s="16">
        <f t="shared" si="17"/>
        <v>14</v>
      </c>
      <c r="W25" s="16">
        <f t="shared" si="17"/>
        <v>0</v>
      </c>
      <c r="X25" s="16">
        <f t="shared" si="17"/>
        <v>0</v>
      </c>
      <c r="Y25" s="16">
        <f t="shared" si="17"/>
        <v>21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195</v>
      </c>
      <c r="AD25" s="16">
        <f t="shared" si="17"/>
        <v>1</v>
      </c>
      <c r="AE25" s="32">
        <f t="shared" si="17"/>
        <v>76</v>
      </c>
      <c r="AF25" s="32">
        <f t="shared" si="17"/>
        <v>271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6</v>
      </c>
      <c r="F26" s="50">
        <v>3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19</v>
      </c>
      <c r="N26" s="50">
        <v>0</v>
      </c>
      <c r="O26" s="15">
        <f t="shared" si="0"/>
        <v>16</v>
      </c>
      <c r="P26" s="15">
        <f t="shared" si="1"/>
        <v>35</v>
      </c>
      <c r="R26" s="28" t="s">
        <v>86</v>
      </c>
      <c r="S26" s="16">
        <f t="shared" ref="S26:AF26" si="18">SUM(S13:S18)</f>
        <v>72</v>
      </c>
      <c r="T26" s="16">
        <f t="shared" si="18"/>
        <v>0</v>
      </c>
      <c r="U26" s="16">
        <f t="shared" si="18"/>
        <v>88</v>
      </c>
      <c r="V26" s="16">
        <f t="shared" si="18"/>
        <v>42</v>
      </c>
      <c r="W26" s="16">
        <f t="shared" si="18"/>
        <v>2</v>
      </c>
      <c r="X26" s="16">
        <f t="shared" si="18"/>
        <v>5</v>
      </c>
      <c r="Y26" s="16">
        <f t="shared" si="18"/>
        <v>50</v>
      </c>
      <c r="Z26" s="16">
        <f t="shared" si="18"/>
        <v>2</v>
      </c>
      <c r="AA26" s="16">
        <f t="shared" si="18"/>
        <v>4</v>
      </c>
      <c r="AB26" s="16">
        <f t="shared" si="18"/>
        <v>0</v>
      </c>
      <c r="AC26" s="16">
        <f t="shared" si="18"/>
        <v>462</v>
      </c>
      <c r="AD26" s="16">
        <f t="shared" si="18"/>
        <v>0</v>
      </c>
      <c r="AE26" s="32">
        <f t="shared" si="18"/>
        <v>265</v>
      </c>
      <c r="AF26" s="32">
        <f t="shared" si="18"/>
        <v>727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7</v>
      </c>
      <c r="F27" s="50">
        <v>0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13</v>
      </c>
      <c r="P27" s="15">
        <f t="shared" si="1"/>
        <v>31</v>
      </c>
      <c r="R27" s="29" t="s">
        <v>87</v>
      </c>
      <c r="S27" s="16">
        <f t="shared" ref="S27:AF27" si="19">SUM(S19:S21)</f>
        <v>26</v>
      </c>
      <c r="T27" s="16">
        <f t="shared" si="19"/>
        <v>0</v>
      </c>
      <c r="U27" s="16">
        <f t="shared" si="19"/>
        <v>20</v>
      </c>
      <c r="V27" s="16">
        <f t="shared" si="19"/>
        <v>24</v>
      </c>
      <c r="W27" s="16">
        <f t="shared" si="19"/>
        <v>1</v>
      </c>
      <c r="X27" s="16">
        <f t="shared" si="19"/>
        <v>0</v>
      </c>
      <c r="Y27" s="16">
        <f t="shared" si="19"/>
        <v>25</v>
      </c>
      <c r="Z27" s="16">
        <f t="shared" si="19"/>
        <v>0</v>
      </c>
      <c r="AA27" s="16">
        <f t="shared" si="19"/>
        <v>2</v>
      </c>
      <c r="AB27" s="16">
        <f t="shared" si="19"/>
        <v>0</v>
      </c>
      <c r="AC27" s="16">
        <f t="shared" si="19"/>
        <v>280</v>
      </c>
      <c r="AD27" s="16">
        <f t="shared" si="19"/>
        <v>1</v>
      </c>
      <c r="AE27" s="32">
        <f t="shared" si="19"/>
        <v>99</v>
      </c>
      <c r="AF27" s="32">
        <f t="shared" si="19"/>
        <v>379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25</v>
      </c>
      <c r="N28" s="50">
        <v>0</v>
      </c>
      <c r="O28" s="15">
        <f t="shared" si="0"/>
        <v>7</v>
      </c>
      <c r="P28" s="15">
        <f t="shared" si="1"/>
        <v>32</v>
      </c>
      <c r="R28" s="5" t="s">
        <v>17</v>
      </c>
      <c r="S28" s="16">
        <f t="shared" ref="S28:AF28" si="20">SUM(S10:S21)</f>
        <v>114</v>
      </c>
      <c r="T28" s="16">
        <f t="shared" si="20"/>
        <v>0</v>
      </c>
      <c r="U28" s="16">
        <f t="shared" si="20"/>
        <v>132</v>
      </c>
      <c r="V28" s="16">
        <f t="shared" si="20"/>
        <v>80</v>
      </c>
      <c r="W28" s="16">
        <f t="shared" si="20"/>
        <v>3</v>
      </c>
      <c r="X28" s="16">
        <f t="shared" si="20"/>
        <v>5</v>
      </c>
      <c r="Y28" s="16">
        <f t="shared" si="20"/>
        <v>96</v>
      </c>
      <c r="Z28" s="16">
        <f t="shared" si="20"/>
        <v>2</v>
      </c>
      <c r="AA28" s="16">
        <f t="shared" si="20"/>
        <v>6</v>
      </c>
      <c r="AB28" s="16">
        <f t="shared" si="20"/>
        <v>0</v>
      </c>
      <c r="AC28" s="16">
        <f t="shared" si="20"/>
        <v>937</v>
      </c>
      <c r="AD28" s="16">
        <f t="shared" si="20"/>
        <v>2</v>
      </c>
      <c r="AE28" s="32">
        <f t="shared" si="20"/>
        <v>440</v>
      </c>
      <c r="AF28" s="32">
        <f t="shared" si="20"/>
        <v>1377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4</v>
      </c>
      <c r="F29" s="50">
        <v>2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23</v>
      </c>
      <c r="N29" s="50">
        <v>0</v>
      </c>
      <c r="O29" s="15">
        <f t="shared" si="0"/>
        <v>11</v>
      </c>
      <c r="P29" s="15">
        <f t="shared" si="1"/>
        <v>34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5</v>
      </c>
      <c r="F30" s="50">
        <v>3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22</v>
      </c>
      <c r="N30" s="50">
        <v>0</v>
      </c>
      <c r="O30" s="15">
        <f t="shared" si="0"/>
        <v>12</v>
      </c>
      <c r="P30" s="15">
        <f t="shared" si="1"/>
        <v>34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3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21</v>
      </c>
      <c r="N31" s="50">
        <v>0</v>
      </c>
      <c r="O31" s="15">
        <f t="shared" si="0"/>
        <v>5</v>
      </c>
      <c r="P31" s="15">
        <f t="shared" si="1"/>
        <v>26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4</v>
      </c>
      <c r="F32" s="50">
        <v>1</v>
      </c>
      <c r="G32" s="50">
        <v>2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23</v>
      </c>
      <c r="N32" s="50">
        <v>0</v>
      </c>
      <c r="O32" s="15">
        <f t="shared" si="0"/>
        <v>11</v>
      </c>
      <c r="P32" s="15">
        <f t="shared" si="1"/>
        <v>34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3</v>
      </c>
      <c r="F33" s="50">
        <v>3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10</v>
      </c>
      <c r="P33" s="15">
        <f t="shared" si="1"/>
        <v>24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4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8</v>
      </c>
      <c r="P34" s="15">
        <f t="shared" si="1"/>
        <v>23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4</v>
      </c>
      <c r="F35" s="50">
        <v>3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13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4</v>
      </c>
      <c r="F36" s="50">
        <v>0</v>
      </c>
      <c r="G36" s="50">
        <v>0</v>
      </c>
      <c r="H36" s="50">
        <v>5</v>
      </c>
      <c r="I36" s="50">
        <v>1</v>
      </c>
      <c r="J36" s="50">
        <v>0</v>
      </c>
      <c r="K36" s="50">
        <v>1</v>
      </c>
      <c r="L36" s="50">
        <v>0</v>
      </c>
      <c r="M36" s="50">
        <v>11</v>
      </c>
      <c r="N36" s="50">
        <v>0</v>
      </c>
      <c r="O36" s="15">
        <f t="shared" si="0"/>
        <v>13</v>
      </c>
      <c r="P36" s="15">
        <f t="shared" si="1"/>
        <v>24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5</v>
      </c>
      <c r="F37" s="50">
        <v>2</v>
      </c>
      <c r="G37" s="50">
        <v>0</v>
      </c>
      <c r="H37" s="50">
        <v>0</v>
      </c>
      <c r="I37" s="50">
        <v>3</v>
      </c>
      <c r="J37" s="50">
        <v>0</v>
      </c>
      <c r="K37" s="50">
        <v>1</v>
      </c>
      <c r="L37" s="50">
        <v>0</v>
      </c>
      <c r="M37" s="50">
        <v>12</v>
      </c>
      <c r="N37" s="50">
        <v>0</v>
      </c>
      <c r="O37" s="15">
        <f t="shared" si="0"/>
        <v>14</v>
      </c>
      <c r="P37" s="15">
        <f t="shared" si="1"/>
        <v>26</v>
      </c>
    </row>
    <row r="38" spans="2:20" ht="23.1" customHeight="1" x14ac:dyDescent="0.25">
      <c r="B38" s="24" t="s">
        <v>65</v>
      </c>
      <c r="C38" s="50">
        <v>4</v>
      </c>
      <c r="D38" s="50">
        <v>0</v>
      </c>
      <c r="E38" s="50">
        <v>5</v>
      </c>
      <c r="F38" s="50">
        <v>3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16</v>
      </c>
      <c r="N38" s="50">
        <v>0</v>
      </c>
      <c r="O38" s="15">
        <f t="shared" si="0"/>
        <v>14</v>
      </c>
      <c r="P38" s="15">
        <f t="shared" si="1"/>
        <v>30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4</v>
      </c>
      <c r="F39" s="50">
        <v>2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16</v>
      </c>
      <c r="N39" s="50">
        <v>0</v>
      </c>
      <c r="O39" s="15">
        <f t="shared" si="0"/>
        <v>11</v>
      </c>
      <c r="P39" s="15">
        <f t="shared" si="1"/>
        <v>27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0</v>
      </c>
      <c r="F40" s="50">
        <v>4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26</v>
      </c>
      <c r="N40" s="50">
        <v>0</v>
      </c>
      <c r="O40" s="15">
        <f t="shared" si="0"/>
        <v>10</v>
      </c>
      <c r="P40" s="15">
        <f t="shared" si="1"/>
        <v>36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3</v>
      </c>
      <c r="F41" s="50">
        <v>1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20</v>
      </c>
      <c r="N41" s="50">
        <v>0</v>
      </c>
      <c r="O41" s="15">
        <f t="shared" si="0"/>
        <v>9</v>
      </c>
      <c r="P41" s="15">
        <f t="shared" si="1"/>
        <v>29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5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16</v>
      </c>
      <c r="N42" s="50">
        <v>0</v>
      </c>
      <c r="O42" s="15">
        <f t="shared" si="0"/>
        <v>11</v>
      </c>
      <c r="P42" s="15">
        <f t="shared" si="1"/>
        <v>27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27</v>
      </c>
      <c r="N43" s="50">
        <v>0</v>
      </c>
      <c r="O43" s="15">
        <f t="shared" si="0"/>
        <v>6</v>
      </c>
      <c r="P43" s="15">
        <f t="shared" si="1"/>
        <v>33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4</v>
      </c>
      <c r="F44" s="50">
        <v>2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20</v>
      </c>
      <c r="N44" s="50">
        <v>0</v>
      </c>
      <c r="O44" s="15">
        <f t="shared" si="0"/>
        <v>12</v>
      </c>
      <c r="P44" s="15">
        <f t="shared" si="1"/>
        <v>32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3</v>
      </c>
      <c r="F45" s="50">
        <v>2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26</v>
      </c>
      <c r="N45" s="50">
        <v>0</v>
      </c>
      <c r="O45" s="15">
        <f t="shared" si="0"/>
        <v>12</v>
      </c>
      <c r="P45" s="15">
        <f t="shared" si="1"/>
        <v>38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3</v>
      </c>
      <c r="F46" s="50">
        <v>3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11</v>
      </c>
      <c r="P46" s="15">
        <f t="shared" si="1"/>
        <v>26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0</v>
      </c>
      <c r="E47" s="50">
        <v>3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1</v>
      </c>
      <c r="L47" s="50">
        <v>0</v>
      </c>
      <c r="M47" s="50">
        <v>25</v>
      </c>
      <c r="N47" s="50">
        <v>0</v>
      </c>
      <c r="O47" s="15">
        <f t="shared" si="0"/>
        <v>10</v>
      </c>
      <c r="P47" s="15">
        <f t="shared" si="1"/>
        <v>35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24</v>
      </c>
      <c r="N48" s="50">
        <v>0</v>
      </c>
      <c r="O48" s="15">
        <f t="shared" si="0"/>
        <v>7</v>
      </c>
      <c r="P48" s="15">
        <f t="shared" si="1"/>
        <v>31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2</v>
      </c>
      <c r="F49" s="50">
        <v>2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25</v>
      </c>
      <c r="N49" s="50">
        <v>0</v>
      </c>
      <c r="O49" s="15">
        <f t="shared" si="0"/>
        <v>7</v>
      </c>
      <c r="P49" s="15">
        <f t="shared" si="1"/>
        <v>32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2</v>
      </c>
      <c r="F50" s="50">
        <v>0</v>
      </c>
      <c r="G50" s="50">
        <v>1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22</v>
      </c>
      <c r="N50" s="50">
        <v>0</v>
      </c>
      <c r="O50" s="15">
        <f t="shared" si="0"/>
        <v>11</v>
      </c>
      <c r="P50" s="15">
        <f t="shared" si="1"/>
        <v>33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1</v>
      </c>
      <c r="F51" s="50">
        <v>3</v>
      </c>
      <c r="G51" s="50">
        <v>0</v>
      </c>
      <c r="H51" s="50">
        <v>0</v>
      </c>
      <c r="I51" s="50">
        <v>2</v>
      </c>
      <c r="J51" s="50">
        <v>0</v>
      </c>
      <c r="K51" s="50">
        <v>1</v>
      </c>
      <c r="L51" s="50">
        <v>0</v>
      </c>
      <c r="M51" s="50">
        <v>31</v>
      </c>
      <c r="N51" s="50">
        <v>0</v>
      </c>
      <c r="O51" s="15">
        <f t="shared" si="0"/>
        <v>8</v>
      </c>
      <c r="P51" s="15">
        <f t="shared" si="1"/>
        <v>39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2</v>
      </c>
      <c r="F52" s="50">
        <v>3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9</v>
      </c>
      <c r="P52" s="15">
        <f t="shared" si="1"/>
        <v>29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1</v>
      </c>
      <c r="F53" s="50">
        <v>5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25</v>
      </c>
      <c r="N53" s="50">
        <v>0</v>
      </c>
      <c r="O53" s="15">
        <f t="shared" si="0"/>
        <v>8</v>
      </c>
      <c r="P53" s="15">
        <f t="shared" si="1"/>
        <v>33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3</v>
      </c>
      <c r="F54" s="50">
        <v>1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19</v>
      </c>
      <c r="N54" s="50">
        <v>0</v>
      </c>
      <c r="O54" s="15">
        <f t="shared" si="0"/>
        <v>11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1</v>
      </c>
      <c r="F55" s="50">
        <v>2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23</v>
      </c>
      <c r="N55" s="50">
        <v>0</v>
      </c>
      <c r="O55" s="15">
        <f t="shared" si="0"/>
        <v>6</v>
      </c>
      <c r="P55" s="15">
        <f t="shared" si="1"/>
        <v>29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27</v>
      </c>
      <c r="N56" s="50">
        <v>0</v>
      </c>
      <c r="O56" s="15">
        <f t="shared" si="0"/>
        <v>3</v>
      </c>
      <c r="P56" s="15">
        <f t="shared" si="1"/>
        <v>30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2</v>
      </c>
      <c r="F57" s="50">
        <v>3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24</v>
      </c>
      <c r="N57" s="50">
        <v>1</v>
      </c>
      <c r="O57" s="15">
        <f t="shared" si="0"/>
        <v>8</v>
      </c>
      <c r="P57" s="15">
        <f t="shared" si="1"/>
        <v>32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114</v>
      </c>
      <c r="D58" s="16">
        <f t="shared" si="21"/>
        <v>0</v>
      </c>
      <c r="E58" s="16">
        <f t="shared" si="21"/>
        <v>132</v>
      </c>
      <c r="F58" s="16">
        <f t="shared" si="21"/>
        <v>80</v>
      </c>
      <c r="G58" s="16">
        <f t="shared" si="21"/>
        <v>3</v>
      </c>
      <c r="H58" s="16">
        <f t="shared" si="21"/>
        <v>5</v>
      </c>
      <c r="I58" s="16">
        <f t="shared" si="21"/>
        <v>96</v>
      </c>
      <c r="J58" s="16">
        <f t="shared" si="21"/>
        <v>2</v>
      </c>
      <c r="K58" s="16">
        <f t="shared" si="21"/>
        <v>6</v>
      </c>
      <c r="L58" s="16">
        <f t="shared" si="21"/>
        <v>0</v>
      </c>
      <c r="M58" s="16">
        <f t="shared" si="21"/>
        <v>937</v>
      </c>
      <c r="N58" s="16">
        <f t="shared" si="21"/>
        <v>2</v>
      </c>
      <c r="O58" s="16">
        <f t="shared" si="21"/>
        <v>440</v>
      </c>
      <c r="P58" s="16">
        <f t="shared" si="21"/>
        <v>1377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8.2788671023965144E-2</v>
      </c>
      <c r="D59" s="43">
        <f t="shared" si="22"/>
        <v>0</v>
      </c>
      <c r="E59" s="43">
        <f t="shared" si="22"/>
        <v>9.586056644880174E-2</v>
      </c>
      <c r="F59" s="43">
        <f t="shared" si="22"/>
        <v>5.8097312999273787E-2</v>
      </c>
      <c r="G59" s="43">
        <f t="shared" si="22"/>
        <v>2.1786492374727671E-3</v>
      </c>
      <c r="H59" s="43">
        <f t="shared" si="22"/>
        <v>3.6310820624546117E-3</v>
      </c>
      <c r="I59" s="43">
        <f t="shared" si="22"/>
        <v>6.9716775599128547E-2</v>
      </c>
      <c r="J59" s="43">
        <f t="shared" si="22"/>
        <v>1.4524328249818446E-3</v>
      </c>
      <c r="K59" s="43">
        <f t="shared" si="22"/>
        <v>4.3572984749455342E-3</v>
      </c>
      <c r="L59" s="43">
        <f t="shared" si="22"/>
        <v>0</v>
      </c>
      <c r="M59" s="43">
        <f t="shared" si="22"/>
        <v>0.68046477850399423</v>
      </c>
      <c r="N59" s="43">
        <f t="shared" si="22"/>
        <v>1.4524328249818446E-3</v>
      </c>
      <c r="R59" s="8"/>
      <c r="T59"/>
    </row>
    <row r="60" spans="2:20" ht="23.1" customHeight="1" x14ac:dyDescent="0.25">
      <c r="B60" s="42" t="s">
        <v>94</v>
      </c>
      <c r="C60" s="44">
        <f>C58/$O$58</f>
        <v>0.25909090909090909</v>
      </c>
      <c r="D60" s="44">
        <f t="shared" ref="D60:N60" si="23">D58/$O$58</f>
        <v>0</v>
      </c>
      <c r="E60" s="44">
        <f t="shared" si="23"/>
        <v>0.3</v>
      </c>
      <c r="F60" s="44">
        <f t="shared" si="23"/>
        <v>0.18181818181818182</v>
      </c>
      <c r="G60" s="44">
        <f t="shared" si="23"/>
        <v>6.8181818181818179E-3</v>
      </c>
      <c r="H60" s="44">
        <f t="shared" si="23"/>
        <v>1.1363636363636364E-2</v>
      </c>
      <c r="I60" s="44">
        <f t="shared" si="23"/>
        <v>0.21818181818181817</v>
      </c>
      <c r="J60" s="44">
        <f t="shared" si="23"/>
        <v>4.5454545454545452E-3</v>
      </c>
      <c r="K60" s="44">
        <f t="shared" si="23"/>
        <v>1.3636363636363636E-2</v>
      </c>
      <c r="L60" s="44">
        <f t="shared" si="23"/>
        <v>0</v>
      </c>
      <c r="M60" s="44"/>
      <c r="N60" s="44">
        <f t="shared" si="23"/>
        <v>4.5454545454545452E-3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M51" sqref="M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Bukaya-Kampala'!C3:G3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'20.08 Kampala-Bukaya'!D5</f>
        <v>20.08.19</v>
      </c>
      <c r="E5" s="3"/>
      <c r="F5" s="41" t="s">
        <v>1</v>
      </c>
      <c r="G5" s="63" t="str">
        <f>'19.08 Kampala-Bukaya'!G5:H5</f>
        <v>Nyenga</v>
      </c>
      <c r="H5" s="64"/>
      <c r="I5" s="14"/>
      <c r="J5" s="2" t="s">
        <v>5</v>
      </c>
      <c r="K5" s="63" t="str">
        <f>'19.08 Kampala-Bukaya'!K5:L5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Bukaya-Kampala'!D6:E6</f>
        <v>Bukaya</v>
      </c>
      <c r="E6" s="64"/>
      <c r="F6" s="2" t="s">
        <v>2</v>
      </c>
      <c r="G6" s="63" t="str">
        <f>'19.08 Bukaya-Kampala'!G6:H6</f>
        <v>Kampala</v>
      </c>
      <c r="H6" s="64"/>
      <c r="J6" s="2" t="s">
        <v>21</v>
      </c>
      <c r="K6" s="63" t="str">
        <f>'19.08 Kampala-Bukaya'!K6:L6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0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48</v>
      </c>
      <c r="AD10" s="17">
        <f t="shared" si="2"/>
        <v>0</v>
      </c>
      <c r="AE10" s="31">
        <f t="shared" si="2"/>
        <v>12</v>
      </c>
      <c r="AF10" s="31">
        <f t="shared" si="2"/>
        <v>60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0</v>
      </c>
      <c r="P11" s="15">
        <f t="shared" si="1"/>
        <v>10</v>
      </c>
      <c r="R11" s="1" t="s">
        <v>7</v>
      </c>
      <c r="S11" s="17">
        <f t="shared" ref="S11:AF11" si="3">SUM(C14:C17)</f>
        <v>9</v>
      </c>
      <c r="T11" s="17">
        <f t="shared" si="3"/>
        <v>0</v>
      </c>
      <c r="U11" s="17">
        <f t="shared" si="3"/>
        <v>3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2</v>
      </c>
      <c r="AB11" s="17">
        <f t="shared" si="3"/>
        <v>0</v>
      </c>
      <c r="AC11" s="17">
        <f t="shared" si="3"/>
        <v>60</v>
      </c>
      <c r="AD11" s="17">
        <f t="shared" si="3"/>
        <v>0</v>
      </c>
      <c r="AE11" s="31">
        <f t="shared" si="3"/>
        <v>21</v>
      </c>
      <c r="AF11" s="31">
        <f t="shared" si="3"/>
        <v>81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4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7</v>
      </c>
      <c r="P12" s="15">
        <f t="shared" si="1"/>
        <v>15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3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63</v>
      </c>
      <c r="AD12" s="17">
        <f t="shared" si="4"/>
        <v>0</v>
      </c>
      <c r="AE12" s="31">
        <f t="shared" si="4"/>
        <v>19</v>
      </c>
      <c r="AF12" s="31">
        <f t="shared" si="4"/>
        <v>82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18</v>
      </c>
      <c r="N13" s="50">
        <v>0</v>
      </c>
      <c r="O13" s="15">
        <f t="shared" si="0"/>
        <v>2</v>
      </c>
      <c r="P13" s="15">
        <f t="shared" si="1"/>
        <v>20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6</v>
      </c>
      <c r="V13" s="17">
        <f t="shared" si="5"/>
        <v>3</v>
      </c>
      <c r="W13" s="17">
        <f t="shared" si="5"/>
        <v>1</v>
      </c>
      <c r="X13" s="17">
        <f t="shared" si="5"/>
        <v>0</v>
      </c>
      <c r="Y13" s="17">
        <f t="shared" si="5"/>
        <v>10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81</v>
      </c>
      <c r="AD13" s="17">
        <f t="shared" si="5"/>
        <v>0</v>
      </c>
      <c r="AE13" s="31">
        <f t="shared" si="5"/>
        <v>25</v>
      </c>
      <c r="AF13" s="31">
        <f t="shared" si="5"/>
        <v>106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2</v>
      </c>
      <c r="F14" s="50">
        <v>1</v>
      </c>
      <c r="G14" s="50">
        <v>0</v>
      </c>
      <c r="H14" s="50">
        <v>0</v>
      </c>
      <c r="I14" s="50">
        <v>2</v>
      </c>
      <c r="J14" s="50">
        <v>0</v>
      </c>
      <c r="K14" s="50">
        <v>1</v>
      </c>
      <c r="L14" s="50">
        <v>0</v>
      </c>
      <c r="M14" s="50">
        <v>21</v>
      </c>
      <c r="N14" s="50">
        <v>0</v>
      </c>
      <c r="O14" s="15">
        <f t="shared" si="0"/>
        <v>9</v>
      </c>
      <c r="P14" s="15">
        <f t="shared" si="1"/>
        <v>30</v>
      </c>
      <c r="R14" s="1" t="s">
        <v>10</v>
      </c>
      <c r="S14" s="17">
        <f t="shared" ref="S14:AF14" si="6">SUM(C26:C29)</f>
        <v>7</v>
      </c>
      <c r="T14" s="17">
        <f t="shared" si="6"/>
        <v>0</v>
      </c>
      <c r="U14" s="17">
        <f t="shared" si="6"/>
        <v>6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75</v>
      </c>
      <c r="AD14" s="17">
        <f t="shared" si="6"/>
        <v>0</v>
      </c>
      <c r="AE14" s="31">
        <f t="shared" si="6"/>
        <v>26</v>
      </c>
      <c r="AF14" s="31">
        <f t="shared" si="6"/>
        <v>101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0</v>
      </c>
      <c r="M15" s="50">
        <v>15</v>
      </c>
      <c r="N15" s="50">
        <v>0</v>
      </c>
      <c r="O15" s="15">
        <f t="shared" si="0"/>
        <v>4</v>
      </c>
      <c r="P15" s="15">
        <f t="shared" si="1"/>
        <v>19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7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94</v>
      </c>
      <c r="AD15" s="17">
        <f t="shared" si="7"/>
        <v>0</v>
      </c>
      <c r="AE15" s="31">
        <f t="shared" si="7"/>
        <v>26</v>
      </c>
      <c r="AF15" s="31">
        <f t="shared" si="7"/>
        <v>120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6</v>
      </c>
      <c r="P16" s="15">
        <f t="shared" si="1"/>
        <v>18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12</v>
      </c>
      <c r="V16" s="17">
        <f t="shared" si="8"/>
        <v>8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67</v>
      </c>
      <c r="AD16" s="17">
        <f t="shared" si="8"/>
        <v>0</v>
      </c>
      <c r="AE16" s="31">
        <f t="shared" si="8"/>
        <v>31</v>
      </c>
      <c r="AF16" s="31">
        <f t="shared" si="8"/>
        <v>98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2</v>
      </c>
      <c r="P17" s="15">
        <f t="shared" si="1"/>
        <v>14</v>
      </c>
      <c r="R17" s="1" t="s">
        <v>13</v>
      </c>
      <c r="S17" s="17">
        <f t="shared" ref="S17:AF17" si="9">SUM(C38:C41)</f>
        <v>8</v>
      </c>
      <c r="T17" s="17">
        <f t="shared" si="9"/>
        <v>0</v>
      </c>
      <c r="U17" s="17">
        <f t="shared" si="9"/>
        <v>6</v>
      </c>
      <c r="V17" s="17">
        <f t="shared" si="9"/>
        <v>8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100</v>
      </c>
      <c r="AD17" s="17">
        <f t="shared" si="9"/>
        <v>0</v>
      </c>
      <c r="AE17" s="31">
        <f t="shared" si="9"/>
        <v>26</v>
      </c>
      <c r="AF17" s="31">
        <f t="shared" si="9"/>
        <v>126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5</v>
      </c>
      <c r="P18" s="15">
        <f t="shared" si="1"/>
        <v>14</v>
      </c>
      <c r="R18" s="1" t="s">
        <v>14</v>
      </c>
      <c r="S18" s="17">
        <f t="shared" ref="S18:AF18" si="10">SUM(C42:C45)</f>
        <v>8</v>
      </c>
      <c r="T18" s="17">
        <f t="shared" si="10"/>
        <v>0</v>
      </c>
      <c r="U18" s="17">
        <f t="shared" si="10"/>
        <v>17</v>
      </c>
      <c r="V18" s="17">
        <f t="shared" si="10"/>
        <v>6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82</v>
      </c>
      <c r="AD18" s="17">
        <f t="shared" si="10"/>
        <v>0</v>
      </c>
      <c r="AE18" s="31">
        <f t="shared" si="10"/>
        <v>44</v>
      </c>
      <c r="AF18" s="31">
        <f t="shared" si="10"/>
        <v>126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2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5</v>
      </c>
      <c r="P19" s="15">
        <f t="shared" si="1"/>
        <v>20</v>
      </c>
      <c r="R19" s="1" t="s">
        <v>15</v>
      </c>
      <c r="S19" s="17">
        <f t="shared" ref="S19:AF19" si="11">SUM(C46:C49)</f>
        <v>7</v>
      </c>
      <c r="T19" s="17">
        <f t="shared" si="11"/>
        <v>0</v>
      </c>
      <c r="U19" s="17">
        <f t="shared" si="11"/>
        <v>10</v>
      </c>
      <c r="V19" s="17">
        <f t="shared" si="11"/>
        <v>10</v>
      </c>
      <c r="W19" s="17">
        <f t="shared" si="11"/>
        <v>0</v>
      </c>
      <c r="X19" s="17">
        <f t="shared" si="11"/>
        <v>0</v>
      </c>
      <c r="Y19" s="17">
        <f t="shared" si="11"/>
        <v>13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89</v>
      </c>
      <c r="AD19" s="17">
        <f t="shared" si="11"/>
        <v>0</v>
      </c>
      <c r="AE19" s="31">
        <f t="shared" si="11"/>
        <v>41</v>
      </c>
      <c r="AF19" s="31">
        <f t="shared" si="11"/>
        <v>130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5</v>
      </c>
      <c r="P20" s="15">
        <f t="shared" si="1"/>
        <v>21</v>
      </c>
      <c r="R20" s="1" t="s">
        <v>16</v>
      </c>
      <c r="S20" s="17">
        <f t="shared" ref="S20:AF20" si="12">SUM(C50:C53)</f>
        <v>22</v>
      </c>
      <c r="T20" s="17">
        <f t="shared" si="12"/>
        <v>0</v>
      </c>
      <c r="U20" s="17">
        <f t="shared" si="12"/>
        <v>19</v>
      </c>
      <c r="V20" s="17">
        <f t="shared" si="12"/>
        <v>14</v>
      </c>
      <c r="W20" s="17">
        <f t="shared" si="12"/>
        <v>3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91</v>
      </c>
      <c r="AD20" s="17">
        <f t="shared" si="12"/>
        <v>0</v>
      </c>
      <c r="AE20" s="31">
        <f t="shared" si="12"/>
        <v>67</v>
      </c>
      <c r="AF20" s="31">
        <f t="shared" si="12"/>
        <v>158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23</v>
      </c>
      <c r="N21" s="50">
        <v>0</v>
      </c>
      <c r="O21" s="15">
        <f t="shared" si="0"/>
        <v>4</v>
      </c>
      <c r="P21" s="15">
        <f t="shared" si="1"/>
        <v>27</v>
      </c>
      <c r="R21" s="36" t="s">
        <v>20</v>
      </c>
      <c r="S21" s="34">
        <f t="shared" ref="S21:AF21" si="13">SUM(C54:C57)</f>
        <v>10</v>
      </c>
      <c r="T21" s="17">
        <f t="shared" si="13"/>
        <v>0</v>
      </c>
      <c r="U21" s="17">
        <f t="shared" si="13"/>
        <v>18</v>
      </c>
      <c r="V21" s="17">
        <f t="shared" si="13"/>
        <v>6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93</v>
      </c>
      <c r="AD21" s="17">
        <f t="shared" si="13"/>
        <v>1</v>
      </c>
      <c r="AE21" s="31">
        <f t="shared" si="13"/>
        <v>44</v>
      </c>
      <c r="AF21" s="31">
        <f t="shared" si="13"/>
        <v>137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3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18</v>
      </c>
      <c r="N22" s="50">
        <v>0</v>
      </c>
      <c r="O22" s="15">
        <f t="shared" si="0"/>
        <v>7</v>
      </c>
      <c r="P22" s="15">
        <f t="shared" si="1"/>
        <v>25</v>
      </c>
      <c r="R22" s="38" t="s">
        <v>90</v>
      </c>
      <c r="S22" s="39">
        <f>MAX(S10:S12)</f>
        <v>9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6</v>
      </c>
      <c r="W22" s="39">
        <f t="shared" si="14"/>
        <v>0</v>
      </c>
      <c r="X22" s="39">
        <f t="shared" si="14"/>
        <v>0</v>
      </c>
      <c r="Y22" s="39">
        <f t="shared" si="14"/>
        <v>8</v>
      </c>
      <c r="Z22" s="39">
        <f t="shared" si="14"/>
        <v>1</v>
      </c>
      <c r="AA22" s="39">
        <f t="shared" si="14"/>
        <v>2</v>
      </c>
      <c r="AB22" s="39">
        <f t="shared" si="14"/>
        <v>0</v>
      </c>
      <c r="AC22" s="39">
        <f t="shared" si="14"/>
        <v>63</v>
      </c>
      <c r="AD22" s="39">
        <f t="shared" si="14"/>
        <v>0</v>
      </c>
      <c r="AE22" s="40">
        <f t="shared" si="14"/>
        <v>21</v>
      </c>
      <c r="AF22" s="40">
        <f t="shared" si="14"/>
        <v>82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25</v>
      </c>
      <c r="N23" s="50">
        <v>0</v>
      </c>
      <c r="O23" s="15">
        <f t="shared" si="0"/>
        <v>5</v>
      </c>
      <c r="P23" s="15">
        <f t="shared" si="1"/>
        <v>30</v>
      </c>
      <c r="R23" s="38" t="s">
        <v>91</v>
      </c>
      <c r="S23" s="39">
        <f>MAX(S13:S18)</f>
        <v>8</v>
      </c>
      <c r="T23" s="39">
        <f t="shared" ref="T23:AF23" si="15">MAX(T13:T18)</f>
        <v>0</v>
      </c>
      <c r="U23" s="39">
        <f t="shared" si="15"/>
        <v>17</v>
      </c>
      <c r="V23" s="39">
        <f t="shared" si="15"/>
        <v>8</v>
      </c>
      <c r="W23" s="39">
        <f t="shared" si="15"/>
        <v>1</v>
      </c>
      <c r="X23" s="39">
        <f t="shared" si="15"/>
        <v>0</v>
      </c>
      <c r="Y23" s="39">
        <f t="shared" si="15"/>
        <v>12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100</v>
      </c>
      <c r="AD23" s="39">
        <f t="shared" si="15"/>
        <v>0</v>
      </c>
      <c r="AE23" s="40">
        <f t="shared" si="15"/>
        <v>44</v>
      </c>
      <c r="AF23" s="40">
        <f t="shared" si="15"/>
        <v>126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3</v>
      </c>
      <c r="F24" s="50">
        <v>0</v>
      </c>
      <c r="G24" s="50">
        <v>1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14</v>
      </c>
      <c r="N24" s="50">
        <v>0</v>
      </c>
      <c r="O24" s="15">
        <f t="shared" si="0"/>
        <v>9</v>
      </c>
      <c r="P24" s="15">
        <f t="shared" si="1"/>
        <v>23</v>
      </c>
      <c r="R24" s="38" t="s">
        <v>92</v>
      </c>
      <c r="S24" s="39">
        <f>MAX(S19:S21)</f>
        <v>22</v>
      </c>
      <c r="T24" s="39">
        <f t="shared" ref="T24:AF24" si="16">MAX(T19:T21)</f>
        <v>0</v>
      </c>
      <c r="U24" s="39">
        <f t="shared" si="16"/>
        <v>19</v>
      </c>
      <c r="V24" s="39">
        <f t="shared" si="16"/>
        <v>14</v>
      </c>
      <c r="W24" s="39">
        <f t="shared" si="16"/>
        <v>3</v>
      </c>
      <c r="X24" s="39">
        <f t="shared" si="16"/>
        <v>0</v>
      </c>
      <c r="Y24" s="39">
        <f t="shared" si="16"/>
        <v>13</v>
      </c>
      <c r="Z24" s="39">
        <f t="shared" si="16"/>
        <v>0</v>
      </c>
      <c r="AA24" s="39">
        <f t="shared" si="16"/>
        <v>1</v>
      </c>
      <c r="AB24" s="39">
        <f t="shared" si="16"/>
        <v>0</v>
      </c>
      <c r="AC24" s="39">
        <f t="shared" si="16"/>
        <v>93</v>
      </c>
      <c r="AD24" s="39">
        <f t="shared" si="16"/>
        <v>1</v>
      </c>
      <c r="AE24" s="40">
        <f t="shared" si="16"/>
        <v>67</v>
      </c>
      <c r="AF24" s="40">
        <f t="shared" si="16"/>
        <v>158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24</v>
      </c>
      <c r="N25" s="50">
        <v>0</v>
      </c>
      <c r="O25" s="15">
        <f t="shared" si="0"/>
        <v>4</v>
      </c>
      <c r="P25" s="15">
        <f t="shared" si="1"/>
        <v>28</v>
      </c>
      <c r="R25" s="37" t="s">
        <v>85</v>
      </c>
      <c r="S25" s="35">
        <f t="shared" ref="S25:AF25" si="17">SUM(S10:S12)</f>
        <v>14</v>
      </c>
      <c r="T25" s="16">
        <f t="shared" si="17"/>
        <v>0</v>
      </c>
      <c r="U25" s="16">
        <f t="shared" si="17"/>
        <v>6</v>
      </c>
      <c r="V25" s="16">
        <f t="shared" si="17"/>
        <v>15</v>
      </c>
      <c r="W25" s="16">
        <f t="shared" si="17"/>
        <v>0</v>
      </c>
      <c r="X25" s="16">
        <f t="shared" si="17"/>
        <v>0</v>
      </c>
      <c r="Y25" s="16">
        <f t="shared" si="17"/>
        <v>14</v>
      </c>
      <c r="Z25" s="16">
        <f t="shared" si="17"/>
        <v>1</v>
      </c>
      <c r="AA25" s="16">
        <f t="shared" si="17"/>
        <v>2</v>
      </c>
      <c r="AB25" s="16">
        <f t="shared" si="17"/>
        <v>0</v>
      </c>
      <c r="AC25" s="16">
        <f t="shared" si="17"/>
        <v>171</v>
      </c>
      <c r="AD25" s="16">
        <f t="shared" si="17"/>
        <v>0</v>
      </c>
      <c r="AE25" s="32">
        <f t="shared" si="17"/>
        <v>52</v>
      </c>
      <c r="AF25" s="32">
        <f t="shared" si="17"/>
        <v>223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20</v>
      </c>
      <c r="N26" s="50">
        <v>0</v>
      </c>
      <c r="O26" s="15">
        <f t="shared" si="0"/>
        <v>5</v>
      </c>
      <c r="P26" s="15">
        <f t="shared" si="1"/>
        <v>25</v>
      </c>
      <c r="R26" s="28" t="s">
        <v>86</v>
      </c>
      <c r="S26" s="16">
        <f t="shared" ref="S26:AF26" si="18">SUM(S13:S18)</f>
        <v>38</v>
      </c>
      <c r="T26" s="16">
        <f t="shared" si="18"/>
        <v>0</v>
      </c>
      <c r="U26" s="16">
        <f t="shared" si="18"/>
        <v>54</v>
      </c>
      <c r="V26" s="16">
        <f t="shared" si="18"/>
        <v>36</v>
      </c>
      <c r="W26" s="16">
        <f t="shared" si="18"/>
        <v>1</v>
      </c>
      <c r="X26" s="16">
        <f t="shared" si="18"/>
        <v>0</v>
      </c>
      <c r="Y26" s="16">
        <f t="shared" si="18"/>
        <v>43</v>
      </c>
      <c r="Z26" s="16">
        <f t="shared" si="18"/>
        <v>3</v>
      </c>
      <c r="AA26" s="16">
        <f t="shared" si="18"/>
        <v>3</v>
      </c>
      <c r="AB26" s="16">
        <f t="shared" si="18"/>
        <v>0</v>
      </c>
      <c r="AC26" s="16">
        <f t="shared" si="18"/>
        <v>499</v>
      </c>
      <c r="AD26" s="16">
        <f t="shared" si="18"/>
        <v>0</v>
      </c>
      <c r="AE26" s="32">
        <f t="shared" si="18"/>
        <v>178</v>
      </c>
      <c r="AF26" s="32">
        <f t="shared" si="18"/>
        <v>677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3</v>
      </c>
      <c r="F27" s="50">
        <v>1</v>
      </c>
      <c r="G27" s="50">
        <v>0</v>
      </c>
      <c r="H27" s="50">
        <v>0</v>
      </c>
      <c r="I27" s="50">
        <v>1</v>
      </c>
      <c r="J27" s="50">
        <v>2</v>
      </c>
      <c r="K27" s="50">
        <v>0</v>
      </c>
      <c r="L27" s="50">
        <v>0</v>
      </c>
      <c r="M27" s="50">
        <v>17</v>
      </c>
      <c r="N27" s="50">
        <v>0</v>
      </c>
      <c r="O27" s="15">
        <f t="shared" si="0"/>
        <v>9</v>
      </c>
      <c r="P27" s="15">
        <f t="shared" si="1"/>
        <v>26</v>
      </c>
      <c r="R27" s="29" t="s">
        <v>87</v>
      </c>
      <c r="S27" s="16">
        <f t="shared" ref="S27:AF27" si="19">SUM(S19:S21)</f>
        <v>39</v>
      </c>
      <c r="T27" s="16">
        <f t="shared" si="19"/>
        <v>0</v>
      </c>
      <c r="U27" s="16">
        <f t="shared" si="19"/>
        <v>47</v>
      </c>
      <c r="V27" s="16">
        <f t="shared" si="19"/>
        <v>30</v>
      </c>
      <c r="W27" s="16">
        <f t="shared" si="19"/>
        <v>3</v>
      </c>
      <c r="X27" s="16">
        <f t="shared" si="19"/>
        <v>0</v>
      </c>
      <c r="Y27" s="16">
        <f t="shared" si="19"/>
        <v>29</v>
      </c>
      <c r="Z27" s="16">
        <f t="shared" si="19"/>
        <v>0</v>
      </c>
      <c r="AA27" s="16">
        <f t="shared" si="19"/>
        <v>3</v>
      </c>
      <c r="AB27" s="16">
        <f t="shared" si="19"/>
        <v>0</v>
      </c>
      <c r="AC27" s="16">
        <f t="shared" si="19"/>
        <v>273</v>
      </c>
      <c r="AD27" s="16">
        <f t="shared" si="19"/>
        <v>1</v>
      </c>
      <c r="AE27" s="32">
        <f t="shared" si="19"/>
        <v>152</v>
      </c>
      <c r="AF27" s="32">
        <f t="shared" si="19"/>
        <v>425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2</v>
      </c>
      <c r="F28" s="50">
        <v>2</v>
      </c>
      <c r="G28" s="50">
        <v>0</v>
      </c>
      <c r="H28" s="50">
        <v>0</v>
      </c>
      <c r="I28" s="50">
        <v>3</v>
      </c>
      <c r="J28" s="50">
        <v>0</v>
      </c>
      <c r="K28" s="50">
        <v>1</v>
      </c>
      <c r="L28" s="50">
        <v>0</v>
      </c>
      <c r="M28" s="50">
        <v>20</v>
      </c>
      <c r="N28" s="50">
        <v>0</v>
      </c>
      <c r="O28" s="15">
        <f t="shared" si="0"/>
        <v>10</v>
      </c>
      <c r="P28" s="15">
        <f t="shared" si="1"/>
        <v>30</v>
      </c>
      <c r="R28" s="5" t="s">
        <v>17</v>
      </c>
      <c r="S28" s="16">
        <f t="shared" ref="S28:AF28" si="20">SUM(S10:S21)</f>
        <v>91</v>
      </c>
      <c r="T28" s="16">
        <f t="shared" si="20"/>
        <v>0</v>
      </c>
      <c r="U28" s="16">
        <f t="shared" si="20"/>
        <v>107</v>
      </c>
      <c r="V28" s="16">
        <f t="shared" si="20"/>
        <v>81</v>
      </c>
      <c r="W28" s="16">
        <f t="shared" si="20"/>
        <v>4</v>
      </c>
      <c r="X28" s="16">
        <f t="shared" si="20"/>
        <v>0</v>
      </c>
      <c r="Y28" s="16">
        <f t="shared" si="20"/>
        <v>86</v>
      </c>
      <c r="Z28" s="16">
        <f t="shared" si="20"/>
        <v>4</v>
      </c>
      <c r="AA28" s="16">
        <f t="shared" si="20"/>
        <v>8</v>
      </c>
      <c r="AB28" s="16">
        <f t="shared" si="20"/>
        <v>0</v>
      </c>
      <c r="AC28" s="16">
        <f t="shared" si="20"/>
        <v>943</v>
      </c>
      <c r="AD28" s="16">
        <f t="shared" si="20"/>
        <v>1</v>
      </c>
      <c r="AE28" s="32">
        <f t="shared" si="20"/>
        <v>382</v>
      </c>
      <c r="AF28" s="32">
        <f t="shared" si="20"/>
        <v>1325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18</v>
      </c>
      <c r="N29" s="50">
        <v>0</v>
      </c>
      <c r="O29" s="15">
        <f t="shared" si="0"/>
        <v>2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3</v>
      </c>
      <c r="F30" s="50">
        <v>3</v>
      </c>
      <c r="G30" s="50">
        <v>0</v>
      </c>
      <c r="H30" s="50">
        <v>0</v>
      </c>
      <c r="I30" s="50">
        <v>1</v>
      </c>
      <c r="J30" s="50">
        <v>0</v>
      </c>
      <c r="K30" s="50">
        <v>1</v>
      </c>
      <c r="L30" s="50">
        <v>0</v>
      </c>
      <c r="M30" s="50">
        <v>20</v>
      </c>
      <c r="N30" s="50">
        <v>0</v>
      </c>
      <c r="O30" s="15">
        <f t="shared" si="0"/>
        <v>8</v>
      </c>
      <c r="P30" s="15">
        <f t="shared" si="1"/>
        <v>28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31</v>
      </c>
      <c r="N31" s="50">
        <v>0</v>
      </c>
      <c r="O31" s="15">
        <f t="shared" si="0"/>
        <v>4</v>
      </c>
      <c r="P31" s="15">
        <f t="shared" si="1"/>
        <v>35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3</v>
      </c>
      <c r="F32" s="50">
        <v>1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22</v>
      </c>
      <c r="N32" s="50">
        <v>0</v>
      </c>
      <c r="O32" s="15">
        <f t="shared" si="0"/>
        <v>6</v>
      </c>
      <c r="P32" s="15">
        <f t="shared" si="1"/>
        <v>28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0</v>
      </c>
      <c r="F33" s="50">
        <v>2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21</v>
      </c>
      <c r="N33" s="50">
        <v>0</v>
      </c>
      <c r="O33" s="15">
        <f t="shared" si="0"/>
        <v>8</v>
      </c>
      <c r="P33" s="15">
        <f t="shared" si="1"/>
        <v>29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3</v>
      </c>
      <c r="F34" s="50">
        <v>2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17</v>
      </c>
      <c r="N34" s="50">
        <v>0</v>
      </c>
      <c r="O34" s="15">
        <f t="shared" si="0"/>
        <v>8</v>
      </c>
      <c r="P34" s="15">
        <f t="shared" si="1"/>
        <v>25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2</v>
      </c>
      <c r="F35" s="50">
        <v>2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8</v>
      </c>
      <c r="P35" s="15">
        <f t="shared" si="1"/>
        <v>22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3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5</v>
      </c>
      <c r="P36" s="15">
        <f t="shared" si="1"/>
        <v>24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4</v>
      </c>
      <c r="F37" s="50">
        <v>4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17</v>
      </c>
      <c r="N37" s="50">
        <v>0</v>
      </c>
      <c r="O37" s="15">
        <f t="shared" si="0"/>
        <v>10</v>
      </c>
      <c r="P37" s="15">
        <f t="shared" si="1"/>
        <v>27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29</v>
      </c>
      <c r="N38" s="50">
        <v>0</v>
      </c>
      <c r="O38" s="15">
        <f t="shared" si="0"/>
        <v>4</v>
      </c>
      <c r="P38" s="15">
        <f t="shared" si="1"/>
        <v>33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3</v>
      </c>
      <c r="F39" s="50">
        <v>5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22</v>
      </c>
      <c r="N39" s="50">
        <v>0</v>
      </c>
      <c r="O39" s="15">
        <f t="shared" si="0"/>
        <v>10</v>
      </c>
      <c r="P39" s="15">
        <f t="shared" si="1"/>
        <v>32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23</v>
      </c>
      <c r="N40" s="50">
        <v>0</v>
      </c>
      <c r="O40" s="15">
        <f t="shared" si="0"/>
        <v>6</v>
      </c>
      <c r="P40" s="15">
        <f t="shared" si="1"/>
        <v>29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2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26</v>
      </c>
      <c r="N41" s="50">
        <v>0</v>
      </c>
      <c r="O41" s="15">
        <f t="shared" si="0"/>
        <v>6</v>
      </c>
      <c r="P41" s="15">
        <f t="shared" si="1"/>
        <v>32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3</v>
      </c>
      <c r="F42" s="50">
        <v>3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22</v>
      </c>
      <c r="N42" s="50">
        <v>0</v>
      </c>
      <c r="O42" s="15">
        <f t="shared" si="0"/>
        <v>12</v>
      </c>
      <c r="P42" s="15">
        <f t="shared" si="1"/>
        <v>34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4</v>
      </c>
      <c r="F43" s="50">
        <v>0</v>
      </c>
      <c r="G43" s="50">
        <v>0</v>
      </c>
      <c r="H43" s="50">
        <v>0</v>
      </c>
      <c r="I43" s="50">
        <v>3</v>
      </c>
      <c r="J43" s="50">
        <v>0</v>
      </c>
      <c r="K43" s="50">
        <v>1</v>
      </c>
      <c r="L43" s="50">
        <v>0</v>
      </c>
      <c r="M43" s="50">
        <v>22</v>
      </c>
      <c r="N43" s="50">
        <v>0</v>
      </c>
      <c r="O43" s="15">
        <f t="shared" si="0"/>
        <v>8</v>
      </c>
      <c r="P43" s="15">
        <f t="shared" si="1"/>
        <v>30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7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21</v>
      </c>
      <c r="N44" s="50">
        <v>0</v>
      </c>
      <c r="O44" s="15">
        <f t="shared" si="0"/>
        <v>12</v>
      </c>
      <c r="P44" s="15">
        <f t="shared" si="1"/>
        <v>33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3</v>
      </c>
      <c r="F45" s="50">
        <v>2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17</v>
      </c>
      <c r="N45" s="50">
        <v>0</v>
      </c>
      <c r="O45" s="15">
        <f t="shared" si="0"/>
        <v>12</v>
      </c>
      <c r="P45" s="15">
        <f t="shared" si="1"/>
        <v>29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4</v>
      </c>
      <c r="F46" s="50">
        <v>1</v>
      </c>
      <c r="G46" s="50">
        <v>0</v>
      </c>
      <c r="H46" s="50">
        <v>0</v>
      </c>
      <c r="I46" s="50">
        <v>3</v>
      </c>
      <c r="J46" s="50">
        <v>0</v>
      </c>
      <c r="K46" s="50">
        <v>1</v>
      </c>
      <c r="L46" s="50">
        <v>0</v>
      </c>
      <c r="M46" s="50">
        <v>24</v>
      </c>
      <c r="N46" s="50">
        <v>0</v>
      </c>
      <c r="O46" s="15">
        <f t="shared" si="0"/>
        <v>11</v>
      </c>
      <c r="P46" s="15">
        <f t="shared" si="1"/>
        <v>35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1</v>
      </c>
      <c r="F47" s="50">
        <v>2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20</v>
      </c>
      <c r="N47" s="50">
        <v>0</v>
      </c>
      <c r="O47" s="15">
        <f t="shared" si="0"/>
        <v>9</v>
      </c>
      <c r="P47" s="15">
        <f t="shared" si="1"/>
        <v>29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4</v>
      </c>
      <c r="F48" s="50">
        <v>2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18</v>
      </c>
      <c r="N48" s="50">
        <v>0</v>
      </c>
      <c r="O48" s="15">
        <f t="shared" si="0"/>
        <v>11</v>
      </c>
      <c r="P48" s="15">
        <f t="shared" si="1"/>
        <v>29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1</v>
      </c>
      <c r="F49" s="50">
        <v>5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27</v>
      </c>
      <c r="N49" s="50">
        <v>0</v>
      </c>
      <c r="O49" s="15">
        <f t="shared" si="0"/>
        <v>10</v>
      </c>
      <c r="P49" s="15">
        <f t="shared" si="1"/>
        <v>37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0</v>
      </c>
      <c r="E50" s="50">
        <v>2</v>
      </c>
      <c r="F50" s="50">
        <v>2</v>
      </c>
      <c r="G50" s="50">
        <v>1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24</v>
      </c>
      <c r="N50" s="50">
        <v>0</v>
      </c>
      <c r="O50" s="15">
        <f t="shared" si="0"/>
        <v>11</v>
      </c>
      <c r="P50" s="15">
        <f t="shared" si="1"/>
        <v>35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3</v>
      </c>
      <c r="F51" s="50">
        <v>6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22</v>
      </c>
      <c r="N51" s="50">
        <v>0</v>
      </c>
      <c r="O51" s="15">
        <f t="shared" si="0"/>
        <v>15</v>
      </c>
      <c r="P51" s="15">
        <f t="shared" si="1"/>
        <v>37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0</v>
      </c>
      <c r="E52" s="50">
        <v>9</v>
      </c>
      <c r="F52" s="50">
        <v>3</v>
      </c>
      <c r="G52" s="50">
        <v>2</v>
      </c>
      <c r="H52" s="50">
        <v>0</v>
      </c>
      <c r="I52" s="50">
        <v>3</v>
      </c>
      <c r="J52" s="50">
        <v>0</v>
      </c>
      <c r="K52" s="50">
        <v>1</v>
      </c>
      <c r="L52" s="50">
        <v>0</v>
      </c>
      <c r="M52" s="50">
        <v>27</v>
      </c>
      <c r="N52" s="50">
        <v>0</v>
      </c>
      <c r="O52" s="15">
        <f t="shared" si="0"/>
        <v>24</v>
      </c>
      <c r="P52" s="15">
        <f t="shared" si="1"/>
        <v>51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0</v>
      </c>
      <c r="E53" s="50">
        <v>5</v>
      </c>
      <c r="F53" s="50">
        <v>3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18</v>
      </c>
      <c r="N53" s="50">
        <v>0</v>
      </c>
      <c r="O53" s="15">
        <f t="shared" si="0"/>
        <v>17</v>
      </c>
      <c r="P53" s="15">
        <f t="shared" si="1"/>
        <v>35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6</v>
      </c>
      <c r="F54" s="50">
        <v>2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29</v>
      </c>
      <c r="N54" s="50">
        <v>0</v>
      </c>
      <c r="O54" s="15">
        <f t="shared" si="0"/>
        <v>12</v>
      </c>
      <c r="P54" s="15">
        <f t="shared" si="1"/>
        <v>41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5</v>
      </c>
      <c r="F55" s="50">
        <v>2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19</v>
      </c>
      <c r="N55" s="50">
        <v>0</v>
      </c>
      <c r="O55" s="15">
        <f t="shared" si="0"/>
        <v>13</v>
      </c>
      <c r="P55" s="15">
        <f t="shared" si="1"/>
        <v>32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5</v>
      </c>
      <c r="F56" s="50">
        <v>2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v>0</v>
      </c>
      <c r="M56" s="50">
        <v>18</v>
      </c>
      <c r="N56" s="50">
        <v>1</v>
      </c>
      <c r="O56" s="15">
        <f t="shared" si="0"/>
        <v>11</v>
      </c>
      <c r="P56" s="15">
        <f t="shared" si="1"/>
        <v>29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2</v>
      </c>
      <c r="F57" s="50">
        <v>0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27</v>
      </c>
      <c r="N57" s="50">
        <v>0</v>
      </c>
      <c r="O57" s="15">
        <f t="shared" si="0"/>
        <v>8</v>
      </c>
      <c r="P57" s="15">
        <f t="shared" si="1"/>
        <v>35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91</v>
      </c>
      <c r="D58" s="16">
        <f t="shared" si="21"/>
        <v>0</v>
      </c>
      <c r="E58" s="16">
        <f t="shared" si="21"/>
        <v>107</v>
      </c>
      <c r="F58" s="16">
        <f t="shared" si="21"/>
        <v>81</v>
      </c>
      <c r="G58" s="16">
        <f t="shared" si="21"/>
        <v>4</v>
      </c>
      <c r="H58" s="16">
        <f t="shared" si="21"/>
        <v>0</v>
      </c>
      <c r="I58" s="16">
        <f t="shared" si="21"/>
        <v>86</v>
      </c>
      <c r="J58" s="16">
        <f t="shared" si="21"/>
        <v>4</v>
      </c>
      <c r="K58" s="16">
        <f t="shared" si="21"/>
        <v>8</v>
      </c>
      <c r="L58" s="16">
        <f t="shared" si="21"/>
        <v>0</v>
      </c>
      <c r="M58" s="16">
        <f t="shared" si="21"/>
        <v>943</v>
      </c>
      <c r="N58" s="16">
        <f t="shared" si="21"/>
        <v>1</v>
      </c>
      <c r="O58" s="16">
        <f t="shared" si="21"/>
        <v>382</v>
      </c>
      <c r="P58" s="16">
        <f t="shared" si="21"/>
        <v>1325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6.8679245283018872E-2</v>
      </c>
      <c r="D59" s="43">
        <f t="shared" si="22"/>
        <v>0</v>
      </c>
      <c r="E59" s="43">
        <f t="shared" si="22"/>
        <v>8.0754716981132069E-2</v>
      </c>
      <c r="F59" s="43">
        <f t="shared" si="22"/>
        <v>6.1132075471698112E-2</v>
      </c>
      <c r="G59" s="43">
        <f t="shared" si="22"/>
        <v>3.0188679245283017E-3</v>
      </c>
      <c r="H59" s="43">
        <f t="shared" si="22"/>
        <v>0</v>
      </c>
      <c r="I59" s="43">
        <f t="shared" si="22"/>
        <v>6.4905660377358496E-2</v>
      </c>
      <c r="J59" s="43">
        <f t="shared" si="22"/>
        <v>3.0188679245283017E-3</v>
      </c>
      <c r="K59" s="43">
        <f t="shared" si="22"/>
        <v>6.0377358490566035E-3</v>
      </c>
      <c r="L59" s="43">
        <f t="shared" si="22"/>
        <v>0</v>
      </c>
      <c r="M59" s="43">
        <f t="shared" si="22"/>
        <v>0.71169811320754717</v>
      </c>
      <c r="N59" s="43">
        <f t="shared" si="22"/>
        <v>7.5471698113207543E-4</v>
      </c>
      <c r="R59" s="8"/>
      <c r="T59"/>
    </row>
    <row r="60" spans="2:20" ht="23.1" customHeight="1" x14ac:dyDescent="0.25">
      <c r="B60" s="42" t="s">
        <v>94</v>
      </c>
      <c r="C60" s="44">
        <f>C58/$O$58</f>
        <v>0.23821989528795812</v>
      </c>
      <c r="D60" s="44">
        <f t="shared" ref="D60:N60" si="23">D58/$O$58</f>
        <v>0</v>
      </c>
      <c r="E60" s="44">
        <f t="shared" si="23"/>
        <v>0.28010471204188481</v>
      </c>
      <c r="F60" s="44">
        <f t="shared" si="23"/>
        <v>0.21204188481675393</v>
      </c>
      <c r="G60" s="44">
        <f t="shared" si="23"/>
        <v>1.0471204188481676E-2</v>
      </c>
      <c r="H60" s="44">
        <f t="shared" si="23"/>
        <v>0</v>
      </c>
      <c r="I60" s="44">
        <f t="shared" si="23"/>
        <v>0.22513089005235601</v>
      </c>
      <c r="J60" s="44">
        <f t="shared" si="23"/>
        <v>1.0471204188481676E-2</v>
      </c>
      <c r="K60" s="44">
        <f t="shared" si="23"/>
        <v>2.0942408376963352E-2</v>
      </c>
      <c r="L60" s="44">
        <f t="shared" si="23"/>
        <v>0</v>
      </c>
      <c r="M60" s="44"/>
      <c r="N60" s="44">
        <f t="shared" si="23"/>
        <v>2.617801047120419E-3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S7" sqref="S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Kampala-Bukaya'!C3:G3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3" t="str">
        <f>'19.08 Kampala-Bukaya'!G5:H5</f>
        <v>Nyenga</v>
      </c>
      <c r="H5" s="64"/>
      <c r="I5" s="14"/>
      <c r="J5" s="2" t="s">
        <v>5</v>
      </c>
      <c r="K5" s="63" t="str">
        <f>'19.08 Kampala-Bukaya'!K5:L5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Kampala-Bukaya'!D6:E6</f>
        <v>Kampala</v>
      </c>
      <c r="E6" s="64"/>
      <c r="F6" s="2" t="s">
        <v>2</v>
      </c>
      <c r="G6" s="63" t="str">
        <f>'19.08 Kampala-Bukaya'!G6:H6</f>
        <v>Bukaya</v>
      </c>
      <c r="H6" s="64"/>
      <c r="J6" s="2" t="s">
        <v>21</v>
      </c>
      <c r="K6" s="63" t="str">
        <f>'19.08 Kampala-Bukaya'!K6:L6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12</v>
      </c>
      <c r="R10" s="1" t="s">
        <v>6</v>
      </c>
      <c r="S10" s="17">
        <f t="shared" ref="S10:AF10" si="2">SUM(C10:C13)</f>
        <v>8</v>
      </c>
      <c r="T10" s="17">
        <f t="shared" si="2"/>
        <v>0</v>
      </c>
      <c r="U10" s="17">
        <f t="shared" si="2"/>
        <v>7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44</v>
      </c>
      <c r="AD10" s="17">
        <f t="shared" si="2"/>
        <v>0</v>
      </c>
      <c r="AE10" s="31">
        <f t="shared" si="2"/>
        <v>20</v>
      </c>
      <c r="AF10" s="31">
        <f t="shared" si="2"/>
        <v>64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6</v>
      </c>
      <c r="P11" s="15">
        <f t="shared" si="1"/>
        <v>12</v>
      </c>
      <c r="R11" s="1" t="s">
        <v>7</v>
      </c>
      <c r="S11" s="17">
        <f t="shared" ref="S11:AF11" si="3">SUM(C14:C17)</f>
        <v>10</v>
      </c>
      <c r="T11" s="17">
        <f t="shared" si="3"/>
        <v>0</v>
      </c>
      <c r="U11" s="17">
        <f t="shared" si="3"/>
        <v>5</v>
      </c>
      <c r="V11" s="17">
        <f t="shared" si="3"/>
        <v>3</v>
      </c>
      <c r="W11" s="17">
        <f t="shared" si="3"/>
        <v>2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67</v>
      </c>
      <c r="AD11" s="17">
        <f t="shared" si="3"/>
        <v>0</v>
      </c>
      <c r="AE11" s="31">
        <f t="shared" si="3"/>
        <v>25</v>
      </c>
      <c r="AF11" s="31">
        <f t="shared" si="3"/>
        <v>92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3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14</v>
      </c>
      <c r="N12" s="50">
        <v>0</v>
      </c>
      <c r="O12" s="15">
        <f t="shared" si="0"/>
        <v>6</v>
      </c>
      <c r="P12" s="15">
        <f t="shared" si="1"/>
        <v>20</v>
      </c>
      <c r="R12" s="1" t="s">
        <v>8</v>
      </c>
      <c r="S12" s="17">
        <f t="shared" ref="S12:AF12" si="4">SUM(C18:C21)</f>
        <v>14</v>
      </c>
      <c r="T12" s="17">
        <f t="shared" si="4"/>
        <v>0</v>
      </c>
      <c r="U12" s="17">
        <f t="shared" si="4"/>
        <v>14</v>
      </c>
      <c r="V12" s="17">
        <f t="shared" si="4"/>
        <v>6</v>
      </c>
      <c r="W12" s="17">
        <f t="shared" si="4"/>
        <v>2</v>
      </c>
      <c r="X12" s="17">
        <f t="shared" si="4"/>
        <v>0</v>
      </c>
      <c r="Y12" s="17">
        <f t="shared" si="4"/>
        <v>7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51</v>
      </c>
      <c r="AD12" s="17">
        <f t="shared" si="4"/>
        <v>0</v>
      </c>
      <c r="AE12" s="31">
        <f t="shared" si="4"/>
        <v>43</v>
      </c>
      <c r="AF12" s="31">
        <f t="shared" si="4"/>
        <v>94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16</v>
      </c>
      <c r="N13" s="50">
        <v>0</v>
      </c>
      <c r="O13" s="15">
        <f t="shared" si="0"/>
        <v>4</v>
      </c>
      <c r="P13" s="15">
        <f t="shared" si="1"/>
        <v>20</v>
      </c>
      <c r="R13" s="1" t="s">
        <v>9</v>
      </c>
      <c r="S13" s="17">
        <f t="shared" ref="S13:AF13" si="5">SUM(C22:C25)</f>
        <v>7</v>
      </c>
      <c r="T13" s="17">
        <f t="shared" si="5"/>
        <v>0</v>
      </c>
      <c r="U13" s="17">
        <f t="shared" si="5"/>
        <v>7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1</v>
      </c>
      <c r="AA13" s="17">
        <f t="shared" si="5"/>
        <v>2</v>
      </c>
      <c r="AB13" s="17">
        <f t="shared" si="5"/>
        <v>0</v>
      </c>
      <c r="AC13" s="17">
        <f t="shared" si="5"/>
        <v>70</v>
      </c>
      <c r="AD13" s="17">
        <f t="shared" si="5"/>
        <v>0</v>
      </c>
      <c r="AE13" s="31">
        <f t="shared" si="5"/>
        <v>30</v>
      </c>
      <c r="AF13" s="31">
        <f t="shared" si="5"/>
        <v>100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11</v>
      </c>
      <c r="N14" s="50">
        <v>0</v>
      </c>
      <c r="O14" s="15">
        <f t="shared" si="0"/>
        <v>7</v>
      </c>
      <c r="P14" s="15">
        <f t="shared" si="1"/>
        <v>18</v>
      </c>
      <c r="R14" s="1" t="s">
        <v>10</v>
      </c>
      <c r="S14" s="17">
        <f t="shared" ref="S14:AF14" si="6">SUM(C26:C29)</f>
        <v>7</v>
      </c>
      <c r="T14" s="17">
        <f t="shared" si="6"/>
        <v>0</v>
      </c>
      <c r="U14" s="17">
        <f t="shared" si="6"/>
        <v>8</v>
      </c>
      <c r="V14" s="17">
        <f t="shared" si="6"/>
        <v>2</v>
      </c>
      <c r="W14" s="17">
        <f t="shared" si="6"/>
        <v>1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71</v>
      </c>
      <c r="AD14" s="17">
        <f t="shared" si="6"/>
        <v>0</v>
      </c>
      <c r="AE14" s="31">
        <f t="shared" si="6"/>
        <v>24</v>
      </c>
      <c r="AF14" s="31">
        <f t="shared" si="6"/>
        <v>95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5</v>
      </c>
      <c r="P15" s="15">
        <f t="shared" si="1"/>
        <v>17</v>
      </c>
      <c r="R15" s="1" t="s">
        <v>11</v>
      </c>
      <c r="S15" s="17">
        <f t="shared" ref="S15:AF15" si="7">SUM(C30:C33)</f>
        <v>9</v>
      </c>
      <c r="T15" s="17">
        <f t="shared" si="7"/>
        <v>0</v>
      </c>
      <c r="U15" s="17">
        <f t="shared" si="7"/>
        <v>7</v>
      </c>
      <c r="V15" s="17">
        <f t="shared" si="7"/>
        <v>13</v>
      </c>
      <c r="W15" s="17">
        <f t="shared" si="7"/>
        <v>2</v>
      </c>
      <c r="X15" s="17">
        <f t="shared" si="7"/>
        <v>0</v>
      </c>
      <c r="Y15" s="17">
        <f t="shared" si="7"/>
        <v>7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79</v>
      </c>
      <c r="AD15" s="17">
        <f t="shared" si="7"/>
        <v>0</v>
      </c>
      <c r="AE15" s="31">
        <f t="shared" si="7"/>
        <v>38</v>
      </c>
      <c r="AF15" s="31">
        <f t="shared" si="7"/>
        <v>117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2</v>
      </c>
      <c r="F16" s="50">
        <v>1</v>
      </c>
      <c r="G16" s="50">
        <v>2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18</v>
      </c>
      <c r="N16" s="50">
        <v>0</v>
      </c>
      <c r="O16" s="15">
        <f t="shared" si="0"/>
        <v>6</v>
      </c>
      <c r="P16" s="15">
        <f t="shared" si="1"/>
        <v>24</v>
      </c>
      <c r="R16" s="1" t="s">
        <v>12</v>
      </c>
      <c r="S16" s="17">
        <f t="shared" ref="S16:AF16" si="8">SUM(C34:C37)</f>
        <v>15</v>
      </c>
      <c r="T16" s="17">
        <f t="shared" si="8"/>
        <v>0</v>
      </c>
      <c r="U16" s="17">
        <f t="shared" si="8"/>
        <v>14</v>
      </c>
      <c r="V16" s="17">
        <f t="shared" si="8"/>
        <v>8</v>
      </c>
      <c r="W16" s="17">
        <f t="shared" si="8"/>
        <v>1</v>
      </c>
      <c r="X16" s="17">
        <f t="shared" si="8"/>
        <v>0</v>
      </c>
      <c r="Y16" s="17">
        <f t="shared" si="8"/>
        <v>10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84</v>
      </c>
      <c r="AD16" s="17">
        <f t="shared" si="8"/>
        <v>0</v>
      </c>
      <c r="AE16" s="31">
        <f t="shared" si="8"/>
        <v>49</v>
      </c>
      <c r="AF16" s="31">
        <f t="shared" si="8"/>
        <v>133</v>
      </c>
    </row>
    <row r="17" spans="2:32" ht="23.1" customHeight="1" x14ac:dyDescent="0.25">
      <c r="B17" s="23" t="s">
        <v>44</v>
      </c>
      <c r="C17" s="50">
        <v>5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26</v>
      </c>
      <c r="N17" s="50">
        <v>0</v>
      </c>
      <c r="O17" s="15">
        <f t="shared" si="0"/>
        <v>7</v>
      </c>
      <c r="P17" s="15">
        <f t="shared" si="1"/>
        <v>33</v>
      </c>
      <c r="R17" s="1" t="s">
        <v>13</v>
      </c>
      <c r="S17" s="17">
        <f t="shared" ref="S17:AF17" si="9">SUM(C38:C41)</f>
        <v>11</v>
      </c>
      <c r="T17" s="17">
        <f t="shared" si="9"/>
        <v>0</v>
      </c>
      <c r="U17" s="17">
        <f t="shared" si="9"/>
        <v>9</v>
      </c>
      <c r="V17" s="17">
        <f t="shared" si="9"/>
        <v>7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71</v>
      </c>
      <c r="AD17" s="17">
        <f t="shared" si="9"/>
        <v>0</v>
      </c>
      <c r="AE17" s="31">
        <f t="shared" si="9"/>
        <v>37</v>
      </c>
      <c r="AF17" s="31">
        <f t="shared" si="9"/>
        <v>108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2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13</v>
      </c>
      <c r="N18" s="50">
        <v>0</v>
      </c>
      <c r="O18" s="15">
        <f t="shared" si="0"/>
        <v>7</v>
      </c>
      <c r="P18" s="15">
        <f t="shared" si="1"/>
        <v>20</v>
      </c>
      <c r="R18" s="1" t="s">
        <v>14</v>
      </c>
      <c r="S18" s="17">
        <f t="shared" ref="S18:AF18" si="10">SUM(C42:C45)</f>
        <v>10</v>
      </c>
      <c r="T18" s="17">
        <f t="shared" si="10"/>
        <v>0</v>
      </c>
      <c r="U18" s="17">
        <f t="shared" si="10"/>
        <v>7</v>
      </c>
      <c r="V18" s="17">
        <f t="shared" si="10"/>
        <v>10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55</v>
      </c>
      <c r="AD18" s="17">
        <f t="shared" si="10"/>
        <v>0</v>
      </c>
      <c r="AE18" s="31">
        <f t="shared" si="10"/>
        <v>37</v>
      </c>
      <c r="AF18" s="31">
        <f t="shared" si="10"/>
        <v>92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4</v>
      </c>
      <c r="F19" s="50">
        <v>3</v>
      </c>
      <c r="G19" s="50">
        <v>1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14</v>
      </c>
      <c r="P19" s="15">
        <f t="shared" si="1"/>
        <v>28</v>
      </c>
      <c r="R19" s="1" t="s">
        <v>15</v>
      </c>
      <c r="S19" s="17">
        <f t="shared" ref="S19:AF19" si="11">SUM(C46:C49)</f>
        <v>11</v>
      </c>
      <c r="T19" s="17">
        <f t="shared" si="11"/>
        <v>0</v>
      </c>
      <c r="U19" s="17">
        <f t="shared" si="11"/>
        <v>7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13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98</v>
      </c>
      <c r="AD19" s="17">
        <f t="shared" si="11"/>
        <v>0</v>
      </c>
      <c r="AE19" s="31">
        <f t="shared" si="11"/>
        <v>40</v>
      </c>
      <c r="AF19" s="31">
        <f t="shared" si="11"/>
        <v>138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4</v>
      </c>
      <c r="F20" s="50">
        <v>0</v>
      </c>
      <c r="G20" s="50">
        <v>1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11</v>
      </c>
      <c r="P20" s="15">
        <f t="shared" si="1"/>
        <v>19</v>
      </c>
      <c r="R20" s="1" t="s">
        <v>16</v>
      </c>
      <c r="S20" s="17">
        <f t="shared" ref="S20:AF20" si="12">SUM(C50:C53)</f>
        <v>8</v>
      </c>
      <c r="T20" s="17">
        <f t="shared" si="12"/>
        <v>0</v>
      </c>
      <c r="U20" s="17">
        <f t="shared" si="12"/>
        <v>4</v>
      </c>
      <c r="V20" s="17">
        <f t="shared" si="12"/>
        <v>10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63</v>
      </c>
      <c r="AD20" s="17">
        <f t="shared" si="12"/>
        <v>0</v>
      </c>
      <c r="AE20" s="31">
        <f t="shared" si="12"/>
        <v>23</v>
      </c>
      <c r="AF20" s="31">
        <f t="shared" si="12"/>
        <v>86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4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11</v>
      </c>
      <c r="P21" s="15">
        <f t="shared" si="1"/>
        <v>27</v>
      </c>
      <c r="R21" s="36" t="s">
        <v>20</v>
      </c>
      <c r="S21" s="34">
        <f t="shared" ref="S21:AF21" si="13">SUM(C54:C57)</f>
        <v>6</v>
      </c>
      <c r="T21" s="17">
        <f t="shared" si="13"/>
        <v>0</v>
      </c>
      <c r="U21" s="17">
        <f t="shared" si="13"/>
        <v>2</v>
      </c>
      <c r="V21" s="17">
        <f t="shared" si="13"/>
        <v>9</v>
      </c>
      <c r="W21" s="17">
        <f t="shared" si="13"/>
        <v>0</v>
      </c>
      <c r="X21" s="17">
        <f t="shared" si="13"/>
        <v>1</v>
      </c>
      <c r="Y21" s="17">
        <f t="shared" si="13"/>
        <v>7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73</v>
      </c>
      <c r="AD21" s="17">
        <f t="shared" si="13"/>
        <v>0</v>
      </c>
      <c r="AE21" s="31">
        <f t="shared" si="13"/>
        <v>25</v>
      </c>
      <c r="AF21" s="31">
        <f t="shared" si="13"/>
        <v>98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1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16</v>
      </c>
      <c r="N22" s="50">
        <v>0</v>
      </c>
      <c r="O22" s="15">
        <f t="shared" si="0"/>
        <v>7</v>
      </c>
      <c r="P22" s="15">
        <f t="shared" si="1"/>
        <v>23</v>
      </c>
      <c r="R22" s="38" t="s">
        <v>90</v>
      </c>
      <c r="S22" s="39">
        <f>MAX(S10:S12)</f>
        <v>14</v>
      </c>
      <c r="T22" s="39">
        <f t="shared" ref="T22:AF22" si="14">MAX(T10:T12)</f>
        <v>0</v>
      </c>
      <c r="U22" s="39">
        <f t="shared" si="14"/>
        <v>14</v>
      </c>
      <c r="V22" s="39">
        <f t="shared" si="14"/>
        <v>6</v>
      </c>
      <c r="W22" s="39">
        <f t="shared" si="14"/>
        <v>2</v>
      </c>
      <c r="X22" s="39">
        <f t="shared" si="14"/>
        <v>0</v>
      </c>
      <c r="Y22" s="39">
        <f t="shared" si="14"/>
        <v>7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67</v>
      </c>
      <c r="AD22" s="39">
        <f t="shared" si="14"/>
        <v>0</v>
      </c>
      <c r="AE22" s="40">
        <f t="shared" si="14"/>
        <v>43</v>
      </c>
      <c r="AF22" s="40">
        <f t="shared" si="14"/>
        <v>94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17</v>
      </c>
      <c r="N23" s="50">
        <v>0</v>
      </c>
      <c r="O23" s="15">
        <f t="shared" si="0"/>
        <v>4</v>
      </c>
      <c r="P23" s="15">
        <f t="shared" si="1"/>
        <v>21</v>
      </c>
      <c r="R23" s="38" t="s">
        <v>91</v>
      </c>
      <c r="S23" s="39">
        <f>MAX(S13:S18)</f>
        <v>15</v>
      </c>
      <c r="T23" s="39">
        <f t="shared" ref="T23:AF23" si="15">MAX(T13:T18)</f>
        <v>0</v>
      </c>
      <c r="U23" s="39">
        <f t="shared" si="15"/>
        <v>14</v>
      </c>
      <c r="V23" s="39">
        <f t="shared" si="15"/>
        <v>13</v>
      </c>
      <c r="W23" s="39">
        <f t="shared" si="15"/>
        <v>2</v>
      </c>
      <c r="X23" s="39">
        <f t="shared" si="15"/>
        <v>0</v>
      </c>
      <c r="Y23" s="39">
        <f t="shared" si="15"/>
        <v>10</v>
      </c>
      <c r="Z23" s="39">
        <f t="shared" si="15"/>
        <v>1</v>
      </c>
      <c r="AA23" s="39">
        <f t="shared" si="15"/>
        <v>2</v>
      </c>
      <c r="AB23" s="39">
        <f t="shared" si="15"/>
        <v>0</v>
      </c>
      <c r="AC23" s="39">
        <f t="shared" si="15"/>
        <v>84</v>
      </c>
      <c r="AD23" s="39">
        <f t="shared" si="15"/>
        <v>0</v>
      </c>
      <c r="AE23" s="40">
        <f t="shared" si="15"/>
        <v>49</v>
      </c>
      <c r="AF23" s="40">
        <f t="shared" si="15"/>
        <v>133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3</v>
      </c>
      <c r="F24" s="50">
        <v>1</v>
      </c>
      <c r="G24" s="50">
        <v>0</v>
      </c>
      <c r="H24" s="50">
        <v>0</v>
      </c>
      <c r="I24" s="50">
        <v>2</v>
      </c>
      <c r="J24" s="50">
        <v>1</v>
      </c>
      <c r="K24" s="50">
        <v>1</v>
      </c>
      <c r="L24" s="50">
        <v>0</v>
      </c>
      <c r="M24" s="50">
        <v>18</v>
      </c>
      <c r="N24" s="50">
        <v>0</v>
      </c>
      <c r="O24" s="15">
        <f t="shared" si="0"/>
        <v>10</v>
      </c>
      <c r="P24" s="15">
        <f t="shared" si="1"/>
        <v>28</v>
      </c>
      <c r="R24" s="38" t="s">
        <v>92</v>
      </c>
      <c r="S24" s="39">
        <f>MAX(S19:S21)</f>
        <v>11</v>
      </c>
      <c r="T24" s="39">
        <f t="shared" ref="T24:AF24" si="16">MAX(T19:T21)</f>
        <v>0</v>
      </c>
      <c r="U24" s="39">
        <f t="shared" si="16"/>
        <v>7</v>
      </c>
      <c r="V24" s="39">
        <f t="shared" si="16"/>
        <v>10</v>
      </c>
      <c r="W24" s="39">
        <f t="shared" si="16"/>
        <v>0</v>
      </c>
      <c r="X24" s="39">
        <f t="shared" si="16"/>
        <v>1</v>
      </c>
      <c r="Y24" s="39">
        <f t="shared" si="16"/>
        <v>13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98</v>
      </c>
      <c r="AD24" s="39">
        <f t="shared" si="16"/>
        <v>0</v>
      </c>
      <c r="AE24" s="40">
        <f t="shared" si="16"/>
        <v>40</v>
      </c>
      <c r="AF24" s="40">
        <f t="shared" si="16"/>
        <v>138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3</v>
      </c>
      <c r="F25" s="50">
        <v>3</v>
      </c>
      <c r="G25" s="50">
        <v>0</v>
      </c>
      <c r="H25" s="50">
        <v>0</v>
      </c>
      <c r="I25" s="50">
        <v>2</v>
      </c>
      <c r="J25" s="50">
        <v>0</v>
      </c>
      <c r="K25" s="50">
        <v>1</v>
      </c>
      <c r="L25" s="50">
        <v>0</v>
      </c>
      <c r="M25" s="50">
        <v>19</v>
      </c>
      <c r="N25" s="50">
        <v>0</v>
      </c>
      <c r="O25" s="15">
        <f t="shared" si="0"/>
        <v>9</v>
      </c>
      <c r="P25" s="15">
        <f t="shared" si="1"/>
        <v>28</v>
      </c>
      <c r="R25" s="37" t="s">
        <v>85</v>
      </c>
      <c r="S25" s="35">
        <f t="shared" ref="S25:AF25" si="17">SUM(S10:S12)</f>
        <v>32</v>
      </c>
      <c r="T25" s="16">
        <f t="shared" si="17"/>
        <v>0</v>
      </c>
      <c r="U25" s="16">
        <f t="shared" si="17"/>
        <v>26</v>
      </c>
      <c r="V25" s="16">
        <f t="shared" si="17"/>
        <v>10</v>
      </c>
      <c r="W25" s="16">
        <f t="shared" si="17"/>
        <v>4</v>
      </c>
      <c r="X25" s="16">
        <f t="shared" si="17"/>
        <v>0</v>
      </c>
      <c r="Y25" s="16">
        <f t="shared" si="17"/>
        <v>16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162</v>
      </c>
      <c r="AD25" s="16">
        <f t="shared" si="17"/>
        <v>0</v>
      </c>
      <c r="AE25" s="32">
        <f t="shared" si="17"/>
        <v>88</v>
      </c>
      <c r="AF25" s="32">
        <f t="shared" si="17"/>
        <v>250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2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6</v>
      </c>
      <c r="P26" s="15">
        <f t="shared" si="1"/>
        <v>21</v>
      </c>
      <c r="R26" s="28" t="s">
        <v>86</v>
      </c>
      <c r="S26" s="16">
        <f t="shared" ref="S26:AF26" si="18">SUM(S13:S18)</f>
        <v>59</v>
      </c>
      <c r="T26" s="16">
        <f t="shared" si="18"/>
        <v>0</v>
      </c>
      <c r="U26" s="16">
        <f t="shared" si="18"/>
        <v>52</v>
      </c>
      <c r="V26" s="16">
        <f t="shared" si="18"/>
        <v>47</v>
      </c>
      <c r="W26" s="16">
        <f t="shared" si="18"/>
        <v>4</v>
      </c>
      <c r="X26" s="16">
        <f t="shared" si="18"/>
        <v>0</v>
      </c>
      <c r="Y26" s="16">
        <f t="shared" si="18"/>
        <v>47</v>
      </c>
      <c r="Z26" s="16">
        <f t="shared" si="18"/>
        <v>2</v>
      </c>
      <c r="AA26" s="16">
        <f t="shared" si="18"/>
        <v>4</v>
      </c>
      <c r="AB26" s="16">
        <f t="shared" si="18"/>
        <v>0</v>
      </c>
      <c r="AC26" s="16">
        <f t="shared" si="18"/>
        <v>430</v>
      </c>
      <c r="AD26" s="16">
        <f t="shared" si="18"/>
        <v>0</v>
      </c>
      <c r="AE26" s="32">
        <f t="shared" si="18"/>
        <v>215</v>
      </c>
      <c r="AF26" s="32">
        <f t="shared" si="18"/>
        <v>645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3</v>
      </c>
      <c r="F27" s="50">
        <v>1</v>
      </c>
      <c r="G27" s="50">
        <v>1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8</v>
      </c>
      <c r="P27" s="15">
        <f t="shared" si="1"/>
        <v>26</v>
      </c>
      <c r="R27" s="29" t="s">
        <v>87</v>
      </c>
      <c r="S27" s="16">
        <f t="shared" ref="S27:AF27" si="19">SUM(S19:S21)</f>
        <v>25</v>
      </c>
      <c r="T27" s="16">
        <f t="shared" si="19"/>
        <v>0</v>
      </c>
      <c r="U27" s="16">
        <f t="shared" si="19"/>
        <v>13</v>
      </c>
      <c r="V27" s="16">
        <f t="shared" si="19"/>
        <v>26</v>
      </c>
      <c r="W27" s="16">
        <f t="shared" si="19"/>
        <v>0</v>
      </c>
      <c r="X27" s="16">
        <f t="shared" si="19"/>
        <v>1</v>
      </c>
      <c r="Y27" s="16">
        <f t="shared" si="19"/>
        <v>21</v>
      </c>
      <c r="Z27" s="16">
        <f t="shared" si="19"/>
        <v>1</v>
      </c>
      <c r="AA27" s="16">
        <f t="shared" si="19"/>
        <v>1</v>
      </c>
      <c r="AB27" s="16">
        <f t="shared" si="19"/>
        <v>0</v>
      </c>
      <c r="AC27" s="16">
        <f t="shared" si="19"/>
        <v>234</v>
      </c>
      <c r="AD27" s="16">
        <f t="shared" si="19"/>
        <v>0</v>
      </c>
      <c r="AE27" s="32">
        <f t="shared" si="19"/>
        <v>88</v>
      </c>
      <c r="AF27" s="32">
        <f t="shared" si="19"/>
        <v>322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15</v>
      </c>
      <c r="N28" s="50">
        <v>0</v>
      </c>
      <c r="O28" s="15">
        <f t="shared" si="0"/>
        <v>6</v>
      </c>
      <c r="P28" s="15">
        <f t="shared" si="1"/>
        <v>21</v>
      </c>
      <c r="R28" s="5" t="s">
        <v>17</v>
      </c>
      <c r="S28" s="16">
        <f t="shared" ref="S28:AF28" si="20">SUM(S10:S21)</f>
        <v>116</v>
      </c>
      <c r="T28" s="16">
        <f t="shared" si="20"/>
        <v>0</v>
      </c>
      <c r="U28" s="16">
        <f t="shared" si="20"/>
        <v>91</v>
      </c>
      <c r="V28" s="16">
        <f t="shared" si="20"/>
        <v>83</v>
      </c>
      <c r="W28" s="16">
        <f t="shared" si="20"/>
        <v>8</v>
      </c>
      <c r="X28" s="16">
        <f t="shared" si="20"/>
        <v>1</v>
      </c>
      <c r="Y28" s="16">
        <f t="shared" si="20"/>
        <v>84</v>
      </c>
      <c r="Z28" s="16">
        <f t="shared" si="20"/>
        <v>3</v>
      </c>
      <c r="AA28" s="16">
        <f t="shared" si="20"/>
        <v>5</v>
      </c>
      <c r="AB28" s="16">
        <f t="shared" si="20"/>
        <v>0</v>
      </c>
      <c r="AC28" s="16">
        <f t="shared" si="20"/>
        <v>826</v>
      </c>
      <c r="AD28" s="16">
        <f t="shared" si="20"/>
        <v>0</v>
      </c>
      <c r="AE28" s="32">
        <f t="shared" si="20"/>
        <v>391</v>
      </c>
      <c r="AF28" s="32">
        <f t="shared" si="20"/>
        <v>1217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23</v>
      </c>
      <c r="N29" s="50">
        <v>0</v>
      </c>
      <c r="O29" s="15">
        <f t="shared" si="0"/>
        <v>4</v>
      </c>
      <c r="P29" s="15">
        <f t="shared" si="1"/>
        <v>27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5</v>
      </c>
      <c r="G30" s="50">
        <v>2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17</v>
      </c>
      <c r="N30" s="50">
        <v>0</v>
      </c>
      <c r="O30" s="15">
        <f t="shared" si="0"/>
        <v>11</v>
      </c>
      <c r="P30" s="15">
        <f t="shared" si="1"/>
        <v>28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5</v>
      </c>
      <c r="F31" s="50">
        <v>2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23</v>
      </c>
      <c r="N31" s="50">
        <v>0</v>
      </c>
      <c r="O31" s="15">
        <f t="shared" si="0"/>
        <v>13</v>
      </c>
      <c r="P31" s="15">
        <f t="shared" si="1"/>
        <v>36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4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19</v>
      </c>
      <c r="N32" s="50">
        <v>0</v>
      </c>
      <c r="O32" s="15">
        <f t="shared" si="0"/>
        <v>8</v>
      </c>
      <c r="P32" s="15">
        <f t="shared" si="1"/>
        <v>27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2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20</v>
      </c>
      <c r="N33" s="50">
        <v>0</v>
      </c>
      <c r="O33" s="15">
        <f t="shared" si="0"/>
        <v>6</v>
      </c>
      <c r="P33" s="15">
        <f t="shared" si="1"/>
        <v>26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4</v>
      </c>
      <c r="F34" s="50">
        <v>2</v>
      </c>
      <c r="G34" s="50">
        <v>1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10</v>
      </c>
      <c r="P34" s="15">
        <f t="shared" si="1"/>
        <v>24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6</v>
      </c>
      <c r="F35" s="50">
        <v>3</v>
      </c>
      <c r="G35" s="50">
        <v>0</v>
      </c>
      <c r="H35" s="50">
        <v>0</v>
      </c>
      <c r="I35" s="50">
        <v>5</v>
      </c>
      <c r="J35" s="50">
        <v>0</v>
      </c>
      <c r="K35" s="50">
        <v>1</v>
      </c>
      <c r="L35" s="50">
        <v>0</v>
      </c>
      <c r="M35" s="50">
        <v>28</v>
      </c>
      <c r="N35" s="50">
        <v>0</v>
      </c>
      <c r="O35" s="15">
        <f t="shared" si="0"/>
        <v>19</v>
      </c>
      <c r="P35" s="15">
        <f t="shared" si="1"/>
        <v>47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25</v>
      </c>
      <c r="N36" s="50">
        <v>0</v>
      </c>
      <c r="O36" s="15">
        <f t="shared" si="0"/>
        <v>6</v>
      </c>
      <c r="P36" s="15">
        <f t="shared" si="1"/>
        <v>31</v>
      </c>
    </row>
    <row r="37" spans="2:20" ht="23.1" customHeight="1" x14ac:dyDescent="0.25">
      <c r="B37" s="23" t="s">
        <v>64</v>
      </c>
      <c r="C37" s="50">
        <v>6</v>
      </c>
      <c r="D37" s="50">
        <v>0</v>
      </c>
      <c r="E37" s="50">
        <v>4</v>
      </c>
      <c r="F37" s="50">
        <v>1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17</v>
      </c>
      <c r="N37" s="50">
        <v>0</v>
      </c>
      <c r="O37" s="15">
        <f t="shared" si="0"/>
        <v>14</v>
      </c>
      <c r="P37" s="15">
        <f t="shared" si="1"/>
        <v>31</v>
      </c>
    </row>
    <row r="38" spans="2:20" ht="23.1" customHeight="1" x14ac:dyDescent="0.25">
      <c r="B38" s="24" t="s">
        <v>65</v>
      </c>
      <c r="C38" s="50">
        <v>3</v>
      </c>
      <c r="D38" s="50">
        <v>0</v>
      </c>
      <c r="E38" s="50">
        <v>3</v>
      </c>
      <c r="F38" s="50">
        <v>3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11</v>
      </c>
      <c r="P38" s="15">
        <f t="shared" si="1"/>
        <v>23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3</v>
      </c>
      <c r="F39" s="50">
        <v>3</v>
      </c>
      <c r="G39" s="50">
        <v>0</v>
      </c>
      <c r="H39" s="50">
        <v>0</v>
      </c>
      <c r="I39" s="50">
        <v>2</v>
      </c>
      <c r="J39" s="50">
        <v>0</v>
      </c>
      <c r="K39" s="50">
        <v>1</v>
      </c>
      <c r="L39" s="50">
        <v>0</v>
      </c>
      <c r="M39" s="50">
        <v>24</v>
      </c>
      <c r="N39" s="50">
        <v>0</v>
      </c>
      <c r="O39" s="15">
        <f t="shared" si="0"/>
        <v>11</v>
      </c>
      <c r="P39" s="15">
        <f t="shared" si="1"/>
        <v>35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21</v>
      </c>
      <c r="N40" s="50">
        <v>0</v>
      </c>
      <c r="O40" s="15">
        <f t="shared" si="0"/>
        <v>6</v>
      </c>
      <c r="P40" s="15">
        <f t="shared" si="1"/>
        <v>27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2</v>
      </c>
      <c r="F41" s="50">
        <v>0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14</v>
      </c>
      <c r="N41" s="50">
        <v>0</v>
      </c>
      <c r="O41" s="15">
        <f t="shared" si="0"/>
        <v>9</v>
      </c>
      <c r="P41" s="15">
        <f t="shared" si="1"/>
        <v>23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3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9</v>
      </c>
      <c r="P42" s="15">
        <f t="shared" si="1"/>
        <v>18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5</v>
      </c>
      <c r="F43" s="50">
        <v>2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13</v>
      </c>
      <c r="N43" s="50">
        <v>0</v>
      </c>
      <c r="O43" s="15">
        <f t="shared" si="0"/>
        <v>13</v>
      </c>
      <c r="P43" s="15">
        <f t="shared" si="1"/>
        <v>26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4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17</v>
      </c>
      <c r="N44" s="50">
        <v>0</v>
      </c>
      <c r="O44" s="15">
        <f t="shared" si="0"/>
        <v>8</v>
      </c>
      <c r="P44" s="15">
        <f t="shared" si="1"/>
        <v>25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2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7</v>
      </c>
      <c r="P45" s="15">
        <f t="shared" si="1"/>
        <v>23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4</v>
      </c>
      <c r="J46" s="50">
        <v>0</v>
      </c>
      <c r="K46" s="50">
        <v>1</v>
      </c>
      <c r="L46" s="50">
        <v>0</v>
      </c>
      <c r="M46" s="50">
        <v>24</v>
      </c>
      <c r="N46" s="50">
        <v>0</v>
      </c>
      <c r="O46" s="15">
        <f t="shared" si="0"/>
        <v>9</v>
      </c>
      <c r="P46" s="15">
        <f t="shared" si="1"/>
        <v>33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3</v>
      </c>
      <c r="F47" s="50">
        <v>4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29</v>
      </c>
      <c r="N47" s="50">
        <v>0</v>
      </c>
      <c r="O47" s="15">
        <f t="shared" si="0"/>
        <v>14</v>
      </c>
      <c r="P47" s="15">
        <f t="shared" si="1"/>
        <v>43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2</v>
      </c>
      <c r="F48" s="50">
        <v>2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9</v>
      </c>
      <c r="P48" s="15">
        <f t="shared" si="1"/>
        <v>34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2</v>
      </c>
      <c r="F49" s="50">
        <v>1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8</v>
      </c>
      <c r="P49" s="15">
        <f t="shared" si="1"/>
        <v>28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14</v>
      </c>
      <c r="N50" s="50">
        <v>0</v>
      </c>
      <c r="O50" s="15">
        <f t="shared" si="0"/>
        <v>6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1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21</v>
      </c>
      <c r="N51" s="50">
        <v>0</v>
      </c>
      <c r="O51" s="15">
        <f t="shared" si="0"/>
        <v>4</v>
      </c>
      <c r="P51" s="15">
        <f t="shared" si="1"/>
        <v>25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2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14</v>
      </c>
      <c r="N52" s="50">
        <v>0</v>
      </c>
      <c r="O52" s="15">
        <f t="shared" si="0"/>
        <v>6</v>
      </c>
      <c r="P52" s="15">
        <f t="shared" si="1"/>
        <v>20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5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7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3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7</v>
      </c>
      <c r="P54" s="15">
        <f t="shared" si="1"/>
        <v>27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19</v>
      </c>
      <c r="N55" s="50">
        <v>0</v>
      </c>
      <c r="O55" s="15">
        <f t="shared" si="0"/>
        <v>3</v>
      </c>
      <c r="P55" s="15">
        <f t="shared" si="1"/>
        <v>22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3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18</v>
      </c>
      <c r="N56" s="50">
        <v>0</v>
      </c>
      <c r="O56" s="15">
        <f t="shared" si="0"/>
        <v>5</v>
      </c>
      <c r="P56" s="15">
        <f t="shared" si="1"/>
        <v>23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1</v>
      </c>
      <c r="F57" s="50">
        <v>2</v>
      </c>
      <c r="G57" s="50">
        <v>0</v>
      </c>
      <c r="H57" s="50">
        <v>1</v>
      </c>
      <c r="I57" s="50">
        <v>3</v>
      </c>
      <c r="J57" s="50">
        <v>0</v>
      </c>
      <c r="K57" s="50">
        <v>0</v>
      </c>
      <c r="L57" s="50">
        <v>0</v>
      </c>
      <c r="M57" s="50">
        <v>16</v>
      </c>
      <c r="N57" s="50">
        <v>0</v>
      </c>
      <c r="O57" s="15">
        <f t="shared" si="0"/>
        <v>10</v>
      </c>
      <c r="P57" s="15">
        <f t="shared" si="1"/>
        <v>26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116</v>
      </c>
      <c r="D58" s="16">
        <f t="shared" si="21"/>
        <v>0</v>
      </c>
      <c r="E58" s="16">
        <f t="shared" si="21"/>
        <v>91</v>
      </c>
      <c r="F58" s="16">
        <f t="shared" si="21"/>
        <v>83</v>
      </c>
      <c r="G58" s="16">
        <f t="shared" si="21"/>
        <v>8</v>
      </c>
      <c r="H58" s="16">
        <f t="shared" si="21"/>
        <v>1</v>
      </c>
      <c r="I58" s="16">
        <f t="shared" si="21"/>
        <v>84</v>
      </c>
      <c r="J58" s="16">
        <f t="shared" si="21"/>
        <v>3</v>
      </c>
      <c r="K58" s="16">
        <f t="shared" si="21"/>
        <v>5</v>
      </c>
      <c r="L58" s="16">
        <f t="shared" si="21"/>
        <v>0</v>
      </c>
      <c r="M58" s="16">
        <f t="shared" si="21"/>
        <v>826</v>
      </c>
      <c r="N58" s="16">
        <f t="shared" si="21"/>
        <v>0</v>
      </c>
      <c r="O58" s="16">
        <f t="shared" si="21"/>
        <v>391</v>
      </c>
      <c r="P58" s="16">
        <f t="shared" si="21"/>
        <v>1217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9.5316351684470002E-2</v>
      </c>
      <c r="D59" s="43">
        <f t="shared" si="22"/>
        <v>0</v>
      </c>
      <c r="E59" s="43">
        <f t="shared" si="22"/>
        <v>7.4774034511092852E-2</v>
      </c>
      <c r="F59" s="43">
        <f t="shared" si="22"/>
        <v>6.8200493015612165E-2</v>
      </c>
      <c r="G59" s="43">
        <f t="shared" si="22"/>
        <v>6.5735414954806899E-3</v>
      </c>
      <c r="H59" s="43">
        <f t="shared" si="22"/>
        <v>8.2169268693508624E-4</v>
      </c>
      <c r="I59" s="43">
        <f t="shared" si="22"/>
        <v>6.9022185702547242E-2</v>
      </c>
      <c r="J59" s="43">
        <f t="shared" si="22"/>
        <v>2.4650780608052587E-3</v>
      </c>
      <c r="K59" s="43">
        <f t="shared" si="22"/>
        <v>4.1084634346754316E-3</v>
      </c>
      <c r="L59" s="43">
        <f t="shared" si="22"/>
        <v>0</v>
      </c>
      <c r="M59" s="43">
        <f t="shared" si="22"/>
        <v>0.67871815940838132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0.29667519181585678</v>
      </c>
      <c r="D60" s="44">
        <f t="shared" ref="D60:N60" si="23">D58/$O$58</f>
        <v>0</v>
      </c>
      <c r="E60" s="44">
        <f t="shared" si="23"/>
        <v>0.23273657289002558</v>
      </c>
      <c r="F60" s="44">
        <f t="shared" si="23"/>
        <v>0.21227621483375958</v>
      </c>
      <c r="G60" s="44">
        <f t="shared" si="23"/>
        <v>2.0460358056265986E-2</v>
      </c>
      <c r="H60" s="44">
        <f t="shared" si="23"/>
        <v>2.5575447570332483E-3</v>
      </c>
      <c r="I60" s="44">
        <f t="shared" si="23"/>
        <v>0.21483375959079284</v>
      </c>
      <c r="J60" s="44">
        <f t="shared" si="23"/>
        <v>7.6726342710997444E-3</v>
      </c>
      <c r="K60" s="44">
        <f t="shared" si="23"/>
        <v>1.278772378516624E-2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topLeftCell="A25" zoomScale="60" workbookViewId="0">
      <selection activeCell="N10" sqref="N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Bukaya-Kampala'!C3:G3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'21.08 Kampala-Bukaya'!D5</f>
        <v>21.08.19</v>
      </c>
      <c r="E5" s="3"/>
      <c r="F5" s="41" t="s">
        <v>1</v>
      </c>
      <c r="G5" s="63" t="str">
        <f>'19.08 Kampala-Bukaya'!G5:H5</f>
        <v>Nyenga</v>
      </c>
      <c r="H5" s="64"/>
      <c r="I5" s="14"/>
      <c r="J5" s="2" t="s">
        <v>5</v>
      </c>
      <c r="K5" s="63" t="str">
        <f>'19.08 Kampala-Bukaya'!K5:L5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Bukaya-Kampala'!D6:E6</f>
        <v>Bukaya</v>
      </c>
      <c r="E6" s="64"/>
      <c r="F6" s="2" t="s">
        <v>2</v>
      </c>
      <c r="G6" s="63" t="str">
        <f>'19.08 Bukaya-Kampala'!G6:H6</f>
        <v>Kampala</v>
      </c>
      <c r="H6" s="64"/>
      <c r="J6" s="2" t="s">
        <v>21</v>
      </c>
      <c r="K6" s="63" t="str">
        <f>'19.08 Kampala-Bukaya'!K6:L6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1</v>
      </c>
      <c r="V10" s="17">
        <f t="shared" si="2"/>
        <v>9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48</v>
      </c>
      <c r="AD10" s="17">
        <f t="shared" si="2"/>
        <v>0</v>
      </c>
      <c r="AE10" s="31">
        <f t="shared" si="2"/>
        <v>16</v>
      </c>
      <c r="AF10" s="31">
        <f t="shared" si="2"/>
        <v>64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3</v>
      </c>
      <c r="P11" s="15">
        <f t="shared" si="1"/>
        <v>12</v>
      </c>
      <c r="R11" s="1" t="s">
        <v>7</v>
      </c>
      <c r="S11" s="17">
        <f t="shared" ref="S11:AF11" si="3">SUM(C14:C17)</f>
        <v>10</v>
      </c>
      <c r="T11" s="17">
        <f t="shared" si="3"/>
        <v>0</v>
      </c>
      <c r="U11" s="17">
        <f t="shared" si="3"/>
        <v>3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2</v>
      </c>
      <c r="AB11" s="17">
        <f t="shared" si="3"/>
        <v>0</v>
      </c>
      <c r="AC11" s="17">
        <f t="shared" si="3"/>
        <v>57</v>
      </c>
      <c r="AD11" s="17">
        <f t="shared" si="3"/>
        <v>0</v>
      </c>
      <c r="AE11" s="31">
        <f t="shared" si="3"/>
        <v>22</v>
      </c>
      <c r="AF11" s="31">
        <f t="shared" si="3"/>
        <v>79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3</v>
      </c>
      <c r="P12" s="15">
        <f t="shared" si="1"/>
        <v>15</v>
      </c>
      <c r="R12" s="1" t="s">
        <v>8</v>
      </c>
      <c r="S12" s="17">
        <f t="shared" ref="S12:AF12" si="4">SUM(C18:C21)</f>
        <v>8</v>
      </c>
      <c r="T12" s="17">
        <f t="shared" si="4"/>
        <v>0</v>
      </c>
      <c r="U12" s="17">
        <f t="shared" si="4"/>
        <v>6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64</v>
      </c>
      <c r="AD12" s="17">
        <f t="shared" si="4"/>
        <v>0</v>
      </c>
      <c r="AE12" s="31">
        <f t="shared" si="4"/>
        <v>25</v>
      </c>
      <c r="AF12" s="31">
        <f t="shared" si="4"/>
        <v>89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18</v>
      </c>
      <c r="N13" s="50">
        <v>0</v>
      </c>
      <c r="O13" s="15">
        <f t="shared" si="0"/>
        <v>6</v>
      </c>
      <c r="P13" s="15">
        <f t="shared" si="1"/>
        <v>24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9</v>
      </c>
      <c r="V13" s="17">
        <f t="shared" si="5"/>
        <v>7</v>
      </c>
      <c r="W13" s="17">
        <f t="shared" si="5"/>
        <v>0</v>
      </c>
      <c r="X13" s="17">
        <f t="shared" si="5"/>
        <v>1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70</v>
      </c>
      <c r="AD13" s="17">
        <f t="shared" si="5"/>
        <v>0</v>
      </c>
      <c r="AE13" s="31">
        <f t="shared" si="5"/>
        <v>23</v>
      </c>
      <c r="AF13" s="31">
        <f t="shared" si="5"/>
        <v>93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1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9</v>
      </c>
      <c r="N14" s="50">
        <v>0</v>
      </c>
      <c r="O14" s="15">
        <f t="shared" si="0"/>
        <v>5</v>
      </c>
      <c r="P14" s="15">
        <f t="shared" si="1"/>
        <v>14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3</v>
      </c>
      <c r="V14" s="17">
        <f t="shared" si="6"/>
        <v>7</v>
      </c>
      <c r="W14" s="17">
        <f t="shared" si="6"/>
        <v>3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70</v>
      </c>
      <c r="AD14" s="17">
        <f t="shared" si="6"/>
        <v>0</v>
      </c>
      <c r="AE14" s="31">
        <f t="shared" si="6"/>
        <v>25</v>
      </c>
      <c r="AF14" s="31">
        <f t="shared" si="6"/>
        <v>95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3</v>
      </c>
      <c r="J15" s="50">
        <v>0</v>
      </c>
      <c r="K15" s="50">
        <v>1</v>
      </c>
      <c r="L15" s="50">
        <v>0</v>
      </c>
      <c r="M15" s="50">
        <v>16</v>
      </c>
      <c r="N15" s="50">
        <v>0</v>
      </c>
      <c r="O15" s="15">
        <f t="shared" si="0"/>
        <v>7</v>
      </c>
      <c r="P15" s="15">
        <f t="shared" si="1"/>
        <v>23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5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2</v>
      </c>
      <c r="AA15" s="17">
        <f t="shared" si="7"/>
        <v>1</v>
      </c>
      <c r="AB15" s="17">
        <f t="shared" si="7"/>
        <v>0</v>
      </c>
      <c r="AC15" s="17">
        <f t="shared" si="7"/>
        <v>74</v>
      </c>
      <c r="AD15" s="17">
        <f t="shared" si="7"/>
        <v>0</v>
      </c>
      <c r="AE15" s="31">
        <f t="shared" si="7"/>
        <v>24</v>
      </c>
      <c r="AF15" s="31">
        <f t="shared" si="7"/>
        <v>98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0</v>
      </c>
      <c r="M16" s="50">
        <v>13</v>
      </c>
      <c r="N16" s="50">
        <v>0</v>
      </c>
      <c r="O16" s="15">
        <f t="shared" si="0"/>
        <v>6</v>
      </c>
      <c r="P16" s="15">
        <f t="shared" si="1"/>
        <v>19</v>
      </c>
      <c r="R16" s="1" t="s">
        <v>12</v>
      </c>
      <c r="S16" s="17">
        <f t="shared" ref="S16:AF16" si="8">SUM(C34:C37)</f>
        <v>11</v>
      </c>
      <c r="T16" s="17">
        <f t="shared" si="8"/>
        <v>0</v>
      </c>
      <c r="U16" s="17">
        <f t="shared" si="8"/>
        <v>15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76</v>
      </c>
      <c r="AD16" s="17">
        <f t="shared" si="8"/>
        <v>0</v>
      </c>
      <c r="AE16" s="31">
        <f t="shared" si="8"/>
        <v>35</v>
      </c>
      <c r="AF16" s="31">
        <f t="shared" si="8"/>
        <v>111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19</v>
      </c>
      <c r="N17" s="50">
        <v>0</v>
      </c>
      <c r="O17" s="15">
        <f t="shared" si="0"/>
        <v>4</v>
      </c>
      <c r="P17" s="15">
        <f t="shared" si="1"/>
        <v>23</v>
      </c>
      <c r="R17" s="1" t="s">
        <v>13</v>
      </c>
      <c r="S17" s="17">
        <f t="shared" ref="S17:AF17" si="9">SUM(C38:C41)</f>
        <v>10</v>
      </c>
      <c r="T17" s="17">
        <f t="shared" si="9"/>
        <v>0</v>
      </c>
      <c r="U17" s="17">
        <f t="shared" si="9"/>
        <v>8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72</v>
      </c>
      <c r="AD17" s="17">
        <f t="shared" si="9"/>
        <v>0</v>
      </c>
      <c r="AE17" s="31">
        <f t="shared" si="9"/>
        <v>29</v>
      </c>
      <c r="AF17" s="31">
        <f t="shared" si="9"/>
        <v>101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13</v>
      </c>
      <c r="N18" s="50">
        <v>0</v>
      </c>
      <c r="O18" s="15">
        <f t="shared" si="0"/>
        <v>4</v>
      </c>
      <c r="P18" s="15">
        <f t="shared" si="1"/>
        <v>17</v>
      </c>
      <c r="R18" s="1" t="s">
        <v>14</v>
      </c>
      <c r="S18" s="17">
        <f t="shared" ref="S18:AF18" si="10">SUM(C42:C45)</f>
        <v>6</v>
      </c>
      <c r="T18" s="17">
        <f t="shared" si="10"/>
        <v>0</v>
      </c>
      <c r="U18" s="17">
        <f t="shared" si="10"/>
        <v>12</v>
      </c>
      <c r="V18" s="17">
        <f t="shared" si="10"/>
        <v>9</v>
      </c>
      <c r="W18" s="17">
        <f t="shared" si="10"/>
        <v>2</v>
      </c>
      <c r="X18" s="17">
        <f t="shared" si="10"/>
        <v>0</v>
      </c>
      <c r="Y18" s="17">
        <f t="shared" si="10"/>
        <v>11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70</v>
      </c>
      <c r="AD18" s="17">
        <f t="shared" si="10"/>
        <v>0</v>
      </c>
      <c r="AE18" s="31">
        <f t="shared" si="10"/>
        <v>41</v>
      </c>
      <c r="AF18" s="31">
        <f t="shared" si="10"/>
        <v>111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9</v>
      </c>
      <c r="P19" s="15">
        <f t="shared" si="1"/>
        <v>23</v>
      </c>
      <c r="R19" s="1" t="s">
        <v>15</v>
      </c>
      <c r="S19" s="17">
        <f t="shared" ref="S19:AF19" si="11">SUM(C46:C49)</f>
        <v>11</v>
      </c>
      <c r="T19" s="17">
        <f t="shared" si="11"/>
        <v>0</v>
      </c>
      <c r="U19" s="17">
        <f t="shared" si="11"/>
        <v>19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97</v>
      </c>
      <c r="AD19" s="17">
        <f t="shared" si="11"/>
        <v>0</v>
      </c>
      <c r="AE19" s="31">
        <f t="shared" si="11"/>
        <v>46</v>
      </c>
      <c r="AF19" s="31">
        <f t="shared" si="11"/>
        <v>143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3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14</v>
      </c>
      <c r="N20" s="50">
        <v>0</v>
      </c>
      <c r="O20" s="15">
        <f t="shared" si="0"/>
        <v>5</v>
      </c>
      <c r="P20" s="15">
        <f t="shared" si="1"/>
        <v>19</v>
      </c>
      <c r="R20" s="1" t="s">
        <v>16</v>
      </c>
      <c r="S20" s="17">
        <f t="shared" ref="S20:AF20" si="12">SUM(C50:C53)</f>
        <v>7</v>
      </c>
      <c r="T20" s="17">
        <f t="shared" si="12"/>
        <v>0</v>
      </c>
      <c r="U20" s="17">
        <f t="shared" si="12"/>
        <v>15</v>
      </c>
      <c r="V20" s="17">
        <f t="shared" si="12"/>
        <v>8</v>
      </c>
      <c r="W20" s="17">
        <f t="shared" si="12"/>
        <v>2</v>
      </c>
      <c r="X20" s="17">
        <f t="shared" si="12"/>
        <v>0</v>
      </c>
      <c r="Y20" s="17">
        <f t="shared" si="12"/>
        <v>10</v>
      </c>
      <c r="Z20" s="17">
        <f t="shared" si="12"/>
        <v>0</v>
      </c>
      <c r="AA20" s="17">
        <f t="shared" si="12"/>
        <v>1</v>
      </c>
      <c r="AB20" s="17">
        <f t="shared" si="12"/>
        <v>1</v>
      </c>
      <c r="AC20" s="17">
        <f t="shared" si="12"/>
        <v>70</v>
      </c>
      <c r="AD20" s="17">
        <f t="shared" si="12"/>
        <v>0</v>
      </c>
      <c r="AE20" s="31">
        <f t="shared" si="12"/>
        <v>44</v>
      </c>
      <c r="AF20" s="31">
        <f t="shared" si="12"/>
        <v>114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2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1</v>
      </c>
      <c r="L21" s="50">
        <v>0</v>
      </c>
      <c r="M21" s="50">
        <v>23</v>
      </c>
      <c r="N21" s="50">
        <v>0</v>
      </c>
      <c r="O21" s="15">
        <f t="shared" si="0"/>
        <v>7</v>
      </c>
      <c r="P21" s="15">
        <f t="shared" si="1"/>
        <v>30</v>
      </c>
      <c r="R21" s="36" t="s">
        <v>20</v>
      </c>
      <c r="S21" s="34">
        <f t="shared" ref="S21:AF21" si="13">SUM(C54:C57)</f>
        <v>11</v>
      </c>
      <c r="T21" s="17">
        <f t="shared" si="13"/>
        <v>0</v>
      </c>
      <c r="U21" s="17">
        <f t="shared" si="13"/>
        <v>7</v>
      </c>
      <c r="V21" s="17">
        <f t="shared" si="13"/>
        <v>9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68</v>
      </c>
      <c r="AD21" s="17">
        <f t="shared" si="13"/>
        <v>0</v>
      </c>
      <c r="AE21" s="31">
        <f t="shared" si="13"/>
        <v>40</v>
      </c>
      <c r="AF21" s="31">
        <f t="shared" si="13"/>
        <v>108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2</v>
      </c>
      <c r="F22" s="50">
        <v>2</v>
      </c>
      <c r="G22" s="50">
        <v>0</v>
      </c>
      <c r="H22" s="50">
        <v>1</v>
      </c>
      <c r="I22" s="50">
        <v>2</v>
      </c>
      <c r="J22" s="50">
        <v>0</v>
      </c>
      <c r="K22" s="50">
        <v>0</v>
      </c>
      <c r="L22" s="50">
        <v>0</v>
      </c>
      <c r="M22" s="50">
        <v>18</v>
      </c>
      <c r="N22" s="50">
        <v>0</v>
      </c>
      <c r="O22" s="15">
        <f t="shared" si="0"/>
        <v>9</v>
      </c>
      <c r="P22" s="15">
        <f t="shared" si="1"/>
        <v>27</v>
      </c>
      <c r="R22" s="38" t="s">
        <v>90</v>
      </c>
      <c r="S22" s="39">
        <f>MAX(S10:S12)</f>
        <v>10</v>
      </c>
      <c r="T22" s="39">
        <f t="shared" ref="T22:AF22" si="14">MAX(T10:T12)</f>
        <v>0</v>
      </c>
      <c r="U22" s="39">
        <f t="shared" si="14"/>
        <v>6</v>
      </c>
      <c r="V22" s="39">
        <f t="shared" si="14"/>
        <v>9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0</v>
      </c>
      <c r="AA22" s="39">
        <f t="shared" si="14"/>
        <v>2</v>
      </c>
      <c r="AB22" s="39">
        <f t="shared" si="14"/>
        <v>0</v>
      </c>
      <c r="AC22" s="39">
        <f t="shared" si="14"/>
        <v>64</v>
      </c>
      <c r="AD22" s="39">
        <f t="shared" si="14"/>
        <v>0</v>
      </c>
      <c r="AE22" s="40">
        <f t="shared" si="14"/>
        <v>25</v>
      </c>
      <c r="AF22" s="40">
        <f t="shared" si="14"/>
        <v>89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2</v>
      </c>
      <c r="F23" s="50">
        <v>3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19</v>
      </c>
      <c r="N23" s="50">
        <v>0</v>
      </c>
      <c r="O23" s="15">
        <f t="shared" si="0"/>
        <v>6</v>
      </c>
      <c r="P23" s="15">
        <f t="shared" si="1"/>
        <v>25</v>
      </c>
      <c r="R23" s="38" t="s">
        <v>91</v>
      </c>
      <c r="S23" s="39">
        <f>MAX(S13:S18)</f>
        <v>11</v>
      </c>
      <c r="T23" s="39">
        <f t="shared" ref="T23:AF23" si="15">MAX(T13:T18)</f>
        <v>0</v>
      </c>
      <c r="U23" s="39">
        <f t="shared" si="15"/>
        <v>15</v>
      </c>
      <c r="V23" s="39">
        <f t="shared" si="15"/>
        <v>9</v>
      </c>
      <c r="W23" s="39">
        <f t="shared" si="15"/>
        <v>3</v>
      </c>
      <c r="X23" s="39">
        <f t="shared" si="15"/>
        <v>1</v>
      </c>
      <c r="Y23" s="39">
        <f t="shared" si="15"/>
        <v>11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76</v>
      </c>
      <c r="AD23" s="39">
        <f t="shared" si="15"/>
        <v>0</v>
      </c>
      <c r="AE23" s="40">
        <f t="shared" si="15"/>
        <v>41</v>
      </c>
      <c r="AF23" s="40">
        <f t="shared" si="15"/>
        <v>111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2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17</v>
      </c>
      <c r="N24" s="50">
        <v>0</v>
      </c>
      <c r="O24" s="15">
        <f t="shared" si="0"/>
        <v>3</v>
      </c>
      <c r="P24" s="15">
        <f t="shared" si="1"/>
        <v>20</v>
      </c>
      <c r="R24" s="38" t="s">
        <v>92</v>
      </c>
      <c r="S24" s="39">
        <f>MAX(S19:S21)</f>
        <v>11</v>
      </c>
      <c r="T24" s="39">
        <f t="shared" ref="T24:AF24" si="16">MAX(T19:T21)</f>
        <v>0</v>
      </c>
      <c r="U24" s="39">
        <f t="shared" si="16"/>
        <v>19</v>
      </c>
      <c r="V24" s="39">
        <f t="shared" si="16"/>
        <v>9</v>
      </c>
      <c r="W24" s="39">
        <f t="shared" si="16"/>
        <v>2</v>
      </c>
      <c r="X24" s="39">
        <f t="shared" si="16"/>
        <v>0</v>
      </c>
      <c r="Y24" s="39">
        <f t="shared" si="16"/>
        <v>12</v>
      </c>
      <c r="Z24" s="39">
        <f t="shared" si="16"/>
        <v>1</v>
      </c>
      <c r="AA24" s="39">
        <f t="shared" si="16"/>
        <v>1</v>
      </c>
      <c r="AB24" s="39">
        <f t="shared" si="16"/>
        <v>1</v>
      </c>
      <c r="AC24" s="39">
        <f t="shared" si="16"/>
        <v>97</v>
      </c>
      <c r="AD24" s="39">
        <f t="shared" si="16"/>
        <v>0</v>
      </c>
      <c r="AE24" s="40">
        <f t="shared" si="16"/>
        <v>46</v>
      </c>
      <c r="AF24" s="40">
        <f t="shared" si="16"/>
        <v>143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3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5</v>
      </c>
      <c r="P25" s="15">
        <f t="shared" si="1"/>
        <v>21</v>
      </c>
      <c r="R25" s="37" t="s">
        <v>85</v>
      </c>
      <c r="S25" s="35">
        <f t="shared" ref="S25:AF25" si="17">SUM(S10:S12)</f>
        <v>24</v>
      </c>
      <c r="T25" s="16">
        <f t="shared" si="17"/>
        <v>0</v>
      </c>
      <c r="U25" s="16">
        <f t="shared" si="17"/>
        <v>10</v>
      </c>
      <c r="V25" s="16">
        <f t="shared" si="17"/>
        <v>16</v>
      </c>
      <c r="W25" s="16">
        <f t="shared" si="17"/>
        <v>0</v>
      </c>
      <c r="X25" s="16">
        <f t="shared" si="17"/>
        <v>0</v>
      </c>
      <c r="Y25" s="16">
        <f t="shared" si="17"/>
        <v>10</v>
      </c>
      <c r="Z25" s="16">
        <f t="shared" si="17"/>
        <v>0</v>
      </c>
      <c r="AA25" s="16">
        <f t="shared" si="17"/>
        <v>3</v>
      </c>
      <c r="AB25" s="16">
        <f t="shared" si="17"/>
        <v>0</v>
      </c>
      <c r="AC25" s="16">
        <f t="shared" si="17"/>
        <v>169</v>
      </c>
      <c r="AD25" s="16">
        <f t="shared" si="17"/>
        <v>0</v>
      </c>
      <c r="AE25" s="32">
        <f t="shared" si="17"/>
        <v>63</v>
      </c>
      <c r="AF25" s="32">
        <f t="shared" si="17"/>
        <v>232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4</v>
      </c>
      <c r="P26" s="15">
        <f t="shared" si="1"/>
        <v>19</v>
      </c>
      <c r="R26" s="28" t="s">
        <v>86</v>
      </c>
      <c r="S26" s="16">
        <f t="shared" ref="S26:AF26" si="18">SUM(S13:S18)</f>
        <v>38</v>
      </c>
      <c r="T26" s="16">
        <f t="shared" si="18"/>
        <v>0</v>
      </c>
      <c r="U26" s="16">
        <f t="shared" si="18"/>
        <v>52</v>
      </c>
      <c r="V26" s="16">
        <f t="shared" si="18"/>
        <v>37</v>
      </c>
      <c r="W26" s="16">
        <f t="shared" si="18"/>
        <v>5</v>
      </c>
      <c r="X26" s="16">
        <f t="shared" si="18"/>
        <v>1</v>
      </c>
      <c r="Y26" s="16">
        <f t="shared" si="18"/>
        <v>39</v>
      </c>
      <c r="Z26" s="16">
        <f t="shared" si="18"/>
        <v>2</v>
      </c>
      <c r="AA26" s="16">
        <f t="shared" si="18"/>
        <v>3</v>
      </c>
      <c r="AB26" s="16">
        <f t="shared" si="18"/>
        <v>0</v>
      </c>
      <c r="AC26" s="16">
        <f t="shared" si="18"/>
        <v>432</v>
      </c>
      <c r="AD26" s="16">
        <f t="shared" si="18"/>
        <v>0</v>
      </c>
      <c r="AE26" s="32">
        <f t="shared" si="18"/>
        <v>177</v>
      </c>
      <c r="AF26" s="32">
        <f t="shared" si="18"/>
        <v>609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2</v>
      </c>
      <c r="G27" s="50">
        <v>2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5</v>
      </c>
      <c r="P27" s="15">
        <f t="shared" si="1"/>
        <v>19</v>
      </c>
      <c r="R27" s="29" t="s">
        <v>87</v>
      </c>
      <c r="S27" s="16">
        <f t="shared" ref="S27:AF27" si="19">SUM(S19:S21)</f>
        <v>29</v>
      </c>
      <c r="T27" s="16">
        <f t="shared" si="19"/>
        <v>0</v>
      </c>
      <c r="U27" s="16">
        <f t="shared" si="19"/>
        <v>41</v>
      </c>
      <c r="V27" s="16">
        <f t="shared" si="19"/>
        <v>24</v>
      </c>
      <c r="W27" s="16">
        <f t="shared" si="19"/>
        <v>2</v>
      </c>
      <c r="X27" s="16">
        <f t="shared" si="19"/>
        <v>0</v>
      </c>
      <c r="Y27" s="16">
        <f t="shared" si="19"/>
        <v>30</v>
      </c>
      <c r="Z27" s="16">
        <f t="shared" si="19"/>
        <v>1</v>
      </c>
      <c r="AA27" s="16">
        <f t="shared" si="19"/>
        <v>2</v>
      </c>
      <c r="AB27" s="16">
        <f t="shared" si="19"/>
        <v>1</v>
      </c>
      <c r="AC27" s="16">
        <f t="shared" si="19"/>
        <v>235</v>
      </c>
      <c r="AD27" s="16">
        <f t="shared" si="19"/>
        <v>0</v>
      </c>
      <c r="AE27" s="32">
        <f t="shared" si="19"/>
        <v>130</v>
      </c>
      <c r="AF27" s="32">
        <f t="shared" si="19"/>
        <v>365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1</v>
      </c>
      <c r="F28" s="50">
        <v>2</v>
      </c>
      <c r="G28" s="50">
        <v>1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25</v>
      </c>
      <c r="N28" s="50">
        <v>0</v>
      </c>
      <c r="O28" s="15">
        <f t="shared" si="0"/>
        <v>8</v>
      </c>
      <c r="P28" s="15">
        <f t="shared" si="1"/>
        <v>33</v>
      </c>
      <c r="R28" s="5" t="s">
        <v>17</v>
      </c>
      <c r="S28" s="16">
        <f t="shared" ref="S28:AF28" si="20">SUM(S10:S21)</f>
        <v>91</v>
      </c>
      <c r="T28" s="16">
        <f t="shared" si="20"/>
        <v>0</v>
      </c>
      <c r="U28" s="16">
        <f t="shared" si="20"/>
        <v>103</v>
      </c>
      <c r="V28" s="16">
        <f t="shared" si="20"/>
        <v>77</v>
      </c>
      <c r="W28" s="16">
        <f t="shared" si="20"/>
        <v>7</v>
      </c>
      <c r="X28" s="16">
        <f t="shared" si="20"/>
        <v>1</v>
      </c>
      <c r="Y28" s="16">
        <f t="shared" si="20"/>
        <v>79</v>
      </c>
      <c r="Z28" s="16">
        <f t="shared" si="20"/>
        <v>3</v>
      </c>
      <c r="AA28" s="16">
        <f t="shared" si="20"/>
        <v>8</v>
      </c>
      <c r="AB28" s="16">
        <f t="shared" si="20"/>
        <v>1</v>
      </c>
      <c r="AC28" s="16">
        <f t="shared" si="20"/>
        <v>836</v>
      </c>
      <c r="AD28" s="16">
        <f t="shared" si="20"/>
        <v>0</v>
      </c>
      <c r="AE28" s="32">
        <f t="shared" si="20"/>
        <v>370</v>
      </c>
      <c r="AF28" s="32">
        <f t="shared" si="20"/>
        <v>1206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1</v>
      </c>
      <c r="F29" s="50">
        <v>3</v>
      </c>
      <c r="G29" s="50">
        <v>0</v>
      </c>
      <c r="H29" s="50">
        <v>0</v>
      </c>
      <c r="I29" s="50">
        <v>2</v>
      </c>
      <c r="J29" s="50">
        <v>0</v>
      </c>
      <c r="K29" s="50">
        <v>1</v>
      </c>
      <c r="L29" s="50">
        <v>0</v>
      </c>
      <c r="M29" s="50">
        <v>16</v>
      </c>
      <c r="N29" s="50">
        <v>0</v>
      </c>
      <c r="O29" s="15">
        <f t="shared" si="0"/>
        <v>8</v>
      </c>
      <c r="P29" s="15">
        <f t="shared" si="1"/>
        <v>24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2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20</v>
      </c>
      <c r="N30" s="50">
        <v>0</v>
      </c>
      <c r="O30" s="15">
        <f t="shared" si="0"/>
        <v>5</v>
      </c>
      <c r="P30" s="15">
        <f t="shared" si="1"/>
        <v>25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2</v>
      </c>
      <c r="F31" s="50">
        <v>1</v>
      </c>
      <c r="G31" s="50">
        <v>0</v>
      </c>
      <c r="H31" s="50">
        <v>0</v>
      </c>
      <c r="I31" s="50">
        <v>2</v>
      </c>
      <c r="J31" s="50">
        <v>0</v>
      </c>
      <c r="K31" s="50">
        <v>1</v>
      </c>
      <c r="L31" s="50">
        <v>0</v>
      </c>
      <c r="M31" s="50">
        <v>14</v>
      </c>
      <c r="N31" s="50">
        <v>0</v>
      </c>
      <c r="O31" s="15">
        <f t="shared" si="0"/>
        <v>7</v>
      </c>
      <c r="P31" s="15">
        <f t="shared" si="1"/>
        <v>21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2</v>
      </c>
      <c r="F32" s="50">
        <v>1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21</v>
      </c>
      <c r="N32" s="50">
        <v>0</v>
      </c>
      <c r="O32" s="15">
        <f t="shared" si="0"/>
        <v>7</v>
      </c>
      <c r="P32" s="15">
        <f t="shared" si="1"/>
        <v>28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2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19</v>
      </c>
      <c r="N33" s="50">
        <v>0</v>
      </c>
      <c r="O33" s="15">
        <f t="shared" si="0"/>
        <v>5</v>
      </c>
      <c r="P33" s="15">
        <f t="shared" si="1"/>
        <v>24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6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17</v>
      </c>
      <c r="N34" s="50">
        <v>0</v>
      </c>
      <c r="O34" s="15">
        <f t="shared" si="0"/>
        <v>9</v>
      </c>
      <c r="P34" s="15">
        <f t="shared" si="1"/>
        <v>26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4</v>
      </c>
      <c r="F35" s="50">
        <v>1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16</v>
      </c>
      <c r="N35" s="50">
        <v>0</v>
      </c>
      <c r="O35" s="15">
        <f t="shared" si="0"/>
        <v>10</v>
      </c>
      <c r="P35" s="15">
        <f t="shared" si="1"/>
        <v>26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3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8</v>
      </c>
      <c r="P36" s="15">
        <f t="shared" si="1"/>
        <v>27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2</v>
      </c>
      <c r="F37" s="50">
        <v>1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24</v>
      </c>
      <c r="N37" s="50">
        <v>0</v>
      </c>
      <c r="O37" s="15">
        <f t="shared" si="0"/>
        <v>8</v>
      </c>
      <c r="P37" s="15">
        <f t="shared" si="1"/>
        <v>32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3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19</v>
      </c>
      <c r="N38" s="50">
        <v>0</v>
      </c>
      <c r="O38" s="15">
        <f t="shared" si="0"/>
        <v>5</v>
      </c>
      <c r="P38" s="15">
        <f t="shared" si="1"/>
        <v>24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4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17</v>
      </c>
      <c r="N39" s="50">
        <v>0</v>
      </c>
      <c r="O39" s="15">
        <f t="shared" si="0"/>
        <v>9</v>
      </c>
      <c r="P39" s="15">
        <f t="shared" si="1"/>
        <v>26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1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23</v>
      </c>
      <c r="N40" s="50">
        <v>0</v>
      </c>
      <c r="O40" s="15">
        <f t="shared" si="0"/>
        <v>6</v>
      </c>
      <c r="P40" s="15">
        <f t="shared" si="1"/>
        <v>29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2</v>
      </c>
      <c r="F41" s="50">
        <v>1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9</v>
      </c>
      <c r="P41" s="15">
        <f t="shared" si="1"/>
        <v>22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3</v>
      </c>
      <c r="F42" s="50">
        <v>1</v>
      </c>
      <c r="G42" s="50">
        <v>1</v>
      </c>
      <c r="H42" s="50">
        <v>0</v>
      </c>
      <c r="I42" s="50">
        <v>5</v>
      </c>
      <c r="J42" s="50">
        <v>0</v>
      </c>
      <c r="K42" s="50">
        <v>1</v>
      </c>
      <c r="L42" s="50">
        <v>0</v>
      </c>
      <c r="M42" s="50">
        <v>19</v>
      </c>
      <c r="N42" s="50">
        <v>0</v>
      </c>
      <c r="O42" s="15">
        <f t="shared" si="0"/>
        <v>14</v>
      </c>
      <c r="P42" s="15">
        <f t="shared" si="1"/>
        <v>33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3</v>
      </c>
      <c r="F43" s="50">
        <v>2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17</v>
      </c>
      <c r="N43" s="50">
        <v>0</v>
      </c>
      <c r="O43" s="15">
        <f t="shared" si="0"/>
        <v>9</v>
      </c>
      <c r="P43" s="15">
        <f t="shared" si="1"/>
        <v>26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2</v>
      </c>
      <c r="F44" s="50">
        <v>5</v>
      </c>
      <c r="G44" s="50">
        <v>1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10</v>
      </c>
      <c r="P44" s="15">
        <f t="shared" si="1"/>
        <v>25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4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19</v>
      </c>
      <c r="N45" s="50">
        <v>0</v>
      </c>
      <c r="O45" s="15">
        <f t="shared" si="0"/>
        <v>8</v>
      </c>
      <c r="P45" s="15">
        <f t="shared" si="1"/>
        <v>27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5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33</v>
      </c>
      <c r="N46" s="50">
        <v>0</v>
      </c>
      <c r="O46" s="15">
        <f t="shared" si="0"/>
        <v>9</v>
      </c>
      <c r="P46" s="15">
        <f t="shared" si="1"/>
        <v>42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7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26</v>
      </c>
      <c r="N47" s="50">
        <v>0</v>
      </c>
      <c r="O47" s="15">
        <f t="shared" si="0"/>
        <v>10</v>
      </c>
      <c r="P47" s="15">
        <f t="shared" si="1"/>
        <v>36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5</v>
      </c>
      <c r="F48" s="50">
        <v>5</v>
      </c>
      <c r="G48" s="50">
        <v>0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21</v>
      </c>
      <c r="N48" s="50">
        <v>0</v>
      </c>
      <c r="O48" s="15">
        <f t="shared" si="0"/>
        <v>18</v>
      </c>
      <c r="P48" s="15">
        <f t="shared" si="1"/>
        <v>39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2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1</v>
      </c>
      <c r="L49" s="50">
        <v>0</v>
      </c>
      <c r="M49" s="50">
        <v>17</v>
      </c>
      <c r="N49" s="50">
        <v>0</v>
      </c>
      <c r="O49" s="15">
        <f t="shared" si="0"/>
        <v>9</v>
      </c>
      <c r="P49" s="15">
        <f t="shared" si="1"/>
        <v>26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4</v>
      </c>
      <c r="F50" s="50">
        <v>4</v>
      </c>
      <c r="G50" s="50">
        <v>2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13</v>
      </c>
      <c r="P50" s="15">
        <f t="shared" si="1"/>
        <v>28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4</v>
      </c>
      <c r="F51" s="50">
        <v>3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23</v>
      </c>
      <c r="N51" s="50">
        <v>0</v>
      </c>
      <c r="O51" s="15">
        <f t="shared" si="0"/>
        <v>12</v>
      </c>
      <c r="P51" s="15">
        <f t="shared" si="1"/>
        <v>35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4</v>
      </c>
      <c r="F52" s="50">
        <v>0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1</v>
      </c>
      <c r="M52" s="50">
        <v>13</v>
      </c>
      <c r="N52" s="50">
        <v>0</v>
      </c>
      <c r="O52" s="15">
        <f t="shared" si="0"/>
        <v>10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3</v>
      </c>
      <c r="F53" s="50">
        <v>1</v>
      </c>
      <c r="G53" s="50">
        <v>0</v>
      </c>
      <c r="H53" s="50">
        <v>0</v>
      </c>
      <c r="I53" s="50">
        <v>2</v>
      </c>
      <c r="J53" s="50">
        <v>0</v>
      </c>
      <c r="K53" s="50">
        <v>1</v>
      </c>
      <c r="L53" s="50">
        <v>0</v>
      </c>
      <c r="M53" s="50">
        <v>19</v>
      </c>
      <c r="N53" s="50">
        <v>0</v>
      </c>
      <c r="O53" s="15">
        <f t="shared" si="0"/>
        <v>9</v>
      </c>
      <c r="P53" s="15">
        <f t="shared" si="1"/>
        <v>28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3</v>
      </c>
      <c r="F54" s="50">
        <v>2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17</v>
      </c>
      <c r="N54" s="50">
        <v>0</v>
      </c>
      <c r="O54" s="15">
        <f t="shared" si="0"/>
        <v>14</v>
      </c>
      <c r="P54" s="15">
        <f t="shared" si="1"/>
        <v>31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15</v>
      </c>
      <c r="N55" s="50">
        <v>0</v>
      </c>
      <c r="O55" s="15">
        <f t="shared" si="0"/>
        <v>5</v>
      </c>
      <c r="P55" s="15">
        <f t="shared" si="1"/>
        <v>20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3</v>
      </c>
      <c r="F56" s="50">
        <v>2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8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4</v>
      </c>
      <c r="G57" s="50">
        <v>0</v>
      </c>
      <c r="H57" s="50">
        <v>0</v>
      </c>
      <c r="I57" s="50">
        <v>6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13</v>
      </c>
      <c r="P57" s="15">
        <f t="shared" si="1"/>
        <v>33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91</v>
      </c>
      <c r="D58" s="16">
        <f t="shared" si="21"/>
        <v>0</v>
      </c>
      <c r="E58" s="16">
        <f t="shared" si="21"/>
        <v>103</v>
      </c>
      <c r="F58" s="16">
        <f t="shared" si="21"/>
        <v>77</v>
      </c>
      <c r="G58" s="16">
        <f t="shared" si="21"/>
        <v>7</v>
      </c>
      <c r="H58" s="16">
        <f t="shared" si="21"/>
        <v>1</v>
      </c>
      <c r="I58" s="16">
        <f t="shared" si="21"/>
        <v>79</v>
      </c>
      <c r="J58" s="16">
        <f t="shared" si="21"/>
        <v>3</v>
      </c>
      <c r="K58" s="16">
        <f t="shared" si="21"/>
        <v>8</v>
      </c>
      <c r="L58" s="16">
        <f t="shared" si="21"/>
        <v>1</v>
      </c>
      <c r="M58" s="16">
        <f t="shared" si="21"/>
        <v>836</v>
      </c>
      <c r="N58" s="16">
        <f t="shared" si="21"/>
        <v>0</v>
      </c>
      <c r="O58" s="16">
        <f t="shared" si="21"/>
        <v>370</v>
      </c>
      <c r="P58" s="16">
        <f t="shared" si="21"/>
        <v>1206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7.545605306799337E-2</v>
      </c>
      <c r="D59" s="43">
        <f t="shared" si="22"/>
        <v>0</v>
      </c>
      <c r="E59" s="43">
        <f t="shared" si="22"/>
        <v>8.5406301824212272E-2</v>
      </c>
      <c r="F59" s="43">
        <f t="shared" si="22"/>
        <v>6.3847429519071311E-2</v>
      </c>
      <c r="G59" s="43">
        <f t="shared" si="22"/>
        <v>5.8043117744610278E-3</v>
      </c>
      <c r="H59" s="43">
        <f t="shared" si="22"/>
        <v>8.2918739635157548E-4</v>
      </c>
      <c r="I59" s="43">
        <f t="shared" si="22"/>
        <v>6.5505804311774454E-2</v>
      </c>
      <c r="J59" s="43">
        <f t="shared" si="22"/>
        <v>2.4875621890547263E-3</v>
      </c>
      <c r="K59" s="43">
        <f t="shared" si="22"/>
        <v>6.6334991708126038E-3</v>
      </c>
      <c r="L59" s="43">
        <f t="shared" si="22"/>
        <v>8.2918739635157548E-4</v>
      </c>
      <c r="M59" s="43">
        <f t="shared" si="22"/>
        <v>0.69320066334991703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0.24594594594594596</v>
      </c>
      <c r="D60" s="44">
        <f t="shared" ref="D60:N60" si="23">D58/$O$58</f>
        <v>0</v>
      </c>
      <c r="E60" s="44">
        <f t="shared" si="23"/>
        <v>0.27837837837837837</v>
      </c>
      <c r="F60" s="44">
        <f t="shared" si="23"/>
        <v>0.20810810810810812</v>
      </c>
      <c r="G60" s="44">
        <f t="shared" si="23"/>
        <v>1.891891891891892E-2</v>
      </c>
      <c r="H60" s="44">
        <f t="shared" si="23"/>
        <v>2.7027027027027029E-3</v>
      </c>
      <c r="I60" s="44">
        <f t="shared" si="23"/>
        <v>0.21351351351351353</v>
      </c>
      <c r="J60" s="44">
        <f t="shared" si="23"/>
        <v>8.1081081081081086E-3</v>
      </c>
      <c r="K60" s="44">
        <f t="shared" si="23"/>
        <v>2.1621621621621623E-2</v>
      </c>
      <c r="L60" s="44">
        <f t="shared" si="23"/>
        <v>2.7027027027027029E-3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topLeftCell="A46" zoomScale="60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Kampala-Bukaya'!C3:G3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3" t="str">
        <f>'21.08 Bukaya-Kampala'!G5:H5</f>
        <v>Nyenga</v>
      </c>
      <c r="H5" s="64"/>
      <c r="I5" s="14"/>
      <c r="J5" s="2" t="s">
        <v>5</v>
      </c>
      <c r="K5" s="63" t="str">
        <f>'21.08 Bukaya-Kampala'!K5:L5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Kampala-Bukaya'!D6:E6</f>
        <v>Kampala</v>
      </c>
      <c r="E6" s="64"/>
      <c r="F6" s="2" t="s">
        <v>2</v>
      </c>
      <c r="G6" s="63" t="str">
        <f>'19.08 Kampala-Bukaya'!G6:H6</f>
        <v>Bukaya</v>
      </c>
      <c r="H6" s="64"/>
      <c r="J6" s="2" t="s">
        <v>21</v>
      </c>
      <c r="K6" s="63" t="str">
        <f>'21.08 Bukaya-Kampala'!K6:L6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1</v>
      </c>
      <c r="L10" s="50">
        <v>0</v>
      </c>
      <c r="M10" s="50">
        <v>15</v>
      </c>
      <c r="N10" s="50">
        <v>0</v>
      </c>
      <c r="O10" s="15">
        <f t="shared" ref="O10:O57" si="0">SUM(C10:L10,N10)</f>
        <v>8</v>
      </c>
      <c r="P10" s="15">
        <f t="shared" ref="P10:P57" si="1">SUM(C10:N10)</f>
        <v>23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13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51</v>
      </c>
      <c r="AD10" s="17">
        <f t="shared" si="2"/>
        <v>0</v>
      </c>
      <c r="AE10" s="31">
        <f t="shared" si="2"/>
        <v>25</v>
      </c>
      <c r="AF10" s="31">
        <f t="shared" si="2"/>
        <v>76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2</v>
      </c>
      <c r="P11" s="15">
        <f t="shared" si="1"/>
        <v>14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8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1</v>
      </c>
      <c r="AA11" s="17">
        <f t="shared" si="3"/>
        <v>0</v>
      </c>
      <c r="AB11" s="17">
        <f t="shared" si="3"/>
        <v>1</v>
      </c>
      <c r="AC11" s="17">
        <f t="shared" si="3"/>
        <v>60</v>
      </c>
      <c r="AD11" s="17">
        <f t="shared" si="3"/>
        <v>0</v>
      </c>
      <c r="AE11" s="31">
        <f t="shared" si="3"/>
        <v>23</v>
      </c>
      <c r="AF11" s="31">
        <f t="shared" si="3"/>
        <v>83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5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14</v>
      </c>
      <c r="N12" s="50">
        <v>0</v>
      </c>
      <c r="O12" s="15">
        <f t="shared" si="0"/>
        <v>7</v>
      </c>
      <c r="P12" s="15">
        <f t="shared" si="1"/>
        <v>21</v>
      </c>
      <c r="R12" s="1" t="s">
        <v>8</v>
      </c>
      <c r="S12" s="17">
        <f t="shared" ref="S12:AF12" si="4">SUM(C18:C21)</f>
        <v>10</v>
      </c>
      <c r="T12" s="17">
        <f t="shared" si="4"/>
        <v>0</v>
      </c>
      <c r="U12" s="17">
        <f t="shared" si="4"/>
        <v>6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87</v>
      </c>
      <c r="AD12" s="17">
        <f t="shared" si="4"/>
        <v>0</v>
      </c>
      <c r="AE12" s="31">
        <f t="shared" si="4"/>
        <v>27</v>
      </c>
      <c r="AF12" s="31">
        <f t="shared" si="4"/>
        <v>114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6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10</v>
      </c>
      <c r="N13" s="50">
        <v>0</v>
      </c>
      <c r="O13" s="15">
        <f t="shared" si="0"/>
        <v>8</v>
      </c>
      <c r="P13" s="15">
        <f t="shared" si="1"/>
        <v>18</v>
      </c>
      <c r="R13" s="1" t="s">
        <v>9</v>
      </c>
      <c r="S13" s="17">
        <f t="shared" ref="S13:AF13" si="5">SUM(C22:C25)</f>
        <v>10</v>
      </c>
      <c r="T13" s="17">
        <f t="shared" si="5"/>
        <v>0</v>
      </c>
      <c r="U13" s="17">
        <f t="shared" si="5"/>
        <v>13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77</v>
      </c>
      <c r="AD13" s="17">
        <f t="shared" si="5"/>
        <v>0</v>
      </c>
      <c r="AE13" s="31">
        <f t="shared" si="5"/>
        <v>44</v>
      </c>
      <c r="AF13" s="31">
        <f t="shared" si="5"/>
        <v>121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4</v>
      </c>
      <c r="J14" s="50">
        <v>1</v>
      </c>
      <c r="K14" s="50">
        <v>0</v>
      </c>
      <c r="L14" s="50">
        <v>1</v>
      </c>
      <c r="M14" s="50">
        <v>13</v>
      </c>
      <c r="N14" s="50">
        <v>0</v>
      </c>
      <c r="O14" s="15">
        <f t="shared" si="0"/>
        <v>9</v>
      </c>
      <c r="P14" s="15">
        <f t="shared" si="1"/>
        <v>22</v>
      </c>
      <c r="R14" s="1" t="s">
        <v>10</v>
      </c>
      <c r="S14" s="17">
        <f t="shared" ref="S14:AF14" si="6">SUM(C26:C29)</f>
        <v>10</v>
      </c>
      <c r="T14" s="17">
        <f t="shared" si="6"/>
        <v>0</v>
      </c>
      <c r="U14" s="17">
        <f t="shared" si="6"/>
        <v>8</v>
      </c>
      <c r="V14" s="17">
        <f t="shared" si="6"/>
        <v>8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109</v>
      </c>
      <c r="AD14" s="17">
        <f t="shared" si="6"/>
        <v>0</v>
      </c>
      <c r="AE14" s="31">
        <f t="shared" si="6"/>
        <v>33</v>
      </c>
      <c r="AF14" s="31">
        <f t="shared" si="6"/>
        <v>142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16</v>
      </c>
      <c r="N15" s="50">
        <v>0</v>
      </c>
      <c r="O15" s="15">
        <f t="shared" si="0"/>
        <v>1</v>
      </c>
      <c r="P15" s="15">
        <f t="shared" si="1"/>
        <v>17</v>
      </c>
      <c r="R15" s="1" t="s">
        <v>11</v>
      </c>
      <c r="S15" s="17">
        <f t="shared" ref="S15:AF15" si="7">SUM(C30:C33)</f>
        <v>15</v>
      </c>
      <c r="T15" s="17">
        <f t="shared" si="7"/>
        <v>0</v>
      </c>
      <c r="U15" s="17">
        <f t="shared" si="7"/>
        <v>6</v>
      </c>
      <c r="V15" s="17">
        <f t="shared" si="7"/>
        <v>9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71</v>
      </c>
      <c r="AD15" s="17">
        <f t="shared" si="7"/>
        <v>0</v>
      </c>
      <c r="AE15" s="31">
        <f t="shared" si="7"/>
        <v>33</v>
      </c>
      <c r="AF15" s="31">
        <f t="shared" si="7"/>
        <v>104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18</v>
      </c>
      <c r="N16" s="50">
        <v>0</v>
      </c>
      <c r="O16" s="15">
        <f t="shared" si="0"/>
        <v>4</v>
      </c>
      <c r="P16" s="15">
        <f t="shared" si="1"/>
        <v>22</v>
      </c>
      <c r="R16" s="1" t="s">
        <v>12</v>
      </c>
      <c r="S16" s="17">
        <f t="shared" ref="S16:AF16" si="8">SUM(C34:C37)</f>
        <v>10</v>
      </c>
      <c r="T16" s="17">
        <f t="shared" si="8"/>
        <v>0</v>
      </c>
      <c r="U16" s="17">
        <f t="shared" si="8"/>
        <v>7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58</v>
      </c>
      <c r="AD16" s="17">
        <f t="shared" si="8"/>
        <v>0</v>
      </c>
      <c r="AE16" s="31">
        <f t="shared" si="8"/>
        <v>34</v>
      </c>
      <c r="AF16" s="31">
        <f t="shared" si="8"/>
        <v>92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5</v>
      </c>
      <c r="F17" s="50">
        <v>1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13</v>
      </c>
      <c r="N17" s="50">
        <v>0</v>
      </c>
      <c r="O17" s="15">
        <f t="shared" si="0"/>
        <v>9</v>
      </c>
      <c r="P17" s="15">
        <f t="shared" si="1"/>
        <v>22</v>
      </c>
      <c r="R17" s="1" t="s">
        <v>13</v>
      </c>
      <c r="S17" s="17">
        <f t="shared" ref="S17:AF17" si="9">SUM(C38:C41)</f>
        <v>9</v>
      </c>
      <c r="T17" s="17">
        <f t="shared" si="9"/>
        <v>0</v>
      </c>
      <c r="U17" s="17">
        <f t="shared" si="9"/>
        <v>17</v>
      </c>
      <c r="V17" s="17">
        <f t="shared" si="9"/>
        <v>7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62</v>
      </c>
      <c r="AD17" s="17">
        <f t="shared" si="9"/>
        <v>0</v>
      </c>
      <c r="AE17" s="31">
        <f t="shared" si="9"/>
        <v>41</v>
      </c>
      <c r="AF17" s="31">
        <f t="shared" si="9"/>
        <v>103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22</v>
      </c>
      <c r="N18" s="50">
        <v>0</v>
      </c>
      <c r="O18" s="15">
        <f t="shared" si="0"/>
        <v>5</v>
      </c>
      <c r="P18" s="15">
        <f t="shared" si="1"/>
        <v>27</v>
      </c>
      <c r="R18" s="1" t="s">
        <v>14</v>
      </c>
      <c r="S18" s="17">
        <f t="shared" ref="S18:AF18" si="10">SUM(C42:C45)</f>
        <v>8</v>
      </c>
      <c r="T18" s="17">
        <f t="shared" si="10"/>
        <v>0</v>
      </c>
      <c r="U18" s="17">
        <f t="shared" si="10"/>
        <v>8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69</v>
      </c>
      <c r="AD18" s="17">
        <f t="shared" si="10"/>
        <v>0</v>
      </c>
      <c r="AE18" s="31">
        <f t="shared" si="10"/>
        <v>37</v>
      </c>
      <c r="AF18" s="31">
        <f t="shared" si="10"/>
        <v>106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2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24</v>
      </c>
      <c r="N19" s="50">
        <v>0</v>
      </c>
      <c r="O19" s="15">
        <f t="shared" si="0"/>
        <v>8</v>
      </c>
      <c r="P19" s="15">
        <f t="shared" si="1"/>
        <v>32</v>
      </c>
      <c r="R19" s="1" t="s">
        <v>15</v>
      </c>
      <c r="S19" s="17">
        <f t="shared" ref="S19:AF19" si="11">SUM(C46:C49)</f>
        <v>7</v>
      </c>
      <c r="T19" s="17">
        <f t="shared" si="11"/>
        <v>0</v>
      </c>
      <c r="U19" s="17">
        <f t="shared" si="11"/>
        <v>7</v>
      </c>
      <c r="V19" s="17">
        <f t="shared" si="11"/>
        <v>10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68</v>
      </c>
      <c r="AD19" s="17">
        <f t="shared" si="11"/>
        <v>0</v>
      </c>
      <c r="AE19" s="31">
        <f t="shared" si="11"/>
        <v>35</v>
      </c>
      <c r="AF19" s="31">
        <f t="shared" si="11"/>
        <v>103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2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20</v>
      </c>
      <c r="N20" s="50">
        <v>0</v>
      </c>
      <c r="O20" s="15">
        <f t="shared" si="0"/>
        <v>6</v>
      </c>
      <c r="P20" s="15">
        <f t="shared" si="1"/>
        <v>26</v>
      </c>
      <c r="R20" s="1" t="s">
        <v>16</v>
      </c>
      <c r="S20" s="17">
        <f t="shared" ref="S20:AF20" si="12">SUM(C50:C53)</f>
        <v>9</v>
      </c>
      <c r="T20" s="17">
        <f t="shared" si="12"/>
        <v>0</v>
      </c>
      <c r="U20" s="17">
        <f t="shared" si="12"/>
        <v>10</v>
      </c>
      <c r="V20" s="17">
        <f t="shared" si="12"/>
        <v>8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103</v>
      </c>
      <c r="AD20" s="17">
        <f t="shared" si="12"/>
        <v>0</v>
      </c>
      <c r="AE20" s="31">
        <f t="shared" si="12"/>
        <v>33</v>
      </c>
      <c r="AF20" s="31">
        <f t="shared" si="12"/>
        <v>136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1</v>
      </c>
      <c r="F21" s="50">
        <v>3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21</v>
      </c>
      <c r="N21" s="50">
        <v>0</v>
      </c>
      <c r="O21" s="15">
        <f t="shared" si="0"/>
        <v>8</v>
      </c>
      <c r="P21" s="15">
        <f t="shared" si="1"/>
        <v>29</v>
      </c>
      <c r="R21" s="36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8</v>
      </c>
      <c r="V21" s="17">
        <f t="shared" si="13"/>
        <v>9</v>
      </c>
      <c r="W21" s="17">
        <f t="shared" si="13"/>
        <v>1</v>
      </c>
      <c r="X21" s="17">
        <f t="shared" si="13"/>
        <v>0</v>
      </c>
      <c r="Y21" s="17">
        <f t="shared" si="13"/>
        <v>4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92</v>
      </c>
      <c r="AD21" s="17">
        <f t="shared" si="13"/>
        <v>0</v>
      </c>
      <c r="AE21" s="31">
        <f t="shared" si="13"/>
        <v>28</v>
      </c>
      <c r="AF21" s="31">
        <f t="shared" si="13"/>
        <v>120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4</v>
      </c>
      <c r="F22" s="50">
        <v>2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17</v>
      </c>
      <c r="N22" s="50">
        <v>0</v>
      </c>
      <c r="O22" s="15">
        <f t="shared" si="0"/>
        <v>12</v>
      </c>
      <c r="P22" s="15">
        <f t="shared" si="1"/>
        <v>29</v>
      </c>
      <c r="R22" s="38" t="s">
        <v>90</v>
      </c>
      <c r="S22" s="39">
        <f>MAX(S10:S12)</f>
        <v>10</v>
      </c>
      <c r="T22" s="39">
        <f t="shared" ref="T22:AF22" si="14">MAX(T10:T12)</f>
        <v>0</v>
      </c>
      <c r="U22" s="39">
        <f t="shared" si="14"/>
        <v>13</v>
      </c>
      <c r="V22" s="39">
        <f t="shared" si="14"/>
        <v>7</v>
      </c>
      <c r="W22" s="39">
        <f t="shared" si="14"/>
        <v>0</v>
      </c>
      <c r="X22" s="39">
        <f t="shared" si="14"/>
        <v>0</v>
      </c>
      <c r="Y22" s="39">
        <f t="shared" si="14"/>
        <v>8</v>
      </c>
      <c r="Z22" s="39">
        <f t="shared" si="14"/>
        <v>1</v>
      </c>
      <c r="AA22" s="39">
        <f t="shared" si="14"/>
        <v>1</v>
      </c>
      <c r="AB22" s="39">
        <f t="shared" si="14"/>
        <v>1</v>
      </c>
      <c r="AC22" s="39">
        <f t="shared" si="14"/>
        <v>87</v>
      </c>
      <c r="AD22" s="39">
        <f t="shared" si="14"/>
        <v>0</v>
      </c>
      <c r="AE22" s="40">
        <f t="shared" si="14"/>
        <v>27</v>
      </c>
      <c r="AF22" s="40">
        <f t="shared" si="14"/>
        <v>114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3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20</v>
      </c>
      <c r="N23" s="50">
        <v>0</v>
      </c>
      <c r="O23" s="15">
        <f t="shared" si="0"/>
        <v>8</v>
      </c>
      <c r="P23" s="15">
        <f t="shared" si="1"/>
        <v>28</v>
      </c>
      <c r="R23" s="38" t="s">
        <v>91</v>
      </c>
      <c r="S23" s="39">
        <f>MAX(S13:S18)</f>
        <v>15</v>
      </c>
      <c r="T23" s="39">
        <f t="shared" ref="T23:AF23" si="15">MAX(T13:T18)</f>
        <v>0</v>
      </c>
      <c r="U23" s="39">
        <f t="shared" si="15"/>
        <v>17</v>
      </c>
      <c r="V23" s="39">
        <f t="shared" si="15"/>
        <v>9</v>
      </c>
      <c r="W23" s="39">
        <f t="shared" si="15"/>
        <v>0</v>
      </c>
      <c r="X23" s="39">
        <f t="shared" si="15"/>
        <v>0</v>
      </c>
      <c r="Y23" s="39">
        <f t="shared" si="15"/>
        <v>12</v>
      </c>
      <c r="Z23" s="39">
        <f t="shared" si="15"/>
        <v>0</v>
      </c>
      <c r="AA23" s="39">
        <f t="shared" si="15"/>
        <v>2</v>
      </c>
      <c r="AB23" s="39">
        <f t="shared" si="15"/>
        <v>0</v>
      </c>
      <c r="AC23" s="39">
        <f t="shared" si="15"/>
        <v>109</v>
      </c>
      <c r="AD23" s="39">
        <f t="shared" si="15"/>
        <v>0</v>
      </c>
      <c r="AE23" s="40">
        <f t="shared" si="15"/>
        <v>44</v>
      </c>
      <c r="AF23" s="40">
        <f t="shared" si="15"/>
        <v>142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6</v>
      </c>
      <c r="F24" s="50">
        <v>0</v>
      </c>
      <c r="G24" s="50">
        <v>0</v>
      </c>
      <c r="H24" s="50">
        <v>0</v>
      </c>
      <c r="I24" s="50">
        <v>5</v>
      </c>
      <c r="J24" s="50">
        <v>0</v>
      </c>
      <c r="K24" s="50">
        <v>1</v>
      </c>
      <c r="L24" s="50">
        <v>0</v>
      </c>
      <c r="M24" s="50">
        <v>18</v>
      </c>
      <c r="N24" s="50">
        <v>0</v>
      </c>
      <c r="O24" s="15">
        <f t="shared" si="0"/>
        <v>16</v>
      </c>
      <c r="P24" s="15">
        <f t="shared" si="1"/>
        <v>34</v>
      </c>
      <c r="R24" s="38" t="s">
        <v>92</v>
      </c>
      <c r="S24" s="39">
        <f>MAX(S19:S21)</f>
        <v>9</v>
      </c>
      <c r="T24" s="39">
        <f t="shared" ref="T24:AF24" si="16">MAX(T19:T21)</f>
        <v>0</v>
      </c>
      <c r="U24" s="39">
        <f t="shared" si="16"/>
        <v>10</v>
      </c>
      <c r="V24" s="39">
        <f t="shared" si="16"/>
        <v>10</v>
      </c>
      <c r="W24" s="39">
        <f t="shared" si="16"/>
        <v>1</v>
      </c>
      <c r="X24" s="39">
        <f t="shared" si="16"/>
        <v>0</v>
      </c>
      <c r="Y24" s="39">
        <f t="shared" si="16"/>
        <v>10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103</v>
      </c>
      <c r="AD24" s="39">
        <f t="shared" si="16"/>
        <v>0</v>
      </c>
      <c r="AE24" s="40">
        <f t="shared" si="16"/>
        <v>35</v>
      </c>
      <c r="AF24" s="40">
        <f t="shared" si="16"/>
        <v>136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4</v>
      </c>
      <c r="G25" s="50">
        <v>0</v>
      </c>
      <c r="H25" s="50">
        <v>0</v>
      </c>
      <c r="I25" s="50">
        <v>1</v>
      </c>
      <c r="J25" s="50">
        <v>0</v>
      </c>
      <c r="K25" s="50">
        <v>1</v>
      </c>
      <c r="L25" s="50">
        <v>0</v>
      </c>
      <c r="M25" s="50">
        <v>22</v>
      </c>
      <c r="N25" s="50">
        <v>0</v>
      </c>
      <c r="O25" s="15">
        <f t="shared" si="0"/>
        <v>8</v>
      </c>
      <c r="P25" s="15">
        <f t="shared" si="1"/>
        <v>30</v>
      </c>
      <c r="R25" s="37" t="s">
        <v>85</v>
      </c>
      <c r="S25" s="35">
        <f t="shared" ref="S25:AF25" si="17">SUM(S10:S12)</f>
        <v>18</v>
      </c>
      <c r="T25" s="16">
        <f t="shared" si="17"/>
        <v>0</v>
      </c>
      <c r="U25" s="16">
        <f t="shared" si="17"/>
        <v>27</v>
      </c>
      <c r="V25" s="16">
        <f t="shared" si="17"/>
        <v>12</v>
      </c>
      <c r="W25" s="16">
        <f t="shared" si="17"/>
        <v>0</v>
      </c>
      <c r="X25" s="16">
        <f t="shared" si="17"/>
        <v>0</v>
      </c>
      <c r="Y25" s="16">
        <f t="shared" si="17"/>
        <v>15</v>
      </c>
      <c r="Z25" s="16">
        <f t="shared" si="17"/>
        <v>1</v>
      </c>
      <c r="AA25" s="16">
        <f t="shared" si="17"/>
        <v>1</v>
      </c>
      <c r="AB25" s="16">
        <f t="shared" si="17"/>
        <v>1</v>
      </c>
      <c r="AC25" s="16">
        <f t="shared" si="17"/>
        <v>198</v>
      </c>
      <c r="AD25" s="16">
        <f t="shared" si="17"/>
        <v>0</v>
      </c>
      <c r="AE25" s="32">
        <f t="shared" si="17"/>
        <v>75</v>
      </c>
      <c r="AF25" s="32">
        <f t="shared" si="17"/>
        <v>273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0</v>
      </c>
      <c r="M26" s="50">
        <v>21</v>
      </c>
      <c r="N26" s="50">
        <v>0</v>
      </c>
      <c r="O26" s="15">
        <f t="shared" si="0"/>
        <v>5</v>
      </c>
      <c r="P26" s="15">
        <f t="shared" si="1"/>
        <v>26</v>
      </c>
      <c r="R26" s="28" t="s">
        <v>86</v>
      </c>
      <c r="S26" s="16">
        <f t="shared" ref="S26:AF26" si="18">SUM(S13:S18)</f>
        <v>62</v>
      </c>
      <c r="T26" s="16">
        <f t="shared" si="18"/>
        <v>0</v>
      </c>
      <c r="U26" s="16">
        <f t="shared" si="18"/>
        <v>59</v>
      </c>
      <c r="V26" s="16">
        <f t="shared" si="18"/>
        <v>45</v>
      </c>
      <c r="W26" s="16">
        <f t="shared" si="18"/>
        <v>0</v>
      </c>
      <c r="X26" s="16">
        <f t="shared" si="18"/>
        <v>0</v>
      </c>
      <c r="Y26" s="16">
        <f t="shared" si="18"/>
        <v>49</v>
      </c>
      <c r="Z26" s="16">
        <f t="shared" si="18"/>
        <v>0</v>
      </c>
      <c r="AA26" s="16">
        <f t="shared" si="18"/>
        <v>7</v>
      </c>
      <c r="AB26" s="16">
        <f t="shared" si="18"/>
        <v>0</v>
      </c>
      <c r="AC26" s="16">
        <f t="shared" si="18"/>
        <v>446</v>
      </c>
      <c r="AD26" s="16">
        <f t="shared" si="18"/>
        <v>0</v>
      </c>
      <c r="AE26" s="32">
        <f t="shared" si="18"/>
        <v>222</v>
      </c>
      <c r="AF26" s="32">
        <f t="shared" si="18"/>
        <v>668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5</v>
      </c>
      <c r="F27" s="50">
        <v>2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26</v>
      </c>
      <c r="N27" s="50">
        <v>0</v>
      </c>
      <c r="O27" s="15">
        <f t="shared" si="0"/>
        <v>10</v>
      </c>
      <c r="P27" s="15">
        <f t="shared" si="1"/>
        <v>36</v>
      </c>
      <c r="R27" s="29" t="s">
        <v>87</v>
      </c>
      <c r="S27" s="16">
        <f t="shared" ref="S27:AF27" si="19">SUM(S19:S21)</f>
        <v>21</v>
      </c>
      <c r="T27" s="16">
        <f t="shared" si="19"/>
        <v>0</v>
      </c>
      <c r="U27" s="16">
        <f t="shared" si="19"/>
        <v>25</v>
      </c>
      <c r="V27" s="16">
        <f t="shared" si="19"/>
        <v>27</v>
      </c>
      <c r="W27" s="16">
        <f t="shared" si="19"/>
        <v>2</v>
      </c>
      <c r="X27" s="16">
        <f t="shared" si="19"/>
        <v>0</v>
      </c>
      <c r="Y27" s="16">
        <f t="shared" si="19"/>
        <v>20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263</v>
      </c>
      <c r="AD27" s="16">
        <f t="shared" si="19"/>
        <v>0</v>
      </c>
      <c r="AE27" s="32">
        <f t="shared" si="19"/>
        <v>96</v>
      </c>
      <c r="AF27" s="32">
        <f t="shared" si="19"/>
        <v>359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1</v>
      </c>
      <c r="F28" s="50">
        <v>4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33</v>
      </c>
      <c r="N28" s="50">
        <v>0</v>
      </c>
      <c r="O28" s="15">
        <f t="shared" si="0"/>
        <v>11</v>
      </c>
      <c r="P28" s="15">
        <f t="shared" si="1"/>
        <v>44</v>
      </c>
      <c r="R28" s="5" t="s">
        <v>17</v>
      </c>
      <c r="S28" s="16">
        <f t="shared" ref="S28:AF28" si="20">SUM(S10:S21)</f>
        <v>101</v>
      </c>
      <c r="T28" s="16">
        <f t="shared" si="20"/>
        <v>0</v>
      </c>
      <c r="U28" s="16">
        <f t="shared" si="20"/>
        <v>111</v>
      </c>
      <c r="V28" s="16">
        <f t="shared" si="20"/>
        <v>84</v>
      </c>
      <c r="W28" s="16">
        <f t="shared" si="20"/>
        <v>2</v>
      </c>
      <c r="X28" s="16">
        <f t="shared" si="20"/>
        <v>0</v>
      </c>
      <c r="Y28" s="16">
        <f t="shared" si="20"/>
        <v>84</v>
      </c>
      <c r="Z28" s="16">
        <f t="shared" si="20"/>
        <v>2</v>
      </c>
      <c r="AA28" s="16">
        <f t="shared" si="20"/>
        <v>8</v>
      </c>
      <c r="AB28" s="16">
        <f t="shared" si="20"/>
        <v>1</v>
      </c>
      <c r="AC28" s="16">
        <f t="shared" si="20"/>
        <v>907</v>
      </c>
      <c r="AD28" s="16">
        <f t="shared" si="20"/>
        <v>0</v>
      </c>
      <c r="AE28" s="32">
        <f t="shared" si="20"/>
        <v>393</v>
      </c>
      <c r="AF28" s="32">
        <f t="shared" si="20"/>
        <v>1300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2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29</v>
      </c>
      <c r="N29" s="50">
        <v>0</v>
      </c>
      <c r="O29" s="15">
        <f t="shared" si="0"/>
        <v>7</v>
      </c>
      <c r="P29" s="15">
        <f t="shared" si="1"/>
        <v>36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4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11</v>
      </c>
      <c r="P30" s="15">
        <f t="shared" si="1"/>
        <v>30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20</v>
      </c>
      <c r="N31" s="50">
        <v>0</v>
      </c>
      <c r="O31" s="15">
        <f t="shared" si="0"/>
        <v>5</v>
      </c>
      <c r="P31" s="15">
        <f t="shared" si="1"/>
        <v>25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1</v>
      </c>
      <c r="F32" s="50">
        <v>3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8</v>
      </c>
      <c r="P32" s="15">
        <f t="shared" si="1"/>
        <v>24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1</v>
      </c>
      <c r="F33" s="50">
        <v>4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16</v>
      </c>
      <c r="N33" s="50">
        <v>0</v>
      </c>
      <c r="O33" s="15">
        <f t="shared" si="0"/>
        <v>9</v>
      </c>
      <c r="P33" s="15">
        <f t="shared" si="1"/>
        <v>25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2</v>
      </c>
      <c r="F34" s="50">
        <v>2</v>
      </c>
      <c r="G34" s="50">
        <v>0</v>
      </c>
      <c r="H34" s="50">
        <v>0</v>
      </c>
      <c r="I34" s="50">
        <v>6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12</v>
      </c>
      <c r="P34" s="15">
        <f t="shared" si="1"/>
        <v>21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8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14</v>
      </c>
      <c r="N36" s="50">
        <v>0</v>
      </c>
      <c r="O36" s="15">
        <f t="shared" si="0"/>
        <v>5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3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1</v>
      </c>
      <c r="L37" s="50">
        <v>0</v>
      </c>
      <c r="M37" s="50">
        <v>22</v>
      </c>
      <c r="N37" s="50">
        <v>0</v>
      </c>
      <c r="O37" s="15">
        <f t="shared" si="0"/>
        <v>9</v>
      </c>
      <c r="P37" s="15">
        <f t="shared" si="1"/>
        <v>31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9</v>
      </c>
      <c r="F38" s="50">
        <v>2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16</v>
      </c>
      <c r="N38" s="50">
        <v>0</v>
      </c>
      <c r="O38" s="15">
        <f t="shared" si="0"/>
        <v>15</v>
      </c>
      <c r="P38" s="15">
        <f t="shared" si="1"/>
        <v>31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3</v>
      </c>
      <c r="P39" s="15">
        <f t="shared" si="1"/>
        <v>17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7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13</v>
      </c>
      <c r="P40" s="15">
        <f t="shared" si="1"/>
        <v>29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4</v>
      </c>
      <c r="J41" s="50">
        <v>0</v>
      </c>
      <c r="K41" s="50">
        <v>1</v>
      </c>
      <c r="L41" s="50">
        <v>0</v>
      </c>
      <c r="M41" s="50">
        <v>16</v>
      </c>
      <c r="N41" s="50">
        <v>0</v>
      </c>
      <c r="O41" s="15">
        <f t="shared" si="0"/>
        <v>10</v>
      </c>
      <c r="P41" s="15">
        <f t="shared" si="1"/>
        <v>26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2</v>
      </c>
      <c r="F42" s="50">
        <v>3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16</v>
      </c>
      <c r="N42" s="50">
        <v>0</v>
      </c>
      <c r="O42" s="15">
        <f t="shared" si="0"/>
        <v>9</v>
      </c>
      <c r="P42" s="15">
        <f t="shared" si="1"/>
        <v>25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2</v>
      </c>
      <c r="F43" s="50">
        <v>1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12</v>
      </c>
      <c r="N43" s="50">
        <v>0</v>
      </c>
      <c r="O43" s="15">
        <f t="shared" si="0"/>
        <v>7</v>
      </c>
      <c r="P43" s="15">
        <f t="shared" si="1"/>
        <v>19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2</v>
      </c>
      <c r="F44" s="50">
        <v>4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16</v>
      </c>
      <c r="N44" s="50">
        <v>0</v>
      </c>
      <c r="O44" s="15">
        <f t="shared" si="0"/>
        <v>12</v>
      </c>
      <c r="P44" s="15">
        <f t="shared" si="1"/>
        <v>28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2</v>
      </c>
      <c r="F45" s="50">
        <v>0</v>
      </c>
      <c r="G45" s="50">
        <v>0</v>
      </c>
      <c r="H45" s="50">
        <v>0</v>
      </c>
      <c r="I45" s="50">
        <v>3</v>
      </c>
      <c r="J45" s="50">
        <v>0</v>
      </c>
      <c r="K45" s="50">
        <v>1</v>
      </c>
      <c r="L45" s="50">
        <v>0</v>
      </c>
      <c r="M45" s="50">
        <v>25</v>
      </c>
      <c r="N45" s="50">
        <v>0</v>
      </c>
      <c r="O45" s="15">
        <f t="shared" si="0"/>
        <v>9</v>
      </c>
      <c r="P45" s="15">
        <f t="shared" si="1"/>
        <v>34</v>
      </c>
    </row>
    <row r="46" spans="2:20" ht="23.1" customHeight="1" x14ac:dyDescent="0.25">
      <c r="B46" s="24" t="s">
        <v>73</v>
      </c>
      <c r="C46" s="50">
        <v>5</v>
      </c>
      <c r="D46" s="50">
        <v>0</v>
      </c>
      <c r="E46" s="50">
        <v>1</v>
      </c>
      <c r="F46" s="50">
        <v>1</v>
      </c>
      <c r="G46" s="50">
        <v>1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14</v>
      </c>
      <c r="N46" s="50">
        <v>0</v>
      </c>
      <c r="O46" s="15">
        <f t="shared" si="0"/>
        <v>12</v>
      </c>
      <c r="P46" s="15">
        <f t="shared" si="1"/>
        <v>26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2</v>
      </c>
      <c r="F47" s="50">
        <v>3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22</v>
      </c>
      <c r="N47" s="50">
        <v>0</v>
      </c>
      <c r="O47" s="15">
        <f t="shared" si="0"/>
        <v>7</v>
      </c>
      <c r="P47" s="15">
        <f t="shared" si="1"/>
        <v>29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2</v>
      </c>
      <c r="F48" s="50">
        <v>4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11</v>
      </c>
      <c r="P48" s="15">
        <f t="shared" si="1"/>
        <v>23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2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5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3</v>
      </c>
      <c r="F50" s="50">
        <v>2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25</v>
      </c>
      <c r="N50" s="50">
        <v>0</v>
      </c>
      <c r="O50" s="15">
        <f t="shared" si="0"/>
        <v>9</v>
      </c>
      <c r="P50" s="15">
        <f t="shared" si="1"/>
        <v>34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4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31</v>
      </c>
      <c r="N51" s="50">
        <v>0</v>
      </c>
      <c r="O51" s="15">
        <f t="shared" si="0"/>
        <v>7</v>
      </c>
      <c r="P51" s="15">
        <f t="shared" si="1"/>
        <v>38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1</v>
      </c>
      <c r="F52" s="50">
        <v>3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22</v>
      </c>
      <c r="N52" s="50">
        <v>0</v>
      </c>
      <c r="O52" s="15">
        <f t="shared" si="0"/>
        <v>10</v>
      </c>
      <c r="P52" s="15">
        <f t="shared" si="1"/>
        <v>32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2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25</v>
      </c>
      <c r="N53" s="50">
        <v>0</v>
      </c>
      <c r="O53" s="15">
        <f t="shared" si="0"/>
        <v>7</v>
      </c>
      <c r="P53" s="15">
        <f t="shared" si="1"/>
        <v>32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4</v>
      </c>
      <c r="F54" s="50">
        <v>5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25</v>
      </c>
      <c r="N54" s="50">
        <v>0</v>
      </c>
      <c r="O54" s="15">
        <f t="shared" si="0"/>
        <v>11</v>
      </c>
      <c r="P54" s="15">
        <f t="shared" si="1"/>
        <v>36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2</v>
      </c>
      <c r="G55" s="50">
        <v>1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24</v>
      </c>
      <c r="N55" s="50">
        <v>0</v>
      </c>
      <c r="O55" s="15">
        <f t="shared" si="0"/>
        <v>3</v>
      </c>
      <c r="P55" s="15">
        <f t="shared" si="1"/>
        <v>27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1</v>
      </c>
      <c r="F56" s="50">
        <v>1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19</v>
      </c>
      <c r="N56" s="50">
        <v>0</v>
      </c>
      <c r="O56" s="15">
        <f t="shared" si="0"/>
        <v>6</v>
      </c>
      <c r="P56" s="15">
        <f t="shared" si="1"/>
        <v>25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3</v>
      </c>
      <c r="F57" s="50">
        <v>1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24</v>
      </c>
      <c r="N57" s="50">
        <v>0</v>
      </c>
      <c r="O57" s="15">
        <f t="shared" si="0"/>
        <v>8</v>
      </c>
      <c r="P57" s="15">
        <f t="shared" si="1"/>
        <v>32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101</v>
      </c>
      <c r="D58" s="16">
        <f t="shared" si="21"/>
        <v>0</v>
      </c>
      <c r="E58" s="16">
        <f t="shared" si="21"/>
        <v>111</v>
      </c>
      <c r="F58" s="16">
        <f t="shared" si="21"/>
        <v>84</v>
      </c>
      <c r="G58" s="16">
        <f t="shared" si="21"/>
        <v>2</v>
      </c>
      <c r="H58" s="16">
        <f t="shared" si="21"/>
        <v>0</v>
      </c>
      <c r="I58" s="16">
        <f t="shared" si="21"/>
        <v>84</v>
      </c>
      <c r="J58" s="16">
        <f t="shared" si="21"/>
        <v>2</v>
      </c>
      <c r="K58" s="16">
        <f t="shared" si="21"/>
        <v>8</v>
      </c>
      <c r="L58" s="16">
        <f t="shared" si="21"/>
        <v>1</v>
      </c>
      <c r="M58" s="16">
        <f t="shared" si="21"/>
        <v>907</v>
      </c>
      <c r="N58" s="16">
        <f t="shared" si="21"/>
        <v>0</v>
      </c>
      <c r="O58" s="16">
        <f t="shared" si="21"/>
        <v>393</v>
      </c>
      <c r="P58" s="16">
        <f t="shared" si="21"/>
        <v>1300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7.7692307692307686E-2</v>
      </c>
      <c r="D59" s="43">
        <f t="shared" si="22"/>
        <v>0</v>
      </c>
      <c r="E59" s="43">
        <f t="shared" si="22"/>
        <v>8.5384615384615378E-2</v>
      </c>
      <c r="F59" s="43">
        <f t="shared" si="22"/>
        <v>6.4615384615384616E-2</v>
      </c>
      <c r="G59" s="43">
        <f t="shared" si="22"/>
        <v>1.5384615384615385E-3</v>
      </c>
      <c r="H59" s="43">
        <f t="shared" si="22"/>
        <v>0</v>
      </c>
      <c r="I59" s="43">
        <f t="shared" si="22"/>
        <v>6.4615384615384616E-2</v>
      </c>
      <c r="J59" s="43">
        <f t="shared" si="22"/>
        <v>1.5384615384615385E-3</v>
      </c>
      <c r="K59" s="43">
        <f t="shared" si="22"/>
        <v>6.1538461538461538E-3</v>
      </c>
      <c r="L59" s="43">
        <f t="shared" si="22"/>
        <v>7.6923076923076923E-4</v>
      </c>
      <c r="M59" s="43">
        <f t="shared" si="22"/>
        <v>0.69769230769230772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0.25699745547073793</v>
      </c>
      <c r="D60" s="44">
        <f t="shared" ref="D60:N60" si="23">D58/$O$58</f>
        <v>0</v>
      </c>
      <c r="E60" s="44">
        <f t="shared" si="23"/>
        <v>0.28244274809160308</v>
      </c>
      <c r="F60" s="44">
        <f t="shared" si="23"/>
        <v>0.21374045801526717</v>
      </c>
      <c r="G60" s="44">
        <f t="shared" si="23"/>
        <v>5.0890585241730284E-3</v>
      </c>
      <c r="H60" s="44">
        <f t="shared" si="23"/>
        <v>0</v>
      </c>
      <c r="I60" s="44">
        <f t="shared" si="23"/>
        <v>0.21374045801526717</v>
      </c>
      <c r="J60" s="44">
        <f t="shared" si="23"/>
        <v>5.0890585241730284E-3</v>
      </c>
      <c r="K60" s="44">
        <f t="shared" si="23"/>
        <v>2.0356234096692113E-2</v>
      </c>
      <c r="L60" s="44">
        <f t="shared" si="23"/>
        <v>2.5445292620865142E-3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topLeftCell="A4" zoomScale="60" workbookViewId="0">
      <selection activeCell="L10" sqref="L10:L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Bukaya-Kampala'!C3:G3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'22.08 Kampala-Bukaya'!D5</f>
        <v>22.08.19</v>
      </c>
      <c r="E5" s="3"/>
      <c r="F5" s="41" t="s">
        <v>1</v>
      </c>
      <c r="G5" s="63" t="str">
        <f>'22.08 Kampala-Bukaya'!G5:H5</f>
        <v>Nyenga</v>
      </c>
      <c r="H5" s="64"/>
      <c r="I5" s="14"/>
      <c r="J5" s="2" t="s">
        <v>5</v>
      </c>
      <c r="K5" s="63" t="str">
        <f>'22.08 Kampala-Bukaya'!K5:L5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Bukaya-Kampala'!D6:E6</f>
        <v>Bukaya</v>
      </c>
      <c r="E6" s="64"/>
      <c r="F6" s="2" t="s">
        <v>2</v>
      </c>
      <c r="G6" s="63" t="str">
        <f>'19.08 Bukaya-Kampala'!G6:H6</f>
        <v>Kampala</v>
      </c>
      <c r="H6" s="64"/>
      <c r="J6" s="2" t="s">
        <v>21</v>
      </c>
      <c r="K6" s="63" t="str">
        <f>'22.08 Kampala-Bukaya'!K6:L6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4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54</v>
      </c>
      <c r="AD10" s="17">
        <f t="shared" si="2"/>
        <v>0</v>
      </c>
      <c r="AE10" s="31">
        <f t="shared" si="2"/>
        <v>13</v>
      </c>
      <c r="AF10" s="31">
        <f t="shared" si="2"/>
        <v>67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2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3</v>
      </c>
      <c r="P11" s="15">
        <f t="shared" si="1"/>
        <v>12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7</v>
      </c>
      <c r="V11" s="17">
        <f t="shared" si="3"/>
        <v>4</v>
      </c>
      <c r="W11" s="17">
        <f t="shared" si="3"/>
        <v>1</v>
      </c>
      <c r="X11" s="17">
        <f t="shared" si="3"/>
        <v>0</v>
      </c>
      <c r="Y11" s="17">
        <f t="shared" si="3"/>
        <v>3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67</v>
      </c>
      <c r="AD11" s="17">
        <f t="shared" si="3"/>
        <v>0</v>
      </c>
      <c r="AE11" s="31">
        <f t="shared" si="3"/>
        <v>22</v>
      </c>
      <c r="AF11" s="31">
        <f t="shared" si="3"/>
        <v>89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21</v>
      </c>
      <c r="N12" s="50">
        <v>0</v>
      </c>
      <c r="O12" s="15">
        <f t="shared" si="0"/>
        <v>1</v>
      </c>
      <c r="P12" s="15">
        <f t="shared" si="1"/>
        <v>22</v>
      </c>
      <c r="R12" s="1" t="s">
        <v>8</v>
      </c>
      <c r="S12" s="17">
        <f t="shared" ref="S12:AF12" si="4">SUM(C18:C21)</f>
        <v>5</v>
      </c>
      <c r="T12" s="17">
        <f t="shared" si="4"/>
        <v>0</v>
      </c>
      <c r="U12" s="17">
        <f t="shared" si="4"/>
        <v>4</v>
      </c>
      <c r="V12" s="17">
        <f t="shared" si="4"/>
        <v>5</v>
      </c>
      <c r="W12" s="17">
        <f t="shared" si="4"/>
        <v>1</v>
      </c>
      <c r="X12" s="17">
        <f t="shared" si="4"/>
        <v>1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78</v>
      </c>
      <c r="AD12" s="17">
        <f t="shared" si="4"/>
        <v>0</v>
      </c>
      <c r="AE12" s="31">
        <f t="shared" si="4"/>
        <v>20</v>
      </c>
      <c r="AF12" s="31">
        <f t="shared" si="4"/>
        <v>98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4</v>
      </c>
      <c r="P13" s="15">
        <f t="shared" si="1"/>
        <v>16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9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86</v>
      </c>
      <c r="AD13" s="17">
        <f t="shared" si="5"/>
        <v>0</v>
      </c>
      <c r="AE13" s="31">
        <f t="shared" si="5"/>
        <v>19</v>
      </c>
      <c r="AF13" s="31">
        <f t="shared" si="5"/>
        <v>105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18</v>
      </c>
      <c r="N14" s="50">
        <v>0</v>
      </c>
      <c r="O14" s="15">
        <f t="shared" si="0"/>
        <v>2</v>
      </c>
      <c r="P14" s="15">
        <f t="shared" si="1"/>
        <v>20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8</v>
      </c>
      <c r="V14" s="17">
        <f t="shared" si="6"/>
        <v>8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90</v>
      </c>
      <c r="AD14" s="17">
        <f t="shared" si="6"/>
        <v>0</v>
      </c>
      <c r="AE14" s="31">
        <f t="shared" si="6"/>
        <v>30</v>
      </c>
      <c r="AF14" s="31">
        <f t="shared" si="6"/>
        <v>120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2</v>
      </c>
      <c r="F15" s="50">
        <v>1</v>
      </c>
      <c r="G15" s="50">
        <v>0</v>
      </c>
      <c r="H15" s="50">
        <v>0</v>
      </c>
      <c r="I15" s="50">
        <v>2</v>
      </c>
      <c r="J15" s="50">
        <v>0</v>
      </c>
      <c r="K15" s="50">
        <v>1</v>
      </c>
      <c r="L15" s="50">
        <v>0</v>
      </c>
      <c r="M15" s="50">
        <v>22</v>
      </c>
      <c r="N15" s="50">
        <v>0</v>
      </c>
      <c r="O15" s="15">
        <f t="shared" si="0"/>
        <v>8</v>
      </c>
      <c r="P15" s="15">
        <f t="shared" si="1"/>
        <v>30</v>
      </c>
      <c r="R15" s="1" t="s">
        <v>11</v>
      </c>
      <c r="S15" s="17">
        <f t="shared" ref="S15:AF15" si="7">SUM(C30:C33)</f>
        <v>5</v>
      </c>
      <c r="T15" s="17">
        <f t="shared" si="7"/>
        <v>0</v>
      </c>
      <c r="U15" s="17">
        <f t="shared" si="7"/>
        <v>14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85</v>
      </c>
      <c r="AD15" s="17">
        <f t="shared" si="7"/>
        <v>0</v>
      </c>
      <c r="AE15" s="31">
        <f t="shared" si="7"/>
        <v>28</v>
      </c>
      <c r="AF15" s="31">
        <f t="shared" si="7"/>
        <v>113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16</v>
      </c>
      <c r="N16" s="50">
        <v>0</v>
      </c>
      <c r="O16" s="15">
        <f t="shared" si="0"/>
        <v>2</v>
      </c>
      <c r="P16" s="15">
        <f t="shared" si="1"/>
        <v>18</v>
      </c>
      <c r="R16" s="1" t="s">
        <v>12</v>
      </c>
      <c r="S16" s="17">
        <f t="shared" ref="S16:AF16" si="8">SUM(C34:C37)</f>
        <v>11</v>
      </c>
      <c r="T16" s="17">
        <f t="shared" si="8"/>
        <v>0</v>
      </c>
      <c r="U16" s="17">
        <f t="shared" si="8"/>
        <v>9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82</v>
      </c>
      <c r="AD16" s="17">
        <f t="shared" si="8"/>
        <v>0</v>
      </c>
      <c r="AE16" s="31">
        <f t="shared" si="8"/>
        <v>29</v>
      </c>
      <c r="AF16" s="31">
        <f t="shared" si="8"/>
        <v>111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4</v>
      </c>
      <c r="F17" s="50">
        <v>2</v>
      </c>
      <c r="G17" s="50">
        <v>1</v>
      </c>
      <c r="H17" s="50">
        <v>0</v>
      </c>
      <c r="I17" s="50">
        <v>1</v>
      </c>
      <c r="J17" s="50">
        <v>1</v>
      </c>
      <c r="K17" s="50">
        <v>1</v>
      </c>
      <c r="L17" s="50">
        <v>0</v>
      </c>
      <c r="M17" s="50">
        <v>11</v>
      </c>
      <c r="N17" s="50">
        <v>0</v>
      </c>
      <c r="O17" s="15">
        <f t="shared" si="0"/>
        <v>10</v>
      </c>
      <c r="P17" s="15">
        <f t="shared" si="1"/>
        <v>21</v>
      </c>
      <c r="R17" s="1" t="s">
        <v>13</v>
      </c>
      <c r="S17" s="17">
        <f t="shared" ref="S17:AF17" si="9">SUM(C38:C41)</f>
        <v>8</v>
      </c>
      <c r="T17" s="17">
        <f t="shared" si="9"/>
        <v>0</v>
      </c>
      <c r="U17" s="17">
        <f t="shared" si="9"/>
        <v>6</v>
      </c>
      <c r="V17" s="17">
        <f t="shared" si="9"/>
        <v>6</v>
      </c>
      <c r="W17" s="17">
        <f t="shared" si="9"/>
        <v>1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67</v>
      </c>
      <c r="AD17" s="17">
        <f t="shared" si="9"/>
        <v>0</v>
      </c>
      <c r="AE17" s="31">
        <f t="shared" si="9"/>
        <v>26</v>
      </c>
      <c r="AF17" s="31">
        <f t="shared" si="9"/>
        <v>93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2</v>
      </c>
      <c r="F18" s="50">
        <v>0</v>
      </c>
      <c r="G18" s="50">
        <v>0</v>
      </c>
      <c r="H18" s="50">
        <v>1</v>
      </c>
      <c r="I18" s="50">
        <v>2</v>
      </c>
      <c r="J18" s="50">
        <v>0</v>
      </c>
      <c r="K18" s="50">
        <v>0</v>
      </c>
      <c r="L18" s="50">
        <v>0</v>
      </c>
      <c r="M18" s="50">
        <v>18</v>
      </c>
      <c r="N18" s="50">
        <v>0</v>
      </c>
      <c r="O18" s="15">
        <f t="shared" si="0"/>
        <v>5</v>
      </c>
      <c r="P18" s="15">
        <f t="shared" si="1"/>
        <v>23</v>
      </c>
      <c r="R18" s="1" t="s">
        <v>14</v>
      </c>
      <c r="S18" s="17">
        <f t="shared" ref="S18:AF18" si="10">SUM(C42:C45)</f>
        <v>13</v>
      </c>
      <c r="T18" s="17">
        <f t="shared" si="10"/>
        <v>0</v>
      </c>
      <c r="U18" s="17">
        <f t="shared" si="10"/>
        <v>9</v>
      </c>
      <c r="V18" s="17">
        <f t="shared" si="10"/>
        <v>6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80</v>
      </c>
      <c r="AD18" s="17">
        <f t="shared" si="10"/>
        <v>0</v>
      </c>
      <c r="AE18" s="31">
        <f t="shared" si="10"/>
        <v>41</v>
      </c>
      <c r="AF18" s="31">
        <f t="shared" si="10"/>
        <v>121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1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16</v>
      </c>
      <c r="N19" s="50">
        <v>0</v>
      </c>
      <c r="O19" s="15">
        <f t="shared" si="0"/>
        <v>7</v>
      </c>
      <c r="P19" s="15">
        <f t="shared" si="1"/>
        <v>23</v>
      </c>
      <c r="R19" s="1" t="s">
        <v>15</v>
      </c>
      <c r="S19" s="17">
        <f t="shared" ref="S19:AF19" si="11">SUM(C46:C49)</f>
        <v>11</v>
      </c>
      <c r="T19" s="17">
        <f t="shared" si="11"/>
        <v>0</v>
      </c>
      <c r="U19" s="17">
        <f t="shared" si="11"/>
        <v>18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0</v>
      </c>
      <c r="AA19" s="17">
        <f t="shared" si="11"/>
        <v>2</v>
      </c>
      <c r="AB19" s="17">
        <f t="shared" si="11"/>
        <v>0</v>
      </c>
      <c r="AC19" s="17">
        <f t="shared" si="11"/>
        <v>86</v>
      </c>
      <c r="AD19" s="17">
        <f t="shared" si="11"/>
        <v>0</v>
      </c>
      <c r="AE19" s="31">
        <f t="shared" si="11"/>
        <v>44</v>
      </c>
      <c r="AF19" s="31">
        <f t="shared" si="11"/>
        <v>130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3</v>
      </c>
      <c r="P20" s="15">
        <f t="shared" si="1"/>
        <v>18</v>
      </c>
      <c r="R20" s="1" t="s">
        <v>16</v>
      </c>
      <c r="S20" s="17">
        <f t="shared" ref="S20:AF20" si="12">SUM(C50:C53)</f>
        <v>18</v>
      </c>
      <c r="T20" s="17">
        <f t="shared" si="12"/>
        <v>0</v>
      </c>
      <c r="U20" s="17">
        <f t="shared" si="12"/>
        <v>21</v>
      </c>
      <c r="V20" s="17">
        <f t="shared" si="12"/>
        <v>12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81</v>
      </c>
      <c r="AD20" s="17">
        <f t="shared" si="12"/>
        <v>0</v>
      </c>
      <c r="AE20" s="31">
        <f t="shared" si="12"/>
        <v>57</v>
      </c>
      <c r="AF20" s="31">
        <f t="shared" si="12"/>
        <v>138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1</v>
      </c>
      <c r="F21" s="50">
        <v>1</v>
      </c>
      <c r="G21" s="50">
        <v>1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29</v>
      </c>
      <c r="N21" s="50">
        <v>0</v>
      </c>
      <c r="O21" s="15">
        <f t="shared" si="0"/>
        <v>5</v>
      </c>
      <c r="P21" s="15">
        <f t="shared" si="1"/>
        <v>34</v>
      </c>
      <c r="R21" s="36" t="s">
        <v>20</v>
      </c>
      <c r="S21" s="34">
        <f t="shared" ref="S21:AF21" si="13">SUM(C54:C57)</f>
        <v>13</v>
      </c>
      <c r="T21" s="17">
        <f t="shared" si="13"/>
        <v>0</v>
      </c>
      <c r="U21" s="17">
        <f t="shared" si="13"/>
        <v>20</v>
      </c>
      <c r="V21" s="17">
        <f t="shared" si="13"/>
        <v>12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82</v>
      </c>
      <c r="AD21" s="17">
        <f t="shared" si="13"/>
        <v>0</v>
      </c>
      <c r="AE21" s="31">
        <f t="shared" si="13"/>
        <v>54</v>
      </c>
      <c r="AF21" s="31">
        <f t="shared" si="13"/>
        <v>136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24</v>
      </c>
      <c r="N22" s="50">
        <v>0</v>
      </c>
      <c r="O22" s="15">
        <f t="shared" si="0"/>
        <v>3</v>
      </c>
      <c r="P22" s="15">
        <f t="shared" si="1"/>
        <v>27</v>
      </c>
      <c r="R22" s="38" t="s">
        <v>90</v>
      </c>
      <c r="S22" s="39">
        <f>MAX(S10:S12)</f>
        <v>5</v>
      </c>
      <c r="T22" s="39">
        <f t="shared" ref="T22:AF22" si="14">MAX(T10:T12)</f>
        <v>0</v>
      </c>
      <c r="U22" s="39">
        <f t="shared" si="14"/>
        <v>7</v>
      </c>
      <c r="V22" s="39">
        <f t="shared" si="14"/>
        <v>5</v>
      </c>
      <c r="W22" s="39">
        <f t="shared" si="14"/>
        <v>1</v>
      </c>
      <c r="X22" s="39">
        <f t="shared" si="14"/>
        <v>1</v>
      </c>
      <c r="Y22" s="39">
        <f t="shared" si="14"/>
        <v>4</v>
      </c>
      <c r="Z22" s="39">
        <f t="shared" si="14"/>
        <v>2</v>
      </c>
      <c r="AA22" s="39">
        <f t="shared" si="14"/>
        <v>2</v>
      </c>
      <c r="AB22" s="39">
        <f t="shared" si="14"/>
        <v>0</v>
      </c>
      <c r="AC22" s="39">
        <f t="shared" si="14"/>
        <v>78</v>
      </c>
      <c r="AD22" s="39">
        <f t="shared" si="14"/>
        <v>0</v>
      </c>
      <c r="AE22" s="40">
        <f t="shared" si="14"/>
        <v>22</v>
      </c>
      <c r="AF22" s="40">
        <f t="shared" si="14"/>
        <v>98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23</v>
      </c>
      <c r="N23" s="50">
        <v>0</v>
      </c>
      <c r="O23" s="15">
        <f t="shared" si="0"/>
        <v>5</v>
      </c>
      <c r="P23" s="15">
        <f t="shared" si="1"/>
        <v>28</v>
      </c>
      <c r="R23" s="38" t="s">
        <v>91</v>
      </c>
      <c r="S23" s="39">
        <f>MAX(S13:S18)</f>
        <v>13</v>
      </c>
      <c r="T23" s="39">
        <f t="shared" ref="T23:AF23" si="15">MAX(T13:T18)</f>
        <v>0</v>
      </c>
      <c r="U23" s="39">
        <f t="shared" si="15"/>
        <v>14</v>
      </c>
      <c r="V23" s="39">
        <f t="shared" si="15"/>
        <v>8</v>
      </c>
      <c r="W23" s="39">
        <f t="shared" si="15"/>
        <v>1</v>
      </c>
      <c r="X23" s="39">
        <f t="shared" si="15"/>
        <v>0</v>
      </c>
      <c r="Y23" s="39">
        <f t="shared" si="15"/>
        <v>12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90</v>
      </c>
      <c r="AD23" s="39">
        <f t="shared" si="15"/>
        <v>0</v>
      </c>
      <c r="AE23" s="40">
        <f t="shared" si="15"/>
        <v>41</v>
      </c>
      <c r="AF23" s="40">
        <f t="shared" si="15"/>
        <v>121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3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23</v>
      </c>
      <c r="N24" s="50">
        <v>0</v>
      </c>
      <c r="O24" s="15">
        <f t="shared" si="0"/>
        <v>5</v>
      </c>
      <c r="P24" s="15">
        <f t="shared" si="1"/>
        <v>28</v>
      </c>
      <c r="R24" s="38" t="s">
        <v>92</v>
      </c>
      <c r="S24" s="39">
        <f>MAX(S19:S21)</f>
        <v>18</v>
      </c>
      <c r="T24" s="39">
        <f t="shared" ref="T24:AF24" si="16">MAX(T19:T21)</f>
        <v>0</v>
      </c>
      <c r="U24" s="39">
        <f t="shared" si="16"/>
        <v>21</v>
      </c>
      <c r="V24" s="39">
        <f t="shared" si="16"/>
        <v>12</v>
      </c>
      <c r="W24" s="39">
        <f t="shared" si="16"/>
        <v>0</v>
      </c>
      <c r="X24" s="39">
        <f t="shared" si="16"/>
        <v>0</v>
      </c>
      <c r="Y24" s="39">
        <f t="shared" si="16"/>
        <v>9</v>
      </c>
      <c r="Z24" s="39">
        <f t="shared" si="16"/>
        <v>0</v>
      </c>
      <c r="AA24" s="39">
        <f t="shared" si="16"/>
        <v>2</v>
      </c>
      <c r="AB24" s="39">
        <f t="shared" si="16"/>
        <v>0</v>
      </c>
      <c r="AC24" s="39">
        <f t="shared" si="16"/>
        <v>86</v>
      </c>
      <c r="AD24" s="39">
        <f t="shared" si="16"/>
        <v>0</v>
      </c>
      <c r="AE24" s="40">
        <f t="shared" si="16"/>
        <v>57</v>
      </c>
      <c r="AF24" s="40">
        <f t="shared" si="16"/>
        <v>138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4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6</v>
      </c>
      <c r="P25" s="15">
        <f t="shared" si="1"/>
        <v>22</v>
      </c>
      <c r="R25" s="37" t="s">
        <v>85</v>
      </c>
      <c r="S25" s="35">
        <f t="shared" ref="S25:AF25" si="17">SUM(S10:S12)</f>
        <v>11</v>
      </c>
      <c r="T25" s="16">
        <f t="shared" si="17"/>
        <v>0</v>
      </c>
      <c r="U25" s="16">
        <f t="shared" si="17"/>
        <v>15</v>
      </c>
      <c r="V25" s="16">
        <f t="shared" si="17"/>
        <v>13</v>
      </c>
      <c r="W25" s="16">
        <f t="shared" si="17"/>
        <v>2</v>
      </c>
      <c r="X25" s="16">
        <f t="shared" si="17"/>
        <v>1</v>
      </c>
      <c r="Y25" s="16">
        <f t="shared" si="17"/>
        <v>9</v>
      </c>
      <c r="Z25" s="16">
        <f t="shared" si="17"/>
        <v>2</v>
      </c>
      <c r="AA25" s="16">
        <f t="shared" si="17"/>
        <v>2</v>
      </c>
      <c r="AB25" s="16">
        <f t="shared" si="17"/>
        <v>0</v>
      </c>
      <c r="AC25" s="16">
        <f t="shared" si="17"/>
        <v>199</v>
      </c>
      <c r="AD25" s="16">
        <f t="shared" si="17"/>
        <v>0</v>
      </c>
      <c r="AE25" s="32">
        <f t="shared" si="17"/>
        <v>55</v>
      </c>
      <c r="AF25" s="32">
        <f t="shared" si="17"/>
        <v>254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21</v>
      </c>
      <c r="N26" s="50">
        <v>0</v>
      </c>
      <c r="O26" s="15">
        <f t="shared" si="0"/>
        <v>2</v>
      </c>
      <c r="P26" s="15">
        <f t="shared" si="1"/>
        <v>23</v>
      </c>
      <c r="R26" s="28" t="s">
        <v>86</v>
      </c>
      <c r="S26" s="16">
        <f t="shared" ref="S26:AF26" si="18">SUM(S13:S18)</f>
        <v>48</v>
      </c>
      <c r="T26" s="16">
        <f t="shared" si="18"/>
        <v>0</v>
      </c>
      <c r="U26" s="16">
        <f t="shared" si="18"/>
        <v>55</v>
      </c>
      <c r="V26" s="16">
        <f t="shared" si="18"/>
        <v>31</v>
      </c>
      <c r="W26" s="16">
        <f t="shared" si="18"/>
        <v>1</v>
      </c>
      <c r="X26" s="16">
        <f t="shared" si="18"/>
        <v>0</v>
      </c>
      <c r="Y26" s="16">
        <f t="shared" si="18"/>
        <v>33</v>
      </c>
      <c r="Z26" s="16">
        <f t="shared" si="18"/>
        <v>2</v>
      </c>
      <c r="AA26" s="16">
        <f t="shared" si="18"/>
        <v>3</v>
      </c>
      <c r="AB26" s="16">
        <f t="shared" si="18"/>
        <v>0</v>
      </c>
      <c r="AC26" s="16">
        <f t="shared" si="18"/>
        <v>490</v>
      </c>
      <c r="AD26" s="16">
        <f t="shared" si="18"/>
        <v>0</v>
      </c>
      <c r="AE26" s="32">
        <f t="shared" si="18"/>
        <v>173</v>
      </c>
      <c r="AF26" s="32">
        <f t="shared" si="18"/>
        <v>663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2</v>
      </c>
      <c r="F27" s="50">
        <v>1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22</v>
      </c>
      <c r="N27" s="50">
        <v>0</v>
      </c>
      <c r="O27" s="15">
        <f t="shared" si="0"/>
        <v>8</v>
      </c>
      <c r="P27" s="15">
        <f t="shared" si="1"/>
        <v>30</v>
      </c>
      <c r="R27" s="29" t="s">
        <v>87</v>
      </c>
      <c r="S27" s="16">
        <f t="shared" ref="S27:AF27" si="19">SUM(S19:S21)</f>
        <v>42</v>
      </c>
      <c r="T27" s="16">
        <f t="shared" si="19"/>
        <v>0</v>
      </c>
      <c r="U27" s="16">
        <f t="shared" si="19"/>
        <v>59</v>
      </c>
      <c r="V27" s="16">
        <f t="shared" si="19"/>
        <v>31</v>
      </c>
      <c r="W27" s="16">
        <f t="shared" si="19"/>
        <v>0</v>
      </c>
      <c r="X27" s="16">
        <f t="shared" si="19"/>
        <v>0</v>
      </c>
      <c r="Y27" s="16">
        <f t="shared" si="19"/>
        <v>20</v>
      </c>
      <c r="Z27" s="16">
        <f t="shared" si="19"/>
        <v>0</v>
      </c>
      <c r="AA27" s="16">
        <f t="shared" si="19"/>
        <v>3</v>
      </c>
      <c r="AB27" s="16">
        <f t="shared" si="19"/>
        <v>0</v>
      </c>
      <c r="AC27" s="16">
        <f t="shared" si="19"/>
        <v>249</v>
      </c>
      <c r="AD27" s="16">
        <f t="shared" si="19"/>
        <v>0</v>
      </c>
      <c r="AE27" s="32">
        <f t="shared" si="19"/>
        <v>155</v>
      </c>
      <c r="AF27" s="32">
        <f t="shared" si="19"/>
        <v>404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4</v>
      </c>
      <c r="F28" s="50">
        <v>3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25</v>
      </c>
      <c r="N28" s="50">
        <v>0</v>
      </c>
      <c r="O28" s="15">
        <f t="shared" si="0"/>
        <v>13</v>
      </c>
      <c r="P28" s="15">
        <f t="shared" si="1"/>
        <v>38</v>
      </c>
      <c r="R28" s="5" t="s">
        <v>17</v>
      </c>
      <c r="S28" s="16">
        <f t="shared" ref="S28:AF28" si="20">SUM(S10:S21)</f>
        <v>101</v>
      </c>
      <c r="T28" s="16">
        <f t="shared" si="20"/>
        <v>0</v>
      </c>
      <c r="U28" s="16">
        <f t="shared" si="20"/>
        <v>129</v>
      </c>
      <c r="V28" s="16">
        <f t="shared" si="20"/>
        <v>75</v>
      </c>
      <c r="W28" s="16">
        <f t="shared" si="20"/>
        <v>3</v>
      </c>
      <c r="X28" s="16">
        <f t="shared" si="20"/>
        <v>1</v>
      </c>
      <c r="Y28" s="16">
        <f t="shared" si="20"/>
        <v>62</v>
      </c>
      <c r="Z28" s="16">
        <f t="shared" si="20"/>
        <v>4</v>
      </c>
      <c r="AA28" s="16">
        <f t="shared" si="20"/>
        <v>8</v>
      </c>
      <c r="AB28" s="16">
        <f t="shared" si="20"/>
        <v>0</v>
      </c>
      <c r="AC28" s="16">
        <f t="shared" si="20"/>
        <v>938</v>
      </c>
      <c r="AD28" s="16">
        <f t="shared" si="20"/>
        <v>0</v>
      </c>
      <c r="AE28" s="32">
        <f t="shared" si="20"/>
        <v>383</v>
      </c>
      <c r="AF28" s="32">
        <f t="shared" si="20"/>
        <v>1321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2</v>
      </c>
      <c r="F29" s="50">
        <v>3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22</v>
      </c>
      <c r="N29" s="50">
        <v>0</v>
      </c>
      <c r="O29" s="15">
        <f t="shared" si="0"/>
        <v>7</v>
      </c>
      <c r="P29" s="15">
        <f t="shared" si="1"/>
        <v>29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2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1</v>
      </c>
      <c r="L30" s="50">
        <v>0</v>
      </c>
      <c r="M30" s="50">
        <v>23</v>
      </c>
      <c r="N30" s="50">
        <v>0</v>
      </c>
      <c r="O30" s="15">
        <f t="shared" si="0"/>
        <v>6</v>
      </c>
      <c r="P30" s="15">
        <f t="shared" si="1"/>
        <v>29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5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23</v>
      </c>
      <c r="N31" s="50">
        <v>0</v>
      </c>
      <c r="O31" s="15">
        <f t="shared" si="0"/>
        <v>7</v>
      </c>
      <c r="P31" s="15">
        <f t="shared" si="1"/>
        <v>30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4</v>
      </c>
      <c r="F32" s="50">
        <v>3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23</v>
      </c>
      <c r="N32" s="50">
        <v>0</v>
      </c>
      <c r="O32" s="15">
        <f t="shared" si="0"/>
        <v>9</v>
      </c>
      <c r="P32" s="15">
        <f t="shared" si="1"/>
        <v>32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3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16</v>
      </c>
      <c r="N33" s="50">
        <v>0</v>
      </c>
      <c r="O33" s="15">
        <f t="shared" si="0"/>
        <v>6</v>
      </c>
      <c r="P33" s="15">
        <f t="shared" si="1"/>
        <v>22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4</v>
      </c>
      <c r="F34" s="50">
        <v>1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22</v>
      </c>
      <c r="N34" s="50">
        <v>0</v>
      </c>
      <c r="O34" s="15">
        <f t="shared" si="0"/>
        <v>10</v>
      </c>
      <c r="P34" s="15">
        <f t="shared" si="1"/>
        <v>32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2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18</v>
      </c>
      <c r="N35" s="50">
        <v>0</v>
      </c>
      <c r="O35" s="15">
        <f t="shared" si="0"/>
        <v>5</v>
      </c>
      <c r="P35" s="15">
        <f t="shared" si="1"/>
        <v>23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1</v>
      </c>
      <c r="F36" s="50">
        <v>1</v>
      </c>
      <c r="G36" s="50">
        <v>0</v>
      </c>
      <c r="H36" s="50">
        <v>0</v>
      </c>
      <c r="I36" s="50">
        <v>0</v>
      </c>
      <c r="J36" s="50">
        <v>1</v>
      </c>
      <c r="K36" s="50">
        <v>1</v>
      </c>
      <c r="L36" s="50">
        <v>0</v>
      </c>
      <c r="M36" s="50">
        <v>28</v>
      </c>
      <c r="N36" s="50">
        <v>0</v>
      </c>
      <c r="O36" s="15">
        <f t="shared" si="0"/>
        <v>7</v>
      </c>
      <c r="P36" s="15">
        <f t="shared" si="1"/>
        <v>35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7</v>
      </c>
      <c r="P37" s="15">
        <f t="shared" si="1"/>
        <v>21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6</v>
      </c>
      <c r="P38" s="15">
        <f t="shared" si="1"/>
        <v>20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3</v>
      </c>
      <c r="F39" s="50">
        <v>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7</v>
      </c>
      <c r="P39" s="15">
        <f t="shared" si="1"/>
        <v>27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3</v>
      </c>
      <c r="F40" s="50">
        <v>3</v>
      </c>
      <c r="G40" s="50">
        <v>1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19</v>
      </c>
      <c r="N40" s="50">
        <v>0</v>
      </c>
      <c r="O40" s="15">
        <f t="shared" si="0"/>
        <v>9</v>
      </c>
      <c r="P40" s="15">
        <f t="shared" si="1"/>
        <v>28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14</v>
      </c>
      <c r="N41" s="50">
        <v>0</v>
      </c>
      <c r="O41" s="15">
        <f t="shared" si="0"/>
        <v>4</v>
      </c>
      <c r="P41" s="15">
        <f t="shared" si="1"/>
        <v>18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17</v>
      </c>
      <c r="N42" s="50">
        <v>0</v>
      </c>
      <c r="O42" s="15">
        <f t="shared" si="0"/>
        <v>11</v>
      </c>
      <c r="P42" s="15">
        <f t="shared" si="1"/>
        <v>28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3</v>
      </c>
      <c r="F43" s="50">
        <v>3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12</v>
      </c>
      <c r="P43" s="15">
        <f t="shared" si="1"/>
        <v>27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6</v>
      </c>
      <c r="J44" s="50">
        <v>0</v>
      </c>
      <c r="K44" s="50">
        <v>0</v>
      </c>
      <c r="L44" s="50">
        <v>0</v>
      </c>
      <c r="M44" s="50">
        <v>25</v>
      </c>
      <c r="N44" s="50">
        <v>0</v>
      </c>
      <c r="O44" s="15">
        <f t="shared" si="0"/>
        <v>8</v>
      </c>
      <c r="P44" s="15">
        <f t="shared" si="1"/>
        <v>33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4</v>
      </c>
      <c r="F45" s="50">
        <v>2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23</v>
      </c>
      <c r="N45" s="50">
        <v>0</v>
      </c>
      <c r="O45" s="15">
        <f t="shared" si="0"/>
        <v>10</v>
      </c>
      <c r="P45" s="15">
        <f t="shared" si="1"/>
        <v>33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6</v>
      </c>
      <c r="P46" s="15">
        <f t="shared" si="1"/>
        <v>16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5</v>
      </c>
      <c r="F47" s="50">
        <v>0</v>
      </c>
      <c r="G47" s="50">
        <v>0</v>
      </c>
      <c r="H47" s="50">
        <v>0</v>
      </c>
      <c r="I47" s="50">
        <v>4</v>
      </c>
      <c r="J47" s="50">
        <v>0</v>
      </c>
      <c r="K47" s="50">
        <v>2</v>
      </c>
      <c r="L47" s="50">
        <v>0</v>
      </c>
      <c r="M47" s="50">
        <v>23</v>
      </c>
      <c r="N47" s="50">
        <v>0</v>
      </c>
      <c r="O47" s="15">
        <f t="shared" si="0"/>
        <v>14</v>
      </c>
      <c r="P47" s="15">
        <f t="shared" si="1"/>
        <v>37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5</v>
      </c>
      <c r="F48" s="50">
        <v>4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12</v>
      </c>
      <c r="P48" s="15">
        <f t="shared" si="1"/>
        <v>37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7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28</v>
      </c>
      <c r="N49" s="50">
        <v>0</v>
      </c>
      <c r="O49" s="15">
        <f t="shared" si="0"/>
        <v>12</v>
      </c>
      <c r="P49" s="15">
        <f t="shared" si="1"/>
        <v>40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8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17</v>
      </c>
      <c r="N50" s="50">
        <v>0</v>
      </c>
      <c r="O50" s="15">
        <f t="shared" si="0"/>
        <v>13</v>
      </c>
      <c r="P50" s="15">
        <f t="shared" si="1"/>
        <v>30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0</v>
      </c>
      <c r="E51" s="50">
        <v>2</v>
      </c>
      <c r="F51" s="50">
        <v>3</v>
      </c>
      <c r="G51" s="50">
        <v>0</v>
      </c>
      <c r="H51" s="50">
        <v>0</v>
      </c>
      <c r="I51" s="50">
        <v>3</v>
      </c>
      <c r="J51" s="50">
        <v>0</v>
      </c>
      <c r="K51" s="50">
        <v>1</v>
      </c>
      <c r="L51" s="50">
        <v>0</v>
      </c>
      <c r="M51" s="50">
        <v>26</v>
      </c>
      <c r="N51" s="50">
        <v>0</v>
      </c>
      <c r="O51" s="15">
        <f t="shared" si="0"/>
        <v>15</v>
      </c>
      <c r="P51" s="15">
        <f t="shared" si="1"/>
        <v>41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0</v>
      </c>
      <c r="E52" s="50">
        <v>5</v>
      </c>
      <c r="F52" s="50">
        <v>2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17</v>
      </c>
      <c r="N52" s="50">
        <v>0</v>
      </c>
      <c r="O52" s="15">
        <f t="shared" si="0"/>
        <v>14</v>
      </c>
      <c r="P52" s="15">
        <f t="shared" si="1"/>
        <v>31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6</v>
      </c>
      <c r="F53" s="50">
        <v>5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21</v>
      </c>
      <c r="N53" s="50">
        <v>0</v>
      </c>
      <c r="O53" s="15">
        <f t="shared" si="0"/>
        <v>15</v>
      </c>
      <c r="P53" s="15">
        <f t="shared" si="1"/>
        <v>36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6</v>
      </c>
      <c r="F54" s="50">
        <v>3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21</v>
      </c>
      <c r="N54" s="50">
        <v>0</v>
      </c>
      <c r="O54" s="15">
        <f t="shared" si="0"/>
        <v>14</v>
      </c>
      <c r="P54" s="15">
        <f t="shared" si="1"/>
        <v>35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7</v>
      </c>
      <c r="F55" s="50">
        <v>3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19</v>
      </c>
      <c r="N55" s="50">
        <v>0</v>
      </c>
      <c r="O55" s="15">
        <f t="shared" si="0"/>
        <v>15</v>
      </c>
      <c r="P55" s="15">
        <f t="shared" si="1"/>
        <v>34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5</v>
      </c>
      <c r="F56" s="50">
        <v>4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20</v>
      </c>
      <c r="N56" s="50">
        <v>0</v>
      </c>
      <c r="O56" s="15">
        <f t="shared" si="0"/>
        <v>14</v>
      </c>
      <c r="P56" s="15">
        <f t="shared" si="1"/>
        <v>34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2</v>
      </c>
      <c r="F57" s="50">
        <v>2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22</v>
      </c>
      <c r="N57" s="50">
        <v>0</v>
      </c>
      <c r="O57" s="15">
        <f t="shared" si="0"/>
        <v>11</v>
      </c>
      <c r="P57" s="15">
        <f t="shared" si="1"/>
        <v>33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101</v>
      </c>
      <c r="D58" s="16">
        <f t="shared" si="21"/>
        <v>0</v>
      </c>
      <c r="E58" s="16">
        <f t="shared" si="21"/>
        <v>129</v>
      </c>
      <c r="F58" s="16">
        <f t="shared" si="21"/>
        <v>75</v>
      </c>
      <c r="G58" s="16">
        <f t="shared" si="21"/>
        <v>3</v>
      </c>
      <c r="H58" s="16">
        <f t="shared" si="21"/>
        <v>1</v>
      </c>
      <c r="I58" s="16">
        <f t="shared" si="21"/>
        <v>62</v>
      </c>
      <c r="J58" s="16">
        <f t="shared" si="21"/>
        <v>4</v>
      </c>
      <c r="K58" s="16">
        <f t="shared" si="21"/>
        <v>8</v>
      </c>
      <c r="L58" s="16">
        <f t="shared" si="21"/>
        <v>0</v>
      </c>
      <c r="M58" s="16">
        <f t="shared" si="21"/>
        <v>938</v>
      </c>
      <c r="N58" s="16">
        <f t="shared" si="21"/>
        <v>0</v>
      </c>
      <c r="O58" s="16">
        <f t="shared" si="21"/>
        <v>383</v>
      </c>
      <c r="P58" s="16">
        <f t="shared" si="21"/>
        <v>1321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7.6457229371688112E-2</v>
      </c>
      <c r="D59" s="43">
        <f t="shared" si="22"/>
        <v>0</v>
      </c>
      <c r="E59" s="43">
        <f t="shared" si="22"/>
        <v>9.7653292959878873E-2</v>
      </c>
      <c r="F59" s="43">
        <f t="shared" si="22"/>
        <v>5.6775170325510979E-2</v>
      </c>
      <c r="G59" s="43">
        <f t="shared" si="22"/>
        <v>2.2710068130204391E-3</v>
      </c>
      <c r="H59" s="43">
        <f t="shared" si="22"/>
        <v>7.5700227100681302E-4</v>
      </c>
      <c r="I59" s="43">
        <f t="shared" si="22"/>
        <v>4.6934140802422405E-2</v>
      </c>
      <c r="J59" s="43">
        <f t="shared" si="22"/>
        <v>3.0280090840272521E-3</v>
      </c>
      <c r="K59" s="43">
        <f t="shared" si="22"/>
        <v>6.0560181680545042E-3</v>
      </c>
      <c r="L59" s="43">
        <f t="shared" si="22"/>
        <v>0</v>
      </c>
      <c r="M59" s="43">
        <f t="shared" si="22"/>
        <v>0.71006813020439064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0.26370757180156656</v>
      </c>
      <c r="D60" s="44">
        <f t="shared" ref="D60:N60" si="23">D58/$O$58</f>
        <v>0</v>
      </c>
      <c r="E60" s="44">
        <f t="shared" si="23"/>
        <v>0.33681462140992169</v>
      </c>
      <c r="F60" s="44">
        <f t="shared" si="23"/>
        <v>0.195822454308094</v>
      </c>
      <c r="G60" s="44">
        <f t="shared" si="23"/>
        <v>7.832898172323759E-3</v>
      </c>
      <c r="H60" s="44">
        <f t="shared" si="23"/>
        <v>2.6109660574412533E-3</v>
      </c>
      <c r="I60" s="44">
        <f t="shared" si="23"/>
        <v>0.16187989556135771</v>
      </c>
      <c r="J60" s="44">
        <f t="shared" si="23"/>
        <v>1.0443864229765013E-2</v>
      </c>
      <c r="K60" s="44">
        <f t="shared" si="23"/>
        <v>2.0887728459530026E-2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48" zoomScale="60" workbookViewId="0">
      <selection activeCell="C58" sqref="C58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Kampala-Bukaya'!C3:G3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'22.08 Bukaya-Kampala'!G5:H5</f>
        <v>Nyenga</v>
      </c>
      <c r="H5" s="64"/>
      <c r="I5" s="14"/>
      <c r="J5" s="2" t="s">
        <v>5</v>
      </c>
      <c r="K5" s="63" t="str">
        <f>'22.08 Bukaya-Kampala'!K5:L5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Kampala-Bukaya'!D6:E6</f>
        <v>Kampala</v>
      </c>
      <c r="E6" s="64"/>
      <c r="F6" s="2" t="s">
        <v>2</v>
      </c>
      <c r="G6" s="63" t="str">
        <f>'19.08 Kampala-Bukaya'!G6:H6</f>
        <v>Bukaya</v>
      </c>
      <c r="H6" s="64"/>
      <c r="J6" s="2" t="s">
        <v>21</v>
      </c>
      <c r="K6" s="63" t="str">
        <f>'22.08 Bukaya-Kampala'!K6:L6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5</v>
      </c>
      <c r="V10" s="17">
        <f t="shared" si="2"/>
        <v>2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57</v>
      </c>
      <c r="AD10" s="17">
        <f t="shared" si="2"/>
        <v>0</v>
      </c>
      <c r="AE10" s="31">
        <f t="shared" si="2"/>
        <v>16</v>
      </c>
      <c r="AF10" s="31">
        <f t="shared" si="2"/>
        <v>73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11</v>
      </c>
      <c r="N11" s="50">
        <v>0</v>
      </c>
      <c r="O11" s="15">
        <f t="shared" si="0"/>
        <v>5</v>
      </c>
      <c r="P11" s="15">
        <f t="shared" si="1"/>
        <v>16</v>
      </c>
      <c r="R11" s="1" t="s">
        <v>7</v>
      </c>
      <c r="S11" s="17">
        <f t="shared" ref="S11:AF11" si="3">SUM(C14:C17)</f>
        <v>5</v>
      </c>
      <c r="T11" s="17">
        <f t="shared" si="3"/>
        <v>0</v>
      </c>
      <c r="U11" s="17">
        <f t="shared" si="3"/>
        <v>9</v>
      </c>
      <c r="V11" s="17">
        <f t="shared" si="3"/>
        <v>6</v>
      </c>
      <c r="W11" s="17">
        <f t="shared" si="3"/>
        <v>1</v>
      </c>
      <c r="X11" s="17">
        <f t="shared" si="3"/>
        <v>0</v>
      </c>
      <c r="Y11" s="17">
        <f t="shared" si="3"/>
        <v>11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55</v>
      </c>
      <c r="AD11" s="17">
        <f t="shared" si="3"/>
        <v>0</v>
      </c>
      <c r="AE11" s="31">
        <f t="shared" si="3"/>
        <v>32</v>
      </c>
      <c r="AF11" s="31">
        <f t="shared" si="3"/>
        <v>87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19</v>
      </c>
      <c r="N12" s="50">
        <v>0</v>
      </c>
      <c r="O12" s="15">
        <f t="shared" si="0"/>
        <v>2</v>
      </c>
      <c r="P12" s="15">
        <f t="shared" si="1"/>
        <v>21</v>
      </c>
      <c r="R12" s="1" t="s">
        <v>8</v>
      </c>
      <c r="S12" s="17">
        <f t="shared" ref="S12:AF12" si="4">SUM(C18:C21)</f>
        <v>9</v>
      </c>
      <c r="T12" s="17">
        <f t="shared" si="4"/>
        <v>0</v>
      </c>
      <c r="U12" s="17">
        <f t="shared" si="4"/>
        <v>8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53</v>
      </c>
      <c r="AD12" s="17">
        <f t="shared" si="4"/>
        <v>0</v>
      </c>
      <c r="AE12" s="31">
        <f t="shared" si="4"/>
        <v>29</v>
      </c>
      <c r="AF12" s="31">
        <f t="shared" si="4"/>
        <v>82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3</v>
      </c>
      <c r="F13" s="50">
        <v>0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6</v>
      </c>
      <c r="P13" s="15">
        <f t="shared" si="1"/>
        <v>21</v>
      </c>
      <c r="R13" s="1" t="s">
        <v>9</v>
      </c>
      <c r="S13" s="17">
        <f t="shared" ref="S13:AF13" si="5">SUM(C22:C25)</f>
        <v>10</v>
      </c>
      <c r="T13" s="17">
        <f t="shared" si="5"/>
        <v>0</v>
      </c>
      <c r="U13" s="17">
        <f t="shared" si="5"/>
        <v>6</v>
      </c>
      <c r="V13" s="17">
        <f t="shared" si="5"/>
        <v>4</v>
      </c>
      <c r="W13" s="17">
        <f t="shared" si="5"/>
        <v>1</v>
      </c>
      <c r="X13" s="17">
        <f t="shared" si="5"/>
        <v>0</v>
      </c>
      <c r="Y13" s="17">
        <f t="shared" si="5"/>
        <v>5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76</v>
      </c>
      <c r="AD13" s="17">
        <f t="shared" si="5"/>
        <v>0</v>
      </c>
      <c r="AE13" s="31">
        <f t="shared" si="5"/>
        <v>27</v>
      </c>
      <c r="AF13" s="31">
        <f t="shared" si="5"/>
        <v>103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2</v>
      </c>
      <c r="F14" s="50">
        <v>0</v>
      </c>
      <c r="G14" s="50">
        <v>1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11</v>
      </c>
      <c r="N14" s="50">
        <v>0</v>
      </c>
      <c r="O14" s="15">
        <f t="shared" si="0"/>
        <v>5</v>
      </c>
      <c r="P14" s="15">
        <f t="shared" si="1"/>
        <v>16</v>
      </c>
      <c r="R14" s="1" t="s">
        <v>10</v>
      </c>
      <c r="S14" s="17">
        <f t="shared" ref="S14:AF14" si="6">SUM(C26:C29)</f>
        <v>7</v>
      </c>
      <c r="T14" s="17">
        <f t="shared" si="6"/>
        <v>0</v>
      </c>
      <c r="U14" s="17">
        <f t="shared" si="6"/>
        <v>6</v>
      </c>
      <c r="V14" s="17">
        <f t="shared" si="6"/>
        <v>10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68</v>
      </c>
      <c r="AD14" s="17">
        <f t="shared" si="6"/>
        <v>0</v>
      </c>
      <c r="AE14" s="31">
        <f t="shared" si="6"/>
        <v>27</v>
      </c>
      <c r="AF14" s="31">
        <f t="shared" si="6"/>
        <v>95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3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14</v>
      </c>
      <c r="N15" s="50">
        <v>0</v>
      </c>
      <c r="O15" s="15">
        <f t="shared" si="0"/>
        <v>7</v>
      </c>
      <c r="P15" s="15">
        <f t="shared" si="1"/>
        <v>21</v>
      </c>
      <c r="R15" s="1" t="s">
        <v>11</v>
      </c>
      <c r="S15" s="17">
        <f t="shared" ref="S15:AF15" si="7">SUM(C30:C33)</f>
        <v>14</v>
      </c>
      <c r="T15" s="17">
        <f t="shared" si="7"/>
        <v>0</v>
      </c>
      <c r="U15" s="17">
        <f t="shared" si="7"/>
        <v>11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96</v>
      </c>
      <c r="AD15" s="17">
        <f t="shared" si="7"/>
        <v>0</v>
      </c>
      <c r="AE15" s="31">
        <f t="shared" si="7"/>
        <v>42</v>
      </c>
      <c r="AF15" s="31">
        <f t="shared" si="7"/>
        <v>138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3</v>
      </c>
      <c r="F16" s="50">
        <v>1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9</v>
      </c>
      <c r="P16" s="15">
        <f t="shared" si="1"/>
        <v>19</v>
      </c>
      <c r="R16" s="1" t="s">
        <v>12</v>
      </c>
      <c r="S16" s="17">
        <f t="shared" ref="S16:AF16" si="8">SUM(C34:C37)</f>
        <v>8</v>
      </c>
      <c r="T16" s="17">
        <f t="shared" si="8"/>
        <v>0</v>
      </c>
      <c r="U16" s="17">
        <f t="shared" si="8"/>
        <v>12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53</v>
      </c>
      <c r="AD16" s="17">
        <f t="shared" si="8"/>
        <v>0</v>
      </c>
      <c r="AE16" s="31">
        <f t="shared" si="8"/>
        <v>48</v>
      </c>
      <c r="AF16" s="31">
        <f t="shared" si="8"/>
        <v>101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4</v>
      </c>
      <c r="F17" s="50">
        <v>2</v>
      </c>
      <c r="G17" s="50">
        <v>0</v>
      </c>
      <c r="H17" s="50">
        <v>0</v>
      </c>
      <c r="I17" s="50">
        <v>4</v>
      </c>
      <c r="J17" s="50">
        <v>0</v>
      </c>
      <c r="K17" s="50">
        <v>0</v>
      </c>
      <c r="L17" s="50">
        <v>0</v>
      </c>
      <c r="M17" s="50">
        <v>20</v>
      </c>
      <c r="N17" s="50">
        <v>0</v>
      </c>
      <c r="O17" s="15">
        <f t="shared" si="0"/>
        <v>11</v>
      </c>
      <c r="P17" s="15">
        <f t="shared" si="1"/>
        <v>31</v>
      </c>
      <c r="R17" s="1" t="s">
        <v>13</v>
      </c>
      <c r="S17" s="17">
        <f t="shared" ref="S17:AF17" si="9">SUM(C38:C41)</f>
        <v>7</v>
      </c>
      <c r="T17" s="17">
        <f t="shared" si="9"/>
        <v>0</v>
      </c>
      <c r="U17" s="17">
        <f t="shared" si="9"/>
        <v>17</v>
      </c>
      <c r="V17" s="17">
        <f t="shared" si="9"/>
        <v>10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60</v>
      </c>
      <c r="AD17" s="17">
        <f t="shared" si="9"/>
        <v>0</v>
      </c>
      <c r="AE17" s="31">
        <f t="shared" si="9"/>
        <v>46</v>
      </c>
      <c r="AF17" s="31">
        <f t="shared" si="9"/>
        <v>106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2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14</v>
      </c>
      <c r="N18" s="50">
        <v>0</v>
      </c>
      <c r="O18" s="15">
        <f t="shared" si="0"/>
        <v>6</v>
      </c>
      <c r="P18" s="15">
        <f t="shared" si="1"/>
        <v>20</v>
      </c>
      <c r="R18" s="1" t="s">
        <v>14</v>
      </c>
      <c r="S18" s="17">
        <f t="shared" ref="S18:AF18" si="10">SUM(C42:C45)</f>
        <v>8</v>
      </c>
      <c r="T18" s="17">
        <f t="shared" si="10"/>
        <v>0</v>
      </c>
      <c r="U18" s="17">
        <f t="shared" si="10"/>
        <v>7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75</v>
      </c>
      <c r="AD18" s="17">
        <f t="shared" si="10"/>
        <v>0</v>
      </c>
      <c r="AE18" s="31">
        <f t="shared" si="10"/>
        <v>33</v>
      </c>
      <c r="AF18" s="31">
        <f t="shared" si="10"/>
        <v>108</v>
      </c>
    </row>
    <row r="19" spans="2:32" ht="23.1" customHeight="1" x14ac:dyDescent="0.25">
      <c r="B19" s="45" t="s">
        <v>46</v>
      </c>
      <c r="C19" s="50">
        <v>3</v>
      </c>
      <c r="D19" s="50">
        <v>0</v>
      </c>
      <c r="E19" s="50">
        <v>2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7</v>
      </c>
      <c r="P19" s="15">
        <f t="shared" si="1"/>
        <v>22</v>
      </c>
      <c r="R19" s="1" t="s">
        <v>15</v>
      </c>
      <c r="S19" s="17">
        <f t="shared" ref="S19:AF19" si="11">SUM(C46:C49)</f>
        <v>9</v>
      </c>
      <c r="T19" s="17">
        <f t="shared" si="11"/>
        <v>0</v>
      </c>
      <c r="U19" s="17">
        <f t="shared" si="11"/>
        <v>5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88</v>
      </c>
      <c r="AD19" s="17">
        <f t="shared" si="11"/>
        <v>0</v>
      </c>
      <c r="AE19" s="31">
        <f t="shared" si="11"/>
        <v>33</v>
      </c>
      <c r="AF19" s="31">
        <f t="shared" si="11"/>
        <v>121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4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5">
        <f t="shared" si="0"/>
        <v>7</v>
      </c>
      <c r="P20" s="15">
        <f t="shared" si="1"/>
        <v>24</v>
      </c>
      <c r="R20" s="1" t="s">
        <v>16</v>
      </c>
      <c r="S20" s="17">
        <f t="shared" ref="S20:AF20" si="12">SUM(C50:C53)</f>
        <v>13</v>
      </c>
      <c r="T20" s="17">
        <f t="shared" si="12"/>
        <v>0</v>
      </c>
      <c r="U20" s="17">
        <f t="shared" si="12"/>
        <v>12</v>
      </c>
      <c r="V20" s="17">
        <f t="shared" si="12"/>
        <v>10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71</v>
      </c>
      <c r="AD20" s="17">
        <f t="shared" si="12"/>
        <v>0</v>
      </c>
      <c r="AE20" s="31">
        <f t="shared" si="12"/>
        <v>44</v>
      </c>
      <c r="AF20" s="31">
        <f t="shared" si="12"/>
        <v>115</v>
      </c>
    </row>
    <row r="21" spans="2:32" ht="23.1" customHeight="1" x14ac:dyDescent="0.25">
      <c r="B21" s="45" t="s">
        <v>48</v>
      </c>
      <c r="C21" s="50">
        <v>4</v>
      </c>
      <c r="D21" s="50">
        <v>0</v>
      </c>
      <c r="E21" s="50">
        <v>0</v>
      </c>
      <c r="F21" s="50">
        <v>3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7</v>
      </c>
      <c r="N21" s="50">
        <v>0</v>
      </c>
      <c r="O21" s="15">
        <f t="shared" si="0"/>
        <v>9</v>
      </c>
      <c r="P21" s="15">
        <f t="shared" si="1"/>
        <v>16</v>
      </c>
      <c r="R21" s="36" t="s">
        <v>20</v>
      </c>
      <c r="S21" s="34">
        <f t="shared" ref="S21:AF21" si="13">SUM(C54:C57)</f>
        <v>10</v>
      </c>
      <c r="T21" s="17">
        <f t="shared" si="13"/>
        <v>0</v>
      </c>
      <c r="U21" s="17">
        <f t="shared" si="13"/>
        <v>11</v>
      </c>
      <c r="V21" s="17">
        <f t="shared" si="13"/>
        <v>9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79</v>
      </c>
      <c r="AD21" s="17">
        <f t="shared" si="13"/>
        <v>0</v>
      </c>
      <c r="AE21" s="31">
        <f t="shared" si="13"/>
        <v>37</v>
      </c>
      <c r="AF21" s="31">
        <f t="shared" si="13"/>
        <v>116</v>
      </c>
    </row>
    <row r="22" spans="2:32" ht="23.1" customHeight="1" x14ac:dyDescent="0.25">
      <c r="B22" s="45" t="s">
        <v>49</v>
      </c>
      <c r="C22" s="50">
        <v>2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24</v>
      </c>
      <c r="N22" s="50">
        <v>0</v>
      </c>
      <c r="O22" s="15">
        <f t="shared" si="0"/>
        <v>5</v>
      </c>
      <c r="P22" s="15">
        <f t="shared" si="1"/>
        <v>29</v>
      </c>
      <c r="R22" s="36" t="s">
        <v>146</v>
      </c>
      <c r="S22" s="34">
        <f>SUM(C58:C61)</f>
        <v>13</v>
      </c>
      <c r="T22" s="34">
        <f t="shared" ref="T22:AF22" si="14">SUM(D58:D61)</f>
        <v>0</v>
      </c>
      <c r="U22" s="34">
        <f t="shared" si="14"/>
        <v>8</v>
      </c>
      <c r="V22" s="34">
        <f t="shared" si="14"/>
        <v>4</v>
      </c>
      <c r="W22" s="34">
        <f t="shared" si="14"/>
        <v>1</v>
      </c>
      <c r="X22" s="34">
        <f t="shared" si="14"/>
        <v>0</v>
      </c>
      <c r="Y22" s="34">
        <f t="shared" si="14"/>
        <v>4</v>
      </c>
      <c r="Z22" s="34">
        <f t="shared" si="14"/>
        <v>0</v>
      </c>
      <c r="AA22" s="34">
        <f t="shared" si="14"/>
        <v>1</v>
      </c>
      <c r="AB22" s="34">
        <f t="shared" si="14"/>
        <v>0</v>
      </c>
      <c r="AC22" s="34">
        <f t="shared" si="14"/>
        <v>58</v>
      </c>
      <c r="AD22" s="34">
        <f t="shared" si="14"/>
        <v>0</v>
      </c>
      <c r="AE22" s="31">
        <f t="shared" si="14"/>
        <v>31</v>
      </c>
      <c r="AF22" s="31">
        <f t="shared" si="14"/>
        <v>89</v>
      </c>
    </row>
    <row r="23" spans="2:32" ht="23.1" customHeight="1" x14ac:dyDescent="0.25">
      <c r="B23" s="45" t="s">
        <v>50</v>
      </c>
      <c r="C23" s="50">
        <v>1</v>
      </c>
      <c r="D23" s="50">
        <v>0</v>
      </c>
      <c r="E23" s="50">
        <v>3</v>
      </c>
      <c r="F23" s="50">
        <v>3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15</v>
      </c>
      <c r="N23" s="50">
        <v>0</v>
      </c>
      <c r="O23" s="15">
        <f t="shared" si="0"/>
        <v>8</v>
      </c>
      <c r="P23" s="15">
        <f t="shared" si="1"/>
        <v>23</v>
      </c>
      <c r="R23" s="36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15</v>
      </c>
      <c r="V23" s="34">
        <f t="shared" si="15"/>
        <v>13</v>
      </c>
      <c r="W23" s="34">
        <f t="shared" si="15"/>
        <v>0</v>
      </c>
      <c r="X23" s="34">
        <f t="shared" si="15"/>
        <v>0</v>
      </c>
      <c r="Y23" s="34">
        <f t="shared" si="15"/>
        <v>14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53</v>
      </c>
      <c r="AD23" s="34">
        <f t="shared" si="15"/>
        <v>0</v>
      </c>
      <c r="AE23" s="31">
        <f t="shared" si="15"/>
        <v>47</v>
      </c>
      <c r="AF23" s="31">
        <f t="shared" si="15"/>
        <v>100</v>
      </c>
    </row>
    <row r="24" spans="2:32" ht="23.1" customHeight="1" x14ac:dyDescent="0.25">
      <c r="B24" s="45" t="s">
        <v>51</v>
      </c>
      <c r="C24" s="50">
        <v>6</v>
      </c>
      <c r="D24" s="50">
        <v>0</v>
      </c>
      <c r="E24" s="50">
        <v>2</v>
      </c>
      <c r="F24" s="50">
        <v>0</v>
      </c>
      <c r="G24" s="50">
        <v>1</v>
      </c>
      <c r="H24" s="50">
        <v>0</v>
      </c>
      <c r="I24" s="50">
        <v>2</v>
      </c>
      <c r="J24" s="50">
        <v>0</v>
      </c>
      <c r="K24" s="50">
        <v>1</v>
      </c>
      <c r="L24" s="50">
        <v>0</v>
      </c>
      <c r="M24" s="50">
        <v>16</v>
      </c>
      <c r="N24" s="50">
        <v>0</v>
      </c>
      <c r="O24" s="15">
        <f t="shared" si="0"/>
        <v>12</v>
      </c>
      <c r="P24" s="15">
        <f t="shared" si="1"/>
        <v>28</v>
      </c>
      <c r="R24" s="36" t="s">
        <v>148</v>
      </c>
      <c r="S24" s="34">
        <f>SUM(C66:C69)</f>
        <v>8</v>
      </c>
      <c r="T24" s="34">
        <f t="shared" ref="T24:AF24" si="16">SUM(D66:D69)</f>
        <v>0</v>
      </c>
      <c r="U24" s="34">
        <f t="shared" si="16"/>
        <v>10</v>
      </c>
      <c r="V24" s="34">
        <f t="shared" si="16"/>
        <v>7</v>
      </c>
      <c r="W24" s="34">
        <f t="shared" si="16"/>
        <v>0</v>
      </c>
      <c r="X24" s="34">
        <f t="shared" si="16"/>
        <v>0</v>
      </c>
      <c r="Y24" s="34">
        <f t="shared" si="16"/>
        <v>6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38</v>
      </c>
      <c r="AD24" s="34">
        <f t="shared" si="16"/>
        <v>0</v>
      </c>
      <c r="AE24" s="31">
        <f t="shared" si="16"/>
        <v>32</v>
      </c>
      <c r="AF24" s="31">
        <f t="shared" si="16"/>
        <v>70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21</v>
      </c>
      <c r="N25" s="50">
        <v>0</v>
      </c>
      <c r="O25" s="15">
        <f t="shared" si="0"/>
        <v>2</v>
      </c>
      <c r="P25" s="15">
        <f t="shared" si="1"/>
        <v>23</v>
      </c>
      <c r="R25" s="36" t="s">
        <v>149</v>
      </c>
      <c r="S25" s="34">
        <f>SUM(C70:C73)</f>
        <v>10</v>
      </c>
      <c r="T25" s="34">
        <f t="shared" ref="T25:AF25" si="17">SUM(D70:D73)</f>
        <v>0</v>
      </c>
      <c r="U25" s="34">
        <f t="shared" si="17"/>
        <v>5</v>
      </c>
      <c r="V25" s="34">
        <f t="shared" si="17"/>
        <v>5</v>
      </c>
      <c r="W25" s="34">
        <f t="shared" si="17"/>
        <v>1</v>
      </c>
      <c r="X25" s="34">
        <f t="shared" si="17"/>
        <v>0</v>
      </c>
      <c r="Y25" s="34">
        <f t="shared" si="17"/>
        <v>6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17</v>
      </c>
      <c r="AD25" s="34">
        <f t="shared" si="17"/>
        <v>0</v>
      </c>
      <c r="AE25" s="31">
        <f t="shared" si="17"/>
        <v>28</v>
      </c>
      <c r="AF25" s="31">
        <f t="shared" si="17"/>
        <v>45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2</v>
      </c>
      <c r="F26" s="50">
        <v>4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19</v>
      </c>
      <c r="N26" s="50">
        <v>0</v>
      </c>
      <c r="O26" s="15">
        <f t="shared" si="0"/>
        <v>9</v>
      </c>
      <c r="P26" s="15">
        <f t="shared" si="1"/>
        <v>28</v>
      </c>
      <c r="R26" s="36" t="s">
        <v>150</v>
      </c>
      <c r="S26" s="34">
        <f>SUM(C74:C77)</f>
        <v>6</v>
      </c>
      <c r="T26" s="34">
        <f t="shared" ref="T26:AF26" si="18">SUM(D74:D77)</f>
        <v>0</v>
      </c>
      <c r="U26" s="34">
        <f t="shared" si="18"/>
        <v>11</v>
      </c>
      <c r="V26" s="34">
        <f t="shared" si="18"/>
        <v>5</v>
      </c>
      <c r="W26" s="34">
        <f t="shared" si="18"/>
        <v>0</v>
      </c>
      <c r="X26" s="34">
        <f t="shared" si="18"/>
        <v>0</v>
      </c>
      <c r="Y26" s="34">
        <f t="shared" si="18"/>
        <v>14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37</v>
      </c>
      <c r="AF26" s="31">
        <f t="shared" si="18"/>
        <v>37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19</v>
      </c>
      <c r="N27" s="50">
        <v>0</v>
      </c>
      <c r="O27" s="15">
        <f t="shared" si="0"/>
        <v>5</v>
      </c>
      <c r="P27" s="15">
        <f t="shared" si="1"/>
        <v>24</v>
      </c>
      <c r="R27" s="36" t="s">
        <v>151</v>
      </c>
      <c r="S27" s="34">
        <f>SUM(C78:C81)</f>
        <v>7</v>
      </c>
      <c r="T27" s="34">
        <f t="shared" ref="T27:AF27" si="19">SUM(D78:D81)</f>
        <v>0</v>
      </c>
      <c r="U27" s="34">
        <f t="shared" si="19"/>
        <v>4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28</v>
      </c>
      <c r="AF27" s="31">
        <f t="shared" si="19"/>
        <v>28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5</v>
      </c>
      <c r="P28" s="15">
        <f t="shared" si="1"/>
        <v>22</v>
      </c>
      <c r="R28" s="36" t="s">
        <v>152</v>
      </c>
      <c r="S28" s="34">
        <f>SUM(C82:C85)</f>
        <v>5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10</v>
      </c>
      <c r="AF28" s="31">
        <f t="shared" si="20"/>
        <v>10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2</v>
      </c>
      <c r="F29" s="50">
        <v>4</v>
      </c>
      <c r="G29" s="50">
        <v>0</v>
      </c>
      <c r="H29" s="50">
        <v>0</v>
      </c>
      <c r="I29" s="50">
        <v>0</v>
      </c>
      <c r="J29" s="50">
        <v>0</v>
      </c>
      <c r="K29" s="50">
        <v>1</v>
      </c>
      <c r="L29" s="50">
        <v>0</v>
      </c>
      <c r="M29" s="50">
        <v>13</v>
      </c>
      <c r="N29" s="50">
        <v>0</v>
      </c>
      <c r="O29" s="15">
        <f t="shared" si="0"/>
        <v>8</v>
      </c>
      <c r="P29" s="15">
        <f t="shared" si="1"/>
        <v>21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7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6</v>
      </c>
      <c r="F30" s="50">
        <v>2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21</v>
      </c>
      <c r="N30" s="50">
        <v>0</v>
      </c>
      <c r="O30" s="15">
        <f t="shared" si="0"/>
        <v>14</v>
      </c>
      <c r="P30" s="15">
        <f t="shared" si="1"/>
        <v>35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4</v>
      </c>
      <c r="D31" s="50">
        <v>0</v>
      </c>
      <c r="E31" s="50">
        <v>1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27</v>
      </c>
      <c r="N31" s="50">
        <v>0</v>
      </c>
      <c r="O31" s="15">
        <f t="shared" si="0"/>
        <v>7</v>
      </c>
      <c r="P31" s="15">
        <f t="shared" si="1"/>
        <v>34</v>
      </c>
      <c r="R31" s="36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8</v>
      </c>
      <c r="AF31" s="31">
        <f t="shared" si="23"/>
        <v>8</v>
      </c>
    </row>
    <row r="32" spans="2:32" ht="23.1" customHeight="1" x14ac:dyDescent="0.25">
      <c r="B32" s="46" t="s">
        <v>59</v>
      </c>
      <c r="C32" s="50">
        <v>5</v>
      </c>
      <c r="D32" s="50">
        <v>0</v>
      </c>
      <c r="E32" s="50">
        <v>2</v>
      </c>
      <c r="F32" s="50">
        <v>1</v>
      </c>
      <c r="G32" s="50">
        <v>0</v>
      </c>
      <c r="H32" s="50">
        <v>0</v>
      </c>
      <c r="I32" s="50">
        <v>6</v>
      </c>
      <c r="J32" s="50">
        <v>0</v>
      </c>
      <c r="K32" s="50">
        <v>0</v>
      </c>
      <c r="L32" s="50">
        <v>0</v>
      </c>
      <c r="M32" s="50">
        <v>27</v>
      </c>
      <c r="N32" s="50">
        <v>0</v>
      </c>
      <c r="O32" s="15">
        <f t="shared" si="0"/>
        <v>14</v>
      </c>
      <c r="P32" s="15">
        <f t="shared" si="1"/>
        <v>41</v>
      </c>
      <c r="R32" s="33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6</v>
      </c>
      <c r="AF32" s="31">
        <f t="shared" si="24"/>
        <v>7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2</v>
      </c>
      <c r="F33" s="50">
        <v>1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21</v>
      </c>
      <c r="N33" s="50">
        <v>0</v>
      </c>
      <c r="O33" s="15">
        <f t="shared" si="0"/>
        <v>7</v>
      </c>
      <c r="P33" s="15">
        <f t="shared" si="1"/>
        <v>28</v>
      </c>
      <c r="R33" s="33" t="s">
        <v>157</v>
      </c>
      <c r="S33" s="34">
        <f>SUM(C102:C105)</f>
        <v>5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1</v>
      </c>
      <c r="W33" s="34">
        <f t="shared" si="25"/>
        <v>1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2</v>
      </c>
      <c r="AB33" s="34">
        <f t="shared" si="25"/>
        <v>0</v>
      </c>
      <c r="AC33" s="34">
        <f t="shared" si="25"/>
        <v>12</v>
      </c>
      <c r="AD33" s="34">
        <f t="shared" si="25"/>
        <v>0</v>
      </c>
      <c r="AE33" s="31">
        <f t="shared" si="25"/>
        <v>13</v>
      </c>
      <c r="AF33" s="31">
        <f t="shared" si="25"/>
        <v>25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4</v>
      </c>
      <c r="F34" s="50">
        <v>4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13</v>
      </c>
      <c r="P34" s="15">
        <f t="shared" si="1"/>
        <v>24</v>
      </c>
      <c r="R34" s="38" t="s">
        <v>90</v>
      </c>
      <c r="S34" s="39">
        <f t="shared" ref="S34:AF34" si="26">MAX(S10:S12)</f>
        <v>9</v>
      </c>
      <c r="T34" s="39">
        <f t="shared" si="26"/>
        <v>0</v>
      </c>
      <c r="U34" s="39">
        <f t="shared" si="26"/>
        <v>9</v>
      </c>
      <c r="V34" s="39">
        <f t="shared" si="26"/>
        <v>6</v>
      </c>
      <c r="W34" s="39">
        <f t="shared" si="26"/>
        <v>1</v>
      </c>
      <c r="X34" s="39">
        <f t="shared" si="26"/>
        <v>0</v>
      </c>
      <c r="Y34" s="39">
        <f t="shared" si="26"/>
        <v>11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57</v>
      </c>
      <c r="AD34" s="39">
        <f t="shared" si="26"/>
        <v>0</v>
      </c>
      <c r="AE34" s="40">
        <f t="shared" si="26"/>
        <v>32</v>
      </c>
      <c r="AF34" s="40">
        <f t="shared" si="26"/>
        <v>87</v>
      </c>
    </row>
    <row r="35" spans="2:32" ht="23.1" customHeight="1" x14ac:dyDescent="0.25">
      <c r="B35" s="46" t="s">
        <v>62</v>
      </c>
      <c r="C35" s="50">
        <v>3</v>
      </c>
      <c r="D35" s="50">
        <v>0</v>
      </c>
      <c r="E35" s="50">
        <v>3</v>
      </c>
      <c r="F35" s="50">
        <v>5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11</v>
      </c>
      <c r="N35" s="50">
        <v>0</v>
      </c>
      <c r="O35" s="15">
        <f t="shared" si="0"/>
        <v>14</v>
      </c>
      <c r="P35" s="15">
        <f t="shared" si="1"/>
        <v>25</v>
      </c>
      <c r="R35" s="38" t="s">
        <v>91</v>
      </c>
      <c r="S35" s="39">
        <f t="shared" ref="S35:AF35" si="27">MAX(S13:S18)</f>
        <v>14</v>
      </c>
      <c r="T35" s="39">
        <f t="shared" si="27"/>
        <v>0</v>
      </c>
      <c r="U35" s="39">
        <f t="shared" si="27"/>
        <v>17</v>
      </c>
      <c r="V35" s="39">
        <f t="shared" si="27"/>
        <v>15</v>
      </c>
      <c r="W35" s="39">
        <f t="shared" si="27"/>
        <v>1</v>
      </c>
      <c r="X35" s="39">
        <f t="shared" si="27"/>
        <v>0</v>
      </c>
      <c r="Y35" s="39">
        <f t="shared" si="27"/>
        <v>12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96</v>
      </c>
      <c r="AD35" s="39">
        <f t="shared" si="27"/>
        <v>0</v>
      </c>
      <c r="AE35" s="40">
        <f t="shared" si="27"/>
        <v>48</v>
      </c>
      <c r="AF35" s="40">
        <f t="shared" si="27"/>
        <v>138</v>
      </c>
    </row>
    <row r="36" spans="2:32" ht="23.1" customHeight="1" x14ac:dyDescent="0.25">
      <c r="B36" s="46" t="s">
        <v>63</v>
      </c>
      <c r="C36" s="50">
        <v>2</v>
      </c>
      <c r="D36" s="50">
        <v>0</v>
      </c>
      <c r="E36" s="50">
        <v>2</v>
      </c>
      <c r="F36" s="50">
        <v>5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12</v>
      </c>
      <c r="P36" s="15">
        <f t="shared" si="1"/>
        <v>26</v>
      </c>
      <c r="R36" s="38" t="s">
        <v>92</v>
      </c>
      <c r="S36" s="39">
        <f t="shared" ref="S36:AF36" si="28">MAX(S19:S21)</f>
        <v>13</v>
      </c>
      <c r="T36" s="39">
        <f t="shared" si="28"/>
        <v>0</v>
      </c>
      <c r="U36" s="39">
        <f t="shared" si="28"/>
        <v>12</v>
      </c>
      <c r="V36" s="39">
        <f t="shared" si="28"/>
        <v>10</v>
      </c>
      <c r="W36" s="39">
        <f t="shared" si="28"/>
        <v>0</v>
      </c>
      <c r="X36" s="39">
        <f t="shared" si="28"/>
        <v>0</v>
      </c>
      <c r="Y36" s="39">
        <f t="shared" si="28"/>
        <v>10</v>
      </c>
      <c r="Z36" s="39">
        <f t="shared" si="28"/>
        <v>0</v>
      </c>
      <c r="AA36" s="39">
        <f t="shared" si="28"/>
        <v>1</v>
      </c>
      <c r="AB36" s="39">
        <f t="shared" si="28"/>
        <v>0</v>
      </c>
      <c r="AC36" s="39">
        <f t="shared" si="28"/>
        <v>88</v>
      </c>
      <c r="AD36" s="39">
        <f t="shared" si="28"/>
        <v>0</v>
      </c>
      <c r="AE36" s="40">
        <f t="shared" si="28"/>
        <v>44</v>
      </c>
      <c r="AF36" s="40">
        <f t="shared" si="28"/>
        <v>121</v>
      </c>
    </row>
    <row r="37" spans="2:32" ht="23.1" customHeight="1" x14ac:dyDescent="0.25">
      <c r="B37" s="45" t="s">
        <v>64</v>
      </c>
      <c r="C37" s="50">
        <v>1</v>
      </c>
      <c r="D37" s="50">
        <v>0</v>
      </c>
      <c r="E37" s="50">
        <v>3</v>
      </c>
      <c r="F37" s="50">
        <v>1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17</v>
      </c>
      <c r="N37" s="50">
        <v>0</v>
      </c>
      <c r="O37" s="15">
        <f t="shared" si="0"/>
        <v>9</v>
      </c>
      <c r="P37" s="15">
        <f t="shared" si="1"/>
        <v>26</v>
      </c>
      <c r="R37" s="37" t="s">
        <v>85</v>
      </c>
      <c r="S37" s="35">
        <f t="shared" ref="S37:AF37" si="29">SUM(S10:S12)</f>
        <v>18</v>
      </c>
      <c r="T37" s="16">
        <f t="shared" si="29"/>
        <v>0</v>
      </c>
      <c r="U37" s="16">
        <f t="shared" si="29"/>
        <v>22</v>
      </c>
      <c r="V37" s="16">
        <f t="shared" si="29"/>
        <v>14</v>
      </c>
      <c r="W37" s="16">
        <f t="shared" si="29"/>
        <v>2</v>
      </c>
      <c r="X37" s="16">
        <f t="shared" si="29"/>
        <v>0</v>
      </c>
      <c r="Y37" s="16">
        <f t="shared" si="29"/>
        <v>21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165</v>
      </c>
      <c r="AD37" s="16">
        <f t="shared" si="29"/>
        <v>0</v>
      </c>
      <c r="AE37" s="32">
        <f t="shared" si="29"/>
        <v>77</v>
      </c>
      <c r="AF37" s="32">
        <f t="shared" si="29"/>
        <v>242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4</v>
      </c>
      <c r="F38" s="50">
        <v>3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9</v>
      </c>
      <c r="P38" s="15">
        <f t="shared" si="1"/>
        <v>23</v>
      </c>
      <c r="R38" s="28" t="s">
        <v>86</v>
      </c>
      <c r="S38" s="16">
        <f t="shared" ref="S38:AF38" si="30">SUM(S13:S18)</f>
        <v>54</v>
      </c>
      <c r="T38" s="16">
        <f t="shared" si="30"/>
        <v>0</v>
      </c>
      <c r="U38" s="16">
        <f t="shared" si="30"/>
        <v>59</v>
      </c>
      <c r="V38" s="16">
        <f t="shared" si="30"/>
        <v>54</v>
      </c>
      <c r="W38" s="16">
        <f t="shared" si="30"/>
        <v>1</v>
      </c>
      <c r="X38" s="16">
        <f t="shared" si="30"/>
        <v>0</v>
      </c>
      <c r="Y38" s="16">
        <f t="shared" si="30"/>
        <v>51</v>
      </c>
      <c r="Z38" s="16">
        <f t="shared" si="30"/>
        <v>1</v>
      </c>
      <c r="AA38" s="16">
        <f t="shared" si="30"/>
        <v>3</v>
      </c>
      <c r="AB38" s="16">
        <f t="shared" si="30"/>
        <v>0</v>
      </c>
      <c r="AC38" s="16">
        <f t="shared" si="30"/>
        <v>428</v>
      </c>
      <c r="AD38" s="16">
        <f t="shared" si="30"/>
        <v>0</v>
      </c>
      <c r="AE38" s="32">
        <f t="shared" si="30"/>
        <v>223</v>
      </c>
      <c r="AF38" s="32">
        <f t="shared" si="30"/>
        <v>651</v>
      </c>
    </row>
    <row r="39" spans="2:32" ht="23.1" customHeight="1" x14ac:dyDescent="0.25">
      <c r="B39" s="46" t="s">
        <v>66</v>
      </c>
      <c r="C39" s="50">
        <v>3</v>
      </c>
      <c r="D39" s="50">
        <v>0</v>
      </c>
      <c r="E39" s="50">
        <v>3</v>
      </c>
      <c r="F39" s="50">
        <v>1</v>
      </c>
      <c r="G39" s="50">
        <v>0</v>
      </c>
      <c r="H39" s="50">
        <v>0</v>
      </c>
      <c r="I39" s="50">
        <v>3</v>
      </c>
      <c r="J39" s="50">
        <v>0</v>
      </c>
      <c r="K39" s="50">
        <v>1</v>
      </c>
      <c r="L39" s="50">
        <v>0</v>
      </c>
      <c r="M39" s="50">
        <v>15</v>
      </c>
      <c r="N39" s="50">
        <v>0</v>
      </c>
      <c r="O39" s="15">
        <f t="shared" si="0"/>
        <v>11</v>
      </c>
      <c r="P39" s="15">
        <f t="shared" si="1"/>
        <v>26</v>
      </c>
      <c r="R39" s="29" t="s">
        <v>87</v>
      </c>
      <c r="S39" s="16">
        <f t="shared" ref="S39:AF39" si="31">SUM(S19:S21)</f>
        <v>32</v>
      </c>
      <c r="T39" s="16">
        <f t="shared" si="31"/>
        <v>0</v>
      </c>
      <c r="U39" s="16">
        <f t="shared" si="31"/>
        <v>28</v>
      </c>
      <c r="V39" s="16">
        <f t="shared" si="31"/>
        <v>27</v>
      </c>
      <c r="W39" s="16">
        <f t="shared" si="31"/>
        <v>0</v>
      </c>
      <c r="X39" s="16">
        <f t="shared" si="31"/>
        <v>0</v>
      </c>
      <c r="Y39" s="16">
        <f t="shared" si="31"/>
        <v>25</v>
      </c>
      <c r="Z39" s="16">
        <f t="shared" si="31"/>
        <v>0</v>
      </c>
      <c r="AA39" s="16">
        <f t="shared" si="31"/>
        <v>2</v>
      </c>
      <c r="AB39" s="16">
        <f t="shared" si="31"/>
        <v>0</v>
      </c>
      <c r="AC39" s="16">
        <f t="shared" si="31"/>
        <v>238</v>
      </c>
      <c r="AD39" s="16">
        <f t="shared" si="31"/>
        <v>0</v>
      </c>
      <c r="AE39" s="32">
        <f t="shared" si="31"/>
        <v>114</v>
      </c>
      <c r="AF39" s="32">
        <f t="shared" si="31"/>
        <v>352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6</v>
      </c>
      <c r="F40" s="50">
        <v>4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13</v>
      </c>
      <c r="P40" s="15">
        <f t="shared" si="1"/>
        <v>29</v>
      </c>
      <c r="R40" s="5" t="s">
        <v>17</v>
      </c>
      <c r="S40" s="16">
        <f t="shared" ref="S40:AF40" si="32">SUM(S10:S21)</f>
        <v>104</v>
      </c>
      <c r="T40" s="16">
        <f t="shared" si="32"/>
        <v>0</v>
      </c>
      <c r="U40" s="16">
        <f t="shared" si="32"/>
        <v>109</v>
      </c>
      <c r="V40" s="16">
        <f t="shared" si="32"/>
        <v>95</v>
      </c>
      <c r="W40" s="16">
        <f t="shared" si="32"/>
        <v>3</v>
      </c>
      <c r="X40" s="16">
        <f t="shared" si="32"/>
        <v>0</v>
      </c>
      <c r="Y40" s="16">
        <f t="shared" si="32"/>
        <v>97</v>
      </c>
      <c r="Z40" s="16">
        <f t="shared" si="32"/>
        <v>1</v>
      </c>
      <c r="AA40" s="16">
        <f t="shared" si="32"/>
        <v>5</v>
      </c>
      <c r="AB40" s="16">
        <f t="shared" si="32"/>
        <v>0</v>
      </c>
      <c r="AC40" s="16">
        <f t="shared" si="32"/>
        <v>831</v>
      </c>
      <c r="AD40" s="16">
        <f t="shared" si="32"/>
        <v>0</v>
      </c>
      <c r="AE40" s="32">
        <f t="shared" si="32"/>
        <v>414</v>
      </c>
      <c r="AF40" s="32">
        <f t="shared" si="32"/>
        <v>1245</v>
      </c>
    </row>
    <row r="41" spans="2:32" ht="23.1" customHeight="1" x14ac:dyDescent="0.25">
      <c r="B41" s="45" t="s">
        <v>68</v>
      </c>
      <c r="C41" s="50">
        <v>4</v>
      </c>
      <c r="D41" s="50">
        <v>0</v>
      </c>
      <c r="E41" s="50">
        <v>4</v>
      </c>
      <c r="F41" s="50">
        <v>2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15</v>
      </c>
      <c r="N41" s="50">
        <v>0</v>
      </c>
      <c r="O41" s="15">
        <f t="shared" si="0"/>
        <v>13</v>
      </c>
      <c r="P41" s="15">
        <f t="shared" si="1"/>
        <v>28</v>
      </c>
      <c r="R41" s="5" t="s">
        <v>159</v>
      </c>
      <c r="S41" s="16">
        <f>SUM(S10:S33)</f>
        <v>169</v>
      </c>
      <c r="T41" s="16">
        <f t="shared" ref="T41:AF41" si="33">SUM(T10:T33)</f>
        <v>4</v>
      </c>
      <c r="U41" s="16">
        <f t="shared" si="33"/>
        <v>172</v>
      </c>
      <c r="V41" s="16">
        <f t="shared" si="33"/>
        <v>140</v>
      </c>
      <c r="W41" s="16">
        <f t="shared" si="33"/>
        <v>6</v>
      </c>
      <c r="X41" s="16">
        <f t="shared" si="33"/>
        <v>1</v>
      </c>
      <c r="Y41" s="16">
        <f t="shared" si="33"/>
        <v>155</v>
      </c>
      <c r="Z41" s="16">
        <f t="shared" si="33"/>
        <v>3</v>
      </c>
      <c r="AA41" s="16">
        <f t="shared" si="33"/>
        <v>11</v>
      </c>
      <c r="AB41" s="16">
        <f t="shared" si="33"/>
        <v>0</v>
      </c>
      <c r="AC41" s="16">
        <f t="shared" si="33"/>
        <v>1010</v>
      </c>
      <c r="AD41" s="16">
        <f t="shared" si="33"/>
        <v>0</v>
      </c>
      <c r="AE41" s="32">
        <f t="shared" si="33"/>
        <v>661</v>
      </c>
      <c r="AF41" s="32">
        <f t="shared" si="33"/>
        <v>1671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2</v>
      </c>
      <c r="F42" s="50">
        <v>2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19</v>
      </c>
      <c r="N42" s="50">
        <v>0</v>
      </c>
      <c r="O42" s="15">
        <f t="shared" si="0"/>
        <v>6</v>
      </c>
      <c r="P42" s="15">
        <f t="shared" si="1"/>
        <v>25</v>
      </c>
      <c r="R42" s="5" t="s">
        <v>160</v>
      </c>
      <c r="S42" s="48">
        <f>S41/S40</f>
        <v>1.625</v>
      </c>
      <c r="T42" s="48" t="e">
        <f t="shared" ref="T42:AF42" si="34">T41/T40</f>
        <v>#DIV/0!</v>
      </c>
      <c r="U42" s="48">
        <f t="shared" si="34"/>
        <v>1.5779816513761469</v>
      </c>
      <c r="V42" s="48">
        <f t="shared" si="34"/>
        <v>1.4736842105263157</v>
      </c>
      <c r="W42" s="48">
        <f t="shared" si="34"/>
        <v>2</v>
      </c>
      <c r="X42" s="48" t="e">
        <f t="shared" si="34"/>
        <v>#DIV/0!</v>
      </c>
      <c r="Y42" s="48">
        <f t="shared" si="34"/>
        <v>1.597938144329897</v>
      </c>
      <c r="Z42" s="48">
        <f t="shared" si="34"/>
        <v>3</v>
      </c>
      <c r="AA42" s="48">
        <f t="shared" si="34"/>
        <v>2.2000000000000002</v>
      </c>
      <c r="AB42" s="48" t="e">
        <f t="shared" si="34"/>
        <v>#DIV/0!</v>
      </c>
      <c r="AC42" s="48">
        <f t="shared" si="34"/>
        <v>1.2154031287605296</v>
      </c>
      <c r="AD42" s="48" t="e">
        <f t="shared" si="34"/>
        <v>#DIV/0!</v>
      </c>
      <c r="AE42" s="48">
        <f t="shared" si="34"/>
        <v>1.5966183574879227</v>
      </c>
      <c r="AF42" s="48">
        <f t="shared" si="34"/>
        <v>1.3421686746987951</v>
      </c>
    </row>
    <row r="43" spans="2:32" ht="23.1" customHeight="1" x14ac:dyDescent="0.25">
      <c r="B43" s="45" t="s">
        <v>70</v>
      </c>
      <c r="C43" s="50">
        <v>4</v>
      </c>
      <c r="D43" s="50">
        <v>0</v>
      </c>
      <c r="E43" s="50">
        <v>2</v>
      </c>
      <c r="F43" s="50">
        <v>1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23</v>
      </c>
      <c r="N43" s="50">
        <v>0</v>
      </c>
      <c r="O43" s="15">
        <f t="shared" si="0"/>
        <v>9</v>
      </c>
      <c r="P43" s="15">
        <f t="shared" si="1"/>
        <v>32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2</v>
      </c>
      <c r="F44" s="50">
        <v>4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12</v>
      </c>
      <c r="P44" s="15">
        <f t="shared" si="1"/>
        <v>26</v>
      </c>
    </row>
    <row r="45" spans="2:32" ht="23.1" customHeight="1" x14ac:dyDescent="0.25">
      <c r="B45" s="45" t="s">
        <v>72</v>
      </c>
      <c r="C45" s="50">
        <v>3</v>
      </c>
      <c r="D45" s="50">
        <v>0</v>
      </c>
      <c r="E45" s="50">
        <v>1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19</v>
      </c>
      <c r="N45" s="50">
        <v>0</v>
      </c>
      <c r="O45" s="15">
        <f t="shared" si="0"/>
        <v>6</v>
      </c>
      <c r="P45" s="15">
        <f t="shared" si="1"/>
        <v>25</v>
      </c>
    </row>
    <row r="46" spans="2:32" ht="23.1" customHeight="1" x14ac:dyDescent="0.25">
      <c r="B46" s="46" t="s">
        <v>73</v>
      </c>
      <c r="C46" s="50">
        <v>4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1</v>
      </c>
      <c r="L46" s="50">
        <v>0</v>
      </c>
      <c r="M46" s="50">
        <v>28</v>
      </c>
      <c r="N46" s="50">
        <v>0</v>
      </c>
      <c r="O46" s="15">
        <f t="shared" si="0"/>
        <v>8</v>
      </c>
      <c r="P46" s="15">
        <f t="shared" si="1"/>
        <v>36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2</v>
      </c>
      <c r="F47" s="50">
        <v>1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9</v>
      </c>
      <c r="P47" s="15">
        <f t="shared" si="1"/>
        <v>26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1</v>
      </c>
      <c r="F48" s="50">
        <v>4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17</v>
      </c>
      <c r="N48" s="50">
        <v>0</v>
      </c>
      <c r="O48" s="15">
        <f t="shared" si="0"/>
        <v>9</v>
      </c>
      <c r="P48" s="15">
        <f t="shared" si="1"/>
        <v>26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2</v>
      </c>
      <c r="F49" s="50">
        <v>2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26</v>
      </c>
      <c r="N49" s="50">
        <v>0</v>
      </c>
      <c r="O49" s="15">
        <f t="shared" si="0"/>
        <v>7</v>
      </c>
      <c r="P49" s="15">
        <f t="shared" si="1"/>
        <v>33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2</v>
      </c>
      <c r="F50" s="50">
        <v>3</v>
      </c>
      <c r="G50" s="50">
        <v>0</v>
      </c>
      <c r="H50" s="50">
        <v>0</v>
      </c>
      <c r="I50" s="50">
        <v>2</v>
      </c>
      <c r="J50" s="50">
        <v>0</v>
      </c>
      <c r="K50" s="50">
        <v>1</v>
      </c>
      <c r="L50" s="50">
        <v>0</v>
      </c>
      <c r="M50" s="50">
        <v>23</v>
      </c>
      <c r="N50" s="50">
        <v>0</v>
      </c>
      <c r="O50" s="15">
        <f t="shared" si="0"/>
        <v>10</v>
      </c>
      <c r="P50" s="15">
        <f t="shared" si="1"/>
        <v>33</v>
      </c>
      <c r="R50" s="8"/>
      <c r="T50"/>
    </row>
    <row r="51" spans="2:20" ht="23.1" customHeight="1" x14ac:dyDescent="0.25">
      <c r="B51" s="46" t="s">
        <v>78</v>
      </c>
      <c r="C51" s="50">
        <v>5</v>
      </c>
      <c r="D51" s="50">
        <v>0</v>
      </c>
      <c r="E51" s="50">
        <v>3</v>
      </c>
      <c r="F51" s="50">
        <v>1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12</v>
      </c>
      <c r="P51" s="15">
        <f t="shared" si="1"/>
        <v>23</v>
      </c>
      <c r="R51" s="8"/>
      <c r="T51"/>
    </row>
    <row r="52" spans="2:20" ht="23.1" customHeight="1" x14ac:dyDescent="0.25">
      <c r="B52" s="46" t="s">
        <v>79</v>
      </c>
      <c r="C52" s="50">
        <v>4</v>
      </c>
      <c r="D52" s="50">
        <v>0</v>
      </c>
      <c r="E52" s="50">
        <v>5</v>
      </c>
      <c r="F52" s="50">
        <v>4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18</v>
      </c>
      <c r="N52" s="50">
        <v>0</v>
      </c>
      <c r="O52" s="15">
        <f t="shared" si="0"/>
        <v>16</v>
      </c>
      <c r="P52" s="15">
        <f t="shared" si="1"/>
        <v>34</v>
      </c>
      <c r="R52" s="8"/>
      <c r="T52"/>
    </row>
    <row r="53" spans="2:20" ht="23.1" customHeight="1" x14ac:dyDescent="0.25">
      <c r="B53" s="45" t="s">
        <v>80</v>
      </c>
      <c r="C53" s="50">
        <v>2</v>
      </c>
      <c r="D53" s="50">
        <v>0</v>
      </c>
      <c r="E53" s="50">
        <v>2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6</v>
      </c>
      <c r="P53" s="15">
        <f t="shared" si="1"/>
        <v>25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0</v>
      </c>
      <c r="E54" s="50">
        <v>3</v>
      </c>
      <c r="F54" s="50">
        <v>1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21</v>
      </c>
      <c r="N54" s="50">
        <v>0</v>
      </c>
      <c r="O54" s="15">
        <f t="shared" si="0"/>
        <v>9</v>
      </c>
      <c r="P54" s="15">
        <f t="shared" si="1"/>
        <v>30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4</v>
      </c>
      <c r="F55" s="50">
        <v>5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15</v>
      </c>
      <c r="N55" s="50">
        <v>0</v>
      </c>
      <c r="O55" s="15">
        <f t="shared" si="0"/>
        <v>11</v>
      </c>
      <c r="P55" s="15">
        <f t="shared" si="1"/>
        <v>26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0</v>
      </c>
      <c r="E56" s="50">
        <v>2</v>
      </c>
      <c r="F56" s="50">
        <v>1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8</v>
      </c>
      <c r="P56" s="15">
        <f t="shared" si="1"/>
        <v>30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0</v>
      </c>
      <c r="E57" s="50">
        <v>2</v>
      </c>
      <c r="F57" s="50">
        <v>2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21</v>
      </c>
      <c r="N57" s="50">
        <v>0</v>
      </c>
      <c r="O57" s="15">
        <f t="shared" si="0"/>
        <v>9</v>
      </c>
      <c r="P57" s="15">
        <f t="shared" si="1"/>
        <v>30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4</v>
      </c>
      <c r="F58" s="50">
        <v>1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11</v>
      </c>
      <c r="N58" s="50">
        <v>0</v>
      </c>
      <c r="O58" s="15">
        <f t="shared" ref="O58:O105" si="35">SUM(C58:L58,N58)</f>
        <v>7</v>
      </c>
      <c r="P58" s="15">
        <f t="shared" ref="P58:P105" si="36">SUM(C58:N58)</f>
        <v>18</v>
      </c>
      <c r="R58" s="8"/>
      <c r="T58"/>
    </row>
    <row r="59" spans="2:20" ht="23.1" customHeight="1" x14ac:dyDescent="0.25">
      <c r="B59" s="45" t="s">
        <v>100</v>
      </c>
      <c r="C59" s="50">
        <v>6</v>
      </c>
      <c r="D59" s="50">
        <v>0</v>
      </c>
      <c r="E59" s="50">
        <v>2</v>
      </c>
      <c r="F59" s="50">
        <v>0</v>
      </c>
      <c r="G59" s="50">
        <v>1</v>
      </c>
      <c r="H59" s="50">
        <v>0</v>
      </c>
      <c r="I59" s="50">
        <v>2</v>
      </c>
      <c r="J59" s="50">
        <v>0</v>
      </c>
      <c r="K59" s="50">
        <v>1</v>
      </c>
      <c r="L59" s="50">
        <v>0</v>
      </c>
      <c r="M59" s="50">
        <v>17</v>
      </c>
      <c r="N59" s="50">
        <v>0</v>
      </c>
      <c r="O59" s="15">
        <f t="shared" si="35"/>
        <v>12</v>
      </c>
      <c r="P59" s="15">
        <f t="shared" si="36"/>
        <v>29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1</v>
      </c>
      <c r="F60" s="50">
        <v>1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15</v>
      </c>
      <c r="N60" s="50">
        <v>0</v>
      </c>
      <c r="O60" s="15">
        <f t="shared" si="35"/>
        <v>5</v>
      </c>
      <c r="P60" s="15">
        <f t="shared" si="36"/>
        <v>20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0</v>
      </c>
      <c r="E61" s="50">
        <v>1</v>
      </c>
      <c r="F61" s="50">
        <v>2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15</v>
      </c>
      <c r="N61" s="50">
        <v>0</v>
      </c>
      <c r="O61" s="15">
        <f t="shared" si="35"/>
        <v>7</v>
      </c>
      <c r="P61" s="15">
        <f t="shared" si="36"/>
        <v>22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4</v>
      </c>
      <c r="F62" s="50">
        <v>4</v>
      </c>
      <c r="G62" s="50">
        <v>0</v>
      </c>
      <c r="H62" s="50">
        <v>0</v>
      </c>
      <c r="I62" s="50">
        <v>3</v>
      </c>
      <c r="J62" s="50">
        <v>0</v>
      </c>
      <c r="K62" s="50">
        <v>0</v>
      </c>
      <c r="L62" s="50">
        <v>0</v>
      </c>
      <c r="M62" s="50">
        <v>14</v>
      </c>
      <c r="N62" s="50">
        <v>0</v>
      </c>
      <c r="O62" s="15">
        <f t="shared" si="35"/>
        <v>13</v>
      </c>
      <c r="P62" s="15">
        <f t="shared" si="36"/>
        <v>27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3</v>
      </c>
      <c r="F63" s="50">
        <v>1</v>
      </c>
      <c r="G63" s="50">
        <v>0</v>
      </c>
      <c r="H63" s="50">
        <v>0</v>
      </c>
      <c r="I63" s="50">
        <v>3</v>
      </c>
      <c r="J63" s="50">
        <v>1</v>
      </c>
      <c r="K63" s="50">
        <v>0</v>
      </c>
      <c r="L63" s="50">
        <v>0</v>
      </c>
      <c r="M63" s="50">
        <v>13</v>
      </c>
      <c r="N63" s="50">
        <v>0</v>
      </c>
      <c r="O63" s="15">
        <f t="shared" si="35"/>
        <v>9</v>
      </c>
      <c r="P63" s="15">
        <f t="shared" si="36"/>
        <v>22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6</v>
      </c>
      <c r="F64" s="50">
        <v>4</v>
      </c>
      <c r="G64" s="50">
        <v>0</v>
      </c>
      <c r="H64" s="50">
        <v>0</v>
      </c>
      <c r="I64" s="50">
        <v>3</v>
      </c>
      <c r="J64" s="50">
        <v>0</v>
      </c>
      <c r="K64" s="50">
        <v>0</v>
      </c>
      <c r="L64" s="50">
        <v>0</v>
      </c>
      <c r="M64" s="50">
        <v>12</v>
      </c>
      <c r="N64" s="50">
        <v>0</v>
      </c>
      <c r="O64" s="15">
        <f t="shared" si="35"/>
        <v>13</v>
      </c>
      <c r="P64" s="15">
        <f t="shared" si="36"/>
        <v>25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2</v>
      </c>
      <c r="F65" s="50">
        <v>4</v>
      </c>
      <c r="G65" s="50">
        <v>0</v>
      </c>
      <c r="H65" s="50">
        <v>0</v>
      </c>
      <c r="I65" s="50">
        <v>5</v>
      </c>
      <c r="J65" s="50">
        <v>0</v>
      </c>
      <c r="K65" s="50">
        <v>0</v>
      </c>
      <c r="L65" s="50">
        <v>0</v>
      </c>
      <c r="M65" s="50">
        <v>14</v>
      </c>
      <c r="N65" s="50">
        <v>0</v>
      </c>
      <c r="O65" s="15">
        <f t="shared" si="35"/>
        <v>12</v>
      </c>
      <c r="P65" s="15">
        <f t="shared" si="36"/>
        <v>26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2</v>
      </c>
      <c r="F66" s="50">
        <v>1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15</v>
      </c>
      <c r="N66" s="50">
        <v>0</v>
      </c>
      <c r="O66" s="15">
        <f t="shared" si="35"/>
        <v>9</v>
      </c>
      <c r="P66" s="15">
        <f t="shared" si="36"/>
        <v>24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2</v>
      </c>
      <c r="F67" s="50">
        <v>3</v>
      </c>
      <c r="G67" s="50">
        <v>0</v>
      </c>
      <c r="H67" s="50">
        <v>0</v>
      </c>
      <c r="I67" s="50">
        <v>2</v>
      </c>
      <c r="J67" s="50">
        <v>0</v>
      </c>
      <c r="K67" s="50">
        <v>1</v>
      </c>
      <c r="L67" s="50">
        <v>0</v>
      </c>
      <c r="M67" s="50">
        <v>10</v>
      </c>
      <c r="N67" s="50">
        <v>0</v>
      </c>
      <c r="O67" s="15">
        <f t="shared" si="35"/>
        <v>10</v>
      </c>
      <c r="P67" s="15">
        <f t="shared" si="36"/>
        <v>20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2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8</v>
      </c>
      <c r="N68" s="50">
        <v>0</v>
      </c>
      <c r="O68" s="15">
        <f t="shared" si="35"/>
        <v>6</v>
      </c>
      <c r="P68" s="15">
        <f t="shared" si="36"/>
        <v>14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4</v>
      </c>
      <c r="F69" s="50">
        <v>1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5</v>
      </c>
      <c r="N69" s="50">
        <v>0</v>
      </c>
      <c r="O69" s="15">
        <f t="shared" si="35"/>
        <v>7</v>
      </c>
      <c r="P69" s="15">
        <f t="shared" si="36"/>
        <v>12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1</v>
      </c>
      <c r="F70" s="50">
        <v>0</v>
      </c>
      <c r="G70" s="50">
        <v>1</v>
      </c>
      <c r="H70" s="50">
        <v>0</v>
      </c>
      <c r="I70" s="50">
        <v>2</v>
      </c>
      <c r="J70" s="50">
        <v>0</v>
      </c>
      <c r="K70" s="50">
        <v>1</v>
      </c>
      <c r="L70" s="50">
        <v>0</v>
      </c>
      <c r="M70" s="50">
        <v>4</v>
      </c>
      <c r="N70" s="50">
        <v>0</v>
      </c>
      <c r="O70" s="15">
        <f t="shared" si="35"/>
        <v>7</v>
      </c>
      <c r="P70" s="15">
        <f t="shared" si="36"/>
        <v>11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1</v>
      </c>
      <c r="F71" s="50">
        <v>1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6</v>
      </c>
      <c r="N71" s="50">
        <v>0</v>
      </c>
      <c r="O71" s="15">
        <f t="shared" si="35"/>
        <v>5</v>
      </c>
      <c r="P71" s="15">
        <f t="shared" si="36"/>
        <v>11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0</v>
      </c>
      <c r="E72" s="50">
        <v>1</v>
      </c>
      <c r="F72" s="50">
        <v>2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35"/>
        <v>7</v>
      </c>
      <c r="P72" s="15">
        <f t="shared" si="36"/>
        <v>10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2</v>
      </c>
      <c r="F73" s="50">
        <v>2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0</v>
      </c>
      <c r="M73" s="50">
        <v>4</v>
      </c>
      <c r="N73" s="50">
        <v>0</v>
      </c>
      <c r="O73" s="15">
        <f t="shared" si="35"/>
        <v>9</v>
      </c>
      <c r="P73" s="15">
        <f t="shared" si="36"/>
        <v>13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3</v>
      </c>
      <c r="F74" s="50">
        <v>1</v>
      </c>
      <c r="G74" s="50">
        <v>0</v>
      </c>
      <c r="H74" s="50">
        <v>0</v>
      </c>
      <c r="I74" s="50">
        <v>3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15">
        <f t="shared" si="35"/>
        <v>9</v>
      </c>
      <c r="P74" s="15">
        <f t="shared" si="36"/>
        <v>9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4</v>
      </c>
      <c r="F75" s="50">
        <v>2</v>
      </c>
      <c r="G75" s="50">
        <v>0</v>
      </c>
      <c r="H75" s="50">
        <v>0</v>
      </c>
      <c r="I75" s="50">
        <v>3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9</v>
      </c>
      <c r="P75" s="15">
        <f t="shared" si="36"/>
        <v>9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2</v>
      </c>
      <c r="F76" s="50">
        <v>1</v>
      </c>
      <c r="G76" s="50">
        <v>0</v>
      </c>
      <c r="H76" s="50">
        <v>0</v>
      </c>
      <c r="I76" s="50">
        <v>5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9</v>
      </c>
      <c r="P76" s="15">
        <f t="shared" si="36"/>
        <v>9</v>
      </c>
      <c r="R76" s="8"/>
      <c r="T76"/>
    </row>
    <row r="77" spans="2:20" ht="23.1" customHeight="1" x14ac:dyDescent="0.25">
      <c r="B77" s="45" t="s">
        <v>117</v>
      </c>
      <c r="C77" s="50">
        <v>4</v>
      </c>
      <c r="D77" s="50">
        <v>0</v>
      </c>
      <c r="E77" s="50">
        <v>2</v>
      </c>
      <c r="F77" s="50">
        <v>1</v>
      </c>
      <c r="G77" s="50">
        <v>0</v>
      </c>
      <c r="H77" s="50">
        <v>0</v>
      </c>
      <c r="I77" s="50">
        <v>3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10</v>
      </c>
      <c r="P77" s="15">
        <f t="shared" si="36"/>
        <v>10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0</v>
      </c>
      <c r="E78" s="50">
        <v>1</v>
      </c>
      <c r="F78" s="50">
        <v>3</v>
      </c>
      <c r="G78" s="50">
        <v>0</v>
      </c>
      <c r="H78" s="50">
        <v>0</v>
      </c>
      <c r="I78" s="50">
        <v>2</v>
      </c>
      <c r="J78" s="50">
        <v>0</v>
      </c>
      <c r="K78" s="50">
        <v>1</v>
      </c>
      <c r="L78" s="50">
        <v>0</v>
      </c>
      <c r="M78" s="50">
        <v>0</v>
      </c>
      <c r="N78" s="50">
        <v>0</v>
      </c>
      <c r="O78" s="15">
        <f t="shared" si="35"/>
        <v>9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1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0</v>
      </c>
      <c r="E80" s="50">
        <v>2</v>
      </c>
      <c r="F80" s="50">
        <v>2</v>
      </c>
      <c r="G80" s="50">
        <v>0</v>
      </c>
      <c r="H80" s="50">
        <v>0</v>
      </c>
      <c r="I80" s="50">
        <v>3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10</v>
      </c>
      <c r="P80" s="15">
        <f t="shared" si="36"/>
        <v>10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1</v>
      </c>
      <c r="G81" s="50">
        <v>0</v>
      </c>
      <c r="H81" s="50">
        <v>0</v>
      </c>
      <c r="I81" s="50">
        <v>5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8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2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2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1</v>
      </c>
      <c r="F84" s="50">
        <v>1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5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1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1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4</v>
      </c>
      <c r="P88" s="15">
        <f t="shared" si="36"/>
        <v>4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3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5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2</v>
      </c>
      <c r="E101" s="50">
        <v>1</v>
      </c>
      <c r="F101" s="50">
        <v>0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6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2</v>
      </c>
      <c r="N103" s="50">
        <v>0</v>
      </c>
      <c r="O103" s="15">
        <f t="shared" si="35"/>
        <v>3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3</v>
      </c>
      <c r="P104" s="15">
        <f t="shared" si="36"/>
        <v>6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2</v>
      </c>
      <c r="E105" s="50">
        <v>0</v>
      </c>
      <c r="F105" s="50">
        <v>0</v>
      </c>
      <c r="G105" s="50">
        <v>1</v>
      </c>
      <c r="H105" s="50">
        <v>0</v>
      </c>
      <c r="I105" s="50">
        <v>1</v>
      </c>
      <c r="J105" s="50">
        <v>0</v>
      </c>
      <c r="K105" s="50">
        <v>1</v>
      </c>
      <c r="L105" s="50">
        <v>0</v>
      </c>
      <c r="M105" s="50">
        <v>7</v>
      </c>
      <c r="N105" s="50">
        <v>0</v>
      </c>
      <c r="O105" s="15">
        <f t="shared" si="35"/>
        <v>7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169</v>
      </c>
      <c r="D106" s="16">
        <f t="shared" ref="D106:P106" si="37">SUM(D10:D105)</f>
        <v>4</v>
      </c>
      <c r="E106" s="16">
        <f t="shared" si="37"/>
        <v>172</v>
      </c>
      <c r="F106" s="16">
        <f t="shared" si="37"/>
        <v>140</v>
      </c>
      <c r="G106" s="16">
        <f t="shared" si="37"/>
        <v>6</v>
      </c>
      <c r="H106" s="16">
        <f t="shared" si="37"/>
        <v>1</v>
      </c>
      <c r="I106" s="16">
        <f t="shared" si="37"/>
        <v>155</v>
      </c>
      <c r="J106" s="16">
        <f t="shared" si="37"/>
        <v>3</v>
      </c>
      <c r="K106" s="16">
        <f t="shared" si="37"/>
        <v>11</v>
      </c>
      <c r="L106" s="16">
        <f t="shared" si="37"/>
        <v>0</v>
      </c>
      <c r="M106" s="16">
        <f t="shared" si="37"/>
        <v>1010</v>
      </c>
      <c r="N106" s="16">
        <f t="shared" si="37"/>
        <v>0</v>
      </c>
      <c r="O106" s="16">
        <f t="shared" si="37"/>
        <v>661</v>
      </c>
      <c r="P106" s="16">
        <f t="shared" si="37"/>
        <v>1671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0.10113704368641532</v>
      </c>
      <c r="D107" s="43">
        <f t="shared" si="38"/>
        <v>2.3937761819269898E-3</v>
      </c>
      <c r="E107" s="43">
        <f t="shared" si="38"/>
        <v>0.10293237582286056</v>
      </c>
      <c r="F107" s="43">
        <f t="shared" si="38"/>
        <v>8.3782166367444649E-2</v>
      </c>
      <c r="G107" s="43">
        <f t="shared" si="38"/>
        <v>3.5906642728904849E-3</v>
      </c>
      <c r="H107" s="43">
        <f t="shared" si="38"/>
        <v>5.9844404548174744E-4</v>
      </c>
      <c r="I107" s="43">
        <f t="shared" si="38"/>
        <v>9.2758827049670853E-2</v>
      </c>
      <c r="J107" s="43">
        <f t="shared" si="38"/>
        <v>1.7953321364452424E-3</v>
      </c>
      <c r="K107" s="43">
        <f t="shared" si="38"/>
        <v>6.582884500299222E-3</v>
      </c>
      <c r="L107" s="43">
        <f t="shared" si="38"/>
        <v>0</v>
      </c>
      <c r="M107" s="43">
        <f t="shared" si="38"/>
        <v>0.60442848593656495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0.2556732223903177</v>
      </c>
      <c r="D108" s="44">
        <f t="shared" ref="D108:N108" si="39">D106/$O$106</f>
        <v>6.0514372163388806E-3</v>
      </c>
      <c r="E108" s="44">
        <f t="shared" si="39"/>
        <v>0.26021180030257185</v>
      </c>
      <c r="F108" s="44">
        <f t="shared" si="39"/>
        <v>0.2118003025718608</v>
      </c>
      <c r="G108" s="44">
        <f t="shared" si="39"/>
        <v>9.0771558245083209E-3</v>
      </c>
      <c r="H108" s="44">
        <f t="shared" si="39"/>
        <v>1.5128593040847202E-3</v>
      </c>
      <c r="I108" s="44">
        <f t="shared" si="39"/>
        <v>0.23449319213313161</v>
      </c>
      <c r="J108" s="44">
        <f t="shared" si="39"/>
        <v>4.5385779122541605E-3</v>
      </c>
      <c r="K108" s="44">
        <f t="shared" si="39"/>
        <v>1.6641452344931921E-2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49" zoomScale="60" workbookViewId="0">
      <selection activeCell="C58" sqref="C58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Kampala-Bukaya'!C3:G3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'23.08 Kampala-Bukaya-24h'!D5</f>
        <v>23.08.19</v>
      </c>
      <c r="E5" s="3"/>
      <c r="F5" s="41" t="s">
        <v>1</v>
      </c>
      <c r="G5" s="63" t="str">
        <f>'23.08 Kampala-Bukaya-24h'!G5:H5</f>
        <v>Nyenga</v>
      </c>
      <c r="H5" s="64"/>
      <c r="I5" s="14"/>
      <c r="J5" s="2" t="s">
        <v>5</v>
      </c>
      <c r="K5" s="63" t="str">
        <f>'23.08 Kampala-Bukaya-24h'!K5:L5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Bukaya-Kampala'!D6:E6</f>
        <v>Bukaya</v>
      </c>
      <c r="E6" s="64"/>
      <c r="F6" s="2" t="s">
        <v>2</v>
      </c>
      <c r="G6" s="63" t="str">
        <f>'20.08 Bukaya-Kampala'!G6:H6</f>
        <v>Kampala</v>
      </c>
      <c r="H6" s="64"/>
      <c r="J6" s="2" t="s">
        <v>21</v>
      </c>
      <c r="K6" s="63" t="str">
        <f>'23.08 Kampala-Bukaya-24h'!K6:L6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16</v>
      </c>
      <c r="N10" s="50">
        <v>0</v>
      </c>
      <c r="O10" s="15">
        <f t="shared" ref="O10:O73" si="0">SUM(C10:L10,N10)</f>
        <v>3</v>
      </c>
      <c r="P10" s="15">
        <f t="shared" ref="P10:P73" si="1">SUM(C10:N10)</f>
        <v>19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3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71</v>
      </c>
      <c r="AD10" s="17">
        <f t="shared" si="2"/>
        <v>0</v>
      </c>
      <c r="AE10" s="31">
        <f t="shared" si="2"/>
        <v>12</v>
      </c>
      <c r="AF10" s="31">
        <f t="shared" si="2"/>
        <v>83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2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19</v>
      </c>
      <c r="N11" s="50">
        <v>0</v>
      </c>
      <c r="O11" s="15">
        <f t="shared" si="0"/>
        <v>4</v>
      </c>
      <c r="P11" s="15">
        <f t="shared" si="1"/>
        <v>23</v>
      </c>
      <c r="R11" s="1" t="s">
        <v>7</v>
      </c>
      <c r="S11" s="17">
        <f t="shared" ref="S11:AF11" si="3">SUM(C14:C17)</f>
        <v>6</v>
      </c>
      <c r="T11" s="17">
        <f t="shared" si="3"/>
        <v>0</v>
      </c>
      <c r="U11" s="17">
        <f t="shared" si="3"/>
        <v>3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65</v>
      </c>
      <c r="AD11" s="17">
        <f t="shared" si="3"/>
        <v>0</v>
      </c>
      <c r="AE11" s="31">
        <f t="shared" si="3"/>
        <v>15</v>
      </c>
      <c r="AF11" s="31">
        <f t="shared" si="3"/>
        <v>80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20</v>
      </c>
      <c r="N12" s="50">
        <v>0</v>
      </c>
      <c r="O12" s="15">
        <f t="shared" si="0"/>
        <v>3</v>
      </c>
      <c r="P12" s="15">
        <f t="shared" si="1"/>
        <v>23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6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57</v>
      </c>
      <c r="AD12" s="17">
        <f t="shared" si="4"/>
        <v>0</v>
      </c>
      <c r="AE12" s="31">
        <f t="shared" si="4"/>
        <v>22</v>
      </c>
      <c r="AF12" s="31">
        <f t="shared" si="4"/>
        <v>79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16</v>
      </c>
      <c r="N13" s="50">
        <v>0</v>
      </c>
      <c r="O13" s="15">
        <f t="shared" si="0"/>
        <v>2</v>
      </c>
      <c r="P13" s="15">
        <f t="shared" si="1"/>
        <v>18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8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72</v>
      </c>
      <c r="AD13" s="17">
        <f t="shared" si="5"/>
        <v>0</v>
      </c>
      <c r="AE13" s="31">
        <f t="shared" si="5"/>
        <v>23</v>
      </c>
      <c r="AF13" s="31">
        <f t="shared" si="5"/>
        <v>95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2</v>
      </c>
      <c r="P14" s="15">
        <f t="shared" si="1"/>
        <v>15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11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61</v>
      </c>
      <c r="AD14" s="17">
        <f t="shared" si="6"/>
        <v>0</v>
      </c>
      <c r="AE14" s="31">
        <f t="shared" si="6"/>
        <v>28</v>
      </c>
      <c r="AF14" s="31">
        <f t="shared" si="6"/>
        <v>89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0</v>
      </c>
      <c r="M15" s="50">
        <v>21</v>
      </c>
      <c r="N15" s="50">
        <v>0</v>
      </c>
      <c r="O15" s="15">
        <f t="shared" si="0"/>
        <v>3</v>
      </c>
      <c r="P15" s="15">
        <f t="shared" si="1"/>
        <v>24</v>
      </c>
      <c r="R15" s="1" t="s">
        <v>11</v>
      </c>
      <c r="S15" s="17">
        <f t="shared" ref="S15:AF15" si="7">SUM(C30:C33)</f>
        <v>10</v>
      </c>
      <c r="T15" s="17">
        <f t="shared" si="7"/>
        <v>0</v>
      </c>
      <c r="U15" s="17">
        <f t="shared" si="7"/>
        <v>7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89</v>
      </c>
      <c r="AD15" s="17">
        <f t="shared" si="7"/>
        <v>0</v>
      </c>
      <c r="AE15" s="31">
        <f t="shared" si="7"/>
        <v>32</v>
      </c>
      <c r="AF15" s="31">
        <f t="shared" si="7"/>
        <v>121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2</v>
      </c>
      <c r="F16" s="50">
        <v>1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16</v>
      </c>
      <c r="N16" s="50">
        <v>0</v>
      </c>
      <c r="O16" s="15">
        <f t="shared" si="0"/>
        <v>8</v>
      </c>
      <c r="P16" s="15">
        <f t="shared" si="1"/>
        <v>24</v>
      </c>
      <c r="R16" s="1" t="s">
        <v>12</v>
      </c>
      <c r="S16" s="17">
        <f t="shared" ref="S16:AF16" si="8">SUM(C34:C37)</f>
        <v>5</v>
      </c>
      <c r="T16" s="17">
        <f t="shared" si="8"/>
        <v>0</v>
      </c>
      <c r="U16" s="17">
        <f t="shared" si="8"/>
        <v>10</v>
      </c>
      <c r="V16" s="17">
        <f t="shared" si="8"/>
        <v>8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49</v>
      </c>
      <c r="AD16" s="17">
        <f t="shared" si="8"/>
        <v>0</v>
      </c>
      <c r="AE16" s="31">
        <f t="shared" si="8"/>
        <v>28</v>
      </c>
      <c r="AF16" s="31">
        <f t="shared" si="8"/>
        <v>77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2</v>
      </c>
      <c r="P17" s="15">
        <f t="shared" si="1"/>
        <v>17</v>
      </c>
      <c r="R17" s="1" t="s">
        <v>13</v>
      </c>
      <c r="S17" s="17">
        <f t="shared" ref="S17:AF17" si="9">SUM(C38:C41)</f>
        <v>12</v>
      </c>
      <c r="T17" s="17">
        <f t="shared" si="9"/>
        <v>0</v>
      </c>
      <c r="U17" s="17">
        <f t="shared" si="9"/>
        <v>9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79</v>
      </c>
      <c r="AD17" s="17">
        <f t="shared" si="9"/>
        <v>0</v>
      </c>
      <c r="AE17" s="31">
        <f t="shared" si="9"/>
        <v>29</v>
      </c>
      <c r="AF17" s="31">
        <f t="shared" si="9"/>
        <v>108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2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19</v>
      </c>
      <c r="N18" s="50">
        <v>0</v>
      </c>
      <c r="O18" s="15">
        <f t="shared" si="0"/>
        <v>3</v>
      </c>
      <c r="P18" s="15">
        <f t="shared" si="1"/>
        <v>22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7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76</v>
      </c>
      <c r="AD18" s="17">
        <f t="shared" si="10"/>
        <v>0</v>
      </c>
      <c r="AE18" s="31">
        <f t="shared" si="10"/>
        <v>24</v>
      </c>
      <c r="AF18" s="31">
        <f t="shared" si="10"/>
        <v>100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2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17</v>
      </c>
      <c r="N19" s="50">
        <v>0</v>
      </c>
      <c r="O19" s="15">
        <f t="shared" si="0"/>
        <v>4</v>
      </c>
      <c r="P19" s="15">
        <f t="shared" si="1"/>
        <v>21</v>
      </c>
      <c r="R19" s="1" t="s">
        <v>15</v>
      </c>
      <c r="S19" s="17">
        <f t="shared" ref="S19:AF19" si="11">SUM(C46:C49)</f>
        <v>12</v>
      </c>
      <c r="T19" s="17">
        <f t="shared" si="11"/>
        <v>0</v>
      </c>
      <c r="U19" s="17">
        <f t="shared" si="11"/>
        <v>13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76</v>
      </c>
      <c r="AD19" s="17">
        <f t="shared" si="11"/>
        <v>0</v>
      </c>
      <c r="AE19" s="31">
        <f t="shared" si="11"/>
        <v>39</v>
      </c>
      <c r="AF19" s="31">
        <f t="shared" si="11"/>
        <v>115</v>
      </c>
    </row>
    <row r="20" spans="2:32" ht="23.1" customHeight="1" x14ac:dyDescent="0.25">
      <c r="B20" s="45" t="s">
        <v>47</v>
      </c>
      <c r="C20" s="50">
        <v>2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12</v>
      </c>
      <c r="N20" s="50">
        <v>0</v>
      </c>
      <c r="O20" s="15">
        <f t="shared" si="0"/>
        <v>7</v>
      </c>
      <c r="P20" s="15">
        <f t="shared" si="1"/>
        <v>19</v>
      </c>
      <c r="R20" s="1" t="s">
        <v>16</v>
      </c>
      <c r="S20" s="17">
        <f t="shared" ref="S20:AF20" si="12">SUM(C50:C53)</f>
        <v>9</v>
      </c>
      <c r="T20" s="17">
        <f t="shared" si="12"/>
        <v>0</v>
      </c>
      <c r="U20" s="17">
        <f t="shared" si="12"/>
        <v>20</v>
      </c>
      <c r="V20" s="17">
        <f t="shared" si="12"/>
        <v>12</v>
      </c>
      <c r="W20" s="17">
        <f t="shared" si="12"/>
        <v>1</v>
      </c>
      <c r="X20" s="17">
        <f t="shared" si="12"/>
        <v>0</v>
      </c>
      <c r="Y20" s="17">
        <f t="shared" si="12"/>
        <v>11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81</v>
      </c>
      <c r="AD20" s="17">
        <f t="shared" si="12"/>
        <v>0</v>
      </c>
      <c r="AE20" s="31">
        <f t="shared" si="12"/>
        <v>53</v>
      </c>
      <c r="AF20" s="31">
        <f t="shared" si="12"/>
        <v>134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1</v>
      </c>
      <c r="F21" s="50">
        <v>3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8</v>
      </c>
      <c r="P21" s="15">
        <f t="shared" si="1"/>
        <v>17</v>
      </c>
      <c r="R21" s="36" t="s">
        <v>20</v>
      </c>
      <c r="S21" s="34">
        <f t="shared" ref="S21:AF21" si="13">SUM(C54:C57)</f>
        <v>6</v>
      </c>
      <c r="T21" s="17">
        <f t="shared" si="13"/>
        <v>0</v>
      </c>
      <c r="U21" s="17">
        <f t="shared" si="13"/>
        <v>19</v>
      </c>
      <c r="V21" s="17">
        <f t="shared" si="13"/>
        <v>9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87</v>
      </c>
      <c r="AD21" s="17">
        <f t="shared" si="13"/>
        <v>0</v>
      </c>
      <c r="AE21" s="31">
        <f t="shared" si="13"/>
        <v>46</v>
      </c>
      <c r="AF21" s="31">
        <f t="shared" si="13"/>
        <v>133</v>
      </c>
    </row>
    <row r="22" spans="2:32" ht="23.1" customHeight="1" x14ac:dyDescent="0.25">
      <c r="B22" s="45" t="s">
        <v>49</v>
      </c>
      <c r="C22" s="50">
        <v>3</v>
      </c>
      <c r="D22" s="50">
        <v>0</v>
      </c>
      <c r="E22" s="50">
        <v>1</v>
      </c>
      <c r="F22" s="50">
        <v>2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19</v>
      </c>
      <c r="N22" s="50">
        <v>0</v>
      </c>
      <c r="O22" s="15">
        <f t="shared" si="0"/>
        <v>8</v>
      </c>
      <c r="P22" s="15">
        <f t="shared" si="1"/>
        <v>27</v>
      </c>
      <c r="R22" s="36" t="s">
        <v>146</v>
      </c>
      <c r="S22" s="34">
        <f>SUM(C58:C61)</f>
        <v>13</v>
      </c>
      <c r="T22" s="34">
        <f t="shared" ref="T22:AF22" si="14">SUM(D58:D61)</f>
        <v>0</v>
      </c>
      <c r="U22" s="34">
        <f t="shared" si="14"/>
        <v>8</v>
      </c>
      <c r="V22" s="34">
        <f t="shared" si="14"/>
        <v>4</v>
      </c>
      <c r="W22" s="34">
        <f t="shared" si="14"/>
        <v>1</v>
      </c>
      <c r="X22" s="34">
        <f t="shared" si="14"/>
        <v>0</v>
      </c>
      <c r="Y22" s="34">
        <f t="shared" si="14"/>
        <v>4</v>
      </c>
      <c r="Z22" s="34">
        <f t="shared" si="14"/>
        <v>0</v>
      </c>
      <c r="AA22" s="34">
        <f t="shared" si="14"/>
        <v>1</v>
      </c>
      <c r="AB22" s="34">
        <f t="shared" si="14"/>
        <v>0</v>
      </c>
      <c r="AC22" s="34">
        <f t="shared" si="14"/>
        <v>58</v>
      </c>
      <c r="AD22" s="34">
        <f t="shared" si="14"/>
        <v>0</v>
      </c>
      <c r="AE22" s="31">
        <f t="shared" si="14"/>
        <v>31</v>
      </c>
      <c r="AF22" s="31">
        <f t="shared" si="14"/>
        <v>89</v>
      </c>
    </row>
    <row r="23" spans="2:32" ht="23.1" customHeight="1" x14ac:dyDescent="0.25">
      <c r="B23" s="45" t="s">
        <v>50</v>
      </c>
      <c r="C23" s="50">
        <v>1</v>
      </c>
      <c r="D23" s="50">
        <v>0</v>
      </c>
      <c r="E23" s="50">
        <v>2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16</v>
      </c>
      <c r="N23" s="50">
        <v>0</v>
      </c>
      <c r="O23" s="15">
        <f t="shared" si="0"/>
        <v>5</v>
      </c>
      <c r="P23" s="15">
        <f t="shared" si="1"/>
        <v>21</v>
      </c>
      <c r="R23" s="36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15</v>
      </c>
      <c r="V23" s="34">
        <f t="shared" si="15"/>
        <v>13</v>
      </c>
      <c r="W23" s="34">
        <f t="shared" si="15"/>
        <v>0</v>
      </c>
      <c r="X23" s="34">
        <f t="shared" si="15"/>
        <v>0</v>
      </c>
      <c r="Y23" s="34">
        <f t="shared" si="15"/>
        <v>14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53</v>
      </c>
      <c r="AD23" s="34">
        <f t="shared" si="15"/>
        <v>0</v>
      </c>
      <c r="AE23" s="31">
        <f t="shared" si="15"/>
        <v>47</v>
      </c>
      <c r="AF23" s="31">
        <f t="shared" si="15"/>
        <v>100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2</v>
      </c>
      <c r="F24" s="50">
        <v>3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20</v>
      </c>
      <c r="N24" s="50">
        <v>0</v>
      </c>
      <c r="O24" s="15">
        <f t="shared" si="0"/>
        <v>5</v>
      </c>
      <c r="P24" s="15">
        <f t="shared" si="1"/>
        <v>25</v>
      </c>
      <c r="R24" s="36" t="s">
        <v>148</v>
      </c>
      <c r="S24" s="34">
        <f>SUM(C66:C69)</f>
        <v>8</v>
      </c>
      <c r="T24" s="34">
        <f t="shared" ref="T24:AF24" si="16">SUM(D66:D69)</f>
        <v>0</v>
      </c>
      <c r="U24" s="34">
        <f t="shared" si="16"/>
        <v>10</v>
      </c>
      <c r="V24" s="34">
        <f t="shared" si="16"/>
        <v>7</v>
      </c>
      <c r="W24" s="34">
        <f t="shared" si="16"/>
        <v>0</v>
      </c>
      <c r="X24" s="34">
        <f t="shared" si="16"/>
        <v>0</v>
      </c>
      <c r="Y24" s="34">
        <f t="shared" si="16"/>
        <v>6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38</v>
      </c>
      <c r="AD24" s="34">
        <f t="shared" si="16"/>
        <v>0</v>
      </c>
      <c r="AE24" s="31">
        <f t="shared" si="16"/>
        <v>32</v>
      </c>
      <c r="AF24" s="31">
        <f t="shared" si="16"/>
        <v>70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3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17</v>
      </c>
      <c r="N25" s="50">
        <v>0</v>
      </c>
      <c r="O25" s="15">
        <f t="shared" si="0"/>
        <v>5</v>
      </c>
      <c r="P25" s="15">
        <f t="shared" si="1"/>
        <v>22</v>
      </c>
      <c r="R25" s="36" t="s">
        <v>149</v>
      </c>
      <c r="S25" s="34">
        <f>SUM(C70:C73)</f>
        <v>10</v>
      </c>
      <c r="T25" s="34">
        <f t="shared" ref="T25:AF25" si="17">SUM(D70:D73)</f>
        <v>0</v>
      </c>
      <c r="U25" s="34">
        <f t="shared" si="17"/>
        <v>5</v>
      </c>
      <c r="V25" s="34">
        <f t="shared" si="17"/>
        <v>5</v>
      </c>
      <c r="W25" s="34">
        <f t="shared" si="17"/>
        <v>1</v>
      </c>
      <c r="X25" s="34">
        <f t="shared" si="17"/>
        <v>0</v>
      </c>
      <c r="Y25" s="34">
        <f t="shared" si="17"/>
        <v>6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17</v>
      </c>
      <c r="AD25" s="34">
        <f t="shared" si="17"/>
        <v>0</v>
      </c>
      <c r="AE25" s="31">
        <f t="shared" si="17"/>
        <v>28</v>
      </c>
      <c r="AF25" s="31">
        <f t="shared" si="17"/>
        <v>45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3</v>
      </c>
      <c r="P26" s="15">
        <f t="shared" si="1"/>
        <v>16</v>
      </c>
      <c r="R26" s="36" t="s">
        <v>150</v>
      </c>
      <c r="S26" s="34">
        <f>SUM(C74:C77)</f>
        <v>6</v>
      </c>
      <c r="T26" s="34">
        <f t="shared" ref="T26:AF26" si="18">SUM(D74:D77)</f>
        <v>0</v>
      </c>
      <c r="U26" s="34">
        <f t="shared" si="18"/>
        <v>11</v>
      </c>
      <c r="V26" s="34">
        <f t="shared" si="18"/>
        <v>5</v>
      </c>
      <c r="W26" s="34">
        <f t="shared" si="18"/>
        <v>0</v>
      </c>
      <c r="X26" s="34">
        <f t="shared" si="18"/>
        <v>0</v>
      </c>
      <c r="Y26" s="34">
        <f t="shared" si="18"/>
        <v>14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37</v>
      </c>
      <c r="AF26" s="31">
        <f t="shared" si="18"/>
        <v>37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2</v>
      </c>
      <c r="F27" s="50">
        <v>1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7</v>
      </c>
      <c r="P27" s="15">
        <f t="shared" si="1"/>
        <v>21</v>
      </c>
      <c r="R27" s="36" t="s">
        <v>151</v>
      </c>
      <c r="S27" s="34">
        <f>SUM(C78:C81)</f>
        <v>7</v>
      </c>
      <c r="T27" s="34">
        <f t="shared" ref="T27:AF27" si="19">SUM(D78:D81)</f>
        <v>0</v>
      </c>
      <c r="U27" s="34">
        <f t="shared" si="19"/>
        <v>4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28</v>
      </c>
      <c r="AF27" s="31">
        <f t="shared" si="19"/>
        <v>28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3</v>
      </c>
      <c r="F28" s="50">
        <v>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7</v>
      </c>
      <c r="P28" s="15">
        <f t="shared" si="1"/>
        <v>23</v>
      </c>
      <c r="R28" s="36" t="s">
        <v>152</v>
      </c>
      <c r="S28" s="34">
        <f>SUM(C82:C85)</f>
        <v>5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10</v>
      </c>
      <c r="AF28" s="31">
        <f t="shared" si="20"/>
        <v>10</v>
      </c>
    </row>
    <row r="29" spans="2:32" ht="23.1" customHeight="1" x14ac:dyDescent="0.25">
      <c r="B29" s="45" t="s">
        <v>56</v>
      </c>
      <c r="C29" s="50">
        <v>3</v>
      </c>
      <c r="D29" s="50">
        <v>0</v>
      </c>
      <c r="E29" s="50">
        <v>5</v>
      </c>
      <c r="F29" s="50">
        <v>3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18</v>
      </c>
      <c r="N29" s="50">
        <v>0</v>
      </c>
      <c r="O29" s="15">
        <f t="shared" si="0"/>
        <v>11</v>
      </c>
      <c r="P29" s="15">
        <f t="shared" si="1"/>
        <v>29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7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3</v>
      </c>
      <c r="P30" s="15">
        <f t="shared" si="1"/>
        <v>22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2</v>
      </c>
      <c r="F31" s="50">
        <v>1</v>
      </c>
      <c r="G31" s="50">
        <v>0</v>
      </c>
      <c r="H31" s="50">
        <v>0</v>
      </c>
      <c r="I31" s="50">
        <v>2</v>
      </c>
      <c r="J31" s="50">
        <v>0</v>
      </c>
      <c r="K31" s="50">
        <v>1</v>
      </c>
      <c r="L31" s="50">
        <v>0</v>
      </c>
      <c r="M31" s="50">
        <v>21</v>
      </c>
      <c r="N31" s="50">
        <v>0</v>
      </c>
      <c r="O31" s="15">
        <f t="shared" si="0"/>
        <v>8</v>
      </c>
      <c r="P31" s="15">
        <f t="shared" si="1"/>
        <v>29</v>
      </c>
      <c r="R31" s="36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8</v>
      </c>
      <c r="AF31" s="31">
        <f t="shared" si="23"/>
        <v>8</v>
      </c>
    </row>
    <row r="32" spans="2:32" ht="23.1" customHeight="1" x14ac:dyDescent="0.25">
      <c r="B32" s="46" t="s">
        <v>59</v>
      </c>
      <c r="C32" s="50">
        <v>4</v>
      </c>
      <c r="D32" s="50">
        <v>0</v>
      </c>
      <c r="E32" s="50">
        <v>2</v>
      </c>
      <c r="F32" s="50">
        <v>2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19</v>
      </c>
      <c r="N32" s="50">
        <v>0</v>
      </c>
      <c r="O32" s="15">
        <f t="shared" si="0"/>
        <v>11</v>
      </c>
      <c r="P32" s="15">
        <f t="shared" si="1"/>
        <v>30</v>
      </c>
      <c r="R32" s="33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6</v>
      </c>
      <c r="AF32" s="31">
        <f t="shared" si="24"/>
        <v>7</v>
      </c>
    </row>
    <row r="33" spans="2:32" ht="23.1" customHeight="1" x14ac:dyDescent="0.25">
      <c r="B33" s="45" t="s">
        <v>60</v>
      </c>
      <c r="C33" s="50">
        <v>3</v>
      </c>
      <c r="D33" s="50">
        <v>0</v>
      </c>
      <c r="E33" s="50">
        <v>2</v>
      </c>
      <c r="F33" s="50">
        <v>2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30</v>
      </c>
      <c r="N33" s="50">
        <v>0</v>
      </c>
      <c r="O33" s="15">
        <f t="shared" si="0"/>
        <v>10</v>
      </c>
      <c r="P33" s="15">
        <f t="shared" si="1"/>
        <v>40</v>
      </c>
      <c r="R33" s="33" t="s">
        <v>157</v>
      </c>
      <c r="S33" s="34">
        <f>SUM(C102:C105)</f>
        <v>5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1</v>
      </c>
      <c r="W33" s="34">
        <f t="shared" si="25"/>
        <v>1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2</v>
      </c>
      <c r="AB33" s="34">
        <f t="shared" si="25"/>
        <v>0</v>
      </c>
      <c r="AC33" s="34">
        <f t="shared" si="25"/>
        <v>12</v>
      </c>
      <c r="AD33" s="34">
        <f t="shared" si="25"/>
        <v>0</v>
      </c>
      <c r="AE33" s="31">
        <f t="shared" si="25"/>
        <v>13</v>
      </c>
      <c r="AF33" s="31">
        <f t="shared" si="25"/>
        <v>25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4</v>
      </c>
      <c r="P34" s="15">
        <f t="shared" si="1"/>
        <v>15</v>
      </c>
      <c r="R34" s="38" t="s">
        <v>90</v>
      </c>
      <c r="S34" s="39">
        <f t="shared" ref="S34:AF34" si="26">MAX(S10:S12)</f>
        <v>6</v>
      </c>
      <c r="T34" s="39">
        <f t="shared" si="26"/>
        <v>0</v>
      </c>
      <c r="U34" s="39">
        <f t="shared" si="26"/>
        <v>6</v>
      </c>
      <c r="V34" s="39">
        <f t="shared" si="26"/>
        <v>7</v>
      </c>
      <c r="W34" s="39">
        <f t="shared" si="26"/>
        <v>0</v>
      </c>
      <c r="X34" s="39">
        <f t="shared" si="26"/>
        <v>0</v>
      </c>
      <c r="Y34" s="39">
        <f t="shared" si="26"/>
        <v>5</v>
      </c>
      <c r="Z34" s="39">
        <f t="shared" si="26"/>
        <v>0</v>
      </c>
      <c r="AA34" s="39">
        <f t="shared" si="26"/>
        <v>1</v>
      </c>
      <c r="AB34" s="39">
        <f t="shared" si="26"/>
        <v>0</v>
      </c>
      <c r="AC34" s="39">
        <f t="shared" si="26"/>
        <v>71</v>
      </c>
      <c r="AD34" s="39">
        <f t="shared" si="26"/>
        <v>0</v>
      </c>
      <c r="AE34" s="40">
        <f t="shared" si="26"/>
        <v>22</v>
      </c>
      <c r="AF34" s="40">
        <f t="shared" si="26"/>
        <v>83</v>
      </c>
    </row>
    <row r="35" spans="2:32" ht="23.1" customHeight="1" x14ac:dyDescent="0.25">
      <c r="B35" s="46" t="s">
        <v>62</v>
      </c>
      <c r="C35" s="50">
        <v>3</v>
      </c>
      <c r="D35" s="50">
        <v>0</v>
      </c>
      <c r="E35" s="50">
        <v>4</v>
      </c>
      <c r="F35" s="50">
        <v>3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17</v>
      </c>
      <c r="N35" s="50">
        <v>0</v>
      </c>
      <c r="O35" s="15">
        <f t="shared" si="0"/>
        <v>10</v>
      </c>
      <c r="P35" s="15">
        <f t="shared" si="1"/>
        <v>27</v>
      </c>
      <c r="R35" s="38" t="s">
        <v>91</v>
      </c>
      <c r="S35" s="39">
        <f t="shared" ref="S35:AF35" si="27">MAX(S13:S18)</f>
        <v>12</v>
      </c>
      <c r="T35" s="39">
        <f t="shared" si="27"/>
        <v>0</v>
      </c>
      <c r="U35" s="39">
        <f t="shared" si="27"/>
        <v>11</v>
      </c>
      <c r="V35" s="39">
        <f t="shared" si="27"/>
        <v>8</v>
      </c>
      <c r="W35" s="39">
        <f t="shared" si="27"/>
        <v>0</v>
      </c>
      <c r="X35" s="39">
        <f t="shared" si="27"/>
        <v>0</v>
      </c>
      <c r="Y35" s="39">
        <f t="shared" si="27"/>
        <v>10</v>
      </c>
      <c r="Z35" s="39">
        <f t="shared" si="27"/>
        <v>0</v>
      </c>
      <c r="AA35" s="39">
        <f t="shared" si="27"/>
        <v>1</v>
      </c>
      <c r="AB35" s="39">
        <f t="shared" si="27"/>
        <v>0</v>
      </c>
      <c r="AC35" s="39">
        <f t="shared" si="27"/>
        <v>89</v>
      </c>
      <c r="AD35" s="39">
        <f t="shared" si="27"/>
        <v>0</v>
      </c>
      <c r="AE35" s="40">
        <f t="shared" si="27"/>
        <v>32</v>
      </c>
      <c r="AF35" s="40">
        <f t="shared" si="27"/>
        <v>121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5</v>
      </c>
      <c r="P36" s="15">
        <f t="shared" si="1"/>
        <v>17</v>
      </c>
      <c r="R36" s="38" t="s">
        <v>92</v>
      </c>
      <c r="S36" s="39">
        <f t="shared" ref="S36:AF36" si="28">MAX(S19:S21)</f>
        <v>12</v>
      </c>
      <c r="T36" s="39">
        <f t="shared" si="28"/>
        <v>0</v>
      </c>
      <c r="U36" s="39">
        <f t="shared" si="28"/>
        <v>20</v>
      </c>
      <c r="V36" s="39">
        <f t="shared" si="28"/>
        <v>12</v>
      </c>
      <c r="W36" s="39">
        <f t="shared" si="28"/>
        <v>1</v>
      </c>
      <c r="X36" s="39">
        <f t="shared" si="28"/>
        <v>0</v>
      </c>
      <c r="Y36" s="39">
        <f t="shared" si="28"/>
        <v>12</v>
      </c>
      <c r="Z36" s="39">
        <f t="shared" si="28"/>
        <v>1</v>
      </c>
      <c r="AA36" s="39">
        <f t="shared" si="28"/>
        <v>1</v>
      </c>
      <c r="AB36" s="39">
        <f t="shared" si="28"/>
        <v>0</v>
      </c>
      <c r="AC36" s="39">
        <f t="shared" si="28"/>
        <v>87</v>
      </c>
      <c r="AD36" s="39">
        <f t="shared" si="28"/>
        <v>0</v>
      </c>
      <c r="AE36" s="40">
        <f t="shared" si="28"/>
        <v>53</v>
      </c>
      <c r="AF36" s="40">
        <f t="shared" si="28"/>
        <v>134</v>
      </c>
    </row>
    <row r="37" spans="2:32" ht="23.1" customHeight="1" x14ac:dyDescent="0.25">
      <c r="B37" s="45" t="s">
        <v>64</v>
      </c>
      <c r="C37" s="50">
        <v>1</v>
      </c>
      <c r="D37" s="50">
        <v>0</v>
      </c>
      <c r="E37" s="50">
        <v>3</v>
      </c>
      <c r="F37" s="50">
        <v>4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9</v>
      </c>
      <c r="P37" s="15">
        <f t="shared" si="1"/>
        <v>18</v>
      </c>
      <c r="R37" s="37" t="s">
        <v>85</v>
      </c>
      <c r="S37" s="35">
        <f t="shared" ref="S37:AF37" si="29">SUM(S10:S12)</f>
        <v>12</v>
      </c>
      <c r="T37" s="16">
        <f t="shared" si="29"/>
        <v>0</v>
      </c>
      <c r="U37" s="16">
        <f t="shared" si="29"/>
        <v>12</v>
      </c>
      <c r="V37" s="16">
        <f t="shared" si="29"/>
        <v>15</v>
      </c>
      <c r="W37" s="16">
        <f t="shared" si="29"/>
        <v>0</v>
      </c>
      <c r="X37" s="16">
        <f t="shared" si="29"/>
        <v>0</v>
      </c>
      <c r="Y37" s="16">
        <f t="shared" si="29"/>
        <v>9</v>
      </c>
      <c r="Z37" s="16">
        <f t="shared" si="29"/>
        <v>0</v>
      </c>
      <c r="AA37" s="16">
        <f t="shared" si="29"/>
        <v>1</v>
      </c>
      <c r="AB37" s="16">
        <f t="shared" si="29"/>
        <v>0</v>
      </c>
      <c r="AC37" s="16">
        <f t="shared" si="29"/>
        <v>193</v>
      </c>
      <c r="AD37" s="16">
        <f t="shared" si="29"/>
        <v>0</v>
      </c>
      <c r="AE37" s="32">
        <f t="shared" si="29"/>
        <v>49</v>
      </c>
      <c r="AF37" s="32">
        <f t="shared" si="29"/>
        <v>242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3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22</v>
      </c>
      <c r="N38" s="50">
        <v>0</v>
      </c>
      <c r="O38" s="15">
        <f t="shared" si="0"/>
        <v>7</v>
      </c>
      <c r="P38" s="15">
        <f t="shared" si="1"/>
        <v>29</v>
      </c>
      <c r="R38" s="28" t="s">
        <v>86</v>
      </c>
      <c r="S38" s="16">
        <f t="shared" ref="S38:AF38" si="30">SUM(S13:S18)</f>
        <v>41</v>
      </c>
      <c r="T38" s="16">
        <f t="shared" si="30"/>
        <v>0</v>
      </c>
      <c r="U38" s="16">
        <f t="shared" si="30"/>
        <v>52</v>
      </c>
      <c r="V38" s="16">
        <f t="shared" si="30"/>
        <v>35</v>
      </c>
      <c r="W38" s="16">
        <f t="shared" si="30"/>
        <v>0</v>
      </c>
      <c r="X38" s="16">
        <f t="shared" si="30"/>
        <v>0</v>
      </c>
      <c r="Y38" s="16">
        <f t="shared" si="30"/>
        <v>34</v>
      </c>
      <c r="Z38" s="16">
        <f t="shared" si="30"/>
        <v>0</v>
      </c>
      <c r="AA38" s="16">
        <f t="shared" si="30"/>
        <v>2</v>
      </c>
      <c r="AB38" s="16">
        <f t="shared" si="30"/>
        <v>0</v>
      </c>
      <c r="AC38" s="16">
        <f t="shared" si="30"/>
        <v>426</v>
      </c>
      <c r="AD38" s="16">
        <f t="shared" si="30"/>
        <v>0</v>
      </c>
      <c r="AE38" s="32">
        <f t="shared" si="30"/>
        <v>164</v>
      </c>
      <c r="AF38" s="32">
        <f t="shared" si="30"/>
        <v>590</v>
      </c>
    </row>
    <row r="39" spans="2:32" ht="23.1" customHeight="1" x14ac:dyDescent="0.25">
      <c r="B39" s="46" t="s">
        <v>66</v>
      </c>
      <c r="C39" s="50">
        <v>3</v>
      </c>
      <c r="D39" s="50">
        <v>0</v>
      </c>
      <c r="E39" s="50">
        <v>2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7</v>
      </c>
      <c r="P39" s="15">
        <f t="shared" si="1"/>
        <v>27</v>
      </c>
      <c r="R39" s="29" t="s">
        <v>87</v>
      </c>
      <c r="S39" s="16">
        <f t="shared" ref="S39:AF39" si="31">SUM(S19:S21)</f>
        <v>27</v>
      </c>
      <c r="T39" s="16">
        <f t="shared" si="31"/>
        <v>0</v>
      </c>
      <c r="U39" s="16">
        <f t="shared" si="31"/>
        <v>52</v>
      </c>
      <c r="V39" s="16">
        <f t="shared" si="31"/>
        <v>28</v>
      </c>
      <c r="W39" s="16">
        <f t="shared" si="31"/>
        <v>1</v>
      </c>
      <c r="X39" s="16">
        <f t="shared" si="31"/>
        <v>0</v>
      </c>
      <c r="Y39" s="16">
        <f t="shared" si="31"/>
        <v>28</v>
      </c>
      <c r="Z39" s="16">
        <f t="shared" si="31"/>
        <v>1</v>
      </c>
      <c r="AA39" s="16">
        <f t="shared" si="31"/>
        <v>1</v>
      </c>
      <c r="AB39" s="16">
        <f t="shared" si="31"/>
        <v>0</v>
      </c>
      <c r="AC39" s="16">
        <f t="shared" si="31"/>
        <v>244</v>
      </c>
      <c r="AD39" s="16">
        <f t="shared" si="31"/>
        <v>0</v>
      </c>
      <c r="AE39" s="32">
        <f t="shared" si="31"/>
        <v>138</v>
      </c>
      <c r="AF39" s="32">
        <f t="shared" si="31"/>
        <v>382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2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0</v>
      </c>
      <c r="M40" s="50">
        <v>18</v>
      </c>
      <c r="N40" s="50">
        <v>0</v>
      </c>
      <c r="O40" s="15">
        <f t="shared" si="0"/>
        <v>6</v>
      </c>
      <c r="P40" s="15">
        <f t="shared" si="1"/>
        <v>24</v>
      </c>
      <c r="R40" s="5" t="s">
        <v>17</v>
      </c>
      <c r="S40" s="16">
        <f t="shared" ref="S40:AF40" si="32">SUM(S10:S21)</f>
        <v>80</v>
      </c>
      <c r="T40" s="16">
        <f t="shared" si="32"/>
        <v>0</v>
      </c>
      <c r="U40" s="16">
        <f t="shared" si="32"/>
        <v>116</v>
      </c>
      <c r="V40" s="16">
        <f t="shared" si="32"/>
        <v>78</v>
      </c>
      <c r="W40" s="16">
        <f t="shared" si="32"/>
        <v>1</v>
      </c>
      <c r="X40" s="16">
        <f t="shared" si="32"/>
        <v>0</v>
      </c>
      <c r="Y40" s="16">
        <f t="shared" si="32"/>
        <v>71</v>
      </c>
      <c r="Z40" s="16">
        <f t="shared" si="32"/>
        <v>1</v>
      </c>
      <c r="AA40" s="16">
        <f t="shared" si="32"/>
        <v>4</v>
      </c>
      <c r="AB40" s="16">
        <f t="shared" si="32"/>
        <v>0</v>
      </c>
      <c r="AC40" s="16">
        <f t="shared" si="32"/>
        <v>863</v>
      </c>
      <c r="AD40" s="16">
        <f t="shared" si="32"/>
        <v>0</v>
      </c>
      <c r="AE40" s="32">
        <f t="shared" si="32"/>
        <v>351</v>
      </c>
      <c r="AF40" s="32">
        <f t="shared" si="32"/>
        <v>1214</v>
      </c>
    </row>
    <row r="41" spans="2:32" ht="23.1" customHeight="1" x14ac:dyDescent="0.25">
      <c r="B41" s="45" t="s">
        <v>68</v>
      </c>
      <c r="C41" s="50">
        <v>5</v>
      </c>
      <c r="D41" s="50">
        <v>0</v>
      </c>
      <c r="E41" s="50">
        <v>2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19</v>
      </c>
      <c r="N41" s="50">
        <v>0</v>
      </c>
      <c r="O41" s="15">
        <f t="shared" si="0"/>
        <v>9</v>
      </c>
      <c r="P41" s="15">
        <f t="shared" si="1"/>
        <v>28</v>
      </c>
      <c r="R41" s="5" t="s">
        <v>159</v>
      </c>
      <c r="S41" s="16">
        <f>SUM(S10:S33)</f>
        <v>145</v>
      </c>
      <c r="T41" s="16">
        <f t="shared" ref="T41:AF41" si="33">SUM(T10:T33)</f>
        <v>4</v>
      </c>
      <c r="U41" s="16">
        <f t="shared" si="33"/>
        <v>179</v>
      </c>
      <c r="V41" s="16">
        <f t="shared" si="33"/>
        <v>123</v>
      </c>
      <c r="W41" s="16">
        <f t="shared" si="33"/>
        <v>4</v>
      </c>
      <c r="X41" s="16">
        <f t="shared" si="33"/>
        <v>1</v>
      </c>
      <c r="Y41" s="16">
        <f t="shared" si="33"/>
        <v>129</v>
      </c>
      <c r="Z41" s="16">
        <f t="shared" si="33"/>
        <v>3</v>
      </c>
      <c r="AA41" s="16">
        <f t="shared" si="33"/>
        <v>10</v>
      </c>
      <c r="AB41" s="16">
        <f t="shared" si="33"/>
        <v>0</v>
      </c>
      <c r="AC41" s="16">
        <f t="shared" si="33"/>
        <v>1042</v>
      </c>
      <c r="AD41" s="16">
        <f t="shared" si="33"/>
        <v>0</v>
      </c>
      <c r="AE41" s="32">
        <f t="shared" si="33"/>
        <v>598</v>
      </c>
      <c r="AF41" s="32">
        <f t="shared" si="33"/>
        <v>1640</v>
      </c>
    </row>
    <row r="42" spans="2:32" ht="23.1" customHeight="1" x14ac:dyDescent="0.25">
      <c r="B42" s="46" t="s">
        <v>69</v>
      </c>
      <c r="C42" s="50">
        <v>2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5</v>
      </c>
      <c r="P42" s="15">
        <f t="shared" si="1"/>
        <v>19</v>
      </c>
      <c r="R42" s="5" t="s">
        <v>160</v>
      </c>
      <c r="S42" s="48">
        <f>S41/S40</f>
        <v>1.8125</v>
      </c>
      <c r="T42" s="48" t="e">
        <f t="shared" ref="T42:AF42" si="34">T41/T40</f>
        <v>#DIV/0!</v>
      </c>
      <c r="U42" s="48">
        <f t="shared" si="34"/>
        <v>1.5431034482758621</v>
      </c>
      <c r="V42" s="48">
        <f t="shared" si="34"/>
        <v>1.5769230769230769</v>
      </c>
      <c r="W42" s="48">
        <f t="shared" si="34"/>
        <v>4</v>
      </c>
      <c r="X42" s="48" t="e">
        <f t="shared" si="34"/>
        <v>#DIV/0!</v>
      </c>
      <c r="Y42" s="48">
        <f t="shared" si="34"/>
        <v>1.8169014084507042</v>
      </c>
      <c r="Z42" s="48">
        <f t="shared" si="34"/>
        <v>3</v>
      </c>
      <c r="AA42" s="48">
        <f t="shared" si="34"/>
        <v>2.5</v>
      </c>
      <c r="AB42" s="48" t="e">
        <f t="shared" si="34"/>
        <v>#DIV/0!</v>
      </c>
      <c r="AC42" s="48">
        <f t="shared" si="34"/>
        <v>1.2074159907300115</v>
      </c>
      <c r="AD42" s="48" t="e">
        <f t="shared" si="34"/>
        <v>#DIV/0!</v>
      </c>
      <c r="AE42" s="48">
        <f t="shared" si="34"/>
        <v>1.7037037037037037</v>
      </c>
      <c r="AF42" s="48">
        <f t="shared" si="34"/>
        <v>1.3509060955518946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3</v>
      </c>
      <c r="F43" s="50">
        <v>0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29</v>
      </c>
      <c r="N43" s="50">
        <v>0</v>
      </c>
      <c r="O43" s="15">
        <f t="shared" si="0"/>
        <v>7</v>
      </c>
      <c r="P43" s="15">
        <f t="shared" si="1"/>
        <v>36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1</v>
      </c>
      <c r="F44" s="50">
        <v>2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17</v>
      </c>
      <c r="N44" s="50">
        <v>0</v>
      </c>
      <c r="O44" s="15">
        <f t="shared" si="0"/>
        <v>6</v>
      </c>
      <c r="P44" s="15">
        <f t="shared" si="1"/>
        <v>23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2</v>
      </c>
      <c r="F45" s="50">
        <v>1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6</v>
      </c>
      <c r="P45" s="15">
        <f t="shared" si="1"/>
        <v>22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2</v>
      </c>
      <c r="F46" s="50">
        <v>2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25</v>
      </c>
      <c r="N46" s="50">
        <v>0</v>
      </c>
      <c r="O46" s="15">
        <f t="shared" si="0"/>
        <v>5</v>
      </c>
      <c r="P46" s="15">
        <f t="shared" si="1"/>
        <v>30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6</v>
      </c>
      <c r="F47" s="50">
        <v>3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18</v>
      </c>
      <c r="N47" s="50">
        <v>0</v>
      </c>
      <c r="O47" s="15">
        <f t="shared" si="0"/>
        <v>13</v>
      </c>
      <c r="P47" s="15">
        <f t="shared" si="1"/>
        <v>31</v>
      </c>
      <c r="R47" s="8"/>
      <c r="T47"/>
    </row>
    <row r="48" spans="2:32" ht="23.1" customHeight="1" x14ac:dyDescent="0.25">
      <c r="B48" s="46" t="s">
        <v>75</v>
      </c>
      <c r="C48" s="50">
        <v>5</v>
      </c>
      <c r="D48" s="50">
        <v>0</v>
      </c>
      <c r="E48" s="50">
        <v>4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17</v>
      </c>
      <c r="N48" s="50">
        <v>0</v>
      </c>
      <c r="O48" s="15">
        <f t="shared" si="0"/>
        <v>12</v>
      </c>
      <c r="P48" s="15">
        <f t="shared" si="1"/>
        <v>29</v>
      </c>
      <c r="R48" s="8"/>
      <c r="T48"/>
    </row>
    <row r="49" spans="2:20" ht="23.1" customHeight="1" x14ac:dyDescent="0.25">
      <c r="B49" s="45" t="s">
        <v>76</v>
      </c>
      <c r="C49" s="50">
        <v>4</v>
      </c>
      <c r="D49" s="50">
        <v>0</v>
      </c>
      <c r="E49" s="50">
        <v>1</v>
      </c>
      <c r="F49" s="50">
        <v>1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9</v>
      </c>
      <c r="P49" s="15">
        <f t="shared" si="1"/>
        <v>25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0</v>
      </c>
      <c r="E50" s="50">
        <v>3</v>
      </c>
      <c r="F50" s="50">
        <v>2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24</v>
      </c>
      <c r="N50" s="50">
        <v>0</v>
      </c>
      <c r="O50" s="15">
        <f t="shared" si="0"/>
        <v>9</v>
      </c>
      <c r="P50" s="15">
        <f t="shared" si="1"/>
        <v>33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0</v>
      </c>
      <c r="E51" s="50">
        <v>4</v>
      </c>
      <c r="F51" s="50">
        <v>3</v>
      </c>
      <c r="G51" s="50">
        <v>1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19</v>
      </c>
      <c r="N51" s="50">
        <v>0</v>
      </c>
      <c r="O51" s="15">
        <f t="shared" si="0"/>
        <v>13</v>
      </c>
      <c r="P51" s="15">
        <f t="shared" si="1"/>
        <v>32</v>
      </c>
      <c r="R51" s="8"/>
      <c r="T51"/>
    </row>
    <row r="52" spans="2:20" ht="23.1" customHeight="1" x14ac:dyDescent="0.25">
      <c r="B52" s="46" t="s">
        <v>79</v>
      </c>
      <c r="C52" s="50">
        <v>4</v>
      </c>
      <c r="D52" s="50">
        <v>0</v>
      </c>
      <c r="E52" s="50">
        <v>4</v>
      </c>
      <c r="F52" s="50">
        <v>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11</v>
      </c>
      <c r="P52" s="15">
        <f t="shared" si="1"/>
        <v>31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9</v>
      </c>
      <c r="F53" s="50">
        <v>4</v>
      </c>
      <c r="G53" s="50">
        <v>0</v>
      </c>
      <c r="H53" s="50">
        <v>0</v>
      </c>
      <c r="I53" s="50">
        <v>6</v>
      </c>
      <c r="J53" s="50">
        <v>0</v>
      </c>
      <c r="K53" s="50">
        <v>0</v>
      </c>
      <c r="L53" s="50">
        <v>0</v>
      </c>
      <c r="M53" s="50">
        <v>18</v>
      </c>
      <c r="N53" s="50">
        <v>0</v>
      </c>
      <c r="O53" s="15">
        <f t="shared" si="0"/>
        <v>20</v>
      </c>
      <c r="P53" s="15">
        <f t="shared" si="1"/>
        <v>38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5</v>
      </c>
      <c r="F54" s="50">
        <v>3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21</v>
      </c>
      <c r="N54" s="50">
        <v>0</v>
      </c>
      <c r="O54" s="15">
        <f t="shared" si="0"/>
        <v>11</v>
      </c>
      <c r="P54" s="15">
        <f t="shared" si="1"/>
        <v>32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0</v>
      </c>
      <c r="E55" s="50">
        <v>3</v>
      </c>
      <c r="F55" s="50">
        <v>3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12</v>
      </c>
      <c r="P55" s="15">
        <f t="shared" si="1"/>
        <v>24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4</v>
      </c>
      <c r="F56" s="50">
        <v>0</v>
      </c>
      <c r="G56" s="50">
        <v>0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28</v>
      </c>
      <c r="N56" s="50">
        <v>0</v>
      </c>
      <c r="O56" s="15">
        <f t="shared" si="0"/>
        <v>8</v>
      </c>
      <c r="P56" s="15">
        <f t="shared" si="1"/>
        <v>36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0</v>
      </c>
      <c r="E57" s="50">
        <v>7</v>
      </c>
      <c r="F57" s="50">
        <v>3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26</v>
      </c>
      <c r="N57" s="50">
        <v>0</v>
      </c>
      <c r="O57" s="15">
        <f t="shared" si="0"/>
        <v>15</v>
      </c>
      <c r="P57" s="15">
        <f t="shared" si="1"/>
        <v>41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4</v>
      </c>
      <c r="F58" s="50">
        <v>1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11</v>
      </c>
      <c r="N58" s="50">
        <v>0</v>
      </c>
      <c r="O58" s="15">
        <f t="shared" si="0"/>
        <v>7</v>
      </c>
      <c r="P58" s="15">
        <f t="shared" si="1"/>
        <v>18</v>
      </c>
      <c r="R58" s="8"/>
      <c r="T58"/>
    </row>
    <row r="59" spans="2:20" ht="23.1" customHeight="1" x14ac:dyDescent="0.25">
      <c r="B59" s="45" t="s">
        <v>100</v>
      </c>
      <c r="C59" s="50">
        <v>6</v>
      </c>
      <c r="D59" s="50">
        <v>0</v>
      </c>
      <c r="E59" s="50">
        <v>2</v>
      </c>
      <c r="F59" s="50">
        <v>0</v>
      </c>
      <c r="G59" s="50">
        <v>1</v>
      </c>
      <c r="H59" s="50">
        <v>0</v>
      </c>
      <c r="I59" s="50">
        <v>2</v>
      </c>
      <c r="J59" s="50">
        <v>0</v>
      </c>
      <c r="K59" s="50">
        <v>1</v>
      </c>
      <c r="L59" s="50">
        <v>0</v>
      </c>
      <c r="M59" s="50">
        <v>17</v>
      </c>
      <c r="N59" s="50">
        <v>0</v>
      </c>
      <c r="O59" s="15">
        <f t="shared" si="0"/>
        <v>12</v>
      </c>
      <c r="P59" s="15">
        <f t="shared" si="1"/>
        <v>29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1</v>
      </c>
      <c r="F60" s="50">
        <v>1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15</v>
      </c>
      <c r="N60" s="50">
        <v>0</v>
      </c>
      <c r="O60" s="15">
        <f t="shared" si="0"/>
        <v>5</v>
      </c>
      <c r="P60" s="15">
        <f t="shared" si="1"/>
        <v>20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0</v>
      </c>
      <c r="E61" s="50">
        <v>1</v>
      </c>
      <c r="F61" s="50">
        <v>2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15</v>
      </c>
      <c r="N61" s="50">
        <v>0</v>
      </c>
      <c r="O61" s="15">
        <f t="shared" si="0"/>
        <v>7</v>
      </c>
      <c r="P61" s="15">
        <f t="shared" si="1"/>
        <v>22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4</v>
      </c>
      <c r="F62" s="50">
        <v>4</v>
      </c>
      <c r="G62" s="50">
        <v>0</v>
      </c>
      <c r="H62" s="50">
        <v>0</v>
      </c>
      <c r="I62" s="50">
        <v>3</v>
      </c>
      <c r="J62" s="50">
        <v>0</v>
      </c>
      <c r="K62" s="50">
        <v>0</v>
      </c>
      <c r="L62" s="50">
        <v>0</v>
      </c>
      <c r="M62" s="50">
        <v>14</v>
      </c>
      <c r="N62" s="50">
        <v>0</v>
      </c>
      <c r="O62" s="15">
        <f t="shared" si="0"/>
        <v>13</v>
      </c>
      <c r="P62" s="15">
        <f t="shared" si="1"/>
        <v>27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3</v>
      </c>
      <c r="F63" s="50">
        <v>1</v>
      </c>
      <c r="G63" s="50">
        <v>0</v>
      </c>
      <c r="H63" s="50">
        <v>0</v>
      </c>
      <c r="I63" s="50">
        <v>3</v>
      </c>
      <c r="J63" s="50">
        <v>1</v>
      </c>
      <c r="K63" s="50">
        <v>0</v>
      </c>
      <c r="L63" s="50">
        <v>0</v>
      </c>
      <c r="M63" s="50">
        <v>13</v>
      </c>
      <c r="N63" s="50">
        <v>0</v>
      </c>
      <c r="O63" s="15">
        <f t="shared" si="0"/>
        <v>9</v>
      </c>
      <c r="P63" s="15">
        <f t="shared" si="1"/>
        <v>22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6</v>
      </c>
      <c r="F64" s="50">
        <v>4</v>
      </c>
      <c r="G64" s="50">
        <v>0</v>
      </c>
      <c r="H64" s="50">
        <v>0</v>
      </c>
      <c r="I64" s="50">
        <v>3</v>
      </c>
      <c r="J64" s="50">
        <v>0</v>
      </c>
      <c r="K64" s="50">
        <v>0</v>
      </c>
      <c r="L64" s="50">
        <v>0</v>
      </c>
      <c r="M64" s="50">
        <v>12</v>
      </c>
      <c r="N64" s="50">
        <v>0</v>
      </c>
      <c r="O64" s="15">
        <f t="shared" si="0"/>
        <v>13</v>
      </c>
      <c r="P64" s="15">
        <f t="shared" si="1"/>
        <v>25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2</v>
      </c>
      <c r="F65" s="50">
        <v>4</v>
      </c>
      <c r="G65" s="50">
        <v>0</v>
      </c>
      <c r="H65" s="50">
        <v>0</v>
      </c>
      <c r="I65" s="50">
        <v>5</v>
      </c>
      <c r="J65" s="50">
        <v>0</v>
      </c>
      <c r="K65" s="50">
        <v>0</v>
      </c>
      <c r="L65" s="50">
        <v>0</v>
      </c>
      <c r="M65" s="50">
        <v>14</v>
      </c>
      <c r="N65" s="50">
        <v>0</v>
      </c>
      <c r="O65" s="15">
        <f t="shared" si="0"/>
        <v>12</v>
      </c>
      <c r="P65" s="15">
        <f t="shared" si="1"/>
        <v>26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2</v>
      </c>
      <c r="F66" s="50">
        <v>1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15</v>
      </c>
      <c r="N66" s="50">
        <v>0</v>
      </c>
      <c r="O66" s="15">
        <f t="shared" si="0"/>
        <v>9</v>
      </c>
      <c r="P66" s="15">
        <f t="shared" si="1"/>
        <v>24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2</v>
      </c>
      <c r="F67" s="50">
        <v>3</v>
      </c>
      <c r="G67" s="50">
        <v>0</v>
      </c>
      <c r="H67" s="50">
        <v>0</v>
      </c>
      <c r="I67" s="50">
        <v>2</v>
      </c>
      <c r="J67" s="50">
        <v>0</v>
      </c>
      <c r="K67" s="50">
        <v>1</v>
      </c>
      <c r="L67" s="50">
        <v>0</v>
      </c>
      <c r="M67" s="50">
        <v>10</v>
      </c>
      <c r="N67" s="50">
        <v>0</v>
      </c>
      <c r="O67" s="15">
        <f t="shared" si="0"/>
        <v>10</v>
      </c>
      <c r="P67" s="15">
        <f t="shared" si="1"/>
        <v>20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2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8</v>
      </c>
      <c r="N68" s="50">
        <v>0</v>
      </c>
      <c r="O68" s="15">
        <f t="shared" si="0"/>
        <v>6</v>
      </c>
      <c r="P68" s="15">
        <f t="shared" si="1"/>
        <v>14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4</v>
      </c>
      <c r="F69" s="50">
        <v>1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5</v>
      </c>
      <c r="N69" s="50">
        <v>0</v>
      </c>
      <c r="O69" s="15">
        <f t="shared" si="0"/>
        <v>7</v>
      </c>
      <c r="P69" s="15">
        <f t="shared" si="1"/>
        <v>12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1</v>
      </c>
      <c r="F70" s="50">
        <v>0</v>
      </c>
      <c r="G70" s="50">
        <v>1</v>
      </c>
      <c r="H70" s="50">
        <v>0</v>
      </c>
      <c r="I70" s="50">
        <v>2</v>
      </c>
      <c r="J70" s="50">
        <v>0</v>
      </c>
      <c r="K70" s="50">
        <v>1</v>
      </c>
      <c r="L70" s="50">
        <v>0</v>
      </c>
      <c r="M70" s="50">
        <v>4</v>
      </c>
      <c r="N70" s="50">
        <v>0</v>
      </c>
      <c r="O70" s="15">
        <f t="shared" si="0"/>
        <v>7</v>
      </c>
      <c r="P70" s="15">
        <f t="shared" si="1"/>
        <v>11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1</v>
      </c>
      <c r="F71" s="50">
        <v>1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6</v>
      </c>
      <c r="N71" s="50">
        <v>0</v>
      </c>
      <c r="O71" s="15">
        <f t="shared" si="0"/>
        <v>5</v>
      </c>
      <c r="P71" s="15">
        <f t="shared" si="1"/>
        <v>11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0</v>
      </c>
      <c r="E72" s="50">
        <v>1</v>
      </c>
      <c r="F72" s="50">
        <v>2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7</v>
      </c>
      <c r="P72" s="15">
        <f t="shared" si="1"/>
        <v>10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2</v>
      </c>
      <c r="F73" s="50">
        <v>2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0</v>
      </c>
      <c r="M73" s="50">
        <v>4</v>
      </c>
      <c r="N73" s="50">
        <v>0</v>
      </c>
      <c r="O73" s="15">
        <f t="shared" si="0"/>
        <v>9</v>
      </c>
      <c r="P73" s="15">
        <f t="shared" si="1"/>
        <v>13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3</v>
      </c>
      <c r="F74" s="50">
        <v>1</v>
      </c>
      <c r="G74" s="50">
        <v>0</v>
      </c>
      <c r="H74" s="50">
        <v>0</v>
      </c>
      <c r="I74" s="50">
        <v>3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9</v>
      </c>
      <c r="P74" s="15">
        <f t="shared" ref="P74:P105" si="36">SUM(C74:N74)</f>
        <v>9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4</v>
      </c>
      <c r="F75" s="50">
        <v>2</v>
      </c>
      <c r="G75" s="50">
        <v>0</v>
      </c>
      <c r="H75" s="50">
        <v>0</v>
      </c>
      <c r="I75" s="50">
        <v>3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9</v>
      </c>
      <c r="P75" s="15">
        <f t="shared" si="36"/>
        <v>9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2</v>
      </c>
      <c r="F76" s="50">
        <v>1</v>
      </c>
      <c r="G76" s="50">
        <v>0</v>
      </c>
      <c r="H76" s="50">
        <v>0</v>
      </c>
      <c r="I76" s="50">
        <v>5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9</v>
      </c>
      <c r="P76" s="15">
        <f t="shared" si="36"/>
        <v>9</v>
      </c>
      <c r="R76" s="8"/>
      <c r="T76"/>
    </row>
    <row r="77" spans="2:20" ht="23.1" customHeight="1" x14ac:dyDescent="0.25">
      <c r="B77" s="45" t="s">
        <v>117</v>
      </c>
      <c r="C77" s="50">
        <v>4</v>
      </c>
      <c r="D77" s="50">
        <v>0</v>
      </c>
      <c r="E77" s="50">
        <v>2</v>
      </c>
      <c r="F77" s="50">
        <v>1</v>
      </c>
      <c r="G77" s="50">
        <v>0</v>
      </c>
      <c r="H77" s="50">
        <v>0</v>
      </c>
      <c r="I77" s="50">
        <v>3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10</v>
      </c>
      <c r="P77" s="15">
        <f t="shared" si="36"/>
        <v>10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0</v>
      </c>
      <c r="E78" s="50">
        <v>1</v>
      </c>
      <c r="F78" s="50">
        <v>3</v>
      </c>
      <c r="G78" s="50">
        <v>0</v>
      </c>
      <c r="H78" s="50">
        <v>0</v>
      </c>
      <c r="I78" s="50">
        <v>2</v>
      </c>
      <c r="J78" s="50">
        <v>0</v>
      </c>
      <c r="K78" s="50">
        <v>1</v>
      </c>
      <c r="L78" s="50">
        <v>0</v>
      </c>
      <c r="M78" s="50">
        <v>0</v>
      </c>
      <c r="N78" s="50">
        <v>0</v>
      </c>
      <c r="O78" s="15">
        <f t="shared" si="35"/>
        <v>9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1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0</v>
      </c>
      <c r="E80" s="50">
        <v>2</v>
      </c>
      <c r="F80" s="50">
        <v>2</v>
      </c>
      <c r="G80" s="50">
        <v>0</v>
      </c>
      <c r="H80" s="50">
        <v>0</v>
      </c>
      <c r="I80" s="50">
        <v>3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10</v>
      </c>
      <c r="P80" s="15">
        <f t="shared" si="36"/>
        <v>10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1</v>
      </c>
      <c r="G81" s="50">
        <v>0</v>
      </c>
      <c r="H81" s="50">
        <v>0</v>
      </c>
      <c r="I81" s="50">
        <v>5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8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2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2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1</v>
      </c>
      <c r="F84" s="50">
        <v>1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5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1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1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4</v>
      </c>
      <c r="P88" s="15">
        <f t="shared" si="36"/>
        <v>4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3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5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2</v>
      </c>
      <c r="E101" s="50">
        <v>1</v>
      </c>
      <c r="F101" s="50">
        <v>0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6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2</v>
      </c>
      <c r="N103" s="50">
        <v>0</v>
      </c>
      <c r="O103" s="15">
        <f t="shared" si="35"/>
        <v>3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3</v>
      </c>
      <c r="P104" s="15">
        <f t="shared" si="36"/>
        <v>6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2</v>
      </c>
      <c r="E105" s="50">
        <v>0</v>
      </c>
      <c r="F105" s="50">
        <v>0</v>
      </c>
      <c r="G105" s="50">
        <v>1</v>
      </c>
      <c r="H105" s="50">
        <v>0</v>
      </c>
      <c r="I105" s="50">
        <v>1</v>
      </c>
      <c r="J105" s="50">
        <v>0</v>
      </c>
      <c r="K105" s="50">
        <v>1</v>
      </c>
      <c r="L105" s="50">
        <v>0</v>
      </c>
      <c r="M105" s="50">
        <v>7</v>
      </c>
      <c r="N105" s="50">
        <v>0</v>
      </c>
      <c r="O105" s="15">
        <f t="shared" si="35"/>
        <v>7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145</v>
      </c>
      <c r="D106" s="16">
        <f t="shared" ref="D106:P106" si="37">SUM(D10:D105)</f>
        <v>4</v>
      </c>
      <c r="E106" s="16">
        <f t="shared" si="37"/>
        <v>179</v>
      </c>
      <c r="F106" s="16">
        <f t="shared" si="37"/>
        <v>123</v>
      </c>
      <c r="G106" s="16">
        <f t="shared" si="37"/>
        <v>4</v>
      </c>
      <c r="H106" s="16">
        <f t="shared" si="37"/>
        <v>1</v>
      </c>
      <c r="I106" s="16">
        <f t="shared" si="37"/>
        <v>129</v>
      </c>
      <c r="J106" s="16">
        <f t="shared" si="37"/>
        <v>3</v>
      </c>
      <c r="K106" s="16">
        <f t="shared" si="37"/>
        <v>10</v>
      </c>
      <c r="L106" s="16">
        <f t="shared" si="37"/>
        <v>0</v>
      </c>
      <c r="M106" s="16">
        <f t="shared" si="37"/>
        <v>1042</v>
      </c>
      <c r="N106" s="16">
        <f t="shared" si="37"/>
        <v>0</v>
      </c>
      <c r="O106" s="16">
        <f t="shared" si="37"/>
        <v>598</v>
      </c>
      <c r="P106" s="16">
        <f t="shared" si="37"/>
        <v>1640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8.8414634146341459E-2</v>
      </c>
      <c r="D107" s="43">
        <f t="shared" si="38"/>
        <v>2.4390243902439024E-3</v>
      </c>
      <c r="E107" s="43">
        <f t="shared" si="38"/>
        <v>0.10914634146341463</v>
      </c>
      <c r="F107" s="43">
        <f t="shared" si="38"/>
        <v>7.4999999999999997E-2</v>
      </c>
      <c r="G107" s="43">
        <f t="shared" si="38"/>
        <v>2.4390243902439024E-3</v>
      </c>
      <c r="H107" s="43">
        <f t="shared" si="38"/>
        <v>6.0975609756097561E-4</v>
      </c>
      <c r="I107" s="43">
        <f t="shared" si="38"/>
        <v>7.8658536585365854E-2</v>
      </c>
      <c r="J107" s="43">
        <f t="shared" si="38"/>
        <v>1.8292682926829269E-3</v>
      </c>
      <c r="K107" s="43">
        <f t="shared" si="38"/>
        <v>6.0975609756097563E-3</v>
      </c>
      <c r="L107" s="43">
        <f t="shared" si="38"/>
        <v>0</v>
      </c>
      <c r="M107" s="43">
        <f t="shared" si="38"/>
        <v>0.63536585365853659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0.24247491638795987</v>
      </c>
      <c r="D108" s="44">
        <f t="shared" ref="D108:N108" si="39">D106/$O$106</f>
        <v>6.688963210702341E-3</v>
      </c>
      <c r="E108" s="44">
        <f t="shared" si="39"/>
        <v>0.29933110367892979</v>
      </c>
      <c r="F108" s="44">
        <f t="shared" si="39"/>
        <v>0.20568561872909699</v>
      </c>
      <c r="G108" s="44">
        <f t="shared" si="39"/>
        <v>6.688963210702341E-3</v>
      </c>
      <c r="H108" s="44">
        <f t="shared" si="39"/>
        <v>1.6722408026755853E-3</v>
      </c>
      <c r="I108" s="44">
        <f t="shared" si="39"/>
        <v>0.2157190635451505</v>
      </c>
      <c r="J108" s="44">
        <f t="shared" si="39"/>
        <v>5.016722408026756E-3</v>
      </c>
      <c r="K108" s="44">
        <f t="shared" si="39"/>
        <v>1.6722408026755852E-2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46" zoomScale="60" workbookViewId="0">
      <selection activeCell="C58" sqref="C58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Kampala-Bukaya'!C3:G3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'23.08 Bukaya-Kampala-24h'!G5:H5</f>
        <v>Nyenga</v>
      </c>
      <c r="H5" s="64"/>
      <c r="I5" s="14"/>
      <c r="J5" s="2" t="s">
        <v>5</v>
      </c>
      <c r="K5" s="63" t="str">
        <f>'23.08 Bukaya-Kampala-24h'!K5:L5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Kampala-Bukaya'!D6:E6</f>
        <v>Kampala</v>
      </c>
      <c r="E6" s="64"/>
      <c r="F6" s="2" t="s">
        <v>2</v>
      </c>
      <c r="G6" s="63" t="str">
        <f>'19.08 Kampala-Bukaya'!G6:H6</f>
        <v>Bukaya</v>
      </c>
      <c r="H6" s="64"/>
      <c r="J6" s="2" t="s">
        <v>21</v>
      </c>
      <c r="K6" s="63" t="str">
        <f>'23.08 Bukaya-Kampala-24h'!K6:L6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2</v>
      </c>
      <c r="F10" s="50">
        <v>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14</v>
      </c>
      <c r="N10" s="50">
        <v>0</v>
      </c>
      <c r="O10" s="15">
        <f t="shared" ref="O10:O73" si="0">SUM(C10:L10,N10)</f>
        <v>5</v>
      </c>
      <c r="P10" s="15">
        <f t="shared" ref="P10:P73" si="1">SUM(C10:N10)</f>
        <v>19</v>
      </c>
      <c r="R10" s="1" t="s">
        <v>6</v>
      </c>
      <c r="S10" s="17">
        <f t="shared" ref="S10:AF10" si="2">SUM(C10:C13)</f>
        <v>11</v>
      </c>
      <c r="T10" s="17">
        <f t="shared" si="2"/>
        <v>0</v>
      </c>
      <c r="U10" s="17">
        <f t="shared" si="2"/>
        <v>10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55</v>
      </c>
      <c r="AD10" s="17">
        <f t="shared" si="2"/>
        <v>0</v>
      </c>
      <c r="AE10" s="31">
        <f t="shared" si="2"/>
        <v>30</v>
      </c>
      <c r="AF10" s="31">
        <f t="shared" si="2"/>
        <v>85</v>
      </c>
    </row>
    <row r="11" spans="2:32" s="6" customFormat="1" ht="23.1" customHeight="1" x14ac:dyDescent="0.25">
      <c r="B11" s="45" t="s">
        <v>38</v>
      </c>
      <c r="C11" s="50">
        <v>5</v>
      </c>
      <c r="D11" s="50">
        <v>0</v>
      </c>
      <c r="E11" s="50">
        <v>3</v>
      </c>
      <c r="F11" s="50">
        <v>1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12</v>
      </c>
      <c r="P11" s="15">
        <f t="shared" si="1"/>
        <v>24</v>
      </c>
      <c r="R11" s="1" t="s">
        <v>7</v>
      </c>
      <c r="S11" s="17">
        <f t="shared" ref="S11:AF11" si="3">SUM(C14:C17)</f>
        <v>7</v>
      </c>
      <c r="T11" s="17">
        <f t="shared" si="3"/>
        <v>0</v>
      </c>
      <c r="U11" s="17">
        <f t="shared" si="3"/>
        <v>15</v>
      </c>
      <c r="V11" s="17">
        <f t="shared" si="3"/>
        <v>6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69</v>
      </c>
      <c r="AD11" s="17">
        <f t="shared" si="3"/>
        <v>0</v>
      </c>
      <c r="AE11" s="31">
        <f t="shared" si="3"/>
        <v>38</v>
      </c>
      <c r="AF11" s="31">
        <f t="shared" si="3"/>
        <v>107</v>
      </c>
    </row>
    <row r="12" spans="2:32" ht="23.1" customHeight="1" x14ac:dyDescent="0.25">
      <c r="B12" s="45" t="s">
        <v>39</v>
      </c>
      <c r="C12" s="50">
        <v>3</v>
      </c>
      <c r="D12" s="50">
        <v>0</v>
      </c>
      <c r="E12" s="50">
        <v>4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15</v>
      </c>
      <c r="N12" s="50">
        <v>0</v>
      </c>
      <c r="O12" s="15">
        <f t="shared" si="0"/>
        <v>8</v>
      </c>
      <c r="P12" s="15">
        <f t="shared" si="1"/>
        <v>23</v>
      </c>
      <c r="R12" s="1" t="s">
        <v>8</v>
      </c>
      <c r="S12" s="17">
        <f t="shared" ref="S12:AF12" si="4">SUM(C18:C21)</f>
        <v>9</v>
      </c>
      <c r="T12" s="17">
        <f t="shared" si="4"/>
        <v>0</v>
      </c>
      <c r="U12" s="17">
        <f t="shared" si="4"/>
        <v>9</v>
      </c>
      <c r="V12" s="17">
        <f t="shared" si="4"/>
        <v>11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68</v>
      </c>
      <c r="AD12" s="17">
        <f t="shared" si="4"/>
        <v>0</v>
      </c>
      <c r="AE12" s="31">
        <f t="shared" si="4"/>
        <v>34</v>
      </c>
      <c r="AF12" s="31">
        <f t="shared" si="4"/>
        <v>102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14</v>
      </c>
      <c r="N13" s="50">
        <v>0</v>
      </c>
      <c r="O13" s="15">
        <f t="shared" si="0"/>
        <v>5</v>
      </c>
      <c r="P13" s="15">
        <f t="shared" si="1"/>
        <v>19</v>
      </c>
      <c r="R13" s="1" t="s">
        <v>9</v>
      </c>
      <c r="S13" s="17">
        <f t="shared" ref="S13:AF13" si="5">SUM(C22:C25)</f>
        <v>17</v>
      </c>
      <c r="T13" s="17">
        <f t="shared" si="5"/>
        <v>0</v>
      </c>
      <c r="U13" s="17">
        <f t="shared" si="5"/>
        <v>23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83</v>
      </c>
      <c r="AD13" s="17">
        <f t="shared" si="5"/>
        <v>0</v>
      </c>
      <c r="AE13" s="31">
        <f t="shared" si="5"/>
        <v>55</v>
      </c>
      <c r="AF13" s="31">
        <f t="shared" si="5"/>
        <v>138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3</v>
      </c>
      <c r="F14" s="50">
        <v>2</v>
      </c>
      <c r="G14" s="50">
        <v>0</v>
      </c>
      <c r="H14" s="50">
        <v>0</v>
      </c>
      <c r="I14" s="50">
        <v>4</v>
      </c>
      <c r="J14" s="50">
        <v>0</v>
      </c>
      <c r="K14" s="50">
        <v>1</v>
      </c>
      <c r="L14" s="50">
        <v>0</v>
      </c>
      <c r="M14" s="50">
        <v>12</v>
      </c>
      <c r="N14" s="50">
        <v>0</v>
      </c>
      <c r="O14" s="15">
        <f t="shared" si="0"/>
        <v>12</v>
      </c>
      <c r="P14" s="15">
        <f t="shared" si="1"/>
        <v>24</v>
      </c>
      <c r="R14" s="1" t="s">
        <v>10</v>
      </c>
      <c r="S14" s="17">
        <f t="shared" ref="S14:AF14" si="6">SUM(C26:C29)</f>
        <v>18</v>
      </c>
      <c r="T14" s="17">
        <f t="shared" si="6"/>
        <v>0</v>
      </c>
      <c r="U14" s="17">
        <f t="shared" si="6"/>
        <v>15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102</v>
      </c>
      <c r="AD14" s="17">
        <f t="shared" si="6"/>
        <v>0</v>
      </c>
      <c r="AE14" s="31">
        <f t="shared" si="6"/>
        <v>49</v>
      </c>
      <c r="AF14" s="31">
        <f t="shared" si="6"/>
        <v>151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3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16</v>
      </c>
      <c r="N15" s="50">
        <v>0</v>
      </c>
      <c r="O15" s="15">
        <f t="shared" si="0"/>
        <v>6</v>
      </c>
      <c r="P15" s="15">
        <f t="shared" si="1"/>
        <v>22</v>
      </c>
      <c r="R15" s="1" t="s">
        <v>11</v>
      </c>
      <c r="S15" s="17">
        <f t="shared" ref="S15:AF15" si="7">SUM(C30:C33)</f>
        <v>16</v>
      </c>
      <c r="T15" s="17">
        <f t="shared" si="7"/>
        <v>0</v>
      </c>
      <c r="U15" s="17">
        <f t="shared" si="7"/>
        <v>21</v>
      </c>
      <c r="V15" s="17">
        <f t="shared" si="7"/>
        <v>10</v>
      </c>
      <c r="W15" s="17">
        <f t="shared" si="7"/>
        <v>1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74</v>
      </c>
      <c r="AD15" s="17">
        <f t="shared" si="7"/>
        <v>0</v>
      </c>
      <c r="AE15" s="31">
        <f t="shared" si="7"/>
        <v>56</v>
      </c>
      <c r="AF15" s="31">
        <f t="shared" si="7"/>
        <v>130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7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19</v>
      </c>
      <c r="N16" s="50">
        <v>0</v>
      </c>
      <c r="O16" s="15">
        <f t="shared" si="0"/>
        <v>10</v>
      </c>
      <c r="P16" s="15">
        <f t="shared" si="1"/>
        <v>29</v>
      </c>
      <c r="R16" s="1" t="s">
        <v>12</v>
      </c>
      <c r="S16" s="17">
        <f t="shared" ref="S16:AF16" si="8">SUM(C34:C37)</f>
        <v>11</v>
      </c>
      <c r="T16" s="17">
        <f t="shared" si="8"/>
        <v>0</v>
      </c>
      <c r="U16" s="17">
        <f t="shared" si="8"/>
        <v>10</v>
      </c>
      <c r="V16" s="17">
        <f t="shared" si="8"/>
        <v>10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79</v>
      </c>
      <c r="AD16" s="17">
        <f t="shared" si="8"/>
        <v>0</v>
      </c>
      <c r="AE16" s="31">
        <f t="shared" si="8"/>
        <v>38</v>
      </c>
      <c r="AF16" s="31">
        <f t="shared" si="8"/>
        <v>117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2</v>
      </c>
      <c r="F17" s="50">
        <v>4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22</v>
      </c>
      <c r="N17" s="50">
        <v>0</v>
      </c>
      <c r="O17" s="15">
        <f t="shared" si="0"/>
        <v>10</v>
      </c>
      <c r="P17" s="15">
        <f t="shared" si="1"/>
        <v>32</v>
      </c>
      <c r="R17" s="1" t="s">
        <v>13</v>
      </c>
      <c r="S17" s="17">
        <f t="shared" ref="S17:AF17" si="9">SUM(C38:C41)</f>
        <v>24</v>
      </c>
      <c r="T17" s="17">
        <f t="shared" si="9"/>
        <v>0</v>
      </c>
      <c r="U17" s="17">
        <f t="shared" si="9"/>
        <v>22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70</v>
      </c>
      <c r="AD17" s="17">
        <f t="shared" si="9"/>
        <v>0</v>
      </c>
      <c r="AE17" s="31">
        <f t="shared" si="9"/>
        <v>58</v>
      </c>
      <c r="AF17" s="31">
        <f t="shared" si="9"/>
        <v>128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6</v>
      </c>
      <c r="P18" s="15">
        <f t="shared" si="1"/>
        <v>21</v>
      </c>
      <c r="R18" s="1" t="s">
        <v>14</v>
      </c>
      <c r="S18" s="17">
        <f t="shared" ref="S18:AF18" si="10">SUM(C42:C45)</f>
        <v>6</v>
      </c>
      <c r="T18" s="17">
        <f t="shared" si="10"/>
        <v>0</v>
      </c>
      <c r="U18" s="17">
        <f t="shared" si="10"/>
        <v>10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83</v>
      </c>
      <c r="AD18" s="17">
        <f t="shared" si="10"/>
        <v>0</v>
      </c>
      <c r="AE18" s="31">
        <f t="shared" si="10"/>
        <v>35</v>
      </c>
      <c r="AF18" s="31">
        <f t="shared" si="10"/>
        <v>118</v>
      </c>
    </row>
    <row r="19" spans="2:32" ht="23.1" customHeight="1" x14ac:dyDescent="0.25">
      <c r="B19" s="45" t="s">
        <v>46</v>
      </c>
      <c r="C19" s="50">
        <v>3</v>
      </c>
      <c r="D19" s="50">
        <v>0</v>
      </c>
      <c r="E19" s="50">
        <v>2</v>
      </c>
      <c r="F19" s="50">
        <v>4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12</v>
      </c>
      <c r="N19" s="50">
        <v>0</v>
      </c>
      <c r="O19" s="15">
        <f t="shared" si="0"/>
        <v>9</v>
      </c>
      <c r="P19" s="15">
        <f t="shared" si="1"/>
        <v>21</v>
      </c>
      <c r="R19" s="1" t="s">
        <v>15</v>
      </c>
      <c r="S19" s="17">
        <f t="shared" ref="S19:AF19" si="11">SUM(C46:C49)</f>
        <v>11</v>
      </c>
      <c r="T19" s="17">
        <f t="shared" si="11"/>
        <v>0</v>
      </c>
      <c r="U19" s="17">
        <f t="shared" si="11"/>
        <v>10</v>
      </c>
      <c r="V19" s="17">
        <f t="shared" si="11"/>
        <v>12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94</v>
      </c>
      <c r="AD19" s="17">
        <f t="shared" si="11"/>
        <v>0</v>
      </c>
      <c r="AE19" s="31">
        <f t="shared" si="11"/>
        <v>44</v>
      </c>
      <c r="AF19" s="31">
        <f t="shared" si="11"/>
        <v>138</v>
      </c>
    </row>
    <row r="20" spans="2:32" ht="23.1" customHeight="1" x14ac:dyDescent="0.25">
      <c r="B20" s="45" t="s">
        <v>47</v>
      </c>
      <c r="C20" s="50">
        <v>3</v>
      </c>
      <c r="D20" s="50">
        <v>0</v>
      </c>
      <c r="E20" s="50">
        <v>4</v>
      </c>
      <c r="F20" s="50">
        <v>1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24</v>
      </c>
      <c r="N20" s="50">
        <v>0</v>
      </c>
      <c r="O20" s="15">
        <f t="shared" si="0"/>
        <v>11</v>
      </c>
      <c r="P20" s="15">
        <f t="shared" si="1"/>
        <v>35</v>
      </c>
      <c r="R20" s="1" t="s">
        <v>16</v>
      </c>
      <c r="S20" s="17">
        <f t="shared" ref="S20:AF20" si="12">SUM(C50:C53)</f>
        <v>11</v>
      </c>
      <c r="T20" s="17">
        <f t="shared" si="12"/>
        <v>0</v>
      </c>
      <c r="U20" s="17">
        <f t="shared" si="12"/>
        <v>9</v>
      </c>
      <c r="V20" s="17">
        <f t="shared" si="12"/>
        <v>11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0</v>
      </c>
      <c r="AA20" s="17">
        <f t="shared" si="12"/>
        <v>0</v>
      </c>
      <c r="AB20" s="17">
        <f t="shared" si="12"/>
        <v>2</v>
      </c>
      <c r="AC20" s="17">
        <f t="shared" si="12"/>
        <v>86</v>
      </c>
      <c r="AD20" s="17">
        <f t="shared" si="12"/>
        <v>0</v>
      </c>
      <c r="AE20" s="31">
        <f t="shared" si="12"/>
        <v>40</v>
      </c>
      <c r="AF20" s="31">
        <f t="shared" si="12"/>
        <v>126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2</v>
      </c>
      <c r="F21" s="50">
        <v>4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5">
        <f t="shared" si="0"/>
        <v>8</v>
      </c>
      <c r="P21" s="15">
        <f t="shared" si="1"/>
        <v>25</v>
      </c>
      <c r="R21" s="36" t="s">
        <v>20</v>
      </c>
      <c r="S21" s="34">
        <f t="shared" ref="S21:AF21" si="13">SUM(C54:C57)</f>
        <v>12</v>
      </c>
      <c r="T21" s="17">
        <f t="shared" si="13"/>
        <v>0</v>
      </c>
      <c r="U21" s="17">
        <f t="shared" si="13"/>
        <v>9</v>
      </c>
      <c r="V21" s="17">
        <f t="shared" si="13"/>
        <v>13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83</v>
      </c>
      <c r="AD21" s="17">
        <f t="shared" si="13"/>
        <v>0</v>
      </c>
      <c r="AE21" s="31">
        <f t="shared" si="13"/>
        <v>38</v>
      </c>
      <c r="AF21" s="31">
        <f t="shared" si="13"/>
        <v>121</v>
      </c>
    </row>
    <row r="22" spans="2:32" ht="23.1" customHeight="1" x14ac:dyDescent="0.25">
      <c r="B22" s="45" t="s">
        <v>49</v>
      </c>
      <c r="C22" s="50">
        <v>7</v>
      </c>
      <c r="D22" s="50">
        <v>0</v>
      </c>
      <c r="E22" s="50">
        <v>9</v>
      </c>
      <c r="F22" s="50">
        <v>1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20</v>
      </c>
      <c r="P22" s="15">
        <f t="shared" si="1"/>
        <v>40</v>
      </c>
      <c r="R22" s="36" t="s">
        <v>146</v>
      </c>
      <c r="S22" s="34">
        <f>SUM(C58:C61)</f>
        <v>13</v>
      </c>
      <c r="T22" s="34">
        <f t="shared" ref="T22:AF22" si="14">SUM(D58:D61)</f>
        <v>0</v>
      </c>
      <c r="U22" s="34">
        <f t="shared" si="14"/>
        <v>8</v>
      </c>
      <c r="V22" s="34">
        <f t="shared" si="14"/>
        <v>4</v>
      </c>
      <c r="W22" s="34">
        <f t="shared" si="14"/>
        <v>1</v>
      </c>
      <c r="X22" s="34">
        <f t="shared" si="14"/>
        <v>0</v>
      </c>
      <c r="Y22" s="34">
        <f t="shared" si="14"/>
        <v>4</v>
      </c>
      <c r="Z22" s="34">
        <f t="shared" si="14"/>
        <v>0</v>
      </c>
      <c r="AA22" s="34">
        <f t="shared" si="14"/>
        <v>1</v>
      </c>
      <c r="AB22" s="34">
        <f t="shared" si="14"/>
        <v>0</v>
      </c>
      <c r="AC22" s="34">
        <f t="shared" si="14"/>
        <v>58</v>
      </c>
      <c r="AD22" s="34">
        <f t="shared" si="14"/>
        <v>0</v>
      </c>
      <c r="AE22" s="31">
        <f t="shared" si="14"/>
        <v>31</v>
      </c>
      <c r="AF22" s="31">
        <f t="shared" si="14"/>
        <v>89</v>
      </c>
    </row>
    <row r="23" spans="2:32" ht="23.1" customHeight="1" x14ac:dyDescent="0.25">
      <c r="B23" s="45" t="s">
        <v>50</v>
      </c>
      <c r="C23" s="50">
        <v>3</v>
      </c>
      <c r="D23" s="50">
        <v>0</v>
      </c>
      <c r="E23" s="50">
        <v>4</v>
      </c>
      <c r="F23" s="50">
        <v>1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19</v>
      </c>
      <c r="N23" s="50">
        <v>0</v>
      </c>
      <c r="O23" s="15">
        <f t="shared" si="0"/>
        <v>10</v>
      </c>
      <c r="P23" s="15">
        <f t="shared" si="1"/>
        <v>29</v>
      </c>
      <c r="R23" s="36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15</v>
      </c>
      <c r="V23" s="34">
        <f t="shared" si="15"/>
        <v>13</v>
      </c>
      <c r="W23" s="34">
        <f t="shared" si="15"/>
        <v>0</v>
      </c>
      <c r="X23" s="34">
        <f t="shared" si="15"/>
        <v>0</v>
      </c>
      <c r="Y23" s="34">
        <f t="shared" si="15"/>
        <v>14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53</v>
      </c>
      <c r="AD23" s="34">
        <f t="shared" si="15"/>
        <v>0</v>
      </c>
      <c r="AE23" s="31">
        <f t="shared" si="15"/>
        <v>47</v>
      </c>
      <c r="AF23" s="31">
        <f t="shared" si="15"/>
        <v>100</v>
      </c>
    </row>
    <row r="24" spans="2:32" ht="23.1" customHeight="1" x14ac:dyDescent="0.25">
      <c r="B24" s="45" t="s">
        <v>51</v>
      </c>
      <c r="C24" s="50">
        <v>4</v>
      </c>
      <c r="D24" s="50">
        <v>0</v>
      </c>
      <c r="E24" s="50">
        <v>6</v>
      </c>
      <c r="F24" s="50">
        <v>4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19</v>
      </c>
      <c r="N24" s="50">
        <v>0</v>
      </c>
      <c r="O24" s="15">
        <f t="shared" si="0"/>
        <v>16</v>
      </c>
      <c r="P24" s="15">
        <f t="shared" si="1"/>
        <v>35</v>
      </c>
      <c r="R24" s="36" t="s">
        <v>148</v>
      </c>
      <c r="S24" s="34">
        <f>SUM(C66:C69)</f>
        <v>8</v>
      </c>
      <c r="T24" s="34">
        <f t="shared" ref="T24:AF24" si="16">SUM(D66:D69)</f>
        <v>0</v>
      </c>
      <c r="U24" s="34">
        <f t="shared" si="16"/>
        <v>10</v>
      </c>
      <c r="V24" s="34">
        <f t="shared" si="16"/>
        <v>7</v>
      </c>
      <c r="W24" s="34">
        <f t="shared" si="16"/>
        <v>0</v>
      </c>
      <c r="X24" s="34">
        <f t="shared" si="16"/>
        <v>0</v>
      </c>
      <c r="Y24" s="34">
        <f t="shared" si="16"/>
        <v>6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38</v>
      </c>
      <c r="AD24" s="34">
        <f t="shared" si="16"/>
        <v>0</v>
      </c>
      <c r="AE24" s="31">
        <f t="shared" si="16"/>
        <v>32</v>
      </c>
      <c r="AF24" s="31">
        <f t="shared" si="16"/>
        <v>70</v>
      </c>
    </row>
    <row r="25" spans="2:32" ht="23.1" customHeight="1" x14ac:dyDescent="0.25">
      <c r="B25" s="45" t="s">
        <v>52</v>
      </c>
      <c r="C25" s="50">
        <v>3</v>
      </c>
      <c r="D25" s="50">
        <v>0</v>
      </c>
      <c r="E25" s="50">
        <v>4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25</v>
      </c>
      <c r="N25" s="50">
        <v>0</v>
      </c>
      <c r="O25" s="15">
        <f t="shared" si="0"/>
        <v>9</v>
      </c>
      <c r="P25" s="15">
        <f t="shared" si="1"/>
        <v>34</v>
      </c>
      <c r="R25" s="36" t="s">
        <v>149</v>
      </c>
      <c r="S25" s="34">
        <f>SUM(C70:C73)</f>
        <v>10</v>
      </c>
      <c r="T25" s="34">
        <f t="shared" ref="T25:AF25" si="17">SUM(D70:D73)</f>
        <v>0</v>
      </c>
      <c r="U25" s="34">
        <f t="shared" si="17"/>
        <v>5</v>
      </c>
      <c r="V25" s="34">
        <f t="shared" si="17"/>
        <v>5</v>
      </c>
      <c r="W25" s="34">
        <f t="shared" si="17"/>
        <v>1</v>
      </c>
      <c r="X25" s="34">
        <f t="shared" si="17"/>
        <v>0</v>
      </c>
      <c r="Y25" s="34">
        <f t="shared" si="17"/>
        <v>6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17</v>
      </c>
      <c r="AD25" s="34">
        <f t="shared" si="17"/>
        <v>0</v>
      </c>
      <c r="AE25" s="31">
        <f t="shared" si="17"/>
        <v>28</v>
      </c>
      <c r="AF25" s="31">
        <f t="shared" si="17"/>
        <v>45</v>
      </c>
    </row>
    <row r="26" spans="2:32" ht="23.1" customHeight="1" x14ac:dyDescent="0.25">
      <c r="B26" s="45" t="s">
        <v>53</v>
      </c>
      <c r="C26" s="50">
        <v>6</v>
      </c>
      <c r="D26" s="50">
        <v>0</v>
      </c>
      <c r="E26" s="50">
        <v>4</v>
      </c>
      <c r="F26" s="50">
        <v>1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24</v>
      </c>
      <c r="N26" s="50">
        <v>0</v>
      </c>
      <c r="O26" s="15">
        <f t="shared" si="0"/>
        <v>14</v>
      </c>
      <c r="P26" s="15">
        <f t="shared" si="1"/>
        <v>38</v>
      </c>
      <c r="R26" s="36" t="s">
        <v>150</v>
      </c>
      <c r="S26" s="34">
        <f>SUM(C74:C77)</f>
        <v>6</v>
      </c>
      <c r="T26" s="34">
        <f t="shared" ref="T26:AF26" si="18">SUM(D74:D77)</f>
        <v>0</v>
      </c>
      <c r="U26" s="34">
        <f t="shared" si="18"/>
        <v>11</v>
      </c>
      <c r="V26" s="34">
        <f t="shared" si="18"/>
        <v>5</v>
      </c>
      <c r="W26" s="34">
        <f t="shared" si="18"/>
        <v>0</v>
      </c>
      <c r="X26" s="34">
        <f t="shared" si="18"/>
        <v>0</v>
      </c>
      <c r="Y26" s="34">
        <f t="shared" si="18"/>
        <v>14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37</v>
      </c>
      <c r="AF26" s="31">
        <f t="shared" si="18"/>
        <v>37</v>
      </c>
    </row>
    <row r="27" spans="2:32" ht="23.1" customHeight="1" x14ac:dyDescent="0.25">
      <c r="B27" s="45" t="s">
        <v>54</v>
      </c>
      <c r="C27" s="50">
        <v>4</v>
      </c>
      <c r="D27" s="50">
        <v>0</v>
      </c>
      <c r="E27" s="50">
        <v>7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27</v>
      </c>
      <c r="N27" s="50">
        <v>0</v>
      </c>
      <c r="O27" s="15">
        <f t="shared" si="0"/>
        <v>13</v>
      </c>
      <c r="P27" s="15">
        <f t="shared" si="1"/>
        <v>40</v>
      </c>
      <c r="R27" s="36" t="s">
        <v>151</v>
      </c>
      <c r="S27" s="34">
        <f>SUM(C78:C81)</f>
        <v>7</v>
      </c>
      <c r="T27" s="34">
        <f t="shared" ref="T27:AF27" si="19">SUM(D78:D81)</f>
        <v>0</v>
      </c>
      <c r="U27" s="34">
        <f t="shared" si="19"/>
        <v>4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28</v>
      </c>
      <c r="AF27" s="31">
        <f t="shared" si="19"/>
        <v>28</v>
      </c>
    </row>
    <row r="28" spans="2:32" ht="23.1" customHeight="1" x14ac:dyDescent="0.25">
      <c r="B28" s="45" t="s">
        <v>55</v>
      </c>
      <c r="C28" s="50">
        <v>3</v>
      </c>
      <c r="D28" s="50">
        <v>0</v>
      </c>
      <c r="E28" s="50">
        <v>3</v>
      </c>
      <c r="F28" s="50">
        <v>5</v>
      </c>
      <c r="G28" s="50">
        <v>0</v>
      </c>
      <c r="H28" s="50">
        <v>0</v>
      </c>
      <c r="I28" s="50">
        <v>1</v>
      </c>
      <c r="J28" s="50">
        <v>0</v>
      </c>
      <c r="K28" s="50">
        <v>1</v>
      </c>
      <c r="L28" s="50">
        <v>0</v>
      </c>
      <c r="M28" s="50">
        <v>26</v>
      </c>
      <c r="N28" s="50">
        <v>0</v>
      </c>
      <c r="O28" s="15">
        <f t="shared" si="0"/>
        <v>13</v>
      </c>
      <c r="P28" s="15">
        <f t="shared" si="1"/>
        <v>39</v>
      </c>
      <c r="R28" s="36" t="s">
        <v>152</v>
      </c>
      <c r="S28" s="34">
        <f>SUM(C82:C85)</f>
        <v>5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10</v>
      </c>
      <c r="AF28" s="31">
        <f t="shared" si="20"/>
        <v>10</v>
      </c>
    </row>
    <row r="29" spans="2:32" ht="23.1" customHeight="1" x14ac:dyDescent="0.25">
      <c r="B29" s="45" t="s">
        <v>56</v>
      </c>
      <c r="C29" s="50">
        <v>5</v>
      </c>
      <c r="D29" s="50">
        <v>0</v>
      </c>
      <c r="E29" s="50">
        <v>1</v>
      </c>
      <c r="F29" s="50">
        <v>1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25</v>
      </c>
      <c r="N29" s="50">
        <v>0</v>
      </c>
      <c r="O29" s="15">
        <f t="shared" si="0"/>
        <v>9</v>
      </c>
      <c r="P29" s="15">
        <f t="shared" si="1"/>
        <v>34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7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5</v>
      </c>
      <c r="F30" s="50">
        <v>0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17</v>
      </c>
      <c r="N30" s="50">
        <v>0</v>
      </c>
      <c r="O30" s="15">
        <f t="shared" si="0"/>
        <v>11</v>
      </c>
      <c r="P30" s="15">
        <f t="shared" si="1"/>
        <v>28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6</v>
      </c>
      <c r="D31" s="50">
        <v>0</v>
      </c>
      <c r="E31" s="50">
        <v>4</v>
      </c>
      <c r="F31" s="50">
        <v>3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22</v>
      </c>
      <c r="N31" s="50">
        <v>0</v>
      </c>
      <c r="O31" s="15">
        <f t="shared" si="0"/>
        <v>16</v>
      </c>
      <c r="P31" s="15">
        <f t="shared" si="1"/>
        <v>38</v>
      </c>
      <c r="R31" s="36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8</v>
      </c>
      <c r="AF31" s="31">
        <f t="shared" si="23"/>
        <v>8</v>
      </c>
    </row>
    <row r="32" spans="2:32" ht="23.1" customHeight="1" x14ac:dyDescent="0.25">
      <c r="B32" s="46" t="s">
        <v>59</v>
      </c>
      <c r="C32" s="50">
        <v>6</v>
      </c>
      <c r="D32" s="50">
        <v>0</v>
      </c>
      <c r="E32" s="50">
        <v>8</v>
      </c>
      <c r="F32" s="50">
        <v>2</v>
      </c>
      <c r="G32" s="50">
        <v>1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20</v>
      </c>
      <c r="N32" s="50">
        <v>0</v>
      </c>
      <c r="O32" s="15">
        <f t="shared" si="0"/>
        <v>18</v>
      </c>
      <c r="P32" s="15">
        <f t="shared" si="1"/>
        <v>38</v>
      </c>
      <c r="R32" s="33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6</v>
      </c>
      <c r="AF32" s="31">
        <f t="shared" si="24"/>
        <v>7</v>
      </c>
    </row>
    <row r="33" spans="2:32" ht="23.1" customHeight="1" x14ac:dyDescent="0.25">
      <c r="B33" s="45" t="s">
        <v>60</v>
      </c>
      <c r="C33" s="50">
        <v>1</v>
      </c>
      <c r="D33" s="50">
        <v>0</v>
      </c>
      <c r="E33" s="50">
        <v>4</v>
      </c>
      <c r="F33" s="50">
        <v>5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15</v>
      </c>
      <c r="N33" s="50">
        <v>0</v>
      </c>
      <c r="O33" s="15">
        <f t="shared" si="0"/>
        <v>11</v>
      </c>
      <c r="P33" s="15">
        <f t="shared" si="1"/>
        <v>26</v>
      </c>
      <c r="R33" s="33" t="s">
        <v>157</v>
      </c>
      <c r="S33" s="34">
        <f>SUM(C102:C105)</f>
        <v>5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1</v>
      </c>
      <c r="W33" s="34">
        <f t="shared" si="25"/>
        <v>1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2</v>
      </c>
      <c r="AB33" s="34">
        <f t="shared" si="25"/>
        <v>0</v>
      </c>
      <c r="AC33" s="34">
        <f t="shared" si="25"/>
        <v>12</v>
      </c>
      <c r="AD33" s="34">
        <f t="shared" si="25"/>
        <v>0</v>
      </c>
      <c r="AE33" s="31">
        <f t="shared" si="25"/>
        <v>13</v>
      </c>
      <c r="AF33" s="31">
        <f t="shared" si="25"/>
        <v>25</v>
      </c>
    </row>
    <row r="34" spans="2:32" ht="23.1" customHeight="1" x14ac:dyDescent="0.25">
      <c r="B34" s="46" t="s">
        <v>61</v>
      </c>
      <c r="C34" s="50">
        <v>5</v>
      </c>
      <c r="D34" s="50">
        <v>0</v>
      </c>
      <c r="E34" s="50">
        <v>1</v>
      </c>
      <c r="F34" s="50">
        <v>2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21</v>
      </c>
      <c r="N34" s="50">
        <v>0</v>
      </c>
      <c r="O34" s="15">
        <f t="shared" si="0"/>
        <v>9</v>
      </c>
      <c r="P34" s="15">
        <f t="shared" si="1"/>
        <v>30</v>
      </c>
      <c r="R34" s="38" t="s">
        <v>90</v>
      </c>
      <c r="S34" s="39">
        <f t="shared" ref="S34:AF34" si="26">MAX(S10:S12)</f>
        <v>11</v>
      </c>
      <c r="T34" s="39">
        <f t="shared" si="26"/>
        <v>0</v>
      </c>
      <c r="U34" s="39">
        <f t="shared" si="26"/>
        <v>15</v>
      </c>
      <c r="V34" s="39">
        <f t="shared" si="26"/>
        <v>11</v>
      </c>
      <c r="W34" s="39">
        <f t="shared" si="26"/>
        <v>0</v>
      </c>
      <c r="X34" s="39">
        <f t="shared" si="26"/>
        <v>0</v>
      </c>
      <c r="Y34" s="39">
        <f t="shared" si="26"/>
        <v>9</v>
      </c>
      <c r="Z34" s="39">
        <f t="shared" si="26"/>
        <v>1</v>
      </c>
      <c r="AA34" s="39">
        <f t="shared" si="26"/>
        <v>1</v>
      </c>
      <c r="AB34" s="39">
        <f t="shared" si="26"/>
        <v>0</v>
      </c>
      <c r="AC34" s="39">
        <f t="shared" si="26"/>
        <v>69</v>
      </c>
      <c r="AD34" s="39">
        <f t="shared" si="26"/>
        <v>0</v>
      </c>
      <c r="AE34" s="40">
        <f t="shared" si="26"/>
        <v>38</v>
      </c>
      <c r="AF34" s="40">
        <f t="shared" si="26"/>
        <v>107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4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17</v>
      </c>
      <c r="N35" s="50">
        <v>0</v>
      </c>
      <c r="O35" s="15">
        <f t="shared" si="0"/>
        <v>6</v>
      </c>
      <c r="P35" s="15">
        <f t="shared" si="1"/>
        <v>23</v>
      </c>
      <c r="R35" s="38" t="s">
        <v>91</v>
      </c>
      <c r="S35" s="39">
        <f t="shared" ref="S35:AF35" si="27">MAX(S13:S18)</f>
        <v>24</v>
      </c>
      <c r="T35" s="39">
        <f t="shared" si="27"/>
        <v>0</v>
      </c>
      <c r="U35" s="39">
        <f t="shared" si="27"/>
        <v>23</v>
      </c>
      <c r="V35" s="39">
        <f t="shared" si="27"/>
        <v>13</v>
      </c>
      <c r="W35" s="39">
        <f t="shared" si="27"/>
        <v>1</v>
      </c>
      <c r="X35" s="39">
        <f t="shared" si="27"/>
        <v>0</v>
      </c>
      <c r="Y35" s="39">
        <f t="shared" si="27"/>
        <v>8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102</v>
      </c>
      <c r="AD35" s="39">
        <f t="shared" si="27"/>
        <v>0</v>
      </c>
      <c r="AE35" s="40">
        <f t="shared" si="27"/>
        <v>58</v>
      </c>
      <c r="AF35" s="40">
        <f t="shared" si="27"/>
        <v>151</v>
      </c>
    </row>
    <row r="36" spans="2:32" ht="23.1" customHeight="1" x14ac:dyDescent="0.25">
      <c r="B36" s="46" t="s">
        <v>63</v>
      </c>
      <c r="C36" s="50">
        <v>4</v>
      </c>
      <c r="D36" s="50">
        <v>0</v>
      </c>
      <c r="E36" s="50">
        <v>1</v>
      </c>
      <c r="F36" s="50">
        <v>2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22</v>
      </c>
      <c r="N36" s="50">
        <v>0</v>
      </c>
      <c r="O36" s="15">
        <f t="shared" si="0"/>
        <v>9</v>
      </c>
      <c r="P36" s="15">
        <f t="shared" si="1"/>
        <v>31</v>
      </c>
      <c r="R36" s="38" t="s">
        <v>92</v>
      </c>
      <c r="S36" s="39">
        <f t="shared" ref="S36:AF36" si="28">MAX(S19:S21)</f>
        <v>12</v>
      </c>
      <c r="T36" s="39">
        <f t="shared" si="28"/>
        <v>0</v>
      </c>
      <c r="U36" s="39">
        <f t="shared" si="28"/>
        <v>10</v>
      </c>
      <c r="V36" s="39">
        <f t="shared" si="28"/>
        <v>13</v>
      </c>
      <c r="W36" s="39">
        <f t="shared" si="28"/>
        <v>0</v>
      </c>
      <c r="X36" s="39">
        <f t="shared" si="28"/>
        <v>0</v>
      </c>
      <c r="Y36" s="39">
        <f t="shared" si="28"/>
        <v>11</v>
      </c>
      <c r="Z36" s="39">
        <f t="shared" si="28"/>
        <v>1</v>
      </c>
      <c r="AA36" s="39">
        <f t="shared" si="28"/>
        <v>0</v>
      </c>
      <c r="AB36" s="39">
        <f t="shared" si="28"/>
        <v>2</v>
      </c>
      <c r="AC36" s="39">
        <f t="shared" si="28"/>
        <v>94</v>
      </c>
      <c r="AD36" s="39">
        <f t="shared" si="28"/>
        <v>0</v>
      </c>
      <c r="AE36" s="40">
        <f t="shared" si="28"/>
        <v>44</v>
      </c>
      <c r="AF36" s="40">
        <f t="shared" si="28"/>
        <v>138</v>
      </c>
    </row>
    <row r="37" spans="2:32" ht="23.1" customHeight="1" x14ac:dyDescent="0.25">
      <c r="B37" s="45" t="s">
        <v>64</v>
      </c>
      <c r="C37" s="50">
        <v>2</v>
      </c>
      <c r="D37" s="50">
        <v>0</v>
      </c>
      <c r="E37" s="50">
        <v>4</v>
      </c>
      <c r="F37" s="50">
        <v>5</v>
      </c>
      <c r="G37" s="50">
        <v>0</v>
      </c>
      <c r="H37" s="50">
        <v>0</v>
      </c>
      <c r="I37" s="50">
        <v>2</v>
      </c>
      <c r="J37" s="50">
        <v>1</v>
      </c>
      <c r="K37" s="50">
        <v>0</v>
      </c>
      <c r="L37" s="50">
        <v>0</v>
      </c>
      <c r="M37" s="50">
        <v>19</v>
      </c>
      <c r="N37" s="50">
        <v>0</v>
      </c>
      <c r="O37" s="15">
        <f t="shared" si="0"/>
        <v>14</v>
      </c>
      <c r="P37" s="15">
        <f t="shared" si="1"/>
        <v>33</v>
      </c>
      <c r="R37" s="37" t="s">
        <v>85</v>
      </c>
      <c r="S37" s="35">
        <f t="shared" ref="S37:AF37" si="29">SUM(S10:S12)</f>
        <v>27</v>
      </c>
      <c r="T37" s="16">
        <f t="shared" si="29"/>
        <v>0</v>
      </c>
      <c r="U37" s="16">
        <f t="shared" si="29"/>
        <v>34</v>
      </c>
      <c r="V37" s="16">
        <f t="shared" si="29"/>
        <v>20</v>
      </c>
      <c r="W37" s="16">
        <f t="shared" si="29"/>
        <v>0</v>
      </c>
      <c r="X37" s="16">
        <f t="shared" si="29"/>
        <v>0</v>
      </c>
      <c r="Y37" s="16">
        <f t="shared" si="29"/>
        <v>19</v>
      </c>
      <c r="Z37" s="16">
        <f t="shared" si="29"/>
        <v>1</v>
      </c>
      <c r="AA37" s="16">
        <f t="shared" si="29"/>
        <v>1</v>
      </c>
      <c r="AB37" s="16">
        <f t="shared" si="29"/>
        <v>0</v>
      </c>
      <c r="AC37" s="16">
        <f t="shared" si="29"/>
        <v>192</v>
      </c>
      <c r="AD37" s="16">
        <f t="shared" si="29"/>
        <v>0</v>
      </c>
      <c r="AE37" s="32">
        <f t="shared" si="29"/>
        <v>102</v>
      </c>
      <c r="AF37" s="32">
        <f t="shared" si="29"/>
        <v>294</v>
      </c>
    </row>
    <row r="38" spans="2:32" ht="23.1" customHeight="1" x14ac:dyDescent="0.25">
      <c r="B38" s="46" t="s">
        <v>65</v>
      </c>
      <c r="C38" s="50">
        <v>5</v>
      </c>
      <c r="D38" s="50">
        <v>0</v>
      </c>
      <c r="E38" s="50">
        <v>4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21</v>
      </c>
      <c r="N38" s="50">
        <v>0</v>
      </c>
      <c r="O38" s="15">
        <f t="shared" si="0"/>
        <v>11</v>
      </c>
      <c r="P38" s="15">
        <f t="shared" si="1"/>
        <v>32</v>
      </c>
      <c r="R38" s="28" t="s">
        <v>86</v>
      </c>
      <c r="S38" s="16">
        <f t="shared" ref="S38:AF38" si="30">SUM(S13:S18)</f>
        <v>92</v>
      </c>
      <c r="T38" s="16">
        <f t="shared" si="30"/>
        <v>0</v>
      </c>
      <c r="U38" s="16">
        <f t="shared" si="30"/>
        <v>101</v>
      </c>
      <c r="V38" s="16">
        <f t="shared" si="30"/>
        <v>53</v>
      </c>
      <c r="W38" s="16">
        <f t="shared" si="30"/>
        <v>1</v>
      </c>
      <c r="X38" s="16">
        <f t="shared" si="30"/>
        <v>0</v>
      </c>
      <c r="Y38" s="16">
        <f t="shared" si="30"/>
        <v>41</v>
      </c>
      <c r="Z38" s="16">
        <f t="shared" si="30"/>
        <v>1</v>
      </c>
      <c r="AA38" s="16">
        <f t="shared" si="30"/>
        <v>2</v>
      </c>
      <c r="AB38" s="16">
        <f t="shared" si="30"/>
        <v>0</v>
      </c>
      <c r="AC38" s="16">
        <f t="shared" si="30"/>
        <v>491</v>
      </c>
      <c r="AD38" s="16">
        <f t="shared" si="30"/>
        <v>0</v>
      </c>
      <c r="AE38" s="32">
        <f t="shared" si="30"/>
        <v>291</v>
      </c>
      <c r="AF38" s="32">
        <f t="shared" si="30"/>
        <v>782</v>
      </c>
    </row>
    <row r="39" spans="2:32" ht="23.1" customHeight="1" x14ac:dyDescent="0.25">
      <c r="B39" s="46" t="s">
        <v>66</v>
      </c>
      <c r="C39" s="50">
        <v>12</v>
      </c>
      <c r="D39" s="50">
        <v>0</v>
      </c>
      <c r="E39" s="50">
        <v>2</v>
      </c>
      <c r="F39" s="50">
        <v>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15</v>
      </c>
      <c r="N39" s="50">
        <v>0</v>
      </c>
      <c r="O39" s="15">
        <f t="shared" si="0"/>
        <v>17</v>
      </c>
      <c r="P39" s="15">
        <f t="shared" si="1"/>
        <v>32</v>
      </c>
      <c r="R39" s="29" t="s">
        <v>87</v>
      </c>
      <c r="S39" s="16">
        <f t="shared" ref="S39:AF39" si="31">SUM(S19:S21)</f>
        <v>34</v>
      </c>
      <c r="T39" s="16">
        <f t="shared" si="31"/>
        <v>0</v>
      </c>
      <c r="U39" s="16">
        <f t="shared" si="31"/>
        <v>28</v>
      </c>
      <c r="V39" s="16">
        <f t="shared" si="31"/>
        <v>36</v>
      </c>
      <c r="W39" s="16">
        <f t="shared" si="31"/>
        <v>0</v>
      </c>
      <c r="X39" s="16">
        <f t="shared" si="31"/>
        <v>0</v>
      </c>
      <c r="Y39" s="16">
        <f t="shared" si="31"/>
        <v>21</v>
      </c>
      <c r="Z39" s="16">
        <f t="shared" si="31"/>
        <v>1</v>
      </c>
      <c r="AA39" s="16">
        <f t="shared" si="31"/>
        <v>0</v>
      </c>
      <c r="AB39" s="16">
        <f t="shared" si="31"/>
        <v>2</v>
      </c>
      <c r="AC39" s="16">
        <f t="shared" si="31"/>
        <v>263</v>
      </c>
      <c r="AD39" s="16">
        <f t="shared" si="31"/>
        <v>0</v>
      </c>
      <c r="AE39" s="32">
        <f t="shared" si="31"/>
        <v>122</v>
      </c>
      <c r="AF39" s="32">
        <f t="shared" si="31"/>
        <v>385</v>
      </c>
    </row>
    <row r="40" spans="2:32" ht="23.1" customHeight="1" x14ac:dyDescent="0.25">
      <c r="B40" s="46" t="s">
        <v>67</v>
      </c>
      <c r="C40" s="50">
        <v>3</v>
      </c>
      <c r="D40" s="50">
        <v>0</v>
      </c>
      <c r="E40" s="50">
        <v>7</v>
      </c>
      <c r="F40" s="50">
        <v>3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14</v>
      </c>
      <c r="P40" s="15">
        <f t="shared" si="1"/>
        <v>27</v>
      </c>
      <c r="R40" s="5" t="s">
        <v>17</v>
      </c>
      <c r="S40" s="16">
        <f t="shared" ref="S40:AF40" si="32">SUM(S10:S21)</f>
        <v>153</v>
      </c>
      <c r="T40" s="16">
        <f t="shared" si="32"/>
        <v>0</v>
      </c>
      <c r="U40" s="16">
        <f t="shared" si="32"/>
        <v>163</v>
      </c>
      <c r="V40" s="16">
        <f t="shared" si="32"/>
        <v>109</v>
      </c>
      <c r="W40" s="16">
        <f t="shared" si="32"/>
        <v>1</v>
      </c>
      <c r="X40" s="16">
        <f t="shared" si="32"/>
        <v>0</v>
      </c>
      <c r="Y40" s="16">
        <f t="shared" si="32"/>
        <v>81</v>
      </c>
      <c r="Z40" s="16">
        <f t="shared" si="32"/>
        <v>3</v>
      </c>
      <c r="AA40" s="16">
        <f t="shared" si="32"/>
        <v>3</v>
      </c>
      <c r="AB40" s="16">
        <f t="shared" si="32"/>
        <v>2</v>
      </c>
      <c r="AC40" s="16">
        <f t="shared" si="32"/>
        <v>946</v>
      </c>
      <c r="AD40" s="16">
        <f t="shared" si="32"/>
        <v>0</v>
      </c>
      <c r="AE40" s="32">
        <f t="shared" si="32"/>
        <v>515</v>
      </c>
      <c r="AF40" s="32">
        <f t="shared" si="32"/>
        <v>1461</v>
      </c>
    </row>
    <row r="41" spans="2:32" ht="23.1" customHeight="1" x14ac:dyDescent="0.25">
      <c r="B41" s="45" t="s">
        <v>68</v>
      </c>
      <c r="C41" s="50">
        <v>4</v>
      </c>
      <c r="D41" s="50">
        <v>0</v>
      </c>
      <c r="E41" s="50">
        <v>9</v>
      </c>
      <c r="F41" s="50">
        <v>1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21</v>
      </c>
      <c r="N41" s="50">
        <v>0</v>
      </c>
      <c r="O41" s="15">
        <f t="shared" si="0"/>
        <v>16</v>
      </c>
      <c r="P41" s="15">
        <f t="shared" si="1"/>
        <v>37</v>
      </c>
      <c r="R41" s="5" t="s">
        <v>159</v>
      </c>
      <c r="S41" s="16">
        <f>SUM(S10:S33)</f>
        <v>218</v>
      </c>
      <c r="T41" s="16">
        <f t="shared" ref="T41:AF41" si="33">SUM(T10:T33)</f>
        <v>4</v>
      </c>
      <c r="U41" s="16">
        <f t="shared" si="33"/>
        <v>226</v>
      </c>
      <c r="V41" s="16">
        <f t="shared" si="33"/>
        <v>154</v>
      </c>
      <c r="W41" s="16">
        <f t="shared" si="33"/>
        <v>4</v>
      </c>
      <c r="X41" s="16">
        <f t="shared" si="33"/>
        <v>1</v>
      </c>
      <c r="Y41" s="16">
        <f t="shared" si="33"/>
        <v>139</v>
      </c>
      <c r="Z41" s="16">
        <f t="shared" si="33"/>
        <v>5</v>
      </c>
      <c r="AA41" s="16">
        <f t="shared" si="33"/>
        <v>9</v>
      </c>
      <c r="AB41" s="16">
        <f t="shared" si="33"/>
        <v>2</v>
      </c>
      <c r="AC41" s="16">
        <f t="shared" si="33"/>
        <v>1125</v>
      </c>
      <c r="AD41" s="16">
        <f t="shared" si="33"/>
        <v>0</v>
      </c>
      <c r="AE41" s="32">
        <f t="shared" si="33"/>
        <v>762</v>
      </c>
      <c r="AF41" s="32">
        <f t="shared" si="33"/>
        <v>1887</v>
      </c>
    </row>
    <row r="42" spans="2:32" ht="23.1" customHeight="1" x14ac:dyDescent="0.25">
      <c r="B42" s="46" t="s">
        <v>69</v>
      </c>
      <c r="C42" s="50">
        <v>2</v>
      </c>
      <c r="D42" s="50">
        <v>0</v>
      </c>
      <c r="E42" s="50">
        <v>1</v>
      </c>
      <c r="F42" s="50">
        <v>4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0</v>
      </c>
      <c r="M42" s="50">
        <v>18</v>
      </c>
      <c r="N42" s="50">
        <v>0</v>
      </c>
      <c r="O42" s="15">
        <f t="shared" si="0"/>
        <v>9</v>
      </c>
      <c r="P42" s="15">
        <f t="shared" si="1"/>
        <v>27</v>
      </c>
      <c r="R42" s="5" t="s">
        <v>160</v>
      </c>
      <c r="S42" s="48">
        <f>S41/S40</f>
        <v>1.4248366013071896</v>
      </c>
      <c r="T42" s="48" t="e">
        <f t="shared" ref="T42:AF42" si="34">T41/T40</f>
        <v>#DIV/0!</v>
      </c>
      <c r="U42" s="48">
        <f t="shared" si="34"/>
        <v>1.3865030674846626</v>
      </c>
      <c r="V42" s="48">
        <f t="shared" si="34"/>
        <v>1.4128440366972477</v>
      </c>
      <c r="W42" s="48">
        <f t="shared" si="34"/>
        <v>4</v>
      </c>
      <c r="X42" s="48" t="e">
        <f t="shared" si="34"/>
        <v>#DIV/0!</v>
      </c>
      <c r="Y42" s="48">
        <f t="shared" si="34"/>
        <v>1.7160493827160495</v>
      </c>
      <c r="Z42" s="48">
        <f t="shared" si="34"/>
        <v>1.6666666666666667</v>
      </c>
      <c r="AA42" s="48">
        <f t="shared" si="34"/>
        <v>3</v>
      </c>
      <c r="AB42" s="48">
        <f t="shared" si="34"/>
        <v>1</v>
      </c>
      <c r="AC42" s="48">
        <f t="shared" si="34"/>
        <v>1.1892177589852009</v>
      </c>
      <c r="AD42" s="48" t="e">
        <f t="shared" si="34"/>
        <v>#DIV/0!</v>
      </c>
      <c r="AE42" s="48">
        <f t="shared" si="34"/>
        <v>1.4796116504854369</v>
      </c>
      <c r="AF42" s="48">
        <f t="shared" si="34"/>
        <v>1.2915811088295688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2</v>
      </c>
      <c r="F43" s="50">
        <v>3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27</v>
      </c>
      <c r="N43" s="50">
        <v>0</v>
      </c>
      <c r="O43" s="15">
        <f t="shared" si="0"/>
        <v>6</v>
      </c>
      <c r="P43" s="15">
        <f t="shared" si="1"/>
        <v>33</v>
      </c>
    </row>
    <row r="44" spans="2:32" ht="23.1" customHeight="1" x14ac:dyDescent="0.25">
      <c r="B44" s="47" t="s">
        <v>71</v>
      </c>
      <c r="C44" s="50">
        <v>3</v>
      </c>
      <c r="D44" s="50">
        <v>0</v>
      </c>
      <c r="E44" s="50">
        <v>4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23</v>
      </c>
      <c r="N44" s="50">
        <v>0</v>
      </c>
      <c r="O44" s="15">
        <f t="shared" si="0"/>
        <v>8</v>
      </c>
      <c r="P44" s="15">
        <f t="shared" si="1"/>
        <v>31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3</v>
      </c>
      <c r="F45" s="50">
        <v>6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12</v>
      </c>
      <c r="P45" s="15">
        <f t="shared" si="1"/>
        <v>27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1</v>
      </c>
      <c r="F46" s="50">
        <v>3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24</v>
      </c>
      <c r="N46" s="50">
        <v>0</v>
      </c>
      <c r="O46" s="15">
        <f t="shared" si="0"/>
        <v>8</v>
      </c>
      <c r="P46" s="15">
        <f t="shared" si="1"/>
        <v>32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2</v>
      </c>
      <c r="F47" s="50">
        <v>3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22</v>
      </c>
      <c r="N47" s="50">
        <v>0</v>
      </c>
      <c r="O47" s="15">
        <f t="shared" si="0"/>
        <v>10</v>
      </c>
      <c r="P47" s="15">
        <f t="shared" si="1"/>
        <v>32</v>
      </c>
      <c r="R47" s="8"/>
      <c r="T47"/>
    </row>
    <row r="48" spans="2:32" ht="23.1" customHeight="1" x14ac:dyDescent="0.25">
      <c r="B48" s="46" t="s">
        <v>75</v>
      </c>
      <c r="C48" s="50">
        <v>4</v>
      </c>
      <c r="D48" s="50">
        <v>0</v>
      </c>
      <c r="E48" s="50">
        <v>3</v>
      </c>
      <c r="F48" s="50">
        <v>3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27</v>
      </c>
      <c r="N48" s="50">
        <v>0</v>
      </c>
      <c r="O48" s="15">
        <f t="shared" si="0"/>
        <v>14</v>
      </c>
      <c r="P48" s="15">
        <f t="shared" si="1"/>
        <v>41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4</v>
      </c>
      <c r="F49" s="50">
        <v>3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21</v>
      </c>
      <c r="N49" s="50">
        <v>0</v>
      </c>
      <c r="O49" s="15">
        <f t="shared" si="0"/>
        <v>12</v>
      </c>
      <c r="P49" s="15">
        <f t="shared" si="1"/>
        <v>33</v>
      </c>
      <c r="R49" s="8"/>
      <c r="T49"/>
    </row>
    <row r="50" spans="2:20" ht="23.1" customHeight="1" x14ac:dyDescent="0.25">
      <c r="B50" s="46" t="s">
        <v>77</v>
      </c>
      <c r="C50" s="50">
        <v>3</v>
      </c>
      <c r="D50" s="50">
        <v>0</v>
      </c>
      <c r="E50" s="50">
        <v>5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13</v>
      </c>
      <c r="N50" s="50">
        <v>0</v>
      </c>
      <c r="O50" s="15">
        <f t="shared" si="0"/>
        <v>10</v>
      </c>
      <c r="P50" s="15">
        <f t="shared" si="1"/>
        <v>23</v>
      </c>
      <c r="R50" s="8"/>
      <c r="T50"/>
    </row>
    <row r="51" spans="2:20" ht="23.1" customHeight="1" x14ac:dyDescent="0.25">
      <c r="B51" s="46" t="s">
        <v>78</v>
      </c>
      <c r="C51" s="50">
        <v>2</v>
      </c>
      <c r="D51" s="50">
        <v>0</v>
      </c>
      <c r="E51" s="50">
        <v>2</v>
      </c>
      <c r="F51" s="50">
        <v>5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2</v>
      </c>
      <c r="M51" s="50">
        <v>28</v>
      </c>
      <c r="N51" s="50">
        <v>0</v>
      </c>
      <c r="O51" s="15">
        <f t="shared" si="0"/>
        <v>15</v>
      </c>
      <c r="P51" s="15">
        <f t="shared" si="1"/>
        <v>43</v>
      </c>
      <c r="R51" s="8"/>
      <c r="T51"/>
    </row>
    <row r="52" spans="2:20" ht="23.1" customHeight="1" x14ac:dyDescent="0.25">
      <c r="B52" s="46" t="s">
        <v>79</v>
      </c>
      <c r="C52" s="50">
        <v>4</v>
      </c>
      <c r="D52" s="50">
        <v>0</v>
      </c>
      <c r="E52" s="50">
        <v>2</v>
      </c>
      <c r="F52" s="50">
        <v>2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25</v>
      </c>
      <c r="N52" s="50">
        <v>0</v>
      </c>
      <c r="O52" s="15">
        <f t="shared" si="0"/>
        <v>9</v>
      </c>
      <c r="P52" s="15">
        <f t="shared" si="1"/>
        <v>34</v>
      </c>
      <c r="R52" s="8"/>
      <c r="T52"/>
    </row>
    <row r="53" spans="2:20" ht="23.1" customHeight="1" x14ac:dyDescent="0.25">
      <c r="B53" s="45" t="s">
        <v>80</v>
      </c>
      <c r="C53" s="50">
        <v>2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20</v>
      </c>
      <c r="N53" s="50">
        <v>0</v>
      </c>
      <c r="O53" s="15">
        <f t="shared" si="0"/>
        <v>6</v>
      </c>
      <c r="P53" s="15">
        <f t="shared" si="1"/>
        <v>26</v>
      </c>
      <c r="R53" s="8"/>
      <c r="T53"/>
    </row>
    <row r="54" spans="2:20" ht="23.1" customHeight="1" x14ac:dyDescent="0.25">
      <c r="B54" s="45" t="s">
        <v>81</v>
      </c>
      <c r="C54" s="50">
        <v>5</v>
      </c>
      <c r="D54" s="50">
        <v>0</v>
      </c>
      <c r="E54" s="50">
        <v>2</v>
      </c>
      <c r="F54" s="50">
        <v>3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11</v>
      </c>
      <c r="P54" s="15">
        <f t="shared" si="1"/>
        <v>31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3</v>
      </c>
      <c r="F55" s="50">
        <v>2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26</v>
      </c>
      <c r="N55" s="50">
        <v>0</v>
      </c>
      <c r="O55" s="15">
        <f t="shared" si="0"/>
        <v>8</v>
      </c>
      <c r="P55" s="15">
        <f t="shared" si="1"/>
        <v>34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0</v>
      </c>
      <c r="E56" s="50">
        <v>1</v>
      </c>
      <c r="F56" s="50">
        <v>5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17</v>
      </c>
      <c r="N56" s="50">
        <v>0</v>
      </c>
      <c r="O56" s="15">
        <f t="shared" si="0"/>
        <v>10</v>
      </c>
      <c r="P56" s="15">
        <f t="shared" si="1"/>
        <v>27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0</v>
      </c>
      <c r="E57" s="50">
        <v>3</v>
      </c>
      <c r="F57" s="50">
        <v>3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9</v>
      </c>
      <c r="P57" s="15">
        <f t="shared" si="1"/>
        <v>29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4</v>
      </c>
      <c r="F58" s="50">
        <v>1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11</v>
      </c>
      <c r="N58" s="50">
        <v>0</v>
      </c>
      <c r="O58" s="15">
        <f t="shared" si="0"/>
        <v>7</v>
      </c>
      <c r="P58" s="15">
        <f t="shared" si="1"/>
        <v>18</v>
      </c>
      <c r="R58" s="8"/>
      <c r="T58"/>
    </row>
    <row r="59" spans="2:20" ht="23.1" customHeight="1" x14ac:dyDescent="0.25">
      <c r="B59" s="45" t="s">
        <v>100</v>
      </c>
      <c r="C59" s="50">
        <v>6</v>
      </c>
      <c r="D59" s="50">
        <v>0</v>
      </c>
      <c r="E59" s="50">
        <v>2</v>
      </c>
      <c r="F59" s="50">
        <v>0</v>
      </c>
      <c r="G59" s="50">
        <v>1</v>
      </c>
      <c r="H59" s="50">
        <v>0</v>
      </c>
      <c r="I59" s="50">
        <v>2</v>
      </c>
      <c r="J59" s="50">
        <v>0</v>
      </c>
      <c r="K59" s="50">
        <v>1</v>
      </c>
      <c r="L59" s="50">
        <v>0</v>
      </c>
      <c r="M59" s="50">
        <v>17</v>
      </c>
      <c r="N59" s="50">
        <v>0</v>
      </c>
      <c r="O59" s="15">
        <f t="shared" si="0"/>
        <v>12</v>
      </c>
      <c r="P59" s="15">
        <f t="shared" si="1"/>
        <v>29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1</v>
      </c>
      <c r="F60" s="50">
        <v>1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15</v>
      </c>
      <c r="N60" s="50">
        <v>0</v>
      </c>
      <c r="O60" s="15">
        <f t="shared" si="0"/>
        <v>5</v>
      </c>
      <c r="P60" s="15">
        <f t="shared" si="1"/>
        <v>20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0</v>
      </c>
      <c r="E61" s="50">
        <v>1</v>
      </c>
      <c r="F61" s="50">
        <v>2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15</v>
      </c>
      <c r="N61" s="50">
        <v>0</v>
      </c>
      <c r="O61" s="15">
        <f t="shared" si="0"/>
        <v>7</v>
      </c>
      <c r="P61" s="15">
        <f t="shared" si="1"/>
        <v>22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4</v>
      </c>
      <c r="F62" s="50">
        <v>4</v>
      </c>
      <c r="G62" s="50">
        <v>0</v>
      </c>
      <c r="H62" s="50">
        <v>0</v>
      </c>
      <c r="I62" s="50">
        <v>3</v>
      </c>
      <c r="J62" s="50">
        <v>0</v>
      </c>
      <c r="K62" s="50">
        <v>0</v>
      </c>
      <c r="L62" s="50">
        <v>0</v>
      </c>
      <c r="M62" s="50">
        <v>14</v>
      </c>
      <c r="N62" s="50">
        <v>0</v>
      </c>
      <c r="O62" s="15">
        <f t="shared" si="0"/>
        <v>13</v>
      </c>
      <c r="P62" s="15">
        <f t="shared" si="1"/>
        <v>27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3</v>
      </c>
      <c r="F63" s="50">
        <v>1</v>
      </c>
      <c r="G63" s="50">
        <v>0</v>
      </c>
      <c r="H63" s="50">
        <v>0</v>
      </c>
      <c r="I63" s="50">
        <v>3</v>
      </c>
      <c r="J63" s="50">
        <v>1</v>
      </c>
      <c r="K63" s="50">
        <v>0</v>
      </c>
      <c r="L63" s="50">
        <v>0</v>
      </c>
      <c r="M63" s="50">
        <v>13</v>
      </c>
      <c r="N63" s="50">
        <v>0</v>
      </c>
      <c r="O63" s="15">
        <f t="shared" si="0"/>
        <v>9</v>
      </c>
      <c r="P63" s="15">
        <f t="shared" si="1"/>
        <v>22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6</v>
      </c>
      <c r="F64" s="50">
        <v>4</v>
      </c>
      <c r="G64" s="50">
        <v>0</v>
      </c>
      <c r="H64" s="50">
        <v>0</v>
      </c>
      <c r="I64" s="50">
        <v>3</v>
      </c>
      <c r="J64" s="50">
        <v>0</v>
      </c>
      <c r="K64" s="50">
        <v>0</v>
      </c>
      <c r="L64" s="50">
        <v>0</v>
      </c>
      <c r="M64" s="50">
        <v>12</v>
      </c>
      <c r="N64" s="50">
        <v>0</v>
      </c>
      <c r="O64" s="15">
        <f t="shared" si="0"/>
        <v>13</v>
      </c>
      <c r="P64" s="15">
        <f t="shared" si="1"/>
        <v>25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2</v>
      </c>
      <c r="F65" s="50">
        <v>4</v>
      </c>
      <c r="G65" s="50">
        <v>0</v>
      </c>
      <c r="H65" s="50">
        <v>0</v>
      </c>
      <c r="I65" s="50">
        <v>5</v>
      </c>
      <c r="J65" s="50">
        <v>0</v>
      </c>
      <c r="K65" s="50">
        <v>0</v>
      </c>
      <c r="L65" s="50">
        <v>0</v>
      </c>
      <c r="M65" s="50">
        <v>14</v>
      </c>
      <c r="N65" s="50">
        <v>0</v>
      </c>
      <c r="O65" s="15">
        <f t="shared" si="0"/>
        <v>12</v>
      </c>
      <c r="P65" s="15">
        <f t="shared" si="1"/>
        <v>26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2</v>
      </c>
      <c r="F66" s="50">
        <v>1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15</v>
      </c>
      <c r="N66" s="50">
        <v>0</v>
      </c>
      <c r="O66" s="15">
        <f t="shared" si="0"/>
        <v>9</v>
      </c>
      <c r="P66" s="15">
        <f t="shared" si="1"/>
        <v>24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2</v>
      </c>
      <c r="F67" s="50">
        <v>3</v>
      </c>
      <c r="G67" s="50">
        <v>0</v>
      </c>
      <c r="H67" s="50">
        <v>0</v>
      </c>
      <c r="I67" s="50">
        <v>2</v>
      </c>
      <c r="J67" s="50">
        <v>0</v>
      </c>
      <c r="K67" s="50">
        <v>1</v>
      </c>
      <c r="L67" s="50">
        <v>0</v>
      </c>
      <c r="M67" s="50">
        <v>10</v>
      </c>
      <c r="N67" s="50">
        <v>0</v>
      </c>
      <c r="O67" s="15">
        <f t="shared" si="0"/>
        <v>10</v>
      </c>
      <c r="P67" s="15">
        <f t="shared" si="1"/>
        <v>20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2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8</v>
      </c>
      <c r="N68" s="50">
        <v>0</v>
      </c>
      <c r="O68" s="15">
        <f t="shared" si="0"/>
        <v>6</v>
      </c>
      <c r="P68" s="15">
        <f t="shared" si="1"/>
        <v>14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4</v>
      </c>
      <c r="F69" s="50">
        <v>1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5</v>
      </c>
      <c r="N69" s="50">
        <v>0</v>
      </c>
      <c r="O69" s="15">
        <f t="shared" si="0"/>
        <v>7</v>
      </c>
      <c r="P69" s="15">
        <f t="shared" si="1"/>
        <v>12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1</v>
      </c>
      <c r="F70" s="50">
        <v>0</v>
      </c>
      <c r="G70" s="50">
        <v>1</v>
      </c>
      <c r="H70" s="50">
        <v>0</v>
      </c>
      <c r="I70" s="50">
        <v>2</v>
      </c>
      <c r="J70" s="50">
        <v>0</v>
      </c>
      <c r="K70" s="50">
        <v>1</v>
      </c>
      <c r="L70" s="50">
        <v>0</v>
      </c>
      <c r="M70" s="50">
        <v>4</v>
      </c>
      <c r="N70" s="50">
        <v>0</v>
      </c>
      <c r="O70" s="15">
        <f t="shared" si="0"/>
        <v>7</v>
      </c>
      <c r="P70" s="15">
        <f t="shared" si="1"/>
        <v>11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1</v>
      </c>
      <c r="F71" s="50">
        <v>1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6</v>
      </c>
      <c r="N71" s="50">
        <v>0</v>
      </c>
      <c r="O71" s="15">
        <f t="shared" si="0"/>
        <v>5</v>
      </c>
      <c r="P71" s="15">
        <f t="shared" si="1"/>
        <v>11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0</v>
      </c>
      <c r="E72" s="50">
        <v>1</v>
      </c>
      <c r="F72" s="50">
        <v>2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7</v>
      </c>
      <c r="P72" s="15">
        <f t="shared" si="1"/>
        <v>10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2</v>
      </c>
      <c r="F73" s="50">
        <v>2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0</v>
      </c>
      <c r="M73" s="50">
        <v>4</v>
      </c>
      <c r="N73" s="50">
        <v>0</v>
      </c>
      <c r="O73" s="15">
        <f t="shared" si="0"/>
        <v>9</v>
      </c>
      <c r="P73" s="15">
        <f t="shared" si="1"/>
        <v>13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3</v>
      </c>
      <c r="F74" s="50">
        <v>1</v>
      </c>
      <c r="G74" s="50">
        <v>0</v>
      </c>
      <c r="H74" s="50">
        <v>0</v>
      </c>
      <c r="I74" s="50">
        <v>3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9</v>
      </c>
      <c r="P74" s="15">
        <f t="shared" ref="P74:P105" si="36">SUM(C74:N74)</f>
        <v>9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4</v>
      </c>
      <c r="F75" s="50">
        <v>2</v>
      </c>
      <c r="G75" s="50">
        <v>0</v>
      </c>
      <c r="H75" s="50">
        <v>0</v>
      </c>
      <c r="I75" s="50">
        <v>3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9</v>
      </c>
      <c r="P75" s="15">
        <f t="shared" si="36"/>
        <v>9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2</v>
      </c>
      <c r="F76" s="50">
        <v>1</v>
      </c>
      <c r="G76" s="50">
        <v>0</v>
      </c>
      <c r="H76" s="50">
        <v>0</v>
      </c>
      <c r="I76" s="50">
        <v>5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9</v>
      </c>
      <c r="P76" s="15">
        <f t="shared" si="36"/>
        <v>9</v>
      </c>
      <c r="R76" s="8"/>
      <c r="T76"/>
    </row>
    <row r="77" spans="2:20" ht="23.1" customHeight="1" x14ac:dyDescent="0.25">
      <c r="B77" s="45" t="s">
        <v>117</v>
      </c>
      <c r="C77" s="50">
        <v>4</v>
      </c>
      <c r="D77" s="50">
        <v>0</v>
      </c>
      <c r="E77" s="50">
        <v>2</v>
      </c>
      <c r="F77" s="50">
        <v>1</v>
      </c>
      <c r="G77" s="50">
        <v>0</v>
      </c>
      <c r="H77" s="50">
        <v>0</v>
      </c>
      <c r="I77" s="50">
        <v>3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10</v>
      </c>
      <c r="P77" s="15">
        <f t="shared" si="36"/>
        <v>10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0</v>
      </c>
      <c r="E78" s="50">
        <v>1</v>
      </c>
      <c r="F78" s="50">
        <v>3</v>
      </c>
      <c r="G78" s="50">
        <v>0</v>
      </c>
      <c r="H78" s="50">
        <v>0</v>
      </c>
      <c r="I78" s="50">
        <v>2</v>
      </c>
      <c r="J78" s="50">
        <v>0</v>
      </c>
      <c r="K78" s="50">
        <v>1</v>
      </c>
      <c r="L78" s="50">
        <v>0</v>
      </c>
      <c r="M78" s="50">
        <v>0</v>
      </c>
      <c r="N78" s="50">
        <v>0</v>
      </c>
      <c r="O78" s="15">
        <f t="shared" si="35"/>
        <v>9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1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0</v>
      </c>
      <c r="E80" s="50">
        <v>2</v>
      </c>
      <c r="F80" s="50">
        <v>2</v>
      </c>
      <c r="G80" s="50">
        <v>0</v>
      </c>
      <c r="H80" s="50">
        <v>0</v>
      </c>
      <c r="I80" s="50">
        <v>3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10</v>
      </c>
      <c r="P80" s="15">
        <f t="shared" si="36"/>
        <v>10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1</v>
      </c>
      <c r="G81" s="50">
        <v>0</v>
      </c>
      <c r="H81" s="50">
        <v>0</v>
      </c>
      <c r="I81" s="50">
        <v>5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8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2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2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1</v>
      </c>
      <c r="F84" s="50">
        <v>1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5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1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1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4</v>
      </c>
      <c r="P88" s="15">
        <f t="shared" si="36"/>
        <v>4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3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5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2</v>
      </c>
      <c r="E101" s="50">
        <v>1</v>
      </c>
      <c r="F101" s="50">
        <v>0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6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2</v>
      </c>
      <c r="N103" s="50">
        <v>0</v>
      </c>
      <c r="O103" s="15">
        <f t="shared" si="35"/>
        <v>3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3</v>
      </c>
      <c r="P104" s="15">
        <f t="shared" si="36"/>
        <v>6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2</v>
      </c>
      <c r="E105" s="50">
        <v>0</v>
      </c>
      <c r="F105" s="50">
        <v>0</v>
      </c>
      <c r="G105" s="50">
        <v>1</v>
      </c>
      <c r="H105" s="50">
        <v>0</v>
      </c>
      <c r="I105" s="50">
        <v>1</v>
      </c>
      <c r="J105" s="50">
        <v>0</v>
      </c>
      <c r="K105" s="50">
        <v>1</v>
      </c>
      <c r="L105" s="50">
        <v>0</v>
      </c>
      <c r="M105" s="50">
        <v>7</v>
      </c>
      <c r="N105" s="50">
        <v>0</v>
      </c>
      <c r="O105" s="15">
        <f t="shared" si="35"/>
        <v>7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218</v>
      </c>
      <c r="D106" s="16">
        <f t="shared" ref="D106:P106" si="37">SUM(D10:D105)</f>
        <v>4</v>
      </c>
      <c r="E106" s="16">
        <f t="shared" si="37"/>
        <v>226</v>
      </c>
      <c r="F106" s="16">
        <f t="shared" si="37"/>
        <v>154</v>
      </c>
      <c r="G106" s="16">
        <f t="shared" si="37"/>
        <v>4</v>
      </c>
      <c r="H106" s="16">
        <f t="shared" si="37"/>
        <v>1</v>
      </c>
      <c r="I106" s="16">
        <f t="shared" si="37"/>
        <v>139</v>
      </c>
      <c r="J106" s="16">
        <f t="shared" si="37"/>
        <v>5</v>
      </c>
      <c r="K106" s="16">
        <f t="shared" si="37"/>
        <v>9</v>
      </c>
      <c r="L106" s="16">
        <f t="shared" si="37"/>
        <v>2</v>
      </c>
      <c r="M106" s="16">
        <f t="shared" si="37"/>
        <v>1125</v>
      </c>
      <c r="N106" s="16">
        <f t="shared" si="37"/>
        <v>0</v>
      </c>
      <c r="O106" s="16">
        <f t="shared" si="37"/>
        <v>762</v>
      </c>
      <c r="P106" s="16">
        <f t="shared" si="37"/>
        <v>1887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0.11552729199788023</v>
      </c>
      <c r="D107" s="43">
        <f t="shared" si="38"/>
        <v>2.1197668256491787E-3</v>
      </c>
      <c r="E107" s="43">
        <f t="shared" si="38"/>
        <v>0.11976682564917859</v>
      </c>
      <c r="F107" s="43">
        <f t="shared" si="38"/>
        <v>8.1611022787493381E-2</v>
      </c>
      <c r="G107" s="43">
        <f t="shared" si="38"/>
        <v>2.1197668256491787E-3</v>
      </c>
      <c r="H107" s="43">
        <f t="shared" si="38"/>
        <v>5.2994170641229468E-4</v>
      </c>
      <c r="I107" s="43">
        <f t="shared" si="38"/>
        <v>7.3661897191308959E-2</v>
      </c>
      <c r="J107" s="43">
        <f t="shared" si="38"/>
        <v>2.6497085320614732E-3</v>
      </c>
      <c r="K107" s="43">
        <f t="shared" si="38"/>
        <v>4.7694753577106515E-3</v>
      </c>
      <c r="L107" s="43">
        <f t="shared" si="38"/>
        <v>1.0598834128245894E-3</v>
      </c>
      <c r="M107" s="43">
        <f t="shared" si="38"/>
        <v>0.59618441971383151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0.28608923884514437</v>
      </c>
      <c r="D108" s="44">
        <f t="shared" ref="D108:N108" si="39">D106/$O$106</f>
        <v>5.2493438320209973E-3</v>
      </c>
      <c r="E108" s="44">
        <f t="shared" si="39"/>
        <v>0.29658792650918636</v>
      </c>
      <c r="F108" s="44">
        <f t="shared" si="39"/>
        <v>0.20209973753280841</v>
      </c>
      <c r="G108" s="44">
        <f t="shared" si="39"/>
        <v>5.2493438320209973E-3</v>
      </c>
      <c r="H108" s="44">
        <f t="shared" si="39"/>
        <v>1.3123359580052493E-3</v>
      </c>
      <c r="I108" s="44">
        <f t="shared" si="39"/>
        <v>0.18241469816272965</v>
      </c>
      <c r="J108" s="44">
        <f t="shared" si="39"/>
        <v>6.5616797900262466E-3</v>
      </c>
      <c r="K108" s="44">
        <f t="shared" si="39"/>
        <v>1.1811023622047244E-2</v>
      </c>
      <c r="L108" s="44">
        <f t="shared" si="39"/>
        <v>2.6246719160104987E-3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topLeftCell="E46" zoomScale="60" workbookViewId="0">
      <selection activeCell="C58" sqref="C58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Kampala-Bukaya'!C3:G3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'24.08 Kampala-Bukaya-24h'!D5</f>
        <v>24.08.19</v>
      </c>
      <c r="E5" s="3"/>
      <c r="F5" s="41" t="s">
        <v>1</v>
      </c>
      <c r="G5" s="63" t="str">
        <f>'24.08 Kampala-Bukaya-24h'!G5:H5</f>
        <v>Nyenga</v>
      </c>
      <c r="H5" s="64"/>
      <c r="I5" s="14"/>
      <c r="J5" s="2" t="s">
        <v>5</v>
      </c>
      <c r="K5" s="63" t="str">
        <f>'24.08 Kampala-Bukaya-24h'!K5:L5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Bukaya-Kampala'!D6:E6</f>
        <v>Bukaya</v>
      </c>
      <c r="E6" s="64"/>
      <c r="F6" s="2" t="s">
        <v>2</v>
      </c>
      <c r="G6" s="63" t="str">
        <f>'19.08 Bukaya-Kampala'!G6:H6</f>
        <v>Kampala</v>
      </c>
      <c r="H6" s="64"/>
      <c r="J6" s="2" t="s">
        <v>21</v>
      </c>
      <c r="K6" s="63" t="str">
        <f>'24.08 Kampala-Bukaya-24h'!K6:L6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3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73" si="0">SUM(C10:L10,N10)</f>
        <v>6</v>
      </c>
      <c r="P10" s="15">
        <f t="shared" ref="P10:P73" si="1">SUM(C10:N10)</f>
        <v>11</v>
      </c>
      <c r="R10" s="1" t="s">
        <v>6</v>
      </c>
      <c r="S10" s="17">
        <f t="shared" ref="S10:AF10" si="2">SUM(C10:C13)</f>
        <v>8</v>
      </c>
      <c r="T10" s="17">
        <f t="shared" si="2"/>
        <v>0</v>
      </c>
      <c r="U10" s="17">
        <f t="shared" si="2"/>
        <v>9</v>
      </c>
      <c r="V10" s="17">
        <f t="shared" si="2"/>
        <v>11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42</v>
      </c>
      <c r="AD10" s="17">
        <f t="shared" si="2"/>
        <v>0</v>
      </c>
      <c r="AE10" s="31">
        <f t="shared" si="2"/>
        <v>29</v>
      </c>
      <c r="AF10" s="31">
        <f t="shared" si="2"/>
        <v>71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2</v>
      </c>
      <c r="F11" s="50">
        <v>3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14</v>
      </c>
      <c r="N11" s="50">
        <v>0</v>
      </c>
      <c r="O11" s="15">
        <f t="shared" si="0"/>
        <v>6</v>
      </c>
      <c r="P11" s="15">
        <f t="shared" si="1"/>
        <v>20</v>
      </c>
      <c r="R11" s="1" t="s">
        <v>7</v>
      </c>
      <c r="S11" s="17">
        <f t="shared" ref="S11:AF11" si="3">SUM(C14:C17)</f>
        <v>5</v>
      </c>
      <c r="T11" s="17">
        <f t="shared" si="3"/>
        <v>0</v>
      </c>
      <c r="U11" s="17">
        <f t="shared" si="3"/>
        <v>5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56</v>
      </c>
      <c r="AD11" s="17">
        <f t="shared" si="3"/>
        <v>0</v>
      </c>
      <c r="AE11" s="31">
        <f t="shared" si="3"/>
        <v>16</v>
      </c>
      <c r="AF11" s="31">
        <f t="shared" si="3"/>
        <v>72</v>
      </c>
    </row>
    <row r="12" spans="2:32" ht="23.1" customHeight="1" x14ac:dyDescent="0.25">
      <c r="B12" s="45" t="s">
        <v>39</v>
      </c>
      <c r="C12" s="50">
        <v>3</v>
      </c>
      <c r="D12" s="50">
        <v>0</v>
      </c>
      <c r="E12" s="50">
        <v>2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7</v>
      </c>
      <c r="P12" s="15">
        <f t="shared" si="1"/>
        <v>20</v>
      </c>
      <c r="R12" s="1" t="s">
        <v>8</v>
      </c>
      <c r="S12" s="17">
        <f t="shared" ref="S12:AF12" si="4">SUM(C18:C21)</f>
        <v>8</v>
      </c>
      <c r="T12" s="17">
        <f t="shared" si="4"/>
        <v>0</v>
      </c>
      <c r="U12" s="17">
        <f t="shared" si="4"/>
        <v>4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73</v>
      </c>
      <c r="AD12" s="17">
        <f t="shared" si="4"/>
        <v>0</v>
      </c>
      <c r="AE12" s="31">
        <f t="shared" si="4"/>
        <v>23</v>
      </c>
      <c r="AF12" s="31">
        <f t="shared" si="4"/>
        <v>96</v>
      </c>
    </row>
    <row r="13" spans="2:32" ht="23.1" customHeight="1" x14ac:dyDescent="0.25">
      <c r="B13" s="45" t="s">
        <v>40</v>
      </c>
      <c r="C13" s="50">
        <v>3</v>
      </c>
      <c r="D13" s="50">
        <v>0</v>
      </c>
      <c r="E13" s="50">
        <v>2</v>
      </c>
      <c r="F13" s="50">
        <v>4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10</v>
      </c>
      <c r="N13" s="50">
        <v>0</v>
      </c>
      <c r="O13" s="15">
        <f t="shared" si="0"/>
        <v>10</v>
      </c>
      <c r="P13" s="15">
        <f t="shared" si="1"/>
        <v>20</v>
      </c>
      <c r="R13" s="1" t="s">
        <v>9</v>
      </c>
      <c r="S13" s="17">
        <f t="shared" ref="S13:AF13" si="5">SUM(C22:C25)</f>
        <v>10</v>
      </c>
      <c r="T13" s="17">
        <f t="shared" si="5"/>
        <v>0</v>
      </c>
      <c r="U13" s="17">
        <f t="shared" si="5"/>
        <v>9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99</v>
      </c>
      <c r="AD13" s="17">
        <f t="shared" si="5"/>
        <v>0</v>
      </c>
      <c r="AE13" s="31">
        <f t="shared" si="5"/>
        <v>30</v>
      </c>
      <c r="AF13" s="31">
        <f t="shared" si="5"/>
        <v>129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2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16</v>
      </c>
      <c r="N14" s="50">
        <v>0</v>
      </c>
      <c r="O14" s="15">
        <f t="shared" si="0"/>
        <v>4</v>
      </c>
      <c r="P14" s="15">
        <f t="shared" si="1"/>
        <v>20</v>
      </c>
      <c r="R14" s="1" t="s">
        <v>10</v>
      </c>
      <c r="S14" s="17">
        <f t="shared" ref="S14:AF14" si="6">SUM(C26:C29)</f>
        <v>4</v>
      </c>
      <c r="T14" s="17">
        <f t="shared" si="6"/>
        <v>0</v>
      </c>
      <c r="U14" s="17">
        <f t="shared" si="6"/>
        <v>13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98</v>
      </c>
      <c r="AD14" s="17">
        <f t="shared" si="6"/>
        <v>0</v>
      </c>
      <c r="AE14" s="31">
        <f t="shared" si="6"/>
        <v>26</v>
      </c>
      <c r="AF14" s="31">
        <f t="shared" si="6"/>
        <v>124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5">
        <f t="shared" si="0"/>
        <v>4</v>
      </c>
      <c r="P15" s="15">
        <f t="shared" si="1"/>
        <v>17</v>
      </c>
      <c r="R15" s="1" t="s">
        <v>11</v>
      </c>
      <c r="S15" s="17">
        <f t="shared" ref="S15:AF15" si="7">SUM(C30:C33)</f>
        <v>13</v>
      </c>
      <c r="T15" s="17">
        <f t="shared" si="7"/>
        <v>0</v>
      </c>
      <c r="U15" s="17">
        <f t="shared" si="7"/>
        <v>5</v>
      </c>
      <c r="V15" s="17">
        <f t="shared" si="7"/>
        <v>9</v>
      </c>
      <c r="W15" s="17">
        <f t="shared" si="7"/>
        <v>2</v>
      </c>
      <c r="X15" s="17">
        <f t="shared" si="7"/>
        <v>0</v>
      </c>
      <c r="Y15" s="17">
        <f t="shared" si="7"/>
        <v>6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88</v>
      </c>
      <c r="AD15" s="17">
        <f t="shared" si="7"/>
        <v>0</v>
      </c>
      <c r="AE15" s="31">
        <f t="shared" si="7"/>
        <v>35</v>
      </c>
      <c r="AF15" s="31">
        <f t="shared" si="7"/>
        <v>123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3</v>
      </c>
      <c r="P16" s="15">
        <f t="shared" si="1"/>
        <v>15</v>
      </c>
      <c r="R16" s="1" t="s">
        <v>12</v>
      </c>
      <c r="S16" s="17">
        <f t="shared" ref="S16:AF16" si="8">SUM(C34:C37)</f>
        <v>7</v>
      </c>
      <c r="T16" s="17">
        <f t="shared" si="8"/>
        <v>0</v>
      </c>
      <c r="U16" s="17">
        <f t="shared" si="8"/>
        <v>15</v>
      </c>
      <c r="V16" s="17">
        <f t="shared" si="8"/>
        <v>7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78</v>
      </c>
      <c r="AD16" s="17">
        <f t="shared" si="8"/>
        <v>0</v>
      </c>
      <c r="AE16" s="31">
        <f t="shared" si="8"/>
        <v>40</v>
      </c>
      <c r="AF16" s="31">
        <f t="shared" si="8"/>
        <v>118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5</v>
      </c>
      <c r="P17" s="15">
        <f t="shared" si="1"/>
        <v>20</v>
      </c>
      <c r="R17" s="1" t="s">
        <v>13</v>
      </c>
      <c r="S17" s="17">
        <f t="shared" ref="S17:AF17" si="9">SUM(C38:C41)</f>
        <v>15</v>
      </c>
      <c r="T17" s="17">
        <f t="shared" si="9"/>
        <v>0</v>
      </c>
      <c r="U17" s="17">
        <f t="shared" si="9"/>
        <v>14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65</v>
      </c>
      <c r="AD17" s="17">
        <f t="shared" si="9"/>
        <v>0</v>
      </c>
      <c r="AE17" s="31">
        <f t="shared" si="9"/>
        <v>40</v>
      </c>
      <c r="AF17" s="31">
        <f t="shared" si="9"/>
        <v>105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2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18</v>
      </c>
      <c r="N18" s="50">
        <v>0</v>
      </c>
      <c r="O18" s="15">
        <f t="shared" si="0"/>
        <v>6</v>
      </c>
      <c r="P18" s="15">
        <f t="shared" si="1"/>
        <v>24</v>
      </c>
      <c r="R18" s="1" t="s">
        <v>14</v>
      </c>
      <c r="S18" s="17">
        <f t="shared" ref="S18:AF18" si="10">SUM(C42:C45)</f>
        <v>16</v>
      </c>
      <c r="T18" s="17">
        <f t="shared" si="10"/>
        <v>0</v>
      </c>
      <c r="U18" s="17">
        <f t="shared" si="10"/>
        <v>13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82</v>
      </c>
      <c r="AD18" s="17">
        <f t="shared" si="10"/>
        <v>0</v>
      </c>
      <c r="AE18" s="31">
        <f t="shared" si="10"/>
        <v>48</v>
      </c>
      <c r="AF18" s="31">
        <f t="shared" si="10"/>
        <v>130</v>
      </c>
    </row>
    <row r="19" spans="2:32" ht="23.1" customHeight="1" x14ac:dyDescent="0.25">
      <c r="B19" s="45" t="s">
        <v>46</v>
      </c>
      <c r="C19" s="50">
        <v>4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12</v>
      </c>
      <c r="N19" s="50">
        <v>0</v>
      </c>
      <c r="O19" s="15">
        <f t="shared" si="0"/>
        <v>6</v>
      </c>
      <c r="P19" s="15">
        <f t="shared" si="1"/>
        <v>18</v>
      </c>
      <c r="R19" s="1" t="s">
        <v>15</v>
      </c>
      <c r="S19" s="17">
        <f t="shared" ref="S19:AF19" si="11">SUM(C46:C49)</f>
        <v>10</v>
      </c>
      <c r="T19" s="17">
        <f t="shared" si="11"/>
        <v>0</v>
      </c>
      <c r="U19" s="17">
        <f t="shared" si="11"/>
        <v>10</v>
      </c>
      <c r="V19" s="17">
        <f t="shared" si="11"/>
        <v>13</v>
      </c>
      <c r="W19" s="17">
        <f t="shared" si="11"/>
        <v>1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95</v>
      </c>
      <c r="AD19" s="17">
        <f t="shared" si="11"/>
        <v>0</v>
      </c>
      <c r="AE19" s="31">
        <f t="shared" si="11"/>
        <v>39</v>
      </c>
      <c r="AF19" s="31">
        <f t="shared" si="11"/>
        <v>134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2</v>
      </c>
      <c r="F20" s="50">
        <v>1</v>
      </c>
      <c r="G20" s="50">
        <v>0</v>
      </c>
      <c r="H20" s="50">
        <v>0</v>
      </c>
      <c r="I20" s="50">
        <v>4</v>
      </c>
      <c r="J20" s="50">
        <v>0</v>
      </c>
      <c r="K20" s="50">
        <v>1</v>
      </c>
      <c r="L20" s="50">
        <v>0</v>
      </c>
      <c r="M20" s="50">
        <v>24</v>
      </c>
      <c r="N20" s="50">
        <v>0</v>
      </c>
      <c r="O20" s="15">
        <f t="shared" si="0"/>
        <v>8</v>
      </c>
      <c r="P20" s="15">
        <f t="shared" si="1"/>
        <v>32</v>
      </c>
      <c r="R20" s="1" t="s">
        <v>16</v>
      </c>
      <c r="S20" s="17">
        <f t="shared" ref="S20:AF20" si="12">SUM(C50:C53)</f>
        <v>24</v>
      </c>
      <c r="T20" s="17">
        <f t="shared" si="12"/>
        <v>0</v>
      </c>
      <c r="U20" s="17">
        <f t="shared" si="12"/>
        <v>18</v>
      </c>
      <c r="V20" s="17">
        <f t="shared" si="12"/>
        <v>11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81</v>
      </c>
      <c r="AD20" s="17">
        <f t="shared" si="12"/>
        <v>0</v>
      </c>
      <c r="AE20" s="31">
        <f t="shared" si="12"/>
        <v>59</v>
      </c>
      <c r="AF20" s="31">
        <f t="shared" si="12"/>
        <v>140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19</v>
      </c>
      <c r="N21" s="50">
        <v>0</v>
      </c>
      <c r="O21" s="15">
        <f t="shared" si="0"/>
        <v>3</v>
      </c>
      <c r="P21" s="15">
        <f t="shared" si="1"/>
        <v>22</v>
      </c>
      <c r="R21" s="36" t="s">
        <v>20</v>
      </c>
      <c r="S21" s="34">
        <f t="shared" ref="S21:AF21" si="13">SUM(C54:C57)</f>
        <v>15</v>
      </c>
      <c r="T21" s="17">
        <f t="shared" si="13"/>
        <v>0</v>
      </c>
      <c r="U21" s="17">
        <f t="shared" si="13"/>
        <v>28</v>
      </c>
      <c r="V21" s="17">
        <f t="shared" si="13"/>
        <v>8</v>
      </c>
      <c r="W21" s="17">
        <f t="shared" si="13"/>
        <v>2</v>
      </c>
      <c r="X21" s="17">
        <f t="shared" si="13"/>
        <v>0</v>
      </c>
      <c r="Y21" s="17">
        <f t="shared" si="13"/>
        <v>11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90</v>
      </c>
      <c r="AD21" s="17">
        <f t="shared" si="13"/>
        <v>0</v>
      </c>
      <c r="AE21" s="31">
        <f t="shared" si="13"/>
        <v>64</v>
      </c>
      <c r="AF21" s="31">
        <f t="shared" si="13"/>
        <v>154</v>
      </c>
    </row>
    <row r="22" spans="2:32" ht="23.1" customHeight="1" x14ac:dyDescent="0.25">
      <c r="B22" s="45" t="s">
        <v>49</v>
      </c>
      <c r="C22" s="50">
        <v>3</v>
      </c>
      <c r="D22" s="50">
        <v>0</v>
      </c>
      <c r="E22" s="50">
        <v>2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6</v>
      </c>
      <c r="P22" s="15">
        <f t="shared" si="1"/>
        <v>26</v>
      </c>
      <c r="R22" s="36" t="s">
        <v>146</v>
      </c>
      <c r="S22" s="34">
        <f>SUM(C58:C61)</f>
        <v>13</v>
      </c>
      <c r="T22" s="34">
        <f t="shared" ref="T22:AF22" si="14">SUM(D58:D61)</f>
        <v>0</v>
      </c>
      <c r="U22" s="34">
        <f t="shared" si="14"/>
        <v>8</v>
      </c>
      <c r="V22" s="34">
        <f t="shared" si="14"/>
        <v>4</v>
      </c>
      <c r="W22" s="34">
        <f t="shared" si="14"/>
        <v>1</v>
      </c>
      <c r="X22" s="34">
        <f t="shared" si="14"/>
        <v>0</v>
      </c>
      <c r="Y22" s="34">
        <f t="shared" si="14"/>
        <v>4</v>
      </c>
      <c r="Z22" s="34">
        <f t="shared" si="14"/>
        <v>0</v>
      </c>
      <c r="AA22" s="34">
        <f t="shared" si="14"/>
        <v>1</v>
      </c>
      <c r="AB22" s="34">
        <f t="shared" si="14"/>
        <v>0</v>
      </c>
      <c r="AC22" s="34">
        <f t="shared" si="14"/>
        <v>58</v>
      </c>
      <c r="AD22" s="34">
        <f t="shared" si="14"/>
        <v>0</v>
      </c>
      <c r="AE22" s="31">
        <f t="shared" si="14"/>
        <v>31</v>
      </c>
      <c r="AF22" s="31">
        <f t="shared" si="14"/>
        <v>89</v>
      </c>
    </row>
    <row r="23" spans="2:32" ht="23.1" customHeight="1" x14ac:dyDescent="0.25">
      <c r="B23" s="45" t="s">
        <v>50</v>
      </c>
      <c r="C23" s="50">
        <v>4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29</v>
      </c>
      <c r="N23" s="50">
        <v>0</v>
      </c>
      <c r="O23" s="15">
        <f t="shared" si="0"/>
        <v>7</v>
      </c>
      <c r="P23" s="15">
        <f t="shared" si="1"/>
        <v>36</v>
      </c>
      <c r="R23" s="36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15</v>
      </c>
      <c r="V23" s="34">
        <f t="shared" si="15"/>
        <v>13</v>
      </c>
      <c r="W23" s="34">
        <f t="shared" si="15"/>
        <v>0</v>
      </c>
      <c r="X23" s="34">
        <f t="shared" si="15"/>
        <v>0</v>
      </c>
      <c r="Y23" s="34">
        <f t="shared" si="15"/>
        <v>14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53</v>
      </c>
      <c r="AD23" s="34">
        <f t="shared" si="15"/>
        <v>0</v>
      </c>
      <c r="AE23" s="31">
        <f t="shared" si="15"/>
        <v>47</v>
      </c>
      <c r="AF23" s="31">
        <f t="shared" si="15"/>
        <v>100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4</v>
      </c>
      <c r="F24" s="50">
        <v>1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26</v>
      </c>
      <c r="N24" s="50">
        <v>0</v>
      </c>
      <c r="O24" s="15">
        <f t="shared" si="0"/>
        <v>9</v>
      </c>
      <c r="P24" s="15">
        <f t="shared" si="1"/>
        <v>35</v>
      </c>
      <c r="R24" s="36" t="s">
        <v>148</v>
      </c>
      <c r="S24" s="34">
        <f>SUM(C66:C69)</f>
        <v>8</v>
      </c>
      <c r="T24" s="34">
        <f t="shared" ref="T24:AF24" si="16">SUM(D66:D69)</f>
        <v>0</v>
      </c>
      <c r="U24" s="34">
        <f t="shared" si="16"/>
        <v>10</v>
      </c>
      <c r="V24" s="34">
        <f t="shared" si="16"/>
        <v>7</v>
      </c>
      <c r="W24" s="34">
        <f t="shared" si="16"/>
        <v>0</v>
      </c>
      <c r="X24" s="34">
        <f t="shared" si="16"/>
        <v>0</v>
      </c>
      <c r="Y24" s="34">
        <f t="shared" si="16"/>
        <v>6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38</v>
      </c>
      <c r="AD24" s="34">
        <f t="shared" si="16"/>
        <v>0</v>
      </c>
      <c r="AE24" s="31">
        <f t="shared" si="16"/>
        <v>32</v>
      </c>
      <c r="AF24" s="31">
        <f t="shared" si="16"/>
        <v>70</v>
      </c>
    </row>
    <row r="25" spans="2:32" ht="23.1" customHeight="1" x14ac:dyDescent="0.25">
      <c r="B25" s="45" t="s">
        <v>52</v>
      </c>
      <c r="C25" s="50">
        <v>2</v>
      </c>
      <c r="D25" s="50">
        <v>0</v>
      </c>
      <c r="E25" s="50">
        <v>1</v>
      </c>
      <c r="F25" s="50">
        <v>2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24</v>
      </c>
      <c r="N25" s="50">
        <v>0</v>
      </c>
      <c r="O25" s="15">
        <f t="shared" si="0"/>
        <v>8</v>
      </c>
      <c r="P25" s="15">
        <f t="shared" si="1"/>
        <v>32</v>
      </c>
      <c r="R25" s="36" t="s">
        <v>149</v>
      </c>
      <c r="S25" s="34">
        <f>SUM(C70:C73)</f>
        <v>10</v>
      </c>
      <c r="T25" s="34">
        <f t="shared" ref="T25:AF25" si="17">SUM(D70:D73)</f>
        <v>0</v>
      </c>
      <c r="U25" s="34">
        <f t="shared" si="17"/>
        <v>5</v>
      </c>
      <c r="V25" s="34">
        <f t="shared" si="17"/>
        <v>5</v>
      </c>
      <c r="W25" s="34">
        <f t="shared" si="17"/>
        <v>1</v>
      </c>
      <c r="X25" s="34">
        <f t="shared" si="17"/>
        <v>0</v>
      </c>
      <c r="Y25" s="34">
        <f t="shared" si="17"/>
        <v>6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17</v>
      </c>
      <c r="AD25" s="34">
        <f t="shared" si="17"/>
        <v>0</v>
      </c>
      <c r="AE25" s="31">
        <f t="shared" si="17"/>
        <v>28</v>
      </c>
      <c r="AF25" s="31">
        <f t="shared" si="17"/>
        <v>45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5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27</v>
      </c>
      <c r="N26" s="50">
        <v>0</v>
      </c>
      <c r="O26" s="15">
        <f t="shared" si="0"/>
        <v>7</v>
      </c>
      <c r="P26" s="15">
        <f t="shared" si="1"/>
        <v>34</v>
      </c>
      <c r="R26" s="36" t="s">
        <v>150</v>
      </c>
      <c r="S26" s="34">
        <f>SUM(C74:C77)</f>
        <v>6</v>
      </c>
      <c r="T26" s="34">
        <f t="shared" ref="T26:AF26" si="18">SUM(D74:D77)</f>
        <v>0</v>
      </c>
      <c r="U26" s="34">
        <f t="shared" si="18"/>
        <v>11</v>
      </c>
      <c r="V26" s="34">
        <f t="shared" si="18"/>
        <v>5</v>
      </c>
      <c r="W26" s="34">
        <f t="shared" si="18"/>
        <v>0</v>
      </c>
      <c r="X26" s="34">
        <f t="shared" si="18"/>
        <v>0</v>
      </c>
      <c r="Y26" s="34">
        <f t="shared" si="18"/>
        <v>14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37</v>
      </c>
      <c r="AF26" s="31">
        <f t="shared" si="18"/>
        <v>37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4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25</v>
      </c>
      <c r="N27" s="50">
        <v>0</v>
      </c>
      <c r="O27" s="15">
        <f t="shared" si="0"/>
        <v>7</v>
      </c>
      <c r="P27" s="15">
        <f t="shared" si="1"/>
        <v>32</v>
      </c>
      <c r="R27" s="36" t="s">
        <v>151</v>
      </c>
      <c r="S27" s="34">
        <f>SUM(C78:C81)</f>
        <v>7</v>
      </c>
      <c r="T27" s="34">
        <f t="shared" ref="T27:AF27" si="19">SUM(D78:D81)</f>
        <v>0</v>
      </c>
      <c r="U27" s="34">
        <f t="shared" si="19"/>
        <v>4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28</v>
      </c>
      <c r="AF27" s="31">
        <f t="shared" si="19"/>
        <v>28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2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23</v>
      </c>
      <c r="N28" s="50">
        <v>0</v>
      </c>
      <c r="O28" s="15">
        <f t="shared" si="0"/>
        <v>6</v>
      </c>
      <c r="P28" s="15">
        <f t="shared" si="1"/>
        <v>29</v>
      </c>
      <c r="R28" s="36" t="s">
        <v>152</v>
      </c>
      <c r="S28" s="34">
        <f>SUM(C82:C85)</f>
        <v>5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10</v>
      </c>
      <c r="AF28" s="31">
        <f t="shared" si="20"/>
        <v>10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2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23</v>
      </c>
      <c r="N29" s="50">
        <v>0</v>
      </c>
      <c r="O29" s="15">
        <f t="shared" si="0"/>
        <v>6</v>
      </c>
      <c r="P29" s="15">
        <f t="shared" si="1"/>
        <v>29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7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1</v>
      </c>
      <c r="F30" s="50">
        <v>3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21</v>
      </c>
      <c r="N30" s="50">
        <v>0</v>
      </c>
      <c r="O30" s="15">
        <f t="shared" si="0"/>
        <v>5</v>
      </c>
      <c r="P30" s="15">
        <f t="shared" si="1"/>
        <v>26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5</v>
      </c>
      <c r="D31" s="50">
        <v>0</v>
      </c>
      <c r="E31" s="50">
        <v>1</v>
      </c>
      <c r="F31" s="50">
        <v>2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27</v>
      </c>
      <c r="N31" s="50">
        <v>0</v>
      </c>
      <c r="O31" s="15">
        <f t="shared" si="0"/>
        <v>10</v>
      </c>
      <c r="P31" s="15">
        <f t="shared" si="1"/>
        <v>37</v>
      </c>
      <c r="R31" s="36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8</v>
      </c>
      <c r="AF31" s="31">
        <f t="shared" si="23"/>
        <v>8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2</v>
      </c>
      <c r="F32" s="50">
        <v>3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13</v>
      </c>
      <c r="N32" s="50">
        <v>0</v>
      </c>
      <c r="O32" s="15">
        <f t="shared" si="0"/>
        <v>9</v>
      </c>
      <c r="P32" s="15">
        <f t="shared" si="1"/>
        <v>22</v>
      </c>
      <c r="R32" s="33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6</v>
      </c>
      <c r="AF32" s="31">
        <f t="shared" si="24"/>
        <v>7</v>
      </c>
    </row>
    <row r="33" spans="2:32" ht="23.1" customHeight="1" x14ac:dyDescent="0.25">
      <c r="B33" s="45" t="s">
        <v>60</v>
      </c>
      <c r="C33" s="50">
        <v>6</v>
      </c>
      <c r="D33" s="50">
        <v>0</v>
      </c>
      <c r="E33" s="50">
        <v>1</v>
      </c>
      <c r="F33" s="50">
        <v>1</v>
      </c>
      <c r="G33" s="50">
        <v>2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27</v>
      </c>
      <c r="N33" s="50">
        <v>0</v>
      </c>
      <c r="O33" s="15">
        <f t="shared" si="0"/>
        <v>11</v>
      </c>
      <c r="P33" s="15">
        <f t="shared" si="1"/>
        <v>38</v>
      </c>
      <c r="R33" s="33" t="s">
        <v>157</v>
      </c>
      <c r="S33" s="34">
        <f>SUM(C102:C105)</f>
        <v>5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1</v>
      </c>
      <c r="W33" s="34">
        <f t="shared" si="25"/>
        <v>1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2</v>
      </c>
      <c r="AB33" s="34">
        <f t="shared" si="25"/>
        <v>0</v>
      </c>
      <c r="AC33" s="34">
        <f t="shared" si="25"/>
        <v>12</v>
      </c>
      <c r="AD33" s="34">
        <f t="shared" si="25"/>
        <v>0</v>
      </c>
      <c r="AE33" s="31">
        <f t="shared" si="25"/>
        <v>13</v>
      </c>
      <c r="AF33" s="31">
        <f t="shared" si="25"/>
        <v>25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4</v>
      </c>
      <c r="F34" s="50">
        <v>1</v>
      </c>
      <c r="G34" s="50">
        <v>0</v>
      </c>
      <c r="H34" s="50">
        <v>0</v>
      </c>
      <c r="I34" s="50">
        <v>2</v>
      </c>
      <c r="J34" s="50">
        <v>0</v>
      </c>
      <c r="K34" s="50">
        <v>1</v>
      </c>
      <c r="L34" s="50">
        <v>0</v>
      </c>
      <c r="M34" s="50">
        <v>18</v>
      </c>
      <c r="N34" s="50">
        <v>0</v>
      </c>
      <c r="O34" s="15">
        <f t="shared" si="0"/>
        <v>9</v>
      </c>
      <c r="P34" s="15">
        <f t="shared" si="1"/>
        <v>27</v>
      </c>
      <c r="R34" s="38" t="s">
        <v>90</v>
      </c>
      <c r="S34" s="39">
        <f t="shared" ref="S34:AF34" si="26">MAX(S10:S12)</f>
        <v>8</v>
      </c>
      <c r="T34" s="39">
        <f t="shared" si="26"/>
        <v>0</v>
      </c>
      <c r="U34" s="39">
        <f t="shared" si="26"/>
        <v>9</v>
      </c>
      <c r="V34" s="39">
        <f t="shared" si="26"/>
        <v>11</v>
      </c>
      <c r="W34" s="39">
        <f t="shared" si="26"/>
        <v>0</v>
      </c>
      <c r="X34" s="39">
        <f t="shared" si="26"/>
        <v>0</v>
      </c>
      <c r="Y34" s="39">
        <f t="shared" si="26"/>
        <v>5</v>
      </c>
      <c r="Z34" s="39">
        <f t="shared" si="26"/>
        <v>0</v>
      </c>
      <c r="AA34" s="39">
        <f t="shared" si="26"/>
        <v>1</v>
      </c>
      <c r="AB34" s="39">
        <f t="shared" si="26"/>
        <v>0</v>
      </c>
      <c r="AC34" s="39">
        <f t="shared" si="26"/>
        <v>73</v>
      </c>
      <c r="AD34" s="39">
        <f t="shared" si="26"/>
        <v>0</v>
      </c>
      <c r="AE34" s="40">
        <f t="shared" si="26"/>
        <v>29</v>
      </c>
      <c r="AF34" s="40">
        <f t="shared" si="26"/>
        <v>96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4</v>
      </c>
      <c r="F35" s="50">
        <v>2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22</v>
      </c>
      <c r="N35" s="50">
        <v>0</v>
      </c>
      <c r="O35" s="15">
        <f t="shared" si="0"/>
        <v>8</v>
      </c>
      <c r="P35" s="15">
        <f t="shared" si="1"/>
        <v>30</v>
      </c>
      <c r="R35" s="38" t="s">
        <v>91</v>
      </c>
      <c r="S35" s="39">
        <f t="shared" ref="S35:AF35" si="27">MAX(S13:S18)</f>
        <v>16</v>
      </c>
      <c r="T35" s="39">
        <f t="shared" si="27"/>
        <v>0</v>
      </c>
      <c r="U35" s="39">
        <f t="shared" si="27"/>
        <v>15</v>
      </c>
      <c r="V35" s="39">
        <f t="shared" si="27"/>
        <v>9</v>
      </c>
      <c r="W35" s="39">
        <f t="shared" si="27"/>
        <v>2</v>
      </c>
      <c r="X35" s="39">
        <f t="shared" si="27"/>
        <v>0</v>
      </c>
      <c r="Y35" s="39">
        <f t="shared" si="27"/>
        <v>10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99</v>
      </c>
      <c r="AD35" s="39">
        <f t="shared" si="27"/>
        <v>0</v>
      </c>
      <c r="AE35" s="40">
        <f t="shared" si="27"/>
        <v>48</v>
      </c>
      <c r="AF35" s="40">
        <f t="shared" si="27"/>
        <v>130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5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10</v>
      </c>
      <c r="P36" s="15">
        <f t="shared" si="1"/>
        <v>29</v>
      </c>
      <c r="R36" s="38" t="s">
        <v>92</v>
      </c>
      <c r="S36" s="39">
        <f t="shared" ref="S36:AF36" si="28">MAX(S19:S21)</f>
        <v>24</v>
      </c>
      <c r="T36" s="39">
        <f t="shared" si="28"/>
        <v>0</v>
      </c>
      <c r="U36" s="39">
        <f t="shared" si="28"/>
        <v>28</v>
      </c>
      <c r="V36" s="39">
        <f t="shared" si="28"/>
        <v>13</v>
      </c>
      <c r="W36" s="39">
        <f t="shared" si="28"/>
        <v>2</v>
      </c>
      <c r="X36" s="39">
        <f t="shared" si="28"/>
        <v>0</v>
      </c>
      <c r="Y36" s="39">
        <f t="shared" si="28"/>
        <v>11</v>
      </c>
      <c r="Z36" s="39">
        <f t="shared" si="28"/>
        <v>1</v>
      </c>
      <c r="AA36" s="39">
        <f t="shared" si="28"/>
        <v>1</v>
      </c>
      <c r="AB36" s="39">
        <f t="shared" si="28"/>
        <v>0</v>
      </c>
      <c r="AC36" s="39">
        <f t="shared" si="28"/>
        <v>95</v>
      </c>
      <c r="AD36" s="39">
        <f t="shared" si="28"/>
        <v>0</v>
      </c>
      <c r="AE36" s="40">
        <f t="shared" si="28"/>
        <v>64</v>
      </c>
      <c r="AF36" s="40">
        <f t="shared" si="28"/>
        <v>154</v>
      </c>
    </row>
    <row r="37" spans="2:32" ht="23.1" customHeight="1" x14ac:dyDescent="0.25">
      <c r="B37" s="45" t="s">
        <v>64</v>
      </c>
      <c r="C37" s="50">
        <v>3</v>
      </c>
      <c r="D37" s="50">
        <v>0</v>
      </c>
      <c r="E37" s="50">
        <v>2</v>
      </c>
      <c r="F37" s="50">
        <v>4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19</v>
      </c>
      <c r="N37" s="50">
        <v>0</v>
      </c>
      <c r="O37" s="15">
        <f t="shared" si="0"/>
        <v>13</v>
      </c>
      <c r="P37" s="15">
        <f t="shared" si="1"/>
        <v>32</v>
      </c>
      <c r="R37" s="37" t="s">
        <v>85</v>
      </c>
      <c r="S37" s="35">
        <f t="shared" ref="S37:AF37" si="29">SUM(S10:S12)</f>
        <v>21</v>
      </c>
      <c r="T37" s="16">
        <f t="shared" si="29"/>
        <v>0</v>
      </c>
      <c r="U37" s="16">
        <f t="shared" si="29"/>
        <v>18</v>
      </c>
      <c r="V37" s="16">
        <f t="shared" si="29"/>
        <v>21</v>
      </c>
      <c r="W37" s="16">
        <f t="shared" si="29"/>
        <v>0</v>
      </c>
      <c r="X37" s="16">
        <f t="shared" si="29"/>
        <v>0</v>
      </c>
      <c r="Y37" s="16">
        <f t="shared" si="29"/>
        <v>7</v>
      </c>
      <c r="Z37" s="16">
        <f t="shared" si="29"/>
        <v>0</v>
      </c>
      <c r="AA37" s="16">
        <f t="shared" si="29"/>
        <v>1</v>
      </c>
      <c r="AB37" s="16">
        <f t="shared" si="29"/>
        <v>0</v>
      </c>
      <c r="AC37" s="16">
        <f t="shared" si="29"/>
        <v>171</v>
      </c>
      <c r="AD37" s="16">
        <f t="shared" si="29"/>
        <v>0</v>
      </c>
      <c r="AE37" s="32">
        <f t="shared" si="29"/>
        <v>68</v>
      </c>
      <c r="AF37" s="32">
        <f t="shared" si="29"/>
        <v>239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2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7</v>
      </c>
      <c r="P38" s="15">
        <f t="shared" si="1"/>
        <v>21</v>
      </c>
      <c r="R38" s="28" t="s">
        <v>86</v>
      </c>
      <c r="S38" s="16">
        <f t="shared" ref="S38:AF38" si="30">SUM(S13:S18)</f>
        <v>65</v>
      </c>
      <c r="T38" s="16">
        <f t="shared" si="30"/>
        <v>0</v>
      </c>
      <c r="U38" s="16">
        <f t="shared" si="30"/>
        <v>69</v>
      </c>
      <c r="V38" s="16">
        <f t="shared" si="30"/>
        <v>39</v>
      </c>
      <c r="W38" s="16">
        <f t="shared" si="30"/>
        <v>2</v>
      </c>
      <c r="X38" s="16">
        <f t="shared" si="30"/>
        <v>0</v>
      </c>
      <c r="Y38" s="16">
        <f t="shared" si="30"/>
        <v>42</v>
      </c>
      <c r="Z38" s="16">
        <f t="shared" si="30"/>
        <v>1</v>
      </c>
      <c r="AA38" s="16">
        <f t="shared" si="30"/>
        <v>1</v>
      </c>
      <c r="AB38" s="16">
        <f t="shared" si="30"/>
        <v>0</v>
      </c>
      <c r="AC38" s="16">
        <f t="shared" si="30"/>
        <v>510</v>
      </c>
      <c r="AD38" s="16">
        <f t="shared" si="30"/>
        <v>0</v>
      </c>
      <c r="AE38" s="32">
        <f t="shared" si="30"/>
        <v>219</v>
      </c>
      <c r="AF38" s="32">
        <f t="shared" si="30"/>
        <v>729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4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8</v>
      </c>
      <c r="P39" s="15">
        <f t="shared" si="1"/>
        <v>28</v>
      </c>
      <c r="R39" s="29" t="s">
        <v>87</v>
      </c>
      <c r="S39" s="16">
        <f t="shared" ref="S39:AF39" si="31">SUM(S19:S21)</f>
        <v>49</v>
      </c>
      <c r="T39" s="16">
        <f t="shared" si="31"/>
        <v>0</v>
      </c>
      <c r="U39" s="16">
        <f t="shared" si="31"/>
        <v>56</v>
      </c>
      <c r="V39" s="16">
        <f t="shared" si="31"/>
        <v>32</v>
      </c>
      <c r="W39" s="16">
        <f t="shared" si="31"/>
        <v>3</v>
      </c>
      <c r="X39" s="16">
        <f t="shared" si="31"/>
        <v>0</v>
      </c>
      <c r="Y39" s="16">
        <f t="shared" si="31"/>
        <v>20</v>
      </c>
      <c r="Z39" s="16">
        <f t="shared" si="31"/>
        <v>1</v>
      </c>
      <c r="AA39" s="16">
        <f t="shared" si="31"/>
        <v>1</v>
      </c>
      <c r="AB39" s="16">
        <f t="shared" si="31"/>
        <v>0</v>
      </c>
      <c r="AC39" s="16">
        <f t="shared" si="31"/>
        <v>266</v>
      </c>
      <c r="AD39" s="16">
        <f t="shared" si="31"/>
        <v>0</v>
      </c>
      <c r="AE39" s="32">
        <f t="shared" si="31"/>
        <v>162</v>
      </c>
      <c r="AF39" s="32">
        <f t="shared" si="31"/>
        <v>428</v>
      </c>
    </row>
    <row r="40" spans="2:32" ht="23.1" customHeight="1" x14ac:dyDescent="0.25">
      <c r="B40" s="46" t="s">
        <v>67</v>
      </c>
      <c r="C40" s="50">
        <v>4</v>
      </c>
      <c r="D40" s="50">
        <v>0</v>
      </c>
      <c r="E40" s="50">
        <v>3</v>
      </c>
      <c r="F40" s="50">
        <v>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21</v>
      </c>
      <c r="N40" s="50">
        <v>0</v>
      </c>
      <c r="O40" s="15">
        <f t="shared" si="0"/>
        <v>11</v>
      </c>
      <c r="P40" s="15">
        <f t="shared" si="1"/>
        <v>32</v>
      </c>
      <c r="R40" s="5" t="s">
        <v>17</v>
      </c>
      <c r="S40" s="16">
        <f t="shared" ref="S40:AF40" si="32">SUM(S10:S21)</f>
        <v>135</v>
      </c>
      <c r="T40" s="16">
        <f t="shared" si="32"/>
        <v>0</v>
      </c>
      <c r="U40" s="16">
        <f t="shared" si="32"/>
        <v>143</v>
      </c>
      <c r="V40" s="16">
        <f t="shared" si="32"/>
        <v>92</v>
      </c>
      <c r="W40" s="16">
        <f t="shared" si="32"/>
        <v>5</v>
      </c>
      <c r="X40" s="16">
        <f t="shared" si="32"/>
        <v>0</v>
      </c>
      <c r="Y40" s="16">
        <f t="shared" si="32"/>
        <v>69</v>
      </c>
      <c r="Z40" s="16">
        <f t="shared" si="32"/>
        <v>2</v>
      </c>
      <c r="AA40" s="16">
        <f t="shared" si="32"/>
        <v>3</v>
      </c>
      <c r="AB40" s="16">
        <f t="shared" si="32"/>
        <v>0</v>
      </c>
      <c r="AC40" s="16">
        <f t="shared" si="32"/>
        <v>947</v>
      </c>
      <c r="AD40" s="16">
        <f t="shared" si="32"/>
        <v>0</v>
      </c>
      <c r="AE40" s="32">
        <f t="shared" si="32"/>
        <v>449</v>
      </c>
      <c r="AF40" s="32">
        <f t="shared" si="32"/>
        <v>1396</v>
      </c>
    </row>
    <row r="41" spans="2:32" ht="23.1" customHeight="1" x14ac:dyDescent="0.25">
      <c r="B41" s="45" t="s">
        <v>68</v>
      </c>
      <c r="C41" s="50">
        <v>6</v>
      </c>
      <c r="D41" s="50">
        <v>0</v>
      </c>
      <c r="E41" s="50">
        <v>5</v>
      </c>
      <c r="F41" s="50">
        <v>0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10</v>
      </c>
      <c r="N41" s="50">
        <v>0</v>
      </c>
      <c r="O41" s="15">
        <f t="shared" si="0"/>
        <v>14</v>
      </c>
      <c r="P41" s="15">
        <f t="shared" si="1"/>
        <v>24</v>
      </c>
      <c r="R41" s="5" t="s">
        <v>159</v>
      </c>
      <c r="S41" s="16">
        <f>SUM(S10:S33)</f>
        <v>200</v>
      </c>
      <c r="T41" s="16">
        <f t="shared" ref="T41:AF41" si="33">SUM(T10:T33)</f>
        <v>4</v>
      </c>
      <c r="U41" s="16">
        <f t="shared" si="33"/>
        <v>206</v>
      </c>
      <c r="V41" s="16">
        <f t="shared" si="33"/>
        <v>137</v>
      </c>
      <c r="W41" s="16">
        <f t="shared" si="33"/>
        <v>8</v>
      </c>
      <c r="X41" s="16">
        <f t="shared" si="33"/>
        <v>1</v>
      </c>
      <c r="Y41" s="16">
        <f t="shared" si="33"/>
        <v>127</v>
      </c>
      <c r="Z41" s="16">
        <f t="shared" si="33"/>
        <v>4</v>
      </c>
      <c r="AA41" s="16">
        <f t="shared" si="33"/>
        <v>9</v>
      </c>
      <c r="AB41" s="16">
        <f t="shared" si="33"/>
        <v>0</v>
      </c>
      <c r="AC41" s="16">
        <f t="shared" si="33"/>
        <v>1126</v>
      </c>
      <c r="AD41" s="16">
        <f t="shared" si="33"/>
        <v>0</v>
      </c>
      <c r="AE41" s="32">
        <f t="shared" si="33"/>
        <v>696</v>
      </c>
      <c r="AF41" s="32">
        <f t="shared" si="33"/>
        <v>1822</v>
      </c>
    </row>
    <row r="42" spans="2:32" ht="23.1" customHeight="1" x14ac:dyDescent="0.25">
      <c r="B42" s="46" t="s">
        <v>69</v>
      </c>
      <c r="C42" s="50">
        <v>4</v>
      </c>
      <c r="D42" s="50">
        <v>0</v>
      </c>
      <c r="E42" s="50">
        <v>2</v>
      </c>
      <c r="F42" s="50">
        <v>3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23</v>
      </c>
      <c r="N42" s="50">
        <v>0</v>
      </c>
      <c r="O42" s="15">
        <f t="shared" si="0"/>
        <v>11</v>
      </c>
      <c r="P42" s="15">
        <f t="shared" si="1"/>
        <v>34</v>
      </c>
      <c r="R42" s="5" t="s">
        <v>160</v>
      </c>
      <c r="S42" s="48">
        <f>S41/S40</f>
        <v>1.4814814814814814</v>
      </c>
      <c r="T42" s="48" t="e">
        <f t="shared" ref="T42:AF42" si="34">T41/T40</f>
        <v>#DIV/0!</v>
      </c>
      <c r="U42" s="48">
        <f t="shared" si="34"/>
        <v>1.4405594405594406</v>
      </c>
      <c r="V42" s="48">
        <f t="shared" si="34"/>
        <v>1.4891304347826086</v>
      </c>
      <c r="W42" s="48">
        <f t="shared" si="34"/>
        <v>1.6</v>
      </c>
      <c r="X42" s="48" t="e">
        <f t="shared" si="34"/>
        <v>#DIV/0!</v>
      </c>
      <c r="Y42" s="48">
        <f t="shared" si="34"/>
        <v>1.8405797101449275</v>
      </c>
      <c r="Z42" s="48">
        <f t="shared" si="34"/>
        <v>2</v>
      </c>
      <c r="AA42" s="48">
        <f t="shared" si="34"/>
        <v>3</v>
      </c>
      <c r="AB42" s="48" t="e">
        <f t="shared" si="34"/>
        <v>#DIV/0!</v>
      </c>
      <c r="AC42" s="48">
        <f t="shared" si="34"/>
        <v>1.1890179514255543</v>
      </c>
      <c r="AD42" s="48" t="e">
        <f t="shared" si="34"/>
        <v>#DIV/0!</v>
      </c>
      <c r="AE42" s="48">
        <f t="shared" si="34"/>
        <v>1.5501113585746102</v>
      </c>
      <c r="AF42" s="48">
        <f t="shared" si="34"/>
        <v>1.3051575931232091</v>
      </c>
    </row>
    <row r="43" spans="2:32" ht="23.1" customHeight="1" x14ac:dyDescent="0.25">
      <c r="B43" s="45" t="s">
        <v>70</v>
      </c>
      <c r="C43" s="50">
        <v>2</v>
      </c>
      <c r="D43" s="50">
        <v>0</v>
      </c>
      <c r="E43" s="50">
        <v>4</v>
      </c>
      <c r="F43" s="50">
        <v>2</v>
      </c>
      <c r="G43" s="50">
        <v>0</v>
      </c>
      <c r="H43" s="50">
        <v>0</v>
      </c>
      <c r="I43" s="50">
        <v>6</v>
      </c>
      <c r="J43" s="50">
        <v>0</v>
      </c>
      <c r="K43" s="50">
        <v>0</v>
      </c>
      <c r="L43" s="50">
        <v>0</v>
      </c>
      <c r="M43" s="50">
        <v>20</v>
      </c>
      <c r="N43" s="50">
        <v>0</v>
      </c>
      <c r="O43" s="15">
        <f t="shared" si="0"/>
        <v>14</v>
      </c>
      <c r="P43" s="15">
        <f t="shared" si="1"/>
        <v>34</v>
      </c>
    </row>
    <row r="44" spans="2:32" ht="23.1" customHeight="1" x14ac:dyDescent="0.25">
      <c r="B44" s="47" t="s">
        <v>71</v>
      </c>
      <c r="C44" s="50">
        <v>6</v>
      </c>
      <c r="D44" s="50">
        <v>0</v>
      </c>
      <c r="E44" s="50">
        <v>3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25</v>
      </c>
      <c r="N44" s="50">
        <v>0</v>
      </c>
      <c r="O44" s="15">
        <f t="shared" si="0"/>
        <v>10</v>
      </c>
      <c r="P44" s="15">
        <f t="shared" si="1"/>
        <v>35</v>
      </c>
    </row>
    <row r="45" spans="2:32" ht="23.1" customHeight="1" x14ac:dyDescent="0.25">
      <c r="B45" s="45" t="s">
        <v>72</v>
      </c>
      <c r="C45" s="50">
        <v>4</v>
      </c>
      <c r="D45" s="50">
        <v>0</v>
      </c>
      <c r="E45" s="50">
        <v>4</v>
      </c>
      <c r="F45" s="50">
        <v>2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14</v>
      </c>
      <c r="N45" s="50">
        <v>0</v>
      </c>
      <c r="O45" s="15">
        <f t="shared" si="0"/>
        <v>13</v>
      </c>
      <c r="P45" s="15">
        <f t="shared" si="1"/>
        <v>27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1</v>
      </c>
      <c r="F46" s="50">
        <v>4</v>
      </c>
      <c r="G46" s="50">
        <v>1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7</v>
      </c>
      <c r="P46" s="15">
        <f t="shared" si="1"/>
        <v>22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2</v>
      </c>
      <c r="F47" s="50">
        <v>2</v>
      </c>
      <c r="G47" s="50">
        <v>0</v>
      </c>
      <c r="H47" s="50">
        <v>0</v>
      </c>
      <c r="I47" s="50">
        <v>2</v>
      </c>
      <c r="J47" s="50">
        <v>0</v>
      </c>
      <c r="K47" s="50">
        <v>1</v>
      </c>
      <c r="L47" s="50">
        <v>0</v>
      </c>
      <c r="M47" s="50">
        <v>25</v>
      </c>
      <c r="N47" s="50">
        <v>0</v>
      </c>
      <c r="O47" s="15">
        <f t="shared" si="0"/>
        <v>10</v>
      </c>
      <c r="P47" s="15">
        <f t="shared" si="1"/>
        <v>35</v>
      </c>
      <c r="R47" s="8"/>
      <c r="T47"/>
    </row>
    <row r="48" spans="2:32" ht="23.1" customHeight="1" x14ac:dyDescent="0.25">
      <c r="B48" s="46" t="s">
        <v>75</v>
      </c>
      <c r="C48" s="50">
        <v>3</v>
      </c>
      <c r="D48" s="50">
        <v>0</v>
      </c>
      <c r="E48" s="50">
        <v>4</v>
      </c>
      <c r="F48" s="50">
        <v>4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30</v>
      </c>
      <c r="N48" s="50">
        <v>0</v>
      </c>
      <c r="O48" s="15">
        <f t="shared" si="0"/>
        <v>11</v>
      </c>
      <c r="P48" s="15">
        <f t="shared" si="1"/>
        <v>41</v>
      </c>
      <c r="R48" s="8"/>
      <c r="T48"/>
    </row>
    <row r="49" spans="2:20" ht="23.1" customHeight="1" x14ac:dyDescent="0.25">
      <c r="B49" s="45" t="s">
        <v>76</v>
      </c>
      <c r="C49" s="50">
        <v>3</v>
      </c>
      <c r="D49" s="50">
        <v>0</v>
      </c>
      <c r="E49" s="50">
        <v>3</v>
      </c>
      <c r="F49" s="50">
        <v>3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25</v>
      </c>
      <c r="N49" s="50">
        <v>0</v>
      </c>
      <c r="O49" s="15">
        <f t="shared" si="0"/>
        <v>11</v>
      </c>
      <c r="P49" s="15">
        <f t="shared" si="1"/>
        <v>36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5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18</v>
      </c>
      <c r="N50" s="50">
        <v>0</v>
      </c>
      <c r="O50" s="15">
        <f t="shared" si="0"/>
        <v>9</v>
      </c>
      <c r="P50" s="15">
        <f t="shared" si="1"/>
        <v>27</v>
      </c>
      <c r="R50" s="8"/>
      <c r="T50"/>
    </row>
    <row r="51" spans="2:20" ht="23.1" customHeight="1" x14ac:dyDescent="0.25">
      <c r="B51" s="46" t="s">
        <v>78</v>
      </c>
      <c r="C51" s="50">
        <v>8</v>
      </c>
      <c r="D51" s="50">
        <v>0</v>
      </c>
      <c r="E51" s="50">
        <v>4</v>
      </c>
      <c r="F51" s="50">
        <v>2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18</v>
      </c>
      <c r="N51" s="50">
        <v>0</v>
      </c>
      <c r="O51" s="15">
        <f t="shared" si="0"/>
        <v>15</v>
      </c>
      <c r="P51" s="15">
        <f t="shared" si="1"/>
        <v>33</v>
      </c>
      <c r="R51" s="8"/>
      <c r="T51"/>
    </row>
    <row r="52" spans="2:20" ht="23.1" customHeight="1" x14ac:dyDescent="0.25">
      <c r="B52" s="46" t="s">
        <v>79</v>
      </c>
      <c r="C52" s="50">
        <v>7</v>
      </c>
      <c r="D52" s="50">
        <v>0</v>
      </c>
      <c r="E52" s="50">
        <v>6</v>
      </c>
      <c r="F52" s="50">
        <v>4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24</v>
      </c>
      <c r="N52" s="50">
        <v>0</v>
      </c>
      <c r="O52" s="15">
        <f t="shared" si="0"/>
        <v>19</v>
      </c>
      <c r="P52" s="15">
        <f t="shared" si="1"/>
        <v>43</v>
      </c>
      <c r="R52" s="8"/>
      <c r="T52"/>
    </row>
    <row r="53" spans="2:20" ht="23.1" customHeight="1" x14ac:dyDescent="0.25">
      <c r="B53" s="45" t="s">
        <v>80</v>
      </c>
      <c r="C53" s="50">
        <v>7</v>
      </c>
      <c r="D53" s="50">
        <v>0</v>
      </c>
      <c r="E53" s="50">
        <v>3</v>
      </c>
      <c r="F53" s="50">
        <v>3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21</v>
      </c>
      <c r="N53" s="50">
        <v>0</v>
      </c>
      <c r="O53" s="15">
        <f t="shared" si="0"/>
        <v>16</v>
      </c>
      <c r="P53" s="15">
        <f t="shared" si="1"/>
        <v>37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2</v>
      </c>
      <c r="F54" s="50">
        <v>1</v>
      </c>
      <c r="G54" s="50">
        <v>0</v>
      </c>
      <c r="H54" s="50">
        <v>0</v>
      </c>
      <c r="I54" s="50">
        <v>6</v>
      </c>
      <c r="J54" s="50">
        <v>0</v>
      </c>
      <c r="K54" s="50">
        <v>0</v>
      </c>
      <c r="L54" s="50">
        <v>0</v>
      </c>
      <c r="M54" s="50">
        <v>25</v>
      </c>
      <c r="N54" s="50">
        <v>0</v>
      </c>
      <c r="O54" s="15">
        <f t="shared" si="0"/>
        <v>10</v>
      </c>
      <c r="P54" s="15">
        <f t="shared" si="1"/>
        <v>35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8</v>
      </c>
      <c r="F55" s="50">
        <v>2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23</v>
      </c>
      <c r="N55" s="50">
        <v>0</v>
      </c>
      <c r="O55" s="15">
        <f t="shared" si="0"/>
        <v>13</v>
      </c>
      <c r="P55" s="15">
        <f t="shared" si="1"/>
        <v>36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0</v>
      </c>
      <c r="E56" s="50">
        <v>9</v>
      </c>
      <c r="F56" s="50">
        <v>2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24</v>
      </c>
      <c r="N56" s="50">
        <v>0</v>
      </c>
      <c r="O56" s="15">
        <f t="shared" si="0"/>
        <v>20</v>
      </c>
      <c r="P56" s="15">
        <f t="shared" si="1"/>
        <v>44</v>
      </c>
      <c r="R56" s="8"/>
      <c r="T56"/>
    </row>
    <row r="57" spans="2:20" ht="23.1" customHeight="1" x14ac:dyDescent="0.25">
      <c r="B57" s="45" t="s">
        <v>84</v>
      </c>
      <c r="C57" s="50">
        <v>7</v>
      </c>
      <c r="D57" s="50">
        <v>0</v>
      </c>
      <c r="E57" s="50">
        <v>9</v>
      </c>
      <c r="F57" s="50">
        <v>3</v>
      </c>
      <c r="G57" s="50">
        <v>1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18</v>
      </c>
      <c r="N57" s="50">
        <v>0</v>
      </c>
      <c r="O57" s="15">
        <f t="shared" si="0"/>
        <v>21</v>
      </c>
      <c r="P57" s="15">
        <f t="shared" si="1"/>
        <v>39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4</v>
      </c>
      <c r="F58" s="50">
        <v>1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11</v>
      </c>
      <c r="N58" s="50">
        <v>0</v>
      </c>
      <c r="O58" s="15">
        <f t="shared" si="0"/>
        <v>7</v>
      </c>
      <c r="P58" s="15">
        <f t="shared" si="1"/>
        <v>18</v>
      </c>
      <c r="R58" s="8"/>
      <c r="T58"/>
    </row>
    <row r="59" spans="2:20" ht="23.1" customHeight="1" x14ac:dyDescent="0.25">
      <c r="B59" s="45" t="s">
        <v>100</v>
      </c>
      <c r="C59" s="50">
        <v>6</v>
      </c>
      <c r="D59" s="50">
        <v>0</v>
      </c>
      <c r="E59" s="50">
        <v>2</v>
      </c>
      <c r="F59" s="50">
        <v>0</v>
      </c>
      <c r="G59" s="50">
        <v>1</v>
      </c>
      <c r="H59" s="50">
        <v>0</v>
      </c>
      <c r="I59" s="50">
        <v>2</v>
      </c>
      <c r="J59" s="50">
        <v>0</v>
      </c>
      <c r="K59" s="50">
        <v>1</v>
      </c>
      <c r="L59" s="50">
        <v>0</v>
      </c>
      <c r="M59" s="50">
        <v>17</v>
      </c>
      <c r="N59" s="50">
        <v>0</v>
      </c>
      <c r="O59" s="15">
        <f t="shared" si="0"/>
        <v>12</v>
      </c>
      <c r="P59" s="15">
        <f t="shared" si="1"/>
        <v>29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1</v>
      </c>
      <c r="F60" s="50">
        <v>1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15</v>
      </c>
      <c r="N60" s="50">
        <v>0</v>
      </c>
      <c r="O60" s="15">
        <f t="shared" si="0"/>
        <v>5</v>
      </c>
      <c r="P60" s="15">
        <f t="shared" si="1"/>
        <v>20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0</v>
      </c>
      <c r="E61" s="50">
        <v>1</v>
      </c>
      <c r="F61" s="50">
        <v>2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15</v>
      </c>
      <c r="N61" s="50">
        <v>0</v>
      </c>
      <c r="O61" s="15">
        <f t="shared" si="0"/>
        <v>7</v>
      </c>
      <c r="P61" s="15">
        <f t="shared" si="1"/>
        <v>22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4</v>
      </c>
      <c r="F62" s="50">
        <v>4</v>
      </c>
      <c r="G62" s="50">
        <v>0</v>
      </c>
      <c r="H62" s="50">
        <v>0</v>
      </c>
      <c r="I62" s="50">
        <v>3</v>
      </c>
      <c r="J62" s="50">
        <v>0</v>
      </c>
      <c r="K62" s="50">
        <v>0</v>
      </c>
      <c r="L62" s="50">
        <v>0</v>
      </c>
      <c r="M62" s="50">
        <v>14</v>
      </c>
      <c r="N62" s="50">
        <v>0</v>
      </c>
      <c r="O62" s="15">
        <f t="shared" si="0"/>
        <v>13</v>
      </c>
      <c r="P62" s="15">
        <f t="shared" si="1"/>
        <v>27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3</v>
      </c>
      <c r="F63" s="50">
        <v>1</v>
      </c>
      <c r="G63" s="50">
        <v>0</v>
      </c>
      <c r="H63" s="50">
        <v>0</v>
      </c>
      <c r="I63" s="50">
        <v>3</v>
      </c>
      <c r="J63" s="50">
        <v>1</v>
      </c>
      <c r="K63" s="50">
        <v>0</v>
      </c>
      <c r="L63" s="50">
        <v>0</v>
      </c>
      <c r="M63" s="50">
        <v>13</v>
      </c>
      <c r="N63" s="50">
        <v>0</v>
      </c>
      <c r="O63" s="15">
        <f t="shared" si="0"/>
        <v>9</v>
      </c>
      <c r="P63" s="15">
        <f t="shared" si="1"/>
        <v>22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6</v>
      </c>
      <c r="F64" s="50">
        <v>4</v>
      </c>
      <c r="G64" s="50">
        <v>0</v>
      </c>
      <c r="H64" s="50">
        <v>0</v>
      </c>
      <c r="I64" s="50">
        <v>3</v>
      </c>
      <c r="J64" s="50">
        <v>0</v>
      </c>
      <c r="K64" s="50">
        <v>0</v>
      </c>
      <c r="L64" s="50">
        <v>0</v>
      </c>
      <c r="M64" s="50">
        <v>12</v>
      </c>
      <c r="N64" s="50">
        <v>0</v>
      </c>
      <c r="O64" s="15">
        <f t="shared" si="0"/>
        <v>13</v>
      </c>
      <c r="P64" s="15">
        <f t="shared" si="1"/>
        <v>25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2</v>
      </c>
      <c r="F65" s="50">
        <v>4</v>
      </c>
      <c r="G65" s="50">
        <v>0</v>
      </c>
      <c r="H65" s="50">
        <v>0</v>
      </c>
      <c r="I65" s="50">
        <v>5</v>
      </c>
      <c r="J65" s="50">
        <v>0</v>
      </c>
      <c r="K65" s="50">
        <v>0</v>
      </c>
      <c r="L65" s="50">
        <v>0</v>
      </c>
      <c r="M65" s="50">
        <v>14</v>
      </c>
      <c r="N65" s="50">
        <v>0</v>
      </c>
      <c r="O65" s="15">
        <f t="shared" si="0"/>
        <v>12</v>
      </c>
      <c r="P65" s="15">
        <f t="shared" si="1"/>
        <v>26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2</v>
      </c>
      <c r="F66" s="50">
        <v>1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15</v>
      </c>
      <c r="N66" s="50">
        <v>0</v>
      </c>
      <c r="O66" s="15">
        <f t="shared" si="0"/>
        <v>9</v>
      </c>
      <c r="P66" s="15">
        <f t="shared" si="1"/>
        <v>24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2</v>
      </c>
      <c r="F67" s="50">
        <v>3</v>
      </c>
      <c r="G67" s="50">
        <v>0</v>
      </c>
      <c r="H67" s="50">
        <v>0</v>
      </c>
      <c r="I67" s="50">
        <v>2</v>
      </c>
      <c r="J67" s="50">
        <v>0</v>
      </c>
      <c r="K67" s="50">
        <v>1</v>
      </c>
      <c r="L67" s="50">
        <v>0</v>
      </c>
      <c r="M67" s="50">
        <v>10</v>
      </c>
      <c r="N67" s="50">
        <v>0</v>
      </c>
      <c r="O67" s="15">
        <f t="shared" si="0"/>
        <v>10</v>
      </c>
      <c r="P67" s="15">
        <f t="shared" si="1"/>
        <v>20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2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8</v>
      </c>
      <c r="N68" s="50">
        <v>0</v>
      </c>
      <c r="O68" s="15">
        <f t="shared" si="0"/>
        <v>6</v>
      </c>
      <c r="P68" s="15">
        <f t="shared" si="1"/>
        <v>14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4</v>
      </c>
      <c r="F69" s="50">
        <v>1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5</v>
      </c>
      <c r="N69" s="50">
        <v>0</v>
      </c>
      <c r="O69" s="15">
        <f t="shared" si="0"/>
        <v>7</v>
      </c>
      <c r="P69" s="15">
        <f t="shared" si="1"/>
        <v>12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1</v>
      </c>
      <c r="F70" s="50">
        <v>0</v>
      </c>
      <c r="G70" s="50">
        <v>1</v>
      </c>
      <c r="H70" s="50">
        <v>0</v>
      </c>
      <c r="I70" s="50">
        <v>2</v>
      </c>
      <c r="J70" s="50">
        <v>0</v>
      </c>
      <c r="K70" s="50">
        <v>1</v>
      </c>
      <c r="L70" s="50">
        <v>0</v>
      </c>
      <c r="M70" s="50">
        <v>4</v>
      </c>
      <c r="N70" s="50">
        <v>0</v>
      </c>
      <c r="O70" s="15">
        <f t="shared" si="0"/>
        <v>7</v>
      </c>
      <c r="P70" s="15">
        <f t="shared" si="1"/>
        <v>11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1</v>
      </c>
      <c r="F71" s="50">
        <v>1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6</v>
      </c>
      <c r="N71" s="50">
        <v>0</v>
      </c>
      <c r="O71" s="15">
        <f t="shared" si="0"/>
        <v>5</v>
      </c>
      <c r="P71" s="15">
        <f t="shared" si="1"/>
        <v>11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0</v>
      </c>
      <c r="E72" s="50">
        <v>1</v>
      </c>
      <c r="F72" s="50">
        <v>2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7</v>
      </c>
      <c r="P72" s="15">
        <f t="shared" si="1"/>
        <v>10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2</v>
      </c>
      <c r="F73" s="50">
        <v>2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0</v>
      </c>
      <c r="M73" s="50">
        <v>4</v>
      </c>
      <c r="N73" s="50">
        <v>0</v>
      </c>
      <c r="O73" s="15">
        <f t="shared" si="0"/>
        <v>9</v>
      </c>
      <c r="P73" s="15">
        <f t="shared" si="1"/>
        <v>13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3</v>
      </c>
      <c r="F74" s="50">
        <v>1</v>
      </c>
      <c r="G74" s="50">
        <v>0</v>
      </c>
      <c r="H74" s="50">
        <v>0</v>
      </c>
      <c r="I74" s="50">
        <v>3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9</v>
      </c>
      <c r="P74" s="15">
        <f t="shared" ref="P74:P105" si="36">SUM(C74:N74)</f>
        <v>9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4</v>
      </c>
      <c r="F75" s="50">
        <v>2</v>
      </c>
      <c r="G75" s="50">
        <v>0</v>
      </c>
      <c r="H75" s="50">
        <v>0</v>
      </c>
      <c r="I75" s="50">
        <v>3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9</v>
      </c>
      <c r="P75" s="15">
        <f t="shared" si="36"/>
        <v>9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2</v>
      </c>
      <c r="F76" s="50">
        <v>1</v>
      </c>
      <c r="G76" s="50">
        <v>0</v>
      </c>
      <c r="H76" s="50">
        <v>0</v>
      </c>
      <c r="I76" s="50">
        <v>5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9</v>
      </c>
      <c r="P76" s="15">
        <f t="shared" si="36"/>
        <v>9</v>
      </c>
      <c r="R76" s="8"/>
      <c r="T76"/>
    </row>
    <row r="77" spans="2:20" ht="23.1" customHeight="1" x14ac:dyDescent="0.25">
      <c r="B77" s="45" t="s">
        <v>117</v>
      </c>
      <c r="C77" s="50">
        <v>4</v>
      </c>
      <c r="D77" s="50">
        <v>0</v>
      </c>
      <c r="E77" s="50">
        <v>2</v>
      </c>
      <c r="F77" s="50">
        <v>1</v>
      </c>
      <c r="G77" s="50">
        <v>0</v>
      </c>
      <c r="H77" s="50">
        <v>0</v>
      </c>
      <c r="I77" s="50">
        <v>3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10</v>
      </c>
      <c r="P77" s="15">
        <f t="shared" si="36"/>
        <v>10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0</v>
      </c>
      <c r="E78" s="50">
        <v>1</v>
      </c>
      <c r="F78" s="50">
        <v>3</v>
      </c>
      <c r="G78" s="50">
        <v>0</v>
      </c>
      <c r="H78" s="50">
        <v>0</v>
      </c>
      <c r="I78" s="50">
        <v>2</v>
      </c>
      <c r="J78" s="50">
        <v>0</v>
      </c>
      <c r="K78" s="50">
        <v>1</v>
      </c>
      <c r="L78" s="50">
        <v>0</v>
      </c>
      <c r="M78" s="50">
        <v>0</v>
      </c>
      <c r="N78" s="50">
        <v>0</v>
      </c>
      <c r="O78" s="15">
        <f t="shared" si="35"/>
        <v>9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1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0</v>
      </c>
      <c r="E80" s="50">
        <v>2</v>
      </c>
      <c r="F80" s="50">
        <v>2</v>
      </c>
      <c r="G80" s="50">
        <v>0</v>
      </c>
      <c r="H80" s="50">
        <v>0</v>
      </c>
      <c r="I80" s="50">
        <v>3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10</v>
      </c>
      <c r="P80" s="15">
        <f t="shared" si="36"/>
        <v>10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1</v>
      </c>
      <c r="G81" s="50">
        <v>0</v>
      </c>
      <c r="H81" s="50">
        <v>0</v>
      </c>
      <c r="I81" s="50">
        <v>5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8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2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2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1</v>
      </c>
      <c r="F84" s="50">
        <v>1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5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1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1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4</v>
      </c>
      <c r="P88" s="15">
        <f t="shared" si="36"/>
        <v>4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3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5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2</v>
      </c>
      <c r="E101" s="50">
        <v>1</v>
      </c>
      <c r="F101" s="50">
        <v>0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6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2</v>
      </c>
      <c r="N103" s="50">
        <v>0</v>
      </c>
      <c r="O103" s="15">
        <f t="shared" si="35"/>
        <v>3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3</v>
      </c>
      <c r="P104" s="15">
        <f t="shared" si="36"/>
        <v>6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2</v>
      </c>
      <c r="E105" s="50">
        <v>0</v>
      </c>
      <c r="F105" s="50">
        <v>0</v>
      </c>
      <c r="G105" s="50">
        <v>1</v>
      </c>
      <c r="H105" s="50">
        <v>0</v>
      </c>
      <c r="I105" s="50">
        <v>1</v>
      </c>
      <c r="J105" s="50">
        <v>0</v>
      </c>
      <c r="K105" s="50">
        <v>1</v>
      </c>
      <c r="L105" s="50">
        <v>0</v>
      </c>
      <c r="M105" s="50">
        <v>7</v>
      </c>
      <c r="N105" s="50">
        <v>0</v>
      </c>
      <c r="O105" s="15">
        <f t="shared" si="35"/>
        <v>7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200</v>
      </c>
      <c r="D106" s="16">
        <f t="shared" ref="D106:P106" si="37">SUM(D10:D105)</f>
        <v>4</v>
      </c>
      <c r="E106" s="16">
        <f t="shared" si="37"/>
        <v>206</v>
      </c>
      <c r="F106" s="16">
        <f t="shared" si="37"/>
        <v>137</v>
      </c>
      <c r="G106" s="16">
        <f t="shared" si="37"/>
        <v>8</v>
      </c>
      <c r="H106" s="16">
        <f t="shared" si="37"/>
        <v>1</v>
      </c>
      <c r="I106" s="16">
        <f t="shared" si="37"/>
        <v>127</v>
      </c>
      <c r="J106" s="16">
        <f t="shared" si="37"/>
        <v>4</v>
      </c>
      <c r="K106" s="16">
        <f t="shared" si="37"/>
        <v>9</v>
      </c>
      <c r="L106" s="16">
        <f t="shared" si="37"/>
        <v>0</v>
      </c>
      <c r="M106" s="16">
        <f t="shared" si="37"/>
        <v>1126</v>
      </c>
      <c r="N106" s="16">
        <f t="shared" si="37"/>
        <v>0</v>
      </c>
      <c r="O106" s="16">
        <f t="shared" si="37"/>
        <v>696</v>
      </c>
      <c r="P106" s="16">
        <f t="shared" si="37"/>
        <v>1822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0.10976948408342481</v>
      </c>
      <c r="D107" s="43">
        <f t="shared" si="38"/>
        <v>2.1953896816684962E-3</v>
      </c>
      <c r="E107" s="43">
        <f t="shared" si="38"/>
        <v>0.11306256860592755</v>
      </c>
      <c r="F107" s="43">
        <f t="shared" si="38"/>
        <v>7.5192096597145999E-2</v>
      </c>
      <c r="G107" s="43">
        <f t="shared" si="38"/>
        <v>4.3907793633369925E-3</v>
      </c>
      <c r="H107" s="43">
        <f t="shared" si="38"/>
        <v>5.4884742041712406E-4</v>
      </c>
      <c r="I107" s="43">
        <f t="shared" si="38"/>
        <v>6.9703622392974757E-2</v>
      </c>
      <c r="J107" s="43">
        <f t="shared" si="38"/>
        <v>2.1953896816684962E-3</v>
      </c>
      <c r="K107" s="43">
        <f t="shared" si="38"/>
        <v>4.9396267837541162E-3</v>
      </c>
      <c r="L107" s="43">
        <f t="shared" si="38"/>
        <v>0</v>
      </c>
      <c r="M107" s="43">
        <f t="shared" si="38"/>
        <v>0.61800219538968171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0.28735632183908044</v>
      </c>
      <c r="D108" s="44">
        <f t="shared" ref="D108:N108" si="39">D106/$O$106</f>
        <v>5.7471264367816091E-3</v>
      </c>
      <c r="E108" s="44">
        <f t="shared" si="39"/>
        <v>0.29597701149425287</v>
      </c>
      <c r="F108" s="44">
        <f t="shared" si="39"/>
        <v>0.19683908045977011</v>
      </c>
      <c r="G108" s="44">
        <f t="shared" si="39"/>
        <v>1.1494252873563218E-2</v>
      </c>
      <c r="H108" s="44">
        <f t="shared" si="39"/>
        <v>1.4367816091954023E-3</v>
      </c>
      <c r="I108" s="44">
        <f t="shared" si="39"/>
        <v>0.18247126436781611</v>
      </c>
      <c r="J108" s="44">
        <f t="shared" si="39"/>
        <v>5.7471264367816091E-3</v>
      </c>
      <c r="K108" s="44">
        <f t="shared" si="39"/>
        <v>1.2931034482758621E-2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2" zoomScale="60" workbookViewId="0">
      <selection activeCell="L57" sqref="L10:L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Kampala-Bukaya'!C3:G3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'24.08 Bukaya-Kampala-24h'!G5:H5</f>
        <v>Nyenga</v>
      </c>
      <c r="H5" s="64"/>
      <c r="I5" s="14"/>
      <c r="J5" s="2" t="s">
        <v>5</v>
      </c>
      <c r="K5" s="63" t="str">
        <f>'24.08 Bukaya-Kampala-24h'!K5:L5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Kampala-Bukaya'!D6:E6</f>
        <v>Kampala</v>
      </c>
      <c r="E6" s="64"/>
      <c r="F6" s="2" t="s">
        <v>2</v>
      </c>
      <c r="G6" s="63" t="str">
        <f>'19.08 Kampala-Bukaya'!G6:H6</f>
        <v>Bukaya</v>
      </c>
      <c r="H6" s="64"/>
      <c r="J6" s="2" t="s">
        <v>21</v>
      </c>
      <c r="K6" s="63" t="str">
        <f>'24.08 Bukaya-Kampala-24h'!K6:L6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12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10</v>
      </c>
      <c r="V10" s="17">
        <f t="shared" si="2"/>
        <v>2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40</v>
      </c>
      <c r="AD10" s="17">
        <f t="shared" si="2"/>
        <v>0</v>
      </c>
      <c r="AE10" s="31">
        <f t="shared" si="2"/>
        <v>25</v>
      </c>
      <c r="AF10" s="31">
        <f t="shared" si="2"/>
        <v>65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3</v>
      </c>
      <c r="P11" s="15">
        <f t="shared" si="1"/>
        <v>10</v>
      </c>
      <c r="R11" s="1" t="s">
        <v>7</v>
      </c>
      <c r="S11" s="17">
        <f t="shared" ref="S11:AF11" si="3">SUM(C14:C17)</f>
        <v>11</v>
      </c>
      <c r="T11" s="17">
        <f t="shared" si="3"/>
        <v>0</v>
      </c>
      <c r="U11" s="17">
        <f t="shared" si="3"/>
        <v>6</v>
      </c>
      <c r="V11" s="17">
        <f t="shared" si="3"/>
        <v>6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50</v>
      </c>
      <c r="AD11" s="17">
        <f t="shared" si="3"/>
        <v>0</v>
      </c>
      <c r="AE11" s="31">
        <f t="shared" si="3"/>
        <v>28</v>
      </c>
      <c r="AF11" s="31">
        <f t="shared" si="3"/>
        <v>78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3</v>
      </c>
      <c r="F12" s="50">
        <v>2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8</v>
      </c>
      <c r="P12" s="15">
        <f t="shared" si="1"/>
        <v>21</v>
      </c>
      <c r="R12" s="1" t="s">
        <v>8</v>
      </c>
      <c r="S12" s="17">
        <f t="shared" ref="S12:AF12" si="4">SUM(C18:C21)</f>
        <v>21</v>
      </c>
      <c r="T12" s="17">
        <f t="shared" si="4"/>
        <v>0</v>
      </c>
      <c r="U12" s="17">
        <f t="shared" si="4"/>
        <v>11</v>
      </c>
      <c r="V12" s="17">
        <f t="shared" si="4"/>
        <v>10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79</v>
      </c>
      <c r="AD12" s="17">
        <f t="shared" si="4"/>
        <v>0</v>
      </c>
      <c r="AE12" s="31">
        <f t="shared" si="4"/>
        <v>49</v>
      </c>
      <c r="AF12" s="31">
        <f t="shared" si="4"/>
        <v>128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4</v>
      </c>
      <c r="F13" s="50">
        <v>0</v>
      </c>
      <c r="G13" s="50">
        <v>1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10</v>
      </c>
      <c r="P13" s="15">
        <f t="shared" si="1"/>
        <v>22</v>
      </c>
      <c r="R13" s="1" t="s">
        <v>9</v>
      </c>
      <c r="S13" s="17">
        <f t="shared" ref="S13:AF13" si="5">SUM(C22:C25)</f>
        <v>23</v>
      </c>
      <c r="T13" s="17">
        <f t="shared" si="5"/>
        <v>0</v>
      </c>
      <c r="U13" s="17">
        <f t="shared" si="5"/>
        <v>26</v>
      </c>
      <c r="V13" s="17">
        <f t="shared" si="5"/>
        <v>11</v>
      </c>
      <c r="W13" s="17">
        <f t="shared" si="5"/>
        <v>1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80</v>
      </c>
      <c r="AD13" s="17">
        <f t="shared" si="5"/>
        <v>0</v>
      </c>
      <c r="AE13" s="31">
        <f t="shared" si="5"/>
        <v>67</v>
      </c>
      <c r="AF13" s="31">
        <f t="shared" si="5"/>
        <v>147</v>
      </c>
    </row>
    <row r="14" spans="2:32" ht="23.1" customHeight="1" x14ac:dyDescent="0.25">
      <c r="B14" s="23" t="s">
        <v>41</v>
      </c>
      <c r="C14" s="50">
        <v>5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6</v>
      </c>
      <c r="P14" s="15">
        <f t="shared" si="1"/>
        <v>16</v>
      </c>
      <c r="R14" s="1" t="s">
        <v>10</v>
      </c>
      <c r="S14" s="17">
        <f t="shared" ref="S14:AF14" si="6">SUM(C26:C29)</f>
        <v>20</v>
      </c>
      <c r="T14" s="17">
        <f t="shared" si="6"/>
        <v>0</v>
      </c>
      <c r="U14" s="17">
        <f t="shared" si="6"/>
        <v>18</v>
      </c>
      <c r="V14" s="17">
        <f t="shared" si="6"/>
        <v>9</v>
      </c>
      <c r="W14" s="17">
        <f t="shared" si="6"/>
        <v>3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87</v>
      </c>
      <c r="AD14" s="17">
        <f t="shared" si="6"/>
        <v>0</v>
      </c>
      <c r="AE14" s="31">
        <f t="shared" si="6"/>
        <v>55</v>
      </c>
      <c r="AF14" s="31">
        <f t="shared" si="6"/>
        <v>142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14</v>
      </c>
      <c r="N15" s="50">
        <v>0</v>
      </c>
      <c r="O15" s="15">
        <f t="shared" si="0"/>
        <v>6</v>
      </c>
      <c r="P15" s="15">
        <f t="shared" si="1"/>
        <v>20</v>
      </c>
      <c r="R15" s="1" t="s">
        <v>11</v>
      </c>
      <c r="S15" s="17">
        <f t="shared" ref="S15:AF15" si="7">SUM(C30:C33)</f>
        <v>15</v>
      </c>
      <c r="T15" s="17">
        <f t="shared" si="7"/>
        <v>0</v>
      </c>
      <c r="U15" s="17">
        <f t="shared" si="7"/>
        <v>20</v>
      </c>
      <c r="V15" s="17">
        <f t="shared" si="7"/>
        <v>11</v>
      </c>
      <c r="W15" s="17">
        <f t="shared" si="7"/>
        <v>1</v>
      </c>
      <c r="X15" s="17">
        <f t="shared" si="7"/>
        <v>0</v>
      </c>
      <c r="Y15" s="17">
        <f t="shared" si="7"/>
        <v>7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95</v>
      </c>
      <c r="AD15" s="17">
        <f t="shared" si="7"/>
        <v>0</v>
      </c>
      <c r="AE15" s="31">
        <f t="shared" si="7"/>
        <v>54</v>
      </c>
      <c r="AF15" s="31">
        <f t="shared" si="7"/>
        <v>149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8</v>
      </c>
      <c r="P16" s="15">
        <f t="shared" si="1"/>
        <v>17</v>
      </c>
      <c r="R16" s="1" t="s">
        <v>12</v>
      </c>
      <c r="S16" s="17">
        <f t="shared" ref="S16:AF16" si="8">SUM(C34:C37)</f>
        <v>22</v>
      </c>
      <c r="T16" s="17">
        <f t="shared" si="8"/>
        <v>0</v>
      </c>
      <c r="U16" s="17">
        <f t="shared" si="8"/>
        <v>21</v>
      </c>
      <c r="V16" s="17">
        <f t="shared" si="8"/>
        <v>11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71</v>
      </c>
      <c r="AD16" s="17">
        <f t="shared" si="8"/>
        <v>0</v>
      </c>
      <c r="AE16" s="31">
        <f t="shared" si="8"/>
        <v>59</v>
      </c>
      <c r="AF16" s="31">
        <f t="shared" si="8"/>
        <v>130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5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8</v>
      </c>
      <c r="P17" s="15">
        <f t="shared" si="1"/>
        <v>25</v>
      </c>
      <c r="R17" s="1" t="s">
        <v>13</v>
      </c>
      <c r="S17" s="17">
        <f t="shared" ref="S17:AF17" si="9">SUM(C38:C41)</f>
        <v>22</v>
      </c>
      <c r="T17" s="17">
        <f t="shared" si="9"/>
        <v>0</v>
      </c>
      <c r="U17" s="17">
        <f t="shared" si="9"/>
        <v>7</v>
      </c>
      <c r="V17" s="17">
        <f t="shared" si="9"/>
        <v>9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73</v>
      </c>
      <c r="AD17" s="17">
        <f t="shared" si="9"/>
        <v>0</v>
      </c>
      <c r="AE17" s="31">
        <f t="shared" si="9"/>
        <v>47</v>
      </c>
      <c r="AF17" s="31">
        <f t="shared" si="9"/>
        <v>120</v>
      </c>
    </row>
    <row r="18" spans="2:32" ht="23.1" customHeight="1" x14ac:dyDescent="0.25">
      <c r="B18" s="23" t="s">
        <v>45</v>
      </c>
      <c r="C18" s="50">
        <v>6</v>
      </c>
      <c r="D18" s="50">
        <v>0</v>
      </c>
      <c r="E18" s="50">
        <v>2</v>
      </c>
      <c r="F18" s="50">
        <v>1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22</v>
      </c>
      <c r="N18" s="50">
        <v>0</v>
      </c>
      <c r="O18" s="15">
        <f t="shared" si="0"/>
        <v>13</v>
      </c>
      <c r="P18" s="15">
        <f t="shared" si="1"/>
        <v>35</v>
      </c>
      <c r="R18" s="1" t="s">
        <v>14</v>
      </c>
      <c r="S18" s="17">
        <f t="shared" ref="S18:AF18" si="10">SUM(C42:C45)</f>
        <v>14</v>
      </c>
      <c r="T18" s="17">
        <f t="shared" si="10"/>
        <v>0</v>
      </c>
      <c r="U18" s="17">
        <f t="shared" si="10"/>
        <v>13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68</v>
      </c>
      <c r="AD18" s="17">
        <f t="shared" si="10"/>
        <v>0</v>
      </c>
      <c r="AE18" s="31">
        <f t="shared" si="10"/>
        <v>43</v>
      </c>
      <c r="AF18" s="31">
        <f t="shared" si="10"/>
        <v>111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4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16</v>
      </c>
      <c r="N19" s="50">
        <v>0</v>
      </c>
      <c r="O19" s="15">
        <f t="shared" si="0"/>
        <v>11</v>
      </c>
      <c r="P19" s="15">
        <f t="shared" si="1"/>
        <v>27</v>
      </c>
      <c r="R19" s="1" t="s">
        <v>15</v>
      </c>
      <c r="S19" s="17">
        <f t="shared" ref="S19:AF19" si="11">SUM(C46:C49)</f>
        <v>10</v>
      </c>
      <c r="T19" s="17">
        <f t="shared" si="11"/>
        <v>0</v>
      </c>
      <c r="U19" s="17">
        <f t="shared" si="11"/>
        <v>5</v>
      </c>
      <c r="V19" s="17">
        <f t="shared" si="11"/>
        <v>10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76</v>
      </c>
      <c r="AD19" s="17">
        <f t="shared" si="11"/>
        <v>0</v>
      </c>
      <c r="AE19" s="31">
        <f t="shared" si="11"/>
        <v>30</v>
      </c>
      <c r="AF19" s="31">
        <f t="shared" si="11"/>
        <v>106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4</v>
      </c>
      <c r="F20" s="50">
        <v>4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14</v>
      </c>
      <c r="N20" s="50">
        <v>0</v>
      </c>
      <c r="O20" s="15">
        <f t="shared" si="0"/>
        <v>13</v>
      </c>
      <c r="P20" s="15">
        <f t="shared" si="1"/>
        <v>27</v>
      </c>
      <c r="R20" s="1" t="s">
        <v>16</v>
      </c>
      <c r="S20" s="17">
        <f t="shared" ref="S20:AF20" si="12">SUM(C50:C53)</f>
        <v>8</v>
      </c>
      <c r="T20" s="17">
        <f t="shared" si="12"/>
        <v>0</v>
      </c>
      <c r="U20" s="17">
        <f t="shared" si="12"/>
        <v>6</v>
      </c>
      <c r="V20" s="17">
        <f t="shared" si="12"/>
        <v>13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86</v>
      </c>
      <c r="AD20" s="17">
        <f t="shared" si="12"/>
        <v>0</v>
      </c>
      <c r="AE20" s="31">
        <f t="shared" si="12"/>
        <v>27</v>
      </c>
      <c r="AF20" s="31">
        <f t="shared" si="12"/>
        <v>113</v>
      </c>
    </row>
    <row r="21" spans="2:32" ht="23.1" customHeight="1" x14ac:dyDescent="0.25">
      <c r="B21" s="23" t="s">
        <v>48</v>
      </c>
      <c r="C21" s="50">
        <v>6</v>
      </c>
      <c r="D21" s="50">
        <v>0</v>
      </c>
      <c r="E21" s="50">
        <v>1</v>
      </c>
      <c r="F21" s="50">
        <v>3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27</v>
      </c>
      <c r="N21" s="50">
        <v>0</v>
      </c>
      <c r="O21" s="15">
        <f t="shared" si="0"/>
        <v>12</v>
      </c>
      <c r="P21" s="15">
        <f t="shared" si="1"/>
        <v>39</v>
      </c>
      <c r="R21" s="36" t="s">
        <v>20</v>
      </c>
      <c r="S21" s="34">
        <f t="shared" ref="S21:AF21" si="13">SUM(C54:C57)</f>
        <v>8</v>
      </c>
      <c r="T21" s="17">
        <f t="shared" si="13"/>
        <v>0</v>
      </c>
      <c r="U21" s="17">
        <f t="shared" si="13"/>
        <v>9</v>
      </c>
      <c r="V21" s="17">
        <f t="shared" si="13"/>
        <v>10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80</v>
      </c>
      <c r="AD21" s="17">
        <f t="shared" si="13"/>
        <v>0</v>
      </c>
      <c r="AE21" s="31">
        <f t="shared" si="13"/>
        <v>29</v>
      </c>
      <c r="AF21" s="31">
        <f t="shared" si="13"/>
        <v>109</v>
      </c>
    </row>
    <row r="22" spans="2:32" ht="23.1" customHeight="1" x14ac:dyDescent="0.25">
      <c r="B22" s="23" t="s">
        <v>49</v>
      </c>
      <c r="C22" s="50">
        <v>6</v>
      </c>
      <c r="D22" s="50">
        <v>0</v>
      </c>
      <c r="E22" s="50">
        <v>4</v>
      </c>
      <c r="F22" s="50">
        <v>3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24</v>
      </c>
      <c r="N22" s="50">
        <v>0</v>
      </c>
      <c r="O22" s="15">
        <f t="shared" si="0"/>
        <v>14</v>
      </c>
      <c r="P22" s="15">
        <f t="shared" si="1"/>
        <v>38</v>
      </c>
      <c r="R22" s="38" t="s">
        <v>90</v>
      </c>
      <c r="S22" s="39">
        <f>MAX(S10:S12)</f>
        <v>21</v>
      </c>
      <c r="T22" s="39">
        <f t="shared" ref="T22:AF22" si="14">MAX(T10:T12)</f>
        <v>0</v>
      </c>
      <c r="U22" s="39">
        <f t="shared" si="14"/>
        <v>11</v>
      </c>
      <c r="V22" s="39">
        <f t="shared" si="14"/>
        <v>10</v>
      </c>
      <c r="W22" s="39">
        <f t="shared" si="14"/>
        <v>1</v>
      </c>
      <c r="X22" s="39">
        <f t="shared" si="14"/>
        <v>0</v>
      </c>
      <c r="Y22" s="39">
        <f t="shared" si="14"/>
        <v>7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79</v>
      </c>
      <c r="AD22" s="39">
        <f t="shared" si="14"/>
        <v>0</v>
      </c>
      <c r="AE22" s="40">
        <f t="shared" si="14"/>
        <v>49</v>
      </c>
      <c r="AF22" s="40">
        <f t="shared" si="14"/>
        <v>128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7</v>
      </c>
      <c r="F23" s="50">
        <v>3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16</v>
      </c>
      <c r="N23" s="50">
        <v>0</v>
      </c>
      <c r="O23" s="15">
        <f t="shared" si="0"/>
        <v>15</v>
      </c>
      <c r="P23" s="15">
        <f t="shared" si="1"/>
        <v>31</v>
      </c>
      <c r="R23" s="38" t="s">
        <v>91</v>
      </c>
      <c r="S23" s="39">
        <f>MAX(S13:S18)</f>
        <v>23</v>
      </c>
      <c r="T23" s="39">
        <f t="shared" ref="T23:AF23" si="15">MAX(T13:T18)</f>
        <v>0</v>
      </c>
      <c r="U23" s="39">
        <f t="shared" si="15"/>
        <v>26</v>
      </c>
      <c r="V23" s="39">
        <f t="shared" si="15"/>
        <v>11</v>
      </c>
      <c r="W23" s="39">
        <f t="shared" si="15"/>
        <v>3</v>
      </c>
      <c r="X23" s="39">
        <f t="shared" si="15"/>
        <v>0</v>
      </c>
      <c r="Y23" s="39">
        <f t="shared" si="15"/>
        <v>9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95</v>
      </c>
      <c r="AD23" s="39">
        <f t="shared" si="15"/>
        <v>0</v>
      </c>
      <c r="AE23" s="40">
        <f t="shared" si="15"/>
        <v>67</v>
      </c>
      <c r="AF23" s="40">
        <f t="shared" si="15"/>
        <v>149</v>
      </c>
    </row>
    <row r="24" spans="2:32" ht="23.1" customHeight="1" x14ac:dyDescent="0.25">
      <c r="B24" s="23" t="s">
        <v>51</v>
      </c>
      <c r="C24" s="50">
        <v>11</v>
      </c>
      <c r="D24" s="50">
        <v>0</v>
      </c>
      <c r="E24" s="50">
        <v>9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20</v>
      </c>
      <c r="N24" s="50">
        <v>0</v>
      </c>
      <c r="O24" s="15">
        <f t="shared" si="0"/>
        <v>24</v>
      </c>
      <c r="P24" s="15">
        <f t="shared" si="1"/>
        <v>44</v>
      </c>
      <c r="R24" s="38" t="s">
        <v>92</v>
      </c>
      <c r="S24" s="39">
        <f>MAX(S19:S21)</f>
        <v>10</v>
      </c>
      <c r="T24" s="39">
        <f t="shared" ref="T24:AF24" si="16">MAX(T19:T21)</f>
        <v>0</v>
      </c>
      <c r="U24" s="39">
        <f t="shared" si="16"/>
        <v>9</v>
      </c>
      <c r="V24" s="39">
        <f t="shared" si="16"/>
        <v>13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86</v>
      </c>
      <c r="AD24" s="39">
        <f t="shared" si="16"/>
        <v>0</v>
      </c>
      <c r="AE24" s="40">
        <f t="shared" si="16"/>
        <v>30</v>
      </c>
      <c r="AF24" s="40">
        <f t="shared" si="16"/>
        <v>113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6</v>
      </c>
      <c r="F25" s="50">
        <v>3</v>
      </c>
      <c r="G25" s="50">
        <v>1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20</v>
      </c>
      <c r="N25" s="50">
        <v>0</v>
      </c>
      <c r="O25" s="15">
        <f t="shared" si="0"/>
        <v>14</v>
      </c>
      <c r="P25" s="15">
        <f t="shared" si="1"/>
        <v>34</v>
      </c>
      <c r="R25" s="37" t="s">
        <v>85</v>
      </c>
      <c r="S25" s="35">
        <f t="shared" ref="S25:AF25" si="17">SUM(S10:S12)</f>
        <v>38</v>
      </c>
      <c r="T25" s="16">
        <f t="shared" si="17"/>
        <v>0</v>
      </c>
      <c r="U25" s="16">
        <f t="shared" si="17"/>
        <v>27</v>
      </c>
      <c r="V25" s="16">
        <f t="shared" si="17"/>
        <v>18</v>
      </c>
      <c r="W25" s="16">
        <f t="shared" si="17"/>
        <v>1</v>
      </c>
      <c r="X25" s="16">
        <f t="shared" si="17"/>
        <v>0</v>
      </c>
      <c r="Y25" s="16">
        <f t="shared" si="17"/>
        <v>18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169</v>
      </c>
      <c r="AD25" s="16">
        <f t="shared" si="17"/>
        <v>0</v>
      </c>
      <c r="AE25" s="32">
        <f t="shared" si="17"/>
        <v>102</v>
      </c>
      <c r="AF25" s="32">
        <f t="shared" si="17"/>
        <v>271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5</v>
      </c>
      <c r="F26" s="50">
        <v>2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12</v>
      </c>
      <c r="P26" s="15">
        <f t="shared" si="1"/>
        <v>27</v>
      </c>
      <c r="R26" s="28" t="s">
        <v>86</v>
      </c>
      <c r="S26" s="16">
        <f t="shared" ref="S26:AF26" si="18">SUM(S13:S18)</f>
        <v>116</v>
      </c>
      <c r="T26" s="16">
        <f t="shared" si="18"/>
        <v>0</v>
      </c>
      <c r="U26" s="16">
        <f t="shared" si="18"/>
        <v>105</v>
      </c>
      <c r="V26" s="16">
        <f t="shared" si="18"/>
        <v>60</v>
      </c>
      <c r="W26" s="16">
        <f t="shared" si="18"/>
        <v>5</v>
      </c>
      <c r="X26" s="16">
        <f t="shared" si="18"/>
        <v>0</v>
      </c>
      <c r="Y26" s="16">
        <f t="shared" si="18"/>
        <v>37</v>
      </c>
      <c r="Z26" s="16">
        <f t="shared" si="18"/>
        <v>1</v>
      </c>
      <c r="AA26" s="16">
        <f t="shared" si="18"/>
        <v>1</v>
      </c>
      <c r="AB26" s="16">
        <f t="shared" si="18"/>
        <v>0</v>
      </c>
      <c r="AC26" s="16">
        <f t="shared" si="18"/>
        <v>474</v>
      </c>
      <c r="AD26" s="16">
        <f t="shared" si="18"/>
        <v>0</v>
      </c>
      <c r="AE26" s="32">
        <f t="shared" si="18"/>
        <v>325</v>
      </c>
      <c r="AF26" s="32">
        <f t="shared" si="18"/>
        <v>799</v>
      </c>
    </row>
    <row r="27" spans="2:32" ht="23.1" customHeight="1" x14ac:dyDescent="0.25">
      <c r="B27" s="23" t="s">
        <v>54</v>
      </c>
      <c r="C27" s="50">
        <v>6</v>
      </c>
      <c r="D27" s="50">
        <v>0</v>
      </c>
      <c r="E27" s="50">
        <v>3</v>
      </c>
      <c r="F27" s="50">
        <v>3</v>
      </c>
      <c r="G27" s="50">
        <v>1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26</v>
      </c>
      <c r="N27" s="50">
        <v>0</v>
      </c>
      <c r="O27" s="15">
        <f t="shared" si="0"/>
        <v>14</v>
      </c>
      <c r="P27" s="15">
        <f t="shared" si="1"/>
        <v>40</v>
      </c>
      <c r="R27" s="29" t="s">
        <v>87</v>
      </c>
      <c r="S27" s="16">
        <f t="shared" ref="S27:AF27" si="19">SUM(S19:S21)</f>
        <v>26</v>
      </c>
      <c r="T27" s="16">
        <f t="shared" si="19"/>
        <v>0</v>
      </c>
      <c r="U27" s="16">
        <f t="shared" si="19"/>
        <v>20</v>
      </c>
      <c r="V27" s="16">
        <f t="shared" si="19"/>
        <v>33</v>
      </c>
      <c r="W27" s="16">
        <f t="shared" si="19"/>
        <v>0</v>
      </c>
      <c r="X27" s="16">
        <f t="shared" si="19"/>
        <v>0</v>
      </c>
      <c r="Y27" s="16">
        <f t="shared" si="19"/>
        <v>7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242</v>
      </c>
      <c r="AD27" s="16">
        <f t="shared" si="19"/>
        <v>0</v>
      </c>
      <c r="AE27" s="32">
        <f t="shared" si="19"/>
        <v>86</v>
      </c>
      <c r="AF27" s="32">
        <f t="shared" si="19"/>
        <v>328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5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26</v>
      </c>
      <c r="N28" s="50">
        <v>0</v>
      </c>
      <c r="O28" s="15">
        <f t="shared" si="0"/>
        <v>12</v>
      </c>
      <c r="P28" s="15">
        <f t="shared" si="1"/>
        <v>38</v>
      </c>
      <c r="R28" s="5" t="s">
        <v>17</v>
      </c>
      <c r="S28" s="16">
        <f t="shared" ref="S28:AF28" si="20">SUM(S10:S21)</f>
        <v>180</v>
      </c>
      <c r="T28" s="16">
        <f t="shared" si="20"/>
        <v>0</v>
      </c>
      <c r="U28" s="16">
        <f t="shared" si="20"/>
        <v>152</v>
      </c>
      <c r="V28" s="16">
        <f t="shared" si="20"/>
        <v>111</v>
      </c>
      <c r="W28" s="16">
        <f t="shared" si="20"/>
        <v>6</v>
      </c>
      <c r="X28" s="16">
        <f t="shared" si="20"/>
        <v>0</v>
      </c>
      <c r="Y28" s="16">
        <f t="shared" si="20"/>
        <v>62</v>
      </c>
      <c r="Z28" s="16">
        <f t="shared" si="20"/>
        <v>1</v>
      </c>
      <c r="AA28" s="16">
        <f t="shared" si="20"/>
        <v>1</v>
      </c>
      <c r="AB28" s="16">
        <f t="shared" si="20"/>
        <v>0</v>
      </c>
      <c r="AC28" s="16">
        <f t="shared" si="20"/>
        <v>885</v>
      </c>
      <c r="AD28" s="16">
        <f t="shared" si="20"/>
        <v>0</v>
      </c>
      <c r="AE28" s="32">
        <f t="shared" si="20"/>
        <v>513</v>
      </c>
      <c r="AF28" s="32">
        <f t="shared" si="20"/>
        <v>1398</v>
      </c>
    </row>
    <row r="29" spans="2:32" ht="23.1" customHeight="1" x14ac:dyDescent="0.25">
      <c r="B29" s="23" t="s">
        <v>56</v>
      </c>
      <c r="C29" s="50">
        <v>6</v>
      </c>
      <c r="D29" s="50">
        <v>0</v>
      </c>
      <c r="E29" s="50">
        <v>5</v>
      </c>
      <c r="F29" s="50">
        <v>2</v>
      </c>
      <c r="G29" s="50">
        <v>2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20</v>
      </c>
      <c r="N29" s="50">
        <v>0</v>
      </c>
      <c r="O29" s="15">
        <f t="shared" si="0"/>
        <v>17</v>
      </c>
      <c r="P29" s="15">
        <f t="shared" si="1"/>
        <v>37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0</v>
      </c>
      <c r="E30" s="50">
        <v>0</v>
      </c>
      <c r="F30" s="50">
        <v>6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27</v>
      </c>
      <c r="N30" s="50">
        <v>0</v>
      </c>
      <c r="O30" s="15">
        <f t="shared" si="0"/>
        <v>15</v>
      </c>
      <c r="P30" s="15">
        <f t="shared" si="1"/>
        <v>42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7</v>
      </c>
      <c r="F31" s="50">
        <v>2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21</v>
      </c>
      <c r="N31" s="50">
        <v>0</v>
      </c>
      <c r="O31" s="15">
        <f t="shared" si="0"/>
        <v>15</v>
      </c>
      <c r="P31" s="15">
        <f t="shared" si="1"/>
        <v>36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6</v>
      </c>
      <c r="F32" s="50">
        <v>0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19</v>
      </c>
      <c r="N32" s="50">
        <v>0</v>
      </c>
      <c r="O32" s="15">
        <f t="shared" si="0"/>
        <v>11</v>
      </c>
      <c r="P32" s="15">
        <f t="shared" si="1"/>
        <v>30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7</v>
      </c>
      <c r="F33" s="50">
        <v>3</v>
      </c>
      <c r="G33" s="50">
        <v>1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28</v>
      </c>
      <c r="N33" s="50">
        <v>0</v>
      </c>
      <c r="O33" s="15">
        <f t="shared" si="0"/>
        <v>13</v>
      </c>
      <c r="P33" s="15">
        <f t="shared" si="1"/>
        <v>41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3</v>
      </c>
      <c r="F34" s="50">
        <v>3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17</v>
      </c>
      <c r="N34" s="50">
        <v>0</v>
      </c>
      <c r="O34" s="15">
        <f t="shared" si="0"/>
        <v>15</v>
      </c>
      <c r="P34" s="15">
        <f t="shared" si="1"/>
        <v>32</v>
      </c>
    </row>
    <row r="35" spans="2:20" ht="23.1" customHeight="1" x14ac:dyDescent="0.25">
      <c r="B35" s="24" t="s">
        <v>62</v>
      </c>
      <c r="C35" s="50">
        <v>6</v>
      </c>
      <c r="D35" s="50">
        <v>0</v>
      </c>
      <c r="E35" s="50">
        <v>4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0</v>
      </c>
      <c r="M35" s="50">
        <v>10</v>
      </c>
      <c r="N35" s="50">
        <v>0</v>
      </c>
      <c r="O35" s="15">
        <f t="shared" si="0"/>
        <v>13</v>
      </c>
      <c r="P35" s="15">
        <f t="shared" si="1"/>
        <v>23</v>
      </c>
    </row>
    <row r="36" spans="2:20" ht="23.1" customHeight="1" x14ac:dyDescent="0.25">
      <c r="B36" s="24" t="s">
        <v>63</v>
      </c>
      <c r="C36" s="50">
        <v>7</v>
      </c>
      <c r="D36" s="50">
        <v>0</v>
      </c>
      <c r="E36" s="50">
        <v>4</v>
      </c>
      <c r="F36" s="50">
        <v>4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15</v>
      </c>
      <c r="P36" s="15">
        <f t="shared" si="1"/>
        <v>34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10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25</v>
      </c>
      <c r="N37" s="50">
        <v>0</v>
      </c>
      <c r="O37" s="15">
        <f t="shared" si="0"/>
        <v>16</v>
      </c>
      <c r="P37" s="15">
        <f t="shared" si="1"/>
        <v>41</v>
      </c>
    </row>
    <row r="38" spans="2:20" ht="23.1" customHeight="1" x14ac:dyDescent="0.25">
      <c r="B38" s="24" t="s">
        <v>65</v>
      </c>
      <c r="C38" s="50">
        <v>9</v>
      </c>
      <c r="D38" s="50">
        <v>0</v>
      </c>
      <c r="E38" s="50">
        <v>3</v>
      </c>
      <c r="F38" s="50">
        <v>2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16</v>
      </c>
      <c r="N38" s="50">
        <v>0</v>
      </c>
      <c r="O38" s="15">
        <f t="shared" si="0"/>
        <v>16</v>
      </c>
      <c r="P38" s="15">
        <f t="shared" si="1"/>
        <v>32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1</v>
      </c>
      <c r="F39" s="50">
        <v>2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22</v>
      </c>
      <c r="N39" s="50">
        <v>0</v>
      </c>
      <c r="O39" s="15">
        <f t="shared" si="0"/>
        <v>9</v>
      </c>
      <c r="P39" s="15">
        <f t="shared" si="1"/>
        <v>31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2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18</v>
      </c>
      <c r="N40" s="50">
        <v>0</v>
      </c>
      <c r="O40" s="15">
        <f t="shared" si="0"/>
        <v>8</v>
      </c>
      <c r="P40" s="15">
        <f t="shared" si="1"/>
        <v>26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1</v>
      </c>
      <c r="F41" s="50">
        <v>3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50">
        <v>17</v>
      </c>
      <c r="N41" s="50">
        <v>0</v>
      </c>
      <c r="O41" s="15">
        <f t="shared" si="0"/>
        <v>14</v>
      </c>
      <c r="P41" s="15">
        <f t="shared" si="1"/>
        <v>31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2</v>
      </c>
      <c r="F42" s="50">
        <v>2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10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3</v>
      </c>
      <c r="F43" s="50">
        <v>2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18</v>
      </c>
      <c r="N43" s="50">
        <v>0</v>
      </c>
      <c r="O43" s="15">
        <f t="shared" si="0"/>
        <v>9</v>
      </c>
      <c r="P43" s="15">
        <f t="shared" si="1"/>
        <v>27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4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21</v>
      </c>
      <c r="N44" s="50">
        <v>0</v>
      </c>
      <c r="O44" s="15">
        <f t="shared" si="0"/>
        <v>10</v>
      </c>
      <c r="P44" s="15">
        <f t="shared" si="1"/>
        <v>31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4</v>
      </c>
      <c r="F45" s="50">
        <v>4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19</v>
      </c>
      <c r="N45" s="50">
        <v>0</v>
      </c>
      <c r="O45" s="15">
        <f t="shared" si="0"/>
        <v>14</v>
      </c>
      <c r="P45" s="15">
        <f t="shared" si="1"/>
        <v>33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2</v>
      </c>
      <c r="F46" s="50">
        <v>3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26</v>
      </c>
      <c r="N46" s="50">
        <v>0</v>
      </c>
      <c r="O46" s="15">
        <f t="shared" si="0"/>
        <v>11</v>
      </c>
      <c r="P46" s="15">
        <f t="shared" si="1"/>
        <v>37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1</v>
      </c>
      <c r="F47" s="50">
        <v>3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5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2</v>
      </c>
      <c r="F48" s="50">
        <v>4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18</v>
      </c>
      <c r="N48" s="50">
        <v>0</v>
      </c>
      <c r="O48" s="15">
        <f t="shared" si="0"/>
        <v>12</v>
      </c>
      <c r="P48" s="15">
        <f t="shared" si="1"/>
        <v>30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2</v>
      </c>
      <c r="P49" s="15">
        <f t="shared" si="1"/>
        <v>22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1</v>
      </c>
      <c r="F50" s="50">
        <v>5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19</v>
      </c>
      <c r="N50" s="50">
        <v>0</v>
      </c>
      <c r="O50" s="15">
        <f t="shared" si="0"/>
        <v>8</v>
      </c>
      <c r="P50" s="15">
        <f t="shared" si="1"/>
        <v>27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21</v>
      </c>
      <c r="N51" s="50">
        <v>0</v>
      </c>
      <c r="O51" s="15">
        <f t="shared" si="0"/>
        <v>6</v>
      </c>
      <c r="P51" s="15">
        <f t="shared" si="1"/>
        <v>27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3</v>
      </c>
      <c r="F52" s="50">
        <v>5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29</v>
      </c>
      <c r="N52" s="50">
        <v>0</v>
      </c>
      <c r="O52" s="15">
        <f t="shared" si="0"/>
        <v>10</v>
      </c>
      <c r="P52" s="15">
        <f t="shared" si="1"/>
        <v>39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3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17</v>
      </c>
      <c r="N53" s="50">
        <v>0</v>
      </c>
      <c r="O53" s="15">
        <f t="shared" si="0"/>
        <v>3</v>
      </c>
      <c r="P53" s="15">
        <f t="shared" si="1"/>
        <v>20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3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6</v>
      </c>
      <c r="P54" s="15">
        <f t="shared" si="1"/>
        <v>21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1</v>
      </c>
      <c r="F55" s="50">
        <v>6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21</v>
      </c>
      <c r="N55" s="50">
        <v>0</v>
      </c>
      <c r="O55" s="15">
        <f t="shared" si="0"/>
        <v>9</v>
      </c>
      <c r="P55" s="15">
        <f t="shared" si="1"/>
        <v>30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2</v>
      </c>
      <c r="F56" s="50">
        <v>2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24</v>
      </c>
      <c r="N56" s="50">
        <v>0</v>
      </c>
      <c r="O56" s="15">
        <f t="shared" si="0"/>
        <v>6</v>
      </c>
      <c r="P56" s="15">
        <f t="shared" si="1"/>
        <v>30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3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8</v>
      </c>
      <c r="P57" s="15">
        <f t="shared" si="1"/>
        <v>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180</v>
      </c>
      <c r="D58" s="16">
        <f t="shared" si="21"/>
        <v>0</v>
      </c>
      <c r="E58" s="16">
        <f t="shared" si="21"/>
        <v>152</v>
      </c>
      <c r="F58" s="16">
        <f t="shared" si="21"/>
        <v>111</v>
      </c>
      <c r="G58" s="16">
        <f t="shared" si="21"/>
        <v>6</v>
      </c>
      <c r="H58" s="16">
        <f t="shared" si="21"/>
        <v>0</v>
      </c>
      <c r="I58" s="16">
        <f t="shared" si="21"/>
        <v>62</v>
      </c>
      <c r="J58" s="16">
        <f t="shared" si="21"/>
        <v>1</v>
      </c>
      <c r="K58" s="16">
        <f t="shared" si="21"/>
        <v>1</v>
      </c>
      <c r="L58" s="16">
        <f t="shared" si="21"/>
        <v>0</v>
      </c>
      <c r="M58" s="16">
        <f t="shared" si="21"/>
        <v>885</v>
      </c>
      <c r="N58" s="16">
        <f t="shared" si="21"/>
        <v>0</v>
      </c>
      <c r="O58" s="16">
        <f t="shared" si="21"/>
        <v>513</v>
      </c>
      <c r="P58" s="16">
        <f t="shared" si="21"/>
        <v>1398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0.12875536480686695</v>
      </c>
      <c r="D59" s="43">
        <f t="shared" si="22"/>
        <v>0</v>
      </c>
      <c r="E59" s="43">
        <f t="shared" si="22"/>
        <v>0.10872675250357654</v>
      </c>
      <c r="F59" s="43">
        <f t="shared" si="22"/>
        <v>7.9399141630901282E-2</v>
      </c>
      <c r="G59" s="43">
        <f t="shared" si="22"/>
        <v>4.2918454935622317E-3</v>
      </c>
      <c r="H59" s="43">
        <f t="shared" si="22"/>
        <v>0</v>
      </c>
      <c r="I59" s="43">
        <f t="shared" si="22"/>
        <v>4.4349070100143065E-2</v>
      </c>
      <c r="J59" s="43">
        <f t="shared" si="22"/>
        <v>7.1530758226037196E-4</v>
      </c>
      <c r="K59" s="43">
        <f t="shared" si="22"/>
        <v>7.1530758226037196E-4</v>
      </c>
      <c r="L59" s="43">
        <f t="shared" si="22"/>
        <v>0</v>
      </c>
      <c r="M59" s="43">
        <f t="shared" si="22"/>
        <v>0.63304721030042921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0.35087719298245612</v>
      </c>
      <c r="D60" s="44">
        <f t="shared" ref="D60:N60" si="23">D58/$O$58</f>
        <v>0</v>
      </c>
      <c r="E60" s="44">
        <f t="shared" si="23"/>
        <v>0.29629629629629628</v>
      </c>
      <c r="F60" s="44">
        <f t="shared" si="23"/>
        <v>0.21637426900584794</v>
      </c>
      <c r="G60" s="44">
        <f t="shared" si="23"/>
        <v>1.1695906432748537E-2</v>
      </c>
      <c r="H60" s="44">
        <f t="shared" si="23"/>
        <v>0</v>
      </c>
      <c r="I60" s="44">
        <f t="shared" si="23"/>
        <v>0.12085769980506822</v>
      </c>
      <c r="J60" s="44">
        <f t="shared" si="23"/>
        <v>1.9493177387914229E-3</v>
      </c>
      <c r="K60" s="44">
        <f t="shared" si="23"/>
        <v>1.9493177387914229E-3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A55" zoomScale="60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'19.08 Bukaya-Kampala'!C3:G3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'25.08 Kampala-Bukaya'!D5</f>
        <v>25.08.19</v>
      </c>
      <c r="E5" s="3"/>
      <c r="F5" s="41" t="s">
        <v>1</v>
      </c>
      <c r="G5" s="63" t="str">
        <f>'25.08 Kampala-Bukaya'!G5:H5</f>
        <v>Nyenga</v>
      </c>
      <c r="H5" s="64"/>
      <c r="I5" s="14"/>
      <c r="J5" s="2" t="s">
        <v>5</v>
      </c>
      <c r="K5" s="63" t="str">
        <f>'25.08 Kampala-Bukaya'!K5:L5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'19.08 Bukaya-Kampala'!D6:E6</f>
        <v>Bukaya</v>
      </c>
      <c r="E6" s="64"/>
      <c r="F6" s="2" t="s">
        <v>2</v>
      </c>
      <c r="G6" s="63" t="str">
        <f>'19.08 Bukaya-Kampala'!G6:H6</f>
        <v>Kampala</v>
      </c>
      <c r="H6" s="64"/>
      <c r="J6" s="2" t="s">
        <v>21</v>
      </c>
      <c r="K6" s="63" t="str">
        <f>'25.08 Kampala-Bukaya'!K6:L6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4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37</v>
      </c>
      <c r="AD10" s="17">
        <f t="shared" si="2"/>
        <v>0</v>
      </c>
      <c r="AE10" s="31">
        <f t="shared" si="2"/>
        <v>13</v>
      </c>
      <c r="AF10" s="31">
        <f t="shared" si="2"/>
        <v>50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11</v>
      </c>
      <c r="N11" s="50">
        <v>0</v>
      </c>
      <c r="O11" s="15">
        <f t="shared" si="0"/>
        <v>2</v>
      </c>
      <c r="P11" s="15">
        <f t="shared" si="1"/>
        <v>13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4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74</v>
      </c>
      <c r="AD11" s="17">
        <f t="shared" si="3"/>
        <v>0</v>
      </c>
      <c r="AE11" s="31">
        <f t="shared" si="3"/>
        <v>16</v>
      </c>
      <c r="AF11" s="31">
        <f t="shared" si="3"/>
        <v>90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5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7</v>
      </c>
      <c r="P12" s="15">
        <f t="shared" si="1"/>
        <v>19</v>
      </c>
      <c r="R12" s="1" t="s">
        <v>8</v>
      </c>
      <c r="S12" s="17">
        <f t="shared" ref="S12:AF12" si="4">SUM(C18:C21)</f>
        <v>8</v>
      </c>
      <c r="T12" s="17">
        <f t="shared" si="4"/>
        <v>0</v>
      </c>
      <c r="U12" s="17">
        <f t="shared" si="4"/>
        <v>4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70</v>
      </c>
      <c r="AD12" s="17">
        <f t="shared" si="4"/>
        <v>0</v>
      </c>
      <c r="AE12" s="31">
        <f t="shared" si="4"/>
        <v>23</v>
      </c>
      <c r="AF12" s="31">
        <f t="shared" si="4"/>
        <v>93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11</v>
      </c>
      <c r="N13" s="50">
        <v>0</v>
      </c>
      <c r="O13" s="15">
        <f t="shared" si="0"/>
        <v>2</v>
      </c>
      <c r="P13" s="15">
        <f t="shared" si="1"/>
        <v>13</v>
      </c>
      <c r="R13" s="1" t="s">
        <v>9</v>
      </c>
      <c r="S13" s="17">
        <f t="shared" ref="S13:AF13" si="5">SUM(C22:C25)</f>
        <v>8</v>
      </c>
      <c r="T13" s="17">
        <f t="shared" si="5"/>
        <v>0</v>
      </c>
      <c r="U13" s="17">
        <f t="shared" si="5"/>
        <v>7</v>
      </c>
      <c r="V13" s="17">
        <f t="shared" si="5"/>
        <v>10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73</v>
      </c>
      <c r="AD13" s="17">
        <f t="shared" si="5"/>
        <v>0</v>
      </c>
      <c r="AE13" s="31">
        <f t="shared" si="5"/>
        <v>27</v>
      </c>
      <c r="AF13" s="31">
        <f t="shared" si="5"/>
        <v>100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17</v>
      </c>
      <c r="N14" s="50">
        <v>0</v>
      </c>
      <c r="O14" s="15">
        <f t="shared" si="0"/>
        <v>3</v>
      </c>
      <c r="P14" s="15">
        <f t="shared" si="1"/>
        <v>20</v>
      </c>
      <c r="R14" s="1" t="s">
        <v>10</v>
      </c>
      <c r="S14" s="17">
        <f t="shared" ref="S14:AF14" si="6">SUM(C26:C29)</f>
        <v>5</v>
      </c>
      <c r="T14" s="17">
        <f t="shared" si="6"/>
        <v>0</v>
      </c>
      <c r="U14" s="17">
        <f t="shared" si="6"/>
        <v>8</v>
      </c>
      <c r="V14" s="17">
        <f t="shared" si="6"/>
        <v>6</v>
      </c>
      <c r="W14" s="17">
        <f t="shared" si="6"/>
        <v>2</v>
      </c>
      <c r="X14" s="17">
        <f t="shared" si="6"/>
        <v>0</v>
      </c>
      <c r="Y14" s="17">
        <f t="shared" si="6"/>
        <v>9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63</v>
      </c>
      <c r="AD14" s="17">
        <f t="shared" si="6"/>
        <v>0</v>
      </c>
      <c r="AE14" s="31">
        <f t="shared" si="6"/>
        <v>30</v>
      </c>
      <c r="AF14" s="31">
        <f t="shared" si="6"/>
        <v>93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19</v>
      </c>
      <c r="N15" s="50">
        <v>0</v>
      </c>
      <c r="O15" s="15">
        <f t="shared" si="0"/>
        <v>6</v>
      </c>
      <c r="P15" s="15">
        <f t="shared" si="1"/>
        <v>25</v>
      </c>
      <c r="R15" s="1" t="s">
        <v>11</v>
      </c>
      <c r="S15" s="17">
        <f t="shared" ref="S15:AF15" si="7">SUM(C30:C33)</f>
        <v>7</v>
      </c>
      <c r="T15" s="17">
        <f t="shared" si="7"/>
        <v>0</v>
      </c>
      <c r="U15" s="17">
        <f t="shared" si="7"/>
        <v>7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94</v>
      </c>
      <c r="AD15" s="17">
        <f t="shared" si="7"/>
        <v>0</v>
      </c>
      <c r="AE15" s="31">
        <f t="shared" si="7"/>
        <v>23</v>
      </c>
      <c r="AF15" s="31">
        <f t="shared" si="7"/>
        <v>117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3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22</v>
      </c>
      <c r="N16" s="50">
        <v>0</v>
      </c>
      <c r="O16" s="15">
        <f t="shared" si="0"/>
        <v>5</v>
      </c>
      <c r="P16" s="15">
        <f t="shared" si="1"/>
        <v>27</v>
      </c>
      <c r="R16" s="1" t="s">
        <v>12</v>
      </c>
      <c r="S16" s="17">
        <f t="shared" ref="S16:AF16" si="8">SUM(C34:C37)</f>
        <v>15</v>
      </c>
      <c r="T16" s="17">
        <f t="shared" si="8"/>
        <v>0</v>
      </c>
      <c r="U16" s="17">
        <f t="shared" si="8"/>
        <v>8</v>
      </c>
      <c r="V16" s="17">
        <f t="shared" si="8"/>
        <v>7</v>
      </c>
      <c r="W16" s="17">
        <f t="shared" si="8"/>
        <v>3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87</v>
      </c>
      <c r="AD16" s="17">
        <f t="shared" si="8"/>
        <v>0</v>
      </c>
      <c r="AE16" s="31">
        <f t="shared" si="8"/>
        <v>37</v>
      </c>
      <c r="AF16" s="31">
        <f t="shared" si="8"/>
        <v>124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16</v>
      </c>
      <c r="N17" s="50">
        <v>0</v>
      </c>
      <c r="O17" s="15">
        <f t="shared" si="0"/>
        <v>2</v>
      </c>
      <c r="P17" s="15">
        <f t="shared" si="1"/>
        <v>18</v>
      </c>
      <c r="R17" s="1" t="s">
        <v>13</v>
      </c>
      <c r="S17" s="17">
        <f t="shared" ref="S17:AF17" si="9">SUM(C38:C41)</f>
        <v>15</v>
      </c>
      <c r="T17" s="17">
        <f t="shared" si="9"/>
        <v>0</v>
      </c>
      <c r="U17" s="17">
        <f t="shared" si="9"/>
        <v>22</v>
      </c>
      <c r="V17" s="17">
        <f t="shared" si="9"/>
        <v>11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76</v>
      </c>
      <c r="AD17" s="17">
        <f t="shared" si="9"/>
        <v>0</v>
      </c>
      <c r="AE17" s="31">
        <f t="shared" si="9"/>
        <v>51</v>
      </c>
      <c r="AF17" s="31">
        <f t="shared" si="9"/>
        <v>127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1</v>
      </c>
      <c r="L18" s="50">
        <v>0</v>
      </c>
      <c r="M18" s="50">
        <v>17</v>
      </c>
      <c r="N18" s="50">
        <v>0</v>
      </c>
      <c r="O18" s="15">
        <f t="shared" si="0"/>
        <v>5</v>
      </c>
      <c r="P18" s="15">
        <f t="shared" si="1"/>
        <v>22</v>
      </c>
      <c r="R18" s="1" t="s">
        <v>14</v>
      </c>
      <c r="S18" s="17">
        <f t="shared" ref="S18:AF18" si="10">SUM(C42:C45)</f>
        <v>30</v>
      </c>
      <c r="T18" s="17">
        <f t="shared" si="10"/>
        <v>0</v>
      </c>
      <c r="U18" s="17">
        <f t="shared" si="10"/>
        <v>34</v>
      </c>
      <c r="V18" s="17">
        <f t="shared" si="10"/>
        <v>14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83</v>
      </c>
      <c r="AD18" s="17">
        <f t="shared" si="10"/>
        <v>0</v>
      </c>
      <c r="AE18" s="31">
        <f t="shared" si="10"/>
        <v>85</v>
      </c>
      <c r="AF18" s="31">
        <f t="shared" si="10"/>
        <v>168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1</v>
      </c>
      <c r="F19" s="50">
        <v>2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19</v>
      </c>
      <c r="N19" s="50">
        <v>0</v>
      </c>
      <c r="O19" s="15">
        <f t="shared" si="0"/>
        <v>7</v>
      </c>
      <c r="P19" s="15">
        <f t="shared" si="1"/>
        <v>26</v>
      </c>
      <c r="R19" s="1" t="s">
        <v>15</v>
      </c>
      <c r="S19" s="17">
        <f t="shared" ref="S19:AF19" si="11">SUM(C46:C49)</f>
        <v>21</v>
      </c>
      <c r="T19" s="17">
        <f t="shared" si="11"/>
        <v>0</v>
      </c>
      <c r="U19" s="17">
        <f t="shared" si="11"/>
        <v>19</v>
      </c>
      <c r="V19" s="17">
        <f t="shared" si="11"/>
        <v>14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87</v>
      </c>
      <c r="AD19" s="17">
        <f t="shared" si="11"/>
        <v>0</v>
      </c>
      <c r="AE19" s="31">
        <f t="shared" si="11"/>
        <v>63</v>
      </c>
      <c r="AF19" s="31">
        <f t="shared" si="11"/>
        <v>150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2</v>
      </c>
      <c r="P20" s="15">
        <f t="shared" si="1"/>
        <v>18</v>
      </c>
      <c r="R20" s="1" t="s">
        <v>16</v>
      </c>
      <c r="S20" s="17">
        <f t="shared" ref="S20:AF20" si="12">SUM(C50:C53)</f>
        <v>31</v>
      </c>
      <c r="T20" s="17">
        <f t="shared" si="12"/>
        <v>0</v>
      </c>
      <c r="U20" s="17">
        <f t="shared" si="12"/>
        <v>28</v>
      </c>
      <c r="V20" s="17">
        <f t="shared" si="12"/>
        <v>14</v>
      </c>
      <c r="W20" s="17">
        <f t="shared" si="12"/>
        <v>2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89</v>
      </c>
      <c r="AD20" s="17">
        <f t="shared" si="12"/>
        <v>0</v>
      </c>
      <c r="AE20" s="31">
        <f t="shared" si="12"/>
        <v>83</v>
      </c>
      <c r="AF20" s="31">
        <f t="shared" si="12"/>
        <v>172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3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18</v>
      </c>
      <c r="N21" s="50">
        <v>0</v>
      </c>
      <c r="O21" s="15">
        <f t="shared" si="0"/>
        <v>9</v>
      </c>
      <c r="P21" s="15">
        <f t="shared" si="1"/>
        <v>27</v>
      </c>
      <c r="R21" s="36" t="s">
        <v>20</v>
      </c>
      <c r="S21" s="34">
        <f t="shared" ref="S21:AF21" si="13">SUM(C54:C57)</f>
        <v>21</v>
      </c>
      <c r="T21" s="17">
        <f t="shared" si="13"/>
        <v>0</v>
      </c>
      <c r="U21" s="17">
        <f t="shared" si="13"/>
        <v>23</v>
      </c>
      <c r="V21" s="17">
        <f t="shared" si="13"/>
        <v>14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98</v>
      </c>
      <c r="AD21" s="17">
        <f t="shared" si="13"/>
        <v>0</v>
      </c>
      <c r="AE21" s="31">
        <f t="shared" si="13"/>
        <v>64</v>
      </c>
      <c r="AF21" s="31">
        <f t="shared" si="13"/>
        <v>162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1</v>
      </c>
      <c r="F22" s="50">
        <v>3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22</v>
      </c>
      <c r="N22" s="50">
        <v>0</v>
      </c>
      <c r="O22" s="15">
        <f t="shared" si="0"/>
        <v>7</v>
      </c>
      <c r="P22" s="15">
        <f t="shared" si="1"/>
        <v>29</v>
      </c>
      <c r="R22" s="38" t="s">
        <v>90</v>
      </c>
      <c r="S22" s="39">
        <f>MAX(S10:S12)</f>
        <v>8</v>
      </c>
      <c r="T22" s="39">
        <f t="shared" ref="T22:AF22" si="14">MAX(T10:T12)</f>
        <v>0</v>
      </c>
      <c r="U22" s="39">
        <f t="shared" si="14"/>
        <v>4</v>
      </c>
      <c r="V22" s="39">
        <f t="shared" si="14"/>
        <v>6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0</v>
      </c>
      <c r="AA22" s="39">
        <f t="shared" si="14"/>
        <v>1</v>
      </c>
      <c r="AB22" s="39">
        <f t="shared" si="14"/>
        <v>0</v>
      </c>
      <c r="AC22" s="39">
        <f t="shared" si="14"/>
        <v>74</v>
      </c>
      <c r="AD22" s="39">
        <f t="shared" si="14"/>
        <v>0</v>
      </c>
      <c r="AE22" s="40">
        <f t="shared" si="14"/>
        <v>23</v>
      </c>
      <c r="AF22" s="40">
        <f t="shared" si="14"/>
        <v>93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2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5</v>
      </c>
      <c r="P23" s="15">
        <f t="shared" si="1"/>
        <v>18</v>
      </c>
      <c r="R23" s="38" t="s">
        <v>91</v>
      </c>
      <c r="S23" s="39">
        <f>MAX(S13:S18)</f>
        <v>30</v>
      </c>
      <c r="T23" s="39">
        <f t="shared" ref="T23:AF23" si="15">MAX(T13:T18)</f>
        <v>0</v>
      </c>
      <c r="U23" s="39">
        <f t="shared" si="15"/>
        <v>34</v>
      </c>
      <c r="V23" s="39">
        <f t="shared" si="15"/>
        <v>14</v>
      </c>
      <c r="W23" s="39">
        <f t="shared" si="15"/>
        <v>3</v>
      </c>
      <c r="X23" s="39">
        <f t="shared" si="15"/>
        <v>0</v>
      </c>
      <c r="Y23" s="39">
        <f t="shared" si="15"/>
        <v>9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94</v>
      </c>
      <c r="AD23" s="39">
        <f t="shared" si="15"/>
        <v>0</v>
      </c>
      <c r="AE23" s="40">
        <f t="shared" si="15"/>
        <v>85</v>
      </c>
      <c r="AF23" s="40">
        <f t="shared" si="15"/>
        <v>168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2</v>
      </c>
      <c r="F24" s="50">
        <v>2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14</v>
      </c>
      <c r="N24" s="50">
        <v>0</v>
      </c>
      <c r="O24" s="15">
        <f t="shared" si="0"/>
        <v>5</v>
      </c>
      <c r="P24" s="15">
        <f t="shared" si="1"/>
        <v>19</v>
      </c>
      <c r="R24" s="38" t="s">
        <v>92</v>
      </c>
      <c r="S24" s="39">
        <f>MAX(S19:S21)</f>
        <v>31</v>
      </c>
      <c r="T24" s="39">
        <f t="shared" ref="T24:AF24" si="16">MAX(T19:T21)</f>
        <v>0</v>
      </c>
      <c r="U24" s="39">
        <f t="shared" si="16"/>
        <v>28</v>
      </c>
      <c r="V24" s="39">
        <f t="shared" si="16"/>
        <v>14</v>
      </c>
      <c r="W24" s="39">
        <f t="shared" si="16"/>
        <v>2</v>
      </c>
      <c r="X24" s="39">
        <f t="shared" si="16"/>
        <v>0</v>
      </c>
      <c r="Y24" s="39">
        <f t="shared" si="16"/>
        <v>8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98</v>
      </c>
      <c r="AD24" s="39">
        <f t="shared" si="16"/>
        <v>0</v>
      </c>
      <c r="AE24" s="40">
        <f t="shared" si="16"/>
        <v>83</v>
      </c>
      <c r="AF24" s="40">
        <f t="shared" si="16"/>
        <v>172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2</v>
      </c>
      <c r="F25" s="50">
        <v>4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24</v>
      </c>
      <c r="N25" s="50">
        <v>0</v>
      </c>
      <c r="O25" s="15">
        <f t="shared" si="0"/>
        <v>10</v>
      </c>
      <c r="P25" s="15">
        <f t="shared" si="1"/>
        <v>34</v>
      </c>
      <c r="R25" s="37" t="s">
        <v>85</v>
      </c>
      <c r="S25" s="35">
        <f t="shared" ref="S25:AF25" si="17">SUM(S10:S12)</f>
        <v>13</v>
      </c>
      <c r="T25" s="16">
        <f t="shared" si="17"/>
        <v>0</v>
      </c>
      <c r="U25" s="16">
        <f t="shared" si="17"/>
        <v>12</v>
      </c>
      <c r="V25" s="16">
        <f t="shared" si="17"/>
        <v>15</v>
      </c>
      <c r="W25" s="16">
        <f t="shared" si="17"/>
        <v>1</v>
      </c>
      <c r="X25" s="16">
        <f t="shared" si="17"/>
        <v>0</v>
      </c>
      <c r="Y25" s="16">
        <f t="shared" si="17"/>
        <v>10</v>
      </c>
      <c r="Z25" s="16">
        <f t="shared" si="17"/>
        <v>0</v>
      </c>
      <c r="AA25" s="16">
        <f t="shared" si="17"/>
        <v>1</v>
      </c>
      <c r="AB25" s="16">
        <f t="shared" si="17"/>
        <v>0</v>
      </c>
      <c r="AC25" s="16">
        <f t="shared" si="17"/>
        <v>181</v>
      </c>
      <c r="AD25" s="16">
        <f t="shared" si="17"/>
        <v>0</v>
      </c>
      <c r="AE25" s="32">
        <f t="shared" si="17"/>
        <v>52</v>
      </c>
      <c r="AF25" s="32">
        <f t="shared" si="17"/>
        <v>233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3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7</v>
      </c>
      <c r="P26" s="15">
        <f t="shared" si="1"/>
        <v>15</v>
      </c>
      <c r="R26" s="28" t="s">
        <v>86</v>
      </c>
      <c r="S26" s="16">
        <f t="shared" ref="S26:AF26" si="18">SUM(S13:S18)</f>
        <v>80</v>
      </c>
      <c r="T26" s="16">
        <f t="shared" si="18"/>
        <v>0</v>
      </c>
      <c r="U26" s="16">
        <f t="shared" si="18"/>
        <v>86</v>
      </c>
      <c r="V26" s="16">
        <f t="shared" si="18"/>
        <v>55</v>
      </c>
      <c r="W26" s="16">
        <f t="shared" si="18"/>
        <v>5</v>
      </c>
      <c r="X26" s="16">
        <f t="shared" si="18"/>
        <v>0</v>
      </c>
      <c r="Y26" s="16">
        <f t="shared" si="18"/>
        <v>27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476</v>
      </c>
      <c r="AD26" s="16">
        <f t="shared" si="18"/>
        <v>0</v>
      </c>
      <c r="AE26" s="32">
        <f t="shared" si="18"/>
        <v>253</v>
      </c>
      <c r="AF26" s="32">
        <f t="shared" si="18"/>
        <v>729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2</v>
      </c>
      <c r="F27" s="50">
        <v>0</v>
      </c>
      <c r="G27" s="50">
        <v>1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9</v>
      </c>
      <c r="P27" s="15">
        <f t="shared" si="1"/>
        <v>27</v>
      </c>
      <c r="R27" s="29" t="s">
        <v>87</v>
      </c>
      <c r="S27" s="16">
        <f t="shared" ref="S27:AF27" si="19">SUM(S19:S21)</f>
        <v>73</v>
      </c>
      <c r="T27" s="16">
        <f t="shared" si="19"/>
        <v>0</v>
      </c>
      <c r="U27" s="16">
        <f t="shared" si="19"/>
        <v>70</v>
      </c>
      <c r="V27" s="16">
        <f t="shared" si="19"/>
        <v>42</v>
      </c>
      <c r="W27" s="16">
        <f t="shared" si="19"/>
        <v>2</v>
      </c>
      <c r="X27" s="16">
        <f t="shared" si="19"/>
        <v>0</v>
      </c>
      <c r="Y27" s="16">
        <f t="shared" si="19"/>
        <v>21</v>
      </c>
      <c r="Z27" s="16">
        <f t="shared" si="19"/>
        <v>1</v>
      </c>
      <c r="AA27" s="16">
        <f t="shared" si="19"/>
        <v>1</v>
      </c>
      <c r="AB27" s="16">
        <f t="shared" si="19"/>
        <v>0</v>
      </c>
      <c r="AC27" s="16">
        <f t="shared" si="19"/>
        <v>274</v>
      </c>
      <c r="AD27" s="16">
        <f t="shared" si="19"/>
        <v>0</v>
      </c>
      <c r="AE27" s="32">
        <f t="shared" si="19"/>
        <v>210</v>
      </c>
      <c r="AF27" s="32">
        <f t="shared" si="19"/>
        <v>484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2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22</v>
      </c>
      <c r="N28" s="50">
        <v>0</v>
      </c>
      <c r="O28" s="15">
        <f t="shared" si="0"/>
        <v>6</v>
      </c>
      <c r="P28" s="15">
        <f t="shared" si="1"/>
        <v>28</v>
      </c>
      <c r="R28" s="5" t="s">
        <v>17</v>
      </c>
      <c r="S28" s="16">
        <f t="shared" ref="S28:AF28" si="20">SUM(S10:S21)</f>
        <v>166</v>
      </c>
      <c r="T28" s="16">
        <f t="shared" si="20"/>
        <v>0</v>
      </c>
      <c r="U28" s="16">
        <f t="shared" si="20"/>
        <v>168</v>
      </c>
      <c r="V28" s="16">
        <f t="shared" si="20"/>
        <v>112</v>
      </c>
      <c r="W28" s="16">
        <f t="shared" si="20"/>
        <v>8</v>
      </c>
      <c r="X28" s="16">
        <f t="shared" si="20"/>
        <v>0</v>
      </c>
      <c r="Y28" s="16">
        <f t="shared" si="20"/>
        <v>58</v>
      </c>
      <c r="Z28" s="16">
        <f t="shared" si="20"/>
        <v>1</v>
      </c>
      <c r="AA28" s="16">
        <f t="shared" si="20"/>
        <v>2</v>
      </c>
      <c r="AB28" s="16">
        <f t="shared" si="20"/>
        <v>0</v>
      </c>
      <c r="AC28" s="16">
        <f t="shared" si="20"/>
        <v>931</v>
      </c>
      <c r="AD28" s="16">
        <f t="shared" si="20"/>
        <v>0</v>
      </c>
      <c r="AE28" s="32">
        <f t="shared" si="20"/>
        <v>515</v>
      </c>
      <c r="AF28" s="32">
        <f t="shared" si="20"/>
        <v>1446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3</v>
      </c>
      <c r="F29" s="50">
        <v>1</v>
      </c>
      <c r="G29" s="50">
        <v>1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8</v>
      </c>
      <c r="P29" s="15">
        <f t="shared" si="1"/>
        <v>23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2</v>
      </c>
      <c r="P30" s="15">
        <f t="shared" si="1"/>
        <v>21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1</v>
      </c>
      <c r="F31" s="50">
        <v>3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25</v>
      </c>
      <c r="N31" s="50">
        <v>0</v>
      </c>
      <c r="O31" s="15">
        <f t="shared" si="0"/>
        <v>8</v>
      </c>
      <c r="P31" s="15">
        <f t="shared" si="1"/>
        <v>33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4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26</v>
      </c>
      <c r="N32" s="50">
        <v>0</v>
      </c>
      <c r="O32" s="15">
        <f t="shared" si="0"/>
        <v>8</v>
      </c>
      <c r="P32" s="15">
        <f t="shared" si="1"/>
        <v>34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24</v>
      </c>
      <c r="N33" s="50">
        <v>0</v>
      </c>
      <c r="O33" s="15">
        <f t="shared" si="0"/>
        <v>5</v>
      </c>
      <c r="P33" s="15">
        <f t="shared" si="1"/>
        <v>29</v>
      </c>
    </row>
    <row r="34" spans="2:20" ht="23.1" customHeight="1" x14ac:dyDescent="0.25">
      <c r="B34" s="24" t="s">
        <v>61</v>
      </c>
      <c r="C34" s="50">
        <v>6</v>
      </c>
      <c r="D34" s="50">
        <v>0</v>
      </c>
      <c r="E34" s="50">
        <v>2</v>
      </c>
      <c r="F34" s="50">
        <v>3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22</v>
      </c>
      <c r="N34" s="50">
        <v>0</v>
      </c>
      <c r="O34" s="15">
        <f t="shared" si="0"/>
        <v>11</v>
      </c>
      <c r="P34" s="15">
        <f t="shared" si="1"/>
        <v>33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2</v>
      </c>
      <c r="F35" s="50">
        <v>2</v>
      </c>
      <c r="G35" s="50">
        <v>1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18</v>
      </c>
      <c r="N35" s="50">
        <v>0</v>
      </c>
      <c r="O35" s="15">
        <f t="shared" si="0"/>
        <v>9</v>
      </c>
      <c r="P35" s="15">
        <f t="shared" si="1"/>
        <v>27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2</v>
      </c>
      <c r="F36" s="50">
        <v>1</v>
      </c>
      <c r="G36" s="50">
        <v>2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23</v>
      </c>
      <c r="N36" s="50">
        <v>0</v>
      </c>
      <c r="O36" s="15">
        <f t="shared" si="0"/>
        <v>7</v>
      </c>
      <c r="P36" s="15">
        <f t="shared" si="1"/>
        <v>30</v>
      </c>
    </row>
    <row r="37" spans="2:20" ht="23.1" customHeight="1" x14ac:dyDescent="0.25">
      <c r="B37" s="23" t="s">
        <v>64</v>
      </c>
      <c r="C37" s="50">
        <v>5</v>
      </c>
      <c r="D37" s="50">
        <v>0</v>
      </c>
      <c r="E37" s="50">
        <v>2</v>
      </c>
      <c r="F37" s="50">
        <v>1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24</v>
      </c>
      <c r="N37" s="50">
        <v>0</v>
      </c>
      <c r="O37" s="15">
        <f t="shared" si="0"/>
        <v>10</v>
      </c>
      <c r="P37" s="15">
        <f t="shared" si="1"/>
        <v>34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5</v>
      </c>
      <c r="F38" s="50">
        <v>5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17</v>
      </c>
      <c r="N38" s="50">
        <v>0</v>
      </c>
      <c r="O38" s="15">
        <f t="shared" si="0"/>
        <v>18</v>
      </c>
      <c r="P38" s="15">
        <f t="shared" si="1"/>
        <v>35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5</v>
      </c>
      <c r="F39" s="50">
        <v>3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11</v>
      </c>
      <c r="P39" s="15">
        <f t="shared" si="1"/>
        <v>31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6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20</v>
      </c>
      <c r="N40" s="50">
        <v>0</v>
      </c>
      <c r="O40" s="15">
        <f t="shared" si="0"/>
        <v>10</v>
      </c>
      <c r="P40" s="15">
        <f t="shared" si="1"/>
        <v>30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6</v>
      </c>
      <c r="F41" s="50">
        <v>3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19</v>
      </c>
      <c r="N41" s="50">
        <v>0</v>
      </c>
      <c r="O41" s="15">
        <f t="shared" si="0"/>
        <v>12</v>
      </c>
      <c r="P41" s="15">
        <f t="shared" si="1"/>
        <v>31</v>
      </c>
    </row>
    <row r="42" spans="2:20" ht="23.1" customHeight="1" x14ac:dyDescent="0.25">
      <c r="B42" s="24" t="s">
        <v>69</v>
      </c>
      <c r="C42" s="50">
        <v>6</v>
      </c>
      <c r="D42" s="50">
        <v>0</v>
      </c>
      <c r="E42" s="50">
        <v>10</v>
      </c>
      <c r="F42" s="50">
        <v>2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18</v>
      </c>
      <c r="N42" s="50">
        <v>0</v>
      </c>
      <c r="O42" s="15">
        <f t="shared" si="0"/>
        <v>20</v>
      </c>
      <c r="P42" s="15">
        <f t="shared" si="1"/>
        <v>38</v>
      </c>
    </row>
    <row r="43" spans="2:20" ht="23.1" customHeight="1" x14ac:dyDescent="0.25">
      <c r="B43" s="23" t="s">
        <v>70</v>
      </c>
      <c r="C43" s="50">
        <v>11</v>
      </c>
      <c r="D43" s="50">
        <v>0</v>
      </c>
      <c r="E43" s="50">
        <v>7</v>
      </c>
      <c r="F43" s="50">
        <v>5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22</v>
      </c>
      <c r="N43" s="50">
        <v>0</v>
      </c>
      <c r="O43" s="15">
        <f t="shared" si="0"/>
        <v>26</v>
      </c>
      <c r="P43" s="15">
        <f t="shared" si="1"/>
        <v>48</v>
      </c>
    </row>
    <row r="44" spans="2:20" ht="23.1" customHeight="1" x14ac:dyDescent="0.25">
      <c r="B44" s="25" t="s">
        <v>71</v>
      </c>
      <c r="C44" s="50">
        <v>11</v>
      </c>
      <c r="D44" s="50">
        <v>0</v>
      </c>
      <c r="E44" s="50">
        <v>9</v>
      </c>
      <c r="F44" s="50">
        <v>2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25</v>
      </c>
      <c r="N44" s="50">
        <v>0</v>
      </c>
      <c r="O44" s="15">
        <f t="shared" si="0"/>
        <v>23</v>
      </c>
      <c r="P44" s="15">
        <f t="shared" si="1"/>
        <v>48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8</v>
      </c>
      <c r="F45" s="50">
        <v>5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18</v>
      </c>
      <c r="N45" s="50">
        <v>0</v>
      </c>
      <c r="O45" s="15">
        <f t="shared" si="0"/>
        <v>16</v>
      </c>
      <c r="P45" s="15">
        <f t="shared" si="1"/>
        <v>34</v>
      </c>
    </row>
    <row r="46" spans="2:20" ht="23.1" customHeight="1" x14ac:dyDescent="0.25">
      <c r="B46" s="24" t="s">
        <v>73</v>
      </c>
      <c r="C46" s="50">
        <v>7</v>
      </c>
      <c r="D46" s="50">
        <v>0</v>
      </c>
      <c r="E46" s="50">
        <v>3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28</v>
      </c>
      <c r="N46" s="50">
        <v>0</v>
      </c>
      <c r="O46" s="15">
        <f t="shared" si="0"/>
        <v>13</v>
      </c>
      <c r="P46" s="15">
        <f t="shared" si="1"/>
        <v>41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4</v>
      </c>
      <c r="F47" s="50">
        <v>2</v>
      </c>
      <c r="G47" s="50">
        <v>0</v>
      </c>
      <c r="H47" s="50">
        <v>0</v>
      </c>
      <c r="I47" s="50">
        <v>3</v>
      </c>
      <c r="J47" s="50">
        <v>1</v>
      </c>
      <c r="K47" s="50">
        <v>1</v>
      </c>
      <c r="L47" s="50">
        <v>0</v>
      </c>
      <c r="M47" s="50">
        <v>26</v>
      </c>
      <c r="N47" s="50">
        <v>0</v>
      </c>
      <c r="O47" s="15">
        <f t="shared" si="0"/>
        <v>12</v>
      </c>
      <c r="P47" s="15">
        <f t="shared" si="1"/>
        <v>38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0</v>
      </c>
      <c r="E48" s="50">
        <v>6</v>
      </c>
      <c r="F48" s="50">
        <v>6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17</v>
      </c>
      <c r="N48" s="50">
        <v>0</v>
      </c>
      <c r="O48" s="15">
        <f t="shared" si="0"/>
        <v>20</v>
      </c>
      <c r="P48" s="15">
        <f t="shared" si="1"/>
        <v>37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0</v>
      </c>
      <c r="E49" s="50">
        <v>6</v>
      </c>
      <c r="F49" s="50">
        <v>4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18</v>
      </c>
      <c r="P49" s="15">
        <f t="shared" si="1"/>
        <v>34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0</v>
      </c>
      <c r="E50" s="50">
        <v>5</v>
      </c>
      <c r="F50" s="50">
        <v>3</v>
      </c>
      <c r="G50" s="50">
        <v>1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30</v>
      </c>
      <c r="N50" s="50">
        <v>0</v>
      </c>
      <c r="O50" s="15">
        <f t="shared" si="0"/>
        <v>18</v>
      </c>
      <c r="P50" s="15">
        <f t="shared" si="1"/>
        <v>48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0</v>
      </c>
      <c r="E51" s="50">
        <v>10</v>
      </c>
      <c r="F51" s="50">
        <v>6</v>
      </c>
      <c r="G51" s="50">
        <v>1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21</v>
      </c>
      <c r="N51" s="50">
        <v>0</v>
      </c>
      <c r="O51" s="15">
        <f t="shared" si="0"/>
        <v>25</v>
      </c>
      <c r="P51" s="15">
        <f t="shared" si="1"/>
        <v>46</v>
      </c>
      <c r="R51" s="8"/>
      <c r="T51"/>
    </row>
    <row r="52" spans="2:20" ht="23.1" customHeight="1" x14ac:dyDescent="0.25">
      <c r="B52" s="24" t="s">
        <v>79</v>
      </c>
      <c r="C52" s="50">
        <v>11</v>
      </c>
      <c r="D52" s="50">
        <v>0</v>
      </c>
      <c r="E52" s="50">
        <v>8</v>
      </c>
      <c r="F52" s="50">
        <v>3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26</v>
      </c>
      <c r="P52" s="15">
        <f t="shared" si="1"/>
        <v>46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0</v>
      </c>
      <c r="E53" s="50">
        <v>5</v>
      </c>
      <c r="F53" s="50">
        <v>2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18</v>
      </c>
      <c r="N53" s="50">
        <v>0</v>
      </c>
      <c r="O53" s="15">
        <f t="shared" si="0"/>
        <v>14</v>
      </c>
      <c r="P53" s="15">
        <f t="shared" si="1"/>
        <v>32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0</v>
      </c>
      <c r="E54" s="50">
        <v>2</v>
      </c>
      <c r="F54" s="50">
        <v>6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27</v>
      </c>
      <c r="N54" s="50">
        <v>0</v>
      </c>
      <c r="O54" s="15">
        <f t="shared" si="0"/>
        <v>14</v>
      </c>
      <c r="P54" s="15">
        <f t="shared" si="1"/>
        <v>41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7</v>
      </c>
      <c r="F55" s="50">
        <v>2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22</v>
      </c>
      <c r="N55" s="50">
        <v>0</v>
      </c>
      <c r="O55" s="15">
        <f t="shared" si="0"/>
        <v>15</v>
      </c>
      <c r="P55" s="15">
        <f t="shared" si="1"/>
        <v>37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0</v>
      </c>
      <c r="E56" s="50">
        <v>7</v>
      </c>
      <c r="F56" s="50">
        <v>5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21</v>
      </c>
      <c r="N56" s="50">
        <v>0</v>
      </c>
      <c r="O56" s="15">
        <f t="shared" si="0"/>
        <v>20</v>
      </c>
      <c r="P56" s="15">
        <f t="shared" si="1"/>
        <v>41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0</v>
      </c>
      <c r="E57" s="50">
        <v>7</v>
      </c>
      <c r="F57" s="50">
        <v>1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15</v>
      </c>
      <c r="P57" s="15">
        <f t="shared" si="1"/>
        <v>43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166</v>
      </c>
      <c r="D58" s="16">
        <f t="shared" si="21"/>
        <v>0</v>
      </c>
      <c r="E58" s="16">
        <f t="shared" si="21"/>
        <v>168</v>
      </c>
      <c r="F58" s="16">
        <f t="shared" si="21"/>
        <v>112</v>
      </c>
      <c r="G58" s="16">
        <f t="shared" si="21"/>
        <v>8</v>
      </c>
      <c r="H58" s="16">
        <f t="shared" si="21"/>
        <v>0</v>
      </c>
      <c r="I58" s="16">
        <f t="shared" si="21"/>
        <v>58</v>
      </c>
      <c r="J58" s="16">
        <f t="shared" si="21"/>
        <v>1</v>
      </c>
      <c r="K58" s="16">
        <f t="shared" si="21"/>
        <v>2</v>
      </c>
      <c r="L58" s="16">
        <f t="shared" si="21"/>
        <v>0</v>
      </c>
      <c r="M58" s="16">
        <f t="shared" si="21"/>
        <v>931</v>
      </c>
      <c r="N58" s="16">
        <f t="shared" si="21"/>
        <v>0</v>
      </c>
      <c r="O58" s="16">
        <f t="shared" si="21"/>
        <v>515</v>
      </c>
      <c r="P58" s="16">
        <f t="shared" si="21"/>
        <v>1446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0.11479944674965421</v>
      </c>
      <c r="D59" s="43">
        <f t="shared" si="22"/>
        <v>0</v>
      </c>
      <c r="E59" s="43">
        <f t="shared" si="22"/>
        <v>0.11618257261410789</v>
      </c>
      <c r="F59" s="43">
        <f t="shared" si="22"/>
        <v>7.7455048409405258E-2</v>
      </c>
      <c r="G59" s="43">
        <f t="shared" si="22"/>
        <v>5.5325034578146614E-3</v>
      </c>
      <c r="H59" s="43">
        <f t="shared" si="22"/>
        <v>0</v>
      </c>
      <c r="I59" s="43">
        <f t="shared" si="22"/>
        <v>4.0110650069156296E-2</v>
      </c>
      <c r="J59" s="43">
        <f t="shared" si="22"/>
        <v>6.9156293222683268E-4</v>
      </c>
      <c r="K59" s="43">
        <f t="shared" si="22"/>
        <v>1.3831258644536654E-3</v>
      </c>
      <c r="L59" s="43">
        <f t="shared" si="22"/>
        <v>0</v>
      </c>
      <c r="M59" s="43">
        <f t="shared" si="22"/>
        <v>0.64384508990318123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0.32233009708737864</v>
      </c>
      <c r="D60" s="44">
        <f t="shared" ref="D60:N60" si="23">D58/$O$58</f>
        <v>0</v>
      </c>
      <c r="E60" s="44">
        <f t="shared" si="23"/>
        <v>0.32621359223300972</v>
      </c>
      <c r="F60" s="44">
        <f t="shared" si="23"/>
        <v>0.2174757281553398</v>
      </c>
      <c r="G60" s="44">
        <f t="shared" si="23"/>
        <v>1.5533980582524271E-2</v>
      </c>
      <c r="H60" s="44">
        <f t="shared" si="23"/>
        <v>0</v>
      </c>
      <c r="I60" s="44">
        <f t="shared" si="23"/>
        <v>0.11262135922330097</v>
      </c>
      <c r="J60" s="44">
        <f t="shared" si="23"/>
        <v>1.9417475728155339E-3</v>
      </c>
      <c r="K60" s="44">
        <f t="shared" si="23"/>
        <v>3.8834951456310678E-3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zoomScale="60" workbookViewId="0">
      <selection activeCell="AE47" sqref="AE4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'25.08 Bukaya-Kampala'!C3:G3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'25.08 Kampala-Bukaya'!G5:H5</f>
        <v>Nyenga</v>
      </c>
      <c r="H5" s="64"/>
      <c r="I5" s="14"/>
      <c r="J5" s="2" t="s">
        <v>5</v>
      </c>
      <c r="K5" s="63" t="str">
        <f>'25.08 Kampala-Bukaya'!K5:L5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'25.08 Kampala-Bukaya'!D6:E6</f>
        <v>Kampala</v>
      </c>
      <c r="E6" s="64"/>
      <c r="F6" s="2" t="s">
        <v>2</v>
      </c>
      <c r="G6" s="63" t="str">
        <f>'25.08 Kampala-Bukaya'!G6:H6</f>
        <v>Bukaya</v>
      </c>
      <c r="H6" s="64"/>
      <c r="J6" s="2" t="s">
        <v>21</v>
      </c>
      <c r="K6" s="63" t="str">
        <f>'25.08 Kampala-Bukaya'!K6:L6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AVERAGE('19.08 Kampala-Bukaya'!C10,'20.08 Kampala-Bukaya'!C10,'21.08 Kampala-Bukaya'!C10,'22.08 Kampala-Bukaya'!C10,'23.08 Kampala-Bukaya-24h'!C10,'24.08 Kampala-Bukaya-24h'!C10,'25.08 Kampala-Bukaya'!C10)</f>
        <v>1.4285714285714286</v>
      </c>
      <c r="D10" s="49">
        <f>AVERAGE('19.08 Kampala-Bukaya'!D10,'20.08 Kampala-Bukaya'!D10,'21.08 Kampala-Bukaya'!D10,'22.08 Kampala-Bukaya'!D10,'23.08 Kampala-Bukaya-24h'!D10,'24.08 Kampala-Bukaya-24h'!D10,'25.08 Kampala-Bukaya'!D10)</f>
        <v>0</v>
      </c>
      <c r="E10" s="49">
        <f>AVERAGE('19.08 Kampala-Bukaya'!E10,'20.08 Kampala-Bukaya'!E10,'21.08 Kampala-Bukaya'!E10,'22.08 Kampala-Bukaya'!E10,'23.08 Kampala-Bukaya-24h'!E10,'24.08 Kampala-Bukaya-24h'!E10,'25.08 Kampala-Bukaya'!E10)</f>
        <v>1.2857142857142858</v>
      </c>
      <c r="F10" s="49">
        <f>AVERAGE('19.08 Kampala-Bukaya'!F10,'20.08 Kampala-Bukaya'!F10,'21.08 Kampala-Bukaya'!F10,'22.08 Kampala-Bukaya'!F10,'23.08 Kampala-Bukaya-24h'!F10,'24.08 Kampala-Bukaya-24h'!F10,'25.08 Kampala-Bukaya'!F10)</f>
        <v>0.14285714285714285</v>
      </c>
      <c r="G10" s="49">
        <f>AVERAGE('19.08 Kampala-Bukaya'!G10,'20.08 Kampala-Bukaya'!G10,'21.08 Kampala-Bukaya'!G10,'22.08 Kampala-Bukaya'!G10,'23.08 Kampala-Bukaya-24h'!G10,'24.08 Kampala-Bukaya-24h'!G10,'25.08 Kampala-Bukaya'!G10)</f>
        <v>0</v>
      </c>
      <c r="H10" s="49">
        <f>AVERAGE('19.08 Kampala-Bukaya'!H10,'20.08 Kampala-Bukaya'!H10,'21.08 Kampala-Bukaya'!H10,'22.08 Kampala-Bukaya'!H10,'23.08 Kampala-Bukaya-24h'!H10,'24.08 Kampala-Bukaya-24h'!H10,'25.08 Kampala-Bukaya'!H10)</f>
        <v>0</v>
      </c>
      <c r="I10" s="49">
        <f>AVERAGE('19.08 Kampala-Bukaya'!I10,'20.08 Kampala-Bukaya'!I10,'21.08 Kampala-Bukaya'!I10,'22.08 Kampala-Bukaya'!I10,'23.08 Kampala-Bukaya-24h'!I10,'24.08 Kampala-Bukaya-24h'!I10,'25.08 Kampala-Bukaya'!I10)</f>
        <v>1</v>
      </c>
      <c r="J10" s="49">
        <f>AVERAGE('19.08 Kampala-Bukaya'!J10,'20.08 Kampala-Bukaya'!J10,'21.08 Kampala-Bukaya'!J10,'22.08 Kampala-Bukaya'!J10,'23.08 Kampala-Bukaya-24h'!J10,'24.08 Kampala-Bukaya-24h'!J10,'25.08 Kampala-Bukaya'!J10)</f>
        <v>0</v>
      </c>
      <c r="K10" s="49">
        <f>AVERAGE('19.08 Kampala-Bukaya'!K10,'20.08 Kampala-Bukaya'!K10,'21.08 Kampala-Bukaya'!K10,'22.08 Kampala-Bukaya'!K10,'23.08 Kampala-Bukaya-24h'!K10,'24.08 Kampala-Bukaya-24h'!K10,'25.08 Kampala-Bukaya'!K10)</f>
        <v>0.14285714285714285</v>
      </c>
      <c r="L10" s="49">
        <f>AVERAGE('19.08 Kampala-Bukaya'!L10,'20.08 Kampala-Bukaya'!L10,'21.08 Kampala-Bukaya'!L10,'22.08 Kampala-Bukaya'!L10,'23.08 Kampala-Bukaya-24h'!L10,'24.08 Kampala-Bukaya-24h'!L10,'25.08 Kampala-Bukaya'!L10)</f>
        <v>0</v>
      </c>
      <c r="M10" s="49">
        <f>AVERAGE('19.08 Kampala-Bukaya'!M10,'20.08 Kampala-Bukaya'!M10,'21.08 Kampala-Bukaya'!M10,'22.08 Kampala-Bukaya'!M10,'23.08 Kampala-Bukaya-24h'!M10,'24.08 Kampala-Bukaya-24h'!M10,'25.08 Kampala-Bukaya'!M10)</f>
        <v>11.571428571428571</v>
      </c>
      <c r="N10" s="49">
        <f>AVERAGE('19.08 Kampala-Bukaya'!N10,'20.08 Kampala-Bukaya'!N10,'21.08 Kampala-Bukaya'!N10,'22.08 Kampala-Bukaya'!N10,'23.08 Kampala-Bukaya-24h'!N10,'24.08 Kampala-Bukaya-24h'!N10,'25.08 Kampala-Bukaya'!N10)</f>
        <v>0</v>
      </c>
      <c r="O10" s="15">
        <f t="shared" ref="O10:P73" si="0">SUM(C10:L10,N10)</f>
        <v>4</v>
      </c>
      <c r="P10" s="15">
        <f t="shared" ref="P10:P56" si="1">SUM(C10:N10)</f>
        <v>15.571428571428571</v>
      </c>
      <c r="R10" s="1" t="s">
        <v>6</v>
      </c>
      <c r="S10" s="17">
        <f t="shared" ref="S10:AF10" si="2">SUM(C10:C13)</f>
        <v>6.5714285714285712</v>
      </c>
      <c r="T10" s="17">
        <f t="shared" si="2"/>
        <v>0</v>
      </c>
      <c r="U10" s="17">
        <f t="shared" si="2"/>
        <v>8.1428571428571441</v>
      </c>
      <c r="V10" s="17">
        <f t="shared" si="2"/>
        <v>2.4285714285714284</v>
      </c>
      <c r="W10" s="17">
        <f t="shared" si="2"/>
        <v>0.2857142857142857</v>
      </c>
      <c r="X10" s="17">
        <f t="shared" si="2"/>
        <v>0</v>
      </c>
      <c r="Y10" s="17">
        <f t="shared" si="2"/>
        <v>4.7142857142857144</v>
      </c>
      <c r="Z10" s="17">
        <f t="shared" si="2"/>
        <v>0</v>
      </c>
      <c r="AA10" s="17">
        <f t="shared" si="2"/>
        <v>0.14285714285714285</v>
      </c>
      <c r="AB10" s="17">
        <f t="shared" si="2"/>
        <v>0</v>
      </c>
      <c r="AC10" s="17">
        <f t="shared" si="2"/>
        <v>50.571428571428569</v>
      </c>
      <c r="AD10" s="17">
        <f t="shared" si="2"/>
        <v>0.14285714285714285</v>
      </c>
      <c r="AE10" s="31">
        <f t="shared" si="2"/>
        <v>22.428571428571427</v>
      </c>
      <c r="AF10" s="31">
        <f t="shared" si="2"/>
        <v>73</v>
      </c>
    </row>
    <row r="11" spans="2:32" s="6" customFormat="1" ht="23.1" customHeight="1" x14ac:dyDescent="0.25">
      <c r="B11" s="23" t="s">
        <v>38</v>
      </c>
      <c r="C11" s="49">
        <f>AVERAGE('19.08 Kampala-Bukaya'!C11,'20.08 Kampala-Bukaya'!C11,'21.08 Kampala-Bukaya'!C11,'22.08 Kampala-Bukaya'!C11,'23.08 Kampala-Bukaya-24h'!C11,'24.08 Kampala-Bukaya-24h'!C11,'25.08 Kampala-Bukaya'!C11)</f>
        <v>1.5714285714285714</v>
      </c>
      <c r="D11" s="49">
        <f>AVERAGE('19.08 Kampala-Bukaya'!D11,'20.08 Kampala-Bukaya'!D11,'21.08 Kampala-Bukaya'!D11,'22.08 Kampala-Bukaya'!D11,'23.08 Kampala-Bukaya-24h'!D11,'24.08 Kampala-Bukaya-24h'!D11,'25.08 Kampala-Bukaya'!D11)</f>
        <v>0</v>
      </c>
      <c r="E11" s="49">
        <f>AVERAGE('19.08 Kampala-Bukaya'!E11,'20.08 Kampala-Bukaya'!E11,'21.08 Kampala-Bukaya'!E11,'22.08 Kampala-Bukaya'!E11,'23.08 Kampala-Bukaya-24h'!E11,'24.08 Kampala-Bukaya-24h'!E11,'25.08 Kampala-Bukaya'!E11)</f>
        <v>1.2857142857142858</v>
      </c>
      <c r="F11" s="49">
        <f>AVERAGE('19.08 Kampala-Bukaya'!F11,'20.08 Kampala-Bukaya'!F11,'21.08 Kampala-Bukaya'!F11,'22.08 Kampala-Bukaya'!F11,'23.08 Kampala-Bukaya-24h'!F11,'24.08 Kampala-Bukaya-24h'!F11,'25.08 Kampala-Bukaya'!F11)</f>
        <v>0.5714285714285714</v>
      </c>
      <c r="G11" s="49">
        <f>AVERAGE('19.08 Kampala-Bukaya'!G11,'20.08 Kampala-Bukaya'!G11,'21.08 Kampala-Bukaya'!G11,'22.08 Kampala-Bukaya'!G11,'23.08 Kampala-Bukaya-24h'!G11,'24.08 Kampala-Bukaya-24h'!G11,'25.08 Kampala-Bukaya'!G11)</f>
        <v>0</v>
      </c>
      <c r="H11" s="49">
        <f>AVERAGE('19.08 Kampala-Bukaya'!H11,'20.08 Kampala-Bukaya'!H11,'21.08 Kampala-Bukaya'!H11,'22.08 Kampala-Bukaya'!H11,'23.08 Kampala-Bukaya-24h'!H11,'24.08 Kampala-Bukaya-24h'!H11,'25.08 Kampala-Bukaya'!H11)</f>
        <v>0</v>
      </c>
      <c r="I11" s="49">
        <f>AVERAGE('19.08 Kampala-Bukaya'!I11,'20.08 Kampala-Bukaya'!I11,'21.08 Kampala-Bukaya'!I11,'22.08 Kampala-Bukaya'!I11,'23.08 Kampala-Bukaya-24h'!I11,'24.08 Kampala-Bukaya-24h'!I11,'25.08 Kampala-Bukaya'!I11)</f>
        <v>1.7142857142857142</v>
      </c>
      <c r="J11" s="49">
        <f>AVERAGE('19.08 Kampala-Bukaya'!J11,'20.08 Kampala-Bukaya'!J11,'21.08 Kampala-Bukaya'!J11,'22.08 Kampala-Bukaya'!J11,'23.08 Kampala-Bukaya-24h'!J11,'24.08 Kampala-Bukaya-24h'!J11,'25.08 Kampala-Bukaya'!J11)</f>
        <v>0</v>
      </c>
      <c r="K11" s="49">
        <f>AVERAGE('19.08 Kampala-Bukaya'!K11,'20.08 Kampala-Bukaya'!K11,'21.08 Kampala-Bukaya'!K11,'22.08 Kampala-Bukaya'!K11,'23.08 Kampala-Bukaya-24h'!K11,'24.08 Kampala-Bukaya-24h'!K11,'25.08 Kampala-Bukaya'!K11)</f>
        <v>0</v>
      </c>
      <c r="L11" s="49">
        <f>AVERAGE('19.08 Kampala-Bukaya'!L11,'20.08 Kampala-Bukaya'!L11,'21.08 Kampala-Bukaya'!L11,'22.08 Kampala-Bukaya'!L11,'23.08 Kampala-Bukaya-24h'!L11,'24.08 Kampala-Bukaya-24h'!L11,'25.08 Kampala-Bukaya'!L11)</f>
        <v>0</v>
      </c>
      <c r="M11" s="49">
        <f>AVERAGE('19.08 Kampala-Bukaya'!M11,'20.08 Kampala-Bukaya'!M11,'21.08 Kampala-Bukaya'!M11,'22.08 Kampala-Bukaya'!M11,'23.08 Kampala-Bukaya-24h'!M11,'24.08 Kampala-Bukaya-24h'!M11,'25.08 Kampala-Bukaya'!M11)</f>
        <v>9.5714285714285712</v>
      </c>
      <c r="N11" s="49">
        <f>AVERAGE('19.08 Kampala-Bukaya'!N11,'20.08 Kampala-Bukaya'!N11,'21.08 Kampala-Bukaya'!N11,'22.08 Kampala-Bukaya'!N11,'23.08 Kampala-Bukaya-24h'!N11,'24.08 Kampala-Bukaya-24h'!N11,'25.08 Kampala-Bukaya'!N11)</f>
        <v>0</v>
      </c>
      <c r="O11" s="15">
        <f t="shared" si="0"/>
        <v>5.1428571428571432</v>
      </c>
      <c r="P11" s="15">
        <f t="shared" si="1"/>
        <v>14.714285714285715</v>
      </c>
      <c r="R11" s="1" t="s">
        <v>7</v>
      </c>
      <c r="S11" s="17">
        <f t="shared" ref="S11:AF11" si="3">SUM(C14:C17)</f>
        <v>6.7142857142857144</v>
      </c>
      <c r="T11" s="17">
        <f t="shared" si="3"/>
        <v>0</v>
      </c>
      <c r="U11" s="17">
        <f t="shared" si="3"/>
        <v>8.8571428571428577</v>
      </c>
      <c r="V11" s="17">
        <f t="shared" si="3"/>
        <v>4.5714285714285712</v>
      </c>
      <c r="W11" s="17">
        <f t="shared" si="3"/>
        <v>0.42857142857142855</v>
      </c>
      <c r="X11" s="17">
        <f t="shared" si="3"/>
        <v>0</v>
      </c>
      <c r="Y11" s="17">
        <f t="shared" si="3"/>
        <v>7</v>
      </c>
      <c r="Z11" s="17">
        <f t="shared" si="3"/>
        <v>0.14285714285714285</v>
      </c>
      <c r="AA11" s="17">
        <f t="shared" si="3"/>
        <v>0.2857142857142857</v>
      </c>
      <c r="AB11" s="17">
        <f t="shared" si="3"/>
        <v>0.14285714285714285</v>
      </c>
      <c r="AC11" s="17">
        <f t="shared" si="3"/>
        <v>61.142857142857139</v>
      </c>
      <c r="AD11" s="17">
        <f t="shared" si="3"/>
        <v>0.14285714285714285</v>
      </c>
      <c r="AE11" s="31">
        <f t="shared" si="3"/>
        <v>28.285714285714285</v>
      </c>
      <c r="AF11" s="31">
        <f t="shared" si="3"/>
        <v>89.428571428571431</v>
      </c>
    </row>
    <row r="12" spans="2:32" ht="23.1" customHeight="1" x14ac:dyDescent="0.25">
      <c r="B12" s="23" t="s">
        <v>39</v>
      </c>
      <c r="C12" s="49">
        <f>AVERAGE('19.08 Kampala-Bukaya'!C12,'20.08 Kampala-Bukaya'!C12,'21.08 Kampala-Bukaya'!C12,'22.08 Kampala-Bukaya'!C12,'23.08 Kampala-Bukaya-24h'!C12,'24.08 Kampala-Bukaya-24h'!C12,'25.08 Kampala-Bukaya'!C12)</f>
        <v>1.5714285714285714</v>
      </c>
      <c r="D12" s="49">
        <f>AVERAGE('19.08 Kampala-Bukaya'!D12,'20.08 Kampala-Bukaya'!D12,'21.08 Kampala-Bukaya'!D12,'22.08 Kampala-Bukaya'!D12,'23.08 Kampala-Bukaya-24h'!D12,'24.08 Kampala-Bukaya-24h'!D12,'25.08 Kampala-Bukaya'!D12)</f>
        <v>0</v>
      </c>
      <c r="E12" s="49">
        <f>AVERAGE('19.08 Kampala-Bukaya'!E12,'20.08 Kampala-Bukaya'!E12,'21.08 Kampala-Bukaya'!E12,'22.08 Kampala-Bukaya'!E12,'23.08 Kampala-Bukaya-24h'!E12,'24.08 Kampala-Bukaya-24h'!E12,'25.08 Kampala-Bukaya'!E12)</f>
        <v>2.7142857142857144</v>
      </c>
      <c r="F12" s="49">
        <f>AVERAGE('19.08 Kampala-Bukaya'!F12,'20.08 Kampala-Bukaya'!F12,'21.08 Kampala-Bukaya'!F12,'22.08 Kampala-Bukaya'!F12,'23.08 Kampala-Bukaya-24h'!F12,'24.08 Kampala-Bukaya-24h'!F12,'25.08 Kampala-Bukaya'!F12)</f>
        <v>0.8571428571428571</v>
      </c>
      <c r="G12" s="49">
        <f>AVERAGE('19.08 Kampala-Bukaya'!G12,'20.08 Kampala-Bukaya'!G12,'21.08 Kampala-Bukaya'!G12,'22.08 Kampala-Bukaya'!G12,'23.08 Kampala-Bukaya-24h'!G12,'24.08 Kampala-Bukaya-24h'!G12,'25.08 Kampala-Bukaya'!G12)</f>
        <v>0</v>
      </c>
      <c r="H12" s="49">
        <f>AVERAGE('19.08 Kampala-Bukaya'!H12,'20.08 Kampala-Bukaya'!H12,'21.08 Kampala-Bukaya'!H12,'22.08 Kampala-Bukaya'!H12,'23.08 Kampala-Bukaya-24h'!H12,'24.08 Kampala-Bukaya-24h'!H12,'25.08 Kampala-Bukaya'!H12)</f>
        <v>0</v>
      </c>
      <c r="I12" s="49">
        <f>AVERAGE('19.08 Kampala-Bukaya'!I12,'20.08 Kampala-Bukaya'!I12,'21.08 Kampala-Bukaya'!I12,'22.08 Kampala-Bukaya'!I12,'23.08 Kampala-Bukaya-24h'!I12,'24.08 Kampala-Bukaya-24h'!I12,'25.08 Kampala-Bukaya'!I12)</f>
        <v>0.8571428571428571</v>
      </c>
      <c r="J12" s="49">
        <f>AVERAGE('19.08 Kampala-Bukaya'!J12,'20.08 Kampala-Bukaya'!J12,'21.08 Kampala-Bukaya'!J12,'22.08 Kampala-Bukaya'!J12,'23.08 Kampala-Bukaya-24h'!J12,'24.08 Kampala-Bukaya-24h'!J12,'25.08 Kampala-Bukaya'!J12)</f>
        <v>0</v>
      </c>
      <c r="K12" s="49">
        <f>AVERAGE('19.08 Kampala-Bukaya'!K12,'20.08 Kampala-Bukaya'!K12,'21.08 Kampala-Bukaya'!K12,'22.08 Kampala-Bukaya'!K12,'23.08 Kampala-Bukaya-24h'!K12,'24.08 Kampala-Bukaya-24h'!K12,'25.08 Kampala-Bukaya'!K12)</f>
        <v>0</v>
      </c>
      <c r="L12" s="49">
        <f>AVERAGE('19.08 Kampala-Bukaya'!L12,'20.08 Kampala-Bukaya'!L12,'21.08 Kampala-Bukaya'!L12,'22.08 Kampala-Bukaya'!L12,'23.08 Kampala-Bukaya-24h'!L12,'24.08 Kampala-Bukaya-24h'!L12,'25.08 Kampala-Bukaya'!L12)</f>
        <v>0</v>
      </c>
      <c r="M12" s="49">
        <f>AVERAGE('19.08 Kampala-Bukaya'!M12,'20.08 Kampala-Bukaya'!M12,'21.08 Kampala-Bukaya'!M12,'22.08 Kampala-Bukaya'!M12,'23.08 Kampala-Bukaya-24h'!M12,'24.08 Kampala-Bukaya-24h'!M12,'25.08 Kampala-Bukaya'!M12)</f>
        <v>15.285714285714286</v>
      </c>
      <c r="N12" s="49">
        <f>AVERAGE('19.08 Kampala-Bukaya'!N12,'20.08 Kampala-Bukaya'!N12,'21.08 Kampala-Bukaya'!N12,'22.08 Kampala-Bukaya'!N12,'23.08 Kampala-Bukaya-24h'!N12,'24.08 Kampala-Bukaya-24h'!N12,'25.08 Kampala-Bukaya'!N12)</f>
        <v>0.14285714285714285</v>
      </c>
      <c r="O12" s="15">
        <f t="shared" si="0"/>
        <v>6.1428571428571423</v>
      </c>
      <c r="P12" s="15">
        <f t="shared" si="1"/>
        <v>21.428571428571427</v>
      </c>
      <c r="R12" s="1" t="s">
        <v>8</v>
      </c>
      <c r="S12" s="17">
        <f t="shared" ref="S12:AF12" si="4">SUM(C18:C21)</f>
        <v>11.285714285714285</v>
      </c>
      <c r="T12" s="17">
        <f t="shared" si="4"/>
        <v>0</v>
      </c>
      <c r="U12" s="17">
        <f t="shared" si="4"/>
        <v>8.5714285714285712</v>
      </c>
      <c r="V12" s="17">
        <f t="shared" si="4"/>
        <v>7.8571428571428577</v>
      </c>
      <c r="W12" s="17">
        <f t="shared" si="4"/>
        <v>0.2857142857142857</v>
      </c>
      <c r="X12" s="17">
        <f t="shared" si="4"/>
        <v>0</v>
      </c>
      <c r="Y12" s="17">
        <f t="shared" si="4"/>
        <v>6</v>
      </c>
      <c r="Z12" s="17">
        <f t="shared" si="4"/>
        <v>0.42857142857142855</v>
      </c>
      <c r="AA12" s="17">
        <f t="shared" si="4"/>
        <v>0</v>
      </c>
      <c r="AB12" s="17">
        <f t="shared" si="4"/>
        <v>0.14285714285714285</v>
      </c>
      <c r="AC12" s="17">
        <f t="shared" si="4"/>
        <v>70.571428571428584</v>
      </c>
      <c r="AD12" s="17">
        <f t="shared" si="4"/>
        <v>0</v>
      </c>
      <c r="AE12" s="31">
        <f t="shared" si="4"/>
        <v>34.571428571428569</v>
      </c>
      <c r="AF12" s="31">
        <f t="shared" si="4"/>
        <v>105.14285714285714</v>
      </c>
    </row>
    <row r="13" spans="2:32" ht="23.1" customHeight="1" x14ac:dyDescent="0.25">
      <c r="B13" s="23" t="s">
        <v>40</v>
      </c>
      <c r="C13" s="49">
        <f>AVERAGE('19.08 Kampala-Bukaya'!C13,'20.08 Kampala-Bukaya'!C13,'21.08 Kampala-Bukaya'!C13,'22.08 Kampala-Bukaya'!C13,'23.08 Kampala-Bukaya-24h'!C13,'24.08 Kampala-Bukaya-24h'!C13,'25.08 Kampala-Bukaya'!C13)</f>
        <v>2</v>
      </c>
      <c r="D13" s="49">
        <f>AVERAGE('19.08 Kampala-Bukaya'!D13,'20.08 Kampala-Bukaya'!D13,'21.08 Kampala-Bukaya'!D13,'22.08 Kampala-Bukaya'!D13,'23.08 Kampala-Bukaya-24h'!D13,'24.08 Kampala-Bukaya-24h'!D13,'25.08 Kampala-Bukaya'!D13)</f>
        <v>0</v>
      </c>
      <c r="E13" s="49">
        <f>AVERAGE('19.08 Kampala-Bukaya'!E13,'20.08 Kampala-Bukaya'!E13,'21.08 Kampala-Bukaya'!E13,'22.08 Kampala-Bukaya'!E13,'23.08 Kampala-Bukaya-24h'!E13,'24.08 Kampala-Bukaya-24h'!E13,'25.08 Kampala-Bukaya'!E13)</f>
        <v>2.8571428571428572</v>
      </c>
      <c r="F13" s="49">
        <f>AVERAGE('19.08 Kampala-Bukaya'!F13,'20.08 Kampala-Bukaya'!F13,'21.08 Kampala-Bukaya'!F13,'22.08 Kampala-Bukaya'!F13,'23.08 Kampala-Bukaya-24h'!F13,'24.08 Kampala-Bukaya-24h'!F13,'25.08 Kampala-Bukaya'!F13)</f>
        <v>0.8571428571428571</v>
      </c>
      <c r="G13" s="49">
        <f>AVERAGE('19.08 Kampala-Bukaya'!G13,'20.08 Kampala-Bukaya'!G13,'21.08 Kampala-Bukaya'!G13,'22.08 Kampala-Bukaya'!G13,'23.08 Kampala-Bukaya-24h'!G13,'24.08 Kampala-Bukaya-24h'!G13,'25.08 Kampala-Bukaya'!G13)</f>
        <v>0.2857142857142857</v>
      </c>
      <c r="H13" s="49">
        <f>AVERAGE('19.08 Kampala-Bukaya'!H13,'20.08 Kampala-Bukaya'!H13,'21.08 Kampala-Bukaya'!H13,'22.08 Kampala-Bukaya'!H13,'23.08 Kampala-Bukaya-24h'!H13,'24.08 Kampala-Bukaya-24h'!H13,'25.08 Kampala-Bukaya'!H13)</f>
        <v>0</v>
      </c>
      <c r="I13" s="49">
        <f>AVERAGE('19.08 Kampala-Bukaya'!I13,'20.08 Kampala-Bukaya'!I13,'21.08 Kampala-Bukaya'!I13,'22.08 Kampala-Bukaya'!I13,'23.08 Kampala-Bukaya-24h'!I13,'24.08 Kampala-Bukaya-24h'!I13,'25.08 Kampala-Bukaya'!I13)</f>
        <v>1.1428571428571428</v>
      </c>
      <c r="J13" s="49">
        <f>AVERAGE('19.08 Kampala-Bukaya'!J13,'20.08 Kampala-Bukaya'!J13,'21.08 Kampala-Bukaya'!J13,'22.08 Kampala-Bukaya'!J13,'23.08 Kampala-Bukaya-24h'!J13,'24.08 Kampala-Bukaya-24h'!J13,'25.08 Kampala-Bukaya'!J13)</f>
        <v>0</v>
      </c>
      <c r="K13" s="49">
        <f>AVERAGE('19.08 Kampala-Bukaya'!K13,'20.08 Kampala-Bukaya'!K13,'21.08 Kampala-Bukaya'!K13,'22.08 Kampala-Bukaya'!K13,'23.08 Kampala-Bukaya-24h'!K13,'24.08 Kampala-Bukaya-24h'!K13,'25.08 Kampala-Bukaya'!K13)</f>
        <v>0</v>
      </c>
      <c r="L13" s="49">
        <f>AVERAGE('19.08 Kampala-Bukaya'!L13,'20.08 Kampala-Bukaya'!L13,'21.08 Kampala-Bukaya'!L13,'22.08 Kampala-Bukaya'!L13,'23.08 Kampala-Bukaya-24h'!L13,'24.08 Kampala-Bukaya-24h'!L13,'25.08 Kampala-Bukaya'!L13)</f>
        <v>0</v>
      </c>
      <c r="M13" s="49">
        <f>AVERAGE('19.08 Kampala-Bukaya'!M13,'20.08 Kampala-Bukaya'!M13,'21.08 Kampala-Bukaya'!M13,'22.08 Kampala-Bukaya'!M13,'23.08 Kampala-Bukaya-24h'!M13,'24.08 Kampala-Bukaya-24h'!M13,'25.08 Kampala-Bukaya'!M13)</f>
        <v>14.142857142857142</v>
      </c>
      <c r="N13" s="49">
        <f>AVERAGE('19.08 Kampala-Bukaya'!N13,'20.08 Kampala-Bukaya'!N13,'21.08 Kampala-Bukaya'!N13,'22.08 Kampala-Bukaya'!N13,'23.08 Kampala-Bukaya-24h'!N13,'24.08 Kampala-Bukaya-24h'!N13,'25.08 Kampala-Bukaya'!N13)</f>
        <v>0</v>
      </c>
      <c r="O13" s="15">
        <f t="shared" si="0"/>
        <v>7.1428571428571423</v>
      </c>
      <c r="P13" s="15">
        <f t="shared" si="1"/>
        <v>21.285714285714285</v>
      </c>
      <c r="R13" s="1" t="s">
        <v>9</v>
      </c>
      <c r="S13" s="17">
        <f t="shared" ref="S13:AF13" si="5">SUM(C22:C25)</f>
        <v>13</v>
      </c>
      <c r="T13" s="17">
        <f t="shared" si="5"/>
        <v>0</v>
      </c>
      <c r="U13" s="17">
        <f t="shared" si="5"/>
        <v>14.428571428571429</v>
      </c>
      <c r="V13" s="17">
        <f t="shared" si="5"/>
        <v>7</v>
      </c>
      <c r="W13" s="17">
        <f t="shared" si="5"/>
        <v>0.2857142857142857</v>
      </c>
      <c r="X13" s="17">
        <f t="shared" si="5"/>
        <v>0</v>
      </c>
      <c r="Y13" s="17">
        <f t="shared" si="5"/>
        <v>8</v>
      </c>
      <c r="Z13" s="17">
        <f t="shared" si="5"/>
        <v>0.14285714285714285</v>
      </c>
      <c r="AA13" s="17">
        <f t="shared" si="5"/>
        <v>1.2857142857142856</v>
      </c>
      <c r="AB13" s="17">
        <f t="shared" si="5"/>
        <v>0</v>
      </c>
      <c r="AC13" s="17">
        <f t="shared" si="5"/>
        <v>79</v>
      </c>
      <c r="AD13" s="17">
        <f t="shared" si="5"/>
        <v>0</v>
      </c>
      <c r="AE13" s="31">
        <f t="shared" si="5"/>
        <v>44.142857142857139</v>
      </c>
      <c r="AF13" s="31">
        <f t="shared" si="5"/>
        <v>123.14285714285714</v>
      </c>
    </row>
    <row r="14" spans="2:32" ht="23.1" customHeight="1" x14ac:dyDescent="0.25">
      <c r="B14" s="23" t="s">
        <v>41</v>
      </c>
      <c r="C14" s="49">
        <f>AVERAGE('19.08 Kampala-Bukaya'!C14,'20.08 Kampala-Bukaya'!C14,'21.08 Kampala-Bukaya'!C14,'22.08 Kampala-Bukaya'!C14,'23.08 Kampala-Bukaya-24h'!C14,'24.08 Kampala-Bukaya-24h'!C14,'25.08 Kampala-Bukaya'!C14)</f>
        <v>2.4285714285714284</v>
      </c>
      <c r="D14" s="49">
        <f>AVERAGE('19.08 Kampala-Bukaya'!D14,'20.08 Kampala-Bukaya'!D14,'21.08 Kampala-Bukaya'!D14,'22.08 Kampala-Bukaya'!D14,'23.08 Kampala-Bukaya-24h'!D14,'24.08 Kampala-Bukaya-24h'!D14,'25.08 Kampala-Bukaya'!D14)</f>
        <v>0</v>
      </c>
      <c r="E14" s="49">
        <f>AVERAGE('19.08 Kampala-Bukaya'!E14,'20.08 Kampala-Bukaya'!E14,'21.08 Kampala-Bukaya'!E14,'22.08 Kampala-Bukaya'!E14,'23.08 Kampala-Bukaya-24h'!E14,'24.08 Kampala-Bukaya-24h'!E14,'25.08 Kampala-Bukaya'!E14)</f>
        <v>1.7142857142857142</v>
      </c>
      <c r="F14" s="49">
        <f>AVERAGE('19.08 Kampala-Bukaya'!F14,'20.08 Kampala-Bukaya'!F14,'21.08 Kampala-Bukaya'!F14,'22.08 Kampala-Bukaya'!F14,'23.08 Kampala-Bukaya-24h'!F14,'24.08 Kampala-Bukaya-24h'!F14,'25.08 Kampala-Bukaya'!F14)</f>
        <v>0.7142857142857143</v>
      </c>
      <c r="G14" s="49">
        <f>AVERAGE('19.08 Kampala-Bukaya'!G14,'20.08 Kampala-Bukaya'!G14,'21.08 Kampala-Bukaya'!G14,'22.08 Kampala-Bukaya'!G14,'23.08 Kampala-Bukaya-24h'!G14,'24.08 Kampala-Bukaya-24h'!G14,'25.08 Kampala-Bukaya'!G14)</f>
        <v>0.14285714285714285</v>
      </c>
      <c r="H14" s="49">
        <f>AVERAGE('19.08 Kampala-Bukaya'!H14,'20.08 Kampala-Bukaya'!H14,'21.08 Kampala-Bukaya'!H14,'22.08 Kampala-Bukaya'!H14,'23.08 Kampala-Bukaya-24h'!H14,'24.08 Kampala-Bukaya-24h'!H14,'25.08 Kampala-Bukaya'!H14)</f>
        <v>0</v>
      </c>
      <c r="I14" s="49">
        <f>AVERAGE('19.08 Kampala-Bukaya'!I14,'20.08 Kampala-Bukaya'!I14,'21.08 Kampala-Bukaya'!I14,'22.08 Kampala-Bukaya'!I14,'23.08 Kampala-Bukaya-24h'!I14,'24.08 Kampala-Bukaya-24h'!I14,'25.08 Kampala-Bukaya'!I14)</f>
        <v>2</v>
      </c>
      <c r="J14" s="49">
        <f>AVERAGE('19.08 Kampala-Bukaya'!J14,'20.08 Kampala-Bukaya'!J14,'21.08 Kampala-Bukaya'!J14,'22.08 Kampala-Bukaya'!J14,'23.08 Kampala-Bukaya-24h'!J14,'24.08 Kampala-Bukaya-24h'!J14,'25.08 Kampala-Bukaya'!J14)</f>
        <v>0.14285714285714285</v>
      </c>
      <c r="K14" s="49">
        <f>AVERAGE('19.08 Kampala-Bukaya'!K14,'20.08 Kampala-Bukaya'!K14,'21.08 Kampala-Bukaya'!K14,'22.08 Kampala-Bukaya'!K14,'23.08 Kampala-Bukaya-24h'!K14,'24.08 Kampala-Bukaya-24h'!K14,'25.08 Kampala-Bukaya'!K14)</f>
        <v>0.2857142857142857</v>
      </c>
      <c r="L14" s="49">
        <f>AVERAGE('19.08 Kampala-Bukaya'!L14,'20.08 Kampala-Bukaya'!L14,'21.08 Kampala-Bukaya'!L14,'22.08 Kampala-Bukaya'!L14,'23.08 Kampala-Bukaya-24h'!L14,'24.08 Kampala-Bukaya-24h'!L14,'25.08 Kampala-Bukaya'!L14)</f>
        <v>0.14285714285714285</v>
      </c>
      <c r="M14" s="49">
        <f>AVERAGE('19.08 Kampala-Bukaya'!M14,'20.08 Kampala-Bukaya'!M14,'21.08 Kampala-Bukaya'!M14,'22.08 Kampala-Bukaya'!M14,'23.08 Kampala-Bukaya-24h'!M14,'24.08 Kampala-Bukaya-24h'!M14,'25.08 Kampala-Bukaya'!M14)</f>
        <v>13.428571428571429</v>
      </c>
      <c r="N14" s="49">
        <f>AVERAGE('19.08 Kampala-Bukaya'!N14,'20.08 Kampala-Bukaya'!N14,'21.08 Kampala-Bukaya'!N14,'22.08 Kampala-Bukaya'!N14,'23.08 Kampala-Bukaya-24h'!N14,'24.08 Kampala-Bukaya-24h'!N14,'25.08 Kampala-Bukaya'!N14)</f>
        <v>0</v>
      </c>
      <c r="O14" s="15">
        <f t="shared" si="0"/>
        <v>7.5714285714285721</v>
      </c>
      <c r="P14" s="15">
        <f t="shared" si="1"/>
        <v>21</v>
      </c>
      <c r="R14" s="1" t="s">
        <v>10</v>
      </c>
      <c r="S14" s="17">
        <f t="shared" ref="S14:AF14" si="6">SUM(C26:C29)</f>
        <v>12.285714285714285</v>
      </c>
      <c r="T14" s="17">
        <f t="shared" si="6"/>
        <v>0</v>
      </c>
      <c r="U14" s="17">
        <f t="shared" si="6"/>
        <v>12.142857142857144</v>
      </c>
      <c r="V14" s="17">
        <f t="shared" si="6"/>
        <v>7.5714285714285712</v>
      </c>
      <c r="W14" s="17">
        <f t="shared" si="6"/>
        <v>0.5714285714285714</v>
      </c>
      <c r="X14" s="17">
        <f t="shared" si="6"/>
        <v>0</v>
      </c>
      <c r="Y14" s="17">
        <f t="shared" si="6"/>
        <v>7.1428571428571423</v>
      </c>
      <c r="Z14" s="17">
        <f t="shared" si="6"/>
        <v>0.14285714285714285</v>
      </c>
      <c r="AA14" s="17">
        <f t="shared" si="6"/>
        <v>0.5714285714285714</v>
      </c>
      <c r="AB14" s="17">
        <f t="shared" si="6"/>
        <v>0</v>
      </c>
      <c r="AC14" s="17">
        <f t="shared" si="6"/>
        <v>87</v>
      </c>
      <c r="AD14" s="17">
        <f t="shared" si="6"/>
        <v>0</v>
      </c>
      <c r="AE14" s="31">
        <f t="shared" si="6"/>
        <v>40.428571428571423</v>
      </c>
      <c r="AF14" s="31">
        <f t="shared" si="6"/>
        <v>127.42857142857143</v>
      </c>
    </row>
    <row r="15" spans="2:32" ht="23.1" customHeight="1" x14ac:dyDescent="0.25">
      <c r="B15" s="23" t="s">
        <v>42</v>
      </c>
      <c r="C15" s="49">
        <f>AVERAGE('19.08 Kampala-Bukaya'!C15,'20.08 Kampala-Bukaya'!C15,'21.08 Kampala-Bukaya'!C15,'22.08 Kampala-Bukaya'!C15,'23.08 Kampala-Bukaya-24h'!C15,'24.08 Kampala-Bukaya-24h'!C15,'25.08 Kampala-Bukaya'!C15)</f>
        <v>1.1428571428571428</v>
      </c>
      <c r="D15" s="49">
        <f>AVERAGE('19.08 Kampala-Bukaya'!D15,'20.08 Kampala-Bukaya'!D15,'21.08 Kampala-Bukaya'!D15,'22.08 Kampala-Bukaya'!D15,'23.08 Kampala-Bukaya-24h'!D15,'24.08 Kampala-Bukaya-24h'!D15,'25.08 Kampala-Bukaya'!D15)</f>
        <v>0</v>
      </c>
      <c r="E15" s="49">
        <f>AVERAGE('19.08 Kampala-Bukaya'!E15,'20.08 Kampala-Bukaya'!E15,'21.08 Kampala-Bukaya'!E15,'22.08 Kampala-Bukaya'!E15,'23.08 Kampala-Bukaya-24h'!E15,'24.08 Kampala-Bukaya-24h'!E15,'25.08 Kampala-Bukaya'!E15)</f>
        <v>1.7142857142857142</v>
      </c>
      <c r="F15" s="49">
        <f>AVERAGE('19.08 Kampala-Bukaya'!F15,'20.08 Kampala-Bukaya'!F15,'21.08 Kampala-Bukaya'!F15,'22.08 Kampala-Bukaya'!F15,'23.08 Kampala-Bukaya-24h'!F15,'24.08 Kampala-Bukaya-24h'!F15,'25.08 Kampala-Bukaya'!F15)</f>
        <v>0.5714285714285714</v>
      </c>
      <c r="G15" s="49">
        <f>AVERAGE('19.08 Kampala-Bukaya'!G15,'20.08 Kampala-Bukaya'!G15,'21.08 Kampala-Bukaya'!G15,'22.08 Kampala-Bukaya'!G15,'23.08 Kampala-Bukaya-24h'!G15,'24.08 Kampala-Bukaya-24h'!G15,'25.08 Kampala-Bukaya'!G15)</f>
        <v>0</v>
      </c>
      <c r="H15" s="49">
        <f>AVERAGE('19.08 Kampala-Bukaya'!H15,'20.08 Kampala-Bukaya'!H15,'21.08 Kampala-Bukaya'!H15,'22.08 Kampala-Bukaya'!H15,'23.08 Kampala-Bukaya-24h'!H15,'24.08 Kampala-Bukaya-24h'!H15,'25.08 Kampala-Bukaya'!H15)</f>
        <v>0</v>
      </c>
      <c r="I15" s="49">
        <f>AVERAGE('19.08 Kampala-Bukaya'!I15,'20.08 Kampala-Bukaya'!I15,'21.08 Kampala-Bukaya'!I15,'22.08 Kampala-Bukaya'!I15,'23.08 Kampala-Bukaya-24h'!I15,'24.08 Kampala-Bukaya-24h'!I15,'25.08 Kampala-Bukaya'!I15)</f>
        <v>1.2857142857142858</v>
      </c>
      <c r="J15" s="49">
        <f>AVERAGE('19.08 Kampala-Bukaya'!J15,'20.08 Kampala-Bukaya'!J15,'21.08 Kampala-Bukaya'!J15,'22.08 Kampala-Bukaya'!J15,'23.08 Kampala-Bukaya-24h'!J15,'24.08 Kampala-Bukaya-24h'!J15,'25.08 Kampala-Bukaya'!J15)</f>
        <v>0</v>
      </c>
      <c r="K15" s="49">
        <f>AVERAGE('19.08 Kampala-Bukaya'!K15,'20.08 Kampala-Bukaya'!K15,'21.08 Kampala-Bukaya'!K15,'22.08 Kampala-Bukaya'!K15,'23.08 Kampala-Bukaya-24h'!K15,'24.08 Kampala-Bukaya-24h'!K15,'25.08 Kampala-Bukaya'!K15)</f>
        <v>0</v>
      </c>
      <c r="L15" s="49">
        <f>AVERAGE('19.08 Kampala-Bukaya'!L15,'20.08 Kampala-Bukaya'!L15,'21.08 Kampala-Bukaya'!L15,'22.08 Kampala-Bukaya'!L15,'23.08 Kampala-Bukaya-24h'!L15,'24.08 Kampala-Bukaya-24h'!L15,'25.08 Kampala-Bukaya'!L15)</f>
        <v>0</v>
      </c>
      <c r="M15" s="49">
        <f>AVERAGE('19.08 Kampala-Bukaya'!M15,'20.08 Kampala-Bukaya'!M15,'21.08 Kampala-Bukaya'!M15,'22.08 Kampala-Bukaya'!M15,'23.08 Kampala-Bukaya-24h'!M15,'24.08 Kampala-Bukaya-24h'!M15,'25.08 Kampala-Bukaya'!M15)</f>
        <v>14.571428571428571</v>
      </c>
      <c r="N15" s="49">
        <f>AVERAGE('19.08 Kampala-Bukaya'!N15,'20.08 Kampala-Bukaya'!N15,'21.08 Kampala-Bukaya'!N15,'22.08 Kampala-Bukaya'!N15,'23.08 Kampala-Bukaya-24h'!N15,'24.08 Kampala-Bukaya-24h'!N15,'25.08 Kampala-Bukaya'!N15)</f>
        <v>0.14285714285714285</v>
      </c>
      <c r="O15" s="15">
        <f t="shared" si="0"/>
        <v>4.8571428571428568</v>
      </c>
      <c r="P15" s="15">
        <f t="shared" si="1"/>
        <v>19.428571428571427</v>
      </c>
      <c r="R15" s="1" t="s">
        <v>11</v>
      </c>
      <c r="S15" s="17">
        <f t="shared" ref="S15:AF15" si="7">SUM(C30:C33)</f>
        <v>13.285714285714285</v>
      </c>
      <c r="T15" s="17">
        <f t="shared" si="7"/>
        <v>0</v>
      </c>
      <c r="U15" s="17">
        <f t="shared" si="7"/>
        <v>12.857142857142858</v>
      </c>
      <c r="V15" s="17">
        <f t="shared" si="7"/>
        <v>9.4285714285714288</v>
      </c>
      <c r="W15" s="17">
        <f t="shared" si="7"/>
        <v>0.85714285714285698</v>
      </c>
      <c r="X15" s="17">
        <f t="shared" si="7"/>
        <v>0</v>
      </c>
      <c r="Y15" s="17">
        <f t="shared" si="7"/>
        <v>7.5714285714285712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82.857142857142861</v>
      </c>
      <c r="AD15" s="17">
        <f t="shared" si="7"/>
        <v>0</v>
      </c>
      <c r="AE15" s="31">
        <f t="shared" si="7"/>
        <v>44</v>
      </c>
      <c r="AF15" s="31">
        <f t="shared" si="7"/>
        <v>126.85714285714286</v>
      </c>
    </row>
    <row r="16" spans="2:32" ht="23.1" customHeight="1" x14ac:dyDescent="0.25">
      <c r="B16" s="23" t="s">
        <v>43</v>
      </c>
      <c r="C16" s="49">
        <f>AVERAGE('19.08 Kampala-Bukaya'!C16,'20.08 Kampala-Bukaya'!C16,'21.08 Kampala-Bukaya'!C16,'22.08 Kampala-Bukaya'!C16,'23.08 Kampala-Bukaya-24h'!C16,'24.08 Kampala-Bukaya-24h'!C16,'25.08 Kampala-Bukaya'!C16)</f>
        <v>1.4285714285714286</v>
      </c>
      <c r="D16" s="49">
        <f>AVERAGE('19.08 Kampala-Bukaya'!D16,'20.08 Kampala-Bukaya'!D16,'21.08 Kampala-Bukaya'!D16,'22.08 Kampala-Bukaya'!D16,'23.08 Kampala-Bukaya-24h'!D16,'24.08 Kampala-Bukaya-24h'!D16,'25.08 Kampala-Bukaya'!D16)</f>
        <v>0</v>
      </c>
      <c r="E16" s="49">
        <f>AVERAGE('19.08 Kampala-Bukaya'!E16,'20.08 Kampala-Bukaya'!E16,'21.08 Kampala-Bukaya'!E16,'22.08 Kampala-Bukaya'!E16,'23.08 Kampala-Bukaya-24h'!E16,'24.08 Kampala-Bukaya-24h'!E16,'25.08 Kampala-Bukaya'!E16)</f>
        <v>2.4285714285714284</v>
      </c>
      <c r="F16" s="49">
        <f>AVERAGE('19.08 Kampala-Bukaya'!F16,'20.08 Kampala-Bukaya'!F16,'21.08 Kampala-Bukaya'!F16,'22.08 Kampala-Bukaya'!F16,'23.08 Kampala-Bukaya-24h'!F16,'24.08 Kampala-Bukaya-24h'!F16,'25.08 Kampala-Bukaya'!F16)</f>
        <v>1.2857142857142858</v>
      </c>
      <c r="G16" s="49">
        <f>AVERAGE('19.08 Kampala-Bukaya'!G16,'20.08 Kampala-Bukaya'!G16,'21.08 Kampala-Bukaya'!G16,'22.08 Kampala-Bukaya'!G16,'23.08 Kampala-Bukaya-24h'!G16,'24.08 Kampala-Bukaya-24h'!G16,'25.08 Kampala-Bukaya'!G16)</f>
        <v>0.2857142857142857</v>
      </c>
      <c r="H16" s="49">
        <f>AVERAGE('19.08 Kampala-Bukaya'!H16,'20.08 Kampala-Bukaya'!H16,'21.08 Kampala-Bukaya'!H16,'22.08 Kampala-Bukaya'!H16,'23.08 Kampala-Bukaya-24h'!H16,'24.08 Kampala-Bukaya-24h'!H16,'25.08 Kampala-Bukaya'!H16)</f>
        <v>0</v>
      </c>
      <c r="I16" s="49">
        <f>AVERAGE('19.08 Kampala-Bukaya'!I16,'20.08 Kampala-Bukaya'!I16,'21.08 Kampala-Bukaya'!I16,'22.08 Kampala-Bukaya'!I16,'23.08 Kampala-Bukaya-24h'!I16,'24.08 Kampala-Bukaya-24h'!I16,'25.08 Kampala-Bukaya'!I16)</f>
        <v>2.1428571428571428</v>
      </c>
      <c r="J16" s="49">
        <f>AVERAGE('19.08 Kampala-Bukaya'!J16,'20.08 Kampala-Bukaya'!J16,'21.08 Kampala-Bukaya'!J16,'22.08 Kampala-Bukaya'!J16,'23.08 Kampala-Bukaya-24h'!J16,'24.08 Kampala-Bukaya-24h'!J16,'25.08 Kampala-Bukaya'!J16)</f>
        <v>0</v>
      </c>
      <c r="K16" s="49">
        <f>AVERAGE('19.08 Kampala-Bukaya'!K16,'20.08 Kampala-Bukaya'!K16,'21.08 Kampala-Bukaya'!K16,'22.08 Kampala-Bukaya'!K16,'23.08 Kampala-Bukaya-24h'!K16,'24.08 Kampala-Bukaya-24h'!K16,'25.08 Kampala-Bukaya'!K16)</f>
        <v>0</v>
      </c>
      <c r="L16" s="49">
        <f>AVERAGE('19.08 Kampala-Bukaya'!L16,'20.08 Kampala-Bukaya'!L16,'21.08 Kampala-Bukaya'!L16,'22.08 Kampala-Bukaya'!L16,'23.08 Kampala-Bukaya-24h'!L16,'24.08 Kampala-Bukaya-24h'!L16,'25.08 Kampala-Bukaya'!L16)</f>
        <v>0</v>
      </c>
      <c r="M16" s="49">
        <f>AVERAGE('19.08 Kampala-Bukaya'!M16,'20.08 Kampala-Bukaya'!M16,'21.08 Kampala-Bukaya'!M16,'22.08 Kampala-Bukaya'!M16,'23.08 Kampala-Bukaya-24h'!M16,'24.08 Kampala-Bukaya-24h'!M16,'25.08 Kampala-Bukaya'!M16)</f>
        <v>14.571428571428571</v>
      </c>
      <c r="N16" s="49">
        <f>AVERAGE('19.08 Kampala-Bukaya'!N16,'20.08 Kampala-Bukaya'!N16,'21.08 Kampala-Bukaya'!N16,'22.08 Kampala-Bukaya'!N16,'23.08 Kampala-Bukaya-24h'!N16,'24.08 Kampala-Bukaya-24h'!N16,'25.08 Kampala-Bukaya'!N16)</f>
        <v>0</v>
      </c>
      <c r="O16" s="15">
        <f t="shared" si="0"/>
        <v>7.5714285714285712</v>
      </c>
      <c r="P16" s="15">
        <f t="shared" si="1"/>
        <v>22.142857142857142</v>
      </c>
      <c r="R16" s="1" t="s">
        <v>12</v>
      </c>
      <c r="S16" s="17">
        <f t="shared" ref="S16:AF16" si="8">SUM(C34:C37)</f>
        <v>13.571428571428573</v>
      </c>
      <c r="T16" s="17">
        <f t="shared" si="8"/>
        <v>0</v>
      </c>
      <c r="U16" s="17">
        <f t="shared" si="8"/>
        <v>13.428571428571431</v>
      </c>
      <c r="V16" s="17">
        <f t="shared" si="8"/>
        <v>10</v>
      </c>
      <c r="W16" s="17">
        <f t="shared" si="8"/>
        <v>0.2857142857142857</v>
      </c>
      <c r="X16" s="17">
        <f t="shared" si="8"/>
        <v>0.7142857142857143</v>
      </c>
      <c r="Y16" s="17">
        <f t="shared" si="8"/>
        <v>8</v>
      </c>
      <c r="Z16" s="17">
        <f t="shared" si="8"/>
        <v>0.42857142857142855</v>
      </c>
      <c r="AA16" s="17">
        <f t="shared" si="8"/>
        <v>0.99999999999999989</v>
      </c>
      <c r="AB16" s="17">
        <f t="shared" si="8"/>
        <v>0</v>
      </c>
      <c r="AC16" s="17">
        <f t="shared" si="8"/>
        <v>67.142857142857139</v>
      </c>
      <c r="AD16" s="17">
        <f t="shared" si="8"/>
        <v>0</v>
      </c>
      <c r="AE16" s="31">
        <f t="shared" si="8"/>
        <v>47.428571428571431</v>
      </c>
      <c r="AF16" s="31">
        <f t="shared" si="8"/>
        <v>114.57142857142857</v>
      </c>
    </row>
    <row r="17" spans="2:32" ht="23.1" customHeight="1" x14ac:dyDescent="0.25">
      <c r="B17" s="23" t="s">
        <v>44</v>
      </c>
      <c r="C17" s="49">
        <f>AVERAGE('19.08 Kampala-Bukaya'!C17,'20.08 Kampala-Bukaya'!C17,'21.08 Kampala-Bukaya'!C17,'22.08 Kampala-Bukaya'!C17,'23.08 Kampala-Bukaya-24h'!C17,'24.08 Kampala-Bukaya-24h'!C17,'25.08 Kampala-Bukaya'!C17)</f>
        <v>1.7142857142857142</v>
      </c>
      <c r="D17" s="49">
        <f>AVERAGE('19.08 Kampala-Bukaya'!D17,'20.08 Kampala-Bukaya'!D17,'21.08 Kampala-Bukaya'!D17,'22.08 Kampala-Bukaya'!D17,'23.08 Kampala-Bukaya-24h'!D17,'24.08 Kampala-Bukaya-24h'!D17,'25.08 Kampala-Bukaya'!D17)</f>
        <v>0</v>
      </c>
      <c r="E17" s="49">
        <f>AVERAGE('19.08 Kampala-Bukaya'!E17,'20.08 Kampala-Bukaya'!E17,'21.08 Kampala-Bukaya'!E17,'22.08 Kampala-Bukaya'!E17,'23.08 Kampala-Bukaya-24h'!E17,'24.08 Kampala-Bukaya-24h'!E17,'25.08 Kampala-Bukaya'!E17)</f>
        <v>3</v>
      </c>
      <c r="F17" s="49">
        <f>AVERAGE('19.08 Kampala-Bukaya'!F17,'20.08 Kampala-Bukaya'!F17,'21.08 Kampala-Bukaya'!F17,'22.08 Kampala-Bukaya'!F17,'23.08 Kampala-Bukaya-24h'!F17,'24.08 Kampala-Bukaya-24h'!F17,'25.08 Kampala-Bukaya'!F17)</f>
        <v>2</v>
      </c>
      <c r="G17" s="49">
        <f>AVERAGE('19.08 Kampala-Bukaya'!G17,'20.08 Kampala-Bukaya'!G17,'21.08 Kampala-Bukaya'!G17,'22.08 Kampala-Bukaya'!G17,'23.08 Kampala-Bukaya-24h'!G17,'24.08 Kampala-Bukaya-24h'!G17,'25.08 Kampala-Bukaya'!G17)</f>
        <v>0</v>
      </c>
      <c r="H17" s="49">
        <f>AVERAGE('19.08 Kampala-Bukaya'!H17,'20.08 Kampala-Bukaya'!H17,'21.08 Kampala-Bukaya'!H17,'22.08 Kampala-Bukaya'!H17,'23.08 Kampala-Bukaya-24h'!H17,'24.08 Kampala-Bukaya-24h'!H17,'25.08 Kampala-Bukaya'!H17)</f>
        <v>0</v>
      </c>
      <c r="I17" s="49">
        <f>AVERAGE('19.08 Kampala-Bukaya'!I17,'20.08 Kampala-Bukaya'!I17,'21.08 Kampala-Bukaya'!I17,'22.08 Kampala-Bukaya'!I17,'23.08 Kampala-Bukaya-24h'!I17,'24.08 Kampala-Bukaya-24h'!I17,'25.08 Kampala-Bukaya'!I17)</f>
        <v>1.5714285714285714</v>
      </c>
      <c r="J17" s="49">
        <f>AVERAGE('19.08 Kampala-Bukaya'!J17,'20.08 Kampala-Bukaya'!J17,'21.08 Kampala-Bukaya'!J17,'22.08 Kampala-Bukaya'!J17,'23.08 Kampala-Bukaya-24h'!J17,'24.08 Kampala-Bukaya-24h'!J17,'25.08 Kampala-Bukaya'!J17)</f>
        <v>0</v>
      </c>
      <c r="K17" s="49">
        <f>AVERAGE('19.08 Kampala-Bukaya'!K17,'20.08 Kampala-Bukaya'!K17,'21.08 Kampala-Bukaya'!K17,'22.08 Kampala-Bukaya'!K17,'23.08 Kampala-Bukaya-24h'!K17,'24.08 Kampala-Bukaya-24h'!K17,'25.08 Kampala-Bukaya'!K17)</f>
        <v>0</v>
      </c>
      <c r="L17" s="49">
        <f>AVERAGE('19.08 Kampala-Bukaya'!L17,'20.08 Kampala-Bukaya'!L17,'21.08 Kampala-Bukaya'!L17,'22.08 Kampala-Bukaya'!L17,'23.08 Kampala-Bukaya-24h'!L17,'24.08 Kampala-Bukaya-24h'!L17,'25.08 Kampala-Bukaya'!L17)</f>
        <v>0</v>
      </c>
      <c r="M17" s="49">
        <f>AVERAGE('19.08 Kampala-Bukaya'!M17,'20.08 Kampala-Bukaya'!M17,'21.08 Kampala-Bukaya'!M17,'22.08 Kampala-Bukaya'!M17,'23.08 Kampala-Bukaya-24h'!M17,'24.08 Kampala-Bukaya-24h'!M17,'25.08 Kampala-Bukaya'!M17)</f>
        <v>18.571428571428573</v>
      </c>
      <c r="N17" s="49">
        <f>AVERAGE('19.08 Kampala-Bukaya'!N17,'20.08 Kampala-Bukaya'!N17,'21.08 Kampala-Bukaya'!N17,'22.08 Kampala-Bukaya'!N17,'23.08 Kampala-Bukaya-24h'!N17,'24.08 Kampala-Bukaya-24h'!N17,'25.08 Kampala-Bukaya'!N17)</f>
        <v>0</v>
      </c>
      <c r="O17" s="15">
        <f t="shared" si="0"/>
        <v>8.2857142857142865</v>
      </c>
      <c r="P17" s="15">
        <f t="shared" si="1"/>
        <v>26.857142857142861</v>
      </c>
      <c r="R17" s="1" t="s">
        <v>13</v>
      </c>
      <c r="S17" s="17">
        <f t="shared" ref="S17:AF17" si="9">SUM(C38:C41)</f>
        <v>15.142857142857144</v>
      </c>
      <c r="T17" s="17">
        <f t="shared" si="9"/>
        <v>0</v>
      </c>
      <c r="U17" s="17">
        <f t="shared" si="9"/>
        <v>13.714285714285714</v>
      </c>
      <c r="V17" s="17">
        <f t="shared" si="9"/>
        <v>8.1428571428571423</v>
      </c>
      <c r="W17" s="17">
        <f t="shared" si="9"/>
        <v>0</v>
      </c>
      <c r="X17" s="17">
        <f t="shared" si="9"/>
        <v>0</v>
      </c>
      <c r="Y17" s="17">
        <f t="shared" si="9"/>
        <v>8.1428571428571423</v>
      </c>
      <c r="Z17" s="17">
        <f t="shared" si="9"/>
        <v>0</v>
      </c>
      <c r="AA17" s="17">
        <f t="shared" si="9"/>
        <v>0.5714285714285714</v>
      </c>
      <c r="AB17" s="17">
        <f t="shared" si="9"/>
        <v>0</v>
      </c>
      <c r="AC17" s="17">
        <f t="shared" si="9"/>
        <v>71.571428571428569</v>
      </c>
      <c r="AD17" s="17">
        <f t="shared" si="9"/>
        <v>0</v>
      </c>
      <c r="AE17" s="31">
        <f t="shared" si="9"/>
        <v>45.714285714285708</v>
      </c>
      <c r="AF17" s="31">
        <f t="shared" si="9"/>
        <v>117.28571428571428</v>
      </c>
    </row>
    <row r="18" spans="2:32" ht="23.1" customHeight="1" x14ac:dyDescent="0.25">
      <c r="B18" s="23" t="s">
        <v>45</v>
      </c>
      <c r="C18" s="49">
        <f>AVERAGE('19.08 Kampala-Bukaya'!C18,'20.08 Kampala-Bukaya'!C18,'21.08 Kampala-Bukaya'!C18,'22.08 Kampala-Bukaya'!C18,'23.08 Kampala-Bukaya-24h'!C18,'24.08 Kampala-Bukaya-24h'!C18,'25.08 Kampala-Bukaya'!C18)</f>
        <v>2.4285714285714284</v>
      </c>
      <c r="D18" s="49">
        <f>AVERAGE('19.08 Kampala-Bukaya'!D18,'20.08 Kampala-Bukaya'!D18,'21.08 Kampala-Bukaya'!D18,'22.08 Kampala-Bukaya'!D18,'23.08 Kampala-Bukaya-24h'!D18,'24.08 Kampala-Bukaya-24h'!D18,'25.08 Kampala-Bukaya'!D18)</f>
        <v>0</v>
      </c>
      <c r="E18" s="49">
        <f>AVERAGE('19.08 Kampala-Bukaya'!E18,'20.08 Kampala-Bukaya'!E18,'21.08 Kampala-Bukaya'!E18,'22.08 Kampala-Bukaya'!E18,'23.08 Kampala-Bukaya-24h'!E18,'24.08 Kampala-Bukaya-24h'!E18,'25.08 Kampala-Bukaya'!E18)</f>
        <v>1.7142857142857142</v>
      </c>
      <c r="F18" s="49">
        <f>AVERAGE('19.08 Kampala-Bukaya'!F18,'20.08 Kampala-Bukaya'!F18,'21.08 Kampala-Bukaya'!F18,'22.08 Kampala-Bukaya'!F18,'23.08 Kampala-Bukaya-24h'!F18,'24.08 Kampala-Bukaya-24h'!F18,'25.08 Kampala-Bukaya'!F18)</f>
        <v>1.2857142857142858</v>
      </c>
      <c r="G18" s="49">
        <f>AVERAGE('19.08 Kampala-Bukaya'!G18,'20.08 Kampala-Bukaya'!G18,'21.08 Kampala-Bukaya'!G18,'22.08 Kampala-Bukaya'!G18,'23.08 Kampala-Bukaya-24h'!G18,'24.08 Kampala-Bukaya-24h'!G18,'25.08 Kampala-Bukaya'!G18)</f>
        <v>0</v>
      </c>
      <c r="H18" s="49">
        <f>AVERAGE('19.08 Kampala-Bukaya'!H18,'20.08 Kampala-Bukaya'!H18,'21.08 Kampala-Bukaya'!H18,'22.08 Kampala-Bukaya'!H18,'23.08 Kampala-Bukaya-24h'!H18,'24.08 Kampala-Bukaya-24h'!H18,'25.08 Kampala-Bukaya'!H18)</f>
        <v>0</v>
      </c>
      <c r="I18" s="49">
        <f>AVERAGE('19.08 Kampala-Bukaya'!I18,'20.08 Kampala-Bukaya'!I18,'21.08 Kampala-Bukaya'!I18,'22.08 Kampala-Bukaya'!I18,'23.08 Kampala-Bukaya-24h'!I18,'24.08 Kampala-Bukaya-24h'!I18,'25.08 Kampala-Bukaya'!I18)</f>
        <v>1.8571428571428572</v>
      </c>
      <c r="J18" s="49">
        <f>AVERAGE('19.08 Kampala-Bukaya'!J18,'20.08 Kampala-Bukaya'!J18,'21.08 Kampala-Bukaya'!J18,'22.08 Kampala-Bukaya'!J18,'23.08 Kampala-Bukaya-24h'!J18,'24.08 Kampala-Bukaya-24h'!J18,'25.08 Kampala-Bukaya'!J18)</f>
        <v>0</v>
      </c>
      <c r="K18" s="49">
        <f>AVERAGE('19.08 Kampala-Bukaya'!K18,'20.08 Kampala-Bukaya'!K18,'21.08 Kampala-Bukaya'!K18,'22.08 Kampala-Bukaya'!K18,'23.08 Kampala-Bukaya-24h'!K18,'24.08 Kampala-Bukaya-24h'!K18,'25.08 Kampala-Bukaya'!K18)</f>
        <v>0</v>
      </c>
      <c r="L18" s="49">
        <f>AVERAGE('19.08 Kampala-Bukaya'!L18,'20.08 Kampala-Bukaya'!L18,'21.08 Kampala-Bukaya'!L18,'22.08 Kampala-Bukaya'!L18,'23.08 Kampala-Bukaya-24h'!L18,'24.08 Kampala-Bukaya-24h'!L18,'25.08 Kampala-Bukaya'!L18)</f>
        <v>0</v>
      </c>
      <c r="M18" s="49">
        <f>AVERAGE('19.08 Kampala-Bukaya'!M18,'20.08 Kampala-Bukaya'!M18,'21.08 Kampala-Bukaya'!M18,'22.08 Kampala-Bukaya'!M18,'23.08 Kampala-Bukaya-24h'!M18,'24.08 Kampala-Bukaya-24h'!M18,'25.08 Kampala-Bukaya'!M18)</f>
        <v>17.571428571428573</v>
      </c>
      <c r="N18" s="49">
        <f>AVERAGE('19.08 Kampala-Bukaya'!N18,'20.08 Kampala-Bukaya'!N18,'21.08 Kampala-Bukaya'!N18,'22.08 Kampala-Bukaya'!N18,'23.08 Kampala-Bukaya-24h'!N18,'24.08 Kampala-Bukaya-24h'!N18,'25.08 Kampala-Bukaya'!N18)</f>
        <v>0</v>
      </c>
      <c r="O18" s="15">
        <f t="shared" si="0"/>
        <v>7.2857142857142847</v>
      </c>
      <c r="P18" s="15">
        <f t="shared" si="1"/>
        <v>24.857142857142858</v>
      </c>
      <c r="R18" s="1" t="s">
        <v>14</v>
      </c>
      <c r="S18" s="17">
        <f t="shared" ref="S18:AF18" si="10">SUM(C42:C45)</f>
        <v>10.142857142857142</v>
      </c>
      <c r="T18" s="17">
        <f t="shared" si="10"/>
        <v>0</v>
      </c>
      <c r="U18" s="17">
        <f t="shared" si="10"/>
        <v>9.7142857142857135</v>
      </c>
      <c r="V18" s="17">
        <f t="shared" si="10"/>
        <v>9.1428571428571423</v>
      </c>
      <c r="W18" s="17">
        <f t="shared" si="10"/>
        <v>0</v>
      </c>
      <c r="X18" s="17">
        <f t="shared" si="10"/>
        <v>0</v>
      </c>
      <c r="Y18" s="17">
        <f t="shared" si="10"/>
        <v>8.2857142857142847</v>
      </c>
      <c r="Z18" s="17">
        <f t="shared" si="10"/>
        <v>0.2857142857142857</v>
      </c>
      <c r="AA18" s="17">
        <f t="shared" si="10"/>
        <v>0.2857142857142857</v>
      </c>
      <c r="AB18" s="17">
        <f t="shared" si="10"/>
        <v>0.14285714285714285</v>
      </c>
      <c r="AC18" s="17">
        <f t="shared" si="10"/>
        <v>74.428571428571416</v>
      </c>
      <c r="AD18" s="17">
        <f t="shared" si="10"/>
        <v>0</v>
      </c>
      <c r="AE18" s="31">
        <f t="shared" si="10"/>
        <v>38</v>
      </c>
      <c r="AF18" s="31">
        <f t="shared" si="10"/>
        <v>112.42857142857142</v>
      </c>
    </row>
    <row r="19" spans="2:32" ht="23.1" customHeight="1" x14ac:dyDescent="0.25">
      <c r="B19" s="23" t="s">
        <v>46</v>
      </c>
      <c r="C19" s="49">
        <f>AVERAGE('19.08 Kampala-Bukaya'!C19,'20.08 Kampala-Bukaya'!C19,'21.08 Kampala-Bukaya'!C19,'22.08 Kampala-Bukaya'!C19,'23.08 Kampala-Bukaya-24h'!C19,'24.08 Kampala-Bukaya-24h'!C19,'25.08 Kampala-Bukaya'!C19)</f>
        <v>2.8571428571428572</v>
      </c>
      <c r="D19" s="49">
        <f>AVERAGE('19.08 Kampala-Bukaya'!D19,'20.08 Kampala-Bukaya'!D19,'21.08 Kampala-Bukaya'!D19,'22.08 Kampala-Bukaya'!D19,'23.08 Kampala-Bukaya-24h'!D19,'24.08 Kampala-Bukaya-24h'!D19,'25.08 Kampala-Bukaya'!D19)</f>
        <v>0</v>
      </c>
      <c r="E19" s="49">
        <f>AVERAGE('19.08 Kampala-Bukaya'!E19,'20.08 Kampala-Bukaya'!E19,'21.08 Kampala-Bukaya'!E19,'22.08 Kampala-Bukaya'!E19,'23.08 Kampala-Bukaya-24h'!E19,'24.08 Kampala-Bukaya-24h'!E19,'25.08 Kampala-Bukaya'!E19)</f>
        <v>2.4285714285714284</v>
      </c>
      <c r="F19" s="49">
        <f>AVERAGE('19.08 Kampala-Bukaya'!F19,'20.08 Kampala-Bukaya'!F19,'21.08 Kampala-Bukaya'!F19,'22.08 Kampala-Bukaya'!F19,'23.08 Kampala-Bukaya-24h'!F19,'24.08 Kampala-Bukaya-24h'!F19,'25.08 Kampala-Bukaya'!F19)</f>
        <v>1.8571428571428572</v>
      </c>
      <c r="G19" s="49">
        <f>AVERAGE('19.08 Kampala-Bukaya'!G19,'20.08 Kampala-Bukaya'!G19,'21.08 Kampala-Bukaya'!G19,'22.08 Kampala-Bukaya'!G19,'23.08 Kampala-Bukaya-24h'!G19,'24.08 Kampala-Bukaya-24h'!G19,'25.08 Kampala-Bukaya'!G19)</f>
        <v>0.14285714285714285</v>
      </c>
      <c r="H19" s="49">
        <f>AVERAGE('19.08 Kampala-Bukaya'!H19,'20.08 Kampala-Bukaya'!H19,'21.08 Kampala-Bukaya'!H19,'22.08 Kampala-Bukaya'!H19,'23.08 Kampala-Bukaya-24h'!H19,'24.08 Kampala-Bukaya-24h'!H19,'25.08 Kampala-Bukaya'!H19)</f>
        <v>0</v>
      </c>
      <c r="I19" s="49">
        <f>AVERAGE('19.08 Kampala-Bukaya'!I19,'20.08 Kampala-Bukaya'!I19,'21.08 Kampala-Bukaya'!I19,'22.08 Kampala-Bukaya'!I19,'23.08 Kampala-Bukaya-24h'!I19,'24.08 Kampala-Bukaya-24h'!I19,'25.08 Kampala-Bukaya'!I19)</f>
        <v>1.1428571428571428</v>
      </c>
      <c r="J19" s="49">
        <f>AVERAGE('19.08 Kampala-Bukaya'!J19,'20.08 Kampala-Bukaya'!J19,'21.08 Kampala-Bukaya'!J19,'22.08 Kampala-Bukaya'!J19,'23.08 Kampala-Bukaya-24h'!J19,'24.08 Kampala-Bukaya-24h'!J19,'25.08 Kampala-Bukaya'!J19)</f>
        <v>0.14285714285714285</v>
      </c>
      <c r="K19" s="49">
        <f>AVERAGE('19.08 Kampala-Bukaya'!K19,'20.08 Kampala-Bukaya'!K19,'21.08 Kampala-Bukaya'!K19,'22.08 Kampala-Bukaya'!K19,'23.08 Kampala-Bukaya-24h'!K19,'24.08 Kampala-Bukaya-24h'!K19,'25.08 Kampala-Bukaya'!K19)</f>
        <v>0</v>
      </c>
      <c r="L19" s="49">
        <f>AVERAGE('19.08 Kampala-Bukaya'!L19,'20.08 Kampala-Bukaya'!L19,'21.08 Kampala-Bukaya'!L19,'22.08 Kampala-Bukaya'!L19,'23.08 Kampala-Bukaya-24h'!L19,'24.08 Kampala-Bukaya-24h'!L19,'25.08 Kampala-Bukaya'!L19)</f>
        <v>0</v>
      </c>
      <c r="M19" s="49">
        <f>AVERAGE('19.08 Kampala-Bukaya'!M19,'20.08 Kampala-Bukaya'!M19,'21.08 Kampala-Bukaya'!M19,'22.08 Kampala-Bukaya'!M19,'23.08 Kampala-Bukaya-24h'!M19,'24.08 Kampala-Bukaya-24h'!M19,'25.08 Kampala-Bukaya'!M19)</f>
        <v>17.142857142857142</v>
      </c>
      <c r="N19" s="49">
        <f>AVERAGE('19.08 Kampala-Bukaya'!N19,'20.08 Kampala-Bukaya'!N19,'21.08 Kampala-Bukaya'!N19,'22.08 Kampala-Bukaya'!N19,'23.08 Kampala-Bukaya-24h'!N19,'24.08 Kampala-Bukaya-24h'!N19,'25.08 Kampala-Bukaya'!N19)</f>
        <v>0</v>
      </c>
      <c r="O19" s="15">
        <f t="shared" si="0"/>
        <v>8.5714285714285712</v>
      </c>
      <c r="P19" s="15">
        <f t="shared" si="1"/>
        <v>25.714285714285715</v>
      </c>
      <c r="R19" s="1" t="s">
        <v>15</v>
      </c>
      <c r="S19" s="17">
        <f t="shared" ref="S19:AF19" si="11">SUM(C46:C49)</f>
        <v>9.7142857142857135</v>
      </c>
      <c r="T19" s="17">
        <f t="shared" si="11"/>
        <v>0</v>
      </c>
      <c r="U19" s="17">
        <f t="shared" si="11"/>
        <v>7</v>
      </c>
      <c r="V19" s="17">
        <f t="shared" si="11"/>
        <v>8.5714285714285712</v>
      </c>
      <c r="W19" s="17">
        <f t="shared" si="11"/>
        <v>0.14285714285714285</v>
      </c>
      <c r="X19" s="17">
        <f t="shared" si="11"/>
        <v>0</v>
      </c>
      <c r="Y19" s="17">
        <f t="shared" si="11"/>
        <v>8.8571428571428577</v>
      </c>
      <c r="Z19" s="17">
        <f t="shared" si="11"/>
        <v>0.14285714285714285</v>
      </c>
      <c r="AA19" s="17">
        <f t="shared" si="11"/>
        <v>0.85714285714285698</v>
      </c>
      <c r="AB19" s="17">
        <f t="shared" si="11"/>
        <v>0</v>
      </c>
      <c r="AC19" s="17">
        <f t="shared" si="11"/>
        <v>88.714285714285722</v>
      </c>
      <c r="AD19" s="17">
        <f t="shared" si="11"/>
        <v>0</v>
      </c>
      <c r="AE19" s="31">
        <f t="shared" si="11"/>
        <v>35.285714285714292</v>
      </c>
      <c r="AF19" s="31">
        <f t="shared" si="11"/>
        <v>124</v>
      </c>
    </row>
    <row r="20" spans="2:32" ht="23.1" customHeight="1" x14ac:dyDescent="0.25">
      <c r="B20" s="23" t="s">
        <v>47</v>
      </c>
      <c r="C20" s="49">
        <f>AVERAGE('19.08 Kampala-Bukaya'!C20,'20.08 Kampala-Bukaya'!C20,'21.08 Kampala-Bukaya'!C20,'22.08 Kampala-Bukaya'!C20,'23.08 Kampala-Bukaya-24h'!C20,'24.08 Kampala-Bukaya-24h'!C20,'25.08 Kampala-Bukaya'!C20)</f>
        <v>2.7142857142857144</v>
      </c>
      <c r="D20" s="49">
        <f>AVERAGE('19.08 Kampala-Bukaya'!D20,'20.08 Kampala-Bukaya'!D20,'21.08 Kampala-Bukaya'!D20,'22.08 Kampala-Bukaya'!D20,'23.08 Kampala-Bukaya-24h'!D20,'24.08 Kampala-Bukaya-24h'!D20,'25.08 Kampala-Bukaya'!D20)</f>
        <v>0</v>
      </c>
      <c r="E20" s="49">
        <f>AVERAGE('19.08 Kampala-Bukaya'!E20,'20.08 Kampala-Bukaya'!E20,'21.08 Kampala-Bukaya'!E20,'22.08 Kampala-Bukaya'!E20,'23.08 Kampala-Bukaya-24h'!E20,'24.08 Kampala-Bukaya-24h'!E20,'25.08 Kampala-Bukaya'!E20)</f>
        <v>3</v>
      </c>
      <c r="F20" s="49">
        <f>AVERAGE('19.08 Kampala-Bukaya'!F20,'20.08 Kampala-Bukaya'!F20,'21.08 Kampala-Bukaya'!F20,'22.08 Kampala-Bukaya'!F20,'23.08 Kampala-Bukaya-24h'!F20,'24.08 Kampala-Bukaya-24h'!F20,'25.08 Kampala-Bukaya'!F20)</f>
        <v>1.8571428571428572</v>
      </c>
      <c r="G20" s="49">
        <f>AVERAGE('19.08 Kampala-Bukaya'!G20,'20.08 Kampala-Bukaya'!G20,'21.08 Kampala-Bukaya'!G20,'22.08 Kampala-Bukaya'!G20,'23.08 Kampala-Bukaya-24h'!G20,'24.08 Kampala-Bukaya-24h'!G20,'25.08 Kampala-Bukaya'!G20)</f>
        <v>0.14285714285714285</v>
      </c>
      <c r="H20" s="49">
        <f>AVERAGE('19.08 Kampala-Bukaya'!H20,'20.08 Kampala-Bukaya'!H20,'21.08 Kampala-Bukaya'!H20,'22.08 Kampala-Bukaya'!H20,'23.08 Kampala-Bukaya-24h'!H20,'24.08 Kampala-Bukaya-24h'!H20,'25.08 Kampala-Bukaya'!H20)</f>
        <v>0</v>
      </c>
      <c r="I20" s="49">
        <f>AVERAGE('19.08 Kampala-Bukaya'!I20,'20.08 Kampala-Bukaya'!I20,'21.08 Kampala-Bukaya'!I20,'22.08 Kampala-Bukaya'!I20,'23.08 Kampala-Bukaya-24h'!I20,'24.08 Kampala-Bukaya-24h'!I20,'25.08 Kampala-Bukaya'!I20)</f>
        <v>1.5714285714285714</v>
      </c>
      <c r="J20" s="49">
        <f>AVERAGE('19.08 Kampala-Bukaya'!J20,'20.08 Kampala-Bukaya'!J20,'21.08 Kampala-Bukaya'!J20,'22.08 Kampala-Bukaya'!J20,'23.08 Kampala-Bukaya-24h'!J20,'24.08 Kampala-Bukaya-24h'!J20,'25.08 Kampala-Bukaya'!J20)</f>
        <v>0.2857142857142857</v>
      </c>
      <c r="K20" s="49">
        <f>AVERAGE('19.08 Kampala-Bukaya'!K20,'20.08 Kampala-Bukaya'!K20,'21.08 Kampala-Bukaya'!K20,'22.08 Kampala-Bukaya'!K20,'23.08 Kampala-Bukaya-24h'!K20,'24.08 Kampala-Bukaya-24h'!K20,'25.08 Kampala-Bukaya'!K20)</f>
        <v>0</v>
      </c>
      <c r="L20" s="49">
        <f>AVERAGE('19.08 Kampala-Bukaya'!L20,'20.08 Kampala-Bukaya'!L20,'21.08 Kampala-Bukaya'!L20,'22.08 Kampala-Bukaya'!L20,'23.08 Kampala-Bukaya-24h'!L20,'24.08 Kampala-Bukaya-24h'!L20,'25.08 Kampala-Bukaya'!L20)</f>
        <v>0</v>
      </c>
      <c r="M20" s="49">
        <f>AVERAGE('19.08 Kampala-Bukaya'!M20,'20.08 Kampala-Bukaya'!M20,'21.08 Kampala-Bukaya'!M20,'22.08 Kampala-Bukaya'!M20,'23.08 Kampala-Bukaya-24h'!M20,'24.08 Kampala-Bukaya-24h'!M20,'25.08 Kampala-Bukaya'!M20)</f>
        <v>18.142857142857142</v>
      </c>
      <c r="N20" s="49">
        <f>AVERAGE('19.08 Kampala-Bukaya'!N20,'20.08 Kampala-Bukaya'!N20,'21.08 Kampala-Bukaya'!N20,'22.08 Kampala-Bukaya'!N20,'23.08 Kampala-Bukaya-24h'!N20,'24.08 Kampala-Bukaya-24h'!N20,'25.08 Kampala-Bukaya'!N20)</f>
        <v>0</v>
      </c>
      <c r="O20" s="15">
        <f t="shared" si="0"/>
        <v>9.571428571428573</v>
      </c>
      <c r="P20" s="15">
        <f t="shared" si="1"/>
        <v>27.714285714285715</v>
      </c>
      <c r="R20" s="1" t="s">
        <v>16</v>
      </c>
      <c r="S20" s="17">
        <f t="shared" ref="S20:AF20" si="12">SUM(C50:C53)</f>
        <v>9.5714285714285712</v>
      </c>
      <c r="T20" s="17">
        <f t="shared" si="12"/>
        <v>0</v>
      </c>
      <c r="U20" s="17">
        <f t="shared" si="12"/>
        <v>8.7142857142857135</v>
      </c>
      <c r="V20" s="17">
        <f t="shared" si="12"/>
        <v>10.142857142857142</v>
      </c>
      <c r="W20" s="17">
        <f t="shared" si="12"/>
        <v>0.14285714285714285</v>
      </c>
      <c r="X20" s="17">
        <f t="shared" si="12"/>
        <v>0</v>
      </c>
      <c r="Y20" s="17">
        <f t="shared" si="12"/>
        <v>5.7142857142857144</v>
      </c>
      <c r="Z20" s="17">
        <f t="shared" si="12"/>
        <v>0</v>
      </c>
      <c r="AA20" s="17">
        <f t="shared" si="12"/>
        <v>0.2857142857142857</v>
      </c>
      <c r="AB20" s="17">
        <f t="shared" si="12"/>
        <v>0.2857142857142857</v>
      </c>
      <c r="AC20" s="17">
        <f t="shared" si="12"/>
        <v>86.857142857142861</v>
      </c>
      <c r="AD20" s="17">
        <f t="shared" si="12"/>
        <v>0</v>
      </c>
      <c r="AE20" s="31">
        <f t="shared" si="12"/>
        <v>34.857142857142861</v>
      </c>
      <c r="AF20" s="31">
        <f t="shared" si="12"/>
        <v>121.71428571428572</v>
      </c>
    </row>
    <row r="21" spans="2:32" ht="23.1" customHeight="1" x14ac:dyDescent="0.25">
      <c r="B21" s="23" t="s">
        <v>48</v>
      </c>
      <c r="C21" s="49">
        <f>AVERAGE('19.08 Kampala-Bukaya'!C21,'20.08 Kampala-Bukaya'!C21,'21.08 Kampala-Bukaya'!C21,'22.08 Kampala-Bukaya'!C21,'23.08 Kampala-Bukaya-24h'!C21,'24.08 Kampala-Bukaya-24h'!C21,'25.08 Kampala-Bukaya'!C21)</f>
        <v>3.2857142857142856</v>
      </c>
      <c r="D21" s="49">
        <f>AVERAGE('19.08 Kampala-Bukaya'!D21,'20.08 Kampala-Bukaya'!D21,'21.08 Kampala-Bukaya'!D21,'22.08 Kampala-Bukaya'!D21,'23.08 Kampala-Bukaya-24h'!D21,'24.08 Kampala-Bukaya-24h'!D21,'25.08 Kampala-Bukaya'!D21)</f>
        <v>0</v>
      </c>
      <c r="E21" s="49">
        <f>AVERAGE('19.08 Kampala-Bukaya'!E21,'20.08 Kampala-Bukaya'!E21,'21.08 Kampala-Bukaya'!E21,'22.08 Kampala-Bukaya'!E21,'23.08 Kampala-Bukaya-24h'!E21,'24.08 Kampala-Bukaya-24h'!E21,'25.08 Kampala-Bukaya'!E21)</f>
        <v>1.4285714285714286</v>
      </c>
      <c r="F21" s="49">
        <f>AVERAGE('19.08 Kampala-Bukaya'!F21,'20.08 Kampala-Bukaya'!F21,'21.08 Kampala-Bukaya'!F21,'22.08 Kampala-Bukaya'!F21,'23.08 Kampala-Bukaya-24h'!F21,'24.08 Kampala-Bukaya-24h'!F21,'25.08 Kampala-Bukaya'!F21)</f>
        <v>2.8571428571428572</v>
      </c>
      <c r="G21" s="49">
        <f>AVERAGE('19.08 Kampala-Bukaya'!G21,'20.08 Kampala-Bukaya'!G21,'21.08 Kampala-Bukaya'!G21,'22.08 Kampala-Bukaya'!G21,'23.08 Kampala-Bukaya-24h'!G21,'24.08 Kampala-Bukaya-24h'!G21,'25.08 Kampala-Bukaya'!G21)</f>
        <v>0</v>
      </c>
      <c r="H21" s="49">
        <f>AVERAGE('19.08 Kampala-Bukaya'!H21,'20.08 Kampala-Bukaya'!H21,'21.08 Kampala-Bukaya'!H21,'22.08 Kampala-Bukaya'!H21,'23.08 Kampala-Bukaya-24h'!H21,'24.08 Kampala-Bukaya-24h'!H21,'25.08 Kampala-Bukaya'!H21)</f>
        <v>0</v>
      </c>
      <c r="I21" s="49">
        <f>AVERAGE('19.08 Kampala-Bukaya'!I21,'20.08 Kampala-Bukaya'!I21,'21.08 Kampala-Bukaya'!I21,'22.08 Kampala-Bukaya'!I21,'23.08 Kampala-Bukaya-24h'!I21,'24.08 Kampala-Bukaya-24h'!I21,'25.08 Kampala-Bukaya'!I21)</f>
        <v>1.4285714285714286</v>
      </c>
      <c r="J21" s="49">
        <f>AVERAGE('19.08 Kampala-Bukaya'!J21,'20.08 Kampala-Bukaya'!J21,'21.08 Kampala-Bukaya'!J21,'22.08 Kampala-Bukaya'!J21,'23.08 Kampala-Bukaya-24h'!J21,'24.08 Kampala-Bukaya-24h'!J21,'25.08 Kampala-Bukaya'!J21)</f>
        <v>0</v>
      </c>
      <c r="K21" s="49">
        <f>AVERAGE('19.08 Kampala-Bukaya'!K21,'20.08 Kampala-Bukaya'!K21,'21.08 Kampala-Bukaya'!K21,'22.08 Kampala-Bukaya'!K21,'23.08 Kampala-Bukaya-24h'!K21,'24.08 Kampala-Bukaya-24h'!K21,'25.08 Kampala-Bukaya'!K21)</f>
        <v>0</v>
      </c>
      <c r="L21" s="49">
        <f>AVERAGE('19.08 Kampala-Bukaya'!L21,'20.08 Kampala-Bukaya'!L21,'21.08 Kampala-Bukaya'!L21,'22.08 Kampala-Bukaya'!L21,'23.08 Kampala-Bukaya-24h'!L21,'24.08 Kampala-Bukaya-24h'!L21,'25.08 Kampala-Bukaya'!L21)</f>
        <v>0.14285714285714285</v>
      </c>
      <c r="M21" s="49">
        <f>AVERAGE('19.08 Kampala-Bukaya'!M21,'20.08 Kampala-Bukaya'!M21,'21.08 Kampala-Bukaya'!M21,'22.08 Kampala-Bukaya'!M21,'23.08 Kampala-Bukaya-24h'!M21,'24.08 Kampala-Bukaya-24h'!M21,'25.08 Kampala-Bukaya'!M21)</f>
        <v>17.714285714285715</v>
      </c>
      <c r="N21" s="49">
        <f>AVERAGE('19.08 Kampala-Bukaya'!N21,'20.08 Kampala-Bukaya'!N21,'21.08 Kampala-Bukaya'!N21,'22.08 Kampala-Bukaya'!N21,'23.08 Kampala-Bukaya-24h'!N21,'24.08 Kampala-Bukaya-24h'!N21,'25.08 Kampala-Bukaya'!N21)</f>
        <v>0</v>
      </c>
      <c r="O21" s="15">
        <f t="shared" si="0"/>
        <v>9.1428571428571423</v>
      </c>
      <c r="P21" s="15">
        <f t="shared" si="1"/>
        <v>26.857142857142858</v>
      </c>
      <c r="R21" s="36" t="s">
        <v>20</v>
      </c>
      <c r="S21" s="34">
        <f t="shared" ref="S21:AF21" si="13">SUM(C54:C57)</f>
        <v>8.5714285714285712</v>
      </c>
      <c r="T21" s="17">
        <f t="shared" si="13"/>
        <v>0</v>
      </c>
      <c r="U21" s="17">
        <f t="shared" si="13"/>
        <v>8.2857142857142865</v>
      </c>
      <c r="V21" s="17">
        <f t="shared" si="13"/>
        <v>9</v>
      </c>
      <c r="W21" s="17">
        <f t="shared" si="13"/>
        <v>0.14285714285714285</v>
      </c>
      <c r="X21" s="17">
        <f t="shared" si="13"/>
        <v>0.14285714285714285</v>
      </c>
      <c r="Y21" s="17">
        <f t="shared" si="13"/>
        <v>5.4285714285714288</v>
      </c>
      <c r="Z21" s="17">
        <f t="shared" si="13"/>
        <v>0.2857142857142857</v>
      </c>
      <c r="AA21" s="17">
        <f t="shared" si="13"/>
        <v>0.14285714285714285</v>
      </c>
      <c r="AB21" s="17">
        <f t="shared" si="13"/>
        <v>0</v>
      </c>
      <c r="AC21" s="17">
        <f t="shared" si="13"/>
        <v>89</v>
      </c>
      <c r="AD21" s="17">
        <f t="shared" si="13"/>
        <v>0.14285714285714285</v>
      </c>
      <c r="AE21" s="31">
        <f t="shared" si="13"/>
        <v>32.142857142857146</v>
      </c>
      <c r="AF21" s="31">
        <f t="shared" si="13"/>
        <v>127.14285714285715</v>
      </c>
    </row>
    <row r="22" spans="2:32" ht="23.1" customHeight="1" x14ac:dyDescent="0.25">
      <c r="B22" s="23" t="s">
        <v>49</v>
      </c>
      <c r="C22" s="49">
        <f>AVERAGE('19.08 Kampala-Bukaya'!C22,'20.08 Kampala-Bukaya'!C22,'21.08 Kampala-Bukaya'!C22,'22.08 Kampala-Bukaya'!C22,'23.08 Kampala-Bukaya-24h'!C22,'24.08 Kampala-Bukaya-24h'!C22,'25.08 Kampala-Bukaya'!C22)</f>
        <v>3.5714285714285716</v>
      </c>
      <c r="D22" s="49">
        <f>AVERAGE('19.08 Kampala-Bukaya'!D22,'20.08 Kampala-Bukaya'!D22,'21.08 Kampala-Bukaya'!D22,'22.08 Kampala-Bukaya'!D22,'23.08 Kampala-Bukaya-24h'!D22,'24.08 Kampala-Bukaya-24h'!D22,'25.08 Kampala-Bukaya'!D22)</f>
        <v>0</v>
      </c>
      <c r="E22" s="49">
        <f>AVERAGE('19.08 Kampala-Bukaya'!E22,'20.08 Kampala-Bukaya'!E22,'21.08 Kampala-Bukaya'!E22,'22.08 Kampala-Bukaya'!E22,'23.08 Kampala-Bukaya-24h'!E22,'24.08 Kampala-Bukaya-24h'!E22,'25.08 Kampala-Bukaya'!E22)</f>
        <v>3.8571428571428572</v>
      </c>
      <c r="F22" s="49">
        <f>AVERAGE('19.08 Kampala-Bukaya'!F22,'20.08 Kampala-Bukaya'!F22,'21.08 Kampala-Bukaya'!F22,'22.08 Kampala-Bukaya'!F22,'23.08 Kampala-Bukaya-24h'!F22,'24.08 Kampala-Bukaya-24h'!F22,'25.08 Kampala-Bukaya'!F22)</f>
        <v>1.5714285714285714</v>
      </c>
      <c r="G22" s="49">
        <f>AVERAGE('19.08 Kampala-Bukaya'!G22,'20.08 Kampala-Bukaya'!G22,'21.08 Kampala-Bukaya'!G22,'22.08 Kampala-Bukaya'!G22,'23.08 Kampala-Bukaya-24h'!G22,'24.08 Kampala-Bukaya-24h'!G22,'25.08 Kampala-Bukaya'!G22)</f>
        <v>0</v>
      </c>
      <c r="H22" s="49">
        <f>AVERAGE('19.08 Kampala-Bukaya'!H22,'20.08 Kampala-Bukaya'!H22,'21.08 Kampala-Bukaya'!H22,'22.08 Kampala-Bukaya'!H22,'23.08 Kampala-Bukaya-24h'!H22,'24.08 Kampala-Bukaya-24h'!H22,'25.08 Kampala-Bukaya'!H22)</f>
        <v>0</v>
      </c>
      <c r="I22" s="49">
        <f>AVERAGE('19.08 Kampala-Bukaya'!I22,'20.08 Kampala-Bukaya'!I22,'21.08 Kampala-Bukaya'!I22,'22.08 Kampala-Bukaya'!I22,'23.08 Kampala-Bukaya-24h'!I22,'24.08 Kampala-Bukaya-24h'!I22,'25.08 Kampala-Bukaya'!I22)</f>
        <v>2.2857142857142856</v>
      </c>
      <c r="J22" s="49">
        <f>AVERAGE('19.08 Kampala-Bukaya'!J22,'20.08 Kampala-Bukaya'!J22,'21.08 Kampala-Bukaya'!J22,'22.08 Kampala-Bukaya'!J22,'23.08 Kampala-Bukaya-24h'!J22,'24.08 Kampala-Bukaya-24h'!J22,'25.08 Kampala-Bukaya'!J22)</f>
        <v>0</v>
      </c>
      <c r="K22" s="49">
        <f>AVERAGE('19.08 Kampala-Bukaya'!K22,'20.08 Kampala-Bukaya'!K22,'21.08 Kampala-Bukaya'!K22,'22.08 Kampala-Bukaya'!K22,'23.08 Kampala-Bukaya-24h'!K22,'24.08 Kampala-Bukaya-24h'!K22,'25.08 Kampala-Bukaya'!K22)</f>
        <v>0.14285714285714285</v>
      </c>
      <c r="L22" s="49">
        <f>AVERAGE('19.08 Kampala-Bukaya'!L22,'20.08 Kampala-Bukaya'!L22,'21.08 Kampala-Bukaya'!L22,'22.08 Kampala-Bukaya'!L22,'23.08 Kampala-Bukaya-24h'!L22,'24.08 Kampala-Bukaya-24h'!L22,'25.08 Kampala-Bukaya'!L22)</f>
        <v>0</v>
      </c>
      <c r="M22" s="49">
        <f>AVERAGE('19.08 Kampala-Bukaya'!M22,'20.08 Kampala-Bukaya'!M22,'21.08 Kampala-Bukaya'!M22,'22.08 Kampala-Bukaya'!M22,'23.08 Kampala-Bukaya-24h'!M22,'24.08 Kampala-Bukaya-24h'!M22,'25.08 Kampala-Bukaya'!M22)</f>
        <v>20.714285714285715</v>
      </c>
      <c r="N22" s="49">
        <f>AVERAGE('19.08 Kampala-Bukaya'!N22,'20.08 Kampala-Bukaya'!N22,'21.08 Kampala-Bukaya'!N22,'22.08 Kampala-Bukaya'!N22,'23.08 Kampala-Bukaya-24h'!N22,'24.08 Kampala-Bukaya-24h'!N22,'25.08 Kampala-Bukaya'!N22)</f>
        <v>0</v>
      </c>
      <c r="O22" s="15">
        <f t="shared" si="0"/>
        <v>11.428571428571427</v>
      </c>
      <c r="P22" s="15">
        <f t="shared" si="1"/>
        <v>32.142857142857139</v>
      </c>
      <c r="R22" s="1" t="s">
        <v>146</v>
      </c>
      <c r="S22" s="34">
        <f>SUM(C58:C61)</f>
        <v>13</v>
      </c>
      <c r="T22" s="34">
        <f t="shared" ref="T22:AF22" si="14">SUM(D58:D61)</f>
        <v>0</v>
      </c>
      <c r="U22" s="34">
        <f t="shared" si="14"/>
        <v>8</v>
      </c>
      <c r="V22" s="34">
        <f t="shared" si="14"/>
        <v>4</v>
      </c>
      <c r="W22" s="34">
        <f t="shared" si="14"/>
        <v>1</v>
      </c>
      <c r="X22" s="34">
        <f t="shared" si="14"/>
        <v>0</v>
      </c>
      <c r="Y22" s="34">
        <f t="shared" si="14"/>
        <v>4</v>
      </c>
      <c r="Z22" s="34">
        <f t="shared" si="14"/>
        <v>0</v>
      </c>
      <c r="AA22" s="34">
        <f t="shared" si="14"/>
        <v>1</v>
      </c>
      <c r="AB22" s="34">
        <f t="shared" si="14"/>
        <v>0</v>
      </c>
      <c r="AC22" s="34">
        <f t="shared" si="14"/>
        <v>58</v>
      </c>
      <c r="AD22" s="34">
        <f t="shared" si="14"/>
        <v>0</v>
      </c>
      <c r="AE22" s="31">
        <f t="shared" si="14"/>
        <v>31</v>
      </c>
      <c r="AF22" s="31">
        <f t="shared" si="14"/>
        <v>107</v>
      </c>
    </row>
    <row r="23" spans="2:32" ht="23.1" customHeight="1" x14ac:dyDescent="0.25">
      <c r="B23" s="23" t="s">
        <v>50</v>
      </c>
      <c r="C23" s="49">
        <f>AVERAGE('19.08 Kampala-Bukaya'!C23,'20.08 Kampala-Bukaya'!C23,'21.08 Kampala-Bukaya'!C23,'22.08 Kampala-Bukaya'!C23,'23.08 Kampala-Bukaya-24h'!C23,'24.08 Kampala-Bukaya-24h'!C23,'25.08 Kampala-Bukaya'!C23)</f>
        <v>3.1428571428571428</v>
      </c>
      <c r="D23" s="49">
        <f>AVERAGE('19.08 Kampala-Bukaya'!D23,'20.08 Kampala-Bukaya'!D23,'21.08 Kampala-Bukaya'!D23,'22.08 Kampala-Bukaya'!D23,'23.08 Kampala-Bukaya-24h'!D23,'24.08 Kampala-Bukaya-24h'!D23,'25.08 Kampala-Bukaya'!D23)</f>
        <v>0</v>
      </c>
      <c r="E23" s="49">
        <f>AVERAGE('19.08 Kampala-Bukaya'!E23,'20.08 Kampala-Bukaya'!E23,'21.08 Kampala-Bukaya'!E23,'22.08 Kampala-Bukaya'!E23,'23.08 Kampala-Bukaya-24h'!E23,'24.08 Kampala-Bukaya-24h'!E23,'25.08 Kampala-Bukaya'!E23)</f>
        <v>3.2857142857142856</v>
      </c>
      <c r="F23" s="49">
        <f>AVERAGE('19.08 Kampala-Bukaya'!F23,'20.08 Kampala-Bukaya'!F23,'21.08 Kampala-Bukaya'!F23,'22.08 Kampala-Bukaya'!F23,'23.08 Kampala-Bukaya-24h'!F23,'24.08 Kampala-Bukaya-24h'!F23,'25.08 Kampala-Bukaya'!F23)</f>
        <v>1.7142857142857142</v>
      </c>
      <c r="G23" s="49">
        <f>AVERAGE('19.08 Kampala-Bukaya'!G23,'20.08 Kampala-Bukaya'!G23,'21.08 Kampala-Bukaya'!G23,'22.08 Kampala-Bukaya'!G23,'23.08 Kampala-Bukaya-24h'!G23,'24.08 Kampala-Bukaya-24h'!G23,'25.08 Kampala-Bukaya'!G23)</f>
        <v>0</v>
      </c>
      <c r="H23" s="49">
        <f>AVERAGE('19.08 Kampala-Bukaya'!H23,'20.08 Kampala-Bukaya'!H23,'21.08 Kampala-Bukaya'!H23,'22.08 Kampala-Bukaya'!H23,'23.08 Kampala-Bukaya-24h'!H23,'24.08 Kampala-Bukaya-24h'!H23,'25.08 Kampala-Bukaya'!H23)</f>
        <v>0</v>
      </c>
      <c r="I23" s="49">
        <f>AVERAGE('19.08 Kampala-Bukaya'!I23,'20.08 Kampala-Bukaya'!I23,'21.08 Kampala-Bukaya'!I23,'22.08 Kampala-Bukaya'!I23,'23.08 Kampala-Bukaya-24h'!I23,'24.08 Kampala-Bukaya-24h'!I23,'25.08 Kampala-Bukaya'!I23)</f>
        <v>1.4285714285714286</v>
      </c>
      <c r="J23" s="49">
        <f>AVERAGE('19.08 Kampala-Bukaya'!J23,'20.08 Kampala-Bukaya'!J23,'21.08 Kampala-Bukaya'!J23,'22.08 Kampala-Bukaya'!J23,'23.08 Kampala-Bukaya-24h'!J23,'24.08 Kampala-Bukaya-24h'!J23,'25.08 Kampala-Bukaya'!J23)</f>
        <v>0</v>
      </c>
      <c r="K23" s="49">
        <f>AVERAGE('19.08 Kampala-Bukaya'!K23,'20.08 Kampala-Bukaya'!K23,'21.08 Kampala-Bukaya'!K23,'22.08 Kampala-Bukaya'!K23,'23.08 Kampala-Bukaya-24h'!K23,'24.08 Kampala-Bukaya-24h'!K23,'25.08 Kampala-Bukaya'!K23)</f>
        <v>0</v>
      </c>
      <c r="L23" s="49">
        <f>AVERAGE('19.08 Kampala-Bukaya'!L23,'20.08 Kampala-Bukaya'!L23,'21.08 Kampala-Bukaya'!L23,'22.08 Kampala-Bukaya'!L23,'23.08 Kampala-Bukaya-24h'!L23,'24.08 Kampala-Bukaya-24h'!L23,'25.08 Kampala-Bukaya'!L23)</f>
        <v>0</v>
      </c>
      <c r="M23" s="49">
        <f>AVERAGE('19.08 Kampala-Bukaya'!M23,'20.08 Kampala-Bukaya'!M23,'21.08 Kampala-Bukaya'!M23,'22.08 Kampala-Bukaya'!M23,'23.08 Kampala-Bukaya-24h'!M23,'24.08 Kampala-Bukaya-24h'!M23,'25.08 Kampala-Bukaya'!M23)</f>
        <v>17.857142857142858</v>
      </c>
      <c r="N23" s="49">
        <f>AVERAGE('19.08 Kampala-Bukaya'!N23,'20.08 Kampala-Bukaya'!N23,'21.08 Kampala-Bukaya'!N23,'22.08 Kampala-Bukaya'!N23,'23.08 Kampala-Bukaya-24h'!N23,'24.08 Kampala-Bukaya-24h'!N23,'25.08 Kampala-Bukaya'!N23)</f>
        <v>0</v>
      </c>
      <c r="O23" s="15">
        <f t="shared" si="0"/>
        <v>9.5714285714285712</v>
      </c>
      <c r="P23" s="15">
        <f t="shared" si="1"/>
        <v>27.428571428571431</v>
      </c>
      <c r="R23" s="1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15</v>
      </c>
      <c r="V23" s="34">
        <f t="shared" si="15"/>
        <v>13</v>
      </c>
      <c r="W23" s="34">
        <f t="shared" si="15"/>
        <v>0</v>
      </c>
      <c r="X23" s="34">
        <f t="shared" si="15"/>
        <v>0</v>
      </c>
      <c r="Y23" s="34">
        <f t="shared" si="15"/>
        <v>14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53</v>
      </c>
      <c r="AD23" s="34">
        <f t="shared" si="15"/>
        <v>0</v>
      </c>
      <c r="AE23" s="31">
        <f t="shared" si="15"/>
        <v>47</v>
      </c>
      <c r="AF23" s="31">
        <f t="shared" si="15"/>
        <v>143</v>
      </c>
    </row>
    <row r="24" spans="2:32" ht="23.1" customHeight="1" x14ac:dyDescent="0.25">
      <c r="B24" s="23" t="s">
        <v>51</v>
      </c>
      <c r="C24" s="49">
        <f>AVERAGE('19.08 Kampala-Bukaya'!C24,'20.08 Kampala-Bukaya'!C24,'21.08 Kampala-Bukaya'!C24,'22.08 Kampala-Bukaya'!C24,'23.08 Kampala-Bukaya-24h'!C24,'24.08 Kampala-Bukaya-24h'!C24,'25.08 Kampala-Bukaya'!C24)</f>
        <v>4.7142857142857144</v>
      </c>
      <c r="D24" s="49">
        <f>AVERAGE('19.08 Kampala-Bukaya'!D24,'20.08 Kampala-Bukaya'!D24,'21.08 Kampala-Bukaya'!D24,'22.08 Kampala-Bukaya'!D24,'23.08 Kampala-Bukaya-24h'!D24,'24.08 Kampala-Bukaya-24h'!D24,'25.08 Kampala-Bukaya'!D24)</f>
        <v>0</v>
      </c>
      <c r="E24" s="49">
        <f>AVERAGE('19.08 Kampala-Bukaya'!E24,'20.08 Kampala-Bukaya'!E24,'21.08 Kampala-Bukaya'!E24,'22.08 Kampala-Bukaya'!E24,'23.08 Kampala-Bukaya-24h'!E24,'24.08 Kampala-Bukaya-24h'!E24,'25.08 Kampala-Bukaya'!E24)</f>
        <v>4.8571428571428568</v>
      </c>
      <c r="F24" s="49">
        <f>AVERAGE('19.08 Kampala-Bukaya'!F24,'20.08 Kampala-Bukaya'!F24,'21.08 Kampala-Bukaya'!F24,'22.08 Kampala-Bukaya'!F24,'23.08 Kampala-Bukaya-24h'!F24,'24.08 Kampala-Bukaya-24h'!F24,'25.08 Kampala-Bukaya'!F24)</f>
        <v>1.4285714285714286</v>
      </c>
      <c r="G24" s="49">
        <f>AVERAGE('19.08 Kampala-Bukaya'!G24,'20.08 Kampala-Bukaya'!G24,'21.08 Kampala-Bukaya'!G24,'22.08 Kampala-Bukaya'!G24,'23.08 Kampala-Bukaya-24h'!G24,'24.08 Kampala-Bukaya-24h'!G24,'25.08 Kampala-Bukaya'!G24)</f>
        <v>0.14285714285714285</v>
      </c>
      <c r="H24" s="49">
        <f>AVERAGE('19.08 Kampala-Bukaya'!H24,'20.08 Kampala-Bukaya'!H24,'21.08 Kampala-Bukaya'!H24,'22.08 Kampala-Bukaya'!H24,'23.08 Kampala-Bukaya-24h'!H24,'24.08 Kampala-Bukaya-24h'!H24,'25.08 Kampala-Bukaya'!H24)</f>
        <v>0</v>
      </c>
      <c r="I24" s="49">
        <f>AVERAGE('19.08 Kampala-Bukaya'!I24,'20.08 Kampala-Bukaya'!I24,'21.08 Kampala-Bukaya'!I24,'22.08 Kampala-Bukaya'!I24,'23.08 Kampala-Bukaya-24h'!I24,'24.08 Kampala-Bukaya-24h'!I24,'25.08 Kampala-Bukaya'!I24)</f>
        <v>2.7142857142857144</v>
      </c>
      <c r="J24" s="49">
        <f>AVERAGE('19.08 Kampala-Bukaya'!J24,'20.08 Kampala-Bukaya'!J24,'21.08 Kampala-Bukaya'!J24,'22.08 Kampala-Bukaya'!J24,'23.08 Kampala-Bukaya-24h'!J24,'24.08 Kampala-Bukaya-24h'!J24,'25.08 Kampala-Bukaya'!J24)</f>
        <v>0.14285714285714285</v>
      </c>
      <c r="K24" s="49">
        <f>AVERAGE('19.08 Kampala-Bukaya'!K24,'20.08 Kampala-Bukaya'!K24,'21.08 Kampala-Bukaya'!K24,'22.08 Kampala-Bukaya'!K24,'23.08 Kampala-Bukaya-24h'!K24,'24.08 Kampala-Bukaya-24h'!K24,'25.08 Kampala-Bukaya'!K24)</f>
        <v>0.5714285714285714</v>
      </c>
      <c r="L24" s="49">
        <f>AVERAGE('19.08 Kampala-Bukaya'!L24,'20.08 Kampala-Bukaya'!L24,'21.08 Kampala-Bukaya'!L24,'22.08 Kampala-Bukaya'!L24,'23.08 Kampala-Bukaya-24h'!L24,'24.08 Kampala-Bukaya-24h'!L24,'25.08 Kampala-Bukaya'!L24)</f>
        <v>0</v>
      </c>
      <c r="M24" s="49">
        <f>AVERAGE('19.08 Kampala-Bukaya'!M24,'20.08 Kampala-Bukaya'!M24,'21.08 Kampala-Bukaya'!M24,'22.08 Kampala-Bukaya'!M24,'23.08 Kampala-Bukaya-24h'!M24,'24.08 Kampala-Bukaya-24h'!M24,'25.08 Kampala-Bukaya'!M24)</f>
        <v>18.714285714285715</v>
      </c>
      <c r="N24" s="49">
        <f>AVERAGE('19.08 Kampala-Bukaya'!N24,'20.08 Kampala-Bukaya'!N24,'21.08 Kampala-Bukaya'!N24,'22.08 Kampala-Bukaya'!N24,'23.08 Kampala-Bukaya-24h'!N24,'24.08 Kampala-Bukaya-24h'!N24,'25.08 Kampala-Bukaya'!N24)</f>
        <v>0</v>
      </c>
      <c r="O24" s="15">
        <f t="shared" si="0"/>
        <v>14.571428571428571</v>
      </c>
      <c r="P24" s="15">
        <f t="shared" si="1"/>
        <v>33.285714285714285</v>
      </c>
      <c r="R24" s="1" t="s">
        <v>148</v>
      </c>
      <c r="S24" s="34">
        <f>SUM(C66:C69)</f>
        <v>8</v>
      </c>
      <c r="T24" s="34">
        <f t="shared" ref="T24:AF24" si="16">SUM(D66:D69)</f>
        <v>0</v>
      </c>
      <c r="U24" s="34">
        <f t="shared" si="16"/>
        <v>10</v>
      </c>
      <c r="V24" s="34">
        <f t="shared" si="16"/>
        <v>7</v>
      </c>
      <c r="W24" s="34">
        <f t="shared" si="16"/>
        <v>0</v>
      </c>
      <c r="X24" s="34">
        <f t="shared" si="16"/>
        <v>0</v>
      </c>
      <c r="Y24" s="34">
        <f t="shared" si="16"/>
        <v>6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38</v>
      </c>
      <c r="AD24" s="34">
        <f t="shared" si="16"/>
        <v>0</v>
      </c>
      <c r="AE24" s="31">
        <f t="shared" si="16"/>
        <v>32</v>
      </c>
      <c r="AF24" s="31">
        <f t="shared" si="16"/>
        <v>94</v>
      </c>
    </row>
    <row r="25" spans="2:32" ht="23.1" customHeight="1" x14ac:dyDescent="0.25">
      <c r="B25" s="23" t="s">
        <v>52</v>
      </c>
      <c r="C25" s="49">
        <f>AVERAGE('19.08 Kampala-Bukaya'!C25,'20.08 Kampala-Bukaya'!C25,'21.08 Kampala-Bukaya'!C25,'22.08 Kampala-Bukaya'!C25,'23.08 Kampala-Bukaya-24h'!C25,'24.08 Kampala-Bukaya-24h'!C25,'25.08 Kampala-Bukaya'!C25)</f>
        <v>1.5714285714285714</v>
      </c>
      <c r="D25" s="49">
        <f>AVERAGE('19.08 Kampala-Bukaya'!D25,'20.08 Kampala-Bukaya'!D25,'21.08 Kampala-Bukaya'!D25,'22.08 Kampala-Bukaya'!D25,'23.08 Kampala-Bukaya-24h'!D25,'24.08 Kampala-Bukaya-24h'!D25,'25.08 Kampala-Bukaya'!D25)</f>
        <v>0</v>
      </c>
      <c r="E25" s="49">
        <f>AVERAGE('19.08 Kampala-Bukaya'!E25,'20.08 Kampala-Bukaya'!E25,'21.08 Kampala-Bukaya'!E25,'22.08 Kampala-Bukaya'!E25,'23.08 Kampala-Bukaya-24h'!E25,'24.08 Kampala-Bukaya-24h'!E25,'25.08 Kampala-Bukaya'!E25)</f>
        <v>2.4285714285714284</v>
      </c>
      <c r="F25" s="49">
        <f>AVERAGE('19.08 Kampala-Bukaya'!F25,'20.08 Kampala-Bukaya'!F25,'21.08 Kampala-Bukaya'!F25,'22.08 Kampala-Bukaya'!F25,'23.08 Kampala-Bukaya-24h'!F25,'24.08 Kampala-Bukaya-24h'!F25,'25.08 Kampala-Bukaya'!F25)</f>
        <v>2.2857142857142856</v>
      </c>
      <c r="G25" s="49">
        <f>AVERAGE('19.08 Kampala-Bukaya'!G25,'20.08 Kampala-Bukaya'!G25,'21.08 Kampala-Bukaya'!G25,'22.08 Kampala-Bukaya'!G25,'23.08 Kampala-Bukaya-24h'!G25,'24.08 Kampala-Bukaya-24h'!G25,'25.08 Kampala-Bukaya'!G25)</f>
        <v>0.14285714285714285</v>
      </c>
      <c r="H25" s="49">
        <f>AVERAGE('19.08 Kampala-Bukaya'!H25,'20.08 Kampala-Bukaya'!H25,'21.08 Kampala-Bukaya'!H25,'22.08 Kampala-Bukaya'!H25,'23.08 Kampala-Bukaya-24h'!H25,'24.08 Kampala-Bukaya-24h'!H25,'25.08 Kampala-Bukaya'!H25)</f>
        <v>0</v>
      </c>
      <c r="I25" s="49">
        <f>AVERAGE('19.08 Kampala-Bukaya'!I25,'20.08 Kampala-Bukaya'!I25,'21.08 Kampala-Bukaya'!I25,'22.08 Kampala-Bukaya'!I25,'23.08 Kampala-Bukaya-24h'!I25,'24.08 Kampala-Bukaya-24h'!I25,'25.08 Kampala-Bukaya'!I25)</f>
        <v>1.5714285714285714</v>
      </c>
      <c r="J25" s="49">
        <f>AVERAGE('19.08 Kampala-Bukaya'!J25,'20.08 Kampala-Bukaya'!J25,'21.08 Kampala-Bukaya'!J25,'22.08 Kampala-Bukaya'!J25,'23.08 Kampala-Bukaya-24h'!J25,'24.08 Kampala-Bukaya-24h'!J25,'25.08 Kampala-Bukaya'!J25)</f>
        <v>0</v>
      </c>
      <c r="K25" s="49">
        <f>AVERAGE('19.08 Kampala-Bukaya'!K25,'20.08 Kampala-Bukaya'!K25,'21.08 Kampala-Bukaya'!K25,'22.08 Kampala-Bukaya'!K25,'23.08 Kampala-Bukaya-24h'!K25,'24.08 Kampala-Bukaya-24h'!K25,'25.08 Kampala-Bukaya'!K25)</f>
        <v>0.5714285714285714</v>
      </c>
      <c r="L25" s="49">
        <f>AVERAGE('19.08 Kampala-Bukaya'!L25,'20.08 Kampala-Bukaya'!L25,'21.08 Kampala-Bukaya'!L25,'22.08 Kampala-Bukaya'!L25,'23.08 Kampala-Bukaya-24h'!L25,'24.08 Kampala-Bukaya-24h'!L25,'25.08 Kampala-Bukaya'!L25)</f>
        <v>0</v>
      </c>
      <c r="M25" s="49">
        <f>AVERAGE('19.08 Kampala-Bukaya'!M25,'20.08 Kampala-Bukaya'!M25,'21.08 Kampala-Bukaya'!M25,'22.08 Kampala-Bukaya'!M25,'23.08 Kampala-Bukaya-24h'!M25,'24.08 Kampala-Bukaya-24h'!M25,'25.08 Kampala-Bukaya'!M25)</f>
        <v>21.714285714285715</v>
      </c>
      <c r="N25" s="49">
        <f>AVERAGE('19.08 Kampala-Bukaya'!N25,'20.08 Kampala-Bukaya'!N25,'21.08 Kampala-Bukaya'!N25,'22.08 Kampala-Bukaya'!N25,'23.08 Kampala-Bukaya-24h'!N25,'24.08 Kampala-Bukaya-24h'!N25,'25.08 Kampala-Bukaya'!N25)</f>
        <v>0</v>
      </c>
      <c r="O25" s="15">
        <f t="shared" si="0"/>
        <v>8.5714285714285712</v>
      </c>
      <c r="P25" s="15">
        <f t="shared" si="1"/>
        <v>30.285714285714285</v>
      </c>
      <c r="R25" s="1" t="s">
        <v>149</v>
      </c>
      <c r="S25" s="34">
        <f>SUM(C70:C73)</f>
        <v>10</v>
      </c>
      <c r="T25" s="34">
        <f t="shared" ref="T25:AF25" si="17">SUM(D70:D73)</f>
        <v>0</v>
      </c>
      <c r="U25" s="34">
        <f t="shared" si="17"/>
        <v>5</v>
      </c>
      <c r="V25" s="34">
        <f t="shared" si="17"/>
        <v>5</v>
      </c>
      <c r="W25" s="34">
        <f t="shared" si="17"/>
        <v>1</v>
      </c>
      <c r="X25" s="34">
        <f t="shared" si="17"/>
        <v>0</v>
      </c>
      <c r="Y25" s="34">
        <f t="shared" si="17"/>
        <v>6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17</v>
      </c>
      <c r="AD25" s="34">
        <f t="shared" si="17"/>
        <v>0</v>
      </c>
      <c r="AE25" s="31">
        <f t="shared" si="17"/>
        <v>28</v>
      </c>
      <c r="AF25" s="31">
        <f t="shared" si="17"/>
        <v>63</v>
      </c>
    </row>
    <row r="26" spans="2:32" ht="23.1" customHeight="1" x14ac:dyDescent="0.25">
      <c r="B26" s="23" t="s">
        <v>53</v>
      </c>
      <c r="C26" s="49">
        <f>AVERAGE('19.08 Kampala-Bukaya'!C26,'20.08 Kampala-Bukaya'!C26,'21.08 Kampala-Bukaya'!C26,'22.08 Kampala-Bukaya'!C26,'23.08 Kampala-Bukaya-24h'!C26,'24.08 Kampala-Bukaya-24h'!C26,'25.08 Kampala-Bukaya'!C26)</f>
        <v>3.1428571428571428</v>
      </c>
      <c r="D26" s="49">
        <f>AVERAGE('19.08 Kampala-Bukaya'!D26,'20.08 Kampala-Bukaya'!D26,'21.08 Kampala-Bukaya'!D26,'22.08 Kampala-Bukaya'!D26,'23.08 Kampala-Bukaya-24h'!D26,'24.08 Kampala-Bukaya-24h'!D26,'25.08 Kampala-Bukaya'!D26)</f>
        <v>0</v>
      </c>
      <c r="E26" s="49">
        <f>AVERAGE('19.08 Kampala-Bukaya'!E26,'20.08 Kampala-Bukaya'!E26,'21.08 Kampala-Bukaya'!E26,'22.08 Kampala-Bukaya'!E26,'23.08 Kampala-Bukaya-24h'!E26,'24.08 Kampala-Bukaya-24h'!E26,'25.08 Kampala-Bukaya'!E26)</f>
        <v>3.4285714285714284</v>
      </c>
      <c r="F26" s="49">
        <f>AVERAGE('19.08 Kampala-Bukaya'!F26,'20.08 Kampala-Bukaya'!F26,'21.08 Kampala-Bukaya'!F26,'22.08 Kampala-Bukaya'!F26,'23.08 Kampala-Bukaya-24h'!F26,'24.08 Kampala-Bukaya-24h'!F26,'25.08 Kampala-Bukaya'!F26)</f>
        <v>2.2857142857142856</v>
      </c>
      <c r="G26" s="49">
        <f>AVERAGE('19.08 Kampala-Bukaya'!G26,'20.08 Kampala-Bukaya'!G26,'21.08 Kampala-Bukaya'!G26,'22.08 Kampala-Bukaya'!G26,'23.08 Kampala-Bukaya-24h'!G26,'24.08 Kampala-Bukaya-24h'!G26,'25.08 Kampala-Bukaya'!G26)</f>
        <v>0</v>
      </c>
      <c r="H26" s="49">
        <f>AVERAGE('19.08 Kampala-Bukaya'!H26,'20.08 Kampala-Bukaya'!H26,'21.08 Kampala-Bukaya'!H26,'22.08 Kampala-Bukaya'!H26,'23.08 Kampala-Bukaya-24h'!H26,'24.08 Kampala-Bukaya-24h'!H26,'25.08 Kampala-Bukaya'!H26)</f>
        <v>0</v>
      </c>
      <c r="I26" s="49">
        <f>AVERAGE('19.08 Kampala-Bukaya'!I26,'20.08 Kampala-Bukaya'!I26,'21.08 Kampala-Bukaya'!I26,'22.08 Kampala-Bukaya'!I26,'23.08 Kampala-Bukaya-24h'!I26,'24.08 Kampala-Bukaya-24h'!I26,'25.08 Kampala-Bukaya'!I26)</f>
        <v>1.5714285714285714</v>
      </c>
      <c r="J26" s="49">
        <f>AVERAGE('19.08 Kampala-Bukaya'!J26,'20.08 Kampala-Bukaya'!J26,'21.08 Kampala-Bukaya'!J26,'22.08 Kampala-Bukaya'!J26,'23.08 Kampala-Bukaya-24h'!J26,'24.08 Kampala-Bukaya-24h'!J26,'25.08 Kampala-Bukaya'!J26)</f>
        <v>0</v>
      </c>
      <c r="K26" s="49">
        <f>AVERAGE('19.08 Kampala-Bukaya'!K26,'20.08 Kampala-Bukaya'!K26,'21.08 Kampala-Bukaya'!K26,'22.08 Kampala-Bukaya'!K26,'23.08 Kampala-Bukaya-24h'!K26,'24.08 Kampala-Bukaya-24h'!K26,'25.08 Kampala-Bukaya'!K26)</f>
        <v>0.2857142857142857</v>
      </c>
      <c r="L26" s="49">
        <f>AVERAGE('19.08 Kampala-Bukaya'!L26,'20.08 Kampala-Bukaya'!L26,'21.08 Kampala-Bukaya'!L26,'22.08 Kampala-Bukaya'!L26,'23.08 Kampala-Bukaya-24h'!L26,'24.08 Kampala-Bukaya-24h'!L26,'25.08 Kampala-Bukaya'!L26)</f>
        <v>0</v>
      </c>
      <c r="M26" s="49">
        <f>AVERAGE('19.08 Kampala-Bukaya'!M26,'20.08 Kampala-Bukaya'!M26,'21.08 Kampala-Bukaya'!M26,'22.08 Kampala-Bukaya'!M26,'23.08 Kampala-Bukaya-24h'!M26,'24.08 Kampala-Bukaya-24h'!M26,'25.08 Kampala-Bukaya'!M26)</f>
        <v>20</v>
      </c>
      <c r="N26" s="49">
        <f>AVERAGE('19.08 Kampala-Bukaya'!N26,'20.08 Kampala-Bukaya'!N26,'21.08 Kampala-Bukaya'!N26,'22.08 Kampala-Bukaya'!N26,'23.08 Kampala-Bukaya-24h'!N26,'24.08 Kampala-Bukaya-24h'!N26,'25.08 Kampala-Bukaya'!N26)</f>
        <v>0</v>
      </c>
      <c r="O26" s="15">
        <f t="shared" si="0"/>
        <v>10.714285714285715</v>
      </c>
      <c r="P26" s="15">
        <f t="shared" si="1"/>
        <v>30.714285714285715</v>
      </c>
      <c r="R26" s="1" t="s">
        <v>150</v>
      </c>
      <c r="S26" s="34">
        <f>SUM(C74:C77)</f>
        <v>6</v>
      </c>
      <c r="T26" s="34">
        <f t="shared" ref="T26:AF26" si="18">SUM(D74:D77)</f>
        <v>0</v>
      </c>
      <c r="U26" s="34">
        <f t="shared" si="18"/>
        <v>11</v>
      </c>
      <c r="V26" s="34">
        <f t="shared" si="18"/>
        <v>5</v>
      </c>
      <c r="W26" s="34">
        <f t="shared" si="18"/>
        <v>0</v>
      </c>
      <c r="X26" s="34">
        <f t="shared" si="18"/>
        <v>0</v>
      </c>
      <c r="Y26" s="34">
        <f t="shared" si="18"/>
        <v>14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37</v>
      </c>
      <c r="AF26" s="31">
        <f t="shared" si="18"/>
        <v>68</v>
      </c>
    </row>
    <row r="27" spans="2:32" ht="23.1" customHeight="1" x14ac:dyDescent="0.25">
      <c r="B27" s="23" t="s">
        <v>54</v>
      </c>
      <c r="C27" s="49">
        <f>AVERAGE('19.08 Kampala-Bukaya'!C27,'20.08 Kampala-Bukaya'!C27,'21.08 Kampala-Bukaya'!C27,'22.08 Kampala-Bukaya'!C27,'23.08 Kampala-Bukaya-24h'!C27,'24.08 Kampala-Bukaya-24h'!C27,'25.08 Kampala-Bukaya'!C27)</f>
        <v>2.5714285714285716</v>
      </c>
      <c r="D27" s="49">
        <f>AVERAGE('19.08 Kampala-Bukaya'!D27,'20.08 Kampala-Bukaya'!D27,'21.08 Kampala-Bukaya'!D27,'22.08 Kampala-Bukaya'!D27,'23.08 Kampala-Bukaya-24h'!D27,'24.08 Kampala-Bukaya-24h'!D27,'25.08 Kampala-Bukaya'!D27)</f>
        <v>0</v>
      </c>
      <c r="E27" s="49">
        <f>AVERAGE('19.08 Kampala-Bukaya'!E27,'20.08 Kampala-Bukaya'!E27,'21.08 Kampala-Bukaya'!E27,'22.08 Kampala-Bukaya'!E27,'23.08 Kampala-Bukaya-24h'!E27,'24.08 Kampala-Bukaya-24h'!E27,'25.08 Kampala-Bukaya'!E27)</f>
        <v>4</v>
      </c>
      <c r="F27" s="49">
        <f>AVERAGE('19.08 Kampala-Bukaya'!F27,'20.08 Kampala-Bukaya'!F27,'21.08 Kampala-Bukaya'!F27,'22.08 Kampala-Bukaya'!F27,'23.08 Kampala-Bukaya-24h'!F27,'24.08 Kampala-Bukaya-24h'!F27,'25.08 Kampala-Bukaya'!F27)</f>
        <v>1.1428571428571428</v>
      </c>
      <c r="G27" s="49">
        <f>AVERAGE('19.08 Kampala-Bukaya'!G27,'20.08 Kampala-Bukaya'!G27,'21.08 Kampala-Bukaya'!G27,'22.08 Kampala-Bukaya'!G27,'23.08 Kampala-Bukaya-24h'!G27,'24.08 Kampala-Bukaya-24h'!G27,'25.08 Kampala-Bukaya'!G27)</f>
        <v>0.2857142857142857</v>
      </c>
      <c r="H27" s="49">
        <f>AVERAGE('19.08 Kampala-Bukaya'!H27,'20.08 Kampala-Bukaya'!H27,'21.08 Kampala-Bukaya'!H27,'22.08 Kampala-Bukaya'!H27,'23.08 Kampala-Bukaya-24h'!H27,'24.08 Kampala-Bukaya-24h'!H27,'25.08 Kampala-Bukaya'!H27)</f>
        <v>0</v>
      </c>
      <c r="I27" s="49">
        <f>AVERAGE('19.08 Kampala-Bukaya'!I27,'20.08 Kampala-Bukaya'!I27,'21.08 Kampala-Bukaya'!I27,'22.08 Kampala-Bukaya'!I27,'23.08 Kampala-Bukaya-24h'!I27,'24.08 Kampala-Bukaya-24h'!I27,'25.08 Kampala-Bukaya'!I27)</f>
        <v>1.7142857142857142</v>
      </c>
      <c r="J27" s="49">
        <f>AVERAGE('19.08 Kampala-Bukaya'!J27,'20.08 Kampala-Bukaya'!J27,'21.08 Kampala-Bukaya'!J27,'22.08 Kampala-Bukaya'!J27,'23.08 Kampala-Bukaya-24h'!J27,'24.08 Kampala-Bukaya-24h'!J27,'25.08 Kampala-Bukaya'!J27)</f>
        <v>0.14285714285714285</v>
      </c>
      <c r="K27" s="49">
        <f>AVERAGE('19.08 Kampala-Bukaya'!K27,'20.08 Kampala-Bukaya'!K27,'21.08 Kampala-Bukaya'!K27,'22.08 Kampala-Bukaya'!K27,'23.08 Kampala-Bukaya-24h'!K27,'24.08 Kampala-Bukaya-24h'!K27,'25.08 Kampala-Bukaya'!K27)</f>
        <v>0</v>
      </c>
      <c r="L27" s="49">
        <f>AVERAGE('19.08 Kampala-Bukaya'!L27,'20.08 Kampala-Bukaya'!L27,'21.08 Kampala-Bukaya'!L27,'22.08 Kampala-Bukaya'!L27,'23.08 Kampala-Bukaya-24h'!L27,'24.08 Kampala-Bukaya-24h'!L27,'25.08 Kampala-Bukaya'!L27)</f>
        <v>0</v>
      </c>
      <c r="M27" s="49">
        <f>AVERAGE('19.08 Kampala-Bukaya'!M27,'20.08 Kampala-Bukaya'!M27,'21.08 Kampala-Bukaya'!M27,'22.08 Kampala-Bukaya'!M27,'23.08 Kampala-Bukaya-24h'!M27,'24.08 Kampala-Bukaya-24h'!M27,'25.08 Kampala-Bukaya'!M27)</f>
        <v>22.714285714285715</v>
      </c>
      <c r="N27" s="49">
        <f>AVERAGE('19.08 Kampala-Bukaya'!N27,'20.08 Kampala-Bukaya'!N27,'21.08 Kampala-Bukaya'!N27,'22.08 Kampala-Bukaya'!N27,'23.08 Kampala-Bukaya-24h'!N27,'24.08 Kampala-Bukaya-24h'!N27,'25.08 Kampala-Bukaya'!N27)</f>
        <v>0</v>
      </c>
      <c r="O27" s="15">
        <f t="shared" si="0"/>
        <v>9.8571428571428559</v>
      </c>
      <c r="P27" s="15">
        <f t="shared" si="1"/>
        <v>32.571428571428569</v>
      </c>
      <c r="R27" s="1" t="s">
        <v>151</v>
      </c>
      <c r="S27" s="34">
        <f>SUM(C78:C81)</f>
        <v>7</v>
      </c>
      <c r="T27" s="34">
        <f t="shared" ref="T27:AF27" si="19">SUM(D78:D81)</f>
        <v>0</v>
      </c>
      <c r="U27" s="34">
        <f t="shared" si="19"/>
        <v>4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28</v>
      </c>
      <c r="AF27" s="31">
        <f t="shared" si="19"/>
        <v>49</v>
      </c>
    </row>
    <row r="28" spans="2:32" ht="23.1" customHeight="1" x14ac:dyDescent="0.25">
      <c r="B28" s="23" t="s">
        <v>55</v>
      </c>
      <c r="C28" s="49">
        <f>AVERAGE('19.08 Kampala-Bukaya'!C28,'20.08 Kampala-Bukaya'!C28,'21.08 Kampala-Bukaya'!C28,'22.08 Kampala-Bukaya'!C28,'23.08 Kampala-Bukaya-24h'!C28,'24.08 Kampala-Bukaya-24h'!C28,'25.08 Kampala-Bukaya'!C28)</f>
        <v>3.2857142857142856</v>
      </c>
      <c r="D28" s="49">
        <f>AVERAGE('19.08 Kampala-Bukaya'!D28,'20.08 Kampala-Bukaya'!D28,'21.08 Kampala-Bukaya'!D28,'22.08 Kampala-Bukaya'!D28,'23.08 Kampala-Bukaya-24h'!D28,'24.08 Kampala-Bukaya-24h'!D28,'25.08 Kampala-Bukaya'!D28)</f>
        <v>0</v>
      </c>
      <c r="E28" s="49">
        <f>AVERAGE('19.08 Kampala-Bukaya'!E28,'20.08 Kampala-Bukaya'!E28,'21.08 Kampala-Bukaya'!E28,'22.08 Kampala-Bukaya'!E28,'23.08 Kampala-Bukaya-24h'!E28,'24.08 Kampala-Bukaya-24h'!E28,'25.08 Kampala-Bukaya'!E28)</f>
        <v>1.8571428571428572</v>
      </c>
      <c r="F28" s="49">
        <f>AVERAGE('19.08 Kampala-Bukaya'!F28,'20.08 Kampala-Bukaya'!F28,'21.08 Kampala-Bukaya'!F28,'22.08 Kampala-Bukaya'!F28,'23.08 Kampala-Bukaya-24h'!F28,'24.08 Kampala-Bukaya-24h'!F28,'25.08 Kampala-Bukaya'!F28)</f>
        <v>2.7142857142857144</v>
      </c>
      <c r="G28" s="49">
        <f>AVERAGE('19.08 Kampala-Bukaya'!G28,'20.08 Kampala-Bukaya'!G28,'21.08 Kampala-Bukaya'!G28,'22.08 Kampala-Bukaya'!G28,'23.08 Kampala-Bukaya-24h'!G28,'24.08 Kampala-Bukaya-24h'!G28,'25.08 Kampala-Bukaya'!G28)</f>
        <v>0</v>
      </c>
      <c r="H28" s="49">
        <f>AVERAGE('19.08 Kampala-Bukaya'!H28,'20.08 Kampala-Bukaya'!H28,'21.08 Kampala-Bukaya'!H28,'22.08 Kampala-Bukaya'!H28,'23.08 Kampala-Bukaya-24h'!H28,'24.08 Kampala-Bukaya-24h'!H28,'25.08 Kampala-Bukaya'!H28)</f>
        <v>0</v>
      </c>
      <c r="I28" s="49">
        <f>AVERAGE('19.08 Kampala-Bukaya'!I28,'20.08 Kampala-Bukaya'!I28,'21.08 Kampala-Bukaya'!I28,'22.08 Kampala-Bukaya'!I28,'23.08 Kampala-Bukaya-24h'!I28,'24.08 Kampala-Bukaya-24h'!I28,'25.08 Kampala-Bukaya'!I28)</f>
        <v>2</v>
      </c>
      <c r="J28" s="49">
        <f>AVERAGE('19.08 Kampala-Bukaya'!J28,'20.08 Kampala-Bukaya'!J28,'21.08 Kampala-Bukaya'!J28,'22.08 Kampala-Bukaya'!J28,'23.08 Kampala-Bukaya-24h'!J28,'24.08 Kampala-Bukaya-24h'!J28,'25.08 Kampala-Bukaya'!J28)</f>
        <v>0</v>
      </c>
      <c r="K28" s="49">
        <f>AVERAGE('19.08 Kampala-Bukaya'!K28,'20.08 Kampala-Bukaya'!K28,'21.08 Kampala-Bukaya'!K28,'22.08 Kampala-Bukaya'!K28,'23.08 Kampala-Bukaya-24h'!K28,'24.08 Kampala-Bukaya-24h'!K28,'25.08 Kampala-Bukaya'!K28)</f>
        <v>0.14285714285714285</v>
      </c>
      <c r="L28" s="49">
        <f>AVERAGE('19.08 Kampala-Bukaya'!L28,'20.08 Kampala-Bukaya'!L28,'21.08 Kampala-Bukaya'!L28,'22.08 Kampala-Bukaya'!L28,'23.08 Kampala-Bukaya-24h'!L28,'24.08 Kampala-Bukaya-24h'!L28,'25.08 Kampala-Bukaya'!L28)</f>
        <v>0</v>
      </c>
      <c r="M28" s="49">
        <f>AVERAGE('19.08 Kampala-Bukaya'!M28,'20.08 Kampala-Bukaya'!M28,'21.08 Kampala-Bukaya'!M28,'22.08 Kampala-Bukaya'!M28,'23.08 Kampala-Bukaya-24h'!M28,'24.08 Kampala-Bukaya-24h'!M28,'25.08 Kampala-Bukaya'!M28)</f>
        <v>22.714285714285715</v>
      </c>
      <c r="N28" s="49">
        <f>AVERAGE('19.08 Kampala-Bukaya'!N28,'20.08 Kampala-Bukaya'!N28,'21.08 Kampala-Bukaya'!N28,'22.08 Kampala-Bukaya'!N28,'23.08 Kampala-Bukaya-24h'!N28,'24.08 Kampala-Bukaya-24h'!N28,'25.08 Kampala-Bukaya'!N28)</f>
        <v>0</v>
      </c>
      <c r="O28" s="15">
        <f t="shared" si="0"/>
        <v>10</v>
      </c>
      <c r="P28" s="15">
        <f t="shared" si="1"/>
        <v>32.714285714285715</v>
      </c>
      <c r="R28" s="1" t="s">
        <v>152</v>
      </c>
      <c r="S28" s="34">
        <f>SUM(C82:C85)</f>
        <v>5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10</v>
      </c>
      <c r="AF28" s="31">
        <f t="shared" si="20"/>
        <v>15</v>
      </c>
    </row>
    <row r="29" spans="2:32" ht="23.1" customHeight="1" x14ac:dyDescent="0.25">
      <c r="B29" s="23" t="s">
        <v>56</v>
      </c>
      <c r="C29" s="49">
        <f>AVERAGE('19.08 Kampala-Bukaya'!C29,'20.08 Kampala-Bukaya'!C29,'21.08 Kampala-Bukaya'!C29,'22.08 Kampala-Bukaya'!C29,'23.08 Kampala-Bukaya-24h'!C29,'24.08 Kampala-Bukaya-24h'!C29,'25.08 Kampala-Bukaya'!C29)</f>
        <v>3.2857142857142856</v>
      </c>
      <c r="D29" s="49">
        <f>AVERAGE('19.08 Kampala-Bukaya'!D29,'20.08 Kampala-Bukaya'!D29,'21.08 Kampala-Bukaya'!D29,'22.08 Kampala-Bukaya'!D29,'23.08 Kampala-Bukaya-24h'!D29,'24.08 Kampala-Bukaya-24h'!D29,'25.08 Kampala-Bukaya'!D29)</f>
        <v>0</v>
      </c>
      <c r="E29" s="49">
        <f>AVERAGE('19.08 Kampala-Bukaya'!E29,'20.08 Kampala-Bukaya'!E29,'21.08 Kampala-Bukaya'!E29,'22.08 Kampala-Bukaya'!E29,'23.08 Kampala-Bukaya-24h'!E29,'24.08 Kampala-Bukaya-24h'!E29,'25.08 Kampala-Bukaya'!E29)</f>
        <v>2.8571428571428572</v>
      </c>
      <c r="F29" s="49">
        <f>AVERAGE('19.08 Kampala-Bukaya'!F29,'20.08 Kampala-Bukaya'!F29,'21.08 Kampala-Bukaya'!F29,'22.08 Kampala-Bukaya'!F29,'23.08 Kampala-Bukaya-24h'!F29,'24.08 Kampala-Bukaya-24h'!F29,'25.08 Kampala-Bukaya'!F29)</f>
        <v>1.4285714285714286</v>
      </c>
      <c r="G29" s="49">
        <f>AVERAGE('19.08 Kampala-Bukaya'!G29,'20.08 Kampala-Bukaya'!G29,'21.08 Kampala-Bukaya'!G29,'22.08 Kampala-Bukaya'!G29,'23.08 Kampala-Bukaya-24h'!G29,'24.08 Kampala-Bukaya-24h'!G29,'25.08 Kampala-Bukaya'!G29)</f>
        <v>0.2857142857142857</v>
      </c>
      <c r="H29" s="49">
        <f>AVERAGE('19.08 Kampala-Bukaya'!H29,'20.08 Kampala-Bukaya'!H29,'21.08 Kampala-Bukaya'!H29,'22.08 Kampala-Bukaya'!H29,'23.08 Kampala-Bukaya-24h'!H29,'24.08 Kampala-Bukaya-24h'!H29,'25.08 Kampala-Bukaya'!H29)</f>
        <v>0</v>
      </c>
      <c r="I29" s="49">
        <f>AVERAGE('19.08 Kampala-Bukaya'!I29,'20.08 Kampala-Bukaya'!I29,'21.08 Kampala-Bukaya'!I29,'22.08 Kampala-Bukaya'!I29,'23.08 Kampala-Bukaya-24h'!I29,'24.08 Kampala-Bukaya-24h'!I29,'25.08 Kampala-Bukaya'!I29)</f>
        <v>1.8571428571428572</v>
      </c>
      <c r="J29" s="49">
        <f>AVERAGE('19.08 Kampala-Bukaya'!J29,'20.08 Kampala-Bukaya'!J29,'21.08 Kampala-Bukaya'!J29,'22.08 Kampala-Bukaya'!J29,'23.08 Kampala-Bukaya-24h'!J29,'24.08 Kampala-Bukaya-24h'!J29,'25.08 Kampala-Bukaya'!J29)</f>
        <v>0</v>
      </c>
      <c r="K29" s="49">
        <f>AVERAGE('19.08 Kampala-Bukaya'!K29,'20.08 Kampala-Bukaya'!K29,'21.08 Kampala-Bukaya'!K29,'22.08 Kampala-Bukaya'!K29,'23.08 Kampala-Bukaya-24h'!K29,'24.08 Kampala-Bukaya-24h'!K29,'25.08 Kampala-Bukaya'!K29)</f>
        <v>0.14285714285714285</v>
      </c>
      <c r="L29" s="49">
        <f>AVERAGE('19.08 Kampala-Bukaya'!L29,'20.08 Kampala-Bukaya'!L29,'21.08 Kampala-Bukaya'!L29,'22.08 Kampala-Bukaya'!L29,'23.08 Kampala-Bukaya-24h'!L29,'24.08 Kampala-Bukaya-24h'!L29,'25.08 Kampala-Bukaya'!L29)</f>
        <v>0</v>
      </c>
      <c r="M29" s="49">
        <f>AVERAGE('19.08 Kampala-Bukaya'!M29,'20.08 Kampala-Bukaya'!M29,'21.08 Kampala-Bukaya'!M29,'22.08 Kampala-Bukaya'!M29,'23.08 Kampala-Bukaya-24h'!M29,'24.08 Kampala-Bukaya-24h'!M29,'25.08 Kampala-Bukaya'!M29)</f>
        <v>21.571428571428573</v>
      </c>
      <c r="N29" s="49">
        <f>AVERAGE('19.08 Kampala-Bukaya'!N29,'20.08 Kampala-Bukaya'!N29,'21.08 Kampala-Bukaya'!N29,'22.08 Kampala-Bukaya'!N29,'23.08 Kampala-Bukaya-24h'!N29,'24.08 Kampala-Bukaya-24h'!N29,'25.08 Kampala-Bukaya'!N29)</f>
        <v>0</v>
      </c>
      <c r="O29" s="15">
        <f t="shared" si="0"/>
        <v>9.8571428571428559</v>
      </c>
      <c r="P29" s="15">
        <f t="shared" si="1"/>
        <v>31.428571428571431</v>
      </c>
      <c r="R29" s="1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7</v>
      </c>
      <c r="AF29" s="31">
        <f t="shared" si="21"/>
        <v>12</v>
      </c>
    </row>
    <row r="30" spans="2:32" ht="23.1" customHeight="1" x14ac:dyDescent="0.25">
      <c r="B30" s="23" t="s">
        <v>57</v>
      </c>
      <c r="C30" s="49">
        <f>AVERAGE('19.08 Kampala-Bukaya'!C30,'20.08 Kampala-Bukaya'!C30,'21.08 Kampala-Bukaya'!C30,'22.08 Kampala-Bukaya'!C30,'23.08 Kampala-Bukaya-24h'!C30,'24.08 Kampala-Bukaya-24h'!C30,'25.08 Kampala-Bukaya'!C30)</f>
        <v>3.8571428571428572</v>
      </c>
      <c r="D30" s="49">
        <f>AVERAGE('19.08 Kampala-Bukaya'!D30,'20.08 Kampala-Bukaya'!D30,'21.08 Kampala-Bukaya'!D30,'22.08 Kampala-Bukaya'!D30,'23.08 Kampala-Bukaya-24h'!D30,'24.08 Kampala-Bukaya-24h'!D30,'25.08 Kampala-Bukaya'!D30)</f>
        <v>0</v>
      </c>
      <c r="E30" s="49">
        <f>AVERAGE('19.08 Kampala-Bukaya'!E30,'20.08 Kampala-Bukaya'!E30,'21.08 Kampala-Bukaya'!E30,'22.08 Kampala-Bukaya'!E30,'23.08 Kampala-Bukaya-24h'!E30,'24.08 Kampala-Bukaya-24h'!E30,'25.08 Kampala-Bukaya'!E30)</f>
        <v>3.2857142857142856</v>
      </c>
      <c r="F30" s="49">
        <f>AVERAGE('19.08 Kampala-Bukaya'!F30,'20.08 Kampala-Bukaya'!F30,'21.08 Kampala-Bukaya'!F30,'22.08 Kampala-Bukaya'!F30,'23.08 Kampala-Bukaya-24h'!F30,'24.08 Kampala-Bukaya-24h'!F30,'25.08 Kampala-Bukaya'!F30)</f>
        <v>3.1428571428571428</v>
      </c>
      <c r="G30" s="49">
        <f>AVERAGE('19.08 Kampala-Bukaya'!G30,'20.08 Kampala-Bukaya'!G30,'21.08 Kampala-Bukaya'!G30,'22.08 Kampala-Bukaya'!G30,'23.08 Kampala-Bukaya-24h'!G30,'24.08 Kampala-Bukaya-24h'!G30,'25.08 Kampala-Bukaya'!G30)</f>
        <v>0.2857142857142857</v>
      </c>
      <c r="H30" s="49">
        <f>AVERAGE('19.08 Kampala-Bukaya'!H30,'20.08 Kampala-Bukaya'!H30,'21.08 Kampala-Bukaya'!H30,'22.08 Kampala-Bukaya'!H30,'23.08 Kampala-Bukaya-24h'!H30,'24.08 Kampala-Bukaya-24h'!H30,'25.08 Kampala-Bukaya'!H30)</f>
        <v>0</v>
      </c>
      <c r="I30" s="49">
        <f>AVERAGE('19.08 Kampala-Bukaya'!I30,'20.08 Kampala-Bukaya'!I30,'21.08 Kampala-Bukaya'!I30,'22.08 Kampala-Bukaya'!I30,'23.08 Kampala-Bukaya-24h'!I30,'24.08 Kampala-Bukaya-24h'!I30,'25.08 Kampala-Bukaya'!I30)</f>
        <v>1.8571428571428572</v>
      </c>
      <c r="J30" s="49">
        <f>AVERAGE('19.08 Kampala-Bukaya'!J30,'20.08 Kampala-Bukaya'!J30,'21.08 Kampala-Bukaya'!J30,'22.08 Kampala-Bukaya'!J30,'23.08 Kampala-Bukaya-24h'!J30,'24.08 Kampala-Bukaya-24h'!J30,'25.08 Kampala-Bukaya'!J30)</f>
        <v>0</v>
      </c>
      <c r="K30" s="49">
        <f>AVERAGE('19.08 Kampala-Bukaya'!K30,'20.08 Kampala-Bukaya'!K30,'21.08 Kampala-Bukaya'!K30,'22.08 Kampala-Bukaya'!K30,'23.08 Kampala-Bukaya-24h'!K30,'24.08 Kampala-Bukaya-24h'!K30,'25.08 Kampala-Bukaya'!K30)</f>
        <v>0</v>
      </c>
      <c r="L30" s="49">
        <f>AVERAGE('19.08 Kampala-Bukaya'!L30,'20.08 Kampala-Bukaya'!L30,'21.08 Kampala-Bukaya'!L30,'22.08 Kampala-Bukaya'!L30,'23.08 Kampala-Bukaya-24h'!L30,'24.08 Kampala-Bukaya-24h'!L30,'25.08 Kampala-Bukaya'!L30)</f>
        <v>0</v>
      </c>
      <c r="M30" s="49">
        <f>AVERAGE('19.08 Kampala-Bukaya'!M30,'20.08 Kampala-Bukaya'!M30,'21.08 Kampala-Bukaya'!M30,'22.08 Kampala-Bukaya'!M30,'23.08 Kampala-Bukaya-24h'!M30,'24.08 Kampala-Bukaya-24h'!M30,'25.08 Kampala-Bukaya'!M30)</f>
        <v>21</v>
      </c>
      <c r="N30" s="49">
        <f>AVERAGE('19.08 Kampala-Bukaya'!N30,'20.08 Kampala-Bukaya'!N30,'21.08 Kampala-Bukaya'!N30,'22.08 Kampala-Bukaya'!N30,'23.08 Kampala-Bukaya-24h'!N30,'24.08 Kampala-Bukaya-24h'!N30,'25.08 Kampala-Bukaya'!N30)</f>
        <v>0</v>
      </c>
      <c r="O30" s="15">
        <f t="shared" si="0"/>
        <v>12.428571428571429</v>
      </c>
      <c r="P30" s="15">
        <f t="shared" si="1"/>
        <v>33.428571428571431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24" t="s">
        <v>58</v>
      </c>
      <c r="C31" s="49">
        <f>AVERAGE('19.08 Kampala-Bukaya'!C31,'20.08 Kampala-Bukaya'!C31,'21.08 Kampala-Bukaya'!C31,'22.08 Kampala-Bukaya'!C31,'23.08 Kampala-Bukaya-24h'!C31,'24.08 Kampala-Bukaya-24h'!C31,'25.08 Kampala-Bukaya'!C31)</f>
        <v>3.7142857142857144</v>
      </c>
      <c r="D31" s="49">
        <f>AVERAGE('19.08 Kampala-Bukaya'!D31,'20.08 Kampala-Bukaya'!D31,'21.08 Kampala-Bukaya'!D31,'22.08 Kampala-Bukaya'!D31,'23.08 Kampala-Bukaya-24h'!D31,'24.08 Kampala-Bukaya-24h'!D31,'25.08 Kampala-Bukaya'!D31)</f>
        <v>0</v>
      </c>
      <c r="E31" s="49">
        <f>AVERAGE('19.08 Kampala-Bukaya'!E31,'20.08 Kampala-Bukaya'!E31,'21.08 Kampala-Bukaya'!E31,'22.08 Kampala-Bukaya'!E31,'23.08 Kampala-Bukaya-24h'!E31,'24.08 Kampala-Bukaya-24h'!E31,'25.08 Kampala-Bukaya'!E31)</f>
        <v>3.1428571428571428</v>
      </c>
      <c r="F31" s="49">
        <f>AVERAGE('19.08 Kampala-Bukaya'!F31,'20.08 Kampala-Bukaya'!F31,'21.08 Kampala-Bukaya'!F31,'22.08 Kampala-Bukaya'!F31,'23.08 Kampala-Bukaya-24h'!F31,'24.08 Kampala-Bukaya-24h'!F31,'25.08 Kampala-Bukaya'!F31)</f>
        <v>1.5714285714285714</v>
      </c>
      <c r="G31" s="49">
        <f>AVERAGE('19.08 Kampala-Bukaya'!G31,'20.08 Kampala-Bukaya'!G31,'21.08 Kampala-Bukaya'!G31,'22.08 Kampala-Bukaya'!G31,'23.08 Kampala-Bukaya-24h'!G31,'24.08 Kampala-Bukaya-24h'!G31,'25.08 Kampala-Bukaya'!G31)</f>
        <v>0</v>
      </c>
      <c r="H31" s="49">
        <f>AVERAGE('19.08 Kampala-Bukaya'!H31,'20.08 Kampala-Bukaya'!H31,'21.08 Kampala-Bukaya'!H31,'22.08 Kampala-Bukaya'!H31,'23.08 Kampala-Bukaya-24h'!H31,'24.08 Kampala-Bukaya-24h'!H31,'25.08 Kampala-Bukaya'!H31)</f>
        <v>0</v>
      </c>
      <c r="I31" s="49">
        <f>AVERAGE('19.08 Kampala-Bukaya'!I31,'20.08 Kampala-Bukaya'!I31,'21.08 Kampala-Bukaya'!I31,'22.08 Kampala-Bukaya'!I31,'23.08 Kampala-Bukaya-24h'!I31,'24.08 Kampala-Bukaya-24h'!I31,'25.08 Kampala-Bukaya'!I31)</f>
        <v>1.8571428571428572</v>
      </c>
      <c r="J31" s="49">
        <f>AVERAGE('19.08 Kampala-Bukaya'!J31,'20.08 Kampala-Bukaya'!J31,'21.08 Kampala-Bukaya'!J31,'22.08 Kampala-Bukaya'!J31,'23.08 Kampala-Bukaya-24h'!J31,'24.08 Kampala-Bukaya-24h'!J31,'25.08 Kampala-Bukaya'!J31)</f>
        <v>0</v>
      </c>
      <c r="K31" s="49">
        <f>AVERAGE('19.08 Kampala-Bukaya'!K31,'20.08 Kampala-Bukaya'!K31,'21.08 Kampala-Bukaya'!K31,'22.08 Kampala-Bukaya'!K31,'23.08 Kampala-Bukaya-24h'!K31,'24.08 Kampala-Bukaya-24h'!K31,'25.08 Kampala-Bukaya'!K31)</f>
        <v>0</v>
      </c>
      <c r="L31" s="49">
        <f>AVERAGE('19.08 Kampala-Bukaya'!L31,'20.08 Kampala-Bukaya'!L31,'21.08 Kampala-Bukaya'!L31,'22.08 Kampala-Bukaya'!L31,'23.08 Kampala-Bukaya-24h'!L31,'24.08 Kampala-Bukaya-24h'!L31,'25.08 Kampala-Bukaya'!L31)</f>
        <v>0</v>
      </c>
      <c r="M31" s="49">
        <f>AVERAGE('19.08 Kampala-Bukaya'!M31,'20.08 Kampala-Bukaya'!M31,'21.08 Kampala-Bukaya'!M31,'22.08 Kampala-Bukaya'!M31,'23.08 Kampala-Bukaya-24h'!M31,'24.08 Kampala-Bukaya-24h'!M31,'25.08 Kampala-Bukaya'!M31)</f>
        <v>21.428571428571427</v>
      </c>
      <c r="N31" s="49">
        <f>AVERAGE('19.08 Kampala-Bukaya'!N31,'20.08 Kampala-Bukaya'!N31,'21.08 Kampala-Bukaya'!N31,'22.08 Kampala-Bukaya'!N31,'23.08 Kampala-Bukaya-24h'!N31,'24.08 Kampala-Bukaya-24h'!N31,'25.08 Kampala-Bukaya'!N31)</f>
        <v>0</v>
      </c>
      <c r="O31" s="15">
        <f t="shared" si="0"/>
        <v>10.285714285714286</v>
      </c>
      <c r="P31" s="15">
        <f t="shared" si="1"/>
        <v>31.714285714285715</v>
      </c>
      <c r="R31" s="1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8</v>
      </c>
      <c r="AF31" s="31">
        <f t="shared" si="23"/>
        <v>13</v>
      </c>
    </row>
    <row r="32" spans="2:32" ht="23.1" customHeight="1" x14ac:dyDescent="0.25">
      <c r="B32" s="24" t="s">
        <v>59</v>
      </c>
      <c r="C32" s="49">
        <f>AVERAGE('19.08 Kampala-Bukaya'!C32,'20.08 Kampala-Bukaya'!C32,'21.08 Kampala-Bukaya'!C32,'22.08 Kampala-Bukaya'!C32,'23.08 Kampala-Bukaya-24h'!C32,'24.08 Kampala-Bukaya-24h'!C32,'25.08 Kampala-Bukaya'!C32)</f>
        <v>3.1428571428571428</v>
      </c>
      <c r="D32" s="49">
        <f>AVERAGE('19.08 Kampala-Bukaya'!D32,'20.08 Kampala-Bukaya'!D32,'21.08 Kampala-Bukaya'!D32,'22.08 Kampala-Bukaya'!D32,'23.08 Kampala-Bukaya-24h'!D32,'24.08 Kampala-Bukaya-24h'!D32,'25.08 Kampala-Bukaya'!D32)</f>
        <v>0</v>
      </c>
      <c r="E32" s="49">
        <f>AVERAGE('19.08 Kampala-Bukaya'!E32,'20.08 Kampala-Bukaya'!E32,'21.08 Kampala-Bukaya'!E32,'22.08 Kampala-Bukaya'!E32,'23.08 Kampala-Bukaya-24h'!E32,'24.08 Kampala-Bukaya-24h'!E32,'25.08 Kampala-Bukaya'!E32)</f>
        <v>3.2857142857142856</v>
      </c>
      <c r="F32" s="49">
        <f>AVERAGE('19.08 Kampala-Bukaya'!F32,'20.08 Kampala-Bukaya'!F32,'21.08 Kampala-Bukaya'!F32,'22.08 Kampala-Bukaya'!F32,'23.08 Kampala-Bukaya-24h'!F32,'24.08 Kampala-Bukaya-24h'!F32,'25.08 Kampala-Bukaya'!F32)</f>
        <v>1.7142857142857142</v>
      </c>
      <c r="G32" s="49">
        <f>AVERAGE('19.08 Kampala-Bukaya'!G32,'20.08 Kampala-Bukaya'!G32,'21.08 Kampala-Bukaya'!G32,'22.08 Kampala-Bukaya'!G32,'23.08 Kampala-Bukaya-24h'!G32,'24.08 Kampala-Bukaya-24h'!G32,'25.08 Kampala-Bukaya'!G32)</f>
        <v>0.42857142857142855</v>
      </c>
      <c r="H32" s="49">
        <f>AVERAGE('19.08 Kampala-Bukaya'!H32,'20.08 Kampala-Bukaya'!H32,'21.08 Kampala-Bukaya'!H32,'22.08 Kampala-Bukaya'!H32,'23.08 Kampala-Bukaya-24h'!H32,'24.08 Kampala-Bukaya-24h'!H32,'25.08 Kampala-Bukaya'!H32)</f>
        <v>0</v>
      </c>
      <c r="I32" s="49">
        <f>AVERAGE('19.08 Kampala-Bukaya'!I32,'20.08 Kampala-Bukaya'!I32,'21.08 Kampala-Bukaya'!I32,'22.08 Kampala-Bukaya'!I32,'23.08 Kampala-Bukaya-24h'!I32,'24.08 Kampala-Bukaya-24h'!I32,'25.08 Kampala-Bukaya'!I32)</f>
        <v>2.4285714285714284</v>
      </c>
      <c r="J32" s="49">
        <f>AVERAGE('19.08 Kampala-Bukaya'!J32,'20.08 Kampala-Bukaya'!J32,'21.08 Kampala-Bukaya'!J32,'22.08 Kampala-Bukaya'!J32,'23.08 Kampala-Bukaya-24h'!J32,'24.08 Kampala-Bukaya-24h'!J32,'25.08 Kampala-Bukaya'!J32)</f>
        <v>0</v>
      </c>
      <c r="K32" s="49">
        <f>AVERAGE('19.08 Kampala-Bukaya'!K32,'20.08 Kampala-Bukaya'!K32,'21.08 Kampala-Bukaya'!K32,'22.08 Kampala-Bukaya'!K32,'23.08 Kampala-Bukaya-24h'!K32,'24.08 Kampala-Bukaya-24h'!K32,'25.08 Kampala-Bukaya'!K32)</f>
        <v>0</v>
      </c>
      <c r="L32" s="49">
        <f>AVERAGE('19.08 Kampala-Bukaya'!L32,'20.08 Kampala-Bukaya'!L32,'21.08 Kampala-Bukaya'!L32,'22.08 Kampala-Bukaya'!L32,'23.08 Kampala-Bukaya-24h'!L32,'24.08 Kampala-Bukaya-24h'!L32,'25.08 Kampala-Bukaya'!L32)</f>
        <v>0</v>
      </c>
      <c r="M32" s="49">
        <f>AVERAGE('19.08 Kampala-Bukaya'!M32,'20.08 Kampala-Bukaya'!M32,'21.08 Kampala-Bukaya'!M32,'22.08 Kampala-Bukaya'!M32,'23.08 Kampala-Bukaya-24h'!M32,'24.08 Kampala-Bukaya-24h'!M32,'25.08 Kampala-Bukaya'!M32)</f>
        <v>21.428571428571427</v>
      </c>
      <c r="N32" s="49">
        <f>AVERAGE('19.08 Kampala-Bukaya'!N32,'20.08 Kampala-Bukaya'!N32,'21.08 Kampala-Bukaya'!N32,'22.08 Kampala-Bukaya'!N32,'23.08 Kampala-Bukaya-24h'!N32,'24.08 Kampala-Bukaya-24h'!N32,'25.08 Kampala-Bukaya'!N32)</f>
        <v>0</v>
      </c>
      <c r="O32" s="15">
        <f t="shared" si="0"/>
        <v>11</v>
      </c>
      <c r="P32" s="15">
        <f t="shared" si="1"/>
        <v>32.428571428571431</v>
      </c>
      <c r="R32" s="1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6</v>
      </c>
      <c r="AF32" s="31">
        <f t="shared" si="24"/>
        <v>11</v>
      </c>
    </row>
    <row r="33" spans="2:32" ht="23.1" customHeight="1" x14ac:dyDescent="0.25">
      <c r="B33" s="23" t="s">
        <v>60</v>
      </c>
      <c r="C33" s="49">
        <f>AVERAGE('19.08 Kampala-Bukaya'!C33,'20.08 Kampala-Bukaya'!C33,'21.08 Kampala-Bukaya'!C33,'22.08 Kampala-Bukaya'!C33,'23.08 Kampala-Bukaya-24h'!C33,'24.08 Kampala-Bukaya-24h'!C33,'25.08 Kampala-Bukaya'!C33)</f>
        <v>2.5714285714285716</v>
      </c>
      <c r="D33" s="49">
        <f>AVERAGE('19.08 Kampala-Bukaya'!D33,'20.08 Kampala-Bukaya'!D33,'21.08 Kampala-Bukaya'!D33,'22.08 Kampala-Bukaya'!D33,'23.08 Kampala-Bukaya-24h'!D33,'24.08 Kampala-Bukaya-24h'!D33,'25.08 Kampala-Bukaya'!D33)</f>
        <v>0</v>
      </c>
      <c r="E33" s="49">
        <f>AVERAGE('19.08 Kampala-Bukaya'!E33,'20.08 Kampala-Bukaya'!E33,'21.08 Kampala-Bukaya'!E33,'22.08 Kampala-Bukaya'!E33,'23.08 Kampala-Bukaya-24h'!E33,'24.08 Kampala-Bukaya-24h'!E33,'25.08 Kampala-Bukaya'!E33)</f>
        <v>3.1428571428571428</v>
      </c>
      <c r="F33" s="49">
        <f>AVERAGE('19.08 Kampala-Bukaya'!F33,'20.08 Kampala-Bukaya'!F33,'21.08 Kampala-Bukaya'!F33,'22.08 Kampala-Bukaya'!F33,'23.08 Kampala-Bukaya-24h'!F33,'24.08 Kampala-Bukaya-24h'!F33,'25.08 Kampala-Bukaya'!F33)</f>
        <v>3</v>
      </c>
      <c r="G33" s="49">
        <f>AVERAGE('19.08 Kampala-Bukaya'!G33,'20.08 Kampala-Bukaya'!G33,'21.08 Kampala-Bukaya'!G33,'22.08 Kampala-Bukaya'!G33,'23.08 Kampala-Bukaya-24h'!G33,'24.08 Kampala-Bukaya-24h'!G33,'25.08 Kampala-Bukaya'!G33)</f>
        <v>0.14285714285714285</v>
      </c>
      <c r="H33" s="49">
        <f>AVERAGE('19.08 Kampala-Bukaya'!H33,'20.08 Kampala-Bukaya'!H33,'21.08 Kampala-Bukaya'!H33,'22.08 Kampala-Bukaya'!H33,'23.08 Kampala-Bukaya-24h'!H33,'24.08 Kampala-Bukaya-24h'!H33,'25.08 Kampala-Bukaya'!H33)</f>
        <v>0</v>
      </c>
      <c r="I33" s="49">
        <f>AVERAGE('19.08 Kampala-Bukaya'!I33,'20.08 Kampala-Bukaya'!I33,'21.08 Kampala-Bukaya'!I33,'22.08 Kampala-Bukaya'!I33,'23.08 Kampala-Bukaya-24h'!I33,'24.08 Kampala-Bukaya-24h'!I33,'25.08 Kampala-Bukaya'!I33)</f>
        <v>1.4285714285714286</v>
      </c>
      <c r="J33" s="49">
        <f>AVERAGE('19.08 Kampala-Bukaya'!J33,'20.08 Kampala-Bukaya'!J33,'21.08 Kampala-Bukaya'!J33,'22.08 Kampala-Bukaya'!J33,'23.08 Kampala-Bukaya-24h'!J33,'24.08 Kampala-Bukaya-24h'!J33,'25.08 Kampala-Bukaya'!J33)</f>
        <v>0</v>
      </c>
      <c r="K33" s="49">
        <f>AVERAGE('19.08 Kampala-Bukaya'!K33,'20.08 Kampala-Bukaya'!K33,'21.08 Kampala-Bukaya'!K33,'22.08 Kampala-Bukaya'!K33,'23.08 Kampala-Bukaya-24h'!K33,'24.08 Kampala-Bukaya-24h'!K33,'25.08 Kampala-Bukaya'!K33)</f>
        <v>0</v>
      </c>
      <c r="L33" s="49">
        <f>AVERAGE('19.08 Kampala-Bukaya'!L33,'20.08 Kampala-Bukaya'!L33,'21.08 Kampala-Bukaya'!L33,'22.08 Kampala-Bukaya'!L33,'23.08 Kampala-Bukaya-24h'!L33,'24.08 Kampala-Bukaya-24h'!L33,'25.08 Kampala-Bukaya'!L33)</f>
        <v>0</v>
      </c>
      <c r="M33" s="49">
        <f>AVERAGE('19.08 Kampala-Bukaya'!M33,'20.08 Kampala-Bukaya'!M33,'21.08 Kampala-Bukaya'!M33,'22.08 Kampala-Bukaya'!M33,'23.08 Kampala-Bukaya-24h'!M33,'24.08 Kampala-Bukaya-24h'!M33,'25.08 Kampala-Bukaya'!M33)</f>
        <v>19</v>
      </c>
      <c r="N33" s="49">
        <f>AVERAGE('19.08 Kampala-Bukaya'!N33,'20.08 Kampala-Bukaya'!N33,'21.08 Kampala-Bukaya'!N33,'22.08 Kampala-Bukaya'!N33,'23.08 Kampala-Bukaya-24h'!N33,'24.08 Kampala-Bukaya-24h'!N33,'25.08 Kampala-Bukaya'!N33)</f>
        <v>0</v>
      </c>
      <c r="O33" s="15">
        <f t="shared" si="0"/>
        <v>10.285714285714286</v>
      </c>
      <c r="P33" s="15">
        <f t="shared" si="1"/>
        <v>29.285714285714285</v>
      </c>
      <c r="R33" s="1" t="s">
        <v>157</v>
      </c>
      <c r="S33" s="34">
        <f>SUM(C102:C105)</f>
        <v>5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1</v>
      </c>
      <c r="W33" s="34">
        <f t="shared" si="25"/>
        <v>1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2</v>
      </c>
      <c r="AB33" s="34">
        <f t="shared" si="25"/>
        <v>0</v>
      </c>
      <c r="AC33" s="34">
        <f t="shared" si="25"/>
        <v>12</v>
      </c>
      <c r="AD33" s="34">
        <f t="shared" si="25"/>
        <v>0</v>
      </c>
      <c r="AE33" s="31">
        <f t="shared" si="25"/>
        <v>13</v>
      </c>
      <c r="AF33" s="31">
        <f t="shared" si="25"/>
        <v>33</v>
      </c>
    </row>
    <row r="34" spans="2:32" ht="23.1" customHeight="1" x14ac:dyDescent="0.25">
      <c r="B34" s="24" t="s">
        <v>61</v>
      </c>
      <c r="C34" s="49">
        <f>AVERAGE('19.08 Kampala-Bukaya'!C34,'20.08 Kampala-Bukaya'!C34,'21.08 Kampala-Bukaya'!C34,'22.08 Kampala-Bukaya'!C34,'23.08 Kampala-Bukaya-24h'!C34,'24.08 Kampala-Bukaya-24h'!C34,'25.08 Kampala-Bukaya'!C34)</f>
        <v>3.2857142857142856</v>
      </c>
      <c r="D34" s="49">
        <f>AVERAGE('19.08 Kampala-Bukaya'!D34,'20.08 Kampala-Bukaya'!D34,'21.08 Kampala-Bukaya'!D34,'22.08 Kampala-Bukaya'!D34,'23.08 Kampala-Bukaya-24h'!D34,'24.08 Kampala-Bukaya-24h'!D34,'25.08 Kampala-Bukaya'!D34)</f>
        <v>0</v>
      </c>
      <c r="E34" s="49">
        <f>AVERAGE('19.08 Kampala-Bukaya'!E34,'20.08 Kampala-Bukaya'!E34,'21.08 Kampala-Bukaya'!E34,'22.08 Kampala-Bukaya'!E34,'23.08 Kampala-Bukaya-24h'!E34,'24.08 Kampala-Bukaya-24h'!E34,'25.08 Kampala-Bukaya'!E34)</f>
        <v>2.7142857142857144</v>
      </c>
      <c r="F34" s="49">
        <f>AVERAGE('19.08 Kampala-Bukaya'!F34,'20.08 Kampala-Bukaya'!F34,'21.08 Kampala-Bukaya'!F34,'22.08 Kampala-Bukaya'!F34,'23.08 Kampala-Bukaya-24h'!F34,'24.08 Kampala-Bukaya-24h'!F34,'25.08 Kampala-Bukaya'!F34)</f>
        <v>2.1428571428571428</v>
      </c>
      <c r="G34" s="49">
        <f>AVERAGE('19.08 Kampala-Bukaya'!G34,'20.08 Kampala-Bukaya'!G34,'21.08 Kampala-Bukaya'!G34,'22.08 Kampala-Bukaya'!G34,'23.08 Kampala-Bukaya-24h'!G34,'24.08 Kampala-Bukaya-24h'!G34,'25.08 Kampala-Bukaya'!G34)</f>
        <v>0.14285714285714285</v>
      </c>
      <c r="H34" s="49">
        <f>AVERAGE('19.08 Kampala-Bukaya'!H34,'20.08 Kampala-Bukaya'!H34,'21.08 Kampala-Bukaya'!H34,'22.08 Kampala-Bukaya'!H34,'23.08 Kampala-Bukaya-24h'!H34,'24.08 Kampala-Bukaya-24h'!H34,'25.08 Kampala-Bukaya'!H34)</f>
        <v>0</v>
      </c>
      <c r="I34" s="49">
        <f>AVERAGE('19.08 Kampala-Bukaya'!I34,'20.08 Kampala-Bukaya'!I34,'21.08 Kampala-Bukaya'!I34,'22.08 Kampala-Bukaya'!I34,'23.08 Kampala-Bukaya-24h'!I34,'24.08 Kampala-Bukaya-24h'!I34,'25.08 Kampala-Bukaya'!I34)</f>
        <v>2.4285714285714284</v>
      </c>
      <c r="J34" s="49">
        <f>AVERAGE('19.08 Kampala-Bukaya'!J34,'20.08 Kampala-Bukaya'!J34,'21.08 Kampala-Bukaya'!J34,'22.08 Kampala-Bukaya'!J34,'23.08 Kampala-Bukaya-24h'!J34,'24.08 Kampala-Bukaya-24h'!J34,'25.08 Kampala-Bukaya'!J34)</f>
        <v>0.14285714285714285</v>
      </c>
      <c r="K34" s="49">
        <f>AVERAGE('19.08 Kampala-Bukaya'!K34,'20.08 Kampala-Bukaya'!K34,'21.08 Kampala-Bukaya'!K34,'22.08 Kampala-Bukaya'!K34,'23.08 Kampala-Bukaya-24h'!K34,'24.08 Kampala-Bukaya-24h'!K34,'25.08 Kampala-Bukaya'!K34)</f>
        <v>0</v>
      </c>
      <c r="L34" s="49">
        <f>AVERAGE('19.08 Kampala-Bukaya'!L34,'20.08 Kampala-Bukaya'!L34,'21.08 Kampala-Bukaya'!L34,'22.08 Kampala-Bukaya'!L34,'23.08 Kampala-Bukaya-24h'!L34,'24.08 Kampala-Bukaya-24h'!L34,'25.08 Kampala-Bukaya'!L34)</f>
        <v>0</v>
      </c>
      <c r="M34" s="49">
        <f>AVERAGE('19.08 Kampala-Bukaya'!M34,'20.08 Kampala-Bukaya'!M34,'21.08 Kampala-Bukaya'!M34,'22.08 Kampala-Bukaya'!M34,'23.08 Kampala-Bukaya-24h'!M34,'24.08 Kampala-Bukaya-24h'!M34,'25.08 Kampala-Bukaya'!M34)</f>
        <v>16.714285714285715</v>
      </c>
      <c r="N34" s="49">
        <f>AVERAGE('19.08 Kampala-Bukaya'!N34,'20.08 Kampala-Bukaya'!N34,'21.08 Kampala-Bukaya'!N34,'22.08 Kampala-Bukaya'!N34,'23.08 Kampala-Bukaya-24h'!N34,'24.08 Kampala-Bukaya-24h'!N34,'25.08 Kampala-Bukaya'!N34)</f>
        <v>0</v>
      </c>
      <c r="O34" s="15">
        <f t="shared" si="0"/>
        <v>10.857142857142856</v>
      </c>
      <c r="P34" s="15">
        <f t="shared" si="1"/>
        <v>27.571428571428569</v>
      </c>
      <c r="R34" s="38" t="s">
        <v>90</v>
      </c>
      <c r="S34" s="39">
        <f t="shared" ref="S34:AF34" si="26">MAX(S10:S12)</f>
        <v>11.285714285714285</v>
      </c>
      <c r="T34" s="39">
        <f t="shared" si="26"/>
        <v>0</v>
      </c>
      <c r="U34" s="39">
        <f t="shared" si="26"/>
        <v>8.8571428571428577</v>
      </c>
      <c r="V34" s="39">
        <f t="shared" si="26"/>
        <v>7.8571428571428577</v>
      </c>
      <c r="W34" s="39">
        <f t="shared" si="26"/>
        <v>0.42857142857142855</v>
      </c>
      <c r="X34" s="39">
        <f t="shared" si="26"/>
        <v>0</v>
      </c>
      <c r="Y34" s="39">
        <f t="shared" si="26"/>
        <v>7</v>
      </c>
      <c r="Z34" s="39">
        <f t="shared" si="26"/>
        <v>0.42857142857142855</v>
      </c>
      <c r="AA34" s="39">
        <f t="shared" si="26"/>
        <v>0.2857142857142857</v>
      </c>
      <c r="AB34" s="39">
        <f t="shared" si="26"/>
        <v>0.14285714285714285</v>
      </c>
      <c r="AC34" s="39">
        <f t="shared" si="26"/>
        <v>70.571428571428584</v>
      </c>
      <c r="AD34" s="39">
        <f t="shared" si="26"/>
        <v>0.14285714285714285</v>
      </c>
      <c r="AE34" s="40">
        <f t="shared" si="26"/>
        <v>34.571428571428569</v>
      </c>
      <c r="AF34" s="40">
        <f t="shared" si="26"/>
        <v>105.14285714285714</v>
      </c>
    </row>
    <row r="35" spans="2:32" ht="23.1" customHeight="1" x14ac:dyDescent="0.25">
      <c r="B35" s="24" t="s">
        <v>62</v>
      </c>
      <c r="C35" s="49">
        <f>AVERAGE('19.08 Kampala-Bukaya'!C35,'20.08 Kampala-Bukaya'!C35,'21.08 Kampala-Bukaya'!C35,'22.08 Kampala-Bukaya'!C35,'23.08 Kampala-Bukaya-24h'!C35,'24.08 Kampala-Bukaya-24h'!C35,'25.08 Kampala-Bukaya'!C35)</f>
        <v>3.1428571428571428</v>
      </c>
      <c r="D35" s="49">
        <f>AVERAGE('19.08 Kampala-Bukaya'!D35,'20.08 Kampala-Bukaya'!D35,'21.08 Kampala-Bukaya'!D35,'22.08 Kampala-Bukaya'!D35,'23.08 Kampala-Bukaya-24h'!D35,'24.08 Kampala-Bukaya-24h'!D35,'25.08 Kampala-Bukaya'!D35)</f>
        <v>0</v>
      </c>
      <c r="E35" s="49">
        <f>AVERAGE('19.08 Kampala-Bukaya'!E35,'20.08 Kampala-Bukaya'!E35,'21.08 Kampala-Bukaya'!E35,'22.08 Kampala-Bukaya'!E35,'23.08 Kampala-Bukaya-24h'!E35,'24.08 Kampala-Bukaya-24h'!E35,'25.08 Kampala-Bukaya'!E35)</f>
        <v>3.7142857142857144</v>
      </c>
      <c r="F35" s="49">
        <f>AVERAGE('19.08 Kampala-Bukaya'!F35,'20.08 Kampala-Bukaya'!F35,'21.08 Kampala-Bukaya'!F35,'22.08 Kampala-Bukaya'!F35,'23.08 Kampala-Bukaya-24h'!F35,'24.08 Kampala-Bukaya-24h'!F35,'25.08 Kampala-Bukaya'!F35)</f>
        <v>2.4285714285714284</v>
      </c>
      <c r="G35" s="49">
        <f>AVERAGE('19.08 Kampala-Bukaya'!G35,'20.08 Kampala-Bukaya'!G35,'21.08 Kampala-Bukaya'!G35,'22.08 Kampala-Bukaya'!G35,'23.08 Kampala-Bukaya-24h'!G35,'24.08 Kampala-Bukaya-24h'!G35,'25.08 Kampala-Bukaya'!G35)</f>
        <v>0</v>
      </c>
      <c r="H35" s="49">
        <f>AVERAGE('19.08 Kampala-Bukaya'!H35,'20.08 Kampala-Bukaya'!H35,'21.08 Kampala-Bukaya'!H35,'22.08 Kampala-Bukaya'!H35,'23.08 Kampala-Bukaya-24h'!H35,'24.08 Kampala-Bukaya-24h'!H35,'25.08 Kampala-Bukaya'!H35)</f>
        <v>0</v>
      </c>
      <c r="I35" s="49">
        <f>AVERAGE('19.08 Kampala-Bukaya'!I35,'20.08 Kampala-Bukaya'!I35,'21.08 Kampala-Bukaya'!I35,'22.08 Kampala-Bukaya'!I35,'23.08 Kampala-Bukaya-24h'!I35,'24.08 Kampala-Bukaya-24h'!I35,'25.08 Kampala-Bukaya'!I35)</f>
        <v>2.4285714285714284</v>
      </c>
      <c r="J35" s="49">
        <f>AVERAGE('19.08 Kampala-Bukaya'!J35,'20.08 Kampala-Bukaya'!J35,'21.08 Kampala-Bukaya'!J35,'22.08 Kampala-Bukaya'!J35,'23.08 Kampala-Bukaya-24h'!J35,'24.08 Kampala-Bukaya-24h'!J35,'25.08 Kampala-Bukaya'!J35)</f>
        <v>0</v>
      </c>
      <c r="K35" s="49">
        <f>AVERAGE('19.08 Kampala-Bukaya'!K35,'20.08 Kampala-Bukaya'!K35,'21.08 Kampala-Bukaya'!K35,'22.08 Kampala-Bukaya'!K35,'23.08 Kampala-Bukaya-24h'!K35,'24.08 Kampala-Bukaya-24h'!K35,'25.08 Kampala-Bukaya'!K35)</f>
        <v>0.42857142857142855</v>
      </c>
      <c r="L35" s="49">
        <f>AVERAGE('19.08 Kampala-Bukaya'!L35,'20.08 Kampala-Bukaya'!L35,'21.08 Kampala-Bukaya'!L35,'22.08 Kampala-Bukaya'!L35,'23.08 Kampala-Bukaya-24h'!L35,'24.08 Kampala-Bukaya-24h'!L35,'25.08 Kampala-Bukaya'!L35)</f>
        <v>0</v>
      </c>
      <c r="M35" s="49">
        <f>AVERAGE('19.08 Kampala-Bukaya'!M35,'20.08 Kampala-Bukaya'!M35,'21.08 Kampala-Bukaya'!M35,'22.08 Kampala-Bukaya'!M35,'23.08 Kampala-Bukaya-24h'!M35,'24.08 Kampala-Bukaya-24h'!M35,'25.08 Kampala-Bukaya'!M35)</f>
        <v>14.285714285714286</v>
      </c>
      <c r="N35" s="49">
        <f>AVERAGE('19.08 Kampala-Bukaya'!N35,'20.08 Kampala-Bukaya'!N35,'21.08 Kampala-Bukaya'!N35,'22.08 Kampala-Bukaya'!N35,'23.08 Kampala-Bukaya-24h'!N35,'24.08 Kampala-Bukaya-24h'!N35,'25.08 Kampala-Bukaya'!N35)</f>
        <v>0</v>
      </c>
      <c r="O35" s="15">
        <f t="shared" si="0"/>
        <v>12.142857142857144</v>
      </c>
      <c r="P35" s="15">
        <f t="shared" si="1"/>
        <v>26.428571428571431</v>
      </c>
      <c r="R35" s="38" t="s">
        <v>91</v>
      </c>
      <c r="S35" s="39">
        <f t="shared" ref="S35:AF35" si="27">MAX(S13:S18)</f>
        <v>15.142857142857144</v>
      </c>
      <c r="T35" s="39">
        <f t="shared" si="27"/>
        <v>0</v>
      </c>
      <c r="U35" s="39">
        <f t="shared" si="27"/>
        <v>14.428571428571429</v>
      </c>
      <c r="V35" s="39">
        <f t="shared" si="27"/>
        <v>10</v>
      </c>
      <c r="W35" s="39">
        <f t="shared" si="27"/>
        <v>0.85714285714285698</v>
      </c>
      <c r="X35" s="39">
        <f t="shared" si="27"/>
        <v>0.7142857142857143</v>
      </c>
      <c r="Y35" s="39">
        <f t="shared" si="27"/>
        <v>8.2857142857142847</v>
      </c>
      <c r="Z35" s="39">
        <f t="shared" si="27"/>
        <v>0.42857142857142855</v>
      </c>
      <c r="AA35" s="39">
        <f t="shared" si="27"/>
        <v>1.2857142857142856</v>
      </c>
      <c r="AB35" s="39">
        <f t="shared" si="27"/>
        <v>0.14285714285714285</v>
      </c>
      <c r="AC35" s="39">
        <f t="shared" si="27"/>
        <v>87</v>
      </c>
      <c r="AD35" s="39">
        <f t="shared" si="27"/>
        <v>0</v>
      </c>
      <c r="AE35" s="40">
        <f t="shared" si="27"/>
        <v>47.428571428571431</v>
      </c>
      <c r="AF35" s="40">
        <f t="shared" si="27"/>
        <v>127.42857142857143</v>
      </c>
    </row>
    <row r="36" spans="2:32" ht="23.1" customHeight="1" x14ac:dyDescent="0.25">
      <c r="B36" s="24" t="s">
        <v>63</v>
      </c>
      <c r="C36" s="49">
        <f>AVERAGE('19.08 Kampala-Bukaya'!C36,'20.08 Kampala-Bukaya'!C36,'21.08 Kampala-Bukaya'!C36,'22.08 Kampala-Bukaya'!C36,'23.08 Kampala-Bukaya-24h'!C36,'24.08 Kampala-Bukaya-24h'!C36,'25.08 Kampala-Bukaya'!C36)</f>
        <v>3.8571428571428572</v>
      </c>
      <c r="D36" s="49">
        <f>AVERAGE('19.08 Kampala-Bukaya'!D36,'20.08 Kampala-Bukaya'!D36,'21.08 Kampala-Bukaya'!D36,'22.08 Kampala-Bukaya'!D36,'23.08 Kampala-Bukaya-24h'!D36,'24.08 Kampala-Bukaya-24h'!D36,'25.08 Kampala-Bukaya'!D36)</f>
        <v>0</v>
      </c>
      <c r="E36" s="49">
        <f>AVERAGE('19.08 Kampala-Bukaya'!E36,'20.08 Kampala-Bukaya'!E36,'21.08 Kampala-Bukaya'!E36,'22.08 Kampala-Bukaya'!E36,'23.08 Kampala-Bukaya-24h'!E36,'24.08 Kampala-Bukaya-24h'!E36,'25.08 Kampala-Bukaya'!E36)</f>
        <v>2.2857142857142856</v>
      </c>
      <c r="F36" s="49">
        <f>AVERAGE('19.08 Kampala-Bukaya'!F36,'20.08 Kampala-Bukaya'!F36,'21.08 Kampala-Bukaya'!F36,'22.08 Kampala-Bukaya'!F36,'23.08 Kampala-Bukaya-24h'!F36,'24.08 Kampala-Bukaya-24h'!F36,'25.08 Kampala-Bukaya'!F36)</f>
        <v>3</v>
      </c>
      <c r="G36" s="49">
        <f>AVERAGE('19.08 Kampala-Bukaya'!G36,'20.08 Kampala-Bukaya'!G36,'21.08 Kampala-Bukaya'!G36,'22.08 Kampala-Bukaya'!G36,'23.08 Kampala-Bukaya-24h'!G36,'24.08 Kampala-Bukaya-24h'!G36,'25.08 Kampala-Bukaya'!G36)</f>
        <v>0</v>
      </c>
      <c r="H36" s="49">
        <f>AVERAGE('19.08 Kampala-Bukaya'!H36,'20.08 Kampala-Bukaya'!H36,'21.08 Kampala-Bukaya'!H36,'22.08 Kampala-Bukaya'!H36,'23.08 Kampala-Bukaya-24h'!H36,'24.08 Kampala-Bukaya-24h'!H36,'25.08 Kampala-Bukaya'!H36)</f>
        <v>0.7142857142857143</v>
      </c>
      <c r="I36" s="49">
        <f>AVERAGE('19.08 Kampala-Bukaya'!I36,'20.08 Kampala-Bukaya'!I36,'21.08 Kampala-Bukaya'!I36,'22.08 Kampala-Bukaya'!I36,'23.08 Kampala-Bukaya-24h'!I36,'24.08 Kampala-Bukaya-24h'!I36,'25.08 Kampala-Bukaya'!I36)</f>
        <v>1.1428571428571428</v>
      </c>
      <c r="J36" s="49">
        <f>AVERAGE('19.08 Kampala-Bukaya'!J36,'20.08 Kampala-Bukaya'!J36,'21.08 Kampala-Bukaya'!J36,'22.08 Kampala-Bukaya'!J36,'23.08 Kampala-Bukaya-24h'!J36,'24.08 Kampala-Bukaya-24h'!J36,'25.08 Kampala-Bukaya'!J36)</f>
        <v>0</v>
      </c>
      <c r="K36" s="49">
        <f>AVERAGE('19.08 Kampala-Bukaya'!K36,'20.08 Kampala-Bukaya'!K36,'21.08 Kampala-Bukaya'!K36,'22.08 Kampala-Bukaya'!K36,'23.08 Kampala-Bukaya-24h'!K36,'24.08 Kampala-Bukaya-24h'!K36,'25.08 Kampala-Bukaya'!K36)</f>
        <v>0.2857142857142857</v>
      </c>
      <c r="L36" s="49">
        <f>AVERAGE('19.08 Kampala-Bukaya'!L36,'20.08 Kampala-Bukaya'!L36,'21.08 Kampala-Bukaya'!L36,'22.08 Kampala-Bukaya'!L36,'23.08 Kampala-Bukaya-24h'!L36,'24.08 Kampala-Bukaya-24h'!L36,'25.08 Kampala-Bukaya'!L36)</f>
        <v>0</v>
      </c>
      <c r="M36" s="49">
        <f>AVERAGE('19.08 Kampala-Bukaya'!M36,'20.08 Kampala-Bukaya'!M36,'21.08 Kampala-Bukaya'!M36,'22.08 Kampala-Bukaya'!M36,'23.08 Kampala-Bukaya-24h'!M36,'24.08 Kampala-Bukaya-24h'!M36,'25.08 Kampala-Bukaya'!M36)</f>
        <v>17.285714285714285</v>
      </c>
      <c r="N36" s="49">
        <f>AVERAGE('19.08 Kampala-Bukaya'!N36,'20.08 Kampala-Bukaya'!N36,'21.08 Kampala-Bukaya'!N36,'22.08 Kampala-Bukaya'!N36,'23.08 Kampala-Bukaya-24h'!N36,'24.08 Kampala-Bukaya-24h'!N36,'25.08 Kampala-Bukaya'!N36)</f>
        <v>0</v>
      </c>
      <c r="O36" s="15">
        <f t="shared" si="0"/>
        <v>11.285714285714285</v>
      </c>
      <c r="P36" s="15">
        <f t="shared" si="1"/>
        <v>28.571428571428569</v>
      </c>
      <c r="R36" s="38" t="s">
        <v>92</v>
      </c>
      <c r="S36" s="39">
        <f t="shared" ref="S36:AF36" si="28">MAX(S19:S21)</f>
        <v>9.7142857142857135</v>
      </c>
      <c r="T36" s="39">
        <f t="shared" si="28"/>
        <v>0</v>
      </c>
      <c r="U36" s="39">
        <f t="shared" si="28"/>
        <v>8.7142857142857135</v>
      </c>
      <c r="V36" s="39">
        <f t="shared" si="28"/>
        <v>10.142857142857142</v>
      </c>
      <c r="W36" s="39">
        <f t="shared" si="28"/>
        <v>0.14285714285714285</v>
      </c>
      <c r="X36" s="39">
        <f t="shared" si="28"/>
        <v>0.14285714285714285</v>
      </c>
      <c r="Y36" s="39">
        <f t="shared" si="28"/>
        <v>8.8571428571428577</v>
      </c>
      <c r="Z36" s="39">
        <f t="shared" si="28"/>
        <v>0.2857142857142857</v>
      </c>
      <c r="AA36" s="39">
        <f t="shared" si="28"/>
        <v>0.85714285714285698</v>
      </c>
      <c r="AB36" s="39">
        <f t="shared" si="28"/>
        <v>0.2857142857142857</v>
      </c>
      <c r="AC36" s="39">
        <f t="shared" si="28"/>
        <v>89</v>
      </c>
      <c r="AD36" s="39">
        <f t="shared" si="28"/>
        <v>0.14285714285714285</v>
      </c>
      <c r="AE36" s="40">
        <f t="shared" si="28"/>
        <v>35.285714285714292</v>
      </c>
      <c r="AF36" s="40">
        <f t="shared" si="28"/>
        <v>127.14285714285715</v>
      </c>
    </row>
    <row r="37" spans="2:32" ht="23.1" customHeight="1" x14ac:dyDescent="0.25">
      <c r="B37" s="23" t="s">
        <v>64</v>
      </c>
      <c r="C37" s="49">
        <f>AVERAGE('19.08 Kampala-Bukaya'!C37,'20.08 Kampala-Bukaya'!C37,'21.08 Kampala-Bukaya'!C37,'22.08 Kampala-Bukaya'!C37,'23.08 Kampala-Bukaya-24h'!C37,'24.08 Kampala-Bukaya-24h'!C37,'25.08 Kampala-Bukaya'!C37)</f>
        <v>3.2857142857142856</v>
      </c>
      <c r="D37" s="49">
        <f>AVERAGE('19.08 Kampala-Bukaya'!D37,'20.08 Kampala-Bukaya'!D37,'21.08 Kampala-Bukaya'!D37,'22.08 Kampala-Bukaya'!D37,'23.08 Kampala-Bukaya-24h'!D37,'24.08 Kampala-Bukaya-24h'!D37,'25.08 Kampala-Bukaya'!D37)</f>
        <v>0</v>
      </c>
      <c r="E37" s="49">
        <f>AVERAGE('19.08 Kampala-Bukaya'!E37,'20.08 Kampala-Bukaya'!E37,'21.08 Kampala-Bukaya'!E37,'22.08 Kampala-Bukaya'!E37,'23.08 Kampala-Bukaya-24h'!E37,'24.08 Kampala-Bukaya-24h'!E37,'25.08 Kampala-Bukaya'!E37)</f>
        <v>4.7142857142857144</v>
      </c>
      <c r="F37" s="49">
        <f>AVERAGE('19.08 Kampala-Bukaya'!F37,'20.08 Kampala-Bukaya'!F37,'21.08 Kampala-Bukaya'!F37,'22.08 Kampala-Bukaya'!F37,'23.08 Kampala-Bukaya-24h'!F37,'24.08 Kampala-Bukaya-24h'!F37,'25.08 Kampala-Bukaya'!F37)</f>
        <v>2.4285714285714284</v>
      </c>
      <c r="G37" s="49">
        <f>AVERAGE('19.08 Kampala-Bukaya'!G37,'20.08 Kampala-Bukaya'!G37,'21.08 Kampala-Bukaya'!G37,'22.08 Kampala-Bukaya'!G37,'23.08 Kampala-Bukaya-24h'!G37,'24.08 Kampala-Bukaya-24h'!G37,'25.08 Kampala-Bukaya'!G37)</f>
        <v>0.14285714285714285</v>
      </c>
      <c r="H37" s="49">
        <f>AVERAGE('19.08 Kampala-Bukaya'!H37,'20.08 Kampala-Bukaya'!H37,'21.08 Kampala-Bukaya'!H37,'22.08 Kampala-Bukaya'!H37,'23.08 Kampala-Bukaya-24h'!H37,'24.08 Kampala-Bukaya-24h'!H37,'25.08 Kampala-Bukaya'!H37)</f>
        <v>0</v>
      </c>
      <c r="I37" s="49">
        <f>AVERAGE('19.08 Kampala-Bukaya'!I37,'20.08 Kampala-Bukaya'!I37,'21.08 Kampala-Bukaya'!I37,'22.08 Kampala-Bukaya'!I37,'23.08 Kampala-Bukaya-24h'!I37,'24.08 Kampala-Bukaya-24h'!I37,'25.08 Kampala-Bukaya'!I37)</f>
        <v>2</v>
      </c>
      <c r="J37" s="49">
        <f>AVERAGE('19.08 Kampala-Bukaya'!J37,'20.08 Kampala-Bukaya'!J37,'21.08 Kampala-Bukaya'!J37,'22.08 Kampala-Bukaya'!J37,'23.08 Kampala-Bukaya-24h'!J37,'24.08 Kampala-Bukaya-24h'!J37,'25.08 Kampala-Bukaya'!J37)</f>
        <v>0.2857142857142857</v>
      </c>
      <c r="K37" s="49">
        <f>AVERAGE('19.08 Kampala-Bukaya'!K37,'20.08 Kampala-Bukaya'!K37,'21.08 Kampala-Bukaya'!K37,'22.08 Kampala-Bukaya'!K37,'23.08 Kampala-Bukaya-24h'!K37,'24.08 Kampala-Bukaya-24h'!K37,'25.08 Kampala-Bukaya'!K37)</f>
        <v>0.2857142857142857</v>
      </c>
      <c r="L37" s="49">
        <f>AVERAGE('19.08 Kampala-Bukaya'!L37,'20.08 Kampala-Bukaya'!L37,'21.08 Kampala-Bukaya'!L37,'22.08 Kampala-Bukaya'!L37,'23.08 Kampala-Bukaya-24h'!L37,'24.08 Kampala-Bukaya-24h'!L37,'25.08 Kampala-Bukaya'!L37)</f>
        <v>0</v>
      </c>
      <c r="M37" s="49">
        <f>AVERAGE('19.08 Kampala-Bukaya'!M37,'20.08 Kampala-Bukaya'!M37,'21.08 Kampala-Bukaya'!M37,'22.08 Kampala-Bukaya'!M37,'23.08 Kampala-Bukaya-24h'!M37,'24.08 Kampala-Bukaya-24h'!M37,'25.08 Kampala-Bukaya'!M37)</f>
        <v>18.857142857142858</v>
      </c>
      <c r="N37" s="49">
        <f>AVERAGE('19.08 Kampala-Bukaya'!N37,'20.08 Kampala-Bukaya'!N37,'21.08 Kampala-Bukaya'!N37,'22.08 Kampala-Bukaya'!N37,'23.08 Kampala-Bukaya-24h'!N37,'24.08 Kampala-Bukaya-24h'!N37,'25.08 Kampala-Bukaya'!N37)</f>
        <v>0</v>
      </c>
      <c r="O37" s="15">
        <f t="shared" si="0"/>
        <v>13.142857142857144</v>
      </c>
      <c r="P37" s="15">
        <f t="shared" si="1"/>
        <v>32</v>
      </c>
      <c r="R37" s="37" t="s">
        <v>85</v>
      </c>
      <c r="S37" s="35">
        <f t="shared" ref="S37:AF37" si="29">SUM(S10:S12)</f>
        <v>24.571428571428569</v>
      </c>
      <c r="T37" s="16">
        <f t="shared" si="29"/>
        <v>0</v>
      </c>
      <c r="U37" s="16">
        <f t="shared" si="29"/>
        <v>25.571428571428569</v>
      </c>
      <c r="V37" s="16">
        <f t="shared" si="29"/>
        <v>14.857142857142858</v>
      </c>
      <c r="W37" s="16">
        <f t="shared" si="29"/>
        <v>0.99999999999999989</v>
      </c>
      <c r="X37" s="16">
        <f t="shared" si="29"/>
        <v>0</v>
      </c>
      <c r="Y37" s="16">
        <f t="shared" si="29"/>
        <v>17.714285714285715</v>
      </c>
      <c r="Z37" s="16">
        <f t="shared" si="29"/>
        <v>0.5714285714285714</v>
      </c>
      <c r="AA37" s="16">
        <f t="shared" si="29"/>
        <v>0.42857142857142855</v>
      </c>
      <c r="AB37" s="16">
        <f t="shared" si="29"/>
        <v>0.2857142857142857</v>
      </c>
      <c r="AC37" s="16">
        <f t="shared" si="29"/>
        <v>182.28571428571428</v>
      </c>
      <c r="AD37" s="16">
        <f t="shared" si="29"/>
        <v>0.2857142857142857</v>
      </c>
      <c r="AE37" s="32">
        <f t="shared" si="29"/>
        <v>85.285714285714278</v>
      </c>
      <c r="AF37" s="32">
        <f t="shared" si="29"/>
        <v>267.57142857142856</v>
      </c>
    </row>
    <row r="38" spans="2:32" ht="23.1" customHeight="1" x14ac:dyDescent="0.25">
      <c r="B38" s="24" t="s">
        <v>65</v>
      </c>
      <c r="C38" s="49">
        <f>AVERAGE('19.08 Kampala-Bukaya'!C38,'20.08 Kampala-Bukaya'!C38,'21.08 Kampala-Bukaya'!C38,'22.08 Kampala-Bukaya'!C38,'23.08 Kampala-Bukaya-24h'!C38,'24.08 Kampala-Bukaya-24h'!C38,'25.08 Kampala-Bukaya'!C38)</f>
        <v>4.2857142857142856</v>
      </c>
      <c r="D38" s="49">
        <f>AVERAGE('19.08 Kampala-Bukaya'!D38,'20.08 Kampala-Bukaya'!D38,'21.08 Kampala-Bukaya'!D38,'22.08 Kampala-Bukaya'!D38,'23.08 Kampala-Bukaya-24h'!D38,'24.08 Kampala-Bukaya-24h'!D38,'25.08 Kampala-Bukaya'!D38)</f>
        <v>0</v>
      </c>
      <c r="E38" s="49">
        <f>AVERAGE('19.08 Kampala-Bukaya'!E38,'20.08 Kampala-Bukaya'!E38,'21.08 Kampala-Bukaya'!E38,'22.08 Kampala-Bukaya'!E38,'23.08 Kampala-Bukaya-24h'!E38,'24.08 Kampala-Bukaya-24h'!E38,'25.08 Kampala-Bukaya'!E38)</f>
        <v>4.2857142857142856</v>
      </c>
      <c r="F38" s="49">
        <f>AVERAGE('19.08 Kampala-Bukaya'!F38,'20.08 Kampala-Bukaya'!F38,'21.08 Kampala-Bukaya'!F38,'22.08 Kampala-Bukaya'!F38,'23.08 Kampala-Bukaya-24h'!F38,'24.08 Kampala-Bukaya-24h'!F38,'25.08 Kampala-Bukaya'!F38)</f>
        <v>2.1428571428571428</v>
      </c>
      <c r="G38" s="49">
        <f>AVERAGE('19.08 Kampala-Bukaya'!G38,'20.08 Kampala-Bukaya'!G38,'21.08 Kampala-Bukaya'!G38,'22.08 Kampala-Bukaya'!G38,'23.08 Kampala-Bukaya-24h'!G38,'24.08 Kampala-Bukaya-24h'!G38,'25.08 Kampala-Bukaya'!G38)</f>
        <v>0</v>
      </c>
      <c r="H38" s="49">
        <f>AVERAGE('19.08 Kampala-Bukaya'!H38,'20.08 Kampala-Bukaya'!H38,'21.08 Kampala-Bukaya'!H38,'22.08 Kampala-Bukaya'!H38,'23.08 Kampala-Bukaya-24h'!H38,'24.08 Kampala-Bukaya-24h'!H38,'25.08 Kampala-Bukaya'!H38)</f>
        <v>0</v>
      </c>
      <c r="I38" s="49">
        <f>AVERAGE('19.08 Kampala-Bukaya'!I38,'20.08 Kampala-Bukaya'!I38,'21.08 Kampala-Bukaya'!I38,'22.08 Kampala-Bukaya'!I38,'23.08 Kampala-Bukaya-24h'!I38,'24.08 Kampala-Bukaya-24h'!I38,'25.08 Kampala-Bukaya'!I38)</f>
        <v>2.1428571428571428</v>
      </c>
      <c r="J38" s="49">
        <f>AVERAGE('19.08 Kampala-Bukaya'!J38,'20.08 Kampala-Bukaya'!J38,'21.08 Kampala-Bukaya'!J38,'22.08 Kampala-Bukaya'!J38,'23.08 Kampala-Bukaya-24h'!J38,'24.08 Kampala-Bukaya-24h'!J38,'25.08 Kampala-Bukaya'!J38)</f>
        <v>0</v>
      </c>
      <c r="K38" s="49">
        <f>AVERAGE('19.08 Kampala-Bukaya'!K38,'20.08 Kampala-Bukaya'!K38,'21.08 Kampala-Bukaya'!K38,'22.08 Kampala-Bukaya'!K38,'23.08 Kampala-Bukaya-24h'!K38,'24.08 Kampala-Bukaya-24h'!K38,'25.08 Kampala-Bukaya'!K38)</f>
        <v>0</v>
      </c>
      <c r="L38" s="49">
        <f>AVERAGE('19.08 Kampala-Bukaya'!L38,'20.08 Kampala-Bukaya'!L38,'21.08 Kampala-Bukaya'!L38,'22.08 Kampala-Bukaya'!L38,'23.08 Kampala-Bukaya-24h'!L38,'24.08 Kampala-Bukaya-24h'!L38,'25.08 Kampala-Bukaya'!L38)</f>
        <v>0</v>
      </c>
      <c r="M38" s="49">
        <f>AVERAGE('19.08 Kampala-Bukaya'!M38,'20.08 Kampala-Bukaya'!M38,'21.08 Kampala-Bukaya'!M38,'22.08 Kampala-Bukaya'!M38,'23.08 Kampala-Bukaya-24h'!M38,'24.08 Kampala-Bukaya-24h'!M38,'25.08 Kampala-Bukaya'!M38)</f>
        <v>16.428571428571427</v>
      </c>
      <c r="N38" s="49">
        <f>AVERAGE('19.08 Kampala-Bukaya'!N38,'20.08 Kampala-Bukaya'!N38,'21.08 Kampala-Bukaya'!N38,'22.08 Kampala-Bukaya'!N38,'23.08 Kampala-Bukaya-24h'!N38,'24.08 Kampala-Bukaya-24h'!N38,'25.08 Kampala-Bukaya'!N38)</f>
        <v>0</v>
      </c>
      <c r="O38" s="15">
        <f t="shared" si="0"/>
        <v>12.857142857142856</v>
      </c>
      <c r="P38" s="15">
        <f t="shared" si="1"/>
        <v>29.285714285714285</v>
      </c>
      <c r="R38" s="28" t="s">
        <v>86</v>
      </c>
      <c r="S38" s="16">
        <f t="shared" ref="S38:AF38" si="30">SUM(S13:S18)</f>
        <v>77.428571428571416</v>
      </c>
      <c r="T38" s="16">
        <f t="shared" si="30"/>
        <v>0</v>
      </c>
      <c r="U38" s="16">
        <f t="shared" si="30"/>
        <v>76.285714285714278</v>
      </c>
      <c r="V38" s="16">
        <f t="shared" si="30"/>
        <v>51.285714285714278</v>
      </c>
      <c r="W38" s="16">
        <f t="shared" si="30"/>
        <v>1.9999999999999996</v>
      </c>
      <c r="X38" s="16">
        <f t="shared" si="30"/>
        <v>0.7142857142857143</v>
      </c>
      <c r="Y38" s="16">
        <f t="shared" si="30"/>
        <v>47.142857142857146</v>
      </c>
      <c r="Z38" s="16">
        <f t="shared" si="30"/>
        <v>0.99999999999999989</v>
      </c>
      <c r="AA38" s="16">
        <f t="shared" si="30"/>
        <v>3.7142857142857135</v>
      </c>
      <c r="AB38" s="16">
        <f t="shared" si="30"/>
        <v>0.14285714285714285</v>
      </c>
      <c r="AC38" s="16">
        <f t="shared" si="30"/>
        <v>462</v>
      </c>
      <c r="AD38" s="16">
        <f t="shared" si="30"/>
        <v>0</v>
      </c>
      <c r="AE38" s="32">
        <f t="shared" si="30"/>
        <v>259.71428571428572</v>
      </c>
      <c r="AF38" s="32">
        <f t="shared" si="30"/>
        <v>721.71428571428567</v>
      </c>
    </row>
    <row r="39" spans="2:32" ht="23.1" customHeight="1" x14ac:dyDescent="0.25">
      <c r="B39" s="24" t="s">
        <v>66</v>
      </c>
      <c r="C39" s="49">
        <f>AVERAGE('19.08 Kampala-Bukaya'!C39,'20.08 Kampala-Bukaya'!C39,'21.08 Kampala-Bukaya'!C39,'22.08 Kampala-Bukaya'!C39,'23.08 Kampala-Bukaya-24h'!C39,'24.08 Kampala-Bukaya-24h'!C39,'25.08 Kampala-Bukaya'!C39)</f>
        <v>4.4285714285714288</v>
      </c>
      <c r="D39" s="49">
        <f>AVERAGE('19.08 Kampala-Bukaya'!D39,'20.08 Kampala-Bukaya'!D39,'21.08 Kampala-Bukaya'!D39,'22.08 Kampala-Bukaya'!D39,'23.08 Kampala-Bukaya-24h'!D39,'24.08 Kampala-Bukaya-24h'!D39,'25.08 Kampala-Bukaya'!D39)</f>
        <v>0</v>
      </c>
      <c r="E39" s="49">
        <f>AVERAGE('19.08 Kampala-Bukaya'!E39,'20.08 Kampala-Bukaya'!E39,'21.08 Kampala-Bukaya'!E39,'22.08 Kampala-Bukaya'!E39,'23.08 Kampala-Bukaya-24h'!E39,'24.08 Kampala-Bukaya-24h'!E39,'25.08 Kampala-Bukaya'!E39)</f>
        <v>2.4285714285714284</v>
      </c>
      <c r="F39" s="49">
        <f>AVERAGE('19.08 Kampala-Bukaya'!F39,'20.08 Kampala-Bukaya'!F39,'21.08 Kampala-Bukaya'!F39,'22.08 Kampala-Bukaya'!F39,'23.08 Kampala-Bukaya-24h'!F39,'24.08 Kampala-Bukaya-24h'!F39,'25.08 Kampala-Bukaya'!F39)</f>
        <v>1.7142857142857142</v>
      </c>
      <c r="G39" s="49">
        <f>AVERAGE('19.08 Kampala-Bukaya'!G39,'20.08 Kampala-Bukaya'!G39,'21.08 Kampala-Bukaya'!G39,'22.08 Kampala-Bukaya'!G39,'23.08 Kampala-Bukaya-24h'!G39,'24.08 Kampala-Bukaya-24h'!G39,'25.08 Kampala-Bukaya'!G39)</f>
        <v>0</v>
      </c>
      <c r="H39" s="49">
        <f>AVERAGE('19.08 Kampala-Bukaya'!H39,'20.08 Kampala-Bukaya'!H39,'21.08 Kampala-Bukaya'!H39,'22.08 Kampala-Bukaya'!H39,'23.08 Kampala-Bukaya-24h'!H39,'24.08 Kampala-Bukaya-24h'!H39,'25.08 Kampala-Bukaya'!H39)</f>
        <v>0</v>
      </c>
      <c r="I39" s="49">
        <f>AVERAGE('19.08 Kampala-Bukaya'!I39,'20.08 Kampala-Bukaya'!I39,'21.08 Kampala-Bukaya'!I39,'22.08 Kampala-Bukaya'!I39,'23.08 Kampala-Bukaya-24h'!I39,'24.08 Kampala-Bukaya-24h'!I39,'25.08 Kampala-Bukaya'!I39)</f>
        <v>1.7142857142857142</v>
      </c>
      <c r="J39" s="49">
        <f>AVERAGE('19.08 Kampala-Bukaya'!J39,'20.08 Kampala-Bukaya'!J39,'21.08 Kampala-Bukaya'!J39,'22.08 Kampala-Bukaya'!J39,'23.08 Kampala-Bukaya-24h'!J39,'24.08 Kampala-Bukaya-24h'!J39,'25.08 Kampala-Bukaya'!J39)</f>
        <v>0</v>
      </c>
      <c r="K39" s="49">
        <f>AVERAGE('19.08 Kampala-Bukaya'!K39,'20.08 Kampala-Bukaya'!K39,'21.08 Kampala-Bukaya'!K39,'22.08 Kampala-Bukaya'!K39,'23.08 Kampala-Bukaya-24h'!K39,'24.08 Kampala-Bukaya-24h'!K39,'25.08 Kampala-Bukaya'!K39)</f>
        <v>0.42857142857142855</v>
      </c>
      <c r="L39" s="49">
        <f>AVERAGE('19.08 Kampala-Bukaya'!L39,'20.08 Kampala-Bukaya'!L39,'21.08 Kampala-Bukaya'!L39,'22.08 Kampala-Bukaya'!L39,'23.08 Kampala-Bukaya-24h'!L39,'24.08 Kampala-Bukaya-24h'!L39,'25.08 Kampala-Bukaya'!L39)</f>
        <v>0</v>
      </c>
      <c r="M39" s="49">
        <f>AVERAGE('19.08 Kampala-Bukaya'!M39,'20.08 Kampala-Bukaya'!M39,'21.08 Kampala-Bukaya'!M39,'22.08 Kampala-Bukaya'!M39,'23.08 Kampala-Bukaya-24h'!M39,'24.08 Kampala-Bukaya-24h'!M39,'25.08 Kampala-Bukaya'!M39)</f>
        <v>18.428571428571427</v>
      </c>
      <c r="N39" s="49">
        <f>AVERAGE('19.08 Kampala-Bukaya'!N39,'20.08 Kampala-Bukaya'!N39,'21.08 Kampala-Bukaya'!N39,'22.08 Kampala-Bukaya'!N39,'23.08 Kampala-Bukaya-24h'!N39,'24.08 Kampala-Bukaya-24h'!N39,'25.08 Kampala-Bukaya'!N39)</f>
        <v>0</v>
      </c>
      <c r="O39" s="15">
        <f t="shared" si="0"/>
        <v>10.714285714285714</v>
      </c>
      <c r="P39" s="15">
        <f t="shared" si="1"/>
        <v>29.142857142857139</v>
      </c>
      <c r="R39" s="29" t="s">
        <v>87</v>
      </c>
      <c r="S39" s="16">
        <f t="shared" ref="S39:AF39" si="31">SUM(S19:S21)</f>
        <v>27.857142857142854</v>
      </c>
      <c r="T39" s="16">
        <f t="shared" si="31"/>
        <v>0</v>
      </c>
      <c r="U39" s="16">
        <f t="shared" si="31"/>
        <v>24</v>
      </c>
      <c r="V39" s="16">
        <f t="shared" si="31"/>
        <v>27.714285714285715</v>
      </c>
      <c r="W39" s="16">
        <f t="shared" si="31"/>
        <v>0.42857142857142855</v>
      </c>
      <c r="X39" s="16">
        <f t="shared" si="31"/>
        <v>0.14285714285714285</v>
      </c>
      <c r="Y39" s="16">
        <f t="shared" si="31"/>
        <v>20</v>
      </c>
      <c r="Z39" s="16">
        <f t="shared" si="31"/>
        <v>0.42857142857142855</v>
      </c>
      <c r="AA39" s="16">
        <f t="shared" si="31"/>
        <v>1.2857142857142856</v>
      </c>
      <c r="AB39" s="16">
        <f t="shared" si="31"/>
        <v>0.2857142857142857</v>
      </c>
      <c r="AC39" s="16">
        <f t="shared" si="31"/>
        <v>264.57142857142856</v>
      </c>
      <c r="AD39" s="16">
        <f t="shared" si="31"/>
        <v>0.14285714285714285</v>
      </c>
      <c r="AE39" s="32">
        <f t="shared" si="31"/>
        <v>102.28571428571431</v>
      </c>
      <c r="AF39" s="32">
        <f t="shared" si="31"/>
        <v>372.85714285714289</v>
      </c>
    </row>
    <row r="40" spans="2:32" ht="23.1" customHeight="1" x14ac:dyDescent="0.25">
      <c r="B40" s="24" t="s">
        <v>67</v>
      </c>
      <c r="C40" s="49">
        <f>AVERAGE('19.08 Kampala-Bukaya'!C40,'20.08 Kampala-Bukaya'!C40,'21.08 Kampala-Bukaya'!C40,'22.08 Kampala-Bukaya'!C40,'23.08 Kampala-Bukaya-24h'!C40,'24.08 Kampala-Bukaya-24h'!C40,'25.08 Kampala-Bukaya'!C40)</f>
        <v>3</v>
      </c>
      <c r="D40" s="49">
        <f>AVERAGE('19.08 Kampala-Bukaya'!D40,'20.08 Kampala-Bukaya'!D40,'21.08 Kampala-Bukaya'!D40,'22.08 Kampala-Bukaya'!D40,'23.08 Kampala-Bukaya-24h'!D40,'24.08 Kampala-Bukaya-24h'!D40,'25.08 Kampala-Bukaya'!D40)</f>
        <v>0</v>
      </c>
      <c r="E40" s="49">
        <f>AVERAGE('19.08 Kampala-Bukaya'!E40,'20.08 Kampala-Bukaya'!E40,'21.08 Kampala-Bukaya'!E40,'22.08 Kampala-Bukaya'!E40,'23.08 Kampala-Bukaya-24h'!E40,'24.08 Kampala-Bukaya-24h'!E40,'25.08 Kampala-Bukaya'!E40)</f>
        <v>3.5714285714285716</v>
      </c>
      <c r="F40" s="49">
        <f>AVERAGE('19.08 Kampala-Bukaya'!F40,'20.08 Kampala-Bukaya'!F40,'21.08 Kampala-Bukaya'!F40,'22.08 Kampala-Bukaya'!F40,'23.08 Kampala-Bukaya-24h'!F40,'24.08 Kampala-Bukaya-24h'!F40,'25.08 Kampala-Bukaya'!F40)</f>
        <v>3</v>
      </c>
      <c r="G40" s="49">
        <f>AVERAGE('19.08 Kampala-Bukaya'!G40,'20.08 Kampala-Bukaya'!G40,'21.08 Kampala-Bukaya'!G40,'22.08 Kampala-Bukaya'!G40,'23.08 Kampala-Bukaya-24h'!G40,'24.08 Kampala-Bukaya-24h'!G40,'25.08 Kampala-Bukaya'!G40)</f>
        <v>0</v>
      </c>
      <c r="H40" s="49">
        <f>AVERAGE('19.08 Kampala-Bukaya'!H40,'20.08 Kampala-Bukaya'!H40,'21.08 Kampala-Bukaya'!H40,'22.08 Kampala-Bukaya'!H40,'23.08 Kampala-Bukaya-24h'!H40,'24.08 Kampala-Bukaya-24h'!H40,'25.08 Kampala-Bukaya'!H40)</f>
        <v>0</v>
      </c>
      <c r="I40" s="49">
        <f>AVERAGE('19.08 Kampala-Bukaya'!I40,'20.08 Kampala-Bukaya'!I40,'21.08 Kampala-Bukaya'!I40,'22.08 Kampala-Bukaya'!I40,'23.08 Kampala-Bukaya-24h'!I40,'24.08 Kampala-Bukaya-24h'!I40,'25.08 Kampala-Bukaya'!I40)</f>
        <v>1.1428571428571428</v>
      </c>
      <c r="J40" s="49">
        <f>AVERAGE('19.08 Kampala-Bukaya'!J40,'20.08 Kampala-Bukaya'!J40,'21.08 Kampala-Bukaya'!J40,'22.08 Kampala-Bukaya'!J40,'23.08 Kampala-Bukaya-24h'!J40,'24.08 Kampala-Bukaya-24h'!J40,'25.08 Kampala-Bukaya'!J40)</f>
        <v>0</v>
      </c>
      <c r="K40" s="49">
        <f>AVERAGE('19.08 Kampala-Bukaya'!K40,'20.08 Kampala-Bukaya'!K40,'21.08 Kampala-Bukaya'!K40,'22.08 Kampala-Bukaya'!K40,'23.08 Kampala-Bukaya-24h'!K40,'24.08 Kampala-Bukaya-24h'!K40,'25.08 Kampala-Bukaya'!K40)</f>
        <v>0</v>
      </c>
      <c r="L40" s="49">
        <f>AVERAGE('19.08 Kampala-Bukaya'!L40,'20.08 Kampala-Bukaya'!L40,'21.08 Kampala-Bukaya'!L40,'22.08 Kampala-Bukaya'!L40,'23.08 Kampala-Bukaya-24h'!L40,'24.08 Kampala-Bukaya-24h'!L40,'25.08 Kampala-Bukaya'!L40)</f>
        <v>0</v>
      </c>
      <c r="M40" s="49">
        <f>AVERAGE('19.08 Kampala-Bukaya'!M40,'20.08 Kampala-Bukaya'!M40,'21.08 Kampala-Bukaya'!M40,'22.08 Kampala-Bukaya'!M40,'23.08 Kampala-Bukaya-24h'!M40,'24.08 Kampala-Bukaya-24h'!M40,'25.08 Kampala-Bukaya'!M40)</f>
        <v>19.571428571428573</v>
      </c>
      <c r="N40" s="49">
        <f>AVERAGE('19.08 Kampala-Bukaya'!N40,'20.08 Kampala-Bukaya'!N40,'21.08 Kampala-Bukaya'!N40,'22.08 Kampala-Bukaya'!N40,'23.08 Kampala-Bukaya-24h'!N40,'24.08 Kampala-Bukaya-24h'!N40,'25.08 Kampala-Bukaya'!N40)</f>
        <v>0</v>
      </c>
      <c r="O40" s="15">
        <f t="shared" si="0"/>
        <v>10.714285714285714</v>
      </c>
      <c r="P40" s="15">
        <f t="shared" si="1"/>
        <v>30.285714285714285</v>
      </c>
      <c r="R40" s="5" t="s">
        <v>17</v>
      </c>
      <c r="S40" s="16">
        <f t="shared" ref="S40:AF40" si="32">SUM(S10:S21)</f>
        <v>129.85714285714283</v>
      </c>
      <c r="T40" s="16">
        <f t="shared" si="32"/>
        <v>0</v>
      </c>
      <c r="U40" s="16">
        <f t="shared" si="32"/>
        <v>125.85714285714285</v>
      </c>
      <c r="V40" s="16">
        <f t="shared" si="32"/>
        <v>93.857142857142847</v>
      </c>
      <c r="W40" s="16">
        <f t="shared" si="32"/>
        <v>3.4285714285714279</v>
      </c>
      <c r="X40" s="16">
        <f t="shared" si="32"/>
        <v>0.85714285714285721</v>
      </c>
      <c r="Y40" s="16">
        <f t="shared" si="32"/>
        <v>84.857142857142861</v>
      </c>
      <c r="Z40" s="16">
        <f t="shared" si="32"/>
        <v>1.9999999999999996</v>
      </c>
      <c r="AA40" s="16">
        <f t="shared" si="32"/>
        <v>5.4285714285714279</v>
      </c>
      <c r="AB40" s="16">
        <f t="shared" si="32"/>
        <v>0.71428571428571419</v>
      </c>
      <c r="AC40" s="16">
        <f t="shared" si="32"/>
        <v>908.85714285714289</v>
      </c>
      <c r="AD40" s="16">
        <f t="shared" si="32"/>
        <v>0.42857142857142855</v>
      </c>
      <c r="AE40" s="32">
        <f t="shared" si="32"/>
        <v>447.28571428571428</v>
      </c>
      <c r="AF40" s="32">
        <f t="shared" si="32"/>
        <v>1362.1428571428571</v>
      </c>
    </row>
    <row r="41" spans="2:32" ht="23.1" customHeight="1" x14ac:dyDescent="0.25">
      <c r="B41" s="23" t="s">
        <v>68</v>
      </c>
      <c r="C41" s="49">
        <f>AVERAGE('19.08 Kampala-Bukaya'!C41,'20.08 Kampala-Bukaya'!C41,'21.08 Kampala-Bukaya'!C41,'22.08 Kampala-Bukaya'!C41,'23.08 Kampala-Bukaya-24h'!C41,'24.08 Kampala-Bukaya-24h'!C41,'25.08 Kampala-Bukaya'!C41)</f>
        <v>3.4285714285714284</v>
      </c>
      <c r="D41" s="49">
        <f>AVERAGE('19.08 Kampala-Bukaya'!D41,'20.08 Kampala-Bukaya'!D41,'21.08 Kampala-Bukaya'!D41,'22.08 Kampala-Bukaya'!D41,'23.08 Kampala-Bukaya-24h'!D41,'24.08 Kampala-Bukaya-24h'!D41,'25.08 Kampala-Bukaya'!D41)</f>
        <v>0</v>
      </c>
      <c r="E41" s="49">
        <f>AVERAGE('19.08 Kampala-Bukaya'!E41,'20.08 Kampala-Bukaya'!E41,'21.08 Kampala-Bukaya'!E41,'22.08 Kampala-Bukaya'!E41,'23.08 Kampala-Bukaya-24h'!E41,'24.08 Kampala-Bukaya-24h'!E41,'25.08 Kampala-Bukaya'!E41)</f>
        <v>3.4285714285714284</v>
      </c>
      <c r="F41" s="49">
        <f>AVERAGE('19.08 Kampala-Bukaya'!F41,'20.08 Kampala-Bukaya'!F41,'21.08 Kampala-Bukaya'!F41,'22.08 Kampala-Bukaya'!F41,'23.08 Kampala-Bukaya-24h'!F41,'24.08 Kampala-Bukaya-24h'!F41,'25.08 Kampala-Bukaya'!F41)</f>
        <v>1.2857142857142858</v>
      </c>
      <c r="G41" s="49">
        <f>AVERAGE('19.08 Kampala-Bukaya'!G41,'20.08 Kampala-Bukaya'!G41,'21.08 Kampala-Bukaya'!G41,'22.08 Kampala-Bukaya'!G41,'23.08 Kampala-Bukaya-24h'!G41,'24.08 Kampala-Bukaya-24h'!G41,'25.08 Kampala-Bukaya'!G41)</f>
        <v>0</v>
      </c>
      <c r="H41" s="49">
        <f>AVERAGE('19.08 Kampala-Bukaya'!H41,'20.08 Kampala-Bukaya'!H41,'21.08 Kampala-Bukaya'!H41,'22.08 Kampala-Bukaya'!H41,'23.08 Kampala-Bukaya-24h'!H41,'24.08 Kampala-Bukaya-24h'!H41,'25.08 Kampala-Bukaya'!H41)</f>
        <v>0</v>
      </c>
      <c r="I41" s="49">
        <f>AVERAGE('19.08 Kampala-Bukaya'!I41,'20.08 Kampala-Bukaya'!I41,'21.08 Kampala-Bukaya'!I41,'22.08 Kampala-Bukaya'!I41,'23.08 Kampala-Bukaya-24h'!I41,'24.08 Kampala-Bukaya-24h'!I41,'25.08 Kampala-Bukaya'!I41)</f>
        <v>3.1428571428571428</v>
      </c>
      <c r="J41" s="49">
        <f>AVERAGE('19.08 Kampala-Bukaya'!J41,'20.08 Kampala-Bukaya'!J41,'21.08 Kampala-Bukaya'!J41,'22.08 Kampala-Bukaya'!J41,'23.08 Kampala-Bukaya-24h'!J41,'24.08 Kampala-Bukaya-24h'!J41,'25.08 Kampala-Bukaya'!J41)</f>
        <v>0</v>
      </c>
      <c r="K41" s="49">
        <f>AVERAGE('19.08 Kampala-Bukaya'!K41,'20.08 Kampala-Bukaya'!K41,'21.08 Kampala-Bukaya'!K41,'22.08 Kampala-Bukaya'!K41,'23.08 Kampala-Bukaya-24h'!K41,'24.08 Kampala-Bukaya-24h'!K41,'25.08 Kampala-Bukaya'!K41)</f>
        <v>0.14285714285714285</v>
      </c>
      <c r="L41" s="49">
        <f>AVERAGE('19.08 Kampala-Bukaya'!L41,'20.08 Kampala-Bukaya'!L41,'21.08 Kampala-Bukaya'!L41,'22.08 Kampala-Bukaya'!L41,'23.08 Kampala-Bukaya-24h'!L41,'24.08 Kampala-Bukaya-24h'!L41,'25.08 Kampala-Bukaya'!L41)</f>
        <v>0</v>
      </c>
      <c r="M41" s="49">
        <f>AVERAGE('19.08 Kampala-Bukaya'!M41,'20.08 Kampala-Bukaya'!M41,'21.08 Kampala-Bukaya'!M41,'22.08 Kampala-Bukaya'!M41,'23.08 Kampala-Bukaya-24h'!M41,'24.08 Kampala-Bukaya-24h'!M41,'25.08 Kampala-Bukaya'!M41)</f>
        <v>17.142857142857142</v>
      </c>
      <c r="N41" s="49">
        <f>AVERAGE('19.08 Kampala-Bukaya'!N41,'20.08 Kampala-Bukaya'!N41,'21.08 Kampala-Bukaya'!N41,'22.08 Kampala-Bukaya'!N41,'23.08 Kampala-Bukaya-24h'!N41,'24.08 Kampala-Bukaya-24h'!N41,'25.08 Kampala-Bukaya'!N41)</f>
        <v>0</v>
      </c>
      <c r="O41" s="15">
        <f t="shared" si="0"/>
        <v>11.428571428571427</v>
      </c>
      <c r="P41" s="15">
        <f t="shared" si="1"/>
        <v>28.571428571428569</v>
      </c>
      <c r="R41" s="5" t="s">
        <v>175</v>
      </c>
      <c r="S41" s="16">
        <f>SUM(S10:S33)</f>
        <v>194.85714285714283</v>
      </c>
      <c r="T41" s="16">
        <f t="shared" ref="T41:AD41" si="33">SUM(T10:T33)</f>
        <v>4</v>
      </c>
      <c r="U41" s="16">
        <f t="shared" si="33"/>
        <v>188.85714285714283</v>
      </c>
      <c r="V41" s="16">
        <f t="shared" si="33"/>
        <v>138.85714285714283</v>
      </c>
      <c r="W41" s="16">
        <f t="shared" si="33"/>
        <v>6.4285714285714279</v>
      </c>
      <c r="X41" s="16">
        <f t="shared" si="33"/>
        <v>1.8571428571428572</v>
      </c>
      <c r="Y41" s="16">
        <f t="shared" si="33"/>
        <v>142.85714285714286</v>
      </c>
      <c r="Z41" s="16">
        <f t="shared" si="33"/>
        <v>3.9999999999999996</v>
      </c>
      <c r="AA41" s="16">
        <f t="shared" si="33"/>
        <v>11.428571428571427</v>
      </c>
      <c r="AB41" s="16">
        <f t="shared" si="33"/>
        <v>0.71428571428571419</v>
      </c>
      <c r="AC41" s="16">
        <f t="shared" si="33"/>
        <v>1087.8571428571429</v>
      </c>
      <c r="AD41" s="16">
        <f t="shared" si="33"/>
        <v>0.42857142857142855</v>
      </c>
      <c r="AE41" s="32">
        <f>SUM(AE10:AE33)</f>
        <v>694.28571428571422</v>
      </c>
      <c r="AF41" s="32">
        <f>SUM(AF10:AF33)</f>
        <v>1970.1428571428571</v>
      </c>
    </row>
    <row r="42" spans="2:32" ht="23.1" customHeight="1" x14ac:dyDescent="0.25">
      <c r="B42" s="24" t="s">
        <v>69</v>
      </c>
      <c r="C42" s="49">
        <f>AVERAGE('19.08 Kampala-Bukaya'!C42,'20.08 Kampala-Bukaya'!C42,'21.08 Kampala-Bukaya'!C42,'22.08 Kampala-Bukaya'!C42,'23.08 Kampala-Bukaya-24h'!C42,'24.08 Kampala-Bukaya-24h'!C42,'25.08 Kampala-Bukaya'!C42)</f>
        <v>2.5714285714285716</v>
      </c>
      <c r="D42" s="49">
        <f>AVERAGE('19.08 Kampala-Bukaya'!D42,'20.08 Kampala-Bukaya'!D42,'21.08 Kampala-Bukaya'!D42,'22.08 Kampala-Bukaya'!D42,'23.08 Kampala-Bukaya-24h'!D42,'24.08 Kampala-Bukaya-24h'!D42,'25.08 Kampala-Bukaya'!D42)</f>
        <v>0</v>
      </c>
      <c r="E42" s="49">
        <f>AVERAGE('19.08 Kampala-Bukaya'!E42,'20.08 Kampala-Bukaya'!E42,'21.08 Kampala-Bukaya'!E42,'22.08 Kampala-Bukaya'!E42,'23.08 Kampala-Bukaya-24h'!E42,'24.08 Kampala-Bukaya-24h'!E42,'25.08 Kampala-Bukaya'!E42)</f>
        <v>2.2857142857142856</v>
      </c>
      <c r="F42" s="49">
        <f>AVERAGE('19.08 Kampala-Bukaya'!F42,'20.08 Kampala-Bukaya'!F42,'21.08 Kampala-Bukaya'!F42,'22.08 Kampala-Bukaya'!F42,'23.08 Kampala-Bukaya-24h'!F42,'24.08 Kampala-Bukaya-24h'!F42,'25.08 Kampala-Bukaya'!F42)</f>
        <v>2.5714285714285716</v>
      </c>
      <c r="G42" s="49">
        <f>AVERAGE('19.08 Kampala-Bukaya'!G42,'20.08 Kampala-Bukaya'!G42,'21.08 Kampala-Bukaya'!G42,'22.08 Kampala-Bukaya'!G42,'23.08 Kampala-Bukaya-24h'!G42,'24.08 Kampala-Bukaya-24h'!G42,'25.08 Kampala-Bukaya'!G42)</f>
        <v>0</v>
      </c>
      <c r="H42" s="49">
        <f>AVERAGE('19.08 Kampala-Bukaya'!H42,'20.08 Kampala-Bukaya'!H42,'21.08 Kampala-Bukaya'!H42,'22.08 Kampala-Bukaya'!H42,'23.08 Kampala-Bukaya-24h'!H42,'24.08 Kampala-Bukaya-24h'!H42,'25.08 Kampala-Bukaya'!H42)</f>
        <v>0</v>
      </c>
      <c r="I42" s="49">
        <f>AVERAGE('19.08 Kampala-Bukaya'!I42,'20.08 Kampala-Bukaya'!I42,'21.08 Kampala-Bukaya'!I42,'22.08 Kampala-Bukaya'!I42,'23.08 Kampala-Bukaya-24h'!I42,'24.08 Kampala-Bukaya-24h'!I42,'25.08 Kampala-Bukaya'!I42)</f>
        <v>1.7142857142857142</v>
      </c>
      <c r="J42" s="49">
        <f>AVERAGE('19.08 Kampala-Bukaya'!J42,'20.08 Kampala-Bukaya'!J42,'21.08 Kampala-Bukaya'!J42,'22.08 Kampala-Bukaya'!J42,'23.08 Kampala-Bukaya-24h'!J42,'24.08 Kampala-Bukaya-24h'!J42,'25.08 Kampala-Bukaya'!J42)</f>
        <v>0</v>
      </c>
      <c r="K42" s="49">
        <f>AVERAGE('19.08 Kampala-Bukaya'!K42,'20.08 Kampala-Bukaya'!K42,'21.08 Kampala-Bukaya'!K42,'22.08 Kampala-Bukaya'!K42,'23.08 Kampala-Bukaya-24h'!K42,'24.08 Kampala-Bukaya-24h'!K42,'25.08 Kampala-Bukaya'!K42)</f>
        <v>0.14285714285714285</v>
      </c>
      <c r="L42" s="49">
        <f>AVERAGE('19.08 Kampala-Bukaya'!L42,'20.08 Kampala-Bukaya'!L42,'21.08 Kampala-Bukaya'!L42,'22.08 Kampala-Bukaya'!L42,'23.08 Kampala-Bukaya-24h'!L42,'24.08 Kampala-Bukaya-24h'!L42,'25.08 Kampala-Bukaya'!L42)</f>
        <v>0</v>
      </c>
      <c r="M42" s="49">
        <f>AVERAGE('19.08 Kampala-Bukaya'!M42,'20.08 Kampala-Bukaya'!M42,'21.08 Kampala-Bukaya'!M42,'22.08 Kampala-Bukaya'!M42,'23.08 Kampala-Bukaya-24h'!M42,'24.08 Kampala-Bukaya-24h'!M42,'25.08 Kampala-Bukaya'!M42)</f>
        <v>16.285714285714285</v>
      </c>
      <c r="N42" s="49">
        <f>AVERAGE('19.08 Kampala-Bukaya'!N42,'20.08 Kampala-Bukaya'!N42,'21.08 Kampala-Bukaya'!N42,'22.08 Kampala-Bukaya'!N42,'23.08 Kampala-Bukaya-24h'!N42,'24.08 Kampala-Bukaya-24h'!N42,'25.08 Kampala-Bukaya'!N42)</f>
        <v>0</v>
      </c>
      <c r="O42" s="15">
        <f t="shared" si="0"/>
        <v>9.2857142857142847</v>
      </c>
      <c r="P42" s="15">
        <f t="shared" si="1"/>
        <v>25.571428571428569</v>
      </c>
      <c r="R42" s="5" t="s">
        <v>160</v>
      </c>
      <c r="S42" s="48">
        <f>S41/S40</f>
        <v>1.5005500550055006</v>
      </c>
      <c r="T42" s="48" t="e">
        <f t="shared" ref="T42:AF42" si="34">T41/T40</f>
        <v>#DIV/0!</v>
      </c>
      <c r="U42" s="48">
        <f t="shared" si="34"/>
        <v>1.5005675368898979</v>
      </c>
      <c r="V42" s="48">
        <f t="shared" si="34"/>
        <v>1.4794520547945205</v>
      </c>
      <c r="W42" s="48">
        <f t="shared" si="34"/>
        <v>1.8750000000000002</v>
      </c>
      <c r="X42" s="48">
        <f t="shared" si="34"/>
        <v>2.1666666666666665</v>
      </c>
      <c r="Y42" s="48">
        <f t="shared" si="34"/>
        <v>1.6835016835016834</v>
      </c>
      <c r="Z42" s="48">
        <f t="shared" si="34"/>
        <v>2.0000000000000004</v>
      </c>
      <c r="AA42" s="48">
        <f t="shared" si="34"/>
        <v>2.1052631578947367</v>
      </c>
      <c r="AB42" s="48">
        <f t="shared" si="34"/>
        <v>1</v>
      </c>
      <c r="AC42" s="48">
        <f t="shared" si="34"/>
        <v>1.1969506444514304</v>
      </c>
      <c r="AD42" s="48">
        <f t="shared" si="34"/>
        <v>1</v>
      </c>
      <c r="AE42" s="53">
        <f t="shared" si="34"/>
        <v>1.5522197381028424</v>
      </c>
      <c r="AF42" s="53">
        <f t="shared" si="34"/>
        <v>1.4463555322496067</v>
      </c>
    </row>
    <row r="43" spans="2:32" ht="23.1" customHeight="1" x14ac:dyDescent="0.25">
      <c r="B43" s="23" t="s">
        <v>70</v>
      </c>
      <c r="C43" s="49">
        <f>AVERAGE('19.08 Kampala-Bukaya'!C43,'20.08 Kampala-Bukaya'!C43,'21.08 Kampala-Bukaya'!C43,'22.08 Kampala-Bukaya'!C43,'23.08 Kampala-Bukaya-24h'!C43,'24.08 Kampala-Bukaya-24h'!C43,'25.08 Kampala-Bukaya'!C43)</f>
        <v>1.8571428571428572</v>
      </c>
      <c r="D43" s="49">
        <f>AVERAGE('19.08 Kampala-Bukaya'!D43,'20.08 Kampala-Bukaya'!D43,'21.08 Kampala-Bukaya'!D43,'22.08 Kampala-Bukaya'!D43,'23.08 Kampala-Bukaya-24h'!D43,'24.08 Kampala-Bukaya-24h'!D43,'25.08 Kampala-Bukaya'!D43)</f>
        <v>0</v>
      </c>
      <c r="E43" s="49">
        <f>AVERAGE('19.08 Kampala-Bukaya'!E43,'20.08 Kampala-Bukaya'!E43,'21.08 Kampala-Bukaya'!E43,'22.08 Kampala-Bukaya'!E43,'23.08 Kampala-Bukaya-24h'!E43,'24.08 Kampala-Bukaya-24h'!E43,'25.08 Kampala-Bukaya'!E43)</f>
        <v>2.4285714285714284</v>
      </c>
      <c r="F43" s="49">
        <f>AVERAGE('19.08 Kampala-Bukaya'!F43,'20.08 Kampala-Bukaya'!F43,'21.08 Kampala-Bukaya'!F43,'22.08 Kampala-Bukaya'!F43,'23.08 Kampala-Bukaya-24h'!F43,'24.08 Kampala-Bukaya-24h'!F43,'25.08 Kampala-Bukaya'!F43)</f>
        <v>1.4285714285714286</v>
      </c>
      <c r="G43" s="49">
        <f>AVERAGE('19.08 Kampala-Bukaya'!G43,'20.08 Kampala-Bukaya'!G43,'21.08 Kampala-Bukaya'!G43,'22.08 Kampala-Bukaya'!G43,'23.08 Kampala-Bukaya-24h'!G43,'24.08 Kampala-Bukaya-24h'!G43,'25.08 Kampala-Bukaya'!G43)</f>
        <v>0</v>
      </c>
      <c r="H43" s="49">
        <f>AVERAGE('19.08 Kampala-Bukaya'!H43,'20.08 Kampala-Bukaya'!H43,'21.08 Kampala-Bukaya'!H43,'22.08 Kampala-Bukaya'!H43,'23.08 Kampala-Bukaya-24h'!H43,'24.08 Kampala-Bukaya-24h'!H43,'25.08 Kampala-Bukaya'!H43)</f>
        <v>0</v>
      </c>
      <c r="I43" s="49">
        <f>AVERAGE('19.08 Kampala-Bukaya'!I43,'20.08 Kampala-Bukaya'!I43,'21.08 Kampala-Bukaya'!I43,'22.08 Kampala-Bukaya'!I43,'23.08 Kampala-Bukaya-24h'!I43,'24.08 Kampala-Bukaya-24h'!I43,'25.08 Kampala-Bukaya'!I43)</f>
        <v>2.5714285714285716</v>
      </c>
      <c r="J43" s="49">
        <f>AVERAGE('19.08 Kampala-Bukaya'!J43,'20.08 Kampala-Bukaya'!J43,'21.08 Kampala-Bukaya'!J43,'22.08 Kampala-Bukaya'!J43,'23.08 Kampala-Bukaya-24h'!J43,'24.08 Kampala-Bukaya-24h'!J43,'25.08 Kampala-Bukaya'!J43)</f>
        <v>0</v>
      </c>
      <c r="K43" s="49">
        <f>AVERAGE('19.08 Kampala-Bukaya'!K43,'20.08 Kampala-Bukaya'!K43,'21.08 Kampala-Bukaya'!K43,'22.08 Kampala-Bukaya'!K43,'23.08 Kampala-Bukaya-24h'!K43,'24.08 Kampala-Bukaya-24h'!K43,'25.08 Kampala-Bukaya'!K43)</f>
        <v>0</v>
      </c>
      <c r="L43" s="49">
        <f>AVERAGE('19.08 Kampala-Bukaya'!L43,'20.08 Kampala-Bukaya'!L43,'21.08 Kampala-Bukaya'!L43,'22.08 Kampala-Bukaya'!L43,'23.08 Kampala-Bukaya-24h'!L43,'24.08 Kampala-Bukaya-24h'!L43,'25.08 Kampala-Bukaya'!L43)</f>
        <v>0.14285714285714285</v>
      </c>
      <c r="M43" s="49">
        <f>AVERAGE('19.08 Kampala-Bukaya'!M43,'20.08 Kampala-Bukaya'!M43,'21.08 Kampala-Bukaya'!M43,'22.08 Kampala-Bukaya'!M43,'23.08 Kampala-Bukaya-24h'!M43,'24.08 Kampala-Bukaya-24h'!M43,'25.08 Kampala-Bukaya'!M43)</f>
        <v>19.428571428571427</v>
      </c>
      <c r="N43" s="49">
        <f>AVERAGE('19.08 Kampala-Bukaya'!N43,'20.08 Kampala-Bukaya'!N43,'21.08 Kampala-Bukaya'!N43,'22.08 Kampala-Bukaya'!N43,'23.08 Kampala-Bukaya-24h'!N43,'24.08 Kampala-Bukaya-24h'!N43,'25.08 Kampala-Bukaya'!N43)</f>
        <v>0</v>
      </c>
      <c r="O43" s="15">
        <f t="shared" si="0"/>
        <v>8.4285714285714288</v>
      </c>
      <c r="P43" s="15">
        <f t="shared" si="1"/>
        <v>27.857142857142854</v>
      </c>
    </row>
    <row r="44" spans="2:32" ht="23.1" customHeight="1" x14ac:dyDescent="0.25">
      <c r="B44" s="25" t="s">
        <v>71</v>
      </c>
      <c r="C44" s="49">
        <f>AVERAGE('19.08 Kampala-Bukaya'!C44,'20.08 Kampala-Bukaya'!C44,'21.08 Kampala-Bukaya'!C44,'22.08 Kampala-Bukaya'!C44,'23.08 Kampala-Bukaya-24h'!C44,'24.08 Kampala-Bukaya-24h'!C44,'25.08 Kampala-Bukaya'!C44)</f>
        <v>2.5714285714285716</v>
      </c>
      <c r="D44" s="49">
        <f>AVERAGE('19.08 Kampala-Bukaya'!D44,'20.08 Kampala-Bukaya'!D44,'21.08 Kampala-Bukaya'!D44,'22.08 Kampala-Bukaya'!D44,'23.08 Kampala-Bukaya-24h'!D44,'24.08 Kampala-Bukaya-24h'!D44,'25.08 Kampala-Bukaya'!D44)</f>
        <v>0</v>
      </c>
      <c r="E44" s="49">
        <f>AVERAGE('19.08 Kampala-Bukaya'!E44,'20.08 Kampala-Bukaya'!E44,'21.08 Kampala-Bukaya'!E44,'22.08 Kampala-Bukaya'!E44,'23.08 Kampala-Bukaya-24h'!E44,'24.08 Kampala-Bukaya-24h'!E44,'25.08 Kampala-Bukaya'!E44)</f>
        <v>2.4285714285714284</v>
      </c>
      <c r="F44" s="49">
        <f>AVERAGE('19.08 Kampala-Bukaya'!F44,'20.08 Kampala-Bukaya'!F44,'21.08 Kampala-Bukaya'!F44,'22.08 Kampala-Bukaya'!F44,'23.08 Kampala-Bukaya-24h'!F44,'24.08 Kampala-Bukaya-24h'!F44,'25.08 Kampala-Bukaya'!F44)</f>
        <v>2.5714285714285716</v>
      </c>
      <c r="G44" s="49">
        <f>AVERAGE('19.08 Kampala-Bukaya'!G44,'20.08 Kampala-Bukaya'!G44,'21.08 Kampala-Bukaya'!G44,'22.08 Kampala-Bukaya'!G44,'23.08 Kampala-Bukaya-24h'!G44,'24.08 Kampala-Bukaya-24h'!G44,'25.08 Kampala-Bukaya'!G44)</f>
        <v>0</v>
      </c>
      <c r="H44" s="49">
        <f>AVERAGE('19.08 Kampala-Bukaya'!H44,'20.08 Kampala-Bukaya'!H44,'21.08 Kampala-Bukaya'!H44,'22.08 Kampala-Bukaya'!H44,'23.08 Kampala-Bukaya-24h'!H44,'24.08 Kampala-Bukaya-24h'!H44,'25.08 Kampala-Bukaya'!H44)</f>
        <v>0</v>
      </c>
      <c r="I44" s="49">
        <f>AVERAGE('19.08 Kampala-Bukaya'!I44,'20.08 Kampala-Bukaya'!I44,'21.08 Kampala-Bukaya'!I44,'22.08 Kampala-Bukaya'!I44,'23.08 Kampala-Bukaya-24h'!I44,'24.08 Kampala-Bukaya-24h'!I44,'25.08 Kampala-Bukaya'!I44)</f>
        <v>2.4285714285714284</v>
      </c>
      <c r="J44" s="49">
        <f>AVERAGE('19.08 Kampala-Bukaya'!J44,'20.08 Kampala-Bukaya'!J44,'21.08 Kampala-Bukaya'!J44,'22.08 Kampala-Bukaya'!J44,'23.08 Kampala-Bukaya-24h'!J44,'24.08 Kampala-Bukaya-24h'!J44,'25.08 Kampala-Bukaya'!J44)</f>
        <v>0.14285714285714285</v>
      </c>
      <c r="K44" s="49">
        <f>AVERAGE('19.08 Kampala-Bukaya'!K44,'20.08 Kampala-Bukaya'!K44,'21.08 Kampala-Bukaya'!K44,'22.08 Kampala-Bukaya'!K44,'23.08 Kampala-Bukaya-24h'!K44,'24.08 Kampala-Bukaya-24h'!K44,'25.08 Kampala-Bukaya'!K44)</f>
        <v>0</v>
      </c>
      <c r="L44" s="49">
        <f>AVERAGE('19.08 Kampala-Bukaya'!L44,'20.08 Kampala-Bukaya'!L44,'21.08 Kampala-Bukaya'!L44,'22.08 Kampala-Bukaya'!L44,'23.08 Kampala-Bukaya-24h'!L44,'24.08 Kampala-Bukaya-24h'!L44,'25.08 Kampala-Bukaya'!L44)</f>
        <v>0</v>
      </c>
      <c r="M44" s="49">
        <f>AVERAGE('19.08 Kampala-Bukaya'!M44,'20.08 Kampala-Bukaya'!M44,'21.08 Kampala-Bukaya'!M44,'22.08 Kampala-Bukaya'!M44,'23.08 Kampala-Bukaya-24h'!M44,'24.08 Kampala-Bukaya-24h'!M44,'25.08 Kampala-Bukaya'!M44)</f>
        <v>18.285714285714285</v>
      </c>
      <c r="N44" s="49">
        <f>AVERAGE('19.08 Kampala-Bukaya'!N44,'20.08 Kampala-Bukaya'!N44,'21.08 Kampala-Bukaya'!N44,'22.08 Kampala-Bukaya'!N44,'23.08 Kampala-Bukaya-24h'!N44,'24.08 Kampala-Bukaya-24h'!N44,'25.08 Kampala-Bukaya'!N44)</f>
        <v>0</v>
      </c>
      <c r="O44" s="15">
        <f t="shared" si="0"/>
        <v>10.142857142857142</v>
      </c>
      <c r="P44" s="15">
        <f t="shared" si="1"/>
        <v>28.428571428571427</v>
      </c>
    </row>
    <row r="45" spans="2:32" ht="23.1" customHeight="1" x14ac:dyDescent="0.25">
      <c r="B45" s="23" t="s">
        <v>72</v>
      </c>
      <c r="C45" s="49">
        <f>AVERAGE('19.08 Kampala-Bukaya'!C45,'20.08 Kampala-Bukaya'!C45,'21.08 Kampala-Bukaya'!C45,'22.08 Kampala-Bukaya'!C45,'23.08 Kampala-Bukaya-24h'!C45,'24.08 Kampala-Bukaya-24h'!C45,'25.08 Kampala-Bukaya'!C45)</f>
        <v>3.1428571428571428</v>
      </c>
      <c r="D45" s="49">
        <f>AVERAGE('19.08 Kampala-Bukaya'!D45,'20.08 Kampala-Bukaya'!D45,'21.08 Kampala-Bukaya'!D45,'22.08 Kampala-Bukaya'!D45,'23.08 Kampala-Bukaya-24h'!D45,'24.08 Kampala-Bukaya-24h'!D45,'25.08 Kampala-Bukaya'!D45)</f>
        <v>0</v>
      </c>
      <c r="E45" s="49">
        <f>AVERAGE('19.08 Kampala-Bukaya'!E45,'20.08 Kampala-Bukaya'!E45,'21.08 Kampala-Bukaya'!E45,'22.08 Kampala-Bukaya'!E45,'23.08 Kampala-Bukaya-24h'!E45,'24.08 Kampala-Bukaya-24h'!E45,'25.08 Kampala-Bukaya'!E45)</f>
        <v>2.5714285714285716</v>
      </c>
      <c r="F45" s="49">
        <f>AVERAGE('19.08 Kampala-Bukaya'!F45,'20.08 Kampala-Bukaya'!F45,'21.08 Kampala-Bukaya'!F45,'22.08 Kampala-Bukaya'!F45,'23.08 Kampala-Bukaya-24h'!F45,'24.08 Kampala-Bukaya-24h'!F45,'25.08 Kampala-Bukaya'!F45)</f>
        <v>2.5714285714285716</v>
      </c>
      <c r="G45" s="49">
        <f>AVERAGE('19.08 Kampala-Bukaya'!G45,'20.08 Kampala-Bukaya'!G45,'21.08 Kampala-Bukaya'!G45,'22.08 Kampala-Bukaya'!G45,'23.08 Kampala-Bukaya-24h'!G45,'24.08 Kampala-Bukaya-24h'!G45,'25.08 Kampala-Bukaya'!G45)</f>
        <v>0</v>
      </c>
      <c r="H45" s="49">
        <f>AVERAGE('19.08 Kampala-Bukaya'!H45,'20.08 Kampala-Bukaya'!H45,'21.08 Kampala-Bukaya'!H45,'22.08 Kampala-Bukaya'!H45,'23.08 Kampala-Bukaya-24h'!H45,'24.08 Kampala-Bukaya-24h'!H45,'25.08 Kampala-Bukaya'!H45)</f>
        <v>0</v>
      </c>
      <c r="I45" s="49">
        <f>AVERAGE('19.08 Kampala-Bukaya'!I45,'20.08 Kampala-Bukaya'!I45,'21.08 Kampala-Bukaya'!I45,'22.08 Kampala-Bukaya'!I45,'23.08 Kampala-Bukaya-24h'!I45,'24.08 Kampala-Bukaya-24h'!I45,'25.08 Kampala-Bukaya'!I45)</f>
        <v>1.5714285714285714</v>
      </c>
      <c r="J45" s="49">
        <f>AVERAGE('19.08 Kampala-Bukaya'!J45,'20.08 Kampala-Bukaya'!J45,'21.08 Kampala-Bukaya'!J45,'22.08 Kampala-Bukaya'!J45,'23.08 Kampala-Bukaya-24h'!J45,'24.08 Kampala-Bukaya-24h'!J45,'25.08 Kampala-Bukaya'!J45)</f>
        <v>0.14285714285714285</v>
      </c>
      <c r="K45" s="49">
        <f>AVERAGE('19.08 Kampala-Bukaya'!K45,'20.08 Kampala-Bukaya'!K45,'21.08 Kampala-Bukaya'!K45,'22.08 Kampala-Bukaya'!K45,'23.08 Kampala-Bukaya-24h'!K45,'24.08 Kampala-Bukaya-24h'!K45,'25.08 Kampala-Bukaya'!K45)</f>
        <v>0.14285714285714285</v>
      </c>
      <c r="L45" s="49">
        <f>AVERAGE('19.08 Kampala-Bukaya'!L45,'20.08 Kampala-Bukaya'!L45,'21.08 Kampala-Bukaya'!L45,'22.08 Kampala-Bukaya'!L45,'23.08 Kampala-Bukaya-24h'!L45,'24.08 Kampala-Bukaya-24h'!L45,'25.08 Kampala-Bukaya'!L45)</f>
        <v>0</v>
      </c>
      <c r="M45" s="49">
        <f>AVERAGE('19.08 Kampala-Bukaya'!M45,'20.08 Kampala-Bukaya'!M45,'21.08 Kampala-Bukaya'!M45,'22.08 Kampala-Bukaya'!M45,'23.08 Kampala-Bukaya-24h'!M45,'24.08 Kampala-Bukaya-24h'!M45,'25.08 Kampala-Bukaya'!M45)</f>
        <v>20.428571428571427</v>
      </c>
      <c r="N45" s="49">
        <f>AVERAGE('19.08 Kampala-Bukaya'!N45,'20.08 Kampala-Bukaya'!N45,'21.08 Kampala-Bukaya'!N45,'22.08 Kampala-Bukaya'!N45,'23.08 Kampala-Bukaya-24h'!N45,'24.08 Kampala-Bukaya-24h'!N45,'25.08 Kampala-Bukaya'!N45)</f>
        <v>0</v>
      </c>
      <c r="O45" s="15">
        <f t="shared" si="0"/>
        <v>10.142857142857142</v>
      </c>
      <c r="P45" s="15">
        <f t="shared" si="1"/>
        <v>30.571428571428569</v>
      </c>
    </row>
    <row r="46" spans="2:32" ht="23.1" customHeight="1" x14ac:dyDescent="0.25">
      <c r="B46" s="24" t="s">
        <v>73</v>
      </c>
      <c r="C46" s="49">
        <f>AVERAGE('19.08 Kampala-Bukaya'!C46,'20.08 Kampala-Bukaya'!C46,'21.08 Kampala-Bukaya'!C46,'22.08 Kampala-Bukaya'!C46,'23.08 Kampala-Bukaya-24h'!C46,'24.08 Kampala-Bukaya-24h'!C46,'25.08 Kampala-Bukaya'!C46)</f>
        <v>3.1428571428571428</v>
      </c>
      <c r="D46" s="49">
        <f>AVERAGE('19.08 Kampala-Bukaya'!D46,'20.08 Kampala-Bukaya'!D46,'21.08 Kampala-Bukaya'!D46,'22.08 Kampala-Bukaya'!D46,'23.08 Kampala-Bukaya-24h'!D46,'24.08 Kampala-Bukaya-24h'!D46,'25.08 Kampala-Bukaya'!D46)</f>
        <v>0</v>
      </c>
      <c r="E46" s="49">
        <f>AVERAGE('19.08 Kampala-Bukaya'!E46,'20.08 Kampala-Bukaya'!E46,'21.08 Kampala-Bukaya'!E46,'22.08 Kampala-Bukaya'!E46,'23.08 Kampala-Bukaya-24h'!E46,'24.08 Kampala-Bukaya-24h'!E46,'25.08 Kampala-Bukaya'!E46)</f>
        <v>1.5714285714285714</v>
      </c>
      <c r="F46" s="49">
        <f>AVERAGE('19.08 Kampala-Bukaya'!F46,'20.08 Kampala-Bukaya'!F46,'21.08 Kampala-Bukaya'!F46,'22.08 Kampala-Bukaya'!F46,'23.08 Kampala-Bukaya-24h'!F46,'24.08 Kampala-Bukaya-24h'!F46,'25.08 Kampala-Bukaya'!F46)</f>
        <v>2</v>
      </c>
      <c r="G46" s="49">
        <f>AVERAGE('19.08 Kampala-Bukaya'!G46,'20.08 Kampala-Bukaya'!G46,'21.08 Kampala-Bukaya'!G46,'22.08 Kampala-Bukaya'!G46,'23.08 Kampala-Bukaya-24h'!G46,'24.08 Kampala-Bukaya-24h'!G46,'25.08 Kampala-Bukaya'!G46)</f>
        <v>0.14285714285714285</v>
      </c>
      <c r="H46" s="49">
        <f>AVERAGE('19.08 Kampala-Bukaya'!H46,'20.08 Kampala-Bukaya'!H46,'21.08 Kampala-Bukaya'!H46,'22.08 Kampala-Bukaya'!H46,'23.08 Kampala-Bukaya-24h'!H46,'24.08 Kampala-Bukaya-24h'!H46,'25.08 Kampala-Bukaya'!H46)</f>
        <v>0</v>
      </c>
      <c r="I46" s="49">
        <f>AVERAGE('19.08 Kampala-Bukaya'!I46,'20.08 Kampala-Bukaya'!I46,'21.08 Kampala-Bukaya'!I46,'22.08 Kampala-Bukaya'!I46,'23.08 Kampala-Bukaya-24h'!I46,'24.08 Kampala-Bukaya-24h'!I46,'25.08 Kampala-Bukaya'!I46)</f>
        <v>2.4285714285714284</v>
      </c>
      <c r="J46" s="49">
        <f>AVERAGE('19.08 Kampala-Bukaya'!J46,'20.08 Kampala-Bukaya'!J46,'21.08 Kampala-Bukaya'!J46,'22.08 Kampala-Bukaya'!J46,'23.08 Kampala-Bukaya-24h'!J46,'24.08 Kampala-Bukaya-24h'!J46,'25.08 Kampala-Bukaya'!J46)</f>
        <v>0</v>
      </c>
      <c r="K46" s="49">
        <f>AVERAGE('19.08 Kampala-Bukaya'!K46,'20.08 Kampala-Bukaya'!K46,'21.08 Kampala-Bukaya'!K46,'22.08 Kampala-Bukaya'!K46,'23.08 Kampala-Bukaya-24h'!K46,'24.08 Kampala-Bukaya-24h'!K46,'25.08 Kampala-Bukaya'!K46)</f>
        <v>0.2857142857142857</v>
      </c>
      <c r="L46" s="49">
        <f>AVERAGE('19.08 Kampala-Bukaya'!L46,'20.08 Kampala-Bukaya'!L46,'21.08 Kampala-Bukaya'!L46,'22.08 Kampala-Bukaya'!L46,'23.08 Kampala-Bukaya-24h'!L46,'24.08 Kampala-Bukaya-24h'!L46,'25.08 Kampala-Bukaya'!L46)</f>
        <v>0</v>
      </c>
      <c r="M46" s="49">
        <f>AVERAGE('19.08 Kampala-Bukaya'!M46,'20.08 Kampala-Bukaya'!M46,'21.08 Kampala-Bukaya'!M46,'22.08 Kampala-Bukaya'!M46,'23.08 Kampala-Bukaya-24h'!M46,'24.08 Kampala-Bukaya-24h'!M46,'25.08 Kampala-Bukaya'!M46)</f>
        <v>22.571428571428573</v>
      </c>
      <c r="N46" s="49">
        <f>AVERAGE('19.08 Kampala-Bukaya'!N46,'20.08 Kampala-Bukaya'!N46,'21.08 Kampala-Bukaya'!N46,'22.08 Kampala-Bukaya'!N46,'23.08 Kampala-Bukaya-24h'!N46,'24.08 Kampala-Bukaya-24h'!N46,'25.08 Kampala-Bukaya'!N46)</f>
        <v>0</v>
      </c>
      <c r="O46" s="15">
        <f t="shared" si="0"/>
        <v>9.571428571428573</v>
      </c>
      <c r="P46" s="15">
        <f t="shared" si="1"/>
        <v>32.142857142857146</v>
      </c>
      <c r="R46" s="8"/>
      <c r="T46"/>
    </row>
    <row r="47" spans="2:32" ht="23.1" customHeight="1" x14ac:dyDescent="0.25">
      <c r="B47" s="24" t="s">
        <v>74</v>
      </c>
      <c r="C47" s="49">
        <f>AVERAGE('19.08 Kampala-Bukaya'!C47,'20.08 Kampala-Bukaya'!C47,'21.08 Kampala-Bukaya'!C47,'22.08 Kampala-Bukaya'!C47,'23.08 Kampala-Bukaya-24h'!C47,'24.08 Kampala-Bukaya-24h'!C47,'25.08 Kampala-Bukaya'!C47)</f>
        <v>2.4285714285714284</v>
      </c>
      <c r="D47" s="49">
        <f>AVERAGE('19.08 Kampala-Bukaya'!D47,'20.08 Kampala-Bukaya'!D47,'21.08 Kampala-Bukaya'!D47,'22.08 Kampala-Bukaya'!D47,'23.08 Kampala-Bukaya-24h'!D47,'24.08 Kampala-Bukaya-24h'!D47,'25.08 Kampala-Bukaya'!D47)</f>
        <v>0</v>
      </c>
      <c r="E47" s="49">
        <f>AVERAGE('19.08 Kampala-Bukaya'!E47,'20.08 Kampala-Bukaya'!E47,'21.08 Kampala-Bukaya'!E47,'22.08 Kampala-Bukaya'!E47,'23.08 Kampala-Bukaya-24h'!E47,'24.08 Kampala-Bukaya-24h'!E47,'25.08 Kampala-Bukaya'!E47)</f>
        <v>2.1428571428571428</v>
      </c>
      <c r="F47" s="49">
        <f>AVERAGE('19.08 Kampala-Bukaya'!F47,'20.08 Kampala-Bukaya'!F47,'21.08 Kampala-Bukaya'!F47,'22.08 Kampala-Bukaya'!F47,'23.08 Kampala-Bukaya-24h'!F47,'24.08 Kampala-Bukaya-24h'!F47,'25.08 Kampala-Bukaya'!F47)</f>
        <v>2.2857142857142856</v>
      </c>
      <c r="G47" s="49">
        <f>AVERAGE('19.08 Kampala-Bukaya'!G47,'20.08 Kampala-Bukaya'!G47,'21.08 Kampala-Bukaya'!G47,'22.08 Kampala-Bukaya'!G47,'23.08 Kampala-Bukaya-24h'!G47,'24.08 Kampala-Bukaya-24h'!G47,'25.08 Kampala-Bukaya'!G47)</f>
        <v>0</v>
      </c>
      <c r="H47" s="49">
        <f>AVERAGE('19.08 Kampala-Bukaya'!H47,'20.08 Kampala-Bukaya'!H47,'21.08 Kampala-Bukaya'!H47,'22.08 Kampala-Bukaya'!H47,'23.08 Kampala-Bukaya-24h'!H47,'24.08 Kampala-Bukaya-24h'!H47,'25.08 Kampala-Bukaya'!H47)</f>
        <v>0</v>
      </c>
      <c r="I47" s="49">
        <f>AVERAGE('19.08 Kampala-Bukaya'!I47,'20.08 Kampala-Bukaya'!I47,'21.08 Kampala-Bukaya'!I47,'22.08 Kampala-Bukaya'!I47,'23.08 Kampala-Bukaya-24h'!I47,'24.08 Kampala-Bukaya-24h'!I47,'25.08 Kampala-Bukaya'!I47)</f>
        <v>2</v>
      </c>
      <c r="J47" s="49">
        <f>AVERAGE('19.08 Kampala-Bukaya'!J47,'20.08 Kampala-Bukaya'!J47,'21.08 Kampala-Bukaya'!J47,'22.08 Kampala-Bukaya'!J47,'23.08 Kampala-Bukaya-24h'!J47,'24.08 Kampala-Bukaya-24h'!J47,'25.08 Kampala-Bukaya'!J47)</f>
        <v>0</v>
      </c>
      <c r="K47" s="49">
        <f>AVERAGE('19.08 Kampala-Bukaya'!K47,'20.08 Kampala-Bukaya'!K47,'21.08 Kampala-Bukaya'!K47,'22.08 Kampala-Bukaya'!K47,'23.08 Kampala-Bukaya-24h'!K47,'24.08 Kampala-Bukaya-24h'!K47,'25.08 Kampala-Bukaya'!K47)</f>
        <v>0.42857142857142855</v>
      </c>
      <c r="L47" s="49">
        <f>AVERAGE('19.08 Kampala-Bukaya'!L47,'20.08 Kampala-Bukaya'!L47,'21.08 Kampala-Bukaya'!L47,'22.08 Kampala-Bukaya'!L47,'23.08 Kampala-Bukaya-24h'!L47,'24.08 Kampala-Bukaya-24h'!L47,'25.08 Kampala-Bukaya'!L47)</f>
        <v>0</v>
      </c>
      <c r="M47" s="49">
        <f>AVERAGE('19.08 Kampala-Bukaya'!M47,'20.08 Kampala-Bukaya'!M47,'21.08 Kampala-Bukaya'!M47,'22.08 Kampala-Bukaya'!M47,'23.08 Kampala-Bukaya-24h'!M47,'24.08 Kampala-Bukaya-24h'!M47,'25.08 Kampala-Bukaya'!M47)</f>
        <v>22.428571428571427</v>
      </c>
      <c r="N47" s="49">
        <f>AVERAGE('19.08 Kampala-Bukaya'!N47,'20.08 Kampala-Bukaya'!N47,'21.08 Kampala-Bukaya'!N47,'22.08 Kampala-Bukaya'!N47,'23.08 Kampala-Bukaya-24h'!N47,'24.08 Kampala-Bukaya-24h'!N47,'25.08 Kampala-Bukaya'!N47)</f>
        <v>0</v>
      </c>
      <c r="O47" s="15">
        <f t="shared" si="0"/>
        <v>9.2857142857142865</v>
      </c>
      <c r="P47" s="15">
        <f t="shared" si="1"/>
        <v>31.714285714285715</v>
      </c>
      <c r="R47" s="8"/>
      <c r="T47"/>
    </row>
    <row r="48" spans="2:32" ht="23.1" customHeight="1" x14ac:dyDescent="0.25">
      <c r="B48" s="24" t="s">
        <v>75</v>
      </c>
      <c r="C48" s="49">
        <f>AVERAGE('19.08 Kampala-Bukaya'!C48,'20.08 Kampala-Bukaya'!C48,'21.08 Kampala-Bukaya'!C48,'22.08 Kampala-Bukaya'!C48,'23.08 Kampala-Bukaya-24h'!C48,'24.08 Kampala-Bukaya-24h'!C48,'25.08 Kampala-Bukaya'!C48)</f>
        <v>2.5714285714285716</v>
      </c>
      <c r="D48" s="49">
        <f>AVERAGE('19.08 Kampala-Bukaya'!D48,'20.08 Kampala-Bukaya'!D48,'21.08 Kampala-Bukaya'!D48,'22.08 Kampala-Bukaya'!D48,'23.08 Kampala-Bukaya-24h'!D48,'24.08 Kampala-Bukaya-24h'!D48,'25.08 Kampala-Bukaya'!D48)</f>
        <v>0</v>
      </c>
      <c r="E48" s="49">
        <f>AVERAGE('19.08 Kampala-Bukaya'!E48,'20.08 Kampala-Bukaya'!E48,'21.08 Kampala-Bukaya'!E48,'22.08 Kampala-Bukaya'!E48,'23.08 Kampala-Bukaya-24h'!E48,'24.08 Kampala-Bukaya-24h'!E48,'25.08 Kampala-Bukaya'!E48)</f>
        <v>1.5714285714285714</v>
      </c>
      <c r="F48" s="49">
        <f>AVERAGE('19.08 Kampala-Bukaya'!F48,'20.08 Kampala-Bukaya'!F48,'21.08 Kampala-Bukaya'!F48,'22.08 Kampala-Bukaya'!F48,'23.08 Kampala-Bukaya-24h'!F48,'24.08 Kampala-Bukaya-24h'!F48,'25.08 Kampala-Bukaya'!F48)</f>
        <v>2.8571428571428572</v>
      </c>
      <c r="G48" s="49">
        <f>AVERAGE('19.08 Kampala-Bukaya'!G48,'20.08 Kampala-Bukaya'!G48,'21.08 Kampala-Bukaya'!G48,'22.08 Kampala-Bukaya'!G48,'23.08 Kampala-Bukaya-24h'!G48,'24.08 Kampala-Bukaya-24h'!G48,'25.08 Kampala-Bukaya'!G48)</f>
        <v>0</v>
      </c>
      <c r="H48" s="49">
        <f>AVERAGE('19.08 Kampala-Bukaya'!H48,'20.08 Kampala-Bukaya'!H48,'21.08 Kampala-Bukaya'!H48,'22.08 Kampala-Bukaya'!H48,'23.08 Kampala-Bukaya-24h'!H48,'24.08 Kampala-Bukaya-24h'!H48,'25.08 Kampala-Bukaya'!H48)</f>
        <v>0</v>
      </c>
      <c r="I48" s="49">
        <f>AVERAGE('19.08 Kampala-Bukaya'!I48,'20.08 Kampala-Bukaya'!I48,'21.08 Kampala-Bukaya'!I48,'22.08 Kampala-Bukaya'!I48,'23.08 Kampala-Bukaya-24h'!I48,'24.08 Kampala-Bukaya-24h'!I48,'25.08 Kampala-Bukaya'!I48)</f>
        <v>3</v>
      </c>
      <c r="J48" s="49">
        <f>AVERAGE('19.08 Kampala-Bukaya'!J48,'20.08 Kampala-Bukaya'!J48,'21.08 Kampala-Bukaya'!J48,'22.08 Kampala-Bukaya'!J48,'23.08 Kampala-Bukaya-24h'!J48,'24.08 Kampala-Bukaya-24h'!J48,'25.08 Kampala-Bukaya'!J48)</f>
        <v>0.14285714285714285</v>
      </c>
      <c r="K48" s="49">
        <f>AVERAGE('19.08 Kampala-Bukaya'!K48,'20.08 Kampala-Bukaya'!K48,'21.08 Kampala-Bukaya'!K48,'22.08 Kampala-Bukaya'!K48,'23.08 Kampala-Bukaya-24h'!K48,'24.08 Kampala-Bukaya-24h'!K48,'25.08 Kampala-Bukaya'!K48)</f>
        <v>0</v>
      </c>
      <c r="L48" s="49">
        <f>AVERAGE('19.08 Kampala-Bukaya'!L48,'20.08 Kampala-Bukaya'!L48,'21.08 Kampala-Bukaya'!L48,'22.08 Kampala-Bukaya'!L48,'23.08 Kampala-Bukaya-24h'!L48,'24.08 Kampala-Bukaya-24h'!L48,'25.08 Kampala-Bukaya'!L48)</f>
        <v>0</v>
      </c>
      <c r="M48" s="49">
        <f>AVERAGE('19.08 Kampala-Bukaya'!M48,'20.08 Kampala-Bukaya'!M48,'21.08 Kampala-Bukaya'!M48,'22.08 Kampala-Bukaya'!M48,'23.08 Kampala-Bukaya-24h'!M48,'24.08 Kampala-Bukaya-24h'!M48,'25.08 Kampala-Bukaya'!M48)</f>
        <v>21</v>
      </c>
      <c r="N48" s="49">
        <f>AVERAGE('19.08 Kampala-Bukaya'!N48,'20.08 Kampala-Bukaya'!N48,'21.08 Kampala-Bukaya'!N48,'22.08 Kampala-Bukaya'!N48,'23.08 Kampala-Bukaya-24h'!N48,'24.08 Kampala-Bukaya-24h'!N48,'25.08 Kampala-Bukaya'!N48)</f>
        <v>0</v>
      </c>
      <c r="O48" s="15">
        <f t="shared" si="0"/>
        <v>10.142857142857142</v>
      </c>
      <c r="P48" s="15">
        <f t="shared" si="1"/>
        <v>31.142857142857142</v>
      </c>
      <c r="R48" s="8"/>
      <c r="T48"/>
    </row>
    <row r="49" spans="2:20" ht="23.1" customHeight="1" x14ac:dyDescent="0.25">
      <c r="B49" s="23" t="s">
        <v>76</v>
      </c>
      <c r="C49" s="49">
        <f>AVERAGE('19.08 Kampala-Bukaya'!C49,'20.08 Kampala-Bukaya'!C49,'21.08 Kampala-Bukaya'!C49,'22.08 Kampala-Bukaya'!C49,'23.08 Kampala-Bukaya-24h'!C49,'24.08 Kampala-Bukaya-24h'!C49,'25.08 Kampala-Bukaya'!C49)</f>
        <v>1.5714285714285714</v>
      </c>
      <c r="D49" s="49">
        <f>AVERAGE('19.08 Kampala-Bukaya'!D49,'20.08 Kampala-Bukaya'!D49,'21.08 Kampala-Bukaya'!D49,'22.08 Kampala-Bukaya'!D49,'23.08 Kampala-Bukaya-24h'!D49,'24.08 Kampala-Bukaya-24h'!D49,'25.08 Kampala-Bukaya'!D49)</f>
        <v>0</v>
      </c>
      <c r="E49" s="49">
        <f>AVERAGE('19.08 Kampala-Bukaya'!E49,'20.08 Kampala-Bukaya'!E49,'21.08 Kampala-Bukaya'!E49,'22.08 Kampala-Bukaya'!E49,'23.08 Kampala-Bukaya-24h'!E49,'24.08 Kampala-Bukaya-24h'!E49,'25.08 Kampala-Bukaya'!E49)</f>
        <v>1.7142857142857142</v>
      </c>
      <c r="F49" s="49">
        <f>AVERAGE('19.08 Kampala-Bukaya'!F49,'20.08 Kampala-Bukaya'!F49,'21.08 Kampala-Bukaya'!F49,'22.08 Kampala-Bukaya'!F49,'23.08 Kampala-Bukaya-24h'!F49,'24.08 Kampala-Bukaya-24h'!F49,'25.08 Kampala-Bukaya'!F49)</f>
        <v>1.4285714285714286</v>
      </c>
      <c r="G49" s="49">
        <f>AVERAGE('19.08 Kampala-Bukaya'!G49,'20.08 Kampala-Bukaya'!G49,'21.08 Kampala-Bukaya'!G49,'22.08 Kampala-Bukaya'!G49,'23.08 Kampala-Bukaya-24h'!G49,'24.08 Kampala-Bukaya-24h'!G49,'25.08 Kampala-Bukaya'!G49)</f>
        <v>0</v>
      </c>
      <c r="H49" s="49">
        <f>AVERAGE('19.08 Kampala-Bukaya'!H49,'20.08 Kampala-Bukaya'!H49,'21.08 Kampala-Bukaya'!H49,'22.08 Kampala-Bukaya'!H49,'23.08 Kampala-Bukaya-24h'!H49,'24.08 Kampala-Bukaya-24h'!H49,'25.08 Kampala-Bukaya'!H49)</f>
        <v>0</v>
      </c>
      <c r="I49" s="49">
        <f>AVERAGE('19.08 Kampala-Bukaya'!I49,'20.08 Kampala-Bukaya'!I49,'21.08 Kampala-Bukaya'!I49,'22.08 Kampala-Bukaya'!I49,'23.08 Kampala-Bukaya-24h'!I49,'24.08 Kampala-Bukaya-24h'!I49,'25.08 Kampala-Bukaya'!I49)</f>
        <v>1.4285714285714286</v>
      </c>
      <c r="J49" s="49">
        <f>AVERAGE('19.08 Kampala-Bukaya'!J49,'20.08 Kampala-Bukaya'!J49,'21.08 Kampala-Bukaya'!J49,'22.08 Kampala-Bukaya'!J49,'23.08 Kampala-Bukaya-24h'!J49,'24.08 Kampala-Bukaya-24h'!J49,'25.08 Kampala-Bukaya'!J49)</f>
        <v>0</v>
      </c>
      <c r="K49" s="49">
        <f>AVERAGE('19.08 Kampala-Bukaya'!K49,'20.08 Kampala-Bukaya'!K49,'21.08 Kampala-Bukaya'!K49,'22.08 Kampala-Bukaya'!K49,'23.08 Kampala-Bukaya-24h'!K49,'24.08 Kampala-Bukaya-24h'!K49,'25.08 Kampala-Bukaya'!K49)</f>
        <v>0.14285714285714285</v>
      </c>
      <c r="L49" s="49">
        <f>AVERAGE('19.08 Kampala-Bukaya'!L49,'20.08 Kampala-Bukaya'!L49,'21.08 Kampala-Bukaya'!L49,'22.08 Kampala-Bukaya'!L49,'23.08 Kampala-Bukaya-24h'!L49,'24.08 Kampala-Bukaya-24h'!L49,'25.08 Kampala-Bukaya'!L49)</f>
        <v>0</v>
      </c>
      <c r="M49" s="49">
        <f>AVERAGE('19.08 Kampala-Bukaya'!M49,'20.08 Kampala-Bukaya'!M49,'21.08 Kampala-Bukaya'!M49,'22.08 Kampala-Bukaya'!M49,'23.08 Kampala-Bukaya-24h'!M49,'24.08 Kampala-Bukaya-24h'!M49,'25.08 Kampala-Bukaya'!M49)</f>
        <v>22.714285714285715</v>
      </c>
      <c r="N49" s="49">
        <f>AVERAGE('19.08 Kampala-Bukaya'!N49,'20.08 Kampala-Bukaya'!N49,'21.08 Kampala-Bukaya'!N49,'22.08 Kampala-Bukaya'!N49,'23.08 Kampala-Bukaya-24h'!N49,'24.08 Kampala-Bukaya-24h'!N49,'25.08 Kampala-Bukaya'!N49)</f>
        <v>0</v>
      </c>
      <c r="O49" s="15">
        <f t="shared" si="0"/>
        <v>6.2857142857142865</v>
      </c>
      <c r="P49" s="15">
        <f t="shared" si="1"/>
        <v>29</v>
      </c>
      <c r="R49" s="8"/>
      <c r="T49"/>
    </row>
    <row r="50" spans="2:20" ht="23.1" customHeight="1" x14ac:dyDescent="0.25">
      <c r="B50" s="24" t="s">
        <v>77</v>
      </c>
      <c r="C50" s="49">
        <f>AVERAGE('19.08 Kampala-Bukaya'!C50,'20.08 Kampala-Bukaya'!C50,'21.08 Kampala-Bukaya'!C50,'22.08 Kampala-Bukaya'!C50,'23.08 Kampala-Bukaya-24h'!C50,'24.08 Kampala-Bukaya-24h'!C50,'25.08 Kampala-Bukaya'!C50)</f>
        <v>2.4285714285714284</v>
      </c>
      <c r="D50" s="49">
        <f>AVERAGE('19.08 Kampala-Bukaya'!D50,'20.08 Kampala-Bukaya'!D50,'21.08 Kampala-Bukaya'!D50,'22.08 Kampala-Bukaya'!D50,'23.08 Kampala-Bukaya-24h'!D50,'24.08 Kampala-Bukaya-24h'!D50,'25.08 Kampala-Bukaya'!D50)</f>
        <v>0</v>
      </c>
      <c r="E50" s="49">
        <f>AVERAGE('19.08 Kampala-Bukaya'!E50,'20.08 Kampala-Bukaya'!E50,'21.08 Kampala-Bukaya'!E50,'22.08 Kampala-Bukaya'!E50,'23.08 Kampala-Bukaya-24h'!E50,'24.08 Kampala-Bukaya-24h'!E50,'25.08 Kampala-Bukaya'!E50)</f>
        <v>2.4285714285714284</v>
      </c>
      <c r="F50" s="49">
        <f>AVERAGE('19.08 Kampala-Bukaya'!F50,'20.08 Kampala-Bukaya'!F50,'21.08 Kampala-Bukaya'!F50,'22.08 Kampala-Bukaya'!F50,'23.08 Kampala-Bukaya-24h'!F50,'24.08 Kampala-Bukaya-24h'!F50,'25.08 Kampala-Bukaya'!F50)</f>
        <v>2.1428571428571428</v>
      </c>
      <c r="G50" s="49">
        <f>AVERAGE('19.08 Kampala-Bukaya'!G50,'20.08 Kampala-Bukaya'!G50,'21.08 Kampala-Bukaya'!G50,'22.08 Kampala-Bukaya'!G50,'23.08 Kampala-Bukaya-24h'!G50,'24.08 Kampala-Bukaya-24h'!G50,'25.08 Kampala-Bukaya'!G50)</f>
        <v>0.14285714285714285</v>
      </c>
      <c r="H50" s="49">
        <f>AVERAGE('19.08 Kampala-Bukaya'!H50,'20.08 Kampala-Bukaya'!H50,'21.08 Kampala-Bukaya'!H50,'22.08 Kampala-Bukaya'!H50,'23.08 Kampala-Bukaya-24h'!H50,'24.08 Kampala-Bukaya-24h'!H50,'25.08 Kampala-Bukaya'!H50)</f>
        <v>0</v>
      </c>
      <c r="I50" s="49">
        <f>AVERAGE('19.08 Kampala-Bukaya'!I50,'20.08 Kampala-Bukaya'!I50,'21.08 Kampala-Bukaya'!I50,'22.08 Kampala-Bukaya'!I50,'23.08 Kampala-Bukaya-24h'!I50,'24.08 Kampala-Bukaya-24h'!I50,'25.08 Kampala-Bukaya'!I50)</f>
        <v>1.8571428571428572</v>
      </c>
      <c r="J50" s="49">
        <f>AVERAGE('19.08 Kampala-Bukaya'!J50,'20.08 Kampala-Bukaya'!J50,'21.08 Kampala-Bukaya'!J50,'22.08 Kampala-Bukaya'!J50,'23.08 Kampala-Bukaya-24h'!J50,'24.08 Kampala-Bukaya-24h'!J50,'25.08 Kampala-Bukaya'!J50)</f>
        <v>0</v>
      </c>
      <c r="K50" s="49">
        <f>AVERAGE('19.08 Kampala-Bukaya'!K50,'20.08 Kampala-Bukaya'!K50,'21.08 Kampala-Bukaya'!K50,'22.08 Kampala-Bukaya'!K50,'23.08 Kampala-Bukaya-24h'!K50,'24.08 Kampala-Bukaya-24h'!K50,'25.08 Kampala-Bukaya'!K50)</f>
        <v>0.14285714285714285</v>
      </c>
      <c r="L50" s="49">
        <f>AVERAGE('19.08 Kampala-Bukaya'!L50,'20.08 Kampala-Bukaya'!L50,'21.08 Kampala-Bukaya'!L50,'22.08 Kampala-Bukaya'!L50,'23.08 Kampala-Bukaya-24h'!L50,'24.08 Kampala-Bukaya-24h'!L50,'25.08 Kampala-Bukaya'!L50)</f>
        <v>0</v>
      </c>
      <c r="M50" s="49">
        <f>AVERAGE('19.08 Kampala-Bukaya'!M50,'20.08 Kampala-Bukaya'!M50,'21.08 Kampala-Bukaya'!M50,'22.08 Kampala-Bukaya'!M50,'23.08 Kampala-Bukaya-24h'!M50,'24.08 Kampala-Bukaya-24h'!M50,'25.08 Kampala-Bukaya'!M50)</f>
        <v>19.142857142857142</v>
      </c>
      <c r="N50" s="49">
        <f>AVERAGE('19.08 Kampala-Bukaya'!N50,'20.08 Kampala-Bukaya'!N50,'21.08 Kampala-Bukaya'!N50,'22.08 Kampala-Bukaya'!N50,'23.08 Kampala-Bukaya-24h'!N50,'24.08 Kampala-Bukaya-24h'!N50,'25.08 Kampala-Bukaya'!N50)</f>
        <v>0</v>
      </c>
      <c r="O50" s="15">
        <f t="shared" si="0"/>
        <v>9.1428571428571423</v>
      </c>
      <c r="P50" s="15">
        <f t="shared" si="1"/>
        <v>28.285714285714285</v>
      </c>
      <c r="R50" s="8"/>
      <c r="T50"/>
    </row>
    <row r="51" spans="2:20" ht="23.1" customHeight="1" x14ac:dyDescent="0.25">
      <c r="B51" s="24" t="s">
        <v>78</v>
      </c>
      <c r="C51" s="49">
        <f>AVERAGE('19.08 Kampala-Bukaya'!C51,'20.08 Kampala-Bukaya'!C51,'21.08 Kampala-Bukaya'!C51,'22.08 Kampala-Bukaya'!C51,'23.08 Kampala-Bukaya-24h'!C51,'24.08 Kampala-Bukaya-24h'!C51,'25.08 Kampala-Bukaya'!C51)</f>
        <v>2.2857142857142856</v>
      </c>
      <c r="D51" s="49">
        <f>AVERAGE('19.08 Kampala-Bukaya'!D51,'20.08 Kampala-Bukaya'!D51,'21.08 Kampala-Bukaya'!D51,'22.08 Kampala-Bukaya'!D51,'23.08 Kampala-Bukaya-24h'!D51,'24.08 Kampala-Bukaya-24h'!D51,'25.08 Kampala-Bukaya'!D51)</f>
        <v>0</v>
      </c>
      <c r="E51" s="49">
        <f>AVERAGE('19.08 Kampala-Bukaya'!E51,'20.08 Kampala-Bukaya'!E51,'21.08 Kampala-Bukaya'!E51,'22.08 Kampala-Bukaya'!E51,'23.08 Kampala-Bukaya-24h'!E51,'24.08 Kampala-Bukaya-24h'!E51,'25.08 Kampala-Bukaya'!E51)</f>
        <v>2.1428571428571428</v>
      </c>
      <c r="F51" s="49">
        <f>AVERAGE('19.08 Kampala-Bukaya'!F51,'20.08 Kampala-Bukaya'!F51,'21.08 Kampala-Bukaya'!F51,'22.08 Kampala-Bukaya'!F51,'23.08 Kampala-Bukaya-24h'!F51,'24.08 Kampala-Bukaya-24h'!F51,'25.08 Kampala-Bukaya'!F51)</f>
        <v>2.1428571428571428</v>
      </c>
      <c r="G51" s="49">
        <f>AVERAGE('19.08 Kampala-Bukaya'!G51,'20.08 Kampala-Bukaya'!G51,'21.08 Kampala-Bukaya'!G51,'22.08 Kampala-Bukaya'!G51,'23.08 Kampala-Bukaya-24h'!G51,'24.08 Kampala-Bukaya-24h'!G51,'25.08 Kampala-Bukaya'!G51)</f>
        <v>0</v>
      </c>
      <c r="H51" s="49">
        <f>AVERAGE('19.08 Kampala-Bukaya'!H51,'20.08 Kampala-Bukaya'!H51,'21.08 Kampala-Bukaya'!H51,'22.08 Kampala-Bukaya'!H51,'23.08 Kampala-Bukaya-24h'!H51,'24.08 Kampala-Bukaya-24h'!H51,'25.08 Kampala-Bukaya'!H51)</f>
        <v>0</v>
      </c>
      <c r="I51" s="49">
        <f>AVERAGE('19.08 Kampala-Bukaya'!I51,'20.08 Kampala-Bukaya'!I51,'21.08 Kampala-Bukaya'!I51,'22.08 Kampala-Bukaya'!I51,'23.08 Kampala-Bukaya-24h'!I51,'24.08 Kampala-Bukaya-24h'!I51,'25.08 Kampala-Bukaya'!I51)</f>
        <v>1.8571428571428572</v>
      </c>
      <c r="J51" s="49">
        <f>AVERAGE('19.08 Kampala-Bukaya'!J51,'20.08 Kampala-Bukaya'!J51,'21.08 Kampala-Bukaya'!J51,'22.08 Kampala-Bukaya'!J51,'23.08 Kampala-Bukaya-24h'!J51,'24.08 Kampala-Bukaya-24h'!J51,'25.08 Kampala-Bukaya'!J51)</f>
        <v>0</v>
      </c>
      <c r="K51" s="49">
        <f>AVERAGE('19.08 Kampala-Bukaya'!K51,'20.08 Kampala-Bukaya'!K51,'21.08 Kampala-Bukaya'!K51,'22.08 Kampala-Bukaya'!K51,'23.08 Kampala-Bukaya-24h'!K51,'24.08 Kampala-Bukaya-24h'!K51,'25.08 Kampala-Bukaya'!K51)</f>
        <v>0.14285714285714285</v>
      </c>
      <c r="L51" s="49">
        <f>AVERAGE('19.08 Kampala-Bukaya'!L51,'20.08 Kampala-Bukaya'!L51,'21.08 Kampala-Bukaya'!L51,'22.08 Kampala-Bukaya'!L51,'23.08 Kampala-Bukaya-24h'!L51,'24.08 Kampala-Bukaya-24h'!L51,'25.08 Kampala-Bukaya'!L51)</f>
        <v>0.2857142857142857</v>
      </c>
      <c r="M51" s="49">
        <f>AVERAGE('19.08 Kampala-Bukaya'!M51,'20.08 Kampala-Bukaya'!M51,'21.08 Kampala-Bukaya'!M51,'22.08 Kampala-Bukaya'!M51,'23.08 Kampala-Bukaya-24h'!M51,'24.08 Kampala-Bukaya-24h'!M51,'25.08 Kampala-Bukaya'!M51)</f>
        <v>23.142857142857142</v>
      </c>
      <c r="N51" s="49">
        <f>AVERAGE('19.08 Kampala-Bukaya'!N51,'20.08 Kampala-Bukaya'!N51,'21.08 Kampala-Bukaya'!N51,'22.08 Kampala-Bukaya'!N51,'23.08 Kampala-Bukaya-24h'!N51,'24.08 Kampala-Bukaya-24h'!N51,'25.08 Kampala-Bukaya'!N51)</f>
        <v>0</v>
      </c>
      <c r="O51" s="15">
        <f t="shared" si="0"/>
        <v>8.8571428571428577</v>
      </c>
      <c r="P51" s="15">
        <f t="shared" si="1"/>
        <v>32</v>
      </c>
      <c r="R51" s="8"/>
      <c r="T51"/>
    </row>
    <row r="52" spans="2:20" ht="23.1" customHeight="1" x14ac:dyDescent="0.25">
      <c r="B52" s="24" t="s">
        <v>79</v>
      </c>
      <c r="C52" s="49">
        <f>AVERAGE('19.08 Kampala-Bukaya'!C52,'20.08 Kampala-Bukaya'!C52,'21.08 Kampala-Bukaya'!C52,'22.08 Kampala-Bukaya'!C52,'23.08 Kampala-Bukaya-24h'!C52,'24.08 Kampala-Bukaya-24h'!C52,'25.08 Kampala-Bukaya'!C52)</f>
        <v>2.8571428571428572</v>
      </c>
      <c r="D52" s="49">
        <f>AVERAGE('19.08 Kampala-Bukaya'!D52,'20.08 Kampala-Bukaya'!D52,'21.08 Kampala-Bukaya'!D52,'22.08 Kampala-Bukaya'!D52,'23.08 Kampala-Bukaya-24h'!D52,'24.08 Kampala-Bukaya-24h'!D52,'25.08 Kampala-Bukaya'!D52)</f>
        <v>0</v>
      </c>
      <c r="E52" s="49">
        <f>AVERAGE('19.08 Kampala-Bukaya'!E52,'20.08 Kampala-Bukaya'!E52,'21.08 Kampala-Bukaya'!E52,'22.08 Kampala-Bukaya'!E52,'23.08 Kampala-Bukaya-24h'!E52,'24.08 Kampala-Bukaya-24h'!E52,'25.08 Kampala-Bukaya'!E52)</f>
        <v>2.5714285714285716</v>
      </c>
      <c r="F52" s="49">
        <f>AVERAGE('19.08 Kampala-Bukaya'!F52,'20.08 Kampala-Bukaya'!F52,'21.08 Kampala-Bukaya'!F52,'22.08 Kampala-Bukaya'!F52,'23.08 Kampala-Bukaya-24h'!F52,'24.08 Kampala-Bukaya-24h'!F52,'25.08 Kampala-Bukaya'!F52)</f>
        <v>3.1428571428571428</v>
      </c>
      <c r="G52" s="49">
        <f>AVERAGE('19.08 Kampala-Bukaya'!G52,'20.08 Kampala-Bukaya'!G52,'21.08 Kampala-Bukaya'!G52,'22.08 Kampala-Bukaya'!G52,'23.08 Kampala-Bukaya-24h'!G52,'24.08 Kampala-Bukaya-24h'!G52,'25.08 Kampala-Bukaya'!G52)</f>
        <v>0</v>
      </c>
      <c r="H52" s="49">
        <f>AVERAGE('19.08 Kampala-Bukaya'!H52,'20.08 Kampala-Bukaya'!H52,'21.08 Kampala-Bukaya'!H52,'22.08 Kampala-Bukaya'!H52,'23.08 Kampala-Bukaya-24h'!H52,'24.08 Kampala-Bukaya-24h'!H52,'25.08 Kampala-Bukaya'!H52)</f>
        <v>0</v>
      </c>
      <c r="I52" s="49">
        <f>AVERAGE('19.08 Kampala-Bukaya'!I52,'20.08 Kampala-Bukaya'!I52,'21.08 Kampala-Bukaya'!I52,'22.08 Kampala-Bukaya'!I52,'23.08 Kampala-Bukaya-24h'!I52,'24.08 Kampala-Bukaya-24h'!I52,'25.08 Kampala-Bukaya'!I52)</f>
        <v>1.2857142857142858</v>
      </c>
      <c r="J52" s="49">
        <f>AVERAGE('19.08 Kampala-Bukaya'!J52,'20.08 Kampala-Bukaya'!J52,'21.08 Kampala-Bukaya'!J52,'22.08 Kampala-Bukaya'!J52,'23.08 Kampala-Bukaya-24h'!J52,'24.08 Kampala-Bukaya-24h'!J52,'25.08 Kampala-Bukaya'!J52)</f>
        <v>0</v>
      </c>
      <c r="K52" s="49">
        <f>AVERAGE('19.08 Kampala-Bukaya'!K52,'20.08 Kampala-Bukaya'!K52,'21.08 Kampala-Bukaya'!K52,'22.08 Kampala-Bukaya'!K52,'23.08 Kampala-Bukaya-24h'!K52,'24.08 Kampala-Bukaya-24h'!K52,'25.08 Kampala-Bukaya'!K52)</f>
        <v>0</v>
      </c>
      <c r="L52" s="49">
        <f>AVERAGE('19.08 Kampala-Bukaya'!L52,'20.08 Kampala-Bukaya'!L52,'21.08 Kampala-Bukaya'!L52,'22.08 Kampala-Bukaya'!L52,'23.08 Kampala-Bukaya-24h'!L52,'24.08 Kampala-Bukaya-24h'!L52,'25.08 Kampala-Bukaya'!L52)</f>
        <v>0</v>
      </c>
      <c r="M52" s="49">
        <f>AVERAGE('19.08 Kampala-Bukaya'!M52,'20.08 Kampala-Bukaya'!M52,'21.08 Kampala-Bukaya'!M52,'22.08 Kampala-Bukaya'!M52,'23.08 Kampala-Bukaya-24h'!M52,'24.08 Kampala-Bukaya-24h'!M52,'25.08 Kampala-Bukaya'!M52)</f>
        <v>22.857142857142858</v>
      </c>
      <c r="N52" s="49">
        <f>AVERAGE('19.08 Kampala-Bukaya'!N52,'20.08 Kampala-Bukaya'!N52,'21.08 Kampala-Bukaya'!N52,'22.08 Kampala-Bukaya'!N52,'23.08 Kampala-Bukaya-24h'!N52,'24.08 Kampala-Bukaya-24h'!N52,'25.08 Kampala-Bukaya'!N52)</f>
        <v>0</v>
      </c>
      <c r="O52" s="15">
        <f t="shared" si="0"/>
        <v>9.8571428571428577</v>
      </c>
      <c r="P52" s="15">
        <f t="shared" si="1"/>
        <v>32.714285714285715</v>
      </c>
      <c r="R52" s="8"/>
      <c r="T52"/>
    </row>
    <row r="53" spans="2:20" ht="23.1" customHeight="1" x14ac:dyDescent="0.25">
      <c r="B53" s="23" t="s">
        <v>80</v>
      </c>
      <c r="C53" s="49">
        <f>AVERAGE('19.08 Kampala-Bukaya'!C53,'20.08 Kampala-Bukaya'!C53,'21.08 Kampala-Bukaya'!C53,'22.08 Kampala-Bukaya'!C53,'23.08 Kampala-Bukaya-24h'!C53,'24.08 Kampala-Bukaya-24h'!C53,'25.08 Kampala-Bukaya'!C53)</f>
        <v>2</v>
      </c>
      <c r="D53" s="49">
        <f>AVERAGE('19.08 Kampala-Bukaya'!D53,'20.08 Kampala-Bukaya'!D53,'21.08 Kampala-Bukaya'!D53,'22.08 Kampala-Bukaya'!D53,'23.08 Kampala-Bukaya-24h'!D53,'24.08 Kampala-Bukaya-24h'!D53,'25.08 Kampala-Bukaya'!D53)</f>
        <v>0</v>
      </c>
      <c r="E53" s="49">
        <f>AVERAGE('19.08 Kampala-Bukaya'!E53,'20.08 Kampala-Bukaya'!E53,'21.08 Kampala-Bukaya'!E53,'22.08 Kampala-Bukaya'!E53,'23.08 Kampala-Bukaya-24h'!E53,'24.08 Kampala-Bukaya-24h'!E53,'25.08 Kampala-Bukaya'!E53)</f>
        <v>1.5714285714285714</v>
      </c>
      <c r="F53" s="49">
        <f>AVERAGE('19.08 Kampala-Bukaya'!F53,'20.08 Kampala-Bukaya'!F53,'21.08 Kampala-Bukaya'!F53,'22.08 Kampala-Bukaya'!F53,'23.08 Kampala-Bukaya-24h'!F53,'24.08 Kampala-Bukaya-24h'!F53,'25.08 Kampala-Bukaya'!F53)</f>
        <v>2.7142857142857144</v>
      </c>
      <c r="G53" s="49">
        <f>AVERAGE('19.08 Kampala-Bukaya'!G53,'20.08 Kampala-Bukaya'!G53,'21.08 Kampala-Bukaya'!G53,'22.08 Kampala-Bukaya'!G53,'23.08 Kampala-Bukaya-24h'!G53,'24.08 Kampala-Bukaya-24h'!G53,'25.08 Kampala-Bukaya'!G53)</f>
        <v>0</v>
      </c>
      <c r="H53" s="49">
        <f>AVERAGE('19.08 Kampala-Bukaya'!H53,'20.08 Kampala-Bukaya'!H53,'21.08 Kampala-Bukaya'!H53,'22.08 Kampala-Bukaya'!H53,'23.08 Kampala-Bukaya-24h'!H53,'24.08 Kampala-Bukaya-24h'!H53,'25.08 Kampala-Bukaya'!H53)</f>
        <v>0</v>
      </c>
      <c r="I53" s="49">
        <f>AVERAGE('19.08 Kampala-Bukaya'!I53,'20.08 Kampala-Bukaya'!I53,'21.08 Kampala-Bukaya'!I53,'22.08 Kampala-Bukaya'!I53,'23.08 Kampala-Bukaya-24h'!I53,'24.08 Kampala-Bukaya-24h'!I53,'25.08 Kampala-Bukaya'!I53)</f>
        <v>0.7142857142857143</v>
      </c>
      <c r="J53" s="49">
        <f>AVERAGE('19.08 Kampala-Bukaya'!J53,'20.08 Kampala-Bukaya'!J53,'21.08 Kampala-Bukaya'!J53,'22.08 Kampala-Bukaya'!J53,'23.08 Kampala-Bukaya-24h'!J53,'24.08 Kampala-Bukaya-24h'!J53,'25.08 Kampala-Bukaya'!J53)</f>
        <v>0</v>
      </c>
      <c r="K53" s="49">
        <f>AVERAGE('19.08 Kampala-Bukaya'!K53,'20.08 Kampala-Bukaya'!K53,'21.08 Kampala-Bukaya'!K53,'22.08 Kampala-Bukaya'!K53,'23.08 Kampala-Bukaya-24h'!K53,'24.08 Kampala-Bukaya-24h'!K53,'25.08 Kampala-Bukaya'!K53)</f>
        <v>0</v>
      </c>
      <c r="L53" s="49">
        <f>AVERAGE('19.08 Kampala-Bukaya'!L53,'20.08 Kampala-Bukaya'!L53,'21.08 Kampala-Bukaya'!L53,'22.08 Kampala-Bukaya'!L53,'23.08 Kampala-Bukaya-24h'!L53,'24.08 Kampala-Bukaya-24h'!L53,'25.08 Kampala-Bukaya'!L53)</f>
        <v>0</v>
      </c>
      <c r="M53" s="49">
        <f>AVERAGE('19.08 Kampala-Bukaya'!M53,'20.08 Kampala-Bukaya'!M53,'21.08 Kampala-Bukaya'!M53,'22.08 Kampala-Bukaya'!M53,'23.08 Kampala-Bukaya-24h'!M53,'24.08 Kampala-Bukaya-24h'!M53,'25.08 Kampala-Bukaya'!M53)</f>
        <v>21.714285714285715</v>
      </c>
      <c r="N53" s="49">
        <f>AVERAGE('19.08 Kampala-Bukaya'!N53,'20.08 Kampala-Bukaya'!N53,'21.08 Kampala-Bukaya'!N53,'22.08 Kampala-Bukaya'!N53,'23.08 Kampala-Bukaya-24h'!N53,'24.08 Kampala-Bukaya-24h'!N53,'25.08 Kampala-Bukaya'!N53)</f>
        <v>0</v>
      </c>
      <c r="O53" s="15">
        <f t="shared" si="0"/>
        <v>7</v>
      </c>
      <c r="P53" s="15">
        <f t="shared" si="1"/>
        <v>28.714285714285715</v>
      </c>
      <c r="R53" s="8"/>
      <c r="T53"/>
    </row>
    <row r="54" spans="2:20" ht="23.1" customHeight="1" x14ac:dyDescent="0.25">
      <c r="B54" s="23" t="s">
        <v>81</v>
      </c>
      <c r="C54" s="49">
        <f>AVERAGE('19.08 Kampala-Bukaya'!C54,'20.08 Kampala-Bukaya'!C54,'21.08 Kampala-Bukaya'!C54,'22.08 Kampala-Bukaya'!C54,'23.08 Kampala-Bukaya-24h'!C54,'24.08 Kampala-Bukaya-24h'!C54,'25.08 Kampala-Bukaya'!C54)</f>
        <v>2.1428571428571428</v>
      </c>
      <c r="D54" s="49">
        <f>AVERAGE('19.08 Kampala-Bukaya'!D54,'20.08 Kampala-Bukaya'!D54,'21.08 Kampala-Bukaya'!D54,'22.08 Kampala-Bukaya'!D54,'23.08 Kampala-Bukaya-24h'!D54,'24.08 Kampala-Bukaya-24h'!D54,'25.08 Kampala-Bukaya'!D54)</f>
        <v>0</v>
      </c>
      <c r="E54" s="49">
        <f>AVERAGE('19.08 Kampala-Bukaya'!E54,'20.08 Kampala-Bukaya'!E54,'21.08 Kampala-Bukaya'!E54,'22.08 Kampala-Bukaya'!E54,'23.08 Kampala-Bukaya-24h'!E54,'24.08 Kampala-Bukaya-24h'!E54,'25.08 Kampala-Bukaya'!E54)</f>
        <v>3</v>
      </c>
      <c r="F54" s="49">
        <f>AVERAGE('19.08 Kampala-Bukaya'!F54,'20.08 Kampala-Bukaya'!F54,'21.08 Kampala-Bukaya'!F54,'22.08 Kampala-Bukaya'!F54,'23.08 Kampala-Bukaya-24h'!F54,'24.08 Kampala-Bukaya-24h'!F54,'25.08 Kampala-Bukaya'!F54)</f>
        <v>2</v>
      </c>
      <c r="G54" s="49">
        <f>AVERAGE('19.08 Kampala-Bukaya'!G54,'20.08 Kampala-Bukaya'!G54,'21.08 Kampala-Bukaya'!G54,'22.08 Kampala-Bukaya'!G54,'23.08 Kampala-Bukaya-24h'!G54,'24.08 Kampala-Bukaya-24h'!G54,'25.08 Kampala-Bukaya'!G54)</f>
        <v>0</v>
      </c>
      <c r="H54" s="49">
        <f>AVERAGE('19.08 Kampala-Bukaya'!H54,'20.08 Kampala-Bukaya'!H54,'21.08 Kampala-Bukaya'!H54,'22.08 Kampala-Bukaya'!H54,'23.08 Kampala-Bukaya-24h'!H54,'24.08 Kampala-Bukaya-24h'!H54,'25.08 Kampala-Bukaya'!H54)</f>
        <v>0</v>
      </c>
      <c r="I54" s="49">
        <f>AVERAGE('19.08 Kampala-Bukaya'!I54,'20.08 Kampala-Bukaya'!I54,'21.08 Kampala-Bukaya'!I54,'22.08 Kampala-Bukaya'!I54,'23.08 Kampala-Bukaya-24h'!I54,'24.08 Kampala-Bukaya-24h'!I54,'25.08 Kampala-Bukaya'!I54)</f>
        <v>1.8571428571428572</v>
      </c>
      <c r="J54" s="49">
        <f>AVERAGE('19.08 Kampala-Bukaya'!J54,'20.08 Kampala-Bukaya'!J54,'21.08 Kampala-Bukaya'!J54,'22.08 Kampala-Bukaya'!J54,'23.08 Kampala-Bukaya-24h'!J54,'24.08 Kampala-Bukaya-24h'!J54,'25.08 Kampala-Bukaya'!J54)</f>
        <v>0</v>
      </c>
      <c r="K54" s="49">
        <f>AVERAGE('19.08 Kampala-Bukaya'!K54,'20.08 Kampala-Bukaya'!K54,'21.08 Kampala-Bukaya'!K54,'22.08 Kampala-Bukaya'!K54,'23.08 Kampala-Bukaya-24h'!K54,'24.08 Kampala-Bukaya-24h'!K54,'25.08 Kampala-Bukaya'!K54)</f>
        <v>0</v>
      </c>
      <c r="L54" s="49">
        <f>AVERAGE('19.08 Kampala-Bukaya'!L54,'20.08 Kampala-Bukaya'!L54,'21.08 Kampala-Bukaya'!L54,'22.08 Kampala-Bukaya'!L54,'23.08 Kampala-Bukaya-24h'!L54,'24.08 Kampala-Bukaya-24h'!L54,'25.08 Kampala-Bukaya'!L54)</f>
        <v>0</v>
      </c>
      <c r="M54" s="49">
        <f>AVERAGE('19.08 Kampala-Bukaya'!M54,'20.08 Kampala-Bukaya'!M54,'21.08 Kampala-Bukaya'!M54,'22.08 Kampala-Bukaya'!M54,'23.08 Kampala-Bukaya-24h'!M54,'24.08 Kampala-Bukaya-24h'!M54,'25.08 Kampala-Bukaya'!M54)</f>
        <v>20.571428571428573</v>
      </c>
      <c r="N54" s="49">
        <f>AVERAGE('19.08 Kampala-Bukaya'!N54,'20.08 Kampala-Bukaya'!N54,'21.08 Kampala-Bukaya'!N54,'22.08 Kampala-Bukaya'!N54,'23.08 Kampala-Bukaya-24h'!N54,'24.08 Kampala-Bukaya-24h'!N54,'25.08 Kampala-Bukaya'!N54)</f>
        <v>0</v>
      </c>
      <c r="O54" s="15">
        <f t="shared" si="0"/>
        <v>9</v>
      </c>
      <c r="P54" s="15">
        <f t="shared" si="1"/>
        <v>29.571428571428573</v>
      </c>
      <c r="R54" s="8"/>
      <c r="T54"/>
    </row>
    <row r="55" spans="2:20" ht="23.1" customHeight="1" x14ac:dyDescent="0.25">
      <c r="B55" s="23" t="s">
        <v>82</v>
      </c>
      <c r="C55" s="49">
        <f>AVERAGE('19.08 Kampala-Bukaya'!C55,'20.08 Kampala-Bukaya'!C55,'21.08 Kampala-Bukaya'!C55,'22.08 Kampala-Bukaya'!C55,'23.08 Kampala-Bukaya-24h'!C55,'24.08 Kampala-Bukaya-24h'!C55,'25.08 Kampala-Bukaya'!C55)</f>
        <v>1.4285714285714286</v>
      </c>
      <c r="D55" s="49">
        <f>AVERAGE('19.08 Kampala-Bukaya'!D55,'20.08 Kampala-Bukaya'!D55,'21.08 Kampala-Bukaya'!D55,'22.08 Kampala-Bukaya'!D55,'23.08 Kampala-Bukaya-24h'!D55,'24.08 Kampala-Bukaya-24h'!D55,'25.08 Kampala-Bukaya'!D55)</f>
        <v>0</v>
      </c>
      <c r="E55" s="49">
        <f>AVERAGE('19.08 Kampala-Bukaya'!E55,'20.08 Kampala-Bukaya'!E55,'21.08 Kampala-Bukaya'!E55,'22.08 Kampala-Bukaya'!E55,'23.08 Kampala-Bukaya-24h'!E55,'24.08 Kampala-Bukaya-24h'!E55,'25.08 Kampala-Bukaya'!E55)</f>
        <v>1.7142857142857142</v>
      </c>
      <c r="F55" s="49">
        <f>AVERAGE('19.08 Kampala-Bukaya'!F55,'20.08 Kampala-Bukaya'!F55,'21.08 Kampala-Bukaya'!F55,'22.08 Kampala-Bukaya'!F55,'23.08 Kampala-Bukaya-24h'!F55,'24.08 Kampala-Bukaya-24h'!F55,'25.08 Kampala-Bukaya'!F55)</f>
        <v>3</v>
      </c>
      <c r="G55" s="49">
        <f>AVERAGE('19.08 Kampala-Bukaya'!G55,'20.08 Kampala-Bukaya'!G55,'21.08 Kampala-Bukaya'!G55,'22.08 Kampala-Bukaya'!G55,'23.08 Kampala-Bukaya-24h'!G55,'24.08 Kampala-Bukaya-24h'!G55,'25.08 Kampala-Bukaya'!G55)</f>
        <v>0.14285714285714285</v>
      </c>
      <c r="H55" s="49">
        <f>AVERAGE('19.08 Kampala-Bukaya'!H55,'20.08 Kampala-Bukaya'!H55,'21.08 Kampala-Bukaya'!H55,'22.08 Kampala-Bukaya'!H55,'23.08 Kampala-Bukaya-24h'!H55,'24.08 Kampala-Bukaya-24h'!H55,'25.08 Kampala-Bukaya'!H55)</f>
        <v>0</v>
      </c>
      <c r="I55" s="49">
        <f>AVERAGE('19.08 Kampala-Bukaya'!I55,'20.08 Kampala-Bukaya'!I55,'21.08 Kampala-Bukaya'!I55,'22.08 Kampala-Bukaya'!I55,'23.08 Kampala-Bukaya-24h'!I55,'24.08 Kampala-Bukaya-24h'!I55,'25.08 Kampala-Bukaya'!I55)</f>
        <v>0.7142857142857143</v>
      </c>
      <c r="J55" s="49">
        <f>AVERAGE('19.08 Kampala-Bukaya'!J55,'20.08 Kampala-Bukaya'!J55,'21.08 Kampala-Bukaya'!J55,'22.08 Kampala-Bukaya'!J55,'23.08 Kampala-Bukaya-24h'!J55,'24.08 Kampala-Bukaya-24h'!J55,'25.08 Kampala-Bukaya'!J55)</f>
        <v>0.14285714285714285</v>
      </c>
      <c r="K55" s="49">
        <f>AVERAGE('19.08 Kampala-Bukaya'!K55,'20.08 Kampala-Bukaya'!K55,'21.08 Kampala-Bukaya'!K55,'22.08 Kampala-Bukaya'!K55,'23.08 Kampala-Bukaya-24h'!K55,'24.08 Kampala-Bukaya-24h'!K55,'25.08 Kampala-Bukaya'!K55)</f>
        <v>0</v>
      </c>
      <c r="L55" s="49">
        <f>AVERAGE('19.08 Kampala-Bukaya'!L55,'20.08 Kampala-Bukaya'!L55,'21.08 Kampala-Bukaya'!L55,'22.08 Kampala-Bukaya'!L55,'23.08 Kampala-Bukaya-24h'!L55,'24.08 Kampala-Bukaya-24h'!L55,'25.08 Kampala-Bukaya'!L55)</f>
        <v>0</v>
      </c>
      <c r="M55" s="49">
        <f>AVERAGE('19.08 Kampala-Bukaya'!M55,'20.08 Kampala-Bukaya'!M55,'21.08 Kampala-Bukaya'!M55,'22.08 Kampala-Bukaya'!M55,'23.08 Kampala-Bukaya-24h'!M55,'24.08 Kampala-Bukaya-24h'!M55,'25.08 Kampala-Bukaya'!M55)</f>
        <v>23</v>
      </c>
      <c r="N55" s="49">
        <f>AVERAGE('19.08 Kampala-Bukaya'!N55,'20.08 Kampala-Bukaya'!N55,'21.08 Kampala-Bukaya'!N55,'22.08 Kampala-Bukaya'!N55,'23.08 Kampala-Bukaya-24h'!N55,'24.08 Kampala-Bukaya-24h'!N55,'25.08 Kampala-Bukaya'!N55)</f>
        <v>0</v>
      </c>
      <c r="O55" s="15">
        <f t="shared" si="0"/>
        <v>7.1428571428571432</v>
      </c>
      <c r="P55" s="15">
        <f t="shared" si="1"/>
        <v>30.142857142857142</v>
      </c>
      <c r="R55" s="8"/>
      <c r="T55"/>
    </row>
    <row r="56" spans="2:20" ht="23.1" customHeight="1" x14ac:dyDescent="0.25">
      <c r="B56" s="23" t="s">
        <v>83</v>
      </c>
      <c r="C56" s="49">
        <f>AVERAGE('19.08 Kampala-Bukaya'!C56,'20.08 Kampala-Bukaya'!C56,'21.08 Kampala-Bukaya'!C56,'22.08 Kampala-Bukaya'!C56,'23.08 Kampala-Bukaya-24h'!C56,'24.08 Kampala-Bukaya-24h'!C56,'25.08 Kampala-Bukaya'!C56)</f>
        <v>2.4285714285714284</v>
      </c>
      <c r="D56" s="49">
        <f>AVERAGE('19.08 Kampala-Bukaya'!D56,'20.08 Kampala-Bukaya'!D56,'21.08 Kampala-Bukaya'!D56,'22.08 Kampala-Bukaya'!D56,'23.08 Kampala-Bukaya-24h'!D56,'24.08 Kampala-Bukaya-24h'!D56,'25.08 Kampala-Bukaya'!D56)</f>
        <v>0</v>
      </c>
      <c r="E56" s="49">
        <f>AVERAGE('19.08 Kampala-Bukaya'!E56,'20.08 Kampala-Bukaya'!E56,'21.08 Kampala-Bukaya'!E56,'22.08 Kampala-Bukaya'!E56,'23.08 Kampala-Bukaya-24h'!E56,'24.08 Kampala-Bukaya-24h'!E56,'25.08 Kampala-Bukaya'!E56)</f>
        <v>1.4285714285714286</v>
      </c>
      <c r="F56" s="49">
        <f>AVERAGE('19.08 Kampala-Bukaya'!F56,'20.08 Kampala-Bukaya'!F56,'21.08 Kampala-Bukaya'!F56,'22.08 Kampala-Bukaya'!F56,'23.08 Kampala-Bukaya-24h'!F56,'24.08 Kampala-Bukaya-24h'!F56,'25.08 Kampala-Bukaya'!F56)</f>
        <v>2</v>
      </c>
      <c r="G56" s="49">
        <f>AVERAGE('19.08 Kampala-Bukaya'!G56,'20.08 Kampala-Bukaya'!G56,'21.08 Kampala-Bukaya'!G56,'22.08 Kampala-Bukaya'!G56,'23.08 Kampala-Bukaya-24h'!G56,'24.08 Kampala-Bukaya-24h'!G56,'25.08 Kampala-Bukaya'!G56)</f>
        <v>0</v>
      </c>
      <c r="H56" s="49">
        <f>AVERAGE('19.08 Kampala-Bukaya'!H56,'20.08 Kampala-Bukaya'!H56,'21.08 Kampala-Bukaya'!H56,'22.08 Kampala-Bukaya'!H56,'23.08 Kampala-Bukaya-24h'!H56,'24.08 Kampala-Bukaya-24h'!H56,'25.08 Kampala-Bukaya'!H56)</f>
        <v>0</v>
      </c>
      <c r="I56" s="49">
        <f>AVERAGE('19.08 Kampala-Bukaya'!I56,'20.08 Kampala-Bukaya'!I56,'21.08 Kampala-Bukaya'!I56,'22.08 Kampala-Bukaya'!I56,'23.08 Kampala-Bukaya-24h'!I56,'24.08 Kampala-Bukaya-24h'!I56,'25.08 Kampala-Bukaya'!I56)</f>
        <v>1.1428571428571428</v>
      </c>
      <c r="J56" s="49">
        <f>AVERAGE('19.08 Kampala-Bukaya'!J56,'20.08 Kampala-Bukaya'!J56,'21.08 Kampala-Bukaya'!J56,'22.08 Kampala-Bukaya'!J56,'23.08 Kampala-Bukaya-24h'!J56,'24.08 Kampala-Bukaya-24h'!J56,'25.08 Kampala-Bukaya'!J56)</f>
        <v>0.14285714285714285</v>
      </c>
      <c r="K56" s="49">
        <f>AVERAGE('19.08 Kampala-Bukaya'!K56,'20.08 Kampala-Bukaya'!K56,'21.08 Kampala-Bukaya'!K56,'22.08 Kampala-Bukaya'!K56,'23.08 Kampala-Bukaya-24h'!K56,'24.08 Kampala-Bukaya-24h'!K56,'25.08 Kampala-Bukaya'!K56)</f>
        <v>0.14285714285714285</v>
      </c>
      <c r="L56" s="49">
        <f>AVERAGE('19.08 Kampala-Bukaya'!L56,'20.08 Kampala-Bukaya'!L56,'21.08 Kampala-Bukaya'!L56,'22.08 Kampala-Bukaya'!L56,'23.08 Kampala-Bukaya-24h'!L56,'24.08 Kampala-Bukaya-24h'!L56,'25.08 Kampala-Bukaya'!L56)</f>
        <v>0</v>
      </c>
      <c r="M56" s="49">
        <f>AVERAGE('19.08 Kampala-Bukaya'!M56,'20.08 Kampala-Bukaya'!M56,'21.08 Kampala-Bukaya'!M56,'22.08 Kampala-Bukaya'!M56,'23.08 Kampala-Bukaya-24h'!M56,'24.08 Kampala-Bukaya-24h'!M56,'25.08 Kampala-Bukaya'!M56)</f>
        <v>23.714285714285715</v>
      </c>
      <c r="N56" s="49">
        <f>AVERAGE('19.08 Kampala-Bukaya'!N56,'20.08 Kampala-Bukaya'!N56,'21.08 Kampala-Bukaya'!N56,'22.08 Kampala-Bukaya'!N56,'23.08 Kampala-Bukaya-24h'!N56,'24.08 Kampala-Bukaya-24h'!N56,'25.08 Kampala-Bukaya'!N56)</f>
        <v>0</v>
      </c>
      <c r="O56" s="15">
        <f t="shared" si="0"/>
        <v>7.2857142857142865</v>
      </c>
      <c r="P56" s="15">
        <f t="shared" si="1"/>
        <v>31</v>
      </c>
      <c r="R56" s="8"/>
      <c r="T56"/>
    </row>
    <row r="57" spans="2:20" ht="23.1" customHeight="1" x14ac:dyDescent="0.25">
      <c r="B57" s="23" t="s">
        <v>84</v>
      </c>
      <c r="C57" s="49">
        <f>AVERAGE('19.08 Kampala-Bukaya'!C57,'20.08 Kampala-Bukaya'!C57,'21.08 Kampala-Bukaya'!C57,'22.08 Kampala-Bukaya'!C57,'23.08 Kampala-Bukaya-24h'!C57,'24.08 Kampala-Bukaya-24h'!C57,'25.08 Kampala-Bukaya'!C57)</f>
        <v>2.5714285714285716</v>
      </c>
      <c r="D57" s="49">
        <f>AVERAGE('19.08 Kampala-Bukaya'!D57,'20.08 Kampala-Bukaya'!D57,'21.08 Kampala-Bukaya'!D57,'22.08 Kampala-Bukaya'!D57,'23.08 Kampala-Bukaya-24h'!D57,'24.08 Kampala-Bukaya-24h'!D57,'25.08 Kampala-Bukaya'!D57)</f>
        <v>0</v>
      </c>
      <c r="E57" s="49">
        <f>AVERAGE('19.08 Kampala-Bukaya'!E57,'20.08 Kampala-Bukaya'!E57,'21.08 Kampala-Bukaya'!E57,'22.08 Kampala-Bukaya'!E57,'23.08 Kampala-Bukaya-24h'!E57,'24.08 Kampala-Bukaya-24h'!E57,'25.08 Kampala-Bukaya'!E57)</f>
        <v>2.1428571428571428</v>
      </c>
      <c r="F57" s="49">
        <f>AVERAGE('19.08 Kampala-Bukaya'!F57,'20.08 Kampala-Bukaya'!F57,'21.08 Kampala-Bukaya'!F57,'22.08 Kampala-Bukaya'!F57,'23.08 Kampala-Bukaya-24h'!F57,'24.08 Kampala-Bukaya-24h'!F57,'25.08 Kampala-Bukaya'!F57)</f>
        <v>2</v>
      </c>
      <c r="G57" s="49">
        <f>AVERAGE('19.08 Kampala-Bukaya'!G57,'20.08 Kampala-Bukaya'!G57,'21.08 Kampala-Bukaya'!G57,'22.08 Kampala-Bukaya'!G57,'23.08 Kampala-Bukaya-24h'!G57,'24.08 Kampala-Bukaya-24h'!G57,'25.08 Kampala-Bukaya'!G57)</f>
        <v>0</v>
      </c>
      <c r="H57" s="49">
        <f>AVERAGE('19.08 Kampala-Bukaya'!H57,'20.08 Kampala-Bukaya'!H57,'21.08 Kampala-Bukaya'!H57,'22.08 Kampala-Bukaya'!H57,'23.08 Kampala-Bukaya-24h'!H57,'24.08 Kampala-Bukaya-24h'!H57,'25.08 Kampala-Bukaya'!H57)</f>
        <v>0.14285714285714285</v>
      </c>
      <c r="I57" s="49">
        <f>AVERAGE('19.08 Kampala-Bukaya'!I57,'20.08 Kampala-Bukaya'!I57,'21.08 Kampala-Bukaya'!I57,'22.08 Kampala-Bukaya'!I57,'23.08 Kampala-Bukaya-24h'!I57,'24.08 Kampala-Bukaya-24h'!I57,'25.08 Kampala-Bukaya'!I57)</f>
        <v>1.7142857142857142</v>
      </c>
      <c r="J57" s="49">
        <f>AVERAGE('19.08 Kampala-Bukaya'!J57,'20.08 Kampala-Bukaya'!J57,'21.08 Kampala-Bukaya'!J57,'22.08 Kampala-Bukaya'!J57,'23.08 Kampala-Bukaya-24h'!J57,'24.08 Kampala-Bukaya-24h'!J57,'25.08 Kampala-Bukaya'!J57)</f>
        <v>0</v>
      </c>
      <c r="K57" s="49">
        <f>AVERAGE('19.08 Kampala-Bukaya'!K57,'20.08 Kampala-Bukaya'!K57,'21.08 Kampala-Bukaya'!K57,'22.08 Kampala-Bukaya'!K57,'23.08 Kampala-Bukaya-24h'!K57,'24.08 Kampala-Bukaya-24h'!K57,'25.08 Kampala-Bukaya'!K57)</f>
        <v>0</v>
      </c>
      <c r="L57" s="49">
        <f>AVERAGE('19.08 Kampala-Bukaya'!L57,'20.08 Kampala-Bukaya'!L57,'21.08 Kampala-Bukaya'!L57,'22.08 Kampala-Bukaya'!L57,'23.08 Kampala-Bukaya-24h'!L57,'24.08 Kampala-Bukaya-24h'!L57,'25.08 Kampala-Bukaya'!L57)</f>
        <v>0</v>
      </c>
      <c r="M57" s="49">
        <f>AVERAGE('19.08 Kampala-Bukaya'!M57,'20.08 Kampala-Bukaya'!M57,'21.08 Kampala-Bukaya'!M57,'22.08 Kampala-Bukaya'!M57,'23.08 Kampala-Bukaya-24h'!M57,'24.08 Kampala-Bukaya-24h'!M57,'25.08 Kampala-Bukaya'!M57)</f>
        <v>21.714285714285715</v>
      </c>
      <c r="N57" s="49">
        <f>AVERAGE('19.08 Kampala-Bukaya'!N57,'20.08 Kampala-Bukaya'!N57,'21.08 Kampala-Bukaya'!N57,'22.08 Kampala-Bukaya'!N57,'23.08 Kampala-Bukaya-24h'!N57,'24.08 Kampala-Bukaya-24h'!N57,'25.08 Kampala-Bukaya'!N57)</f>
        <v>0.14285714285714285</v>
      </c>
      <c r="O57" s="15">
        <f t="shared" si="0"/>
        <v>8.7142857142857135</v>
      </c>
      <c r="P57" s="15">
        <f t="shared" si="0"/>
        <v>36.428571428571431</v>
      </c>
      <c r="R57" s="8"/>
      <c r="T57"/>
    </row>
    <row r="58" spans="2:20" ht="23.1" customHeight="1" x14ac:dyDescent="0.25">
      <c r="B58" s="23" t="s">
        <v>99</v>
      </c>
      <c r="C58" s="49">
        <f>AVERAGE('23.08 Kampala-Bukaya-24h'!C58,'24.08 Kampala-Bukaya-24h'!C58)</f>
        <v>1</v>
      </c>
      <c r="D58" s="49">
        <f>AVERAGE('23.08 Kampala-Bukaya-24h'!D58,'24.08 Kampala-Bukaya-24h'!D58)</f>
        <v>0</v>
      </c>
      <c r="E58" s="49">
        <f>AVERAGE('23.08 Kampala-Bukaya-24h'!E58,'24.08 Kampala-Bukaya-24h'!E58)</f>
        <v>4</v>
      </c>
      <c r="F58" s="49">
        <f>AVERAGE('23.08 Kampala-Bukaya-24h'!F58,'24.08 Kampala-Bukaya-24h'!F58)</f>
        <v>1</v>
      </c>
      <c r="G58" s="49">
        <f>AVERAGE('23.08 Kampala-Bukaya-24h'!G58,'24.08 Kampala-Bukaya-24h'!G58)</f>
        <v>0</v>
      </c>
      <c r="H58" s="49">
        <f>AVERAGE('23.08 Kampala-Bukaya-24h'!H58,'24.08 Kampala-Bukaya-24h'!H58)</f>
        <v>0</v>
      </c>
      <c r="I58" s="49">
        <f>AVERAGE('23.08 Kampala-Bukaya-24h'!I58,'24.08 Kampala-Bukaya-24h'!I58)</f>
        <v>1</v>
      </c>
      <c r="J58" s="49">
        <f>AVERAGE('23.08 Kampala-Bukaya-24h'!J58,'24.08 Kampala-Bukaya-24h'!J58)</f>
        <v>0</v>
      </c>
      <c r="K58" s="49">
        <f>AVERAGE('23.08 Kampala-Bukaya-24h'!K58,'24.08 Kampala-Bukaya-24h'!K58)</f>
        <v>0</v>
      </c>
      <c r="L58" s="49">
        <f>AVERAGE('23.08 Kampala-Bukaya-24h'!L58,'24.08 Kampala-Bukaya-24h'!L58)</f>
        <v>0</v>
      </c>
      <c r="M58" s="49">
        <f>AVERAGE('23.08 Kampala-Bukaya-24h'!M58,'24.08 Kampala-Bukaya-24h'!M58)</f>
        <v>11</v>
      </c>
      <c r="N58" s="49">
        <f>AVERAGE('23.08 Kampala-Bukaya-24h'!N58,'24.08 Kampala-Bukaya-24h'!N58)</f>
        <v>0</v>
      </c>
      <c r="O58" s="15">
        <f t="shared" si="0"/>
        <v>7</v>
      </c>
      <c r="P58" s="15">
        <f t="shared" si="0"/>
        <v>24</v>
      </c>
      <c r="R58" s="8"/>
      <c r="T58"/>
    </row>
    <row r="59" spans="2:20" ht="23.1" customHeight="1" x14ac:dyDescent="0.25">
      <c r="B59" s="23" t="s">
        <v>100</v>
      </c>
      <c r="C59" s="49">
        <f>AVERAGE('23.08 Kampala-Bukaya-24h'!C59,'24.08 Kampala-Bukaya-24h'!C59)</f>
        <v>6</v>
      </c>
      <c r="D59" s="49">
        <f>AVERAGE('23.08 Kampala-Bukaya-24h'!D59,'24.08 Kampala-Bukaya-24h'!D59)</f>
        <v>0</v>
      </c>
      <c r="E59" s="49">
        <f>AVERAGE('23.08 Kampala-Bukaya-24h'!E59,'24.08 Kampala-Bukaya-24h'!E59)</f>
        <v>2</v>
      </c>
      <c r="F59" s="49">
        <f>AVERAGE('23.08 Kampala-Bukaya-24h'!F59,'24.08 Kampala-Bukaya-24h'!F59)</f>
        <v>0</v>
      </c>
      <c r="G59" s="49">
        <f>AVERAGE('23.08 Kampala-Bukaya-24h'!G59,'24.08 Kampala-Bukaya-24h'!G59)</f>
        <v>1</v>
      </c>
      <c r="H59" s="49">
        <f>AVERAGE('23.08 Kampala-Bukaya-24h'!H59,'24.08 Kampala-Bukaya-24h'!H59)</f>
        <v>0</v>
      </c>
      <c r="I59" s="49">
        <f>AVERAGE('23.08 Kampala-Bukaya-24h'!I59,'24.08 Kampala-Bukaya-24h'!I59)</f>
        <v>2</v>
      </c>
      <c r="J59" s="49">
        <f>AVERAGE('23.08 Kampala-Bukaya-24h'!J59,'24.08 Kampala-Bukaya-24h'!J59)</f>
        <v>0</v>
      </c>
      <c r="K59" s="49">
        <f>AVERAGE('23.08 Kampala-Bukaya-24h'!K59,'24.08 Kampala-Bukaya-24h'!K59)</f>
        <v>1</v>
      </c>
      <c r="L59" s="49">
        <f>AVERAGE('23.08 Kampala-Bukaya-24h'!L59,'24.08 Kampala-Bukaya-24h'!L59)</f>
        <v>0</v>
      </c>
      <c r="M59" s="49">
        <f>AVERAGE('23.08 Kampala-Bukaya-24h'!M59,'24.08 Kampala-Bukaya-24h'!M59)</f>
        <v>17</v>
      </c>
      <c r="N59" s="49">
        <f>AVERAGE('23.08 Kampala-Bukaya-24h'!N59,'24.08 Kampala-Bukaya-24h'!N59)</f>
        <v>0</v>
      </c>
      <c r="O59" s="15">
        <f t="shared" si="0"/>
        <v>12</v>
      </c>
      <c r="P59" s="15">
        <f t="shared" si="0"/>
        <v>35</v>
      </c>
      <c r="R59" s="8"/>
      <c r="T59"/>
    </row>
    <row r="60" spans="2:20" ht="23.1" customHeight="1" x14ac:dyDescent="0.25">
      <c r="B60" s="23" t="s">
        <v>101</v>
      </c>
      <c r="C60" s="49">
        <f>AVERAGE('23.08 Kampala-Bukaya-24h'!C60,'24.08 Kampala-Bukaya-24h'!C60)</f>
        <v>2</v>
      </c>
      <c r="D60" s="49">
        <f>AVERAGE('23.08 Kampala-Bukaya-24h'!D60,'24.08 Kampala-Bukaya-24h'!D60)</f>
        <v>0</v>
      </c>
      <c r="E60" s="49">
        <f>AVERAGE('23.08 Kampala-Bukaya-24h'!E60,'24.08 Kampala-Bukaya-24h'!E60)</f>
        <v>1</v>
      </c>
      <c r="F60" s="49">
        <f>AVERAGE('23.08 Kampala-Bukaya-24h'!F60,'24.08 Kampala-Bukaya-24h'!F60)</f>
        <v>1</v>
      </c>
      <c r="G60" s="49">
        <f>AVERAGE('23.08 Kampala-Bukaya-24h'!G60,'24.08 Kampala-Bukaya-24h'!G60)</f>
        <v>0</v>
      </c>
      <c r="H60" s="49">
        <f>AVERAGE('23.08 Kampala-Bukaya-24h'!H60,'24.08 Kampala-Bukaya-24h'!H60)</f>
        <v>0</v>
      </c>
      <c r="I60" s="49">
        <f>AVERAGE('23.08 Kampala-Bukaya-24h'!I60,'24.08 Kampala-Bukaya-24h'!I60)</f>
        <v>1</v>
      </c>
      <c r="J60" s="49">
        <f>AVERAGE('23.08 Kampala-Bukaya-24h'!J60,'24.08 Kampala-Bukaya-24h'!J60)</f>
        <v>0</v>
      </c>
      <c r="K60" s="49">
        <f>AVERAGE('23.08 Kampala-Bukaya-24h'!K60,'24.08 Kampala-Bukaya-24h'!K60)</f>
        <v>0</v>
      </c>
      <c r="L60" s="49">
        <f>AVERAGE('23.08 Kampala-Bukaya-24h'!L60,'24.08 Kampala-Bukaya-24h'!L60)</f>
        <v>0</v>
      </c>
      <c r="M60" s="49">
        <f>AVERAGE('23.08 Kampala-Bukaya-24h'!M60,'24.08 Kampala-Bukaya-24h'!M60)</f>
        <v>15</v>
      </c>
      <c r="N60" s="49">
        <f>AVERAGE('23.08 Kampala-Bukaya-24h'!N60,'24.08 Kampala-Bukaya-24h'!N60)</f>
        <v>0</v>
      </c>
      <c r="O60" s="15">
        <f t="shared" si="0"/>
        <v>5</v>
      </c>
      <c r="P60" s="15">
        <f t="shared" si="0"/>
        <v>23</v>
      </c>
      <c r="R60" s="8"/>
      <c r="T60"/>
    </row>
    <row r="61" spans="2:20" ht="23.1" customHeight="1" x14ac:dyDescent="0.25">
      <c r="B61" s="23" t="s">
        <v>102</v>
      </c>
      <c r="C61" s="49">
        <f>AVERAGE('23.08 Kampala-Bukaya-24h'!C61,'24.08 Kampala-Bukaya-24h'!C61)</f>
        <v>4</v>
      </c>
      <c r="D61" s="49">
        <f>AVERAGE('23.08 Kampala-Bukaya-24h'!D61,'24.08 Kampala-Bukaya-24h'!D61)</f>
        <v>0</v>
      </c>
      <c r="E61" s="49">
        <f>AVERAGE('23.08 Kampala-Bukaya-24h'!E61,'24.08 Kampala-Bukaya-24h'!E61)</f>
        <v>1</v>
      </c>
      <c r="F61" s="49">
        <f>AVERAGE('23.08 Kampala-Bukaya-24h'!F61,'24.08 Kampala-Bukaya-24h'!F61)</f>
        <v>2</v>
      </c>
      <c r="G61" s="49">
        <f>AVERAGE('23.08 Kampala-Bukaya-24h'!G61,'24.08 Kampala-Bukaya-24h'!G61)</f>
        <v>0</v>
      </c>
      <c r="H61" s="49">
        <f>AVERAGE('23.08 Kampala-Bukaya-24h'!H61,'24.08 Kampala-Bukaya-24h'!H61)</f>
        <v>0</v>
      </c>
      <c r="I61" s="49">
        <f>AVERAGE('23.08 Kampala-Bukaya-24h'!I61,'24.08 Kampala-Bukaya-24h'!I61)</f>
        <v>0</v>
      </c>
      <c r="J61" s="49">
        <f>AVERAGE('23.08 Kampala-Bukaya-24h'!J61,'24.08 Kampala-Bukaya-24h'!J61)</f>
        <v>0</v>
      </c>
      <c r="K61" s="49">
        <f>AVERAGE('23.08 Kampala-Bukaya-24h'!K61,'24.08 Kampala-Bukaya-24h'!K61)</f>
        <v>0</v>
      </c>
      <c r="L61" s="49">
        <f>AVERAGE('23.08 Kampala-Bukaya-24h'!L61,'24.08 Kampala-Bukaya-24h'!L61)</f>
        <v>0</v>
      </c>
      <c r="M61" s="49">
        <f>AVERAGE('23.08 Kampala-Bukaya-24h'!M61,'24.08 Kampala-Bukaya-24h'!M61)</f>
        <v>15</v>
      </c>
      <c r="N61" s="49">
        <f>AVERAGE('23.08 Kampala-Bukaya-24h'!N61,'24.08 Kampala-Bukaya-24h'!N61)</f>
        <v>0</v>
      </c>
      <c r="O61" s="15">
        <f t="shared" si="0"/>
        <v>7</v>
      </c>
      <c r="P61" s="15">
        <f t="shared" si="0"/>
        <v>25</v>
      </c>
      <c r="R61" s="8"/>
      <c r="T61"/>
    </row>
    <row r="62" spans="2:20" ht="23.1" customHeight="1" x14ac:dyDescent="0.25">
      <c r="B62" s="23" t="s">
        <v>107</v>
      </c>
      <c r="C62" s="49">
        <f>AVERAGE('23.08 Kampala-Bukaya-24h'!C62,'24.08 Kampala-Bukaya-24h'!C62)</f>
        <v>2</v>
      </c>
      <c r="D62" s="49">
        <f>AVERAGE('23.08 Kampala-Bukaya-24h'!D62,'24.08 Kampala-Bukaya-24h'!D62)</f>
        <v>0</v>
      </c>
      <c r="E62" s="49">
        <f>AVERAGE('23.08 Kampala-Bukaya-24h'!E62,'24.08 Kampala-Bukaya-24h'!E62)</f>
        <v>4</v>
      </c>
      <c r="F62" s="49">
        <f>AVERAGE('23.08 Kampala-Bukaya-24h'!F62,'24.08 Kampala-Bukaya-24h'!F62)</f>
        <v>4</v>
      </c>
      <c r="G62" s="49">
        <f>AVERAGE('23.08 Kampala-Bukaya-24h'!G62,'24.08 Kampala-Bukaya-24h'!G62)</f>
        <v>0</v>
      </c>
      <c r="H62" s="49">
        <f>AVERAGE('23.08 Kampala-Bukaya-24h'!H62,'24.08 Kampala-Bukaya-24h'!H62)</f>
        <v>0</v>
      </c>
      <c r="I62" s="49">
        <f>AVERAGE('23.08 Kampala-Bukaya-24h'!I62,'24.08 Kampala-Bukaya-24h'!I62)</f>
        <v>3</v>
      </c>
      <c r="J62" s="49">
        <f>AVERAGE('23.08 Kampala-Bukaya-24h'!J62,'24.08 Kampala-Bukaya-24h'!J62)</f>
        <v>0</v>
      </c>
      <c r="K62" s="49">
        <f>AVERAGE('23.08 Kampala-Bukaya-24h'!K62,'24.08 Kampala-Bukaya-24h'!K62)</f>
        <v>0</v>
      </c>
      <c r="L62" s="49">
        <f>AVERAGE('23.08 Kampala-Bukaya-24h'!L62,'24.08 Kampala-Bukaya-24h'!L62)</f>
        <v>0</v>
      </c>
      <c r="M62" s="49">
        <f>AVERAGE('23.08 Kampala-Bukaya-24h'!M62,'24.08 Kampala-Bukaya-24h'!M62)</f>
        <v>14</v>
      </c>
      <c r="N62" s="49">
        <f>AVERAGE('23.08 Kampala-Bukaya-24h'!N62,'24.08 Kampala-Bukaya-24h'!N62)</f>
        <v>0</v>
      </c>
      <c r="O62" s="15">
        <f t="shared" si="0"/>
        <v>13</v>
      </c>
      <c r="P62" s="15">
        <f t="shared" si="0"/>
        <v>38</v>
      </c>
      <c r="R62" s="8"/>
      <c r="T62"/>
    </row>
    <row r="63" spans="2:20" ht="23.1" customHeight="1" x14ac:dyDescent="0.25">
      <c r="B63" s="23" t="s">
        <v>108</v>
      </c>
      <c r="C63" s="49">
        <f>AVERAGE('23.08 Kampala-Bukaya-24h'!C63,'24.08 Kampala-Bukaya-24h'!C63)</f>
        <v>1</v>
      </c>
      <c r="D63" s="49">
        <f>AVERAGE('23.08 Kampala-Bukaya-24h'!D63,'24.08 Kampala-Bukaya-24h'!D63)</f>
        <v>0</v>
      </c>
      <c r="E63" s="49">
        <f>AVERAGE('23.08 Kampala-Bukaya-24h'!E63,'24.08 Kampala-Bukaya-24h'!E63)</f>
        <v>3</v>
      </c>
      <c r="F63" s="49">
        <f>AVERAGE('23.08 Kampala-Bukaya-24h'!F63,'24.08 Kampala-Bukaya-24h'!F63)</f>
        <v>1</v>
      </c>
      <c r="G63" s="49">
        <f>AVERAGE('23.08 Kampala-Bukaya-24h'!G63,'24.08 Kampala-Bukaya-24h'!G63)</f>
        <v>0</v>
      </c>
      <c r="H63" s="49">
        <f>AVERAGE('23.08 Kampala-Bukaya-24h'!H63,'24.08 Kampala-Bukaya-24h'!H63)</f>
        <v>0</v>
      </c>
      <c r="I63" s="49">
        <f>AVERAGE('23.08 Kampala-Bukaya-24h'!I63,'24.08 Kampala-Bukaya-24h'!I63)</f>
        <v>3</v>
      </c>
      <c r="J63" s="49">
        <f>AVERAGE('23.08 Kampala-Bukaya-24h'!J63,'24.08 Kampala-Bukaya-24h'!J63)</f>
        <v>1</v>
      </c>
      <c r="K63" s="49">
        <f>AVERAGE('23.08 Kampala-Bukaya-24h'!K63,'24.08 Kampala-Bukaya-24h'!K63)</f>
        <v>0</v>
      </c>
      <c r="L63" s="49">
        <f>AVERAGE('23.08 Kampala-Bukaya-24h'!L63,'24.08 Kampala-Bukaya-24h'!L63)</f>
        <v>0</v>
      </c>
      <c r="M63" s="49">
        <f>AVERAGE('23.08 Kampala-Bukaya-24h'!M63,'24.08 Kampala-Bukaya-24h'!M63)</f>
        <v>13</v>
      </c>
      <c r="N63" s="49">
        <f>AVERAGE('23.08 Kampala-Bukaya-24h'!N63,'24.08 Kampala-Bukaya-24h'!N63)</f>
        <v>0</v>
      </c>
      <c r="O63" s="15">
        <f t="shared" si="0"/>
        <v>9</v>
      </c>
      <c r="P63" s="15">
        <f t="shared" si="0"/>
        <v>30</v>
      </c>
      <c r="R63" s="8"/>
      <c r="T63"/>
    </row>
    <row r="64" spans="2:20" ht="23.1" customHeight="1" x14ac:dyDescent="0.25">
      <c r="B64" s="23" t="s">
        <v>109</v>
      </c>
      <c r="C64" s="49">
        <f>AVERAGE('23.08 Kampala-Bukaya-24h'!C64,'24.08 Kampala-Bukaya-24h'!C64)</f>
        <v>0</v>
      </c>
      <c r="D64" s="49">
        <f>AVERAGE('23.08 Kampala-Bukaya-24h'!D64,'24.08 Kampala-Bukaya-24h'!D64)</f>
        <v>0</v>
      </c>
      <c r="E64" s="49">
        <f>AVERAGE('23.08 Kampala-Bukaya-24h'!E64,'24.08 Kampala-Bukaya-24h'!E64)</f>
        <v>6</v>
      </c>
      <c r="F64" s="49">
        <f>AVERAGE('23.08 Kampala-Bukaya-24h'!F64,'24.08 Kampala-Bukaya-24h'!F64)</f>
        <v>4</v>
      </c>
      <c r="G64" s="49">
        <f>AVERAGE('23.08 Kampala-Bukaya-24h'!G64,'24.08 Kampala-Bukaya-24h'!G64)</f>
        <v>0</v>
      </c>
      <c r="H64" s="49">
        <f>AVERAGE('23.08 Kampala-Bukaya-24h'!H64,'24.08 Kampala-Bukaya-24h'!H64)</f>
        <v>0</v>
      </c>
      <c r="I64" s="49">
        <f>AVERAGE('23.08 Kampala-Bukaya-24h'!I64,'24.08 Kampala-Bukaya-24h'!I64)</f>
        <v>3</v>
      </c>
      <c r="J64" s="49">
        <f>AVERAGE('23.08 Kampala-Bukaya-24h'!J64,'24.08 Kampala-Bukaya-24h'!J64)</f>
        <v>0</v>
      </c>
      <c r="K64" s="49">
        <f>AVERAGE('23.08 Kampala-Bukaya-24h'!K64,'24.08 Kampala-Bukaya-24h'!K64)</f>
        <v>0</v>
      </c>
      <c r="L64" s="49">
        <f>AVERAGE('23.08 Kampala-Bukaya-24h'!L64,'24.08 Kampala-Bukaya-24h'!L64)</f>
        <v>0</v>
      </c>
      <c r="M64" s="49">
        <f>AVERAGE('23.08 Kampala-Bukaya-24h'!M64,'24.08 Kampala-Bukaya-24h'!M64)</f>
        <v>12</v>
      </c>
      <c r="N64" s="49">
        <f>AVERAGE('23.08 Kampala-Bukaya-24h'!N64,'24.08 Kampala-Bukaya-24h'!N64)</f>
        <v>0</v>
      </c>
      <c r="O64" s="15">
        <f t="shared" si="0"/>
        <v>13</v>
      </c>
      <c r="P64" s="15">
        <f t="shared" si="0"/>
        <v>38</v>
      </c>
      <c r="R64" s="8"/>
      <c r="T64"/>
    </row>
    <row r="65" spans="2:20" ht="23.1" customHeight="1" x14ac:dyDescent="0.25">
      <c r="B65" s="23" t="s">
        <v>158</v>
      </c>
      <c r="C65" s="49">
        <f>AVERAGE('23.08 Kampala-Bukaya-24h'!C65,'24.08 Kampala-Bukaya-24h'!C65)</f>
        <v>1</v>
      </c>
      <c r="D65" s="49">
        <f>AVERAGE('23.08 Kampala-Bukaya-24h'!D65,'24.08 Kampala-Bukaya-24h'!D65)</f>
        <v>0</v>
      </c>
      <c r="E65" s="49">
        <f>AVERAGE('23.08 Kampala-Bukaya-24h'!E65,'24.08 Kampala-Bukaya-24h'!E65)</f>
        <v>2</v>
      </c>
      <c r="F65" s="49">
        <f>AVERAGE('23.08 Kampala-Bukaya-24h'!F65,'24.08 Kampala-Bukaya-24h'!F65)</f>
        <v>4</v>
      </c>
      <c r="G65" s="49">
        <f>AVERAGE('23.08 Kampala-Bukaya-24h'!G65,'24.08 Kampala-Bukaya-24h'!G65)</f>
        <v>0</v>
      </c>
      <c r="H65" s="49">
        <f>AVERAGE('23.08 Kampala-Bukaya-24h'!H65,'24.08 Kampala-Bukaya-24h'!H65)</f>
        <v>0</v>
      </c>
      <c r="I65" s="49">
        <f>AVERAGE('23.08 Kampala-Bukaya-24h'!I65,'24.08 Kampala-Bukaya-24h'!I65)</f>
        <v>5</v>
      </c>
      <c r="J65" s="49">
        <f>AVERAGE('23.08 Kampala-Bukaya-24h'!J65,'24.08 Kampala-Bukaya-24h'!J65)</f>
        <v>0</v>
      </c>
      <c r="K65" s="49">
        <f>AVERAGE('23.08 Kampala-Bukaya-24h'!K65,'24.08 Kampala-Bukaya-24h'!K65)</f>
        <v>0</v>
      </c>
      <c r="L65" s="49">
        <f>AVERAGE('23.08 Kampala-Bukaya-24h'!L65,'24.08 Kampala-Bukaya-24h'!L65)</f>
        <v>0</v>
      </c>
      <c r="M65" s="49">
        <f>AVERAGE('23.08 Kampala-Bukaya-24h'!M65,'24.08 Kampala-Bukaya-24h'!M65)</f>
        <v>14</v>
      </c>
      <c r="N65" s="49">
        <f>AVERAGE('23.08 Kampala-Bukaya-24h'!N65,'24.08 Kampala-Bukaya-24h'!N65)</f>
        <v>0</v>
      </c>
      <c r="O65" s="15">
        <f t="shared" si="0"/>
        <v>12</v>
      </c>
      <c r="P65" s="15">
        <f t="shared" si="0"/>
        <v>37</v>
      </c>
      <c r="R65" s="8"/>
      <c r="T65"/>
    </row>
    <row r="66" spans="2:20" ht="23.1" customHeight="1" x14ac:dyDescent="0.25">
      <c r="B66" s="23" t="s">
        <v>103</v>
      </c>
      <c r="C66" s="49">
        <f>AVERAGE('23.08 Kampala-Bukaya-24h'!C66,'24.08 Kampala-Bukaya-24h'!C66)</f>
        <v>3</v>
      </c>
      <c r="D66" s="49">
        <f>AVERAGE('23.08 Kampala-Bukaya-24h'!D66,'24.08 Kampala-Bukaya-24h'!D66)</f>
        <v>0</v>
      </c>
      <c r="E66" s="49">
        <f>AVERAGE('23.08 Kampala-Bukaya-24h'!E66,'24.08 Kampala-Bukaya-24h'!E66)</f>
        <v>2</v>
      </c>
      <c r="F66" s="49">
        <f>AVERAGE('23.08 Kampala-Bukaya-24h'!F66,'24.08 Kampala-Bukaya-24h'!F66)</f>
        <v>1</v>
      </c>
      <c r="G66" s="49">
        <f>AVERAGE('23.08 Kampala-Bukaya-24h'!G66,'24.08 Kampala-Bukaya-24h'!G66)</f>
        <v>0</v>
      </c>
      <c r="H66" s="49">
        <f>AVERAGE('23.08 Kampala-Bukaya-24h'!H66,'24.08 Kampala-Bukaya-24h'!H66)</f>
        <v>0</v>
      </c>
      <c r="I66" s="49">
        <f>AVERAGE('23.08 Kampala-Bukaya-24h'!I66,'24.08 Kampala-Bukaya-24h'!I66)</f>
        <v>3</v>
      </c>
      <c r="J66" s="49">
        <f>AVERAGE('23.08 Kampala-Bukaya-24h'!J66,'24.08 Kampala-Bukaya-24h'!J66)</f>
        <v>0</v>
      </c>
      <c r="K66" s="49">
        <f>AVERAGE('23.08 Kampala-Bukaya-24h'!K66,'24.08 Kampala-Bukaya-24h'!K66)</f>
        <v>0</v>
      </c>
      <c r="L66" s="49">
        <f>AVERAGE('23.08 Kampala-Bukaya-24h'!L66,'24.08 Kampala-Bukaya-24h'!L66)</f>
        <v>0</v>
      </c>
      <c r="M66" s="49">
        <f>AVERAGE('23.08 Kampala-Bukaya-24h'!M66,'24.08 Kampala-Bukaya-24h'!M66)</f>
        <v>15</v>
      </c>
      <c r="N66" s="49">
        <f>AVERAGE('23.08 Kampala-Bukaya-24h'!N66,'24.08 Kampala-Bukaya-24h'!N66)</f>
        <v>0</v>
      </c>
      <c r="O66" s="15">
        <f t="shared" si="0"/>
        <v>9</v>
      </c>
      <c r="P66" s="15">
        <f t="shared" si="0"/>
        <v>30</v>
      </c>
      <c r="R66" s="8"/>
      <c r="T66"/>
    </row>
    <row r="67" spans="2:20" ht="23.1" customHeight="1" x14ac:dyDescent="0.25">
      <c r="B67" s="23" t="s">
        <v>104</v>
      </c>
      <c r="C67" s="49">
        <f>AVERAGE('23.08 Kampala-Bukaya-24h'!C67,'24.08 Kampala-Bukaya-24h'!C67)</f>
        <v>2</v>
      </c>
      <c r="D67" s="49">
        <f>AVERAGE('23.08 Kampala-Bukaya-24h'!D67,'24.08 Kampala-Bukaya-24h'!D67)</f>
        <v>0</v>
      </c>
      <c r="E67" s="49">
        <f>AVERAGE('23.08 Kampala-Bukaya-24h'!E67,'24.08 Kampala-Bukaya-24h'!E67)</f>
        <v>2</v>
      </c>
      <c r="F67" s="49">
        <f>AVERAGE('23.08 Kampala-Bukaya-24h'!F67,'24.08 Kampala-Bukaya-24h'!F67)</f>
        <v>3</v>
      </c>
      <c r="G67" s="49">
        <f>AVERAGE('23.08 Kampala-Bukaya-24h'!G67,'24.08 Kampala-Bukaya-24h'!G67)</f>
        <v>0</v>
      </c>
      <c r="H67" s="49">
        <f>AVERAGE('23.08 Kampala-Bukaya-24h'!H67,'24.08 Kampala-Bukaya-24h'!H67)</f>
        <v>0</v>
      </c>
      <c r="I67" s="49">
        <f>AVERAGE('23.08 Kampala-Bukaya-24h'!I67,'24.08 Kampala-Bukaya-24h'!I67)</f>
        <v>2</v>
      </c>
      <c r="J67" s="49">
        <f>AVERAGE('23.08 Kampala-Bukaya-24h'!J67,'24.08 Kampala-Bukaya-24h'!J67)</f>
        <v>0</v>
      </c>
      <c r="K67" s="49">
        <f>AVERAGE('23.08 Kampala-Bukaya-24h'!K67,'24.08 Kampala-Bukaya-24h'!K67)</f>
        <v>1</v>
      </c>
      <c r="L67" s="49">
        <f>AVERAGE('23.08 Kampala-Bukaya-24h'!L67,'24.08 Kampala-Bukaya-24h'!L67)</f>
        <v>0</v>
      </c>
      <c r="M67" s="49">
        <f>AVERAGE('23.08 Kampala-Bukaya-24h'!M67,'24.08 Kampala-Bukaya-24h'!M67)</f>
        <v>10</v>
      </c>
      <c r="N67" s="49">
        <f>AVERAGE('23.08 Kampala-Bukaya-24h'!N67,'24.08 Kampala-Bukaya-24h'!N67)</f>
        <v>0</v>
      </c>
      <c r="O67" s="15">
        <f t="shared" si="0"/>
        <v>10</v>
      </c>
      <c r="P67" s="15">
        <f t="shared" si="0"/>
        <v>28</v>
      </c>
      <c r="R67" s="8"/>
      <c r="T67"/>
    </row>
    <row r="68" spans="2:20" ht="23.1" customHeight="1" x14ac:dyDescent="0.25">
      <c r="B68" s="23" t="s">
        <v>105</v>
      </c>
      <c r="C68" s="49">
        <f>AVERAGE('23.08 Kampala-Bukaya-24h'!C68,'24.08 Kampala-Bukaya-24h'!C68)</f>
        <v>2</v>
      </c>
      <c r="D68" s="49">
        <f>AVERAGE('23.08 Kampala-Bukaya-24h'!D68,'24.08 Kampala-Bukaya-24h'!D68)</f>
        <v>0</v>
      </c>
      <c r="E68" s="49">
        <f>AVERAGE('23.08 Kampala-Bukaya-24h'!E68,'24.08 Kampala-Bukaya-24h'!E68)</f>
        <v>2</v>
      </c>
      <c r="F68" s="49">
        <f>AVERAGE('23.08 Kampala-Bukaya-24h'!F68,'24.08 Kampala-Bukaya-24h'!F68)</f>
        <v>2</v>
      </c>
      <c r="G68" s="49">
        <f>AVERAGE('23.08 Kampala-Bukaya-24h'!G68,'24.08 Kampala-Bukaya-24h'!G68)</f>
        <v>0</v>
      </c>
      <c r="H68" s="49">
        <f>AVERAGE('23.08 Kampala-Bukaya-24h'!H68,'24.08 Kampala-Bukaya-24h'!H68)</f>
        <v>0</v>
      </c>
      <c r="I68" s="49">
        <f>AVERAGE('23.08 Kampala-Bukaya-24h'!I68,'24.08 Kampala-Bukaya-24h'!I68)</f>
        <v>0</v>
      </c>
      <c r="J68" s="49">
        <f>AVERAGE('23.08 Kampala-Bukaya-24h'!J68,'24.08 Kampala-Bukaya-24h'!J68)</f>
        <v>0</v>
      </c>
      <c r="K68" s="49">
        <f>AVERAGE('23.08 Kampala-Bukaya-24h'!K68,'24.08 Kampala-Bukaya-24h'!K68)</f>
        <v>0</v>
      </c>
      <c r="L68" s="49">
        <f>AVERAGE('23.08 Kampala-Bukaya-24h'!L68,'24.08 Kampala-Bukaya-24h'!L68)</f>
        <v>0</v>
      </c>
      <c r="M68" s="49">
        <f>AVERAGE('23.08 Kampala-Bukaya-24h'!M68,'24.08 Kampala-Bukaya-24h'!M68)</f>
        <v>8</v>
      </c>
      <c r="N68" s="49">
        <f>AVERAGE('23.08 Kampala-Bukaya-24h'!N68,'24.08 Kampala-Bukaya-24h'!N68)</f>
        <v>0</v>
      </c>
      <c r="O68" s="15">
        <f t="shared" si="0"/>
        <v>6</v>
      </c>
      <c r="P68" s="15">
        <f t="shared" si="0"/>
        <v>18</v>
      </c>
      <c r="R68" s="8"/>
      <c r="T68"/>
    </row>
    <row r="69" spans="2:20" ht="23.1" customHeight="1" x14ac:dyDescent="0.25">
      <c r="B69" s="23" t="s">
        <v>106</v>
      </c>
      <c r="C69" s="49">
        <f>AVERAGE('23.08 Kampala-Bukaya-24h'!C69,'24.08 Kampala-Bukaya-24h'!C69)</f>
        <v>1</v>
      </c>
      <c r="D69" s="49">
        <f>AVERAGE('23.08 Kampala-Bukaya-24h'!D69,'24.08 Kampala-Bukaya-24h'!D69)</f>
        <v>0</v>
      </c>
      <c r="E69" s="49">
        <f>AVERAGE('23.08 Kampala-Bukaya-24h'!E69,'24.08 Kampala-Bukaya-24h'!E69)</f>
        <v>4</v>
      </c>
      <c r="F69" s="49">
        <f>AVERAGE('23.08 Kampala-Bukaya-24h'!F69,'24.08 Kampala-Bukaya-24h'!F69)</f>
        <v>1</v>
      </c>
      <c r="G69" s="49">
        <f>AVERAGE('23.08 Kampala-Bukaya-24h'!G69,'24.08 Kampala-Bukaya-24h'!G69)</f>
        <v>0</v>
      </c>
      <c r="H69" s="49">
        <f>AVERAGE('23.08 Kampala-Bukaya-24h'!H69,'24.08 Kampala-Bukaya-24h'!H69)</f>
        <v>0</v>
      </c>
      <c r="I69" s="49">
        <f>AVERAGE('23.08 Kampala-Bukaya-24h'!I69,'24.08 Kampala-Bukaya-24h'!I69)</f>
        <v>1</v>
      </c>
      <c r="J69" s="49">
        <f>AVERAGE('23.08 Kampala-Bukaya-24h'!J69,'24.08 Kampala-Bukaya-24h'!J69)</f>
        <v>0</v>
      </c>
      <c r="K69" s="49">
        <f>AVERAGE('23.08 Kampala-Bukaya-24h'!K69,'24.08 Kampala-Bukaya-24h'!K69)</f>
        <v>0</v>
      </c>
      <c r="L69" s="49">
        <f>AVERAGE('23.08 Kampala-Bukaya-24h'!L69,'24.08 Kampala-Bukaya-24h'!L69)</f>
        <v>0</v>
      </c>
      <c r="M69" s="49">
        <f>AVERAGE('23.08 Kampala-Bukaya-24h'!M69,'24.08 Kampala-Bukaya-24h'!M69)</f>
        <v>5</v>
      </c>
      <c r="N69" s="49">
        <f>AVERAGE('23.08 Kampala-Bukaya-24h'!N69,'24.08 Kampala-Bukaya-24h'!N69)</f>
        <v>0</v>
      </c>
      <c r="O69" s="15">
        <f t="shared" si="0"/>
        <v>7</v>
      </c>
      <c r="P69" s="15">
        <f t="shared" si="0"/>
        <v>18</v>
      </c>
      <c r="R69" s="8"/>
      <c r="T69"/>
    </row>
    <row r="70" spans="2:20" ht="23.1" customHeight="1" x14ac:dyDescent="0.25">
      <c r="B70" s="23" t="s">
        <v>110</v>
      </c>
      <c r="C70" s="49">
        <f>AVERAGE('23.08 Kampala-Bukaya-24h'!C70,'24.08 Kampala-Bukaya-24h'!C70)</f>
        <v>2</v>
      </c>
      <c r="D70" s="49">
        <f>AVERAGE('23.08 Kampala-Bukaya-24h'!D70,'24.08 Kampala-Bukaya-24h'!D70)</f>
        <v>0</v>
      </c>
      <c r="E70" s="49">
        <f>AVERAGE('23.08 Kampala-Bukaya-24h'!E70,'24.08 Kampala-Bukaya-24h'!E70)</f>
        <v>1</v>
      </c>
      <c r="F70" s="49">
        <f>AVERAGE('23.08 Kampala-Bukaya-24h'!F70,'24.08 Kampala-Bukaya-24h'!F70)</f>
        <v>0</v>
      </c>
      <c r="G70" s="49">
        <f>AVERAGE('23.08 Kampala-Bukaya-24h'!G70,'24.08 Kampala-Bukaya-24h'!G70)</f>
        <v>1</v>
      </c>
      <c r="H70" s="49">
        <f>AVERAGE('23.08 Kampala-Bukaya-24h'!H70,'24.08 Kampala-Bukaya-24h'!H70)</f>
        <v>0</v>
      </c>
      <c r="I70" s="49">
        <f>AVERAGE('23.08 Kampala-Bukaya-24h'!I70,'24.08 Kampala-Bukaya-24h'!I70)</f>
        <v>2</v>
      </c>
      <c r="J70" s="49">
        <f>AVERAGE('23.08 Kampala-Bukaya-24h'!J70,'24.08 Kampala-Bukaya-24h'!J70)</f>
        <v>0</v>
      </c>
      <c r="K70" s="49">
        <f>AVERAGE('23.08 Kampala-Bukaya-24h'!K70,'24.08 Kampala-Bukaya-24h'!K70)</f>
        <v>1</v>
      </c>
      <c r="L70" s="49">
        <f>AVERAGE('23.08 Kampala-Bukaya-24h'!L70,'24.08 Kampala-Bukaya-24h'!L70)</f>
        <v>0</v>
      </c>
      <c r="M70" s="49">
        <f>AVERAGE('23.08 Kampala-Bukaya-24h'!M70,'24.08 Kampala-Bukaya-24h'!M70)</f>
        <v>4</v>
      </c>
      <c r="N70" s="49">
        <f>AVERAGE('23.08 Kampala-Bukaya-24h'!N70,'24.08 Kampala-Bukaya-24h'!N70)</f>
        <v>0</v>
      </c>
      <c r="O70" s="15">
        <f t="shared" si="0"/>
        <v>7</v>
      </c>
      <c r="P70" s="15">
        <f t="shared" si="0"/>
        <v>16</v>
      </c>
      <c r="R70" s="8"/>
      <c r="T70"/>
    </row>
    <row r="71" spans="2:20" ht="23.1" customHeight="1" x14ac:dyDescent="0.25">
      <c r="B71" s="23" t="s">
        <v>111</v>
      </c>
      <c r="C71" s="49">
        <f>AVERAGE('23.08 Kampala-Bukaya-24h'!C71,'24.08 Kampala-Bukaya-24h'!C71)</f>
        <v>2</v>
      </c>
      <c r="D71" s="49">
        <f>AVERAGE('23.08 Kampala-Bukaya-24h'!D71,'24.08 Kampala-Bukaya-24h'!D71)</f>
        <v>0</v>
      </c>
      <c r="E71" s="49">
        <f>AVERAGE('23.08 Kampala-Bukaya-24h'!E71,'24.08 Kampala-Bukaya-24h'!E71)</f>
        <v>1</v>
      </c>
      <c r="F71" s="49">
        <f>AVERAGE('23.08 Kampala-Bukaya-24h'!F71,'24.08 Kampala-Bukaya-24h'!F71)</f>
        <v>1</v>
      </c>
      <c r="G71" s="49">
        <f>AVERAGE('23.08 Kampala-Bukaya-24h'!G71,'24.08 Kampala-Bukaya-24h'!G71)</f>
        <v>0</v>
      </c>
      <c r="H71" s="49">
        <f>AVERAGE('23.08 Kampala-Bukaya-24h'!H71,'24.08 Kampala-Bukaya-24h'!H71)</f>
        <v>0</v>
      </c>
      <c r="I71" s="49">
        <f>AVERAGE('23.08 Kampala-Bukaya-24h'!I71,'24.08 Kampala-Bukaya-24h'!I71)</f>
        <v>1</v>
      </c>
      <c r="J71" s="49">
        <f>AVERAGE('23.08 Kampala-Bukaya-24h'!J71,'24.08 Kampala-Bukaya-24h'!J71)</f>
        <v>0</v>
      </c>
      <c r="K71" s="49">
        <f>AVERAGE('23.08 Kampala-Bukaya-24h'!K71,'24.08 Kampala-Bukaya-24h'!K71)</f>
        <v>0</v>
      </c>
      <c r="L71" s="49">
        <f>AVERAGE('23.08 Kampala-Bukaya-24h'!L71,'24.08 Kampala-Bukaya-24h'!L71)</f>
        <v>0</v>
      </c>
      <c r="M71" s="49">
        <f>AVERAGE('23.08 Kampala-Bukaya-24h'!M71,'24.08 Kampala-Bukaya-24h'!M71)</f>
        <v>6</v>
      </c>
      <c r="N71" s="49">
        <f>AVERAGE('23.08 Kampala-Bukaya-24h'!N71,'24.08 Kampala-Bukaya-24h'!N71)</f>
        <v>0</v>
      </c>
      <c r="O71" s="15">
        <f t="shared" si="0"/>
        <v>5</v>
      </c>
      <c r="P71" s="15">
        <f t="shared" si="0"/>
        <v>14</v>
      </c>
      <c r="R71" s="8"/>
      <c r="T71"/>
    </row>
    <row r="72" spans="2:20" ht="23.1" customHeight="1" x14ac:dyDescent="0.25">
      <c r="B72" s="23" t="s">
        <v>112</v>
      </c>
      <c r="C72" s="49">
        <f>AVERAGE('23.08 Kampala-Bukaya-24h'!C72,'24.08 Kampala-Bukaya-24h'!C72)</f>
        <v>4</v>
      </c>
      <c r="D72" s="49">
        <f>AVERAGE('23.08 Kampala-Bukaya-24h'!D72,'24.08 Kampala-Bukaya-24h'!D72)</f>
        <v>0</v>
      </c>
      <c r="E72" s="49">
        <f>AVERAGE('23.08 Kampala-Bukaya-24h'!E72,'24.08 Kampala-Bukaya-24h'!E72)</f>
        <v>1</v>
      </c>
      <c r="F72" s="49">
        <f>AVERAGE('23.08 Kampala-Bukaya-24h'!F72,'24.08 Kampala-Bukaya-24h'!F72)</f>
        <v>2</v>
      </c>
      <c r="G72" s="49">
        <f>AVERAGE('23.08 Kampala-Bukaya-24h'!G72,'24.08 Kampala-Bukaya-24h'!G72)</f>
        <v>0</v>
      </c>
      <c r="H72" s="49">
        <f>AVERAGE('23.08 Kampala-Bukaya-24h'!H72,'24.08 Kampala-Bukaya-24h'!H72)</f>
        <v>0</v>
      </c>
      <c r="I72" s="49">
        <f>AVERAGE('23.08 Kampala-Bukaya-24h'!I72,'24.08 Kampala-Bukaya-24h'!I72)</f>
        <v>0</v>
      </c>
      <c r="J72" s="49">
        <f>AVERAGE('23.08 Kampala-Bukaya-24h'!J72,'24.08 Kampala-Bukaya-24h'!J72)</f>
        <v>0</v>
      </c>
      <c r="K72" s="49">
        <f>AVERAGE('23.08 Kampala-Bukaya-24h'!K72,'24.08 Kampala-Bukaya-24h'!K72)</f>
        <v>0</v>
      </c>
      <c r="L72" s="49">
        <f>AVERAGE('23.08 Kampala-Bukaya-24h'!L72,'24.08 Kampala-Bukaya-24h'!L72)</f>
        <v>0</v>
      </c>
      <c r="M72" s="49">
        <f>AVERAGE('23.08 Kampala-Bukaya-24h'!M72,'24.08 Kampala-Bukaya-24h'!M72)</f>
        <v>3</v>
      </c>
      <c r="N72" s="49">
        <f>AVERAGE('23.08 Kampala-Bukaya-24h'!N72,'24.08 Kampala-Bukaya-24h'!N72)</f>
        <v>0</v>
      </c>
      <c r="O72" s="15">
        <f t="shared" si="0"/>
        <v>7</v>
      </c>
      <c r="P72" s="15">
        <f t="shared" si="0"/>
        <v>13</v>
      </c>
      <c r="R72" s="8"/>
      <c r="T72"/>
    </row>
    <row r="73" spans="2:20" ht="23.1" customHeight="1" x14ac:dyDescent="0.25">
      <c r="B73" s="23" t="s">
        <v>113</v>
      </c>
      <c r="C73" s="49">
        <f>AVERAGE('23.08 Kampala-Bukaya-24h'!C73,'24.08 Kampala-Bukaya-24h'!C73)</f>
        <v>2</v>
      </c>
      <c r="D73" s="49">
        <f>AVERAGE('23.08 Kampala-Bukaya-24h'!D73,'24.08 Kampala-Bukaya-24h'!D73)</f>
        <v>0</v>
      </c>
      <c r="E73" s="49">
        <f>AVERAGE('23.08 Kampala-Bukaya-24h'!E73,'24.08 Kampala-Bukaya-24h'!E73)</f>
        <v>2</v>
      </c>
      <c r="F73" s="49">
        <f>AVERAGE('23.08 Kampala-Bukaya-24h'!F73,'24.08 Kampala-Bukaya-24h'!F73)</f>
        <v>2</v>
      </c>
      <c r="G73" s="49">
        <f>AVERAGE('23.08 Kampala-Bukaya-24h'!G73,'24.08 Kampala-Bukaya-24h'!G73)</f>
        <v>0</v>
      </c>
      <c r="H73" s="49">
        <f>AVERAGE('23.08 Kampala-Bukaya-24h'!H73,'24.08 Kampala-Bukaya-24h'!H73)</f>
        <v>0</v>
      </c>
      <c r="I73" s="49">
        <f>AVERAGE('23.08 Kampala-Bukaya-24h'!I73,'24.08 Kampala-Bukaya-24h'!I73)</f>
        <v>3</v>
      </c>
      <c r="J73" s="49">
        <f>AVERAGE('23.08 Kampala-Bukaya-24h'!J73,'24.08 Kampala-Bukaya-24h'!J73)</f>
        <v>0</v>
      </c>
      <c r="K73" s="49">
        <f>AVERAGE('23.08 Kampala-Bukaya-24h'!K73,'24.08 Kampala-Bukaya-24h'!K73)</f>
        <v>0</v>
      </c>
      <c r="L73" s="49">
        <f>AVERAGE('23.08 Kampala-Bukaya-24h'!L73,'24.08 Kampala-Bukaya-24h'!L73)</f>
        <v>0</v>
      </c>
      <c r="M73" s="49">
        <f>AVERAGE('23.08 Kampala-Bukaya-24h'!M73,'24.08 Kampala-Bukaya-24h'!M73)</f>
        <v>4</v>
      </c>
      <c r="N73" s="49">
        <f>AVERAGE('23.08 Kampala-Bukaya-24h'!N73,'24.08 Kampala-Bukaya-24h'!N73)</f>
        <v>0</v>
      </c>
      <c r="O73" s="15">
        <f t="shared" si="0"/>
        <v>9</v>
      </c>
      <c r="P73" s="15">
        <f t="shared" si="0"/>
        <v>20</v>
      </c>
      <c r="R73" s="8"/>
      <c r="T73"/>
    </row>
    <row r="74" spans="2:20" ht="23.1" customHeight="1" x14ac:dyDescent="0.25">
      <c r="B74" s="23" t="s">
        <v>114</v>
      </c>
      <c r="C74" s="49">
        <f>AVERAGE('23.08 Kampala-Bukaya-24h'!C74,'24.08 Kampala-Bukaya-24h'!C74)</f>
        <v>1</v>
      </c>
      <c r="D74" s="49">
        <f>AVERAGE('23.08 Kampala-Bukaya-24h'!D74,'24.08 Kampala-Bukaya-24h'!D74)</f>
        <v>0</v>
      </c>
      <c r="E74" s="49">
        <f>AVERAGE('23.08 Kampala-Bukaya-24h'!E74,'24.08 Kampala-Bukaya-24h'!E74)</f>
        <v>3</v>
      </c>
      <c r="F74" s="49">
        <f>AVERAGE('23.08 Kampala-Bukaya-24h'!F74,'24.08 Kampala-Bukaya-24h'!F74)</f>
        <v>1</v>
      </c>
      <c r="G74" s="49">
        <f>AVERAGE('23.08 Kampala-Bukaya-24h'!G74,'24.08 Kampala-Bukaya-24h'!G74)</f>
        <v>0</v>
      </c>
      <c r="H74" s="49">
        <f>AVERAGE('23.08 Kampala-Bukaya-24h'!H74,'24.08 Kampala-Bukaya-24h'!H74)</f>
        <v>0</v>
      </c>
      <c r="I74" s="49">
        <f>AVERAGE('23.08 Kampala-Bukaya-24h'!I74,'24.08 Kampala-Bukaya-24h'!I74)</f>
        <v>3</v>
      </c>
      <c r="J74" s="49">
        <f>AVERAGE('23.08 Kampala-Bukaya-24h'!J74,'24.08 Kampala-Bukaya-24h'!J74)</f>
        <v>1</v>
      </c>
      <c r="K74" s="49">
        <f>AVERAGE('23.08 Kampala-Bukaya-24h'!K74,'24.08 Kampala-Bukaya-24h'!K74)</f>
        <v>0</v>
      </c>
      <c r="L74" s="49">
        <f>AVERAGE('23.08 Kampala-Bukaya-24h'!L74,'24.08 Kampala-Bukaya-24h'!L74)</f>
        <v>0</v>
      </c>
      <c r="M74" s="49">
        <f>AVERAGE('23.08 Kampala-Bukaya-24h'!M74,'24.08 Kampala-Bukaya-24h'!M74)</f>
        <v>0</v>
      </c>
      <c r="N74" s="49">
        <f>AVERAGE('23.08 Kampala-Bukaya-24h'!N74,'24.08 Kampala-Bukaya-24h'!N74)</f>
        <v>0</v>
      </c>
      <c r="O74" s="15">
        <f t="shared" ref="O74:P105" si="35">SUM(C74:L74,N74)</f>
        <v>9</v>
      </c>
      <c r="P74" s="15">
        <f t="shared" si="35"/>
        <v>17</v>
      </c>
      <c r="R74" s="8"/>
      <c r="T74"/>
    </row>
    <row r="75" spans="2:20" ht="23.1" customHeight="1" x14ac:dyDescent="0.25">
      <c r="B75" s="23" t="s">
        <v>115</v>
      </c>
      <c r="C75" s="49">
        <f>AVERAGE('23.08 Kampala-Bukaya-24h'!C75,'24.08 Kampala-Bukaya-24h'!C75)</f>
        <v>0</v>
      </c>
      <c r="D75" s="49">
        <f>AVERAGE('23.08 Kampala-Bukaya-24h'!D75,'24.08 Kampala-Bukaya-24h'!D75)</f>
        <v>0</v>
      </c>
      <c r="E75" s="49">
        <f>AVERAGE('23.08 Kampala-Bukaya-24h'!E75,'24.08 Kampala-Bukaya-24h'!E75)</f>
        <v>4</v>
      </c>
      <c r="F75" s="49">
        <f>AVERAGE('23.08 Kampala-Bukaya-24h'!F75,'24.08 Kampala-Bukaya-24h'!F75)</f>
        <v>2</v>
      </c>
      <c r="G75" s="49">
        <f>AVERAGE('23.08 Kampala-Bukaya-24h'!G75,'24.08 Kampala-Bukaya-24h'!G75)</f>
        <v>0</v>
      </c>
      <c r="H75" s="49">
        <f>AVERAGE('23.08 Kampala-Bukaya-24h'!H75,'24.08 Kampala-Bukaya-24h'!H75)</f>
        <v>0</v>
      </c>
      <c r="I75" s="49">
        <f>AVERAGE('23.08 Kampala-Bukaya-24h'!I75,'24.08 Kampala-Bukaya-24h'!I75)</f>
        <v>3</v>
      </c>
      <c r="J75" s="49">
        <f>AVERAGE('23.08 Kampala-Bukaya-24h'!J75,'24.08 Kampala-Bukaya-24h'!J75)</f>
        <v>0</v>
      </c>
      <c r="K75" s="49">
        <f>AVERAGE('23.08 Kampala-Bukaya-24h'!K75,'24.08 Kampala-Bukaya-24h'!K75)</f>
        <v>0</v>
      </c>
      <c r="L75" s="49">
        <f>AVERAGE('23.08 Kampala-Bukaya-24h'!L75,'24.08 Kampala-Bukaya-24h'!L75)</f>
        <v>0</v>
      </c>
      <c r="M75" s="49">
        <f>AVERAGE('23.08 Kampala-Bukaya-24h'!M75,'24.08 Kampala-Bukaya-24h'!M75)</f>
        <v>0</v>
      </c>
      <c r="N75" s="49">
        <f>AVERAGE('23.08 Kampala-Bukaya-24h'!N75,'24.08 Kampala-Bukaya-24h'!N75)</f>
        <v>0</v>
      </c>
      <c r="O75" s="15">
        <f t="shared" si="35"/>
        <v>9</v>
      </c>
      <c r="P75" s="15">
        <f t="shared" si="35"/>
        <v>18</v>
      </c>
      <c r="R75" s="8"/>
      <c r="T75"/>
    </row>
    <row r="76" spans="2:20" ht="23.1" customHeight="1" x14ac:dyDescent="0.25">
      <c r="B76" s="23" t="s">
        <v>116</v>
      </c>
      <c r="C76" s="49">
        <f>AVERAGE('23.08 Kampala-Bukaya-24h'!C76,'24.08 Kampala-Bukaya-24h'!C76)</f>
        <v>1</v>
      </c>
      <c r="D76" s="49">
        <f>AVERAGE('23.08 Kampala-Bukaya-24h'!D76,'24.08 Kampala-Bukaya-24h'!D76)</f>
        <v>0</v>
      </c>
      <c r="E76" s="49">
        <f>AVERAGE('23.08 Kampala-Bukaya-24h'!E76,'24.08 Kampala-Bukaya-24h'!E76)</f>
        <v>2</v>
      </c>
      <c r="F76" s="49">
        <f>AVERAGE('23.08 Kampala-Bukaya-24h'!F76,'24.08 Kampala-Bukaya-24h'!F76)</f>
        <v>1</v>
      </c>
      <c r="G76" s="49">
        <f>AVERAGE('23.08 Kampala-Bukaya-24h'!G76,'24.08 Kampala-Bukaya-24h'!G76)</f>
        <v>0</v>
      </c>
      <c r="H76" s="49">
        <f>AVERAGE('23.08 Kampala-Bukaya-24h'!H76,'24.08 Kampala-Bukaya-24h'!H76)</f>
        <v>0</v>
      </c>
      <c r="I76" s="49">
        <f>AVERAGE('23.08 Kampala-Bukaya-24h'!I76,'24.08 Kampala-Bukaya-24h'!I76)</f>
        <v>5</v>
      </c>
      <c r="J76" s="49">
        <f>AVERAGE('23.08 Kampala-Bukaya-24h'!J76,'24.08 Kampala-Bukaya-24h'!J76)</f>
        <v>0</v>
      </c>
      <c r="K76" s="49">
        <f>AVERAGE('23.08 Kampala-Bukaya-24h'!K76,'24.08 Kampala-Bukaya-24h'!K76)</f>
        <v>0</v>
      </c>
      <c r="L76" s="49">
        <f>AVERAGE('23.08 Kampala-Bukaya-24h'!L76,'24.08 Kampala-Bukaya-24h'!L76)</f>
        <v>0</v>
      </c>
      <c r="M76" s="49">
        <f>AVERAGE('23.08 Kampala-Bukaya-24h'!M76,'24.08 Kampala-Bukaya-24h'!M76)</f>
        <v>0</v>
      </c>
      <c r="N76" s="49">
        <f>AVERAGE('23.08 Kampala-Bukaya-24h'!N76,'24.08 Kampala-Bukaya-24h'!N76)</f>
        <v>0</v>
      </c>
      <c r="O76" s="15">
        <f t="shared" si="35"/>
        <v>9</v>
      </c>
      <c r="P76" s="15">
        <f t="shared" si="35"/>
        <v>17</v>
      </c>
      <c r="R76" s="8"/>
      <c r="T76"/>
    </row>
    <row r="77" spans="2:20" ht="23.1" customHeight="1" x14ac:dyDescent="0.25">
      <c r="B77" s="23" t="s">
        <v>117</v>
      </c>
      <c r="C77" s="49">
        <f>AVERAGE('23.08 Kampala-Bukaya-24h'!C77,'24.08 Kampala-Bukaya-24h'!C77)</f>
        <v>4</v>
      </c>
      <c r="D77" s="49">
        <f>AVERAGE('23.08 Kampala-Bukaya-24h'!D77,'24.08 Kampala-Bukaya-24h'!D77)</f>
        <v>0</v>
      </c>
      <c r="E77" s="49">
        <f>AVERAGE('23.08 Kampala-Bukaya-24h'!E77,'24.08 Kampala-Bukaya-24h'!E77)</f>
        <v>2</v>
      </c>
      <c r="F77" s="49">
        <f>AVERAGE('23.08 Kampala-Bukaya-24h'!F77,'24.08 Kampala-Bukaya-24h'!F77)</f>
        <v>1</v>
      </c>
      <c r="G77" s="49">
        <f>AVERAGE('23.08 Kampala-Bukaya-24h'!G77,'24.08 Kampala-Bukaya-24h'!G77)</f>
        <v>0</v>
      </c>
      <c r="H77" s="49">
        <f>AVERAGE('23.08 Kampala-Bukaya-24h'!H77,'24.08 Kampala-Bukaya-24h'!H77)</f>
        <v>0</v>
      </c>
      <c r="I77" s="49">
        <f>AVERAGE('23.08 Kampala-Bukaya-24h'!I77,'24.08 Kampala-Bukaya-24h'!I77)</f>
        <v>3</v>
      </c>
      <c r="J77" s="49">
        <f>AVERAGE('23.08 Kampala-Bukaya-24h'!J77,'24.08 Kampala-Bukaya-24h'!J77)</f>
        <v>0</v>
      </c>
      <c r="K77" s="49">
        <f>AVERAGE('23.08 Kampala-Bukaya-24h'!K77,'24.08 Kampala-Bukaya-24h'!K77)</f>
        <v>0</v>
      </c>
      <c r="L77" s="49">
        <f>AVERAGE('23.08 Kampala-Bukaya-24h'!L77,'24.08 Kampala-Bukaya-24h'!L77)</f>
        <v>0</v>
      </c>
      <c r="M77" s="49">
        <f>AVERAGE('23.08 Kampala-Bukaya-24h'!M77,'24.08 Kampala-Bukaya-24h'!M77)</f>
        <v>0</v>
      </c>
      <c r="N77" s="49">
        <f>AVERAGE('23.08 Kampala-Bukaya-24h'!N77,'24.08 Kampala-Bukaya-24h'!N77)</f>
        <v>0</v>
      </c>
      <c r="O77" s="15">
        <f t="shared" si="35"/>
        <v>10</v>
      </c>
      <c r="P77" s="15">
        <f t="shared" si="35"/>
        <v>16</v>
      </c>
      <c r="R77" s="8"/>
      <c r="T77"/>
    </row>
    <row r="78" spans="2:20" ht="23.1" customHeight="1" x14ac:dyDescent="0.25">
      <c r="B78" s="24" t="s">
        <v>118</v>
      </c>
      <c r="C78" s="49">
        <f>AVERAGE('23.08 Kampala-Bukaya-24h'!C78,'24.08 Kampala-Bukaya-24h'!C78)</f>
        <v>2</v>
      </c>
      <c r="D78" s="49">
        <f>AVERAGE('23.08 Kampala-Bukaya-24h'!D78,'24.08 Kampala-Bukaya-24h'!D78)</f>
        <v>0</v>
      </c>
      <c r="E78" s="49">
        <f>AVERAGE('23.08 Kampala-Bukaya-24h'!E78,'24.08 Kampala-Bukaya-24h'!E78)</f>
        <v>1</v>
      </c>
      <c r="F78" s="49">
        <f>AVERAGE('23.08 Kampala-Bukaya-24h'!F78,'24.08 Kampala-Bukaya-24h'!F78)</f>
        <v>3</v>
      </c>
      <c r="G78" s="49">
        <f>AVERAGE('23.08 Kampala-Bukaya-24h'!G78,'24.08 Kampala-Bukaya-24h'!G78)</f>
        <v>0</v>
      </c>
      <c r="H78" s="49">
        <f>AVERAGE('23.08 Kampala-Bukaya-24h'!H78,'24.08 Kampala-Bukaya-24h'!H78)</f>
        <v>0</v>
      </c>
      <c r="I78" s="49">
        <f>AVERAGE('23.08 Kampala-Bukaya-24h'!I78,'24.08 Kampala-Bukaya-24h'!I78)</f>
        <v>2</v>
      </c>
      <c r="J78" s="49">
        <f>AVERAGE('23.08 Kampala-Bukaya-24h'!J78,'24.08 Kampala-Bukaya-24h'!J78)</f>
        <v>0</v>
      </c>
      <c r="K78" s="49">
        <f>AVERAGE('23.08 Kampala-Bukaya-24h'!K78,'24.08 Kampala-Bukaya-24h'!K78)</f>
        <v>1</v>
      </c>
      <c r="L78" s="49">
        <f>AVERAGE('23.08 Kampala-Bukaya-24h'!L78,'24.08 Kampala-Bukaya-24h'!L78)</f>
        <v>0</v>
      </c>
      <c r="M78" s="49">
        <f>AVERAGE('23.08 Kampala-Bukaya-24h'!M78,'24.08 Kampala-Bukaya-24h'!M78)</f>
        <v>0</v>
      </c>
      <c r="N78" s="49">
        <f>AVERAGE('23.08 Kampala-Bukaya-24h'!N78,'24.08 Kampala-Bukaya-24h'!N78)</f>
        <v>0</v>
      </c>
      <c r="O78" s="15">
        <f t="shared" si="35"/>
        <v>9</v>
      </c>
      <c r="P78" s="15">
        <f t="shared" si="35"/>
        <v>16</v>
      </c>
      <c r="R78" s="8"/>
      <c r="T78"/>
    </row>
    <row r="79" spans="2:20" ht="23.1" customHeight="1" x14ac:dyDescent="0.25">
      <c r="B79" s="23" t="s">
        <v>119</v>
      </c>
      <c r="C79" s="49">
        <f>AVERAGE('23.08 Kampala-Bukaya-24h'!C79,'24.08 Kampala-Bukaya-24h'!C79)</f>
        <v>1</v>
      </c>
      <c r="D79" s="49">
        <f>AVERAGE('23.08 Kampala-Bukaya-24h'!D79,'24.08 Kampala-Bukaya-24h'!D79)</f>
        <v>0</v>
      </c>
      <c r="E79" s="49">
        <f>AVERAGE('23.08 Kampala-Bukaya-24h'!E79,'24.08 Kampala-Bukaya-24h'!E79)</f>
        <v>0</v>
      </c>
      <c r="F79" s="49">
        <f>AVERAGE('23.08 Kampala-Bukaya-24h'!F79,'24.08 Kampala-Bukaya-24h'!F79)</f>
        <v>0</v>
      </c>
      <c r="G79" s="49">
        <f>AVERAGE('23.08 Kampala-Bukaya-24h'!G79,'24.08 Kampala-Bukaya-24h'!G79)</f>
        <v>0</v>
      </c>
      <c r="H79" s="49">
        <f>AVERAGE('23.08 Kampala-Bukaya-24h'!H79,'24.08 Kampala-Bukaya-24h'!H79)</f>
        <v>0</v>
      </c>
      <c r="I79" s="49">
        <f>AVERAGE('23.08 Kampala-Bukaya-24h'!I79,'24.08 Kampala-Bukaya-24h'!I79)</f>
        <v>0</v>
      </c>
      <c r="J79" s="49">
        <f>AVERAGE('23.08 Kampala-Bukaya-24h'!J79,'24.08 Kampala-Bukaya-24h'!J79)</f>
        <v>0</v>
      </c>
      <c r="K79" s="49">
        <f>AVERAGE('23.08 Kampala-Bukaya-24h'!K79,'24.08 Kampala-Bukaya-24h'!K79)</f>
        <v>0</v>
      </c>
      <c r="L79" s="49">
        <f>AVERAGE('23.08 Kampala-Bukaya-24h'!L79,'24.08 Kampala-Bukaya-24h'!L79)</f>
        <v>0</v>
      </c>
      <c r="M79" s="49">
        <f>AVERAGE('23.08 Kampala-Bukaya-24h'!M79,'24.08 Kampala-Bukaya-24h'!M79)</f>
        <v>0</v>
      </c>
      <c r="N79" s="49">
        <f>AVERAGE('23.08 Kampala-Bukaya-24h'!N79,'24.08 Kampala-Bukaya-24h'!N79)</f>
        <v>0</v>
      </c>
      <c r="O79" s="15">
        <f t="shared" si="35"/>
        <v>1</v>
      </c>
      <c r="P79" s="15">
        <f t="shared" si="35"/>
        <v>1</v>
      </c>
      <c r="R79" s="8"/>
      <c r="T79"/>
    </row>
    <row r="80" spans="2:20" ht="23.1" customHeight="1" x14ac:dyDescent="0.25">
      <c r="B80" s="25" t="s">
        <v>120</v>
      </c>
      <c r="C80" s="49">
        <f>AVERAGE('23.08 Kampala-Bukaya-24h'!C80,'24.08 Kampala-Bukaya-24h'!C80)</f>
        <v>3</v>
      </c>
      <c r="D80" s="49">
        <f>AVERAGE('23.08 Kampala-Bukaya-24h'!D80,'24.08 Kampala-Bukaya-24h'!D80)</f>
        <v>0</v>
      </c>
      <c r="E80" s="49">
        <f>AVERAGE('23.08 Kampala-Bukaya-24h'!E80,'24.08 Kampala-Bukaya-24h'!E80)</f>
        <v>2</v>
      </c>
      <c r="F80" s="49">
        <f>AVERAGE('23.08 Kampala-Bukaya-24h'!F80,'24.08 Kampala-Bukaya-24h'!F80)</f>
        <v>2</v>
      </c>
      <c r="G80" s="49">
        <f>AVERAGE('23.08 Kampala-Bukaya-24h'!G80,'24.08 Kampala-Bukaya-24h'!G80)</f>
        <v>0</v>
      </c>
      <c r="H80" s="49">
        <f>AVERAGE('23.08 Kampala-Bukaya-24h'!H80,'24.08 Kampala-Bukaya-24h'!H80)</f>
        <v>0</v>
      </c>
      <c r="I80" s="49">
        <f>AVERAGE('23.08 Kampala-Bukaya-24h'!I80,'24.08 Kampala-Bukaya-24h'!I80)</f>
        <v>3</v>
      </c>
      <c r="J80" s="49">
        <f>AVERAGE('23.08 Kampala-Bukaya-24h'!J80,'24.08 Kampala-Bukaya-24h'!J80)</f>
        <v>0</v>
      </c>
      <c r="K80" s="49">
        <f>AVERAGE('23.08 Kampala-Bukaya-24h'!K80,'24.08 Kampala-Bukaya-24h'!K80)</f>
        <v>0</v>
      </c>
      <c r="L80" s="49">
        <f>AVERAGE('23.08 Kampala-Bukaya-24h'!L80,'24.08 Kampala-Bukaya-24h'!L80)</f>
        <v>0</v>
      </c>
      <c r="M80" s="49">
        <f>AVERAGE('23.08 Kampala-Bukaya-24h'!M80,'24.08 Kampala-Bukaya-24h'!M80)</f>
        <v>0</v>
      </c>
      <c r="N80" s="49">
        <f>AVERAGE('23.08 Kampala-Bukaya-24h'!N80,'24.08 Kampala-Bukaya-24h'!N80)</f>
        <v>0</v>
      </c>
      <c r="O80" s="15">
        <f t="shared" si="35"/>
        <v>10</v>
      </c>
      <c r="P80" s="15">
        <f t="shared" si="35"/>
        <v>17</v>
      </c>
      <c r="R80" s="8"/>
      <c r="T80"/>
    </row>
    <row r="81" spans="2:20" ht="23.1" customHeight="1" x14ac:dyDescent="0.25">
      <c r="B81" s="23" t="s">
        <v>121</v>
      </c>
      <c r="C81" s="49">
        <f>AVERAGE('23.08 Kampala-Bukaya-24h'!C81,'24.08 Kampala-Bukaya-24h'!C81)</f>
        <v>1</v>
      </c>
      <c r="D81" s="49">
        <f>AVERAGE('23.08 Kampala-Bukaya-24h'!D81,'24.08 Kampala-Bukaya-24h'!D81)</f>
        <v>0</v>
      </c>
      <c r="E81" s="49">
        <f>AVERAGE('23.08 Kampala-Bukaya-24h'!E81,'24.08 Kampala-Bukaya-24h'!E81)</f>
        <v>1</v>
      </c>
      <c r="F81" s="49">
        <f>AVERAGE('23.08 Kampala-Bukaya-24h'!F81,'24.08 Kampala-Bukaya-24h'!F81)</f>
        <v>1</v>
      </c>
      <c r="G81" s="49">
        <f>AVERAGE('23.08 Kampala-Bukaya-24h'!G81,'24.08 Kampala-Bukaya-24h'!G81)</f>
        <v>0</v>
      </c>
      <c r="H81" s="49">
        <f>AVERAGE('23.08 Kampala-Bukaya-24h'!H81,'24.08 Kampala-Bukaya-24h'!H81)</f>
        <v>0</v>
      </c>
      <c r="I81" s="49">
        <f>AVERAGE('23.08 Kampala-Bukaya-24h'!I81,'24.08 Kampala-Bukaya-24h'!I81)</f>
        <v>5</v>
      </c>
      <c r="J81" s="49">
        <f>AVERAGE('23.08 Kampala-Bukaya-24h'!J81,'24.08 Kampala-Bukaya-24h'!J81)</f>
        <v>0</v>
      </c>
      <c r="K81" s="49">
        <f>AVERAGE('23.08 Kampala-Bukaya-24h'!K81,'24.08 Kampala-Bukaya-24h'!K81)</f>
        <v>0</v>
      </c>
      <c r="L81" s="49">
        <f>AVERAGE('23.08 Kampala-Bukaya-24h'!L81,'24.08 Kampala-Bukaya-24h'!L81)</f>
        <v>0</v>
      </c>
      <c r="M81" s="49">
        <f>AVERAGE('23.08 Kampala-Bukaya-24h'!M81,'24.08 Kampala-Bukaya-24h'!M81)</f>
        <v>0</v>
      </c>
      <c r="N81" s="49">
        <f>AVERAGE('23.08 Kampala-Bukaya-24h'!N81,'24.08 Kampala-Bukaya-24h'!N81)</f>
        <v>0</v>
      </c>
      <c r="O81" s="15">
        <f t="shared" si="35"/>
        <v>8</v>
      </c>
      <c r="P81" s="15">
        <f t="shared" si="35"/>
        <v>15</v>
      </c>
      <c r="R81" s="8"/>
      <c r="T81"/>
    </row>
    <row r="82" spans="2:20" ht="23.1" customHeight="1" x14ac:dyDescent="0.25">
      <c r="B82" s="24" t="s">
        <v>122</v>
      </c>
      <c r="C82" s="49">
        <f>AVERAGE('23.08 Kampala-Bukaya-24h'!C82,'24.08 Kampala-Bukaya-24h'!C82)</f>
        <v>0</v>
      </c>
      <c r="D82" s="49">
        <f>AVERAGE('23.08 Kampala-Bukaya-24h'!D82,'24.08 Kampala-Bukaya-24h'!D82)</f>
        <v>0</v>
      </c>
      <c r="E82" s="49">
        <f>AVERAGE('23.08 Kampala-Bukaya-24h'!E82,'24.08 Kampala-Bukaya-24h'!E82)</f>
        <v>2</v>
      </c>
      <c r="F82" s="49">
        <f>AVERAGE('23.08 Kampala-Bukaya-24h'!F82,'24.08 Kampala-Bukaya-24h'!F82)</f>
        <v>0</v>
      </c>
      <c r="G82" s="49">
        <f>AVERAGE('23.08 Kampala-Bukaya-24h'!G82,'24.08 Kampala-Bukaya-24h'!G82)</f>
        <v>0</v>
      </c>
      <c r="H82" s="49">
        <f>AVERAGE('23.08 Kampala-Bukaya-24h'!H82,'24.08 Kampala-Bukaya-24h'!H82)</f>
        <v>0</v>
      </c>
      <c r="I82" s="49">
        <f>AVERAGE('23.08 Kampala-Bukaya-24h'!I82,'24.08 Kampala-Bukaya-24h'!I82)</f>
        <v>0</v>
      </c>
      <c r="J82" s="49">
        <f>AVERAGE('23.08 Kampala-Bukaya-24h'!J82,'24.08 Kampala-Bukaya-24h'!J82)</f>
        <v>0</v>
      </c>
      <c r="K82" s="49">
        <f>AVERAGE('23.08 Kampala-Bukaya-24h'!K82,'24.08 Kampala-Bukaya-24h'!K82)</f>
        <v>0</v>
      </c>
      <c r="L82" s="49">
        <f>AVERAGE('23.08 Kampala-Bukaya-24h'!L82,'24.08 Kampala-Bukaya-24h'!L82)</f>
        <v>0</v>
      </c>
      <c r="M82" s="49">
        <f>AVERAGE('23.08 Kampala-Bukaya-24h'!M82,'24.08 Kampala-Bukaya-24h'!M82)</f>
        <v>0</v>
      </c>
      <c r="N82" s="49">
        <f>AVERAGE('23.08 Kampala-Bukaya-24h'!N82,'24.08 Kampala-Bukaya-24h'!N82)</f>
        <v>0</v>
      </c>
      <c r="O82" s="15">
        <f t="shared" si="35"/>
        <v>2</v>
      </c>
      <c r="P82" s="15">
        <f t="shared" si="35"/>
        <v>4</v>
      </c>
      <c r="R82" s="8"/>
      <c r="T82"/>
    </row>
    <row r="83" spans="2:20" ht="23.1" customHeight="1" x14ac:dyDescent="0.25">
      <c r="B83" s="23" t="s">
        <v>123</v>
      </c>
      <c r="C83" s="49">
        <f>AVERAGE('23.08 Kampala-Bukaya-24h'!C83,'24.08 Kampala-Bukaya-24h'!C83)</f>
        <v>2</v>
      </c>
      <c r="D83" s="49">
        <f>AVERAGE('23.08 Kampala-Bukaya-24h'!D83,'24.08 Kampala-Bukaya-24h'!D83)</f>
        <v>0</v>
      </c>
      <c r="E83" s="49">
        <f>AVERAGE('23.08 Kampala-Bukaya-24h'!E83,'24.08 Kampala-Bukaya-24h'!E83)</f>
        <v>0</v>
      </c>
      <c r="F83" s="49">
        <f>AVERAGE('23.08 Kampala-Bukaya-24h'!F83,'24.08 Kampala-Bukaya-24h'!F83)</f>
        <v>0</v>
      </c>
      <c r="G83" s="49">
        <f>AVERAGE('23.08 Kampala-Bukaya-24h'!G83,'24.08 Kampala-Bukaya-24h'!G83)</f>
        <v>0</v>
      </c>
      <c r="H83" s="49">
        <f>AVERAGE('23.08 Kampala-Bukaya-24h'!H83,'24.08 Kampala-Bukaya-24h'!H83)</f>
        <v>0</v>
      </c>
      <c r="I83" s="49">
        <f>AVERAGE('23.08 Kampala-Bukaya-24h'!I83,'24.08 Kampala-Bukaya-24h'!I83)</f>
        <v>0</v>
      </c>
      <c r="J83" s="49">
        <f>AVERAGE('23.08 Kampala-Bukaya-24h'!J83,'24.08 Kampala-Bukaya-24h'!J83)</f>
        <v>0</v>
      </c>
      <c r="K83" s="49">
        <f>AVERAGE('23.08 Kampala-Bukaya-24h'!K83,'24.08 Kampala-Bukaya-24h'!K83)</f>
        <v>0</v>
      </c>
      <c r="L83" s="49">
        <f>AVERAGE('23.08 Kampala-Bukaya-24h'!L83,'24.08 Kampala-Bukaya-24h'!L83)</f>
        <v>0</v>
      </c>
      <c r="M83" s="49">
        <f>AVERAGE('23.08 Kampala-Bukaya-24h'!M83,'24.08 Kampala-Bukaya-24h'!M83)</f>
        <v>0</v>
      </c>
      <c r="N83" s="49">
        <f>AVERAGE('23.08 Kampala-Bukaya-24h'!N83,'24.08 Kampala-Bukaya-24h'!N83)</f>
        <v>0</v>
      </c>
      <c r="O83" s="15">
        <f t="shared" si="35"/>
        <v>2</v>
      </c>
      <c r="P83" s="15">
        <f t="shared" si="35"/>
        <v>2</v>
      </c>
      <c r="R83" s="8"/>
      <c r="T83"/>
    </row>
    <row r="84" spans="2:20" ht="23.1" customHeight="1" x14ac:dyDescent="0.25">
      <c r="B84" s="25" t="s">
        <v>124</v>
      </c>
      <c r="C84" s="49">
        <f>AVERAGE('23.08 Kampala-Bukaya-24h'!C84,'24.08 Kampala-Bukaya-24h'!C84)</f>
        <v>2</v>
      </c>
      <c r="D84" s="49">
        <f>AVERAGE('23.08 Kampala-Bukaya-24h'!D84,'24.08 Kampala-Bukaya-24h'!D84)</f>
        <v>0</v>
      </c>
      <c r="E84" s="49">
        <f>AVERAGE('23.08 Kampala-Bukaya-24h'!E84,'24.08 Kampala-Bukaya-24h'!E84)</f>
        <v>1</v>
      </c>
      <c r="F84" s="49">
        <f>AVERAGE('23.08 Kampala-Bukaya-24h'!F84,'24.08 Kampala-Bukaya-24h'!F84)</f>
        <v>1</v>
      </c>
      <c r="G84" s="49">
        <f>AVERAGE('23.08 Kampala-Bukaya-24h'!G84,'24.08 Kampala-Bukaya-24h'!G84)</f>
        <v>0</v>
      </c>
      <c r="H84" s="49">
        <f>AVERAGE('23.08 Kampala-Bukaya-24h'!H84,'24.08 Kampala-Bukaya-24h'!H84)</f>
        <v>0</v>
      </c>
      <c r="I84" s="49">
        <f>AVERAGE('23.08 Kampala-Bukaya-24h'!I84,'24.08 Kampala-Bukaya-24h'!I84)</f>
        <v>1</v>
      </c>
      <c r="J84" s="49">
        <f>AVERAGE('23.08 Kampala-Bukaya-24h'!J84,'24.08 Kampala-Bukaya-24h'!J84)</f>
        <v>0</v>
      </c>
      <c r="K84" s="49">
        <f>AVERAGE('23.08 Kampala-Bukaya-24h'!K84,'24.08 Kampala-Bukaya-24h'!K84)</f>
        <v>0</v>
      </c>
      <c r="L84" s="49">
        <f>AVERAGE('23.08 Kampala-Bukaya-24h'!L84,'24.08 Kampala-Bukaya-24h'!L84)</f>
        <v>0</v>
      </c>
      <c r="M84" s="49">
        <f>AVERAGE('23.08 Kampala-Bukaya-24h'!M84,'24.08 Kampala-Bukaya-24h'!M84)</f>
        <v>0</v>
      </c>
      <c r="N84" s="49">
        <f>AVERAGE('23.08 Kampala-Bukaya-24h'!N84,'24.08 Kampala-Bukaya-24h'!N84)</f>
        <v>0</v>
      </c>
      <c r="O84" s="15">
        <f t="shared" si="35"/>
        <v>5</v>
      </c>
      <c r="P84" s="15">
        <f t="shared" si="35"/>
        <v>8</v>
      </c>
      <c r="R84" s="8"/>
      <c r="T84"/>
    </row>
    <row r="85" spans="2:20" ht="23.1" customHeight="1" x14ac:dyDescent="0.25">
      <c r="B85" s="23" t="s">
        <v>125</v>
      </c>
      <c r="C85" s="49">
        <f>AVERAGE('23.08 Kampala-Bukaya-24h'!C85,'24.08 Kampala-Bukaya-24h'!C85)</f>
        <v>1</v>
      </c>
      <c r="D85" s="49">
        <f>AVERAGE('23.08 Kampala-Bukaya-24h'!D85,'24.08 Kampala-Bukaya-24h'!D85)</f>
        <v>0</v>
      </c>
      <c r="E85" s="49">
        <f>AVERAGE('23.08 Kampala-Bukaya-24h'!E85,'24.08 Kampala-Bukaya-24h'!E85)</f>
        <v>0</v>
      </c>
      <c r="F85" s="49">
        <f>AVERAGE('23.08 Kampala-Bukaya-24h'!F85,'24.08 Kampala-Bukaya-24h'!F85)</f>
        <v>0</v>
      </c>
      <c r="G85" s="49">
        <f>AVERAGE('23.08 Kampala-Bukaya-24h'!G85,'24.08 Kampala-Bukaya-24h'!G85)</f>
        <v>0</v>
      </c>
      <c r="H85" s="49">
        <f>AVERAGE('23.08 Kampala-Bukaya-24h'!H85,'24.08 Kampala-Bukaya-24h'!H85)</f>
        <v>0</v>
      </c>
      <c r="I85" s="49">
        <f>AVERAGE('23.08 Kampala-Bukaya-24h'!I85,'24.08 Kampala-Bukaya-24h'!I85)</f>
        <v>0</v>
      </c>
      <c r="J85" s="49">
        <f>AVERAGE('23.08 Kampala-Bukaya-24h'!J85,'24.08 Kampala-Bukaya-24h'!J85)</f>
        <v>0</v>
      </c>
      <c r="K85" s="49">
        <f>AVERAGE('23.08 Kampala-Bukaya-24h'!K85,'24.08 Kampala-Bukaya-24h'!K85)</f>
        <v>0</v>
      </c>
      <c r="L85" s="49">
        <f>AVERAGE('23.08 Kampala-Bukaya-24h'!L85,'24.08 Kampala-Bukaya-24h'!L85)</f>
        <v>0</v>
      </c>
      <c r="M85" s="49">
        <f>AVERAGE('23.08 Kampala-Bukaya-24h'!M85,'24.08 Kampala-Bukaya-24h'!M85)</f>
        <v>0</v>
      </c>
      <c r="N85" s="49">
        <f>AVERAGE('23.08 Kampala-Bukaya-24h'!N85,'24.08 Kampala-Bukaya-24h'!N85)</f>
        <v>0</v>
      </c>
      <c r="O85" s="15">
        <f t="shared" si="35"/>
        <v>1</v>
      </c>
      <c r="P85" s="15">
        <f t="shared" si="35"/>
        <v>1</v>
      </c>
      <c r="R85" s="8"/>
      <c r="T85"/>
    </row>
    <row r="86" spans="2:20" ht="23.1" customHeight="1" x14ac:dyDescent="0.25">
      <c r="B86" s="24" t="s">
        <v>126</v>
      </c>
      <c r="C86" s="49">
        <f>AVERAGE('23.08 Kampala-Bukaya-24h'!C86,'24.08 Kampala-Bukaya-24h'!C86)</f>
        <v>0</v>
      </c>
      <c r="D86" s="49">
        <f>AVERAGE('23.08 Kampala-Bukaya-24h'!D86,'24.08 Kampala-Bukaya-24h'!D86)</f>
        <v>0</v>
      </c>
      <c r="E86" s="49">
        <f>AVERAGE('23.08 Kampala-Bukaya-24h'!E86,'24.08 Kampala-Bukaya-24h'!E86)</f>
        <v>1</v>
      </c>
      <c r="F86" s="49">
        <f>AVERAGE('23.08 Kampala-Bukaya-24h'!F86,'24.08 Kampala-Bukaya-24h'!F86)</f>
        <v>1</v>
      </c>
      <c r="G86" s="49">
        <f>AVERAGE('23.08 Kampala-Bukaya-24h'!G86,'24.08 Kampala-Bukaya-24h'!G86)</f>
        <v>0</v>
      </c>
      <c r="H86" s="49">
        <f>AVERAGE('23.08 Kampala-Bukaya-24h'!H86,'24.08 Kampala-Bukaya-24h'!H86)</f>
        <v>0</v>
      </c>
      <c r="I86" s="49">
        <f>AVERAGE('23.08 Kampala-Bukaya-24h'!I86,'24.08 Kampala-Bukaya-24h'!I86)</f>
        <v>0</v>
      </c>
      <c r="J86" s="49">
        <f>AVERAGE('23.08 Kampala-Bukaya-24h'!J86,'24.08 Kampala-Bukaya-24h'!J86)</f>
        <v>0</v>
      </c>
      <c r="K86" s="49">
        <f>AVERAGE('23.08 Kampala-Bukaya-24h'!K86,'24.08 Kampala-Bukaya-24h'!K86)</f>
        <v>0</v>
      </c>
      <c r="L86" s="49">
        <f>AVERAGE('23.08 Kampala-Bukaya-24h'!L86,'24.08 Kampala-Bukaya-24h'!L86)</f>
        <v>0</v>
      </c>
      <c r="M86" s="49">
        <f>AVERAGE('23.08 Kampala-Bukaya-24h'!M86,'24.08 Kampala-Bukaya-24h'!M86)</f>
        <v>0</v>
      </c>
      <c r="N86" s="49">
        <f>AVERAGE('23.08 Kampala-Bukaya-24h'!N86,'24.08 Kampala-Bukaya-24h'!N86)</f>
        <v>0</v>
      </c>
      <c r="O86" s="15">
        <f t="shared" si="35"/>
        <v>2</v>
      </c>
      <c r="P86" s="15">
        <f t="shared" si="35"/>
        <v>4</v>
      </c>
      <c r="R86" s="8"/>
      <c r="T86"/>
    </row>
    <row r="87" spans="2:20" ht="23.1" customHeight="1" x14ac:dyDescent="0.25">
      <c r="B87" s="23" t="s">
        <v>127</v>
      </c>
      <c r="C87" s="49">
        <f>AVERAGE('23.08 Kampala-Bukaya-24h'!C87,'24.08 Kampala-Bukaya-24h'!C87)</f>
        <v>1</v>
      </c>
      <c r="D87" s="49">
        <f>AVERAGE('23.08 Kampala-Bukaya-24h'!D87,'24.08 Kampala-Bukaya-24h'!D87)</f>
        <v>0</v>
      </c>
      <c r="E87" s="49">
        <f>AVERAGE('23.08 Kampala-Bukaya-24h'!E87,'24.08 Kampala-Bukaya-24h'!E87)</f>
        <v>0</v>
      </c>
      <c r="F87" s="49">
        <f>AVERAGE('23.08 Kampala-Bukaya-24h'!F87,'24.08 Kampala-Bukaya-24h'!F87)</f>
        <v>0</v>
      </c>
      <c r="G87" s="49">
        <f>AVERAGE('23.08 Kampala-Bukaya-24h'!G87,'24.08 Kampala-Bukaya-24h'!G87)</f>
        <v>0</v>
      </c>
      <c r="H87" s="49">
        <f>AVERAGE('23.08 Kampala-Bukaya-24h'!H87,'24.08 Kampala-Bukaya-24h'!H87)</f>
        <v>0</v>
      </c>
      <c r="I87" s="49">
        <f>AVERAGE('23.08 Kampala-Bukaya-24h'!I87,'24.08 Kampala-Bukaya-24h'!I87)</f>
        <v>0</v>
      </c>
      <c r="J87" s="49">
        <f>AVERAGE('23.08 Kampala-Bukaya-24h'!J87,'24.08 Kampala-Bukaya-24h'!J87)</f>
        <v>0</v>
      </c>
      <c r="K87" s="49">
        <f>AVERAGE('23.08 Kampala-Bukaya-24h'!K87,'24.08 Kampala-Bukaya-24h'!K87)</f>
        <v>0</v>
      </c>
      <c r="L87" s="49">
        <f>AVERAGE('23.08 Kampala-Bukaya-24h'!L87,'24.08 Kampala-Bukaya-24h'!L87)</f>
        <v>0</v>
      </c>
      <c r="M87" s="49">
        <f>AVERAGE('23.08 Kampala-Bukaya-24h'!M87,'24.08 Kampala-Bukaya-24h'!M87)</f>
        <v>0</v>
      </c>
      <c r="N87" s="49">
        <f>AVERAGE('23.08 Kampala-Bukaya-24h'!N87,'24.08 Kampala-Bukaya-24h'!N87)</f>
        <v>0</v>
      </c>
      <c r="O87" s="15">
        <f t="shared" si="35"/>
        <v>1</v>
      </c>
      <c r="P87" s="15">
        <f t="shared" si="35"/>
        <v>1</v>
      </c>
      <c r="R87" s="8"/>
      <c r="T87"/>
    </row>
    <row r="88" spans="2:20" ht="23.1" customHeight="1" x14ac:dyDescent="0.25">
      <c r="B88" s="25" t="s">
        <v>128</v>
      </c>
      <c r="C88" s="49">
        <f>AVERAGE('23.08 Kampala-Bukaya-24h'!C88,'24.08 Kampala-Bukaya-24h'!C88)</f>
        <v>1</v>
      </c>
      <c r="D88" s="49">
        <f>AVERAGE('23.08 Kampala-Bukaya-24h'!D88,'24.08 Kampala-Bukaya-24h'!D88)</f>
        <v>0</v>
      </c>
      <c r="E88" s="49">
        <f>AVERAGE('23.08 Kampala-Bukaya-24h'!E88,'24.08 Kampala-Bukaya-24h'!E88)</f>
        <v>1</v>
      </c>
      <c r="F88" s="49">
        <f>AVERAGE('23.08 Kampala-Bukaya-24h'!F88,'24.08 Kampala-Bukaya-24h'!F88)</f>
        <v>1</v>
      </c>
      <c r="G88" s="49">
        <f>AVERAGE('23.08 Kampala-Bukaya-24h'!G88,'24.08 Kampala-Bukaya-24h'!G88)</f>
        <v>0</v>
      </c>
      <c r="H88" s="49">
        <f>AVERAGE('23.08 Kampala-Bukaya-24h'!H88,'24.08 Kampala-Bukaya-24h'!H88)</f>
        <v>0</v>
      </c>
      <c r="I88" s="49">
        <f>AVERAGE('23.08 Kampala-Bukaya-24h'!I88,'24.08 Kampala-Bukaya-24h'!I88)</f>
        <v>1</v>
      </c>
      <c r="J88" s="49">
        <f>AVERAGE('23.08 Kampala-Bukaya-24h'!J88,'24.08 Kampala-Bukaya-24h'!J88)</f>
        <v>0</v>
      </c>
      <c r="K88" s="49">
        <f>AVERAGE('23.08 Kampala-Bukaya-24h'!K88,'24.08 Kampala-Bukaya-24h'!K88)</f>
        <v>0</v>
      </c>
      <c r="L88" s="49">
        <f>AVERAGE('23.08 Kampala-Bukaya-24h'!L88,'24.08 Kampala-Bukaya-24h'!L88)</f>
        <v>0</v>
      </c>
      <c r="M88" s="49">
        <f>AVERAGE('23.08 Kampala-Bukaya-24h'!M88,'24.08 Kampala-Bukaya-24h'!M88)</f>
        <v>0</v>
      </c>
      <c r="N88" s="49">
        <f>AVERAGE('23.08 Kampala-Bukaya-24h'!N88,'24.08 Kampala-Bukaya-24h'!N88)</f>
        <v>0</v>
      </c>
      <c r="O88" s="15">
        <f t="shared" si="35"/>
        <v>4</v>
      </c>
      <c r="P88" s="15">
        <f t="shared" si="35"/>
        <v>7</v>
      </c>
      <c r="R88" s="8"/>
      <c r="T88"/>
    </row>
    <row r="89" spans="2:20" ht="23.1" customHeight="1" x14ac:dyDescent="0.25">
      <c r="B89" s="23" t="s">
        <v>129</v>
      </c>
      <c r="C89" s="49">
        <f>AVERAGE('23.08 Kampala-Bukaya-24h'!C89,'24.08 Kampala-Bukaya-24h'!C89)</f>
        <v>0</v>
      </c>
      <c r="D89" s="49">
        <f>AVERAGE('23.08 Kampala-Bukaya-24h'!D89,'24.08 Kampala-Bukaya-24h'!D89)</f>
        <v>0</v>
      </c>
      <c r="E89" s="49">
        <f>AVERAGE('23.08 Kampala-Bukaya-24h'!E89,'24.08 Kampala-Bukaya-24h'!E89)</f>
        <v>0</v>
      </c>
      <c r="F89" s="49">
        <f>AVERAGE('23.08 Kampala-Bukaya-24h'!F89,'24.08 Kampala-Bukaya-24h'!F89)</f>
        <v>0</v>
      </c>
      <c r="G89" s="49">
        <f>AVERAGE('23.08 Kampala-Bukaya-24h'!G89,'24.08 Kampala-Bukaya-24h'!G89)</f>
        <v>0</v>
      </c>
      <c r="H89" s="49">
        <f>AVERAGE('23.08 Kampala-Bukaya-24h'!H89,'24.08 Kampala-Bukaya-24h'!H89)</f>
        <v>0</v>
      </c>
      <c r="I89" s="49">
        <f>AVERAGE('23.08 Kampala-Bukaya-24h'!I89,'24.08 Kampala-Bukaya-24h'!I89)</f>
        <v>0</v>
      </c>
      <c r="J89" s="49">
        <f>AVERAGE('23.08 Kampala-Bukaya-24h'!J89,'24.08 Kampala-Bukaya-24h'!J89)</f>
        <v>0</v>
      </c>
      <c r="K89" s="49">
        <f>AVERAGE('23.08 Kampala-Bukaya-24h'!K89,'24.08 Kampala-Bukaya-24h'!K89)</f>
        <v>0</v>
      </c>
      <c r="L89" s="49">
        <f>AVERAGE('23.08 Kampala-Bukaya-24h'!L89,'24.08 Kampala-Bukaya-24h'!L89)</f>
        <v>0</v>
      </c>
      <c r="M89" s="49">
        <f>AVERAGE('23.08 Kampala-Bukaya-24h'!M89,'24.08 Kampala-Bukaya-24h'!M89)</f>
        <v>0</v>
      </c>
      <c r="N89" s="49">
        <f>AVERAGE('23.08 Kampala-Bukaya-24h'!N89,'24.08 Kampala-Bukaya-24h'!N89)</f>
        <v>0</v>
      </c>
      <c r="O89" s="15">
        <f t="shared" si="35"/>
        <v>0</v>
      </c>
      <c r="P89" s="15">
        <f t="shared" si="35"/>
        <v>0</v>
      </c>
      <c r="R89" s="8"/>
      <c r="T89"/>
    </row>
    <row r="90" spans="2:20" ht="23.1" customHeight="1" x14ac:dyDescent="0.25">
      <c r="B90" s="24" t="s">
        <v>130</v>
      </c>
      <c r="C90" s="49">
        <f>AVERAGE('23.08 Kampala-Bukaya-24h'!C90,'24.08 Kampala-Bukaya-24h'!C90)</f>
        <v>0</v>
      </c>
      <c r="D90" s="49">
        <f>AVERAGE('23.08 Kampala-Bukaya-24h'!D90,'24.08 Kampala-Bukaya-24h'!D90)</f>
        <v>0</v>
      </c>
      <c r="E90" s="49">
        <f>AVERAGE('23.08 Kampala-Bukaya-24h'!E90,'24.08 Kampala-Bukaya-24h'!E90)</f>
        <v>0</v>
      </c>
      <c r="F90" s="49">
        <f>AVERAGE('23.08 Kampala-Bukaya-24h'!F90,'24.08 Kampala-Bukaya-24h'!F90)</f>
        <v>0</v>
      </c>
      <c r="G90" s="49">
        <f>AVERAGE('23.08 Kampala-Bukaya-24h'!G90,'24.08 Kampala-Bukaya-24h'!G90)</f>
        <v>0</v>
      </c>
      <c r="H90" s="49">
        <f>AVERAGE('23.08 Kampala-Bukaya-24h'!H90,'24.08 Kampala-Bukaya-24h'!H90)</f>
        <v>0</v>
      </c>
      <c r="I90" s="49">
        <f>AVERAGE('23.08 Kampala-Bukaya-24h'!I90,'24.08 Kampala-Bukaya-24h'!I90)</f>
        <v>0</v>
      </c>
      <c r="J90" s="49">
        <f>AVERAGE('23.08 Kampala-Bukaya-24h'!J90,'24.08 Kampala-Bukaya-24h'!J90)</f>
        <v>0</v>
      </c>
      <c r="K90" s="49">
        <f>AVERAGE('23.08 Kampala-Bukaya-24h'!K90,'24.08 Kampala-Bukaya-24h'!K90)</f>
        <v>0</v>
      </c>
      <c r="L90" s="49">
        <f>AVERAGE('23.08 Kampala-Bukaya-24h'!L90,'24.08 Kampala-Bukaya-24h'!L90)</f>
        <v>0</v>
      </c>
      <c r="M90" s="49">
        <f>AVERAGE('23.08 Kampala-Bukaya-24h'!M90,'24.08 Kampala-Bukaya-24h'!M90)</f>
        <v>0</v>
      </c>
      <c r="N90" s="49">
        <f>AVERAGE('23.08 Kampala-Bukaya-24h'!N90,'24.08 Kampala-Bukaya-24h'!N90)</f>
        <v>0</v>
      </c>
      <c r="O90" s="15">
        <f t="shared" si="35"/>
        <v>0</v>
      </c>
      <c r="P90" s="15">
        <f t="shared" si="35"/>
        <v>0</v>
      </c>
      <c r="R90" s="8"/>
      <c r="T90"/>
    </row>
    <row r="91" spans="2:20" ht="23.1" customHeight="1" x14ac:dyDescent="0.25">
      <c r="B91" s="23" t="s">
        <v>131</v>
      </c>
      <c r="C91" s="49">
        <f>AVERAGE('23.08 Kampala-Bukaya-24h'!C91,'24.08 Kampala-Bukaya-24h'!C91)</f>
        <v>0</v>
      </c>
      <c r="D91" s="49">
        <f>AVERAGE('23.08 Kampala-Bukaya-24h'!D91,'24.08 Kampala-Bukaya-24h'!D91)</f>
        <v>0</v>
      </c>
      <c r="E91" s="49">
        <f>AVERAGE('23.08 Kampala-Bukaya-24h'!E91,'24.08 Kampala-Bukaya-24h'!E91)</f>
        <v>0</v>
      </c>
      <c r="F91" s="49">
        <f>AVERAGE('23.08 Kampala-Bukaya-24h'!F91,'24.08 Kampala-Bukaya-24h'!F91)</f>
        <v>0</v>
      </c>
      <c r="G91" s="49">
        <f>AVERAGE('23.08 Kampala-Bukaya-24h'!G91,'24.08 Kampala-Bukaya-24h'!G91)</f>
        <v>0</v>
      </c>
      <c r="H91" s="49">
        <f>AVERAGE('23.08 Kampala-Bukaya-24h'!H91,'24.08 Kampala-Bukaya-24h'!H91)</f>
        <v>0</v>
      </c>
      <c r="I91" s="49">
        <f>AVERAGE('23.08 Kampala-Bukaya-24h'!I91,'24.08 Kampala-Bukaya-24h'!I91)</f>
        <v>0</v>
      </c>
      <c r="J91" s="49">
        <f>AVERAGE('23.08 Kampala-Bukaya-24h'!J91,'24.08 Kampala-Bukaya-24h'!J91)</f>
        <v>0</v>
      </c>
      <c r="K91" s="49">
        <f>AVERAGE('23.08 Kampala-Bukaya-24h'!K91,'24.08 Kampala-Bukaya-24h'!K91)</f>
        <v>0</v>
      </c>
      <c r="L91" s="49">
        <f>AVERAGE('23.08 Kampala-Bukaya-24h'!L91,'24.08 Kampala-Bukaya-24h'!L91)</f>
        <v>0</v>
      </c>
      <c r="M91" s="49">
        <f>AVERAGE('23.08 Kampala-Bukaya-24h'!M91,'24.08 Kampala-Bukaya-24h'!M91)</f>
        <v>0</v>
      </c>
      <c r="N91" s="49">
        <f>AVERAGE('23.08 Kampala-Bukaya-24h'!N91,'24.08 Kampala-Bukaya-24h'!N91)</f>
        <v>0</v>
      </c>
      <c r="O91" s="15">
        <f t="shared" si="35"/>
        <v>0</v>
      </c>
      <c r="P91" s="15">
        <f t="shared" si="35"/>
        <v>0</v>
      </c>
      <c r="R91" s="8"/>
      <c r="T91"/>
    </row>
    <row r="92" spans="2:20" ht="23.1" customHeight="1" x14ac:dyDescent="0.25">
      <c r="B92" s="25" t="s">
        <v>132</v>
      </c>
      <c r="C92" s="49">
        <f>AVERAGE('23.08 Kampala-Bukaya-24h'!C92,'24.08 Kampala-Bukaya-24h'!C92)</f>
        <v>0</v>
      </c>
      <c r="D92" s="49">
        <f>AVERAGE('23.08 Kampala-Bukaya-24h'!D92,'24.08 Kampala-Bukaya-24h'!D92)</f>
        <v>0</v>
      </c>
      <c r="E92" s="49">
        <f>AVERAGE('23.08 Kampala-Bukaya-24h'!E92,'24.08 Kampala-Bukaya-24h'!E92)</f>
        <v>0</v>
      </c>
      <c r="F92" s="49">
        <f>AVERAGE('23.08 Kampala-Bukaya-24h'!F92,'24.08 Kampala-Bukaya-24h'!F92)</f>
        <v>0</v>
      </c>
      <c r="G92" s="49">
        <f>AVERAGE('23.08 Kampala-Bukaya-24h'!G92,'24.08 Kampala-Bukaya-24h'!G92)</f>
        <v>0</v>
      </c>
      <c r="H92" s="49">
        <f>AVERAGE('23.08 Kampala-Bukaya-24h'!H92,'24.08 Kampala-Bukaya-24h'!H92)</f>
        <v>0</v>
      </c>
      <c r="I92" s="49">
        <f>AVERAGE('23.08 Kampala-Bukaya-24h'!I92,'24.08 Kampala-Bukaya-24h'!I92)</f>
        <v>0</v>
      </c>
      <c r="J92" s="49">
        <f>AVERAGE('23.08 Kampala-Bukaya-24h'!J92,'24.08 Kampala-Bukaya-24h'!J92)</f>
        <v>0</v>
      </c>
      <c r="K92" s="49">
        <f>AVERAGE('23.08 Kampala-Bukaya-24h'!K92,'24.08 Kampala-Bukaya-24h'!K92)</f>
        <v>0</v>
      </c>
      <c r="L92" s="49">
        <f>AVERAGE('23.08 Kampala-Bukaya-24h'!L92,'24.08 Kampala-Bukaya-24h'!L92)</f>
        <v>0</v>
      </c>
      <c r="M92" s="49">
        <f>AVERAGE('23.08 Kampala-Bukaya-24h'!M92,'24.08 Kampala-Bukaya-24h'!M92)</f>
        <v>0</v>
      </c>
      <c r="N92" s="49">
        <f>AVERAGE('23.08 Kampala-Bukaya-24h'!N92,'24.08 Kampala-Bukaya-24h'!N92)</f>
        <v>0</v>
      </c>
      <c r="O92" s="15">
        <f t="shared" si="35"/>
        <v>0</v>
      </c>
      <c r="P92" s="15">
        <f t="shared" si="35"/>
        <v>0</v>
      </c>
      <c r="R92" s="8"/>
      <c r="T92"/>
    </row>
    <row r="93" spans="2:20" ht="23.1" customHeight="1" x14ac:dyDescent="0.25">
      <c r="B93" s="23" t="s">
        <v>133</v>
      </c>
      <c r="C93" s="49">
        <f>AVERAGE('23.08 Kampala-Bukaya-24h'!C93,'24.08 Kampala-Bukaya-24h'!C93)</f>
        <v>0</v>
      </c>
      <c r="D93" s="49">
        <f>AVERAGE('23.08 Kampala-Bukaya-24h'!D93,'24.08 Kampala-Bukaya-24h'!D93)</f>
        <v>0</v>
      </c>
      <c r="E93" s="49">
        <f>AVERAGE('23.08 Kampala-Bukaya-24h'!E93,'24.08 Kampala-Bukaya-24h'!E93)</f>
        <v>0</v>
      </c>
      <c r="F93" s="49">
        <f>AVERAGE('23.08 Kampala-Bukaya-24h'!F93,'24.08 Kampala-Bukaya-24h'!F93)</f>
        <v>0</v>
      </c>
      <c r="G93" s="49">
        <f>AVERAGE('23.08 Kampala-Bukaya-24h'!G93,'24.08 Kampala-Bukaya-24h'!G93)</f>
        <v>0</v>
      </c>
      <c r="H93" s="49">
        <f>AVERAGE('23.08 Kampala-Bukaya-24h'!H93,'24.08 Kampala-Bukaya-24h'!H93)</f>
        <v>0</v>
      </c>
      <c r="I93" s="49">
        <f>AVERAGE('23.08 Kampala-Bukaya-24h'!I93,'24.08 Kampala-Bukaya-24h'!I93)</f>
        <v>0</v>
      </c>
      <c r="J93" s="49">
        <f>AVERAGE('23.08 Kampala-Bukaya-24h'!J93,'24.08 Kampala-Bukaya-24h'!J93)</f>
        <v>0</v>
      </c>
      <c r="K93" s="49">
        <f>AVERAGE('23.08 Kampala-Bukaya-24h'!K93,'24.08 Kampala-Bukaya-24h'!K93)</f>
        <v>0</v>
      </c>
      <c r="L93" s="49">
        <f>AVERAGE('23.08 Kampala-Bukaya-24h'!L93,'24.08 Kampala-Bukaya-24h'!L93)</f>
        <v>0</v>
      </c>
      <c r="M93" s="49">
        <f>AVERAGE('23.08 Kampala-Bukaya-24h'!M93,'24.08 Kampala-Bukaya-24h'!M93)</f>
        <v>0</v>
      </c>
      <c r="N93" s="49">
        <f>AVERAGE('23.08 Kampala-Bukaya-24h'!N93,'24.08 Kampala-Bukaya-24h'!N93)</f>
        <v>0</v>
      </c>
      <c r="O93" s="15">
        <f t="shared" si="35"/>
        <v>0</v>
      </c>
      <c r="P93" s="15">
        <f t="shared" si="35"/>
        <v>0</v>
      </c>
      <c r="R93" s="8"/>
      <c r="T93"/>
    </row>
    <row r="94" spans="2:20" ht="23.1" customHeight="1" x14ac:dyDescent="0.25">
      <c r="B94" s="24" t="s">
        <v>134</v>
      </c>
      <c r="C94" s="49">
        <f>AVERAGE('23.08 Kampala-Bukaya-24h'!C94,'24.08 Kampala-Bukaya-24h'!C94)</f>
        <v>1</v>
      </c>
      <c r="D94" s="49">
        <f>AVERAGE('23.08 Kampala-Bukaya-24h'!D94,'24.08 Kampala-Bukaya-24h'!D94)</f>
        <v>0</v>
      </c>
      <c r="E94" s="49">
        <f>AVERAGE('23.08 Kampala-Bukaya-24h'!E94,'24.08 Kampala-Bukaya-24h'!E94)</f>
        <v>0</v>
      </c>
      <c r="F94" s="49">
        <f>AVERAGE('23.08 Kampala-Bukaya-24h'!F94,'24.08 Kampala-Bukaya-24h'!F94)</f>
        <v>0</v>
      </c>
      <c r="G94" s="49">
        <f>AVERAGE('23.08 Kampala-Bukaya-24h'!G94,'24.08 Kampala-Bukaya-24h'!G94)</f>
        <v>0</v>
      </c>
      <c r="H94" s="49">
        <f>AVERAGE('23.08 Kampala-Bukaya-24h'!H94,'24.08 Kampala-Bukaya-24h'!H94)</f>
        <v>1</v>
      </c>
      <c r="I94" s="49">
        <f>AVERAGE('23.08 Kampala-Bukaya-24h'!I94,'24.08 Kampala-Bukaya-24h'!I94)</f>
        <v>0</v>
      </c>
      <c r="J94" s="49">
        <f>AVERAGE('23.08 Kampala-Bukaya-24h'!J94,'24.08 Kampala-Bukaya-24h'!J94)</f>
        <v>0</v>
      </c>
      <c r="K94" s="49">
        <f>AVERAGE('23.08 Kampala-Bukaya-24h'!K94,'24.08 Kampala-Bukaya-24h'!K94)</f>
        <v>0</v>
      </c>
      <c r="L94" s="49">
        <f>AVERAGE('23.08 Kampala-Bukaya-24h'!L94,'24.08 Kampala-Bukaya-24h'!L94)</f>
        <v>0</v>
      </c>
      <c r="M94" s="49">
        <f>AVERAGE('23.08 Kampala-Bukaya-24h'!M94,'24.08 Kampala-Bukaya-24h'!M94)</f>
        <v>0</v>
      </c>
      <c r="N94" s="49">
        <f>AVERAGE('23.08 Kampala-Bukaya-24h'!N94,'24.08 Kampala-Bukaya-24h'!N94)</f>
        <v>0</v>
      </c>
      <c r="O94" s="15">
        <f t="shared" si="35"/>
        <v>2</v>
      </c>
      <c r="P94" s="15">
        <f t="shared" si="35"/>
        <v>3</v>
      </c>
      <c r="R94" s="8"/>
      <c r="T94"/>
    </row>
    <row r="95" spans="2:20" ht="23.1" customHeight="1" x14ac:dyDescent="0.25">
      <c r="B95" s="23" t="s">
        <v>135</v>
      </c>
      <c r="C95" s="49">
        <f>AVERAGE('23.08 Kampala-Bukaya-24h'!C95,'24.08 Kampala-Bukaya-24h'!C95)</f>
        <v>0</v>
      </c>
      <c r="D95" s="49">
        <f>AVERAGE('23.08 Kampala-Bukaya-24h'!D95,'24.08 Kampala-Bukaya-24h'!D95)</f>
        <v>0</v>
      </c>
      <c r="E95" s="49">
        <f>AVERAGE('23.08 Kampala-Bukaya-24h'!E95,'24.08 Kampala-Bukaya-24h'!E95)</f>
        <v>0</v>
      </c>
      <c r="F95" s="49">
        <f>AVERAGE('23.08 Kampala-Bukaya-24h'!F95,'24.08 Kampala-Bukaya-24h'!F95)</f>
        <v>1</v>
      </c>
      <c r="G95" s="49">
        <f>AVERAGE('23.08 Kampala-Bukaya-24h'!G95,'24.08 Kampala-Bukaya-24h'!G95)</f>
        <v>0</v>
      </c>
      <c r="H95" s="49">
        <f>AVERAGE('23.08 Kampala-Bukaya-24h'!H95,'24.08 Kampala-Bukaya-24h'!H95)</f>
        <v>0</v>
      </c>
      <c r="I95" s="49">
        <f>AVERAGE('23.08 Kampala-Bukaya-24h'!I95,'24.08 Kampala-Bukaya-24h'!I95)</f>
        <v>0</v>
      </c>
      <c r="J95" s="49">
        <f>AVERAGE('23.08 Kampala-Bukaya-24h'!J95,'24.08 Kampala-Bukaya-24h'!J95)</f>
        <v>0</v>
      </c>
      <c r="K95" s="49">
        <f>AVERAGE('23.08 Kampala-Bukaya-24h'!K95,'24.08 Kampala-Bukaya-24h'!K95)</f>
        <v>0</v>
      </c>
      <c r="L95" s="49">
        <f>AVERAGE('23.08 Kampala-Bukaya-24h'!L95,'24.08 Kampala-Bukaya-24h'!L95)</f>
        <v>0</v>
      </c>
      <c r="M95" s="49">
        <f>AVERAGE('23.08 Kampala-Bukaya-24h'!M95,'24.08 Kampala-Bukaya-24h'!M95)</f>
        <v>0</v>
      </c>
      <c r="N95" s="49">
        <f>AVERAGE('23.08 Kampala-Bukaya-24h'!N95,'24.08 Kampala-Bukaya-24h'!N95)</f>
        <v>0</v>
      </c>
      <c r="O95" s="15">
        <f t="shared" si="35"/>
        <v>1</v>
      </c>
      <c r="P95" s="15">
        <f t="shared" si="35"/>
        <v>2</v>
      </c>
      <c r="R95" s="8"/>
      <c r="T95"/>
    </row>
    <row r="96" spans="2:20" ht="23.1" customHeight="1" x14ac:dyDescent="0.25">
      <c r="B96" s="25" t="s">
        <v>136</v>
      </c>
      <c r="C96" s="49">
        <f>AVERAGE('23.08 Kampala-Bukaya-24h'!C96,'24.08 Kampala-Bukaya-24h'!C96)</f>
        <v>2</v>
      </c>
      <c r="D96" s="49">
        <f>AVERAGE('23.08 Kampala-Bukaya-24h'!D96,'24.08 Kampala-Bukaya-24h'!D96)</f>
        <v>0</v>
      </c>
      <c r="E96" s="49">
        <f>AVERAGE('23.08 Kampala-Bukaya-24h'!E96,'24.08 Kampala-Bukaya-24h'!E96)</f>
        <v>3</v>
      </c>
      <c r="F96" s="49">
        <f>AVERAGE('23.08 Kampala-Bukaya-24h'!F96,'24.08 Kampala-Bukaya-24h'!F96)</f>
        <v>0</v>
      </c>
      <c r="G96" s="49">
        <f>AVERAGE('23.08 Kampala-Bukaya-24h'!G96,'24.08 Kampala-Bukaya-24h'!G96)</f>
        <v>0</v>
      </c>
      <c r="H96" s="49">
        <f>AVERAGE('23.08 Kampala-Bukaya-24h'!H96,'24.08 Kampala-Bukaya-24h'!H96)</f>
        <v>0</v>
      </c>
      <c r="I96" s="49">
        <f>AVERAGE('23.08 Kampala-Bukaya-24h'!I96,'24.08 Kampala-Bukaya-24h'!I96)</f>
        <v>0</v>
      </c>
      <c r="J96" s="49">
        <f>AVERAGE('23.08 Kampala-Bukaya-24h'!J96,'24.08 Kampala-Bukaya-24h'!J96)</f>
        <v>0</v>
      </c>
      <c r="K96" s="49">
        <f>AVERAGE('23.08 Kampala-Bukaya-24h'!K96,'24.08 Kampala-Bukaya-24h'!K96)</f>
        <v>0</v>
      </c>
      <c r="L96" s="49">
        <f>AVERAGE('23.08 Kampala-Bukaya-24h'!L96,'24.08 Kampala-Bukaya-24h'!L96)</f>
        <v>0</v>
      </c>
      <c r="M96" s="49">
        <f>AVERAGE('23.08 Kampala-Bukaya-24h'!M96,'24.08 Kampala-Bukaya-24h'!M96)</f>
        <v>0</v>
      </c>
      <c r="N96" s="49">
        <f>AVERAGE('23.08 Kampala-Bukaya-24h'!N96,'24.08 Kampala-Bukaya-24h'!N96)</f>
        <v>0</v>
      </c>
      <c r="O96" s="15">
        <f t="shared" si="35"/>
        <v>5</v>
      </c>
      <c r="P96" s="15">
        <f t="shared" si="35"/>
        <v>8</v>
      </c>
      <c r="R96" s="8"/>
      <c r="T96"/>
    </row>
    <row r="97" spans="2:20" ht="23.1" customHeight="1" x14ac:dyDescent="0.25">
      <c r="B97" s="23" t="s">
        <v>137</v>
      </c>
      <c r="C97" s="49">
        <f>AVERAGE('23.08 Kampala-Bukaya-24h'!C97,'24.08 Kampala-Bukaya-24h'!C97)</f>
        <v>0</v>
      </c>
      <c r="D97" s="49">
        <f>AVERAGE('23.08 Kampala-Bukaya-24h'!D97,'24.08 Kampala-Bukaya-24h'!D97)</f>
        <v>0</v>
      </c>
      <c r="E97" s="49">
        <f>AVERAGE('23.08 Kampala-Bukaya-24h'!E97,'24.08 Kampala-Bukaya-24h'!E97)</f>
        <v>0</v>
      </c>
      <c r="F97" s="49">
        <f>AVERAGE('23.08 Kampala-Bukaya-24h'!F97,'24.08 Kampala-Bukaya-24h'!F97)</f>
        <v>0</v>
      </c>
      <c r="G97" s="49">
        <f>AVERAGE('23.08 Kampala-Bukaya-24h'!G97,'24.08 Kampala-Bukaya-24h'!G97)</f>
        <v>0</v>
      </c>
      <c r="H97" s="49">
        <f>AVERAGE('23.08 Kampala-Bukaya-24h'!H97,'24.08 Kampala-Bukaya-24h'!H97)</f>
        <v>0</v>
      </c>
      <c r="I97" s="49">
        <f>AVERAGE('23.08 Kampala-Bukaya-24h'!I97,'24.08 Kampala-Bukaya-24h'!I97)</f>
        <v>0</v>
      </c>
      <c r="J97" s="49">
        <f>AVERAGE('23.08 Kampala-Bukaya-24h'!J97,'24.08 Kampala-Bukaya-24h'!J97)</f>
        <v>0</v>
      </c>
      <c r="K97" s="49">
        <f>AVERAGE('23.08 Kampala-Bukaya-24h'!K97,'24.08 Kampala-Bukaya-24h'!K97)</f>
        <v>0</v>
      </c>
      <c r="L97" s="49">
        <f>AVERAGE('23.08 Kampala-Bukaya-24h'!L97,'24.08 Kampala-Bukaya-24h'!L97)</f>
        <v>0</v>
      </c>
      <c r="M97" s="49">
        <f>AVERAGE('23.08 Kampala-Bukaya-24h'!M97,'24.08 Kampala-Bukaya-24h'!M97)</f>
        <v>0</v>
      </c>
      <c r="N97" s="49">
        <f>AVERAGE('23.08 Kampala-Bukaya-24h'!N97,'24.08 Kampala-Bukaya-24h'!N97)</f>
        <v>0</v>
      </c>
      <c r="O97" s="15">
        <f t="shared" si="35"/>
        <v>0</v>
      </c>
      <c r="P97" s="15">
        <f t="shared" si="35"/>
        <v>0</v>
      </c>
      <c r="R97" s="8"/>
      <c r="T97"/>
    </row>
    <row r="98" spans="2:20" ht="23.1" customHeight="1" x14ac:dyDescent="0.25">
      <c r="B98" s="24" t="s">
        <v>138</v>
      </c>
      <c r="C98" s="49">
        <f>AVERAGE('23.08 Kampala-Bukaya-24h'!C98,'24.08 Kampala-Bukaya-24h'!C98)</f>
        <v>0</v>
      </c>
      <c r="D98" s="49">
        <f>AVERAGE('23.08 Kampala-Bukaya-24h'!D98,'24.08 Kampala-Bukaya-24h'!D98)</f>
        <v>0</v>
      </c>
      <c r="E98" s="49">
        <f>AVERAGE('23.08 Kampala-Bukaya-24h'!E98,'24.08 Kampala-Bukaya-24h'!E98)</f>
        <v>0</v>
      </c>
      <c r="F98" s="49">
        <f>AVERAGE('23.08 Kampala-Bukaya-24h'!F98,'24.08 Kampala-Bukaya-24h'!F98)</f>
        <v>0</v>
      </c>
      <c r="G98" s="49">
        <f>AVERAGE('23.08 Kampala-Bukaya-24h'!G98,'24.08 Kampala-Bukaya-24h'!G98)</f>
        <v>0</v>
      </c>
      <c r="H98" s="49">
        <f>AVERAGE('23.08 Kampala-Bukaya-24h'!H98,'24.08 Kampala-Bukaya-24h'!H98)</f>
        <v>0</v>
      </c>
      <c r="I98" s="49">
        <f>AVERAGE('23.08 Kampala-Bukaya-24h'!I98,'24.08 Kampala-Bukaya-24h'!I98)</f>
        <v>0</v>
      </c>
      <c r="J98" s="49">
        <f>AVERAGE('23.08 Kampala-Bukaya-24h'!J98,'24.08 Kampala-Bukaya-24h'!J98)</f>
        <v>0</v>
      </c>
      <c r="K98" s="49">
        <f>AVERAGE('23.08 Kampala-Bukaya-24h'!K98,'24.08 Kampala-Bukaya-24h'!K98)</f>
        <v>0</v>
      </c>
      <c r="L98" s="49">
        <f>AVERAGE('23.08 Kampala-Bukaya-24h'!L98,'24.08 Kampala-Bukaya-24h'!L98)</f>
        <v>0</v>
      </c>
      <c r="M98" s="49">
        <f>AVERAGE('23.08 Kampala-Bukaya-24h'!M98,'24.08 Kampala-Bukaya-24h'!M98)</f>
        <v>0</v>
      </c>
      <c r="N98" s="49">
        <f>AVERAGE('23.08 Kampala-Bukaya-24h'!N98,'24.08 Kampala-Bukaya-24h'!N98)</f>
        <v>0</v>
      </c>
      <c r="O98" s="15">
        <f t="shared" si="35"/>
        <v>0</v>
      </c>
      <c r="P98" s="15">
        <f t="shared" si="35"/>
        <v>0</v>
      </c>
      <c r="R98" s="8"/>
      <c r="T98"/>
    </row>
    <row r="99" spans="2:20" ht="23.1" customHeight="1" x14ac:dyDescent="0.25">
      <c r="B99" s="23" t="s">
        <v>139</v>
      </c>
      <c r="C99" s="49">
        <f>AVERAGE('23.08 Kampala-Bukaya-24h'!C99,'24.08 Kampala-Bukaya-24h'!C99)</f>
        <v>0</v>
      </c>
      <c r="D99" s="49">
        <f>AVERAGE('23.08 Kampala-Bukaya-24h'!D99,'24.08 Kampala-Bukaya-24h'!D99)</f>
        <v>0</v>
      </c>
      <c r="E99" s="49">
        <f>AVERAGE('23.08 Kampala-Bukaya-24h'!E99,'24.08 Kampala-Bukaya-24h'!E99)</f>
        <v>0</v>
      </c>
      <c r="F99" s="49">
        <f>AVERAGE('23.08 Kampala-Bukaya-24h'!F99,'24.08 Kampala-Bukaya-24h'!F99)</f>
        <v>0</v>
      </c>
      <c r="G99" s="49">
        <f>AVERAGE('23.08 Kampala-Bukaya-24h'!G99,'24.08 Kampala-Bukaya-24h'!G99)</f>
        <v>0</v>
      </c>
      <c r="H99" s="49">
        <f>AVERAGE('23.08 Kampala-Bukaya-24h'!H99,'24.08 Kampala-Bukaya-24h'!H99)</f>
        <v>0</v>
      </c>
      <c r="I99" s="49">
        <f>AVERAGE('23.08 Kampala-Bukaya-24h'!I99,'24.08 Kampala-Bukaya-24h'!I99)</f>
        <v>0</v>
      </c>
      <c r="J99" s="49">
        <f>AVERAGE('23.08 Kampala-Bukaya-24h'!J99,'24.08 Kampala-Bukaya-24h'!J99)</f>
        <v>0</v>
      </c>
      <c r="K99" s="49">
        <f>AVERAGE('23.08 Kampala-Bukaya-24h'!K99,'24.08 Kampala-Bukaya-24h'!K99)</f>
        <v>0</v>
      </c>
      <c r="L99" s="49">
        <f>AVERAGE('23.08 Kampala-Bukaya-24h'!L99,'24.08 Kampala-Bukaya-24h'!L99)</f>
        <v>0</v>
      </c>
      <c r="M99" s="49">
        <f>AVERAGE('23.08 Kampala-Bukaya-24h'!M99,'24.08 Kampala-Bukaya-24h'!M99)</f>
        <v>0</v>
      </c>
      <c r="N99" s="49">
        <f>AVERAGE('23.08 Kampala-Bukaya-24h'!N99,'24.08 Kampala-Bukaya-24h'!N99)</f>
        <v>0</v>
      </c>
      <c r="O99" s="15">
        <f t="shared" si="35"/>
        <v>0</v>
      </c>
      <c r="P99" s="15">
        <f t="shared" si="35"/>
        <v>0</v>
      </c>
      <c r="R99" s="8"/>
      <c r="T99"/>
    </row>
    <row r="100" spans="2:20" ht="23.1" customHeight="1" x14ac:dyDescent="0.25">
      <c r="B100" s="25" t="s">
        <v>140</v>
      </c>
      <c r="C100" s="49">
        <f>AVERAGE('23.08 Kampala-Bukaya-24h'!C100,'24.08 Kampala-Bukaya-24h'!C100)</f>
        <v>0</v>
      </c>
      <c r="D100" s="49">
        <f>AVERAGE('23.08 Kampala-Bukaya-24h'!D100,'24.08 Kampala-Bukaya-24h'!D100)</f>
        <v>0</v>
      </c>
      <c r="E100" s="49">
        <f>AVERAGE('23.08 Kampala-Bukaya-24h'!E100,'24.08 Kampala-Bukaya-24h'!E100)</f>
        <v>0</v>
      </c>
      <c r="F100" s="49">
        <f>AVERAGE('23.08 Kampala-Bukaya-24h'!F100,'24.08 Kampala-Bukaya-24h'!F100)</f>
        <v>0</v>
      </c>
      <c r="G100" s="49">
        <f>AVERAGE('23.08 Kampala-Bukaya-24h'!G100,'24.08 Kampala-Bukaya-24h'!G100)</f>
        <v>0</v>
      </c>
      <c r="H100" s="49">
        <f>AVERAGE('23.08 Kampala-Bukaya-24h'!H100,'24.08 Kampala-Bukaya-24h'!H100)</f>
        <v>0</v>
      </c>
      <c r="I100" s="49">
        <f>AVERAGE('23.08 Kampala-Bukaya-24h'!I100,'24.08 Kampala-Bukaya-24h'!I100)</f>
        <v>0</v>
      </c>
      <c r="J100" s="49">
        <f>AVERAGE('23.08 Kampala-Bukaya-24h'!J100,'24.08 Kampala-Bukaya-24h'!J100)</f>
        <v>0</v>
      </c>
      <c r="K100" s="49">
        <f>AVERAGE('23.08 Kampala-Bukaya-24h'!K100,'24.08 Kampala-Bukaya-24h'!K100)</f>
        <v>0</v>
      </c>
      <c r="L100" s="49">
        <f>AVERAGE('23.08 Kampala-Bukaya-24h'!L100,'24.08 Kampala-Bukaya-24h'!L100)</f>
        <v>0</v>
      </c>
      <c r="M100" s="49">
        <f>AVERAGE('23.08 Kampala-Bukaya-24h'!M100,'24.08 Kampala-Bukaya-24h'!M100)</f>
        <v>0</v>
      </c>
      <c r="N100" s="49">
        <f>AVERAGE('23.08 Kampala-Bukaya-24h'!N100,'24.08 Kampala-Bukaya-24h'!N100)</f>
        <v>0</v>
      </c>
      <c r="O100" s="15">
        <f t="shared" si="35"/>
        <v>0</v>
      </c>
      <c r="P100" s="15">
        <f t="shared" si="35"/>
        <v>0</v>
      </c>
      <c r="R100" s="8"/>
      <c r="T100"/>
    </row>
    <row r="101" spans="2:20" ht="23.1" customHeight="1" x14ac:dyDescent="0.25">
      <c r="B101" s="23" t="s">
        <v>141</v>
      </c>
      <c r="C101" s="49">
        <f>AVERAGE('23.08 Kampala-Bukaya-24h'!C101,'24.08 Kampala-Bukaya-24h'!C101)</f>
        <v>2</v>
      </c>
      <c r="D101" s="49">
        <f>AVERAGE('23.08 Kampala-Bukaya-24h'!D101,'24.08 Kampala-Bukaya-24h'!D101)</f>
        <v>2</v>
      </c>
      <c r="E101" s="49">
        <f>AVERAGE('23.08 Kampala-Bukaya-24h'!E101,'24.08 Kampala-Bukaya-24h'!E101)</f>
        <v>1</v>
      </c>
      <c r="F101" s="49">
        <f>AVERAGE('23.08 Kampala-Bukaya-24h'!F101,'24.08 Kampala-Bukaya-24h'!F101)</f>
        <v>0</v>
      </c>
      <c r="G101" s="49">
        <f>AVERAGE('23.08 Kampala-Bukaya-24h'!G101,'24.08 Kampala-Bukaya-24h'!G101)</f>
        <v>0</v>
      </c>
      <c r="H101" s="49">
        <f>AVERAGE('23.08 Kampala-Bukaya-24h'!H101,'24.08 Kampala-Bukaya-24h'!H101)</f>
        <v>0</v>
      </c>
      <c r="I101" s="49">
        <f>AVERAGE('23.08 Kampala-Bukaya-24h'!I101,'24.08 Kampala-Bukaya-24h'!I101)</f>
        <v>1</v>
      </c>
      <c r="J101" s="49">
        <f>AVERAGE('23.08 Kampala-Bukaya-24h'!J101,'24.08 Kampala-Bukaya-24h'!J101)</f>
        <v>0</v>
      </c>
      <c r="K101" s="49">
        <f>AVERAGE('23.08 Kampala-Bukaya-24h'!K101,'24.08 Kampala-Bukaya-24h'!K101)</f>
        <v>0</v>
      </c>
      <c r="L101" s="49">
        <f>AVERAGE('23.08 Kampala-Bukaya-24h'!L101,'24.08 Kampala-Bukaya-24h'!L101)</f>
        <v>0</v>
      </c>
      <c r="M101" s="49">
        <f>AVERAGE('23.08 Kampala-Bukaya-24h'!M101,'24.08 Kampala-Bukaya-24h'!M101)</f>
        <v>1</v>
      </c>
      <c r="N101" s="49">
        <f>AVERAGE('23.08 Kampala-Bukaya-24h'!N101,'24.08 Kampala-Bukaya-24h'!N101)</f>
        <v>0</v>
      </c>
      <c r="O101" s="15">
        <f t="shared" si="35"/>
        <v>6</v>
      </c>
      <c r="P101" s="15">
        <f t="shared" si="35"/>
        <v>11</v>
      </c>
      <c r="R101" s="8"/>
      <c r="T101"/>
    </row>
    <row r="102" spans="2:20" ht="23.1" customHeight="1" x14ac:dyDescent="0.25">
      <c r="B102" s="24" t="s">
        <v>142</v>
      </c>
      <c r="C102" s="49">
        <f>AVERAGE('23.08 Kampala-Bukaya-24h'!C102,'24.08 Kampala-Bukaya-24h'!C102)</f>
        <v>0</v>
      </c>
      <c r="D102" s="49">
        <f>AVERAGE('23.08 Kampala-Bukaya-24h'!D102,'24.08 Kampala-Bukaya-24h'!D102)</f>
        <v>0</v>
      </c>
      <c r="E102" s="49">
        <f>AVERAGE('23.08 Kampala-Bukaya-24h'!E102,'24.08 Kampala-Bukaya-24h'!E102)</f>
        <v>0</v>
      </c>
      <c r="F102" s="49">
        <f>AVERAGE('23.08 Kampala-Bukaya-24h'!F102,'24.08 Kampala-Bukaya-24h'!F102)</f>
        <v>0</v>
      </c>
      <c r="G102" s="49">
        <f>AVERAGE('23.08 Kampala-Bukaya-24h'!G102,'24.08 Kampala-Bukaya-24h'!G102)</f>
        <v>0</v>
      </c>
      <c r="H102" s="49">
        <f>AVERAGE('23.08 Kampala-Bukaya-24h'!H102,'24.08 Kampala-Bukaya-24h'!H102)</f>
        <v>0</v>
      </c>
      <c r="I102" s="49">
        <f>AVERAGE('23.08 Kampala-Bukaya-24h'!I102,'24.08 Kampala-Bukaya-24h'!I102)</f>
        <v>0</v>
      </c>
      <c r="J102" s="49">
        <f>AVERAGE('23.08 Kampala-Bukaya-24h'!J102,'24.08 Kampala-Bukaya-24h'!J102)</f>
        <v>0</v>
      </c>
      <c r="K102" s="49">
        <f>AVERAGE('23.08 Kampala-Bukaya-24h'!K102,'24.08 Kampala-Bukaya-24h'!K102)</f>
        <v>0</v>
      </c>
      <c r="L102" s="49">
        <f>AVERAGE('23.08 Kampala-Bukaya-24h'!L102,'24.08 Kampala-Bukaya-24h'!L102)</f>
        <v>0</v>
      </c>
      <c r="M102" s="49">
        <f>AVERAGE('23.08 Kampala-Bukaya-24h'!M102,'24.08 Kampala-Bukaya-24h'!M102)</f>
        <v>0</v>
      </c>
      <c r="N102" s="49">
        <f>AVERAGE('23.08 Kampala-Bukaya-24h'!N102,'24.08 Kampala-Bukaya-24h'!N102)</f>
        <v>0</v>
      </c>
      <c r="O102" s="15">
        <f t="shared" si="35"/>
        <v>0</v>
      </c>
      <c r="P102" s="15">
        <f t="shared" si="35"/>
        <v>0</v>
      </c>
      <c r="R102" s="8"/>
      <c r="T102"/>
    </row>
    <row r="103" spans="2:20" ht="23.1" customHeight="1" x14ac:dyDescent="0.25">
      <c r="B103" s="23" t="s">
        <v>143</v>
      </c>
      <c r="C103" s="49">
        <f>AVERAGE('23.08 Kampala-Bukaya-24h'!C103,'24.08 Kampala-Bukaya-24h'!C103)</f>
        <v>2</v>
      </c>
      <c r="D103" s="49">
        <f>AVERAGE('23.08 Kampala-Bukaya-24h'!D103,'24.08 Kampala-Bukaya-24h'!D103)</f>
        <v>0</v>
      </c>
      <c r="E103" s="49">
        <f>AVERAGE('23.08 Kampala-Bukaya-24h'!E103,'24.08 Kampala-Bukaya-24h'!E103)</f>
        <v>0</v>
      </c>
      <c r="F103" s="49">
        <f>AVERAGE('23.08 Kampala-Bukaya-24h'!F103,'24.08 Kampala-Bukaya-24h'!F103)</f>
        <v>0</v>
      </c>
      <c r="G103" s="49">
        <f>AVERAGE('23.08 Kampala-Bukaya-24h'!G103,'24.08 Kampala-Bukaya-24h'!G103)</f>
        <v>0</v>
      </c>
      <c r="H103" s="49">
        <f>AVERAGE('23.08 Kampala-Bukaya-24h'!H103,'24.08 Kampala-Bukaya-24h'!H103)</f>
        <v>0</v>
      </c>
      <c r="I103" s="49">
        <f>AVERAGE('23.08 Kampala-Bukaya-24h'!I103,'24.08 Kampala-Bukaya-24h'!I103)</f>
        <v>0</v>
      </c>
      <c r="J103" s="49">
        <f>AVERAGE('23.08 Kampala-Bukaya-24h'!J103,'24.08 Kampala-Bukaya-24h'!J103)</f>
        <v>0</v>
      </c>
      <c r="K103" s="49">
        <f>AVERAGE('23.08 Kampala-Bukaya-24h'!K103,'24.08 Kampala-Bukaya-24h'!K103)</f>
        <v>1</v>
      </c>
      <c r="L103" s="49">
        <f>AVERAGE('23.08 Kampala-Bukaya-24h'!L103,'24.08 Kampala-Bukaya-24h'!L103)</f>
        <v>0</v>
      </c>
      <c r="M103" s="49">
        <f>AVERAGE('23.08 Kampala-Bukaya-24h'!M103,'24.08 Kampala-Bukaya-24h'!M103)</f>
        <v>2</v>
      </c>
      <c r="N103" s="49">
        <f>AVERAGE('23.08 Kampala-Bukaya-24h'!N103,'24.08 Kampala-Bukaya-24h'!N103)</f>
        <v>0</v>
      </c>
      <c r="O103" s="15">
        <f t="shared" si="35"/>
        <v>3</v>
      </c>
      <c r="P103" s="15">
        <f t="shared" si="35"/>
        <v>6</v>
      </c>
      <c r="R103" s="8"/>
      <c r="T103"/>
    </row>
    <row r="104" spans="2:20" ht="23.1" customHeight="1" x14ac:dyDescent="0.25">
      <c r="B104" s="25" t="s">
        <v>144</v>
      </c>
      <c r="C104" s="49">
        <f>AVERAGE('23.08 Kampala-Bukaya-24h'!C104,'24.08 Kampala-Bukaya-24h'!C104)</f>
        <v>1</v>
      </c>
      <c r="D104" s="49">
        <f>AVERAGE('23.08 Kampala-Bukaya-24h'!D104,'24.08 Kampala-Bukaya-24h'!D104)</f>
        <v>0</v>
      </c>
      <c r="E104" s="49">
        <f>AVERAGE('23.08 Kampala-Bukaya-24h'!E104,'24.08 Kampala-Bukaya-24h'!E104)</f>
        <v>1</v>
      </c>
      <c r="F104" s="49">
        <f>AVERAGE('23.08 Kampala-Bukaya-24h'!F104,'24.08 Kampala-Bukaya-24h'!F104)</f>
        <v>1</v>
      </c>
      <c r="G104" s="49">
        <f>AVERAGE('23.08 Kampala-Bukaya-24h'!G104,'24.08 Kampala-Bukaya-24h'!G104)</f>
        <v>0</v>
      </c>
      <c r="H104" s="49">
        <f>AVERAGE('23.08 Kampala-Bukaya-24h'!H104,'24.08 Kampala-Bukaya-24h'!H104)</f>
        <v>0</v>
      </c>
      <c r="I104" s="49">
        <f>AVERAGE('23.08 Kampala-Bukaya-24h'!I104,'24.08 Kampala-Bukaya-24h'!I104)</f>
        <v>0</v>
      </c>
      <c r="J104" s="49">
        <f>AVERAGE('23.08 Kampala-Bukaya-24h'!J104,'24.08 Kampala-Bukaya-24h'!J104)</f>
        <v>0</v>
      </c>
      <c r="K104" s="49">
        <f>AVERAGE('23.08 Kampala-Bukaya-24h'!K104,'24.08 Kampala-Bukaya-24h'!K104)</f>
        <v>0</v>
      </c>
      <c r="L104" s="49">
        <f>AVERAGE('23.08 Kampala-Bukaya-24h'!L104,'24.08 Kampala-Bukaya-24h'!L104)</f>
        <v>0</v>
      </c>
      <c r="M104" s="49">
        <f>AVERAGE('23.08 Kampala-Bukaya-24h'!M104,'24.08 Kampala-Bukaya-24h'!M104)</f>
        <v>3</v>
      </c>
      <c r="N104" s="49">
        <f>AVERAGE('23.08 Kampala-Bukaya-24h'!N104,'24.08 Kampala-Bukaya-24h'!N104)</f>
        <v>0</v>
      </c>
      <c r="O104" s="15">
        <f t="shared" si="35"/>
        <v>3</v>
      </c>
      <c r="P104" s="15">
        <f t="shared" si="35"/>
        <v>8</v>
      </c>
      <c r="R104" s="8"/>
      <c r="T104"/>
    </row>
    <row r="105" spans="2:20" ht="23.1" customHeight="1" x14ac:dyDescent="0.25">
      <c r="B105" s="23" t="s">
        <v>145</v>
      </c>
      <c r="C105" s="49">
        <f>AVERAGE('23.08 Kampala-Bukaya-24h'!C105,'24.08 Kampala-Bukaya-24h'!C105)</f>
        <v>2</v>
      </c>
      <c r="D105" s="49">
        <f>AVERAGE('23.08 Kampala-Bukaya-24h'!D105,'24.08 Kampala-Bukaya-24h'!D105)</f>
        <v>2</v>
      </c>
      <c r="E105" s="49">
        <f>AVERAGE('23.08 Kampala-Bukaya-24h'!E105,'24.08 Kampala-Bukaya-24h'!E105)</f>
        <v>0</v>
      </c>
      <c r="F105" s="49">
        <f>AVERAGE('23.08 Kampala-Bukaya-24h'!F105,'24.08 Kampala-Bukaya-24h'!F105)</f>
        <v>0</v>
      </c>
      <c r="G105" s="49">
        <f>AVERAGE('23.08 Kampala-Bukaya-24h'!G105,'24.08 Kampala-Bukaya-24h'!G105)</f>
        <v>1</v>
      </c>
      <c r="H105" s="49">
        <f>AVERAGE('23.08 Kampala-Bukaya-24h'!H105,'24.08 Kampala-Bukaya-24h'!H105)</f>
        <v>0</v>
      </c>
      <c r="I105" s="49">
        <f>AVERAGE('23.08 Kampala-Bukaya-24h'!I105,'24.08 Kampala-Bukaya-24h'!I105)</f>
        <v>1</v>
      </c>
      <c r="J105" s="49">
        <f>AVERAGE('23.08 Kampala-Bukaya-24h'!J105,'24.08 Kampala-Bukaya-24h'!J105)</f>
        <v>0</v>
      </c>
      <c r="K105" s="49">
        <f>AVERAGE('23.08 Kampala-Bukaya-24h'!K105,'24.08 Kampala-Bukaya-24h'!K105)</f>
        <v>1</v>
      </c>
      <c r="L105" s="49">
        <f>AVERAGE('23.08 Kampala-Bukaya-24h'!L105,'24.08 Kampala-Bukaya-24h'!L105)</f>
        <v>0</v>
      </c>
      <c r="M105" s="49">
        <f>AVERAGE('23.08 Kampala-Bukaya-24h'!M105,'24.08 Kampala-Bukaya-24h'!M105)</f>
        <v>7</v>
      </c>
      <c r="N105" s="49">
        <f>AVERAGE('23.08 Kampala-Bukaya-24h'!N105,'24.08 Kampala-Bukaya-24h'!N105)</f>
        <v>0</v>
      </c>
      <c r="O105" s="15">
        <f t="shared" si="35"/>
        <v>7</v>
      </c>
      <c r="P105" s="15">
        <f t="shared" si="35"/>
        <v>19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194.85714285714289</v>
      </c>
      <c r="D106" s="16">
        <f t="shared" ref="D106:P106" si="36">SUM(D10:D105)</f>
        <v>4</v>
      </c>
      <c r="E106" s="16">
        <f t="shared" si="36"/>
        <v>188.85714285714283</v>
      </c>
      <c r="F106" s="16">
        <f t="shared" si="36"/>
        <v>138.85714285714286</v>
      </c>
      <c r="G106" s="16">
        <f t="shared" si="36"/>
        <v>6.428571428571427</v>
      </c>
      <c r="H106" s="16">
        <f t="shared" si="36"/>
        <v>1.8571428571428572</v>
      </c>
      <c r="I106" s="16">
        <f t="shared" si="36"/>
        <v>142.85714285714289</v>
      </c>
      <c r="J106" s="16">
        <f t="shared" si="36"/>
        <v>3.9999999999999996</v>
      </c>
      <c r="K106" s="16">
        <f t="shared" si="36"/>
        <v>11.428571428571431</v>
      </c>
      <c r="L106" s="16">
        <f t="shared" si="36"/>
        <v>0.71428571428571419</v>
      </c>
      <c r="M106" s="16">
        <f t="shared" si="36"/>
        <v>1087.8571428571427</v>
      </c>
      <c r="N106" s="16">
        <f t="shared" si="36"/>
        <v>0.42857142857142855</v>
      </c>
      <c r="O106" s="16">
        <f t="shared" si="36"/>
        <v>694.28571428571433</v>
      </c>
      <c r="P106" s="16">
        <f t="shared" si="36"/>
        <v>1970.1428571428573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7">C106/$P$106</f>
        <v>9.890508302516135E-2</v>
      </c>
      <c r="D107" s="43">
        <f t="shared" si="37"/>
        <v>2.030309622217388E-3</v>
      </c>
      <c r="E107" s="43">
        <f t="shared" si="37"/>
        <v>9.5859618591835227E-2</v>
      </c>
      <c r="F107" s="43">
        <f t="shared" si="37"/>
        <v>7.0480748314117894E-2</v>
      </c>
      <c r="G107" s="43">
        <f t="shared" si="37"/>
        <v>3.2629976071350871E-3</v>
      </c>
      <c r="H107" s="43">
        <f t="shared" si="37"/>
        <v>9.4264375317235874E-4</v>
      </c>
      <c r="I107" s="43">
        <f t="shared" si="37"/>
        <v>7.2511057936335305E-2</v>
      </c>
      <c r="J107" s="43">
        <f t="shared" si="37"/>
        <v>2.0303096222173875E-3</v>
      </c>
      <c r="K107" s="43">
        <f t="shared" si="37"/>
        <v>5.8008846349068234E-3</v>
      </c>
      <c r="L107" s="43">
        <f t="shared" si="37"/>
        <v>3.6255528968167635E-4</v>
      </c>
      <c r="M107" s="43">
        <f t="shared" si="37"/>
        <v>0.55217170618519307</v>
      </c>
      <c r="N107" s="43">
        <f t="shared" si="37"/>
        <v>2.1753317380900585E-4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0.28065843621399178</v>
      </c>
      <c r="D108" s="44">
        <f t="shared" ref="D108:N108" si="38">D106/$O$106</f>
        <v>5.761316872427983E-3</v>
      </c>
      <c r="E108" s="44">
        <f t="shared" si="38"/>
        <v>0.27201646090534976</v>
      </c>
      <c r="F108" s="44">
        <f t="shared" si="38"/>
        <v>0.19999999999999998</v>
      </c>
      <c r="G108" s="44">
        <f t="shared" si="38"/>
        <v>9.259259259259257E-3</v>
      </c>
      <c r="H108" s="44">
        <f t="shared" si="38"/>
        <v>2.6748971193415638E-3</v>
      </c>
      <c r="I108" s="44">
        <f t="shared" si="38"/>
        <v>0.20576131687242802</v>
      </c>
      <c r="J108" s="44">
        <f t="shared" si="38"/>
        <v>5.7613168724279821E-3</v>
      </c>
      <c r="K108" s="44">
        <f t="shared" si="38"/>
        <v>1.646090534979424E-2</v>
      </c>
      <c r="L108" s="44">
        <f t="shared" si="38"/>
        <v>1.0288065843621398E-3</v>
      </c>
      <c r="M108" s="44"/>
      <c r="N108" s="44">
        <f t="shared" si="38"/>
        <v>6.1728395061728383E-4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A85" zoomScale="60" workbookViewId="0">
      <selection activeCell="G95" sqref="G9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'25.08 Bukaya-Kampala'!C3:G3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'25.08 Bukaya-Kampala'!G5:H5</f>
        <v>Nyenga</v>
      </c>
      <c r="H5" s="64"/>
      <c r="I5" s="14"/>
      <c r="J5" s="2" t="s">
        <v>5</v>
      </c>
      <c r="K5" s="63" t="str">
        <f>'25.08 Bukaya-Kampala'!K5:L5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'25.08 Bukaya-Kampala'!D6:E6</f>
        <v>Bukaya</v>
      </c>
      <c r="E6" s="64"/>
      <c r="F6" s="2" t="s">
        <v>2</v>
      </c>
      <c r="G6" s="63" t="str">
        <f>'25.08 Bukaya-Kampala'!G6:H6</f>
        <v>Kampala</v>
      </c>
      <c r="H6" s="64"/>
      <c r="J6" s="2" t="s">
        <v>21</v>
      </c>
      <c r="K6" s="63" t="str">
        <f>'25.08 Bukaya-Kampala'!K6:L6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AVERAGE('19.08 Bukaya-Kampala'!C10,'20.08 Bukaya-Kampala'!C10,'21.08 Bukaya-Kampala'!C10,'22.08 Bukaya-Kampala'!C10,'23.08 Bukaya-Kampala-24h'!C10,'24.08 Bukaya-Kampala-24h'!C10,'25.08 Bukaya-Kampala'!C10)</f>
        <v>1.1428571428571428</v>
      </c>
      <c r="D10" s="49">
        <f>AVERAGE('19.08 Bukaya-Kampala'!D10,'20.08 Bukaya-Kampala'!D10,'21.08 Bukaya-Kampala'!D10,'22.08 Bukaya-Kampala'!D10,'23.08 Bukaya-Kampala-24h'!D10,'24.08 Bukaya-Kampala-24h'!D10,'25.08 Bukaya-Kampala'!D10)</f>
        <v>0</v>
      </c>
      <c r="E10" s="49">
        <f>AVERAGE('19.08 Bukaya-Kampala'!E10,'20.08 Bukaya-Kampala'!E10,'21.08 Bukaya-Kampala'!E10,'22.08 Bukaya-Kampala'!E10,'23.08 Bukaya-Kampala-24h'!E10,'24.08 Bukaya-Kampala-24h'!E10,'25.08 Bukaya-Kampala'!E10)</f>
        <v>0.42857142857142855</v>
      </c>
      <c r="F10" s="49">
        <f>AVERAGE('19.08 Bukaya-Kampala'!F10,'20.08 Bukaya-Kampala'!F10,'21.08 Bukaya-Kampala'!F10,'22.08 Bukaya-Kampala'!F10,'23.08 Bukaya-Kampala-24h'!F10,'24.08 Bukaya-Kampala-24h'!F10,'25.08 Bukaya-Kampala'!F10)</f>
        <v>2</v>
      </c>
      <c r="G10" s="49">
        <f>AVERAGE('19.08 Bukaya-Kampala'!G10,'20.08 Bukaya-Kampala'!G10,'21.08 Bukaya-Kampala'!G10,'22.08 Bukaya-Kampala'!G10,'23.08 Bukaya-Kampala-24h'!G10,'24.08 Bukaya-Kampala-24h'!G10,'25.08 Bukaya-Kampala'!G10)</f>
        <v>0</v>
      </c>
      <c r="H10" s="49">
        <f>AVERAGE('19.08 Bukaya-Kampala'!H10,'20.08 Bukaya-Kampala'!H10,'21.08 Bukaya-Kampala'!H10,'22.08 Bukaya-Kampala'!H10,'23.08 Bukaya-Kampala-24h'!H10,'24.08 Bukaya-Kampala-24h'!H10,'25.08 Bukaya-Kampala'!H10)</f>
        <v>0</v>
      </c>
      <c r="I10" s="49">
        <f>AVERAGE('19.08 Bukaya-Kampala'!I10,'20.08 Bukaya-Kampala'!I10,'21.08 Bukaya-Kampala'!I10,'22.08 Bukaya-Kampala'!I10,'23.08 Bukaya-Kampala-24h'!I10,'24.08 Bukaya-Kampala-24h'!I10,'25.08 Bukaya-Kampala'!I10)</f>
        <v>0.14285714285714285</v>
      </c>
      <c r="J10" s="49">
        <f>AVERAGE('19.08 Bukaya-Kampala'!J10,'20.08 Bukaya-Kampala'!J10,'21.08 Bukaya-Kampala'!J10,'22.08 Bukaya-Kampala'!J10,'23.08 Bukaya-Kampala-24h'!J10,'24.08 Bukaya-Kampala-24h'!J10,'25.08 Bukaya-Kampala'!J10)</f>
        <v>0</v>
      </c>
      <c r="K10" s="49">
        <f>AVERAGE('19.08 Bukaya-Kampala'!K10,'20.08 Bukaya-Kampala'!K10,'21.08 Bukaya-Kampala'!K10,'22.08 Bukaya-Kampala'!K10,'23.08 Bukaya-Kampala-24h'!K10,'24.08 Bukaya-Kampala-24h'!K10,'25.08 Bukaya-Kampala'!K10)</f>
        <v>0</v>
      </c>
      <c r="L10" s="49">
        <f>AVERAGE('19.08 Bukaya-Kampala'!L10,'20.08 Bukaya-Kampala'!L10,'21.08 Bukaya-Kampala'!L10,'22.08 Bukaya-Kampala'!L10,'23.08 Bukaya-Kampala-24h'!L10,'24.08 Bukaya-Kampala-24h'!L10,'25.08 Bukaya-Kampala'!L10)</f>
        <v>0</v>
      </c>
      <c r="M10" s="49">
        <f>AVERAGE('19.08 Bukaya-Kampala'!M10,'20.08 Bukaya-Kampala'!M10,'21.08 Bukaya-Kampala'!M10,'22.08 Bukaya-Kampala'!M10,'23.08 Bukaya-Kampala-24h'!M10,'24.08 Bukaya-Kampala-24h'!M10,'25.08 Bukaya-Kampala'!M10)</f>
        <v>9.5714285714285712</v>
      </c>
      <c r="N10" s="49">
        <f>AVERAGE('19.08 Bukaya-Kampala'!N10,'20.08 Bukaya-Kampala'!N10,'21.08 Bukaya-Kampala'!N10,'22.08 Bukaya-Kampala'!N10,'23.08 Bukaya-Kampala-24h'!N10,'24.08 Bukaya-Kampala-24h'!N10,'25.08 Bukaya-Kampala'!N10)</f>
        <v>0</v>
      </c>
      <c r="O10" s="15">
        <f t="shared" ref="O10:P73" si="0">SUM(C10:L10,N10)</f>
        <v>3.714285714285714</v>
      </c>
      <c r="P10" s="15">
        <f t="shared" ref="P10:P56" si="1">SUM(C10:N10)</f>
        <v>13.285714285714285</v>
      </c>
      <c r="R10" s="1" t="s">
        <v>6</v>
      </c>
      <c r="S10" s="17">
        <f t="shared" ref="S10:AF10" si="2">SUM(C10:C13)</f>
        <v>3.2857142857142856</v>
      </c>
      <c r="T10" s="17">
        <f t="shared" si="2"/>
        <v>0</v>
      </c>
      <c r="U10" s="17">
        <f t="shared" si="2"/>
        <v>3.2857142857142856</v>
      </c>
      <c r="V10" s="17">
        <f t="shared" si="2"/>
        <v>7.1428571428571423</v>
      </c>
      <c r="W10" s="17">
        <f t="shared" si="2"/>
        <v>0.14285714285714285</v>
      </c>
      <c r="X10" s="17">
        <f t="shared" si="2"/>
        <v>0</v>
      </c>
      <c r="Y10" s="17">
        <f t="shared" si="2"/>
        <v>1.2857142857142856</v>
      </c>
      <c r="Z10" s="17">
        <f t="shared" si="2"/>
        <v>0.14285714285714285</v>
      </c>
      <c r="AA10" s="17">
        <f t="shared" si="2"/>
        <v>0</v>
      </c>
      <c r="AB10" s="17">
        <f t="shared" si="2"/>
        <v>0</v>
      </c>
      <c r="AC10" s="17">
        <f t="shared" si="2"/>
        <v>52</v>
      </c>
      <c r="AD10" s="17">
        <f t="shared" si="2"/>
        <v>0</v>
      </c>
      <c r="AE10" s="31">
        <f t="shared" si="2"/>
        <v>15.285714285714285</v>
      </c>
      <c r="AF10" s="31">
        <f t="shared" si="2"/>
        <v>67.285714285714278</v>
      </c>
    </row>
    <row r="11" spans="2:32" s="6" customFormat="1" ht="23.1" customHeight="1" x14ac:dyDescent="0.25">
      <c r="B11" s="23" t="s">
        <v>38</v>
      </c>
      <c r="C11" s="49">
        <f>AVERAGE('19.08 Bukaya-Kampala'!C11,'20.08 Bukaya-Kampala'!C11,'21.08 Bukaya-Kampala'!C11,'22.08 Bukaya-Kampala'!C11,'23.08 Bukaya-Kampala-24h'!C11,'24.08 Bukaya-Kampala-24h'!C11,'25.08 Bukaya-Kampala'!C11)</f>
        <v>0.14285714285714285</v>
      </c>
      <c r="D11" s="49">
        <f>AVERAGE('19.08 Bukaya-Kampala'!D11,'20.08 Bukaya-Kampala'!D11,'21.08 Bukaya-Kampala'!D11,'22.08 Bukaya-Kampala'!D11,'23.08 Bukaya-Kampala-24h'!D11,'24.08 Bukaya-Kampala-24h'!D11,'25.08 Bukaya-Kampala'!D11)</f>
        <v>0</v>
      </c>
      <c r="E11" s="49">
        <f>AVERAGE('19.08 Bukaya-Kampala'!E11,'20.08 Bukaya-Kampala'!E11,'21.08 Bukaya-Kampala'!E11,'22.08 Bukaya-Kampala'!E11,'23.08 Bukaya-Kampala-24h'!E11,'24.08 Bukaya-Kampala-24h'!E11,'25.08 Bukaya-Kampala'!E11)</f>
        <v>1.1428571428571428</v>
      </c>
      <c r="F11" s="49">
        <f>AVERAGE('19.08 Bukaya-Kampala'!F11,'20.08 Bukaya-Kampala'!F11,'21.08 Bukaya-Kampala'!F11,'22.08 Bukaya-Kampala'!F11,'23.08 Bukaya-Kampala-24h'!F11,'24.08 Bukaya-Kampala-24h'!F11,'25.08 Bukaya-Kampala'!F11)</f>
        <v>1.1428571428571428</v>
      </c>
      <c r="G11" s="49">
        <f>AVERAGE('19.08 Bukaya-Kampala'!G11,'20.08 Bukaya-Kampala'!G11,'21.08 Bukaya-Kampala'!G11,'22.08 Bukaya-Kampala'!G11,'23.08 Bukaya-Kampala-24h'!G11,'24.08 Bukaya-Kampala-24h'!G11,'25.08 Bukaya-Kampala'!G11)</f>
        <v>0.14285714285714285</v>
      </c>
      <c r="H11" s="49">
        <f>AVERAGE('19.08 Bukaya-Kampala'!H11,'20.08 Bukaya-Kampala'!H11,'21.08 Bukaya-Kampala'!H11,'22.08 Bukaya-Kampala'!H11,'23.08 Bukaya-Kampala-24h'!H11,'24.08 Bukaya-Kampala-24h'!H11,'25.08 Bukaya-Kampala'!H11)</f>
        <v>0</v>
      </c>
      <c r="I11" s="49">
        <f>AVERAGE('19.08 Bukaya-Kampala'!I11,'20.08 Bukaya-Kampala'!I11,'21.08 Bukaya-Kampala'!I11,'22.08 Bukaya-Kampala'!I11,'23.08 Bukaya-Kampala-24h'!I11,'24.08 Bukaya-Kampala-24h'!I11,'25.08 Bukaya-Kampala'!I11)</f>
        <v>0.2857142857142857</v>
      </c>
      <c r="J11" s="49">
        <f>AVERAGE('19.08 Bukaya-Kampala'!J11,'20.08 Bukaya-Kampala'!J11,'21.08 Bukaya-Kampala'!J11,'22.08 Bukaya-Kampala'!J11,'23.08 Bukaya-Kampala-24h'!J11,'24.08 Bukaya-Kampala-24h'!J11,'25.08 Bukaya-Kampala'!J11)</f>
        <v>0</v>
      </c>
      <c r="K11" s="49">
        <f>AVERAGE('19.08 Bukaya-Kampala'!K11,'20.08 Bukaya-Kampala'!K11,'21.08 Bukaya-Kampala'!K11,'22.08 Bukaya-Kampala'!K11,'23.08 Bukaya-Kampala-24h'!K11,'24.08 Bukaya-Kampala-24h'!K11,'25.08 Bukaya-Kampala'!K11)</f>
        <v>0</v>
      </c>
      <c r="L11" s="49">
        <f>AVERAGE('19.08 Bukaya-Kampala'!L11,'20.08 Bukaya-Kampala'!L11,'21.08 Bukaya-Kampala'!L11,'22.08 Bukaya-Kampala'!L11,'23.08 Bukaya-Kampala-24h'!L11,'24.08 Bukaya-Kampala-24h'!L11,'25.08 Bukaya-Kampala'!L11)</f>
        <v>0</v>
      </c>
      <c r="M11" s="49">
        <f>AVERAGE('19.08 Bukaya-Kampala'!M11,'20.08 Bukaya-Kampala'!M11,'21.08 Bukaya-Kampala'!M11,'22.08 Bukaya-Kampala'!M11,'23.08 Bukaya-Kampala-24h'!M11,'24.08 Bukaya-Kampala-24h'!M11,'25.08 Bukaya-Kampala'!M11)</f>
        <v>12.714285714285714</v>
      </c>
      <c r="N11" s="49">
        <f>AVERAGE('19.08 Bukaya-Kampala'!N11,'20.08 Bukaya-Kampala'!N11,'21.08 Bukaya-Kampala'!N11,'22.08 Bukaya-Kampala'!N11,'23.08 Bukaya-Kampala-24h'!N11,'24.08 Bukaya-Kampala-24h'!N11,'25.08 Bukaya-Kampala'!N11)</f>
        <v>0</v>
      </c>
      <c r="O11" s="15">
        <f t="shared" si="0"/>
        <v>2.8571428571428568</v>
      </c>
      <c r="P11" s="15">
        <f t="shared" si="1"/>
        <v>15.571428571428569</v>
      </c>
      <c r="R11" s="1" t="s">
        <v>7</v>
      </c>
      <c r="S11" s="17">
        <f t="shared" ref="S11:AF11" si="3">SUM(C14:C17)</f>
        <v>5.7142857142857144</v>
      </c>
      <c r="T11" s="17">
        <f t="shared" si="3"/>
        <v>0</v>
      </c>
      <c r="U11" s="17">
        <f t="shared" si="3"/>
        <v>3.7142857142857144</v>
      </c>
      <c r="V11" s="17">
        <f t="shared" si="3"/>
        <v>4.2857142857142856</v>
      </c>
      <c r="W11" s="17">
        <f t="shared" si="3"/>
        <v>0.14285714285714285</v>
      </c>
      <c r="X11" s="17">
        <f t="shared" si="3"/>
        <v>0</v>
      </c>
      <c r="Y11" s="17">
        <f t="shared" si="3"/>
        <v>3</v>
      </c>
      <c r="Z11" s="17">
        <f t="shared" si="3"/>
        <v>0.2857142857142857</v>
      </c>
      <c r="AA11" s="17">
        <f t="shared" si="3"/>
        <v>1.1428571428571428</v>
      </c>
      <c r="AB11" s="17">
        <f t="shared" si="3"/>
        <v>0.14285714285714285</v>
      </c>
      <c r="AC11" s="17">
        <f t="shared" si="3"/>
        <v>63.285714285714278</v>
      </c>
      <c r="AD11" s="17">
        <f t="shared" si="3"/>
        <v>0</v>
      </c>
      <c r="AE11" s="31">
        <f t="shared" si="3"/>
        <v>18.428571428571431</v>
      </c>
      <c r="AF11" s="31">
        <f t="shared" si="3"/>
        <v>81.714285714285722</v>
      </c>
    </row>
    <row r="12" spans="2:32" ht="23.1" customHeight="1" x14ac:dyDescent="0.25">
      <c r="B12" s="23" t="s">
        <v>39</v>
      </c>
      <c r="C12" s="49">
        <f>AVERAGE('19.08 Bukaya-Kampala'!C12,'20.08 Bukaya-Kampala'!C12,'21.08 Bukaya-Kampala'!C12,'22.08 Bukaya-Kampala'!C12,'23.08 Bukaya-Kampala-24h'!C12,'24.08 Bukaya-Kampala-24h'!C12,'25.08 Bukaya-Kampala'!C12)</f>
        <v>0.8571428571428571</v>
      </c>
      <c r="D12" s="49">
        <f>AVERAGE('19.08 Bukaya-Kampala'!D12,'20.08 Bukaya-Kampala'!D12,'21.08 Bukaya-Kampala'!D12,'22.08 Bukaya-Kampala'!D12,'23.08 Bukaya-Kampala-24h'!D12,'24.08 Bukaya-Kampala-24h'!D12,'25.08 Bukaya-Kampala'!D12)</f>
        <v>0</v>
      </c>
      <c r="E12" s="49">
        <f>AVERAGE('19.08 Bukaya-Kampala'!E12,'20.08 Bukaya-Kampala'!E12,'21.08 Bukaya-Kampala'!E12,'22.08 Bukaya-Kampala'!E12,'23.08 Bukaya-Kampala-24h'!E12,'24.08 Bukaya-Kampala-24h'!E12,'25.08 Bukaya-Kampala'!E12)</f>
        <v>0.8571428571428571</v>
      </c>
      <c r="F12" s="49">
        <f>AVERAGE('19.08 Bukaya-Kampala'!F12,'20.08 Bukaya-Kampala'!F12,'21.08 Bukaya-Kampala'!F12,'22.08 Bukaya-Kampala'!F12,'23.08 Bukaya-Kampala-24h'!F12,'24.08 Bukaya-Kampala-24h'!F12,'25.08 Bukaya-Kampala'!F12)</f>
        <v>2.4285714285714284</v>
      </c>
      <c r="G12" s="49">
        <f>AVERAGE('19.08 Bukaya-Kampala'!G12,'20.08 Bukaya-Kampala'!G12,'21.08 Bukaya-Kampala'!G12,'22.08 Bukaya-Kampala'!G12,'23.08 Bukaya-Kampala-24h'!G12,'24.08 Bukaya-Kampala-24h'!G12,'25.08 Bukaya-Kampala'!G12)</f>
        <v>0</v>
      </c>
      <c r="H12" s="49">
        <f>AVERAGE('19.08 Bukaya-Kampala'!H12,'20.08 Bukaya-Kampala'!H12,'21.08 Bukaya-Kampala'!H12,'22.08 Bukaya-Kampala'!H12,'23.08 Bukaya-Kampala-24h'!H12,'24.08 Bukaya-Kampala-24h'!H12,'25.08 Bukaya-Kampala'!H12)</f>
        <v>0</v>
      </c>
      <c r="I12" s="49">
        <f>AVERAGE('19.08 Bukaya-Kampala'!I12,'20.08 Bukaya-Kampala'!I12,'21.08 Bukaya-Kampala'!I12,'22.08 Bukaya-Kampala'!I12,'23.08 Bukaya-Kampala-24h'!I12,'24.08 Bukaya-Kampala-24h'!I12,'25.08 Bukaya-Kampala'!I12)</f>
        <v>0.42857142857142855</v>
      </c>
      <c r="J12" s="49">
        <f>AVERAGE('19.08 Bukaya-Kampala'!J12,'20.08 Bukaya-Kampala'!J12,'21.08 Bukaya-Kampala'!J12,'22.08 Bukaya-Kampala'!J12,'23.08 Bukaya-Kampala-24h'!J12,'24.08 Bukaya-Kampala-24h'!J12,'25.08 Bukaya-Kampala'!J12)</f>
        <v>0.14285714285714285</v>
      </c>
      <c r="K12" s="49">
        <f>AVERAGE('19.08 Bukaya-Kampala'!K12,'20.08 Bukaya-Kampala'!K12,'21.08 Bukaya-Kampala'!K12,'22.08 Bukaya-Kampala'!K12,'23.08 Bukaya-Kampala-24h'!K12,'24.08 Bukaya-Kampala-24h'!K12,'25.08 Bukaya-Kampala'!K12)</f>
        <v>0</v>
      </c>
      <c r="L12" s="49">
        <f>AVERAGE('19.08 Bukaya-Kampala'!L12,'20.08 Bukaya-Kampala'!L12,'21.08 Bukaya-Kampala'!L12,'22.08 Bukaya-Kampala'!L12,'23.08 Bukaya-Kampala-24h'!L12,'24.08 Bukaya-Kampala-24h'!L12,'25.08 Bukaya-Kampala'!L12)</f>
        <v>0</v>
      </c>
      <c r="M12" s="49">
        <f>AVERAGE('19.08 Bukaya-Kampala'!M12,'20.08 Bukaya-Kampala'!M12,'21.08 Bukaya-Kampala'!M12,'22.08 Bukaya-Kampala'!M12,'23.08 Bukaya-Kampala-24h'!M12,'24.08 Bukaya-Kampala-24h'!M12,'25.08 Bukaya-Kampala'!M12)</f>
        <v>15.142857142857142</v>
      </c>
      <c r="N12" s="49">
        <f>AVERAGE('19.08 Bukaya-Kampala'!N12,'20.08 Bukaya-Kampala'!N12,'21.08 Bukaya-Kampala'!N12,'22.08 Bukaya-Kampala'!N12,'23.08 Bukaya-Kampala-24h'!N12,'24.08 Bukaya-Kampala-24h'!N12,'25.08 Bukaya-Kampala'!N12)</f>
        <v>0</v>
      </c>
      <c r="O12" s="15">
        <f t="shared" si="0"/>
        <v>4.7142857142857144</v>
      </c>
      <c r="P12" s="15">
        <f t="shared" si="1"/>
        <v>19.857142857142858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4.2857142857142856</v>
      </c>
      <c r="V12" s="17">
        <f t="shared" si="4"/>
        <v>4.7142857142857135</v>
      </c>
      <c r="W12" s="17">
        <f t="shared" si="4"/>
        <v>0.14285714285714285</v>
      </c>
      <c r="X12" s="17">
        <f t="shared" si="4"/>
        <v>0.14285714285714285</v>
      </c>
      <c r="Y12" s="17">
        <f t="shared" si="4"/>
        <v>5.4285714285714279</v>
      </c>
      <c r="Z12" s="17">
        <f t="shared" si="4"/>
        <v>0.14285714285714285</v>
      </c>
      <c r="AA12" s="17">
        <f t="shared" si="4"/>
        <v>0.5714285714285714</v>
      </c>
      <c r="AB12" s="17">
        <f t="shared" si="4"/>
        <v>0</v>
      </c>
      <c r="AC12" s="17">
        <f t="shared" si="4"/>
        <v>67.714285714285708</v>
      </c>
      <c r="AD12" s="17">
        <f t="shared" si="4"/>
        <v>0</v>
      </c>
      <c r="AE12" s="31">
        <f t="shared" si="4"/>
        <v>21.428571428571431</v>
      </c>
      <c r="AF12" s="31">
        <f t="shared" si="4"/>
        <v>89.142857142857139</v>
      </c>
    </row>
    <row r="13" spans="2:32" ht="23.1" customHeight="1" x14ac:dyDescent="0.25">
      <c r="B13" s="23" t="s">
        <v>40</v>
      </c>
      <c r="C13" s="49">
        <f>AVERAGE('19.08 Bukaya-Kampala'!C13,'20.08 Bukaya-Kampala'!C13,'21.08 Bukaya-Kampala'!C13,'22.08 Bukaya-Kampala'!C13,'23.08 Bukaya-Kampala-24h'!C13,'24.08 Bukaya-Kampala-24h'!C13,'25.08 Bukaya-Kampala'!C13)</f>
        <v>1.1428571428571428</v>
      </c>
      <c r="D13" s="49">
        <f>AVERAGE('19.08 Bukaya-Kampala'!D13,'20.08 Bukaya-Kampala'!D13,'21.08 Bukaya-Kampala'!D13,'22.08 Bukaya-Kampala'!D13,'23.08 Bukaya-Kampala-24h'!D13,'24.08 Bukaya-Kampala-24h'!D13,'25.08 Bukaya-Kampala'!D13)</f>
        <v>0</v>
      </c>
      <c r="E13" s="49">
        <f>AVERAGE('19.08 Bukaya-Kampala'!E13,'20.08 Bukaya-Kampala'!E13,'21.08 Bukaya-Kampala'!E13,'22.08 Bukaya-Kampala'!E13,'23.08 Bukaya-Kampala-24h'!E13,'24.08 Bukaya-Kampala-24h'!E13,'25.08 Bukaya-Kampala'!E13)</f>
        <v>0.8571428571428571</v>
      </c>
      <c r="F13" s="49">
        <f>AVERAGE('19.08 Bukaya-Kampala'!F13,'20.08 Bukaya-Kampala'!F13,'21.08 Bukaya-Kampala'!F13,'22.08 Bukaya-Kampala'!F13,'23.08 Bukaya-Kampala-24h'!F13,'24.08 Bukaya-Kampala-24h'!F13,'25.08 Bukaya-Kampala'!F13)</f>
        <v>1.5714285714285714</v>
      </c>
      <c r="G13" s="49">
        <f>AVERAGE('19.08 Bukaya-Kampala'!G13,'20.08 Bukaya-Kampala'!G13,'21.08 Bukaya-Kampala'!G13,'22.08 Bukaya-Kampala'!G13,'23.08 Bukaya-Kampala-24h'!G13,'24.08 Bukaya-Kampala-24h'!G13,'25.08 Bukaya-Kampala'!G13)</f>
        <v>0</v>
      </c>
      <c r="H13" s="49">
        <f>AVERAGE('19.08 Bukaya-Kampala'!H13,'20.08 Bukaya-Kampala'!H13,'21.08 Bukaya-Kampala'!H13,'22.08 Bukaya-Kampala'!H13,'23.08 Bukaya-Kampala-24h'!H13,'24.08 Bukaya-Kampala-24h'!H13,'25.08 Bukaya-Kampala'!H13)</f>
        <v>0</v>
      </c>
      <c r="I13" s="49">
        <f>AVERAGE('19.08 Bukaya-Kampala'!I13,'20.08 Bukaya-Kampala'!I13,'21.08 Bukaya-Kampala'!I13,'22.08 Bukaya-Kampala'!I13,'23.08 Bukaya-Kampala-24h'!I13,'24.08 Bukaya-Kampala-24h'!I13,'25.08 Bukaya-Kampala'!I13)</f>
        <v>0.42857142857142855</v>
      </c>
      <c r="J13" s="49">
        <f>AVERAGE('19.08 Bukaya-Kampala'!J13,'20.08 Bukaya-Kampala'!J13,'21.08 Bukaya-Kampala'!J13,'22.08 Bukaya-Kampala'!J13,'23.08 Bukaya-Kampala-24h'!J13,'24.08 Bukaya-Kampala-24h'!J13,'25.08 Bukaya-Kampala'!J13)</f>
        <v>0</v>
      </c>
      <c r="K13" s="49">
        <f>AVERAGE('19.08 Bukaya-Kampala'!K13,'20.08 Bukaya-Kampala'!K13,'21.08 Bukaya-Kampala'!K13,'22.08 Bukaya-Kampala'!K13,'23.08 Bukaya-Kampala-24h'!K13,'24.08 Bukaya-Kampala-24h'!K13,'25.08 Bukaya-Kampala'!K13)</f>
        <v>0</v>
      </c>
      <c r="L13" s="49">
        <f>AVERAGE('19.08 Bukaya-Kampala'!L13,'20.08 Bukaya-Kampala'!L13,'21.08 Bukaya-Kampala'!L13,'22.08 Bukaya-Kampala'!L13,'23.08 Bukaya-Kampala-24h'!L13,'24.08 Bukaya-Kampala-24h'!L13,'25.08 Bukaya-Kampala'!L13)</f>
        <v>0</v>
      </c>
      <c r="M13" s="49">
        <f>AVERAGE('19.08 Bukaya-Kampala'!M13,'20.08 Bukaya-Kampala'!M13,'21.08 Bukaya-Kampala'!M13,'22.08 Bukaya-Kampala'!M13,'23.08 Bukaya-Kampala-24h'!M13,'24.08 Bukaya-Kampala-24h'!M13,'25.08 Bukaya-Kampala'!M13)</f>
        <v>14.571428571428571</v>
      </c>
      <c r="N13" s="49">
        <f>AVERAGE('19.08 Bukaya-Kampala'!N13,'20.08 Bukaya-Kampala'!N13,'21.08 Bukaya-Kampala'!N13,'22.08 Bukaya-Kampala'!N13,'23.08 Bukaya-Kampala-24h'!N13,'24.08 Bukaya-Kampala-24h'!N13,'25.08 Bukaya-Kampala'!N13)</f>
        <v>0</v>
      </c>
      <c r="O13" s="15">
        <f t="shared" si="0"/>
        <v>3.9999999999999996</v>
      </c>
      <c r="P13" s="15">
        <f t="shared" si="1"/>
        <v>18.571428571428569</v>
      </c>
      <c r="R13" s="1" t="s">
        <v>9</v>
      </c>
      <c r="S13" s="17">
        <f t="shared" ref="S13:AF13" si="5">SUM(C22:C25)</f>
        <v>5.5714285714285712</v>
      </c>
      <c r="T13" s="17">
        <f t="shared" si="5"/>
        <v>0</v>
      </c>
      <c r="U13" s="17">
        <f t="shared" si="5"/>
        <v>7.8571428571428577</v>
      </c>
      <c r="V13" s="17">
        <f t="shared" si="5"/>
        <v>5.7142857142857144</v>
      </c>
      <c r="W13" s="17">
        <f t="shared" si="5"/>
        <v>0.14285714285714285</v>
      </c>
      <c r="X13" s="17">
        <f t="shared" si="5"/>
        <v>0.14285714285714285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79.571428571428569</v>
      </c>
      <c r="AD13" s="17">
        <f t="shared" si="5"/>
        <v>0</v>
      </c>
      <c r="AE13" s="31">
        <f t="shared" si="5"/>
        <v>23.428571428571431</v>
      </c>
      <c r="AF13" s="31">
        <f t="shared" si="5"/>
        <v>103</v>
      </c>
    </row>
    <row r="14" spans="2:32" ht="23.1" customHeight="1" x14ac:dyDescent="0.25">
      <c r="B14" s="23" t="s">
        <v>41</v>
      </c>
      <c r="C14" s="49">
        <f>AVERAGE('19.08 Bukaya-Kampala'!C14,'20.08 Bukaya-Kampala'!C14,'21.08 Bukaya-Kampala'!C14,'22.08 Bukaya-Kampala'!C14,'23.08 Bukaya-Kampala-24h'!C14,'24.08 Bukaya-Kampala-24h'!C14,'25.08 Bukaya-Kampala'!C14)</f>
        <v>1.2857142857142858</v>
      </c>
      <c r="D14" s="49">
        <f>AVERAGE('19.08 Bukaya-Kampala'!D14,'20.08 Bukaya-Kampala'!D14,'21.08 Bukaya-Kampala'!D14,'22.08 Bukaya-Kampala'!D14,'23.08 Bukaya-Kampala-24h'!D14,'24.08 Bukaya-Kampala-24h'!D14,'25.08 Bukaya-Kampala'!D14)</f>
        <v>0</v>
      </c>
      <c r="E14" s="49">
        <f>AVERAGE('19.08 Bukaya-Kampala'!E14,'20.08 Bukaya-Kampala'!E14,'21.08 Bukaya-Kampala'!E14,'22.08 Bukaya-Kampala'!E14,'23.08 Bukaya-Kampala-24h'!E14,'24.08 Bukaya-Kampala-24h'!E14,'25.08 Bukaya-Kampala'!E14)</f>
        <v>0.7142857142857143</v>
      </c>
      <c r="F14" s="49">
        <f>AVERAGE('19.08 Bukaya-Kampala'!F14,'20.08 Bukaya-Kampala'!F14,'21.08 Bukaya-Kampala'!F14,'22.08 Bukaya-Kampala'!F14,'23.08 Bukaya-Kampala-24h'!F14,'24.08 Bukaya-Kampala-24h'!F14,'25.08 Bukaya-Kampala'!F14)</f>
        <v>1.4285714285714286</v>
      </c>
      <c r="G14" s="49">
        <f>AVERAGE('19.08 Bukaya-Kampala'!G14,'20.08 Bukaya-Kampala'!G14,'21.08 Bukaya-Kampala'!G14,'22.08 Bukaya-Kampala'!G14,'23.08 Bukaya-Kampala-24h'!G14,'24.08 Bukaya-Kampala-24h'!G14,'25.08 Bukaya-Kampala'!G14)</f>
        <v>0</v>
      </c>
      <c r="H14" s="49">
        <f>AVERAGE('19.08 Bukaya-Kampala'!H14,'20.08 Bukaya-Kampala'!H14,'21.08 Bukaya-Kampala'!H14,'22.08 Bukaya-Kampala'!H14,'23.08 Bukaya-Kampala-24h'!H14,'24.08 Bukaya-Kampala-24h'!H14,'25.08 Bukaya-Kampala'!H14)</f>
        <v>0</v>
      </c>
      <c r="I14" s="49">
        <f>AVERAGE('19.08 Bukaya-Kampala'!I14,'20.08 Bukaya-Kampala'!I14,'21.08 Bukaya-Kampala'!I14,'22.08 Bukaya-Kampala'!I14,'23.08 Bukaya-Kampala-24h'!I14,'24.08 Bukaya-Kampala-24h'!I14,'25.08 Bukaya-Kampala'!I14)</f>
        <v>0.5714285714285714</v>
      </c>
      <c r="J14" s="49">
        <f>AVERAGE('19.08 Bukaya-Kampala'!J14,'20.08 Bukaya-Kampala'!J14,'21.08 Bukaya-Kampala'!J14,'22.08 Bukaya-Kampala'!J14,'23.08 Bukaya-Kampala-24h'!J14,'24.08 Bukaya-Kampala-24h'!J14,'25.08 Bukaya-Kampala'!J14)</f>
        <v>0.14285714285714285</v>
      </c>
      <c r="K14" s="49">
        <f>AVERAGE('19.08 Bukaya-Kampala'!K14,'20.08 Bukaya-Kampala'!K14,'21.08 Bukaya-Kampala'!K14,'22.08 Bukaya-Kampala'!K14,'23.08 Bukaya-Kampala-24h'!K14,'24.08 Bukaya-Kampala-24h'!K14,'25.08 Bukaya-Kampala'!K14)</f>
        <v>0.2857142857142857</v>
      </c>
      <c r="L14" s="49">
        <f>AVERAGE('19.08 Bukaya-Kampala'!L14,'20.08 Bukaya-Kampala'!L14,'21.08 Bukaya-Kampala'!L14,'22.08 Bukaya-Kampala'!L14,'23.08 Bukaya-Kampala-24h'!L14,'24.08 Bukaya-Kampala-24h'!L14,'25.08 Bukaya-Kampala'!L14)</f>
        <v>0.14285714285714285</v>
      </c>
      <c r="M14" s="49">
        <f>AVERAGE('19.08 Bukaya-Kampala'!M14,'20.08 Bukaya-Kampala'!M14,'21.08 Bukaya-Kampala'!M14,'22.08 Bukaya-Kampala'!M14,'23.08 Bukaya-Kampala-24h'!M14,'24.08 Bukaya-Kampala-24h'!M14,'25.08 Bukaya-Kampala'!M14)</f>
        <v>15.714285714285714</v>
      </c>
      <c r="N14" s="49">
        <f>AVERAGE('19.08 Bukaya-Kampala'!N14,'20.08 Bukaya-Kampala'!N14,'21.08 Bukaya-Kampala'!N14,'22.08 Bukaya-Kampala'!N14,'23.08 Bukaya-Kampala-24h'!N14,'24.08 Bukaya-Kampala-24h'!N14,'25.08 Bukaya-Kampala'!N14)</f>
        <v>0</v>
      </c>
      <c r="O14" s="15">
        <f t="shared" si="0"/>
        <v>4.5714285714285721</v>
      </c>
      <c r="P14" s="15">
        <f t="shared" si="1"/>
        <v>20.285714285714285</v>
      </c>
      <c r="R14" s="1" t="s">
        <v>10</v>
      </c>
      <c r="S14" s="17">
        <f t="shared" ref="S14:AF14" si="6">SUM(C26:C29)</f>
        <v>6.1428571428571423</v>
      </c>
      <c r="T14" s="17">
        <f t="shared" si="6"/>
        <v>0</v>
      </c>
      <c r="U14" s="17">
        <f t="shared" si="6"/>
        <v>7.7142857142857144</v>
      </c>
      <c r="V14" s="17">
        <f t="shared" si="6"/>
        <v>6.1428571428571432</v>
      </c>
      <c r="W14" s="17">
        <f t="shared" si="6"/>
        <v>0.71428571428571419</v>
      </c>
      <c r="X14" s="17">
        <f t="shared" si="6"/>
        <v>0</v>
      </c>
      <c r="Y14" s="17">
        <f t="shared" si="6"/>
        <v>6.2857142857142865</v>
      </c>
      <c r="Z14" s="17">
        <f t="shared" si="6"/>
        <v>0.2857142857142857</v>
      </c>
      <c r="AA14" s="17">
        <f t="shared" si="6"/>
        <v>0.2857142857142857</v>
      </c>
      <c r="AB14" s="17">
        <f t="shared" si="6"/>
        <v>0</v>
      </c>
      <c r="AC14" s="17">
        <f t="shared" si="6"/>
        <v>76.285714285714278</v>
      </c>
      <c r="AD14" s="17">
        <f t="shared" si="6"/>
        <v>0</v>
      </c>
      <c r="AE14" s="31">
        <f t="shared" si="6"/>
        <v>27.571428571428577</v>
      </c>
      <c r="AF14" s="31">
        <f t="shared" si="6"/>
        <v>103.85714285714285</v>
      </c>
    </row>
    <row r="15" spans="2:32" ht="23.1" customHeight="1" x14ac:dyDescent="0.25">
      <c r="B15" s="23" t="s">
        <v>42</v>
      </c>
      <c r="C15" s="49">
        <f>AVERAGE('19.08 Bukaya-Kampala'!C15,'20.08 Bukaya-Kampala'!C15,'21.08 Bukaya-Kampala'!C15,'22.08 Bukaya-Kampala'!C15,'23.08 Bukaya-Kampala-24h'!C15,'24.08 Bukaya-Kampala-24h'!C15,'25.08 Bukaya-Kampala'!C15)</f>
        <v>1.7142857142857142</v>
      </c>
      <c r="D15" s="49">
        <f>AVERAGE('19.08 Bukaya-Kampala'!D15,'20.08 Bukaya-Kampala'!D15,'21.08 Bukaya-Kampala'!D15,'22.08 Bukaya-Kampala'!D15,'23.08 Bukaya-Kampala-24h'!D15,'24.08 Bukaya-Kampala-24h'!D15,'25.08 Bukaya-Kampala'!D15)</f>
        <v>0</v>
      </c>
      <c r="E15" s="49">
        <f>AVERAGE('19.08 Bukaya-Kampala'!E15,'20.08 Bukaya-Kampala'!E15,'21.08 Bukaya-Kampala'!E15,'22.08 Bukaya-Kampala'!E15,'23.08 Bukaya-Kampala-24h'!E15,'24.08 Bukaya-Kampala-24h'!E15,'25.08 Bukaya-Kampala'!E15)</f>
        <v>0.7142857142857143</v>
      </c>
      <c r="F15" s="49">
        <f>AVERAGE('19.08 Bukaya-Kampala'!F15,'20.08 Bukaya-Kampala'!F15,'21.08 Bukaya-Kampala'!F15,'22.08 Bukaya-Kampala'!F15,'23.08 Bukaya-Kampala-24h'!F15,'24.08 Bukaya-Kampala-24h'!F15,'25.08 Bukaya-Kampala'!F15)</f>
        <v>0.8571428571428571</v>
      </c>
      <c r="G15" s="49">
        <f>AVERAGE('19.08 Bukaya-Kampala'!G15,'20.08 Bukaya-Kampala'!G15,'21.08 Bukaya-Kampala'!G15,'22.08 Bukaya-Kampala'!G15,'23.08 Bukaya-Kampala-24h'!G15,'24.08 Bukaya-Kampala-24h'!G15,'25.08 Bukaya-Kampala'!G15)</f>
        <v>0</v>
      </c>
      <c r="H15" s="49">
        <f>AVERAGE('19.08 Bukaya-Kampala'!H15,'20.08 Bukaya-Kampala'!H15,'21.08 Bukaya-Kampala'!H15,'22.08 Bukaya-Kampala'!H15,'23.08 Bukaya-Kampala-24h'!H15,'24.08 Bukaya-Kampala-24h'!H15,'25.08 Bukaya-Kampala'!H15)</f>
        <v>0</v>
      </c>
      <c r="I15" s="49">
        <f>AVERAGE('19.08 Bukaya-Kampala'!I15,'20.08 Bukaya-Kampala'!I15,'21.08 Bukaya-Kampala'!I15,'22.08 Bukaya-Kampala'!I15,'23.08 Bukaya-Kampala-24h'!I15,'24.08 Bukaya-Kampala-24h'!I15,'25.08 Bukaya-Kampala'!I15)</f>
        <v>1.1428571428571428</v>
      </c>
      <c r="J15" s="49">
        <f>AVERAGE('19.08 Bukaya-Kampala'!J15,'20.08 Bukaya-Kampala'!J15,'21.08 Bukaya-Kampala'!J15,'22.08 Bukaya-Kampala'!J15,'23.08 Bukaya-Kampala-24h'!J15,'24.08 Bukaya-Kampala-24h'!J15,'25.08 Bukaya-Kampala'!J15)</f>
        <v>0</v>
      </c>
      <c r="K15" s="49">
        <f>AVERAGE('19.08 Bukaya-Kampala'!K15,'20.08 Bukaya-Kampala'!K15,'21.08 Bukaya-Kampala'!K15,'22.08 Bukaya-Kampala'!K15,'23.08 Bukaya-Kampala-24h'!K15,'24.08 Bukaya-Kampala-24h'!K15,'25.08 Bukaya-Kampala'!K15)</f>
        <v>0.5714285714285714</v>
      </c>
      <c r="L15" s="49">
        <f>AVERAGE('19.08 Bukaya-Kampala'!L15,'20.08 Bukaya-Kampala'!L15,'21.08 Bukaya-Kampala'!L15,'22.08 Bukaya-Kampala'!L15,'23.08 Bukaya-Kampala-24h'!L15,'24.08 Bukaya-Kampala-24h'!L15,'25.08 Bukaya-Kampala'!L15)</f>
        <v>0</v>
      </c>
      <c r="M15" s="49">
        <f>AVERAGE('19.08 Bukaya-Kampala'!M15,'20.08 Bukaya-Kampala'!M15,'21.08 Bukaya-Kampala'!M15,'22.08 Bukaya-Kampala'!M15,'23.08 Bukaya-Kampala-24h'!M15,'24.08 Bukaya-Kampala-24h'!M15,'25.08 Bukaya-Kampala'!M15)</f>
        <v>17.142857142857142</v>
      </c>
      <c r="N15" s="49">
        <f>AVERAGE('19.08 Bukaya-Kampala'!N15,'20.08 Bukaya-Kampala'!N15,'21.08 Bukaya-Kampala'!N15,'22.08 Bukaya-Kampala'!N15,'23.08 Bukaya-Kampala-24h'!N15,'24.08 Bukaya-Kampala-24h'!N15,'25.08 Bukaya-Kampala'!N15)</f>
        <v>0</v>
      </c>
      <c r="O15" s="15">
        <f t="shared" si="0"/>
        <v>5</v>
      </c>
      <c r="P15" s="15">
        <f t="shared" si="1"/>
        <v>22.142857142857142</v>
      </c>
      <c r="R15" s="1" t="s">
        <v>11</v>
      </c>
      <c r="S15" s="17">
        <f t="shared" ref="S15:AF15" si="7">SUM(C30:C33)</f>
        <v>6.4285714285714288</v>
      </c>
      <c r="T15" s="17">
        <f t="shared" si="7"/>
        <v>0</v>
      </c>
      <c r="U15" s="17">
        <f t="shared" si="7"/>
        <v>7.4285714285714288</v>
      </c>
      <c r="V15" s="17">
        <f t="shared" si="7"/>
        <v>6.4285714285714288</v>
      </c>
      <c r="W15" s="17">
        <f t="shared" si="7"/>
        <v>0.2857142857142857</v>
      </c>
      <c r="X15" s="17">
        <f t="shared" si="7"/>
        <v>0</v>
      </c>
      <c r="Y15" s="17">
        <f t="shared" si="7"/>
        <v>5.5714285714285712</v>
      </c>
      <c r="Z15" s="17">
        <f t="shared" si="7"/>
        <v>0.2857142857142857</v>
      </c>
      <c r="AA15" s="17">
        <f t="shared" si="7"/>
        <v>0.8571428571428571</v>
      </c>
      <c r="AB15" s="17">
        <f t="shared" si="7"/>
        <v>0</v>
      </c>
      <c r="AC15" s="17">
        <f t="shared" si="7"/>
        <v>86</v>
      </c>
      <c r="AD15" s="17">
        <f t="shared" si="7"/>
        <v>0</v>
      </c>
      <c r="AE15" s="31">
        <f t="shared" si="7"/>
        <v>27.285714285714285</v>
      </c>
      <c r="AF15" s="31">
        <f t="shared" si="7"/>
        <v>113.28571428571428</v>
      </c>
    </row>
    <row r="16" spans="2:32" ht="23.1" customHeight="1" x14ac:dyDescent="0.25">
      <c r="B16" s="23" t="s">
        <v>43</v>
      </c>
      <c r="C16" s="49">
        <f>AVERAGE('19.08 Bukaya-Kampala'!C16,'20.08 Bukaya-Kampala'!C16,'21.08 Bukaya-Kampala'!C16,'22.08 Bukaya-Kampala'!C16,'23.08 Bukaya-Kampala-24h'!C16,'24.08 Bukaya-Kampala-24h'!C16,'25.08 Bukaya-Kampala'!C16)</f>
        <v>1.7142857142857142</v>
      </c>
      <c r="D16" s="49">
        <f>AVERAGE('19.08 Bukaya-Kampala'!D16,'20.08 Bukaya-Kampala'!D16,'21.08 Bukaya-Kampala'!D16,'22.08 Bukaya-Kampala'!D16,'23.08 Bukaya-Kampala-24h'!D16,'24.08 Bukaya-Kampala-24h'!D16,'25.08 Bukaya-Kampala'!D16)</f>
        <v>0</v>
      </c>
      <c r="E16" s="49">
        <f>AVERAGE('19.08 Bukaya-Kampala'!E16,'20.08 Bukaya-Kampala'!E16,'21.08 Bukaya-Kampala'!E16,'22.08 Bukaya-Kampala'!E16,'23.08 Bukaya-Kampala-24h'!E16,'24.08 Bukaya-Kampala-24h'!E16,'25.08 Bukaya-Kampala'!E16)</f>
        <v>1.4285714285714286</v>
      </c>
      <c r="F16" s="49">
        <f>AVERAGE('19.08 Bukaya-Kampala'!F16,'20.08 Bukaya-Kampala'!F16,'21.08 Bukaya-Kampala'!F16,'22.08 Bukaya-Kampala'!F16,'23.08 Bukaya-Kampala-24h'!F16,'24.08 Bukaya-Kampala-24h'!F16,'25.08 Bukaya-Kampala'!F16)</f>
        <v>0.8571428571428571</v>
      </c>
      <c r="G16" s="49">
        <f>AVERAGE('19.08 Bukaya-Kampala'!G16,'20.08 Bukaya-Kampala'!G16,'21.08 Bukaya-Kampala'!G16,'22.08 Bukaya-Kampala'!G16,'23.08 Bukaya-Kampala-24h'!G16,'24.08 Bukaya-Kampala-24h'!G16,'25.08 Bukaya-Kampala'!G16)</f>
        <v>0</v>
      </c>
      <c r="H16" s="49">
        <f>AVERAGE('19.08 Bukaya-Kampala'!H16,'20.08 Bukaya-Kampala'!H16,'21.08 Bukaya-Kampala'!H16,'22.08 Bukaya-Kampala'!H16,'23.08 Bukaya-Kampala-24h'!H16,'24.08 Bukaya-Kampala-24h'!H16,'25.08 Bukaya-Kampala'!H16)</f>
        <v>0</v>
      </c>
      <c r="I16" s="49">
        <f>AVERAGE('19.08 Bukaya-Kampala'!I16,'20.08 Bukaya-Kampala'!I16,'21.08 Bukaya-Kampala'!I16,'22.08 Bukaya-Kampala'!I16,'23.08 Bukaya-Kampala-24h'!I16,'24.08 Bukaya-Kampala-24h'!I16,'25.08 Bukaya-Kampala'!I16)</f>
        <v>0.5714285714285714</v>
      </c>
      <c r="J16" s="49">
        <f>AVERAGE('19.08 Bukaya-Kampala'!J16,'20.08 Bukaya-Kampala'!J16,'21.08 Bukaya-Kampala'!J16,'22.08 Bukaya-Kampala'!J16,'23.08 Bukaya-Kampala-24h'!J16,'24.08 Bukaya-Kampala-24h'!J16,'25.08 Bukaya-Kampala'!J16)</f>
        <v>0</v>
      </c>
      <c r="K16" s="49">
        <f>AVERAGE('19.08 Bukaya-Kampala'!K16,'20.08 Bukaya-Kampala'!K16,'21.08 Bukaya-Kampala'!K16,'22.08 Bukaya-Kampala'!K16,'23.08 Bukaya-Kampala-24h'!K16,'24.08 Bukaya-Kampala-24h'!K16,'25.08 Bukaya-Kampala'!K16)</f>
        <v>0.14285714285714285</v>
      </c>
      <c r="L16" s="49">
        <f>AVERAGE('19.08 Bukaya-Kampala'!L16,'20.08 Bukaya-Kampala'!L16,'21.08 Bukaya-Kampala'!L16,'22.08 Bukaya-Kampala'!L16,'23.08 Bukaya-Kampala-24h'!L16,'24.08 Bukaya-Kampala-24h'!L16,'25.08 Bukaya-Kampala'!L16)</f>
        <v>0</v>
      </c>
      <c r="M16" s="49">
        <f>AVERAGE('19.08 Bukaya-Kampala'!M16,'20.08 Bukaya-Kampala'!M16,'21.08 Bukaya-Kampala'!M16,'22.08 Bukaya-Kampala'!M16,'23.08 Bukaya-Kampala-24h'!M16,'24.08 Bukaya-Kampala-24h'!M16,'25.08 Bukaya-Kampala'!M16)</f>
        <v>15.285714285714286</v>
      </c>
      <c r="N16" s="49">
        <f>AVERAGE('19.08 Bukaya-Kampala'!N16,'20.08 Bukaya-Kampala'!N16,'21.08 Bukaya-Kampala'!N16,'22.08 Bukaya-Kampala'!N16,'23.08 Bukaya-Kampala-24h'!N16,'24.08 Bukaya-Kampala-24h'!N16,'25.08 Bukaya-Kampala'!N16)</f>
        <v>0</v>
      </c>
      <c r="O16" s="15">
        <f t="shared" si="0"/>
        <v>4.7142857142857144</v>
      </c>
      <c r="P16" s="15">
        <f t="shared" si="1"/>
        <v>20</v>
      </c>
      <c r="R16" s="1" t="s">
        <v>12</v>
      </c>
      <c r="S16" s="17">
        <f t="shared" ref="S16:AF16" si="8">SUM(C34:C37)</f>
        <v>9</v>
      </c>
      <c r="T16" s="17">
        <f t="shared" si="8"/>
        <v>0</v>
      </c>
      <c r="U16" s="17">
        <f t="shared" si="8"/>
        <v>10.285714285714285</v>
      </c>
      <c r="V16" s="17">
        <f t="shared" si="8"/>
        <v>5.8571428571428577</v>
      </c>
      <c r="W16" s="17">
        <f t="shared" si="8"/>
        <v>0.42857142857142855</v>
      </c>
      <c r="X16" s="17">
        <f t="shared" si="8"/>
        <v>0</v>
      </c>
      <c r="Y16" s="17">
        <f t="shared" si="8"/>
        <v>5.5714285714285712</v>
      </c>
      <c r="Z16" s="17">
        <f t="shared" si="8"/>
        <v>0.14285714285714285</v>
      </c>
      <c r="AA16" s="17">
        <f t="shared" si="8"/>
        <v>0.2857142857142857</v>
      </c>
      <c r="AB16" s="17">
        <f t="shared" si="8"/>
        <v>0</v>
      </c>
      <c r="AC16" s="17">
        <f t="shared" si="8"/>
        <v>73.428571428571445</v>
      </c>
      <c r="AD16" s="17">
        <f t="shared" si="8"/>
        <v>0</v>
      </c>
      <c r="AE16" s="31">
        <f t="shared" si="8"/>
        <v>31.571428571428569</v>
      </c>
      <c r="AF16" s="31">
        <f t="shared" si="8"/>
        <v>105</v>
      </c>
    </row>
    <row r="17" spans="2:32" ht="23.1" customHeight="1" x14ac:dyDescent="0.25">
      <c r="B17" s="23" t="s">
        <v>44</v>
      </c>
      <c r="C17" s="49">
        <f>AVERAGE('19.08 Bukaya-Kampala'!C17,'20.08 Bukaya-Kampala'!C17,'21.08 Bukaya-Kampala'!C17,'22.08 Bukaya-Kampala'!C17,'23.08 Bukaya-Kampala-24h'!C17,'24.08 Bukaya-Kampala-24h'!C17,'25.08 Bukaya-Kampala'!C17)</f>
        <v>1</v>
      </c>
      <c r="D17" s="49">
        <f>AVERAGE('19.08 Bukaya-Kampala'!D17,'20.08 Bukaya-Kampala'!D17,'21.08 Bukaya-Kampala'!D17,'22.08 Bukaya-Kampala'!D17,'23.08 Bukaya-Kampala-24h'!D17,'24.08 Bukaya-Kampala-24h'!D17,'25.08 Bukaya-Kampala'!D17)</f>
        <v>0</v>
      </c>
      <c r="E17" s="49">
        <f>AVERAGE('19.08 Bukaya-Kampala'!E17,'20.08 Bukaya-Kampala'!E17,'21.08 Bukaya-Kampala'!E17,'22.08 Bukaya-Kampala'!E17,'23.08 Bukaya-Kampala-24h'!E17,'24.08 Bukaya-Kampala-24h'!E17,'25.08 Bukaya-Kampala'!E17)</f>
        <v>0.8571428571428571</v>
      </c>
      <c r="F17" s="49">
        <f>AVERAGE('19.08 Bukaya-Kampala'!F17,'20.08 Bukaya-Kampala'!F17,'21.08 Bukaya-Kampala'!F17,'22.08 Bukaya-Kampala'!F17,'23.08 Bukaya-Kampala-24h'!F17,'24.08 Bukaya-Kampala-24h'!F17,'25.08 Bukaya-Kampala'!F17)</f>
        <v>1.1428571428571428</v>
      </c>
      <c r="G17" s="49">
        <f>AVERAGE('19.08 Bukaya-Kampala'!G17,'20.08 Bukaya-Kampala'!G17,'21.08 Bukaya-Kampala'!G17,'22.08 Bukaya-Kampala'!G17,'23.08 Bukaya-Kampala-24h'!G17,'24.08 Bukaya-Kampala-24h'!G17,'25.08 Bukaya-Kampala'!G17)</f>
        <v>0.14285714285714285</v>
      </c>
      <c r="H17" s="49">
        <f>AVERAGE('19.08 Bukaya-Kampala'!H17,'20.08 Bukaya-Kampala'!H17,'21.08 Bukaya-Kampala'!H17,'22.08 Bukaya-Kampala'!H17,'23.08 Bukaya-Kampala-24h'!H17,'24.08 Bukaya-Kampala-24h'!H17,'25.08 Bukaya-Kampala'!H17)</f>
        <v>0</v>
      </c>
      <c r="I17" s="49">
        <f>AVERAGE('19.08 Bukaya-Kampala'!I17,'20.08 Bukaya-Kampala'!I17,'21.08 Bukaya-Kampala'!I17,'22.08 Bukaya-Kampala'!I17,'23.08 Bukaya-Kampala-24h'!I17,'24.08 Bukaya-Kampala-24h'!I17,'25.08 Bukaya-Kampala'!I17)</f>
        <v>0.7142857142857143</v>
      </c>
      <c r="J17" s="49">
        <f>AVERAGE('19.08 Bukaya-Kampala'!J17,'20.08 Bukaya-Kampala'!J17,'21.08 Bukaya-Kampala'!J17,'22.08 Bukaya-Kampala'!J17,'23.08 Bukaya-Kampala-24h'!J17,'24.08 Bukaya-Kampala-24h'!J17,'25.08 Bukaya-Kampala'!J17)</f>
        <v>0.14285714285714285</v>
      </c>
      <c r="K17" s="49">
        <f>AVERAGE('19.08 Bukaya-Kampala'!K17,'20.08 Bukaya-Kampala'!K17,'21.08 Bukaya-Kampala'!K17,'22.08 Bukaya-Kampala'!K17,'23.08 Bukaya-Kampala-24h'!K17,'24.08 Bukaya-Kampala-24h'!K17,'25.08 Bukaya-Kampala'!K17)</f>
        <v>0.14285714285714285</v>
      </c>
      <c r="L17" s="49">
        <f>AVERAGE('19.08 Bukaya-Kampala'!L17,'20.08 Bukaya-Kampala'!L17,'21.08 Bukaya-Kampala'!L17,'22.08 Bukaya-Kampala'!L17,'23.08 Bukaya-Kampala-24h'!L17,'24.08 Bukaya-Kampala-24h'!L17,'25.08 Bukaya-Kampala'!L17)</f>
        <v>0</v>
      </c>
      <c r="M17" s="49">
        <f>AVERAGE('19.08 Bukaya-Kampala'!M17,'20.08 Bukaya-Kampala'!M17,'21.08 Bukaya-Kampala'!M17,'22.08 Bukaya-Kampala'!M17,'23.08 Bukaya-Kampala-24h'!M17,'24.08 Bukaya-Kampala-24h'!M17,'25.08 Bukaya-Kampala'!M17)</f>
        <v>15.142857142857142</v>
      </c>
      <c r="N17" s="49">
        <f>AVERAGE('19.08 Bukaya-Kampala'!N17,'20.08 Bukaya-Kampala'!N17,'21.08 Bukaya-Kampala'!N17,'22.08 Bukaya-Kampala'!N17,'23.08 Bukaya-Kampala-24h'!N17,'24.08 Bukaya-Kampala-24h'!N17,'25.08 Bukaya-Kampala'!N17)</f>
        <v>0</v>
      </c>
      <c r="O17" s="15">
        <f t="shared" si="0"/>
        <v>4.1428571428571432</v>
      </c>
      <c r="P17" s="15">
        <f t="shared" si="1"/>
        <v>19.285714285714285</v>
      </c>
      <c r="R17" s="1" t="s">
        <v>13</v>
      </c>
      <c r="S17" s="17">
        <f t="shared" ref="S17:AF17" si="9">SUM(C38:C41)</f>
        <v>11</v>
      </c>
      <c r="T17" s="17">
        <f t="shared" si="9"/>
        <v>0</v>
      </c>
      <c r="U17" s="17">
        <f t="shared" si="9"/>
        <v>10.857142857142858</v>
      </c>
      <c r="V17" s="17">
        <f t="shared" si="9"/>
        <v>6.4285714285714288</v>
      </c>
      <c r="W17" s="17">
        <f t="shared" si="9"/>
        <v>0.14285714285714285</v>
      </c>
      <c r="X17" s="17">
        <f t="shared" si="9"/>
        <v>0</v>
      </c>
      <c r="Y17" s="17">
        <f t="shared" si="9"/>
        <v>4.7142857142857144</v>
      </c>
      <c r="Z17" s="17">
        <f t="shared" si="9"/>
        <v>0.14285714285714285</v>
      </c>
      <c r="AA17" s="17">
        <f t="shared" si="9"/>
        <v>0.42857142857142855</v>
      </c>
      <c r="AB17" s="17">
        <f t="shared" si="9"/>
        <v>0</v>
      </c>
      <c r="AC17" s="17">
        <f t="shared" si="9"/>
        <v>79</v>
      </c>
      <c r="AD17" s="17">
        <f t="shared" si="9"/>
        <v>0</v>
      </c>
      <c r="AE17" s="31">
        <f t="shared" si="9"/>
        <v>33.714285714285715</v>
      </c>
      <c r="AF17" s="31">
        <f t="shared" si="9"/>
        <v>112.71428571428572</v>
      </c>
    </row>
    <row r="18" spans="2:32" ht="23.1" customHeight="1" x14ac:dyDescent="0.25">
      <c r="B18" s="23" t="s">
        <v>45</v>
      </c>
      <c r="C18" s="49">
        <f>AVERAGE('19.08 Bukaya-Kampala'!C18,'20.08 Bukaya-Kampala'!C18,'21.08 Bukaya-Kampala'!C18,'22.08 Bukaya-Kampala'!C18,'23.08 Bukaya-Kampala-24h'!C18,'24.08 Bukaya-Kampala-24h'!C18,'25.08 Bukaya-Kampala'!C18)</f>
        <v>1.1428571428571428</v>
      </c>
      <c r="D18" s="49">
        <f>AVERAGE('19.08 Bukaya-Kampala'!D18,'20.08 Bukaya-Kampala'!D18,'21.08 Bukaya-Kampala'!D18,'22.08 Bukaya-Kampala'!D18,'23.08 Bukaya-Kampala-24h'!D18,'24.08 Bukaya-Kampala-24h'!D18,'25.08 Bukaya-Kampala'!D18)</f>
        <v>0</v>
      </c>
      <c r="E18" s="49">
        <f>AVERAGE('19.08 Bukaya-Kampala'!E18,'20.08 Bukaya-Kampala'!E18,'21.08 Bukaya-Kampala'!E18,'22.08 Bukaya-Kampala'!E18,'23.08 Bukaya-Kampala-24h'!E18,'24.08 Bukaya-Kampala-24h'!E18,'25.08 Bukaya-Kampala'!E18)</f>
        <v>1.2857142857142858</v>
      </c>
      <c r="F18" s="49">
        <f>AVERAGE('19.08 Bukaya-Kampala'!F18,'20.08 Bukaya-Kampala'!F18,'21.08 Bukaya-Kampala'!F18,'22.08 Bukaya-Kampala'!F18,'23.08 Bukaya-Kampala-24h'!F18,'24.08 Bukaya-Kampala-24h'!F18,'25.08 Bukaya-Kampala'!F18)</f>
        <v>1.1428571428571428</v>
      </c>
      <c r="G18" s="49">
        <f>AVERAGE('19.08 Bukaya-Kampala'!G18,'20.08 Bukaya-Kampala'!G18,'21.08 Bukaya-Kampala'!G18,'22.08 Bukaya-Kampala'!G18,'23.08 Bukaya-Kampala-24h'!G18,'24.08 Bukaya-Kampala-24h'!G18,'25.08 Bukaya-Kampala'!G18)</f>
        <v>0</v>
      </c>
      <c r="H18" s="49">
        <f>AVERAGE('19.08 Bukaya-Kampala'!H18,'20.08 Bukaya-Kampala'!H18,'21.08 Bukaya-Kampala'!H18,'22.08 Bukaya-Kampala'!H18,'23.08 Bukaya-Kampala-24h'!H18,'24.08 Bukaya-Kampala-24h'!H18,'25.08 Bukaya-Kampala'!H18)</f>
        <v>0.14285714285714285</v>
      </c>
      <c r="I18" s="49">
        <f>AVERAGE('19.08 Bukaya-Kampala'!I18,'20.08 Bukaya-Kampala'!I18,'21.08 Bukaya-Kampala'!I18,'22.08 Bukaya-Kampala'!I18,'23.08 Bukaya-Kampala-24h'!I18,'24.08 Bukaya-Kampala-24h'!I18,'25.08 Bukaya-Kampala'!I18)</f>
        <v>1</v>
      </c>
      <c r="J18" s="49">
        <f>AVERAGE('19.08 Bukaya-Kampala'!J18,'20.08 Bukaya-Kampala'!J18,'21.08 Bukaya-Kampala'!J18,'22.08 Bukaya-Kampala'!J18,'23.08 Bukaya-Kampala-24h'!J18,'24.08 Bukaya-Kampala-24h'!J18,'25.08 Bukaya-Kampala'!J18)</f>
        <v>0.14285714285714285</v>
      </c>
      <c r="K18" s="49">
        <f>AVERAGE('19.08 Bukaya-Kampala'!K18,'20.08 Bukaya-Kampala'!K18,'21.08 Bukaya-Kampala'!K18,'22.08 Bukaya-Kampala'!K18,'23.08 Bukaya-Kampala-24h'!K18,'24.08 Bukaya-Kampala-24h'!K18,'25.08 Bukaya-Kampala'!K18)</f>
        <v>0.14285714285714285</v>
      </c>
      <c r="L18" s="49">
        <f>AVERAGE('19.08 Bukaya-Kampala'!L18,'20.08 Bukaya-Kampala'!L18,'21.08 Bukaya-Kampala'!L18,'22.08 Bukaya-Kampala'!L18,'23.08 Bukaya-Kampala-24h'!L18,'24.08 Bukaya-Kampala-24h'!L18,'25.08 Bukaya-Kampala'!L18)</f>
        <v>0</v>
      </c>
      <c r="M18" s="49">
        <f>AVERAGE('19.08 Bukaya-Kampala'!M18,'20.08 Bukaya-Kampala'!M18,'21.08 Bukaya-Kampala'!M18,'22.08 Bukaya-Kampala'!M18,'23.08 Bukaya-Kampala-24h'!M18,'24.08 Bukaya-Kampala-24h'!M18,'25.08 Bukaya-Kampala'!M18)</f>
        <v>15.714285714285714</v>
      </c>
      <c r="N18" s="49">
        <f>AVERAGE('19.08 Bukaya-Kampala'!N18,'20.08 Bukaya-Kampala'!N18,'21.08 Bukaya-Kampala'!N18,'22.08 Bukaya-Kampala'!N18,'23.08 Bukaya-Kampala-24h'!N18,'24.08 Bukaya-Kampala-24h'!N18,'25.08 Bukaya-Kampala'!N18)</f>
        <v>0</v>
      </c>
      <c r="O18" s="15">
        <f t="shared" si="0"/>
        <v>5.0000000000000009</v>
      </c>
      <c r="P18" s="15">
        <f t="shared" si="1"/>
        <v>20.714285714285715</v>
      </c>
      <c r="R18" s="1" t="s">
        <v>14</v>
      </c>
      <c r="S18" s="17">
        <f t="shared" ref="S18:AF18" si="10">SUM(C42:C45)</f>
        <v>12.428571428571429</v>
      </c>
      <c r="T18" s="17">
        <f t="shared" si="10"/>
        <v>0</v>
      </c>
      <c r="U18" s="17">
        <f t="shared" si="10"/>
        <v>14.428571428571431</v>
      </c>
      <c r="V18" s="17">
        <f t="shared" si="10"/>
        <v>7.4285714285714288</v>
      </c>
      <c r="W18" s="17">
        <f t="shared" si="10"/>
        <v>0.42857142857142855</v>
      </c>
      <c r="X18" s="17">
        <f t="shared" si="10"/>
        <v>0</v>
      </c>
      <c r="Y18" s="17">
        <f t="shared" si="10"/>
        <v>10</v>
      </c>
      <c r="Z18" s="17">
        <f t="shared" si="10"/>
        <v>0.42857142857142855</v>
      </c>
      <c r="AA18" s="17">
        <f t="shared" si="10"/>
        <v>0.42857142857142855</v>
      </c>
      <c r="AB18" s="17">
        <f t="shared" si="10"/>
        <v>0</v>
      </c>
      <c r="AC18" s="17">
        <f t="shared" si="10"/>
        <v>80.571428571428584</v>
      </c>
      <c r="AD18" s="17">
        <f t="shared" si="10"/>
        <v>0</v>
      </c>
      <c r="AE18" s="31">
        <f t="shared" si="10"/>
        <v>45.571428571428569</v>
      </c>
      <c r="AF18" s="31">
        <f t="shared" si="10"/>
        <v>126.14285714285714</v>
      </c>
    </row>
    <row r="19" spans="2:32" ht="23.1" customHeight="1" x14ac:dyDescent="0.25">
      <c r="B19" s="23" t="s">
        <v>46</v>
      </c>
      <c r="C19" s="49">
        <f>AVERAGE('19.08 Bukaya-Kampala'!C19,'20.08 Bukaya-Kampala'!C19,'21.08 Bukaya-Kampala'!C19,'22.08 Bukaya-Kampala'!C19,'23.08 Bukaya-Kampala-24h'!C19,'24.08 Bukaya-Kampala-24h'!C19,'25.08 Bukaya-Kampala'!C19)</f>
        <v>2.1428571428571428</v>
      </c>
      <c r="D19" s="49">
        <f>AVERAGE('19.08 Bukaya-Kampala'!D19,'20.08 Bukaya-Kampala'!D19,'21.08 Bukaya-Kampala'!D19,'22.08 Bukaya-Kampala'!D19,'23.08 Bukaya-Kampala-24h'!D19,'24.08 Bukaya-Kampala-24h'!D19,'25.08 Bukaya-Kampala'!D19)</f>
        <v>0</v>
      </c>
      <c r="E19" s="49">
        <f>AVERAGE('19.08 Bukaya-Kampala'!E19,'20.08 Bukaya-Kampala'!E19,'21.08 Bukaya-Kampala'!E19,'22.08 Bukaya-Kampala'!E19,'23.08 Bukaya-Kampala-24h'!E19,'24.08 Bukaya-Kampala-24h'!E19,'25.08 Bukaya-Kampala'!E19)</f>
        <v>0.7142857142857143</v>
      </c>
      <c r="F19" s="49">
        <f>AVERAGE('19.08 Bukaya-Kampala'!F19,'20.08 Bukaya-Kampala'!F19,'21.08 Bukaya-Kampala'!F19,'22.08 Bukaya-Kampala'!F19,'23.08 Bukaya-Kampala-24h'!F19,'24.08 Bukaya-Kampala-24h'!F19,'25.08 Bukaya-Kampala'!F19)</f>
        <v>1.4285714285714286</v>
      </c>
      <c r="G19" s="49">
        <f>AVERAGE('19.08 Bukaya-Kampala'!G19,'20.08 Bukaya-Kampala'!G19,'21.08 Bukaya-Kampala'!G19,'22.08 Bukaya-Kampala'!G19,'23.08 Bukaya-Kampala-24h'!G19,'24.08 Bukaya-Kampala-24h'!G19,'25.08 Bukaya-Kampala'!G19)</f>
        <v>0</v>
      </c>
      <c r="H19" s="49">
        <f>AVERAGE('19.08 Bukaya-Kampala'!H19,'20.08 Bukaya-Kampala'!H19,'21.08 Bukaya-Kampala'!H19,'22.08 Bukaya-Kampala'!H19,'23.08 Bukaya-Kampala-24h'!H19,'24.08 Bukaya-Kampala-24h'!H19,'25.08 Bukaya-Kampala'!H19)</f>
        <v>0</v>
      </c>
      <c r="I19" s="49">
        <f>AVERAGE('19.08 Bukaya-Kampala'!I19,'20.08 Bukaya-Kampala'!I19,'21.08 Bukaya-Kampala'!I19,'22.08 Bukaya-Kampala'!I19,'23.08 Bukaya-Kampala-24h'!I19,'24.08 Bukaya-Kampala-24h'!I19,'25.08 Bukaya-Kampala'!I19)</f>
        <v>1.2857142857142858</v>
      </c>
      <c r="J19" s="49">
        <f>AVERAGE('19.08 Bukaya-Kampala'!J19,'20.08 Bukaya-Kampala'!J19,'21.08 Bukaya-Kampala'!J19,'22.08 Bukaya-Kampala'!J19,'23.08 Bukaya-Kampala-24h'!J19,'24.08 Bukaya-Kampala-24h'!J19,'25.08 Bukaya-Kampala'!J19)</f>
        <v>0</v>
      </c>
      <c r="K19" s="49">
        <f>AVERAGE('19.08 Bukaya-Kampala'!K19,'20.08 Bukaya-Kampala'!K19,'21.08 Bukaya-Kampala'!K19,'22.08 Bukaya-Kampala'!K19,'23.08 Bukaya-Kampala-24h'!K19,'24.08 Bukaya-Kampala-24h'!K19,'25.08 Bukaya-Kampala'!K19)</f>
        <v>0.14285714285714285</v>
      </c>
      <c r="L19" s="49">
        <f>AVERAGE('19.08 Bukaya-Kampala'!L19,'20.08 Bukaya-Kampala'!L19,'21.08 Bukaya-Kampala'!L19,'22.08 Bukaya-Kampala'!L19,'23.08 Bukaya-Kampala-24h'!L19,'24.08 Bukaya-Kampala-24h'!L19,'25.08 Bukaya-Kampala'!L19)</f>
        <v>0</v>
      </c>
      <c r="M19" s="49">
        <f>AVERAGE('19.08 Bukaya-Kampala'!M19,'20.08 Bukaya-Kampala'!M19,'21.08 Bukaya-Kampala'!M19,'22.08 Bukaya-Kampala'!M19,'23.08 Bukaya-Kampala-24h'!M19,'24.08 Bukaya-Kampala-24h'!M19,'25.08 Bukaya-Kampala'!M19)</f>
        <v>15.428571428571429</v>
      </c>
      <c r="N19" s="49">
        <f>AVERAGE('19.08 Bukaya-Kampala'!N19,'20.08 Bukaya-Kampala'!N19,'21.08 Bukaya-Kampala'!N19,'22.08 Bukaya-Kampala'!N19,'23.08 Bukaya-Kampala-24h'!N19,'24.08 Bukaya-Kampala-24h'!N19,'25.08 Bukaya-Kampala'!N19)</f>
        <v>0</v>
      </c>
      <c r="O19" s="15">
        <f t="shared" si="0"/>
        <v>5.7142857142857144</v>
      </c>
      <c r="P19" s="15">
        <f t="shared" si="1"/>
        <v>21.142857142857142</v>
      </c>
      <c r="R19" s="1" t="s">
        <v>15</v>
      </c>
      <c r="S19" s="17">
        <f t="shared" ref="S19:AF19" si="11">SUM(C46:C49)</f>
        <v>11.714285714285715</v>
      </c>
      <c r="T19" s="17">
        <f t="shared" si="11"/>
        <v>0</v>
      </c>
      <c r="U19" s="17">
        <f t="shared" si="11"/>
        <v>15.714285714285714</v>
      </c>
      <c r="V19" s="17">
        <f t="shared" si="11"/>
        <v>9.5714285714285712</v>
      </c>
      <c r="W19" s="17">
        <f t="shared" si="11"/>
        <v>0.14285714285714285</v>
      </c>
      <c r="X19" s="17">
        <f t="shared" si="11"/>
        <v>0</v>
      </c>
      <c r="Y19" s="17">
        <f t="shared" si="11"/>
        <v>7.7142857142857144</v>
      </c>
      <c r="Z19" s="17">
        <f t="shared" si="11"/>
        <v>0.2857142857142857</v>
      </c>
      <c r="AA19" s="17">
        <f t="shared" si="11"/>
        <v>0.99999999999999978</v>
      </c>
      <c r="AB19" s="17">
        <f t="shared" si="11"/>
        <v>0</v>
      </c>
      <c r="AC19" s="17">
        <f t="shared" si="11"/>
        <v>89.428571428571416</v>
      </c>
      <c r="AD19" s="17">
        <f t="shared" si="11"/>
        <v>0</v>
      </c>
      <c r="AE19" s="31">
        <f t="shared" si="11"/>
        <v>46.142857142857139</v>
      </c>
      <c r="AF19" s="31">
        <f t="shared" si="11"/>
        <v>135.57142857142856</v>
      </c>
    </row>
    <row r="20" spans="2:32" ht="23.1" customHeight="1" x14ac:dyDescent="0.25">
      <c r="B20" s="23" t="s">
        <v>47</v>
      </c>
      <c r="C20" s="49">
        <f>AVERAGE('19.08 Bukaya-Kampala'!C20,'20.08 Bukaya-Kampala'!C20,'21.08 Bukaya-Kampala'!C20,'22.08 Bukaya-Kampala'!C20,'23.08 Bukaya-Kampala-24h'!C20,'24.08 Bukaya-Kampala-24h'!C20,'25.08 Bukaya-Kampala'!C20)</f>
        <v>1</v>
      </c>
      <c r="D20" s="49">
        <f>AVERAGE('19.08 Bukaya-Kampala'!D20,'20.08 Bukaya-Kampala'!D20,'21.08 Bukaya-Kampala'!D20,'22.08 Bukaya-Kampala'!D20,'23.08 Bukaya-Kampala-24h'!D20,'24.08 Bukaya-Kampala-24h'!D20,'25.08 Bukaya-Kampala'!D20)</f>
        <v>0</v>
      </c>
      <c r="E20" s="49">
        <f>AVERAGE('19.08 Bukaya-Kampala'!E20,'20.08 Bukaya-Kampala'!E20,'21.08 Bukaya-Kampala'!E20,'22.08 Bukaya-Kampala'!E20,'23.08 Bukaya-Kampala-24h'!E20,'24.08 Bukaya-Kampala-24h'!E20,'25.08 Bukaya-Kampala'!E20)</f>
        <v>1.1428571428571428</v>
      </c>
      <c r="F20" s="49">
        <f>AVERAGE('19.08 Bukaya-Kampala'!F20,'20.08 Bukaya-Kampala'!F20,'21.08 Bukaya-Kampala'!F20,'22.08 Bukaya-Kampala'!F20,'23.08 Bukaya-Kampala-24h'!F20,'24.08 Bukaya-Kampala-24h'!F20,'25.08 Bukaya-Kampala'!F20)</f>
        <v>1.1428571428571428</v>
      </c>
      <c r="G20" s="49">
        <f>AVERAGE('19.08 Bukaya-Kampala'!G20,'20.08 Bukaya-Kampala'!G20,'21.08 Bukaya-Kampala'!G20,'22.08 Bukaya-Kampala'!G20,'23.08 Bukaya-Kampala-24h'!G20,'24.08 Bukaya-Kampala-24h'!G20,'25.08 Bukaya-Kampala'!G20)</f>
        <v>0</v>
      </c>
      <c r="H20" s="49">
        <f>AVERAGE('19.08 Bukaya-Kampala'!H20,'20.08 Bukaya-Kampala'!H20,'21.08 Bukaya-Kampala'!H20,'22.08 Bukaya-Kampala'!H20,'23.08 Bukaya-Kampala-24h'!H20,'24.08 Bukaya-Kampala-24h'!H20,'25.08 Bukaya-Kampala'!H20)</f>
        <v>0</v>
      </c>
      <c r="I20" s="49">
        <f>AVERAGE('19.08 Bukaya-Kampala'!I20,'20.08 Bukaya-Kampala'!I20,'21.08 Bukaya-Kampala'!I20,'22.08 Bukaya-Kampala'!I20,'23.08 Bukaya-Kampala-24h'!I20,'24.08 Bukaya-Kampala-24h'!I20,'25.08 Bukaya-Kampala'!I20)</f>
        <v>1.8571428571428572</v>
      </c>
      <c r="J20" s="49">
        <f>AVERAGE('19.08 Bukaya-Kampala'!J20,'20.08 Bukaya-Kampala'!J20,'21.08 Bukaya-Kampala'!J20,'22.08 Bukaya-Kampala'!J20,'23.08 Bukaya-Kampala-24h'!J20,'24.08 Bukaya-Kampala-24h'!J20,'25.08 Bukaya-Kampala'!J20)</f>
        <v>0</v>
      </c>
      <c r="K20" s="49">
        <f>AVERAGE('19.08 Bukaya-Kampala'!K20,'20.08 Bukaya-Kampala'!K20,'21.08 Bukaya-Kampala'!K20,'22.08 Bukaya-Kampala'!K20,'23.08 Bukaya-Kampala-24h'!K20,'24.08 Bukaya-Kampala-24h'!K20,'25.08 Bukaya-Kampala'!K20)</f>
        <v>0.14285714285714285</v>
      </c>
      <c r="L20" s="49">
        <f>AVERAGE('19.08 Bukaya-Kampala'!L20,'20.08 Bukaya-Kampala'!L20,'21.08 Bukaya-Kampala'!L20,'22.08 Bukaya-Kampala'!L20,'23.08 Bukaya-Kampala-24h'!L20,'24.08 Bukaya-Kampala-24h'!L20,'25.08 Bukaya-Kampala'!L20)</f>
        <v>0</v>
      </c>
      <c r="M20" s="49">
        <f>AVERAGE('19.08 Bukaya-Kampala'!M20,'20.08 Bukaya-Kampala'!M20,'21.08 Bukaya-Kampala'!M20,'22.08 Bukaya-Kampala'!M20,'23.08 Bukaya-Kampala-24h'!M20,'24.08 Bukaya-Kampala-24h'!M20,'25.08 Bukaya-Kampala'!M20)</f>
        <v>16</v>
      </c>
      <c r="N20" s="49">
        <f>AVERAGE('19.08 Bukaya-Kampala'!N20,'20.08 Bukaya-Kampala'!N20,'21.08 Bukaya-Kampala'!N20,'22.08 Bukaya-Kampala'!N20,'23.08 Bukaya-Kampala-24h'!N20,'24.08 Bukaya-Kampala-24h'!N20,'25.08 Bukaya-Kampala'!N20)</f>
        <v>0</v>
      </c>
      <c r="O20" s="15">
        <f t="shared" si="0"/>
        <v>5.2857142857142856</v>
      </c>
      <c r="P20" s="15">
        <f t="shared" si="1"/>
        <v>21.285714285714285</v>
      </c>
      <c r="R20" s="1" t="s">
        <v>16</v>
      </c>
      <c r="S20" s="17">
        <f t="shared" ref="S20:AF20" si="12">SUM(C50:C53)</f>
        <v>19.285714285714285</v>
      </c>
      <c r="T20" s="17">
        <f t="shared" si="12"/>
        <v>0</v>
      </c>
      <c r="U20" s="17">
        <f t="shared" si="12"/>
        <v>21</v>
      </c>
      <c r="V20" s="17">
        <f t="shared" si="12"/>
        <v>12.571428571428573</v>
      </c>
      <c r="W20" s="17">
        <f t="shared" si="12"/>
        <v>1.2857142857142856</v>
      </c>
      <c r="X20" s="17">
        <f t="shared" si="12"/>
        <v>0</v>
      </c>
      <c r="Y20" s="17">
        <f t="shared" si="12"/>
        <v>7.5714285714285712</v>
      </c>
      <c r="Z20" s="17">
        <f t="shared" si="12"/>
        <v>0.14285714285714285</v>
      </c>
      <c r="AA20" s="17">
        <f t="shared" si="12"/>
        <v>0.5714285714285714</v>
      </c>
      <c r="AB20" s="17">
        <f t="shared" si="12"/>
        <v>0.14285714285714285</v>
      </c>
      <c r="AC20" s="17">
        <f t="shared" si="12"/>
        <v>88.857142857142847</v>
      </c>
      <c r="AD20" s="17">
        <f t="shared" si="12"/>
        <v>0</v>
      </c>
      <c r="AE20" s="31">
        <f t="shared" si="12"/>
        <v>62.571428571428577</v>
      </c>
      <c r="AF20" s="31">
        <f t="shared" si="12"/>
        <v>151.42857142857144</v>
      </c>
    </row>
    <row r="21" spans="2:32" ht="23.1" customHeight="1" x14ac:dyDescent="0.25">
      <c r="B21" s="23" t="s">
        <v>48</v>
      </c>
      <c r="C21" s="49">
        <f>AVERAGE('19.08 Bukaya-Kampala'!C21,'20.08 Bukaya-Kampala'!C21,'21.08 Bukaya-Kampala'!C21,'22.08 Bukaya-Kampala'!C21,'23.08 Bukaya-Kampala-24h'!C21,'24.08 Bukaya-Kampala-24h'!C21,'25.08 Bukaya-Kampala'!C21)</f>
        <v>1.7142857142857142</v>
      </c>
      <c r="D21" s="49">
        <f>AVERAGE('19.08 Bukaya-Kampala'!D21,'20.08 Bukaya-Kampala'!D21,'21.08 Bukaya-Kampala'!D21,'22.08 Bukaya-Kampala'!D21,'23.08 Bukaya-Kampala-24h'!D21,'24.08 Bukaya-Kampala-24h'!D21,'25.08 Bukaya-Kampala'!D21)</f>
        <v>0</v>
      </c>
      <c r="E21" s="49">
        <f>AVERAGE('19.08 Bukaya-Kampala'!E21,'20.08 Bukaya-Kampala'!E21,'21.08 Bukaya-Kampala'!E21,'22.08 Bukaya-Kampala'!E21,'23.08 Bukaya-Kampala-24h'!E21,'24.08 Bukaya-Kampala-24h'!E21,'25.08 Bukaya-Kampala'!E21)</f>
        <v>1.1428571428571428</v>
      </c>
      <c r="F21" s="49">
        <f>AVERAGE('19.08 Bukaya-Kampala'!F21,'20.08 Bukaya-Kampala'!F21,'21.08 Bukaya-Kampala'!F21,'22.08 Bukaya-Kampala'!F21,'23.08 Bukaya-Kampala-24h'!F21,'24.08 Bukaya-Kampala-24h'!F21,'25.08 Bukaya-Kampala'!F21)</f>
        <v>1</v>
      </c>
      <c r="G21" s="49">
        <f>AVERAGE('19.08 Bukaya-Kampala'!G21,'20.08 Bukaya-Kampala'!G21,'21.08 Bukaya-Kampala'!G21,'22.08 Bukaya-Kampala'!G21,'23.08 Bukaya-Kampala-24h'!G21,'24.08 Bukaya-Kampala-24h'!G21,'25.08 Bukaya-Kampala'!G21)</f>
        <v>0.14285714285714285</v>
      </c>
      <c r="H21" s="49">
        <f>AVERAGE('19.08 Bukaya-Kampala'!H21,'20.08 Bukaya-Kampala'!H21,'21.08 Bukaya-Kampala'!H21,'22.08 Bukaya-Kampala'!H21,'23.08 Bukaya-Kampala-24h'!H21,'24.08 Bukaya-Kampala-24h'!H21,'25.08 Bukaya-Kampala'!H21)</f>
        <v>0</v>
      </c>
      <c r="I21" s="49">
        <f>AVERAGE('19.08 Bukaya-Kampala'!I21,'20.08 Bukaya-Kampala'!I21,'21.08 Bukaya-Kampala'!I21,'22.08 Bukaya-Kampala'!I21,'23.08 Bukaya-Kampala-24h'!I21,'24.08 Bukaya-Kampala-24h'!I21,'25.08 Bukaya-Kampala'!I21)</f>
        <v>1.2857142857142858</v>
      </c>
      <c r="J21" s="49">
        <f>AVERAGE('19.08 Bukaya-Kampala'!J21,'20.08 Bukaya-Kampala'!J21,'21.08 Bukaya-Kampala'!J21,'22.08 Bukaya-Kampala'!J21,'23.08 Bukaya-Kampala-24h'!J21,'24.08 Bukaya-Kampala-24h'!J21,'25.08 Bukaya-Kampala'!J21)</f>
        <v>0</v>
      </c>
      <c r="K21" s="49">
        <f>AVERAGE('19.08 Bukaya-Kampala'!K21,'20.08 Bukaya-Kampala'!K21,'21.08 Bukaya-Kampala'!K21,'22.08 Bukaya-Kampala'!K21,'23.08 Bukaya-Kampala-24h'!K21,'24.08 Bukaya-Kampala-24h'!K21,'25.08 Bukaya-Kampala'!K21)</f>
        <v>0.14285714285714285</v>
      </c>
      <c r="L21" s="49">
        <f>AVERAGE('19.08 Bukaya-Kampala'!L21,'20.08 Bukaya-Kampala'!L21,'21.08 Bukaya-Kampala'!L21,'22.08 Bukaya-Kampala'!L21,'23.08 Bukaya-Kampala-24h'!L21,'24.08 Bukaya-Kampala-24h'!L21,'25.08 Bukaya-Kampala'!L21)</f>
        <v>0</v>
      </c>
      <c r="M21" s="49">
        <f>AVERAGE('19.08 Bukaya-Kampala'!M21,'20.08 Bukaya-Kampala'!M21,'21.08 Bukaya-Kampala'!M21,'22.08 Bukaya-Kampala'!M21,'23.08 Bukaya-Kampala-24h'!M21,'24.08 Bukaya-Kampala-24h'!M21,'25.08 Bukaya-Kampala'!M21)</f>
        <v>20.571428571428573</v>
      </c>
      <c r="N21" s="49">
        <f>AVERAGE('19.08 Bukaya-Kampala'!N21,'20.08 Bukaya-Kampala'!N21,'21.08 Bukaya-Kampala'!N21,'22.08 Bukaya-Kampala'!N21,'23.08 Bukaya-Kampala-24h'!N21,'24.08 Bukaya-Kampala-24h'!N21,'25.08 Bukaya-Kampala'!N21)</f>
        <v>0</v>
      </c>
      <c r="O21" s="15">
        <f t="shared" si="0"/>
        <v>5.4285714285714288</v>
      </c>
      <c r="P21" s="15">
        <f t="shared" si="1"/>
        <v>26</v>
      </c>
      <c r="R21" s="36" t="s">
        <v>20</v>
      </c>
      <c r="S21" s="34">
        <f t="shared" ref="S21:AF21" si="13">SUM(C54:C57)</f>
        <v>13.571428571428573</v>
      </c>
      <c r="T21" s="17">
        <f t="shared" si="13"/>
        <v>0</v>
      </c>
      <c r="U21" s="17">
        <f t="shared" si="13"/>
        <v>19.571428571428569</v>
      </c>
      <c r="V21" s="17">
        <f t="shared" si="13"/>
        <v>10</v>
      </c>
      <c r="W21" s="17">
        <f t="shared" si="13"/>
        <v>0.2857142857142857</v>
      </c>
      <c r="X21" s="17">
        <f t="shared" si="13"/>
        <v>0</v>
      </c>
      <c r="Y21" s="17">
        <f t="shared" si="13"/>
        <v>10.142857142857142</v>
      </c>
      <c r="Z21" s="17">
        <f t="shared" si="13"/>
        <v>0.14285714285714285</v>
      </c>
      <c r="AA21" s="17">
        <f t="shared" si="13"/>
        <v>0.2857142857142857</v>
      </c>
      <c r="AB21" s="17">
        <f t="shared" si="13"/>
        <v>0</v>
      </c>
      <c r="AC21" s="17">
        <f t="shared" si="13"/>
        <v>91.571428571428569</v>
      </c>
      <c r="AD21" s="17">
        <f t="shared" si="13"/>
        <v>0.14285714285714285</v>
      </c>
      <c r="AE21" s="31">
        <f t="shared" si="13"/>
        <v>54.142857142857139</v>
      </c>
      <c r="AF21" s="31">
        <f t="shared" si="13"/>
        <v>155.42857142857144</v>
      </c>
    </row>
    <row r="22" spans="2:32" ht="23.1" customHeight="1" x14ac:dyDescent="0.25">
      <c r="B22" s="23" t="s">
        <v>49</v>
      </c>
      <c r="C22" s="49">
        <f>AVERAGE('19.08 Bukaya-Kampala'!C22,'20.08 Bukaya-Kampala'!C22,'21.08 Bukaya-Kampala'!C22,'22.08 Bukaya-Kampala'!C22,'23.08 Bukaya-Kampala-24h'!C22,'24.08 Bukaya-Kampala-24h'!C22,'25.08 Bukaya-Kampala'!C22)</f>
        <v>2</v>
      </c>
      <c r="D22" s="49">
        <f>AVERAGE('19.08 Bukaya-Kampala'!D22,'20.08 Bukaya-Kampala'!D22,'21.08 Bukaya-Kampala'!D22,'22.08 Bukaya-Kampala'!D22,'23.08 Bukaya-Kampala-24h'!D22,'24.08 Bukaya-Kampala-24h'!D22,'25.08 Bukaya-Kampala'!D22)</f>
        <v>0</v>
      </c>
      <c r="E22" s="49">
        <f>AVERAGE('19.08 Bukaya-Kampala'!E22,'20.08 Bukaya-Kampala'!E22,'21.08 Bukaya-Kampala'!E22,'22.08 Bukaya-Kampala'!E22,'23.08 Bukaya-Kampala-24h'!E22,'24.08 Bukaya-Kampala-24h'!E22,'25.08 Bukaya-Kampala'!E22)</f>
        <v>1.7142857142857142</v>
      </c>
      <c r="F22" s="49">
        <f>AVERAGE('19.08 Bukaya-Kampala'!F22,'20.08 Bukaya-Kampala'!F22,'21.08 Bukaya-Kampala'!F22,'22.08 Bukaya-Kampala'!F22,'23.08 Bukaya-Kampala-24h'!F22,'24.08 Bukaya-Kampala-24h'!F22,'25.08 Bukaya-Kampala'!F22)</f>
        <v>1.5714285714285714</v>
      </c>
      <c r="G22" s="49">
        <f>AVERAGE('19.08 Bukaya-Kampala'!G22,'20.08 Bukaya-Kampala'!G22,'21.08 Bukaya-Kampala'!G22,'22.08 Bukaya-Kampala'!G22,'23.08 Bukaya-Kampala-24h'!G22,'24.08 Bukaya-Kampala-24h'!G22,'25.08 Bukaya-Kampala'!G22)</f>
        <v>0</v>
      </c>
      <c r="H22" s="49">
        <f>AVERAGE('19.08 Bukaya-Kampala'!H22,'20.08 Bukaya-Kampala'!H22,'21.08 Bukaya-Kampala'!H22,'22.08 Bukaya-Kampala'!H22,'23.08 Bukaya-Kampala-24h'!H22,'24.08 Bukaya-Kampala-24h'!H22,'25.08 Bukaya-Kampala'!H22)</f>
        <v>0.14285714285714285</v>
      </c>
      <c r="I22" s="49">
        <f>AVERAGE('19.08 Bukaya-Kampala'!I22,'20.08 Bukaya-Kampala'!I22,'21.08 Bukaya-Kampala'!I22,'22.08 Bukaya-Kampala'!I22,'23.08 Bukaya-Kampala-24h'!I22,'24.08 Bukaya-Kampala-24h'!I22,'25.08 Bukaya-Kampala'!I22)</f>
        <v>0.8571428571428571</v>
      </c>
      <c r="J22" s="49">
        <f>AVERAGE('19.08 Bukaya-Kampala'!J22,'20.08 Bukaya-Kampala'!J22,'21.08 Bukaya-Kampala'!J22,'22.08 Bukaya-Kampala'!J22,'23.08 Bukaya-Kampala-24h'!J22,'24.08 Bukaya-Kampala-24h'!J22,'25.08 Bukaya-Kampala'!J22)</f>
        <v>0</v>
      </c>
      <c r="K22" s="49">
        <f>AVERAGE('19.08 Bukaya-Kampala'!K22,'20.08 Bukaya-Kampala'!K22,'21.08 Bukaya-Kampala'!K22,'22.08 Bukaya-Kampala'!K22,'23.08 Bukaya-Kampala-24h'!K22,'24.08 Bukaya-Kampala-24h'!K22,'25.08 Bukaya-Kampala'!K22)</f>
        <v>0</v>
      </c>
      <c r="L22" s="49">
        <f>AVERAGE('19.08 Bukaya-Kampala'!L22,'20.08 Bukaya-Kampala'!L22,'21.08 Bukaya-Kampala'!L22,'22.08 Bukaya-Kampala'!L22,'23.08 Bukaya-Kampala-24h'!L22,'24.08 Bukaya-Kampala-24h'!L22,'25.08 Bukaya-Kampala'!L22)</f>
        <v>0</v>
      </c>
      <c r="M22" s="49">
        <f>AVERAGE('19.08 Bukaya-Kampala'!M22,'20.08 Bukaya-Kampala'!M22,'21.08 Bukaya-Kampala'!M22,'22.08 Bukaya-Kampala'!M22,'23.08 Bukaya-Kampala-24h'!M22,'24.08 Bukaya-Kampala-24h'!M22,'25.08 Bukaya-Kampala'!M22)</f>
        <v>19.428571428571427</v>
      </c>
      <c r="N22" s="49">
        <f>AVERAGE('19.08 Bukaya-Kampala'!N22,'20.08 Bukaya-Kampala'!N22,'21.08 Bukaya-Kampala'!N22,'22.08 Bukaya-Kampala'!N22,'23.08 Bukaya-Kampala-24h'!N22,'24.08 Bukaya-Kampala-24h'!N22,'25.08 Bukaya-Kampala'!N22)</f>
        <v>0</v>
      </c>
      <c r="O22" s="15">
        <f t="shared" si="0"/>
        <v>6.2857142857142856</v>
      </c>
      <c r="P22" s="15">
        <f t="shared" si="1"/>
        <v>25.714285714285712</v>
      </c>
      <c r="R22" s="1" t="s">
        <v>146</v>
      </c>
      <c r="S22" s="34">
        <f>SUM(C58:C61)</f>
        <v>13</v>
      </c>
      <c r="T22" s="34">
        <f t="shared" ref="T22:AF22" si="14">SUM(D58:D61)</f>
        <v>0</v>
      </c>
      <c r="U22" s="34">
        <f t="shared" si="14"/>
        <v>8</v>
      </c>
      <c r="V22" s="34">
        <f t="shared" si="14"/>
        <v>4</v>
      </c>
      <c r="W22" s="34">
        <f t="shared" si="14"/>
        <v>1</v>
      </c>
      <c r="X22" s="34">
        <f t="shared" si="14"/>
        <v>0</v>
      </c>
      <c r="Y22" s="34">
        <f t="shared" si="14"/>
        <v>4</v>
      </c>
      <c r="Z22" s="34">
        <f t="shared" si="14"/>
        <v>0</v>
      </c>
      <c r="AA22" s="34">
        <f t="shared" si="14"/>
        <v>1</v>
      </c>
      <c r="AB22" s="34">
        <f t="shared" si="14"/>
        <v>0</v>
      </c>
      <c r="AC22" s="34">
        <f t="shared" si="14"/>
        <v>58</v>
      </c>
      <c r="AD22" s="34">
        <f t="shared" si="14"/>
        <v>0</v>
      </c>
      <c r="AE22" s="31">
        <f t="shared" si="14"/>
        <v>31</v>
      </c>
      <c r="AF22" s="31">
        <f t="shared" si="14"/>
        <v>107</v>
      </c>
    </row>
    <row r="23" spans="2:32" ht="23.1" customHeight="1" x14ac:dyDescent="0.25">
      <c r="B23" s="23" t="s">
        <v>50</v>
      </c>
      <c r="C23" s="49">
        <f>AVERAGE('19.08 Bukaya-Kampala'!C23,'20.08 Bukaya-Kampala'!C23,'21.08 Bukaya-Kampala'!C23,'22.08 Bukaya-Kampala'!C23,'23.08 Bukaya-Kampala-24h'!C23,'24.08 Bukaya-Kampala-24h'!C23,'25.08 Bukaya-Kampala'!C23)</f>
        <v>1.8571428571428572</v>
      </c>
      <c r="D23" s="49">
        <f>AVERAGE('19.08 Bukaya-Kampala'!D23,'20.08 Bukaya-Kampala'!D23,'21.08 Bukaya-Kampala'!D23,'22.08 Bukaya-Kampala'!D23,'23.08 Bukaya-Kampala-24h'!D23,'24.08 Bukaya-Kampala-24h'!D23,'25.08 Bukaya-Kampala'!D23)</f>
        <v>0</v>
      </c>
      <c r="E23" s="49">
        <f>AVERAGE('19.08 Bukaya-Kampala'!E23,'20.08 Bukaya-Kampala'!E23,'21.08 Bukaya-Kampala'!E23,'22.08 Bukaya-Kampala'!E23,'23.08 Bukaya-Kampala-24h'!E23,'24.08 Bukaya-Kampala-24h'!E23,'25.08 Bukaya-Kampala'!E23)</f>
        <v>1.7142857142857142</v>
      </c>
      <c r="F23" s="49">
        <f>AVERAGE('19.08 Bukaya-Kampala'!F23,'20.08 Bukaya-Kampala'!F23,'21.08 Bukaya-Kampala'!F23,'22.08 Bukaya-Kampala'!F23,'23.08 Bukaya-Kampala-24h'!F23,'24.08 Bukaya-Kampala-24h'!F23,'25.08 Bukaya-Kampala'!F23)</f>
        <v>1.1428571428571428</v>
      </c>
      <c r="G23" s="49">
        <f>AVERAGE('19.08 Bukaya-Kampala'!G23,'20.08 Bukaya-Kampala'!G23,'21.08 Bukaya-Kampala'!G23,'22.08 Bukaya-Kampala'!G23,'23.08 Bukaya-Kampala-24h'!G23,'24.08 Bukaya-Kampala-24h'!G23,'25.08 Bukaya-Kampala'!G23)</f>
        <v>0</v>
      </c>
      <c r="H23" s="49">
        <f>AVERAGE('19.08 Bukaya-Kampala'!H23,'20.08 Bukaya-Kampala'!H23,'21.08 Bukaya-Kampala'!H23,'22.08 Bukaya-Kampala'!H23,'23.08 Bukaya-Kampala-24h'!H23,'24.08 Bukaya-Kampala-24h'!H23,'25.08 Bukaya-Kampala'!H23)</f>
        <v>0</v>
      </c>
      <c r="I23" s="49">
        <f>AVERAGE('19.08 Bukaya-Kampala'!I23,'20.08 Bukaya-Kampala'!I23,'21.08 Bukaya-Kampala'!I23,'22.08 Bukaya-Kampala'!I23,'23.08 Bukaya-Kampala-24h'!I23,'24.08 Bukaya-Kampala-24h'!I23,'25.08 Bukaya-Kampala'!I23)</f>
        <v>0.8571428571428571</v>
      </c>
      <c r="J23" s="49">
        <f>AVERAGE('19.08 Bukaya-Kampala'!J23,'20.08 Bukaya-Kampala'!J23,'21.08 Bukaya-Kampala'!J23,'22.08 Bukaya-Kampala'!J23,'23.08 Bukaya-Kampala-24h'!J23,'24.08 Bukaya-Kampala-24h'!J23,'25.08 Bukaya-Kampala'!J23)</f>
        <v>0</v>
      </c>
      <c r="K23" s="49">
        <f>AVERAGE('19.08 Bukaya-Kampala'!K23,'20.08 Bukaya-Kampala'!K23,'21.08 Bukaya-Kampala'!K23,'22.08 Bukaya-Kampala'!K23,'23.08 Bukaya-Kampala-24h'!K23,'24.08 Bukaya-Kampala-24h'!K23,'25.08 Bukaya-Kampala'!K23)</f>
        <v>0</v>
      </c>
      <c r="L23" s="49">
        <f>AVERAGE('19.08 Bukaya-Kampala'!L23,'20.08 Bukaya-Kampala'!L23,'21.08 Bukaya-Kampala'!L23,'22.08 Bukaya-Kampala'!L23,'23.08 Bukaya-Kampala-24h'!L23,'24.08 Bukaya-Kampala-24h'!L23,'25.08 Bukaya-Kampala'!L23)</f>
        <v>0</v>
      </c>
      <c r="M23" s="49">
        <f>AVERAGE('19.08 Bukaya-Kampala'!M23,'20.08 Bukaya-Kampala'!M23,'21.08 Bukaya-Kampala'!M23,'22.08 Bukaya-Kampala'!M23,'23.08 Bukaya-Kampala-24h'!M23,'24.08 Bukaya-Kampala-24h'!M23,'25.08 Bukaya-Kampala'!M23)</f>
        <v>21.142857142857142</v>
      </c>
      <c r="N23" s="49">
        <f>AVERAGE('19.08 Bukaya-Kampala'!N23,'20.08 Bukaya-Kampala'!N23,'21.08 Bukaya-Kampala'!N23,'22.08 Bukaya-Kampala'!N23,'23.08 Bukaya-Kampala-24h'!N23,'24.08 Bukaya-Kampala-24h'!N23,'25.08 Bukaya-Kampala'!N23)</f>
        <v>0</v>
      </c>
      <c r="O23" s="15">
        <f t="shared" si="0"/>
        <v>5.5714285714285703</v>
      </c>
      <c r="P23" s="15">
        <f t="shared" si="1"/>
        <v>26.714285714285712</v>
      </c>
      <c r="R23" s="1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15</v>
      </c>
      <c r="V23" s="34">
        <f t="shared" si="15"/>
        <v>13</v>
      </c>
      <c r="W23" s="34">
        <f t="shared" si="15"/>
        <v>0</v>
      </c>
      <c r="X23" s="34">
        <f t="shared" si="15"/>
        <v>0</v>
      </c>
      <c r="Y23" s="34">
        <f t="shared" si="15"/>
        <v>14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53</v>
      </c>
      <c r="AD23" s="34">
        <f t="shared" si="15"/>
        <v>0</v>
      </c>
      <c r="AE23" s="31">
        <f t="shared" si="15"/>
        <v>47</v>
      </c>
      <c r="AF23" s="31">
        <f t="shared" si="15"/>
        <v>143</v>
      </c>
    </row>
    <row r="24" spans="2:32" ht="23.1" customHeight="1" x14ac:dyDescent="0.25">
      <c r="B24" s="23" t="s">
        <v>51</v>
      </c>
      <c r="C24" s="49">
        <f>AVERAGE('19.08 Bukaya-Kampala'!C24,'20.08 Bukaya-Kampala'!C24,'21.08 Bukaya-Kampala'!C24,'22.08 Bukaya-Kampala'!C24,'23.08 Bukaya-Kampala-24h'!C24,'24.08 Bukaya-Kampala-24h'!C24,'25.08 Bukaya-Kampala'!C24)</f>
        <v>0.7142857142857143</v>
      </c>
      <c r="D24" s="49">
        <f>AVERAGE('19.08 Bukaya-Kampala'!D24,'20.08 Bukaya-Kampala'!D24,'21.08 Bukaya-Kampala'!D24,'22.08 Bukaya-Kampala'!D24,'23.08 Bukaya-Kampala-24h'!D24,'24.08 Bukaya-Kampala-24h'!D24,'25.08 Bukaya-Kampala'!D24)</f>
        <v>0</v>
      </c>
      <c r="E24" s="49">
        <f>AVERAGE('19.08 Bukaya-Kampala'!E24,'20.08 Bukaya-Kampala'!E24,'21.08 Bukaya-Kampala'!E24,'22.08 Bukaya-Kampala'!E24,'23.08 Bukaya-Kampala-24h'!E24,'24.08 Bukaya-Kampala-24h'!E24,'25.08 Bukaya-Kampala'!E24)</f>
        <v>2.5714285714285716</v>
      </c>
      <c r="F24" s="49">
        <f>AVERAGE('19.08 Bukaya-Kampala'!F24,'20.08 Bukaya-Kampala'!F24,'21.08 Bukaya-Kampala'!F24,'22.08 Bukaya-Kampala'!F24,'23.08 Bukaya-Kampala-24h'!F24,'24.08 Bukaya-Kampala-24h'!F24,'25.08 Bukaya-Kampala'!F24)</f>
        <v>1.1428571428571428</v>
      </c>
      <c r="G24" s="49">
        <f>AVERAGE('19.08 Bukaya-Kampala'!G24,'20.08 Bukaya-Kampala'!G24,'21.08 Bukaya-Kampala'!G24,'22.08 Bukaya-Kampala'!G24,'23.08 Bukaya-Kampala-24h'!G24,'24.08 Bukaya-Kampala-24h'!G24,'25.08 Bukaya-Kampala'!G24)</f>
        <v>0.14285714285714285</v>
      </c>
      <c r="H24" s="49">
        <f>AVERAGE('19.08 Bukaya-Kampala'!H24,'20.08 Bukaya-Kampala'!H24,'21.08 Bukaya-Kampala'!H24,'22.08 Bukaya-Kampala'!H24,'23.08 Bukaya-Kampala-24h'!H24,'24.08 Bukaya-Kampala-24h'!H24,'25.08 Bukaya-Kampala'!H24)</f>
        <v>0</v>
      </c>
      <c r="I24" s="49">
        <f>AVERAGE('19.08 Bukaya-Kampala'!I24,'20.08 Bukaya-Kampala'!I24,'21.08 Bukaya-Kampala'!I24,'22.08 Bukaya-Kampala'!I24,'23.08 Bukaya-Kampala-24h'!I24,'24.08 Bukaya-Kampala-24h'!I24,'25.08 Bukaya-Kampala'!I24)</f>
        <v>1.4285714285714286</v>
      </c>
      <c r="J24" s="49">
        <f>AVERAGE('19.08 Bukaya-Kampala'!J24,'20.08 Bukaya-Kampala'!J24,'21.08 Bukaya-Kampala'!J24,'22.08 Bukaya-Kampala'!J24,'23.08 Bukaya-Kampala-24h'!J24,'24.08 Bukaya-Kampala-24h'!J24,'25.08 Bukaya-Kampala'!J24)</f>
        <v>0</v>
      </c>
      <c r="K24" s="49">
        <f>AVERAGE('19.08 Bukaya-Kampala'!K24,'20.08 Bukaya-Kampala'!K24,'21.08 Bukaya-Kampala'!K24,'22.08 Bukaya-Kampala'!K24,'23.08 Bukaya-Kampala-24h'!K24,'24.08 Bukaya-Kampala-24h'!K24,'25.08 Bukaya-Kampala'!K24)</f>
        <v>0</v>
      </c>
      <c r="L24" s="49">
        <f>AVERAGE('19.08 Bukaya-Kampala'!L24,'20.08 Bukaya-Kampala'!L24,'21.08 Bukaya-Kampala'!L24,'22.08 Bukaya-Kampala'!L24,'23.08 Bukaya-Kampala-24h'!L24,'24.08 Bukaya-Kampala-24h'!L24,'25.08 Bukaya-Kampala'!L24)</f>
        <v>0</v>
      </c>
      <c r="M24" s="49">
        <f>AVERAGE('19.08 Bukaya-Kampala'!M24,'20.08 Bukaya-Kampala'!M24,'21.08 Bukaya-Kampala'!M24,'22.08 Bukaya-Kampala'!M24,'23.08 Bukaya-Kampala-24h'!M24,'24.08 Bukaya-Kampala-24h'!M24,'25.08 Bukaya-Kampala'!M24)</f>
        <v>18.428571428571427</v>
      </c>
      <c r="N24" s="49">
        <f>AVERAGE('19.08 Bukaya-Kampala'!N24,'20.08 Bukaya-Kampala'!N24,'21.08 Bukaya-Kampala'!N24,'22.08 Bukaya-Kampala'!N24,'23.08 Bukaya-Kampala-24h'!N24,'24.08 Bukaya-Kampala-24h'!N24,'25.08 Bukaya-Kampala'!N24)</f>
        <v>0</v>
      </c>
      <c r="O24" s="15">
        <f t="shared" si="0"/>
        <v>6.0000000000000009</v>
      </c>
      <c r="P24" s="15">
        <f t="shared" si="1"/>
        <v>24.428571428571427</v>
      </c>
      <c r="R24" s="1" t="s">
        <v>148</v>
      </c>
      <c r="S24" s="34">
        <f>SUM(C66:C69)</f>
        <v>8</v>
      </c>
      <c r="T24" s="34">
        <f t="shared" ref="T24:AF24" si="16">SUM(D66:D69)</f>
        <v>0</v>
      </c>
      <c r="U24" s="34">
        <f t="shared" si="16"/>
        <v>10</v>
      </c>
      <c r="V24" s="34">
        <f t="shared" si="16"/>
        <v>7</v>
      </c>
      <c r="W24" s="34">
        <f t="shared" si="16"/>
        <v>0</v>
      </c>
      <c r="X24" s="34">
        <f t="shared" si="16"/>
        <v>0</v>
      </c>
      <c r="Y24" s="34">
        <f t="shared" si="16"/>
        <v>6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38</v>
      </c>
      <c r="AD24" s="34">
        <f t="shared" si="16"/>
        <v>0</v>
      </c>
      <c r="AE24" s="31">
        <f t="shared" si="16"/>
        <v>32</v>
      </c>
      <c r="AF24" s="31">
        <f t="shared" si="16"/>
        <v>94</v>
      </c>
    </row>
    <row r="25" spans="2:32" ht="23.1" customHeight="1" x14ac:dyDescent="0.25">
      <c r="B25" s="23" t="s">
        <v>52</v>
      </c>
      <c r="C25" s="49">
        <f>AVERAGE('19.08 Bukaya-Kampala'!C25,'20.08 Bukaya-Kampala'!C25,'21.08 Bukaya-Kampala'!C25,'22.08 Bukaya-Kampala'!C25,'23.08 Bukaya-Kampala-24h'!C25,'24.08 Bukaya-Kampala-24h'!C25,'25.08 Bukaya-Kampala'!C25)</f>
        <v>1</v>
      </c>
      <c r="D25" s="49">
        <f>AVERAGE('19.08 Bukaya-Kampala'!D25,'20.08 Bukaya-Kampala'!D25,'21.08 Bukaya-Kampala'!D25,'22.08 Bukaya-Kampala'!D25,'23.08 Bukaya-Kampala-24h'!D25,'24.08 Bukaya-Kampala-24h'!D25,'25.08 Bukaya-Kampala'!D25)</f>
        <v>0</v>
      </c>
      <c r="E25" s="49">
        <f>AVERAGE('19.08 Bukaya-Kampala'!E25,'20.08 Bukaya-Kampala'!E25,'21.08 Bukaya-Kampala'!E25,'22.08 Bukaya-Kampala'!E25,'23.08 Bukaya-Kampala-24h'!E25,'24.08 Bukaya-Kampala-24h'!E25,'25.08 Bukaya-Kampala'!E25)</f>
        <v>1.8571428571428572</v>
      </c>
      <c r="F25" s="49">
        <f>AVERAGE('19.08 Bukaya-Kampala'!F25,'20.08 Bukaya-Kampala'!F25,'21.08 Bukaya-Kampala'!F25,'22.08 Bukaya-Kampala'!F25,'23.08 Bukaya-Kampala-24h'!F25,'24.08 Bukaya-Kampala-24h'!F25,'25.08 Bukaya-Kampala'!F25)</f>
        <v>1.8571428571428572</v>
      </c>
      <c r="G25" s="49">
        <f>AVERAGE('19.08 Bukaya-Kampala'!G25,'20.08 Bukaya-Kampala'!G25,'21.08 Bukaya-Kampala'!G25,'22.08 Bukaya-Kampala'!G25,'23.08 Bukaya-Kampala-24h'!G25,'24.08 Bukaya-Kampala-24h'!G25,'25.08 Bukaya-Kampala'!G25)</f>
        <v>0</v>
      </c>
      <c r="H25" s="49">
        <f>AVERAGE('19.08 Bukaya-Kampala'!H25,'20.08 Bukaya-Kampala'!H25,'21.08 Bukaya-Kampala'!H25,'22.08 Bukaya-Kampala'!H25,'23.08 Bukaya-Kampala-24h'!H25,'24.08 Bukaya-Kampala-24h'!H25,'25.08 Bukaya-Kampala'!H25)</f>
        <v>0</v>
      </c>
      <c r="I25" s="49">
        <f>AVERAGE('19.08 Bukaya-Kampala'!I25,'20.08 Bukaya-Kampala'!I25,'21.08 Bukaya-Kampala'!I25,'22.08 Bukaya-Kampala'!I25,'23.08 Bukaya-Kampala-24h'!I25,'24.08 Bukaya-Kampala-24h'!I25,'25.08 Bukaya-Kampala'!I25)</f>
        <v>0.8571428571428571</v>
      </c>
      <c r="J25" s="49">
        <f>AVERAGE('19.08 Bukaya-Kampala'!J25,'20.08 Bukaya-Kampala'!J25,'21.08 Bukaya-Kampala'!J25,'22.08 Bukaya-Kampala'!J25,'23.08 Bukaya-Kampala-24h'!J25,'24.08 Bukaya-Kampala-24h'!J25,'25.08 Bukaya-Kampala'!J25)</f>
        <v>0</v>
      </c>
      <c r="K25" s="49">
        <f>AVERAGE('19.08 Bukaya-Kampala'!K25,'20.08 Bukaya-Kampala'!K25,'21.08 Bukaya-Kampala'!K25,'22.08 Bukaya-Kampala'!K25,'23.08 Bukaya-Kampala-24h'!K25,'24.08 Bukaya-Kampala-24h'!K25,'25.08 Bukaya-Kampala'!K25)</f>
        <v>0</v>
      </c>
      <c r="L25" s="49">
        <f>AVERAGE('19.08 Bukaya-Kampala'!L25,'20.08 Bukaya-Kampala'!L25,'21.08 Bukaya-Kampala'!L25,'22.08 Bukaya-Kampala'!L25,'23.08 Bukaya-Kampala-24h'!L25,'24.08 Bukaya-Kampala-24h'!L25,'25.08 Bukaya-Kampala'!L25)</f>
        <v>0</v>
      </c>
      <c r="M25" s="49">
        <f>AVERAGE('19.08 Bukaya-Kampala'!M25,'20.08 Bukaya-Kampala'!M25,'21.08 Bukaya-Kampala'!M25,'22.08 Bukaya-Kampala'!M25,'23.08 Bukaya-Kampala-24h'!M25,'24.08 Bukaya-Kampala-24h'!M25,'25.08 Bukaya-Kampala'!M25)</f>
        <v>20.571428571428573</v>
      </c>
      <c r="N25" s="49">
        <f>AVERAGE('19.08 Bukaya-Kampala'!N25,'20.08 Bukaya-Kampala'!N25,'21.08 Bukaya-Kampala'!N25,'22.08 Bukaya-Kampala'!N25,'23.08 Bukaya-Kampala-24h'!N25,'24.08 Bukaya-Kampala-24h'!N25,'25.08 Bukaya-Kampala'!N25)</f>
        <v>0</v>
      </c>
      <c r="O25" s="15">
        <f t="shared" si="0"/>
        <v>5.5714285714285712</v>
      </c>
      <c r="P25" s="15">
        <f t="shared" si="1"/>
        <v>26.142857142857146</v>
      </c>
      <c r="R25" s="1" t="s">
        <v>149</v>
      </c>
      <c r="S25" s="34">
        <f>SUM(C70:C73)</f>
        <v>10</v>
      </c>
      <c r="T25" s="34">
        <f t="shared" ref="T25:AF25" si="17">SUM(D70:D73)</f>
        <v>0</v>
      </c>
      <c r="U25" s="34">
        <f t="shared" si="17"/>
        <v>5</v>
      </c>
      <c r="V25" s="34">
        <f t="shared" si="17"/>
        <v>5</v>
      </c>
      <c r="W25" s="34">
        <f t="shared" si="17"/>
        <v>1</v>
      </c>
      <c r="X25" s="34">
        <f t="shared" si="17"/>
        <v>0</v>
      </c>
      <c r="Y25" s="34">
        <f t="shared" si="17"/>
        <v>6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17</v>
      </c>
      <c r="AD25" s="34">
        <f t="shared" si="17"/>
        <v>0</v>
      </c>
      <c r="AE25" s="31">
        <f t="shared" si="17"/>
        <v>28</v>
      </c>
      <c r="AF25" s="31">
        <f t="shared" si="17"/>
        <v>63</v>
      </c>
    </row>
    <row r="26" spans="2:32" ht="23.1" customHeight="1" x14ac:dyDescent="0.25">
      <c r="B26" s="23" t="s">
        <v>53</v>
      </c>
      <c r="C26" s="49">
        <f>AVERAGE('19.08 Bukaya-Kampala'!C26,'20.08 Bukaya-Kampala'!C26,'21.08 Bukaya-Kampala'!C26,'22.08 Bukaya-Kampala'!C26,'23.08 Bukaya-Kampala-24h'!C26,'24.08 Bukaya-Kampala-24h'!C26,'25.08 Bukaya-Kampala'!C26)</f>
        <v>1.4285714285714286</v>
      </c>
      <c r="D26" s="49">
        <f>AVERAGE('19.08 Bukaya-Kampala'!D26,'20.08 Bukaya-Kampala'!D26,'21.08 Bukaya-Kampala'!D26,'22.08 Bukaya-Kampala'!D26,'23.08 Bukaya-Kampala-24h'!D26,'24.08 Bukaya-Kampala-24h'!D26,'25.08 Bukaya-Kampala'!D26)</f>
        <v>0</v>
      </c>
      <c r="E26" s="49">
        <f>AVERAGE('19.08 Bukaya-Kampala'!E26,'20.08 Bukaya-Kampala'!E26,'21.08 Bukaya-Kampala'!E26,'22.08 Bukaya-Kampala'!E26,'23.08 Bukaya-Kampala-24h'!E26,'24.08 Bukaya-Kampala-24h'!E26,'25.08 Bukaya-Kampala'!E26)</f>
        <v>1.4285714285714286</v>
      </c>
      <c r="F26" s="49">
        <f>AVERAGE('19.08 Bukaya-Kampala'!F26,'20.08 Bukaya-Kampala'!F26,'21.08 Bukaya-Kampala'!F26,'22.08 Bukaya-Kampala'!F26,'23.08 Bukaya-Kampala-24h'!F26,'24.08 Bukaya-Kampala-24h'!F26,'25.08 Bukaya-Kampala'!F26)</f>
        <v>1.2857142857142858</v>
      </c>
      <c r="G26" s="49">
        <f>AVERAGE('19.08 Bukaya-Kampala'!G26,'20.08 Bukaya-Kampala'!G26,'21.08 Bukaya-Kampala'!G26,'22.08 Bukaya-Kampala'!G26,'23.08 Bukaya-Kampala-24h'!G26,'24.08 Bukaya-Kampala-24h'!G26,'25.08 Bukaya-Kampala'!G26)</f>
        <v>0</v>
      </c>
      <c r="H26" s="49">
        <f>AVERAGE('19.08 Bukaya-Kampala'!H26,'20.08 Bukaya-Kampala'!H26,'21.08 Bukaya-Kampala'!H26,'22.08 Bukaya-Kampala'!H26,'23.08 Bukaya-Kampala-24h'!H26,'24.08 Bukaya-Kampala-24h'!H26,'25.08 Bukaya-Kampala'!H26)</f>
        <v>0</v>
      </c>
      <c r="I26" s="49">
        <f>AVERAGE('19.08 Bukaya-Kampala'!I26,'20.08 Bukaya-Kampala'!I26,'21.08 Bukaya-Kampala'!I26,'22.08 Bukaya-Kampala'!I26,'23.08 Bukaya-Kampala-24h'!I26,'24.08 Bukaya-Kampala-24h'!I26,'25.08 Bukaya-Kampala'!I26)</f>
        <v>1.1428571428571428</v>
      </c>
      <c r="J26" s="49">
        <f>AVERAGE('19.08 Bukaya-Kampala'!J26,'20.08 Bukaya-Kampala'!J26,'21.08 Bukaya-Kampala'!J26,'22.08 Bukaya-Kampala'!J26,'23.08 Bukaya-Kampala-24h'!J26,'24.08 Bukaya-Kampala-24h'!J26,'25.08 Bukaya-Kampala'!J26)</f>
        <v>0</v>
      </c>
      <c r="K26" s="49">
        <f>AVERAGE('19.08 Bukaya-Kampala'!K26,'20.08 Bukaya-Kampala'!K26,'21.08 Bukaya-Kampala'!K26,'22.08 Bukaya-Kampala'!K26,'23.08 Bukaya-Kampala-24h'!K26,'24.08 Bukaya-Kampala-24h'!K26,'25.08 Bukaya-Kampala'!K26)</f>
        <v>0</v>
      </c>
      <c r="L26" s="49">
        <f>AVERAGE('19.08 Bukaya-Kampala'!L26,'20.08 Bukaya-Kampala'!L26,'21.08 Bukaya-Kampala'!L26,'22.08 Bukaya-Kampala'!L26,'23.08 Bukaya-Kampala-24h'!L26,'24.08 Bukaya-Kampala-24h'!L26,'25.08 Bukaya-Kampala'!L26)</f>
        <v>0</v>
      </c>
      <c r="M26" s="49">
        <f>AVERAGE('19.08 Bukaya-Kampala'!M26,'20.08 Bukaya-Kampala'!M26,'21.08 Bukaya-Kampala'!M26,'22.08 Bukaya-Kampala'!M26,'23.08 Bukaya-Kampala-24h'!M26,'24.08 Bukaya-Kampala-24h'!M26,'25.08 Bukaya-Kampala'!M26)</f>
        <v>17.285714285714285</v>
      </c>
      <c r="N26" s="49">
        <f>AVERAGE('19.08 Bukaya-Kampala'!N26,'20.08 Bukaya-Kampala'!N26,'21.08 Bukaya-Kampala'!N26,'22.08 Bukaya-Kampala'!N26,'23.08 Bukaya-Kampala-24h'!N26,'24.08 Bukaya-Kampala-24h'!N26,'25.08 Bukaya-Kampala'!N26)</f>
        <v>0</v>
      </c>
      <c r="O26" s="15">
        <f t="shared" si="0"/>
        <v>5.2857142857142865</v>
      </c>
      <c r="P26" s="15">
        <f t="shared" si="1"/>
        <v>22.571428571428569</v>
      </c>
      <c r="R26" s="1" t="s">
        <v>150</v>
      </c>
      <c r="S26" s="34">
        <f>SUM(C74:C77)</f>
        <v>6</v>
      </c>
      <c r="T26" s="34">
        <f t="shared" ref="T26:AF26" si="18">SUM(D74:D77)</f>
        <v>0</v>
      </c>
      <c r="U26" s="34">
        <f t="shared" si="18"/>
        <v>11</v>
      </c>
      <c r="V26" s="34">
        <f t="shared" si="18"/>
        <v>5</v>
      </c>
      <c r="W26" s="34">
        <f t="shared" si="18"/>
        <v>0</v>
      </c>
      <c r="X26" s="34">
        <f t="shared" si="18"/>
        <v>0</v>
      </c>
      <c r="Y26" s="34">
        <f t="shared" si="18"/>
        <v>14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37</v>
      </c>
      <c r="AF26" s="31">
        <f t="shared" si="18"/>
        <v>68</v>
      </c>
    </row>
    <row r="27" spans="2:32" ht="23.1" customHeight="1" x14ac:dyDescent="0.25">
      <c r="B27" s="23" t="s">
        <v>54</v>
      </c>
      <c r="C27" s="49">
        <f>AVERAGE('19.08 Bukaya-Kampala'!C27,'20.08 Bukaya-Kampala'!C27,'21.08 Bukaya-Kampala'!C27,'22.08 Bukaya-Kampala'!C27,'23.08 Bukaya-Kampala-24h'!C27,'24.08 Bukaya-Kampala-24h'!C27,'25.08 Bukaya-Kampala'!C27)</f>
        <v>1.8571428571428572</v>
      </c>
      <c r="D27" s="49">
        <f>AVERAGE('19.08 Bukaya-Kampala'!D27,'20.08 Bukaya-Kampala'!D27,'21.08 Bukaya-Kampala'!D27,'22.08 Bukaya-Kampala'!D27,'23.08 Bukaya-Kampala-24h'!D27,'24.08 Bukaya-Kampala-24h'!D27,'25.08 Bukaya-Kampala'!D27)</f>
        <v>0</v>
      </c>
      <c r="E27" s="49">
        <f>AVERAGE('19.08 Bukaya-Kampala'!E27,'20.08 Bukaya-Kampala'!E27,'21.08 Bukaya-Kampala'!E27,'22.08 Bukaya-Kampala'!E27,'23.08 Bukaya-Kampala-24h'!E27,'24.08 Bukaya-Kampala-24h'!E27,'25.08 Bukaya-Kampala'!E27)</f>
        <v>2</v>
      </c>
      <c r="F27" s="49">
        <f>AVERAGE('19.08 Bukaya-Kampala'!F27,'20.08 Bukaya-Kampala'!F27,'21.08 Bukaya-Kampala'!F27,'22.08 Bukaya-Kampala'!F27,'23.08 Bukaya-Kampala-24h'!F27,'24.08 Bukaya-Kampala-24h'!F27,'25.08 Bukaya-Kampala'!F27)</f>
        <v>1.1428571428571428</v>
      </c>
      <c r="G27" s="49">
        <f>AVERAGE('19.08 Bukaya-Kampala'!G27,'20.08 Bukaya-Kampala'!G27,'21.08 Bukaya-Kampala'!G27,'22.08 Bukaya-Kampala'!G27,'23.08 Bukaya-Kampala-24h'!G27,'24.08 Bukaya-Kampala-24h'!G27,'25.08 Bukaya-Kampala'!G27)</f>
        <v>0.42857142857142855</v>
      </c>
      <c r="H27" s="49">
        <f>AVERAGE('19.08 Bukaya-Kampala'!H27,'20.08 Bukaya-Kampala'!H27,'21.08 Bukaya-Kampala'!H27,'22.08 Bukaya-Kampala'!H27,'23.08 Bukaya-Kampala-24h'!H27,'24.08 Bukaya-Kampala-24h'!H27,'25.08 Bukaya-Kampala'!H27)</f>
        <v>0</v>
      </c>
      <c r="I27" s="49">
        <f>AVERAGE('19.08 Bukaya-Kampala'!I27,'20.08 Bukaya-Kampala'!I27,'21.08 Bukaya-Kampala'!I27,'22.08 Bukaya-Kampala'!I27,'23.08 Bukaya-Kampala-24h'!I27,'24.08 Bukaya-Kampala-24h'!I27,'25.08 Bukaya-Kampala'!I27)</f>
        <v>1.5714285714285714</v>
      </c>
      <c r="J27" s="49">
        <f>AVERAGE('19.08 Bukaya-Kampala'!J27,'20.08 Bukaya-Kampala'!J27,'21.08 Bukaya-Kampala'!J27,'22.08 Bukaya-Kampala'!J27,'23.08 Bukaya-Kampala-24h'!J27,'24.08 Bukaya-Kampala-24h'!J27,'25.08 Bukaya-Kampala'!J27)</f>
        <v>0.2857142857142857</v>
      </c>
      <c r="K27" s="49">
        <f>AVERAGE('19.08 Bukaya-Kampala'!K27,'20.08 Bukaya-Kampala'!K27,'21.08 Bukaya-Kampala'!K27,'22.08 Bukaya-Kampala'!K27,'23.08 Bukaya-Kampala-24h'!K27,'24.08 Bukaya-Kampala-24h'!K27,'25.08 Bukaya-Kampala'!K27)</f>
        <v>0</v>
      </c>
      <c r="L27" s="49">
        <f>AVERAGE('19.08 Bukaya-Kampala'!L27,'20.08 Bukaya-Kampala'!L27,'21.08 Bukaya-Kampala'!L27,'22.08 Bukaya-Kampala'!L27,'23.08 Bukaya-Kampala-24h'!L27,'24.08 Bukaya-Kampala-24h'!L27,'25.08 Bukaya-Kampala'!L27)</f>
        <v>0</v>
      </c>
      <c r="M27" s="49">
        <f>AVERAGE('19.08 Bukaya-Kampala'!M27,'20.08 Bukaya-Kampala'!M27,'21.08 Bukaya-Kampala'!M27,'22.08 Bukaya-Kampala'!M27,'23.08 Bukaya-Kampala-24h'!M27,'24.08 Bukaya-Kampala-24h'!M27,'25.08 Bukaya-Kampala'!M27)</f>
        <v>18.285714285714285</v>
      </c>
      <c r="N27" s="49">
        <f>AVERAGE('19.08 Bukaya-Kampala'!N27,'20.08 Bukaya-Kampala'!N27,'21.08 Bukaya-Kampala'!N27,'22.08 Bukaya-Kampala'!N27,'23.08 Bukaya-Kampala-24h'!N27,'24.08 Bukaya-Kampala-24h'!N27,'25.08 Bukaya-Kampala'!N27)</f>
        <v>0</v>
      </c>
      <c r="O27" s="15">
        <f t="shared" si="0"/>
        <v>7.2857142857142856</v>
      </c>
      <c r="P27" s="15">
        <f t="shared" si="1"/>
        <v>25.571428571428569</v>
      </c>
      <c r="R27" s="1" t="s">
        <v>151</v>
      </c>
      <c r="S27" s="34">
        <f>SUM(C78:C81)</f>
        <v>7</v>
      </c>
      <c r="T27" s="34">
        <f t="shared" ref="T27:AF27" si="19">SUM(D78:D81)</f>
        <v>0</v>
      </c>
      <c r="U27" s="34">
        <f t="shared" si="19"/>
        <v>4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28</v>
      </c>
      <c r="AF27" s="31">
        <f t="shared" si="19"/>
        <v>49</v>
      </c>
    </row>
    <row r="28" spans="2:32" ht="23.1" customHeight="1" x14ac:dyDescent="0.25">
      <c r="B28" s="23" t="s">
        <v>55</v>
      </c>
      <c r="C28" s="49">
        <f>AVERAGE('19.08 Bukaya-Kampala'!C28,'20.08 Bukaya-Kampala'!C28,'21.08 Bukaya-Kampala'!C28,'22.08 Bukaya-Kampala'!C28,'23.08 Bukaya-Kampala-24h'!C28,'24.08 Bukaya-Kampala-24h'!C28,'25.08 Bukaya-Kampala'!C28)</f>
        <v>1.7142857142857142</v>
      </c>
      <c r="D28" s="49">
        <f>AVERAGE('19.08 Bukaya-Kampala'!D28,'20.08 Bukaya-Kampala'!D28,'21.08 Bukaya-Kampala'!D28,'22.08 Bukaya-Kampala'!D28,'23.08 Bukaya-Kampala-24h'!D28,'24.08 Bukaya-Kampala-24h'!D28,'25.08 Bukaya-Kampala'!D28)</f>
        <v>0</v>
      </c>
      <c r="E28" s="49">
        <f>AVERAGE('19.08 Bukaya-Kampala'!E28,'20.08 Bukaya-Kampala'!E28,'21.08 Bukaya-Kampala'!E28,'22.08 Bukaya-Kampala'!E28,'23.08 Bukaya-Kampala-24h'!E28,'24.08 Bukaya-Kampala-24h'!E28,'25.08 Bukaya-Kampala'!E28)</f>
        <v>2.2857142857142856</v>
      </c>
      <c r="F28" s="49">
        <f>AVERAGE('19.08 Bukaya-Kampala'!F28,'20.08 Bukaya-Kampala'!F28,'21.08 Bukaya-Kampala'!F28,'22.08 Bukaya-Kampala'!F28,'23.08 Bukaya-Kampala-24h'!F28,'24.08 Bukaya-Kampala-24h'!F28,'25.08 Bukaya-Kampala'!F28)</f>
        <v>1.7142857142857142</v>
      </c>
      <c r="G28" s="49">
        <f>AVERAGE('19.08 Bukaya-Kampala'!G28,'20.08 Bukaya-Kampala'!G28,'21.08 Bukaya-Kampala'!G28,'22.08 Bukaya-Kampala'!G28,'23.08 Bukaya-Kampala-24h'!G28,'24.08 Bukaya-Kampala-24h'!G28,'25.08 Bukaya-Kampala'!G28)</f>
        <v>0.14285714285714285</v>
      </c>
      <c r="H28" s="49">
        <f>AVERAGE('19.08 Bukaya-Kampala'!H28,'20.08 Bukaya-Kampala'!H28,'21.08 Bukaya-Kampala'!H28,'22.08 Bukaya-Kampala'!H28,'23.08 Bukaya-Kampala-24h'!H28,'24.08 Bukaya-Kampala-24h'!H28,'25.08 Bukaya-Kampala'!H28)</f>
        <v>0</v>
      </c>
      <c r="I28" s="49">
        <f>AVERAGE('19.08 Bukaya-Kampala'!I28,'20.08 Bukaya-Kampala'!I28,'21.08 Bukaya-Kampala'!I28,'22.08 Bukaya-Kampala'!I28,'23.08 Bukaya-Kampala-24h'!I28,'24.08 Bukaya-Kampala-24h'!I28,'25.08 Bukaya-Kampala'!I28)</f>
        <v>2.5714285714285716</v>
      </c>
      <c r="J28" s="49">
        <f>AVERAGE('19.08 Bukaya-Kampala'!J28,'20.08 Bukaya-Kampala'!J28,'21.08 Bukaya-Kampala'!J28,'22.08 Bukaya-Kampala'!J28,'23.08 Bukaya-Kampala-24h'!J28,'24.08 Bukaya-Kampala-24h'!J28,'25.08 Bukaya-Kampala'!J28)</f>
        <v>0</v>
      </c>
      <c r="K28" s="49">
        <f>AVERAGE('19.08 Bukaya-Kampala'!K28,'20.08 Bukaya-Kampala'!K28,'21.08 Bukaya-Kampala'!K28,'22.08 Bukaya-Kampala'!K28,'23.08 Bukaya-Kampala-24h'!K28,'24.08 Bukaya-Kampala-24h'!K28,'25.08 Bukaya-Kampala'!K28)</f>
        <v>0.14285714285714285</v>
      </c>
      <c r="L28" s="49">
        <f>AVERAGE('19.08 Bukaya-Kampala'!L28,'20.08 Bukaya-Kampala'!L28,'21.08 Bukaya-Kampala'!L28,'22.08 Bukaya-Kampala'!L28,'23.08 Bukaya-Kampala-24h'!L28,'24.08 Bukaya-Kampala-24h'!L28,'25.08 Bukaya-Kampala'!L28)</f>
        <v>0</v>
      </c>
      <c r="M28" s="49">
        <f>AVERAGE('19.08 Bukaya-Kampala'!M28,'20.08 Bukaya-Kampala'!M28,'21.08 Bukaya-Kampala'!M28,'22.08 Bukaya-Kampala'!M28,'23.08 Bukaya-Kampala-24h'!M28,'24.08 Bukaya-Kampala-24h'!M28,'25.08 Bukaya-Kampala'!M28)</f>
        <v>22.714285714285715</v>
      </c>
      <c r="N28" s="49">
        <f>AVERAGE('19.08 Bukaya-Kampala'!N28,'20.08 Bukaya-Kampala'!N28,'21.08 Bukaya-Kampala'!N28,'22.08 Bukaya-Kampala'!N28,'23.08 Bukaya-Kampala-24h'!N28,'24.08 Bukaya-Kampala-24h'!N28,'25.08 Bukaya-Kampala'!N28)</f>
        <v>0</v>
      </c>
      <c r="O28" s="15">
        <f t="shared" si="0"/>
        <v>8.5714285714285712</v>
      </c>
      <c r="P28" s="15">
        <f t="shared" si="1"/>
        <v>31.285714285714285</v>
      </c>
      <c r="R28" s="1" t="s">
        <v>152</v>
      </c>
      <c r="S28" s="34">
        <f>SUM(C82:C85)</f>
        <v>5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10</v>
      </c>
      <c r="AF28" s="31">
        <f t="shared" si="20"/>
        <v>15</v>
      </c>
    </row>
    <row r="29" spans="2:32" ht="23.1" customHeight="1" x14ac:dyDescent="0.25">
      <c r="B29" s="23" t="s">
        <v>56</v>
      </c>
      <c r="C29" s="49">
        <f>AVERAGE('19.08 Bukaya-Kampala'!C29,'20.08 Bukaya-Kampala'!C29,'21.08 Bukaya-Kampala'!C29,'22.08 Bukaya-Kampala'!C29,'23.08 Bukaya-Kampala-24h'!C29,'24.08 Bukaya-Kampala-24h'!C29,'25.08 Bukaya-Kampala'!C29)</f>
        <v>1.1428571428571428</v>
      </c>
      <c r="D29" s="49">
        <f>AVERAGE('19.08 Bukaya-Kampala'!D29,'20.08 Bukaya-Kampala'!D29,'21.08 Bukaya-Kampala'!D29,'22.08 Bukaya-Kampala'!D29,'23.08 Bukaya-Kampala-24h'!D29,'24.08 Bukaya-Kampala-24h'!D29,'25.08 Bukaya-Kampala'!D29)</f>
        <v>0</v>
      </c>
      <c r="E29" s="49">
        <f>AVERAGE('19.08 Bukaya-Kampala'!E29,'20.08 Bukaya-Kampala'!E29,'21.08 Bukaya-Kampala'!E29,'22.08 Bukaya-Kampala'!E29,'23.08 Bukaya-Kampala-24h'!E29,'24.08 Bukaya-Kampala-24h'!E29,'25.08 Bukaya-Kampala'!E29)</f>
        <v>2</v>
      </c>
      <c r="F29" s="49">
        <f>AVERAGE('19.08 Bukaya-Kampala'!F29,'20.08 Bukaya-Kampala'!F29,'21.08 Bukaya-Kampala'!F29,'22.08 Bukaya-Kampala'!F29,'23.08 Bukaya-Kampala-24h'!F29,'24.08 Bukaya-Kampala-24h'!F29,'25.08 Bukaya-Kampala'!F29)</f>
        <v>2</v>
      </c>
      <c r="G29" s="49">
        <f>AVERAGE('19.08 Bukaya-Kampala'!G29,'20.08 Bukaya-Kampala'!G29,'21.08 Bukaya-Kampala'!G29,'22.08 Bukaya-Kampala'!G29,'23.08 Bukaya-Kampala-24h'!G29,'24.08 Bukaya-Kampala-24h'!G29,'25.08 Bukaya-Kampala'!G29)</f>
        <v>0.14285714285714285</v>
      </c>
      <c r="H29" s="49">
        <f>AVERAGE('19.08 Bukaya-Kampala'!H29,'20.08 Bukaya-Kampala'!H29,'21.08 Bukaya-Kampala'!H29,'22.08 Bukaya-Kampala'!H29,'23.08 Bukaya-Kampala-24h'!H29,'24.08 Bukaya-Kampala-24h'!H29,'25.08 Bukaya-Kampala'!H29)</f>
        <v>0</v>
      </c>
      <c r="I29" s="49">
        <f>AVERAGE('19.08 Bukaya-Kampala'!I29,'20.08 Bukaya-Kampala'!I29,'21.08 Bukaya-Kampala'!I29,'22.08 Bukaya-Kampala'!I29,'23.08 Bukaya-Kampala-24h'!I29,'24.08 Bukaya-Kampala-24h'!I29,'25.08 Bukaya-Kampala'!I29)</f>
        <v>1</v>
      </c>
      <c r="J29" s="49">
        <f>AVERAGE('19.08 Bukaya-Kampala'!J29,'20.08 Bukaya-Kampala'!J29,'21.08 Bukaya-Kampala'!J29,'22.08 Bukaya-Kampala'!J29,'23.08 Bukaya-Kampala-24h'!J29,'24.08 Bukaya-Kampala-24h'!J29,'25.08 Bukaya-Kampala'!J29)</f>
        <v>0</v>
      </c>
      <c r="K29" s="49">
        <f>AVERAGE('19.08 Bukaya-Kampala'!K29,'20.08 Bukaya-Kampala'!K29,'21.08 Bukaya-Kampala'!K29,'22.08 Bukaya-Kampala'!K29,'23.08 Bukaya-Kampala-24h'!K29,'24.08 Bukaya-Kampala-24h'!K29,'25.08 Bukaya-Kampala'!K29)</f>
        <v>0.14285714285714285</v>
      </c>
      <c r="L29" s="49">
        <f>AVERAGE('19.08 Bukaya-Kampala'!L29,'20.08 Bukaya-Kampala'!L29,'21.08 Bukaya-Kampala'!L29,'22.08 Bukaya-Kampala'!L29,'23.08 Bukaya-Kampala-24h'!L29,'24.08 Bukaya-Kampala-24h'!L29,'25.08 Bukaya-Kampala'!L29)</f>
        <v>0</v>
      </c>
      <c r="M29" s="49">
        <f>AVERAGE('19.08 Bukaya-Kampala'!M29,'20.08 Bukaya-Kampala'!M29,'21.08 Bukaya-Kampala'!M29,'22.08 Bukaya-Kampala'!M29,'23.08 Bukaya-Kampala-24h'!M29,'24.08 Bukaya-Kampala-24h'!M29,'25.08 Bukaya-Kampala'!M29)</f>
        <v>18</v>
      </c>
      <c r="N29" s="49">
        <f>AVERAGE('19.08 Bukaya-Kampala'!N29,'20.08 Bukaya-Kampala'!N29,'21.08 Bukaya-Kampala'!N29,'22.08 Bukaya-Kampala'!N29,'23.08 Bukaya-Kampala-24h'!N29,'24.08 Bukaya-Kampala-24h'!N29,'25.08 Bukaya-Kampala'!N29)</f>
        <v>0</v>
      </c>
      <c r="O29" s="15">
        <f t="shared" si="0"/>
        <v>6.4285714285714288</v>
      </c>
      <c r="P29" s="15">
        <f t="shared" si="1"/>
        <v>24.428571428571431</v>
      </c>
      <c r="R29" s="1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7</v>
      </c>
      <c r="AF29" s="31">
        <f t="shared" si="21"/>
        <v>12</v>
      </c>
    </row>
    <row r="30" spans="2:32" ht="23.1" customHeight="1" x14ac:dyDescent="0.25">
      <c r="B30" s="23" t="s">
        <v>57</v>
      </c>
      <c r="C30" s="49">
        <f>AVERAGE('19.08 Bukaya-Kampala'!C30,'20.08 Bukaya-Kampala'!C30,'21.08 Bukaya-Kampala'!C30,'22.08 Bukaya-Kampala'!C30,'23.08 Bukaya-Kampala-24h'!C30,'24.08 Bukaya-Kampala-24h'!C30,'25.08 Bukaya-Kampala'!C30)</f>
        <v>0.5714285714285714</v>
      </c>
      <c r="D30" s="49">
        <f>AVERAGE('19.08 Bukaya-Kampala'!D30,'20.08 Bukaya-Kampala'!D30,'21.08 Bukaya-Kampala'!D30,'22.08 Bukaya-Kampala'!D30,'23.08 Bukaya-Kampala-24h'!D30,'24.08 Bukaya-Kampala-24h'!D30,'25.08 Bukaya-Kampala'!D30)</f>
        <v>0</v>
      </c>
      <c r="E30" s="49">
        <f>AVERAGE('19.08 Bukaya-Kampala'!E30,'20.08 Bukaya-Kampala'!E30,'21.08 Bukaya-Kampala'!E30,'22.08 Bukaya-Kampala'!E30,'23.08 Bukaya-Kampala-24h'!E30,'24.08 Bukaya-Kampala-24h'!E30,'25.08 Bukaya-Kampala'!E30)</f>
        <v>1.7142857142857142</v>
      </c>
      <c r="F30" s="49">
        <f>AVERAGE('19.08 Bukaya-Kampala'!F30,'20.08 Bukaya-Kampala'!F30,'21.08 Bukaya-Kampala'!F30,'22.08 Bukaya-Kampala'!F30,'23.08 Bukaya-Kampala-24h'!F30,'24.08 Bukaya-Kampala-24h'!F30,'25.08 Bukaya-Kampala'!F30)</f>
        <v>1.8571428571428572</v>
      </c>
      <c r="G30" s="49">
        <f>AVERAGE('19.08 Bukaya-Kampala'!G30,'20.08 Bukaya-Kampala'!G30,'21.08 Bukaya-Kampala'!G30,'22.08 Bukaya-Kampala'!G30,'23.08 Bukaya-Kampala-24h'!G30,'24.08 Bukaya-Kampala-24h'!G30,'25.08 Bukaya-Kampala'!G30)</f>
        <v>0</v>
      </c>
      <c r="H30" s="49">
        <f>AVERAGE('19.08 Bukaya-Kampala'!H30,'20.08 Bukaya-Kampala'!H30,'21.08 Bukaya-Kampala'!H30,'22.08 Bukaya-Kampala'!H30,'23.08 Bukaya-Kampala-24h'!H30,'24.08 Bukaya-Kampala-24h'!H30,'25.08 Bukaya-Kampala'!H30)</f>
        <v>0</v>
      </c>
      <c r="I30" s="49">
        <f>AVERAGE('19.08 Bukaya-Kampala'!I30,'20.08 Bukaya-Kampala'!I30,'21.08 Bukaya-Kampala'!I30,'22.08 Bukaya-Kampala'!I30,'23.08 Bukaya-Kampala-24h'!I30,'24.08 Bukaya-Kampala-24h'!I30,'25.08 Bukaya-Kampala'!I30)</f>
        <v>0.42857142857142855</v>
      </c>
      <c r="J30" s="49">
        <f>AVERAGE('19.08 Bukaya-Kampala'!J30,'20.08 Bukaya-Kampala'!J30,'21.08 Bukaya-Kampala'!J30,'22.08 Bukaya-Kampala'!J30,'23.08 Bukaya-Kampala-24h'!J30,'24.08 Bukaya-Kampala-24h'!J30,'25.08 Bukaya-Kampala'!J30)</f>
        <v>0.14285714285714285</v>
      </c>
      <c r="K30" s="49">
        <f>AVERAGE('19.08 Bukaya-Kampala'!K30,'20.08 Bukaya-Kampala'!K30,'21.08 Bukaya-Kampala'!K30,'22.08 Bukaya-Kampala'!K30,'23.08 Bukaya-Kampala-24h'!K30,'24.08 Bukaya-Kampala-24h'!K30,'25.08 Bukaya-Kampala'!K30)</f>
        <v>0.5714285714285714</v>
      </c>
      <c r="L30" s="49">
        <f>AVERAGE('19.08 Bukaya-Kampala'!L30,'20.08 Bukaya-Kampala'!L30,'21.08 Bukaya-Kampala'!L30,'22.08 Bukaya-Kampala'!L30,'23.08 Bukaya-Kampala-24h'!L30,'24.08 Bukaya-Kampala-24h'!L30,'25.08 Bukaya-Kampala'!L30)</f>
        <v>0</v>
      </c>
      <c r="M30" s="49">
        <f>AVERAGE('19.08 Bukaya-Kampala'!M30,'20.08 Bukaya-Kampala'!M30,'21.08 Bukaya-Kampala'!M30,'22.08 Bukaya-Kampala'!M30,'23.08 Bukaya-Kampala-24h'!M30,'24.08 Bukaya-Kampala-24h'!M30,'25.08 Bukaya-Kampala'!M30)</f>
        <v>20.285714285714285</v>
      </c>
      <c r="N30" s="49">
        <f>AVERAGE('19.08 Bukaya-Kampala'!N30,'20.08 Bukaya-Kampala'!N30,'21.08 Bukaya-Kampala'!N30,'22.08 Bukaya-Kampala'!N30,'23.08 Bukaya-Kampala-24h'!N30,'24.08 Bukaya-Kampala-24h'!N30,'25.08 Bukaya-Kampala'!N30)</f>
        <v>0</v>
      </c>
      <c r="O30" s="15">
        <f t="shared" si="0"/>
        <v>5.2857142857142856</v>
      </c>
      <c r="P30" s="15">
        <f t="shared" si="1"/>
        <v>25.571428571428569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24" t="s">
        <v>58</v>
      </c>
      <c r="C31" s="49">
        <f>AVERAGE('19.08 Bukaya-Kampala'!C31,'20.08 Bukaya-Kampala'!C31,'21.08 Bukaya-Kampala'!C31,'22.08 Bukaya-Kampala'!C31,'23.08 Bukaya-Kampala-24h'!C31,'24.08 Bukaya-Kampala-24h'!C31,'25.08 Bukaya-Kampala'!C31)</f>
        <v>2</v>
      </c>
      <c r="D31" s="49">
        <f>AVERAGE('19.08 Bukaya-Kampala'!D31,'20.08 Bukaya-Kampala'!D31,'21.08 Bukaya-Kampala'!D31,'22.08 Bukaya-Kampala'!D31,'23.08 Bukaya-Kampala-24h'!D31,'24.08 Bukaya-Kampala-24h'!D31,'25.08 Bukaya-Kampala'!D31)</f>
        <v>0</v>
      </c>
      <c r="E31" s="49">
        <f>AVERAGE('19.08 Bukaya-Kampala'!E31,'20.08 Bukaya-Kampala'!E31,'21.08 Bukaya-Kampala'!E31,'22.08 Bukaya-Kampala'!E31,'23.08 Bukaya-Kampala-24h'!E31,'24.08 Bukaya-Kampala-24h'!E31,'25.08 Bukaya-Kampala'!E31)</f>
        <v>1.8571428571428572</v>
      </c>
      <c r="F31" s="49">
        <f>AVERAGE('19.08 Bukaya-Kampala'!F31,'20.08 Bukaya-Kampala'!F31,'21.08 Bukaya-Kampala'!F31,'22.08 Bukaya-Kampala'!F31,'23.08 Bukaya-Kampala-24h'!F31,'24.08 Bukaya-Kampala-24h'!F31,'25.08 Bukaya-Kampala'!F31)</f>
        <v>1.2857142857142858</v>
      </c>
      <c r="G31" s="49">
        <f>AVERAGE('19.08 Bukaya-Kampala'!G31,'20.08 Bukaya-Kampala'!G31,'21.08 Bukaya-Kampala'!G31,'22.08 Bukaya-Kampala'!G31,'23.08 Bukaya-Kampala-24h'!G31,'24.08 Bukaya-Kampala-24h'!G31,'25.08 Bukaya-Kampala'!G31)</f>
        <v>0</v>
      </c>
      <c r="H31" s="49">
        <f>AVERAGE('19.08 Bukaya-Kampala'!H31,'20.08 Bukaya-Kampala'!H31,'21.08 Bukaya-Kampala'!H31,'22.08 Bukaya-Kampala'!H31,'23.08 Bukaya-Kampala-24h'!H31,'24.08 Bukaya-Kampala-24h'!H31,'25.08 Bukaya-Kampala'!H31)</f>
        <v>0</v>
      </c>
      <c r="I31" s="49">
        <f>AVERAGE('19.08 Bukaya-Kampala'!I31,'20.08 Bukaya-Kampala'!I31,'21.08 Bukaya-Kampala'!I31,'22.08 Bukaya-Kampala'!I31,'23.08 Bukaya-Kampala-24h'!I31,'24.08 Bukaya-Kampala-24h'!I31,'25.08 Bukaya-Kampala'!I31)</f>
        <v>1.5714285714285714</v>
      </c>
      <c r="J31" s="49">
        <f>AVERAGE('19.08 Bukaya-Kampala'!J31,'20.08 Bukaya-Kampala'!J31,'21.08 Bukaya-Kampala'!J31,'22.08 Bukaya-Kampala'!J31,'23.08 Bukaya-Kampala-24h'!J31,'24.08 Bukaya-Kampala-24h'!J31,'25.08 Bukaya-Kampala'!J31)</f>
        <v>0</v>
      </c>
      <c r="K31" s="49">
        <f>AVERAGE('19.08 Bukaya-Kampala'!K31,'20.08 Bukaya-Kampala'!K31,'21.08 Bukaya-Kampala'!K31,'22.08 Bukaya-Kampala'!K31,'23.08 Bukaya-Kampala-24h'!K31,'24.08 Bukaya-Kampala-24h'!K31,'25.08 Bukaya-Kampala'!K31)</f>
        <v>0.2857142857142857</v>
      </c>
      <c r="L31" s="49">
        <f>AVERAGE('19.08 Bukaya-Kampala'!L31,'20.08 Bukaya-Kampala'!L31,'21.08 Bukaya-Kampala'!L31,'22.08 Bukaya-Kampala'!L31,'23.08 Bukaya-Kampala-24h'!L31,'24.08 Bukaya-Kampala-24h'!L31,'25.08 Bukaya-Kampala'!L31)</f>
        <v>0</v>
      </c>
      <c r="M31" s="49">
        <f>AVERAGE('19.08 Bukaya-Kampala'!M31,'20.08 Bukaya-Kampala'!M31,'21.08 Bukaya-Kampala'!M31,'22.08 Bukaya-Kampala'!M31,'23.08 Bukaya-Kampala-24h'!M31,'24.08 Bukaya-Kampala-24h'!M31,'25.08 Bukaya-Kampala'!M31)</f>
        <v>22.571428571428573</v>
      </c>
      <c r="N31" s="49">
        <f>AVERAGE('19.08 Bukaya-Kampala'!N31,'20.08 Bukaya-Kampala'!N31,'21.08 Bukaya-Kampala'!N31,'22.08 Bukaya-Kampala'!N31,'23.08 Bukaya-Kampala-24h'!N31,'24.08 Bukaya-Kampala-24h'!N31,'25.08 Bukaya-Kampala'!N31)</f>
        <v>0</v>
      </c>
      <c r="O31" s="15">
        <f t="shared" si="0"/>
        <v>7</v>
      </c>
      <c r="P31" s="15">
        <f t="shared" si="1"/>
        <v>29.571428571428573</v>
      </c>
      <c r="R31" s="1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8</v>
      </c>
      <c r="AF31" s="31">
        <f t="shared" si="23"/>
        <v>13</v>
      </c>
    </row>
    <row r="32" spans="2:32" ht="23.1" customHeight="1" x14ac:dyDescent="0.25">
      <c r="B32" s="24" t="s">
        <v>59</v>
      </c>
      <c r="C32" s="49">
        <f>AVERAGE('19.08 Bukaya-Kampala'!C32,'20.08 Bukaya-Kampala'!C32,'21.08 Bukaya-Kampala'!C32,'22.08 Bukaya-Kampala'!C32,'23.08 Bukaya-Kampala-24h'!C32,'24.08 Bukaya-Kampala-24h'!C32,'25.08 Bukaya-Kampala'!C32)</f>
        <v>1.4285714285714286</v>
      </c>
      <c r="D32" s="49">
        <f>AVERAGE('19.08 Bukaya-Kampala'!D32,'20.08 Bukaya-Kampala'!D32,'21.08 Bukaya-Kampala'!D32,'22.08 Bukaya-Kampala'!D32,'23.08 Bukaya-Kampala-24h'!D32,'24.08 Bukaya-Kampala-24h'!D32,'25.08 Bukaya-Kampala'!D32)</f>
        <v>0</v>
      </c>
      <c r="E32" s="49">
        <f>AVERAGE('19.08 Bukaya-Kampala'!E32,'20.08 Bukaya-Kampala'!E32,'21.08 Bukaya-Kampala'!E32,'22.08 Bukaya-Kampala'!E32,'23.08 Bukaya-Kampala-24h'!E32,'24.08 Bukaya-Kampala-24h'!E32,'25.08 Bukaya-Kampala'!E32)</f>
        <v>2.7142857142857144</v>
      </c>
      <c r="F32" s="49">
        <f>AVERAGE('19.08 Bukaya-Kampala'!F32,'20.08 Bukaya-Kampala'!F32,'21.08 Bukaya-Kampala'!F32,'22.08 Bukaya-Kampala'!F32,'23.08 Bukaya-Kampala-24h'!F32,'24.08 Bukaya-Kampala-24h'!F32,'25.08 Bukaya-Kampala'!F32)</f>
        <v>1.7142857142857142</v>
      </c>
      <c r="G32" s="49">
        <f>AVERAGE('19.08 Bukaya-Kampala'!G32,'20.08 Bukaya-Kampala'!G32,'21.08 Bukaya-Kampala'!G32,'22.08 Bukaya-Kampala'!G32,'23.08 Bukaya-Kampala-24h'!G32,'24.08 Bukaya-Kampala-24h'!G32,'25.08 Bukaya-Kampala'!G32)</f>
        <v>0</v>
      </c>
      <c r="H32" s="49">
        <f>AVERAGE('19.08 Bukaya-Kampala'!H32,'20.08 Bukaya-Kampala'!H32,'21.08 Bukaya-Kampala'!H32,'22.08 Bukaya-Kampala'!H32,'23.08 Bukaya-Kampala-24h'!H32,'24.08 Bukaya-Kampala-24h'!H32,'25.08 Bukaya-Kampala'!H32)</f>
        <v>0</v>
      </c>
      <c r="I32" s="49">
        <f>AVERAGE('19.08 Bukaya-Kampala'!I32,'20.08 Bukaya-Kampala'!I32,'21.08 Bukaya-Kampala'!I32,'22.08 Bukaya-Kampala'!I32,'23.08 Bukaya-Kampala-24h'!I32,'24.08 Bukaya-Kampala-24h'!I32,'25.08 Bukaya-Kampala'!I32)</f>
        <v>1.8571428571428572</v>
      </c>
      <c r="J32" s="49">
        <f>AVERAGE('19.08 Bukaya-Kampala'!J32,'20.08 Bukaya-Kampala'!J32,'21.08 Bukaya-Kampala'!J32,'22.08 Bukaya-Kampala'!J32,'23.08 Bukaya-Kampala-24h'!J32,'24.08 Bukaya-Kampala-24h'!J32,'25.08 Bukaya-Kampala'!J32)</f>
        <v>0.14285714285714285</v>
      </c>
      <c r="K32" s="49">
        <f>AVERAGE('19.08 Bukaya-Kampala'!K32,'20.08 Bukaya-Kampala'!K32,'21.08 Bukaya-Kampala'!K32,'22.08 Bukaya-Kampala'!K32,'23.08 Bukaya-Kampala-24h'!K32,'24.08 Bukaya-Kampala-24h'!K32,'25.08 Bukaya-Kampala'!K32)</f>
        <v>0</v>
      </c>
      <c r="L32" s="49">
        <f>AVERAGE('19.08 Bukaya-Kampala'!L32,'20.08 Bukaya-Kampala'!L32,'21.08 Bukaya-Kampala'!L32,'22.08 Bukaya-Kampala'!L32,'23.08 Bukaya-Kampala-24h'!L32,'24.08 Bukaya-Kampala-24h'!L32,'25.08 Bukaya-Kampala'!L32)</f>
        <v>0</v>
      </c>
      <c r="M32" s="49">
        <f>AVERAGE('19.08 Bukaya-Kampala'!M32,'20.08 Bukaya-Kampala'!M32,'21.08 Bukaya-Kampala'!M32,'22.08 Bukaya-Kampala'!M32,'23.08 Bukaya-Kampala-24h'!M32,'24.08 Bukaya-Kampala-24h'!M32,'25.08 Bukaya-Kampala'!M32)</f>
        <v>20.428571428571427</v>
      </c>
      <c r="N32" s="49">
        <f>AVERAGE('19.08 Bukaya-Kampala'!N32,'20.08 Bukaya-Kampala'!N32,'21.08 Bukaya-Kampala'!N32,'22.08 Bukaya-Kampala'!N32,'23.08 Bukaya-Kampala-24h'!N32,'24.08 Bukaya-Kampala-24h'!N32,'25.08 Bukaya-Kampala'!N32)</f>
        <v>0</v>
      </c>
      <c r="O32" s="15">
        <f t="shared" si="0"/>
        <v>7.8571428571428585</v>
      </c>
      <c r="P32" s="15">
        <f t="shared" si="1"/>
        <v>28.285714285714285</v>
      </c>
      <c r="R32" s="1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6</v>
      </c>
      <c r="AF32" s="31">
        <f t="shared" si="24"/>
        <v>11</v>
      </c>
    </row>
    <row r="33" spans="2:32" ht="23.1" customHeight="1" x14ac:dyDescent="0.25">
      <c r="B33" s="23" t="s">
        <v>60</v>
      </c>
      <c r="C33" s="49">
        <f>AVERAGE('19.08 Bukaya-Kampala'!C33,'20.08 Bukaya-Kampala'!C33,'21.08 Bukaya-Kampala'!C33,'22.08 Bukaya-Kampala'!C33,'23.08 Bukaya-Kampala-24h'!C33,'24.08 Bukaya-Kampala-24h'!C33,'25.08 Bukaya-Kampala'!C33)</f>
        <v>2.4285714285714284</v>
      </c>
      <c r="D33" s="49">
        <f>AVERAGE('19.08 Bukaya-Kampala'!D33,'20.08 Bukaya-Kampala'!D33,'21.08 Bukaya-Kampala'!D33,'22.08 Bukaya-Kampala'!D33,'23.08 Bukaya-Kampala-24h'!D33,'24.08 Bukaya-Kampala-24h'!D33,'25.08 Bukaya-Kampala'!D33)</f>
        <v>0</v>
      </c>
      <c r="E33" s="49">
        <f>AVERAGE('19.08 Bukaya-Kampala'!E33,'20.08 Bukaya-Kampala'!E33,'21.08 Bukaya-Kampala'!E33,'22.08 Bukaya-Kampala'!E33,'23.08 Bukaya-Kampala-24h'!E33,'24.08 Bukaya-Kampala-24h'!E33,'25.08 Bukaya-Kampala'!E33)</f>
        <v>1.1428571428571428</v>
      </c>
      <c r="F33" s="49">
        <f>AVERAGE('19.08 Bukaya-Kampala'!F33,'20.08 Bukaya-Kampala'!F33,'21.08 Bukaya-Kampala'!F33,'22.08 Bukaya-Kampala'!F33,'23.08 Bukaya-Kampala-24h'!F33,'24.08 Bukaya-Kampala-24h'!F33,'25.08 Bukaya-Kampala'!F33)</f>
        <v>1.5714285714285714</v>
      </c>
      <c r="G33" s="49">
        <f>AVERAGE('19.08 Bukaya-Kampala'!G33,'20.08 Bukaya-Kampala'!G33,'21.08 Bukaya-Kampala'!G33,'22.08 Bukaya-Kampala'!G33,'23.08 Bukaya-Kampala-24h'!G33,'24.08 Bukaya-Kampala-24h'!G33,'25.08 Bukaya-Kampala'!G33)</f>
        <v>0.2857142857142857</v>
      </c>
      <c r="H33" s="49">
        <f>AVERAGE('19.08 Bukaya-Kampala'!H33,'20.08 Bukaya-Kampala'!H33,'21.08 Bukaya-Kampala'!H33,'22.08 Bukaya-Kampala'!H33,'23.08 Bukaya-Kampala-24h'!H33,'24.08 Bukaya-Kampala-24h'!H33,'25.08 Bukaya-Kampala'!H33)</f>
        <v>0</v>
      </c>
      <c r="I33" s="49">
        <f>AVERAGE('19.08 Bukaya-Kampala'!I33,'20.08 Bukaya-Kampala'!I33,'21.08 Bukaya-Kampala'!I33,'22.08 Bukaya-Kampala'!I33,'23.08 Bukaya-Kampala-24h'!I33,'24.08 Bukaya-Kampala-24h'!I33,'25.08 Bukaya-Kampala'!I33)</f>
        <v>1.7142857142857142</v>
      </c>
      <c r="J33" s="49">
        <f>AVERAGE('19.08 Bukaya-Kampala'!J33,'20.08 Bukaya-Kampala'!J33,'21.08 Bukaya-Kampala'!J33,'22.08 Bukaya-Kampala'!J33,'23.08 Bukaya-Kampala-24h'!J33,'24.08 Bukaya-Kampala-24h'!J33,'25.08 Bukaya-Kampala'!J33)</f>
        <v>0</v>
      </c>
      <c r="K33" s="49">
        <f>AVERAGE('19.08 Bukaya-Kampala'!K33,'20.08 Bukaya-Kampala'!K33,'21.08 Bukaya-Kampala'!K33,'22.08 Bukaya-Kampala'!K33,'23.08 Bukaya-Kampala-24h'!K33,'24.08 Bukaya-Kampala-24h'!K33,'25.08 Bukaya-Kampala'!K33)</f>
        <v>0</v>
      </c>
      <c r="L33" s="49">
        <f>AVERAGE('19.08 Bukaya-Kampala'!L33,'20.08 Bukaya-Kampala'!L33,'21.08 Bukaya-Kampala'!L33,'22.08 Bukaya-Kampala'!L33,'23.08 Bukaya-Kampala-24h'!L33,'24.08 Bukaya-Kampala-24h'!L33,'25.08 Bukaya-Kampala'!L33)</f>
        <v>0</v>
      </c>
      <c r="M33" s="49">
        <f>AVERAGE('19.08 Bukaya-Kampala'!M33,'20.08 Bukaya-Kampala'!M33,'21.08 Bukaya-Kampala'!M33,'22.08 Bukaya-Kampala'!M33,'23.08 Bukaya-Kampala-24h'!M33,'24.08 Bukaya-Kampala-24h'!M33,'25.08 Bukaya-Kampala'!M33)</f>
        <v>22.714285714285715</v>
      </c>
      <c r="N33" s="49">
        <f>AVERAGE('19.08 Bukaya-Kampala'!N33,'20.08 Bukaya-Kampala'!N33,'21.08 Bukaya-Kampala'!N33,'22.08 Bukaya-Kampala'!N33,'23.08 Bukaya-Kampala-24h'!N33,'24.08 Bukaya-Kampala-24h'!N33,'25.08 Bukaya-Kampala'!N33)</f>
        <v>0</v>
      </c>
      <c r="O33" s="15">
        <f t="shared" si="0"/>
        <v>7.1428571428571423</v>
      </c>
      <c r="P33" s="15">
        <f t="shared" si="1"/>
        <v>29.857142857142858</v>
      </c>
      <c r="R33" s="1" t="s">
        <v>157</v>
      </c>
      <c r="S33" s="34">
        <f>SUM(C102:C105)</f>
        <v>5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1</v>
      </c>
      <c r="W33" s="34">
        <f t="shared" si="25"/>
        <v>1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2</v>
      </c>
      <c r="AB33" s="34">
        <f t="shared" si="25"/>
        <v>0</v>
      </c>
      <c r="AC33" s="34">
        <f t="shared" si="25"/>
        <v>12</v>
      </c>
      <c r="AD33" s="34">
        <f t="shared" si="25"/>
        <v>0</v>
      </c>
      <c r="AE33" s="31">
        <f t="shared" si="25"/>
        <v>13</v>
      </c>
      <c r="AF33" s="31">
        <f t="shared" si="25"/>
        <v>33</v>
      </c>
    </row>
    <row r="34" spans="2:32" ht="23.1" customHeight="1" x14ac:dyDescent="0.25">
      <c r="B34" s="24" t="s">
        <v>61</v>
      </c>
      <c r="C34" s="49">
        <f>AVERAGE('19.08 Bukaya-Kampala'!C34,'20.08 Bukaya-Kampala'!C34,'21.08 Bukaya-Kampala'!C34,'22.08 Bukaya-Kampala'!C34,'23.08 Bukaya-Kampala-24h'!C34,'24.08 Bukaya-Kampala-24h'!C34,'25.08 Bukaya-Kampala'!C34)</f>
        <v>2.2857142857142856</v>
      </c>
      <c r="D34" s="49">
        <f>AVERAGE('19.08 Bukaya-Kampala'!D34,'20.08 Bukaya-Kampala'!D34,'21.08 Bukaya-Kampala'!D34,'22.08 Bukaya-Kampala'!D34,'23.08 Bukaya-Kampala-24h'!D34,'24.08 Bukaya-Kampala-24h'!D34,'25.08 Bukaya-Kampala'!D34)</f>
        <v>0</v>
      </c>
      <c r="E34" s="49">
        <f>AVERAGE('19.08 Bukaya-Kampala'!E34,'20.08 Bukaya-Kampala'!E34,'21.08 Bukaya-Kampala'!E34,'22.08 Bukaya-Kampala'!E34,'23.08 Bukaya-Kampala-24h'!E34,'24.08 Bukaya-Kampala-24h'!E34,'25.08 Bukaya-Kampala'!E34)</f>
        <v>3</v>
      </c>
      <c r="F34" s="49">
        <f>AVERAGE('19.08 Bukaya-Kampala'!F34,'20.08 Bukaya-Kampala'!F34,'21.08 Bukaya-Kampala'!F34,'22.08 Bukaya-Kampala'!F34,'23.08 Bukaya-Kampala-24h'!F34,'24.08 Bukaya-Kampala-24h'!F34,'25.08 Bukaya-Kampala'!F34)</f>
        <v>1.1428571428571428</v>
      </c>
      <c r="G34" s="49">
        <f>AVERAGE('19.08 Bukaya-Kampala'!G34,'20.08 Bukaya-Kampala'!G34,'21.08 Bukaya-Kampala'!G34,'22.08 Bukaya-Kampala'!G34,'23.08 Bukaya-Kampala-24h'!G34,'24.08 Bukaya-Kampala-24h'!G34,'25.08 Bukaya-Kampala'!G34)</f>
        <v>0</v>
      </c>
      <c r="H34" s="49">
        <f>AVERAGE('19.08 Bukaya-Kampala'!H34,'20.08 Bukaya-Kampala'!H34,'21.08 Bukaya-Kampala'!H34,'22.08 Bukaya-Kampala'!H34,'23.08 Bukaya-Kampala-24h'!H34,'24.08 Bukaya-Kampala-24h'!H34,'25.08 Bukaya-Kampala'!H34)</f>
        <v>0</v>
      </c>
      <c r="I34" s="49">
        <f>AVERAGE('19.08 Bukaya-Kampala'!I34,'20.08 Bukaya-Kampala'!I34,'21.08 Bukaya-Kampala'!I34,'22.08 Bukaya-Kampala'!I34,'23.08 Bukaya-Kampala-24h'!I34,'24.08 Bukaya-Kampala-24h'!I34,'25.08 Bukaya-Kampala'!I34)</f>
        <v>1.2857142857142858</v>
      </c>
      <c r="J34" s="49">
        <f>AVERAGE('19.08 Bukaya-Kampala'!J34,'20.08 Bukaya-Kampala'!J34,'21.08 Bukaya-Kampala'!J34,'22.08 Bukaya-Kampala'!J34,'23.08 Bukaya-Kampala-24h'!J34,'24.08 Bukaya-Kampala-24h'!J34,'25.08 Bukaya-Kampala'!J34)</f>
        <v>0</v>
      </c>
      <c r="K34" s="49">
        <f>AVERAGE('19.08 Bukaya-Kampala'!K34,'20.08 Bukaya-Kampala'!K34,'21.08 Bukaya-Kampala'!K34,'22.08 Bukaya-Kampala'!K34,'23.08 Bukaya-Kampala-24h'!K34,'24.08 Bukaya-Kampala-24h'!K34,'25.08 Bukaya-Kampala'!K34)</f>
        <v>0.14285714285714285</v>
      </c>
      <c r="L34" s="49">
        <f>AVERAGE('19.08 Bukaya-Kampala'!L34,'20.08 Bukaya-Kampala'!L34,'21.08 Bukaya-Kampala'!L34,'22.08 Bukaya-Kampala'!L34,'23.08 Bukaya-Kampala-24h'!L34,'24.08 Bukaya-Kampala-24h'!L34,'25.08 Bukaya-Kampala'!L34)</f>
        <v>0</v>
      </c>
      <c r="M34" s="49">
        <f>AVERAGE('19.08 Bukaya-Kampala'!M34,'20.08 Bukaya-Kampala'!M34,'21.08 Bukaya-Kampala'!M34,'22.08 Bukaya-Kampala'!M34,'23.08 Bukaya-Kampala-24h'!M34,'24.08 Bukaya-Kampala-24h'!M34,'25.08 Bukaya-Kampala'!M34)</f>
        <v>18.857142857142858</v>
      </c>
      <c r="N34" s="49">
        <f>AVERAGE('19.08 Bukaya-Kampala'!N34,'20.08 Bukaya-Kampala'!N34,'21.08 Bukaya-Kampala'!N34,'22.08 Bukaya-Kampala'!N34,'23.08 Bukaya-Kampala-24h'!N34,'24.08 Bukaya-Kampala-24h'!N34,'25.08 Bukaya-Kampala'!N34)</f>
        <v>0</v>
      </c>
      <c r="O34" s="15">
        <f t="shared" si="0"/>
        <v>7.8571428571428577</v>
      </c>
      <c r="P34" s="15">
        <f t="shared" si="1"/>
        <v>26.714285714285715</v>
      </c>
      <c r="R34" s="38" t="s">
        <v>90</v>
      </c>
      <c r="S34" s="39">
        <f t="shared" ref="S34:AF34" si="26">MAX(S10:S12)</f>
        <v>6</v>
      </c>
      <c r="T34" s="39">
        <f t="shared" si="26"/>
        <v>0</v>
      </c>
      <c r="U34" s="39">
        <f t="shared" si="26"/>
        <v>4.2857142857142856</v>
      </c>
      <c r="V34" s="39">
        <f t="shared" si="26"/>
        <v>7.1428571428571423</v>
      </c>
      <c r="W34" s="39">
        <f t="shared" si="26"/>
        <v>0.14285714285714285</v>
      </c>
      <c r="X34" s="39">
        <f t="shared" si="26"/>
        <v>0.14285714285714285</v>
      </c>
      <c r="Y34" s="39">
        <f t="shared" si="26"/>
        <v>5.4285714285714279</v>
      </c>
      <c r="Z34" s="39">
        <f t="shared" si="26"/>
        <v>0.2857142857142857</v>
      </c>
      <c r="AA34" s="39">
        <f t="shared" si="26"/>
        <v>1.1428571428571428</v>
      </c>
      <c r="AB34" s="39">
        <f t="shared" si="26"/>
        <v>0.14285714285714285</v>
      </c>
      <c r="AC34" s="39">
        <f t="shared" si="26"/>
        <v>67.714285714285708</v>
      </c>
      <c r="AD34" s="39">
        <f t="shared" si="26"/>
        <v>0</v>
      </c>
      <c r="AE34" s="40">
        <f t="shared" si="26"/>
        <v>21.428571428571431</v>
      </c>
      <c r="AF34" s="40">
        <f t="shared" si="26"/>
        <v>89.142857142857139</v>
      </c>
    </row>
    <row r="35" spans="2:32" ht="23.1" customHeight="1" x14ac:dyDescent="0.25">
      <c r="B35" s="24" t="s">
        <v>62</v>
      </c>
      <c r="C35" s="49">
        <f>AVERAGE('19.08 Bukaya-Kampala'!C35,'20.08 Bukaya-Kampala'!C35,'21.08 Bukaya-Kampala'!C35,'22.08 Bukaya-Kampala'!C35,'23.08 Bukaya-Kampala-24h'!C35,'24.08 Bukaya-Kampala-24h'!C35,'25.08 Bukaya-Kampala'!C35)</f>
        <v>2.1428571428571428</v>
      </c>
      <c r="D35" s="49">
        <f>AVERAGE('19.08 Bukaya-Kampala'!D35,'20.08 Bukaya-Kampala'!D35,'21.08 Bukaya-Kampala'!D35,'22.08 Bukaya-Kampala'!D35,'23.08 Bukaya-Kampala-24h'!D35,'24.08 Bukaya-Kampala-24h'!D35,'25.08 Bukaya-Kampala'!D35)</f>
        <v>0</v>
      </c>
      <c r="E35" s="49">
        <f>AVERAGE('19.08 Bukaya-Kampala'!E35,'20.08 Bukaya-Kampala'!E35,'21.08 Bukaya-Kampala'!E35,'22.08 Bukaya-Kampala'!E35,'23.08 Bukaya-Kampala-24h'!E35,'24.08 Bukaya-Kampala-24h'!E35,'25.08 Bukaya-Kampala'!E35)</f>
        <v>2.5714285714285716</v>
      </c>
      <c r="F35" s="49">
        <f>AVERAGE('19.08 Bukaya-Kampala'!F35,'20.08 Bukaya-Kampala'!F35,'21.08 Bukaya-Kampala'!F35,'22.08 Bukaya-Kampala'!F35,'23.08 Bukaya-Kampala-24h'!F35,'24.08 Bukaya-Kampala-24h'!F35,'25.08 Bukaya-Kampala'!F35)</f>
        <v>1.5714285714285714</v>
      </c>
      <c r="G35" s="49">
        <f>AVERAGE('19.08 Bukaya-Kampala'!G35,'20.08 Bukaya-Kampala'!G35,'21.08 Bukaya-Kampala'!G35,'22.08 Bukaya-Kampala'!G35,'23.08 Bukaya-Kampala-24h'!G35,'24.08 Bukaya-Kampala-24h'!G35,'25.08 Bukaya-Kampala'!G35)</f>
        <v>0.14285714285714285</v>
      </c>
      <c r="H35" s="49">
        <f>AVERAGE('19.08 Bukaya-Kampala'!H35,'20.08 Bukaya-Kampala'!H35,'21.08 Bukaya-Kampala'!H35,'22.08 Bukaya-Kampala'!H35,'23.08 Bukaya-Kampala-24h'!H35,'24.08 Bukaya-Kampala-24h'!H35,'25.08 Bukaya-Kampala'!H35)</f>
        <v>0</v>
      </c>
      <c r="I35" s="49">
        <f>AVERAGE('19.08 Bukaya-Kampala'!I35,'20.08 Bukaya-Kampala'!I35,'21.08 Bukaya-Kampala'!I35,'22.08 Bukaya-Kampala'!I35,'23.08 Bukaya-Kampala-24h'!I35,'24.08 Bukaya-Kampala-24h'!I35,'25.08 Bukaya-Kampala'!I35)</f>
        <v>1.1428571428571428</v>
      </c>
      <c r="J35" s="49">
        <f>AVERAGE('19.08 Bukaya-Kampala'!J35,'20.08 Bukaya-Kampala'!J35,'21.08 Bukaya-Kampala'!J35,'22.08 Bukaya-Kampala'!J35,'23.08 Bukaya-Kampala-24h'!J35,'24.08 Bukaya-Kampala-24h'!J35,'25.08 Bukaya-Kampala'!J35)</f>
        <v>0</v>
      </c>
      <c r="K35" s="49">
        <f>AVERAGE('19.08 Bukaya-Kampala'!K35,'20.08 Bukaya-Kampala'!K35,'21.08 Bukaya-Kampala'!K35,'22.08 Bukaya-Kampala'!K35,'23.08 Bukaya-Kampala-24h'!K35,'24.08 Bukaya-Kampala-24h'!K35,'25.08 Bukaya-Kampala'!K35)</f>
        <v>0</v>
      </c>
      <c r="L35" s="49">
        <f>AVERAGE('19.08 Bukaya-Kampala'!L35,'20.08 Bukaya-Kampala'!L35,'21.08 Bukaya-Kampala'!L35,'22.08 Bukaya-Kampala'!L35,'23.08 Bukaya-Kampala-24h'!L35,'24.08 Bukaya-Kampala-24h'!L35,'25.08 Bukaya-Kampala'!L35)</f>
        <v>0</v>
      </c>
      <c r="M35" s="49">
        <f>AVERAGE('19.08 Bukaya-Kampala'!M35,'20.08 Bukaya-Kampala'!M35,'21.08 Bukaya-Kampala'!M35,'22.08 Bukaya-Kampala'!M35,'23.08 Bukaya-Kampala-24h'!M35,'24.08 Bukaya-Kampala-24h'!M35,'25.08 Bukaya-Kampala'!M35)</f>
        <v>18</v>
      </c>
      <c r="N35" s="49">
        <f>AVERAGE('19.08 Bukaya-Kampala'!N35,'20.08 Bukaya-Kampala'!N35,'21.08 Bukaya-Kampala'!N35,'22.08 Bukaya-Kampala'!N35,'23.08 Bukaya-Kampala-24h'!N35,'24.08 Bukaya-Kampala-24h'!N35,'25.08 Bukaya-Kampala'!N35)</f>
        <v>0</v>
      </c>
      <c r="O35" s="15">
        <f t="shared" si="0"/>
        <v>7.5714285714285712</v>
      </c>
      <c r="P35" s="15">
        <f t="shared" si="1"/>
        <v>25.571428571428569</v>
      </c>
      <c r="R35" s="38" t="s">
        <v>91</v>
      </c>
      <c r="S35" s="39">
        <f t="shared" ref="S35:AF35" si="27">MAX(S13:S18)</f>
        <v>12.428571428571429</v>
      </c>
      <c r="T35" s="39">
        <f t="shared" si="27"/>
        <v>0</v>
      </c>
      <c r="U35" s="39">
        <f t="shared" si="27"/>
        <v>14.428571428571431</v>
      </c>
      <c r="V35" s="39">
        <f t="shared" si="27"/>
        <v>7.4285714285714288</v>
      </c>
      <c r="W35" s="39">
        <f t="shared" si="27"/>
        <v>0.71428571428571419</v>
      </c>
      <c r="X35" s="39">
        <f t="shared" si="27"/>
        <v>0.14285714285714285</v>
      </c>
      <c r="Y35" s="39">
        <f t="shared" si="27"/>
        <v>10</v>
      </c>
      <c r="Z35" s="39">
        <f t="shared" si="27"/>
        <v>0.42857142857142855</v>
      </c>
      <c r="AA35" s="39">
        <f t="shared" si="27"/>
        <v>0.8571428571428571</v>
      </c>
      <c r="AB35" s="39">
        <f t="shared" si="27"/>
        <v>0</v>
      </c>
      <c r="AC35" s="39">
        <f t="shared" si="27"/>
        <v>86</v>
      </c>
      <c r="AD35" s="39">
        <f t="shared" si="27"/>
        <v>0</v>
      </c>
      <c r="AE35" s="40">
        <f t="shared" si="27"/>
        <v>45.571428571428569</v>
      </c>
      <c r="AF35" s="40">
        <f t="shared" si="27"/>
        <v>126.14285714285714</v>
      </c>
    </row>
    <row r="36" spans="2:32" ht="23.1" customHeight="1" x14ac:dyDescent="0.25">
      <c r="B36" s="24" t="s">
        <v>63</v>
      </c>
      <c r="C36" s="49">
        <f>AVERAGE('19.08 Bukaya-Kampala'!C36,'20.08 Bukaya-Kampala'!C36,'21.08 Bukaya-Kampala'!C36,'22.08 Bukaya-Kampala'!C36,'23.08 Bukaya-Kampala-24h'!C36,'24.08 Bukaya-Kampala-24h'!C36,'25.08 Bukaya-Kampala'!C36)</f>
        <v>1.7142857142857142</v>
      </c>
      <c r="D36" s="49">
        <f>AVERAGE('19.08 Bukaya-Kampala'!D36,'20.08 Bukaya-Kampala'!D36,'21.08 Bukaya-Kampala'!D36,'22.08 Bukaya-Kampala'!D36,'23.08 Bukaya-Kampala-24h'!D36,'24.08 Bukaya-Kampala-24h'!D36,'25.08 Bukaya-Kampala'!D36)</f>
        <v>0</v>
      </c>
      <c r="E36" s="49">
        <f>AVERAGE('19.08 Bukaya-Kampala'!E36,'20.08 Bukaya-Kampala'!E36,'21.08 Bukaya-Kampala'!E36,'22.08 Bukaya-Kampala'!E36,'23.08 Bukaya-Kampala-24h'!E36,'24.08 Bukaya-Kampala-24h'!E36,'25.08 Bukaya-Kampala'!E36)</f>
        <v>2.2857142857142856</v>
      </c>
      <c r="F36" s="49">
        <f>AVERAGE('19.08 Bukaya-Kampala'!F36,'20.08 Bukaya-Kampala'!F36,'21.08 Bukaya-Kampala'!F36,'22.08 Bukaya-Kampala'!F36,'23.08 Bukaya-Kampala-24h'!F36,'24.08 Bukaya-Kampala-24h'!F36,'25.08 Bukaya-Kampala'!F36)</f>
        <v>0.7142857142857143</v>
      </c>
      <c r="G36" s="49">
        <f>AVERAGE('19.08 Bukaya-Kampala'!G36,'20.08 Bukaya-Kampala'!G36,'21.08 Bukaya-Kampala'!G36,'22.08 Bukaya-Kampala'!G36,'23.08 Bukaya-Kampala-24h'!G36,'24.08 Bukaya-Kampala-24h'!G36,'25.08 Bukaya-Kampala'!G36)</f>
        <v>0.2857142857142857</v>
      </c>
      <c r="H36" s="49">
        <f>AVERAGE('19.08 Bukaya-Kampala'!H36,'20.08 Bukaya-Kampala'!H36,'21.08 Bukaya-Kampala'!H36,'22.08 Bukaya-Kampala'!H36,'23.08 Bukaya-Kampala-24h'!H36,'24.08 Bukaya-Kampala-24h'!H36,'25.08 Bukaya-Kampala'!H36)</f>
        <v>0</v>
      </c>
      <c r="I36" s="49">
        <f>AVERAGE('19.08 Bukaya-Kampala'!I36,'20.08 Bukaya-Kampala'!I36,'21.08 Bukaya-Kampala'!I36,'22.08 Bukaya-Kampala'!I36,'23.08 Bukaya-Kampala-24h'!I36,'24.08 Bukaya-Kampala-24h'!I36,'25.08 Bukaya-Kampala'!I36)</f>
        <v>1.5714285714285714</v>
      </c>
      <c r="J36" s="49">
        <f>AVERAGE('19.08 Bukaya-Kampala'!J36,'20.08 Bukaya-Kampala'!J36,'21.08 Bukaya-Kampala'!J36,'22.08 Bukaya-Kampala'!J36,'23.08 Bukaya-Kampala-24h'!J36,'24.08 Bukaya-Kampala-24h'!J36,'25.08 Bukaya-Kampala'!J36)</f>
        <v>0.14285714285714285</v>
      </c>
      <c r="K36" s="49">
        <f>AVERAGE('19.08 Bukaya-Kampala'!K36,'20.08 Bukaya-Kampala'!K36,'21.08 Bukaya-Kampala'!K36,'22.08 Bukaya-Kampala'!K36,'23.08 Bukaya-Kampala-24h'!K36,'24.08 Bukaya-Kampala-24h'!K36,'25.08 Bukaya-Kampala'!K36)</f>
        <v>0.14285714285714285</v>
      </c>
      <c r="L36" s="49">
        <f>AVERAGE('19.08 Bukaya-Kampala'!L36,'20.08 Bukaya-Kampala'!L36,'21.08 Bukaya-Kampala'!L36,'22.08 Bukaya-Kampala'!L36,'23.08 Bukaya-Kampala-24h'!L36,'24.08 Bukaya-Kampala-24h'!L36,'25.08 Bukaya-Kampala'!L36)</f>
        <v>0</v>
      </c>
      <c r="M36" s="49">
        <f>AVERAGE('19.08 Bukaya-Kampala'!M36,'20.08 Bukaya-Kampala'!M36,'21.08 Bukaya-Kampala'!M36,'22.08 Bukaya-Kampala'!M36,'23.08 Bukaya-Kampala-24h'!M36,'24.08 Bukaya-Kampala-24h'!M36,'25.08 Bukaya-Kampala'!M36)</f>
        <v>19.857142857142858</v>
      </c>
      <c r="N36" s="49">
        <f>AVERAGE('19.08 Bukaya-Kampala'!N36,'20.08 Bukaya-Kampala'!N36,'21.08 Bukaya-Kampala'!N36,'22.08 Bukaya-Kampala'!N36,'23.08 Bukaya-Kampala-24h'!N36,'24.08 Bukaya-Kampala-24h'!N36,'25.08 Bukaya-Kampala'!N36)</f>
        <v>0</v>
      </c>
      <c r="O36" s="15">
        <f t="shared" si="0"/>
        <v>6.8571428571428577</v>
      </c>
      <c r="P36" s="15">
        <f t="shared" si="1"/>
        <v>26.714285714285715</v>
      </c>
      <c r="R36" s="38" t="s">
        <v>92</v>
      </c>
      <c r="S36" s="39">
        <f t="shared" ref="S36:AF36" si="28">MAX(S19:S21)</f>
        <v>19.285714285714285</v>
      </c>
      <c r="T36" s="39">
        <f t="shared" si="28"/>
        <v>0</v>
      </c>
      <c r="U36" s="39">
        <f t="shared" si="28"/>
        <v>21</v>
      </c>
      <c r="V36" s="39">
        <f t="shared" si="28"/>
        <v>12.571428571428573</v>
      </c>
      <c r="W36" s="39">
        <f t="shared" si="28"/>
        <v>1.2857142857142856</v>
      </c>
      <c r="X36" s="39">
        <f t="shared" si="28"/>
        <v>0</v>
      </c>
      <c r="Y36" s="39">
        <f t="shared" si="28"/>
        <v>10.142857142857142</v>
      </c>
      <c r="Z36" s="39">
        <f t="shared" si="28"/>
        <v>0.2857142857142857</v>
      </c>
      <c r="AA36" s="39">
        <f t="shared" si="28"/>
        <v>0.99999999999999978</v>
      </c>
      <c r="AB36" s="39">
        <f t="shared" si="28"/>
        <v>0.14285714285714285</v>
      </c>
      <c r="AC36" s="39">
        <f t="shared" si="28"/>
        <v>91.571428571428569</v>
      </c>
      <c r="AD36" s="39">
        <f t="shared" si="28"/>
        <v>0.14285714285714285</v>
      </c>
      <c r="AE36" s="40">
        <f t="shared" si="28"/>
        <v>62.571428571428577</v>
      </c>
      <c r="AF36" s="40">
        <f t="shared" si="28"/>
        <v>155.42857142857144</v>
      </c>
    </row>
    <row r="37" spans="2:32" ht="23.1" customHeight="1" x14ac:dyDescent="0.25">
      <c r="B37" s="23" t="s">
        <v>64</v>
      </c>
      <c r="C37" s="49">
        <f>AVERAGE('19.08 Bukaya-Kampala'!C37,'20.08 Bukaya-Kampala'!C37,'21.08 Bukaya-Kampala'!C37,'22.08 Bukaya-Kampala'!C37,'23.08 Bukaya-Kampala-24h'!C37,'24.08 Bukaya-Kampala-24h'!C37,'25.08 Bukaya-Kampala'!C37)</f>
        <v>2.8571428571428572</v>
      </c>
      <c r="D37" s="49">
        <f>AVERAGE('19.08 Bukaya-Kampala'!D37,'20.08 Bukaya-Kampala'!D37,'21.08 Bukaya-Kampala'!D37,'22.08 Bukaya-Kampala'!D37,'23.08 Bukaya-Kampala-24h'!D37,'24.08 Bukaya-Kampala-24h'!D37,'25.08 Bukaya-Kampala'!D37)</f>
        <v>0</v>
      </c>
      <c r="E37" s="49">
        <f>AVERAGE('19.08 Bukaya-Kampala'!E37,'20.08 Bukaya-Kampala'!E37,'21.08 Bukaya-Kampala'!E37,'22.08 Bukaya-Kampala'!E37,'23.08 Bukaya-Kampala-24h'!E37,'24.08 Bukaya-Kampala-24h'!E37,'25.08 Bukaya-Kampala'!E37)</f>
        <v>2.4285714285714284</v>
      </c>
      <c r="F37" s="49">
        <f>AVERAGE('19.08 Bukaya-Kampala'!F37,'20.08 Bukaya-Kampala'!F37,'21.08 Bukaya-Kampala'!F37,'22.08 Bukaya-Kampala'!F37,'23.08 Bukaya-Kampala-24h'!F37,'24.08 Bukaya-Kampala-24h'!F37,'25.08 Bukaya-Kampala'!F37)</f>
        <v>2.4285714285714284</v>
      </c>
      <c r="G37" s="49">
        <f>AVERAGE('19.08 Bukaya-Kampala'!G37,'20.08 Bukaya-Kampala'!G37,'21.08 Bukaya-Kampala'!G37,'22.08 Bukaya-Kampala'!G37,'23.08 Bukaya-Kampala-24h'!G37,'24.08 Bukaya-Kampala-24h'!G37,'25.08 Bukaya-Kampala'!G37)</f>
        <v>0</v>
      </c>
      <c r="H37" s="49">
        <f>AVERAGE('19.08 Bukaya-Kampala'!H37,'20.08 Bukaya-Kampala'!H37,'21.08 Bukaya-Kampala'!H37,'22.08 Bukaya-Kampala'!H37,'23.08 Bukaya-Kampala-24h'!H37,'24.08 Bukaya-Kampala-24h'!H37,'25.08 Bukaya-Kampala'!H37)</f>
        <v>0</v>
      </c>
      <c r="I37" s="49">
        <f>AVERAGE('19.08 Bukaya-Kampala'!I37,'20.08 Bukaya-Kampala'!I37,'21.08 Bukaya-Kampala'!I37,'22.08 Bukaya-Kampala'!I37,'23.08 Bukaya-Kampala-24h'!I37,'24.08 Bukaya-Kampala-24h'!I37,'25.08 Bukaya-Kampala'!I37)</f>
        <v>1.5714285714285714</v>
      </c>
      <c r="J37" s="49">
        <f>AVERAGE('19.08 Bukaya-Kampala'!J37,'20.08 Bukaya-Kampala'!J37,'21.08 Bukaya-Kampala'!J37,'22.08 Bukaya-Kampala'!J37,'23.08 Bukaya-Kampala-24h'!J37,'24.08 Bukaya-Kampala-24h'!J37,'25.08 Bukaya-Kampala'!J37)</f>
        <v>0</v>
      </c>
      <c r="K37" s="49">
        <f>AVERAGE('19.08 Bukaya-Kampala'!K37,'20.08 Bukaya-Kampala'!K37,'21.08 Bukaya-Kampala'!K37,'22.08 Bukaya-Kampala'!K37,'23.08 Bukaya-Kampala-24h'!K37,'24.08 Bukaya-Kampala-24h'!K37,'25.08 Bukaya-Kampala'!K37)</f>
        <v>0</v>
      </c>
      <c r="L37" s="49">
        <f>AVERAGE('19.08 Bukaya-Kampala'!L37,'20.08 Bukaya-Kampala'!L37,'21.08 Bukaya-Kampala'!L37,'22.08 Bukaya-Kampala'!L37,'23.08 Bukaya-Kampala-24h'!L37,'24.08 Bukaya-Kampala-24h'!L37,'25.08 Bukaya-Kampala'!L37)</f>
        <v>0</v>
      </c>
      <c r="M37" s="49">
        <f>AVERAGE('19.08 Bukaya-Kampala'!M37,'20.08 Bukaya-Kampala'!M37,'21.08 Bukaya-Kampala'!M37,'22.08 Bukaya-Kampala'!M37,'23.08 Bukaya-Kampala-24h'!M37,'24.08 Bukaya-Kampala-24h'!M37,'25.08 Bukaya-Kampala'!M37)</f>
        <v>16.714285714285715</v>
      </c>
      <c r="N37" s="49">
        <f>AVERAGE('19.08 Bukaya-Kampala'!N37,'20.08 Bukaya-Kampala'!N37,'21.08 Bukaya-Kampala'!N37,'22.08 Bukaya-Kampala'!N37,'23.08 Bukaya-Kampala-24h'!N37,'24.08 Bukaya-Kampala-24h'!N37,'25.08 Bukaya-Kampala'!N37)</f>
        <v>0</v>
      </c>
      <c r="O37" s="15">
        <f t="shared" si="0"/>
        <v>9.2857142857142847</v>
      </c>
      <c r="P37" s="15">
        <f t="shared" si="1"/>
        <v>26</v>
      </c>
      <c r="R37" s="37" t="s">
        <v>85</v>
      </c>
      <c r="S37" s="35">
        <f t="shared" ref="S37:AF37" si="29">SUM(S10:S12)</f>
        <v>15</v>
      </c>
      <c r="T37" s="16">
        <f t="shared" si="29"/>
        <v>0</v>
      </c>
      <c r="U37" s="16">
        <f t="shared" si="29"/>
        <v>11.285714285714285</v>
      </c>
      <c r="V37" s="16">
        <f t="shared" si="29"/>
        <v>16.142857142857139</v>
      </c>
      <c r="W37" s="16">
        <f t="shared" si="29"/>
        <v>0.42857142857142855</v>
      </c>
      <c r="X37" s="16">
        <f t="shared" si="29"/>
        <v>0.14285714285714285</v>
      </c>
      <c r="Y37" s="16">
        <f t="shared" si="29"/>
        <v>9.7142857142857135</v>
      </c>
      <c r="Z37" s="16">
        <f t="shared" si="29"/>
        <v>0.5714285714285714</v>
      </c>
      <c r="AA37" s="16">
        <f t="shared" si="29"/>
        <v>1.7142857142857142</v>
      </c>
      <c r="AB37" s="16">
        <f t="shared" si="29"/>
        <v>0.14285714285714285</v>
      </c>
      <c r="AC37" s="16">
        <f t="shared" si="29"/>
        <v>183</v>
      </c>
      <c r="AD37" s="16">
        <f t="shared" si="29"/>
        <v>0</v>
      </c>
      <c r="AE37" s="32">
        <f t="shared" si="29"/>
        <v>55.142857142857146</v>
      </c>
      <c r="AF37" s="32">
        <f t="shared" si="29"/>
        <v>238.14285714285714</v>
      </c>
    </row>
    <row r="38" spans="2:32" ht="23.1" customHeight="1" x14ac:dyDescent="0.25">
      <c r="B38" s="24" t="s">
        <v>65</v>
      </c>
      <c r="C38" s="49">
        <f>AVERAGE('19.08 Bukaya-Kampala'!C38,'20.08 Bukaya-Kampala'!C38,'21.08 Bukaya-Kampala'!C38,'22.08 Bukaya-Kampala'!C38,'23.08 Bukaya-Kampala-24h'!C38,'24.08 Bukaya-Kampala-24h'!C38,'25.08 Bukaya-Kampala'!C38)</f>
        <v>3.1428571428571428</v>
      </c>
      <c r="D38" s="49">
        <f>AVERAGE('19.08 Bukaya-Kampala'!D38,'20.08 Bukaya-Kampala'!D38,'21.08 Bukaya-Kampala'!D38,'22.08 Bukaya-Kampala'!D38,'23.08 Bukaya-Kampala-24h'!D38,'24.08 Bukaya-Kampala-24h'!D38,'25.08 Bukaya-Kampala'!D38)</f>
        <v>0</v>
      </c>
      <c r="E38" s="49">
        <f>AVERAGE('19.08 Bukaya-Kampala'!E38,'20.08 Bukaya-Kampala'!E38,'21.08 Bukaya-Kampala'!E38,'22.08 Bukaya-Kampala'!E38,'23.08 Bukaya-Kampala-24h'!E38,'24.08 Bukaya-Kampala-24h'!E38,'25.08 Bukaya-Kampala'!E38)</f>
        <v>2</v>
      </c>
      <c r="F38" s="49">
        <f>AVERAGE('19.08 Bukaya-Kampala'!F38,'20.08 Bukaya-Kampala'!F38,'21.08 Bukaya-Kampala'!F38,'22.08 Bukaya-Kampala'!F38,'23.08 Bukaya-Kampala-24h'!F38,'24.08 Bukaya-Kampala-24h'!F38,'25.08 Bukaya-Kampala'!F38)</f>
        <v>1.8571428571428572</v>
      </c>
      <c r="G38" s="49">
        <f>AVERAGE('19.08 Bukaya-Kampala'!G38,'20.08 Bukaya-Kampala'!G38,'21.08 Bukaya-Kampala'!G38,'22.08 Bukaya-Kampala'!G38,'23.08 Bukaya-Kampala-24h'!G38,'24.08 Bukaya-Kampala-24h'!G38,'25.08 Bukaya-Kampala'!G38)</f>
        <v>0</v>
      </c>
      <c r="H38" s="49">
        <f>AVERAGE('19.08 Bukaya-Kampala'!H38,'20.08 Bukaya-Kampala'!H38,'21.08 Bukaya-Kampala'!H38,'22.08 Bukaya-Kampala'!H38,'23.08 Bukaya-Kampala-24h'!H38,'24.08 Bukaya-Kampala-24h'!H38,'25.08 Bukaya-Kampala'!H38)</f>
        <v>0</v>
      </c>
      <c r="I38" s="49">
        <f>AVERAGE('19.08 Bukaya-Kampala'!I38,'20.08 Bukaya-Kampala'!I38,'21.08 Bukaya-Kampala'!I38,'22.08 Bukaya-Kampala'!I38,'23.08 Bukaya-Kampala-24h'!I38,'24.08 Bukaya-Kampala-24h'!I38,'25.08 Bukaya-Kampala'!I38)</f>
        <v>1</v>
      </c>
      <c r="J38" s="49">
        <f>AVERAGE('19.08 Bukaya-Kampala'!J38,'20.08 Bukaya-Kampala'!J38,'21.08 Bukaya-Kampala'!J38,'22.08 Bukaya-Kampala'!J38,'23.08 Bukaya-Kampala-24h'!J38,'24.08 Bukaya-Kampala-24h'!J38,'25.08 Bukaya-Kampala'!J38)</f>
        <v>0</v>
      </c>
      <c r="K38" s="49">
        <f>AVERAGE('19.08 Bukaya-Kampala'!K38,'20.08 Bukaya-Kampala'!K38,'21.08 Bukaya-Kampala'!K38,'22.08 Bukaya-Kampala'!K38,'23.08 Bukaya-Kampala-24h'!K38,'24.08 Bukaya-Kampala-24h'!K38,'25.08 Bukaya-Kampala'!K38)</f>
        <v>0</v>
      </c>
      <c r="L38" s="49">
        <f>AVERAGE('19.08 Bukaya-Kampala'!L38,'20.08 Bukaya-Kampala'!L38,'21.08 Bukaya-Kampala'!L38,'22.08 Bukaya-Kampala'!L38,'23.08 Bukaya-Kampala-24h'!L38,'24.08 Bukaya-Kampala-24h'!L38,'25.08 Bukaya-Kampala'!L38)</f>
        <v>0</v>
      </c>
      <c r="M38" s="49">
        <f>AVERAGE('19.08 Bukaya-Kampala'!M38,'20.08 Bukaya-Kampala'!M38,'21.08 Bukaya-Kampala'!M38,'22.08 Bukaya-Kampala'!M38,'23.08 Bukaya-Kampala-24h'!M38,'24.08 Bukaya-Kampala-24h'!M38,'25.08 Bukaya-Kampala'!M38)</f>
        <v>20.428571428571427</v>
      </c>
      <c r="N38" s="49">
        <f>AVERAGE('19.08 Bukaya-Kampala'!N38,'20.08 Bukaya-Kampala'!N38,'21.08 Bukaya-Kampala'!N38,'22.08 Bukaya-Kampala'!N38,'23.08 Bukaya-Kampala-24h'!N38,'24.08 Bukaya-Kampala-24h'!N38,'25.08 Bukaya-Kampala'!N38)</f>
        <v>0</v>
      </c>
      <c r="O38" s="15">
        <f t="shared" si="0"/>
        <v>8</v>
      </c>
      <c r="P38" s="15">
        <f t="shared" si="1"/>
        <v>28.428571428571427</v>
      </c>
      <c r="R38" s="28" t="s">
        <v>86</v>
      </c>
      <c r="S38" s="16">
        <f t="shared" ref="S38:AF38" si="30">SUM(S13:S18)</f>
        <v>50.571428571428569</v>
      </c>
      <c r="T38" s="16">
        <f t="shared" si="30"/>
        <v>0</v>
      </c>
      <c r="U38" s="16">
        <f t="shared" si="30"/>
        <v>58.571428571428569</v>
      </c>
      <c r="V38" s="16">
        <f t="shared" si="30"/>
        <v>38</v>
      </c>
      <c r="W38" s="16">
        <f t="shared" si="30"/>
        <v>2.1428571428571428</v>
      </c>
      <c r="X38" s="16">
        <f t="shared" si="30"/>
        <v>0.14285714285714285</v>
      </c>
      <c r="Y38" s="16">
        <f t="shared" si="30"/>
        <v>36.142857142857146</v>
      </c>
      <c r="Z38" s="16">
        <f t="shared" si="30"/>
        <v>1.2857142857142856</v>
      </c>
      <c r="AA38" s="16">
        <f t="shared" si="30"/>
        <v>2.2857142857142856</v>
      </c>
      <c r="AB38" s="16">
        <f t="shared" si="30"/>
        <v>0</v>
      </c>
      <c r="AC38" s="16">
        <f t="shared" si="30"/>
        <v>474.85714285714289</v>
      </c>
      <c r="AD38" s="16">
        <f t="shared" si="30"/>
        <v>0</v>
      </c>
      <c r="AE38" s="32">
        <f t="shared" si="30"/>
        <v>189.14285714285717</v>
      </c>
      <c r="AF38" s="32">
        <f t="shared" si="30"/>
        <v>664</v>
      </c>
    </row>
    <row r="39" spans="2:32" ht="23.1" customHeight="1" x14ac:dyDescent="0.25">
      <c r="B39" s="24" t="s">
        <v>66</v>
      </c>
      <c r="C39" s="49">
        <f>AVERAGE('19.08 Bukaya-Kampala'!C39,'20.08 Bukaya-Kampala'!C39,'21.08 Bukaya-Kampala'!C39,'22.08 Bukaya-Kampala'!C39,'23.08 Bukaya-Kampala-24h'!C39,'24.08 Bukaya-Kampala-24h'!C39,'25.08 Bukaya-Kampala'!C39)</f>
        <v>1.8571428571428572</v>
      </c>
      <c r="D39" s="49">
        <f>AVERAGE('19.08 Bukaya-Kampala'!D39,'20.08 Bukaya-Kampala'!D39,'21.08 Bukaya-Kampala'!D39,'22.08 Bukaya-Kampala'!D39,'23.08 Bukaya-Kampala-24h'!D39,'24.08 Bukaya-Kampala-24h'!D39,'25.08 Bukaya-Kampala'!D39)</f>
        <v>0</v>
      </c>
      <c r="E39" s="49">
        <f>AVERAGE('19.08 Bukaya-Kampala'!E39,'20.08 Bukaya-Kampala'!E39,'21.08 Bukaya-Kampala'!E39,'22.08 Bukaya-Kampala'!E39,'23.08 Bukaya-Kampala-24h'!E39,'24.08 Bukaya-Kampala-24h'!E39,'25.08 Bukaya-Kampala'!E39)</f>
        <v>3.2857142857142856</v>
      </c>
      <c r="F39" s="49">
        <f>AVERAGE('19.08 Bukaya-Kampala'!F39,'20.08 Bukaya-Kampala'!F39,'21.08 Bukaya-Kampala'!F39,'22.08 Bukaya-Kampala'!F39,'23.08 Bukaya-Kampala-24h'!F39,'24.08 Bukaya-Kampala-24h'!F39,'25.08 Bukaya-Kampala'!F39)</f>
        <v>1.8571428571428572</v>
      </c>
      <c r="G39" s="49">
        <f>AVERAGE('19.08 Bukaya-Kampala'!G39,'20.08 Bukaya-Kampala'!G39,'21.08 Bukaya-Kampala'!G39,'22.08 Bukaya-Kampala'!G39,'23.08 Bukaya-Kampala-24h'!G39,'24.08 Bukaya-Kampala-24h'!G39,'25.08 Bukaya-Kampala'!G39)</f>
        <v>0</v>
      </c>
      <c r="H39" s="49">
        <f>AVERAGE('19.08 Bukaya-Kampala'!H39,'20.08 Bukaya-Kampala'!H39,'21.08 Bukaya-Kampala'!H39,'22.08 Bukaya-Kampala'!H39,'23.08 Bukaya-Kampala-24h'!H39,'24.08 Bukaya-Kampala-24h'!H39,'25.08 Bukaya-Kampala'!H39)</f>
        <v>0</v>
      </c>
      <c r="I39" s="49">
        <f>AVERAGE('19.08 Bukaya-Kampala'!I39,'20.08 Bukaya-Kampala'!I39,'21.08 Bukaya-Kampala'!I39,'22.08 Bukaya-Kampala'!I39,'23.08 Bukaya-Kampala-24h'!I39,'24.08 Bukaya-Kampala-24h'!I39,'25.08 Bukaya-Kampala'!I39)</f>
        <v>1.1428571428571428</v>
      </c>
      <c r="J39" s="49">
        <f>AVERAGE('19.08 Bukaya-Kampala'!J39,'20.08 Bukaya-Kampala'!J39,'21.08 Bukaya-Kampala'!J39,'22.08 Bukaya-Kampala'!J39,'23.08 Bukaya-Kampala-24h'!J39,'24.08 Bukaya-Kampala-24h'!J39,'25.08 Bukaya-Kampala'!J39)</f>
        <v>0.14285714285714285</v>
      </c>
      <c r="K39" s="49">
        <f>AVERAGE('19.08 Bukaya-Kampala'!K39,'20.08 Bukaya-Kampala'!K39,'21.08 Bukaya-Kampala'!K39,'22.08 Bukaya-Kampala'!K39,'23.08 Bukaya-Kampala-24h'!K39,'24.08 Bukaya-Kampala-24h'!K39,'25.08 Bukaya-Kampala'!K39)</f>
        <v>0</v>
      </c>
      <c r="L39" s="49">
        <f>AVERAGE('19.08 Bukaya-Kampala'!L39,'20.08 Bukaya-Kampala'!L39,'21.08 Bukaya-Kampala'!L39,'22.08 Bukaya-Kampala'!L39,'23.08 Bukaya-Kampala-24h'!L39,'24.08 Bukaya-Kampala-24h'!L39,'25.08 Bukaya-Kampala'!L39)</f>
        <v>0</v>
      </c>
      <c r="M39" s="49">
        <f>AVERAGE('19.08 Bukaya-Kampala'!M39,'20.08 Bukaya-Kampala'!M39,'21.08 Bukaya-Kampala'!M39,'22.08 Bukaya-Kampala'!M39,'23.08 Bukaya-Kampala-24h'!M39,'24.08 Bukaya-Kampala-24h'!M39,'25.08 Bukaya-Kampala'!M39)</f>
        <v>19.714285714285715</v>
      </c>
      <c r="N39" s="49">
        <f>AVERAGE('19.08 Bukaya-Kampala'!N39,'20.08 Bukaya-Kampala'!N39,'21.08 Bukaya-Kampala'!N39,'22.08 Bukaya-Kampala'!N39,'23.08 Bukaya-Kampala-24h'!N39,'24.08 Bukaya-Kampala-24h'!N39,'25.08 Bukaya-Kampala'!N39)</f>
        <v>0</v>
      </c>
      <c r="O39" s="15">
        <f t="shared" si="0"/>
        <v>8.2857142857142847</v>
      </c>
      <c r="P39" s="15">
        <f t="shared" si="1"/>
        <v>28</v>
      </c>
      <c r="R39" s="29" t="s">
        <v>87</v>
      </c>
      <c r="S39" s="16">
        <f t="shared" ref="S39:AF39" si="31">SUM(S19:S21)</f>
        <v>44.571428571428569</v>
      </c>
      <c r="T39" s="16">
        <f t="shared" si="31"/>
        <v>0</v>
      </c>
      <c r="U39" s="16">
        <f t="shared" si="31"/>
        <v>56.285714285714285</v>
      </c>
      <c r="V39" s="16">
        <f t="shared" si="31"/>
        <v>32.142857142857146</v>
      </c>
      <c r="W39" s="16">
        <f t="shared" si="31"/>
        <v>1.714285714285714</v>
      </c>
      <c r="X39" s="16">
        <f t="shared" si="31"/>
        <v>0</v>
      </c>
      <c r="Y39" s="16">
        <f t="shared" si="31"/>
        <v>25.428571428571427</v>
      </c>
      <c r="Z39" s="16">
        <f t="shared" si="31"/>
        <v>0.5714285714285714</v>
      </c>
      <c r="AA39" s="16">
        <f t="shared" si="31"/>
        <v>1.8571428571428568</v>
      </c>
      <c r="AB39" s="16">
        <f t="shared" si="31"/>
        <v>0.14285714285714285</v>
      </c>
      <c r="AC39" s="16">
        <f t="shared" si="31"/>
        <v>269.85714285714283</v>
      </c>
      <c r="AD39" s="16">
        <f t="shared" si="31"/>
        <v>0.14285714285714285</v>
      </c>
      <c r="AE39" s="32">
        <f t="shared" si="31"/>
        <v>162.85714285714286</v>
      </c>
      <c r="AF39" s="32">
        <f t="shared" si="31"/>
        <v>442.42857142857144</v>
      </c>
    </row>
    <row r="40" spans="2:32" ht="23.1" customHeight="1" x14ac:dyDescent="0.25">
      <c r="B40" s="24" t="s">
        <v>67</v>
      </c>
      <c r="C40" s="49">
        <f>AVERAGE('19.08 Bukaya-Kampala'!C40,'20.08 Bukaya-Kampala'!C40,'21.08 Bukaya-Kampala'!C40,'22.08 Bukaya-Kampala'!C40,'23.08 Bukaya-Kampala-24h'!C40,'24.08 Bukaya-Kampala-24h'!C40,'25.08 Bukaya-Kampala'!C40)</f>
        <v>3</v>
      </c>
      <c r="D40" s="49">
        <f>AVERAGE('19.08 Bukaya-Kampala'!D40,'20.08 Bukaya-Kampala'!D40,'21.08 Bukaya-Kampala'!D40,'22.08 Bukaya-Kampala'!D40,'23.08 Bukaya-Kampala-24h'!D40,'24.08 Bukaya-Kampala-24h'!D40,'25.08 Bukaya-Kampala'!D40)</f>
        <v>0</v>
      </c>
      <c r="E40" s="49">
        <f>AVERAGE('19.08 Bukaya-Kampala'!E40,'20.08 Bukaya-Kampala'!E40,'21.08 Bukaya-Kampala'!E40,'22.08 Bukaya-Kampala'!E40,'23.08 Bukaya-Kampala-24h'!E40,'24.08 Bukaya-Kampala-24h'!E40,'25.08 Bukaya-Kampala'!E40)</f>
        <v>2.8571428571428572</v>
      </c>
      <c r="F40" s="49">
        <f>AVERAGE('19.08 Bukaya-Kampala'!F40,'20.08 Bukaya-Kampala'!F40,'21.08 Bukaya-Kampala'!F40,'22.08 Bukaya-Kampala'!F40,'23.08 Bukaya-Kampala-24h'!F40,'24.08 Bukaya-Kampala-24h'!F40,'25.08 Bukaya-Kampala'!F40)</f>
        <v>1.5714285714285714</v>
      </c>
      <c r="G40" s="49">
        <f>AVERAGE('19.08 Bukaya-Kampala'!G40,'20.08 Bukaya-Kampala'!G40,'21.08 Bukaya-Kampala'!G40,'22.08 Bukaya-Kampala'!G40,'23.08 Bukaya-Kampala-24h'!G40,'24.08 Bukaya-Kampala-24h'!G40,'25.08 Bukaya-Kampala'!G40)</f>
        <v>0.14285714285714285</v>
      </c>
      <c r="H40" s="49">
        <f>AVERAGE('19.08 Bukaya-Kampala'!H40,'20.08 Bukaya-Kampala'!H40,'21.08 Bukaya-Kampala'!H40,'22.08 Bukaya-Kampala'!H40,'23.08 Bukaya-Kampala-24h'!H40,'24.08 Bukaya-Kampala-24h'!H40,'25.08 Bukaya-Kampala'!H40)</f>
        <v>0</v>
      </c>
      <c r="I40" s="49">
        <f>AVERAGE('19.08 Bukaya-Kampala'!I40,'20.08 Bukaya-Kampala'!I40,'21.08 Bukaya-Kampala'!I40,'22.08 Bukaya-Kampala'!I40,'23.08 Bukaya-Kampala-24h'!I40,'24.08 Bukaya-Kampala-24h'!I40,'25.08 Bukaya-Kampala'!I40)</f>
        <v>0.8571428571428571</v>
      </c>
      <c r="J40" s="49">
        <f>AVERAGE('19.08 Bukaya-Kampala'!J40,'20.08 Bukaya-Kampala'!J40,'21.08 Bukaya-Kampala'!J40,'22.08 Bukaya-Kampala'!J40,'23.08 Bukaya-Kampala-24h'!J40,'24.08 Bukaya-Kampala-24h'!J40,'25.08 Bukaya-Kampala'!J40)</f>
        <v>0</v>
      </c>
      <c r="K40" s="49">
        <f>AVERAGE('19.08 Bukaya-Kampala'!K40,'20.08 Bukaya-Kampala'!K40,'21.08 Bukaya-Kampala'!K40,'22.08 Bukaya-Kampala'!K40,'23.08 Bukaya-Kampala-24h'!K40,'24.08 Bukaya-Kampala-24h'!K40,'25.08 Bukaya-Kampala'!K40)</f>
        <v>0.2857142857142857</v>
      </c>
      <c r="L40" s="49">
        <f>AVERAGE('19.08 Bukaya-Kampala'!L40,'20.08 Bukaya-Kampala'!L40,'21.08 Bukaya-Kampala'!L40,'22.08 Bukaya-Kampala'!L40,'23.08 Bukaya-Kampala-24h'!L40,'24.08 Bukaya-Kampala-24h'!L40,'25.08 Bukaya-Kampala'!L40)</f>
        <v>0</v>
      </c>
      <c r="M40" s="49">
        <f>AVERAGE('19.08 Bukaya-Kampala'!M40,'20.08 Bukaya-Kampala'!M40,'21.08 Bukaya-Kampala'!M40,'22.08 Bukaya-Kampala'!M40,'23.08 Bukaya-Kampala-24h'!M40,'24.08 Bukaya-Kampala-24h'!M40,'25.08 Bukaya-Kampala'!M40)</f>
        <v>22.285714285714285</v>
      </c>
      <c r="N40" s="49">
        <f>AVERAGE('19.08 Bukaya-Kampala'!N40,'20.08 Bukaya-Kampala'!N40,'21.08 Bukaya-Kampala'!N40,'22.08 Bukaya-Kampala'!N40,'23.08 Bukaya-Kampala-24h'!N40,'24.08 Bukaya-Kampala-24h'!N40,'25.08 Bukaya-Kampala'!N40)</f>
        <v>0</v>
      </c>
      <c r="O40" s="15">
        <f t="shared" si="0"/>
        <v>8.7142857142857153</v>
      </c>
      <c r="P40" s="15">
        <f t="shared" si="1"/>
        <v>31</v>
      </c>
      <c r="R40" s="5" t="s">
        <v>17</v>
      </c>
      <c r="S40" s="16">
        <f t="shared" ref="S40:AF40" si="32">SUM(S10:S21)</f>
        <v>110.14285714285712</v>
      </c>
      <c r="T40" s="16">
        <f t="shared" si="32"/>
        <v>0</v>
      </c>
      <c r="U40" s="16">
        <f t="shared" si="32"/>
        <v>126.14285714285714</v>
      </c>
      <c r="V40" s="16">
        <f t="shared" si="32"/>
        <v>86.285714285714278</v>
      </c>
      <c r="W40" s="16">
        <f t="shared" si="32"/>
        <v>4.2857142857142856</v>
      </c>
      <c r="X40" s="16">
        <f t="shared" si="32"/>
        <v>0.2857142857142857</v>
      </c>
      <c r="Y40" s="16">
        <f t="shared" si="32"/>
        <v>71.285714285714278</v>
      </c>
      <c r="Z40" s="16">
        <f t="shared" si="32"/>
        <v>2.4285714285714284</v>
      </c>
      <c r="AA40" s="16">
        <f t="shared" si="32"/>
        <v>5.8571428571428559</v>
      </c>
      <c r="AB40" s="16">
        <f t="shared" si="32"/>
        <v>0.2857142857142857</v>
      </c>
      <c r="AC40" s="16">
        <f t="shared" si="32"/>
        <v>927.71428571428567</v>
      </c>
      <c r="AD40" s="16">
        <f t="shared" si="32"/>
        <v>0.14285714285714285</v>
      </c>
      <c r="AE40" s="32">
        <f t="shared" si="32"/>
        <v>407.14285714285711</v>
      </c>
      <c r="AF40" s="32">
        <f t="shared" si="32"/>
        <v>1344.5714285714289</v>
      </c>
    </row>
    <row r="41" spans="2:32" ht="23.1" customHeight="1" x14ac:dyDescent="0.25">
      <c r="B41" s="23" t="s">
        <v>68</v>
      </c>
      <c r="C41" s="49">
        <f>AVERAGE('19.08 Bukaya-Kampala'!C41,'20.08 Bukaya-Kampala'!C41,'21.08 Bukaya-Kampala'!C41,'22.08 Bukaya-Kampala'!C41,'23.08 Bukaya-Kampala-24h'!C41,'24.08 Bukaya-Kampala-24h'!C41,'25.08 Bukaya-Kampala'!C41)</f>
        <v>3</v>
      </c>
      <c r="D41" s="49">
        <f>AVERAGE('19.08 Bukaya-Kampala'!D41,'20.08 Bukaya-Kampala'!D41,'21.08 Bukaya-Kampala'!D41,'22.08 Bukaya-Kampala'!D41,'23.08 Bukaya-Kampala-24h'!D41,'24.08 Bukaya-Kampala-24h'!D41,'25.08 Bukaya-Kampala'!D41)</f>
        <v>0</v>
      </c>
      <c r="E41" s="49">
        <f>AVERAGE('19.08 Bukaya-Kampala'!E41,'20.08 Bukaya-Kampala'!E41,'21.08 Bukaya-Kampala'!E41,'22.08 Bukaya-Kampala'!E41,'23.08 Bukaya-Kampala-24h'!E41,'24.08 Bukaya-Kampala-24h'!E41,'25.08 Bukaya-Kampala'!E41)</f>
        <v>2.7142857142857144</v>
      </c>
      <c r="F41" s="49">
        <f>AVERAGE('19.08 Bukaya-Kampala'!F41,'20.08 Bukaya-Kampala'!F41,'21.08 Bukaya-Kampala'!F41,'22.08 Bukaya-Kampala'!F41,'23.08 Bukaya-Kampala-24h'!F41,'24.08 Bukaya-Kampala-24h'!F41,'25.08 Bukaya-Kampala'!F41)</f>
        <v>1.1428571428571428</v>
      </c>
      <c r="G41" s="49">
        <f>AVERAGE('19.08 Bukaya-Kampala'!G41,'20.08 Bukaya-Kampala'!G41,'21.08 Bukaya-Kampala'!G41,'22.08 Bukaya-Kampala'!G41,'23.08 Bukaya-Kampala-24h'!G41,'24.08 Bukaya-Kampala-24h'!G41,'25.08 Bukaya-Kampala'!G41)</f>
        <v>0</v>
      </c>
      <c r="H41" s="49">
        <f>AVERAGE('19.08 Bukaya-Kampala'!H41,'20.08 Bukaya-Kampala'!H41,'21.08 Bukaya-Kampala'!H41,'22.08 Bukaya-Kampala'!H41,'23.08 Bukaya-Kampala-24h'!H41,'24.08 Bukaya-Kampala-24h'!H41,'25.08 Bukaya-Kampala'!H41)</f>
        <v>0</v>
      </c>
      <c r="I41" s="49">
        <f>AVERAGE('19.08 Bukaya-Kampala'!I41,'20.08 Bukaya-Kampala'!I41,'21.08 Bukaya-Kampala'!I41,'22.08 Bukaya-Kampala'!I41,'23.08 Bukaya-Kampala-24h'!I41,'24.08 Bukaya-Kampala-24h'!I41,'25.08 Bukaya-Kampala'!I41)</f>
        <v>1.7142857142857142</v>
      </c>
      <c r="J41" s="49">
        <f>AVERAGE('19.08 Bukaya-Kampala'!J41,'20.08 Bukaya-Kampala'!J41,'21.08 Bukaya-Kampala'!J41,'22.08 Bukaya-Kampala'!J41,'23.08 Bukaya-Kampala-24h'!J41,'24.08 Bukaya-Kampala-24h'!J41,'25.08 Bukaya-Kampala'!J41)</f>
        <v>0</v>
      </c>
      <c r="K41" s="49">
        <f>AVERAGE('19.08 Bukaya-Kampala'!K41,'20.08 Bukaya-Kampala'!K41,'21.08 Bukaya-Kampala'!K41,'22.08 Bukaya-Kampala'!K41,'23.08 Bukaya-Kampala-24h'!K41,'24.08 Bukaya-Kampala-24h'!K41,'25.08 Bukaya-Kampala'!K41)</f>
        <v>0.14285714285714285</v>
      </c>
      <c r="L41" s="49">
        <f>AVERAGE('19.08 Bukaya-Kampala'!L41,'20.08 Bukaya-Kampala'!L41,'21.08 Bukaya-Kampala'!L41,'22.08 Bukaya-Kampala'!L41,'23.08 Bukaya-Kampala-24h'!L41,'24.08 Bukaya-Kampala-24h'!L41,'25.08 Bukaya-Kampala'!L41)</f>
        <v>0</v>
      </c>
      <c r="M41" s="49">
        <f>AVERAGE('19.08 Bukaya-Kampala'!M41,'20.08 Bukaya-Kampala'!M41,'21.08 Bukaya-Kampala'!M41,'22.08 Bukaya-Kampala'!M41,'23.08 Bukaya-Kampala-24h'!M41,'24.08 Bukaya-Kampala-24h'!M41,'25.08 Bukaya-Kampala'!M41)</f>
        <v>16.571428571428573</v>
      </c>
      <c r="N41" s="49">
        <f>AVERAGE('19.08 Bukaya-Kampala'!N41,'20.08 Bukaya-Kampala'!N41,'21.08 Bukaya-Kampala'!N41,'22.08 Bukaya-Kampala'!N41,'23.08 Bukaya-Kampala-24h'!N41,'24.08 Bukaya-Kampala-24h'!N41,'25.08 Bukaya-Kampala'!N41)</f>
        <v>0</v>
      </c>
      <c r="O41" s="15">
        <f t="shared" si="0"/>
        <v>8.7142857142857135</v>
      </c>
      <c r="P41" s="15">
        <f t="shared" si="1"/>
        <v>25.285714285714285</v>
      </c>
      <c r="R41" s="5" t="s">
        <v>175</v>
      </c>
      <c r="S41" s="51">
        <f>SUM(S10:S33)</f>
        <v>175.14285714285711</v>
      </c>
      <c r="T41" s="51">
        <f t="shared" ref="T41:AD41" si="33">SUM(T10:T33)</f>
        <v>4</v>
      </c>
      <c r="U41" s="51">
        <f t="shared" si="33"/>
        <v>189.14285714285714</v>
      </c>
      <c r="V41" s="51">
        <f t="shared" si="33"/>
        <v>131.28571428571428</v>
      </c>
      <c r="W41" s="51">
        <f t="shared" si="33"/>
        <v>7.2857142857142856</v>
      </c>
      <c r="X41" s="51">
        <f t="shared" si="33"/>
        <v>1.2857142857142856</v>
      </c>
      <c r="Y41" s="51">
        <f t="shared" si="33"/>
        <v>129.28571428571428</v>
      </c>
      <c r="Z41" s="51">
        <f t="shared" si="33"/>
        <v>4.4285714285714288</v>
      </c>
      <c r="AA41" s="51">
        <f t="shared" si="33"/>
        <v>11.857142857142856</v>
      </c>
      <c r="AB41" s="51">
        <f t="shared" si="33"/>
        <v>0.2857142857142857</v>
      </c>
      <c r="AC41" s="51">
        <f t="shared" si="33"/>
        <v>1106.7142857142858</v>
      </c>
      <c r="AD41" s="51">
        <f t="shared" si="33"/>
        <v>0.14285714285714285</v>
      </c>
      <c r="AE41" s="52">
        <f>SUM(AE10:AE33)</f>
        <v>654.14285714285711</v>
      </c>
      <c r="AF41" s="52">
        <f>SUM(AF10:AF33)</f>
        <v>1952.5714285714289</v>
      </c>
    </row>
    <row r="42" spans="2:32" ht="23.1" customHeight="1" x14ac:dyDescent="0.25">
      <c r="B42" s="24" t="s">
        <v>69</v>
      </c>
      <c r="C42" s="49">
        <f>AVERAGE('19.08 Bukaya-Kampala'!C42,'20.08 Bukaya-Kampala'!C42,'21.08 Bukaya-Kampala'!C42,'22.08 Bukaya-Kampala'!C42,'23.08 Bukaya-Kampala-24h'!C42,'24.08 Bukaya-Kampala-24h'!C42,'25.08 Bukaya-Kampala'!C42)</f>
        <v>3.8571428571428572</v>
      </c>
      <c r="D42" s="49">
        <f>AVERAGE('19.08 Bukaya-Kampala'!D42,'20.08 Bukaya-Kampala'!D42,'21.08 Bukaya-Kampala'!D42,'22.08 Bukaya-Kampala'!D42,'23.08 Bukaya-Kampala-24h'!D42,'24.08 Bukaya-Kampala-24h'!D42,'25.08 Bukaya-Kampala'!D42)</f>
        <v>0</v>
      </c>
      <c r="E42" s="49">
        <f>AVERAGE('19.08 Bukaya-Kampala'!E42,'20.08 Bukaya-Kampala'!E42,'21.08 Bukaya-Kampala'!E42,'22.08 Bukaya-Kampala'!E42,'23.08 Bukaya-Kampala-24h'!E42,'24.08 Bukaya-Kampala-24h'!E42,'25.08 Bukaya-Kampala'!E42)</f>
        <v>3</v>
      </c>
      <c r="F42" s="49">
        <f>AVERAGE('19.08 Bukaya-Kampala'!F42,'20.08 Bukaya-Kampala'!F42,'21.08 Bukaya-Kampala'!F42,'22.08 Bukaya-Kampala'!F42,'23.08 Bukaya-Kampala-24h'!F42,'24.08 Bukaya-Kampala-24h'!F42,'25.08 Bukaya-Kampala'!F42)</f>
        <v>1.7142857142857142</v>
      </c>
      <c r="G42" s="49">
        <f>AVERAGE('19.08 Bukaya-Kampala'!G42,'20.08 Bukaya-Kampala'!G42,'21.08 Bukaya-Kampala'!G42,'22.08 Bukaya-Kampala'!G42,'23.08 Bukaya-Kampala-24h'!G42,'24.08 Bukaya-Kampala-24h'!G42,'25.08 Bukaya-Kampala'!G42)</f>
        <v>0.14285714285714285</v>
      </c>
      <c r="H42" s="49">
        <f>AVERAGE('19.08 Bukaya-Kampala'!H42,'20.08 Bukaya-Kampala'!H42,'21.08 Bukaya-Kampala'!H42,'22.08 Bukaya-Kampala'!H42,'23.08 Bukaya-Kampala-24h'!H42,'24.08 Bukaya-Kampala-24h'!H42,'25.08 Bukaya-Kampala'!H42)</f>
        <v>0</v>
      </c>
      <c r="I42" s="49">
        <f>AVERAGE('19.08 Bukaya-Kampala'!I42,'20.08 Bukaya-Kampala'!I42,'21.08 Bukaya-Kampala'!I42,'22.08 Bukaya-Kampala'!I42,'23.08 Bukaya-Kampala-24h'!I42,'24.08 Bukaya-Kampala-24h'!I42,'25.08 Bukaya-Kampala'!I42)</f>
        <v>2.8571428571428572</v>
      </c>
      <c r="J42" s="49">
        <f>AVERAGE('19.08 Bukaya-Kampala'!J42,'20.08 Bukaya-Kampala'!J42,'21.08 Bukaya-Kampala'!J42,'22.08 Bukaya-Kampala'!J42,'23.08 Bukaya-Kampala-24h'!J42,'24.08 Bukaya-Kampala-24h'!J42,'25.08 Bukaya-Kampala'!J42)</f>
        <v>0</v>
      </c>
      <c r="K42" s="49">
        <f>AVERAGE('19.08 Bukaya-Kampala'!K42,'20.08 Bukaya-Kampala'!K42,'21.08 Bukaya-Kampala'!K42,'22.08 Bukaya-Kampala'!K42,'23.08 Bukaya-Kampala-24h'!K42,'24.08 Bukaya-Kampala-24h'!K42,'25.08 Bukaya-Kampala'!K42)</f>
        <v>0.14285714285714285</v>
      </c>
      <c r="L42" s="49">
        <f>AVERAGE('19.08 Bukaya-Kampala'!L42,'20.08 Bukaya-Kampala'!L42,'21.08 Bukaya-Kampala'!L42,'22.08 Bukaya-Kampala'!L42,'23.08 Bukaya-Kampala-24h'!L42,'24.08 Bukaya-Kampala-24h'!L42,'25.08 Bukaya-Kampala'!L42)</f>
        <v>0</v>
      </c>
      <c r="M42" s="49">
        <f>AVERAGE('19.08 Bukaya-Kampala'!M42,'20.08 Bukaya-Kampala'!M42,'21.08 Bukaya-Kampala'!M42,'22.08 Bukaya-Kampala'!M42,'23.08 Bukaya-Kampala-24h'!M42,'24.08 Bukaya-Kampala-24h'!M42,'25.08 Bukaya-Kampala'!M42)</f>
        <v>19.714285714285715</v>
      </c>
      <c r="N42" s="49">
        <f>AVERAGE('19.08 Bukaya-Kampala'!N42,'20.08 Bukaya-Kampala'!N42,'21.08 Bukaya-Kampala'!N42,'22.08 Bukaya-Kampala'!N42,'23.08 Bukaya-Kampala-24h'!N42,'24.08 Bukaya-Kampala-24h'!N42,'25.08 Bukaya-Kampala'!N42)</f>
        <v>0</v>
      </c>
      <c r="O42" s="15">
        <f t="shared" si="0"/>
        <v>11.714285714285714</v>
      </c>
      <c r="P42" s="15">
        <f t="shared" si="1"/>
        <v>31.428571428571431</v>
      </c>
      <c r="R42" s="5" t="s">
        <v>160</v>
      </c>
      <c r="S42" s="48">
        <f>S41/S40</f>
        <v>1.590142671854734</v>
      </c>
      <c r="T42" s="48" t="e">
        <f t="shared" ref="T42:AF42" si="34">T41/T40</f>
        <v>#DIV/0!</v>
      </c>
      <c r="U42" s="48">
        <f t="shared" si="34"/>
        <v>1.4994337485843714</v>
      </c>
      <c r="V42" s="48">
        <f t="shared" si="34"/>
        <v>1.5215231788079471</v>
      </c>
      <c r="W42" s="48">
        <f t="shared" si="34"/>
        <v>1.7</v>
      </c>
      <c r="X42" s="48">
        <f t="shared" si="34"/>
        <v>4.5</v>
      </c>
      <c r="Y42" s="48">
        <f t="shared" si="34"/>
        <v>1.8136272545090182</v>
      </c>
      <c r="Z42" s="48">
        <f t="shared" si="34"/>
        <v>1.8235294117647061</v>
      </c>
      <c r="AA42" s="48">
        <f t="shared" si="34"/>
        <v>2.024390243902439</v>
      </c>
      <c r="AB42" s="48">
        <f t="shared" si="34"/>
        <v>1</v>
      </c>
      <c r="AC42" s="48">
        <f t="shared" si="34"/>
        <v>1.1929473360024641</v>
      </c>
      <c r="AD42" s="48">
        <f t="shared" si="34"/>
        <v>1</v>
      </c>
      <c r="AE42" s="53">
        <f t="shared" si="34"/>
        <v>1.6066666666666667</v>
      </c>
      <c r="AF42" s="53">
        <f t="shared" si="34"/>
        <v>1.4521886952826177</v>
      </c>
    </row>
    <row r="43" spans="2:32" ht="23.1" customHeight="1" x14ac:dyDescent="0.25">
      <c r="B43" s="23" t="s">
        <v>70</v>
      </c>
      <c r="C43" s="49">
        <f>AVERAGE('19.08 Bukaya-Kampala'!C43,'20.08 Bukaya-Kampala'!C43,'21.08 Bukaya-Kampala'!C43,'22.08 Bukaya-Kampala'!C43,'23.08 Bukaya-Kampala-24h'!C43,'24.08 Bukaya-Kampala-24h'!C43,'25.08 Bukaya-Kampala'!C43)</f>
        <v>3</v>
      </c>
      <c r="D43" s="49">
        <f>AVERAGE('19.08 Bukaya-Kampala'!D43,'20.08 Bukaya-Kampala'!D43,'21.08 Bukaya-Kampala'!D43,'22.08 Bukaya-Kampala'!D43,'23.08 Bukaya-Kampala-24h'!D43,'24.08 Bukaya-Kampala-24h'!D43,'25.08 Bukaya-Kampala'!D43)</f>
        <v>0</v>
      </c>
      <c r="E43" s="49">
        <f>AVERAGE('19.08 Bukaya-Kampala'!E43,'20.08 Bukaya-Kampala'!E43,'21.08 Bukaya-Kampala'!E43,'22.08 Bukaya-Kampala'!E43,'23.08 Bukaya-Kampala-24h'!E43,'24.08 Bukaya-Kampala-24h'!E43,'25.08 Bukaya-Kampala'!E43)</f>
        <v>3.8571428571428572</v>
      </c>
      <c r="F43" s="49">
        <f>AVERAGE('19.08 Bukaya-Kampala'!F43,'20.08 Bukaya-Kampala'!F43,'21.08 Bukaya-Kampala'!F43,'22.08 Bukaya-Kampala'!F43,'23.08 Bukaya-Kampala-24h'!F43,'24.08 Bukaya-Kampala-24h'!F43,'25.08 Bukaya-Kampala'!F43)</f>
        <v>1.8571428571428572</v>
      </c>
      <c r="G43" s="49">
        <f>AVERAGE('19.08 Bukaya-Kampala'!G43,'20.08 Bukaya-Kampala'!G43,'21.08 Bukaya-Kampala'!G43,'22.08 Bukaya-Kampala'!G43,'23.08 Bukaya-Kampala-24h'!G43,'24.08 Bukaya-Kampala-24h'!G43,'25.08 Bukaya-Kampala'!G43)</f>
        <v>0.14285714285714285</v>
      </c>
      <c r="H43" s="49">
        <f>AVERAGE('19.08 Bukaya-Kampala'!H43,'20.08 Bukaya-Kampala'!H43,'21.08 Bukaya-Kampala'!H43,'22.08 Bukaya-Kampala'!H43,'23.08 Bukaya-Kampala-24h'!H43,'24.08 Bukaya-Kampala-24h'!H43,'25.08 Bukaya-Kampala'!H43)</f>
        <v>0</v>
      </c>
      <c r="I43" s="49">
        <f>AVERAGE('19.08 Bukaya-Kampala'!I43,'20.08 Bukaya-Kampala'!I43,'21.08 Bukaya-Kampala'!I43,'22.08 Bukaya-Kampala'!I43,'23.08 Bukaya-Kampala-24h'!I43,'24.08 Bukaya-Kampala-24h'!I43,'25.08 Bukaya-Kampala'!I43)</f>
        <v>3.1428571428571428</v>
      </c>
      <c r="J43" s="49">
        <f>AVERAGE('19.08 Bukaya-Kampala'!J43,'20.08 Bukaya-Kampala'!J43,'21.08 Bukaya-Kampala'!J43,'22.08 Bukaya-Kampala'!J43,'23.08 Bukaya-Kampala-24h'!J43,'24.08 Bukaya-Kampala-24h'!J43,'25.08 Bukaya-Kampala'!J43)</f>
        <v>0.14285714285714285</v>
      </c>
      <c r="K43" s="49">
        <f>AVERAGE('19.08 Bukaya-Kampala'!K43,'20.08 Bukaya-Kampala'!K43,'21.08 Bukaya-Kampala'!K43,'22.08 Bukaya-Kampala'!K43,'23.08 Bukaya-Kampala-24h'!K43,'24.08 Bukaya-Kampala-24h'!K43,'25.08 Bukaya-Kampala'!K43)</f>
        <v>0.14285714285714285</v>
      </c>
      <c r="L43" s="49">
        <f>AVERAGE('19.08 Bukaya-Kampala'!L43,'20.08 Bukaya-Kampala'!L43,'21.08 Bukaya-Kampala'!L43,'22.08 Bukaya-Kampala'!L43,'23.08 Bukaya-Kampala-24h'!L43,'24.08 Bukaya-Kampala-24h'!L43,'25.08 Bukaya-Kampala'!L43)</f>
        <v>0</v>
      </c>
      <c r="M43" s="49">
        <f>AVERAGE('19.08 Bukaya-Kampala'!M43,'20.08 Bukaya-Kampala'!M43,'21.08 Bukaya-Kampala'!M43,'22.08 Bukaya-Kampala'!M43,'23.08 Bukaya-Kampala-24h'!M43,'24.08 Bukaya-Kampala-24h'!M43,'25.08 Bukaya-Kampala'!M43)</f>
        <v>20.571428571428573</v>
      </c>
      <c r="N43" s="49">
        <f>AVERAGE('19.08 Bukaya-Kampala'!N43,'20.08 Bukaya-Kampala'!N43,'21.08 Bukaya-Kampala'!N43,'22.08 Bukaya-Kampala'!N43,'23.08 Bukaya-Kampala-24h'!N43,'24.08 Bukaya-Kampala-24h'!N43,'25.08 Bukaya-Kampala'!N43)</f>
        <v>0</v>
      </c>
      <c r="O43" s="15">
        <f t="shared" si="0"/>
        <v>12.285714285714285</v>
      </c>
      <c r="P43" s="15">
        <f t="shared" si="1"/>
        <v>32.857142857142861</v>
      </c>
    </row>
    <row r="44" spans="2:32" ht="23.1" customHeight="1" x14ac:dyDescent="0.25">
      <c r="B44" s="25" t="s">
        <v>71</v>
      </c>
      <c r="C44" s="49">
        <f>AVERAGE('19.08 Bukaya-Kampala'!C44,'20.08 Bukaya-Kampala'!C44,'21.08 Bukaya-Kampala'!C44,'22.08 Bukaya-Kampala'!C44,'23.08 Bukaya-Kampala-24h'!C44,'24.08 Bukaya-Kampala-24h'!C44,'25.08 Bukaya-Kampala'!C44)</f>
        <v>3</v>
      </c>
      <c r="D44" s="49">
        <f>AVERAGE('19.08 Bukaya-Kampala'!D44,'20.08 Bukaya-Kampala'!D44,'21.08 Bukaya-Kampala'!D44,'22.08 Bukaya-Kampala'!D44,'23.08 Bukaya-Kampala-24h'!D44,'24.08 Bukaya-Kampala-24h'!D44,'25.08 Bukaya-Kampala'!D44)</f>
        <v>0</v>
      </c>
      <c r="E44" s="49">
        <f>AVERAGE('19.08 Bukaya-Kampala'!E44,'20.08 Bukaya-Kampala'!E44,'21.08 Bukaya-Kampala'!E44,'22.08 Bukaya-Kampala'!E44,'23.08 Bukaya-Kampala-24h'!E44,'24.08 Bukaya-Kampala-24h'!E44,'25.08 Bukaya-Kampala'!E44)</f>
        <v>3.4285714285714284</v>
      </c>
      <c r="F44" s="49">
        <f>AVERAGE('19.08 Bukaya-Kampala'!F44,'20.08 Bukaya-Kampala'!F44,'21.08 Bukaya-Kampala'!F44,'22.08 Bukaya-Kampala'!F44,'23.08 Bukaya-Kampala-24h'!F44,'24.08 Bukaya-Kampala-24h'!F44,'25.08 Bukaya-Kampala'!F44)</f>
        <v>1.8571428571428572</v>
      </c>
      <c r="G44" s="49">
        <f>AVERAGE('19.08 Bukaya-Kampala'!G44,'20.08 Bukaya-Kampala'!G44,'21.08 Bukaya-Kampala'!G44,'22.08 Bukaya-Kampala'!G44,'23.08 Bukaya-Kampala-24h'!G44,'24.08 Bukaya-Kampala-24h'!G44,'25.08 Bukaya-Kampala'!G44)</f>
        <v>0.14285714285714285</v>
      </c>
      <c r="H44" s="49">
        <f>AVERAGE('19.08 Bukaya-Kampala'!H44,'20.08 Bukaya-Kampala'!H44,'21.08 Bukaya-Kampala'!H44,'22.08 Bukaya-Kampala'!H44,'23.08 Bukaya-Kampala-24h'!H44,'24.08 Bukaya-Kampala-24h'!H44,'25.08 Bukaya-Kampala'!H44)</f>
        <v>0</v>
      </c>
      <c r="I44" s="49">
        <f>AVERAGE('19.08 Bukaya-Kampala'!I44,'20.08 Bukaya-Kampala'!I44,'21.08 Bukaya-Kampala'!I44,'22.08 Bukaya-Kampala'!I44,'23.08 Bukaya-Kampala-24h'!I44,'24.08 Bukaya-Kampala-24h'!I44,'25.08 Bukaya-Kampala'!I44)</f>
        <v>2.1428571428571428</v>
      </c>
      <c r="J44" s="49">
        <f>AVERAGE('19.08 Bukaya-Kampala'!J44,'20.08 Bukaya-Kampala'!J44,'21.08 Bukaya-Kampala'!J44,'22.08 Bukaya-Kampala'!J44,'23.08 Bukaya-Kampala-24h'!J44,'24.08 Bukaya-Kampala-24h'!J44,'25.08 Bukaya-Kampala'!J44)</f>
        <v>0</v>
      </c>
      <c r="K44" s="49">
        <f>AVERAGE('19.08 Bukaya-Kampala'!K44,'20.08 Bukaya-Kampala'!K44,'21.08 Bukaya-Kampala'!K44,'22.08 Bukaya-Kampala'!K44,'23.08 Bukaya-Kampala-24h'!K44,'24.08 Bukaya-Kampala-24h'!K44,'25.08 Bukaya-Kampala'!K44)</f>
        <v>0</v>
      </c>
      <c r="L44" s="49">
        <f>AVERAGE('19.08 Bukaya-Kampala'!L44,'20.08 Bukaya-Kampala'!L44,'21.08 Bukaya-Kampala'!L44,'22.08 Bukaya-Kampala'!L44,'23.08 Bukaya-Kampala-24h'!L44,'24.08 Bukaya-Kampala-24h'!L44,'25.08 Bukaya-Kampala'!L44)</f>
        <v>0</v>
      </c>
      <c r="M44" s="49">
        <f>AVERAGE('19.08 Bukaya-Kampala'!M44,'20.08 Bukaya-Kampala'!M44,'21.08 Bukaya-Kampala'!M44,'22.08 Bukaya-Kampala'!M44,'23.08 Bukaya-Kampala-24h'!M44,'24.08 Bukaya-Kampala-24h'!M44,'25.08 Bukaya-Kampala'!M44)</f>
        <v>21.285714285714285</v>
      </c>
      <c r="N44" s="49">
        <f>AVERAGE('19.08 Bukaya-Kampala'!N44,'20.08 Bukaya-Kampala'!N44,'21.08 Bukaya-Kampala'!N44,'22.08 Bukaya-Kampala'!N44,'23.08 Bukaya-Kampala-24h'!N44,'24.08 Bukaya-Kampala-24h'!N44,'25.08 Bukaya-Kampala'!N44)</f>
        <v>0</v>
      </c>
      <c r="O44" s="15">
        <f t="shared" si="0"/>
        <v>10.571428571428571</v>
      </c>
      <c r="P44" s="15">
        <f t="shared" si="1"/>
        <v>31.857142857142854</v>
      </c>
    </row>
    <row r="45" spans="2:32" ht="23.1" customHeight="1" x14ac:dyDescent="0.25">
      <c r="B45" s="23" t="s">
        <v>72</v>
      </c>
      <c r="C45" s="49">
        <f>AVERAGE('19.08 Bukaya-Kampala'!C45,'20.08 Bukaya-Kampala'!C45,'21.08 Bukaya-Kampala'!C45,'22.08 Bukaya-Kampala'!C45,'23.08 Bukaya-Kampala-24h'!C45,'24.08 Bukaya-Kampala-24h'!C45,'25.08 Bukaya-Kampala'!C45)</f>
        <v>2.5714285714285716</v>
      </c>
      <c r="D45" s="49">
        <f>AVERAGE('19.08 Bukaya-Kampala'!D45,'20.08 Bukaya-Kampala'!D45,'21.08 Bukaya-Kampala'!D45,'22.08 Bukaya-Kampala'!D45,'23.08 Bukaya-Kampala-24h'!D45,'24.08 Bukaya-Kampala-24h'!D45,'25.08 Bukaya-Kampala'!D45)</f>
        <v>0</v>
      </c>
      <c r="E45" s="49">
        <f>AVERAGE('19.08 Bukaya-Kampala'!E45,'20.08 Bukaya-Kampala'!E45,'21.08 Bukaya-Kampala'!E45,'22.08 Bukaya-Kampala'!E45,'23.08 Bukaya-Kampala-24h'!E45,'24.08 Bukaya-Kampala-24h'!E45,'25.08 Bukaya-Kampala'!E45)</f>
        <v>4.1428571428571432</v>
      </c>
      <c r="F45" s="49">
        <f>AVERAGE('19.08 Bukaya-Kampala'!F45,'20.08 Bukaya-Kampala'!F45,'21.08 Bukaya-Kampala'!F45,'22.08 Bukaya-Kampala'!F45,'23.08 Bukaya-Kampala-24h'!F45,'24.08 Bukaya-Kampala-24h'!F45,'25.08 Bukaya-Kampala'!F45)</f>
        <v>2</v>
      </c>
      <c r="G45" s="49">
        <f>AVERAGE('19.08 Bukaya-Kampala'!G45,'20.08 Bukaya-Kampala'!G45,'21.08 Bukaya-Kampala'!G45,'22.08 Bukaya-Kampala'!G45,'23.08 Bukaya-Kampala-24h'!G45,'24.08 Bukaya-Kampala-24h'!G45,'25.08 Bukaya-Kampala'!G45)</f>
        <v>0</v>
      </c>
      <c r="H45" s="49">
        <f>AVERAGE('19.08 Bukaya-Kampala'!H45,'20.08 Bukaya-Kampala'!H45,'21.08 Bukaya-Kampala'!H45,'22.08 Bukaya-Kampala'!H45,'23.08 Bukaya-Kampala-24h'!H45,'24.08 Bukaya-Kampala-24h'!H45,'25.08 Bukaya-Kampala'!H45)</f>
        <v>0</v>
      </c>
      <c r="I45" s="49">
        <f>AVERAGE('19.08 Bukaya-Kampala'!I45,'20.08 Bukaya-Kampala'!I45,'21.08 Bukaya-Kampala'!I45,'22.08 Bukaya-Kampala'!I45,'23.08 Bukaya-Kampala-24h'!I45,'24.08 Bukaya-Kampala-24h'!I45,'25.08 Bukaya-Kampala'!I45)</f>
        <v>1.8571428571428572</v>
      </c>
      <c r="J45" s="49">
        <f>AVERAGE('19.08 Bukaya-Kampala'!J45,'20.08 Bukaya-Kampala'!J45,'21.08 Bukaya-Kampala'!J45,'22.08 Bukaya-Kampala'!J45,'23.08 Bukaya-Kampala-24h'!J45,'24.08 Bukaya-Kampala-24h'!J45,'25.08 Bukaya-Kampala'!J45)</f>
        <v>0.2857142857142857</v>
      </c>
      <c r="K45" s="49">
        <f>AVERAGE('19.08 Bukaya-Kampala'!K45,'20.08 Bukaya-Kampala'!K45,'21.08 Bukaya-Kampala'!K45,'22.08 Bukaya-Kampala'!K45,'23.08 Bukaya-Kampala-24h'!K45,'24.08 Bukaya-Kampala-24h'!K45,'25.08 Bukaya-Kampala'!K45)</f>
        <v>0.14285714285714285</v>
      </c>
      <c r="L45" s="49">
        <f>AVERAGE('19.08 Bukaya-Kampala'!L45,'20.08 Bukaya-Kampala'!L45,'21.08 Bukaya-Kampala'!L45,'22.08 Bukaya-Kampala'!L45,'23.08 Bukaya-Kampala-24h'!L45,'24.08 Bukaya-Kampala-24h'!L45,'25.08 Bukaya-Kampala'!L45)</f>
        <v>0</v>
      </c>
      <c r="M45" s="49">
        <f>AVERAGE('19.08 Bukaya-Kampala'!M45,'20.08 Bukaya-Kampala'!M45,'21.08 Bukaya-Kampala'!M45,'22.08 Bukaya-Kampala'!M45,'23.08 Bukaya-Kampala-24h'!M45,'24.08 Bukaya-Kampala-24h'!M45,'25.08 Bukaya-Kampala'!M45)</f>
        <v>19</v>
      </c>
      <c r="N45" s="49">
        <f>AVERAGE('19.08 Bukaya-Kampala'!N45,'20.08 Bukaya-Kampala'!N45,'21.08 Bukaya-Kampala'!N45,'22.08 Bukaya-Kampala'!N45,'23.08 Bukaya-Kampala-24h'!N45,'24.08 Bukaya-Kampala-24h'!N45,'25.08 Bukaya-Kampala'!N45)</f>
        <v>0</v>
      </c>
      <c r="O45" s="15">
        <f t="shared" si="0"/>
        <v>11.000000000000002</v>
      </c>
      <c r="P45" s="15">
        <f t="shared" si="1"/>
        <v>30</v>
      </c>
    </row>
    <row r="46" spans="2:32" ht="23.1" customHeight="1" x14ac:dyDescent="0.25">
      <c r="B46" s="24" t="s">
        <v>73</v>
      </c>
      <c r="C46" s="49">
        <f>AVERAGE('19.08 Bukaya-Kampala'!C46,'20.08 Bukaya-Kampala'!C46,'21.08 Bukaya-Kampala'!C46,'22.08 Bukaya-Kampala'!C46,'23.08 Bukaya-Kampala-24h'!C46,'24.08 Bukaya-Kampala-24h'!C46,'25.08 Bukaya-Kampala'!C46)</f>
        <v>2.1428571428571428</v>
      </c>
      <c r="D46" s="49">
        <f>AVERAGE('19.08 Bukaya-Kampala'!D46,'20.08 Bukaya-Kampala'!D46,'21.08 Bukaya-Kampala'!D46,'22.08 Bukaya-Kampala'!D46,'23.08 Bukaya-Kampala-24h'!D46,'24.08 Bukaya-Kampala-24h'!D46,'25.08 Bukaya-Kampala'!D46)</f>
        <v>0</v>
      </c>
      <c r="E46" s="49">
        <f>AVERAGE('19.08 Bukaya-Kampala'!E46,'20.08 Bukaya-Kampala'!E46,'21.08 Bukaya-Kampala'!E46,'22.08 Bukaya-Kampala'!E46,'23.08 Bukaya-Kampala-24h'!E46,'24.08 Bukaya-Kampala-24h'!E46,'25.08 Bukaya-Kampala'!E46)</f>
        <v>2.8571428571428572</v>
      </c>
      <c r="F46" s="49">
        <f>AVERAGE('19.08 Bukaya-Kampala'!F46,'20.08 Bukaya-Kampala'!F46,'21.08 Bukaya-Kampala'!F46,'22.08 Bukaya-Kampala'!F46,'23.08 Bukaya-Kampala-24h'!F46,'24.08 Bukaya-Kampala-24h'!F46,'25.08 Bukaya-Kampala'!F46)</f>
        <v>2</v>
      </c>
      <c r="G46" s="49">
        <f>AVERAGE('19.08 Bukaya-Kampala'!G46,'20.08 Bukaya-Kampala'!G46,'21.08 Bukaya-Kampala'!G46,'22.08 Bukaya-Kampala'!G46,'23.08 Bukaya-Kampala-24h'!G46,'24.08 Bukaya-Kampala-24h'!G46,'25.08 Bukaya-Kampala'!G46)</f>
        <v>0.14285714285714285</v>
      </c>
      <c r="H46" s="49">
        <f>AVERAGE('19.08 Bukaya-Kampala'!H46,'20.08 Bukaya-Kampala'!H46,'21.08 Bukaya-Kampala'!H46,'22.08 Bukaya-Kampala'!H46,'23.08 Bukaya-Kampala-24h'!H46,'24.08 Bukaya-Kampala-24h'!H46,'25.08 Bukaya-Kampala'!H46)</f>
        <v>0</v>
      </c>
      <c r="I46" s="49">
        <f>AVERAGE('19.08 Bukaya-Kampala'!I46,'20.08 Bukaya-Kampala'!I46,'21.08 Bukaya-Kampala'!I46,'22.08 Bukaya-Kampala'!I46,'23.08 Bukaya-Kampala-24h'!I46,'24.08 Bukaya-Kampala-24h'!I46,'25.08 Bukaya-Kampala'!I46)</f>
        <v>1.1428571428571428</v>
      </c>
      <c r="J46" s="49">
        <f>AVERAGE('19.08 Bukaya-Kampala'!J46,'20.08 Bukaya-Kampala'!J46,'21.08 Bukaya-Kampala'!J46,'22.08 Bukaya-Kampala'!J46,'23.08 Bukaya-Kampala-24h'!J46,'24.08 Bukaya-Kampala-24h'!J46,'25.08 Bukaya-Kampala'!J46)</f>
        <v>0.14285714285714285</v>
      </c>
      <c r="K46" s="49">
        <f>AVERAGE('19.08 Bukaya-Kampala'!K46,'20.08 Bukaya-Kampala'!K46,'21.08 Bukaya-Kampala'!K46,'22.08 Bukaya-Kampala'!K46,'23.08 Bukaya-Kampala-24h'!K46,'24.08 Bukaya-Kampala-24h'!K46,'25.08 Bukaya-Kampala'!K46)</f>
        <v>0.14285714285714285</v>
      </c>
      <c r="L46" s="49">
        <f>AVERAGE('19.08 Bukaya-Kampala'!L46,'20.08 Bukaya-Kampala'!L46,'21.08 Bukaya-Kampala'!L46,'22.08 Bukaya-Kampala'!L46,'23.08 Bukaya-Kampala-24h'!L46,'24.08 Bukaya-Kampala-24h'!L46,'25.08 Bukaya-Kampala'!L46)</f>
        <v>0</v>
      </c>
      <c r="M46" s="49">
        <f>AVERAGE('19.08 Bukaya-Kampala'!M46,'20.08 Bukaya-Kampala'!M46,'21.08 Bukaya-Kampala'!M46,'22.08 Bukaya-Kampala'!M46,'23.08 Bukaya-Kampala-24h'!M46,'24.08 Bukaya-Kampala-24h'!M46,'25.08 Bukaya-Kampala'!M46)</f>
        <v>22.714285714285715</v>
      </c>
      <c r="N46" s="49">
        <f>AVERAGE('19.08 Bukaya-Kampala'!N46,'20.08 Bukaya-Kampala'!N46,'21.08 Bukaya-Kampala'!N46,'22.08 Bukaya-Kampala'!N46,'23.08 Bukaya-Kampala-24h'!N46,'24.08 Bukaya-Kampala-24h'!N46,'25.08 Bukaya-Kampala'!N46)</f>
        <v>0</v>
      </c>
      <c r="O46" s="15">
        <f t="shared" si="0"/>
        <v>8.5714285714285712</v>
      </c>
      <c r="P46" s="15">
        <f t="shared" si="1"/>
        <v>31.285714285714285</v>
      </c>
      <c r="R46" s="8"/>
      <c r="T46"/>
    </row>
    <row r="47" spans="2:32" ht="23.1" customHeight="1" x14ac:dyDescent="0.25">
      <c r="B47" s="24" t="s">
        <v>74</v>
      </c>
      <c r="C47" s="49">
        <f>AVERAGE('19.08 Bukaya-Kampala'!C47,'20.08 Bukaya-Kampala'!C47,'21.08 Bukaya-Kampala'!C47,'22.08 Bukaya-Kampala'!C47,'23.08 Bukaya-Kampala-24h'!C47,'24.08 Bukaya-Kampala-24h'!C47,'25.08 Bukaya-Kampala'!C47)</f>
        <v>2.2857142857142856</v>
      </c>
      <c r="D47" s="49">
        <f>AVERAGE('19.08 Bukaya-Kampala'!D47,'20.08 Bukaya-Kampala'!D47,'21.08 Bukaya-Kampala'!D47,'22.08 Bukaya-Kampala'!D47,'23.08 Bukaya-Kampala-24h'!D47,'24.08 Bukaya-Kampala-24h'!D47,'25.08 Bukaya-Kampala'!D47)</f>
        <v>0</v>
      </c>
      <c r="E47" s="49">
        <f>AVERAGE('19.08 Bukaya-Kampala'!E47,'20.08 Bukaya-Kampala'!E47,'21.08 Bukaya-Kampala'!E47,'22.08 Bukaya-Kampala'!E47,'23.08 Bukaya-Kampala-24h'!E47,'24.08 Bukaya-Kampala-24h'!E47,'25.08 Bukaya-Kampala'!E47)</f>
        <v>4.5714285714285712</v>
      </c>
      <c r="F47" s="49">
        <f>AVERAGE('19.08 Bukaya-Kampala'!F47,'20.08 Bukaya-Kampala'!F47,'21.08 Bukaya-Kampala'!F47,'22.08 Bukaya-Kampala'!F47,'23.08 Bukaya-Kampala-24h'!F47,'24.08 Bukaya-Kampala-24h'!F47,'25.08 Bukaya-Kampala'!F47)</f>
        <v>1.5714285714285714</v>
      </c>
      <c r="G47" s="49">
        <f>AVERAGE('19.08 Bukaya-Kampala'!G47,'20.08 Bukaya-Kampala'!G47,'21.08 Bukaya-Kampala'!G47,'22.08 Bukaya-Kampala'!G47,'23.08 Bukaya-Kampala-24h'!G47,'24.08 Bukaya-Kampala-24h'!G47,'25.08 Bukaya-Kampala'!G47)</f>
        <v>0</v>
      </c>
      <c r="H47" s="49">
        <f>AVERAGE('19.08 Bukaya-Kampala'!H47,'20.08 Bukaya-Kampala'!H47,'21.08 Bukaya-Kampala'!H47,'22.08 Bukaya-Kampala'!H47,'23.08 Bukaya-Kampala-24h'!H47,'24.08 Bukaya-Kampala-24h'!H47,'25.08 Bukaya-Kampala'!H47)</f>
        <v>0</v>
      </c>
      <c r="I47" s="49">
        <f>AVERAGE('19.08 Bukaya-Kampala'!I47,'20.08 Bukaya-Kampala'!I47,'21.08 Bukaya-Kampala'!I47,'22.08 Bukaya-Kampala'!I47,'23.08 Bukaya-Kampala-24h'!I47,'24.08 Bukaya-Kampala-24h'!I47,'25.08 Bukaya-Kampala'!I47)</f>
        <v>2.5714285714285716</v>
      </c>
      <c r="J47" s="49">
        <f>AVERAGE('19.08 Bukaya-Kampala'!J47,'20.08 Bukaya-Kampala'!J47,'21.08 Bukaya-Kampala'!J47,'22.08 Bukaya-Kampala'!J47,'23.08 Bukaya-Kampala-24h'!J47,'24.08 Bukaya-Kampala-24h'!J47,'25.08 Bukaya-Kampala'!J47)</f>
        <v>0.14285714285714285</v>
      </c>
      <c r="K47" s="49">
        <f>AVERAGE('19.08 Bukaya-Kampala'!K47,'20.08 Bukaya-Kampala'!K47,'21.08 Bukaya-Kampala'!K47,'22.08 Bukaya-Kampala'!K47,'23.08 Bukaya-Kampala-24h'!K47,'24.08 Bukaya-Kampala-24h'!K47,'25.08 Bukaya-Kampala'!K47)</f>
        <v>0.5714285714285714</v>
      </c>
      <c r="L47" s="49">
        <f>AVERAGE('19.08 Bukaya-Kampala'!L47,'20.08 Bukaya-Kampala'!L47,'21.08 Bukaya-Kampala'!L47,'22.08 Bukaya-Kampala'!L47,'23.08 Bukaya-Kampala-24h'!L47,'24.08 Bukaya-Kampala-24h'!L47,'25.08 Bukaya-Kampala'!L47)</f>
        <v>0</v>
      </c>
      <c r="M47" s="49">
        <f>AVERAGE('19.08 Bukaya-Kampala'!M47,'20.08 Bukaya-Kampala'!M47,'21.08 Bukaya-Kampala'!M47,'22.08 Bukaya-Kampala'!M47,'23.08 Bukaya-Kampala-24h'!M47,'24.08 Bukaya-Kampala-24h'!M47,'25.08 Bukaya-Kampala'!M47)</f>
        <v>22.285714285714285</v>
      </c>
      <c r="N47" s="49">
        <f>AVERAGE('19.08 Bukaya-Kampala'!N47,'20.08 Bukaya-Kampala'!N47,'21.08 Bukaya-Kampala'!N47,'22.08 Bukaya-Kampala'!N47,'23.08 Bukaya-Kampala-24h'!N47,'24.08 Bukaya-Kampala-24h'!N47,'25.08 Bukaya-Kampala'!N47)</f>
        <v>0</v>
      </c>
      <c r="O47" s="15">
        <f t="shared" si="0"/>
        <v>11.714285714285714</v>
      </c>
      <c r="P47" s="15">
        <f t="shared" si="1"/>
        <v>34</v>
      </c>
      <c r="R47" s="8"/>
      <c r="T47"/>
    </row>
    <row r="48" spans="2:32" ht="23.1" customHeight="1" x14ac:dyDescent="0.25">
      <c r="B48" s="24" t="s">
        <v>75</v>
      </c>
      <c r="C48" s="49">
        <f>AVERAGE('19.08 Bukaya-Kampala'!C48,'20.08 Bukaya-Kampala'!C48,'21.08 Bukaya-Kampala'!C48,'22.08 Bukaya-Kampala'!C48,'23.08 Bukaya-Kampala-24h'!C48,'24.08 Bukaya-Kampala-24h'!C48,'25.08 Bukaya-Kampala'!C48)</f>
        <v>3.4285714285714284</v>
      </c>
      <c r="D48" s="49">
        <f>AVERAGE('19.08 Bukaya-Kampala'!D48,'20.08 Bukaya-Kampala'!D48,'21.08 Bukaya-Kampala'!D48,'22.08 Bukaya-Kampala'!D48,'23.08 Bukaya-Kampala-24h'!D48,'24.08 Bukaya-Kampala-24h'!D48,'25.08 Bukaya-Kampala'!D48)</f>
        <v>0</v>
      </c>
      <c r="E48" s="49">
        <f>AVERAGE('19.08 Bukaya-Kampala'!E48,'20.08 Bukaya-Kampala'!E48,'21.08 Bukaya-Kampala'!E48,'22.08 Bukaya-Kampala'!E48,'23.08 Bukaya-Kampala-24h'!E48,'24.08 Bukaya-Kampala-24h'!E48,'25.08 Bukaya-Kampala'!E48)</f>
        <v>4.8571428571428568</v>
      </c>
      <c r="F48" s="49">
        <f>AVERAGE('19.08 Bukaya-Kampala'!F48,'20.08 Bukaya-Kampala'!F48,'21.08 Bukaya-Kampala'!F48,'22.08 Bukaya-Kampala'!F48,'23.08 Bukaya-Kampala-24h'!F48,'24.08 Bukaya-Kampala-24h'!F48,'25.08 Bukaya-Kampala'!F48)</f>
        <v>3.5714285714285716</v>
      </c>
      <c r="G48" s="49">
        <f>AVERAGE('19.08 Bukaya-Kampala'!G48,'20.08 Bukaya-Kampala'!G48,'21.08 Bukaya-Kampala'!G48,'22.08 Bukaya-Kampala'!G48,'23.08 Bukaya-Kampala-24h'!G48,'24.08 Bukaya-Kampala-24h'!G48,'25.08 Bukaya-Kampala'!G48)</f>
        <v>0</v>
      </c>
      <c r="H48" s="49">
        <f>AVERAGE('19.08 Bukaya-Kampala'!H48,'20.08 Bukaya-Kampala'!H48,'21.08 Bukaya-Kampala'!H48,'22.08 Bukaya-Kampala'!H48,'23.08 Bukaya-Kampala-24h'!H48,'24.08 Bukaya-Kampala-24h'!H48,'25.08 Bukaya-Kampala'!H48)</f>
        <v>0</v>
      </c>
      <c r="I48" s="49">
        <f>AVERAGE('19.08 Bukaya-Kampala'!I48,'20.08 Bukaya-Kampala'!I48,'21.08 Bukaya-Kampala'!I48,'22.08 Bukaya-Kampala'!I48,'23.08 Bukaya-Kampala-24h'!I48,'24.08 Bukaya-Kampala-24h'!I48,'25.08 Bukaya-Kampala'!I48)</f>
        <v>2</v>
      </c>
      <c r="J48" s="49">
        <f>AVERAGE('19.08 Bukaya-Kampala'!J48,'20.08 Bukaya-Kampala'!J48,'21.08 Bukaya-Kampala'!J48,'22.08 Bukaya-Kampala'!J48,'23.08 Bukaya-Kampala-24h'!J48,'24.08 Bukaya-Kampala-24h'!J48,'25.08 Bukaya-Kampala'!J48)</f>
        <v>0</v>
      </c>
      <c r="K48" s="49">
        <f>AVERAGE('19.08 Bukaya-Kampala'!K48,'20.08 Bukaya-Kampala'!K48,'21.08 Bukaya-Kampala'!K48,'22.08 Bukaya-Kampala'!K48,'23.08 Bukaya-Kampala-24h'!K48,'24.08 Bukaya-Kampala-24h'!K48,'25.08 Bukaya-Kampala'!K48)</f>
        <v>0.14285714285714285</v>
      </c>
      <c r="L48" s="49">
        <f>AVERAGE('19.08 Bukaya-Kampala'!L48,'20.08 Bukaya-Kampala'!L48,'21.08 Bukaya-Kampala'!L48,'22.08 Bukaya-Kampala'!L48,'23.08 Bukaya-Kampala-24h'!L48,'24.08 Bukaya-Kampala-24h'!L48,'25.08 Bukaya-Kampala'!L48)</f>
        <v>0</v>
      </c>
      <c r="M48" s="49">
        <f>AVERAGE('19.08 Bukaya-Kampala'!M48,'20.08 Bukaya-Kampala'!M48,'21.08 Bukaya-Kampala'!M48,'22.08 Bukaya-Kampala'!M48,'23.08 Bukaya-Kampala-24h'!M48,'24.08 Bukaya-Kampala-24h'!M48,'25.08 Bukaya-Kampala'!M48)</f>
        <v>22.142857142857142</v>
      </c>
      <c r="N48" s="49">
        <f>AVERAGE('19.08 Bukaya-Kampala'!N48,'20.08 Bukaya-Kampala'!N48,'21.08 Bukaya-Kampala'!N48,'22.08 Bukaya-Kampala'!N48,'23.08 Bukaya-Kampala-24h'!N48,'24.08 Bukaya-Kampala-24h'!N48,'25.08 Bukaya-Kampala'!N48)</f>
        <v>0</v>
      </c>
      <c r="O48" s="15">
        <f t="shared" si="0"/>
        <v>13.999999999999998</v>
      </c>
      <c r="P48" s="15">
        <f t="shared" si="1"/>
        <v>36.142857142857139</v>
      </c>
      <c r="R48" s="8"/>
      <c r="T48"/>
    </row>
    <row r="49" spans="2:20" ht="23.1" customHeight="1" x14ac:dyDescent="0.25">
      <c r="B49" s="23" t="s">
        <v>76</v>
      </c>
      <c r="C49" s="49">
        <f>AVERAGE('19.08 Bukaya-Kampala'!C49,'20.08 Bukaya-Kampala'!C49,'21.08 Bukaya-Kampala'!C49,'22.08 Bukaya-Kampala'!C49,'23.08 Bukaya-Kampala-24h'!C49,'24.08 Bukaya-Kampala-24h'!C49,'25.08 Bukaya-Kampala'!C49)</f>
        <v>3.8571428571428572</v>
      </c>
      <c r="D49" s="49">
        <f>AVERAGE('19.08 Bukaya-Kampala'!D49,'20.08 Bukaya-Kampala'!D49,'21.08 Bukaya-Kampala'!D49,'22.08 Bukaya-Kampala'!D49,'23.08 Bukaya-Kampala-24h'!D49,'24.08 Bukaya-Kampala-24h'!D49,'25.08 Bukaya-Kampala'!D49)</f>
        <v>0</v>
      </c>
      <c r="E49" s="49">
        <f>AVERAGE('19.08 Bukaya-Kampala'!E49,'20.08 Bukaya-Kampala'!E49,'21.08 Bukaya-Kampala'!E49,'22.08 Bukaya-Kampala'!E49,'23.08 Bukaya-Kampala-24h'!E49,'24.08 Bukaya-Kampala-24h'!E49,'25.08 Bukaya-Kampala'!E49)</f>
        <v>3.4285714285714284</v>
      </c>
      <c r="F49" s="49">
        <f>AVERAGE('19.08 Bukaya-Kampala'!F49,'20.08 Bukaya-Kampala'!F49,'21.08 Bukaya-Kampala'!F49,'22.08 Bukaya-Kampala'!F49,'23.08 Bukaya-Kampala-24h'!F49,'24.08 Bukaya-Kampala-24h'!F49,'25.08 Bukaya-Kampala'!F49)</f>
        <v>2.4285714285714284</v>
      </c>
      <c r="G49" s="49">
        <f>AVERAGE('19.08 Bukaya-Kampala'!G49,'20.08 Bukaya-Kampala'!G49,'21.08 Bukaya-Kampala'!G49,'22.08 Bukaya-Kampala'!G49,'23.08 Bukaya-Kampala-24h'!G49,'24.08 Bukaya-Kampala-24h'!G49,'25.08 Bukaya-Kampala'!G49)</f>
        <v>0</v>
      </c>
      <c r="H49" s="49">
        <f>AVERAGE('19.08 Bukaya-Kampala'!H49,'20.08 Bukaya-Kampala'!H49,'21.08 Bukaya-Kampala'!H49,'22.08 Bukaya-Kampala'!H49,'23.08 Bukaya-Kampala-24h'!H49,'24.08 Bukaya-Kampala-24h'!H49,'25.08 Bukaya-Kampala'!H49)</f>
        <v>0</v>
      </c>
      <c r="I49" s="49">
        <f>AVERAGE('19.08 Bukaya-Kampala'!I49,'20.08 Bukaya-Kampala'!I49,'21.08 Bukaya-Kampala'!I49,'22.08 Bukaya-Kampala'!I49,'23.08 Bukaya-Kampala-24h'!I49,'24.08 Bukaya-Kampala-24h'!I49,'25.08 Bukaya-Kampala'!I49)</f>
        <v>2</v>
      </c>
      <c r="J49" s="49">
        <f>AVERAGE('19.08 Bukaya-Kampala'!J49,'20.08 Bukaya-Kampala'!J49,'21.08 Bukaya-Kampala'!J49,'22.08 Bukaya-Kampala'!J49,'23.08 Bukaya-Kampala-24h'!J49,'24.08 Bukaya-Kampala-24h'!J49,'25.08 Bukaya-Kampala'!J49)</f>
        <v>0</v>
      </c>
      <c r="K49" s="49">
        <f>AVERAGE('19.08 Bukaya-Kampala'!K49,'20.08 Bukaya-Kampala'!K49,'21.08 Bukaya-Kampala'!K49,'22.08 Bukaya-Kampala'!K49,'23.08 Bukaya-Kampala-24h'!K49,'24.08 Bukaya-Kampala-24h'!K49,'25.08 Bukaya-Kampala'!K49)</f>
        <v>0.14285714285714285</v>
      </c>
      <c r="L49" s="49">
        <f>AVERAGE('19.08 Bukaya-Kampala'!L49,'20.08 Bukaya-Kampala'!L49,'21.08 Bukaya-Kampala'!L49,'22.08 Bukaya-Kampala'!L49,'23.08 Bukaya-Kampala-24h'!L49,'24.08 Bukaya-Kampala-24h'!L49,'25.08 Bukaya-Kampala'!L49)</f>
        <v>0</v>
      </c>
      <c r="M49" s="49">
        <f>AVERAGE('19.08 Bukaya-Kampala'!M49,'20.08 Bukaya-Kampala'!M49,'21.08 Bukaya-Kampala'!M49,'22.08 Bukaya-Kampala'!M49,'23.08 Bukaya-Kampala-24h'!M49,'24.08 Bukaya-Kampala-24h'!M49,'25.08 Bukaya-Kampala'!M49)</f>
        <v>22.285714285714285</v>
      </c>
      <c r="N49" s="49">
        <f>AVERAGE('19.08 Bukaya-Kampala'!N49,'20.08 Bukaya-Kampala'!N49,'21.08 Bukaya-Kampala'!N49,'22.08 Bukaya-Kampala'!N49,'23.08 Bukaya-Kampala-24h'!N49,'24.08 Bukaya-Kampala-24h'!N49,'25.08 Bukaya-Kampala'!N49)</f>
        <v>0</v>
      </c>
      <c r="O49" s="15">
        <f t="shared" si="0"/>
        <v>11.857142857142856</v>
      </c>
      <c r="P49" s="15">
        <f t="shared" si="1"/>
        <v>34.142857142857139</v>
      </c>
      <c r="R49" s="8"/>
      <c r="T49"/>
    </row>
    <row r="50" spans="2:20" ht="23.1" customHeight="1" x14ac:dyDescent="0.25">
      <c r="B50" s="24" t="s">
        <v>77</v>
      </c>
      <c r="C50" s="49">
        <f>AVERAGE('19.08 Bukaya-Kampala'!C50,'20.08 Bukaya-Kampala'!C50,'21.08 Bukaya-Kampala'!C50,'22.08 Bukaya-Kampala'!C50,'23.08 Bukaya-Kampala-24h'!C50,'24.08 Bukaya-Kampala-24h'!C50,'25.08 Bukaya-Kampala'!C50)</f>
        <v>3.2857142857142856</v>
      </c>
      <c r="D50" s="49">
        <f>AVERAGE('19.08 Bukaya-Kampala'!D50,'20.08 Bukaya-Kampala'!D50,'21.08 Bukaya-Kampala'!D50,'22.08 Bukaya-Kampala'!D50,'23.08 Bukaya-Kampala-24h'!D50,'24.08 Bukaya-Kampala-24h'!D50,'25.08 Bukaya-Kampala'!D50)</f>
        <v>0</v>
      </c>
      <c r="E50" s="49">
        <f>AVERAGE('19.08 Bukaya-Kampala'!E50,'20.08 Bukaya-Kampala'!E50,'21.08 Bukaya-Kampala'!E50,'22.08 Bukaya-Kampala'!E50,'23.08 Bukaya-Kampala-24h'!E50,'24.08 Bukaya-Kampala-24h'!E50,'25.08 Bukaya-Kampala'!E50)</f>
        <v>5.4285714285714288</v>
      </c>
      <c r="F50" s="49">
        <f>AVERAGE('19.08 Bukaya-Kampala'!F50,'20.08 Bukaya-Kampala'!F50,'21.08 Bukaya-Kampala'!F50,'22.08 Bukaya-Kampala'!F50,'23.08 Bukaya-Kampala-24h'!F50,'24.08 Bukaya-Kampala-24h'!F50,'25.08 Bukaya-Kampala'!F50)</f>
        <v>2.8571428571428572</v>
      </c>
      <c r="G50" s="49">
        <f>AVERAGE('19.08 Bukaya-Kampala'!G50,'20.08 Bukaya-Kampala'!G50,'21.08 Bukaya-Kampala'!G50,'22.08 Bukaya-Kampala'!G50,'23.08 Bukaya-Kampala-24h'!G50,'24.08 Bukaya-Kampala-24h'!G50,'25.08 Bukaya-Kampala'!G50)</f>
        <v>0.5714285714285714</v>
      </c>
      <c r="H50" s="49">
        <f>AVERAGE('19.08 Bukaya-Kampala'!H50,'20.08 Bukaya-Kampala'!H50,'21.08 Bukaya-Kampala'!H50,'22.08 Bukaya-Kampala'!H50,'23.08 Bukaya-Kampala-24h'!H50,'24.08 Bukaya-Kampala-24h'!H50,'25.08 Bukaya-Kampala'!H50)</f>
        <v>0</v>
      </c>
      <c r="I50" s="49">
        <f>AVERAGE('19.08 Bukaya-Kampala'!I50,'20.08 Bukaya-Kampala'!I50,'21.08 Bukaya-Kampala'!I50,'22.08 Bukaya-Kampala'!I50,'23.08 Bukaya-Kampala-24h'!I50,'24.08 Bukaya-Kampala-24h'!I50,'25.08 Bukaya-Kampala'!I50)</f>
        <v>1.2857142857142858</v>
      </c>
      <c r="J50" s="49">
        <f>AVERAGE('19.08 Bukaya-Kampala'!J50,'20.08 Bukaya-Kampala'!J50,'21.08 Bukaya-Kampala'!J50,'22.08 Bukaya-Kampala'!J50,'23.08 Bukaya-Kampala-24h'!J50,'24.08 Bukaya-Kampala-24h'!J50,'25.08 Bukaya-Kampala'!J50)</f>
        <v>0</v>
      </c>
      <c r="K50" s="49">
        <f>AVERAGE('19.08 Bukaya-Kampala'!K50,'20.08 Bukaya-Kampala'!K50,'21.08 Bukaya-Kampala'!K50,'22.08 Bukaya-Kampala'!K50,'23.08 Bukaya-Kampala-24h'!K50,'24.08 Bukaya-Kampala-24h'!K50,'25.08 Bukaya-Kampala'!K50)</f>
        <v>0</v>
      </c>
      <c r="L50" s="49">
        <f>AVERAGE('19.08 Bukaya-Kampala'!L50,'20.08 Bukaya-Kampala'!L50,'21.08 Bukaya-Kampala'!L50,'22.08 Bukaya-Kampala'!L50,'23.08 Bukaya-Kampala-24h'!L50,'24.08 Bukaya-Kampala-24h'!L50,'25.08 Bukaya-Kampala'!L50)</f>
        <v>0</v>
      </c>
      <c r="M50" s="49">
        <f>AVERAGE('19.08 Bukaya-Kampala'!M50,'20.08 Bukaya-Kampala'!M50,'21.08 Bukaya-Kampala'!M50,'22.08 Bukaya-Kampala'!M50,'23.08 Bukaya-Kampala-24h'!M50,'24.08 Bukaya-Kampala-24h'!M50,'25.08 Bukaya-Kampala'!M50)</f>
        <v>23</v>
      </c>
      <c r="N50" s="49">
        <f>AVERAGE('19.08 Bukaya-Kampala'!N50,'20.08 Bukaya-Kampala'!N50,'21.08 Bukaya-Kampala'!N50,'22.08 Bukaya-Kampala'!N50,'23.08 Bukaya-Kampala-24h'!N50,'24.08 Bukaya-Kampala-24h'!N50,'25.08 Bukaya-Kampala'!N50)</f>
        <v>0</v>
      </c>
      <c r="O50" s="15">
        <f t="shared" si="0"/>
        <v>13.428571428571431</v>
      </c>
      <c r="P50" s="15">
        <f t="shared" si="1"/>
        <v>36.428571428571431</v>
      </c>
      <c r="R50" s="8"/>
      <c r="T50"/>
    </row>
    <row r="51" spans="2:20" ht="23.1" customHeight="1" x14ac:dyDescent="0.25">
      <c r="B51" s="24" t="s">
        <v>78</v>
      </c>
      <c r="C51" s="49">
        <f>AVERAGE('19.08 Bukaya-Kampala'!C51,'20.08 Bukaya-Kampala'!C51,'21.08 Bukaya-Kampala'!C51,'22.08 Bukaya-Kampala'!C51,'23.08 Bukaya-Kampala-24h'!C51,'24.08 Bukaya-Kampala-24h'!C51,'25.08 Bukaya-Kampala'!C51)</f>
        <v>5.5714285714285712</v>
      </c>
      <c r="D51" s="49">
        <f>AVERAGE('19.08 Bukaya-Kampala'!D51,'20.08 Bukaya-Kampala'!D51,'21.08 Bukaya-Kampala'!D51,'22.08 Bukaya-Kampala'!D51,'23.08 Bukaya-Kampala-24h'!D51,'24.08 Bukaya-Kampala-24h'!D51,'25.08 Bukaya-Kampala'!D51)</f>
        <v>0</v>
      </c>
      <c r="E51" s="49">
        <f>AVERAGE('19.08 Bukaya-Kampala'!E51,'20.08 Bukaya-Kampala'!E51,'21.08 Bukaya-Kampala'!E51,'22.08 Bukaya-Kampala'!E51,'23.08 Bukaya-Kampala-24h'!E51,'24.08 Bukaya-Kampala-24h'!E51,'25.08 Bukaya-Kampala'!E51)</f>
        <v>4.4285714285714288</v>
      </c>
      <c r="F51" s="49">
        <f>AVERAGE('19.08 Bukaya-Kampala'!F51,'20.08 Bukaya-Kampala'!F51,'21.08 Bukaya-Kampala'!F51,'22.08 Bukaya-Kampala'!F51,'23.08 Bukaya-Kampala-24h'!F51,'24.08 Bukaya-Kampala-24h'!F51,'25.08 Bukaya-Kampala'!F51)</f>
        <v>4.1428571428571432</v>
      </c>
      <c r="G51" s="49">
        <f>AVERAGE('19.08 Bukaya-Kampala'!G51,'20.08 Bukaya-Kampala'!G51,'21.08 Bukaya-Kampala'!G51,'22.08 Bukaya-Kampala'!G51,'23.08 Bukaya-Kampala-24h'!G51,'24.08 Bukaya-Kampala-24h'!G51,'25.08 Bukaya-Kampala'!G51)</f>
        <v>0.42857142857142855</v>
      </c>
      <c r="H51" s="49">
        <f>AVERAGE('19.08 Bukaya-Kampala'!H51,'20.08 Bukaya-Kampala'!H51,'21.08 Bukaya-Kampala'!H51,'22.08 Bukaya-Kampala'!H51,'23.08 Bukaya-Kampala-24h'!H51,'24.08 Bukaya-Kampala-24h'!H51,'25.08 Bukaya-Kampala'!H51)</f>
        <v>0</v>
      </c>
      <c r="I51" s="49">
        <f>AVERAGE('19.08 Bukaya-Kampala'!I51,'20.08 Bukaya-Kampala'!I51,'21.08 Bukaya-Kampala'!I51,'22.08 Bukaya-Kampala'!I51,'23.08 Bukaya-Kampala-24h'!I51,'24.08 Bukaya-Kampala-24h'!I51,'25.08 Bukaya-Kampala'!I51)</f>
        <v>1.5714285714285714</v>
      </c>
      <c r="J51" s="49">
        <f>AVERAGE('19.08 Bukaya-Kampala'!J51,'20.08 Bukaya-Kampala'!J51,'21.08 Bukaya-Kampala'!J51,'22.08 Bukaya-Kampala'!J51,'23.08 Bukaya-Kampala-24h'!J51,'24.08 Bukaya-Kampala-24h'!J51,'25.08 Bukaya-Kampala'!J51)</f>
        <v>0.14285714285714285</v>
      </c>
      <c r="K51" s="49">
        <f>AVERAGE('19.08 Bukaya-Kampala'!K51,'20.08 Bukaya-Kampala'!K51,'21.08 Bukaya-Kampala'!K51,'22.08 Bukaya-Kampala'!K51,'23.08 Bukaya-Kampala-24h'!K51,'24.08 Bukaya-Kampala-24h'!K51,'25.08 Bukaya-Kampala'!K51)</f>
        <v>0.14285714285714285</v>
      </c>
      <c r="L51" s="49">
        <f>AVERAGE('19.08 Bukaya-Kampala'!L51,'20.08 Bukaya-Kampala'!L51,'21.08 Bukaya-Kampala'!L51,'22.08 Bukaya-Kampala'!L51,'23.08 Bukaya-Kampala-24h'!L51,'24.08 Bukaya-Kampala-24h'!L51,'25.08 Bukaya-Kampala'!L51)</f>
        <v>0</v>
      </c>
      <c r="M51" s="49">
        <f>AVERAGE('19.08 Bukaya-Kampala'!M51,'20.08 Bukaya-Kampala'!M51,'21.08 Bukaya-Kampala'!M51,'22.08 Bukaya-Kampala'!M51,'23.08 Bukaya-Kampala-24h'!M51,'24.08 Bukaya-Kampala-24h'!M51,'25.08 Bukaya-Kampala'!M51)</f>
        <v>23.142857142857142</v>
      </c>
      <c r="N51" s="49">
        <f>AVERAGE('19.08 Bukaya-Kampala'!N51,'20.08 Bukaya-Kampala'!N51,'21.08 Bukaya-Kampala'!N51,'22.08 Bukaya-Kampala'!N51,'23.08 Bukaya-Kampala-24h'!N51,'24.08 Bukaya-Kampala-24h'!N51,'25.08 Bukaya-Kampala'!N51)</f>
        <v>0</v>
      </c>
      <c r="O51" s="15">
        <f t="shared" si="0"/>
        <v>16.428571428571427</v>
      </c>
      <c r="P51" s="15">
        <f t="shared" si="1"/>
        <v>39.571428571428569</v>
      </c>
      <c r="R51" s="8"/>
      <c r="T51"/>
    </row>
    <row r="52" spans="2:20" ht="23.1" customHeight="1" x14ac:dyDescent="0.25">
      <c r="B52" s="24" t="s">
        <v>79</v>
      </c>
      <c r="C52" s="49">
        <f>AVERAGE('19.08 Bukaya-Kampala'!C52,'20.08 Bukaya-Kampala'!C52,'21.08 Bukaya-Kampala'!C52,'22.08 Bukaya-Kampala'!C52,'23.08 Bukaya-Kampala-24h'!C52,'24.08 Bukaya-Kampala-24h'!C52,'25.08 Bukaya-Kampala'!C52)</f>
        <v>6.1428571428571432</v>
      </c>
      <c r="D52" s="49">
        <f>AVERAGE('19.08 Bukaya-Kampala'!D52,'20.08 Bukaya-Kampala'!D52,'21.08 Bukaya-Kampala'!D52,'22.08 Bukaya-Kampala'!D52,'23.08 Bukaya-Kampala-24h'!D52,'24.08 Bukaya-Kampala-24h'!D52,'25.08 Bukaya-Kampala'!D52)</f>
        <v>0</v>
      </c>
      <c r="E52" s="49">
        <f>AVERAGE('19.08 Bukaya-Kampala'!E52,'20.08 Bukaya-Kampala'!E52,'21.08 Bukaya-Kampala'!E52,'22.08 Bukaya-Kampala'!E52,'23.08 Bukaya-Kampala-24h'!E52,'24.08 Bukaya-Kampala-24h'!E52,'25.08 Bukaya-Kampala'!E52)</f>
        <v>5.7142857142857144</v>
      </c>
      <c r="F52" s="49">
        <f>AVERAGE('19.08 Bukaya-Kampala'!F52,'20.08 Bukaya-Kampala'!F52,'21.08 Bukaya-Kampala'!F52,'22.08 Bukaya-Kampala'!F52,'23.08 Bukaya-Kampala-24h'!F52,'24.08 Bukaya-Kampala-24h'!F52,'25.08 Bukaya-Kampala'!F52)</f>
        <v>2.7142857142857144</v>
      </c>
      <c r="G52" s="49">
        <f>AVERAGE('19.08 Bukaya-Kampala'!G52,'20.08 Bukaya-Kampala'!G52,'21.08 Bukaya-Kampala'!G52,'22.08 Bukaya-Kampala'!G52,'23.08 Bukaya-Kampala-24h'!G52,'24.08 Bukaya-Kampala-24h'!G52,'25.08 Bukaya-Kampala'!G52)</f>
        <v>0.2857142857142857</v>
      </c>
      <c r="H52" s="49">
        <f>AVERAGE('19.08 Bukaya-Kampala'!H52,'20.08 Bukaya-Kampala'!H52,'21.08 Bukaya-Kampala'!H52,'22.08 Bukaya-Kampala'!H52,'23.08 Bukaya-Kampala-24h'!H52,'24.08 Bukaya-Kampala-24h'!H52,'25.08 Bukaya-Kampala'!H52)</f>
        <v>0</v>
      </c>
      <c r="I52" s="49">
        <f>AVERAGE('19.08 Bukaya-Kampala'!I52,'20.08 Bukaya-Kampala'!I52,'21.08 Bukaya-Kampala'!I52,'22.08 Bukaya-Kampala'!I52,'23.08 Bukaya-Kampala-24h'!I52,'24.08 Bukaya-Kampala-24h'!I52,'25.08 Bukaya-Kampala'!I52)</f>
        <v>2.1428571428571428</v>
      </c>
      <c r="J52" s="49">
        <f>AVERAGE('19.08 Bukaya-Kampala'!J52,'20.08 Bukaya-Kampala'!J52,'21.08 Bukaya-Kampala'!J52,'22.08 Bukaya-Kampala'!J52,'23.08 Bukaya-Kampala-24h'!J52,'24.08 Bukaya-Kampala-24h'!J52,'25.08 Bukaya-Kampala'!J52)</f>
        <v>0</v>
      </c>
      <c r="K52" s="49">
        <f>AVERAGE('19.08 Bukaya-Kampala'!K52,'20.08 Bukaya-Kampala'!K52,'21.08 Bukaya-Kampala'!K52,'22.08 Bukaya-Kampala'!K52,'23.08 Bukaya-Kampala-24h'!K52,'24.08 Bukaya-Kampala-24h'!K52,'25.08 Bukaya-Kampala'!K52)</f>
        <v>0.2857142857142857</v>
      </c>
      <c r="L52" s="49">
        <f>AVERAGE('19.08 Bukaya-Kampala'!L52,'20.08 Bukaya-Kampala'!L52,'21.08 Bukaya-Kampala'!L52,'22.08 Bukaya-Kampala'!L52,'23.08 Bukaya-Kampala-24h'!L52,'24.08 Bukaya-Kampala-24h'!L52,'25.08 Bukaya-Kampala'!L52)</f>
        <v>0.14285714285714285</v>
      </c>
      <c r="M52" s="49">
        <f>AVERAGE('19.08 Bukaya-Kampala'!M52,'20.08 Bukaya-Kampala'!M52,'21.08 Bukaya-Kampala'!M52,'22.08 Bukaya-Kampala'!M52,'23.08 Bukaya-Kampala-24h'!M52,'24.08 Bukaya-Kampala-24h'!M52,'25.08 Bukaya-Kampala'!M52)</f>
        <v>22.142857142857142</v>
      </c>
      <c r="N52" s="49">
        <f>AVERAGE('19.08 Bukaya-Kampala'!N52,'20.08 Bukaya-Kampala'!N52,'21.08 Bukaya-Kampala'!N52,'22.08 Bukaya-Kampala'!N52,'23.08 Bukaya-Kampala-24h'!N52,'24.08 Bukaya-Kampala-24h'!N52,'25.08 Bukaya-Kampala'!N52)</f>
        <v>0</v>
      </c>
      <c r="O52" s="15">
        <f t="shared" si="0"/>
        <v>17.428571428571431</v>
      </c>
      <c r="P52" s="15">
        <f t="shared" si="1"/>
        <v>39.571428571428569</v>
      </c>
      <c r="R52" s="8"/>
      <c r="T52"/>
    </row>
    <row r="53" spans="2:20" ht="23.1" customHeight="1" x14ac:dyDescent="0.25">
      <c r="B53" s="23" t="s">
        <v>80</v>
      </c>
      <c r="C53" s="49">
        <f>AVERAGE('19.08 Bukaya-Kampala'!C53,'20.08 Bukaya-Kampala'!C53,'21.08 Bukaya-Kampala'!C53,'22.08 Bukaya-Kampala'!C53,'23.08 Bukaya-Kampala-24h'!C53,'24.08 Bukaya-Kampala-24h'!C53,'25.08 Bukaya-Kampala'!C53)</f>
        <v>4.2857142857142856</v>
      </c>
      <c r="D53" s="49">
        <f>AVERAGE('19.08 Bukaya-Kampala'!D53,'20.08 Bukaya-Kampala'!D53,'21.08 Bukaya-Kampala'!D53,'22.08 Bukaya-Kampala'!D53,'23.08 Bukaya-Kampala-24h'!D53,'24.08 Bukaya-Kampala-24h'!D53,'25.08 Bukaya-Kampala'!D53)</f>
        <v>0</v>
      </c>
      <c r="E53" s="49">
        <f>AVERAGE('19.08 Bukaya-Kampala'!E53,'20.08 Bukaya-Kampala'!E53,'21.08 Bukaya-Kampala'!E53,'22.08 Bukaya-Kampala'!E53,'23.08 Bukaya-Kampala-24h'!E53,'24.08 Bukaya-Kampala-24h'!E53,'25.08 Bukaya-Kampala'!E53)</f>
        <v>5.4285714285714288</v>
      </c>
      <c r="F53" s="49">
        <f>AVERAGE('19.08 Bukaya-Kampala'!F53,'20.08 Bukaya-Kampala'!F53,'21.08 Bukaya-Kampala'!F53,'22.08 Bukaya-Kampala'!F53,'23.08 Bukaya-Kampala-24h'!F53,'24.08 Bukaya-Kampala-24h'!F53,'25.08 Bukaya-Kampala'!F53)</f>
        <v>2.8571428571428572</v>
      </c>
      <c r="G53" s="49">
        <f>AVERAGE('19.08 Bukaya-Kampala'!G53,'20.08 Bukaya-Kampala'!G53,'21.08 Bukaya-Kampala'!G53,'22.08 Bukaya-Kampala'!G53,'23.08 Bukaya-Kampala-24h'!G53,'24.08 Bukaya-Kampala-24h'!G53,'25.08 Bukaya-Kampala'!G53)</f>
        <v>0</v>
      </c>
      <c r="H53" s="49">
        <f>AVERAGE('19.08 Bukaya-Kampala'!H53,'20.08 Bukaya-Kampala'!H53,'21.08 Bukaya-Kampala'!H53,'22.08 Bukaya-Kampala'!H53,'23.08 Bukaya-Kampala-24h'!H53,'24.08 Bukaya-Kampala-24h'!H53,'25.08 Bukaya-Kampala'!H53)</f>
        <v>0</v>
      </c>
      <c r="I53" s="49">
        <f>AVERAGE('19.08 Bukaya-Kampala'!I53,'20.08 Bukaya-Kampala'!I53,'21.08 Bukaya-Kampala'!I53,'22.08 Bukaya-Kampala'!I53,'23.08 Bukaya-Kampala-24h'!I53,'24.08 Bukaya-Kampala-24h'!I53,'25.08 Bukaya-Kampala'!I53)</f>
        <v>2.5714285714285716</v>
      </c>
      <c r="J53" s="49">
        <f>AVERAGE('19.08 Bukaya-Kampala'!J53,'20.08 Bukaya-Kampala'!J53,'21.08 Bukaya-Kampala'!J53,'22.08 Bukaya-Kampala'!J53,'23.08 Bukaya-Kampala-24h'!J53,'24.08 Bukaya-Kampala-24h'!J53,'25.08 Bukaya-Kampala'!J53)</f>
        <v>0</v>
      </c>
      <c r="K53" s="49">
        <f>AVERAGE('19.08 Bukaya-Kampala'!K53,'20.08 Bukaya-Kampala'!K53,'21.08 Bukaya-Kampala'!K53,'22.08 Bukaya-Kampala'!K53,'23.08 Bukaya-Kampala-24h'!K53,'24.08 Bukaya-Kampala-24h'!K53,'25.08 Bukaya-Kampala'!K53)</f>
        <v>0.14285714285714285</v>
      </c>
      <c r="L53" s="49">
        <f>AVERAGE('19.08 Bukaya-Kampala'!L53,'20.08 Bukaya-Kampala'!L53,'21.08 Bukaya-Kampala'!L53,'22.08 Bukaya-Kampala'!L53,'23.08 Bukaya-Kampala-24h'!L53,'24.08 Bukaya-Kampala-24h'!L53,'25.08 Bukaya-Kampala'!L53)</f>
        <v>0</v>
      </c>
      <c r="M53" s="49">
        <f>AVERAGE('19.08 Bukaya-Kampala'!M53,'20.08 Bukaya-Kampala'!M53,'21.08 Bukaya-Kampala'!M53,'22.08 Bukaya-Kampala'!M53,'23.08 Bukaya-Kampala-24h'!M53,'24.08 Bukaya-Kampala-24h'!M53,'25.08 Bukaya-Kampala'!M53)</f>
        <v>20.571428571428573</v>
      </c>
      <c r="N53" s="49">
        <f>AVERAGE('19.08 Bukaya-Kampala'!N53,'20.08 Bukaya-Kampala'!N53,'21.08 Bukaya-Kampala'!N53,'22.08 Bukaya-Kampala'!N53,'23.08 Bukaya-Kampala-24h'!N53,'24.08 Bukaya-Kampala-24h'!N53,'25.08 Bukaya-Kampala'!N53)</f>
        <v>0</v>
      </c>
      <c r="O53" s="15">
        <f t="shared" si="0"/>
        <v>15.285714285714286</v>
      </c>
      <c r="P53" s="15">
        <f t="shared" si="1"/>
        <v>35.857142857142861</v>
      </c>
      <c r="R53" s="8"/>
      <c r="T53"/>
    </row>
    <row r="54" spans="2:20" ht="23.1" customHeight="1" x14ac:dyDescent="0.25">
      <c r="B54" s="23" t="s">
        <v>81</v>
      </c>
      <c r="C54" s="49">
        <f>AVERAGE('19.08 Bukaya-Kampala'!C54,'20.08 Bukaya-Kampala'!C54,'21.08 Bukaya-Kampala'!C54,'22.08 Bukaya-Kampala'!C54,'23.08 Bukaya-Kampala-24h'!C54,'24.08 Bukaya-Kampala-24h'!C54,'25.08 Bukaya-Kampala'!C54)</f>
        <v>2.8571428571428572</v>
      </c>
      <c r="D54" s="49">
        <f>AVERAGE('19.08 Bukaya-Kampala'!D54,'20.08 Bukaya-Kampala'!D54,'21.08 Bukaya-Kampala'!D54,'22.08 Bukaya-Kampala'!D54,'23.08 Bukaya-Kampala-24h'!D54,'24.08 Bukaya-Kampala-24h'!D54,'25.08 Bukaya-Kampala'!D54)</f>
        <v>0</v>
      </c>
      <c r="E54" s="49">
        <f>AVERAGE('19.08 Bukaya-Kampala'!E54,'20.08 Bukaya-Kampala'!E54,'21.08 Bukaya-Kampala'!E54,'22.08 Bukaya-Kampala'!E54,'23.08 Bukaya-Kampala-24h'!E54,'24.08 Bukaya-Kampala-24h'!E54,'25.08 Bukaya-Kampala'!E54)</f>
        <v>4.8571428571428568</v>
      </c>
      <c r="F54" s="49">
        <f>AVERAGE('19.08 Bukaya-Kampala'!F54,'20.08 Bukaya-Kampala'!F54,'21.08 Bukaya-Kampala'!F54,'22.08 Bukaya-Kampala'!F54,'23.08 Bukaya-Kampala-24h'!F54,'24.08 Bukaya-Kampala-24h'!F54,'25.08 Bukaya-Kampala'!F54)</f>
        <v>2.7142857142857144</v>
      </c>
      <c r="G54" s="49">
        <f>AVERAGE('19.08 Bukaya-Kampala'!G54,'20.08 Bukaya-Kampala'!G54,'21.08 Bukaya-Kampala'!G54,'22.08 Bukaya-Kampala'!G54,'23.08 Bukaya-Kampala-24h'!G54,'24.08 Bukaya-Kampala-24h'!G54,'25.08 Bukaya-Kampala'!G54)</f>
        <v>0</v>
      </c>
      <c r="H54" s="49">
        <f>AVERAGE('19.08 Bukaya-Kampala'!H54,'20.08 Bukaya-Kampala'!H54,'21.08 Bukaya-Kampala'!H54,'22.08 Bukaya-Kampala'!H54,'23.08 Bukaya-Kampala-24h'!H54,'24.08 Bukaya-Kampala-24h'!H54,'25.08 Bukaya-Kampala'!H54)</f>
        <v>0</v>
      </c>
      <c r="I54" s="49">
        <f>AVERAGE('19.08 Bukaya-Kampala'!I54,'20.08 Bukaya-Kampala'!I54,'21.08 Bukaya-Kampala'!I54,'22.08 Bukaya-Kampala'!I54,'23.08 Bukaya-Kampala-24h'!I54,'24.08 Bukaya-Kampala-24h'!I54,'25.08 Bukaya-Kampala'!I54)</f>
        <v>2.5714285714285716</v>
      </c>
      <c r="J54" s="49">
        <f>AVERAGE('19.08 Bukaya-Kampala'!J54,'20.08 Bukaya-Kampala'!J54,'21.08 Bukaya-Kampala'!J54,'22.08 Bukaya-Kampala'!J54,'23.08 Bukaya-Kampala-24h'!J54,'24.08 Bukaya-Kampala-24h'!J54,'25.08 Bukaya-Kampala'!J54)</f>
        <v>0</v>
      </c>
      <c r="K54" s="49">
        <f>AVERAGE('19.08 Bukaya-Kampala'!K54,'20.08 Bukaya-Kampala'!K54,'21.08 Bukaya-Kampala'!K54,'22.08 Bukaya-Kampala'!K54,'23.08 Bukaya-Kampala-24h'!K54,'24.08 Bukaya-Kampala-24h'!K54,'25.08 Bukaya-Kampala'!K54)</f>
        <v>0</v>
      </c>
      <c r="L54" s="49">
        <f>AVERAGE('19.08 Bukaya-Kampala'!L54,'20.08 Bukaya-Kampala'!L54,'21.08 Bukaya-Kampala'!L54,'22.08 Bukaya-Kampala'!L54,'23.08 Bukaya-Kampala-24h'!L54,'24.08 Bukaya-Kampala-24h'!L54,'25.08 Bukaya-Kampala'!L54)</f>
        <v>0</v>
      </c>
      <c r="M54" s="49">
        <f>AVERAGE('19.08 Bukaya-Kampala'!M54,'20.08 Bukaya-Kampala'!M54,'21.08 Bukaya-Kampala'!M54,'22.08 Bukaya-Kampala'!M54,'23.08 Bukaya-Kampala-24h'!M54,'24.08 Bukaya-Kampala-24h'!M54,'25.08 Bukaya-Kampala'!M54)</f>
        <v>24.428571428571427</v>
      </c>
      <c r="N54" s="49">
        <f>AVERAGE('19.08 Bukaya-Kampala'!N54,'20.08 Bukaya-Kampala'!N54,'21.08 Bukaya-Kampala'!N54,'22.08 Bukaya-Kampala'!N54,'23.08 Bukaya-Kampala-24h'!N54,'24.08 Bukaya-Kampala-24h'!N54,'25.08 Bukaya-Kampala'!N54)</f>
        <v>0</v>
      </c>
      <c r="O54" s="15">
        <f t="shared" si="0"/>
        <v>12.999999999999998</v>
      </c>
      <c r="P54" s="15">
        <f t="shared" si="1"/>
        <v>37.428571428571423</v>
      </c>
      <c r="R54" s="8"/>
      <c r="T54"/>
    </row>
    <row r="55" spans="2:20" ht="23.1" customHeight="1" x14ac:dyDescent="0.25">
      <c r="B55" s="23" t="s">
        <v>82</v>
      </c>
      <c r="C55" s="49">
        <f>AVERAGE('19.08 Bukaya-Kampala'!C55,'20.08 Bukaya-Kampala'!C55,'21.08 Bukaya-Kampala'!C55,'22.08 Bukaya-Kampala'!C55,'23.08 Bukaya-Kampala-24h'!C55,'24.08 Bukaya-Kampala-24h'!C55,'25.08 Bukaya-Kampala'!C55)</f>
        <v>3.4285714285714284</v>
      </c>
      <c r="D55" s="49">
        <f>AVERAGE('19.08 Bukaya-Kampala'!D55,'20.08 Bukaya-Kampala'!D55,'21.08 Bukaya-Kampala'!D55,'22.08 Bukaya-Kampala'!D55,'23.08 Bukaya-Kampala-24h'!D55,'24.08 Bukaya-Kampala-24h'!D55,'25.08 Bukaya-Kampala'!D55)</f>
        <v>0</v>
      </c>
      <c r="E55" s="49">
        <f>AVERAGE('19.08 Bukaya-Kampala'!E55,'20.08 Bukaya-Kampala'!E55,'21.08 Bukaya-Kampala'!E55,'22.08 Bukaya-Kampala'!E55,'23.08 Bukaya-Kampala-24h'!E55,'24.08 Bukaya-Kampala-24h'!E55,'25.08 Bukaya-Kampala'!E55)</f>
        <v>5.2857142857142856</v>
      </c>
      <c r="F55" s="49">
        <f>AVERAGE('19.08 Bukaya-Kampala'!F55,'20.08 Bukaya-Kampala'!F55,'21.08 Bukaya-Kampala'!F55,'22.08 Bukaya-Kampala'!F55,'23.08 Bukaya-Kampala-24h'!F55,'24.08 Bukaya-Kampala-24h'!F55,'25.08 Bukaya-Kampala'!F55)</f>
        <v>2.4285714285714284</v>
      </c>
      <c r="G55" s="49">
        <f>AVERAGE('19.08 Bukaya-Kampala'!G55,'20.08 Bukaya-Kampala'!G55,'21.08 Bukaya-Kampala'!G55,'22.08 Bukaya-Kampala'!G55,'23.08 Bukaya-Kampala-24h'!G55,'24.08 Bukaya-Kampala-24h'!G55,'25.08 Bukaya-Kampala'!G55)</f>
        <v>0.14285714285714285</v>
      </c>
      <c r="H55" s="49">
        <f>AVERAGE('19.08 Bukaya-Kampala'!H55,'20.08 Bukaya-Kampala'!H55,'21.08 Bukaya-Kampala'!H55,'22.08 Bukaya-Kampala'!H55,'23.08 Bukaya-Kampala-24h'!H55,'24.08 Bukaya-Kampala-24h'!H55,'25.08 Bukaya-Kampala'!H55)</f>
        <v>0</v>
      </c>
      <c r="I55" s="49">
        <f>AVERAGE('19.08 Bukaya-Kampala'!I55,'20.08 Bukaya-Kampala'!I55,'21.08 Bukaya-Kampala'!I55,'22.08 Bukaya-Kampala'!I55,'23.08 Bukaya-Kampala-24h'!I55,'24.08 Bukaya-Kampala-24h'!I55,'25.08 Bukaya-Kampala'!I55)</f>
        <v>2</v>
      </c>
      <c r="J55" s="49">
        <f>AVERAGE('19.08 Bukaya-Kampala'!J55,'20.08 Bukaya-Kampala'!J55,'21.08 Bukaya-Kampala'!J55,'22.08 Bukaya-Kampala'!J55,'23.08 Bukaya-Kampala-24h'!J55,'24.08 Bukaya-Kampala-24h'!J55,'25.08 Bukaya-Kampala'!J55)</f>
        <v>0.14285714285714285</v>
      </c>
      <c r="K55" s="49">
        <f>AVERAGE('19.08 Bukaya-Kampala'!K55,'20.08 Bukaya-Kampala'!K55,'21.08 Bukaya-Kampala'!K55,'22.08 Bukaya-Kampala'!K55,'23.08 Bukaya-Kampala-24h'!K55,'24.08 Bukaya-Kampala-24h'!K55,'25.08 Bukaya-Kampala'!K55)</f>
        <v>0.14285714285714285</v>
      </c>
      <c r="L55" s="49">
        <f>AVERAGE('19.08 Bukaya-Kampala'!L55,'20.08 Bukaya-Kampala'!L55,'21.08 Bukaya-Kampala'!L55,'22.08 Bukaya-Kampala'!L55,'23.08 Bukaya-Kampala-24h'!L55,'24.08 Bukaya-Kampala-24h'!L55,'25.08 Bukaya-Kampala'!L55)</f>
        <v>0</v>
      </c>
      <c r="M55" s="49">
        <f>AVERAGE('19.08 Bukaya-Kampala'!M55,'20.08 Bukaya-Kampala'!M55,'21.08 Bukaya-Kampala'!M55,'22.08 Bukaya-Kampala'!M55,'23.08 Bukaya-Kampala-24h'!M55,'24.08 Bukaya-Kampala-24h'!M55,'25.08 Bukaya-Kampala'!M55)</f>
        <v>20.142857142857142</v>
      </c>
      <c r="N55" s="49">
        <f>AVERAGE('19.08 Bukaya-Kampala'!N55,'20.08 Bukaya-Kampala'!N55,'21.08 Bukaya-Kampala'!N55,'22.08 Bukaya-Kampala'!N55,'23.08 Bukaya-Kampala-24h'!N55,'24.08 Bukaya-Kampala-24h'!N55,'25.08 Bukaya-Kampala'!N55)</f>
        <v>0</v>
      </c>
      <c r="O55" s="15">
        <f t="shared" si="0"/>
        <v>13.571428571428569</v>
      </c>
      <c r="P55" s="15">
        <f t="shared" si="1"/>
        <v>33.714285714285708</v>
      </c>
      <c r="R55" s="8"/>
      <c r="T55"/>
    </row>
    <row r="56" spans="2:20" ht="23.1" customHeight="1" x14ac:dyDescent="0.25">
      <c r="B56" s="23" t="s">
        <v>83</v>
      </c>
      <c r="C56" s="49">
        <f>AVERAGE('19.08 Bukaya-Kampala'!C56,'20.08 Bukaya-Kampala'!C56,'21.08 Bukaya-Kampala'!C56,'22.08 Bukaya-Kampala'!C56,'23.08 Bukaya-Kampala-24h'!C56,'24.08 Bukaya-Kampala-24h'!C56,'25.08 Bukaya-Kampala'!C56)</f>
        <v>3.1428571428571428</v>
      </c>
      <c r="D56" s="49">
        <f>AVERAGE('19.08 Bukaya-Kampala'!D56,'20.08 Bukaya-Kampala'!D56,'21.08 Bukaya-Kampala'!D56,'22.08 Bukaya-Kampala'!D56,'23.08 Bukaya-Kampala-24h'!D56,'24.08 Bukaya-Kampala-24h'!D56,'25.08 Bukaya-Kampala'!D56)</f>
        <v>0</v>
      </c>
      <c r="E56" s="49">
        <f>AVERAGE('19.08 Bukaya-Kampala'!E56,'20.08 Bukaya-Kampala'!E56,'21.08 Bukaya-Kampala'!E56,'22.08 Bukaya-Kampala'!E56,'23.08 Bukaya-Kampala-24h'!E56,'24.08 Bukaya-Kampala-24h'!E56,'25.08 Bukaya-Kampala'!E56)</f>
        <v>5</v>
      </c>
      <c r="F56" s="49">
        <f>AVERAGE('19.08 Bukaya-Kampala'!F56,'20.08 Bukaya-Kampala'!F56,'21.08 Bukaya-Kampala'!F56,'22.08 Bukaya-Kampala'!F56,'23.08 Bukaya-Kampala-24h'!F56,'24.08 Bukaya-Kampala-24h'!F56,'25.08 Bukaya-Kampala'!F56)</f>
        <v>2.7142857142857144</v>
      </c>
      <c r="G56" s="49">
        <f>AVERAGE('19.08 Bukaya-Kampala'!G56,'20.08 Bukaya-Kampala'!G56,'21.08 Bukaya-Kampala'!G56,'22.08 Bukaya-Kampala'!G56,'23.08 Bukaya-Kampala-24h'!G56,'24.08 Bukaya-Kampala-24h'!G56,'25.08 Bukaya-Kampala'!G56)</f>
        <v>0</v>
      </c>
      <c r="H56" s="49">
        <f>AVERAGE('19.08 Bukaya-Kampala'!H56,'20.08 Bukaya-Kampala'!H56,'21.08 Bukaya-Kampala'!H56,'22.08 Bukaya-Kampala'!H56,'23.08 Bukaya-Kampala-24h'!H56,'24.08 Bukaya-Kampala-24h'!H56,'25.08 Bukaya-Kampala'!H56)</f>
        <v>0</v>
      </c>
      <c r="I56" s="49">
        <f>AVERAGE('19.08 Bukaya-Kampala'!I56,'20.08 Bukaya-Kampala'!I56,'21.08 Bukaya-Kampala'!I56,'22.08 Bukaya-Kampala'!I56,'23.08 Bukaya-Kampala-24h'!I56,'24.08 Bukaya-Kampala-24h'!I56,'25.08 Bukaya-Kampala'!I56)</f>
        <v>2.5714285714285716</v>
      </c>
      <c r="J56" s="49">
        <f>AVERAGE('19.08 Bukaya-Kampala'!J56,'20.08 Bukaya-Kampala'!J56,'21.08 Bukaya-Kampala'!J56,'22.08 Bukaya-Kampala'!J56,'23.08 Bukaya-Kampala-24h'!J56,'24.08 Bukaya-Kampala-24h'!J56,'25.08 Bukaya-Kampala'!J56)</f>
        <v>0</v>
      </c>
      <c r="K56" s="49">
        <f>AVERAGE('19.08 Bukaya-Kampala'!K56,'20.08 Bukaya-Kampala'!K56,'21.08 Bukaya-Kampala'!K56,'22.08 Bukaya-Kampala'!K56,'23.08 Bukaya-Kampala-24h'!K56,'24.08 Bukaya-Kampala-24h'!K56,'25.08 Bukaya-Kampala'!K56)</f>
        <v>0.14285714285714285</v>
      </c>
      <c r="L56" s="49">
        <f>AVERAGE('19.08 Bukaya-Kampala'!L56,'20.08 Bukaya-Kampala'!L56,'21.08 Bukaya-Kampala'!L56,'22.08 Bukaya-Kampala'!L56,'23.08 Bukaya-Kampala-24h'!L56,'24.08 Bukaya-Kampala-24h'!L56,'25.08 Bukaya-Kampala'!L56)</f>
        <v>0</v>
      </c>
      <c r="M56" s="49">
        <f>AVERAGE('19.08 Bukaya-Kampala'!M56,'20.08 Bukaya-Kampala'!M56,'21.08 Bukaya-Kampala'!M56,'22.08 Bukaya-Kampala'!M56,'23.08 Bukaya-Kampala-24h'!M56,'24.08 Bukaya-Kampala-24h'!M56,'25.08 Bukaya-Kampala'!M56)</f>
        <v>21.428571428571427</v>
      </c>
      <c r="N56" s="49">
        <f>AVERAGE('19.08 Bukaya-Kampala'!N56,'20.08 Bukaya-Kampala'!N56,'21.08 Bukaya-Kampala'!N56,'22.08 Bukaya-Kampala'!N56,'23.08 Bukaya-Kampala-24h'!N56,'24.08 Bukaya-Kampala-24h'!N56,'25.08 Bukaya-Kampala'!N56)</f>
        <v>0.14285714285714285</v>
      </c>
      <c r="O56" s="15">
        <f t="shared" si="0"/>
        <v>13.714285714285714</v>
      </c>
      <c r="P56" s="15">
        <f t="shared" si="1"/>
        <v>35.142857142857146</v>
      </c>
      <c r="R56" s="8"/>
      <c r="T56"/>
    </row>
    <row r="57" spans="2:20" ht="23.1" customHeight="1" x14ac:dyDescent="0.25">
      <c r="B57" s="23" t="s">
        <v>84</v>
      </c>
      <c r="C57" s="49">
        <f>AVERAGE('19.08 Bukaya-Kampala'!C57,'20.08 Bukaya-Kampala'!C57,'21.08 Bukaya-Kampala'!C57,'22.08 Bukaya-Kampala'!C57,'23.08 Bukaya-Kampala-24h'!C57,'24.08 Bukaya-Kampala-24h'!C57,'25.08 Bukaya-Kampala'!C57)</f>
        <v>4.1428571428571432</v>
      </c>
      <c r="D57" s="49">
        <f>AVERAGE('19.08 Bukaya-Kampala'!D57,'20.08 Bukaya-Kampala'!D57,'21.08 Bukaya-Kampala'!D57,'22.08 Bukaya-Kampala'!D57,'23.08 Bukaya-Kampala-24h'!D57,'24.08 Bukaya-Kampala-24h'!D57,'25.08 Bukaya-Kampala'!D57)</f>
        <v>0</v>
      </c>
      <c r="E57" s="49">
        <f>AVERAGE('19.08 Bukaya-Kampala'!E57,'20.08 Bukaya-Kampala'!E57,'21.08 Bukaya-Kampala'!E57,'22.08 Bukaya-Kampala'!E57,'23.08 Bukaya-Kampala-24h'!E57,'24.08 Bukaya-Kampala-24h'!E57,'25.08 Bukaya-Kampala'!E57)</f>
        <v>4.4285714285714288</v>
      </c>
      <c r="F57" s="49">
        <f>AVERAGE('19.08 Bukaya-Kampala'!F57,'20.08 Bukaya-Kampala'!F57,'21.08 Bukaya-Kampala'!F57,'22.08 Bukaya-Kampala'!F57,'23.08 Bukaya-Kampala-24h'!F57,'24.08 Bukaya-Kampala-24h'!F57,'25.08 Bukaya-Kampala'!F57)</f>
        <v>2.1428571428571428</v>
      </c>
      <c r="G57" s="49">
        <f>AVERAGE('19.08 Bukaya-Kampala'!G57,'20.08 Bukaya-Kampala'!G57,'21.08 Bukaya-Kampala'!G57,'22.08 Bukaya-Kampala'!G57,'23.08 Bukaya-Kampala-24h'!G57,'24.08 Bukaya-Kampala-24h'!G57,'25.08 Bukaya-Kampala'!G57)</f>
        <v>0.14285714285714285</v>
      </c>
      <c r="H57" s="49">
        <f>AVERAGE('19.08 Bukaya-Kampala'!H57,'20.08 Bukaya-Kampala'!H57,'21.08 Bukaya-Kampala'!H57,'22.08 Bukaya-Kampala'!H57,'23.08 Bukaya-Kampala-24h'!H57,'24.08 Bukaya-Kampala-24h'!H57,'25.08 Bukaya-Kampala'!H57)</f>
        <v>0</v>
      </c>
      <c r="I57" s="49">
        <f>AVERAGE('19.08 Bukaya-Kampala'!I57,'20.08 Bukaya-Kampala'!I57,'21.08 Bukaya-Kampala'!I57,'22.08 Bukaya-Kampala'!I57,'23.08 Bukaya-Kampala-24h'!I57,'24.08 Bukaya-Kampala-24h'!I57,'25.08 Bukaya-Kampala'!I57)</f>
        <v>3</v>
      </c>
      <c r="J57" s="49">
        <f>AVERAGE('19.08 Bukaya-Kampala'!J57,'20.08 Bukaya-Kampala'!J57,'21.08 Bukaya-Kampala'!J57,'22.08 Bukaya-Kampala'!J57,'23.08 Bukaya-Kampala-24h'!J57,'24.08 Bukaya-Kampala-24h'!J57,'25.08 Bukaya-Kampala'!J57)</f>
        <v>0</v>
      </c>
      <c r="K57" s="49">
        <f>AVERAGE('19.08 Bukaya-Kampala'!K57,'20.08 Bukaya-Kampala'!K57,'21.08 Bukaya-Kampala'!K57,'22.08 Bukaya-Kampala'!K57,'23.08 Bukaya-Kampala-24h'!K57,'24.08 Bukaya-Kampala-24h'!K57,'25.08 Bukaya-Kampala'!K57)</f>
        <v>0</v>
      </c>
      <c r="L57" s="49">
        <f>AVERAGE('19.08 Bukaya-Kampala'!L57,'20.08 Bukaya-Kampala'!L57,'21.08 Bukaya-Kampala'!L57,'22.08 Bukaya-Kampala'!L57,'23.08 Bukaya-Kampala-24h'!L57,'24.08 Bukaya-Kampala-24h'!L57,'25.08 Bukaya-Kampala'!L57)</f>
        <v>0</v>
      </c>
      <c r="M57" s="49">
        <f>AVERAGE('19.08 Bukaya-Kampala'!M57,'20.08 Bukaya-Kampala'!M57,'21.08 Bukaya-Kampala'!M57,'22.08 Bukaya-Kampala'!M57,'23.08 Bukaya-Kampala-24h'!M57,'24.08 Bukaya-Kampala-24h'!M57,'25.08 Bukaya-Kampala'!M57)</f>
        <v>25.571428571428573</v>
      </c>
      <c r="N57" s="49">
        <f>AVERAGE('19.08 Bukaya-Kampala'!N57,'20.08 Bukaya-Kampala'!N57,'21.08 Bukaya-Kampala'!N57,'22.08 Bukaya-Kampala'!N57,'23.08 Bukaya-Kampala-24h'!N57,'24.08 Bukaya-Kampala-24h'!N57,'25.08 Bukaya-Kampala'!N57)</f>
        <v>0</v>
      </c>
      <c r="O57" s="15">
        <f t="shared" si="0"/>
        <v>13.857142857142858</v>
      </c>
      <c r="P57" s="15">
        <f t="shared" si="0"/>
        <v>49.142857142857153</v>
      </c>
      <c r="R57" s="8"/>
      <c r="T57"/>
    </row>
    <row r="58" spans="2:20" ht="23.1" customHeight="1" x14ac:dyDescent="0.25">
      <c r="B58" s="23" t="s">
        <v>99</v>
      </c>
      <c r="C58" s="49">
        <f>AVERAGE('23.08 Bukaya-Kampala-24h'!C58,'24.08 Bukaya-Kampala-24h'!C58)</f>
        <v>1</v>
      </c>
      <c r="D58" s="49">
        <f>AVERAGE('23.08 Bukaya-Kampala-24h'!D58,'24.08 Bukaya-Kampala-24h'!D58)</f>
        <v>0</v>
      </c>
      <c r="E58" s="49">
        <f>AVERAGE('23.08 Bukaya-Kampala-24h'!E58,'24.08 Bukaya-Kampala-24h'!E58)</f>
        <v>4</v>
      </c>
      <c r="F58" s="49">
        <f>AVERAGE('23.08 Bukaya-Kampala-24h'!F58,'24.08 Bukaya-Kampala-24h'!F58)</f>
        <v>1</v>
      </c>
      <c r="G58" s="49">
        <f>AVERAGE('23.08 Bukaya-Kampala-24h'!G58,'24.08 Bukaya-Kampala-24h'!G58)</f>
        <v>0</v>
      </c>
      <c r="H58" s="49">
        <f>AVERAGE('23.08 Bukaya-Kampala-24h'!H58,'24.08 Bukaya-Kampala-24h'!H58)</f>
        <v>0</v>
      </c>
      <c r="I58" s="49">
        <f>AVERAGE('23.08 Bukaya-Kampala-24h'!I58,'24.08 Bukaya-Kampala-24h'!I58)</f>
        <v>1</v>
      </c>
      <c r="J58" s="49">
        <f>AVERAGE('23.08 Bukaya-Kampala-24h'!J58,'24.08 Bukaya-Kampala-24h'!J58)</f>
        <v>0</v>
      </c>
      <c r="K58" s="49">
        <f>AVERAGE('23.08 Bukaya-Kampala-24h'!K58,'24.08 Bukaya-Kampala-24h'!K58)</f>
        <v>0</v>
      </c>
      <c r="L58" s="49">
        <f>AVERAGE('23.08 Bukaya-Kampala-24h'!L58,'24.08 Bukaya-Kampala-24h'!L58)</f>
        <v>0</v>
      </c>
      <c r="M58" s="49">
        <f>AVERAGE('23.08 Bukaya-Kampala-24h'!M58,'24.08 Bukaya-Kampala-24h'!M58)</f>
        <v>11</v>
      </c>
      <c r="N58" s="49">
        <f>AVERAGE('23.08 Bukaya-Kampala-24h'!N58,'24.08 Bukaya-Kampala-24h'!N58)</f>
        <v>0</v>
      </c>
      <c r="O58" s="15">
        <f t="shared" si="0"/>
        <v>7</v>
      </c>
      <c r="P58" s="15">
        <f t="shared" si="0"/>
        <v>24</v>
      </c>
      <c r="R58" s="8"/>
      <c r="T58"/>
    </row>
    <row r="59" spans="2:20" ht="23.1" customHeight="1" x14ac:dyDescent="0.25">
      <c r="B59" s="23" t="s">
        <v>100</v>
      </c>
      <c r="C59" s="49">
        <f>AVERAGE('23.08 Bukaya-Kampala-24h'!C59,'24.08 Bukaya-Kampala-24h'!C59)</f>
        <v>6</v>
      </c>
      <c r="D59" s="49">
        <f>AVERAGE('23.08 Bukaya-Kampala-24h'!D59,'24.08 Bukaya-Kampala-24h'!D59)</f>
        <v>0</v>
      </c>
      <c r="E59" s="49">
        <f>AVERAGE('23.08 Bukaya-Kampala-24h'!E59,'24.08 Bukaya-Kampala-24h'!E59)</f>
        <v>2</v>
      </c>
      <c r="F59" s="49">
        <f>AVERAGE('23.08 Bukaya-Kampala-24h'!F59,'24.08 Bukaya-Kampala-24h'!F59)</f>
        <v>0</v>
      </c>
      <c r="G59" s="49">
        <f>AVERAGE('23.08 Bukaya-Kampala-24h'!G59,'24.08 Bukaya-Kampala-24h'!G59)</f>
        <v>1</v>
      </c>
      <c r="H59" s="49">
        <f>AVERAGE('23.08 Bukaya-Kampala-24h'!H59,'24.08 Bukaya-Kampala-24h'!H59)</f>
        <v>0</v>
      </c>
      <c r="I59" s="49">
        <f>AVERAGE('23.08 Bukaya-Kampala-24h'!I59,'24.08 Bukaya-Kampala-24h'!I59)</f>
        <v>2</v>
      </c>
      <c r="J59" s="49">
        <f>AVERAGE('23.08 Bukaya-Kampala-24h'!J59,'24.08 Bukaya-Kampala-24h'!J59)</f>
        <v>0</v>
      </c>
      <c r="K59" s="49">
        <f>AVERAGE('23.08 Bukaya-Kampala-24h'!K59,'24.08 Bukaya-Kampala-24h'!K59)</f>
        <v>1</v>
      </c>
      <c r="L59" s="49">
        <f>AVERAGE('23.08 Bukaya-Kampala-24h'!L59,'24.08 Bukaya-Kampala-24h'!L59)</f>
        <v>0</v>
      </c>
      <c r="M59" s="49">
        <f>AVERAGE('23.08 Bukaya-Kampala-24h'!M59,'24.08 Bukaya-Kampala-24h'!M59)</f>
        <v>17</v>
      </c>
      <c r="N59" s="49">
        <f>AVERAGE('23.08 Bukaya-Kampala-24h'!N59,'24.08 Bukaya-Kampala-24h'!N59)</f>
        <v>0</v>
      </c>
      <c r="O59" s="15">
        <f t="shared" si="0"/>
        <v>12</v>
      </c>
      <c r="P59" s="15">
        <f t="shared" si="0"/>
        <v>35</v>
      </c>
      <c r="R59" s="8"/>
      <c r="T59"/>
    </row>
    <row r="60" spans="2:20" ht="23.1" customHeight="1" x14ac:dyDescent="0.25">
      <c r="B60" s="23" t="s">
        <v>101</v>
      </c>
      <c r="C60" s="49">
        <f>AVERAGE('23.08 Bukaya-Kampala-24h'!C60,'24.08 Bukaya-Kampala-24h'!C60)</f>
        <v>2</v>
      </c>
      <c r="D60" s="49">
        <f>AVERAGE('23.08 Bukaya-Kampala-24h'!D60,'24.08 Bukaya-Kampala-24h'!D60)</f>
        <v>0</v>
      </c>
      <c r="E60" s="49">
        <f>AVERAGE('23.08 Bukaya-Kampala-24h'!E60,'24.08 Bukaya-Kampala-24h'!E60)</f>
        <v>1</v>
      </c>
      <c r="F60" s="49">
        <f>AVERAGE('23.08 Bukaya-Kampala-24h'!F60,'24.08 Bukaya-Kampala-24h'!F60)</f>
        <v>1</v>
      </c>
      <c r="G60" s="49">
        <f>AVERAGE('23.08 Bukaya-Kampala-24h'!G60,'24.08 Bukaya-Kampala-24h'!G60)</f>
        <v>0</v>
      </c>
      <c r="H60" s="49">
        <f>AVERAGE('23.08 Bukaya-Kampala-24h'!H60,'24.08 Bukaya-Kampala-24h'!H60)</f>
        <v>0</v>
      </c>
      <c r="I60" s="49">
        <f>AVERAGE('23.08 Bukaya-Kampala-24h'!I60,'24.08 Bukaya-Kampala-24h'!I60)</f>
        <v>1</v>
      </c>
      <c r="J60" s="49">
        <f>AVERAGE('23.08 Bukaya-Kampala-24h'!J60,'24.08 Bukaya-Kampala-24h'!J60)</f>
        <v>0</v>
      </c>
      <c r="K60" s="49">
        <f>AVERAGE('23.08 Bukaya-Kampala-24h'!K60,'24.08 Bukaya-Kampala-24h'!K60)</f>
        <v>0</v>
      </c>
      <c r="L60" s="49">
        <f>AVERAGE('23.08 Bukaya-Kampala-24h'!L60,'24.08 Bukaya-Kampala-24h'!L60)</f>
        <v>0</v>
      </c>
      <c r="M60" s="49">
        <f>AVERAGE('23.08 Bukaya-Kampala-24h'!M60,'24.08 Bukaya-Kampala-24h'!M60)</f>
        <v>15</v>
      </c>
      <c r="N60" s="49">
        <f>AVERAGE('23.08 Bukaya-Kampala-24h'!N60,'24.08 Bukaya-Kampala-24h'!N60)</f>
        <v>0</v>
      </c>
      <c r="O60" s="15">
        <f t="shared" si="0"/>
        <v>5</v>
      </c>
      <c r="P60" s="15">
        <f t="shared" si="0"/>
        <v>23</v>
      </c>
      <c r="R60" s="8"/>
      <c r="T60"/>
    </row>
    <row r="61" spans="2:20" ht="23.1" customHeight="1" x14ac:dyDescent="0.25">
      <c r="B61" s="23" t="s">
        <v>102</v>
      </c>
      <c r="C61" s="49">
        <f>AVERAGE('23.08 Bukaya-Kampala-24h'!C61,'24.08 Bukaya-Kampala-24h'!C61)</f>
        <v>4</v>
      </c>
      <c r="D61" s="49">
        <f>AVERAGE('23.08 Bukaya-Kampala-24h'!D61,'24.08 Bukaya-Kampala-24h'!D61)</f>
        <v>0</v>
      </c>
      <c r="E61" s="49">
        <f>AVERAGE('23.08 Bukaya-Kampala-24h'!E61,'24.08 Bukaya-Kampala-24h'!E61)</f>
        <v>1</v>
      </c>
      <c r="F61" s="49">
        <f>AVERAGE('23.08 Bukaya-Kampala-24h'!F61,'24.08 Bukaya-Kampala-24h'!F61)</f>
        <v>2</v>
      </c>
      <c r="G61" s="49">
        <f>AVERAGE('23.08 Bukaya-Kampala-24h'!G61,'24.08 Bukaya-Kampala-24h'!G61)</f>
        <v>0</v>
      </c>
      <c r="H61" s="49">
        <f>AVERAGE('23.08 Bukaya-Kampala-24h'!H61,'24.08 Bukaya-Kampala-24h'!H61)</f>
        <v>0</v>
      </c>
      <c r="I61" s="49">
        <f>AVERAGE('23.08 Bukaya-Kampala-24h'!I61,'24.08 Bukaya-Kampala-24h'!I61)</f>
        <v>0</v>
      </c>
      <c r="J61" s="49">
        <f>AVERAGE('23.08 Bukaya-Kampala-24h'!J61,'24.08 Bukaya-Kampala-24h'!J61)</f>
        <v>0</v>
      </c>
      <c r="K61" s="49">
        <f>AVERAGE('23.08 Bukaya-Kampala-24h'!K61,'24.08 Bukaya-Kampala-24h'!K61)</f>
        <v>0</v>
      </c>
      <c r="L61" s="49">
        <f>AVERAGE('23.08 Bukaya-Kampala-24h'!L61,'24.08 Bukaya-Kampala-24h'!L61)</f>
        <v>0</v>
      </c>
      <c r="M61" s="49">
        <f>AVERAGE('23.08 Bukaya-Kampala-24h'!M61,'24.08 Bukaya-Kampala-24h'!M61)</f>
        <v>15</v>
      </c>
      <c r="N61" s="49">
        <f>AVERAGE('23.08 Bukaya-Kampala-24h'!N61,'24.08 Bukaya-Kampala-24h'!N61)</f>
        <v>0</v>
      </c>
      <c r="O61" s="15">
        <f t="shared" si="0"/>
        <v>7</v>
      </c>
      <c r="P61" s="15">
        <f t="shared" si="0"/>
        <v>25</v>
      </c>
      <c r="R61" s="8"/>
      <c r="T61"/>
    </row>
    <row r="62" spans="2:20" ht="23.1" customHeight="1" x14ac:dyDescent="0.25">
      <c r="B62" s="23" t="s">
        <v>107</v>
      </c>
      <c r="C62" s="49">
        <f>AVERAGE('23.08 Bukaya-Kampala-24h'!C62,'24.08 Bukaya-Kampala-24h'!C62)</f>
        <v>2</v>
      </c>
      <c r="D62" s="49">
        <f>AVERAGE('23.08 Bukaya-Kampala-24h'!D62,'24.08 Bukaya-Kampala-24h'!D62)</f>
        <v>0</v>
      </c>
      <c r="E62" s="49">
        <f>AVERAGE('23.08 Bukaya-Kampala-24h'!E62,'24.08 Bukaya-Kampala-24h'!E62)</f>
        <v>4</v>
      </c>
      <c r="F62" s="49">
        <f>AVERAGE('23.08 Bukaya-Kampala-24h'!F62,'24.08 Bukaya-Kampala-24h'!F62)</f>
        <v>4</v>
      </c>
      <c r="G62" s="49">
        <f>AVERAGE('23.08 Bukaya-Kampala-24h'!G62,'24.08 Bukaya-Kampala-24h'!G62)</f>
        <v>0</v>
      </c>
      <c r="H62" s="49">
        <f>AVERAGE('23.08 Bukaya-Kampala-24h'!H62,'24.08 Bukaya-Kampala-24h'!H62)</f>
        <v>0</v>
      </c>
      <c r="I62" s="49">
        <f>AVERAGE('23.08 Bukaya-Kampala-24h'!I62,'24.08 Bukaya-Kampala-24h'!I62)</f>
        <v>3</v>
      </c>
      <c r="J62" s="49">
        <f>AVERAGE('23.08 Bukaya-Kampala-24h'!J62,'24.08 Bukaya-Kampala-24h'!J62)</f>
        <v>0</v>
      </c>
      <c r="K62" s="49">
        <f>AVERAGE('23.08 Bukaya-Kampala-24h'!K62,'24.08 Bukaya-Kampala-24h'!K62)</f>
        <v>0</v>
      </c>
      <c r="L62" s="49">
        <f>AVERAGE('23.08 Bukaya-Kampala-24h'!L62,'24.08 Bukaya-Kampala-24h'!L62)</f>
        <v>0</v>
      </c>
      <c r="M62" s="49">
        <f>AVERAGE('23.08 Bukaya-Kampala-24h'!M62,'24.08 Bukaya-Kampala-24h'!M62)</f>
        <v>14</v>
      </c>
      <c r="N62" s="49">
        <f>AVERAGE('23.08 Bukaya-Kampala-24h'!N62,'24.08 Bukaya-Kampala-24h'!N62)</f>
        <v>0</v>
      </c>
      <c r="O62" s="15">
        <f t="shared" si="0"/>
        <v>13</v>
      </c>
      <c r="P62" s="15">
        <f t="shared" si="0"/>
        <v>38</v>
      </c>
      <c r="R62" s="8"/>
      <c r="T62"/>
    </row>
    <row r="63" spans="2:20" ht="23.1" customHeight="1" x14ac:dyDescent="0.25">
      <c r="B63" s="23" t="s">
        <v>108</v>
      </c>
      <c r="C63" s="49">
        <f>AVERAGE('23.08 Bukaya-Kampala-24h'!C63,'24.08 Bukaya-Kampala-24h'!C63)</f>
        <v>1</v>
      </c>
      <c r="D63" s="49">
        <f>AVERAGE('23.08 Bukaya-Kampala-24h'!D63,'24.08 Bukaya-Kampala-24h'!D63)</f>
        <v>0</v>
      </c>
      <c r="E63" s="49">
        <f>AVERAGE('23.08 Bukaya-Kampala-24h'!E63,'24.08 Bukaya-Kampala-24h'!E63)</f>
        <v>3</v>
      </c>
      <c r="F63" s="49">
        <f>AVERAGE('23.08 Bukaya-Kampala-24h'!F63,'24.08 Bukaya-Kampala-24h'!F63)</f>
        <v>1</v>
      </c>
      <c r="G63" s="49">
        <f>AVERAGE('23.08 Bukaya-Kampala-24h'!G63,'24.08 Bukaya-Kampala-24h'!G63)</f>
        <v>0</v>
      </c>
      <c r="H63" s="49">
        <f>AVERAGE('23.08 Bukaya-Kampala-24h'!H63,'24.08 Bukaya-Kampala-24h'!H63)</f>
        <v>0</v>
      </c>
      <c r="I63" s="49">
        <f>AVERAGE('23.08 Bukaya-Kampala-24h'!I63,'24.08 Bukaya-Kampala-24h'!I63)</f>
        <v>3</v>
      </c>
      <c r="J63" s="49">
        <f>AVERAGE('23.08 Bukaya-Kampala-24h'!J63,'24.08 Bukaya-Kampala-24h'!J63)</f>
        <v>1</v>
      </c>
      <c r="K63" s="49">
        <f>AVERAGE('23.08 Bukaya-Kampala-24h'!K63,'24.08 Bukaya-Kampala-24h'!K63)</f>
        <v>0</v>
      </c>
      <c r="L63" s="49">
        <f>AVERAGE('23.08 Bukaya-Kampala-24h'!L63,'24.08 Bukaya-Kampala-24h'!L63)</f>
        <v>0</v>
      </c>
      <c r="M63" s="49">
        <f>AVERAGE('23.08 Bukaya-Kampala-24h'!M63,'24.08 Bukaya-Kampala-24h'!M63)</f>
        <v>13</v>
      </c>
      <c r="N63" s="49">
        <f>AVERAGE('23.08 Bukaya-Kampala-24h'!N63,'24.08 Bukaya-Kampala-24h'!N63)</f>
        <v>0</v>
      </c>
      <c r="O63" s="15">
        <f t="shared" si="0"/>
        <v>9</v>
      </c>
      <c r="P63" s="15">
        <f t="shared" si="0"/>
        <v>30</v>
      </c>
      <c r="R63" s="8"/>
      <c r="T63"/>
    </row>
    <row r="64" spans="2:20" ht="23.1" customHeight="1" x14ac:dyDescent="0.25">
      <c r="B64" s="23" t="s">
        <v>109</v>
      </c>
      <c r="C64" s="49">
        <f>AVERAGE('23.08 Bukaya-Kampala-24h'!C64,'24.08 Bukaya-Kampala-24h'!C64)</f>
        <v>0</v>
      </c>
      <c r="D64" s="49">
        <f>AVERAGE('23.08 Bukaya-Kampala-24h'!D64,'24.08 Bukaya-Kampala-24h'!D64)</f>
        <v>0</v>
      </c>
      <c r="E64" s="49">
        <f>AVERAGE('23.08 Bukaya-Kampala-24h'!E64,'24.08 Bukaya-Kampala-24h'!E64)</f>
        <v>6</v>
      </c>
      <c r="F64" s="49">
        <f>AVERAGE('23.08 Bukaya-Kampala-24h'!F64,'24.08 Bukaya-Kampala-24h'!F64)</f>
        <v>4</v>
      </c>
      <c r="G64" s="49">
        <f>AVERAGE('23.08 Bukaya-Kampala-24h'!G64,'24.08 Bukaya-Kampala-24h'!G64)</f>
        <v>0</v>
      </c>
      <c r="H64" s="49">
        <f>AVERAGE('23.08 Bukaya-Kampala-24h'!H64,'24.08 Bukaya-Kampala-24h'!H64)</f>
        <v>0</v>
      </c>
      <c r="I64" s="49">
        <f>AVERAGE('23.08 Bukaya-Kampala-24h'!I64,'24.08 Bukaya-Kampala-24h'!I64)</f>
        <v>3</v>
      </c>
      <c r="J64" s="49">
        <f>AVERAGE('23.08 Bukaya-Kampala-24h'!J64,'24.08 Bukaya-Kampala-24h'!J64)</f>
        <v>0</v>
      </c>
      <c r="K64" s="49">
        <f>AVERAGE('23.08 Bukaya-Kampala-24h'!K64,'24.08 Bukaya-Kampala-24h'!K64)</f>
        <v>0</v>
      </c>
      <c r="L64" s="49">
        <f>AVERAGE('23.08 Bukaya-Kampala-24h'!L64,'24.08 Bukaya-Kampala-24h'!L64)</f>
        <v>0</v>
      </c>
      <c r="M64" s="49">
        <f>AVERAGE('23.08 Bukaya-Kampala-24h'!M64,'24.08 Bukaya-Kampala-24h'!M64)</f>
        <v>12</v>
      </c>
      <c r="N64" s="49">
        <f>AVERAGE('23.08 Bukaya-Kampala-24h'!N64,'24.08 Bukaya-Kampala-24h'!N64)</f>
        <v>0</v>
      </c>
      <c r="O64" s="15">
        <f t="shared" si="0"/>
        <v>13</v>
      </c>
      <c r="P64" s="15">
        <f t="shared" si="0"/>
        <v>38</v>
      </c>
      <c r="R64" s="8"/>
      <c r="T64"/>
    </row>
    <row r="65" spans="2:20" ht="23.1" customHeight="1" x14ac:dyDescent="0.25">
      <c r="B65" s="23" t="s">
        <v>158</v>
      </c>
      <c r="C65" s="49">
        <f>AVERAGE('23.08 Bukaya-Kampala-24h'!C65,'24.08 Bukaya-Kampala-24h'!C65)</f>
        <v>1</v>
      </c>
      <c r="D65" s="49">
        <f>AVERAGE('23.08 Bukaya-Kampala-24h'!D65,'24.08 Bukaya-Kampala-24h'!D65)</f>
        <v>0</v>
      </c>
      <c r="E65" s="49">
        <f>AVERAGE('23.08 Bukaya-Kampala-24h'!E65,'24.08 Bukaya-Kampala-24h'!E65)</f>
        <v>2</v>
      </c>
      <c r="F65" s="49">
        <f>AVERAGE('23.08 Bukaya-Kampala-24h'!F65,'24.08 Bukaya-Kampala-24h'!F65)</f>
        <v>4</v>
      </c>
      <c r="G65" s="49">
        <f>AVERAGE('23.08 Bukaya-Kampala-24h'!G65,'24.08 Bukaya-Kampala-24h'!G65)</f>
        <v>0</v>
      </c>
      <c r="H65" s="49">
        <f>AVERAGE('23.08 Bukaya-Kampala-24h'!H65,'24.08 Bukaya-Kampala-24h'!H65)</f>
        <v>0</v>
      </c>
      <c r="I65" s="49">
        <f>AVERAGE('23.08 Bukaya-Kampala-24h'!I65,'24.08 Bukaya-Kampala-24h'!I65)</f>
        <v>5</v>
      </c>
      <c r="J65" s="49">
        <f>AVERAGE('23.08 Bukaya-Kampala-24h'!J65,'24.08 Bukaya-Kampala-24h'!J65)</f>
        <v>0</v>
      </c>
      <c r="K65" s="49">
        <f>AVERAGE('23.08 Bukaya-Kampala-24h'!K65,'24.08 Bukaya-Kampala-24h'!K65)</f>
        <v>0</v>
      </c>
      <c r="L65" s="49">
        <f>AVERAGE('23.08 Bukaya-Kampala-24h'!L65,'24.08 Bukaya-Kampala-24h'!L65)</f>
        <v>0</v>
      </c>
      <c r="M65" s="49">
        <f>AVERAGE('23.08 Bukaya-Kampala-24h'!M65,'24.08 Bukaya-Kampala-24h'!M65)</f>
        <v>14</v>
      </c>
      <c r="N65" s="49">
        <f>AVERAGE('23.08 Bukaya-Kampala-24h'!N65,'24.08 Bukaya-Kampala-24h'!N65)</f>
        <v>0</v>
      </c>
      <c r="O65" s="15">
        <f t="shared" si="0"/>
        <v>12</v>
      </c>
      <c r="P65" s="15">
        <f t="shared" si="0"/>
        <v>37</v>
      </c>
      <c r="R65" s="8"/>
      <c r="T65"/>
    </row>
    <row r="66" spans="2:20" ht="23.1" customHeight="1" x14ac:dyDescent="0.25">
      <c r="B66" s="23" t="s">
        <v>103</v>
      </c>
      <c r="C66" s="49">
        <f>AVERAGE('23.08 Bukaya-Kampala-24h'!C66,'24.08 Bukaya-Kampala-24h'!C66)</f>
        <v>3</v>
      </c>
      <c r="D66" s="49">
        <f>AVERAGE('23.08 Bukaya-Kampala-24h'!D66,'24.08 Bukaya-Kampala-24h'!D66)</f>
        <v>0</v>
      </c>
      <c r="E66" s="49">
        <f>AVERAGE('23.08 Bukaya-Kampala-24h'!E66,'24.08 Bukaya-Kampala-24h'!E66)</f>
        <v>2</v>
      </c>
      <c r="F66" s="49">
        <f>AVERAGE('23.08 Bukaya-Kampala-24h'!F66,'24.08 Bukaya-Kampala-24h'!F66)</f>
        <v>1</v>
      </c>
      <c r="G66" s="49">
        <f>AVERAGE('23.08 Bukaya-Kampala-24h'!G66,'24.08 Bukaya-Kampala-24h'!G66)</f>
        <v>0</v>
      </c>
      <c r="H66" s="49">
        <f>AVERAGE('23.08 Bukaya-Kampala-24h'!H66,'24.08 Bukaya-Kampala-24h'!H66)</f>
        <v>0</v>
      </c>
      <c r="I66" s="49">
        <f>AVERAGE('23.08 Bukaya-Kampala-24h'!I66,'24.08 Bukaya-Kampala-24h'!I66)</f>
        <v>3</v>
      </c>
      <c r="J66" s="49">
        <f>AVERAGE('23.08 Bukaya-Kampala-24h'!J66,'24.08 Bukaya-Kampala-24h'!J66)</f>
        <v>0</v>
      </c>
      <c r="K66" s="49">
        <f>AVERAGE('23.08 Bukaya-Kampala-24h'!K66,'24.08 Bukaya-Kampala-24h'!K66)</f>
        <v>0</v>
      </c>
      <c r="L66" s="49">
        <f>AVERAGE('23.08 Bukaya-Kampala-24h'!L66,'24.08 Bukaya-Kampala-24h'!L66)</f>
        <v>0</v>
      </c>
      <c r="M66" s="49">
        <f>AVERAGE('23.08 Bukaya-Kampala-24h'!M66,'24.08 Bukaya-Kampala-24h'!M66)</f>
        <v>15</v>
      </c>
      <c r="N66" s="49">
        <f>AVERAGE('23.08 Bukaya-Kampala-24h'!N66,'24.08 Bukaya-Kampala-24h'!N66)</f>
        <v>0</v>
      </c>
      <c r="O66" s="15">
        <f t="shared" si="0"/>
        <v>9</v>
      </c>
      <c r="P66" s="15">
        <f t="shared" si="0"/>
        <v>30</v>
      </c>
      <c r="R66" s="8"/>
      <c r="T66"/>
    </row>
    <row r="67" spans="2:20" ht="23.1" customHeight="1" x14ac:dyDescent="0.25">
      <c r="B67" s="23" t="s">
        <v>104</v>
      </c>
      <c r="C67" s="49">
        <f>AVERAGE('23.08 Bukaya-Kampala-24h'!C67,'24.08 Bukaya-Kampala-24h'!C67)</f>
        <v>2</v>
      </c>
      <c r="D67" s="49">
        <f>AVERAGE('23.08 Bukaya-Kampala-24h'!D67,'24.08 Bukaya-Kampala-24h'!D67)</f>
        <v>0</v>
      </c>
      <c r="E67" s="49">
        <f>AVERAGE('23.08 Bukaya-Kampala-24h'!E67,'24.08 Bukaya-Kampala-24h'!E67)</f>
        <v>2</v>
      </c>
      <c r="F67" s="49">
        <f>AVERAGE('23.08 Bukaya-Kampala-24h'!F67,'24.08 Bukaya-Kampala-24h'!F67)</f>
        <v>3</v>
      </c>
      <c r="G67" s="49">
        <f>AVERAGE('23.08 Bukaya-Kampala-24h'!G67,'24.08 Bukaya-Kampala-24h'!G67)</f>
        <v>0</v>
      </c>
      <c r="H67" s="49">
        <f>AVERAGE('23.08 Bukaya-Kampala-24h'!H67,'24.08 Bukaya-Kampala-24h'!H67)</f>
        <v>0</v>
      </c>
      <c r="I67" s="49">
        <f>AVERAGE('23.08 Bukaya-Kampala-24h'!I67,'24.08 Bukaya-Kampala-24h'!I67)</f>
        <v>2</v>
      </c>
      <c r="J67" s="49">
        <f>AVERAGE('23.08 Bukaya-Kampala-24h'!J67,'24.08 Bukaya-Kampala-24h'!J67)</f>
        <v>0</v>
      </c>
      <c r="K67" s="49">
        <f>AVERAGE('23.08 Bukaya-Kampala-24h'!K67,'24.08 Bukaya-Kampala-24h'!K67)</f>
        <v>1</v>
      </c>
      <c r="L67" s="49">
        <f>AVERAGE('23.08 Bukaya-Kampala-24h'!L67,'24.08 Bukaya-Kampala-24h'!L67)</f>
        <v>0</v>
      </c>
      <c r="M67" s="49">
        <f>AVERAGE('23.08 Bukaya-Kampala-24h'!M67,'24.08 Bukaya-Kampala-24h'!M67)</f>
        <v>10</v>
      </c>
      <c r="N67" s="49">
        <f>AVERAGE('23.08 Bukaya-Kampala-24h'!N67,'24.08 Bukaya-Kampala-24h'!N67)</f>
        <v>0</v>
      </c>
      <c r="O67" s="15">
        <f t="shared" si="0"/>
        <v>10</v>
      </c>
      <c r="P67" s="15">
        <f t="shared" si="0"/>
        <v>28</v>
      </c>
      <c r="R67" s="8"/>
      <c r="T67"/>
    </row>
    <row r="68" spans="2:20" ht="23.1" customHeight="1" x14ac:dyDescent="0.25">
      <c r="B68" s="23" t="s">
        <v>105</v>
      </c>
      <c r="C68" s="49">
        <f>AVERAGE('23.08 Bukaya-Kampala-24h'!C68,'24.08 Bukaya-Kampala-24h'!C68)</f>
        <v>2</v>
      </c>
      <c r="D68" s="49">
        <f>AVERAGE('23.08 Bukaya-Kampala-24h'!D68,'24.08 Bukaya-Kampala-24h'!D68)</f>
        <v>0</v>
      </c>
      <c r="E68" s="49">
        <f>AVERAGE('23.08 Bukaya-Kampala-24h'!E68,'24.08 Bukaya-Kampala-24h'!E68)</f>
        <v>2</v>
      </c>
      <c r="F68" s="49">
        <f>AVERAGE('23.08 Bukaya-Kampala-24h'!F68,'24.08 Bukaya-Kampala-24h'!F68)</f>
        <v>2</v>
      </c>
      <c r="G68" s="49">
        <f>AVERAGE('23.08 Bukaya-Kampala-24h'!G68,'24.08 Bukaya-Kampala-24h'!G68)</f>
        <v>0</v>
      </c>
      <c r="H68" s="49">
        <f>AVERAGE('23.08 Bukaya-Kampala-24h'!H68,'24.08 Bukaya-Kampala-24h'!H68)</f>
        <v>0</v>
      </c>
      <c r="I68" s="49">
        <f>AVERAGE('23.08 Bukaya-Kampala-24h'!I68,'24.08 Bukaya-Kampala-24h'!I68)</f>
        <v>0</v>
      </c>
      <c r="J68" s="49">
        <f>AVERAGE('23.08 Bukaya-Kampala-24h'!J68,'24.08 Bukaya-Kampala-24h'!J68)</f>
        <v>0</v>
      </c>
      <c r="K68" s="49">
        <f>AVERAGE('23.08 Bukaya-Kampala-24h'!K68,'24.08 Bukaya-Kampala-24h'!K68)</f>
        <v>0</v>
      </c>
      <c r="L68" s="49">
        <f>AVERAGE('23.08 Bukaya-Kampala-24h'!L68,'24.08 Bukaya-Kampala-24h'!L68)</f>
        <v>0</v>
      </c>
      <c r="M68" s="49">
        <f>AVERAGE('23.08 Bukaya-Kampala-24h'!M68,'24.08 Bukaya-Kampala-24h'!M68)</f>
        <v>8</v>
      </c>
      <c r="N68" s="49">
        <f>AVERAGE('23.08 Bukaya-Kampala-24h'!N68,'24.08 Bukaya-Kampala-24h'!N68)</f>
        <v>0</v>
      </c>
      <c r="O68" s="15">
        <f t="shared" si="0"/>
        <v>6</v>
      </c>
      <c r="P68" s="15">
        <f t="shared" si="0"/>
        <v>18</v>
      </c>
      <c r="R68" s="8"/>
      <c r="T68"/>
    </row>
    <row r="69" spans="2:20" ht="23.1" customHeight="1" x14ac:dyDescent="0.25">
      <c r="B69" s="23" t="s">
        <v>106</v>
      </c>
      <c r="C69" s="49">
        <f>AVERAGE('23.08 Bukaya-Kampala-24h'!C69,'24.08 Bukaya-Kampala-24h'!C69)</f>
        <v>1</v>
      </c>
      <c r="D69" s="49">
        <f>AVERAGE('23.08 Bukaya-Kampala-24h'!D69,'24.08 Bukaya-Kampala-24h'!D69)</f>
        <v>0</v>
      </c>
      <c r="E69" s="49">
        <f>AVERAGE('23.08 Bukaya-Kampala-24h'!E69,'24.08 Bukaya-Kampala-24h'!E69)</f>
        <v>4</v>
      </c>
      <c r="F69" s="49">
        <f>AVERAGE('23.08 Bukaya-Kampala-24h'!F69,'24.08 Bukaya-Kampala-24h'!F69)</f>
        <v>1</v>
      </c>
      <c r="G69" s="49">
        <f>AVERAGE('23.08 Bukaya-Kampala-24h'!G69,'24.08 Bukaya-Kampala-24h'!G69)</f>
        <v>0</v>
      </c>
      <c r="H69" s="49">
        <f>AVERAGE('23.08 Bukaya-Kampala-24h'!H69,'24.08 Bukaya-Kampala-24h'!H69)</f>
        <v>0</v>
      </c>
      <c r="I69" s="49">
        <f>AVERAGE('23.08 Bukaya-Kampala-24h'!I69,'24.08 Bukaya-Kampala-24h'!I69)</f>
        <v>1</v>
      </c>
      <c r="J69" s="49">
        <f>AVERAGE('23.08 Bukaya-Kampala-24h'!J69,'24.08 Bukaya-Kampala-24h'!J69)</f>
        <v>0</v>
      </c>
      <c r="K69" s="49">
        <f>AVERAGE('23.08 Bukaya-Kampala-24h'!K69,'24.08 Bukaya-Kampala-24h'!K69)</f>
        <v>0</v>
      </c>
      <c r="L69" s="49">
        <f>AVERAGE('23.08 Bukaya-Kampala-24h'!L69,'24.08 Bukaya-Kampala-24h'!L69)</f>
        <v>0</v>
      </c>
      <c r="M69" s="49">
        <f>AVERAGE('23.08 Bukaya-Kampala-24h'!M69,'24.08 Bukaya-Kampala-24h'!M69)</f>
        <v>5</v>
      </c>
      <c r="N69" s="49">
        <f>AVERAGE('23.08 Bukaya-Kampala-24h'!N69,'24.08 Bukaya-Kampala-24h'!N69)</f>
        <v>0</v>
      </c>
      <c r="O69" s="15">
        <f t="shared" si="0"/>
        <v>7</v>
      </c>
      <c r="P69" s="15">
        <f t="shared" si="0"/>
        <v>18</v>
      </c>
      <c r="R69" s="8"/>
      <c r="T69"/>
    </row>
    <row r="70" spans="2:20" ht="23.1" customHeight="1" x14ac:dyDescent="0.25">
      <c r="B70" s="23" t="s">
        <v>110</v>
      </c>
      <c r="C70" s="49">
        <f>AVERAGE('23.08 Bukaya-Kampala-24h'!C70,'24.08 Bukaya-Kampala-24h'!C70)</f>
        <v>2</v>
      </c>
      <c r="D70" s="49">
        <f>AVERAGE('23.08 Bukaya-Kampala-24h'!D70,'24.08 Bukaya-Kampala-24h'!D70)</f>
        <v>0</v>
      </c>
      <c r="E70" s="49">
        <f>AVERAGE('23.08 Bukaya-Kampala-24h'!E70,'24.08 Bukaya-Kampala-24h'!E70)</f>
        <v>1</v>
      </c>
      <c r="F70" s="49">
        <f>AVERAGE('23.08 Bukaya-Kampala-24h'!F70,'24.08 Bukaya-Kampala-24h'!F70)</f>
        <v>0</v>
      </c>
      <c r="G70" s="49">
        <f>AVERAGE('23.08 Bukaya-Kampala-24h'!G70,'24.08 Bukaya-Kampala-24h'!G70)</f>
        <v>1</v>
      </c>
      <c r="H70" s="49">
        <f>AVERAGE('23.08 Bukaya-Kampala-24h'!H70,'24.08 Bukaya-Kampala-24h'!H70)</f>
        <v>0</v>
      </c>
      <c r="I70" s="49">
        <f>AVERAGE('23.08 Bukaya-Kampala-24h'!I70,'24.08 Bukaya-Kampala-24h'!I70)</f>
        <v>2</v>
      </c>
      <c r="J70" s="49">
        <f>AVERAGE('23.08 Bukaya-Kampala-24h'!J70,'24.08 Bukaya-Kampala-24h'!J70)</f>
        <v>0</v>
      </c>
      <c r="K70" s="49">
        <f>AVERAGE('23.08 Bukaya-Kampala-24h'!K70,'24.08 Bukaya-Kampala-24h'!K70)</f>
        <v>1</v>
      </c>
      <c r="L70" s="49">
        <f>AVERAGE('23.08 Bukaya-Kampala-24h'!L70,'24.08 Bukaya-Kampala-24h'!L70)</f>
        <v>0</v>
      </c>
      <c r="M70" s="49">
        <f>AVERAGE('23.08 Bukaya-Kampala-24h'!M70,'24.08 Bukaya-Kampala-24h'!M70)</f>
        <v>4</v>
      </c>
      <c r="N70" s="49">
        <f>AVERAGE('23.08 Bukaya-Kampala-24h'!N70,'24.08 Bukaya-Kampala-24h'!N70)</f>
        <v>0</v>
      </c>
      <c r="O70" s="15">
        <f t="shared" si="0"/>
        <v>7</v>
      </c>
      <c r="P70" s="15">
        <f t="shared" si="0"/>
        <v>16</v>
      </c>
      <c r="R70" s="8"/>
      <c r="T70"/>
    </row>
    <row r="71" spans="2:20" ht="23.1" customHeight="1" x14ac:dyDescent="0.25">
      <c r="B71" s="23" t="s">
        <v>111</v>
      </c>
      <c r="C71" s="49">
        <f>AVERAGE('23.08 Bukaya-Kampala-24h'!C71,'24.08 Bukaya-Kampala-24h'!C71)</f>
        <v>2</v>
      </c>
      <c r="D71" s="49">
        <f>AVERAGE('23.08 Bukaya-Kampala-24h'!D71,'24.08 Bukaya-Kampala-24h'!D71)</f>
        <v>0</v>
      </c>
      <c r="E71" s="49">
        <f>AVERAGE('23.08 Bukaya-Kampala-24h'!E71,'24.08 Bukaya-Kampala-24h'!E71)</f>
        <v>1</v>
      </c>
      <c r="F71" s="49">
        <f>AVERAGE('23.08 Bukaya-Kampala-24h'!F71,'24.08 Bukaya-Kampala-24h'!F71)</f>
        <v>1</v>
      </c>
      <c r="G71" s="49">
        <f>AVERAGE('23.08 Bukaya-Kampala-24h'!G71,'24.08 Bukaya-Kampala-24h'!G71)</f>
        <v>0</v>
      </c>
      <c r="H71" s="49">
        <f>AVERAGE('23.08 Bukaya-Kampala-24h'!H71,'24.08 Bukaya-Kampala-24h'!H71)</f>
        <v>0</v>
      </c>
      <c r="I71" s="49">
        <f>AVERAGE('23.08 Bukaya-Kampala-24h'!I71,'24.08 Bukaya-Kampala-24h'!I71)</f>
        <v>1</v>
      </c>
      <c r="J71" s="49">
        <f>AVERAGE('23.08 Bukaya-Kampala-24h'!J71,'24.08 Bukaya-Kampala-24h'!J71)</f>
        <v>0</v>
      </c>
      <c r="K71" s="49">
        <f>AVERAGE('23.08 Bukaya-Kampala-24h'!K71,'24.08 Bukaya-Kampala-24h'!K71)</f>
        <v>0</v>
      </c>
      <c r="L71" s="49">
        <f>AVERAGE('23.08 Bukaya-Kampala-24h'!L71,'24.08 Bukaya-Kampala-24h'!L71)</f>
        <v>0</v>
      </c>
      <c r="M71" s="49">
        <f>AVERAGE('23.08 Bukaya-Kampala-24h'!M71,'24.08 Bukaya-Kampala-24h'!M71)</f>
        <v>6</v>
      </c>
      <c r="N71" s="49">
        <f>AVERAGE('23.08 Bukaya-Kampala-24h'!N71,'24.08 Bukaya-Kampala-24h'!N71)</f>
        <v>0</v>
      </c>
      <c r="O71" s="15">
        <f t="shared" si="0"/>
        <v>5</v>
      </c>
      <c r="P71" s="15">
        <f t="shared" si="0"/>
        <v>14</v>
      </c>
      <c r="R71" s="8"/>
      <c r="T71"/>
    </row>
    <row r="72" spans="2:20" ht="23.1" customHeight="1" x14ac:dyDescent="0.25">
      <c r="B72" s="23" t="s">
        <v>112</v>
      </c>
      <c r="C72" s="49">
        <f>AVERAGE('23.08 Bukaya-Kampala-24h'!C72,'24.08 Bukaya-Kampala-24h'!C72)</f>
        <v>4</v>
      </c>
      <c r="D72" s="49">
        <f>AVERAGE('23.08 Bukaya-Kampala-24h'!D72,'24.08 Bukaya-Kampala-24h'!D72)</f>
        <v>0</v>
      </c>
      <c r="E72" s="49">
        <f>AVERAGE('23.08 Bukaya-Kampala-24h'!E72,'24.08 Bukaya-Kampala-24h'!E72)</f>
        <v>1</v>
      </c>
      <c r="F72" s="49">
        <f>AVERAGE('23.08 Bukaya-Kampala-24h'!F72,'24.08 Bukaya-Kampala-24h'!F72)</f>
        <v>2</v>
      </c>
      <c r="G72" s="49">
        <f>AVERAGE('23.08 Bukaya-Kampala-24h'!G72,'24.08 Bukaya-Kampala-24h'!G72)</f>
        <v>0</v>
      </c>
      <c r="H72" s="49">
        <f>AVERAGE('23.08 Bukaya-Kampala-24h'!H72,'24.08 Bukaya-Kampala-24h'!H72)</f>
        <v>0</v>
      </c>
      <c r="I72" s="49">
        <f>AVERAGE('23.08 Bukaya-Kampala-24h'!I72,'24.08 Bukaya-Kampala-24h'!I72)</f>
        <v>0</v>
      </c>
      <c r="J72" s="49">
        <f>AVERAGE('23.08 Bukaya-Kampala-24h'!J72,'24.08 Bukaya-Kampala-24h'!J72)</f>
        <v>0</v>
      </c>
      <c r="K72" s="49">
        <f>AVERAGE('23.08 Bukaya-Kampala-24h'!K72,'24.08 Bukaya-Kampala-24h'!K72)</f>
        <v>0</v>
      </c>
      <c r="L72" s="49">
        <f>AVERAGE('23.08 Bukaya-Kampala-24h'!L72,'24.08 Bukaya-Kampala-24h'!L72)</f>
        <v>0</v>
      </c>
      <c r="M72" s="49">
        <f>AVERAGE('23.08 Bukaya-Kampala-24h'!M72,'24.08 Bukaya-Kampala-24h'!M72)</f>
        <v>3</v>
      </c>
      <c r="N72" s="49">
        <f>AVERAGE('23.08 Bukaya-Kampala-24h'!N72,'24.08 Bukaya-Kampala-24h'!N72)</f>
        <v>0</v>
      </c>
      <c r="O72" s="15">
        <f t="shared" si="0"/>
        <v>7</v>
      </c>
      <c r="P72" s="15">
        <f t="shared" si="0"/>
        <v>13</v>
      </c>
      <c r="R72" s="8"/>
      <c r="T72"/>
    </row>
    <row r="73" spans="2:20" ht="23.1" customHeight="1" x14ac:dyDescent="0.25">
      <c r="B73" s="23" t="s">
        <v>113</v>
      </c>
      <c r="C73" s="49">
        <f>AVERAGE('23.08 Bukaya-Kampala-24h'!C73,'24.08 Bukaya-Kampala-24h'!C73)</f>
        <v>2</v>
      </c>
      <c r="D73" s="49">
        <f>AVERAGE('23.08 Bukaya-Kampala-24h'!D73,'24.08 Bukaya-Kampala-24h'!D73)</f>
        <v>0</v>
      </c>
      <c r="E73" s="49">
        <f>AVERAGE('23.08 Bukaya-Kampala-24h'!E73,'24.08 Bukaya-Kampala-24h'!E73)</f>
        <v>2</v>
      </c>
      <c r="F73" s="49">
        <f>AVERAGE('23.08 Bukaya-Kampala-24h'!F73,'24.08 Bukaya-Kampala-24h'!F73)</f>
        <v>2</v>
      </c>
      <c r="G73" s="49">
        <f>AVERAGE('23.08 Bukaya-Kampala-24h'!G73,'24.08 Bukaya-Kampala-24h'!G73)</f>
        <v>0</v>
      </c>
      <c r="H73" s="49">
        <f>AVERAGE('23.08 Bukaya-Kampala-24h'!H73,'24.08 Bukaya-Kampala-24h'!H73)</f>
        <v>0</v>
      </c>
      <c r="I73" s="49">
        <f>AVERAGE('23.08 Bukaya-Kampala-24h'!I73,'24.08 Bukaya-Kampala-24h'!I73)</f>
        <v>3</v>
      </c>
      <c r="J73" s="49">
        <f>AVERAGE('23.08 Bukaya-Kampala-24h'!J73,'24.08 Bukaya-Kampala-24h'!J73)</f>
        <v>0</v>
      </c>
      <c r="K73" s="49">
        <f>AVERAGE('23.08 Bukaya-Kampala-24h'!K73,'24.08 Bukaya-Kampala-24h'!K73)</f>
        <v>0</v>
      </c>
      <c r="L73" s="49">
        <f>AVERAGE('23.08 Bukaya-Kampala-24h'!L73,'24.08 Bukaya-Kampala-24h'!L73)</f>
        <v>0</v>
      </c>
      <c r="M73" s="49">
        <f>AVERAGE('23.08 Bukaya-Kampala-24h'!M73,'24.08 Bukaya-Kampala-24h'!M73)</f>
        <v>4</v>
      </c>
      <c r="N73" s="49">
        <f>AVERAGE('23.08 Bukaya-Kampala-24h'!N73,'24.08 Bukaya-Kampala-24h'!N73)</f>
        <v>0</v>
      </c>
      <c r="O73" s="15">
        <f t="shared" si="0"/>
        <v>9</v>
      </c>
      <c r="P73" s="15">
        <f t="shared" si="0"/>
        <v>20</v>
      </c>
      <c r="R73" s="8"/>
      <c r="T73"/>
    </row>
    <row r="74" spans="2:20" ht="23.1" customHeight="1" x14ac:dyDescent="0.25">
      <c r="B74" s="23" t="s">
        <v>114</v>
      </c>
      <c r="C74" s="49">
        <f>AVERAGE('23.08 Bukaya-Kampala-24h'!C74,'24.08 Bukaya-Kampala-24h'!C74)</f>
        <v>1</v>
      </c>
      <c r="D74" s="49">
        <f>AVERAGE('23.08 Bukaya-Kampala-24h'!D74,'24.08 Bukaya-Kampala-24h'!D74)</f>
        <v>0</v>
      </c>
      <c r="E74" s="49">
        <f>AVERAGE('23.08 Bukaya-Kampala-24h'!E74,'24.08 Bukaya-Kampala-24h'!E74)</f>
        <v>3</v>
      </c>
      <c r="F74" s="49">
        <f>AVERAGE('23.08 Bukaya-Kampala-24h'!F74,'24.08 Bukaya-Kampala-24h'!F74)</f>
        <v>1</v>
      </c>
      <c r="G74" s="49">
        <f>AVERAGE('23.08 Bukaya-Kampala-24h'!G74,'24.08 Bukaya-Kampala-24h'!G74)</f>
        <v>0</v>
      </c>
      <c r="H74" s="49">
        <f>AVERAGE('23.08 Bukaya-Kampala-24h'!H74,'24.08 Bukaya-Kampala-24h'!H74)</f>
        <v>0</v>
      </c>
      <c r="I74" s="49">
        <f>AVERAGE('23.08 Bukaya-Kampala-24h'!I74,'24.08 Bukaya-Kampala-24h'!I74)</f>
        <v>3</v>
      </c>
      <c r="J74" s="49">
        <f>AVERAGE('23.08 Bukaya-Kampala-24h'!J74,'24.08 Bukaya-Kampala-24h'!J74)</f>
        <v>1</v>
      </c>
      <c r="K74" s="49">
        <f>AVERAGE('23.08 Bukaya-Kampala-24h'!K74,'24.08 Bukaya-Kampala-24h'!K74)</f>
        <v>0</v>
      </c>
      <c r="L74" s="49">
        <f>AVERAGE('23.08 Bukaya-Kampala-24h'!L74,'24.08 Bukaya-Kampala-24h'!L74)</f>
        <v>0</v>
      </c>
      <c r="M74" s="49">
        <f>AVERAGE('23.08 Bukaya-Kampala-24h'!M74,'24.08 Bukaya-Kampala-24h'!M74)</f>
        <v>0</v>
      </c>
      <c r="N74" s="49">
        <f>AVERAGE('23.08 Bukaya-Kampala-24h'!N74,'24.08 Bukaya-Kampala-24h'!N74)</f>
        <v>0</v>
      </c>
      <c r="O74" s="15">
        <f t="shared" ref="O74:P105" si="35">SUM(C74:L74,N74)</f>
        <v>9</v>
      </c>
      <c r="P74" s="15">
        <f t="shared" si="35"/>
        <v>17</v>
      </c>
      <c r="R74" s="8"/>
      <c r="T74"/>
    </row>
    <row r="75" spans="2:20" ht="23.1" customHeight="1" x14ac:dyDescent="0.25">
      <c r="B75" s="23" t="s">
        <v>115</v>
      </c>
      <c r="C75" s="49">
        <f>AVERAGE('23.08 Bukaya-Kampala-24h'!C75,'24.08 Bukaya-Kampala-24h'!C75)</f>
        <v>0</v>
      </c>
      <c r="D75" s="49">
        <f>AVERAGE('23.08 Bukaya-Kampala-24h'!D75,'24.08 Bukaya-Kampala-24h'!D75)</f>
        <v>0</v>
      </c>
      <c r="E75" s="49">
        <f>AVERAGE('23.08 Bukaya-Kampala-24h'!E75,'24.08 Bukaya-Kampala-24h'!E75)</f>
        <v>4</v>
      </c>
      <c r="F75" s="49">
        <f>AVERAGE('23.08 Bukaya-Kampala-24h'!F75,'24.08 Bukaya-Kampala-24h'!F75)</f>
        <v>2</v>
      </c>
      <c r="G75" s="49">
        <f>AVERAGE('23.08 Bukaya-Kampala-24h'!G75,'24.08 Bukaya-Kampala-24h'!G75)</f>
        <v>0</v>
      </c>
      <c r="H75" s="49">
        <f>AVERAGE('23.08 Bukaya-Kampala-24h'!H75,'24.08 Bukaya-Kampala-24h'!H75)</f>
        <v>0</v>
      </c>
      <c r="I75" s="49">
        <f>AVERAGE('23.08 Bukaya-Kampala-24h'!I75,'24.08 Bukaya-Kampala-24h'!I75)</f>
        <v>3</v>
      </c>
      <c r="J75" s="49">
        <f>AVERAGE('23.08 Bukaya-Kampala-24h'!J75,'24.08 Bukaya-Kampala-24h'!J75)</f>
        <v>0</v>
      </c>
      <c r="K75" s="49">
        <f>AVERAGE('23.08 Bukaya-Kampala-24h'!K75,'24.08 Bukaya-Kampala-24h'!K75)</f>
        <v>0</v>
      </c>
      <c r="L75" s="49">
        <f>AVERAGE('23.08 Bukaya-Kampala-24h'!L75,'24.08 Bukaya-Kampala-24h'!L75)</f>
        <v>0</v>
      </c>
      <c r="M75" s="49">
        <f>AVERAGE('23.08 Bukaya-Kampala-24h'!M75,'24.08 Bukaya-Kampala-24h'!M75)</f>
        <v>0</v>
      </c>
      <c r="N75" s="49">
        <f>AVERAGE('23.08 Bukaya-Kampala-24h'!N75,'24.08 Bukaya-Kampala-24h'!N75)</f>
        <v>0</v>
      </c>
      <c r="O75" s="15">
        <f t="shared" si="35"/>
        <v>9</v>
      </c>
      <c r="P75" s="15">
        <f t="shared" si="35"/>
        <v>18</v>
      </c>
      <c r="R75" s="8"/>
      <c r="T75"/>
    </row>
    <row r="76" spans="2:20" ht="23.1" customHeight="1" x14ac:dyDescent="0.25">
      <c r="B76" s="23" t="s">
        <v>116</v>
      </c>
      <c r="C76" s="49">
        <f>AVERAGE('23.08 Bukaya-Kampala-24h'!C76,'24.08 Bukaya-Kampala-24h'!C76)</f>
        <v>1</v>
      </c>
      <c r="D76" s="49">
        <f>AVERAGE('23.08 Bukaya-Kampala-24h'!D76,'24.08 Bukaya-Kampala-24h'!D76)</f>
        <v>0</v>
      </c>
      <c r="E76" s="49">
        <f>AVERAGE('23.08 Bukaya-Kampala-24h'!E76,'24.08 Bukaya-Kampala-24h'!E76)</f>
        <v>2</v>
      </c>
      <c r="F76" s="49">
        <f>AVERAGE('23.08 Bukaya-Kampala-24h'!F76,'24.08 Bukaya-Kampala-24h'!F76)</f>
        <v>1</v>
      </c>
      <c r="G76" s="49">
        <f>AVERAGE('23.08 Bukaya-Kampala-24h'!G76,'24.08 Bukaya-Kampala-24h'!G76)</f>
        <v>0</v>
      </c>
      <c r="H76" s="49">
        <f>AVERAGE('23.08 Bukaya-Kampala-24h'!H76,'24.08 Bukaya-Kampala-24h'!H76)</f>
        <v>0</v>
      </c>
      <c r="I76" s="49">
        <f>AVERAGE('23.08 Bukaya-Kampala-24h'!I76,'24.08 Bukaya-Kampala-24h'!I76)</f>
        <v>5</v>
      </c>
      <c r="J76" s="49">
        <f>AVERAGE('23.08 Bukaya-Kampala-24h'!J76,'24.08 Bukaya-Kampala-24h'!J76)</f>
        <v>0</v>
      </c>
      <c r="K76" s="49">
        <f>AVERAGE('23.08 Bukaya-Kampala-24h'!K76,'24.08 Bukaya-Kampala-24h'!K76)</f>
        <v>0</v>
      </c>
      <c r="L76" s="49">
        <f>AVERAGE('23.08 Bukaya-Kampala-24h'!L76,'24.08 Bukaya-Kampala-24h'!L76)</f>
        <v>0</v>
      </c>
      <c r="M76" s="49">
        <f>AVERAGE('23.08 Bukaya-Kampala-24h'!M76,'24.08 Bukaya-Kampala-24h'!M76)</f>
        <v>0</v>
      </c>
      <c r="N76" s="49">
        <f>AVERAGE('23.08 Bukaya-Kampala-24h'!N76,'24.08 Bukaya-Kampala-24h'!N76)</f>
        <v>0</v>
      </c>
      <c r="O76" s="15">
        <f t="shared" si="35"/>
        <v>9</v>
      </c>
      <c r="P76" s="15">
        <f t="shared" si="35"/>
        <v>17</v>
      </c>
      <c r="R76" s="8"/>
      <c r="T76"/>
    </row>
    <row r="77" spans="2:20" ht="23.1" customHeight="1" x14ac:dyDescent="0.25">
      <c r="B77" s="23" t="s">
        <v>117</v>
      </c>
      <c r="C77" s="49">
        <f>AVERAGE('23.08 Bukaya-Kampala-24h'!C77,'24.08 Bukaya-Kampala-24h'!C77)</f>
        <v>4</v>
      </c>
      <c r="D77" s="49">
        <f>AVERAGE('23.08 Bukaya-Kampala-24h'!D77,'24.08 Bukaya-Kampala-24h'!D77)</f>
        <v>0</v>
      </c>
      <c r="E77" s="49">
        <f>AVERAGE('23.08 Bukaya-Kampala-24h'!E77,'24.08 Bukaya-Kampala-24h'!E77)</f>
        <v>2</v>
      </c>
      <c r="F77" s="49">
        <f>AVERAGE('23.08 Bukaya-Kampala-24h'!F77,'24.08 Bukaya-Kampala-24h'!F77)</f>
        <v>1</v>
      </c>
      <c r="G77" s="49">
        <f>AVERAGE('23.08 Bukaya-Kampala-24h'!G77,'24.08 Bukaya-Kampala-24h'!G77)</f>
        <v>0</v>
      </c>
      <c r="H77" s="49">
        <f>AVERAGE('23.08 Bukaya-Kampala-24h'!H77,'24.08 Bukaya-Kampala-24h'!H77)</f>
        <v>0</v>
      </c>
      <c r="I77" s="49">
        <f>AVERAGE('23.08 Bukaya-Kampala-24h'!I77,'24.08 Bukaya-Kampala-24h'!I77)</f>
        <v>3</v>
      </c>
      <c r="J77" s="49">
        <f>AVERAGE('23.08 Bukaya-Kampala-24h'!J77,'24.08 Bukaya-Kampala-24h'!J77)</f>
        <v>0</v>
      </c>
      <c r="K77" s="49">
        <f>AVERAGE('23.08 Bukaya-Kampala-24h'!K77,'24.08 Bukaya-Kampala-24h'!K77)</f>
        <v>0</v>
      </c>
      <c r="L77" s="49">
        <f>AVERAGE('23.08 Bukaya-Kampala-24h'!L77,'24.08 Bukaya-Kampala-24h'!L77)</f>
        <v>0</v>
      </c>
      <c r="M77" s="49">
        <f>AVERAGE('23.08 Bukaya-Kampala-24h'!M77,'24.08 Bukaya-Kampala-24h'!M77)</f>
        <v>0</v>
      </c>
      <c r="N77" s="49">
        <f>AVERAGE('23.08 Bukaya-Kampala-24h'!N77,'24.08 Bukaya-Kampala-24h'!N77)</f>
        <v>0</v>
      </c>
      <c r="O77" s="15">
        <f t="shared" si="35"/>
        <v>10</v>
      </c>
      <c r="P77" s="15">
        <f t="shared" si="35"/>
        <v>16</v>
      </c>
      <c r="R77" s="8"/>
      <c r="T77"/>
    </row>
    <row r="78" spans="2:20" ht="23.1" customHeight="1" x14ac:dyDescent="0.25">
      <c r="B78" s="24" t="s">
        <v>118</v>
      </c>
      <c r="C78" s="49">
        <f>AVERAGE('23.08 Bukaya-Kampala-24h'!C78,'24.08 Bukaya-Kampala-24h'!C78)</f>
        <v>2</v>
      </c>
      <c r="D78" s="49">
        <f>AVERAGE('23.08 Bukaya-Kampala-24h'!D78,'24.08 Bukaya-Kampala-24h'!D78)</f>
        <v>0</v>
      </c>
      <c r="E78" s="49">
        <f>AVERAGE('23.08 Bukaya-Kampala-24h'!E78,'24.08 Bukaya-Kampala-24h'!E78)</f>
        <v>1</v>
      </c>
      <c r="F78" s="49">
        <f>AVERAGE('23.08 Bukaya-Kampala-24h'!F78,'24.08 Bukaya-Kampala-24h'!F78)</f>
        <v>3</v>
      </c>
      <c r="G78" s="49">
        <f>AVERAGE('23.08 Bukaya-Kampala-24h'!G78,'24.08 Bukaya-Kampala-24h'!G78)</f>
        <v>0</v>
      </c>
      <c r="H78" s="49">
        <f>AVERAGE('23.08 Bukaya-Kampala-24h'!H78,'24.08 Bukaya-Kampala-24h'!H78)</f>
        <v>0</v>
      </c>
      <c r="I78" s="49">
        <f>AVERAGE('23.08 Bukaya-Kampala-24h'!I78,'24.08 Bukaya-Kampala-24h'!I78)</f>
        <v>2</v>
      </c>
      <c r="J78" s="49">
        <f>AVERAGE('23.08 Bukaya-Kampala-24h'!J78,'24.08 Bukaya-Kampala-24h'!J78)</f>
        <v>0</v>
      </c>
      <c r="K78" s="49">
        <f>AVERAGE('23.08 Bukaya-Kampala-24h'!K78,'24.08 Bukaya-Kampala-24h'!K78)</f>
        <v>1</v>
      </c>
      <c r="L78" s="49">
        <f>AVERAGE('23.08 Bukaya-Kampala-24h'!L78,'24.08 Bukaya-Kampala-24h'!L78)</f>
        <v>0</v>
      </c>
      <c r="M78" s="49">
        <f>AVERAGE('23.08 Bukaya-Kampala-24h'!M78,'24.08 Bukaya-Kampala-24h'!M78)</f>
        <v>0</v>
      </c>
      <c r="N78" s="49">
        <f>AVERAGE('23.08 Bukaya-Kampala-24h'!N78,'24.08 Bukaya-Kampala-24h'!N78)</f>
        <v>0</v>
      </c>
      <c r="O78" s="15">
        <f t="shared" si="35"/>
        <v>9</v>
      </c>
      <c r="P78" s="15">
        <f t="shared" si="35"/>
        <v>16</v>
      </c>
      <c r="R78" s="8"/>
      <c r="T78"/>
    </row>
    <row r="79" spans="2:20" ht="23.1" customHeight="1" x14ac:dyDescent="0.25">
      <c r="B79" s="23" t="s">
        <v>119</v>
      </c>
      <c r="C79" s="49">
        <f>AVERAGE('23.08 Bukaya-Kampala-24h'!C79,'24.08 Bukaya-Kampala-24h'!C79)</f>
        <v>1</v>
      </c>
      <c r="D79" s="49">
        <f>AVERAGE('23.08 Bukaya-Kampala-24h'!D79,'24.08 Bukaya-Kampala-24h'!D79)</f>
        <v>0</v>
      </c>
      <c r="E79" s="49">
        <f>AVERAGE('23.08 Bukaya-Kampala-24h'!E79,'24.08 Bukaya-Kampala-24h'!E79)</f>
        <v>0</v>
      </c>
      <c r="F79" s="49">
        <f>AVERAGE('23.08 Bukaya-Kampala-24h'!F79,'24.08 Bukaya-Kampala-24h'!F79)</f>
        <v>0</v>
      </c>
      <c r="G79" s="49">
        <f>AVERAGE('23.08 Bukaya-Kampala-24h'!G79,'24.08 Bukaya-Kampala-24h'!G79)</f>
        <v>0</v>
      </c>
      <c r="H79" s="49">
        <f>AVERAGE('23.08 Bukaya-Kampala-24h'!H79,'24.08 Bukaya-Kampala-24h'!H79)</f>
        <v>0</v>
      </c>
      <c r="I79" s="49">
        <f>AVERAGE('23.08 Bukaya-Kampala-24h'!I79,'24.08 Bukaya-Kampala-24h'!I79)</f>
        <v>0</v>
      </c>
      <c r="J79" s="49">
        <f>AVERAGE('23.08 Bukaya-Kampala-24h'!J79,'24.08 Bukaya-Kampala-24h'!J79)</f>
        <v>0</v>
      </c>
      <c r="K79" s="49">
        <f>AVERAGE('23.08 Bukaya-Kampala-24h'!K79,'24.08 Bukaya-Kampala-24h'!K79)</f>
        <v>0</v>
      </c>
      <c r="L79" s="49">
        <f>AVERAGE('23.08 Bukaya-Kampala-24h'!L79,'24.08 Bukaya-Kampala-24h'!L79)</f>
        <v>0</v>
      </c>
      <c r="M79" s="49">
        <f>AVERAGE('23.08 Bukaya-Kampala-24h'!M79,'24.08 Bukaya-Kampala-24h'!M79)</f>
        <v>0</v>
      </c>
      <c r="N79" s="49">
        <f>AVERAGE('23.08 Bukaya-Kampala-24h'!N79,'24.08 Bukaya-Kampala-24h'!N79)</f>
        <v>0</v>
      </c>
      <c r="O79" s="15">
        <f t="shared" si="35"/>
        <v>1</v>
      </c>
      <c r="P79" s="15">
        <f t="shared" si="35"/>
        <v>1</v>
      </c>
      <c r="R79" s="8"/>
      <c r="T79"/>
    </row>
    <row r="80" spans="2:20" ht="23.1" customHeight="1" x14ac:dyDescent="0.25">
      <c r="B80" s="25" t="s">
        <v>120</v>
      </c>
      <c r="C80" s="49">
        <f>AVERAGE('23.08 Bukaya-Kampala-24h'!C80,'24.08 Bukaya-Kampala-24h'!C80)</f>
        <v>3</v>
      </c>
      <c r="D80" s="49">
        <f>AVERAGE('23.08 Bukaya-Kampala-24h'!D80,'24.08 Bukaya-Kampala-24h'!D80)</f>
        <v>0</v>
      </c>
      <c r="E80" s="49">
        <f>AVERAGE('23.08 Bukaya-Kampala-24h'!E80,'24.08 Bukaya-Kampala-24h'!E80)</f>
        <v>2</v>
      </c>
      <c r="F80" s="49">
        <f>AVERAGE('23.08 Bukaya-Kampala-24h'!F80,'24.08 Bukaya-Kampala-24h'!F80)</f>
        <v>2</v>
      </c>
      <c r="G80" s="49">
        <f>AVERAGE('23.08 Bukaya-Kampala-24h'!G80,'24.08 Bukaya-Kampala-24h'!G80)</f>
        <v>0</v>
      </c>
      <c r="H80" s="49">
        <f>AVERAGE('23.08 Bukaya-Kampala-24h'!H80,'24.08 Bukaya-Kampala-24h'!H80)</f>
        <v>0</v>
      </c>
      <c r="I80" s="49">
        <f>AVERAGE('23.08 Bukaya-Kampala-24h'!I80,'24.08 Bukaya-Kampala-24h'!I80)</f>
        <v>3</v>
      </c>
      <c r="J80" s="49">
        <f>AVERAGE('23.08 Bukaya-Kampala-24h'!J80,'24.08 Bukaya-Kampala-24h'!J80)</f>
        <v>0</v>
      </c>
      <c r="K80" s="49">
        <f>AVERAGE('23.08 Bukaya-Kampala-24h'!K80,'24.08 Bukaya-Kampala-24h'!K80)</f>
        <v>0</v>
      </c>
      <c r="L80" s="49">
        <f>AVERAGE('23.08 Bukaya-Kampala-24h'!L80,'24.08 Bukaya-Kampala-24h'!L80)</f>
        <v>0</v>
      </c>
      <c r="M80" s="49">
        <f>AVERAGE('23.08 Bukaya-Kampala-24h'!M80,'24.08 Bukaya-Kampala-24h'!M80)</f>
        <v>0</v>
      </c>
      <c r="N80" s="49">
        <f>AVERAGE('23.08 Bukaya-Kampala-24h'!N80,'24.08 Bukaya-Kampala-24h'!N80)</f>
        <v>0</v>
      </c>
      <c r="O80" s="15">
        <f t="shared" si="35"/>
        <v>10</v>
      </c>
      <c r="P80" s="15">
        <f t="shared" si="35"/>
        <v>17</v>
      </c>
      <c r="R80" s="8"/>
      <c r="T80"/>
    </row>
    <row r="81" spans="2:20" ht="23.1" customHeight="1" x14ac:dyDescent="0.25">
      <c r="B81" s="23" t="s">
        <v>121</v>
      </c>
      <c r="C81" s="49">
        <f>AVERAGE('23.08 Bukaya-Kampala-24h'!C81,'24.08 Bukaya-Kampala-24h'!C81)</f>
        <v>1</v>
      </c>
      <c r="D81" s="49">
        <f>AVERAGE('23.08 Bukaya-Kampala-24h'!D81,'24.08 Bukaya-Kampala-24h'!D81)</f>
        <v>0</v>
      </c>
      <c r="E81" s="49">
        <f>AVERAGE('23.08 Bukaya-Kampala-24h'!E81,'24.08 Bukaya-Kampala-24h'!E81)</f>
        <v>1</v>
      </c>
      <c r="F81" s="49">
        <f>AVERAGE('23.08 Bukaya-Kampala-24h'!F81,'24.08 Bukaya-Kampala-24h'!F81)</f>
        <v>1</v>
      </c>
      <c r="G81" s="49">
        <f>AVERAGE('23.08 Bukaya-Kampala-24h'!G81,'24.08 Bukaya-Kampala-24h'!G81)</f>
        <v>0</v>
      </c>
      <c r="H81" s="49">
        <f>AVERAGE('23.08 Bukaya-Kampala-24h'!H81,'24.08 Bukaya-Kampala-24h'!H81)</f>
        <v>0</v>
      </c>
      <c r="I81" s="49">
        <f>AVERAGE('23.08 Bukaya-Kampala-24h'!I81,'24.08 Bukaya-Kampala-24h'!I81)</f>
        <v>5</v>
      </c>
      <c r="J81" s="49">
        <f>AVERAGE('23.08 Bukaya-Kampala-24h'!J81,'24.08 Bukaya-Kampala-24h'!J81)</f>
        <v>0</v>
      </c>
      <c r="K81" s="49">
        <f>AVERAGE('23.08 Bukaya-Kampala-24h'!K81,'24.08 Bukaya-Kampala-24h'!K81)</f>
        <v>0</v>
      </c>
      <c r="L81" s="49">
        <f>AVERAGE('23.08 Bukaya-Kampala-24h'!L81,'24.08 Bukaya-Kampala-24h'!L81)</f>
        <v>0</v>
      </c>
      <c r="M81" s="49">
        <f>AVERAGE('23.08 Bukaya-Kampala-24h'!M81,'24.08 Bukaya-Kampala-24h'!M81)</f>
        <v>0</v>
      </c>
      <c r="N81" s="49">
        <f>AVERAGE('23.08 Bukaya-Kampala-24h'!N81,'24.08 Bukaya-Kampala-24h'!N81)</f>
        <v>0</v>
      </c>
      <c r="O81" s="15">
        <f t="shared" si="35"/>
        <v>8</v>
      </c>
      <c r="P81" s="15">
        <f t="shared" si="35"/>
        <v>15</v>
      </c>
      <c r="R81" s="8"/>
      <c r="T81"/>
    </row>
    <row r="82" spans="2:20" ht="23.1" customHeight="1" x14ac:dyDescent="0.25">
      <c r="B82" s="24" t="s">
        <v>122</v>
      </c>
      <c r="C82" s="49">
        <f>AVERAGE('23.08 Bukaya-Kampala-24h'!C82,'24.08 Bukaya-Kampala-24h'!C82)</f>
        <v>0</v>
      </c>
      <c r="D82" s="49">
        <f>AVERAGE('23.08 Bukaya-Kampala-24h'!D82,'24.08 Bukaya-Kampala-24h'!D82)</f>
        <v>0</v>
      </c>
      <c r="E82" s="49">
        <f>AVERAGE('23.08 Bukaya-Kampala-24h'!E82,'24.08 Bukaya-Kampala-24h'!E82)</f>
        <v>2</v>
      </c>
      <c r="F82" s="49">
        <f>AVERAGE('23.08 Bukaya-Kampala-24h'!F82,'24.08 Bukaya-Kampala-24h'!F82)</f>
        <v>0</v>
      </c>
      <c r="G82" s="49">
        <f>AVERAGE('23.08 Bukaya-Kampala-24h'!G82,'24.08 Bukaya-Kampala-24h'!G82)</f>
        <v>0</v>
      </c>
      <c r="H82" s="49">
        <f>AVERAGE('23.08 Bukaya-Kampala-24h'!H82,'24.08 Bukaya-Kampala-24h'!H82)</f>
        <v>0</v>
      </c>
      <c r="I82" s="49">
        <f>AVERAGE('23.08 Bukaya-Kampala-24h'!I82,'24.08 Bukaya-Kampala-24h'!I82)</f>
        <v>0</v>
      </c>
      <c r="J82" s="49">
        <f>AVERAGE('23.08 Bukaya-Kampala-24h'!J82,'24.08 Bukaya-Kampala-24h'!J82)</f>
        <v>0</v>
      </c>
      <c r="K82" s="49">
        <f>AVERAGE('23.08 Bukaya-Kampala-24h'!K82,'24.08 Bukaya-Kampala-24h'!K82)</f>
        <v>0</v>
      </c>
      <c r="L82" s="49">
        <f>AVERAGE('23.08 Bukaya-Kampala-24h'!L82,'24.08 Bukaya-Kampala-24h'!L82)</f>
        <v>0</v>
      </c>
      <c r="M82" s="49">
        <f>AVERAGE('23.08 Bukaya-Kampala-24h'!M82,'24.08 Bukaya-Kampala-24h'!M82)</f>
        <v>0</v>
      </c>
      <c r="N82" s="49">
        <f>AVERAGE('23.08 Bukaya-Kampala-24h'!N82,'24.08 Bukaya-Kampala-24h'!N82)</f>
        <v>0</v>
      </c>
      <c r="O82" s="15">
        <f t="shared" si="35"/>
        <v>2</v>
      </c>
      <c r="P82" s="15">
        <f t="shared" si="35"/>
        <v>4</v>
      </c>
      <c r="R82" s="8"/>
      <c r="T82"/>
    </row>
    <row r="83" spans="2:20" ht="23.1" customHeight="1" x14ac:dyDescent="0.25">
      <c r="B83" s="23" t="s">
        <v>123</v>
      </c>
      <c r="C83" s="49">
        <f>AVERAGE('23.08 Bukaya-Kampala-24h'!C83,'24.08 Bukaya-Kampala-24h'!C83)</f>
        <v>2</v>
      </c>
      <c r="D83" s="49">
        <f>AVERAGE('23.08 Bukaya-Kampala-24h'!D83,'24.08 Bukaya-Kampala-24h'!D83)</f>
        <v>0</v>
      </c>
      <c r="E83" s="49">
        <f>AVERAGE('23.08 Bukaya-Kampala-24h'!E83,'24.08 Bukaya-Kampala-24h'!E83)</f>
        <v>0</v>
      </c>
      <c r="F83" s="49">
        <f>AVERAGE('23.08 Bukaya-Kampala-24h'!F83,'24.08 Bukaya-Kampala-24h'!F83)</f>
        <v>0</v>
      </c>
      <c r="G83" s="49">
        <f>AVERAGE('23.08 Bukaya-Kampala-24h'!G83,'24.08 Bukaya-Kampala-24h'!G83)</f>
        <v>0</v>
      </c>
      <c r="H83" s="49">
        <f>AVERAGE('23.08 Bukaya-Kampala-24h'!H83,'24.08 Bukaya-Kampala-24h'!H83)</f>
        <v>0</v>
      </c>
      <c r="I83" s="49">
        <f>AVERAGE('23.08 Bukaya-Kampala-24h'!I83,'24.08 Bukaya-Kampala-24h'!I83)</f>
        <v>0</v>
      </c>
      <c r="J83" s="49">
        <f>AVERAGE('23.08 Bukaya-Kampala-24h'!J83,'24.08 Bukaya-Kampala-24h'!J83)</f>
        <v>0</v>
      </c>
      <c r="K83" s="49">
        <f>AVERAGE('23.08 Bukaya-Kampala-24h'!K83,'24.08 Bukaya-Kampala-24h'!K83)</f>
        <v>0</v>
      </c>
      <c r="L83" s="49">
        <f>AVERAGE('23.08 Bukaya-Kampala-24h'!L83,'24.08 Bukaya-Kampala-24h'!L83)</f>
        <v>0</v>
      </c>
      <c r="M83" s="49">
        <f>AVERAGE('23.08 Bukaya-Kampala-24h'!M83,'24.08 Bukaya-Kampala-24h'!M83)</f>
        <v>0</v>
      </c>
      <c r="N83" s="49">
        <f>AVERAGE('23.08 Bukaya-Kampala-24h'!N83,'24.08 Bukaya-Kampala-24h'!N83)</f>
        <v>0</v>
      </c>
      <c r="O83" s="15">
        <f t="shared" si="35"/>
        <v>2</v>
      </c>
      <c r="P83" s="15">
        <f t="shared" si="35"/>
        <v>2</v>
      </c>
      <c r="R83" s="8"/>
      <c r="T83"/>
    </row>
    <row r="84" spans="2:20" ht="23.1" customHeight="1" x14ac:dyDescent="0.25">
      <c r="B84" s="25" t="s">
        <v>124</v>
      </c>
      <c r="C84" s="49">
        <f>AVERAGE('23.08 Bukaya-Kampala-24h'!C84,'24.08 Bukaya-Kampala-24h'!C84)</f>
        <v>2</v>
      </c>
      <c r="D84" s="49">
        <f>AVERAGE('23.08 Bukaya-Kampala-24h'!D84,'24.08 Bukaya-Kampala-24h'!D84)</f>
        <v>0</v>
      </c>
      <c r="E84" s="49">
        <f>AVERAGE('23.08 Bukaya-Kampala-24h'!E84,'24.08 Bukaya-Kampala-24h'!E84)</f>
        <v>1</v>
      </c>
      <c r="F84" s="49">
        <f>AVERAGE('23.08 Bukaya-Kampala-24h'!F84,'24.08 Bukaya-Kampala-24h'!F84)</f>
        <v>1</v>
      </c>
      <c r="G84" s="49">
        <f>AVERAGE('23.08 Bukaya-Kampala-24h'!G84,'24.08 Bukaya-Kampala-24h'!G84)</f>
        <v>0</v>
      </c>
      <c r="H84" s="49">
        <f>AVERAGE('23.08 Bukaya-Kampala-24h'!H84,'24.08 Bukaya-Kampala-24h'!H84)</f>
        <v>0</v>
      </c>
      <c r="I84" s="49">
        <f>AVERAGE('23.08 Bukaya-Kampala-24h'!I84,'24.08 Bukaya-Kampala-24h'!I84)</f>
        <v>1</v>
      </c>
      <c r="J84" s="49">
        <f>AVERAGE('23.08 Bukaya-Kampala-24h'!J84,'24.08 Bukaya-Kampala-24h'!J84)</f>
        <v>0</v>
      </c>
      <c r="K84" s="49">
        <f>AVERAGE('23.08 Bukaya-Kampala-24h'!K84,'24.08 Bukaya-Kampala-24h'!K84)</f>
        <v>0</v>
      </c>
      <c r="L84" s="49">
        <f>AVERAGE('23.08 Bukaya-Kampala-24h'!L84,'24.08 Bukaya-Kampala-24h'!L84)</f>
        <v>0</v>
      </c>
      <c r="M84" s="49">
        <f>AVERAGE('23.08 Bukaya-Kampala-24h'!M84,'24.08 Bukaya-Kampala-24h'!M84)</f>
        <v>0</v>
      </c>
      <c r="N84" s="49">
        <f>AVERAGE('23.08 Bukaya-Kampala-24h'!N84,'24.08 Bukaya-Kampala-24h'!N84)</f>
        <v>0</v>
      </c>
      <c r="O84" s="15">
        <f t="shared" si="35"/>
        <v>5</v>
      </c>
      <c r="P84" s="15">
        <f t="shared" si="35"/>
        <v>8</v>
      </c>
      <c r="R84" s="8"/>
      <c r="T84"/>
    </row>
    <row r="85" spans="2:20" ht="23.1" customHeight="1" x14ac:dyDescent="0.25">
      <c r="B85" s="23" t="s">
        <v>125</v>
      </c>
      <c r="C85" s="49">
        <f>AVERAGE('23.08 Bukaya-Kampala-24h'!C85,'24.08 Bukaya-Kampala-24h'!C85)</f>
        <v>1</v>
      </c>
      <c r="D85" s="49">
        <f>AVERAGE('23.08 Bukaya-Kampala-24h'!D85,'24.08 Bukaya-Kampala-24h'!D85)</f>
        <v>0</v>
      </c>
      <c r="E85" s="49">
        <f>AVERAGE('23.08 Bukaya-Kampala-24h'!E85,'24.08 Bukaya-Kampala-24h'!E85)</f>
        <v>0</v>
      </c>
      <c r="F85" s="49">
        <f>AVERAGE('23.08 Bukaya-Kampala-24h'!F85,'24.08 Bukaya-Kampala-24h'!F85)</f>
        <v>0</v>
      </c>
      <c r="G85" s="49">
        <f>AVERAGE('23.08 Bukaya-Kampala-24h'!G85,'24.08 Bukaya-Kampala-24h'!G85)</f>
        <v>0</v>
      </c>
      <c r="H85" s="49">
        <f>AVERAGE('23.08 Bukaya-Kampala-24h'!H85,'24.08 Bukaya-Kampala-24h'!H85)</f>
        <v>0</v>
      </c>
      <c r="I85" s="49">
        <f>AVERAGE('23.08 Bukaya-Kampala-24h'!I85,'24.08 Bukaya-Kampala-24h'!I85)</f>
        <v>0</v>
      </c>
      <c r="J85" s="49">
        <f>AVERAGE('23.08 Bukaya-Kampala-24h'!J85,'24.08 Bukaya-Kampala-24h'!J85)</f>
        <v>0</v>
      </c>
      <c r="K85" s="49">
        <f>AVERAGE('23.08 Bukaya-Kampala-24h'!K85,'24.08 Bukaya-Kampala-24h'!K85)</f>
        <v>0</v>
      </c>
      <c r="L85" s="49">
        <f>AVERAGE('23.08 Bukaya-Kampala-24h'!L85,'24.08 Bukaya-Kampala-24h'!L85)</f>
        <v>0</v>
      </c>
      <c r="M85" s="49">
        <f>AVERAGE('23.08 Bukaya-Kampala-24h'!M85,'24.08 Bukaya-Kampala-24h'!M85)</f>
        <v>0</v>
      </c>
      <c r="N85" s="49">
        <f>AVERAGE('23.08 Bukaya-Kampala-24h'!N85,'24.08 Bukaya-Kampala-24h'!N85)</f>
        <v>0</v>
      </c>
      <c r="O85" s="15">
        <f t="shared" si="35"/>
        <v>1</v>
      </c>
      <c r="P85" s="15">
        <f t="shared" si="35"/>
        <v>1</v>
      </c>
      <c r="R85" s="8"/>
      <c r="T85"/>
    </row>
    <row r="86" spans="2:20" ht="23.1" customHeight="1" x14ac:dyDescent="0.25">
      <c r="B86" s="24" t="s">
        <v>126</v>
      </c>
      <c r="C86" s="49">
        <f>AVERAGE('23.08 Bukaya-Kampala-24h'!C86,'24.08 Bukaya-Kampala-24h'!C86)</f>
        <v>0</v>
      </c>
      <c r="D86" s="49">
        <f>AVERAGE('23.08 Bukaya-Kampala-24h'!D86,'24.08 Bukaya-Kampala-24h'!D86)</f>
        <v>0</v>
      </c>
      <c r="E86" s="49">
        <f>AVERAGE('23.08 Bukaya-Kampala-24h'!E86,'24.08 Bukaya-Kampala-24h'!E86)</f>
        <v>1</v>
      </c>
      <c r="F86" s="49">
        <f>AVERAGE('23.08 Bukaya-Kampala-24h'!F86,'24.08 Bukaya-Kampala-24h'!F86)</f>
        <v>1</v>
      </c>
      <c r="G86" s="49">
        <f>AVERAGE('23.08 Bukaya-Kampala-24h'!G86,'24.08 Bukaya-Kampala-24h'!G86)</f>
        <v>0</v>
      </c>
      <c r="H86" s="49">
        <f>AVERAGE('23.08 Bukaya-Kampala-24h'!H86,'24.08 Bukaya-Kampala-24h'!H86)</f>
        <v>0</v>
      </c>
      <c r="I86" s="49">
        <f>AVERAGE('23.08 Bukaya-Kampala-24h'!I86,'24.08 Bukaya-Kampala-24h'!I86)</f>
        <v>0</v>
      </c>
      <c r="J86" s="49">
        <f>AVERAGE('23.08 Bukaya-Kampala-24h'!J86,'24.08 Bukaya-Kampala-24h'!J86)</f>
        <v>0</v>
      </c>
      <c r="K86" s="49">
        <f>AVERAGE('23.08 Bukaya-Kampala-24h'!K86,'24.08 Bukaya-Kampala-24h'!K86)</f>
        <v>0</v>
      </c>
      <c r="L86" s="49">
        <f>AVERAGE('23.08 Bukaya-Kampala-24h'!L86,'24.08 Bukaya-Kampala-24h'!L86)</f>
        <v>0</v>
      </c>
      <c r="M86" s="49">
        <f>AVERAGE('23.08 Bukaya-Kampala-24h'!M86,'24.08 Bukaya-Kampala-24h'!M86)</f>
        <v>0</v>
      </c>
      <c r="N86" s="49">
        <f>AVERAGE('23.08 Bukaya-Kampala-24h'!N86,'24.08 Bukaya-Kampala-24h'!N86)</f>
        <v>0</v>
      </c>
      <c r="O86" s="15">
        <f t="shared" si="35"/>
        <v>2</v>
      </c>
      <c r="P86" s="15">
        <f t="shared" si="35"/>
        <v>4</v>
      </c>
      <c r="R86" s="8"/>
      <c r="T86"/>
    </row>
    <row r="87" spans="2:20" ht="23.1" customHeight="1" x14ac:dyDescent="0.25">
      <c r="B87" s="23" t="s">
        <v>127</v>
      </c>
      <c r="C87" s="49">
        <f>AVERAGE('23.08 Bukaya-Kampala-24h'!C87,'24.08 Bukaya-Kampala-24h'!C87)</f>
        <v>1</v>
      </c>
      <c r="D87" s="49">
        <f>AVERAGE('23.08 Bukaya-Kampala-24h'!D87,'24.08 Bukaya-Kampala-24h'!D87)</f>
        <v>0</v>
      </c>
      <c r="E87" s="49">
        <f>AVERAGE('23.08 Bukaya-Kampala-24h'!E87,'24.08 Bukaya-Kampala-24h'!E87)</f>
        <v>0</v>
      </c>
      <c r="F87" s="49">
        <f>AVERAGE('23.08 Bukaya-Kampala-24h'!F87,'24.08 Bukaya-Kampala-24h'!F87)</f>
        <v>0</v>
      </c>
      <c r="G87" s="49">
        <f>AVERAGE('23.08 Bukaya-Kampala-24h'!G87,'24.08 Bukaya-Kampala-24h'!G87)</f>
        <v>0</v>
      </c>
      <c r="H87" s="49">
        <f>AVERAGE('23.08 Bukaya-Kampala-24h'!H87,'24.08 Bukaya-Kampala-24h'!H87)</f>
        <v>0</v>
      </c>
      <c r="I87" s="49">
        <f>AVERAGE('23.08 Bukaya-Kampala-24h'!I87,'24.08 Bukaya-Kampala-24h'!I87)</f>
        <v>0</v>
      </c>
      <c r="J87" s="49">
        <f>AVERAGE('23.08 Bukaya-Kampala-24h'!J87,'24.08 Bukaya-Kampala-24h'!J87)</f>
        <v>0</v>
      </c>
      <c r="K87" s="49">
        <f>AVERAGE('23.08 Bukaya-Kampala-24h'!K87,'24.08 Bukaya-Kampala-24h'!K87)</f>
        <v>0</v>
      </c>
      <c r="L87" s="49">
        <f>AVERAGE('23.08 Bukaya-Kampala-24h'!L87,'24.08 Bukaya-Kampala-24h'!L87)</f>
        <v>0</v>
      </c>
      <c r="M87" s="49">
        <f>AVERAGE('23.08 Bukaya-Kampala-24h'!M87,'24.08 Bukaya-Kampala-24h'!M87)</f>
        <v>0</v>
      </c>
      <c r="N87" s="49">
        <f>AVERAGE('23.08 Bukaya-Kampala-24h'!N87,'24.08 Bukaya-Kampala-24h'!N87)</f>
        <v>0</v>
      </c>
      <c r="O87" s="15">
        <f t="shared" si="35"/>
        <v>1</v>
      </c>
      <c r="P87" s="15">
        <f t="shared" si="35"/>
        <v>1</v>
      </c>
      <c r="R87" s="8"/>
      <c r="T87"/>
    </row>
    <row r="88" spans="2:20" ht="23.1" customHeight="1" x14ac:dyDescent="0.25">
      <c r="B88" s="25" t="s">
        <v>128</v>
      </c>
      <c r="C88" s="49">
        <f>AVERAGE('23.08 Bukaya-Kampala-24h'!C88,'24.08 Bukaya-Kampala-24h'!C88)</f>
        <v>1</v>
      </c>
      <c r="D88" s="49">
        <f>AVERAGE('23.08 Bukaya-Kampala-24h'!D88,'24.08 Bukaya-Kampala-24h'!D88)</f>
        <v>0</v>
      </c>
      <c r="E88" s="49">
        <f>AVERAGE('23.08 Bukaya-Kampala-24h'!E88,'24.08 Bukaya-Kampala-24h'!E88)</f>
        <v>1</v>
      </c>
      <c r="F88" s="49">
        <f>AVERAGE('23.08 Bukaya-Kampala-24h'!F88,'24.08 Bukaya-Kampala-24h'!F88)</f>
        <v>1</v>
      </c>
      <c r="G88" s="49">
        <f>AVERAGE('23.08 Bukaya-Kampala-24h'!G88,'24.08 Bukaya-Kampala-24h'!G88)</f>
        <v>0</v>
      </c>
      <c r="H88" s="49">
        <f>AVERAGE('23.08 Bukaya-Kampala-24h'!H88,'24.08 Bukaya-Kampala-24h'!H88)</f>
        <v>0</v>
      </c>
      <c r="I88" s="49">
        <f>AVERAGE('23.08 Bukaya-Kampala-24h'!I88,'24.08 Bukaya-Kampala-24h'!I88)</f>
        <v>1</v>
      </c>
      <c r="J88" s="49">
        <f>AVERAGE('23.08 Bukaya-Kampala-24h'!J88,'24.08 Bukaya-Kampala-24h'!J88)</f>
        <v>0</v>
      </c>
      <c r="K88" s="49">
        <f>AVERAGE('23.08 Bukaya-Kampala-24h'!K88,'24.08 Bukaya-Kampala-24h'!K88)</f>
        <v>0</v>
      </c>
      <c r="L88" s="49">
        <f>AVERAGE('23.08 Bukaya-Kampala-24h'!L88,'24.08 Bukaya-Kampala-24h'!L88)</f>
        <v>0</v>
      </c>
      <c r="M88" s="49">
        <f>AVERAGE('23.08 Bukaya-Kampala-24h'!M88,'24.08 Bukaya-Kampala-24h'!M88)</f>
        <v>0</v>
      </c>
      <c r="N88" s="49">
        <f>AVERAGE('23.08 Bukaya-Kampala-24h'!N88,'24.08 Bukaya-Kampala-24h'!N88)</f>
        <v>0</v>
      </c>
      <c r="O88" s="15">
        <f t="shared" si="35"/>
        <v>4</v>
      </c>
      <c r="P88" s="15">
        <f t="shared" si="35"/>
        <v>7</v>
      </c>
      <c r="R88" s="8"/>
      <c r="T88"/>
    </row>
    <row r="89" spans="2:20" ht="23.1" customHeight="1" x14ac:dyDescent="0.25">
      <c r="B89" s="23" t="s">
        <v>129</v>
      </c>
      <c r="C89" s="49">
        <f>AVERAGE('23.08 Bukaya-Kampala-24h'!C89,'24.08 Bukaya-Kampala-24h'!C89)</f>
        <v>0</v>
      </c>
      <c r="D89" s="49">
        <f>AVERAGE('23.08 Bukaya-Kampala-24h'!D89,'24.08 Bukaya-Kampala-24h'!D89)</f>
        <v>0</v>
      </c>
      <c r="E89" s="49">
        <f>AVERAGE('23.08 Bukaya-Kampala-24h'!E89,'24.08 Bukaya-Kampala-24h'!E89)</f>
        <v>0</v>
      </c>
      <c r="F89" s="49">
        <f>AVERAGE('23.08 Bukaya-Kampala-24h'!F89,'24.08 Bukaya-Kampala-24h'!F89)</f>
        <v>0</v>
      </c>
      <c r="G89" s="49">
        <f>AVERAGE('23.08 Bukaya-Kampala-24h'!G89,'24.08 Bukaya-Kampala-24h'!G89)</f>
        <v>0</v>
      </c>
      <c r="H89" s="49">
        <f>AVERAGE('23.08 Bukaya-Kampala-24h'!H89,'24.08 Bukaya-Kampala-24h'!H89)</f>
        <v>0</v>
      </c>
      <c r="I89" s="49">
        <f>AVERAGE('23.08 Bukaya-Kampala-24h'!I89,'24.08 Bukaya-Kampala-24h'!I89)</f>
        <v>0</v>
      </c>
      <c r="J89" s="49">
        <f>AVERAGE('23.08 Bukaya-Kampala-24h'!J89,'24.08 Bukaya-Kampala-24h'!J89)</f>
        <v>0</v>
      </c>
      <c r="K89" s="49">
        <f>AVERAGE('23.08 Bukaya-Kampala-24h'!K89,'24.08 Bukaya-Kampala-24h'!K89)</f>
        <v>0</v>
      </c>
      <c r="L89" s="49">
        <f>AVERAGE('23.08 Bukaya-Kampala-24h'!L89,'24.08 Bukaya-Kampala-24h'!L89)</f>
        <v>0</v>
      </c>
      <c r="M89" s="49">
        <f>AVERAGE('23.08 Bukaya-Kampala-24h'!M89,'24.08 Bukaya-Kampala-24h'!M89)</f>
        <v>0</v>
      </c>
      <c r="N89" s="49">
        <f>AVERAGE('23.08 Bukaya-Kampala-24h'!N89,'24.08 Bukaya-Kampala-24h'!N89)</f>
        <v>0</v>
      </c>
      <c r="O89" s="15">
        <f t="shared" si="35"/>
        <v>0</v>
      </c>
      <c r="P89" s="15">
        <f t="shared" si="35"/>
        <v>0</v>
      </c>
      <c r="R89" s="8"/>
      <c r="T89"/>
    </row>
    <row r="90" spans="2:20" ht="23.1" customHeight="1" x14ac:dyDescent="0.25">
      <c r="B90" s="24" t="s">
        <v>130</v>
      </c>
      <c r="C90" s="49">
        <f>AVERAGE('23.08 Bukaya-Kampala-24h'!C90,'24.08 Bukaya-Kampala-24h'!C90)</f>
        <v>0</v>
      </c>
      <c r="D90" s="49">
        <f>AVERAGE('23.08 Bukaya-Kampala-24h'!D90,'24.08 Bukaya-Kampala-24h'!D90)</f>
        <v>0</v>
      </c>
      <c r="E90" s="49">
        <f>AVERAGE('23.08 Bukaya-Kampala-24h'!E90,'24.08 Bukaya-Kampala-24h'!E90)</f>
        <v>0</v>
      </c>
      <c r="F90" s="49">
        <f>AVERAGE('23.08 Bukaya-Kampala-24h'!F90,'24.08 Bukaya-Kampala-24h'!F90)</f>
        <v>0</v>
      </c>
      <c r="G90" s="49">
        <f>AVERAGE('23.08 Bukaya-Kampala-24h'!G90,'24.08 Bukaya-Kampala-24h'!G90)</f>
        <v>0</v>
      </c>
      <c r="H90" s="49">
        <f>AVERAGE('23.08 Bukaya-Kampala-24h'!H90,'24.08 Bukaya-Kampala-24h'!H90)</f>
        <v>0</v>
      </c>
      <c r="I90" s="49">
        <f>AVERAGE('23.08 Bukaya-Kampala-24h'!I90,'24.08 Bukaya-Kampala-24h'!I90)</f>
        <v>0</v>
      </c>
      <c r="J90" s="49">
        <f>AVERAGE('23.08 Bukaya-Kampala-24h'!J90,'24.08 Bukaya-Kampala-24h'!J90)</f>
        <v>0</v>
      </c>
      <c r="K90" s="49">
        <f>AVERAGE('23.08 Bukaya-Kampala-24h'!K90,'24.08 Bukaya-Kampala-24h'!K90)</f>
        <v>0</v>
      </c>
      <c r="L90" s="49">
        <f>AVERAGE('23.08 Bukaya-Kampala-24h'!L90,'24.08 Bukaya-Kampala-24h'!L90)</f>
        <v>0</v>
      </c>
      <c r="M90" s="49">
        <f>AVERAGE('23.08 Bukaya-Kampala-24h'!M90,'24.08 Bukaya-Kampala-24h'!M90)</f>
        <v>0</v>
      </c>
      <c r="N90" s="49">
        <f>AVERAGE('23.08 Bukaya-Kampala-24h'!N90,'24.08 Bukaya-Kampala-24h'!N90)</f>
        <v>0</v>
      </c>
      <c r="O90" s="15">
        <f t="shared" si="35"/>
        <v>0</v>
      </c>
      <c r="P90" s="15">
        <f t="shared" si="35"/>
        <v>0</v>
      </c>
      <c r="R90" s="8"/>
      <c r="T90"/>
    </row>
    <row r="91" spans="2:20" ht="23.1" customHeight="1" x14ac:dyDescent="0.25">
      <c r="B91" s="23" t="s">
        <v>131</v>
      </c>
      <c r="C91" s="49">
        <f>AVERAGE('23.08 Bukaya-Kampala-24h'!C91,'24.08 Bukaya-Kampala-24h'!C91)</f>
        <v>0</v>
      </c>
      <c r="D91" s="49">
        <f>AVERAGE('23.08 Bukaya-Kampala-24h'!D91,'24.08 Bukaya-Kampala-24h'!D91)</f>
        <v>0</v>
      </c>
      <c r="E91" s="49">
        <f>AVERAGE('23.08 Bukaya-Kampala-24h'!E91,'24.08 Bukaya-Kampala-24h'!E91)</f>
        <v>0</v>
      </c>
      <c r="F91" s="49">
        <f>AVERAGE('23.08 Bukaya-Kampala-24h'!F91,'24.08 Bukaya-Kampala-24h'!F91)</f>
        <v>0</v>
      </c>
      <c r="G91" s="49">
        <f>AVERAGE('23.08 Bukaya-Kampala-24h'!G91,'24.08 Bukaya-Kampala-24h'!G91)</f>
        <v>0</v>
      </c>
      <c r="H91" s="49">
        <f>AVERAGE('23.08 Bukaya-Kampala-24h'!H91,'24.08 Bukaya-Kampala-24h'!H91)</f>
        <v>0</v>
      </c>
      <c r="I91" s="49">
        <f>AVERAGE('23.08 Bukaya-Kampala-24h'!I91,'24.08 Bukaya-Kampala-24h'!I91)</f>
        <v>0</v>
      </c>
      <c r="J91" s="49">
        <f>AVERAGE('23.08 Bukaya-Kampala-24h'!J91,'24.08 Bukaya-Kampala-24h'!J91)</f>
        <v>0</v>
      </c>
      <c r="K91" s="49">
        <f>AVERAGE('23.08 Bukaya-Kampala-24h'!K91,'24.08 Bukaya-Kampala-24h'!K91)</f>
        <v>0</v>
      </c>
      <c r="L91" s="49">
        <f>AVERAGE('23.08 Bukaya-Kampala-24h'!L91,'24.08 Bukaya-Kampala-24h'!L91)</f>
        <v>0</v>
      </c>
      <c r="M91" s="49">
        <f>AVERAGE('23.08 Bukaya-Kampala-24h'!M91,'24.08 Bukaya-Kampala-24h'!M91)</f>
        <v>0</v>
      </c>
      <c r="N91" s="49">
        <f>AVERAGE('23.08 Bukaya-Kampala-24h'!N91,'24.08 Bukaya-Kampala-24h'!N91)</f>
        <v>0</v>
      </c>
      <c r="O91" s="15">
        <f t="shared" si="35"/>
        <v>0</v>
      </c>
      <c r="P91" s="15">
        <f t="shared" si="35"/>
        <v>0</v>
      </c>
      <c r="R91" s="8"/>
      <c r="T91"/>
    </row>
    <row r="92" spans="2:20" ht="23.1" customHeight="1" x14ac:dyDescent="0.25">
      <c r="B92" s="25" t="s">
        <v>132</v>
      </c>
      <c r="C92" s="49">
        <f>AVERAGE('23.08 Bukaya-Kampala-24h'!C92,'24.08 Bukaya-Kampala-24h'!C92)</f>
        <v>0</v>
      </c>
      <c r="D92" s="49">
        <f>AVERAGE('23.08 Bukaya-Kampala-24h'!D92,'24.08 Bukaya-Kampala-24h'!D92)</f>
        <v>0</v>
      </c>
      <c r="E92" s="49">
        <f>AVERAGE('23.08 Bukaya-Kampala-24h'!E92,'24.08 Bukaya-Kampala-24h'!E92)</f>
        <v>0</v>
      </c>
      <c r="F92" s="49">
        <f>AVERAGE('23.08 Bukaya-Kampala-24h'!F92,'24.08 Bukaya-Kampala-24h'!F92)</f>
        <v>0</v>
      </c>
      <c r="G92" s="49">
        <f>AVERAGE('23.08 Bukaya-Kampala-24h'!G92,'24.08 Bukaya-Kampala-24h'!G92)</f>
        <v>0</v>
      </c>
      <c r="H92" s="49">
        <f>AVERAGE('23.08 Bukaya-Kampala-24h'!H92,'24.08 Bukaya-Kampala-24h'!H92)</f>
        <v>0</v>
      </c>
      <c r="I92" s="49">
        <f>AVERAGE('23.08 Bukaya-Kampala-24h'!I92,'24.08 Bukaya-Kampala-24h'!I92)</f>
        <v>0</v>
      </c>
      <c r="J92" s="49">
        <f>AVERAGE('23.08 Bukaya-Kampala-24h'!J92,'24.08 Bukaya-Kampala-24h'!J92)</f>
        <v>0</v>
      </c>
      <c r="K92" s="49">
        <f>AVERAGE('23.08 Bukaya-Kampala-24h'!K92,'24.08 Bukaya-Kampala-24h'!K92)</f>
        <v>0</v>
      </c>
      <c r="L92" s="49">
        <f>AVERAGE('23.08 Bukaya-Kampala-24h'!L92,'24.08 Bukaya-Kampala-24h'!L92)</f>
        <v>0</v>
      </c>
      <c r="M92" s="49">
        <f>AVERAGE('23.08 Bukaya-Kampala-24h'!M92,'24.08 Bukaya-Kampala-24h'!M92)</f>
        <v>0</v>
      </c>
      <c r="N92" s="49">
        <f>AVERAGE('23.08 Bukaya-Kampala-24h'!N92,'24.08 Bukaya-Kampala-24h'!N92)</f>
        <v>0</v>
      </c>
      <c r="O92" s="15">
        <f t="shared" si="35"/>
        <v>0</v>
      </c>
      <c r="P92" s="15">
        <f t="shared" si="35"/>
        <v>0</v>
      </c>
      <c r="R92" s="8"/>
      <c r="T92"/>
    </row>
    <row r="93" spans="2:20" ht="23.1" customHeight="1" x14ac:dyDescent="0.25">
      <c r="B93" s="23" t="s">
        <v>133</v>
      </c>
      <c r="C93" s="49">
        <f>AVERAGE('23.08 Bukaya-Kampala-24h'!C93,'24.08 Bukaya-Kampala-24h'!C93)</f>
        <v>0</v>
      </c>
      <c r="D93" s="49">
        <f>AVERAGE('23.08 Bukaya-Kampala-24h'!D93,'24.08 Bukaya-Kampala-24h'!D93)</f>
        <v>0</v>
      </c>
      <c r="E93" s="49">
        <f>AVERAGE('23.08 Bukaya-Kampala-24h'!E93,'24.08 Bukaya-Kampala-24h'!E93)</f>
        <v>0</v>
      </c>
      <c r="F93" s="49">
        <f>AVERAGE('23.08 Bukaya-Kampala-24h'!F93,'24.08 Bukaya-Kampala-24h'!F93)</f>
        <v>0</v>
      </c>
      <c r="G93" s="49">
        <f>AVERAGE('23.08 Bukaya-Kampala-24h'!G93,'24.08 Bukaya-Kampala-24h'!G93)</f>
        <v>0</v>
      </c>
      <c r="H93" s="49">
        <f>AVERAGE('23.08 Bukaya-Kampala-24h'!H93,'24.08 Bukaya-Kampala-24h'!H93)</f>
        <v>0</v>
      </c>
      <c r="I93" s="49">
        <f>AVERAGE('23.08 Bukaya-Kampala-24h'!I93,'24.08 Bukaya-Kampala-24h'!I93)</f>
        <v>0</v>
      </c>
      <c r="J93" s="49">
        <f>AVERAGE('23.08 Bukaya-Kampala-24h'!J93,'24.08 Bukaya-Kampala-24h'!J93)</f>
        <v>0</v>
      </c>
      <c r="K93" s="49">
        <f>AVERAGE('23.08 Bukaya-Kampala-24h'!K93,'24.08 Bukaya-Kampala-24h'!K93)</f>
        <v>0</v>
      </c>
      <c r="L93" s="49">
        <f>AVERAGE('23.08 Bukaya-Kampala-24h'!L93,'24.08 Bukaya-Kampala-24h'!L93)</f>
        <v>0</v>
      </c>
      <c r="M93" s="49">
        <f>AVERAGE('23.08 Bukaya-Kampala-24h'!M93,'24.08 Bukaya-Kampala-24h'!M93)</f>
        <v>0</v>
      </c>
      <c r="N93" s="49">
        <f>AVERAGE('23.08 Bukaya-Kampala-24h'!N93,'24.08 Bukaya-Kampala-24h'!N93)</f>
        <v>0</v>
      </c>
      <c r="O93" s="15">
        <f t="shared" si="35"/>
        <v>0</v>
      </c>
      <c r="P93" s="15">
        <f t="shared" si="35"/>
        <v>0</v>
      </c>
      <c r="R93" s="8"/>
      <c r="T93"/>
    </row>
    <row r="94" spans="2:20" ht="23.1" customHeight="1" x14ac:dyDescent="0.25">
      <c r="B94" s="24" t="s">
        <v>134</v>
      </c>
      <c r="C94" s="49">
        <f>AVERAGE('23.08 Bukaya-Kampala-24h'!C94,'24.08 Bukaya-Kampala-24h'!C94)</f>
        <v>1</v>
      </c>
      <c r="D94" s="49">
        <f>AVERAGE('23.08 Bukaya-Kampala-24h'!D94,'24.08 Bukaya-Kampala-24h'!D94)</f>
        <v>0</v>
      </c>
      <c r="E94" s="49">
        <f>AVERAGE('23.08 Bukaya-Kampala-24h'!E94,'24.08 Bukaya-Kampala-24h'!E94)</f>
        <v>0</v>
      </c>
      <c r="F94" s="49">
        <f>AVERAGE('23.08 Bukaya-Kampala-24h'!F94,'24.08 Bukaya-Kampala-24h'!F94)</f>
        <v>0</v>
      </c>
      <c r="G94" s="49">
        <f>AVERAGE('23.08 Bukaya-Kampala-24h'!G94,'24.08 Bukaya-Kampala-24h'!G94)</f>
        <v>0</v>
      </c>
      <c r="H94" s="49">
        <f>AVERAGE('23.08 Bukaya-Kampala-24h'!H94,'24.08 Bukaya-Kampala-24h'!H94)</f>
        <v>1</v>
      </c>
      <c r="I94" s="49">
        <f>AVERAGE('23.08 Bukaya-Kampala-24h'!I94,'24.08 Bukaya-Kampala-24h'!I94)</f>
        <v>0</v>
      </c>
      <c r="J94" s="49">
        <f>AVERAGE('23.08 Bukaya-Kampala-24h'!J94,'24.08 Bukaya-Kampala-24h'!J94)</f>
        <v>0</v>
      </c>
      <c r="K94" s="49">
        <f>AVERAGE('23.08 Bukaya-Kampala-24h'!K94,'24.08 Bukaya-Kampala-24h'!K94)</f>
        <v>0</v>
      </c>
      <c r="L94" s="49">
        <f>AVERAGE('23.08 Bukaya-Kampala-24h'!L94,'24.08 Bukaya-Kampala-24h'!L94)</f>
        <v>0</v>
      </c>
      <c r="M94" s="49">
        <f>AVERAGE('23.08 Bukaya-Kampala-24h'!M94,'24.08 Bukaya-Kampala-24h'!M94)</f>
        <v>0</v>
      </c>
      <c r="N94" s="49">
        <f>AVERAGE('23.08 Bukaya-Kampala-24h'!N94,'24.08 Bukaya-Kampala-24h'!N94)</f>
        <v>0</v>
      </c>
      <c r="O94" s="15">
        <f t="shared" si="35"/>
        <v>2</v>
      </c>
      <c r="P94" s="15">
        <f t="shared" si="35"/>
        <v>3</v>
      </c>
      <c r="R94" s="8"/>
      <c r="T94"/>
    </row>
    <row r="95" spans="2:20" ht="23.1" customHeight="1" x14ac:dyDescent="0.25">
      <c r="B95" s="23" t="s">
        <v>135</v>
      </c>
      <c r="C95" s="49">
        <f>AVERAGE('23.08 Bukaya-Kampala-24h'!C95,'24.08 Bukaya-Kampala-24h'!C95)</f>
        <v>0</v>
      </c>
      <c r="D95" s="49">
        <f>AVERAGE('23.08 Bukaya-Kampala-24h'!D95,'24.08 Bukaya-Kampala-24h'!D95)</f>
        <v>0</v>
      </c>
      <c r="E95" s="49">
        <f>AVERAGE('23.08 Bukaya-Kampala-24h'!E95,'24.08 Bukaya-Kampala-24h'!E95)</f>
        <v>0</v>
      </c>
      <c r="F95" s="49">
        <f>AVERAGE('23.08 Bukaya-Kampala-24h'!F95,'24.08 Bukaya-Kampala-24h'!F95)</f>
        <v>1</v>
      </c>
      <c r="G95" s="49">
        <f>AVERAGE('23.08 Bukaya-Kampala-24h'!G95,'24.08 Bukaya-Kampala-24h'!G95)</f>
        <v>0</v>
      </c>
      <c r="H95" s="49">
        <f>AVERAGE('23.08 Bukaya-Kampala-24h'!H95,'24.08 Bukaya-Kampala-24h'!H95)</f>
        <v>0</v>
      </c>
      <c r="I95" s="49">
        <f>AVERAGE('23.08 Bukaya-Kampala-24h'!I95,'24.08 Bukaya-Kampala-24h'!I95)</f>
        <v>0</v>
      </c>
      <c r="J95" s="49">
        <f>AVERAGE('23.08 Bukaya-Kampala-24h'!J95,'24.08 Bukaya-Kampala-24h'!J95)</f>
        <v>0</v>
      </c>
      <c r="K95" s="49">
        <f>AVERAGE('23.08 Bukaya-Kampala-24h'!K95,'24.08 Bukaya-Kampala-24h'!K95)</f>
        <v>0</v>
      </c>
      <c r="L95" s="49">
        <f>AVERAGE('23.08 Bukaya-Kampala-24h'!L95,'24.08 Bukaya-Kampala-24h'!L95)</f>
        <v>0</v>
      </c>
      <c r="M95" s="49">
        <f>AVERAGE('23.08 Bukaya-Kampala-24h'!M95,'24.08 Bukaya-Kampala-24h'!M95)</f>
        <v>0</v>
      </c>
      <c r="N95" s="49">
        <f>AVERAGE('23.08 Bukaya-Kampala-24h'!N95,'24.08 Bukaya-Kampala-24h'!N95)</f>
        <v>0</v>
      </c>
      <c r="O95" s="15">
        <f t="shared" si="35"/>
        <v>1</v>
      </c>
      <c r="P95" s="15">
        <f t="shared" si="35"/>
        <v>2</v>
      </c>
      <c r="R95" s="8"/>
      <c r="T95"/>
    </row>
    <row r="96" spans="2:20" ht="23.1" customHeight="1" x14ac:dyDescent="0.25">
      <c r="B96" s="25" t="s">
        <v>136</v>
      </c>
      <c r="C96" s="49">
        <f>AVERAGE('23.08 Bukaya-Kampala-24h'!C96,'24.08 Bukaya-Kampala-24h'!C96)</f>
        <v>2</v>
      </c>
      <c r="D96" s="49">
        <f>AVERAGE('23.08 Bukaya-Kampala-24h'!D96,'24.08 Bukaya-Kampala-24h'!D96)</f>
        <v>0</v>
      </c>
      <c r="E96" s="49">
        <f>AVERAGE('23.08 Bukaya-Kampala-24h'!E96,'24.08 Bukaya-Kampala-24h'!E96)</f>
        <v>3</v>
      </c>
      <c r="F96" s="49">
        <f>AVERAGE('23.08 Bukaya-Kampala-24h'!F96,'24.08 Bukaya-Kampala-24h'!F96)</f>
        <v>0</v>
      </c>
      <c r="G96" s="49">
        <f>AVERAGE('23.08 Bukaya-Kampala-24h'!G96,'24.08 Bukaya-Kampala-24h'!G96)</f>
        <v>0</v>
      </c>
      <c r="H96" s="49">
        <f>AVERAGE('23.08 Bukaya-Kampala-24h'!H96,'24.08 Bukaya-Kampala-24h'!H96)</f>
        <v>0</v>
      </c>
      <c r="I96" s="49">
        <f>AVERAGE('23.08 Bukaya-Kampala-24h'!I96,'24.08 Bukaya-Kampala-24h'!I96)</f>
        <v>0</v>
      </c>
      <c r="J96" s="49">
        <f>AVERAGE('23.08 Bukaya-Kampala-24h'!J96,'24.08 Bukaya-Kampala-24h'!J96)</f>
        <v>0</v>
      </c>
      <c r="K96" s="49">
        <f>AVERAGE('23.08 Bukaya-Kampala-24h'!K96,'24.08 Bukaya-Kampala-24h'!K96)</f>
        <v>0</v>
      </c>
      <c r="L96" s="49">
        <f>AVERAGE('23.08 Bukaya-Kampala-24h'!L96,'24.08 Bukaya-Kampala-24h'!L96)</f>
        <v>0</v>
      </c>
      <c r="M96" s="49">
        <f>AVERAGE('23.08 Bukaya-Kampala-24h'!M96,'24.08 Bukaya-Kampala-24h'!M96)</f>
        <v>0</v>
      </c>
      <c r="N96" s="49">
        <f>AVERAGE('23.08 Bukaya-Kampala-24h'!N96,'24.08 Bukaya-Kampala-24h'!N96)</f>
        <v>0</v>
      </c>
      <c r="O96" s="15">
        <f t="shared" si="35"/>
        <v>5</v>
      </c>
      <c r="P96" s="15">
        <f t="shared" si="35"/>
        <v>8</v>
      </c>
      <c r="R96" s="8"/>
      <c r="T96"/>
    </row>
    <row r="97" spans="2:20" ht="23.1" customHeight="1" x14ac:dyDescent="0.25">
      <c r="B97" s="23" t="s">
        <v>137</v>
      </c>
      <c r="C97" s="49">
        <f>AVERAGE('23.08 Bukaya-Kampala-24h'!C97,'24.08 Bukaya-Kampala-24h'!C97)</f>
        <v>0</v>
      </c>
      <c r="D97" s="49">
        <f>AVERAGE('23.08 Bukaya-Kampala-24h'!D97,'24.08 Bukaya-Kampala-24h'!D97)</f>
        <v>0</v>
      </c>
      <c r="E97" s="49">
        <f>AVERAGE('23.08 Bukaya-Kampala-24h'!E97,'24.08 Bukaya-Kampala-24h'!E97)</f>
        <v>0</v>
      </c>
      <c r="F97" s="49">
        <f>AVERAGE('23.08 Bukaya-Kampala-24h'!F97,'24.08 Bukaya-Kampala-24h'!F97)</f>
        <v>0</v>
      </c>
      <c r="G97" s="49">
        <f>AVERAGE('23.08 Bukaya-Kampala-24h'!G97,'24.08 Bukaya-Kampala-24h'!G97)</f>
        <v>0</v>
      </c>
      <c r="H97" s="49">
        <f>AVERAGE('23.08 Bukaya-Kampala-24h'!H97,'24.08 Bukaya-Kampala-24h'!H97)</f>
        <v>0</v>
      </c>
      <c r="I97" s="49">
        <f>AVERAGE('23.08 Bukaya-Kampala-24h'!I97,'24.08 Bukaya-Kampala-24h'!I97)</f>
        <v>0</v>
      </c>
      <c r="J97" s="49">
        <f>AVERAGE('23.08 Bukaya-Kampala-24h'!J97,'24.08 Bukaya-Kampala-24h'!J97)</f>
        <v>0</v>
      </c>
      <c r="K97" s="49">
        <f>AVERAGE('23.08 Bukaya-Kampala-24h'!K97,'24.08 Bukaya-Kampala-24h'!K97)</f>
        <v>0</v>
      </c>
      <c r="L97" s="49">
        <f>AVERAGE('23.08 Bukaya-Kampala-24h'!L97,'24.08 Bukaya-Kampala-24h'!L97)</f>
        <v>0</v>
      </c>
      <c r="M97" s="49">
        <f>AVERAGE('23.08 Bukaya-Kampala-24h'!M97,'24.08 Bukaya-Kampala-24h'!M97)</f>
        <v>0</v>
      </c>
      <c r="N97" s="49">
        <f>AVERAGE('23.08 Bukaya-Kampala-24h'!N97,'24.08 Bukaya-Kampala-24h'!N97)</f>
        <v>0</v>
      </c>
      <c r="O97" s="15">
        <f t="shared" si="35"/>
        <v>0</v>
      </c>
      <c r="P97" s="15">
        <f t="shared" si="35"/>
        <v>0</v>
      </c>
      <c r="R97" s="8"/>
      <c r="T97"/>
    </row>
    <row r="98" spans="2:20" ht="23.1" customHeight="1" x14ac:dyDescent="0.25">
      <c r="B98" s="24" t="s">
        <v>138</v>
      </c>
      <c r="C98" s="49">
        <f>AVERAGE('23.08 Bukaya-Kampala-24h'!C98,'24.08 Bukaya-Kampala-24h'!C98)</f>
        <v>0</v>
      </c>
      <c r="D98" s="49">
        <f>AVERAGE('23.08 Bukaya-Kampala-24h'!D98,'24.08 Bukaya-Kampala-24h'!D98)</f>
        <v>0</v>
      </c>
      <c r="E98" s="49">
        <f>AVERAGE('23.08 Bukaya-Kampala-24h'!E98,'24.08 Bukaya-Kampala-24h'!E98)</f>
        <v>0</v>
      </c>
      <c r="F98" s="49">
        <f>AVERAGE('23.08 Bukaya-Kampala-24h'!F98,'24.08 Bukaya-Kampala-24h'!F98)</f>
        <v>0</v>
      </c>
      <c r="G98" s="49">
        <f>AVERAGE('23.08 Bukaya-Kampala-24h'!G98,'24.08 Bukaya-Kampala-24h'!G98)</f>
        <v>0</v>
      </c>
      <c r="H98" s="49">
        <f>AVERAGE('23.08 Bukaya-Kampala-24h'!H98,'24.08 Bukaya-Kampala-24h'!H98)</f>
        <v>0</v>
      </c>
      <c r="I98" s="49">
        <f>AVERAGE('23.08 Bukaya-Kampala-24h'!I98,'24.08 Bukaya-Kampala-24h'!I98)</f>
        <v>0</v>
      </c>
      <c r="J98" s="49">
        <f>AVERAGE('23.08 Bukaya-Kampala-24h'!J98,'24.08 Bukaya-Kampala-24h'!J98)</f>
        <v>0</v>
      </c>
      <c r="K98" s="49">
        <f>AVERAGE('23.08 Bukaya-Kampala-24h'!K98,'24.08 Bukaya-Kampala-24h'!K98)</f>
        <v>0</v>
      </c>
      <c r="L98" s="49">
        <f>AVERAGE('23.08 Bukaya-Kampala-24h'!L98,'24.08 Bukaya-Kampala-24h'!L98)</f>
        <v>0</v>
      </c>
      <c r="M98" s="49">
        <f>AVERAGE('23.08 Bukaya-Kampala-24h'!M98,'24.08 Bukaya-Kampala-24h'!M98)</f>
        <v>0</v>
      </c>
      <c r="N98" s="49">
        <f>AVERAGE('23.08 Bukaya-Kampala-24h'!N98,'24.08 Bukaya-Kampala-24h'!N98)</f>
        <v>0</v>
      </c>
      <c r="O98" s="15">
        <f t="shared" si="35"/>
        <v>0</v>
      </c>
      <c r="P98" s="15">
        <f t="shared" si="35"/>
        <v>0</v>
      </c>
      <c r="R98" s="8"/>
      <c r="T98"/>
    </row>
    <row r="99" spans="2:20" ht="23.1" customHeight="1" x14ac:dyDescent="0.25">
      <c r="B99" s="23" t="s">
        <v>139</v>
      </c>
      <c r="C99" s="49">
        <f>AVERAGE('23.08 Bukaya-Kampala-24h'!C99,'24.08 Bukaya-Kampala-24h'!C99)</f>
        <v>0</v>
      </c>
      <c r="D99" s="49">
        <f>AVERAGE('23.08 Bukaya-Kampala-24h'!D99,'24.08 Bukaya-Kampala-24h'!D99)</f>
        <v>0</v>
      </c>
      <c r="E99" s="49">
        <f>AVERAGE('23.08 Bukaya-Kampala-24h'!E99,'24.08 Bukaya-Kampala-24h'!E99)</f>
        <v>0</v>
      </c>
      <c r="F99" s="49">
        <f>AVERAGE('23.08 Bukaya-Kampala-24h'!F99,'24.08 Bukaya-Kampala-24h'!F99)</f>
        <v>0</v>
      </c>
      <c r="G99" s="49">
        <f>AVERAGE('23.08 Bukaya-Kampala-24h'!G99,'24.08 Bukaya-Kampala-24h'!G99)</f>
        <v>0</v>
      </c>
      <c r="H99" s="49">
        <f>AVERAGE('23.08 Bukaya-Kampala-24h'!H99,'24.08 Bukaya-Kampala-24h'!H99)</f>
        <v>0</v>
      </c>
      <c r="I99" s="49">
        <f>AVERAGE('23.08 Bukaya-Kampala-24h'!I99,'24.08 Bukaya-Kampala-24h'!I99)</f>
        <v>0</v>
      </c>
      <c r="J99" s="49">
        <f>AVERAGE('23.08 Bukaya-Kampala-24h'!J99,'24.08 Bukaya-Kampala-24h'!J99)</f>
        <v>0</v>
      </c>
      <c r="K99" s="49">
        <f>AVERAGE('23.08 Bukaya-Kampala-24h'!K99,'24.08 Bukaya-Kampala-24h'!K99)</f>
        <v>0</v>
      </c>
      <c r="L99" s="49">
        <f>AVERAGE('23.08 Bukaya-Kampala-24h'!L99,'24.08 Bukaya-Kampala-24h'!L99)</f>
        <v>0</v>
      </c>
      <c r="M99" s="49">
        <f>AVERAGE('23.08 Bukaya-Kampala-24h'!M99,'24.08 Bukaya-Kampala-24h'!M99)</f>
        <v>0</v>
      </c>
      <c r="N99" s="49">
        <f>AVERAGE('23.08 Bukaya-Kampala-24h'!N99,'24.08 Bukaya-Kampala-24h'!N99)</f>
        <v>0</v>
      </c>
      <c r="O99" s="15">
        <f t="shared" si="35"/>
        <v>0</v>
      </c>
      <c r="P99" s="15">
        <f t="shared" si="35"/>
        <v>0</v>
      </c>
      <c r="R99" s="8"/>
      <c r="T99"/>
    </row>
    <row r="100" spans="2:20" ht="23.1" customHeight="1" x14ac:dyDescent="0.25">
      <c r="B100" s="25" t="s">
        <v>140</v>
      </c>
      <c r="C100" s="49">
        <f>AVERAGE('23.08 Bukaya-Kampala-24h'!C100,'24.08 Bukaya-Kampala-24h'!C100)</f>
        <v>0</v>
      </c>
      <c r="D100" s="49">
        <f>AVERAGE('23.08 Bukaya-Kampala-24h'!D100,'24.08 Bukaya-Kampala-24h'!D100)</f>
        <v>0</v>
      </c>
      <c r="E100" s="49">
        <f>AVERAGE('23.08 Bukaya-Kampala-24h'!E100,'24.08 Bukaya-Kampala-24h'!E100)</f>
        <v>0</v>
      </c>
      <c r="F100" s="49">
        <f>AVERAGE('23.08 Bukaya-Kampala-24h'!F100,'24.08 Bukaya-Kampala-24h'!F100)</f>
        <v>0</v>
      </c>
      <c r="G100" s="49">
        <f>AVERAGE('23.08 Bukaya-Kampala-24h'!G100,'24.08 Bukaya-Kampala-24h'!G100)</f>
        <v>0</v>
      </c>
      <c r="H100" s="49">
        <f>AVERAGE('23.08 Bukaya-Kampala-24h'!H100,'24.08 Bukaya-Kampala-24h'!H100)</f>
        <v>0</v>
      </c>
      <c r="I100" s="49">
        <f>AVERAGE('23.08 Bukaya-Kampala-24h'!I100,'24.08 Bukaya-Kampala-24h'!I100)</f>
        <v>0</v>
      </c>
      <c r="J100" s="49">
        <f>AVERAGE('23.08 Bukaya-Kampala-24h'!J100,'24.08 Bukaya-Kampala-24h'!J100)</f>
        <v>0</v>
      </c>
      <c r="K100" s="49">
        <f>AVERAGE('23.08 Bukaya-Kampala-24h'!K100,'24.08 Bukaya-Kampala-24h'!K100)</f>
        <v>0</v>
      </c>
      <c r="L100" s="49">
        <f>AVERAGE('23.08 Bukaya-Kampala-24h'!L100,'24.08 Bukaya-Kampala-24h'!L100)</f>
        <v>0</v>
      </c>
      <c r="M100" s="49">
        <f>AVERAGE('23.08 Bukaya-Kampala-24h'!M100,'24.08 Bukaya-Kampala-24h'!M100)</f>
        <v>0</v>
      </c>
      <c r="N100" s="49">
        <f>AVERAGE('23.08 Bukaya-Kampala-24h'!N100,'24.08 Bukaya-Kampala-24h'!N100)</f>
        <v>0</v>
      </c>
      <c r="O100" s="15">
        <f t="shared" si="35"/>
        <v>0</v>
      </c>
      <c r="P100" s="15">
        <f t="shared" si="35"/>
        <v>0</v>
      </c>
      <c r="R100" s="8"/>
      <c r="T100"/>
    </row>
    <row r="101" spans="2:20" ht="23.1" customHeight="1" x14ac:dyDescent="0.25">
      <c r="B101" s="23" t="s">
        <v>141</v>
      </c>
      <c r="C101" s="49">
        <f>AVERAGE('23.08 Bukaya-Kampala-24h'!C101,'24.08 Bukaya-Kampala-24h'!C101)</f>
        <v>2</v>
      </c>
      <c r="D101" s="49">
        <f>AVERAGE('23.08 Bukaya-Kampala-24h'!D101,'24.08 Bukaya-Kampala-24h'!D101)</f>
        <v>2</v>
      </c>
      <c r="E101" s="49">
        <f>AVERAGE('23.08 Bukaya-Kampala-24h'!E101,'24.08 Bukaya-Kampala-24h'!E101)</f>
        <v>1</v>
      </c>
      <c r="F101" s="49">
        <f>AVERAGE('23.08 Bukaya-Kampala-24h'!F101,'24.08 Bukaya-Kampala-24h'!F101)</f>
        <v>0</v>
      </c>
      <c r="G101" s="49">
        <f>AVERAGE('23.08 Bukaya-Kampala-24h'!G101,'24.08 Bukaya-Kampala-24h'!G101)</f>
        <v>0</v>
      </c>
      <c r="H101" s="49">
        <f>AVERAGE('23.08 Bukaya-Kampala-24h'!H101,'24.08 Bukaya-Kampala-24h'!H101)</f>
        <v>0</v>
      </c>
      <c r="I101" s="49">
        <f>AVERAGE('23.08 Bukaya-Kampala-24h'!I101,'24.08 Bukaya-Kampala-24h'!I101)</f>
        <v>1</v>
      </c>
      <c r="J101" s="49">
        <f>AVERAGE('23.08 Bukaya-Kampala-24h'!J101,'24.08 Bukaya-Kampala-24h'!J101)</f>
        <v>0</v>
      </c>
      <c r="K101" s="49">
        <f>AVERAGE('23.08 Bukaya-Kampala-24h'!K101,'24.08 Bukaya-Kampala-24h'!K101)</f>
        <v>0</v>
      </c>
      <c r="L101" s="49">
        <f>AVERAGE('23.08 Bukaya-Kampala-24h'!L101,'24.08 Bukaya-Kampala-24h'!L101)</f>
        <v>0</v>
      </c>
      <c r="M101" s="49">
        <f>AVERAGE('23.08 Bukaya-Kampala-24h'!M101,'24.08 Bukaya-Kampala-24h'!M101)</f>
        <v>1</v>
      </c>
      <c r="N101" s="49">
        <f>AVERAGE('23.08 Bukaya-Kampala-24h'!N101,'24.08 Bukaya-Kampala-24h'!N101)</f>
        <v>0</v>
      </c>
      <c r="O101" s="15">
        <f t="shared" si="35"/>
        <v>6</v>
      </c>
      <c r="P101" s="15">
        <f t="shared" si="35"/>
        <v>11</v>
      </c>
      <c r="R101" s="8"/>
      <c r="T101"/>
    </row>
    <row r="102" spans="2:20" ht="23.1" customHeight="1" x14ac:dyDescent="0.25">
      <c r="B102" s="24" t="s">
        <v>142</v>
      </c>
      <c r="C102" s="49">
        <f>AVERAGE('23.08 Bukaya-Kampala-24h'!C102,'24.08 Bukaya-Kampala-24h'!C102)</f>
        <v>0</v>
      </c>
      <c r="D102" s="49">
        <f>AVERAGE('23.08 Bukaya-Kampala-24h'!D102,'24.08 Bukaya-Kampala-24h'!D102)</f>
        <v>0</v>
      </c>
      <c r="E102" s="49">
        <f>AVERAGE('23.08 Bukaya-Kampala-24h'!E102,'24.08 Bukaya-Kampala-24h'!E102)</f>
        <v>0</v>
      </c>
      <c r="F102" s="49">
        <f>AVERAGE('23.08 Bukaya-Kampala-24h'!F102,'24.08 Bukaya-Kampala-24h'!F102)</f>
        <v>0</v>
      </c>
      <c r="G102" s="49">
        <f>AVERAGE('23.08 Bukaya-Kampala-24h'!G102,'24.08 Bukaya-Kampala-24h'!G102)</f>
        <v>0</v>
      </c>
      <c r="H102" s="49">
        <f>AVERAGE('23.08 Bukaya-Kampala-24h'!H102,'24.08 Bukaya-Kampala-24h'!H102)</f>
        <v>0</v>
      </c>
      <c r="I102" s="49">
        <f>AVERAGE('23.08 Bukaya-Kampala-24h'!I102,'24.08 Bukaya-Kampala-24h'!I102)</f>
        <v>0</v>
      </c>
      <c r="J102" s="49">
        <f>AVERAGE('23.08 Bukaya-Kampala-24h'!J102,'24.08 Bukaya-Kampala-24h'!J102)</f>
        <v>0</v>
      </c>
      <c r="K102" s="49">
        <f>AVERAGE('23.08 Bukaya-Kampala-24h'!K102,'24.08 Bukaya-Kampala-24h'!K102)</f>
        <v>0</v>
      </c>
      <c r="L102" s="49">
        <f>AVERAGE('23.08 Bukaya-Kampala-24h'!L102,'24.08 Bukaya-Kampala-24h'!L102)</f>
        <v>0</v>
      </c>
      <c r="M102" s="49">
        <f>AVERAGE('23.08 Bukaya-Kampala-24h'!M102,'24.08 Bukaya-Kampala-24h'!M102)</f>
        <v>0</v>
      </c>
      <c r="N102" s="49">
        <f>AVERAGE('23.08 Bukaya-Kampala-24h'!N102,'24.08 Bukaya-Kampala-24h'!N102)</f>
        <v>0</v>
      </c>
      <c r="O102" s="15">
        <f t="shared" si="35"/>
        <v>0</v>
      </c>
      <c r="P102" s="15">
        <f t="shared" si="35"/>
        <v>0</v>
      </c>
      <c r="R102" s="8"/>
      <c r="T102"/>
    </row>
    <row r="103" spans="2:20" ht="23.1" customHeight="1" x14ac:dyDescent="0.25">
      <c r="B103" s="23" t="s">
        <v>143</v>
      </c>
      <c r="C103" s="49">
        <f>AVERAGE('23.08 Bukaya-Kampala-24h'!C103,'24.08 Bukaya-Kampala-24h'!C103)</f>
        <v>2</v>
      </c>
      <c r="D103" s="49">
        <f>AVERAGE('23.08 Bukaya-Kampala-24h'!D103,'24.08 Bukaya-Kampala-24h'!D103)</f>
        <v>0</v>
      </c>
      <c r="E103" s="49">
        <f>AVERAGE('23.08 Bukaya-Kampala-24h'!E103,'24.08 Bukaya-Kampala-24h'!E103)</f>
        <v>0</v>
      </c>
      <c r="F103" s="49">
        <f>AVERAGE('23.08 Bukaya-Kampala-24h'!F103,'24.08 Bukaya-Kampala-24h'!F103)</f>
        <v>0</v>
      </c>
      <c r="G103" s="49">
        <f>AVERAGE('23.08 Bukaya-Kampala-24h'!G103,'24.08 Bukaya-Kampala-24h'!G103)</f>
        <v>0</v>
      </c>
      <c r="H103" s="49">
        <f>AVERAGE('23.08 Bukaya-Kampala-24h'!H103,'24.08 Bukaya-Kampala-24h'!H103)</f>
        <v>0</v>
      </c>
      <c r="I103" s="49">
        <f>AVERAGE('23.08 Bukaya-Kampala-24h'!I103,'24.08 Bukaya-Kampala-24h'!I103)</f>
        <v>0</v>
      </c>
      <c r="J103" s="49">
        <f>AVERAGE('23.08 Bukaya-Kampala-24h'!J103,'24.08 Bukaya-Kampala-24h'!J103)</f>
        <v>0</v>
      </c>
      <c r="K103" s="49">
        <f>AVERAGE('23.08 Bukaya-Kampala-24h'!K103,'24.08 Bukaya-Kampala-24h'!K103)</f>
        <v>1</v>
      </c>
      <c r="L103" s="49">
        <f>AVERAGE('23.08 Bukaya-Kampala-24h'!L103,'24.08 Bukaya-Kampala-24h'!L103)</f>
        <v>0</v>
      </c>
      <c r="M103" s="49">
        <f>AVERAGE('23.08 Bukaya-Kampala-24h'!M103,'24.08 Bukaya-Kampala-24h'!M103)</f>
        <v>2</v>
      </c>
      <c r="N103" s="49">
        <f>AVERAGE('23.08 Bukaya-Kampala-24h'!N103,'24.08 Bukaya-Kampala-24h'!N103)</f>
        <v>0</v>
      </c>
      <c r="O103" s="15">
        <f t="shared" si="35"/>
        <v>3</v>
      </c>
      <c r="P103" s="15">
        <f t="shared" si="35"/>
        <v>6</v>
      </c>
      <c r="R103" s="8"/>
      <c r="T103"/>
    </row>
    <row r="104" spans="2:20" ht="23.1" customHeight="1" x14ac:dyDescent="0.25">
      <c r="B104" s="25" t="s">
        <v>144</v>
      </c>
      <c r="C104" s="49">
        <f>AVERAGE('23.08 Bukaya-Kampala-24h'!C104,'24.08 Bukaya-Kampala-24h'!C104)</f>
        <v>1</v>
      </c>
      <c r="D104" s="49">
        <f>AVERAGE('23.08 Bukaya-Kampala-24h'!D104,'24.08 Bukaya-Kampala-24h'!D104)</f>
        <v>0</v>
      </c>
      <c r="E104" s="49">
        <f>AVERAGE('23.08 Bukaya-Kampala-24h'!E104,'24.08 Bukaya-Kampala-24h'!E104)</f>
        <v>1</v>
      </c>
      <c r="F104" s="49">
        <f>AVERAGE('23.08 Bukaya-Kampala-24h'!F104,'24.08 Bukaya-Kampala-24h'!F104)</f>
        <v>1</v>
      </c>
      <c r="G104" s="49">
        <f>AVERAGE('23.08 Bukaya-Kampala-24h'!G104,'24.08 Bukaya-Kampala-24h'!G104)</f>
        <v>0</v>
      </c>
      <c r="H104" s="49">
        <f>AVERAGE('23.08 Bukaya-Kampala-24h'!H104,'24.08 Bukaya-Kampala-24h'!H104)</f>
        <v>0</v>
      </c>
      <c r="I104" s="49">
        <f>AVERAGE('23.08 Bukaya-Kampala-24h'!I104,'24.08 Bukaya-Kampala-24h'!I104)</f>
        <v>0</v>
      </c>
      <c r="J104" s="49">
        <f>AVERAGE('23.08 Bukaya-Kampala-24h'!J104,'24.08 Bukaya-Kampala-24h'!J104)</f>
        <v>0</v>
      </c>
      <c r="K104" s="49">
        <f>AVERAGE('23.08 Bukaya-Kampala-24h'!K104,'24.08 Bukaya-Kampala-24h'!K104)</f>
        <v>0</v>
      </c>
      <c r="L104" s="49">
        <f>AVERAGE('23.08 Bukaya-Kampala-24h'!L104,'24.08 Bukaya-Kampala-24h'!L104)</f>
        <v>0</v>
      </c>
      <c r="M104" s="49">
        <f>AVERAGE('23.08 Bukaya-Kampala-24h'!M104,'24.08 Bukaya-Kampala-24h'!M104)</f>
        <v>3</v>
      </c>
      <c r="N104" s="49">
        <f>AVERAGE('23.08 Bukaya-Kampala-24h'!N104,'24.08 Bukaya-Kampala-24h'!N104)</f>
        <v>0</v>
      </c>
      <c r="O104" s="15">
        <f t="shared" si="35"/>
        <v>3</v>
      </c>
      <c r="P104" s="15">
        <f t="shared" si="35"/>
        <v>8</v>
      </c>
      <c r="R104" s="8"/>
      <c r="T104"/>
    </row>
    <row r="105" spans="2:20" ht="23.1" customHeight="1" x14ac:dyDescent="0.25">
      <c r="B105" s="23" t="s">
        <v>145</v>
      </c>
      <c r="C105" s="49">
        <f>AVERAGE('23.08 Bukaya-Kampala-24h'!C105,'24.08 Bukaya-Kampala-24h'!C105)</f>
        <v>2</v>
      </c>
      <c r="D105" s="49">
        <f>AVERAGE('23.08 Bukaya-Kampala-24h'!D105,'24.08 Bukaya-Kampala-24h'!D105)</f>
        <v>2</v>
      </c>
      <c r="E105" s="49">
        <f>AVERAGE('23.08 Bukaya-Kampala-24h'!E105,'24.08 Bukaya-Kampala-24h'!E105)</f>
        <v>0</v>
      </c>
      <c r="F105" s="49">
        <f>AVERAGE('23.08 Bukaya-Kampala-24h'!F105,'24.08 Bukaya-Kampala-24h'!F105)</f>
        <v>0</v>
      </c>
      <c r="G105" s="49">
        <f>AVERAGE('23.08 Bukaya-Kampala-24h'!G105,'24.08 Bukaya-Kampala-24h'!G105)</f>
        <v>1</v>
      </c>
      <c r="H105" s="49">
        <f>AVERAGE('23.08 Bukaya-Kampala-24h'!H105,'24.08 Bukaya-Kampala-24h'!H105)</f>
        <v>0</v>
      </c>
      <c r="I105" s="49">
        <f>AVERAGE('23.08 Bukaya-Kampala-24h'!I105,'24.08 Bukaya-Kampala-24h'!I105)</f>
        <v>1</v>
      </c>
      <c r="J105" s="49">
        <f>AVERAGE('23.08 Bukaya-Kampala-24h'!J105,'24.08 Bukaya-Kampala-24h'!J105)</f>
        <v>0</v>
      </c>
      <c r="K105" s="49">
        <f>AVERAGE('23.08 Bukaya-Kampala-24h'!K105,'24.08 Bukaya-Kampala-24h'!K105)</f>
        <v>1</v>
      </c>
      <c r="L105" s="49">
        <f>AVERAGE('23.08 Bukaya-Kampala-24h'!L105,'24.08 Bukaya-Kampala-24h'!L105)</f>
        <v>0</v>
      </c>
      <c r="M105" s="49">
        <f>AVERAGE('23.08 Bukaya-Kampala-24h'!M105,'24.08 Bukaya-Kampala-24h'!M105)</f>
        <v>7</v>
      </c>
      <c r="N105" s="49">
        <f>AVERAGE('23.08 Bukaya-Kampala-24h'!N105,'24.08 Bukaya-Kampala-24h'!N105)</f>
        <v>0</v>
      </c>
      <c r="O105" s="15">
        <f t="shared" si="35"/>
        <v>7</v>
      </c>
      <c r="P105" s="15">
        <f t="shared" si="35"/>
        <v>19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175.14285714285717</v>
      </c>
      <c r="D106" s="16">
        <f t="shared" ref="D106:P106" si="36">SUM(D10:D105)</f>
        <v>4</v>
      </c>
      <c r="E106" s="16">
        <f t="shared" si="36"/>
        <v>189.14285714285717</v>
      </c>
      <c r="F106" s="16">
        <f t="shared" si="36"/>
        <v>131.28571428571425</v>
      </c>
      <c r="G106" s="16">
        <f t="shared" si="36"/>
        <v>7.2857142857142847</v>
      </c>
      <c r="H106" s="16">
        <f t="shared" si="36"/>
        <v>1.2857142857142856</v>
      </c>
      <c r="I106" s="16">
        <f t="shared" si="36"/>
        <v>129.28571428571428</v>
      </c>
      <c r="J106" s="16">
        <f t="shared" si="36"/>
        <v>4.4285714285714279</v>
      </c>
      <c r="K106" s="16">
        <f t="shared" si="36"/>
        <v>11.857142857142858</v>
      </c>
      <c r="L106" s="16">
        <f t="shared" si="36"/>
        <v>0.2857142857142857</v>
      </c>
      <c r="M106" s="16">
        <f t="shared" si="36"/>
        <v>1106.7142857142856</v>
      </c>
      <c r="N106" s="16">
        <f t="shared" si="36"/>
        <v>0.14285714285714285</v>
      </c>
      <c r="O106" s="16">
        <f t="shared" si="36"/>
        <v>654.14285714285711</v>
      </c>
      <c r="P106" s="16">
        <f t="shared" si="36"/>
        <v>1952.5714285714287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7">C106/$P$106</f>
        <v>8.9698565993561616E-2</v>
      </c>
      <c r="D107" s="43">
        <f t="shared" si="37"/>
        <v>2.048580626280363E-3</v>
      </c>
      <c r="E107" s="43">
        <f t="shared" si="37"/>
        <v>9.6868598185542887E-2</v>
      </c>
      <c r="F107" s="43">
        <f t="shared" si="37"/>
        <v>6.723734269827332E-2</v>
      </c>
      <c r="G107" s="43">
        <f t="shared" si="37"/>
        <v>3.731343283582089E-3</v>
      </c>
      <c r="H107" s="43">
        <f t="shared" si="37"/>
        <v>6.5847234416154508E-4</v>
      </c>
      <c r="I107" s="43">
        <f t="shared" si="37"/>
        <v>6.6213052385133156E-2</v>
      </c>
      <c r="J107" s="43">
        <f t="shared" si="37"/>
        <v>2.2680714076675442E-3</v>
      </c>
      <c r="K107" s="43">
        <f t="shared" si="37"/>
        <v>6.0725782850453618E-3</v>
      </c>
      <c r="L107" s="43">
        <f t="shared" si="37"/>
        <v>1.4632718759145447E-4</v>
      </c>
      <c r="M107" s="43">
        <f t="shared" si="37"/>
        <v>0.56679836113549886</v>
      </c>
      <c r="N107" s="43">
        <f t="shared" si="37"/>
        <v>7.3163593795727233E-5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0.26774404891897802</v>
      </c>
      <c r="D108" s="44">
        <f t="shared" ref="D108:N108" si="38">D106/$O$106</f>
        <v>6.1148722428477839E-3</v>
      </c>
      <c r="E108" s="44">
        <f t="shared" si="38"/>
        <v>0.28914610176894523</v>
      </c>
      <c r="F108" s="44">
        <f t="shared" si="38"/>
        <v>0.20069884254203971</v>
      </c>
      <c r="G108" s="44">
        <f t="shared" si="38"/>
        <v>1.1137803013758461E-2</v>
      </c>
      <c r="H108" s="44">
        <f t="shared" si="38"/>
        <v>1.9654946494867876E-3</v>
      </c>
      <c r="I108" s="44">
        <f t="shared" si="38"/>
        <v>0.19764140642061584</v>
      </c>
      <c r="J108" s="44">
        <f t="shared" si="38"/>
        <v>6.7700371260100449E-3</v>
      </c>
      <c r="K108" s="44">
        <f t="shared" si="38"/>
        <v>1.8126228434155931E-2</v>
      </c>
      <c r="L108" s="44">
        <f t="shared" si="38"/>
        <v>4.3677658877484165E-4</v>
      </c>
      <c r="M108" s="44"/>
      <c r="N108" s="44">
        <f t="shared" si="38"/>
        <v>2.1838829438742082E-4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F22" zoomScale="60" workbookViewId="0">
      <selection activeCell="N106" sqref="N106:P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'25.08 Bukaya-Kampala'!C3:G3</f>
        <v>MCC - C3 - STN92 - NALUBAALE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'Avg Week Bukaya-Kampala'!G5:H5</f>
        <v>Nyenga</v>
      </c>
      <c r="H5" s="64"/>
      <c r="I5" s="14"/>
      <c r="J5" s="2" t="s">
        <v>5</v>
      </c>
      <c r="K5" s="63" t="str">
        <f>'Avg Week Bukaya-Kampala'!K5:L5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Bukaya-Kampala'!K6:L6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Kampala-Bukaya'!C10+'Avg Week Bukaya-Kampala'!C10</f>
        <v>2.5714285714285712</v>
      </c>
      <c r="D10" s="49">
        <f>'Avg Week Kampala-Bukaya'!D10+'Avg Week Bukaya-Kampala'!D10</f>
        <v>0</v>
      </c>
      <c r="E10" s="49">
        <f>'Avg Week Kampala-Bukaya'!E10+'Avg Week Bukaya-Kampala'!E10</f>
        <v>1.7142857142857144</v>
      </c>
      <c r="F10" s="49">
        <f>'Avg Week Kampala-Bukaya'!F10+'Avg Week Bukaya-Kampala'!F10</f>
        <v>2.1428571428571428</v>
      </c>
      <c r="G10" s="49">
        <f>'Avg Week Kampala-Bukaya'!G10+'Avg Week Bukaya-Kampala'!G10</f>
        <v>0</v>
      </c>
      <c r="H10" s="49">
        <f>'Avg Week Kampala-Bukaya'!H10+'Avg Week Bukaya-Kampala'!H10</f>
        <v>0</v>
      </c>
      <c r="I10" s="49">
        <f>'Avg Week Kampala-Bukaya'!I10+'Avg Week Bukaya-Kampala'!I10</f>
        <v>1.1428571428571428</v>
      </c>
      <c r="J10" s="49">
        <f>'Avg Week Kampala-Bukaya'!J10+'Avg Week Bukaya-Kampala'!J10</f>
        <v>0</v>
      </c>
      <c r="K10" s="49">
        <f>'Avg Week Kampala-Bukaya'!K10+'Avg Week Bukaya-Kampala'!K10</f>
        <v>0.14285714285714285</v>
      </c>
      <c r="L10" s="49">
        <f>'Avg Week Kampala-Bukaya'!L10+'Avg Week Bukaya-Kampala'!L10</f>
        <v>0</v>
      </c>
      <c r="M10" s="49">
        <f>'Avg Week Kampala-Bukaya'!M10+'Avg Week Bukaya-Kampala'!M10</f>
        <v>21.142857142857142</v>
      </c>
      <c r="N10" s="49">
        <f>'Avg Week Kampala-Bukaya'!N10+'Avg Week Bukaya-Kampala'!N10</f>
        <v>0</v>
      </c>
      <c r="O10" s="15">
        <f t="shared" ref="O10:O57" si="0">SUM(C10:L10,N10)</f>
        <v>7.7142857142857144</v>
      </c>
      <c r="P10" s="15">
        <f t="shared" ref="P10:P57" si="1">SUM(C10:N10)</f>
        <v>28.857142857142858</v>
      </c>
      <c r="R10" s="1" t="s">
        <v>6</v>
      </c>
      <c r="S10" s="17">
        <f t="shared" ref="S10:AF10" si="2">SUM(C10:C13)</f>
        <v>9.8571428571428559</v>
      </c>
      <c r="T10" s="17">
        <f t="shared" si="2"/>
        <v>0</v>
      </c>
      <c r="U10" s="17">
        <f t="shared" si="2"/>
        <v>11.428571428571431</v>
      </c>
      <c r="V10" s="17">
        <f t="shared" si="2"/>
        <v>9.5714285714285712</v>
      </c>
      <c r="W10" s="17">
        <f t="shared" si="2"/>
        <v>0.42857142857142855</v>
      </c>
      <c r="X10" s="17">
        <f t="shared" si="2"/>
        <v>0</v>
      </c>
      <c r="Y10" s="17">
        <f t="shared" si="2"/>
        <v>6</v>
      </c>
      <c r="Z10" s="17">
        <f t="shared" si="2"/>
        <v>0.14285714285714285</v>
      </c>
      <c r="AA10" s="17">
        <f t="shared" si="2"/>
        <v>0.14285714285714285</v>
      </c>
      <c r="AB10" s="17">
        <f t="shared" si="2"/>
        <v>0</v>
      </c>
      <c r="AC10" s="17">
        <f t="shared" si="2"/>
        <v>102.57142857142858</v>
      </c>
      <c r="AD10" s="17">
        <f t="shared" si="2"/>
        <v>0.14285714285714285</v>
      </c>
      <c r="AE10" s="31">
        <f t="shared" si="2"/>
        <v>37.714285714285715</v>
      </c>
      <c r="AF10" s="31">
        <f t="shared" si="2"/>
        <v>140.28571428571428</v>
      </c>
    </row>
    <row r="11" spans="2:32" s="6" customFormat="1" ht="23.1" customHeight="1" x14ac:dyDescent="0.25">
      <c r="B11" s="23" t="s">
        <v>38</v>
      </c>
      <c r="C11" s="49">
        <f>'Avg Week Kampala-Bukaya'!C11+'Avg Week Bukaya-Kampala'!C11</f>
        <v>1.7142857142857142</v>
      </c>
      <c r="D11" s="49">
        <f>'Avg Week Kampala-Bukaya'!D11+'Avg Week Bukaya-Kampala'!D11</f>
        <v>0</v>
      </c>
      <c r="E11" s="49">
        <f>'Avg Week Kampala-Bukaya'!E11+'Avg Week Bukaya-Kampala'!E11</f>
        <v>2.4285714285714288</v>
      </c>
      <c r="F11" s="49">
        <f>'Avg Week Kampala-Bukaya'!F11+'Avg Week Bukaya-Kampala'!F11</f>
        <v>1.7142857142857142</v>
      </c>
      <c r="G11" s="49">
        <f>'Avg Week Kampala-Bukaya'!G11+'Avg Week Bukaya-Kampala'!G11</f>
        <v>0.14285714285714285</v>
      </c>
      <c r="H11" s="49">
        <f>'Avg Week Kampala-Bukaya'!H11+'Avg Week Bukaya-Kampala'!H11</f>
        <v>0</v>
      </c>
      <c r="I11" s="49">
        <f>'Avg Week Kampala-Bukaya'!I11+'Avg Week Bukaya-Kampala'!I11</f>
        <v>2</v>
      </c>
      <c r="J11" s="49">
        <f>'Avg Week Kampala-Bukaya'!J11+'Avg Week Bukaya-Kampala'!J11</f>
        <v>0</v>
      </c>
      <c r="K11" s="49">
        <f>'Avg Week Kampala-Bukaya'!K11+'Avg Week Bukaya-Kampala'!K11</f>
        <v>0</v>
      </c>
      <c r="L11" s="49">
        <f>'Avg Week Kampala-Bukaya'!L11+'Avg Week Bukaya-Kampala'!L11</f>
        <v>0</v>
      </c>
      <c r="M11" s="49">
        <f>'Avg Week Kampala-Bukaya'!M11+'Avg Week Bukaya-Kampala'!M11</f>
        <v>22.285714285714285</v>
      </c>
      <c r="N11" s="49">
        <f>'Avg Week Kampala-Bukaya'!N11+'Avg Week Bukaya-Kampala'!N11</f>
        <v>0</v>
      </c>
      <c r="O11" s="15">
        <f t="shared" ref="O11:O74" si="3">SUM(C11:L11,N11)</f>
        <v>8</v>
      </c>
      <c r="P11" s="15">
        <f t="shared" ref="P11:P74" si="4">SUM(C11:N11)</f>
        <v>30.285714285714285</v>
      </c>
      <c r="R11" s="1" t="s">
        <v>7</v>
      </c>
      <c r="S11" s="17">
        <f t="shared" ref="S11:AF11" si="5">SUM(C14:C17)</f>
        <v>12.428571428571427</v>
      </c>
      <c r="T11" s="17">
        <f t="shared" si="5"/>
        <v>0</v>
      </c>
      <c r="U11" s="17">
        <f t="shared" si="5"/>
        <v>12.571428571428571</v>
      </c>
      <c r="V11" s="17">
        <f t="shared" si="5"/>
        <v>8.8571428571428559</v>
      </c>
      <c r="W11" s="17">
        <f t="shared" si="5"/>
        <v>0.5714285714285714</v>
      </c>
      <c r="X11" s="17">
        <f t="shared" si="5"/>
        <v>0</v>
      </c>
      <c r="Y11" s="17">
        <f t="shared" si="5"/>
        <v>10</v>
      </c>
      <c r="Z11" s="17">
        <f t="shared" si="5"/>
        <v>0.42857142857142855</v>
      </c>
      <c r="AA11" s="17">
        <f t="shared" si="5"/>
        <v>1.4285714285714284</v>
      </c>
      <c r="AB11" s="17">
        <f t="shared" si="5"/>
        <v>0.2857142857142857</v>
      </c>
      <c r="AC11" s="17">
        <f t="shared" si="5"/>
        <v>124.42857142857144</v>
      </c>
      <c r="AD11" s="17">
        <f t="shared" si="5"/>
        <v>0.14285714285714285</v>
      </c>
      <c r="AE11" s="31">
        <f t="shared" si="5"/>
        <v>46.714285714285708</v>
      </c>
      <c r="AF11" s="31">
        <f t="shared" si="5"/>
        <v>171.14285714285714</v>
      </c>
    </row>
    <row r="12" spans="2:32" ht="23.1" customHeight="1" x14ac:dyDescent="0.25">
      <c r="B12" s="23" t="s">
        <v>39</v>
      </c>
      <c r="C12" s="49">
        <f>'Avg Week Kampala-Bukaya'!C12+'Avg Week Bukaya-Kampala'!C12</f>
        <v>2.4285714285714284</v>
      </c>
      <c r="D12" s="49">
        <f>'Avg Week Kampala-Bukaya'!D12+'Avg Week Bukaya-Kampala'!D12</f>
        <v>0</v>
      </c>
      <c r="E12" s="49">
        <f>'Avg Week Kampala-Bukaya'!E12+'Avg Week Bukaya-Kampala'!E12</f>
        <v>3.5714285714285716</v>
      </c>
      <c r="F12" s="49">
        <f>'Avg Week Kampala-Bukaya'!F12+'Avg Week Bukaya-Kampala'!F12</f>
        <v>3.2857142857142856</v>
      </c>
      <c r="G12" s="49">
        <f>'Avg Week Kampala-Bukaya'!G12+'Avg Week Bukaya-Kampala'!G12</f>
        <v>0</v>
      </c>
      <c r="H12" s="49">
        <f>'Avg Week Kampala-Bukaya'!H12+'Avg Week Bukaya-Kampala'!H12</f>
        <v>0</v>
      </c>
      <c r="I12" s="49">
        <f>'Avg Week Kampala-Bukaya'!I12+'Avg Week Bukaya-Kampala'!I12</f>
        <v>1.2857142857142856</v>
      </c>
      <c r="J12" s="49">
        <f>'Avg Week Kampala-Bukaya'!J12+'Avg Week Bukaya-Kampala'!J12</f>
        <v>0.14285714285714285</v>
      </c>
      <c r="K12" s="49">
        <f>'Avg Week Kampala-Bukaya'!K12+'Avg Week Bukaya-Kampala'!K12</f>
        <v>0</v>
      </c>
      <c r="L12" s="49">
        <f>'Avg Week Kampala-Bukaya'!L12+'Avg Week Bukaya-Kampala'!L12</f>
        <v>0</v>
      </c>
      <c r="M12" s="49">
        <f>'Avg Week Kampala-Bukaya'!M12+'Avg Week Bukaya-Kampala'!M12</f>
        <v>30.428571428571431</v>
      </c>
      <c r="N12" s="49">
        <f>'Avg Week Kampala-Bukaya'!N12+'Avg Week Bukaya-Kampala'!N12</f>
        <v>0.14285714285714285</v>
      </c>
      <c r="O12" s="15">
        <f t="shared" si="3"/>
        <v>10.857142857142854</v>
      </c>
      <c r="P12" s="15">
        <f t="shared" si="4"/>
        <v>41.285714285714285</v>
      </c>
      <c r="R12" s="1" t="s">
        <v>8</v>
      </c>
      <c r="S12" s="17">
        <f t="shared" ref="S12:AF12" si="6">SUM(C18:C21)</f>
        <v>17.285714285714285</v>
      </c>
      <c r="T12" s="17">
        <f t="shared" si="6"/>
        <v>0</v>
      </c>
      <c r="U12" s="17">
        <f t="shared" si="6"/>
        <v>12.857142857142856</v>
      </c>
      <c r="V12" s="17">
        <f t="shared" si="6"/>
        <v>12.571428571428573</v>
      </c>
      <c r="W12" s="17">
        <f t="shared" si="6"/>
        <v>0.42857142857142855</v>
      </c>
      <c r="X12" s="17">
        <f t="shared" si="6"/>
        <v>0.14285714285714285</v>
      </c>
      <c r="Y12" s="17">
        <f t="shared" si="6"/>
        <v>11.428571428571431</v>
      </c>
      <c r="Z12" s="17">
        <f t="shared" si="6"/>
        <v>0.5714285714285714</v>
      </c>
      <c r="AA12" s="17">
        <f t="shared" si="6"/>
        <v>0.5714285714285714</v>
      </c>
      <c r="AB12" s="17">
        <f t="shared" si="6"/>
        <v>0.14285714285714285</v>
      </c>
      <c r="AC12" s="17">
        <f t="shared" si="6"/>
        <v>138.28571428571428</v>
      </c>
      <c r="AD12" s="17">
        <f t="shared" si="6"/>
        <v>0</v>
      </c>
      <c r="AE12" s="31">
        <f t="shared" si="6"/>
        <v>56</v>
      </c>
      <c r="AF12" s="31">
        <f t="shared" si="6"/>
        <v>194.28571428571428</v>
      </c>
    </row>
    <row r="13" spans="2:32" ht="23.1" customHeight="1" x14ac:dyDescent="0.25">
      <c r="B13" s="23" t="s">
        <v>40</v>
      </c>
      <c r="C13" s="49">
        <f>'Avg Week Kampala-Bukaya'!C13+'Avg Week Bukaya-Kampala'!C13</f>
        <v>3.1428571428571428</v>
      </c>
      <c r="D13" s="49">
        <f>'Avg Week Kampala-Bukaya'!D13+'Avg Week Bukaya-Kampala'!D13</f>
        <v>0</v>
      </c>
      <c r="E13" s="49">
        <f>'Avg Week Kampala-Bukaya'!E13+'Avg Week Bukaya-Kampala'!E13</f>
        <v>3.7142857142857144</v>
      </c>
      <c r="F13" s="49">
        <f>'Avg Week Kampala-Bukaya'!F13+'Avg Week Bukaya-Kampala'!F13</f>
        <v>2.4285714285714284</v>
      </c>
      <c r="G13" s="49">
        <f>'Avg Week Kampala-Bukaya'!G13+'Avg Week Bukaya-Kampala'!G13</f>
        <v>0.2857142857142857</v>
      </c>
      <c r="H13" s="49">
        <f>'Avg Week Kampala-Bukaya'!H13+'Avg Week Bukaya-Kampala'!H13</f>
        <v>0</v>
      </c>
      <c r="I13" s="49">
        <f>'Avg Week Kampala-Bukaya'!I13+'Avg Week Bukaya-Kampala'!I13</f>
        <v>1.5714285714285714</v>
      </c>
      <c r="J13" s="49">
        <f>'Avg Week Kampala-Bukaya'!J13+'Avg Week Bukaya-Kampala'!J13</f>
        <v>0</v>
      </c>
      <c r="K13" s="49">
        <f>'Avg Week Kampala-Bukaya'!K13+'Avg Week Bukaya-Kampala'!K13</f>
        <v>0</v>
      </c>
      <c r="L13" s="49">
        <f>'Avg Week Kampala-Bukaya'!L13+'Avg Week Bukaya-Kampala'!L13</f>
        <v>0</v>
      </c>
      <c r="M13" s="49">
        <f>'Avg Week Kampala-Bukaya'!M13+'Avg Week Bukaya-Kampala'!M13</f>
        <v>28.714285714285715</v>
      </c>
      <c r="N13" s="49">
        <f>'Avg Week Kampala-Bukaya'!N13+'Avg Week Bukaya-Kampala'!N13</f>
        <v>0</v>
      </c>
      <c r="O13" s="15">
        <f t="shared" si="3"/>
        <v>11.142857142857144</v>
      </c>
      <c r="P13" s="15">
        <f t="shared" si="4"/>
        <v>39.857142857142861</v>
      </c>
      <c r="R13" s="1" t="s">
        <v>9</v>
      </c>
      <c r="S13" s="17">
        <f t="shared" ref="S13:AF13" si="7">SUM(C22:C25)</f>
        <v>18.571428571428569</v>
      </c>
      <c r="T13" s="17">
        <f t="shared" si="7"/>
        <v>0</v>
      </c>
      <c r="U13" s="17">
        <f t="shared" si="7"/>
        <v>22.285714285714285</v>
      </c>
      <c r="V13" s="17">
        <f t="shared" si="7"/>
        <v>12.714285714285714</v>
      </c>
      <c r="W13" s="17">
        <f t="shared" si="7"/>
        <v>0.42857142857142855</v>
      </c>
      <c r="X13" s="17">
        <f t="shared" si="7"/>
        <v>0.14285714285714285</v>
      </c>
      <c r="Y13" s="17">
        <f t="shared" si="7"/>
        <v>12.000000000000002</v>
      </c>
      <c r="Z13" s="17">
        <f t="shared" si="7"/>
        <v>0.14285714285714285</v>
      </c>
      <c r="AA13" s="17">
        <f t="shared" si="7"/>
        <v>1.2857142857142856</v>
      </c>
      <c r="AB13" s="17">
        <f t="shared" si="7"/>
        <v>0</v>
      </c>
      <c r="AC13" s="17">
        <f t="shared" si="7"/>
        <v>158.57142857142856</v>
      </c>
      <c r="AD13" s="17">
        <f t="shared" si="7"/>
        <v>0</v>
      </c>
      <c r="AE13" s="31">
        <f t="shared" si="7"/>
        <v>67.571428571428569</v>
      </c>
      <c r="AF13" s="31">
        <f t="shared" si="7"/>
        <v>226.14285714285711</v>
      </c>
    </row>
    <row r="14" spans="2:32" ht="23.1" customHeight="1" x14ac:dyDescent="0.25">
      <c r="B14" s="23" t="s">
        <v>41</v>
      </c>
      <c r="C14" s="49">
        <f>'Avg Week Kampala-Bukaya'!C14+'Avg Week Bukaya-Kampala'!C14</f>
        <v>3.7142857142857144</v>
      </c>
      <c r="D14" s="49">
        <f>'Avg Week Kampala-Bukaya'!D14+'Avg Week Bukaya-Kampala'!D14</f>
        <v>0</v>
      </c>
      <c r="E14" s="49">
        <f>'Avg Week Kampala-Bukaya'!E14+'Avg Week Bukaya-Kampala'!E14</f>
        <v>2.4285714285714284</v>
      </c>
      <c r="F14" s="49">
        <f>'Avg Week Kampala-Bukaya'!F14+'Avg Week Bukaya-Kampala'!F14</f>
        <v>2.1428571428571428</v>
      </c>
      <c r="G14" s="49">
        <f>'Avg Week Kampala-Bukaya'!G14+'Avg Week Bukaya-Kampala'!G14</f>
        <v>0.14285714285714285</v>
      </c>
      <c r="H14" s="49">
        <f>'Avg Week Kampala-Bukaya'!H14+'Avg Week Bukaya-Kampala'!H14</f>
        <v>0</v>
      </c>
      <c r="I14" s="49">
        <f>'Avg Week Kampala-Bukaya'!I14+'Avg Week Bukaya-Kampala'!I14</f>
        <v>2.5714285714285712</v>
      </c>
      <c r="J14" s="49">
        <f>'Avg Week Kampala-Bukaya'!J14+'Avg Week Bukaya-Kampala'!J14</f>
        <v>0.2857142857142857</v>
      </c>
      <c r="K14" s="49">
        <f>'Avg Week Kampala-Bukaya'!K14+'Avg Week Bukaya-Kampala'!K14</f>
        <v>0.5714285714285714</v>
      </c>
      <c r="L14" s="49">
        <f>'Avg Week Kampala-Bukaya'!L14+'Avg Week Bukaya-Kampala'!L14</f>
        <v>0.2857142857142857</v>
      </c>
      <c r="M14" s="49">
        <f>'Avg Week Kampala-Bukaya'!M14+'Avg Week Bukaya-Kampala'!M14</f>
        <v>29.142857142857142</v>
      </c>
      <c r="N14" s="49">
        <f>'Avg Week Kampala-Bukaya'!N14+'Avg Week Bukaya-Kampala'!N14</f>
        <v>0</v>
      </c>
      <c r="O14" s="15">
        <f t="shared" si="3"/>
        <v>12.142857142857142</v>
      </c>
      <c r="P14" s="15">
        <f t="shared" si="4"/>
        <v>41.285714285714285</v>
      </c>
      <c r="R14" s="1" t="s">
        <v>10</v>
      </c>
      <c r="S14" s="17">
        <f t="shared" ref="S14:AF14" si="8">SUM(C26:C29)</f>
        <v>18.428571428571431</v>
      </c>
      <c r="T14" s="17">
        <f t="shared" si="8"/>
        <v>0</v>
      </c>
      <c r="U14" s="17">
        <f t="shared" si="8"/>
        <v>19.857142857142858</v>
      </c>
      <c r="V14" s="17">
        <f t="shared" si="8"/>
        <v>13.714285714285714</v>
      </c>
      <c r="W14" s="17">
        <f t="shared" si="8"/>
        <v>1.2857142857142856</v>
      </c>
      <c r="X14" s="17">
        <f t="shared" si="8"/>
        <v>0</v>
      </c>
      <c r="Y14" s="17">
        <f t="shared" si="8"/>
        <v>13.428571428571429</v>
      </c>
      <c r="Z14" s="17">
        <f t="shared" si="8"/>
        <v>0.42857142857142855</v>
      </c>
      <c r="AA14" s="17">
        <f t="shared" si="8"/>
        <v>0.8571428571428571</v>
      </c>
      <c r="AB14" s="17">
        <f t="shared" si="8"/>
        <v>0</v>
      </c>
      <c r="AC14" s="17">
        <f t="shared" si="8"/>
        <v>163.28571428571428</v>
      </c>
      <c r="AD14" s="17">
        <f t="shared" si="8"/>
        <v>0</v>
      </c>
      <c r="AE14" s="31">
        <f t="shared" si="8"/>
        <v>68</v>
      </c>
      <c r="AF14" s="31">
        <f t="shared" si="8"/>
        <v>231.28571428571428</v>
      </c>
    </row>
    <row r="15" spans="2:32" ht="23.1" customHeight="1" x14ac:dyDescent="0.25">
      <c r="B15" s="23" t="s">
        <v>42</v>
      </c>
      <c r="C15" s="49">
        <f>'Avg Week Kampala-Bukaya'!C15+'Avg Week Bukaya-Kampala'!C15</f>
        <v>2.8571428571428568</v>
      </c>
      <c r="D15" s="49">
        <f>'Avg Week Kampala-Bukaya'!D15+'Avg Week Bukaya-Kampala'!D15</f>
        <v>0</v>
      </c>
      <c r="E15" s="49">
        <f>'Avg Week Kampala-Bukaya'!E15+'Avg Week Bukaya-Kampala'!E15</f>
        <v>2.4285714285714284</v>
      </c>
      <c r="F15" s="49">
        <f>'Avg Week Kampala-Bukaya'!F15+'Avg Week Bukaya-Kampala'!F15</f>
        <v>1.4285714285714284</v>
      </c>
      <c r="G15" s="49">
        <f>'Avg Week Kampala-Bukaya'!G15+'Avg Week Bukaya-Kampala'!G15</f>
        <v>0</v>
      </c>
      <c r="H15" s="49">
        <f>'Avg Week Kampala-Bukaya'!H15+'Avg Week Bukaya-Kampala'!H15</f>
        <v>0</v>
      </c>
      <c r="I15" s="49">
        <f>'Avg Week Kampala-Bukaya'!I15+'Avg Week Bukaya-Kampala'!I15</f>
        <v>2.4285714285714288</v>
      </c>
      <c r="J15" s="49">
        <f>'Avg Week Kampala-Bukaya'!J15+'Avg Week Bukaya-Kampala'!J15</f>
        <v>0</v>
      </c>
      <c r="K15" s="49">
        <f>'Avg Week Kampala-Bukaya'!K15+'Avg Week Bukaya-Kampala'!K15</f>
        <v>0.5714285714285714</v>
      </c>
      <c r="L15" s="49">
        <f>'Avg Week Kampala-Bukaya'!L15+'Avg Week Bukaya-Kampala'!L15</f>
        <v>0</v>
      </c>
      <c r="M15" s="49">
        <f>'Avg Week Kampala-Bukaya'!M15+'Avg Week Bukaya-Kampala'!M15</f>
        <v>31.714285714285715</v>
      </c>
      <c r="N15" s="49">
        <f>'Avg Week Kampala-Bukaya'!N15+'Avg Week Bukaya-Kampala'!N15</f>
        <v>0.14285714285714285</v>
      </c>
      <c r="O15" s="15">
        <f t="shared" si="3"/>
        <v>9.8571428571428559</v>
      </c>
      <c r="P15" s="15">
        <f t="shared" si="4"/>
        <v>41.571428571428577</v>
      </c>
      <c r="R15" s="1" t="s">
        <v>11</v>
      </c>
      <c r="S15" s="17">
        <f t="shared" ref="S15:AF15" si="9">SUM(C30:C33)</f>
        <v>19.714285714285715</v>
      </c>
      <c r="T15" s="17">
        <f t="shared" si="9"/>
        <v>0</v>
      </c>
      <c r="U15" s="17">
        <f t="shared" si="9"/>
        <v>20.285714285714285</v>
      </c>
      <c r="V15" s="17">
        <f t="shared" si="9"/>
        <v>15.857142857142858</v>
      </c>
      <c r="W15" s="17">
        <f t="shared" si="9"/>
        <v>1.1428571428571428</v>
      </c>
      <c r="X15" s="17">
        <f t="shared" si="9"/>
        <v>0</v>
      </c>
      <c r="Y15" s="17">
        <f t="shared" si="9"/>
        <v>13.142857142857142</v>
      </c>
      <c r="Z15" s="17">
        <f t="shared" si="9"/>
        <v>0.2857142857142857</v>
      </c>
      <c r="AA15" s="17">
        <f t="shared" si="9"/>
        <v>0.8571428571428571</v>
      </c>
      <c r="AB15" s="17">
        <f t="shared" si="9"/>
        <v>0</v>
      </c>
      <c r="AC15" s="17">
        <f t="shared" si="9"/>
        <v>168.85714285714286</v>
      </c>
      <c r="AD15" s="17">
        <f t="shared" si="9"/>
        <v>0</v>
      </c>
      <c r="AE15" s="31">
        <f t="shared" si="9"/>
        <v>71.285714285714292</v>
      </c>
      <c r="AF15" s="31">
        <f t="shared" si="9"/>
        <v>240.14285714285714</v>
      </c>
    </row>
    <row r="16" spans="2:32" ht="23.1" customHeight="1" x14ac:dyDescent="0.25">
      <c r="B16" s="23" t="s">
        <v>43</v>
      </c>
      <c r="C16" s="49">
        <f>'Avg Week Kampala-Bukaya'!C16+'Avg Week Bukaya-Kampala'!C16</f>
        <v>3.1428571428571428</v>
      </c>
      <c r="D16" s="49">
        <f>'Avg Week Kampala-Bukaya'!D16+'Avg Week Bukaya-Kampala'!D16</f>
        <v>0</v>
      </c>
      <c r="E16" s="49">
        <f>'Avg Week Kampala-Bukaya'!E16+'Avg Week Bukaya-Kampala'!E16</f>
        <v>3.8571428571428568</v>
      </c>
      <c r="F16" s="49">
        <f>'Avg Week Kampala-Bukaya'!F16+'Avg Week Bukaya-Kampala'!F16</f>
        <v>2.1428571428571428</v>
      </c>
      <c r="G16" s="49">
        <f>'Avg Week Kampala-Bukaya'!G16+'Avg Week Bukaya-Kampala'!G16</f>
        <v>0.2857142857142857</v>
      </c>
      <c r="H16" s="49">
        <f>'Avg Week Kampala-Bukaya'!H16+'Avg Week Bukaya-Kampala'!H16</f>
        <v>0</v>
      </c>
      <c r="I16" s="49">
        <f>'Avg Week Kampala-Bukaya'!I16+'Avg Week Bukaya-Kampala'!I16</f>
        <v>2.7142857142857144</v>
      </c>
      <c r="J16" s="49">
        <f>'Avg Week Kampala-Bukaya'!J16+'Avg Week Bukaya-Kampala'!J16</f>
        <v>0</v>
      </c>
      <c r="K16" s="49">
        <f>'Avg Week Kampala-Bukaya'!K16+'Avg Week Bukaya-Kampala'!K16</f>
        <v>0.14285714285714285</v>
      </c>
      <c r="L16" s="49">
        <f>'Avg Week Kampala-Bukaya'!L16+'Avg Week Bukaya-Kampala'!L16</f>
        <v>0</v>
      </c>
      <c r="M16" s="49">
        <f>'Avg Week Kampala-Bukaya'!M16+'Avg Week Bukaya-Kampala'!M16</f>
        <v>29.857142857142858</v>
      </c>
      <c r="N16" s="49">
        <f>'Avg Week Kampala-Bukaya'!N16+'Avg Week Bukaya-Kampala'!N16</f>
        <v>0</v>
      </c>
      <c r="O16" s="15">
        <f t="shared" si="3"/>
        <v>12.285714285714285</v>
      </c>
      <c r="P16" s="15">
        <f t="shared" si="4"/>
        <v>42.142857142857139</v>
      </c>
      <c r="R16" s="1" t="s">
        <v>12</v>
      </c>
      <c r="S16" s="17">
        <f t="shared" ref="S16:AF16" si="10">SUM(C34:C37)</f>
        <v>22.571428571428573</v>
      </c>
      <c r="T16" s="17">
        <f t="shared" si="10"/>
        <v>0</v>
      </c>
      <c r="U16" s="17">
        <f t="shared" si="10"/>
        <v>23.714285714285712</v>
      </c>
      <c r="V16" s="17">
        <f t="shared" si="10"/>
        <v>15.857142857142858</v>
      </c>
      <c r="W16" s="17">
        <f t="shared" si="10"/>
        <v>0.71428571428571419</v>
      </c>
      <c r="X16" s="17">
        <f t="shared" si="10"/>
        <v>0.7142857142857143</v>
      </c>
      <c r="Y16" s="17">
        <f t="shared" si="10"/>
        <v>13.571428571428571</v>
      </c>
      <c r="Z16" s="17">
        <f t="shared" si="10"/>
        <v>0.5714285714285714</v>
      </c>
      <c r="AA16" s="17">
        <f t="shared" si="10"/>
        <v>1.2857142857142856</v>
      </c>
      <c r="AB16" s="17">
        <f t="shared" si="10"/>
        <v>0</v>
      </c>
      <c r="AC16" s="17">
        <f t="shared" si="10"/>
        <v>140.57142857142856</v>
      </c>
      <c r="AD16" s="17">
        <f t="shared" si="10"/>
        <v>0</v>
      </c>
      <c r="AE16" s="31">
        <f t="shared" si="10"/>
        <v>79</v>
      </c>
      <c r="AF16" s="31">
        <f t="shared" si="10"/>
        <v>219.57142857142856</v>
      </c>
    </row>
    <row r="17" spans="2:32" ht="23.1" customHeight="1" x14ac:dyDescent="0.25">
      <c r="B17" s="23" t="s">
        <v>44</v>
      </c>
      <c r="C17" s="49">
        <f>'Avg Week Kampala-Bukaya'!C17+'Avg Week Bukaya-Kampala'!C17</f>
        <v>2.7142857142857144</v>
      </c>
      <c r="D17" s="49">
        <f>'Avg Week Kampala-Bukaya'!D17+'Avg Week Bukaya-Kampala'!D17</f>
        <v>0</v>
      </c>
      <c r="E17" s="49">
        <f>'Avg Week Kampala-Bukaya'!E17+'Avg Week Bukaya-Kampala'!E17</f>
        <v>3.8571428571428572</v>
      </c>
      <c r="F17" s="49">
        <f>'Avg Week Kampala-Bukaya'!F17+'Avg Week Bukaya-Kampala'!F17</f>
        <v>3.1428571428571428</v>
      </c>
      <c r="G17" s="49">
        <f>'Avg Week Kampala-Bukaya'!G17+'Avg Week Bukaya-Kampala'!G17</f>
        <v>0.14285714285714285</v>
      </c>
      <c r="H17" s="49">
        <f>'Avg Week Kampala-Bukaya'!H17+'Avg Week Bukaya-Kampala'!H17</f>
        <v>0</v>
      </c>
      <c r="I17" s="49">
        <f>'Avg Week Kampala-Bukaya'!I17+'Avg Week Bukaya-Kampala'!I17</f>
        <v>2.2857142857142856</v>
      </c>
      <c r="J17" s="49">
        <f>'Avg Week Kampala-Bukaya'!J17+'Avg Week Bukaya-Kampala'!J17</f>
        <v>0.14285714285714285</v>
      </c>
      <c r="K17" s="49">
        <f>'Avg Week Kampala-Bukaya'!K17+'Avg Week Bukaya-Kampala'!K17</f>
        <v>0.14285714285714285</v>
      </c>
      <c r="L17" s="49">
        <f>'Avg Week Kampala-Bukaya'!L17+'Avg Week Bukaya-Kampala'!L17</f>
        <v>0</v>
      </c>
      <c r="M17" s="49">
        <f>'Avg Week Kampala-Bukaya'!M17+'Avg Week Bukaya-Kampala'!M17</f>
        <v>33.714285714285715</v>
      </c>
      <c r="N17" s="49">
        <f>'Avg Week Kampala-Bukaya'!N17+'Avg Week Bukaya-Kampala'!N17</f>
        <v>0</v>
      </c>
      <c r="O17" s="15">
        <f t="shared" si="3"/>
        <v>12.428571428571427</v>
      </c>
      <c r="P17" s="15">
        <f t="shared" si="4"/>
        <v>46.142857142857139</v>
      </c>
      <c r="R17" s="1" t="s">
        <v>13</v>
      </c>
      <c r="S17" s="17">
        <f t="shared" ref="S17:AF17" si="11">SUM(C38:C41)</f>
        <v>26.142857142857146</v>
      </c>
      <c r="T17" s="17">
        <f t="shared" si="11"/>
        <v>0</v>
      </c>
      <c r="U17" s="17">
        <f t="shared" si="11"/>
        <v>24.571428571428573</v>
      </c>
      <c r="V17" s="17">
        <f t="shared" si="11"/>
        <v>14.571428571428571</v>
      </c>
      <c r="W17" s="17">
        <f t="shared" si="11"/>
        <v>0.14285714285714285</v>
      </c>
      <c r="X17" s="17">
        <f t="shared" si="11"/>
        <v>0</v>
      </c>
      <c r="Y17" s="17">
        <f t="shared" si="11"/>
        <v>12.857142857142858</v>
      </c>
      <c r="Z17" s="17">
        <f t="shared" si="11"/>
        <v>0.14285714285714285</v>
      </c>
      <c r="AA17" s="17">
        <f t="shared" si="11"/>
        <v>0.99999999999999989</v>
      </c>
      <c r="AB17" s="17">
        <f t="shared" si="11"/>
        <v>0</v>
      </c>
      <c r="AC17" s="17">
        <f t="shared" si="11"/>
        <v>150.57142857142858</v>
      </c>
      <c r="AD17" s="17">
        <f t="shared" si="11"/>
        <v>0</v>
      </c>
      <c r="AE17" s="31">
        <f t="shared" si="11"/>
        <v>79.428571428571416</v>
      </c>
      <c r="AF17" s="31">
        <f t="shared" si="11"/>
        <v>230</v>
      </c>
    </row>
    <row r="18" spans="2:32" ht="23.1" customHeight="1" x14ac:dyDescent="0.25">
      <c r="B18" s="23" t="s">
        <v>45</v>
      </c>
      <c r="C18" s="49">
        <f>'Avg Week Kampala-Bukaya'!C18+'Avg Week Bukaya-Kampala'!C18</f>
        <v>3.5714285714285712</v>
      </c>
      <c r="D18" s="49">
        <f>'Avg Week Kampala-Bukaya'!D18+'Avg Week Bukaya-Kampala'!D18</f>
        <v>0</v>
      </c>
      <c r="E18" s="49">
        <f>'Avg Week Kampala-Bukaya'!E18+'Avg Week Bukaya-Kampala'!E18</f>
        <v>3</v>
      </c>
      <c r="F18" s="49">
        <f>'Avg Week Kampala-Bukaya'!F18+'Avg Week Bukaya-Kampala'!F18</f>
        <v>2.4285714285714288</v>
      </c>
      <c r="G18" s="49">
        <f>'Avg Week Kampala-Bukaya'!G18+'Avg Week Bukaya-Kampala'!G18</f>
        <v>0</v>
      </c>
      <c r="H18" s="49">
        <f>'Avg Week Kampala-Bukaya'!H18+'Avg Week Bukaya-Kampala'!H18</f>
        <v>0.14285714285714285</v>
      </c>
      <c r="I18" s="49">
        <f>'Avg Week Kampala-Bukaya'!I18+'Avg Week Bukaya-Kampala'!I18</f>
        <v>2.8571428571428572</v>
      </c>
      <c r="J18" s="49">
        <f>'Avg Week Kampala-Bukaya'!J18+'Avg Week Bukaya-Kampala'!J18</f>
        <v>0.14285714285714285</v>
      </c>
      <c r="K18" s="49">
        <f>'Avg Week Kampala-Bukaya'!K18+'Avg Week Bukaya-Kampala'!K18</f>
        <v>0.14285714285714285</v>
      </c>
      <c r="L18" s="49">
        <f>'Avg Week Kampala-Bukaya'!L18+'Avg Week Bukaya-Kampala'!L18</f>
        <v>0</v>
      </c>
      <c r="M18" s="49">
        <f>'Avg Week Kampala-Bukaya'!M18+'Avg Week Bukaya-Kampala'!M18</f>
        <v>33.285714285714285</v>
      </c>
      <c r="N18" s="49">
        <f>'Avg Week Kampala-Bukaya'!N18+'Avg Week Bukaya-Kampala'!N18</f>
        <v>0</v>
      </c>
      <c r="O18" s="15">
        <f t="shared" si="3"/>
        <v>12.285714285714285</v>
      </c>
      <c r="P18" s="15">
        <f t="shared" si="4"/>
        <v>45.571428571428569</v>
      </c>
      <c r="R18" s="1" t="s">
        <v>14</v>
      </c>
      <c r="S18" s="17">
        <f t="shared" ref="S18:AF18" si="12">SUM(C42:C45)</f>
        <v>22.571428571428573</v>
      </c>
      <c r="T18" s="17">
        <f t="shared" si="12"/>
        <v>0</v>
      </c>
      <c r="U18" s="17">
        <f t="shared" si="12"/>
        <v>24.142857142857142</v>
      </c>
      <c r="V18" s="17">
        <f t="shared" si="12"/>
        <v>16.571428571428569</v>
      </c>
      <c r="W18" s="17">
        <f t="shared" si="12"/>
        <v>0.42857142857142855</v>
      </c>
      <c r="X18" s="17">
        <f t="shared" si="12"/>
        <v>0</v>
      </c>
      <c r="Y18" s="17">
        <f t="shared" si="12"/>
        <v>18.285714285714285</v>
      </c>
      <c r="Z18" s="17">
        <f t="shared" si="12"/>
        <v>0.71428571428571419</v>
      </c>
      <c r="AA18" s="17">
        <f t="shared" si="12"/>
        <v>0.71428571428571419</v>
      </c>
      <c r="AB18" s="17">
        <f t="shared" si="12"/>
        <v>0.14285714285714285</v>
      </c>
      <c r="AC18" s="17">
        <f t="shared" si="12"/>
        <v>155</v>
      </c>
      <c r="AD18" s="17">
        <f t="shared" si="12"/>
        <v>0</v>
      </c>
      <c r="AE18" s="31">
        <f t="shared" si="12"/>
        <v>83.571428571428555</v>
      </c>
      <c r="AF18" s="31">
        <f t="shared" si="12"/>
        <v>238.57142857142856</v>
      </c>
    </row>
    <row r="19" spans="2:32" ht="23.1" customHeight="1" x14ac:dyDescent="0.25">
      <c r="B19" s="23" t="s">
        <v>46</v>
      </c>
      <c r="C19" s="49">
        <f>'Avg Week Kampala-Bukaya'!C19+'Avg Week Bukaya-Kampala'!C19</f>
        <v>5</v>
      </c>
      <c r="D19" s="49">
        <f>'Avg Week Kampala-Bukaya'!D19+'Avg Week Bukaya-Kampala'!D19</f>
        <v>0</v>
      </c>
      <c r="E19" s="49">
        <f>'Avg Week Kampala-Bukaya'!E19+'Avg Week Bukaya-Kampala'!E19</f>
        <v>3.1428571428571428</v>
      </c>
      <c r="F19" s="49">
        <f>'Avg Week Kampala-Bukaya'!F19+'Avg Week Bukaya-Kampala'!F19</f>
        <v>3.2857142857142856</v>
      </c>
      <c r="G19" s="49">
        <f>'Avg Week Kampala-Bukaya'!G19+'Avg Week Bukaya-Kampala'!G19</f>
        <v>0.14285714285714285</v>
      </c>
      <c r="H19" s="49">
        <f>'Avg Week Kampala-Bukaya'!H19+'Avg Week Bukaya-Kampala'!H19</f>
        <v>0</v>
      </c>
      <c r="I19" s="49">
        <f>'Avg Week Kampala-Bukaya'!I19+'Avg Week Bukaya-Kampala'!I19</f>
        <v>2.4285714285714288</v>
      </c>
      <c r="J19" s="49">
        <f>'Avg Week Kampala-Bukaya'!J19+'Avg Week Bukaya-Kampala'!J19</f>
        <v>0.14285714285714285</v>
      </c>
      <c r="K19" s="49">
        <f>'Avg Week Kampala-Bukaya'!K19+'Avg Week Bukaya-Kampala'!K19</f>
        <v>0.14285714285714285</v>
      </c>
      <c r="L19" s="49">
        <f>'Avg Week Kampala-Bukaya'!L19+'Avg Week Bukaya-Kampala'!L19</f>
        <v>0</v>
      </c>
      <c r="M19" s="49">
        <f>'Avg Week Kampala-Bukaya'!M19+'Avg Week Bukaya-Kampala'!M19</f>
        <v>32.571428571428569</v>
      </c>
      <c r="N19" s="49">
        <f>'Avg Week Kampala-Bukaya'!N19+'Avg Week Bukaya-Kampala'!N19</f>
        <v>0</v>
      </c>
      <c r="O19" s="15">
        <f t="shared" si="3"/>
        <v>14.285714285714283</v>
      </c>
      <c r="P19" s="15">
        <f t="shared" si="4"/>
        <v>46.857142857142854</v>
      </c>
      <c r="R19" s="1" t="s">
        <v>15</v>
      </c>
      <c r="S19" s="17">
        <f t="shared" ref="S19:AF19" si="13">SUM(C46:C49)</f>
        <v>21.428571428571431</v>
      </c>
      <c r="T19" s="17">
        <f t="shared" si="13"/>
        <v>0</v>
      </c>
      <c r="U19" s="17">
        <f t="shared" si="13"/>
        <v>22.714285714285712</v>
      </c>
      <c r="V19" s="17">
        <f t="shared" si="13"/>
        <v>18.142857142857142</v>
      </c>
      <c r="W19" s="17">
        <f t="shared" si="13"/>
        <v>0.2857142857142857</v>
      </c>
      <c r="X19" s="17">
        <f t="shared" si="13"/>
        <v>0</v>
      </c>
      <c r="Y19" s="17">
        <f t="shared" si="13"/>
        <v>16.571428571428569</v>
      </c>
      <c r="Z19" s="17">
        <f t="shared" si="13"/>
        <v>0.42857142857142855</v>
      </c>
      <c r="AA19" s="17">
        <f t="shared" si="13"/>
        <v>1.8571428571428572</v>
      </c>
      <c r="AB19" s="17">
        <f t="shared" si="13"/>
        <v>0</v>
      </c>
      <c r="AC19" s="17">
        <f t="shared" si="13"/>
        <v>178.14285714285714</v>
      </c>
      <c r="AD19" s="17">
        <f t="shared" si="13"/>
        <v>0</v>
      </c>
      <c r="AE19" s="31">
        <f t="shared" si="13"/>
        <v>81.428571428571416</v>
      </c>
      <c r="AF19" s="31">
        <f t="shared" si="13"/>
        <v>259.57142857142856</v>
      </c>
    </row>
    <row r="20" spans="2:32" ht="23.1" customHeight="1" x14ac:dyDescent="0.25">
      <c r="B20" s="23" t="s">
        <v>47</v>
      </c>
      <c r="C20" s="49">
        <f>'Avg Week Kampala-Bukaya'!C20+'Avg Week Bukaya-Kampala'!C20</f>
        <v>3.7142857142857144</v>
      </c>
      <c r="D20" s="49">
        <f>'Avg Week Kampala-Bukaya'!D20+'Avg Week Bukaya-Kampala'!D20</f>
        <v>0</v>
      </c>
      <c r="E20" s="49">
        <f>'Avg Week Kampala-Bukaya'!E20+'Avg Week Bukaya-Kampala'!E20</f>
        <v>4.1428571428571423</v>
      </c>
      <c r="F20" s="49">
        <f>'Avg Week Kampala-Bukaya'!F20+'Avg Week Bukaya-Kampala'!F20</f>
        <v>3</v>
      </c>
      <c r="G20" s="49">
        <f>'Avg Week Kampala-Bukaya'!G20+'Avg Week Bukaya-Kampala'!G20</f>
        <v>0.14285714285714285</v>
      </c>
      <c r="H20" s="49">
        <f>'Avg Week Kampala-Bukaya'!H20+'Avg Week Bukaya-Kampala'!H20</f>
        <v>0</v>
      </c>
      <c r="I20" s="49">
        <f>'Avg Week Kampala-Bukaya'!I20+'Avg Week Bukaya-Kampala'!I20</f>
        <v>3.4285714285714288</v>
      </c>
      <c r="J20" s="49">
        <f>'Avg Week Kampala-Bukaya'!J20+'Avg Week Bukaya-Kampala'!J20</f>
        <v>0.2857142857142857</v>
      </c>
      <c r="K20" s="49">
        <f>'Avg Week Kampala-Bukaya'!K20+'Avg Week Bukaya-Kampala'!K20</f>
        <v>0.14285714285714285</v>
      </c>
      <c r="L20" s="49">
        <f>'Avg Week Kampala-Bukaya'!L20+'Avg Week Bukaya-Kampala'!L20</f>
        <v>0</v>
      </c>
      <c r="M20" s="49">
        <f>'Avg Week Kampala-Bukaya'!M20+'Avg Week Bukaya-Kampala'!M20</f>
        <v>34.142857142857139</v>
      </c>
      <c r="N20" s="49">
        <f>'Avg Week Kampala-Bukaya'!N20+'Avg Week Bukaya-Kampala'!N20</f>
        <v>0</v>
      </c>
      <c r="O20" s="15">
        <f t="shared" si="3"/>
        <v>14.857142857142858</v>
      </c>
      <c r="P20" s="15">
        <f t="shared" si="4"/>
        <v>49</v>
      </c>
      <c r="R20" s="1" t="s">
        <v>16</v>
      </c>
      <c r="S20" s="17">
        <f t="shared" ref="S20:AF20" si="14">SUM(C50:C53)</f>
        <v>28.857142857142854</v>
      </c>
      <c r="T20" s="17">
        <f t="shared" si="14"/>
        <v>0</v>
      </c>
      <c r="U20" s="17">
        <f t="shared" si="14"/>
        <v>29.714285714285715</v>
      </c>
      <c r="V20" s="17">
        <f t="shared" si="14"/>
        <v>22.714285714285715</v>
      </c>
      <c r="W20" s="17">
        <f t="shared" si="14"/>
        <v>1.4285714285714284</v>
      </c>
      <c r="X20" s="17">
        <f t="shared" si="14"/>
        <v>0</v>
      </c>
      <c r="Y20" s="17">
        <f t="shared" si="14"/>
        <v>13.285714285714286</v>
      </c>
      <c r="Z20" s="17">
        <f t="shared" si="14"/>
        <v>0.14285714285714285</v>
      </c>
      <c r="AA20" s="17">
        <f t="shared" si="14"/>
        <v>0.85714285714285698</v>
      </c>
      <c r="AB20" s="17">
        <f t="shared" si="14"/>
        <v>0.42857142857142855</v>
      </c>
      <c r="AC20" s="17">
        <f t="shared" si="14"/>
        <v>175.71428571428572</v>
      </c>
      <c r="AD20" s="17">
        <f t="shared" si="14"/>
        <v>0</v>
      </c>
      <c r="AE20" s="31">
        <f t="shared" si="14"/>
        <v>97.428571428571402</v>
      </c>
      <c r="AF20" s="31">
        <f t="shared" si="14"/>
        <v>273.14285714285711</v>
      </c>
    </row>
    <row r="21" spans="2:32" ht="23.1" customHeight="1" x14ac:dyDescent="0.25">
      <c r="B21" s="23" t="s">
        <v>48</v>
      </c>
      <c r="C21" s="49">
        <f>'Avg Week Kampala-Bukaya'!C21+'Avg Week Bukaya-Kampala'!C21</f>
        <v>5</v>
      </c>
      <c r="D21" s="49">
        <f>'Avg Week Kampala-Bukaya'!D21+'Avg Week Bukaya-Kampala'!D21</f>
        <v>0</v>
      </c>
      <c r="E21" s="49">
        <f>'Avg Week Kampala-Bukaya'!E21+'Avg Week Bukaya-Kampala'!E21</f>
        <v>2.5714285714285712</v>
      </c>
      <c r="F21" s="49">
        <f>'Avg Week Kampala-Bukaya'!F21+'Avg Week Bukaya-Kampala'!F21</f>
        <v>3.8571428571428572</v>
      </c>
      <c r="G21" s="49">
        <f>'Avg Week Kampala-Bukaya'!G21+'Avg Week Bukaya-Kampala'!G21</f>
        <v>0.14285714285714285</v>
      </c>
      <c r="H21" s="49">
        <f>'Avg Week Kampala-Bukaya'!H21+'Avg Week Bukaya-Kampala'!H21</f>
        <v>0</v>
      </c>
      <c r="I21" s="49">
        <f>'Avg Week Kampala-Bukaya'!I21+'Avg Week Bukaya-Kampala'!I21</f>
        <v>2.7142857142857144</v>
      </c>
      <c r="J21" s="49">
        <f>'Avg Week Kampala-Bukaya'!J21+'Avg Week Bukaya-Kampala'!J21</f>
        <v>0</v>
      </c>
      <c r="K21" s="49">
        <f>'Avg Week Kampala-Bukaya'!K21+'Avg Week Bukaya-Kampala'!K21</f>
        <v>0.14285714285714285</v>
      </c>
      <c r="L21" s="49">
        <f>'Avg Week Kampala-Bukaya'!L21+'Avg Week Bukaya-Kampala'!L21</f>
        <v>0.14285714285714285</v>
      </c>
      <c r="M21" s="49">
        <f>'Avg Week Kampala-Bukaya'!M21+'Avg Week Bukaya-Kampala'!M21</f>
        <v>38.285714285714292</v>
      </c>
      <c r="N21" s="49">
        <f>'Avg Week Kampala-Bukaya'!N21+'Avg Week Bukaya-Kampala'!N21</f>
        <v>0</v>
      </c>
      <c r="O21" s="15">
        <f t="shared" si="3"/>
        <v>14.571428571428569</v>
      </c>
      <c r="P21" s="15">
        <f t="shared" si="4"/>
        <v>52.857142857142861</v>
      </c>
      <c r="R21" s="36" t="s">
        <v>20</v>
      </c>
      <c r="S21" s="34">
        <f t="shared" ref="S21:AF21" si="15">SUM(C54:C57)</f>
        <v>22.142857142857146</v>
      </c>
      <c r="T21" s="17">
        <f t="shared" si="15"/>
        <v>0</v>
      </c>
      <c r="U21" s="17">
        <f t="shared" si="15"/>
        <v>27.857142857142854</v>
      </c>
      <c r="V21" s="17">
        <f t="shared" si="15"/>
        <v>19</v>
      </c>
      <c r="W21" s="17">
        <f t="shared" si="15"/>
        <v>0.42857142857142855</v>
      </c>
      <c r="X21" s="17">
        <f t="shared" si="15"/>
        <v>0.14285714285714285</v>
      </c>
      <c r="Y21" s="17">
        <f t="shared" si="15"/>
        <v>15.571428571428573</v>
      </c>
      <c r="Z21" s="17">
        <f t="shared" si="15"/>
        <v>0.42857142857142855</v>
      </c>
      <c r="AA21" s="17">
        <f t="shared" si="15"/>
        <v>0.42857142857142855</v>
      </c>
      <c r="AB21" s="17">
        <f t="shared" si="15"/>
        <v>0</v>
      </c>
      <c r="AC21" s="17">
        <f t="shared" si="15"/>
        <v>180.57142857142856</v>
      </c>
      <c r="AD21" s="17">
        <f t="shared" si="15"/>
        <v>0.2857142857142857</v>
      </c>
      <c r="AE21" s="31">
        <f t="shared" si="15"/>
        <v>86.285714285714278</v>
      </c>
      <c r="AF21" s="31">
        <f t="shared" si="15"/>
        <v>266.85714285714283</v>
      </c>
    </row>
    <row r="22" spans="2:32" ht="23.1" customHeight="1" x14ac:dyDescent="0.25">
      <c r="B22" s="23" t="s">
        <v>49</v>
      </c>
      <c r="C22" s="49">
        <f>'Avg Week Kampala-Bukaya'!C22+'Avg Week Bukaya-Kampala'!C22</f>
        <v>5.5714285714285712</v>
      </c>
      <c r="D22" s="49">
        <f>'Avg Week Kampala-Bukaya'!D22+'Avg Week Bukaya-Kampala'!D22</f>
        <v>0</v>
      </c>
      <c r="E22" s="49">
        <f>'Avg Week Kampala-Bukaya'!E22+'Avg Week Bukaya-Kampala'!E22</f>
        <v>5.5714285714285712</v>
      </c>
      <c r="F22" s="49">
        <f>'Avg Week Kampala-Bukaya'!F22+'Avg Week Bukaya-Kampala'!F22</f>
        <v>3.1428571428571428</v>
      </c>
      <c r="G22" s="49">
        <f>'Avg Week Kampala-Bukaya'!G22+'Avg Week Bukaya-Kampala'!G22</f>
        <v>0</v>
      </c>
      <c r="H22" s="49">
        <f>'Avg Week Kampala-Bukaya'!H22+'Avg Week Bukaya-Kampala'!H22</f>
        <v>0.14285714285714285</v>
      </c>
      <c r="I22" s="49">
        <f>'Avg Week Kampala-Bukaya'!I22+'Avg Week Bukaya-Kampala'!I22</f>
        <v>3.1428571428571428</v>
      </c>
      <c r="J22" s="49">
        <f>'Avg Week Kampala-Bukaya'!J22+'Avg Week Bukaya-Kampala'!J22</f>
        <v>0</v>
      </c>
      <c r="K22" s="49">
        <f>'Avg Week Kampala-Bukaya'!K22+'Avg Week Bukaya-Kampala'!K22</f>
        <v>0.14285714285714285</v>
      </c>
      <c r="L22" s="49">
        <f>'Avg Week Kampala-Bukaya'!L22+'Avg Week Bukaya-Kampala'!L22</f>
        <v>0</v>
      </c>
      <c r="M22" s="49">
        <f>'Avg Week Kampala-Bukaya'!M22+'Avg Week Bukaya-Kampala'!M22</f>
        <v>40.142857142857139</v>
      </c>
      <c r="N22" s="49">
        <f>'Avg Week Kampala-Bukaya'!N22+'Avg Week Bukaya-Kampala'!N22</f>
        <v>0</v>
      </c>
      <c r="O22" s="15">
        <f t="shared" si="3"/>
        <v>17.714285714285712</v>
      </c>
      <c r="P22" s="15">
        <f t="shared" si="4"/>
        <v>57.857142857142847</v>
      </c>
      <c r="R22" s="1" t="s">
        <v>146</v>
      </c>
      <c r="S22" s="34">
        <f>SUM(C58:C61)</f>
        <v>26</v>
      </c>
      <c r="T22" s="34">
        <f t="shared" ref="T22:AF22" si="16">SUM(D58:D61)</f>
        <v>0</v>
      </c>
      <c r="U22" s="34">
        <f t="shared" si="16"/>
        <v>16</v>
      </c>
      <c r="V22" s="34">
        <f t="shared" si="16"/>
        <v>8</v>
      </c>
      <c r="W22" s="34">
        <f t="shared" si="16"/>
        <v>2</v>
      </c>
      <c r="X22" s="34">
        <f t="shared" si="16"/>
        <v>0</v>
      </c>
      <c r="Y22" s="34">
        <f t="shared" si="16"/>
        <v>8</v>
      </c>
      <c r="Z22" s="34">
        <f t="shared" si="16"/>
        <v>0</v>
      </c>
      <c r="AA22" s="34">
        <f t="shared" si="16"/>
        <v>2</v>
      </c>
      <c r="AB22" s="34">
        <f t="shared" si="16"/>
        <v>0</v>
      </c>
      <c r="AC22" s="34">
        <f t="shared" si="16"/>
        <v>116</v>
      </c>
      <c r="AD22" s="34">
        <f t="shared" si="16"/>
        <v>0</v>
      </c>
      <c r="AE22" s="31">
        <f t="shared" si="16"/>
        <v>62</v>
      </c>
      <c r="AF22" s="31">
        <f t="shared" si="16"/>
        <v>178</v>
      </c>
    </row>
    <row r="23" spans="2:32" ht="23.1" customHeight="1" x14ac:dyDescent="0.25">
      <c r="B23" s="23" t="s">
        <v>50</v>
      </c>
      <c r="C23" s="49">
        <f>'Avg Week Kampala-Bukaya'!C23+'Avg Week Bukaya-Kampala'!C23</f>
        <v>5</v>
      </c>
      <c r="D23" s="49">
        <f>'Avg Week Kampala-Bukaya'!D23+'Avg Week Bukaya-Kampala'!D23</f>
        <v>0</v>
      </c>
      <c r="E23" s="49">
        <f>'Avg Week Kampala-Bukaya'!E23+'Avg Week Bukaya-Kampala'!E23</f>
        <v>5</v>
      </c>
      <c r="F23" s="49">
        <f>'Avg Week Kampala-Bukaya'!F23+'Avg Week Bukaya-Kampala'!F23</f>
        <v>2.8571428571428568</v>
      </c>
      <c r="G23" s="49">
        <f>'Avg Week Kampala-Bukaya'!G23+'Avg Week Bukaya-Kampala'!G23</f>
        <v>0</v>
      </c>
      <c r="H23" s="49">
        <f>'Avg Week Kampala-Bukaya'!H23+'Avg Week Bukaya-Kampala'!H23</f>
        <v>0</v>
      </c>
      <c r="I23" s="49">
        <f>'Avg Week Kampala-Bukaya'!I23+'Avg Week Bukaya-Kampala'!I23</f>
        <v>2.2857142857142856</v>
      </c>
      <c r="J23" s="49">
        <f>'Avg Week Kampala-Bukaya'!J23+'Avg Week Bukaya-Kampala'!J23</f>
        <v>0</v>
      </c>
      <c r="K23" s="49">
        <f>'Avg Week Kampala-Bukaya'!K23+'Avg Week Bukaya-Kampala'!K23</f>
        <v>0</v>
      </c>
      <c r="L23" s="49">
        <f>'Avg Week Kampala-Bukaya'!L23+'Avg Week Bukaya-Kampala'!L23</f>
        <v>0</v>
      </c>
      <c r="M23" s="49">
        <f>'Avg Week Kampala-Bukaya'!M23+'Avg Week Bukaya-Kampala'!M23</f>
        <v>39</v>
      </c>
      <c r="N23" s="49">
        <f>'Avg Week Kampala-Bukaya'!N23+'Avg Week Bukaya-Kampala'!N23</f>
        <v>0</v>
      </c>
      <c r="O23" s="15">
        <f t="shared" si="3"/>
        <v>15.142857142857142</v>
      </c>
      <c r="P23" s="15">
        <f t="shared" si="4"/>
        <v>54.142857142857139</v>
      </c>
      <c r="R23" s="1" t="s">
        <v>147</v>
      </c>
      <c r="S23" s="34">
        <f>SUM(C62:C65)</f>
        <v>8</v>
      </c>
      <c r="T23" s="34">
        <f t="shared" ref="T23:AF23" si="17">SUM(D62:D65)</f>
        <v>0</v>
      </c>
      <c r="U23" s="34">
        <f t="shared" si="17"/>
        <v>30</v>
      </c>
      <c r="V23" s="34">
        <f t="shared" si="17"/>
        <v>26</v>
      </c>
      <c r="W23" s="34">
        <f t="shared" si="17"/>
        <v>0</v>
      </c>
      <c r="X23" s="34">
        <f t="shared" si="17"/>
        <v>0</v>
      </c>
      <c r="Y23" s="34">
        <f t="shared" si="17"/>
        <v>28</v>
      </c>
      <c r="Z23" s="34">
        <f t="shared" si="17"/>
        <v>2</v>
      </c>
      <c r="AA23" s="34">
        <f t="shared" si="17"/>
        <v>0</v>
      </c>
      <c r="AB23" s="34">
        <f t="shared" si="17"/>
        <v>0</v>
      </c>
      <c r="AC23" s="34">
        <f t="shared" si="17"/>
        <v>106</v>
      </c>
      <c r="AD23" s="34">
        <f t="shared" si="17"/>
        <v>0</v>
      </c>
      <c r="AE23" s="31">
        <f t="shared" si="17"/>
        <v>94</v>
      </c>
      <c r="AF23" s="31">
        <f t="shared" si="17"/>
        <v>200</v>
      </c>
    </row>
    <row r="24" spans="2:32" ht="23.1" customHeight="1" x14ac:dyDescent="0.25">
      <c r="B24" s="23" t="s">
        <v>51</v>
      </c>
      <c r="C24" s="49">
        <f>'Avg Week Kampala-Bukaya'!C24+'Avg Week Bukaya-Kampala'!C24</f>
        <v>5.4285714285714288</v>
      </c>
      <c r="D24" s="49">
        <f>'Avg Week Kampala-Bukaya'!D24+'Avg Week Bukaya-Kampala'!D24</f>
        <v>0</v>
      </c>
      <c r="E24" s="49">
        <f>'Avg Week Kampala-Bukaya'!E24+'Avg Week Bukaya-Kampala'!E24</f>
        <v>7.4285714285714288</v>
      </c>
      <c r="F24" s="49">
        <f>'Avg Week Kampala-Bukaya'!F24+'Avg Week Bukaya-Kampala'!F24</f>
        <v>2.5714285714285712</v>
      </c>
      <c r="G24" s="49">
        <f>'Avg Week Kampala-Bukaya'!G24+'Avg Week Bukaya-Kampala'!G24</f>
        <v>0.2857142857142857</v>
      </c>
      <c r="H24" s="49">
        <f>'Avg Week Kampala-Bukaya'!H24+'Avg Week Bukaya-Kampala'!H24</f>
        <v>0</v>
      </c>
      <c r="I24" s="49">
        <f>'Avg Week Kampala-Bukaya'!I24+'Avg Week Bukaya-Kampala'!I24</f>
        <v>4.1428571428571432</v>
      </c>
      <c r="J24" s="49">
        <f>'Avg Week Kampala-Bukaya'!J24+'Avg Week Bukaya-Kampala'!J24</f>
        <v>0.14285714285714285</v>
      </c>
      <c r="K24" s="49">
        <f>'Avg Week Kampala-Bukaya'!K24+'Avg Week Bukaya-Kampala'!K24</f>
        <v>0.5714285714285714</v>
      </c>
      <c r="L24" s="49">
        <f>'Avg Week Kampala-Bukaya'!L24+'Avg Week Bukaya-Kampala'!L24</f>
        <v>0</v>
      </c>
      <c r="M24" s="49">
        <f>'Avg Week Kampala-Bukaya'!M24+'Avg Week Bukaya-Kampala'!M24</f>
        <v>37.142857142857139</v>
      </c>
      <c r="N24" s="49">
        <f>'Avg Week Kampala-Bukaya'!N24+'Avg Week Bukaya-Kampala'!N24</f>
        <v>0</v>
      </c>
      <c r="O24" s="15">
        <f t="shared" si="3"/>
        <v>20.571428571428573</v>
      </c>
      <c r="P24" s="15">
        <f t="shared" si="4"/>
        <v>57.714285714285708</v>
      </c>
      <c r="R24" s="1" t="s">
        <v>148</v>
      </c>
      <c r="S24" s="34">
        <f>SUM(C66:C69)</f>
        <v>16</v>
      </c>
      <c r="T24" s="34">
        <f t="shared" ref="T24:AF24" si="18">SUM(D66:D69)</f>
        <v>0</v>
      </c>
      <c r="U24" s="34">
        <f t="shared" si="18"/>
        <v>20</v>
      </c>
      <c r="V24" s="34">
        <f t="shared" si="18"/>
        <v>14</v>
      </c>
      <c r="W24" s="34">
        <f t="shared" si="18"/>
        <v>0</v>
      </c>
      <c r="X24" s="34">
        <f t="shared" si="18"/>
        <v>0</v>
      </c>
      <c r="Y24" s="34">
        <f t="shared" si="18"/>
        <v>12</v>
      </c>
      <c r="Z24" s="34">
        <f t="shared" si="18"/>
        <v>0</v>
      </c>
      <c r="AA24" s="34">
        <f t="shared" si="18"/>
        <v>2</v>
      </c>
      <c r="AB24" s="34">
        <f t="shared" si="18"/>
        <v>0</v>
      </c>
      <c r="AC24" s="34">
        <f t="shared" si="18"/>
        <v>76</v>
      </c>
      <c r="AD24" s="34">
        <f t="shared" si="18"/>
        <v>0</v>
      </c>
      <c r="AE24" s="31">
        <f t="shared" si="18"/>
        <v>64</v>
      </c>
      <c r="AF24" s="31">
        <f t="shared" si="18"/>
        <v>140</v>
      </c>
    </row>
    <row r="25" spans="2:32" ht="23.1" customHeight="1" x14ac:dyDescent="0.25">
      <c r="B25" s="23" t="s">
        <v>52</v>
      </c>
      <c r="C25" s="49">
        <f>'Avg Week Kampala-Bukaya'!C25+'Avg Week Bukaya-Kampala'!C25</f>
        <v>2.5714285714285712</v>
      </c>
      <c r="D25" s="49">
        <f>'Avg Week Kampala-Bukaya'!D25+'Avg Week Bukaya-Kampala'!D25</f>
        <v>0</v>
      </c>
      <c r="E25" s="49">
        <f>'Avg Week Kampala-Bukaya'!E25+'Avg Week Bukaya-Kampala'!E25</f>
        <v>4.2857142857142856</v>
      </c>
      <c r="F25" s="49">
        <f>'Avg Week Kampala-Bukaya'!F25+'Avg Week Bukaya-Kampala'!F25</f>
        <v>4.1428571428571423</v>
      </c>
      <c r="G25" s="49">
        <f>'Avg Week Kampala-Bukaya'!G25+'Avg Week Bukaya-Kampala'!G25</f>
        <v>0.14285714285714285</v>
      </c>
      <c r="H25" s="49">
        <f>'Avg Week Kampala-Bukaya'!H25+'Avg Week Bukaya-Kampala'!H25</f>
        <v>0</v>
      </c>
      <c r="I25" s="49">
        <f>'Avg Week Kampala-Bukaya'!I25+'Avg Week Bukaya-Kampala'!I25</f>
        <v>2.4285714285714284</v>
      </c>
      <c r="J25" s="49">
        <f>'Avg Week Kampala-Bukaya'!J25+'Avg Week Bukaya-Kampala'!J25</f>
        <v>0</v>
      </c>
      <c r="K25" s="49">
        <f>'Avg Week Kampala-Bukaya'!K25+'Avg Week Bukaya-Kampala'!K25</f>
        <v>0.5714285714285714</v>
      </c>
      <c r="L25" s="49">
        <f>'Avg Week Kampala-Bukaya'!L25+'Avg Week Bukaya-Kampala'!L25</f>
        <v>0</v>
      </c>
      <c r="M25" s="49">
        <f>'Avg Week Kampala-Bukaya'!M25+'Avg Week Bukaya-Kampala'!M25</f>
        <v>42.285714285714292</v>
      </c>
      <c r="N25" s="49">
        <f>'Avg Week Kampala-Bukaya'!N25+'Avg Week Bukaya-Kampala'!N25</f>
        <v>0</v>
      </c>
      <c r="O25" s="15">
        <f t="shared" si="3"/>
        <v>14.142857142857142</v>
      </c>
      <c r="P25" s="15">
        <f t="shared" si="4"/>
        <v>56.428571428571431</v>
      </c>
      <c r="R25" s="1" t="s">
        <v>149</v>
      </c>
      <c r="S25" s="34">
        <f>SUM(C70:C73)</f>
        <v>20</v>
      </c>
      <c r="T25" s="34">
        <f t="shared" ref="T25:AF25" si="19">SUM(D70:D73)</f>
        <v>0</v>
      </c>
      <c r="U25" s="34">
        <f t="shared" si="19"/>
        <v>10</v>
      </c>
      <c r="V25" s="34">
        <f t="shared" si="19"/>
        <v>10</v>
      </c>
      <c r="W25" s="34">
        <f t="shared" si="19"/>
        <v>2</v>
      </c>
      <c r="X25" s="34">
        <f t="shared" si="19"/>
        <v>0</v>
      </c>
      <c r="Y25" s="34">
        <f t="shared" si="19"/>
        <v>12</v>
      </c>
      <c r="Z25" s="34">
        <f t="shared" si="19"/>
        <v>0</v>
      </c>
      <c r="AA25" s="34">
        <f t="shared" si="19"/>
        <v>2</v>
      </c>
      <c r="AB25" s="34">
        <f t="shared" si="19"/>
        <v>0</v>
      </c>
      <c r="AC25" s="34">
        <f t="shared" si="19"/>
        <v>34</v>
      </c>
      <c r="AD25" s="34">
        <f t="shared" si="19"/>
        <v>0</v>
      </c>
      <c r="AE25" s="31">
        <f t="shared" si="19"/>
        <v>56</v>
      </c>
      <c r="AF25" s="31">
        <f t="shared" si="19"/>
        <v>90</v>
      </c>
    </row>
    <row r="26" spans="2:32" ht="23.1" customHeight="1" x14ac:dyDescent="0.25">
      <c r="B26" s="23" t="s">
        <v>53</v>
      </c>
      <c r="C26" s="49">
        <f>'Avg Week Kampala-Bukaya'!C26+'Avg Week Bukaya-Kampala'!C26</f>
        <v>4.5714285714285712</v>
      </c>
      <c r="D26" s="49">
        <f>'Avg Week Kampala-Bukaya'!D26+'Avg Week Bukaya-Kampala'!D26</f>
        <v>0</v>
      </c>
      <c r="E26" s="49">
        <f>'Avg Week Kampala-Bukaya'!E26+'Avg Week Bukaya-Kampala'!E26</f>
        <v>4.8571428571428568</v>
      </c>
      <c r="F26" s="49">
        <f>'Avg Week Kampala-Bukaya'!F26+'Avg Week Bukaya-Kampala'!F26</f>
        <v>3.5714285714285712</v>
      </c>
      <c r="G26" s="49">
        <f>'Avg Week Kampala-Bukaya'!G26+'Avg Week Bukaya-Kampala'!G26</f>
        <v>0</v>
      </c>
      <c r="H26" s="49">
        <f>'Avg Week Kampala-Bukaya'!H26+'Avg Week Bukaya-Kampala'!H26</f>
        <v>0</v>
      </c>
      <c r="I26" s="49">
        <f>'Avg Week Kampala-Bukaya'!I26+'Avg Week Bukaya-Kampala'!I26</f>
        <v>2.7142857142857144</v>
      </c>
      <c r="J26" s="49">
        <f>'Avg Week Kampala-Bukaya'!J26+'Avg Week Bukaya-Kampala'!J26</f>
        <v>0</v>
      </c>
      <c r="K26" s="49">
        <f>'Avg Week Kampala-Bukaya'!K26+'Avg Week Bukaya-Kampala'!K26</f>
        <v>0.2857142857142857</v>
      </c>
      <c r="L26" s="49">
        <f>'Avg Week Kampala-Bukaya'!L26+'Avg Week Bukaya-Kampala'!L26</f>
        <v>0</v>
      </c>
      <c r="M26" s="49">
        <f>'Avg Week Kampala-Bukaya'!M26+'Avg Week Bukaya-Kampala'!M26</f>
        <v>37.285714285714285</v>
      </c>
      <c r="N26" s="49">
        <f>'Avg Week Kampala-Bukaya'!N26+'Avg Week Bukaya-Kampala'!N26</f>
        <v>0</v>
      </c>
      <c r="O26" s="15">
        <f t="shared" si="3"/>
        <v>15.999999999999998</v>
      </c>
      <c r="P26" s="15">
        <f t="shared" si="4"/>
        <v>53.285714285714285</v>
      </c>
      <c r="R26" s="1" t="s">
        <v>150</v>
      </c>
      <c r="S26" s="34">
        <f>SUM(C74:C77)</f>
        <v>12</v>
      </c>
      <c r="T26" s="34">
        <f t="shared" ref="T26:AF26" si="20">SUM(D74:D77)</f>
        <v>0</v>
      </c>
      <c r="U26" s="34">
        <f t="shared" si="20"/>
        <v>22</v>
      </c>
      <c r="V26" s="34">
        <f t="shared" si="20"/>
        <v>10</v>
      </c>
      <c r="W26" s="34">
        <f t="shared" si="20"/>
        <v>0</v>
      </c>
      <c r="X26" s="34">
        <f t="shared" si="20"/>
        <v>0</v>
      </c>
      <c r="Y26" s="34">
        <f t="shared" si="20"/>
        <v>28</v>
      </c>
      <c r="Z26" s="34">
        <f t="shared" si="20"/>
        <v>2</v>
      </c>
      <c r="AA26" s="34">
        <f t="shared" si="20"/>
        <v>0</v>
      </c>
      <c r="AB26" s="34">
        <f t="shared" si="20"/>
        <v>0</v>
      </c>
      <c r="AC26" s="34">
        <f t="shared" si="20"/>
        <v>0</v>
      </c>
      <c r="AD26" s="34">
        <f t="shared" si="20"/>
        <v>0</v>
      </c>
      <c r="AE26" s="31">
        <f t="shared" si="20"/>
        <v>74</v>
      </c>
      <c r="AF26" s="31">
        <f t="shared" si="20"/>
        <v>74</v>
      </c>
    </row>
    <row r="27" spans="2:32" ht="23.1" customHeight="1" x14ac:dyDescent="0.25">
      <c r="B27" s="23" t="s">
        <v>54</v>
      </c>
      <c r="C27" s="49">
        <f>'Avg Week Kampala-Bukaya'!C27+'Avg Week Bukaya-Kampala'!C27</f>
        <v>4.4285714285714288</v>
      </c>
      <c r="D27" s="49">
        <f>'Avg Week Kampala-Bukaya'!D27+'Avg Week Bukaya-Kampala'!D27</f>
        <v>0</v>
      </c>
      <c r="E27" s="49">
        <f>'Avg Week Kampala-Bukaya'!E27+'Avg Week Bukaya-Kampala'!E27</f>
        <v>6</v>
      </c>
      <c r="F27" s="49">
        <f>'Avg Week Kampala-Bukaya'!F27+'Avg Week Bukaya-Kampala'!F27</f>
        <v>2.2857142857142856</v>
      </c>
      <c r="G27" s="49">
        <f>'Avg Week Kampala-Bukaya'!G27+'Avg Week Bukaya-Kampala'!G27</f>
        <v>0.71428571428571419</v>
      </c>
      <c r="H27" s="49">
        <f>'Avg Week Kampala-Bukaya'!H27+'Avg Week Bukaya-Kampala'!H27</f>
        <v>0</v>
      </c>
      <c r="I27" s="49">
        <f>'Avg Week Kampala-Bukaya'!I27+'Avg Week Bukaya-Kampala'!I27</f>
        <v>3.2857142857142856</v>
      </c>
      <c r="J27" s="49">
        <f>'Avg Week Kampala-Bukaya'!J27+'Avg Week Bukaya-Kampala'!J27</f>
        <v>0.42857142857142855</v>
      </c>
      <c r="K27" s="49">
        <f>'Avg Week Kampala-Bukaya'!K27+'Avg Week Bukaya-Kampala'!K27</f>
        <v>0</v>
      </c>
      <c r="L27" s="49">
        <f>'Avg Week Kampala-Bukaya'!L27+'Avg Week Bukaya-Kampala'!L27</f>
        <v>0</v>
      </c>
      <c r="M27" s="49">
        <f>'Avg Week Kampala-Bukaya'!M27+'Avg Week Bukaya-Kampala'!M27</f>
        <v>41</v>
      </c>
      <c r="N27" s="49">
        <f>'Avg Week Kampala-Bukaya'!N27+'Avg Week Bukaya-Kampala'!N27</f>
        <v>0</v>
      </c>
      <c r="O27" s="15">
        <f t="shared" si="3"/>
        <v>17.142857142857142</v>
      </c>
      <c r="P27" s="15">
        <f t="shared" si="4"/>
        <v>58.142857142857139</v>
      </c>
      <c r="R27" s="1" t="s">
        <v>151</v>
      </c>
      <c r="S27" s="34">
        <f>SUM(C78:C81)</f>
        <v>14</v>
      </c>
      <c r="T27" s="34">
        <f t="shared" ref="T27:AF27" si="21">SUM(D78:D81)</f>
        <v>0</v>
      </c>
      <c r="U27" s="34">
        <f t="shared" si="21"/>
        <v>8</v>
      </c>
      <c r="V27" s="34">
        <f t="shared" si="21"/>
        <v>12</v>
      </c>
      <c r="W27" s="34">
        <f t="shared" si="21"/>
        <v>0</v>
      </c>
      <c r="X27" s="34">
        <f t="shared" si="21"/>
        <v>0</v>
      </c>
      <c r="Y27" s="34">
        <f t="shared" si="21"/>
        <v>20</v>
      </c>
      <c r="Z27" s="34">
        <f t="shared" si="21"/>
        <v>0</v>
      </c>
      <c r="AA27" s="34">
        <f t="shared" si="21"/>
        <v>2</v>
      </c>
      <c r="AB27" s="34">
        <f t="shared" si="21"/>
        <v>0</v>
      </c>
      <c r="AC27" s="34">
        <f t="shared" si="21"/>
        <v>0</v>
      </c>
      <c r="AD27" s="34">
        <f t="shared" si="21"/>
        <v>0</v>
      </c>
      <c r="AE27" s="31">
        <f t="shared" si="21"/>
        <v>56</v>
      </c>
      <c r="AF27" s="31">
        <f t="shared" si="21"/>
        <v>56</v>
      </c>
    </row>
    <row r="28" spans="2:32" ht="23.1" customHeight="1" x14ac:dyDescent="0.25">
      <c r="B28" s="23" t="s">
        <v>55</v>
      </c>
      <c r="C28" s="49">
        <f>'Avg Week Kampala-Bukaya'!C28+'Avg Week Bukaya-Kampala'!C28</f>
        <v>5</v>
      </c>
      <c r="D28" s="49">
        <f>'Avg Week Kampala-Bukaya'!D28+'Avg Week Bukaya-Kampala'!D28</f>
        <v>0</v>
      </c>
      <c r="E28" s="49">
        <f>'Avg Week Kampala-Bukaya'!E28+'Avg Week Bukaya-Kampala'!E28</f>
        <v>4.1428571428571423</v>
      </c>
      <c r="F28" s="49">
        <f>'Avg Week Kampala-Bukaya'!F28+'Avg Week Bukaya-Kampala'!F28</f>
        <v>4.4285714285714288</v>
      </c>
      <c r="G28" s="49">
        <f>'Avg Week Kampala-Bukaya'!G28+'Avg Week Bukaya-Kampala'!G28</f>
        <v>0.14285714285714285</v>
      </c>
      <c r="H28" s="49">
        <f>'Avg Week Kampala-Bukaya'!H28+'Avg Week Bukaya-Kampala'!H28</f>
        <v>0</v>
      </c>
      <c r="I28" s="49">
        <f>'Avg Week Kampala-Bukaya'!I28+'Avg Week Bukaya-Kampala'!I28</f>
        <v>4.5714285714285712</v>
      </c>
      <c r="J28" s="49">
        <f>'Avg Week Kampala-Bukaya'!J28+'Avg Week Bukaya-Kampala'!J28</f>
        <v>0</v>
      </c>
      <c r="K28" s="49">
        <f>'Avg Week Kampala-Bukaya'!K28+'Avg Week Bukaya-Kampala'!K28</f>
        <v>0.2857142857142857</v>
      </c>
      <c r="L28" s="49">
        <f>'Avg Week Kampala-Bukaya'!L28+'Avg Week Bukaya-Kampala'!L28</f>
        <v>0</v>
      </c>
      <c r="M28" s="49">
        <f>'Avg Week Kampala-Bukaya'!M28+'Avg Week Bukaya-Kampala'!M28</f>
        <v>45.428571428571431</v>
      </c>
      <c r="N28" s="49">
        <f>'Avg Week Kampala-Bukaya'!N28+'Avg Week Bukaya-Kampala'!N28</f>
        <v>0</v>
      </c>
      <c r="O28" s="15">
        <f t="shared" si="3"/>
        <v>18.571428571428569</v>
      </c>
      <c r="P28" s="15">
        <f t="shared" si="4"/>
        <v>64</v>
      </c>
      <c r="R28" s="1" t="s">
        <v>152</v>
      </c>
      <c r="S28" s="34">
        <f>SUM(C82:C85)</f>
        <v>10</v>
      </c>
      <c r="T28" s="34">
        <f t="shared" ref="T28:AF28" si="22">SUM(D82:D85)</f>
        <v>0</v>
      </c>
      <c r="U28" s="34">
        <f t="shared" si="22"/>
        <v>6</v>
      </c>
      <c r="V28" s="34">
        <f t="shared" si="22"/>
        <v>2</v>
      </c>
      <c r="W28" s="34">
        <f t="shared" si="22"/>
        <v>0</v>
      </c>
      <c r="X28" s="34">
        <f t="shared" si="22"/>
        <v>0</v>
      </c>
      <c r="Y28" s="34">
        <f t="shared" si="22"/>
        <v>2</v>
      </c>
      <c r="Z28" s="34">
        <f t="shared" si="22"/>
        <v>0</v>
      </c>
      <c r="AA28" s="34">
        <f t="shared" si="22"/>
        <v>0</v>
      </c>
      <c r="AB28" s="34">
        <f t="shared" si="22"/>
        <v>0</v>
      </c>
      <c r="AC28" s="34">
        <f t="shared" si="22"/>
        <v>0</v>
      </c>
      <c r="AD28" s="34">
        <f t="shared" si="22"/>
        <v>0</v>
      </c>
      <c r="AE28" s="31">
        <f t="shared" si="22"/>
        <v>20</v>
      </c>
      <c r="AF28" s="31">
        <f t="shared" si="22"/>
        <v>20</v>
      </c>
    </row>
    <row r="29" spans="2:32" ht="23.1" customHeight="1" x14ac:dyDescent="0.25">
      <c r="B29" s="23" t="s">
        <v>56</v>
      </c>
      <c r="C29" s="49">
        <f>'Avg Week Kampala-Bukaya'!C29+'Avg Week Bukaya-Kampala'!C29</f>
        <v>4.4285714285714288</v>
      </c>
      <c r="D29" s="49">
        <f>'Avg Week Kampala-Bukaya'!D29+'Avg Week Bukaya-Kampala'!D29</f>
        <v>0</v>
      </c>
      <c r="E29" s="49">
        <f>'Avg Week Kampala-Bukaya'!E29+'Avg Week Bukaya-Kampala'!E29</f>
        <v>4.8571428571428577</v>
      </c>
      <c r="F29" s="49">
        <f>'Avg Week Kampala-Bukaya'!F29+'Avg Week Bukaya-Kampala'!F29</f>
        <v>3.4285714285714288</v>
      </c>
      <c r="G29" s="49">
        <f>'Avg Week Kampala-Bukaya'!G29+'Avg Week Bukaya-Kampala'!G29</f>
        <v>0.42857142857142855</v>
      </c>
      <c r="H29" s="49">
        <f>'Avg Week Kampala-Bukaya'!H29+'Avg Week Bukaya-Kampala'!H29</f>
        <v>0</v>
      </c>
      <c r="I29" s="49">
        <f>'Avg Week Kampala-Bukaya'!I29+'Avg Week Bukaya-Kampala'!I29</f>
        <v>2.8571428571428572</v>
      </c>
      <c r="J29" s="49">
        <f>'Avg Week Kampala-Bukaya'!J29+'Avg Week Bukaya-Kampala'!J29</f>
        <v>0</v>
      </c>
      <c r="K29" s="49">
        <f>'Avg Week Kampala-Bukaya'!K29+'Avg Week Bukaya-Kampala'!K29</f>
        <v>0.2857142857142857</v>
      </c>
      <c r="L29" s="49">
        <f>'Avg Week Kampala-Bukaya'!L29+'Avg Week Bukaya-Kampala'!L29</f>
        <v>0</v>
      </c>
      <c r="M29" s="49">
        <f>'Avg Week Kampala-Bukaya'!M29+'Avg Week Bukaya-Kampala'!M29</f>
        <v>39.571428571428569</v>
      </c>
      <c r="N29" s="49">
        <f>'Avg Week Kampala-Bukaya'!N29+'Avg Week Bukaya-Kampala'!N29</f>
        <v>0</v>
      </c>
      <c r="O29" s="15">
        <f t="shared" si="3"/>
        <v>16.285714285714285</v>
      </c>
      <c r="P29" s="15">
        <f t="shared" si="4"/>
        <v>55.857142857142854</v>
      </c>
      <c r="R29" s="1" t="s">
        <v>153</v>
      </c>
      <c r="S29" s="34">
        <f>SUM(C86:C89)</f>
        <v>4</v>
      </c>
      <c r="T29" s="34">
        <f t="shared" ref="T29:AF29" si="23">SUM(D86:D89)</f>
        <v>0</v>
      </c>
      <c r="U29" s="34">
        <f t="shared" si="23"/>
        <v>4</v>
      </c>
      <c r="V29" s="34">
        <f t="shared" si="23"/>
        <v>4</v>
      </c>
      <c r="W29" s="34">
        <f t="shared" si="23"/>
        <v>0</v>
      </c>
      <c r="X29" s="34">
        <f t="shared" si="23"/>
        <v>0</v>
      </c>
      <c r="Y29" s="34">
        <f t="shared" si="23"/>
        <v>2</v>
      </c>
      <c r="Z29" s="34">
        <f t="shared" si="23"/>
        <v>0</v>
      </c>
      <c r="AA29" s="34">
        <f t="shared" si="23"/>
        <v>0</v>
      </c>
      <c r="AB29" s="34">
        <f t="shared" si="23"/>
        <v>0</v>
      </c>
      <c r="AC29" s="34">
        <f t="shared" si="23"/>
        <v>0</v>
      </c>
      <c r="AD29" s="34">
        <f t="shared" si="23"/>
        <v>0</v>
      </c>
      <c r="AE29" s="31">
        <f t="shared" si="23"/>
        <v>14</v>
      </c>
      <c r="AF29" s="31">
        <f t="shared" si="23"/>
        <v>14</v>
      </c>
    </row>
    <row r="30" spans="2:32" ht="23.1" customHeight="1" x14ac:dyDescent="0.25">
      <c r="B30" s="23" t="s">
        <v>57</v>
      </c>
      <c r="C30" s="49">
        <f>'Avg Week Kampala-Bukaya'!C30+'Avg Week Bukaya-Kampala'!C30</f>
        <v>4.4285714285714288</v>
      </c>
      <c r="D30" s="49">
        <f>'Avg Week Kampala-Bukaya'!D30+'Avg Week Bukaya-Kampala'!D30</f>
        <v>0</v>
      </c>
      <c r="E30" s="49">
        <f>'Avg Week Kampala-Bukaya'!E30+'Avg Week Bukaya-Kampala'!E30</f>
        <v>5</v>
      </c>
      <c r="F30" s="49">
        <f>'Avg Week Kampala-Bukaya'!F30+'Avg Week Bukaya-Kampala'!F30</f>
        <v>5</v>
      </c>
      <c r="G30" s="49">
        <f>'Avg Week Kampala-Bukaya'!G30+'Avg Week Bukaya-Kampala'!G30</f>
        <v>0.2857142857142857</v>
      </c>
      <c r="H30" s="49">
        <f>'Avg Week Kampala-Bukaya'!H30+'Avg Week Bukaya-Kampala'!H30</f>
        <v>0</v>
      </c>
      <c r="I30" s="49">
        <f>'Avg Week Kampala-Bukaya'!I30+'Avg Week Bukaya-Kampala'!I30</f>
        <v>2.2857142857142856</v>
      </c>
      <c r="J30" s="49">
        <f>'Avg Week Kampala-Bukaya'!J30+'Avg Week Bukaya-Kampala'!J30</f>
        <v>0.14285714285714285</v>
      </c>
      <c r="K30" s="49">
        <f>'Avg Week Kampala-Bukaya'!K30+'Avg Week Bukaya-Kampala'!K30</f>
        <v>0.5714285714285714</v>
      </c>
      <c r="L30" s="49">
        <f>'Avg Week Kampala-Bukaya'!L30+'Avg Week Bukaya-Kampala'!L30</f>
        <v>0</v>
      </c>
      <c r="M30" s="49">
        <f>'Avg Week Kampala-Bukaya'!M30+'Avg Week Bukaya-Kampala'!M30</f>
        <v>41.285714285714285</v>
      </c>
      <c r="N30" s="49">
        <f>'Avg Week Kampala-Bukaya'!N30+'Avg Week Bukaya-Kampala'!N30</f>
        <v>0</v>
      </c>
      <c r="O30" s="15">
        <f t="shared" si="3"/>
        <v>17.714285714285715</v>
      </c>
      <c r="P30" s="15">
        <f t="shared" si="4"/>
        <v>59</v>
      </c>
      <c r="R30" s="1" t="s">
        <v>154</v>
      </c>
      <c r="S30" s="34">
        <f>SUM(C90:C93)</f>
        <v>0</v>
      </c>
      <c r="T30" s="34">
        <f t="shared" ref="T30:AF30" si="24">SUM(D90:D93)</f>
        <v>0</v>
      </c>
      <c r="U30" s="34">
        <f t="shared" si="24"/>
        <v>0</v>
      </c>
      <c r="V30" s="34">
        <f t="shared" si="24"/>
        <v>0</v>
      </c>
      <c r="W30" s="34">
        <f t="shared" si="24"/>
        <v>0</v>
      </c>
      <c r="X30" s="34">
        <f t="shared" si="24"/>
        <v>0</v>
      </c>
      <c r="Y30" s="34">
        <f t="shared" si="24"/>
        <v>0</v>
      </c>
      <c r="Z30" s="34">
        <f t="shared" si="24"/>
        <v>0</v>
      </c>
      <c r="AA30" s="34">
        <f t="shared" si="24"/>
        <v>0</v>
      </c>
      <c r="AB30" s="34">
        <f t="shared" si="24"/>
        <v>0</v>
      </c>
      <c r="AC30" s="34">
        <f t="shared" si="24"/>
        <v>0</v>
      </c>
      <c r="AD30" s="34">
        <f t="shared" si="24"/>
        <v>0</v>
      </c>
      <c r="AE30" s="31">
        <f t="shared" si="24"/>
        <v>0</v>
      </c>
      <c r="AF30" s="31">
        <f t="shared" si="24"/>
        <v>0</v>
      </c>
    </row>
    <row r="31" spans="2:32" ht="23.1" customHeight="1" x14ac:dyDescent="0.25">
      <c r="B31" s="24" t="s">
        <v>58</v>
      </c>
      <c r="C31" s="49">
        <f>'Avg Week Kampala-Bukaya'!C31+'Avg Week Bukaya-Kampala'!C31</f>
        <v>5.7142857142857144</v>
      </c>
      <c r="D31" s="49">
        <f>'Avg Week Kampala-Bukaya'!D31+'Avg Week Bukaya-Kampala'!D31</f>
        <v>0</v>
      </c>
      <c r="E31" s="49">
        <f>'Avg Week Kampala-Bukaya'!E31+'Avg Week Bukaya-Kampala'!E31</f>
        <v>5</v>
      </c>
      <c r="F31" s="49">
        <f>'Avg Week Kampala-Bukaya'!F31+'Avg Week Bukaya-Kampala'!F31</f>
        <v>2.8571428571428572</v>
      </c>
      <c r="G31" s="49">
        <f>'Avg Week Kampala-Bukaya'!G31+'Avg Week Bukaya-Kampala'!G31</f>
        <v>0</v>
      </c>
      <c r="H31" s="49">
        <f>'Avg Week Kampala-Bukaya'!H31+'Avg Week Bukaya-Kampala'!H31</f>
        <v>0</v>
      </c>
      <c r="I31" s="49">
        <f>'Avg Week Kampala-Bukaya'!I31+'Avg Week Bukaya-Kampala'!I31</f>
        <v>3.4285714285714288</v>
      </c>
      <c r="J31" s="49">
        <f>'Avg Week Kampala-Bukaya'!J31+'Avg Week Bukaya-Kampala'!J31</f>
        <v>0</v>
      </c>
      <c r="K31" s="49">
        <f>'Avg Week Kampala-Bukaya'!K31+'Avg Week Bukaya-Kampala'!K31</f>
        <v>0.2857142857142857</v>
      </c>
      <c r="L31" s="49">
        <f>'Avg Week Kampala-Bukaya'!L31+'Avg Week Bukaya-Kampala'!L31</f>
        <v>0</v>
      </c>
      <c r="M31" s="49">
        <f>'Avg Week Kampala-Bukaya'!M31+'Avg Week Bukaya-Kampala'!M31</f>
        <v>44</v>
      </c>
      <c r="N31" s="49">
        <f>'Avg Week Kampala-Bukaya'!N31+'Avg Week Bukaya-Kampala'!N31</f>
        <v>0</v>
      </c>
      <c r="O31" s="15">
        <f t="shared" si="3"/>
        <v>17.285714285714285</v>
      </c>
      <c r="P31" s="15">
        <f t="shared" si="4"/>
        <v>61.285714285714285</v>
      </c>
      <c r="R31" s="1" t="s">
        <v>155</v>
      </c>
      <c r="S31" s="34">
        <f>SUM(C94:C97)</f>
        <v>6</v>
      </c>
      <c r="T31" s="34">
        <f t="shared" ref="T31:AF31" si="25">SUM(D94:D97)</f>
        <v>0</v>
      </c>
      <c r="U31" s="34">
        <f t="shared" si="25"/>
        <v>6</v>
      </c>
      <c r="V31" s="34">
        <f t="shared" si="25"/>
        <v>2</v>
      </c>
      <c r="W31" s="34">
        <f t="shared" si="25"/>
        <v>0</v>
      </c>
      <c r="X31" s="34">
        <f t="shared" si="25"/>
        <v>2</v>
      </c>
      <c r="Y31" s="34">
        <f t="shared" si="25"/>
        <v>0</v>
      </c>
      <c r="Z31" s="34">
        <f t="shared" si="25"/>
        <v>0</v>
      </c>
      <c r="AA31" s="34">
        <f t="shared" si="25"/>
        <v>0</v>
      </c>
      <c r="AB31" s="34">
        <f t="shared" si="25"/>
        <v>0</v>
      </c>
      <c r="AC31" s="34">
        <f t="shared" si="25"/>
        <v>0</v>
      </c>
      <c r="AD31" s="34">
        <f t="shared" si="25"/>
        <v>0</v>
      </c>
      <c r="AE31" s="31">
        <f t="shared" si="25"/>
        <v>16</v>
      </c>
      <c r="AF31" s="31">
        <f t="shared" si="25"/>
        <v>16</v>
      </c>
    </row>
    <row r="32" spans="2:32" ht="23.1" customHeight="1" x14ac:dyDescent="0.25">
      <c r="B32" s="24" t="s">
        <v>59</v>
      </c>
      <c r="C32" s="49">
        <f>'Avg Week Kampala-Bukaya'!C32+'Avg Week Bukaya-Kampala'!C32</f>
        <v>4.5714285714285712</v>
      </c>
      <c r="D32" s="49">
        <f>'Avg Week Kampala-Bukaya'!D32+'Avg Week Bukaya-Kampala'!D32</f>
        <v>0</v>
      </c>
      <c r="E32" s="49">
        <f>'Avg Week Kampala-Bukaya'!E32+'Avg Week Bukaya-Kampala'!E32</f>
        <v>6</v>
      </c>
      <c r="F32" s="49">
        <f>'Avg Week Kampala-Bukaya'!F32+'Avg Week Bukaya-Kampala'!F32</f>
        <v>3.4285714285714284</v>
      </c>
      <c r="G32" s="49">
        <f>'Avg Week Kampala-Bukaya'!G32+'Avg Week Bukaya-Kampala'!G32</f>
        <v>0.42857142857142855</v>
      </c>
      <c r="H32" s="49">
        <f>'Avg Week Kampala-Bukaya'!H32+'Avg Week Bukaya-Kampala'!H32</f>
        <v>0</v>
      </c>
      <c r="I32" s="49">
        <f>'Avg Week Kampala-Bukaya'!I32+'Avg Week Bukaya-Kampala'!I32</f>
        <v>4.2857142857142856</v>
      </c>
      <c r="J32" s="49">
        <f>'Avg Week Kampala-Bukaya'!J32+'Avg Week Bukaya-Kampala'!J32</f>
        <v>0.14285714285714285</v>
      </c>
      <c r="K32" s="49">
        <f>'Avg Week Kampala-Bukaya'!K32+'Avg Week Bukaya-Kampala'!K32</f>
        <v>0</v>
      </c>
      <c r="L32" s="49">
        <f>'Avg Week Kampala-Bukaya'!L32+'Avg Week Bukaya-Kampala'!L32</f>
        <v>0</v>
      </c>
      <c r="M32" s="49">
        <f>'Avg Week Kampala-Bukaya'!M32+'Avg Week Bukaya-Kampala'!M32</f>
        <v>41.857142857142854</v>
      </c>
      <c r="N32" s="49">
        <f>'Avg Week Kampala-Bukaya'!N32+'Avg Week Bukaya-Kampala'!N32</f>
        <v>0</v>
      </c>
      <c r="O32" s="15">
        <f t="shared" si="3"/>
        <v>18.857142857142858</v>
      </c>
      <c r="P32" s="15">
        <f t="shared" si="4"/>
        <v>60.714285714285708</v>
      </c>
      <c r="R32" s="1" t="s">
        <v>156</v>
      </c>
      <c r="S32" s="34">
        <f>SUM(C98:C101)</f>
        <v>4</v>
      </c>
      <c r="T32" s="34">
        <f t="shared" ref="T32:AF32" si="26">SUM(D98:D101)</f>
        <v>4</v>
      </c>
      <c r="U32" s="34">
        <f t="shared" si="26"/>
        <v>2</v>
      </c>
      <c r="V32" s="34">
        <f t="shared" si="26"/>
        <v>0</v>
      </c>
      <c r="W32" s="34">
        <f t="shared" si="26"/>
        <v>0</v>
      </c>
      <c r="X32" s="34">
        <f t="shared" si="26"/>
        <v>0</v>
      </c>
      <c r="Y32" s="34">
        <f t="shared" si="26"/>
        <v>2</v>
      </c>
      <c r="Z32" s="34">
        <f t="shared" si="26"/>
        <v>0</v>
      </c>
      <c r="AA32" s="34">
        <f t="shared" si="26"/>
        <v>0</v>
      </c>
      <c r="AB32" s="34">
        <f t="shared" si="26"/>
        <v>0</v>
      </c>
      <c r="AC32" s="34">
        <f t="shared" si="26"/>
        <v>2</v>
      </c>
      <c r="AD32" s="34">
        <f t="shared" si="26"/>
        <v>0</v>
      </c>
      <c r="AE32" s="31">
        <f t="shared" si="26"/>
        <v>12</v>
      </c>
      <c r="AF32" s="31">
        <f t="shared" si="26"/>
        <v>14</v>
      </c>
    </row>
    <row r="33" spans="2:32" ht="23.1" customHeight="1" x14ac:dyDescent="0.25">
      <c r="B33" s="23" t="s">
        <v>60</v>
      </c>
      <c r="C33" s="49">
        <f>'Avg Week Kampala-Bukaya'!C33+'Avg Week Bukaya-Kampala'!C33</f>
        <v>5</v>
      </c>
      <c r="D33" s="49">
        <f>'Avg Week Kampala-Bukaya'!D33+'Avg Week Bukaya-Kampala'!D33</f>
        <v>0</v>
      </c>
      <c r="E33" s="49">
        <f>'Avg Week Kampala-Bukaya'!E33+'Avg Week Bukaya-Kampala'!E33</f>
        <v>4.2857142857142856</v>
      </c>
      <c r="F33" s="49">
        <f>'Avg Week Kampala-Bukaya'!F33+'Avg Week Bukaya-Kampala'!F33</f>
        <v>4.5714285714285712</v>
      </c>
      <c r="G33" s="49">
        <f>'Avg Week Kampala-Bukaya'!G33+'Avg Week Bukaya-Kampala'!G33</f>
        <v>0.42857142857142855</v>
      </c>
      <c r="H33" s="49">
        <f>'Avg Week Kampala-Bukaya'!H33+'Avg Week Bukaya-Kampala'!H33</f>
        <v>0</v>
      </c>
      <c r="I33" s="49">
        <f>'Avg Week Kampala-Bukaya'!I33+'Avg Week Bukaya-Kampala'!I33</f>
        <v>3.1428571428571428</v>
      </c>
      <c r="J33" s="49">
        <f>'Avg Week Kampala-Bukaya'!J33+'Avg Week Bukaya-Kampala'!J33</f>
        <v>0</v>
      </c>
      <c r="K33" s="49">
        <f>'Avg Week Kampala-Bukaya'!K33+'Avg Week Bukaya-Kampala'!K33</f>
        <v>0</v>
      </c>
      <c r="L33" s="49">
        <f>'Avg Week Kampala-Bukaya'!L33+'Avg Week Bukaya-Kampala'!L33</f>
        <v>0</v>
      </c>
      <c r="M33" s="49">
        <f>'Avg Week Kampala-Bukaya'!M33+'Avg Week Bukaya-Kampala'!M33</f>
        <v>41.714285714285715</v>
      </c>
      <c r="N33" s="49">
        <f>'Avg Week Kampala-Bukaya'!N33+'Avg Week Bukaya-Kampala'!N33</f>
        <v>0</v>
      </c>
      <c r="O33" s="15">
        <f t="shared" si="3"/>
        <v>17.428571428571427</v>
      </c>
      <c r="P33" s="15">
        <f t="shared" si="4"/>
        <v>59.142857142857139</v>
      </c>
      <c r="R33" s="1" t="s">
        <v>157</v>
      </c>
      <c r="S33" s="34">
        <f>SUM(C102:C105)</f>
        <v>10</v>
      </c>
      <c r="T33" s="34">
        <f t="shared" ref="T33:AF33" si="27">SUM(D102:D105)</f>
        <v>4</v>
      </c>
      <c r="U33" s="34">
        <f t="shared" si="27"/>
        <v>2</v>
      </c>
      <c r="V33" s="34">
        <f t="shared" si="27"/>
        <v>2</v>
      </c>
      <c r="W33" s="34">
        <f t="shared" si="27"/>
        <v>2</v>
      </c>
      <c r="X33" s="34">
        <f t="shared" si="27"/>
        <v>0</v>
      </c>
      <c r="Y33" s="34">
        <f t="shared" si="27"/>
        <v>2</v>
      </c>
      <c r="Z33" s="34">
        <f t="shared" si="27"/>
        <v>0</v>
      </c>
      <c r="AA33" s="34">
        <f t="shared" si="27"/>
        <v>4</v>
      </c>
      <c r="AB33" s="34">
        <f t="shared" si="27"/>
        <v>0</v>
      </c>
      <c r="AC33" s="34">
        <f t="shared" si="27"/>
        <v>24</v>
      </c>
      <c r="AD33" s="34">
        <f t="shared" si="27"/>
        <v>0</v>
      </c>
      <c r="AE33" s="31">
        <f t="shared" si="27"/>
        <v>26</v>
      </c>
      <c r="AF33" s="31">
        <f t="shared" si="27"/>
        <v>50</v>
      </c>
    </row>
    <row r="34" spans="2:32" ht="23.1" customHeight="1" x14ac:dyDescent="0.25">
      <c r="B34" s="24" t="s">
        <v>61</v>
      </c>
      <c r="C34" s="49">
        <f>'Avg Week Kampala-Bukaya'!C34+'Avg Week Bukaya-Kampala'!C34</f>
        <v>5.5714285714285712</v>
      </c>
      <c r="D34" s="49">
        <f>'Avg Week Kampala-Bukaya'!D34+'Avg Week Bukaya-Kampala'!D34</f>
        <v>0</v>
      </c>
      <c r="E34" s="49">
        <f>'Avg Week Kampala-Bukaya'!E34+'Avg Week Bukaya-Kampala'!E34</f>
        <v>5.7142857142857144</v>
      </c>
      <c r="F34" s="49">
        <f>'Avg Week Kampala-Bukaya'!F34+'Avg Week Bukaya-Kampala'!F34</f>
        <v>3.2857142857142856</v>
      </c>
      <c r="G34" s="49">
        <f>'Avg Week Kampala-Bukaya'!G34+'Avg Week Bukaya-Kampala'!G34</f>
        <v>0.14285714285714285</v>
      </c>
      <c r="H34" s="49">
        <f>'Avg Week Kampala-Bukaya'!H34+'Avg Week Bukaya-Kampala'!H34</f>
        <v>0</v>
      </c>
      <c r="I34" s="49">
        <f>'Avg Week Kampala-Bukaya'!I34+'Avg Week Bukaya-Kampala'!I34</f>
        <v>3.7142857142857144</v>
      </c>
      <c r="J34" s="49">
        <f>'Avg Week Kampala-Bukaya'!J34+'Avg Week Bukaya-Kampala'!J34</f>
        <v>0.14285714285714285</v>
      </c>
      <c r="K34" s="49">
        <f>'Avg Week Kampala-Bukaya'!K34+'Avg Week Bukaya-Kampala'!K34</f>
        <v>0.14285714285714285</v>
      </c>
      <c r="L34" s="49">
        <f>'Avg Week Kampala-Bukaya'!L34+'Avg Week Bukaya-Kampala'!L34</f>
        <v>0</v>
      </c>
      <c r="M34" s="49">
        <f>'Avg Week Kampala-Bukaya'!M34+'Avg Week Bukaya-Kampala'!M34</f>
        <v>35.571428571428569</v>
      </c>
      <c r="N34" s="49">
        <f>'Avg Week Kampala-Bukaya'!N34+'Avg Week Bukaya-Kampala'!N34</f>
        <v>0</v>
      </c>
      <c r="O34" s="15">
        <f t="shared" si="3"/>
        <v>18.714285714285712</v>
      </c>
      <c r="P34" s="15">
        <f t="shared" si="4"/>
        <v>54.285714285714278</v>
      </c>
      <c r="R34" s="38" t="s">
        <v>90</v>
      </c>
      <c r="S34" s="39">
        <f t="shared" ref="S34:AF34" si="28">MAX(S10:S12)</f>
        <v>17.285714285714285</v>
      </c>
      <c r="T34" s="39">
        <f t="shared" si="28"/>
        <v>0</v>
      </c>
      <c r="U34" s="39">
        <f t="shared" si="28"/>
        <v>12.857142857142856</v>
      </c>
      <c r="V34" s="39">
        <f t="shared" si="28"/>
        <v>12.571428571428573</v>
      </c>
      <c r="W34" s="39">
        <f t="shared" si="28"/>
        <v>0.5714285714285714</v>
      </c>
      <c r="X34" s="39">
        <f t="shared" si="28"/>
        <v>0.14285714285714285</v>
      </c>
      <c r="Y34" s="39">
        <f t="shared" si="28"/>
        <v>11.428571428571431</v>
      </c>
      <c r="Z34" s="39">
        <f t="shared" si="28"/>
        <v>0.5714285714285714</v>
      </c>
      <c r="AA34" s="39">
        <f t="shared" si="28"/>
        <v>1.4285714285714284</v>
      </c>
      <c r="AB34" s="39">
        <f t="shared" si="28"/>
        <v>0.2857142857142857</v>
      </c>
      <c r="AC34" s="39">
        <f t="shared" si="28"/>
        <v>138.28571428571428</v>
      </c>
      <c r="AD34" s="39">
        <f t="shared" si="28"/>
        <v>0.14285714285714285</v>
      </c>
      <c r="AE34" s="40">
        <f t="shared" si="28"/>
        <v>56</v>
      </c>
      <c r="AF34" s="40">
        <f t="shared" si="28"/>
        <v>194.28571428571428</v>
      </c>
    </row>
    <row r="35" spans="2:32" ht="23.1" customHeight="1" x14ac:dyDescent="0.25">
      <c r="B35" s="24" t="s">
        <v>62</v>
      </c>
      <c r="C35" s="49">
        <f>'Avg Week Kampala-Bukaya'!C35+'Avg Week Bukaya-Kampala'!C35</f>
        <v>5.2857142857142856</v>
      </c>
      <c r="D35" s="49">
        <f>'Avg Week Kampala-Bukaya'!D35+'Avg Week Bukaya-Kampala'!D35</f>
        <v>0</v>
      </c>
      <c r="E35" s="49">
        <f>'Avg Week Kampala-Bukaya'!E35+'Avg Week Bukaya-Kampala'!E35</f>
        <v>6.2857142857142865</v>
      </c>
      <c r="F35" s="49">
        <f>'Avg Week Kampala-Bukaya'!F35+'Avg Week Bukaya-Kampala'!F35</f>
        <v>4</v>
      </c>
      <c r="G35" s="49">
        <f>'Avg Week Kampala-Bukaya'!G35+'Avg Week Bukaya-Kampala'!G35</f>
        <v>0.14285714285714285</v>
      </c>
      <c r="H35" s="49">
        <f>'Avg Week Kampala-Bukaya'!H35+'Avg Week Bukaya-Kampala'!H35</f>
        <v>0</v>
      </c>
      <c r="I35" s="49">
        <f>'Avg Week Kampala-Bukaya'!I35+'Avg Week Bukaya-Kampala'!I35</f>
        <v>3.5714285714285712</v>
      </c>
      <c r="J35" s="49">
        <f>'Avg Week Kampala-Bukaya'!J35+'Avg Week Bukaya-Kampala'!J35</f>
        <v>0</v>
      </c>
      <c r="K35" s="49">
        <f>'Avg Week Kampala-Bukaya'!K35+'Avg Week Bukaya-Kampala'!K35</f>
        <v>0.42857142857142855</v>
      </c>
      <c r="L35" s="49">
        <f>'Avg Week Kampala-Bukaya'!L35+'Avg Week Bukaya-Kampala'!L35</f>
        <v>0</v>
      </c>
      <c r="M35" s="49">
        <f>'Avg Week Kampala-Bukaya'!M35+'Avg Week Bukaya-Kampala'!M35</f>
        <v>32.285714285714285</v>
      </c>
      <c r="N35" s="49">
        <f>'Avg Week Kampala-Bukaya'!N35+'Avg Week Bukaya-Kampala'!N35</f>
        <v>0</v>
      </c>
      <c r="O35" s="15">
        <f t="shared" si="3"/>
        <v>19.714285714285712</v>
      </c>
      <c r="P35" s="15">
        <f t="shared" si="4"/>
        <v>52</v>
      </c>
      <c r="R35" s="38" t="s">
        <v>91</v>
      </c>
      <c r="S35" s="39">
        <f t="shared" ref="S35:AF35" si="29">MAX(S13:S18)</f>
        <v>26.142857142857146</v>
      </c>
      <c r="T35" s="39">
        <f t="shared" si="29"/>
        <v>0</v>
      </c>
      <c r="U35" s="39">
        <f t="shared" si="29"/>
        <v>24.571428571428573</v>
      </c>
      <c r="V35" s="39">
        <f t="shared" si="29"/>
        <v>16.571428571428569</v>
      </c>
      <c r="W35" s="39">
        <f t="shared" si="29"/>
        <v>1.2857142857142856</v>
      </c>
      <c r="X35" s="39">
        <f t="shared" si="29"/>
        <v>0.7142857142857143</v>
      </c>
      <c r="Y35" s="39">
        <f t="shared" si="29"/>
        <v>18.285714285714285</v>
      </c>
      <c r="Z35" s="39">
        <f t="shared" si="29"/>
        <v>0.71428571428571419</v>
      </c>
      <c r="AA35" s="39">
        <f t="shared" si="29"/>
        <v>1.2857142857142856</v>
      </c>
      <c r="AB35" s="39">
        <f t="shared" si="29"/>
        <v>0.14285714285714285</v>
      </c>
      <c r="AC35" s="39">
        <f t="shared" si="29"/>
        <v>168.85714285714286</v>
      </c>
      <c r="AD35" s="39">
        <f t="shared" si="29"/>
        <v>0</v>
      </c>
      <c r="AE35" s="40">
        <f t="shared" si="29"/>
        <v>83.571428571428555</v>
      </c>
      <c r="AF35" s="40">
        <f t="shared" si="29"/>
        <v>240.14285714285714</v>
      </c>
    </row>
    <row r="36" spans="2:32" ht="23.1" customHeight="1" x14ac:dyDescent="0.25">
      <c r="B36" s="24" t="s">
        <v>63</v>
      </c>
      <c r="C36" s="49">
        <f>'Avg Week Kampala-Bukaya'!C36+'Avg Week Bukaya-Kampala'!C36</f>
        <v>5.5714285714285712</v>
      </c>
      <c r="D36" s="49">
        <f>'Avg Week Kampala-Bukaya'!D36+'Avg Week Bukaya-Kampala'!D36</f>
        <v>0</v>
      </c>
      <c r="E36" s="49">
        <f>'Avg Week Kampala-Bukaya'!E36+'Avg Week Bukaya-Kampala'!E36</f>
        <v>4.5714285714285712</v>
      </c>
      <c r="F36" s="49">
        <f>'Avg Week Kampala-Bukaya'!F36+'Avg Week Bukaya-Kampala'!F36</f>
        <v>3.7142857142857144</v>
      </c>
      <c r="G36" s="49">
        <f>'Avg Week Kampala-Bukaya'!G36+'Avg Week Bukaya-Kampala'!G36</f>
        <v>0.2857142857142857</v>
      </c>
      <c r="H36" s="49">
        <f>'Avg Week Kampala-Bukaya'!H36+'Avg Week Bukaya-Kampala'!H36</f>
        <v>0.7142857142857143</v>
      </c>
      <c r="I36" s="49">
        <f>'Avg Week Kampala-Bukaya'!I36+'Avg Week Bukaya-Kampala'!I36</f>
        <v>2.7142857142857144</v>
      </c>
      <c r="J36" s="49">
        <f>'Avg Week Kampala-Bukaya'!J36+'Avg Week Bukaya-Kampala'!J36</f>
        <v>0.14285714285714285</v>
      </c>
      <c r="K36" s="49">
        <f>'Avg Week Kampala-Bukaya'!K36+'Avg Week Bukaya-Kampala'!K36</f>
        <v>0.42857142857142855</v>
      </c>
      <c r="L36" s="49">
        <f>'Avg Week Kampala-Bukaya'!L36+'Avg Week Bukaya-Kampala'!L36</f>
        <v>0</v>
      </c>
      <c r="M36" s="49">
        <f>'Avg Week Kampala-Bukaya'!M36+'Avg Week Bukaya-Kampala'!M36</f>
        <v>37.142857142857139</v>
      </c>
      <c r="N36" s="49">
        <f>'Avg Week Kampala-Bukaya'!N36+'Avg Week Bukaya-Kampala'!N36</f>
        <v>0</v>
      </c>
      <c r="O36" s="15">
        <f t="shared" si="3"/>
        <v>18.142857142857142</v>
      </c>
      <c r="P36" s="15">
        <f t="shared" si="4"/>
        <v>55.285714285714278</v>
      </c>
      <c r="R36" s="38" t="s">
        <v>92</v>
      </c>
      <c r="S36" s="39">
        <f t="shared" ref="S36:AF36" si="30">MAX(S19:S21)</f>
        <v>28.857142857142854</v>
      </c>
      <c r="T36" s="39">
        <f t="shared" si="30"/>
        <v>0</v>
      </c>
      <c r="U36" s="39">
        <f t="shared" si="30"/>
        <v>29.714285714285715</v>
      </c>
      <c r="V36" s="39">
        <f t="shared" si="30"/>
        <v>22.714285714285715</v>
      </c>
      <c r="W36" s="39">
        <f t="shared" si="30"/>
        <v>1.4285714285714284</v>
      </c>
      <c r="X36" s="39">
        <f t="shared" si="30"/>
        <v>0.14285714285714285</v>
      </c>
      <c r="Y36" s="39">
        <f t="shared" si="30"/>
        <v>16.571428571428569</v>
      </c>
      <c r="Z36" s="39">
        <f t="shared" si="30"/>
        <v>0.42857142857142855</v>
      </c>
      <c r="AA36" s="39">
        <f t="shared" si="30"/>
        <v>1.8571428571428572</v>
      </c>
      <c r="AB36" s="39">
        <f t="shared" si="30"/>
        <v>0.42857142857142855</v>
      </c>
      <c r="AC36" s="39">
        <f t="shared" si="30"/>
        <v>180.57142857142856</v>
      </c>
      <c r="AD36" s="39">
        <f t="shared" si="30"/>
        <v>0.2857142857142857</v>
      </c>
      <c r="AE36" s="40">
        <f t="shared" si="30"/>
        <v>97.428571428571402</v>
      </c>
      <c r="AF36" s="40">
        <f t="shared" si="30"/>
        <v>273.14285714285711</v>
      </c>
    </row>
    <row r="37" spans="2:32" ht="23.1" customHeight="1" x14ac:dyDescent="0.25">
      <c r="B37" s="23" t="s">
        <v>64</v>
      </c>
      <c r="C37" s="49">
        <f>'Avg Week Kampala-Bukaya'!C37+'Avg Week Bukaya-Kampala'!C37</f>
        <v>6.1428571428571423</v>
      </c>
      <c r="D37" s="49">
        <f>'Avg Week Kampala-Bukaya'!D37+'Avg Week Bukaya-Kampala'!D37</f>
        <v>0</v>
      </c>
      <c r="E37" s="49">
        <f>'Avg Week Kampala-Bukaya'!E37+'Avg Week Bukaya-Kampala'!E37</f>
        <v>7.1428571428571423</v>
      </c>
      <c r="F37" s="49">
        <f>'Avg Week Kampala-Bukaya'!F37+'Avg Week Bukaya-Kampala'!F37</f>
        <v>4.8571428571428568</v>
      </c>
      <c r="G37" s="49">
        <f>'Avg Week Kampala-Bukaya'!G37+'Avg Week Bukaya-Kampala'!G37</f>
        <v>0.14285714285714285</v>
      </c>
      <c r="H37" s="49">
        <f>'Avg Week Kampala-Bukaya'!H37+'Avg Week Bukaya-Kampala'!H37</f>
        <v>0</v>
      </c>
      <c r="I37" s="49">
        <f>'Avg Week Kampala-Bukaya'!I37+'Avg Week Bukaya-Kampala'!I37</f>
        <v>3.5714285714285712</v>
      </c>
      <c r="J37" s="49">
        <f>'Avg Week Kampala-Bukaya'!J37+'Avg Week Bukaya-Kampala'!J37</f>
        <v>0.2857142857142857</v>
      </c>
      <c r="K37" s="49">
        <f>'Avg Week Kampala-Bukaya'!K37+'Avg Week Bukaya-Kampala'!K37</f>
        <v>0.2857142857142857</v>
      </c>
      <c r="L37" s="49">
        <f>'Avg Week Kampala-Bukaya'!L37+'Avg Week Bukaya-Kampala'!L37</f>
        <v>0</v>
      </c>
      <c r="M37" s="49">
        <f>'Avg Week Kampala-Bukaya'!M37+'Avg Week Bukaya-Kampala'!M37</f>
        <v>35.571428571428569</v>
      </c>
      <c r="N37" s="49">
        <f>'Avg Week Kampala-Bukaya'!N37+'Avg Week Bukaya-Kampala'!N37</f>
        <v>0</v>
      </c>
      <c r="O37" s="15">
        <f t="shared" si="3"/>
        <v>22.428571428571423</v>
      </c>
      <c r="P37" s="15">
        <f t="shared" si="4"/>
        <v>57.999999999999993</v>
      </c>
      <c r="R37" s="37" t="s">
        <v>85</v>
      </c>
      <c r="S37" s="35">
        <f t="shared" ref="S37:AF37" si="31">SUM(S10:S12)</f>
        <v>39.571428571428569</v>
      </c>
      <c r="T37" s="16">
        <f t="shared" si="31"/>
        <v>0</v>
      </c>
      <c r="U37" s="16">
        <f t="shared" si="31"/>
        <v>36.857142857142854</v>
      </c>
      <c r="V37" s="16">
        <f t="shared" si="31"/>
        <v>31</v>
      </c>
      <c r="W37" s="16">
        <f t="shared" si="31"/>
        <v>1.4285714285714286</v>
      </c>
      <c r="X37" s="16">
        <f t="shared" si="31"/>
        <v>0.14285714285714285</v>
      </c>
      <c r="Y37" s="16">
        <f t="shared" si="31"/>
        <v>27.428571428571431</v>
      </c>
      <c r="Z37" s="16">
        <f t="shared" si="31"/>
        <v>1.1428571428571428</v>
      </c>
      <c r="AA37" s="16">
        <f t="shared" si="31"/>
        <v>2.1428571428571423</v>
      </c>
      <c r="AB37" s="16">
        <f t="shared" si="31"/>
        <v>0.42857142857142855</v>
      </c>
      <c r="AC37" s="16">
        <f t="shared" si="31"/>
        <v>365.28571428571433</v>
      </c>
      <c r="AD37" s="16">
        <f t="shared" si="31"/>
        <v>0.2857142857142857</v>
      </c>
      <c r="AE37" s="32">
        <f t="shared" si="31"/>
        <v>140.42857142857142</v>
      </c>
      <c r="AF37" s="32">
        <f t="shared" si="31"/>
        <v>505.71428571428572</v>
      </c>
    </row>
    <row r="38" spans="2:32" ht="23.1" customHeight="1" x14ac:dyDescent="0.25">
      <c r="B38" s="24" t="s">
        <v>65</v>
      </c>
      <c r="C38" s="49">
        <f>'Avg Week Kampala-Bukaya'!C38+'Avg Week Bukaya-Kampala'!C38</f>
        <v>7.4285714285714288</v>
      </c>
      <c r="D38" s="49">
        <f>'Avg Week Kampala-Bukaya'!D38+'Avg Week Bukaya-Kampala'!D38</f>
        <v>0</v>
      </c>
      <c r="E38" s="49">
        <f>'Avg Week Kampala-Bukaya'!E38+'Avg Week Bukaya-Kampala'!E38</f>
        <v>6.2857142857142856</v>
      </c>
      <c r="F38" s="49">
        <f>'Avg Week Kampala-Bukaya'!F38+'Avg Week Bukaya-Kampala'!F38</f>
        <v>4</v>
      </c>
      <c r="G38" s="49">
        <f>'Avg Week Kampala-Bukaya'!G38+'Avg Week Bukaya-Kampala'!G38</f>
        <v>0</v>
      </c>
      <c r="H38" s="49">
        <f>'Avg Week Kampala-Bukaya'!H38+'Avg Week Bukaya-Kampala'!H38</f>
        <v>0</v>
      </c>
      <c r="I38" s="49">
        <f>'Avg Week Kampala-Bukaya'!I38+'Avg Week Bukaya-Kampala'!I38</f>
        <v>3.1428571428571428</v>
      </c>
      <c r="J38" s="49">
        <f>'Avg Week Kampala-Bukaya'!J38+'Avg Week Bukaya-Kampala'!J38</f>
        <v>0</v>
      </c>
      <c r="K38" s="49">
        <f>'Avg Week Kampala-Bukaya'!K38+'Avg Week Bukaya-Kampala'!K38</f>
        <v>0</v>
      </c>
      <c r="L38" s="49">
        <f>'Avg Week Kampala-Bukaya'!L38+'Avg Week Bukaya-Kampala'!L38</f>
        <v>0</v>
      </c>
      <c r="M38" s="49">
        <f>'Avg Week Kampala-Bukaya'!M38+'Avg Week Bukaya-Kampala'!M38</f>
        <v>36.857142857142854</v>
      </c>
      <c r="N38" s="49">
        <f>'Avg Week Kampala-Bukaya'!N38+'Avg Week Bukaya-Kampala'!N38</f>
        <v>0</v>
      </c>
      <c r="O38" s="15">
        <f t="shared" si="3"/>
        <v>20.857142857142858</v>
      </c>
      <c r="P38" s="15">
        <f t="shared" si="4"/>
        <v>57.714285714285708</v>
      </c>
      <c r="R38" s="28" t="s">
        <v>86</v>
      </c>
      <c r="S38" s="16">
        <f t="shared" ref="S38:AF38" si="32">SUM(S13:S18)</f>
        <v>128.00000000000003</v>
      </c>
      <c r="T38" s="16">
        <f t="shared" si="32"/>
        <v>0</v>
      </c>
      <c r="U38" s="16">
        <f t="shared" si="32"/>
        <v>134.85714285714286</v>
      </c>
      <c r="V38" s="16">
        <f t="shared" si="32"/>
        <v>89.285714285714278</v>
      </c>
      <c r="W38" s="16">
        <f t="shared" si="32"/>
        <v>4.1428571428571423</v>
      </c>
      <c r="X38" s="16">
        <f t="shared" si="32"/>
        <v>0.85714285714285721</v>
      </c>
      <c r="Y38" s="16">
        <f t="shared" si="32"/>
        <v>83.285714285714278</v>
      </c>
      <c r="Z38" s="16">
        <f t="shared" si="32"/>
        <v>2.2857142857142856</v>
      </c>
      <c r="AA38" s="16">
        <f t="shared" si="32"/>
        <v>6</v>
      </c>
      <c r="AB38" s="16">
        <f t="shared" si="32"/>
        <v>0.14285714285714285</v>
      </c>
      <c r="AC38" s="16">
        <f t="shared" si="32"/>
        <v>936.85714285714278</v>
      </c>
      <c r="AD38" s="16">
        <f t="shared" si="32"/>
        <v>0</v>
      </c>
      <c r="AE38" s="32">
        <f t="shared" si="32"/>
        <v>448.85714285714278</v>
      </c>
      <c r="AF38" s="32">
        <f t="shared" si="32"/>
        <v>1385.7142857142858</v>
      </c>
    </row>
    <row r="39" spans="2:32" ht="23.1" customHeight="1" x14ac:dyDescent="0.25">
      <c r="B39" s="24" t="s">
        <v>66</v>
      </c>
      <c r="C39" s="49">
        <f>'Avg Week Kampala-Bukaya'!C39+'Avg Week Bukaya-Kampala'!C39</f>
        <v>6.2857142857142865</v>
      </c>
      <c r="D39" s="49">
        <f>'Avg Week Kampala-Bukaya'!D39+'Avg Week Bukaya-Kampala'!D39</f>
        <v>0</v>
      </c>
      <c r="E39" s="49">
        <f>'Avg Week Kampala-Bukaya'!E39+'Avg Week Bukaya-Kampala'!E39</f>
        <v>5.7142857142857135</v>
      </c>
      <c r="F39" s="49">
        <f>'Avg Week Kampala-Bukaya'!F39+'Avg Week Bukaya-Kampala'!F39</f>
        <v>3.5714285714285712</v>
      </c>
      <c r="G39" s="49">
        <f>'Avg Week Kampala-Bukaya'!G39+'Avg Week Bukaya-Kampala'!G39</f>
        <v>0</v>
      </c>
      <c r="H39" s="49">
        <f>'Avg Week Kampala-Bukaya'!H39+'Avg Week Bukaya-Kampala'!H39</f>
        <v>0</v>
      </c>
      <c r="I39" s="49">
        <f>'Avg Week Kampala-Bukaya'!I39+'Avg Week Bukaya-Kampala'!I39</f>
        <v>2.8571428571428568</v>
      </c>
      <c r="J39" s="49">
        <f>'Avg Week Kampala-Bukaya'!J39+'Avg Week Bukaya-Kampala'!J39</f>
        <v>0.14285714285714285</v>
      </c>
      <c r="K39" s="49">
        <f>'Avg Week Kampala-Bukaya'!K39+'Avg Week Bukaya-Kampala'!K39</f>
        <v>0.42857142857142855</v>
      </c>
      <c r="L39" s="49">
        <f>'Avg Week Kampala-Bukaya'!L39+'Avg Week Bukaya-Kampala'!L39</f>
        <v>0</v>
      </c>
      <c r="M39" s="49">
        <f>'Avg Week Kampala-Bukaya'!M39+'Avg Week Bukaya-Kampala'!M39</f>
        <v>38.142857142857139</v>
      </c>
      <c r="N39" s="49">
        <f>'Avg Week Kampala-Bukaya'!N39+'Avg Week Bukaya-Kampala'!N39</f>
        <v>0</v>
      </c>
      <c r="O39" s="15">
        <f t="shared" si="3"/>
        <v>18.999999999999996</v>
      </c>
      <c r="P39" s="15">
        <f t="shared" si="4"/>
        <v>57.142857142857139</v>
      </c>
      <c r="R39" s="29" t="s">
        <v>87</v>
      </c>
      <c r="S39" s="16">
        <f t="shared" ref="S39:AF39" si="33">SUM(S19:S21)</f>
        <v>72.428571428571431</v>
      </c>
      <c r="T39" s="16">
        <f t="shared" si="33"/>
        <v>0</v>
      </c>
      <c r="U39" s="16">
        <f t="shared" si="33"/>
        <v>80.285714285714278</v>
      </c>
      <c r="V39" s="16">
        <f t="shared" si="33"/>
        <v>59.857142857142861</v>
      </c>
      <c r="W39" s="16">
        <f t="shared" si="33"/>
        <v>2.1428571428571423</v>
      </c>
      <c r="X39" s="16">
        <f t="shared" si="33"/>
        <v>0.14285714285714285</v>
      </c>
      <c r="Y39" s="16">
        <f t="shared" si="33"/>
        <v>45.428571428571431</v>
      </c>
      <c r="Z39" s="16">
        <f t="shared" si="33"/>
        <v>1</v>
      </c>
      <c r="AA39" s="16">
        <f t="shared" si="33"/>
        <v>3.1428571428571428</v>
      </c>
      <c r="AB39" s="16">
        <f t="shared" si="33"/>
        <v>0.42857142857142855</v>
      </c>
      <c r="AC39" s="16">
        <f t="shared" si="33"/>
        <v>534.42857142857144</v>
      </c>
      <c r="AD39" s="16">
        <f t="shared" si="33"/>
        <v>0.2857142857142857</v>
      </c>
      <c r="AE39" s="32">
        <f t="shared" si="33"/>
        <v>265.14285714285711</v>
      </c>
      <c r="AF39" s="32">
        <f t="shared" si="33"/>
        <v>799.57142857142844</v>
      </c>
    </row>
    <row r="40" spans="2:32" ht="23.1" customHeight="1" x14ac:dyDescent="0.25">
      <c r="B40" s="24" t="s">
        <v>67</v>
      </c>
      <c r="C40" s="49">
        <f>'Avg Week Kampala-Bukaya'!C40+'Avg Week Bukaya-Kampala'!C40</f>
        <v>6</v>
      </c>
      <c r="D40" s="49">
        <f>'Avg Week Kampala-Bukaya'!D40+'Avg Week Bukaya-Kampala'!D40</f>
        <v>0</v>
      </c>
      <c r="E40" s="49">
        <f>'Avg Week Kampala-Bukaya'!E40+'Avg Week Bukaya-Kampala'!E40</f>
        <v>6.4285714285714288</v>
      </c>
      <c r="F40" s="49">
        <f>'Avg Week Kampala-Bukaya'!F40+'Avg Week Bukaya-Kampala'!F40</f>
        <v>4.5714285714285712</v>
      </c>
      <c r="G40" s="49">
        <f>'Avg Week Kampala-Bukaya'!G40+'Avg Week Bukaya-Kampala'!G40</f>
        <v>0.14285714285714285</v>
      </c>
      <c r="H40" s="49">
        <f>'Avg Week Kampala-Bukaya'!H40+'Avg Week Bukaya-Kampala'!H40</f>
        <v>0</v>
      </c>
      <c r="I40" s="49">
        <f>'Avg Week Kampala-Bukaya'!I40+'Avg Week Bukaya-Kampala'!I40</f>
        <v>2</v>
      </c>
      <c r="J40" s="49">
        <f>'Avg Week Kampala-Bukaya'!J40+'Avg Week Bukaya-Kampala'!J40</f>
        <v>0</v>
      </c>
      <c r="K40" s="49">
        <f>'Avg Week Kampala-Bukaya'!K40+'Avg Week Bukaya-Kampala'!K40</f>
        <v>0.2857142857142857</v>
      </c>
      <c r="L40" s="49">
        <f>'Avg Week Kampala-Bukaya'!L40+'Avg Week Bukaya-Kampala'!L40</f>
        <v>0</v>
      </c>
      <c r="M40" s="49">
        <f>'Avg Week Kampala-Bukaya'!M40+'Avg Week Bukaya-Kampala'!M40</f>
        <v>41.857142857142861</v>
      </c>
      <c r="N40" s="49">
        <f>'Avg Week Kampala-Bukaya'!N40+'Avg Week Bukaya-Kampala'!N40</f>
        <v>0</v>
      </c>
      <c r="O40" s="15">
        <f t="shared" si="3"/>
        <v>19.428571428571427</v>
      </c>
      <c r="P40" s="15">
        <f t="shared" si="4"/>
        <v>61.285714285714292</v>
      </c>
      <c r="R40" s="5" t="s">
        <v>17</v>
      </c>
      <c r="S40" s="16">
        <f t="shared" ref="S40:AF40" si="34">SUM(S10:S21)</f>
        <v>240</v>
      </c>
      <c r="T40" s="16">
        <f t="shared" si="34"/>
        <v>0</v>
      </c>
      <c r="U40" s="16">
        <f t="shared" si="34"/>
        <v>252</v>
      </c>
      <c r="V40" s="16">
        <f t="shared" si="34"/>
        <v>180.14285714285717</v>
      </c>
      <c r="W40" s="16">
        <f t="shared" si="34"/>
        <v>7.7142857142857153</v>
      </c>
      <c r="X40" s="16">
        <f t="shared" si="34"/>
        <v>1.1428571428571428</v>
      </c>
      <c r="Y40" s="16">
        <f t="shared" si="34"/>
        <v>156.14285714285717</v>
      </c>
      <c r="Z40" s="16">
        <f t="shared" si="34"/>
        <v>4.4285714285714279</v>
      </c>
      <c r="AA40" s="16">
        <f t="shared" si="34"/>
        <v>11.285714285714285</v>
      </c>
      <c r="AB40" s="16">
        <f t="shared" si="34"/>
        <v>1</v>
      </c>
      <c r="AC40" s="16">
        <f t="shared" si="34"/>
        <v>1836.5714285714284</v>
      </c>
      <c r="AD40" s="16">
        <f t="shared" si="34"/>
        <v>0.5714285714285714</v>
      </c>
      <c r="AE40" s="32">
        <f t="shared" si="34"/>
        <v>854.42857142857133</v>
      </c>
      <c r="AF40" s="32">
        <f t="shared" si="34"/>
        <v>2690.9999999999995</v>
      </c>
    </row>
    <row r="41" spans="2:32" ht="23.1" customHeight="1" x14ac:dyDescent="0.25">
      <c r="B41" s="23" t="s">
        <v>68</v>
      </c>
      <c r="C41" s="49">
        <f>'Avg Week Kampala-Bukaya'!C41+'Avg Week Bukaya-Kampala'!C41</f>
        <v>6.4285714285714288</v>
      </c>
      <c r="D41" s="49">
        <f>'Avg Week Kampala-Bukaya'!D41+'Avg Week Bukaya-Kampala'!D41</f>
        <v>0</v>
      </c>
      <c r="E41" s="49">
        <f>'Avg Week Kampala-Bukaya'!E41+'Avg Week Bukaya-Kampala'!E41</f>
        <v>6.1428571428571423</v>
      </c>
      <c r="F41" s="49">
        <f>'Avg Week Kampala-Bukaya'!F41+'Avg Week Bukaya-Kampala'!F41</f>
        <v>2.4285714285714288</v>
      </c>
      <c r="G41" s="49">
        <f>'Avg Week Kampala-Bukaya'!G41+'Avg Week Bukaya-Kampala'!G41</f>
        <v>0</v>
      </c>
      <c r="H41" s="49">
        <f>'Avg Week Kampala-Bukaya'!H41+'Avg Week Bukaya-Kampala'!H41</f>
        <v>0</v>
      </c>
      <c r="I41" s="49">
        <f>'Avg Week Kampala-Bukaya'!I41+'Avg Week Bukaya-Kampala'!I41</f>
        <v>4.8571428571428568</v>
      </c>
      <c r="J41" s="49">
        <f>'Avg Week Kampala-Bukaya'!J41+'Avg Week Bukaya-Kampala'!J41</f>
        <v>0</v>
      </c>
      <c r="K41" s="49">
        <f>'Avg Week Kampala-Bukaya'!K41+'Avg Week Bukaya-Kampala'!K41</f>
        <v>0.2857142857142857</v>
      </c>
      <c r="L41" s="49">
        <f>'Avg Week Kampala-Bukaya'!L41+'Avg Week Bukaya-Kampala'!L41</f>
        <v>0</v>
      </c>
      <c r="M41" s="49">
        <f>'Avg Week Kampala-Bukaya'!M41+'Avg Week Bukaya-Kampala'!M41</f>
        <v>33.714285714285715</v>
      </c>
      <c r="N41" s="49">
        <f>'Avg Week Kampala-Bukaya'!N41+'Avg Week Bukaya-Kampala'!N41</f>
        <v>0</v>
      </c>
      <c r="O41" s="15">
        <f t="shared" si="3"/>
        <v>20.142857142857142</v>
      </c>
      <c r="P41" s="15">
        <f t="shared" si="4"/>
        <v>53.857142857142861</v>
      </c>
      <c r="R41" s="5" t="s">
        <v>175</v>
      </c>
      <c r="S41" s="51">
        <f>SUM(S10:S33)</f>
        <v>370</v>
      </c>
      <c r="T41" s="51">
        <v>0</v>
      </c>
      <c r="U41" s="51">
        <f t="shared" ref="U41:AD41" si="35">SUM(U10:U33)</f>
        <v>378</v>
      </c>
      <c r="V41" s="51">
        <f t="shared" si="35"/>
        <v>270.14285714285717</v>
      </c>
      <c r="W41" s="51">
        <f t="shared" si="35"/>
        <v>13.714285714285715</v>
      </c>
      <c r="X41" s="51">
        <f t="shared" si="35"/>
        <v>3.1428571428571428</v>
      </c>
      <c r="Y41" s="51">
        <f t="shared" si="35"/>
        <v>272.14285714285717</v>
      </c>
      <c r="Z41" s="51">
        <f t="shared" si="35"/>
        <v>8.428571428571427</v>
      </c>
      <c r="AA41" s="51">
        <f t="shared" si="35"/>
        <v>23.285714285714285</v>
      </c>
      <c r="AB41" s="51">
        <f t="shared" si="35"/>
        <v>1</v>
      </c>
      <c r="AC41" s="51">
        <f t="shared" si="35"/>
        <v>2194.5714285714284</v>
      </c>
      <c r="AD41" s="51">
        <f t="shared" si="35"/>
        <v>0.5714285714285714</v>
      </c>
      <c r="AE41" s="52">
        <f>SUM(AE10:AE33)</f>
        <v>1348.4285714285713</v>
      </c>
      <c r="AF41" s="52">
        <f>SUM(AF10:AF33)</f>
        <v>3542.9999999999995</v>
      </c>
    </row>
    <row r="42" spans="2:32" ht="23.1" customHeight="1" x14ac:dyDescent="0.25">
      <c r="B42" s="24" t="s">
        <v>69</v>
      </c>
      <c r="C42" s="49">
        <f>'Avg Week Kampala-Bukaya'!C42+'Avg Week Bukaya-Kampala'!C42</f>
        <v>6.4285714285714288</v>
      </c>
      <c r="D42" s="49">
        <f>'Avg Week Kampala-Bukaya'!D42+'Avg Week Bukaya-Kampala'!D42</f>
        <v>0</v>
      </c>
      <c r="E42" s="49">
        <f>'Avg Week Kampala-Bukaya'!E42+'Avg Week Bukaya-Kampala'!E42</f>
        <v>5.2857142857142856</v>
      </c>
      <c r="F42" s="49">
        <f>'Avg Week Kampala-Bukaya'!F42+'Avg Week Bukaya-Kampala'!F42</f>
        <v>4.2857142857142856</v>
      </c>
      <c r="G42" s="49">
        <f>'Avg Week Kampala-Bukaya'!G42+'Avg Week Bukaya-Kampala'!G42</f>
        <v>0.14285714285714285</v>
      </c>
      <c r="H42" s="49">
        <f>'Avg Week Kampala-Bukaya'!H42+'Avg Week Bukaya-Kampala'!H42</f>
        <v>0</v>
      </c>
      <c r="I42" s="49">
        <f>'Avg Week Kampala-Bukaya'!I42+'Avg Week Bukaya-Kampala'!I42</f>
        <v>4.5714285714285712</v>
      </c>
      <c r="J42" s="49">
        <f>'Avg Week Kampala-Bukaya'!J42+'Avg Week Bukaya-Kampala'!J42</f>
        <v>0</v>
      </c>
      <c r="K42" s="49">
        <f>'Avg Week Kampala-Bukaya'!K42+'Avg Week Bukaya-Kampala'!K42</f>
        <v>0.2857142857142857</v>
      </c>
      <c r="L42" s="49">
        <f>'Avg Week Kampala-Bukaya'!L42+'Avg Week Bukaya-Kampala'!L42</f>
        <v>0</v>
      </c>
      <c r="M42" s="49">
        <f>'Avg Week Kampala-Bukaya'!M42+'Avg Week Bukaya-Kampala'!M42</f>
        <v>36</v>
      </c>
      <c r="N42" s="49">
        <f>'Avg Week Kampala-Bukaya'!N42+'Avg Week Bukaya-Kampala'!N42</f>
        <v>0</v>
      </c>
      <c r="O42" s="15">
        <f t="shared" si="3"/>
        <v>21</v>
      </c>
      <c r="P42" s="15">
        <f t="shared" si="4"/>
        <v>57</v>
      </c>
      <c r="R42" s="5" t="s">
        <v>160</v>
      </c>
      <c r="S42" s="48">
        <f>S41/S40</f>
        <v>1.5416666666666667</v>
      </c>
      <c r="T42" s="48" t="e">
        <f t="shared" ref="T42:AF42" si="36">T41/T40</f>
        <v>#DIV/0!</v>
      </c>
      <c r="U42" s="48">
        <f t="shared" si="36"/>
        <v>1.5</v>
      </c>
      <c r="V42" s="48">
        <f t="shared" si="36"/>
        <v>1.4996034892942109</v>
      </c>
      <c r="W42" s="48">
        <f t="shared" si="36"/>
        <v>1.7777777777777777</v>
      </c>
      <c r="X42" s="48">
        <f t="shared" si="36"/>
        <v>2.75</v>
      </c>
      <c r="Y42" s="48">
        <f t="shared" si="36"/>
        <v>1.7429094236047575</v>
      </c>
      <c r="Z42" s="48">
        <f t="shared" si="36"/>
        <v>1.9032258064516128</v>
      </c>
      <c r="AA42" s="48">
        <f t="shared" si="36"/>
        <v>2.0632911392405062</v>
      </c>
      <c r="AB42" s="48">
        <f t="shared" si="36"/>
        <v>1</v>
      </c>
      <c r="AC42" s="48">
        <f t="shared" si="36"/>
        <v>1.1949284380833851</v>
      </c>
      <c r="AD42" s="48">
        <f t="shared" si="36"/>
        <v>1</v>
      </c>
      <c r="AE42" s="53">
        <f t="shared" si="36"/>
        <v>1.5781641865908711</v>
      </c>
      <c r="AF42" s="53">
        <f t="shared" si="36"/>
        <v>1.3166109253065776</v>
      </c>
    </row>
    <row r="43" spans="2:32" ht="23.1" customHeight="1" x14ac:dyDescent="0.25">
      <c r="B43" s="23" t="s">
        <v>70</v>
      </c>
      <c r="C43" s="49">
        <f>'Avg Week Kampala-Bukaya'!C43+'Avg Week Bukaya-Kampala'!C43</f>
        <v>4.8571428571428577</v>
      </c>
      <c r="D43" s="49">
        <f>'Avg Week Kampala-Bukaya'!D43+'Avg Week Bukaya-Kampala'!D43</f>
        <v>0</v>
      </c>
      <c r="E43" s="49">
        <f>'Avg Week Kampala-Bukaya'!E43+'Avg Week Bukaya-Kampala'!E43</f>
        <v>6.2857142857142856</v>
      </c>
      <c r="F43" s="49">
        <f>'Avg Week Kampala-Bukaya'!F43+'Avg Week Bukaya-Kampala'!F43</f>
        <v>3.2857142857142856</v>
      </c>
      <c r="G43" s="49">
        <f>'Avg Week Kampala-Bukaya'!G43+'Avg Week Bukaya-Kampala'!G43</f>
        <v>0.14285714285714285</v>
      </c>
      <c r="H43" s="49">
        <f>'Avg Week Kampala-Bukaya'!H43+'Avg Week Bukaya-Kampala'!H43</f>
        <v>0</v>
      </c>
      <c r="I43" s="49">
        <f>'Avg Week Kampala-Bukaya'!I43+'Avg Week Bukaya-Kampala'!I43</f>
        <v>5.7142857142857144</v>
      </c>
      <c r="J43" s="49">
        <f>'Avg Week Kampala-Bukaya'!J43+'Avg Week Bukaya-Kampala'!J43</f>
        <v>0.14285714285714285</v>
      </c>
      <c r="K43" s="49">
        <f>'Avg Week Kampala-Bukaya'!K43+'Avg Week Bukaya-Kampala'!K43</f>
        <v>0.14285714285714285</v>
      </c>
      <c r="L43" s="49">
        <f>'Avg Week Kampala-Bukaya'!L43+'Avg Week Bukaya-Kampala'!L43</f>
        <v>0.14285714285714285</v>
      </c>
      <c r="M43" s="49">
        <f>'Avg Week Kampala-Bukaya'!M43+'Avg Week Bukaya-Kampala'!M43</f>
        <v>40</v>
      </c>
      <c r="N43" s="49">
        <f>'Avg Week Kampala-Bukaya'!N43+'Avg Week Bukaya-Kampala'!N43</f>
        <v>0</v>
      </c>
      <c r="O43" s="15">
        <f t="shared" si="3"/>
        <v>20.714285714285712</v>
      </c>
      <c r="P43" s="15">
        <f t="shared" si="4"/>
        <v>60.714285714285708</v>
      </c>
    </row>
    <row r="44" spans="2:32" ht="23.1" customHeight="1" x14ac:dyDescent="0.25">
      <c r="B44" s="25" t="s">
        <v>71</v>
      </c>
      <c r="C44" s="49">
        <f>'Avg Week Kampala-Bukaya'!C44+'Avg Week Bukaya-Kampala'!C44</f>
        <v>5.5714285714285712</v>
      </c>
      <c r="D44" s="49">
        <f>'Avg Week Kampala-Bukaya'!D44+'Avg Week Bukaya-Kampala'!D44</f>
        <v>0</v>
      </c>
      <c r="E44" s="49">
        <f>'Avg Week Kampala-Bukaya'!E44+'Avg Week Bukaya-Kampala'!E44</f>
        <v>5.8571428571428568</v>
      </c>
      <c r="F44" s="49">
        <f>'Avg Week Kampala-Bukaya'!F44+'Avg Week Bukaya-Kampala'!F44</f>
        <v>4.4285714285714288</v>
      </c>
      <c r="G44" s="49">
        <f>'Avg Week Kampala-Bukaya'!G44+'Avg Week Bukaya-Kampala'!G44</f>
        <v>0.14285714285714285</v>
      </c>
      <c r="H44" s="49">
        <f>'Avg Week Kampala-Bukaya'!H44+'Avg Week Bukaya-Kampala'!H44</f>
        <v>0</v>
      </c>
      <c r="I44" s="49">
        <f>'Avg Week Kampala-Bukaya'!I44+'Avg Week Bukaya-Kampala'!I44</f>
        <v>4.5714285714285712</v>
      </c>
      <c r="J44" s="49">
        <f>'Avg Week Kampala-Bukaya'!J44+'Avg Week Bukaya-Kampala'!J44</f>
        <v>0.14285714285714285</v>
      </c>
      <c r="K44" s="49">
        <f>'Avg Week Kampala-Bukaya'!K44+'Avg Week Bukaya-Kampala'!K44</f>
        <v>0</v>
      </c>
      <c r="L44" s="49">
        <f>'Avg Week Kampala-Bukaya'!L44+'Avg Week Bukaya-Kampala'!L44</f>
        <v>0</v>
      </c>
      <c r="M44" s="49">
        <f>'Avg Week Kampala-Bukaya'!M44+'Avg Week Bukaya-Kampala'!M44</f>
        <v>39.571428571428569</v>
      </c>
      <c r="N44" s="49">
        <f>'Avg Week Kampala-Bukaya'!N44+'Avg Week Bukaya-Kampala'!N44</f>
        <v>0</v>
      </c>
      <c r="O44" s="15">
        <f t="shared" si="3"/>
        <v>20.714285714285712</v>
      </c>
      <c r="P44" s="15">
        <f t="shared" si="4"/>
        <v>60.285714285714278</v>
      </c>
    </row>
    <row r="45" spans="2:32" ht="23.1" customHeight="1" x14ac:dyDescent="0.25">
      <c r="B45" s="23" t="s">
        <v>72</v>
      </c>
      <c r="C45" s="49">
        <f>'Avg Week Kampala-Bukaya'!C45+'Avg Week Bukaya-Kampala'!C45</f>
        <v>5.7142857142857144</v>
      </c>
      <c r="D45" s="49">
        <f>'Avg Week Kampala-Bukaya'!D45+'Avg Week Bukaya-Kampala'!D45</f>
        <v>0</v>
      </c>
      <c r="E45" s="49">
        <f>'Avg Week Kampala-Bukaya'!E45+'Avg Week Bukaya-Kampala'!E45</f>
        <v>6.7142857142857153</v>
      </c>
      <c r="F45" s="49">
        <f>'Avg Week Kampala-Bukaya'!F45+'Avg Week Bukaya-Kampala'!F45</f>
        <v>4.5714285714285712</v>
      </c>
      <c r="G45" s="49">
        <f>'Avg Week Kampala-Bukaya'!G45+'Avg Week Bukaya-Kampala'!G45</f>
        <v>0</v>
      </c>
      <c r="H45" s="49">
        <f>'Avg Week Kampala-Bukaya'!H45+'Avg Week Bukaya-Kampala'!H45</f>
        <v>0</v>
      </c>
      <c r="I45" s="49">
        <f>'Avg Week Kampala-Bukaya'!I45+'Avg Week Bukaya-Kampala'!I45</f>
        <v>3.4285714285714288</v>
      </c>
      <c r="J45" s="49">
        <f>'Avg Week Kampala-Bukaya'!J45+'Avg Week Bukaya-Kampala'!J45</f>
        <v>0.42857142857142855</v>
      </c>
      <c r="K45" s="49">
        <f>'Avg Week Kampala-Bukaya'!K45+'Avg Week Bukaya-Kampala'!K45</f>
        <v>0.2857142857142857</v>
      </c>
      <c r="L45" s="49">
        <f>'Avg Week Kampala-Bukaya'!L45+'Avg Week Bukaya-Kampala'!L45</f>
        <v>0</v>
      </c>
      <c r="M45" s="49">
        <f>'Avg Week Kampala-Bukaya'!M45+'Avg Week Bukaya-Kampala'!M45</f>
        <v>39.428571428571431</v>
      </c>
      <c r="N45" s="49">
        <f>'Avg Week Kampala-Bukaya'!N45+'Avg Week Bukaya-Kampala'!N45</f>
        <v>0</v>
      </c>
      <c r="O45" s="15">
        <f t="shared" si="3"/>
        <v>21.142857142857142</v>
      </c>
      <c r="P45" s="15">
        <f t="shared" si="4"/>
        <v>60.571428571428569</v>
      </c>
    </row>
    <row r="46" spans="2:32" ht="23.1" customHeight="1" x14ac:dyDescent="0.25">
      <c r="B46" s="24" t="s">
        <v>73</v>
      </c>
      <c r="C46" s="49">
        <f>'Avg Week Kampala-Bukaya'!C46+'Avg Week Bukaya-Kampala'!C46</f>
        <v>5.2857142857142856</v>
      </c>
      <c r="D46" s="49">
        <f>'Avg Week Kampala-Bukaya'!D46+'Avg Week Bukaya-Kampala'!D46</f>
        <v>0</v>
      </c>
      <c r="E46" s="49">
        <f>'Avg Week Kampala-Bukaya'!E46+'Avg Week Bukaya-Kampala'!E46</f>
        <v>4.4285714285714288</v>
      </c>
      <c r="F46" s="49">
        <f>'Avg Week Kampala-Bukaya'!F46+'Avg Week Bukaya-Kampala'!F46</f>
        <v>4</v>
      </c>
      <c r="G46" s="49">
        <f>'Avg Week Kampala-Bukaya'!G46+'Avg Week Bukaya-Kampala'!G46</f>
        <v>0.2857142857142857</v>
      </c>
      <c r="H46" s="49">
        <f>'Avg Week Kampala-Bukaya'!H46+'Avg Week Bukaya-Kampala'!H46</f>
        <v>0</v>
      </c>
      <c r="I46" s="49">
        <f>'Avg Week Kampala-Bukaya'!I46+'Avg Week Bukaya-Kampala'!I46</f>
        <v>3.5714285714285712</v>
      </c>
      <c r="J46" s="49">
        <f>'Avg Week Kampala-Bukaya'!J46+'Avg Week Bukaya-Kampala'!J46</f>
        <v>0.14285714285714285</v>
      </c>
      <c r="K46" s="49">
        <f>'Avg Week Kampala-Bukaya'!K46+'Avg Week Bukaya-Kampala'!K46</f>
        <v>0.42857142857142855</v>
      </c>
      <c r="L46" s="49">
        <f>'Avg Week Kampala-Bukaya'!L46+'Avg Week Bukaya-Kampala'!L46</f>
        <v>0</v>
      </c>
      <c r="M46" s="49">
        <f>'Avg Week Kampala-Bukaya'!M46+'Avg Week Bukaya-Kampala'!M46</f>
        <v>45.285714285714292</v>
      </c>
      <c r="N46" s="49">
        <f>'Avg Week Kampala-Bukaya'!N46+'Avg Week Bukaya-Kampala'!N46</f>
        <v>0</v>
      </c>
      <c r="O46" s="15">
        <f t="shared" si="3"/>
        <v>18.142857142857142</v>
      </c>
      <c r="P46" s="15">
        <f t="shared" si="4"/>
        <v>63.428571428571431</v>
      </c>
      <c r="R46" s="8"/>
      <c r="T46"/>
    </row>
    <row r="47" spans="2:32" ht="23.1" customHeight="1" x14ac:dyDescent="0.25">
      <c r="B47" s="24" t="s">
        <v>74</v>
      </c>
      <c r="C47" s="49">
        <f>'Avg Week Kampala-Bukaya'!C47+'Avg Week Bukaya-Kampala'!C47</f>
        <v>4.7142857142857135</v>
      </c>
      <c r="D47" s="49">
        <f>'Avg Week Kampala-Bukaya'!D47+'Avg Week Bukaya-Kampala'!D47</f>
        <v>0</v>
      </c>
      <c r="E47" s="49">
        <f>'Avg Week Kampala-Bukaya'!E47+'Avg Week Bukaya-Kampala'!E47</f>
        <v>6.7142857142857135</v>
      </c>
      <c r="F47" s="49">
        <f>'Avg Week Kampala-Bukaya'!F47+'Avg Week Bukaya-Kampala'!F47</f>
        <v>3.8571428571428568</v>
      </c>
      <c r="G47" s="49">
        <f>'Avg Week Kampala-Bukaya'!G47+'Avg Week Bukaya-Kampala'!G47</f>
        <v>0</v>
      </c>
      <c r="H47" s="49">
        <f>'Avg Week Kampala-Bukaya'!H47+'Avg Week Bukaya-Kampala'!H47</f>
        <v>0</v>
      </c>
      <c r="I47" s="49">
        <f>'Avg Week Kampala-Bukaya'!I47+'Avg Week Bukaya-Kampala'!I47</f>
        <v>4.5714285714285712</v>
      </c>
      <c r="J47" s="49">
        <f>'Avg Week Kampala-Bukaya'!J47+'Avg Week Bukaya-Kampala'!J47</f>
        <v>0.14285714285714285</v>
      </c>
      <c r="K47" s="49">
        <f>'Avg Week Kampala-Bukaya'!K47+'Avg Week Bukaya-Kampala'!K47</f>
        <v>1</v>
      </c>
      <c r="L47" s="49">
        <f>'Avg Week Kampala-Bukaya'!L47+'Avg Week Bukaya-Kampala'!L47</f>
        <v>0</v>
      </c>
      <c r="M47" s="49">
        <f>'Avg Week Kampala-Bukaya'!M47+'Avg Week Bukaya-Kampala'!M47</f>
        <v>44.714285714285708</v>
      </c>
      <c r="N47" s="49">
        <f>'Avg Week Kampala-Bukaya'!N47+'Avg Week Bukaya-Kampala'!N47</f>
        <v>0</v>
      </c>
      <c r="O47" s="15">
        <f t="shared" si="3"/>
        <v>20.999999999999996</v>
      </c>
      <c r="P47" s="15">
        <f t="shared" si="4"/>
        <v>65.714285714285708</v>
      </c>
      <c r="R47" s="8"/>
      <c r="T47"/>
    </row>
    <row r="48" spans="2:32" ht="23.1" customHeight="1" x14ac:dyDescent="0.25">
      <c r="B48" s="24" t="s">
        <v>75</v>
      </c>
      <c r="C48" s="49">
        <f>'Avg Week Kampala-Bukaya'!C48+'Avg Week Bukaya-Kampala'!C48</f>
        <v>6</v>
      </c>
      <c r="D48" s="49">
        <f>'Avg Week Kampala-Bukaya'!D48+'Avg Week Bukaya-Kampala'!D48</f>
        <v>0</v>
      </c>
      <c r="E48" s="49">
        <f>'Avg Week Kampala-Bukaya'!E48+'Avg Week Bukaya-Kampala'!E48</f>
        <v>6.4285714285714279</v>
      </c>
      <c r="F48" s="49">
        <f>'Avg Week Kampala-Bukaya'!F48+'Avg Week Bukaya-Kampala'!F48</f>
        <v>6.4285714285714288</v>
      </c>
      <c r="G48" s="49">
        <f>'Avg Week Kampala-Bukaya'!G48+'Avg Week Bukaya-Kampala'!G48</f>
        <v>0</v>
      </c>
      <c r="H48" s="49">
        <f>'Avg Week Kampala-Bukaya'!H48+'Avg Week Bukaya-Kampala'!H48</f>
        <v>0</v>
      </c>
      <c r="I48" s="49">
        <f>'Avg Week Kampala-Bukaya'!I48+'Avg Week Bukaya-Kampala'!I48</f>
        <v>5</v>
      </c>
      <c r="J48" s="49">
        <f>'Avg Week Kampala-Bukaya'!J48+'Avg Week Bukaya-Kampala'!J48</f>
        <v>0.14285714285714285</v>
      </c>
      <c r="K48" s="49">
        <f>'Avg Week Kampala-Bukaya'!K48+'Avg Week Bukaya-Kampala'!K48</f>
        <v>0.14285714285714285</v>
      </c>
      <c r="L48" s="49">
        <f>'Avg Week Kampala-Bukaya'!L48+'Avg Week Bukaya-Kampala'!L48</f>
        <v>0</v>
      </c>
      <c r="M48" s="49">
        <f>'Avg Week Kampala-Bukaya'!M48+'Avg Week Bukaya-Kampala'!M48</f>
        <v>43.142857142857139</v>
      </c>
      <c r="N48" s="49">
        <f>'Avg Week Kampala-Bukaya'!N48+'Avg Week Bukaya-Kampala'!N48</f>
        <v>0</v>
      </c>
      <c r="O48" s="15">
        <f t="shared" si="3"/>
        <v>24.142857142857139</v>
      </c>
      <c r="P48" s="15">
        <f t="shared" si="4"/>
        <v>67.285714285714278</v>
      </c>
      <c r="R48" s="8"/>
      <c r="T48"/>
    </row>
    <row r="49" spans="2:20" ht="23.1" customHeight="1" x14ac:dyDescent="0.25">
      <c r="B49" s="23" t="s">
        <v>76</v>
      </c>
      <c r="C49" s="49">
        <f>'Avg Week Kampala-Bukaya'!C49+'Avg Week Bukaya-Kampala'!C49</f>
        <v>5.4285714285714288</v>
      </c>
      <c r="D49" s="49">
        <f>'Avg Week Kampala-Bukaya'!D49+'Avg Week Bukaya-Kampala'!D49</f>
        <v>0</v>
      </c>
      <c r="E49" s="49">
        <f>'Avg Week Kampala-Bukaya'!E49+'Avg Week Bukaya-Kampala'!E49</f>
        <v>5.1428571428571423</v>
      </c>
      <c r="F49" s="49">
        <f>'Avg Week Kampala-Bukaya'!F49+'Avg Week Bukaya-Kampala'!F49</f>
        <v>3.8571428571428568</v>
      </c>
      <c r="G49" s="49">
        <f>'Avg Week Kampala-Bukaya'!G49+'Avg Week Bukaya-Kampala'!G49</f>
        <v>0</v>
      </c>
      <c r="H49" s="49">
        <f>'Avg Week Kampala-Bukaya'!H49+'Avg Week Bukaya-Kampala'!H49</f>
        <v>0</v>
      </c>
      <c r="I49" s="49">
        <f>'Avg Week Kampala-Bukaya'!I49+'Avg Week Bukaya-Kampala'!I49</f>
        <v>3.4285714285714288</v>
      </c>
      <c r="J49" s="49">
        <f>'Avg Week Kampala-Bukaya'!J49+'Avg Week Bukaya-Kampala'!J49</f>
        <v>0</v>
      </c>
      <c r="K49" s="49">
        <f>'Avg Week Kampala-Bukaya'!K49+'Avg Week Bukaya-Kampala'!K49</f>
        <v>0.2857142857142857</v>
      </c>
      <c r="L49" s="49">
        <f>'Avg Week Kampala-Bukaya'!L49+'Avg Week Bukaya-Kampala'!L49</f>
        <v>0</v>
      </c>
      <c r="M49" s="49">
        <f>'Avg Week Kampala-Bukaya'!M49+'Avg Week Bukaya-Kampala'!M49</f>
        <v>45</v>
      </c>
      <c r="N49" s="49">
        <f>'Avg Week Kampala-Bukaya'!N49+'Avg Week Bukaya-Kampala'!N49</f>
        <v>0</v>
      </c>
      <c r="O49" s="15">
        <f t="shared" si="3"/>
        <v>18.142857142857139</v>
      </c>
      <c r="P49" s="15">
        <f t="shared" si="4"/>
        <v>63.142857142857139</v>
      </c>
      <c r="R49" s="8"/>
      <c r="T49"/>
    </row>
    <row r="50" spans="2:20" ht="23.1" customHeight="1" x14ac:dyDescent="0.25">
      <c r="B50" s="24" t="s">
        <v>77</v>
      </c>
      <c r="C50" s="49">
        <f>'Avg Week Kampala-Bukaya'!C50+'Avg Week Bukaya-Kampala'!C50</f>
        <v>5.7142857142857135</v>
      </c>
      <c r="D50" s="49">
        <f>'Avg Week Kampala-Bukaya'!D50+'Avg Week Bukaya-Kampala'!D50</f>
        <v>0</v>
      </c>
      <c r="E50" s="49">
        <f>'Avg Week Kampala-Bukaya'!E50+'Avg Week Bukaya-Kampala'!E50</f>
        <v>7.8571428571428577</v>
      </c>
      <c r="F50" s="49">
        <f>'Avg Week Kampala-Bukaya'!F50+'Avg Week Bukaya-Kampala'!F50</f>
        <v>5</v>
      </c>
      <c r="G50" s="49">
        <f>'Avg Week Kampala-Bukaya'!G50+'Avg Week Bukaya-Kampala'!G50</f>
        <v>0.71428571428571419</v>
      </c>
      <c r="H50" s="49">
        <f>'Avg Week Kampala-Bukaya'!H50+'Avg Week Bukaya-Kampala'!H50</f>
        <v>0</v>
      </c>
      <c r="I50" s="49">
        <f>'Avg Week Kampala-Bukaya'!I50+'Avg Week Bukaya-Kampala'!I50</f>
        <v>3.1428571428571432</v>
      </c>
      <c r="J50" s="49">
        <f>'Avg Week Kampala-Bukaya'!J50+'Avg Week Bukaya-Kampala'!J50</f>
        <v>0</v>
      </c>
      <c r="K50" s="49">
        <f>'Avg Week Kampala-Bukaya'!K50+'Avg Week Bukaya-Kampala'!K50</f>
        <v>0.14285714285714285</v>
      </c>
      <c r="L50" s="49">
        <f>'Avg Week Kampala-Bukaya'!L50+'Avg Week Bukaya-Kampala'!L50</f>
        <v>0</v>
      </c>
      <c r="M50" s="49">
        <f>'Avg Week Kampala-Bukaya'!M50+'Avg Week Bukaya-Kampala'!M50</f>
        <v>42.142857142857139</v>
      </c>
      <c r="N50" s="49">
        <f>'Avg Week Kampala-Bukaya'!N50+'Avg Week Bukaya-Kampala'!N50</f>
        <v>0</v>
      </c>
      <c r="O50" s="15">
        <f t="shared" si="3"/>
        <v>22.571428571428569</v>
      </c>
      <c r="P50" s="15">
        <f t="shared" si="4"/>
        <v>64.714285714285708</v>
      </c>
      <c r="R50" s="8"/>
      <c r="T50"/>
    </row>
    <row r="51" spans="2:20" ht="23.1" customHeight="1" x14ac:dyDescent="0.25">
      <c r="B51" s="24" t="s">
        <v>78</v>
      </c>
      <c r="C51" s="49">
        <f>'Avg Week Kampala-Bukaya'!C51+'Avg Week Bukaya-Kampala'!C51</f>
        <v>7.8571428571428568</v>
      </c>
      <c r="D51" s="49">
        <f>'Avg Week Kampala-Bukaya'!D51+'Avg Week Bukaya-Kampala'!D51</f>
        <v>0</v>
      </c>
      <c r="E51" s="49">
        <f>'Avg Week Kampala-Bukaya'!E51+'Avg Week Bukaya-Kampala'!E51</f>
        <v>6.5714285714285712</v>
      </c>
      <c r="F51" s="49">
        <f>'Avg Week Kampala-Bukaya'!F51+'Avg Week Bukaya-Kampala'!F51</f>
        <v>6.2857142857142865</v>
      </c>
      <c r="G51" s="49">
        <f>'Avg Week Kampala-Bukaya'!G51+'Avg Week Bukaya-Kampala'!G51</f>
        <v>0.42857142857142855</v>
      </c>
      <c r="H51" s="49">
        <f>'Avg Week Kampala-Bukaya'!H51+'Avg Week Bukaya-Kampala'!H51</f>
        <v>0</v>
      </c>
      <c r="I51" s="49">
        <f>'Avg Week Kampala-Bukaya'!I51+'Avg Week Bukaya-Kampala'!I51</f>
        <v>3.4285714285714288</v>
      </c>
      <c r="J51" s="49">
        <f>'Avg Week Kampala-Bukaya'!J51+'Avg Week Bukaya-Kampala'!J51</f>
        <v>0.14285714285714285</v>
      </c>
      <c r="K51" s="49">
        <f>'Avg Week Kampala-Bukaya'!K51+'Avg Week Bukaya-Kampala'!K51</f>
        <v>0.2857142857142857</v>
      </c>
      <c r="L51" s="49">
        <f>'Avg Week Kampala-Bukaya'!L51+'Avg Week Bukaya-Kampala'!L51</f>
        <v>0.2857142857142857</v>
      </c>
      <c r="M51" s="49">
        <f>'Avg Week Kampala-Bukaya'!M51+'Avg Week Bukaya-Kampala'!M51</f>
        <v>46.285714285714285</v>
      </c>
      <c r="N51" s="49">
        <f>'Avg Week Kampala-Bukaya'!N51+'Avg Week Bukaya-Kampala'!N51</f>
        <v>0</v>
      </c>
      <c r="O51" s="15">
        <f t="shared" si="3"/>
        <v>25.285714285714281</v>
      </c>
      <c r="P51" s="15">
        <f t="shared" si="4"/>
        <v>71.571428571428569</v>
      </c>
      <c r="R51" s="8"/>
      <c r="T51"/>
    </row>
    <row r="52" spans="2:20" ht="23.1" customHeight="1" x14ac:dyDescent="0.25">
      <c r="B52" s="24" t="s">
        <v>79</v>
      </c>
      <c r="C52" s="49">
        <f>'Avg Week Kampala-Bukaya'!C52+'Avg Week Bukaya-Kampala'!C52</f>
        <v>9</v>
      </c>
      <c r="D52" s="49">
        <f>'Avg Week Kampala-Bukaya'!D52+'Avg Week Bukaya-Kampala'!D52</f>
        <v>0</v>
      </c>
      <c r="E52" s="49">
        <f>'Avg Week Kampala-Bukaya'!E52+'Avg Week Bukaya-Kampala'!E52</f>
        <v>8.2857142857142865</v>
      </c>
      <c r="F52" s="49">
        <f>'Avg Week Kampala-Bukaya'!F52+'Avg Week Bukaya-Kampala'!F52</f>
        <v>5.8571428571428577</v>
      </c>
      <c r="G52" s="49">
        <f>'Avg Week Kampala-Bukaya'!G52+'Avg Week Bukaya-Kampala'!G52</f>
        <v>0.2857142857142857</v>
      </c>
      <c r="H52" s="49">
        <f>'Avg Week Kampala-Bukaya'!H52+'Avg Week Bukaya-Kampala'!H52</f>
        <v>0</v>
      </c>
      <c r="I52" s="49">
        <f>'Avg Week Kampala-Bukaya'!I52+'Avg Week Bukaya-Kampala'!I52</f>
        <v>3.4285714285714288</v>
      </c>
      <c r="J52" s="49">
        <f>'Avg Week Kampala-Bukaya'!J52+'Avg Week Bukaya-Kampala'!J52</f>
        <v>0</v>
      </c>
      <c r="K52" s="49">
        <f>'Avg Week Kampala-Bukaya'!K52+'Avg Week Bukaya-Kampala'!K52</f>
        <v>0.2857142857142857</v>
      </c>
      <c r="L52" s="49">
        <f>'Avg Week Kampala-Bukaya'!L52+'Avg Week Bukaya-Kampala'!L52</f>
        <v>0.14285714285714285</v>
      </c>
      <c r="M52" s="49">
        <f>'Avg Week Kampala-Bukaya'!M52+'Avg Week Bukaya-Kampala'!M52</f>
        <v>45</v>
      </c>
      <c r="N52" s="49">
        <f>'Avg Week Kampala-Bukaya'!N52+'Avg Week Bukaya-Kampala'!N52</f>
        <v>0</v>
      </c>
      <c r="O52" s="15">
        <f t="shared" si="3"/>
        <v>27.285714285714281</v>
      </c>
      <c r="P52" s="15">
        <f t="shared" si="4"/>
        <v>72.285714285714278</v>
      </c>
      <c r="R52" s="8"/>
      <c r="T52"/>
    </row>
    <row r="53" spans="2:20" ht="23.1" customHeight="1" x14ac:dyDescent="0.25">
      <c r="B53" s="23" t="s">
        <v>80</v>
      </c>
      <c r="C53" s="49">
        <f>'Avg Week Kampala-Bukaya'!C53+'Avg Week Bukaya-Kampala'!C53</f>
        <v>6.2857142857142856</v>
      </c>
      <c r="D53" s="49">
        <f>'Avg Week Kampala-Bukaya'!D53+'Avg Week Bukaya-Kampala'!D53</f>
        <v>0</v>
      </c>
      <c r="E53" s="49">
        <f>'Avg Week Kampala-Bukaya'!E53+'Avg Week Bukaya-Kampala'!E53</f>
        <v>7</v>
      </c>
      <c r="F53" s="49">
        <f>'Avg Week Kampala-Bukaya'!F53+'Avg Week Bukaya-Kampala'!F53</f>
        <v>5.5714285714285712</v>
      </c>
      <c r="G53" s="49">
        <f>'Avg Week Kampala-Bukaya'!G53+'Avg Week Bukaya-Kampala'!G53</f>
        <v>0</v>
      </c>
      <c r="H53" s="49">
        <f>'Avg Week Kampala-Bukaya'!H53+'Avg Week Bukaya-Kampala'!H53</f>
        <v>0</v>
      </c>
      <c r="I53" s="49">
        <f>'Avg Week Kampala-Bukaya'!I53+'Avg Week Bukaya-Kampala'!I53</f>
        <v>3.285714285714286</v>
      </c>
      <c r="J53" s="49">
        <f>'Avg Week Kampala-Bukaya'!J53+'Avg Week Bukaya-Kampala'!J53</f>
        <v>0</v>
      </c>
      <c r="K53" s="49">
        <f>'Avg Week Kampala-Bukaya'!K53+'Avg Week Bukaya-Kampala'!K53</f>
        <v>0.14285714285714285</v>
      </c>
      <c r="L53" s="49">
        <f>'Avg Week Kampala-Bukaya'!L53+'Avg Week Bukaya-Kampala'!L53</f>
        <v>0</v>
      </c>
      <c r="M53" s="49">
        <f>'Avg Week Kampala-Bukaya'!M53+'Avg Week Bukaya-Kampala'!M53</f>
        <v>42.285714285714292</v>
      </c>
      <c r="N53" s="49">
        <f>'Avg Week Kampala-Bukaya'!N53+'Avg Week Bukaya-Kampala'!N53</f>
        <v>0</v>
      </c>
      <c r="O53" s="15">
        <f t="shared" si="3"/>
        <v>22.285714285714281</v>
      </c>
      <c r="P53" s="15">
        <f t="shared" si="4"/>
        <v>64.571428571428569</v>
      </c>
      <c r="R53" s="8"/>
      <c r="T53"/>
    </row>
    <row r="54" spans="2:20" ht="23.1" customHeight="1" x14ac:dyDescent="0.25">
      <c r="B54" s="23" t="s">
        <v>81</v>
      </c>
      <c r="C54" s="49">
        <f>'Avg Week Kampala-Bukaya'!C54+'Avg Week Bukaya-Kampala'!C54</f>
        <v>5</v>
      </c>
      <c r="D54" s="49">
        <f>'Avg Week Kampala-Bukaya'!D54+'Avg Week Bukaya-Kampala'!D54</f>
        <v>0</v>
      </c>
      <c r="E54" s="49">
        <f>'Avg Week Kampala-Bukaya'!E54+'Avg Week Bukaya-Kampala'!E54</f>
        <v>7.8571428571428568</v>
      </c>
      <c r="F54" s="49">
        <f>'Avg Week Kampala-Bukaya'!F54+'Avg Week Bukaya-Kampala'!F54</f>
        <v>4.7142857142857144</v>
      </c>
      <c r="G54" s="49">
        <f>'Avg Week Kampala-Bukaya'!G54+'Avg Week Bukaya-Kampala'!G54</f>
        <v>0</v>
      </c>
      <c r="H54" s="49">
        <f>'Avg Week Kampala-Bukaya'!H54+'Avg Week Bukaya-Kampala'!H54</f>
        <v>0</v>
      </c>
      <c r="I54" s="49">
        <f>'Avg Week Kampala-Bukaya'!I54+'Avg Week Bukaya-Kampala'!I54</f>
        <v>4.4285714285714288</v>
      </c>
      <c r="J54" s="49">
        <f>'Avg Week Kampala-Bukaya'!J54+'Avg Week Bukaya-Kampala'!J54</f>
        <v>0</v>
      </c>
      <c r="K54" s="49">
        <f>'Avg Week Kampala-Bukaya'!K54+'Avg Week Bukaya-Kampala'!K54</f>
        <v>0</v>
      </c>
      <c r="L54" s="49">
        <f>'Avg Week Kampala-Bukaya'!L54+'Avg Week Bukaya-Kampala'!L54</f>
        <v>0</v>
      </c>
      <c r="M54" s="49">
        <f>'Avg Week Kampala-Bukaya'!M54+'Avg Week Bukaya-Kampala'!M54</f>
        <v>45</v>
      </c>
      <c r="N54" s="49">
        <f>'Avg Week Kampala-Bukaya'!N54+'Avg Week Bukaya-Kampala'!N54</f>
        <v>0</v>
      </c>
      <c r="O54" s="15">
        <f t="shared" si="3"/>
        <v>22</v>
      </c>
      <c r="P54" s="15">
        <f t="shared" si="4"/>
        <v>67</v>
      </c>
      <c r="R54" s="8"/>
      <c r="T54"/>
    </row>
    <row r="55" spans="2:20" ht="23.1" customHeight="1" x14ac:dyDescent="0.25">
      <c r="B55" s="23" t="s">
        <v>82</v>
      </c>
      <c r="C55" s="49">
        <f>'Avg Week Kampala-Bukaya'!C55+'Avg Week Bukaya-Kampala'!C55</f>
        <v>4.8571428571428568</v>
      </c>
      <c r="D55" s="49">
        <f>'Avg Week Kampala-Bukaya'!D55+'Avg Week Bukaya-Kampala'!D55</f>
        <v>0</v>
      </c>
      <c r="E55" s="49">
        <f>'Avg Week Kampala-Bukaya'!E55+'Avg Week Bukaya-Kampala'!E55</f>
        <v>7</v>
      </c>
      <c r="F55" s="49">
        <f>'Avg Week Kampala-Bukaya'!F55+'Avg Week Bukaya-Kampala'!F55</f>
        <v>5.4285714285714288</v>
      </c>
      <c r="G55" s="49">
        <f>'Avg Week Kampala-Bukaya'!G55+'Avg Week Bukaya-Kampala'!G55</f>
        <v>0.2857142857142857</v>
      </c>
      <c r="H55" s="49">
        <f>'Avg Week Kampala-Bukaya'!H55+'Avg Week Bukaya-Kampala'!H55</f>
        <v>0</v>
      </c>
      <c r="I55" s="49">
        <f>'Avg Week Kampala-Bukaya'!I55+'Avg Week Bukaya-Kampala'!I55</f>
        <v>2.7142857142857144</v>
      </c>
      <c r="J55" s="49">
        <f>'Avg Week Kampala-Bukaya'!J55+'Avg Week Bukaya-Kampala'!J55</f>
        <v>0.2857142857142857</v>
      </c>
      <c r="K55" s="49">
        <f>'Avg Week Kampala-Bukaya'!K55+'Avg Week Bukaya-Kampala'!K55</f>
        <v>0.14285714285714285</v>
      </c>
      <c r="L55" s="49">
        <f>'Avg Week Kampala-Bukaya'!L55+'Avg Week Bukaya-Kampala'!L55</f>
        <v>0</v>
      </c>
      <c r="M55" s="49">
        <f>'Avg Week Kampala-Bukaya'!M55+'Avg Week Bukaya-Kampala'!M55</f>
        <v>43.142857142857139</v>
      </c>
      <c r="N55" s="49">
        <f>'Avg Week Kampala-Bukaya'!N55+'Avg Week Bukaya-Kampala'!N55</f>
        <v>0</v>
      </c>
      <c r="O55" s="15">
        <f t="shared" si="3"/>
        <v>20.714285714285712</v>
      </c>
      <c r="P55" s="15">
        <f t="shared" si="4"/>
        <v>63.857142857142847</v>
      </c>
      <c r="R55" s="8"/>
      <c r="T55"/>
    </row>
    <row r="56" spans="2:20" ht="23.1" customHeight="1" x14ac:dyDescent="0.25">
      <c r="B56" s="23" t="s">
        <v>83</v>
      </c>
      <c r="C56" s="49">
        <f>'Avg Week Kampala-Bukaya'!C56+'Avg Week Bukaya-Kampala'!C56</f>
        <v>5.5714285714285712</v>
      </c>
      <c r="D56" s="49">
        <f>'Avg Week Kampala-Bukaya'!D56+'Avg Week Bukaya-Kampala'!D56</f>
        <v>0</v>
      </c>
      <c r="E56" s="49">
        <f>'Avg Week Kampala-Bukaya'!E56+'Avg Week Bukaya-Kampala'!E56</f>
        <v>6.4285714285714288</v>
      </c>
      <c r="F56" s="49">
        <f>'Avg Week Kampala-Bukaya'!F56+'Avg Week Bukaya-Kampala'!F56</f>
        <v>4.7142857142857144</v>
      </c>
      <c r="G56" s="49">
        <f>'Avg Week Kampala-Bukaya'!G56+'Avg Week Bukaya-Kampala'!G56</f>
        <v>0</v>
      </c>
      <c r="H56" s="49">
        <f>'Avg Week Kampala-Bukaya'!H56+'Avg Week Bukaya-Kampala'!H56</f>
        <v>0</v>
      </c>
      <c r="I56" s="49">
        <f>'Avg Week Kampala-Bukaya'!I56+'Avg Week Bukaya-Kampala'!I56</f>
        <v>3.7142857142857144</v>
      </c>
      <c r="J56" s="49">
        <f>'Avg Week Kampala-Bukaya'!J56+'Avg Week Bukaya-Kampala'!J56</f>
        <v>0.14285714285714285</v>
      </c>
      <c r="K56" s="49">
        <f>'Avg Week Kampala-Bukaya'!K56+'Avg Week Bukaya-Kampala'!K56</f>
        <v>0.2857142857142857</v>
      </c>
      <c r="L56" s="49">
        <f>'Avg Week Kampala-Bukaya'!L56+'Avg Week Bukaya-Kampala'!L56</f>
        <v>0</v>
      </c>
      <c r="M56" s="49">
        <f>'Avg Week Kampala-Bukaya'!M56+'Avg Week Bukaya-Kampala'!M56</f>
        <v>45.142857142857139</v>
      </c>
      <c r="N56" s="49">
        <f>'Avg Week Kampala-Bukaya'!N56+'Avg Week Bukaya-Kampala'!N56</f>
        <v>0.14285714285714285</v>
      </c>
      <c r="O56" s="15">
        <f t="shared" si="3"/>
        <v>21</v>
      </c>
      <c r="P56" s="15">
        <f t="shared" si="4"/>
        <v>66.142857142857139</v>
      </c>
      <c r="R56" s="8"/>
      <c r="T56"/>
    </row>
    <row r="57" spans="2:20" ht="23.1" customHeight="1" x14ac:dyDescent="0.25">
      <c r="B57" s="23" t="s">
        <v>84</v>
      </c>
      <c r="C57" s="49">
        <f>'Avg Week Kampala-Bukaya'!C57+'Avg Week Bukaya-Kampala'!C57</f>
        <v>6.7142857142857153</v>
      </c>
      <c r="D57" s="49">
        <f>'Avg Week Kampala-Bukaya'!D57+'Avg Week Bukaya-Kampala'!D57</f>
        <v>0</v>
      </c>
      <c r="E57" s="49">
        <f>'Avg Week Kampala-Bukaya'!E57+'Avg Week Bukaya-Kampala'!E57</f>
        <v>6.5714285714285712</v>
      </c>
      <c r="F57" s="49">
        <f>'Avg Week Kampala-Bukaya'!F57+'Avg Week Bukaya-Kampala'!F57</f>
        <v>4.1428571428571423</v>
      </c>
      <c r="G57" s="49">
        <f>'Avg Week Kampala-Bukaya'!G57+'Avg Week Bukaya-Kampala'!G57</f>
        <v>0.14285714285714285</v>
      </c>
      <c r="H57" s="49">
        <f>'Avg Week Kampala-Bukaya'!H57+'Avg Week Bukaya-Kampala'!H57</f>
        <v>0.14285714285714285</v>
      </c>
      <c r="I57" s="49">
        <f>'Avg Week Kampala-Bukaya'!I57+'Avg Week Bukaya-Kampala'!I57</f>
        <v>4.7142857142857144</v>
      </c>
      <c r="J57" s="49">
        <f>'Avg Week Kampala-Bukaya'!J57+'Avg Week Bukaya-Kampala'!J57</f>
        <v>0</v>
      </c>
      <c r="K57" s="49">
        <f>'Avg Week Kampala-Bukaya'!K57+'Avg Week Bukaya-Kampala'!K57</f>
        <v>0</v>
      </c>
      <c r="L57" s="49">
        <f>'Avg Week Kampala-Bukaya'!L57+'Avg Week Bukaya-Kampala'!L57</f>
        <v>0</v>
      </c>
      <c r="M57" s="49">
        <f>'Avg Week Kampala-Bukaya'!M57+'Avg Week Bukaya-Kampala'!M57</f>
        <v>47.285714285714292</v>
      </c>
      <c r="N57" s="49">
        <f>'Avg Week Kampala-Bukaya'!N57+'Avg Week Bukaya-Kampala'!N57</f>
        <v>0.14285714285714285</v>
      </c>
      <c r="O57" s="15">
        <f t="shared" si="3"/>
        <v>22.571428571428573</v>
      </c>
      <c r="P57" s="15">
        <f t="shared" si="4"/>
        <v>69.857142857142861</v>
      </c>
      <c r="R57" s="8"/>
      <c r="T57"/>
    </row>
    <row r="58" spans="2:20" ht="23.1" customHeight="1" x14ac:dyDescent="0.25">
      <c r="B58" s="23" t="s">
        <v>99</v>
      </c>
      <c r="C58" s="49">
        <f>'Avg Week Kampala-Bukaya'!C58+'Avg Week Bukaya-Kampala'!C58</f>
        <v>2</v>
      </c>
      <c r="D58" s="49">
        <f>'Avg Week Kampala-Bukaya'!D58+'Avg Week Bukaya-Kampala'!D58</f>
        <v>0</v>
      </c>
      <c r="E58" s="49">
        <f>'Avg Week Kampala-Bukaya'!E58+'Avg Week Bukaya-Kampala'!E58</f>
        <v>8</v>
      </c>
      <c r="F58" s="49">
        <f>'Avg Week Kampala-Bukaya'!F58+'Avg Week Bukaya-Kampala'!F58</f>
        <v>2</v>
      </c>
      <c r="G58" s="49">
        <f>'Avg Week Kampala-Bukaya'!G58+'Avg Week Bukaya-Kampala'!G58</f>
        <v>0</v>
      </c>
      <c r="H58" s="49">
        <f>'Avg Week Kampala-Bukaya'!H58+'Avg Week Bukaya-Kampala'!H58</f>
        <v>0</v>
      </c>
      <c r="I58" s="49">
        <f>'Avg Week Kampala-Bukaya'!I58+'Avg Week Bukaya-Kampala'!I58</f>
        <v>2</v>
      </c>
      <c r="J58" s="49">
        <f>'Avg Week Kampala-Bukaya'!J58+'Avg Week Bukaya-Kampala'!J58</f>
        <v>0</v>
      </c>
      <c r="K58" s="49">
        <f>'Avg Week Kampala-Bukaya'!K58+'Avg Week Bukaya-Kampala'!K58</f>
        <v>0</v>
      </c>
      <c r="L58" s="49">
        <f>'Avg Week Kampala-Bukaya'!L58+'Avg Week Bukaya-Kampala'!L58</f>
        <v>0</v>
      </c>
      <c r="M58" s="49">
        <f>'Avg Week Kampala-Bukaya'!M58+'Avg Week Bukaya-Kampala'!M58</f>
        <v>22</v>
      </c>
      <c r="N58" s="49">
        <f>'Avg Week Kampala-Bukaya'!N58+'Avg Week Bukaya-Kampala'!N58</f>
        <v>0</v>
      </c>
      <c r="O58" s="15">
        <f t="shared" si="3"/>
        <v>14</v>
      </c>
      <c r="P58" s="15">
        <f t="shared" si="4"/>
        <v>36</v>
      </c>
      <c r="R58" s="8"/>
      <c r="T58"/>
    </row>
    <row r="59" spans="2:20" ht="23.1" customHeight="1" x14ac:dyDescent="0.25">
      <c r="B59" s="23" t="s">
        <v>100</v>
      </c>
      <c r="C59" s="49">
        <f>'Avg Week Kampala-Bukaya'!C59+'Avg Week Bukaya-Kampala'!C59</f>
        <v>12</v>
      </c>
      <c r="D59" s="49">
        <f>'Avg Week Kampala-Bukaya'!D59+'Avg Week Bukaya-Kampala'!D59</f>
        <v>0</v>
      </c>
      <c r="E59" s="49">
        <f>'Avg Week Kampala-Bukaya'!E59+'Avg Week Bukaya-Kampala'!E59</f>
        <v>4</v>
      </c>
      <c r="F59" s="49">
        <f>'Avg Week Kampala-Bukaya'!F59+'Avg Week Bukaya-Kampala'!F59</f>
        <v>0</v>
      </c>
      <c r="G59" s="49">
        <f>'Avg Week Kampala-Bukaya'!G59+'Avg Week Bukaya-Kampala'!G59</f>
        <v>2</v>
      </c>
      <c r="H59" s="49">
        <f>'Avg Week Kampala-Bukaya'!H59+'Avg Week Bukaya-Kampala'!H59</f>
        <v>0</v>
      </c>
      <c r="I59" s="49">
        <f>'Avg Week Kampala-Bukaya'!I59+'Avg Week Bukaya-Kampala'!I59</f>
        <v>4</v>
      </c>
      <c r="J59" s="49">
        <f>'Avg Week Kampala-Bukaya'!J59+'Avg Week Bukaya-Kampala'!J59</f>
        <v>0</v>
      </c>
      <c r="K59" s="49">
        <f>'Avg Week Kampala-Bukaya'!K59+'Avg Week Bukaya-Kampala'!K59</f>
        <v>2</v>
      </c>
      <c r="L59" s="49">
        <f>'Avg Week Kampala-Bukaya'!L59+'Avg Week Bukaya-Kampala'!L59</f>
        <v>0</v>
      </c>
      <c r="M59" s="49">
        <f>'Avg Week Kampala-Bukaya'!M59+'Avg Week Bukaya-Kampala'!M59</f>
        <v>34</v>
      </c>
      <c r="N59" s="49">
        <f>'Avg Week Kampala-Bukaya'!N59+'Avg Week Bukaya-Kampala'!N59</f>
        <v>0</v>
      </c>
      <c r="O59" s="15">
        <f t="shared" si="3"/>
        <v>24</v>
      </c>
      <c r="P59" s="15">
        <f t="shared" si="4"/>
        <v>58</v>
      </c>
      <c r="R59" s="8"/>
      <c r="T59"/>
    </row>
    <row r="60" spans="2:20" ht="23.1" customHeight="1" x14ac:dyDescent="0.25">
      <c r="B60" s="23" t="s">
        <v>101</v>
      </c>
      <c r="C60" s="49">
        <f>'Avg Week Kampala-Bukaya'!C60+'Avg Week Bukaya-Kampala'!C60</f>
        <v>4</v>
      </c>
      <c r="D60" s="49">
        <f>'Avg Week Kampala-Bukaya'!D60+'Avg Week Bukaya-Kampala'!D60</f>
        <v>0</v>
      </c>
      <c r="E60" s="49">
        <f>'Avg Week Kampala-Bukaya'!E60+'Avg Week Bukaya-Kampala'!E60</f>
        <v>2</v>
      </c>
      <c r="F60" s="49">
        <f>'Avg Week Kampala-Bukaya'!F60+'Avg Week Bukaya-Kampala'!F60</f>
        <v>2</v>
      </c>
      <c r="G60" s="49">
        <f>'Avg Week Kampala-Bukaya'!G60+'Avg Week Bukaya-Kampala'!G60</f>
        <v>0</v>
      </c>
      <c r="H60" s="49">
        <f>'Avg Week Kampala-Bukaya'!H60+'Avg Week Bukaya-Kampala'!H60</f>
        <v>0</v>
      </c>
      <c r="I60" s="49">
        <f>'Avg Week Kampala-Bukaya'!I60+'Avg Week Bukaya-Kampala'!I60</f>
        <v>2</v>
      </c>
      <c r="J60" s="49">
        <f>'Avg Week Kampala-Bukaya'!J60+'Avg Week Bukaya-Kampala'!J60</f>
        <v>0</v>
      </c>
      <c r="K60" s="49">
        <f>'Avg Week Kampala-Bukaya'!K60+'Avg Week Bukaya-Kampala'!K60</f>
        <v>0</v>
      </c>
      <c r="L60" s="49">
        <f>'Avg Week Kampala-Bukaya'!L60+'Avg Week Bukaya-Kampala'!L60</f>
        <v>0</v>
      </c>
      <c r="M60" s="49">
        <f>'Avg Week Kampala-Bukaya'!M60+'Avg Week Bukaya-Kampala'!M60</f>
        <v>30</v>
      </c>
      <c r="N60" s="49">
        <f>'Avg Week Kampala-Bukaya'!N60+'Avg Week Bukaya-Kampala'!N60</f>
        <v>0</v>
      </c>
      <c r="O60" s="15">
        <f t="shared" si="3"/>
        <v>10</v>
      </c>
      <c r="P60" s="15">
        <f t="shared" si="4"/>
        <v>40</v>
      </c>
      <c r="R60" s="8"/>
      <c r="T60"/>
    </row>
    <row r="61" spans="2:20" ht="23.1" customHeight="1" x14ac:dyDescent="0.25">
      <c r="B61" s="23" t="s">
        <v>102</v>
      </c>
      <c r="C61" s="49">
        <f>'Avg Week Kampala-Bukaya'!C61+'Avg Week Bukaya-Kampala'!C61</f>
        <v>8</v>
      </c>
      <c r="D61" s="49">
        <f>'Avg Week Kampala-Bukaya'!D61+'Avg Week Bukaya-Kampala'!D61</f>
        <v>0</v>
      </c>
      <c r="E61" s="49">
        <f>'Avg Week Kampala-Bukaya'!E61+'Avg Week Bukaya-Kampala'!E61</f>
        <v>2</v>
      </c>
      <c r="F61" s="49">
        <f>'Avg Week Kampala-Bukaya'!F61+'Avg Week Bukaya-Kampala'!F61</f>
        <v>4</v>
      </c>
      <c r="G61" s="49">
        <f>'Avg Week Kampala-Bukaya'!G61+'Avg Week Bukaya-Kampala'!G61</f>
        <v>0</v>
      </c>
      <c r="H61" s="49">
        <f>'Avg Week Kampala-Bukaya'!H61+'Avg Week Bukaya-Kampala'!H61</f>
        <v>0</v>
      </c>
      <c r="I61" s="49">
        <f>'Avg Week Kampala-Bukaya'!I61+'Avg Week Bukaya-Kampala'!I61</f>
        <v>0</v>
      </c>
      <c r="J61" s="49">
        <f>'Avg Week Kampala-Bukaya'!J61+'Avg Week Bukaya-Kampala'!J61</f>
        <v>0</v>
      </c>
      <c r="K61" s="49">
        <f>'Avg Week Kampala-Bukaya'!K61+'Avg Week Bukaya-Kampala'!K61</f>
        <v>0</v>
      </c>
      <c r="L61" s="49">
        <f>'Avg Week Kampala-Bukaya'!L61+'Avg Week Bukaya-Kampala'!L61</f>
        <v>0</v>
      </c>
      <c r="M61" s="49">
        <f>'Avg Week Kampala-Bukaya'!M61+'Avg Week Bukaya-Kampala'!M61</f>
        <v>30</v>
      </c>
      <c r="N61" s="49">
        <f>'Avg Week Kampala-Bukaya'!N61+'Avg Week Bukaya-Kampala'!N61</f>
        <v>0</v>
      </c>
      <c r="O61" s="15">
        <f t="shared" si="3"/>
        <v>14</v>
      </c>
      <c r="P61" s="15">
        <f t="shared" si="4"/>
        <v>44</v>
      </c>
      <c r="R61" s="8"/>
      <c r="T61"/>
    </row>
    <row r="62" spans="2:20" ht="23.1" customHeight="1" x14ac:dyDescent="0.25">
      <c r="B62" s="23" t="s">
        <v>107</v>
      </c>
      <c r="C62" s="49">
        <f>'Avg Week Kampala-Bukaya'!C62+'Avg Week Bukaya-Kampala'!C62</f>
        <v>4</v>
      </c>
      <c r="D62" s="49">
        <f>'Avg Week Kampala-Bukaya'!D62+'Avg Week Bukaya-Kampala'!D62</f>
        <v>0</v>
      </c>
      <c r="E62" s="49">
        <f>'Avg Week Kampala-Bukaya'!E62+'Avg Week Bukaya-Kampala'!E62</f>
        <v>8</v>
      </c>
      <c r="F62" s="49">
        <f>'Avg Week Kampala-Bukaya'!F62+'Avg Week Bukaya-Kampala'!F62</f>
        <v>8</v>
      </c>
      <c r="G62" s="49">
        <f>'Avg Week Kampala-Bukaya'!G62+'Avg Week Bukaya-Kampala'!G62</f>
        <v>0</v>
      </c>
      <c r="H62" s="49">
        <f>'Avg Week Kampala-Bukaya'!H62+'Avg Week Bukaya-Kampala'!H62</f>
        <v>0</v>
      </c>
      <c r="I62" s="49">
        <f>'Avg Week Kampala-Bukaya'!I62+'Avg Week Bukaya-Kampala'!I62</f>
        <v>6</v>
      </c>
      <c r="J62" s="49">
        <f>'Avg Week Kampala-Bukaya'!J62+'Avg Week Bukaya-Kampala'!J62</f>
        <v>0</v>
      </c>
      <c r="K62" s="49">
        <f>'Avg Week Kampala-Bukaya'!K62+'Avg Week Bukaya-Kampala'!K62</f>
        <v>0</v>
      </c>
      <c r="L62" s="49">
        <f>'Avg Week Kampala-Bukaya'!L62+'Avg Week Bukaya-Kampala'!L62</f>
        <v>0</v>
      </c>
      <c r="M62" s="49">
        <f>'Avg Week Kampala-Bukaya'!M62+'Avg Week Bukaya-Kampala'!M62</f>
        <v>28</v>
      </c>
      <c r="N62" s="49">
        <f>'Avg Week Kampala-Bukaya'!N62+'Avg Week Bukaya-Kampala'!N62</f>
        <v>0</v>
      </c>
      <c r="O62" s="15">
        <f t="shared" si="3"/>
        <v>26</v>
      </c>
      <c r="P62" s="15">
        <f t="shared" si="4"/>
        <v>54</v>
      </c>
      <c r="R62" s="8"/>
      <c r="T62"/>
    </row>
    <row r="63" spans="2:20" ht="23.1" customHeight="1" x14ac:dyDescent="0.25">
      <c r="B63" s="23" t="s">
        <v>108</v>
      </c>
      <c r="C63" s="49">
        <f>'Avg Week Kampala-Bukaya'!C63+'Avg Week Bukaya-Kampala'!C63</f>
        <v>2</v>
      </c>
      <c r="D63" s="49">
        <f>'Avg Week Kampala-Bukaya'!D63+'Avg Week Bukaya-Kampala'!D63</f>
        <v>0</v>
      </c>
      <c r="E63" s="49">
        <f>'Avg Week Kampala-Bukaya'!E63+'Avg Week Bukaya-Kampala'!E63</f>
        <v>6</v>
      </c>
      <c r="F63" s="49">
        <f>'Avg Week Kampala-Bukaya'!F63+'Avg Week Bukaya-Kampala'!F63</f>
        <v>2</v>
      </c>
      <c r="G63" s="49">
        <f>'Avg Week Kampala-Bukaya'!G63+'Avg Week Bukaya-Kampala'!G63</f>
        <v>0</v>
      </c>
      <c r="H63" s="49">
        <f>'Avg Week Kampala-Bukaya'!H63+'Avg Week Bukaya-Kampala'!H63</f>
        <v>0</v>
      </c>
      <c r="I63" s="49">
        <f>'Avg Week Kampala-Bukaya'!I63+'Avg Week Bukaya-Kampala'!I63</f>
        <v>6</v>
      </c>
      <c r="J63" s="49">
        <f>'Avg Week Kampala-Bukaya'!J63+'Avg Week Bukaya-Kampala'!J63</f>
        <v>2</v>
      </c>
      <c r="K63" s="49">
        <f>'Avg Week Kampala-Bukaya'!K63+'Avg Week Bukaya-Kampala'!K63</f>
        <v>0</v>
      </c>
      <c r="L63" s="49">
        <f>'Avg Week Kampala-Bukaya'!L63+'Avg Week Bukaya-Kampala'!L63</f>
        <v>0</v>
      </c>
      <c r="M63" s="49">
        <f>'Avg Week Kampala-Bukaya'!M63+'Avg Week Bukaya-Kampala'!M63</f>
        <v>26</v>
      </c>
      <c r="N63" s="49">
        <f>'Avg Week Kampala-Bukaya'!N63+'Avg Week Bukaya-Kampala'!N63</f>
        <v>0</v>
      </c>
      <c r="O63" s="15">
        <f t="shared" si="3"/>
        <v>18</v>
      </c>
      <c r="P63" s="15">
        <f t="shared" si="4"/>
        <v>44</v>
      </c>
      <c r="R63" s="8"/>
      <c r="T63"/>
    </row>
    <row r="64" spans="2:20" ht="23.1" customHeight="1" x14ac:dyDescent="0.25">
      <c r="B64" s="23" t="s">
        <v>109</v>
      </c>
      <c r="C64" s="49">
        <f>'Avg Week Kampala-Bukaya'!C64+'Avg Week Bukaya-Kampala'!C64</f>
        <v>0</v>
      </c>
      <c r="D64" s="49">
        <f>'Avg Week Kampala-Bukaya'!D64+'Avg Week Bukaya-Kampala'!D64</f>
        <v>0</v>
      </c>
      <c r="E64" s="49">
        <f>'Avg Week Kampala-Bukaya'!E64+'Avg Week Bukaya-Kampala'!E64</f>
        <v>12</v>
      </c>
      <c r="F64" s="49">
        <f>'Avg Week Kampala-Bukaya'!F64+'Avg Week Bukaya-Kampala'!F64</f>
        <v>8</v>
      </c>
      <c r="G64" s="49">
        <f>'Avg Week Kampala-Bukaya'!G64+'Avg Week Bukaya-Kampala'!G64</f>
        <v>0</v>
      </c>
      <c r="H64" s="49">
        <f>'Avg Week Kampala-Bukaya'!H64+'Avg Week Bukaya-Kampala'!H64</f>
        <v>0</v>
      </c>
      <c r="I64" s="49">
        <f>'Avg Week Kampala-Bukaya'!I64+'Avg Week Bukaya-Kampala'!I64</f>
        <v>6</v>
      </c>
      <c r="J64" s="49">
        <f>'Avg Week Kampala-Bukaya'!J64+'Avg Week Bukaya-Kampala'!J64</f>
        <v>0</v>
      </c>
      <c r="K64" s="49">
        <f>'Avg Week Kampala-Bukaya'!K64+'Avg Week Bukaya-Kampala'!K64</f>
        <v>0</v>
      </c>
      <c r="L64" s="49">
        <f>'Avg Week Kampala-Bukaya'!L64+'Avg Week Bukaya-Kampala'!L64</f>
        <v>0</v>
      </c>
      <c r="M64" s="49">
        <f>'Avg Week Kampala-Bukaya'!M64+'Avg Week Bukaya-Kampala'!M64</f>
        <v>24</v>
      </c>
      <c r="N64" s="49">
        <f>'Avg Week Kampala-Bukaya'!N64+'Avg Week Bukaya-Kampala'!N64</f>
        <v>0</v>
      </c>
      <c r="O64" s="15">
        <f t="shared" si="3"/>
        <v>26</v>
      </c>
      <c r="P64" s="15">
        <f t="shared" si="4"/>
        <v>50</v>
      </c>
      <c r="R64" s="8"/>
      <c r="T64"/>
    </row>
    <row r="65" spans="2:20" ht="23.1" customHeight="1" x14ac:dyDescent="0.25">
      <c r="B65" s="23" t="s">
        <v>158</v>
      </c>
      <c r="C65" s="49">
        <f>'Avg Week Kampala-Bukaya'!C65+'Avg Week Bukaya-Kampala'!C65</f>
        <v>2</v>
      </c>
      <c r="D65" s="49">
        <f>'Avg Week Kampala-Bukaya'!D65+'Avg Week Bukaya-Kampala'!D65</f>
        <v>0</v>
      </c>
      <c r="E65" s="49">
        <f>'Avg Week Kampala-Bukaya'!E65+'Avg Week Bukaya-Kampala'!E65</f>
        <v>4</v>
      </c>
      <c r="F65" s="49">
        <f>'Avg Week Kampala-Bukaya'!F65+'Avg Week Bukaya-Kampala'!F65</f>
        <v>8</v>
      </c>
      <c r="G65" s="49">
        <f>'Avg Week Kampala-Bukaya'!G65+'Avg Week Bukaya-Kampala'!G65</f>
        <v>0</v>
      </c>
      <c r="H65" s="49">
        <f>'Avg Week Kampala-Bukaya'!H65+'Avg Week Bukaya-Kampala'!H65</f>
        <v>0</v>
      </c>
      <c r="I65" s="49">
        <f>'Avg Week Kampala-Bukaya'!I65+'Avg Week Bukaya-Kampala'!I65</f>
        <v>10</v>
      </c>
      <c r="J65" s="49">
        <f>'Avg Week Kampala-Bukaya'!J65+'Avg Week Bukaya-Kampala'!J65</f>
        <v>0</v>
      </c>
      <c r="K65" s="49">
        <f>'Avg Week Kampala-Bukaya'!K65+'Avg Week Bukaya-Kampala'!K65</f>
        <v>0</v>
      </c>
      <c r="L65" s="49">
        <f>'Avg Week Kampala-Bukaya'!L65+'Avg Week Bukaya-Kampala'!L65</f>
        <v>0</v>
      </c>
      <c r="M65" s="49">
        <f>'Avg Week Kampala-Bukaya'!M65+'Avg Week Bukaya-Kampala'!M65</f>
        <v>28</v>
      </c>
      <c r="N65" s="49">
        <f>'Avg Week Kampala-Bukaya'!N65+'Avg Week Bukaya-Kampala'!N65</f>
        <v>0</v>
      </c>
      <c r="O65" s="15">
        <f t="shared" si="3"/>
        <v>24</v>
      </c>
      <c r="P65" s="15">
        <f t="shared" si="4"/>
        <v>52</v>
      </c>
      <c r="R65" s="8"/>
      <c r="T65"/>
    </row>
    <row r="66" spans="2:20" ht="23.1" customHeight="1" x14ac:dyDescent="0.25">
      <c r="B66" s="23" t="s">
        <v>103</v>
      </c>
      <c r="C66" s="49">
        <f>'Avg Week Kampala-Bukaya'!C66+'Avg Week Bukaya-Kampala'!C66</f>
        <v>6</v>
      </c>
      <c r="D66" s="49">
        <f>'Avg Week Kampala-Bukaya'!D66+'Avg Week Bukaya-Kampala'!D66</f>
        <v>0</v>
      </c>
      <c r="E66" s="49">
        <f>'Avg Week Kampala-Bukaya'!E66+'Avg Week Bukaya-Kampala'!E66</f>
        <v>4</v>
      </c>
      <c r="F66" s="49">
        <f>'Avg Week Kampala-Bukaya'!F66+'Avg Week Bukaya-Kampala'!F66</f>
        <v>2</v>
      </c>
      <c r="G66" s="49">
        <f>'Avg Week Kampala-Bukaya'!G66+'Avg Week Bukaya-Kampala'!G66</f>
        <v>0</v>
      </c>
      <c r="H66" s="49">
        <f>'Avg Week Kampala-Bukaya'!H66+'Avg Week Bukaya-Kampala'!H66</f>
        <v>0</v>
      </c>
      <c r="I66" s="49">
        <f>'Avg Week Kampala-Bukaya'!I66+'Avg Week Bukaya-Kampala'!I66</f>
        <v>6</v>
      </c>
      <c r="J66" s="49">
        <f>'Avg Week Kampala-Bukaya'!J66+'Avg Week Bukaya-Kampala'!J66</f>
        <v>0</v>
      </c>
      <c r="K66" s="49">
        <f>'Avg Week Kampala-Bukaya'!K66+'Avg Week Bukaya-Kampala'!K66</f>
        <v>0</v>
      </c>
      <c r="L66" s="49">
        <f>'Avg Week Kampala-Bukaya'!L66+'Avg Week Bukaya-Kampala'!L66</f>
        <v>0</v>
      </c>
      <c r="M66" s="49">
        <f>'Avg Week Kampala-Bukaya'!M66+'Avg Week Bukaya-Kampala'!M66</f>
        <v>30</v>
      </c>
      <c r="N66" s="49">
        <f>'Avg Week Kampala-Bukaya'!N66+'Avg Week Bukaya-Kampala'!N66</f>
        <v>0</v>
      </c>
      <c r="O66" s="15">
        <f t="shared" si="3"/>
        <v>18</v>
      </c>
      <c r="P66" s="15">
        <f t="shared" si="4"/>
        <v>48</v>
      </c>
      <c r="R66" s="8"/>
      <c r="T66"/>
    </row>
    <row r="67" spans="2:20" ht="23.1" customHeight="1" x14ac:dyDescent="0.25">
      <c r="B67" s="23" t="s">
        <v>104</v>
      </c>
      <c r="C67" s="49">
        <f>'Avg Week Kampala-Bukaya'!C67+'Avg Week Bukaya-Kampala'!C67</f>
        <v>4</v>
      </c>
      <c r="D67" s="49">
        <f>'Avg Week Kampala-Bukaya'!D67+'Avg Week Bukaya-Kampala'!D67</f>
        <v>0</v>
      </c>
      <c r="E67" s="49">
        <f>'Avg Week Kampala-Bukaya'!E67+'Avg Week Bukaya-Kampala'!E67</f>
        <v>4</v>
      </c>
      <c r="F67" s="49">
        <f>'Avg Week Kampala-Bukaya'!F67+'Avg Week Bukaya-Kampala'!F67</f>
        <v>6</v>
      </c>
      <c r="G67" s="49">
        <f>'Avg Week Kampala-Bukaya'!G67+'Avg Week Bukaya-Kampala'!G67</f>
        <v>0</v>
      </c>
      <c r="H67" s="49">
        <f>'Avg Week Kampala-Bukaya'!H67+'Avg Week Bukaya-Kampala'!H67</f>
        <v>0</v>
      </c>
      <c r="I67" s="49">
        <f>'Avg Week Kampala-Bukaya'!I67+'Avg Week Bukaya-Kampala'!I67</f>
        <v>4</v>
      </c>
      <c r="J67" s="49">
        <f>'Avg Week Kampala-Bukaya'!J67+'Avg Week Bukaya-Kampala'!J67</f>
        <v>0</v>
      </c>
      <c r="K67" s="49">
        <f>'Avg Week Kampala-Bukaya'!K67+'Avg Week Bukaya-Kampala'!K67</f>
        <v>2</v>
      </c>
      <c r="L67" s="49">
        <f>'Avg Week Kampala-Bukaya'!L67+'Avg Week Bukaya-Kampala'!L67</f>
        <v>0</v>
      </c>
      <c r="M67" s="49">
        <f>'Avg Week Kampala-Bukaya'!M67+'Avg Week Bukaya-Kampala'!M67</f>
        <v>20</v>
      </c>
      <c r="N67" s="49">
        <f>'Avg Week Kampala-Bukaya'!N67+'Avg Week Bukaya-Kampala'!N67</f>
        <v>0</v>
      </c>
      <c r="O67" s="15">
        <f t="shared" si="3"/>
        <v>20</v>
      </c>
      <c r="P67" s="15">
        <f t="shared" si="4"/>
        <v>40</v>
      </c>
      <c r="R67" s="8"/>
      <c r="T67"/>
    </row>
    <row r="68" spans="2:20" ht="23.1" customHeight="1" x14ac:dyDescent="0.25">
      <c r="B68" s="23" t="s">
        <v>105</v>
      </c>
      <c r="C68" s="49">
        <f>'Avg Week Kampala-Bukaya'!C68+'Avg Week Bukaya-Kampala'!C68</f>
        <v>4</v>
      </c>
      <c r="D68" s="49">
        <f>'Avg Week Kampala-Bukaya'!D68+'Avg Week Bukaya-Kampala'!D68</f>
        <v>0</v>
      </c>
      <c r="E68" s="49">
        <f>'Avg Week Kampala-Bukaya'!E68+'Avg Week Bukaya-Kampala'!E68</f>
        <v>4</v>
      </c>
      <c r="F68" s="49">
        <f>'Avg Week Kampala-Bukaya'!F68+'Avg Week Bukaya-Kampala'!F68</f>
        <v>4</v>
      </c>
      <c r="G68" s="49">
        <f>'Avg Week Kampala-Bukaya'!G68+'Avg Week Bukaya-Kampala'!G68</f>
        <v>0</v>
      </c>
      <c r="H68" s="49">
        <f>'Avg Week Kampala-Bukaya'!H68+'Avg Week Bukaya-Kampala'!H68</f>
        <v>0</v>
      </c>
      <c r="I68" s="49">
        <f>'Avg Week Kampala-Bukaya'!I68+'Avg Week Bukaya-Kampala'!I68</f>
        <v>0</v>
      </c>
      <c r="J68" s="49">
        <f>'Avg Week Kampala-Bukaya'!J68+'Avg Week Bukaya-Kampala'!J68</f>
        <v>0</v>
      </c>
      <c r="K68" s="49">
        <f>'Avg Week Kampala-Bukaya'!K68+'Avg Week Bukaya-Kampala'!K68</f>
        <v>0</v>
      </c>
      <c r="L68" s="49">
        <f>'Avg Week Kampala-Bukaya'!L68+'Avg Week Bukaya-Kampala'!L68</f>
        <v>0</v>
      </c>
      <c r="M68" s="49">
        <f>'Avg Week Kampala-Bukaya'!M68+'Avg Week Bukaya-Kampala'!M68</f>
        <v>16</v>
      </c>
      <c r="N68" s="49">
        <f>'Avg Week Kampala-Bukaya'!N68+'Avg Week Bukaya-Kampala'!N68</f>
        <v>0</v>
      </c>
      <c r="O68" s="15">
        <f t="shared" si="3"/>
        <v>12</v>
      </c>
      <c r="P68" s="15">
        <f t="shared" si="4"/>
        <v>28</v>
      </c>
      <c r="R68" s="8"/>
      <c r="T68"/>
    </row>
    <row r="69" spans="2:20" ht="23.1" customHeight="1" x14ac:dyDescent="0.25">
      <c r="B69" s="23" t="s">
        <v>106</v>
      </c>
      <c r="C69" s="49">
        <f>'Avg Week Kampala-Bukaya'!C69+'Avg Week Bukaya-Kampala'!C69</f>
        <v>2</v>
      </c>
      <c r="D69" s="49">
        <f>'Avg Week Kampala-Bukaya'!D69+'Avg Week Bukaya-Kampala'!D69</f>
        <v>0</v>
      </c>
      <c r="E69" s="49">
        <f>'Avg Week Kampala-Bukaya'!E69+'Avg Week Bukaya-Kampala'!E69</f>
        <v>8</v>
      </c>
      <c r="F69" s="49">
        <f>'Avg Week Kampala-Bukaya'!F69+'Avg Week Bukaya-Kampala'!F69</f>
        <v>2</v>
      </c>
      <c r="G69" s="49">
        <f>'Avg Week Kampala-Bukaya'!G69+'Avg Week Bukaya-Kampala'!G69</f>
        <v>0</v>
      </c>
      <c r="H69" s="49">
        <f>'Avg Week Kampala-Bukaya'!H69+'Avg Week Bukaya-Kampala'!H69</f>
        <v>0</v>
      </c>
      <c r="I69" s="49">
        <f>'Avg Week Kampala-Bukaya'!I69+'Avg Week Bukaya-Kampala'!I69</f>
        <v>2</v>
      </c>
      <c r="J69" s="49">
        <f>'Avg Week Kampala-Bukaya'!J69+'Avg Week Bukaya-Kampala'!J69</f>
        <v>0</v>
      </c>
      <c r="K69" s="49">
        <f>'Avg Week Kampala-Bukaya'!K69+'Avg Week Bukaya-Kampala'!K69</f>
        <v>0</v>
      </c>
      <c r="L69" s="49">
        <f>'Avg Week Kampala-Bukaya'!L69+'Avg Week Bukaya-Kampala'!L69</f>
        <v>0</v>
      </c>
      <c r="M69" s="49">
        <f>'Avg Week Kampala-Bukaya'!M69+'Avg Week Bukaya-Kampala'!M69</f>
        <v>10</v>
      </c>
      <c r="N69" s="49">
        <f>'Avg Week Kampala-Bukaya'!N69+'Avg Week Bukaya-Kampala'!N69</f>
        <v>0</v>
      </c>
      <c r="O69" s="15">
        <f t="shared" si="3"/>
        <v>14</v>
      </c>
      <c r="P69" s="15">
        <f t="shared" si="4"/>
        <v>24</v>
      </c>
      <c r="R69" s="8"/>
      <c r="T69"/>
    </row>
    <row r="70" spans="2:20" ht="23.1" customHeight="1" x14ac:dyDescent="0.25">
      <c r="B70" s="23" t="s">
        <v>110</v>
      </c>
      <c r="C70" s="49">
        <f>'Avg Week Kampala-Bukaya'!C70+'Avg Week Bukaya-Kampala'!C70</f>
        <v>4</v>
      </c>
      <c r="D70" s="49">
        <f>'Avg Week Kampala-Bukaya'!D70+'Avg Week Bukaya-Kampala'!D70</f>
        <v>0</v>
      </c>
      <c r="E70" s="49">
        <f>'Avg Week Kampala-Bukaya'!E70+'Avg Week Bukaya-Kampala'!E70</f>
        <v>2</v>
      </c>
      <c r="F70" s="49">
        <f>'Avg Week Kampala-Bukaya'!F70+'Avg Week Bukaya-Kampala'!F70</f>
        <v>0</v>
      </c>
      <c r="G70" s="49">
        <f>'Avg Week Kampala-Bukaya'!G70+'Avg Week Bukaya-Kampala'!G70</f>
        <v>2</v>
      </c>
      <c r="H70" s="49">
        <f>'Avg Week Kampala-Bukaya'!H70+'Avg Week Bukaya-Kampala'!H70</f>
        <v>0</v>
      </c>
      <c r="I70" s="49">
        <f>'Avg Week Kampala-Bukaya'!I70+'Avg Week Bukaya-Kampala'!I70</f>
        <v>4</v>
      </c>
      <c r="J70" s="49">
        <f>'Avg Week Kampala-Bukaya'!J70+'Avg Week Bukaya-Kampala'!J70</f>
        <v>0</v>
      </c>
      <c r="K70" s="49">
        <f>'Avg Week Kampala-Bukaya'!K70+'Avg Week Bukaya-Kampala'!K70</f>
        <v>2</v>
      </c>
      <c r="L70" s="49">
        <f>'Avg Week Kampala-Bukaya'!L70+'Avg Week Bukaya-Kampala'!L70</f>
        <v>0</v>
      </c>
      <c r="M70" s="49">
        <f>'Avg Week Kampala-Bukaya'!M70+'Avg Week Bukaya-Kampala'!M70</f>
        <v>8</v>
      </c>
      <c r="N70" s="49">
        <f>'Avg Week Kampala-Bukaya'!N70+'Avg Week Bukaya-Kampala'!N70</f>
        <v>0</v>
      </c>
      <c r="O70" s="15">
        <f t="shared" si="3"/>
        <v>14</v>
      </c>
      <c r="P70" s="15">
        <f t="shared" si="4"/>
        <v>22</v>
      </c>
      <c r="R70" s="8"/>
      <c r="T70"/>
    </row>
    <row r="71" spans="2:20" ht="23.1" customHeight="1" x14ac:dyDescent="0.25">
      <c r="B71" s="23" t="s">
        <v>111</v>
      </c>
      <c r="C71" s="49">
        <f>'Avg Week Kampala-Bukaya'!C71+'Avg Week Bukaya-Kampala'!C71</f>
        <v>4</v>
      </c>
      <c r="D71" s="49">
        <f>'Avg Week Kampala-Bukaya'!D71+'Avg Week Bukaya-Kampala'!D71</f>
        <v>0</v>
      </c>
      <c r="E71" s="49">
        <f>'Avg Week Kampala-Bukaya'!E71+'Avg Week Bukaya-Kampala'!E71</f>
        <v>2</v>
      </c>
      <c r="F71" s="49">
        <f>'Avg Week Kampala-Bukaya'!F71+'Avg Week Bukaya-Kampala'!F71</f>
        <v>2</v>
      </c>
      <c r="G71" s="49">
        <f>'Avg Week Kampala-Bukaya'!G71+'Avg Week Bukaya-Kampala'!G71</f>
        <v>0</v>
      </c>
      <c r="H71" s="49">
        <f>'Avg Week Kampala-Bukaya'!H71+'Avg Week Bukaya-Kampala'!H71</f>
        <v>0</v>
      </c>
      <c r="I71" s="49">
        <f>'Avg Week Kampala-Bukaya'!I71+'Avg Week Bukaya-Kampala'!I71</f>
        <v>2</v>
      </c>
      <c r="J71" s="49">
        <f>'Avg Week Kampala-Bukaya'!J71+'Avg Week Bukaya-Kampala'!J71</f>
        <v>0</v>
      </c>
      <c r="K71" s="49">
        <f>'Avg Week Kampala-Bukaya'!K71+'Avg Week Bukaya-Kampala'!K71</f>
        <v>0</v>
      </c>
      <c r="L71" s="49">
        <f>'Avg Week Kampala-Bukaya'!L71+'Avg Week Bukaya-Kampala'!L71</f>
        <v>0</v>
      </c>
      <c r="M71" s="49">
        <f>'Avg Week Kampala-Bukaya'!M71+'Avg Week Bukaya-Kampala'!M71</f>
        <v>12</v>
      </c>
      <c r="N71" s="49">
        <f>'Avg Week Kampala-Bukaya'!N71+'Avg Week Bukaya-Kampala'!N71</f>
        <v>0</v>
      </c>
      <c r="O71" s="15">
        <f t="shared" si="3"/>
        <v>10</v>
      </c>
      <c r="P71" s="15">
        <f t="shared" si="4"/>
        <v>22</v>
      </c>
      <c r="R71" s="8"/>
      <c r="T71"/>
    </row>
    <row r="72" spans="2:20" ht="23.1" customHeight="1" x14ac:dyDescent="0.25">
      <c r="B72" s="23" t="s">
        <v>112</v>
      </c>
      <c r="C72" s="49">
        <f>'Avg Week Kampala-Bukaya'!C72+'Avg Week Bukaya-Kampala'!C72</f>
        <v>8</v>
      </c>
      <c r="D72" s="49">
        <f>'Avg Week Kampala-Bukaya'!D72+'Avg Week Bukaya-Kampala'!D72</f>
        <v>0</v>
      </c>
      <c r="E72" s="49">
        <f>'Avg Week Kampala-Bukaya'!E72+'Avg Week Bukaya-Kampala'!E72</f>
        <v>2</v>
      </c>
      <c r="F72" s="49">
        <f>'Avg Week Kampala-Bukaya'!F72+'Avg Week Bukaya-Kampala'!F72</f>
        <v>4</v>
      </c>
      <c r="G72" s="49">
        <f>'Avg Week Kampala-Bukaya'!G72+'Avg Week Bukaya-Kampala'!G72</f>
        <v>0</v>
      </c>
      <c r="H72" s="49">
        <f>'Avg Week Kampala-Bukaya'!H72+'Avg Week Bukaya-Kampala'!H72</f>
        <v>0</v>
      </c>
      <c r="I72" s="49">
        <f>'Avg Week Kampala-Bukaya'!I72+'Avg Week Bukaya-Kampala'!I72</f>
        <v>0</v>
      </c>
      <c r="J72" s="49">
        <f>'Avg Week Kampala-Bukaya'!J72+'Avg Week Bukaya-Kampala'!J72</f>
        <v>0</v>
      </c>
      <c r="K72" s="49">
        <f>'Avg Week Kampala-Bukaya'!K72+'Avg Week Bukaya-Kampala'!K72</f>
        <v>0</v>
      </c>
      <c r="L72" s="49">
        <f>'Avg Week Kampala-Bukaya'!L72+'Avg Week Bukaya-Kampala'!L72</f>
        <v>0</v>
      </c>
      <c r="M72" s="49">
        <f>'Avg Week Kampala-Bukaya'!M72+'Avg Week Bukaya-Kampala'!M72</f>
        <v>6</v>
      </c>
      <c r="N72" s="49">
        <f>'Avg Week Kampala-Bukaya'!N72+'Avg Week Bukaya-Kampala'!N72</f>
        <v>0</v>
      </c>
      <c r="O72" s="15">
        <f t="shared" si="3"/>
        <v>14</v>
      </c>
      <c r="P72" s="15">
        <f t="shared" si="4"/>
        <v>20</v>
      </c>
      <c r="R72" s="8"/>
      <c r="T72"/>
    </row>
    <row r="73" spans="2:20" ht="23.1" customHeight="1" x14ac:dyDescent="0.25">
      <c r="B73" s="23" t="s">
        <v>113</v>
      </c>
      <c r="C73" s="49">
        <f>'Avg Week Kampala-Bukaya'!C73+'Avg Week Bukaya-Kampala'!C73</f>
        <v>4</v>
      </c>
      <c r="D73" s="49">
        <f>'Avg Week Kampala-Bukaya'!D73+'Avg Week Bukaya-Kampala'!D73</f>
        <v>0</v>
      </c>
      <c r="E73" s="49">
        <f>'Avg Week Kampala-Bukaya'!E73+'Avg Week Bukaya-Kampala'!E73</f>
        <v>4</v>
      </c>
      <c r="F73" s="49">
        <f>'Avg Week Kampala-Bukaya'!F73+'Avg Week Bukaya-Kampala'!F73</f>
        <v>4</v>
      </c>
      <c r="G73" s="49">
        <f>'Avg Week Kampala-Bukaya'!G73+'Avg Week Bukaya-Kampala'!G73</f>
        <v>0</v>
      </c>
      <c r="H73" s="49">
        <f>'Avg Week Kampala-Bukaya'!H73+'Avg Week Bukaya-Kampala'!H73</f>
        <v>0</v>
      </c>
      <c r="I73" s="49">
        <f>'Avg Week Kampala-Bukaya'!I73+'Avg Week Bukaya-Kampala'!I73</f>
        <v>6</v>
      </c>
      <c r="J73" s="49">
        <f>'Avg Week Kampala-Bukaya'!J73+'Avg Week Bukaya-Kampala'!J73</f>
        <v>0</v>
      </c>
      <c r="K73" s="49">
        <f>'Avg Week Kampala-Bukaya'!K73+'Avg Week Bukaya-Kampala'!K73</f>
        <v>0</v>
      </c>
      <c r="L73" s="49">
        <f>'Avg Week Kampala-Bukaya'!L73+'Avg Week Bukaya-Kampala'!L73</f>
        <v>0</v>
      </c>
      <c r="M73" s="49">
        <f>'Avg Week Kampala-Bukaya'!M73+'Avg Week Bukaya-Kampala'!M73</f>
        <v>8</v>
      </c>
      <c r="N73" s="49">
        <f>'Avg Week Kampala-Bukaya'!N73+'Avg Week Bukaya-Kampala'!N73</f>
        <v>0</v>
      </c>
      <c r="O73" s="15">
        <f t="shared" si="3"/>
        <v>18</v>
      </c>
      <c r="P73" s="15">
        <f t="shared" si="4"/>
        <v>26</v>
      </c>
      <c r="R73" s="8"/>
      <c r="T73"/>
    </row>
    <row r="74" spans="2:20" ht="23.1" customHeight="1" x14ac:dyDescent="0.25">
      <c r="B74" s="23" t="s">
        <v>114</v>
      </c>
      <c r="C74" s="49">
        <f>'Avg Week Kampala-Bukaya'!C74+'Avg Week Bukaya-Kampala'!C74</f>
        <v>2</v>
      </c>
      <c r="D74" s="49">
        <f>'Avg Week Kampala-Bukaya'!D74+'Avg Week Bukaya-Kampala'!D74</f>
        <v>0</v>
      </c>
      <c r="E74" s="49">
        <f>'Avg Week Kampala-Bukaya'!E74+'Avg Week Bukaya-Kampala'!E74</f>
        <v>6</v>
      </c>
      <c r="F74" s="49">
        <f>'Avg Week Kampala-Bukaya'!F74+'Avg Week Bukaya-Kampala'!F74</f>
        <v>2</v>
      </c>
      <c r="G74" s="49">
        <f>'Avg Week Kampala-Bukaya'!G74+'Avg Week Bukaya-Kampala'!G74</f>
        <v>0</v>
      </c>
      <c r="H74" s="49">
        <f>'Avg Week Kampala-Bukaya'!H74+'Avg Week Bukaya-Kampala'!H74</f>
        <v>0</v>
      </c>
      <c r="I74" s="49">
        <f>'Avg Week Kampala-Bukaya'!I74+'Avg Week Bukaya-Kampala'!I74</f>
        <v>6</v>
      </c>
      <c r="J74" s="49">
        <f>'Avg Week Kampala-Bukaya'!J74+'Avg Week Bukaya-Kampala'!J74</f>
        <v>2</v>
      </c>
      <c r="K74" s="49">
        <f>'Avg Week Kampala-Bukaya'!K74+'Avg Week Bukaya-Kampala'!K74</f>
        <v>0</v>
      </c>
      <c r="L74" s="49">
        <f>'Avg Week Kampala-Bukaya'!L74+'Avg Week Bukaya-Kampala'!L74</f>
        <v>0</v>
      </c>
      <c r="M74" s="49">
        <f>'Avg Week Kampala-Bukaya'!M74+'Avg Week Bukaya-Kampala'!M74</f>
        <v>0</v>
      </c>
      <c r="N74" s="49">
        <f>'Avg Week Kampala-Bukaya'!N74+'Avg Week Bukaya-Kampala'!N74</f>
        <v>0</v>
      </c>
      <c r="O74" s="15">
        <f t="shared" si="3"/>
        <v>18</v>
      </c>
      <c r="P74" s="15">
        <f t="shared" si="4"/>
        <v>18</v>
      </c>
      <c r="R74" s="8"/>
      <c r="T74"/>
    </row>
    <row r="75" spans="2:20" ht="23.1" customHeight="1" x14ac:dyDescent="0.25">
      <c r="B75" s="23" t="s">
        <v>115</v>
      </c>
      <c r="C75" s="49">
        <f>'Avg Week Kampala-Bukaya'!C75+'Avg Week Bukaya-Kampala'!C75</f>
        <v>0</v>
      </c>
      <c r="D75" s="49">
        <f>'Avg Week Kampala-Bukaya'!D75+'Avg Week Bukaya-Kampala'!D75</f>
        <v>0</v>
      </c>
      <c r="E75" s="49">
        <f>'Avg Week Kampala-Bukaya'!E75+'Avg Week Bukaya-Kampala'!E75</f>
        <v>8</v>
      </c>
      <c r="F75" s="49">
        <f>'Avg Week Kampala-Bukaya'!F75+'Avg Week Bukaya-Kampala'!F75</f>
        <v>4</v>
      </c>
      <c r="G75" s="49">
        <f>'Avg Week Kampala-Bukaya'!G75+'Avg Week Bukaya-Kampala'!G75</f>
        <v>0</v>
      </c>
      <c r="H75" s="49">
        <f>'Avg Week Kampala-Bukaya'!H75+'Avg Week Bukaya-Kampala'!H75</f>
        <v>0</v>
      </c>
      <c r="I75" s="49">
        <f>'Avg Week Kampala-Bukaya'!I75+'Avg Week Bukaya-Kampala'!I75</f>
        <v>6</v>
      </c>
      <c r="J75" s="49">
        <f>'Avg Week Kampala-Bukaya'!J75+'Avg Week Bukaya-Kampala'!J75</f>
        <v>0</v>
      </c>
      <c r="K75" s="49">
        <f>'Avg Week Kampala-Bukaya'!K75+'Avg Week Bukaya-Kampala'!K75</f>
        <v>0</v>
      </c>
      <c r="L75" s="49">
        <f>'Avg Week Kampala-Bukaya'!L75+'Avg Week Bukaya-Kampala'!L75</f>
        <v>0</v>
      </c>
      <c r="M75" s="49">
        <f>'Avg Week Kampala-Bukaya'!M75+'Avg Week Bukaya-Kampala'!M75</f>
        <v>0</v>
      </c>
      <c r="N75" s="49">
        <f>'Avg Week Kampala-Bukaya'!N75+'Avg Week Bukaya-Kampala'!N75</f>
        <v>0</v>
      </c>
      <c r="O75" s="15">
        <f t="shared" ref="O75:O106" si="37">SUM(C75:L75,N75)</f>
        <v>18</v>
      </c>
      <c r="P75" s="15">
        <f t="shared" ref="P75:P106" si="38">SUM(C75:N75)</f>
        <v>18</v>
      </c>
      <c r="R75" s="8"/>
      <c r="T75"/>
    </row>
    <row r="76" spans="2:20" ht="23.1" customHeight="1" x14ac:dyDescent="0.25">
      <c r="B76" s="23" t="s">
        <v>116</v>
      </c>
      <c r="C76" s="49">
        <f>'Avg Week Kampala-Bukaya'!C76+'Avg Week Bukaya-Kampala'!C76</f>
        <v>2</v>
      </c>
      <c r="D76" s="49">
        <f>'Avg Week Kampala-Bukaya'!D76+'Avg Week Bukaya-Kampala'!D76</f>
        <v>0</v>
      </c>
      <c r="E76" s="49">
        <f>'Avg Week Kampala-Bukaya'!E76+'Avg Week Bukaya-Kampala'!E76</f>
        <v>4</v>
      </c>
      <c r="F76" s="49">
        <f>'Avg Week Kampala-Bukaya'!F76+'Avg Week Bukaya-Kampala'!F76</f>
        <v>2</v>
      </c>
      <c r="G76" s="49">
        <f>'Avg Week Kampala-Bukaya'!G76+'Avg Week Bukaya-Kampala'!G76</f>
        <v>0</v>
      </c>
      <c r="H76" s="49">
        <f>'Avg Week Kampala-Bukaya'!H76+'Avg Week Bukaya-Kampala'!H76</f>
        <v>0</v>
      </c>
      <c r="I76" s="49">
        <f>'Avg Week Kampala-Bukaya'!I76+'Avg Week Bukaya-Kampala'!I76</f>
        <v>10</v>
      </c>
      <c r="J76" s="49">
        <f>'Avg Week Kampala-Bukaya'!J76+'Avg Week Bukaya-Kampala'!J76</f>
        <v>0</v>
      </c>
      <c r="K76" s="49">
        <f>'Avg Week Kampala-Bukaya'!K76+'Avg Week Bukaya-Kampala'!K76</f>
        <v>0</v>
      </c>
      <c r="L76" s="49">
        <f>'Avg Week Kampala-Bukaya'!L76+'Avg Week Bukaya-Kampala'!L76</f>
        <v>0</v>
      </c>
      <c r="M76" s="49">
        <f>'Avg Week Kampala-Bukaya'!M76+'Avg Week Bukaya-Kampala'!M76</f>
        <v>0</v>
      </c>
      <c r="N76" s="49">
        <f>'Avg Week Kampala-Bukaya'!N76+'Avg Week Bukaya-Kampala'!N76</f>
        <v>0</v>
      </c>
      <c r="O76" s="15">
        <f t="shared" si="37"/>
        <v>18</v>
      </c>
      <c r="P76" s="15">
        <f t="shared" si="38"/>
        <v>18</v>
      </c>
      <c r="R76" s="8"/>
      <c r="T76"/>
    </row>
    <row r="77" spans="2:20" ht="23.1" customHeight="1" x14ac:dyDescent="0.25">
      <c r="B77" s="23" t="s">
        <v>117</v>
      </c>
      <c r="C77" s="49">
        <f>'Avg Week Kampala-Bukaya'!C77+'Avg Week Bukaya-Kampala'!C77</f>
        <v>8</v>
      </c>
      <c r="D77" s="49">
        <f>'Avg Week Kampala-Bukaya'!D77+'Avg Week Bukaya-Kampala'!D77</f>
        <v>0</v>
      </c>
      <c r="E77" s="49">
        <f>'Avg Week Kampala-Bukaya'!E77+'Avg Week Bukaya-Kampala'!E77</f>
        <v>4</v>
      </c>
      <c r="F77" s="49">
        <f>'Avg Week Kampala-Bukaya'!F77+'Avg Week Bukaya-Kampala'!F77</f>
        <v>2</v>
      </c>
      <c r="G77" s="49">
        <f>'Avg Week Kampala-Bukaya'!G77+'Avg Week Bukaya-Kampala'!G77</f>
        <v>0</v>
      </c>
      <c r="H77" s="49">
        <f>'Avg Week Kampala-Bukaya'!H77+'Avg Week Bukaya-Kampala'!H77</f>
        <v>0</v>
      </c>
      <c r="I77" s="49">
        <f>'Avg Week Kampala-Bukaya'!I77+'Avg Week Bukaya-Kampala'!I77</f>
        <v>6</v>
      </c>
      <c r="J77" s="49">
        <f>'Avg Week Kampala-Bukaya'!J77+'Avg Week Bukaya-Kampala'!J77</f>
        <v>0</v>
      </c>
      <c r="K77" s="49">
        <f>'Avg Week Kampala-Bukaya'!K77+'Avg Week Bukaya-Kampala'!K77</f>
        <v>0</v>
      </c>
      <c r="L77" s="49">
        <f>'Avg Week Kampala-Bukaya'!L77+'Avg Week Bukaya-Kampala'!L77</f>
        <v>0</v>
      </c>
      <c r="M77" s="49">
        <f>'Avg Week Kampala-Bukaya'!M77+'Avg Week Bukaya-Kampala'!M77</f>
        <v>0</v>
      </c>
      <c r="N77" s="49">
        <f>'Avg Week Kampala-Bukaya'!N77+'Avg Week Bukaya-Kampala'!N77</f>
        <v>0</v>
      </c>
      <c r="O77" s="15">
        <f t="shared" si="37"/>
        <v>20</v>
      </c>
      <c r="P77" s="15">
        <f t="shared" si="38"/>
        <v>20</v>
      </c>
      <c r="R77" s="8"/>
      <c r="T77"/>
    </row>
    <row r="78" spans="2:20" ht="23.1" customHeight="1" x14ac:dyDescent="0.25">
      <c r="B78" s="24" t="s">
        <v>118</v>
      </c>
      <c r="C78" s="49">
        <f>'Avg Week Kampala-Bukaya'!C78+'Avg Week Bukaya-Kampala'!C78</f>
        <v>4</v>
      </c>
      <c r="D78" s="49">
        <f>'Avg Week Kampala-Bukaya'!D78+'Avg Week Bukaya-Kampala'!D78</f>
        <v>0</v>
      </c>
      <c r="E78" s="49">
        <f>'Avg Week Kampala-Bukaya'!E78+'Avg Week Bukaya-Kampala'!E78</f>
        <v>2</v>
      </c>
      <c r="F78" s="49">
        <f>'Avg Week Kampala-Bukaya'!F78+'Avg Week Bukaya-Kampala'!F78</f>
        <v>6</v>
      </c>
      <c r="G78" s="49">
        <f>'Avg Week Kampala-Bukaya'!G78+'Avg Week Bukaya-Kampala'!G78</f>
        <v>0</v>
      </c>
      <c r="H78" s="49">
        <f>'Avg Week Kampala-Bukaya'!H78+'Avg Week Bukaya-Kampala'!H78</f>
        <v>0</v>
      </c>
      <c r="I78" s="49">
        <f>'Avg Week Kampala-Bukaya'!I78+'Avg Week Bukaya-Kampala'!I78</f>
        <v>4</v>
      </c>
      <c r="J78" s="49">
        <f>'Avg Week Kampala-Bukaya'!J78+'Avg Week Bukaya-Kampala'!J78</f>
        <v>0</v>
      </c>
      <c r="K78" s="49">
        <f>'Avg Week Kampala-Bukaya'!K78+'Avg Week Bukaya-Kampala'!K78</f>
        <v>2</v>
      </c>
      <c r="L78" s="49">
        <f>'Avg Week Kampala-Bukaya'!L78+'Avg Week Bukaya-Kampala'!L78</f>
        <v>0</v>
      </c>
      <c r="M78" s="49">
        <f>'Avg Week Kampala-Bukaya'!M78+'Avg Week Bukaya-Kampala'!M78</f>
        <v>0</v>
      </c>
      <c r="N78" s="49">
        <f>'Avg Week Kampala-Bukaya'!N78+'Avg Week Bukaya-Kampala'!N78</f>
        <v>0</v>
      </c>
      <c r="O78" s="15">
        <f t="shared" si="37"/>
        <v>18</v>
      </c>
      <c r="P78" s="15">
        <f t="shared" si="38"/>
        <v>18</v>
      </c>
      <c r="R78" s="8"/>
      <c r="T78"/>
    </row>
    <row r="79" spans="2:20" ht="23.1" customHeight="1" x14ac:dyDescent="0.25">
      <c r="B79" s="23" t="s">
        <v>119</v>
      </c>
      <c r="C79" s="49">
        <f>'Avg Week Kampala-Bukaya'!C79+'Avg Week Bukaya-Kampala'!C79</f>
        <v>2</v>
      </c>
      <c r="D79" s="49">
        <f>'Avg Week Kampala-Bukaya'!D79+'Avg Week Bukaya-Kampala'!D79</f>
        <v>0</v>
      </c>
      <c r="E79" s="49">
        <f>'Avg Week Kampala-Bukaya'!E79+'Avg Week Bukaya-Kampala'!E79</f>
        <v>0</v>
      </c>
      <c r="F79" s="49">
        <f>'Avg Week Kampala-Bukaya'!F79+'Avg Week Bukaya-Kampala'!F79</f>
        <v>0</v>
      </c>
      <c r="G79" s="49">
        <f>'Avg Week Kampala-Bukaya'!G79+'Avg Week Bukaya-Kampala'!G79</f>
        <v>0</v>
      </c>
      <c r="H79" s="49">
        <f>'Avg Week Kampala-Bukaya'!H79+'Avg Week Bukaya-Kampala'!H79</f>
        <v>0</v>
      </c>
      <c r="I79" s="49">
        <f>'Avg Week Kampala-Bukaya'!I79+'Avg Week Bukaya-Kampala'!I79</f>
        <v>0</v>
      </c>
      <c r="J79" s="49">
        <f>'Avg Week Kampala-Bukaya'!J79+'Avg Week Bukaya-Kampala'!J79</f>
        <v>0</v>
      </c>
      <c r="K79" s="49">
        <f>'Avg Week Kampala-Bukaya'!K79+'Avg Week Bukaya-Kampala'!K79</f>
        <v>0</v>
      </c>
      <c r="L79" s="49">
        <f>'Avg Week Kampala-Bukaya'!L79+'Avg Week Bukaya-Kampala'!L79</f>
        <v>0</v>
      </c>
      <c r="M79" s="49">
        <f>'Avg Week Kampala-Bukaya'!M79+'Avg Week Bukaya-Kampala'!M79</f>
        <v>0</v>
      </c>
      <c r="N79" s="49">
        <f>'Avg Week Kampala-Bukaya'!N79+'Avg Week Bukaya-Kampala'!N79</f>
        <v>0</v>
      </c>
      <c r="O79" s="15">
        <f t="shared" si="37"/>
        <v>2</v>
      </c>
      <c r="P79" s="15">
        <f t="shared" si="38"/>
        <v>2</v>
      </c>
      <c r="R79" s="8"/>
      <c r="T79"/>
    </row>
    <row r="80" spans="2:20" ht="23.1" customHeight="1" x14ac:dyDescent="0.25">
      <c r="B80" s="25" t="s">
        <v>120</v>
      </c>
      <c r="C80" s="49">
        <f>'Avg Week Kampala-Bukaya'!C80+'Avg Week Bukaya-Kampala'!C80</f>
        <v>6</v>
      </c>
      <c r="D80" s="49">
        <f>'Avg Week Kampala-Bukaya'!D80+'Avg Week Bukaya-Kampala'!D80</f>
        <v>0</v>
      </c>
      <c r="E80" s="49">
        <f>'Avg Week Kampala-Bukaya'!E80+'Avg Week Bukaya-Kampala'!E80</f>
        <v>4</v>
      </c>
      <c r="F80" s="49">
        <f>'Avg Week Kampala-Bukaya'!F80+'Avg Week Bukaya-Kampala'!F80</f>
        <v>4</v>
      </c>
      <c r="G80" s="49">
        <f>'Avg Week Kampala-Bukaya'!G80+'Avg Week Bukaya-Kampala'!G80</f>
        <v>0</v>
      </c>
      <c r="H80" s="49">
        <f>'Avg Week Kampala-Bukaya'!H80+'Avg Week Bukaya-Kampala'!H80</f>
        <v>0</v>
      </c>
      <c r="I80" s="49">
        <f>'Avg Week Kampala-Bukaya'!I80+'Avg Week Bukaya-Kampala'!I80</f>
        <v>6</v>
      </c>
      <c r="J80" s="49">
        <f>'Avg Week Kampala-Bukaya'!J80+'Avg Week Bukaya-Kampala'!J80</f>
        <v>0</v>
      </c>
      <c r="K80" s="49">
        <f>'Avg Week Kampala-Bukaya'!K80+'Avg Week Bukaya-Kampala'!K80</f>
        <v>0</v>
      </c>
      <c r="L80" s="49">
        <f>'Avg Week Kampala-Bukaya'!L80+'Avg Week Bukaya-Kampala'!L80</f>
        <v>0</v>
      </c>
      <c r="M80" s="49">
        <f>'Avg Week Kampala-Bukaya'!M80+'Avg Week Bukaya-Kampala'!M80</f>
        <v>0</v>
      </c>
      <c r="N80" s="49">
        <f>'Avg Week Kampala-Bukaya'!N80+'Avg Week Bukaya-Kampala'!N80</f>
        <v>0</v>
      </c>
      <c r="O80" s="15">
        <f t="shared" si="37"/>
        <v>20</v>
      </c>
      <c r="P80" s="15">
        <f t="shared" si="38"/>
        <v>20</v>
      </c>
      <c r="R80" s="8"/>
      <c r="T80"/>
    </row>
    <row r="81" spans="2:20" ht="23.1" customHeight="1" x14ac:dyDescent="0.25">
      <c r="B81" s="23" t="s">
        <v>121</v>
      </c>
      <c r="C81" s="49">
        <f>'Avg Week Kampala-Bukaya'!C81+'Avg Week Bukaya-Kampala'!C81</f>
        <v>2</v>
      </c>
      <c r="D81" s="49">
        <f>'Avg Week Kampala-Bukaya'!D81+'Avg Week Bukaya-Kampala'!D81</f>
        <v>0</v>
      </c>
      <c r="E81" s="49">
        <f>'Avg Week Kampala-Bukaya'!E81+'Avg Week Bukaya-Kampala'!E81</f>
        <v>2</v>
      </c>
      <c r="F81" s="49">
        <f>'Avg Week Kampala-Bukaya'!F81+'Avg Week Bukaya-Kampala'!F81</f>
        <v>2</v>
      </c>
      <c r="G81" s="49">
        <f>'Avg Week Kampala-Bukaya'!G81+'Avg Week Bukaya-Kampala'!G81</f>
        <v>0</v>
      </c>
      <c r="H81" s="49">
        <f>'Avg Week Kampala-Bukaya'!H81+'Avg Week Bukaya-Kampala'!H81</f>
        <v>0</v>
      </c>
      <c r="I81" s="49">
        <f>'Avg Week Kampala-Bukaya'!I81+'Avg Week Bukaya-Kampala'!I81</f>
        <v>10</v>
      </c>
      <c r="J81" s="49">
        <f>'Avg Week Kampala-Bukaya'!J81+'Avg Week Bukaya-Kampala'!J81</f>
        <v>0</v>
      </c>
      <c r="K81" s="49">
        <f>'Avg Week Kampala-Bukaya'!K81+'Avg Week Bukaya-Kampala'!K81</f>
        <v>0</v>
      </c>
      <c r="L81" s="49">
        <f>'Avg Week Kampala-Bukaya'!L81+'Avg Week Bukaya-Kampala'!L81</f>
        <v>0</v>
      </c>
      <c r="M81" s="49">
        <f>'Avg Week Kampala-Bukaya'!M81+'Avg Week Bukaya-Kampala'!M81</f>
        <v>0</v>
      </c>
      <c r="N81" s="49">
        <f>'Avg Week Kampala-Bukaya'!N81+'Avg Week Bukaya-Kampala'!N81</f>
        <v>0</v>
      </c>
      <c r="O81" s="15">
        <f t="shared" si="37"/>
        <v>16</v>
      </c>
      <c r="P81" s="15">
        <f t="shared" si="38"/>
        <v>16</v>
      </c>
      <c r="R81" s="8"/>
      <c r="T81"/>
    </row>
    <row r="82" spans="2:20" ht="23.1" customHeight="1" x14ac:dyDescent="0.25">
      <c r="B82" s="24" t="s">
        <v>122</v>
      </c>
      <c r="C82" s="49">
        <f>'Avg Week Kampala-Bukaya'!C82+'Avg Week Bukaya-Kampala'!C82</f>
        <v>0</v>
      </c>
      <c r="D82" s="49">
        <f>'Avg Week Kampala-Bukaya'!D82+'Avg Week Bukaya-Kampala'!D82</f>
        <v>0</v>
      </c>
      <c r="E82" s="49">
        <f>'Avg Week Kampala-Bukaya'!E82+'Avg Week Bukaya-Kampala'!E82</f>
        <v>4</v>
      </c>
      <c r="F82" s="49">
        <f>'Avg Week Kampala-Bukaya'!F82+'Avg Week Bukaya-Kampala'!F82</f>
        <v>0</v>
      </c>
      <c r="G82" s="49">
        <f>'Avg Week Kampala-Bukaya'!G82+'Avg Week Bukaya-Kampala'!G82</f>
        <v>0</v>
      </c>
      <c r="H82" s="49">
        <f>'Avg Week Kampala-Bukaya'!H82+'Avg Week Bukaya-Kampala'!H82</f>
        <v>0</v>
      </c>
      <c r="I82" s="49">
        <f>'Avg Week Kampala-Bukaya'!I82+'Avg Week Bukaya-Kampala'!I82</f>
        <v>0</v>
      </c>
      <c r="J82" s="49">
        <f>'Avg Week Kampala-Bukaya'!J82+'Avg Week Bukaya-Kampala'!J82</f>
        <v>0</v>
      </c>
      <c r="K82" s="49">
        <f>'Avg Week Kampala-Bukaya'!K82+'Avg Week Bukaya-Kampala'!K82</f>
        <v>0</v>
      </c>
      <c r="L82" s="49">
        <f>'Avg Week Kampala-Bukaya'!L82+'Avg Week Bukaya-Kampala'!L82</f>
        <v>0</v>
      </c>
      <c r="M82" s="49">
        <f>'Avg Week Kampala-Bukaya'!M82+'Avg Week Bukaya-Kampala'!M82</f>
        <v>0</v>
      </c>
      <c r="N82" s="49">
        <f>'Avg Week Kampala-Bukaya'!N82+'Avg Week Bukaya-Kampala'!N82</f>
        <v>0</v>
      </c>
      <c r="O82" s="15">
        <f t="shared" si="37"/>
        <v>4</v>
      </c>
      <c r="P82" s="15">
        <f t="shared" si="38"/>
        <v>4</v>
      </c>
      <c r="R82" s="8"/>
      <c r="T82"/>
    </row>
    <row r="83" spans="2:20" ht="23.1" customHeight="1" x14ac:dyDescent="0.25">
      <c r="B83" s="23" t="s">
        <v>123</v>
      </c>
      <c r="C83" s="49">
        <f>'Avg Week Kampala-Bukaya'!C83+'Avg Week Bukaya-Kampala'!C83</f>
        <v>4</v>
      </c>
      <c r="D83" s="49">
        <f>'Avg Week Kampala-Bukaya'!D83+'Avg Week Bukaya-Kampala'!D83</f>
        <v>0</v>
      </c>
      <c r="E83" s="49">
        <f>'Avg Week Kampala-Bukaya'!E83+'Avg Week Bukaya-Kampala'!E83</f>
        <v>0</v>
      </c>
      <c r="F83" s="49">
        <f>'Avg Week Kampala-Bukaya'!F83+'Avg Week Bukaya-Kampala'!F83</f>
        <v>0</v>
      </c>
      <c r="G83" s="49">
        <f>'Avg Week Kampala-Bukaya'!G83+'Avg Week Bukaya-Kampala'!G83</f>
        <v>0</v>
      </c>
      <c r="H83" s="49">
        <f>'Avg Week Kampala-Bukaya'!H83+'Avg Week Bukaya-Kampala'!H83</f>
        <v>0</v>
      </c>
      <c r="I83" s="49">
        <f>'Avg Week Kampala-Bukaya'!I83+'Avg Week Bukaya-Kampala'!I83</f>
        <v>0</v>
      </c>
      <c r="J83" s="49">
        <f>'Avg Week Kampala-Bukaya'!J83+'Avg Week Bukaya-Kampala'!J83</f>
        <v>0</v>
      </c>
      <c r="K83" s="49">
        <f>'Avg Week Kampala-Bukaya'!K83+'Avg Week Bukaya-Kampala'!K83</f>
        <v>0</v>
      </c>
      <c r="L83" s="49">
        <f>'Avg Week Kampala-Bukaya'!L83+'Avg Week Bukaya-Kampala'!L83</f>
        <v>0</v>
      </c>
      <c r="M83" s="49">
        <f>'Avg Week Kampala-Bukaya'!M83+'Avg Week Bukaya-Kampala'!M83</f>
        <v>0</v>
      </c>
      <c r="N83" s="49">
        <f>'Avg Week Kampala-Bukaya'!N83+'Avg Week Bukaya-Kampala'!N83</f>
        <v>0</v>
      </c>
      <c r="O83" s="15">
        <f t="shared" si="37"/>
        <v>4</v>
      </c>
      <c r="P83" s="15">
        <f t="shared" si="38"/>
        <v>4</v>
      </c>
      <c r="R83" s="8"/>
      <c r="T83"/>
    </row>
    <row r="84" spans="2:20" ht="23.1" customHeight="1" x14ac:dyDescent="0.25">
      <c r="B84" s="25" t="s">
        <v>124</v>
      </c>
      <c r="C84" s="49">
        <f>'Avg Week Kampala-Bukaya'!C84+'Avg Week Bukaya-Kampala'!C84</f>
        <v>4</v>
      </c>
      <c r="D84" s="49">
        <f>'Avg Week Kampala-Bukaya'!D84+'Avg Week Bukaya-Kampala'!D84</f>
        <v>0</v>
      </c>
      <c r="E84" s="49">
        <f>'Avg Week Kampala-Bukaya'!E84+'Avg Week Bukaya-Kampala'!E84</f>
        <v>2</v>
      </c>
      <c r="F84" s="49">
        <f>'Avg Week Kampala-Bukaya'!F84+'Avg Week Bukaya-Kampala'!F84</f>
        <v>2</v>
      </c>
      <c r="G84" s="49">
        <f>'Avg Week Kampala-Bukaya'!G84+'Avg Week Bukaya-Kampala'!G84</f>
        <v>0</v>
      </c>
      <c r="H84" s="49">
        <f>'Avg Week Kampala-Bukaya'!H84+'Avg Week Bukaya-Kampala'!H84</f>
        <v>0</v>
      </c>
      <c r="I84" s="49">
        <f>'Avg Week Kampala-Bukaya'!I84+'Avg Week Bukaya-Kampala'!I84</f>
        <v>2</v>
      </c>
      <c r="J84" s="49">
        <f>'Avg Week Kampala-Bukaya'!J84+'Avg Week Bukaya-Kampala'!J84</f>
        <v>0</v>
      </c>
      <c r="K84" s="49">
        <f>'Avg Week Kampala-Bukaya'!K84+'Avg Week Bukaya-Kampala'!K84</f>
        <v>0</v>
      </c>
      <c r="L84" s="49">
        <f>'Avg Week Kampala-Bukaya'!L84+'Avg Week Bukaya-Kampala'!L84</f>
        <v>0</v>
      </c>
      <c r="M84" s="49">
        <f>'Avg Week Kampala-Bukaya'!M84+'Avg Week Bukaya-Kampala'!M84</f>
        <v>0</v>
      </c>
      <c r="N84" s="49">
        <f>'Avg Week Kampala-Bukaya'!N84+'Avg Week Bukaya-Kampala'!N84</f>
        <v>0</v>
      </c>
      <c r="O84" s="15">
        <f t="shared" si="37"/>
        <v>10</v>
      </c>
      <c r="P84" s="15">
        <f t="shared" si="38"/>
        <v>10</v>
      </c>
      <c r="R84" s="8"/>
      <c r="T84"/>
    </row>
    <row r="85" spans="2:20" ht="23.1" customHeight="1" x14ac:dyDescent="0.25">
      <c r="B85" s="23" t="s">
        <v>125</v>
      </c>
      <c r="C85" s="49">
        <f>'Avg Week Kampala-Bukaya'!C85+'Avg Week Bukaya-Kampala'!C85</f>
        <v>2</v>
      </c>
      <c r="D85" s="49">
        <f>'Avg Week Kampala-Bukaya'!D85+'Avg Week Bukaya-Kampala'!D85</f>
        <v>0</v>
      </c>
      <c r="E85" s="49">
        <f>'Avg Week Kampala-Bukaya'!E85+'Avg Week Bukaya-Kampala'!E85</f>
        <v>0</v>
      </c>
      <c r="F85" s="49">
        <f>'Avg Week Kampala-Bukaya'!F85+'Avg Week Bukaya-Kampala'!F85</f>
        <v>0</v>
      </c>
      <c r="G85" s="49">
        <f>'Avg Week Kampala-Bukaya'!G85+'Avg Week Bukaya-Kampala'!G85</f>
        <v>0</v>
      </c>
      <c r="H85" s="49">
        <f>'Avg Week Kampala-Bukaya'!H85+'Avg Week Bukaya-Kampala'!H85</f>
        <v>0</v>
      </c>
      <c r="I85" s="49">
        <f>'Avg Week Kampala-Bukaya'!I85+'Avg Week Bukaya-Kampala'!I85</f>
        <v>0</v>
      </c>
      <c r="J85" s="49">
        <f>'Avg Week Kampala-Bukaya'!J85+'Avg Week Bukaya-Kampala'!J85</f>
        <v>0</v>
      </c>
      <c r="K85" s="49">
        <f>'Avg Week Kampala-Bukaya'!K85+'Avg Week Bukaya-Kampala'!K85</f>
        <v>0</v>
      </c>
      <c r="L85" s="49">
        <f>'Avg Week Kampala-Bukaya'!L85+'Avg Week Bukaya-Kampala'!L85</f>
        <v>0</v>
      </c>
      <c r="M85" s="49">
        <f>'Avg Week Kampala-Bukaya'!M85+'Avg Week Bukaya-Kampala'!M85</f>
        <v>0</v>
      </c>
      <c r="N85" s="49">
        <f>'Avg Week Kampala-Bukaya'!N85+'Avg Week Bukaya-Kampala'!N85</f>
        <v>0</v>
      </c>
      <c r="O85" s="15">
        <f t="shared" si="37"/>
        <v>2</v>
      </c>
      <c r="P85" s="15">
        <f t="shared" si="38"/>
        <v>2</v>
      </c>
      <c r="R85" s="8"/>
      <c r="T85"/>
    </row>
    <row r="86" spans="2:20" ht="23.1" customHeight="1" x14ac:dyDescent="0.25">
      <c r="B86" s="24" t="s">
        <v>126</v>
      </c>
      <c r="C86" s="49">
        <f>'Avg Week Kampala-Bukaya'!C86+'Avg Week Bukaya-Kampala'!C86</f>
        <v>0</v>
      </c>
      <c r="D86" s="49">
        <f>'Avg Week Kampala-Bukaya'!D86+'Avg Week Bukaya-Kampala'!D86</f>
        <v>0</v>
      </c>
      <c r="E86" s="49">
        <f>'Avg Week Kampala-Bukaya'!E86+'Avg Week Bukaya-Kampala'!E86</f>
        <v>2</v>
      </c>
      <c r="F86" s="49">
        <f>'Avg Week Kampala-Bukaya'!F86+'Avg Week Bukaya-Kampala'!F86</f>
        <v>2</v>
      </c>
      <c r="G86" s="49">
        <f>'Avg Week Kampala-Bukaya'!G86+'Avg Week Bukaya-Kampala'!G86</f>
        <v>0</v>
      </c>
      <c r="H86" s="49">
        <f>'Avg Week Kampala-Bukaya'!H86+'Avg Week Bukaya-Kampala'!H86</f>
        <v>0</v>
      </c>
      <c r="I86" s="49">
        <f>'Avg Week Kampala-Bukaya'!I86+'Avg Week Bukaya-Kampala'!I86</f>
        <v>0</v>
      </c>
      <c r="J86" s="49">
        <f>'Avg Week Kampala-Bukaya'!J86+'Avg Week Bukaya-Kampala'!J86</f>
        <v>0</v>
      </c>
      <c r="K86" s="49">
        <f>'Avg Week Kampala-Bukaya'!K86+'Avg Week Bukaya-Kampala'!K86</f>
        <v>0</v>
      </c>
      <c r="L86" s="49">
        <f>'Avg Week Kampala-Bukaya'!L86+'Avg Week Bukaya-Kampala'!L86</f>
        <v>0</v>
      </c>
      <c r="M86" s="49">
        <f>'Avg Week Kampala-Bukaya'!M86+'Avg Week Bukaya-Kampala'!M86</f>
        <v>0</v>
      </c>
      <c r="N86" s="49">
        <f>'Avg Week Kampala-Bukaya'!N86+'Avg Week Bukaya-Kampala'!N86</f>
        <v>0</v>
      </c>
      <c r="O86" s="15">
        <f t="shared" si="37"/>
        <v>4</v>
      </c>
      <c r="P86" s="15">
        <f t="shared" si="38"/>
        <v>4</v>
      </c>
      <c r="R86" s="8"/>
      <c r="T86"/>
    </row>
    <row r="87" spans="2:20" ht="23.1" customHeight="1" x14ac:dyDescent="0.25">
      <c r="B87" s="23" t="s">
        <v>127</v>
      </c>
      <c r="C87" s="49">
        <f>'Avg Week Kampala-Bukaya'!C87+'Avg Week Bukaya-Kampala'!C87</f>
        <v>2</v>
      </c>
      <c r="D87" s="49">
        <f>'Avg Week Kampala-Bukaya'!D87+'Avg Week Bukaya-Kampala'!D87</f>
        <v>0</v>
      </c>
      <c r="E87" s="49">
        <f>'Avg Week Kampala-Bukaya'!E87+'Avg Week Bukaya-Kampala'!E87</f>
        <v>0</v>
      </c>
      <c r="F87" s="49">
        <f>'Avg Week Kampala-Bukaya'!F87+'Avg Week Bukaya-Kampala'!F87</f>
        <v>0</v>
      </c>
      <c r="G87" s="49">
        <f>'Avg Week Kampala-Bukaya'!G87+'Avg Week Bukaya-Kampala'!G87</f>
        <v>0</v>
      </c>
      <c r="H87" s="49">
        <f>'Avg Week Kampala-Bukaya'!H87+'Avg Week Bukaya-Kampala'!H87</f>
        <v>0</v>
      </c>
      <c r="I87" s="49">
        <f>'Avg Week Kampala-Bukaya'!I87+'Avg Week Bukaya-Kampala'!I87</f>
        <v>0</v>
      </c>
      <c r="J87" s="49">
        <f>'Avg Week Kampala-Bukaya'!J87+'Avg Week Bukaya-Kampala'!J87</f>
        <v>0</v>
      </c>
      <c r="K87" s="49">
        <f>'Avg Week Kampala-Bukaya'!K87+'Avg Week Bukaya-Kampala'!K87</f>
        <v>0</v>
      </c>
      <c r="L87" s="49">
        <f>'Avg Week Kampala-Bukaya'!L87+'Avg Week Bukaya-Kampala'!L87</f>
        <v>0</v>
      </c>
      <c r="M87" s="49">
        <f>'Avg Week Kampala-Bukaya'!M87+'Avg Week Bukaya-Kampala'!M87</f>
        <v>0</v>
      </c>
      <c r="N87" s="49">
        <f>'Avg Week Kampala-Bukaya'!N87+'Avg Week Bukaya-Kampala'!N87</f>
        <v>0</v>
      </c>
      <c r="O87" s="15">
        <f t="shared" si="37"/>
        <v>2</v>
      </c>
      <c r="P87" s="15">
        <f t="shared" si="38"/>
        <v>2</v>
      </c>
      <c r="R87" s="8"/>
      <c r="T87"/>
    </row>
    <row r="88" spans="2:20" ht="23.1" customHeight="1" x14ac:dyDescent="0.25">
      <c r="B88" s="25" t="s">
        <v>128</v>
      </c>
      <c r="C88" s="49">
        <f>'Avg Week Kampala-Bukaya'!C88+'Avg Week Bukaya-Kampala'!C88</f>
        <v>2</v>
      </c>
      <c r="D88" s="49">
        <f>'Avg Week Kampala-Bukaya'!D88+'Avg Week Bukaya-Kampala'!D88</f>
        <v>0</v>
      </c>
      <c r="E88" s="49">
        <f>'Avg Week Kampala-Bukaya'!E88+'Avg Week Bukaya-Kampala'!E88</f>
        <v>2</v>
      </c>
      <c r="F88" s="49">
        <f>'Avg Week Kampala-Bukaya'!F88+'Avg Week Bukaya-Kampala'!F88</f>
        <v>2</v>
      </c>
      <c r="G88" s="49">
        <f>'Avg Week Kampala-Bukaya'!G88+'Avg Week Bukaya-Kampala'!G88</f>
        <v>0</v>
      </c>
      <c r="H88" s="49">
        <f>'Avg Week Kampala-Bukaya'!H88+'Avg Week Bukaya-Kampala'!H88</f>
        <v>0</v>
      </c>
      <c r="I88" s="49">
        <f>'Avg Week Kampala-Bukaya'!I88+'Avg Week Bukaya-Kampala'!I88</f>
        <v>2</v>
      </c>
      <c r="J88" s="49">
        <f>'Avg Week Kampala-Bukaya'!J88+'Avg Week Bukaya-Kampala'!J88</f>
        <v>0</v>
      </c>
      <c r="K88" s="49">
        <f>'Avg Week Kampala-Bukaya'!K88+'Avg Week Bukaya-Kampala'!K88</f>
        <v>0</v>
      </c>
      <c r="L88" s="49">
        <f>'Avg Week Kampala-Bukaya'!L88+'Avg Week Bukaya-Kampala'!L88</f>
        <v>0</v>
      </c>
      <c r="M88" s="49">
        <f>'Avg Week Kampala-Bukaya'!M88+'Avg Week Bukaya-Kampala'!M88</f>
        <v>0</v>
      </c>
      <c r="N88" s="49">
        <f>'Avg Week Kampala-Bukaya'!N88+'Avg Week Bukaya-Kampala'!N88</f>
        <v>0</v>
      </c>
      <c r="O88" s="15">
        <f t="shared" si="37"/>
        <v>8</v>
      </c>
      <c r="P88" s="15">
        <f t="shared" si="38"/>
        <v>8</v>
      </c>
      <c r="R88" s="8"/>
      <c r="T88"/>
    </row>
    <row r="89" spans="2:20" ht="23.1" customHeight="1" x14ac:dyDescent="0.25">
      <c r="B89" s="23" t="s">
        <v>129</v>
      </c>
      <c r="C89" s="49">
        <f>'Avg Week Kampala-Bukaya'!C89+'Avg Week Bukaya-Kampala'!C89</f>
        <v>0</v>
      </c>
      <c r="D89" s="49">
        <f>'Avg Week Kampala-Bukaya'!D89+'Avg Week Bukaya-Kampala'!D89</f>
        <v>0</v>
      </c>
      <c r="E89" s="49">
        <f>'Avg Week Kampala-Bukaya'!E89+'Avg Week Bukaya-Kampala'!E89</f>
        <v>0</v>
      </c>
      <c r="F89" s="49">
        <f>'Avg Week Kampala-Bukaya'!F89+'Avg Week Bukaya-Kampala'!F89</f>
        <v>0</v>
      </c>
      <c r="G89" s="49">
        <f>'Avg Week Kampala-Bukaya'!G89+'Avg Week Bukaya-Kampala'!G89</f>
        <v>0</v>
      </c>
      <c r="H89" s="49">
        <f>'Avg Week Kampala-Bukaya'!H89+'Avg Week Bukaya-Kampala'!H89</f>
        <v>0</v>
      </c>
      <c r="I89" s="49">
        <f>'Avg Week Kampala-Bukaya'!I89+'Avg Week Bukaya-Kampala'!I89</f>
        <v>0</v>
      </c>
      <c r="J89" s="49">
        <f>'Avg Week Kampala-Bukaya'!J89+'Avg Week Bukaya-Kampala'!J89</f>
        <v>0</v>
      </c>
      <c r="K89" s="49">
        <f>'Avg Week Kampala-Bukaya'!K89+'Avg Week Bukaya-Kampala'!K89</f>
        <v>0</v>
      </c>
      <c r="L89" s="49">
        <f>'Avg Week Kampala-Bukaya'!L89+'Avg Week Bukaya-Kampala'!L89</f>
        <v>0</v>
      </c>
      <c r="M89" s="49">
        <f>'Avg Week Kampala-Bukaya'!M89+'Avg Week Bukaya-Kampala'!M89</f>
        <v>0</v>
      </c>
      <c r="N89" s="49">
        <f>'Avg Week Kampala-Bukaya'!N89+'Avg Week Bukaya-Kampala'!N89</f>
        <v>0</v>
      </c>
      <c r="O89" s="15">
        <f t="shared" si="37"/>
        <v>0</v>
      </c>
      <c r="P89" s="15">
        <f t="shared" si="38"/>
        <v>0</v>
      </c>
      <c r="R89" s="8"/>
      <c r="T89"/>
    </row>
    <row r="90" spans="2:20" ht="23.1" customHeight="1" x14ac:dyDescent="0.25">
      <c r="B90" s="24" t="s">
        <v>130</v>
      </c>
      <c r="C90" s="49">
        <f>'Avg Week Kampala-Bukaya'!C90+'Avg Week Bukaya-Kampala'!C90</f>
        <v>0</v>
      </c>
      <c r="D90" s="49">
        <f>'Avg Week Kampala-Bukaya'!D90+'Avg Week Bukaya-Kampala'!D90</f>
        <v>0</v>
      </c>
      <c r="E90" s="49">
        <f>'Avg Week Kampala-Bukaya'!E90+'Avg Week Bukaya-Kampala'!E90</f>
        <v>0</v>
      </c>
      <c r="F90" s="49">
        <f>'Avg Week Kampala-Bukaya'!F90+'Avg Week Bukaya-Kampala'!F90</f>
        <v>0</v>
      </c>
      <c r="G90" s="49">
        <f>'Avg Week Kampala-Bukaya'!G90+'Avg Week Bukaya-Kampala'!G90</f>
        <v>0</v>
      </c>
      <c r="H90" s="49">
        <f>'Avg Week Kampala-Bukaya'!H90+'Avg Week Bukaya-Kampala'!H90</f>
        <v>0</v>
      </c>
      <c r="I90" s="49">
        <f>'Avg Week Kampala-Bukaya'!I90+'Avg Week Bukaya-Kampala'!I90</f>
        <v>0</v>
      </c>
      <c r="J90" s="49">
        <f>'Avg Week Kampala-Bukaya'!J90+'Avg Week Bukaya-Kampala'!J90</f>
        <v>0</v>
      </c>
      <c r="K90" s="49">
        <f>'Avg Week Kampala-Bukaya'!K90+'Avg Week Bukaya-Kampala'!K90</f>
        <v>0</v>
      </c>
      <c r="L90" s="49">
        <f>'Avg Week Kampala-Bukaya'!L90+'Avg Week Bukaya-Kampala'!L90</f>
        <v>0</v>
      </c>
      <c r="M90" s="49">
        <f>'Avg Week Kampala-Bukaya'!M90+'Avg Week Bukaya-Kampala'!M90</f>
        <v>0</v>
      </c>
      <c r="N90" s="49">
        <f>'Avg Week Kampala-Bukaya'!N90+'Avg Week Bukaya-Kampala'!N90</f>
        <v>0</v>
      </c>
      <c r="O90" s="15">
        <f t="shared" si="37"/>
        <v>0</v>
      </c>
      <c r="P90" s="15">
        <f t="shared" si="38"/>
        <v>0</v>
      </c>
      <c r="R90" s="8"/>
      <c r="T90"/>
    </row>
    <row r="91" spans="2:20" ht="23.1" customHeight="1" x14ac:dyDescent="0.25">
      <c r="B91" s="23" t="s">
        <v>131</v>
      </c>
      <c r="C91" s="49">
        <f>'Avg Week Kampala-Bukaya'!C91+'Avg Week Bukaya-Kampala'!C91</f>
        <v>0</v>
      </c>
      <c r="D91" s="49">
        <f>'Avg Week Kampala-Bukaya'!D91+'Avg Week Bukaya-Kampala'!D91</f>
        <v>0</v>
      </c>
      <c r="E91" s="49">
        <f>'Avg Week Kampala-Bukaya'!E91+'Avg Week Bukaya-Kampala'!E91</f>
        <v>0</v>
      </c>
      <c r="F91" s="49">
        <f>'Avg Week Kampala-Bukaya'!F91+'Avg Week Bukaya-Kampala'!F91</f>
        <v>0</v>
      </c>
      <c r="G91" s="49">
        <f>'Avg Week Kampala-Bukaya'!G91+'Avg Week Bukaya-Kampala'!G91</f>
        <v>0</v>
      </c>
      <c r="H91" s="49">
        <f>'Avg Week Kampala-Bukaya'!H91+'Avg Week Bukaya-Kampala'!H91</f>
        <v>0</v>
      </c>
      <c r="I91" s="49">
        <f>'Avg Week Kampala-Bukaya'!I91+'Avg Week Bukaya-Kampala'!I91</f>
        <v>0</v>
      </c>
      <c r="J91" s="49">
        <f>'Avg Week Kampala-Bukaya'!J91+'Avg Week Bukaya-Kampala'!J91</f>
        <v>0</v>
      </c>
      <c r="K91" s="49">
        <f>'Avg Week Kampala-Bukaya'!K91+'Avg Week Bukaya-Kampala'!K91</f>
        <v>0</v>
      </c>
      <c r="L91" s="49">
        <f>'Avg Week Kampala-Bukaya'!L91+'Avg Week Bukaya-Kampala'!L91</f>
        <v>0</v>
      </c>
      <c r="M91" s="49">
        <f>'Avg Week Kampala-Bukaya'!M91+'Avg Week Bukaya-Kampala'!M91</f>
        <v>0</v>
      </c>
      <c r="N91" s="49">
        <f>'Avg Week Kampala-Bukaya'!N91+'Avg Week Bukaya-Kampala'!N91</f>
        <v>0</v>
      </c>
      <c r="O91" s="15">
        <f t="shared" si="37"/>
        <v>0</v>
      </c>
      <c r="P91" s="15">
        <f t="shared" si="38"/>
        <v>0</v>
      </c>
      <c r="R91" s="8"/>
      <c r="T91"/>
    </row>
    <row r="92" spans="2:20" ht="23.1" customHeight="1" x14ac:dyDescent="0.25">
      <c r="B92" s="25" t="s">
        <v>132</v>
      </c>
      <c r="C92" s="49">
        <f>'Avg Week Kampala-Bukaya'!C92+'Avg Week Bukaya-Kampala'!C92</f>
        <v>0</v>
      </c>
      <c r="D92" s="49">
        <f>'Avg Week Kampala-Bukaya'!D92+'Avg Week Bukaya-Kampala'!D92</f>
        <v>0</v>
      </c>
      <c r="E92" s="49">
        <f>'Avg Week Kampala-Bukaya'!E92+'Avg Week Bukaya-Kampala'!E92</f>
        <v>0</v>
      </c>
      <c r="F92" s="49">
        <f>'Avg Week Kampala-Bukaya'!F92+'Avg Week Bukaya-Kampala'!F92</f>
        <v>0</v>
      </c>
      <c r="G92" s="49">
        <f>'Avg Week Kampala-Bukaya'!G92+'Avg Week Bukaya-Kampala'!G92</f>
        <v>0</v>
      </c>
      <c r="H92" s="49">
        <f>'Avg Week Kampala-Bukaya'!H92+'Avg Week Bukaya-Kampala'!H92</f>
        <v>0</v>
      </c>
      <c r="I92" s="49">
        <f>'Avg Week Kampala-Bukaya'!I92+'Avg Week Bukaya-Kampala'!I92</f>
        <v>0</v>
      </c>
      <c r="J92" s="49">
        <f>'Avg Week Kampala-Bukaya'!J92+'Avg Week Bukaya-Kampala'!J92</f>
        <v>0</v>
      </c>
      <c r="K92" s="49">
        <f>'Avg Week Kampala-Bukaya'!K92+'Avg Week Bukaya-Kampala'!K92</f>
        <v>0</v>
      </c>
      <c r="L92" s="49">
        <f>'Avg Week Kampala-Bukaya'!L92+'Avg Week Bukaya-Kampala'!L92</f>
        <v>0</v>
      </c>
      <c r="M92" s="49">
        <f>'Avg Week Kampala-Bukaya'!M92+'Avg Week Bukaya-Kampala'!M92</f>
        <v>0</v>
      </c>
      <c r="N92" s="49">
        <f>'Avg Week Kampala-Bukaya'!N92+'Avg Week Bukaya-Kampala'!N92</f>
        <v>0</v>
      </c>
      <c r="O92" s="15">
        <f t="shared" si="37"/>
        <v>0</v>
      </c>
      <c r="P92" s="15">
        <f t="shared" si="38"/>
        <v>0</v>
      </c>
      <c r="R92" s="8"/>
      <c r="T92"/>
    </row>
    <row r="93" spans="2:20" ht="23.1" customHeight="1" x14ac:dyDescent="0.25">
      <c r="B93" s="23" t="s">
        <v>133</v>
      </c>
      <c r="C93" s="49">
        <f>'Avg Week Kampala-Bukaya'!C93+'Avg Week Bukaya-Kampala'!C93</f>
        <v>0</v>
      </c>
      <c r="D93" s="49">
        <f>'Avg Week Kampala-Bukaya'!D93+'Avg Week Bukaya-Kampala'!D93</f>
        <v>0</v>
      </c>
      <c r="E93" s="49">
        <f>'Avg Week Kampala-Bukaya'!E93+'Avg Week Bukaya-Kampala'!E93</f>
        <v>0</v>
      </c>
      <c r="F93" s="49">
        <f>'Avg Week Kampala-Bukaya'!F93+'Avg Week Bukaya-Kampala'!F93</f>
        <v>0</v>
      </c>
      <c r="G93" s="49">
        <f>'Avg Week Kampala-Bukaya'!G93+'Avg Week Bukaya-Kampala'!G93</f>
        <v>0</v>
      </c>
      <c r="H93" s="49">
        <f>'Avg Week Kampala-Bukaya'!H93+'Avg Week Bukaya-Kampala'!H93</f>
        <v>0</v>
      </c>
      <c r="I93" s="49">
        <f>'Avg Week Kampala-Bukaya'!I93+'Avg Week Bukaya-Kampala'!I93</f>
        <v>0</v>
      </c>
      <c r="J93" s="49">
        <f>'Avg Week Kampala-Bukaya'!J93+'Avg Week Bukaya-Kampala'!J93</f>
        <v>0</v>
      </c>
      <c r="K93" s="49">
        <f>'Avg Week Kampala-Bukaya'!K93+'Avg Week Bukaya-Kampala'!K93</f>
        <v>0</v>
      </c>
      <c r="L93" s="49">
        <f>'Avg Week Kampala-Bukaya'!L93+'Avg Week Bukaya-Kampala'!L93</f>
        <v>0</v>
      </c>
      <c r="M93" s="49">
        <f>'Avg Week Kampala-Bukaya'!M93+'Avg Week Bukaya-Kampala'!M93</f>
        <v>0</v>
      </c>
      <c r="N93" s="49">
        <f>'Avg Week Kampala-Bukaya'!N93+'Avg Week Bukaya-Kampala'!N93</f>
        <v>0</v>
      </c>
      <c r="O93" s="15">
        <f t="shared" si="37"/>
        <v>0</v>
      </c>
      <c r="P93" s="15">
        <f t="shared" si="38"/>
        <v>0</v>
      </c>
      <c r="R93" s="8"/>
      <c r="T93"/>
    </row>
    <row r="94" spans="2:20" ht="23.1" customHeight="1" x14ac:dyDescent="0.25">
      <c r="B94" s="24" t="s">
        <v>134</v>
      </c>
      <c r="C94" s="49">
        <f>'Avg Week Kampala-Bukaya'!C94+'Avg Week Bukaya-Kampala'!C94</f>
        <v>2</v>
      </c>
      <c r="D94" s="49">
        <f>'Avg Week Kampala-Bukaya'!D94+'Avg Week Bukaya-Kampala'!D94</f>
        <v>0</v>
      </c>
      <c r="E94" s="49">
        <f>'Avg Week Kampala-Bukaya'!E94+'Avg Week Bukaya-Kampala'!E94</f>
        <v>0</v>
      </c>
      <c r="F94" s="49">
        <f>'Avg Week Kampala-Bukaya'!F94+'Avg Week Bukaya-Kampala'!F94</f>
        <v>0</v>
      </c>
      <c r="G94" s="49">
        <f>'Avg Week Kampala-Bukaya'!G94+'Avg Week Bukaya-Kampala'!G94</f>
        <v>0</v>
      </c>
      <c r="H94" s="49">
        <f>'Avg Week Kampala-Bukaya'!H94+'Avg Week Bukaya-Kampala'!H94</f>
        <v>2</v>
      </c>
      <c r="I94" s="49">
        <f>'Avg Week Kampala-Bukaya'!I94+'Avg Week Bukaya-Kampala'!I94</f>
        <v>0</v>
      </c>
      <c r="J94" s="49">
        <f>'Avg Week Kampala-Bukaya'!J94+'Avg Week Bukaya-Kampala'!J94</f>
        <v>0</v>
      </c>
      <c r="K94" s="49">
        <f>'Avg Week Kampala-Bukaya'!K94+'Avg Week Bukaya-Kampala'!K94</f>
        <v>0</v>
      </c>
      <c r="L94" s="49">
        <f>'Avg Week Kampala-Bukaya'!L94+'Avg Week Bukaya-Kampala'!L94</f>
        <v>0</v>
      </c>
      <c r="M94" s="49">
        <f>'Avg Week Kampala-Bukaya'!M94+'Avg Week Bukaya-Kampala'!M94</f>
        <v>0</v>
      </c>
      <c r="N94" s="49">
        <f>'Avg Week Kampala-Bukaya'!N94+'Avg Week Bukaya-Kampala'!N94</f>
        <v>0</v>
      </c>
      <c r="O94" s="15">
        <f t="shared" si="37"/>
        <v>4</v>
      </c>
      <c r="P94" s="15">
        <f t="shared" si="38"/>
        <v>4</v>
      </c>
      <c r="R94" s="8"/>
      <c r="T94"/>
    </row>
    <row r="95" spans="2:20" ht="23.1" customHeight="1" x14ac:dyDescent="0.25">
      <c r="B95" s="23" t="s">
        <v>135</v>
      </c>
      <c r="C95" s="49">
        <f>'Avg Week Kampala-Bukaya'!C95+'Avg Week Bukaya-Kampala'!C95</f>
        <v>0</v>
      </c>
      <c r="D95" s="49">
        <f>'Avg Week Kampala-Bukaya'!D95+'Avg Week Bukaya-Kampala'!D95</f>
        <v>0</v>
      </c>
      <c r="E95" s="49">
        <f>'Avg Week Kampala-Bukaya'!E95+'Avg Week Bukaya-Kampala'!E95</f>
        <v>0</v>
      </c>
      <c r="F95" s="49">
        <f>'Avg Week Kampala-Bukaya'!F95+'Avg Week Bukaya-Kampala'!F95</f>
        <v>2</v>
      </c>
      <c r="G95" s="49">
        <f>'Avg Week Kampala-Bukaya'!G95+'Avg Week Bukaya-Kampala'!G95</f>
        <v>0</v>
      </c>
      <c r="H95" s="49">
        <f>'Avg Week Kampala-Bukaya'!H95+'Avg Week Bukaya-Kampala'!H95</f>
        <v>0</v>
      </c>
      <c r="I95" s="49">
        <f>'Avg Week Kampala-Bukaya'!I95+'Avg Week Bukaya-Kampala'!I95</f>
        <v>0</v>
      </c>
      <c r="J95" s="49">
        <f>'Avg Week Kampala-Bukaya'!J95+'Avg Week Bukaya-Kampala'!J95</f>
        <v>0</v>
      </c>
      <c r="K95" s="49">
        <f>'Avg Week Kampala-Bukaya'!K95+'Avg Week Bukaya-Kampala'!K95</f>
        <v>0</v>
      </c>
      <c r="L95" s="49">
        <f>'Avg Week Kampala-Bukaya'!L95+'Avg Week Bukaya-Kampala'!L95</f>
        <v>0</v>
      </c>
      <c r="M95" s="49">
        <f>'Avg Week Kampala-Bukaya'!M95+'Avg Week Bukaya-Kampala'!M95</f>
        <v>0</v>
      </c>
      <c r="N95" s="49">
        <f>'Avg Week Kampala-Bukaya'!N95+'Avg Week Bukaya-Kampala'!N95</f>
        <v>0</v>
      </c>
      <c r="O95" s="15">
        <f t="shared" si="37"/>
        <v>2</v>
      </c>
      <c r="P95" s="15">
        <f t="shared" si="38"/>
        <v>2</v>
      </c>
      <c r="R95" s="8"/>
      <c r="T95"/>
    </row>
    <row r="96" spans="2:20" ht="23.1" customHeight="1" x14ac:dyDescent="0.25">
      <c r="B96" s="25" t="s">
        <v>136</v>
      </c>
      <c r="C96" s="49">
        <f>'Avg Week Kampala-Bukaya'!C96+'Avg Week Bukaya-Kampala'!C96</f>
        <v>4</v>
      </c>
      <c r="D96" s="49">
        <f>'Avg Week Kampala-Bukaya'!D96+'Avg Week Bukaya-Kampala'!D96</f>
        <v>0</v>
      </c>
      <c r="E96" s="49">
        <f>'Avg Week Kampala-Bukaya'!E96+'Avg Week Bukaya-Kampala'!E96</f>
        <v>6</v>
      </c>
      <c r="F96" s="49">
        <f>'Avg Week Kampala-Bukaya'!F96+'Avg Week Bukaya-Kampala'!F96</f>
        <v>0</v>
      </c>
      <c r="G96" s="49">
        <f>'Avg Week Kampala-Bukaya'!G96+'Avg Week Bukaya-Kampala'!G96</f>
        <v>0</v>
      </c>
      <c r="H96" s="49">
        <f>'Avg Week Kampala-Bukaya'!H96+'Avg Week Bukaya-Kampala'!H96</f>
        <v>0</v>
      </c>
      <c r="I96" s="49">
        <f>'Avg Week Kampala-Bukaya'!I96+'Avg Week Bukaya-Kampala'!I96</f>
        <v>0</v>
      </c>
      <c r="J96" s="49">
        <f>'Avg Week Kampala-Bukaya'!J96+'Avg Week Bukaya-Kampala'!J96</f>
        <v>0</v>
      </c>
      <c r="K96" s="49">
        <f>'Avg Week Kampala-Bukaya'!K96+'Avg Week Bukaya-Kampala'!K96</f>
        <v>0</v>
      </c>
      <c r="L96" s="49">
        <f>'Avg Week Kampala-Bukaya'!L96+'Avg Week Bukaya-Kampala'!L96</f>
        <v>0</v>
      </c>
      <c r="M96" s="49">
        <f>'Avg Week Kampala-Bukaya'!M96+'Avg Week Bukaya-Kampala'!M96</f>
        <v>0</v>
      </c>
      <c r="N96" s="49">
        <f>'Avg Week Kampala-Bukaya'!N96+'Avg Week Bukaya-Kampala'!N96</f>
        <v>0</v>
      </c>
      <c r="O96" s="15">
        <f t="shared" si="37"/>
        <v>10</v>
      </c>
      <c r="P96" s="15">
        <f t="shared" si="38"/>
        <v>10</v>
      </c>
      <c r="R96" s="8"/>
      <c r="T96"/>
    </row>
    <row r="97" spans="2:20" ht="23.1" customHeight="1" x14ac:dyDescent="0.25">
      <c r="B97" s="23" t="s">
        <v>137</v>
      </c>
      <c r="C97" s="49">
        <f>'Avg Week Kampala-Bukaya'!C97+'Avg Week Bukaya-Kampala'!C97</f>
        <v>0</v>
      </c>
      <c r="D97" s="49">
        <f>'Avg Week Kampala-Bukaya'!D97+'Avg Week Bukaya-Kampala'!D97</f>
        <v>0</v>
      </c>
      <c r="E97" s="49">
        <f>'Avg Week Kampala-Bukaya'!E97+'Avg Week Bukaya-Kampala'!E97</f>
        <v>0</v>
      </c>
      <c r="F97" s="49">
        <f>'Avg Week Kampala-Bukaya'!F97+'Avg Week Bukaya-Kampala'!F97</f>
        <v>0</v>
      </c>
      <c r="G97" s="49">
        <f>'Avg Week Kampala-Bukaya'!G97+'Avg Week Bukaya-Kampala'!G97</f>
        <v>0</v>
      </c>
      <c r="H97" s="49">
        <f>'Avg Week Kampala-Bukaya'!H97+'Avg Week Bukaya-Kampala'!H97</f>
        <v>0</v>
      </c>
      <c r="I97" s="49">
        <f>'Avg Week Kampala-Bukaya'!I97+'Avg Week Bukaya-Kampala'!I97</f>
        <v>0</v>
      </c>
      <c r="J97" s="49">
        <f>'Avg Week Kampala-Bukaya'!J97+'Avg Week Bukaya-Kampala'!J97</f>
        <v>0</v>
      </c>
      <c r="K97" s="49">
        <f>'Avg Week Kampala-Bukaya'!K97+'Avg Week Bukaya-Kampala'!K97</f>
        <v>0</v>
      </c>
      <c r="L97" s="49">
        <f>'Avg Week Kampala-Bukaya'!L97+'Avg Week Bukaya-Kampala'!L97</f>
        <v>0</v>
      </c>
      <c r="M97" s="49">
        <f>'Avg Week Kampala-Bukaya'!M97+'Avg Week Bukaya-Kampala'!M97</f>
        <v>0</v>
      </c>
      <c r="N97" s="49">
        <f>'Avg Week Kampala-Bukaya'!N97+'Avg Week Bukaya-Kampala'!N97</f>
        <v>0</v>
      </c>
      <c r="O97" s="15">
        <f t="shared" si="37"/>
        <v>0</v>
      </c>
      <c r="P97" s="15">
        <f t="shared" si="38"/>
        <v>0</v>
      </c>
      <c r="R97" s="8"/>
      <c r="T97"/>
    </row>
    <row r="98" spans="2:20" ht="23.1" customHeight="1" x14ac:dyDescent="0.25">
      <c r="B98" s="24" t="s">
        <v>138</v>
      </c>
      <c r="C98" s="49">
        <f>'Avg Week Kampala-Bukaya'!C98+'Avg Week Bukaya-Kampala'!C98</f>
        <v>0</v>
      </c>
      <c r="D98" s="49">
        <f>'Avg Week Kampala-Bukaya'!D98+'Avg Week Bukaya-Kampala'!D98</f>
        <v>0</v>
      </c>
      <c r="E98" s="49">
        <f>'Avg Week Kampala-Bukaya'!E98+'Avg Week Bukaya-Kampala'!E98</f>
        <v>0</v>
      </c>
      <c r="F98" s="49">
        <f>'Avg Week Kampala-Bukaya'!F98+'Avg Week Bukaya-Kampala'!F98</f>
        <v>0</v>
      </c>
      <c r="G98" s="49">
        <f>'Avg Week Kampala-Bukaya'!G98+'Avg Week Bukaya-Kampala'!G98</f>
        <v>0</v>
      </c>
      <c r="H98" s="49">
        <f>'Avg Week Kampala-Bukaya'!H98+'Avg Week Bukaya-Kampala'!H98</f>
        <v>0</v>
      </c>
      <c r="I98" s="49">
        <f>'Avg Week Kampala-Bukaya'!I98+'Avg Week Bukaya-Kampala'!I98</f>
        <v>0</v>
      </c>
      <c r="J98" s="49">
        <f>'Avg Week Kampala-Bukaya'!J98+'Avg Week Bukaya-Kampala'!J98</f>
        <v>0</v>
      </c>
      <c r="K98" s="49">
        <f>'Avg Week Kampala-Bukaya'!K98+'Avg Week Bukaya-Kampala'!K98</f>
        <v>0</v>
      </c>
      <c r="L98" s="49">
        <f>'Avg Week Kampala-Bukaya'!L98+'Avg Week Bukaya-Kampala'!L98</f>
        <v>0</v>
      </c>
      <c r="M98" s="49">
        <f>'Avg Week Kampala-Bukaya'!M98+'Avg Week Bukaya-Kampala'!M98</f>
        <v>0</v>
      </c>
      <c r="N98" s="49">
        <f>'Avg Week Kampala-Bukaya'!N98+'Avg Week Bukaya-Kampala'!N98</f>
        <v>0</v>
      </c>
      <c r="O98" s="15">
        <f t="shared" si="37"/>
        <v>0</v>
      </c>
      <c r="P98" s="15">
        <f t="shared" si="38"/>
        <v>0</v>
      </c>
      <c r="R98" s="8"/>
      <c r="T98"/>
    </row>
    <row r="99" spans="2:20" ht="23.1" customHeight="1" x14ac:dyDescent="0.25">
      <c r="B99" s="23" t="s">
        <v>139</v>
      </c>
      <c r="C99" s="49">
        <f>'Avg Week Kampala-Bukaya'!C99+'Avg Week Bukaya-Kampala'!C99</f>
        <v>0</v>
      </c>
      <c r="D99" s="49">
        <f>'Avg Week Kampala-Bukaya'!D99+'Avg Week Bukaya-Kampala'!D99</f>
        <v>0</v>
      </c>
      <c r="E99" s="49">
        <f>'Avg Week Kampala-Bukaya'!E99+'Avg Week Bukaya-Kampala'!E99</f>
        <v>0</v>
      </c>
      <c r="F99" s="49">
        <f>'Avg Week Kampala-Bukaya'!F99+'Avg Week Bukaya-Kampala'!F99</f>
        <v>0</v>
      </c>
      <c r="G99" s="49">
        <f>'Avg Week Kampala-Bukaya'!G99+'Avg Week Bukaya-Kampala'!G99</f>
        <v>0</v>
      </c>
      <c r="H99" s="49">
        <f>'Avg Week Kampala-Bukaya'!H99+'Avg Week Bukaya-Kampala'!H99</f>
        <v>0</v>
      </c>
      <c r="I99" s="49">
        <f>'Avg Week Kampala-Bukaya'!I99+'Avg Week Bukaya-Kampala'!I99</f>
        <v>0</v>
      </c>
      <c r="J99" s="49">
        <f>'Avg Week Kampala-Bukaya'!J99+'Avg Week Bukaya-Kampala'!J99</f>
        <v>0</v>
      </c>
      <c r="K99" s="49">
        <f>'Avg Week Kampala-Bukaya'!K99+'Avg Week Bukaya-Kampala'!K99</f>
        <v>0</v>
      </c>
      <c r="L99" s="49">
        <f>'Avg Week Kampala-Bukaya'!L99+'Avg Week Bukaya-Kampala'!L99</f>
        <v>0</v>
      </c>
      <c r="M99" s="49">
        <f>'Avg Week Kampala-Bukaya'!M99+'Avg Week Bukaya-Kampala'!M99</f>
        <v>0</v>
      </c>
      <c r="N99" s="49">
        <f>'Avg Week Kampala-Bukaya'!N99+'Avg Week Bukaya-Kampala'!N99</f>
        <v>0</v>
      </c>
      <c r="O99" s="15">
        <f t="shared" si="37"/>
        <v>0</v>
      </c>
      <c r="P99" s="15">
        <f t="shared" si="38"/>
        <v>0</v>
      </c>
      <c r="R99" s="8"/>
      <c r="T99"/>
    </row>
    <row r="100" spans="2:20" ht="23.1" customHeight="1" x14ac:dyDescent="0.25">
      <c r="B100" s="25" t="s">
        <v>140</v>
      </c>
      <c r="C100" s="49">
        <f>'Avg Week Kampala-Bukaya'!C100+'Avg Week Bukaya-Kampala'!C100</f>
        <v>0</v>
      </c>
      <c r="D100" s="49">
        <f>'Avg Week Kampala-Bukaya'!D100+'Avg Week Bukaya-Kampala'!D100</f>
        <v>0</v>
      </c>
      <c r="E100" s="49">
        <f>'Avg Week Kampala-Bukaya'!E100+'Avg Week Bukaya-Kampala'!E100</f>
        <v>0</v>
      </c>
      <c r="F100" s="49">
        <f>'Avg Week Kampala-Bukaya'!F100+'Avg Week Bukaya-Kampala'!F100</f>
        <v>0</v>
      </c>
      <c r="G100" s="49">
        <f>'Avg Week Kampala-Bukaya'!G100+'Avg Week Bukaya-Kampala'!G100</f>
        <v>0</v>
      </c>
      <c r="H100" s="49">
        <f>'Avg Week Kampala-Bukaya'!H100+'Avg Week Bukaya-Kampala'!H100</f>
        <v>0</v>
      </c>
      <c r="I100" s="49">
        <f>'Avg Week Kampala-Bukaya'!I100+'Avg Week Bukaya-Kampala'!I100</f>
        <v>0</v>
      </c>
      <c r="J100" s="49">
        <f>'Avg Week Kampala-Bukaya'!J100+'Avg Week Bukaya-Kampala'!J100</f>
        <v>0</v>
      </c>
      <c r="K100" s="49">
        <f>'Avg Week Kampala-Bukaya'!K100+'Avg Week Bukaya-Kampala'!K100</f>
        <v>0</v>
      </c>
      <c r="L100" s="49">
        <f>'Avg Week Kampala-Bukaya'!L100+'Avg Week Bukaya-Kampala'!L100</f>
        <v>0</v>
      </c>
      <c r="M100" s="49">
        <f>'Avg Week Kampala-Bukaya'!M100+'Avg Week Bukaya-Kampala'!M100</f>
        <v>0</v>
      </c>
      <c r="N100" s="49">
        <f>'Avg Week Kampala-Bukaya'!N100+'Avg Week Bukaya-Kampala'!N100</f>
        <v>0</v>
      </c>
      <c r="O100" s="15">
        <f t="shared" si="37"/>
        <v>0</v>
      </c>
      <c r="P100" s="15">
        <f t="shared" si="38"/>
        <v>0</v>
      </c>
      <c r="R100" s="8"/>
      <c r="T100"/>
    </row>
    <row r="101" spans="2:20" ht="23.1" customHeight="1" x14ac:dyDescent="0.25">
      <c r="B101" s="23" t="s">
        <v>141</v>
      </c>
      <c r="C101" s="49">
        <f>'Avg Week Kampala-Bukaya'!C101+'Avg Week Bukaya-Kampala'!C101</f>
        <v>4</v>
      </c>
      <c r="D101" s="49">
        <f>'Avg Week Kampala-Bukaya'!D101+'Avg Week Bukaya-Kampala'!D101</f>
        <v>4</v>
      </c>
      <c r="E101" s="49">
        <f>'Avg Week Kampala-Bukaya'!E101+'Avg Week Bukaya-Kampala'!E101</f>
        <v>2</v>
      </c>
      <c r="F101" s="49">
        <f>'Avg Week Kampala-Bukaya'!F101+'Avg Week Bukaya-Kampala'!F101</f>
        <v>0</v>
      </c>
      <c r="G101" s="49">
        <f>'Avg Week Kampala-Bukaya'!G101+'Avg Week Bukaya-Kampala'!G101</f>
        <v>0</v>
      </c>
      <c r="H101" s="49">
        <f>'Avg Week Kampala-Bukaya'!H101+'Avg Week Bukaya-Kampala'!H101</f>
        <v>0</v>
      </c>
      <c r="I101" s="49">
        <f>'Avg Week Kampala-Bukaya'!I101+'Avg Week Bukaya-Kampala'!I101</f>
        <v>2</v>
      </c>
      <c r="J101" s="49">
        <f>'Avg Week Kampala-Bukaya'!J101+'Avg Week Bukaya-Kampala'!J101</f>
        <v>0</v>
      </c>
      <c r="K101" s="49">
        <f>'Avg Week Kampala-Bukaya'!K101+'Avg Week Bukaya-Kampala'!K101</f>
        <v>0</v>
      </c>
      <c r="L101" s="49">
        <f>'Avg Week Kampala-Bukaya'!L101+'Avg Week Bukaya-Kampala'!L101</f>
        <v>0</v>
      </c>
      <c r="M101" s="49">
        <f>'Avg Week Kampala-Bukaya'!M101+'Avg Week Bukaya-Kampala'!M101</f>
        <v>2</v>
      </c>
      <c r="N101" s="49">
        <f>'Avg Week Kampala-Bukaya'!N101+'Avg Week Bukaya-Kampala'!N101</f>
        <v>0</v>
      </c>
      <c r="O101" s="15">
        <f t="shared" si="37"/>
        <v>12</v>
      </c>
      <c r="P101" s="15">
        <f t="shared" si="38"/>
        <v>14</v>
      </c>
      <c r="R101" s="8"/>
      <c r="T101"/>
    </row>
    <row r="102" spans="2:20" ht="23.1" customHeight="1" x14ac:dyDescent="0.25">
      <c r="B102" s="24" t="s">
        <v>142</v>
      </c>
      <c r="C102" s="49">
        <f>'Avg Week Kampala-Bukaya'!C102+'Avg Week Bukaya-Kampala'!C102</f>
        <v>0</v>
      </c>
      <c r="D102" s="49">
        <f>'Avg Week Kampala-Bukaya'!D102+'Avg Week Bukaya-Kampala'!D102</f>
        <v>0</v>
      </c>
      <c r="E102" s="49">
        <f>'Avg Week Kampala-Bukaya'!E102+'Avg Week Bukaya-Kampala'!E102</f>
        <v>0</v>
      </c>
      <c r="F102" s="49">
        <f>'Avg Week Kampala-Bukaya'!F102+'Avg Week Bukaya-Kampala'!F102</f>
        <v>0</v>
      </c>
      <c r="G102" s="49">
        <f>'Avg Week Kampala-Bukaya'!G102+'Avg Week Bukaya-Kampala'!G102</f>
        <v>0</v>
      </c>
      <c r="H102" s="49">
        <f>'Avg Week Kampala-Bukaya'!H102+'Avg Week Bukaya-Kampala'!H102</f>
        <v>0</v>
      </c>
      <c r="I102" s="49">
        <f>'Avg Week Kampala-Bukaya'!I102+'Avg Week Bukaya-Kampala'!I102</f>
        <v>0</v>
      </c>
      <c r="J102" s="49">
        <f>'Avg Week Kampala-Bukaya'!J102+'Avg Week Bukaya-Kampala'!J102</f>
        <v>0</v>
      </c>
      <c r="K102" s="49">
        <f>'Avg Week Kampala-Bukaya'!K102+'Avg Week Bukaya-Kampala'!K102</f>
        <v>0</v>
      </c>
      <c r="L102" s="49">
        <f>'Avg Week Kampala-Bukaya'!L102+'Avg Week Bukaya-Kampala'!L102</f>
        <v>0</v>
      </c>
      <c r="M102" s="49">
        <f>'Avg Week Kampala-Bukaya'!M102+'Avg Week Bukaya-Kampala'!M102</f>
        <v>0</v>
      </c>
      <c r="N102" s="49">
        <f>'Avg Week Kampala-Bukaya'!N102+'Avg Week Bukaya-Kampala'!N102</f>
        <v>0</v>
      </c>
      <c r="O102" s="15">
        <f t="shared" si="37"/>
        <v>0</v>
      </c>
      <c r="P102" s="15">
        <f t="shared" si="38"/>
        <v>0</v>
      </c>
      <c r="R102" s="8"/>
      <c r="T102"/>
    </row>
    <row r="103" spans="2:20" ht="23.1" customHeight="1" x14ac:dyDescent="0.25">
      <c r="B103" s="23" t="s">
        <v>143</v>
      </c>
      <c r="C103" s="49">
        <f>'Avg Week Kampala-Bukaya'!C103+'Avg Week Bukaya-Kampala'!C103</f>
        <v>4</v>
      </c>
      <c r="D103" s="49">
        <f>'Avg Week Kampala-Bukaya'!D103+'Avg Week Bukaya-Kampala'!D103</f>
        <v>0</v>
      </c>
      <c r="E103" s="49">
        <f>'Avg Week Kampala-Bukaya'!E103+'Avg Week Bukaya-Kampala'!E103</f>
        <v>0</v>
      </c>
      <c r="F103" s="49">
        <f>'Avg Week Kampala-Bukaya'!F103+'Avg Week Bukaya-Kampala'!F103</f>
        <v>0</v>
      </c>
      <c r="G103" s="49">
        <f>'Avg Week Kampala-Bukaya'!G103+'Avg Week Bukaya-Kampala'!G103</f>
        <v>0</v>
      </c>
      <c r="H103" s="49">
        <f>'Avg Week Kampala-Bukaya'!H103+'Avg Week Bukaya-Kampala'!H103</f>
        <v>0</v>
      </c>
      <c r="I103" s="49">
        <f>'Avg Week Kampala-Bukaya'!I103+'Avg Week Bukaya-Kampala'!I103</f>
        <v>0</v>
      </c>
      <c r="J103" s="49">
        <f>'Avg Week Kampala-Bukaya'!J103+'Avg Week Bukaya-Kampala'!J103</f>
        <v>0</v>
      </c>
      <c r="K103" s="49">
        <f>'Avg Week Kampala-Bukaya'!K103+'Avg Week Bukaya-Kampala'!K103</f>
        <v>2</v>
      </c>
      <c r="L103" s="49">
        <f>'Avg Week Kampala-Bukaya'!L103+'Avg Week Bukaya-Kampala'!L103</f>
        <v>0</v>
      </c>
      <c r="M103" s="49">
        <f>'Avg Week Kampala-Bukaya'!M103+'Avg Week Bukaya-Kampala'!M103</f>
        <v>4</v>
      </c>
      <c r="N103" s="49">
        <f>'Avg Week Kampala-Bukaya'!N103+'Avg Week Bukaya-Kampala'!N103</f>
        <v>0</v>
      </c>
      <c r="O103" s="15">
        <f t="shared" si="37"/>
        <v>6</v>
      </c>
      <c r="P103" s="15">
        <f t="shared" si="38"/>
        <v>10</v>
      </c>
      <c r="R103" s="8"/>
      <c r="T103"/>
    </row>
    <row r="104" spans="2:20" ht="23.1" customHeight="1" x14ac:dyDescent="0.25">
      <c r="B104" s="25" t="s">
        <v>144</v>
      </c>
      <c r="C104" s="49">
        <f>'Avg Week Kampala-Bukaya'!C104+'Avg Week Bukaya-Kampala'!C104</f>
        <v>2</v>
      </c>
      <c r="D104" s="49">
        <f>'Avg Week Kampala-Bukaya'!D104+'Avg Week Bukaya-Kampala'!D104</f>
        <v>0</v>
      </c>
      <c r="E104" s="49">
        <f>'Avg Week Kampala-Bukaya'!E104+'Avg Week Bukaya-Kampala'!E104</f>
        <v>2</v>
      </c>
      <c r="F104" s="49">
        <f>'Avg Week Kampala-Bukaya'!F104+'Avg Week Bukaya-Kampala'!F104</f>
        <v>2</v>
      </c>
      <c r="G104" s="49">
        <f>'Avg Week Kampala-Bukaya'!G104+'Avg Week Bukaya-Kampala'!G104</f>
        <v>0</v>
      </c>
      <c r="H104" s="49">
        <f>'Avg Week Kampala-Bukaya'!H104+'Avg Week Bukaya-Kampala'!H104</f>
        <v>0</v>
      </c>
      <c r="I104" s="49">
        <f>'Avg Week Kampala-Bukaya'!I104+'Avg Week Bukaya-Kampala'!I104</f>
        <v>0</v>
      </c>
      <c r="J104" s="49">
        <f>'Avg Week Kampala-Bukaya'!J104+'Avg Week Bukaya-Kampala'!J104</f>
        <v>0</v>
      </c>
      <c r="K104" s="49">
        <f>'Avg Week Kampala-Bukaya'!K104+'Avg Week Bukaya-Kampala'!K104</f>
        <v>0</v>
      </c>
      <c r="L104" s="49">
        <f>'Avg Week Kampala-Bukaya'!L104+'Avg Week Bukaya-Kampala'!L104</f>
        <v>0</v>
      </c>
      <c r="M104" s="49">
        <f>'Avg Week Kampala-Bukaya'!M104+'Avg Week Bukaya-Kampala'!M104</f>
        <v>6</v>
      </c>
      <c r="N104" s="49">
        <f>'Avg Week Kampala-Bukaya'!N104+'Avg Week Bukaya-Kampala'!N104</f>
        <v>0</v>
      </c>
      <c r="O104" s="15">
        <f t="shared" si="37"/>
        <v>6</v>
      </c>
      <c r="P104" s="15">
        <f t="shared" si="38"/>
        <v>12</v>
      </c>
      <c r="R104" s="8"/>
      <c r="T104"/>
    </row>
    <row r="105" spans="2:20" ht="23.1" customHeight="1" x14ac:dyDescent="0.25">
      <c r="B105" s="23" t="s">
        <v>145</v>
      </c>
      <c r="C105" s="49">
        <f>'Avg Week Kampala-Bukaya'!C105+'Avg Week Bukaya-Kampala'!C105</f>
        <v>4</v>
      </c>
      <c r="D105" s="49">
        <f>'Avg Week Kampala-Bukaya'!D105+'Avg Week Bukaya-Kampala'!D105</f>
        <v>4</v>
      </c>
      <c r="E105" s="49">
        <f>'Avg Week Kampala-Bukaya'!E105+'Avg Week Bukaya-Kampala'!E105</f>
        <v>0</v>
      </c>
      <c r="F105" s="49">
        <f>'Avg Week Kampala-Bukaya'!F105+'Avg Week Bukaya-Kampala'!F105</f>
        <v>0</v>
      </c>
      <c r="G105" s="49">
        <f>'Avg Week Kampala-Bukaya'!G105+'Avg Week Bukaya-Kampala'!G105</f>
        <v>2</v>
      </c>
      <c r="H105" s="49">
        <f>'Avg Week Kampala-Bukaya'!H105+'Avg Week Bukaya-Kampala'!H105</f>
        <v>0</v>
      </c>
      <c r="I105" s="49">
        <f>'Avg Week Kampala-Bukaya'!I105+'Avg Week Bukaya-Kampala'!I105</f>
        <v>2</v>
      </c>
      <c r="J105" s="49">
        <f>'Avg Week Kampala-Bukaya'!J105+'Avg Week Bukaya-Kampala'!J105</f>
        <v>0</v>
      </c>
      <c r="K105" s="49">
        <f>'Avg Week Kampala-Bukaya'!K105+'Avg Week Bukaya-Kampala'!K105</f>
        <v>2</v>
      </c>
      <c r="L105" s="49">
        <f>'Avg Week Kampala-Bukaya'!L105+'Avg Week Bukaya-Kampala'!L105</f>
        <v>0</v>
      </c>
      <c r="M105" s="49">
        <f>'Avg Week Kampala-Bukaya'!M105+'Avg Week Bukaya-Kampala'!M105</f>
        <v>14</v>
      </c>
      <c r="N105" s="49">
        <f>'Avg Week Kampala-Bukaya'!N105+'Avg Week Bukaya-Kampala'!N105</f>
        <v>0</v>
      </c>
      <c r="O105" s="15">
        <f t="shared" si="37"/>
        <v>14</v>
      </c>
      <c r="P105" s="15">
        <f t="shared" si="38"/>
        <v>28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370</v>
      </c>
      <c r="D106" s="16">
        <f t="shared" ref="D106:P106" si="39">SUM(D10:D105)</f>
        <v>8</v>
      </c>
      <c r="E106" s="16">
        <f t="shared" si="39"/>
        <v>378</v>
      </c>
      <c r="F106" s="16">
        <f t="shared" si="39"/>
        <v>270.14285714285711</v>
      </c>
      <c r="G106" s="16">
        <f t="shared" si="39"/>
        <v>13.714285714285715</v>
      </c>
      <c r="H106" s="16">
        <f t="shared" si="39"/>
        <v>3.1428571428571428</v>
      </c>
      <c r="I106" s="16">
        <f t="shared" si="39"/>
        <v>272.14285714285711</v>
      </c>
      <c r="J106" s="16">
        <f t="shared" si="39"/>
        <v>8.428571428571427</v>
      </c>
      <c r="K106" s="16">
        <f t="shared" si="39"/>
        <v>23.285714285714285</v>
      </c>
      <c r="L106" s="16">
        <f t="shared" si="39"/>
        <v>1</v>
      </c>
      <c r="M106" s="16">
        <f t="shared" si="39"/>
        <v>2194.5714285714284</v>
      </c>
      <c r="N106" s="16">
        <f t="shared" si="39"/>
        <v>0.5714285714285714</v>
      </c>
      <c r="O106" s="16">
        <f t="shared" si="39"/>
        <v>1348.4285714285713</v>
      </c>
      <c r="P106" s="16">
        <f t="shared" si="39"/>
        <v>3542.9999999999995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40">C106/$P$106</f>
        <v>0.10443127293254306</v>
      </c>
      <c r="D107" s="43">
        <f t="shared" si="40"/>
        <v>2.257973468811742E-3</v>
      </c>
      <c r="E107" s="43">
        <f t="shared" si="40"/>
        <v>0.1066892464013548</v>
      </c>
      <c r="F107" s="43">
        <f t="shared" si="40"/>
        <v>7.6246925527196488E-2</v>
      </c>
      <c r="G107" s="43">
        <f t="shared" si="40"/>
        <v>3.8708116608201291E-3</v>
      </c>
      <c r="H107" s="43">
        <f t="shared" si="40"/>
        <v>8.8706100560461277E-4</v>
      </c>
      <c r="I107" s="43">
        <f t="shared" si="40"/>
        <v>7.6811418894399422E-2</v>
      </c>
      <c r="J107" s="43">
        <f t="shared" si="40"/>
        <v>2.3789363332123704E-3</v>
      </c>
      <c r="K107" s="43">
        <f t="shared" si="40"/>
        <v>6.5723156324341767E-3</v>
      </c>
      <c r="L107" s="43">
        <f t="shared" si="40"/>
        <v>2.8224668360146774E-4</v>
      </c>
      <c r="M107" s="43">
        <f t="shared" si="40"/>
        <v>0.61941050764082095</v>
      </c>
      <c r="N107" s="43">
        <f t="shared" si="40"/>
        <v>1.612838192008387E-4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0.27439347388494545</v>
      </c>
      <c r="D108" s="44">
        <f t="shared" ref="D108:N108" si="41">D106/$O$106</f>
        <v>5.9328318677826048E-3</v>
      </c>
      <c r="E108" s="44">
        <f t="shared" si="41"/>
        <v>0.28032630575272804</v>
      </c>
      <c r="F108" s="44">
        <f t="shared" si="41"/>
        <v>0.20033901896387329</v>
      </c>
      <c r="G108" s="44">
        <f t="shared" si="41"/>
        <v>1.0170568916198752E-2</v>
      </c>
      <c r="H108" s="44">
        <f t="shared" si="41"/>
        <v>2.3307553766288803E-3</v>
      </c>
      <c r="I108" s="44">
        <f t="shared" si="41"/>
        <v>0.20182222693081894</v>
      </c>
      <c r="J108" s="44">
        <f t="shared" si="41"/>
        <v>6.2506621464138139E-3</v>
      </c>
      <c r="K108" s="44">
        <f t="shared" si="41"/>
        <v>1.7268778472295795E-2</v>
      </c>
      <c r="L108" s="44">
        <f t="shared" si="41"/>
        <v>7.4160398347282561E-4</v>
      </c>
      <c r="M108" s="44"/>
      <c r="N108" s="44">
        <f t="shared" si="41"/>
        <v>4.2377370484161461E-4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19.08 Kampala-Bukaya</vt:lpstr>
      <vt:lpstr>19.08 Bukaya-Kampala</vt:lpstr>
      <vt:lpstr>20.08 Kampala-Bukaya</vt:lpstr>
      <vt:lpstr>20.08 Bukaya-Kampala</vt:lpstr>
      <vt:lpstr>21.08 Kampala-Bukaya</vt:lpstr>
      <vt:lpstr>21.08 Bukaya-Kampala</vt:lpstr>
      <vt:lpstr>22.08 Kampala-Bukaya</vt:lpstr>
      <vt:lpstr>22.08 Bukaya-Kampala</vt:lpstr>
      <vt:lpstr>23.08 Kampala-Bukaya-24h</vt:lpstr>
      <vt:lpstr>23.08 Bukaya-Kampala-24h</vt:lpstr>
      <vt:lpstr>24.08 Kampala-Bukaya-24h</vt:lpstr>
      <vt:lpstr>24.08 Bukaya-Kampala-24h</vt:lpstr>
      <vt:lpstr>25.08 Kampala-Bukaya</vt:lpstr>
      <vt:lpstr>25.08 Bukaya-Kampala</vt:lpstr>
      <vt:lpstr>Avg Week Kampala-Bukaya</vt:lpstr>
      <vt:lpstr>Avg Week Bukaya-Kampala</vt:lpstr>
      <vt:lpstr>Avg Week Kampala-Bukaya-2Dir</vt:lpstr>
      <vt:lpstr>'19.08 Bukaya-Kampala'!Print_Area</vt:lpstr>
      <vt:lpstr>'19.08 Kampala-Bukaya'!Print_Area</vt:lpstr>
      <vt:lpstr>'20.08 Bukaya-Kampala'!Print_Area</vt:lpstr>
      <vt:lpstr>'20.08 Kampala-Bukaya'!Print_Area</vt:lpstr>
      <vt:lpstr>'21.08 Bukaya-Kampala'!Print_Area</vt:lpstr>
      <vt:lpstr>'21.08 Kampala-Bukaya'!Print_Area</vt:lpstr>
      <vt:lpstr>'22.08 Bukaya-Kampala'!Print_Area</vt:lpstr>
      <vt:lpstr>'22.08 Kampala-Bukaya'!Print_Area</vt:lpstr>
      <vt:lpstr>'23.08 Bukaya-Kampala-24h'!Print_Area</vt:lpstr>
      <vt:lpstr>'23.08 Kampala-Bukaya-24h'!Print_Area</vt:lpstr>
      <vt:lpstr>'24.08 Bukaya-Kampala-24h'!Print_Area</vt:lpstr>
      <vt:lpstr>'24.08 Kampala-Bukaya-24h'!Print_Area</vt:lpstr>
      <vt:lpstr>'25.08 Bukaya-Kampala'!Print_Area</vt:lpstr>
      <vt:lpstr>'25.08 Kampala-Bukaya'!Print_Area</vt:lpstr>
      <vt:lpstr>'Avg Week Bukaya-Kampala'!Print_Area</vt:lpstr>
      <vt:lpstr>'Avg Week Kampala-Bukaya'!Print_Area</vt:lpstr>
      <vt:lpstr>'Avg Week Kampala-Bukaya-2Dir'!Print_Area</vt:lpstr>
      <vt:lpstr>'19.08 Bukaya-Kampala'!Print_Titles</vt:lpstr>
      <vt:lpstr>'19.08 Kampala-Bukaya'!Print_Titles</vt:lpstr>
      <vt:lpstr>'20.08 Bukaya-Kampala'!Print_Titles</vt:lpstr>
      <vt:lpstr>'20.08 Kampala-Bukaya'!Print_Titles</vt:lpstr>
      <vt:lpstr>'21.08 Bukaya-Kampala'!Print_Titles</vt:lpstr>
      <vt:lpstr>'21.08 Kampala-Bukaya'!Print_Titles</vt:lpstr>
      <vt:lpstr>'22.08 Bukaya-Kampala'!Print_Titles</vt:lpstr>
      <vt:lpstr>'22.08 Kampala-Bukaya'!Print_Titles</vt:lpstr>
      <vt:lpstr>'23.08 Bukaya-Kampala-24h'!Print_Titles</vt:lpstr>
      <vt:lpstr>'23.08 Kampala-Bukaya-24h'!Print_Titles</vt:lpstr>
      <vt:lpstr>'24.08 Bukaya-Kampala-24h'!Print_Titles</vt:lpstr>
      <vt:lpstr>'24.08 Kampala-Bukaya-24h'!Print_Titles</vt:lpstr>
      <vt:lpstr>'25.08 Bukaya-Kampala'!Print_Titles</vt:lpstr>
      <vt:lpstr>'25.08 Kampala-Bukaya'!Print_Titles</vt:lpstr>
      <vt:lpstr>'Avg Week Bukaya-Kampala'!Print_Titles</vt:lpstr>
      <vt:lpstr>'Avg Week Kampala-Bukaya'!Print_Titles</vt:lpstr>
      <vt:lpstr>'Avg Week Kampala-Bukaya-2Dir'!Print_Titles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2019-07-25T18:18:41Z</cp:lastPrinted>
  <dcterms:created xsi:type="dcterms:W3CDTF">2010-07-06T07:39:49Z</dcterms:created>
  <dcterms:modified xsi:type="dcterms:W3CDTF">2020-04-06T17:01:46Z</dcterms:modified>
</cp:coreProperties>
</file>