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98 BUSIA JN-TORORO\MCC\"/>
    </mc:Choice>
  </mc:AlternateContent>
  <bookViews>
    <workbookView xWindow="-120" yWindow="-120" windowWidth="20730" windowHeight="11160" tabRatio="913" firstSheet="14" activeTab="14"/>
  </bookViews>
  <sheets>
    <sheet name="22.08 TORORO-BUSITEMA" sheetId="93" r:id="rId1"/>
    <sheet name="22.08 BUSITEMA-TORORO" sheetId="94" r:id="rId2"/>
    <sheet name="23.08 BUSITEMA-TORORO" sheetId="95" r:id="rId3"/>
    <sheet name="23.08 TORORO-BUSITEMA" sheetId="96" r:id="rId4"/>
    <sheet name="24.08 BUSITEMA-TORORO-24h" sheetId="101" r:id="rId5"/>
    <sheet name="24.08 TORORO-BUSITEMA-24h" sheetId="109" r:id="rId6"/>
    <sheet name="25.08 BUSITEMA-TORORO" sheetId="97" r:id="rId7"/>
    <sheet name="25.08 TORORO-BUSITEMA" sheetId="98" r:id="rId8"/>
    <sheet name="26.08 BUSITEMA-TORORO" sheetId="99" r:id="rId9"/>
    <sheet name="26.08 TORORO-BUSITEMA" sheetId="100" r:id="rId10"/>
    <sheet name="27.08 BUSITEMA-TORORO-24h" sheetId="110" r:id="rId11"/>
    <sheet name="27.08 TORORO-BUSITEMA-24h" sheetId="105" r:id="rId12"/>
    <sheet name="28.08 BUSITEMA-TORORO" sheetId="103" r:id="rId13"/>
    <sheet name="28.08 TORORO-BUSITEMA" sheetId="104" r:id="rId14"/>
    <sheet name="Avg Week BUSITEMA-TORORO" sheetId="107" r:id="rId15"/>
    <sheet name="Avg Week TORORO-BUSITEMA" sheetId="108" r:id="rId16"/>
    <sheet name="Avg Week BUSITEMA-TORORO-2Dir" sheetId="111" r:id="rId17"/>
  </sheets>
  <definedNames>
    <definedName name="_xlnm.Print_Area" localSheetId="1">'22.08 BUSITEMA-TORORO'!$A$1:$AF$60</definedName>
    <definedName name="_xlnm.Print_Area" localSheetId="0">'22.08 TORORO-BUSITEMA'!$A$1:$AF$60</definedName>
    <definedName name="_xlnm.Print_Area" localSheetId="2">'23.08 BUSITEMA-TORORO'!$A$1:$AF$60</definedName>
    <definedName name="_xlnm.Print_Area" localSheetId="3">'23.08 TORORO-BUSITEMA'!$A$1:$AF$60</definedName>
    <definedName name="_xlnm.Print_Area" localSheetId="4">'24.08 BUSITEMA-TORORO-24h'!$A$1:$AF$108</definedName>
    <definedName name="_xlnm.Print_Area" localSheetId="5">'24.08 TORORO-BUSITEMA-24h'!$A$1:$AF$108</definedName>
    <definedName name="_xlnm.Print_Area" localSheetId="6">'25.08 BUSITEMA-TORORO'!$A$1:$AF$60</definedName>
    <definedName name="_xlnm.Print_Area" localSheetId="7">'25.08 TORORO-BUSITEMA'!$A$1:$AF$60</definedName>
    <definedName name="_xlnm.Print_Area" localSheetId="8">'26.08 BUSITEMA-TORORO'!$A$1:$AF$60</definedName>
    <definedName name="_xlnm.Print_Area" localSheetId="9">'26.08 TORORO-BUSITEMA'!$A$1:$AF$60</definedName>
    <definedName name="_xlnm.Print_Area" localSheetId="10">'27.08 BUSITEMA-TORORO-24h'!$A$1:$AF$108</definedName>
    <definedName name="_xlnm.Print_Area" localSheetId="11">'27.08 TORORO-BUSITEMA-24h'!$A$1:$AF$108</definedName>
    <definedName name="_xlnm.Print_Area" localSheetId="12">'28.08 BUSITEMA-TORORO'!$A$1:$AF$60</definedName>
    <definedName name="_xlnm.Print_Area" localSheetId="13">'28.08 TORORO-BUSITEMA'!$A$1:$AF$60</definedName>
    <definedName name="_xlnm.Print_Area" localSheetId="14">'Avg Week BUSITEMA-TORORO'!$A$1:$AF$108</definedName>
    <definedName name="_xlnm.Print_Area" localSheetId="16">'Avg Week BUSITEMA-TORORO-2Dir'!$A$1:$AF$108</definedName>
    <definedName name="_xlnm.Print_Area" localSheetId="15">'Avg Week TORORO-BUSITEMA'!$A$1:$AF$108</definedName>
    <definedName name="_xlnm.Print_Titles" localSheetId="1">'22.08 BUSITEMA-TORORO'!$1:$8</definedName>
    <definedName name="_xlnm.Print_Titles" localSheetId="0">'22.08 TORORO-BUSITEMA'!$1:$8</definedName>
    <definedName name="_xlnm.Print_Titles" localSheetId="2">'23.08 BUSITEMA-TORORO'!$1:$8</definedName>
    <definedName name="_xlnm.Print_Titles" localSheetId="3">'23.08 TORORO-BUSITEMA'!$1:$8</definedName>
    <definedName name="_xlnm.Print_Titles" localSheetId="4">'24.08 BUSITEMA-TORORO-24h'!$1:$8</definedName>
    <definedName name="_xlnm.Print_Titles" localSheetId="5">'24.08 TORORO-BUSITEMA-24h'!$1:$8</definedName>
    <definedName name="_xlnm.Print_Titles" localSheetId="6">'25.08 BUSITEMA-TORORO'!$1:$8</definedName>
    <definedName name="_xlnm.Print_Titles" localSheetId="7">'25.08 TORORO-BUSITEMA'!$1:$8</definedName>
    <definedName name="_xlnm.Print_Titles" localSheetId="8">'26.08 BUSITEMA-TORORO'!$1:$8</definedName>
    <definedName name="_xlnm.Print_Titles" localSheetId="9">'26.08 TORORO-BUSITEMA'!$1:$8</definedName>
    <definedName name="_xlnm.Print_Titles" localSheetId="10">'27.08 BUSITEMA-TORORO-24h'!$1:$8</definedName>
    <definedName name="_xlnm.Print_Titles" localSheetId="11">'27.08 TORORO-BUSITEMA-24h'!$1:$8</definedName>
    <definedName name="_xlnm.Print_Titles" localSheetId="12">'28.08 BUSITEMA-TORORO'!$1:$8</definedName>
    <definedName name="_xlnm.Print_Titles" localSheetId="13">'28.08 TORORO-BUSITEMA'!$1:$8</definedName>
    <definedName name="_xlnm.Print_Titles" localSheetId="14">'Avg Week BUSITEMA-TORORO'!$1:$8</definedName>
    <definedName name="_xlnm.Print_Titles" localSheetId="16">'Avg Week BUSITEMA-TORORO-2Dir'!$1:$8</definedName>
    <definedName name="_xlnm.Print_Titles" localSheetId="15">'Avg Week TORORO-BUSITEMA'!$1:$8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F41" i="111" l="1"/>
  <c r="AF42" i="111" s="1"/>
  <c r="AE41" i="111"/>
  <c r="AE42" i="111" s="1"/>
  <c r="AD41" i="111"/>
  <c r="AD42" i="111" s="1"/>
  <c r="AC41" i="111"/>
  <c r="AC42" i="111" s="1"/>
  <c r="AB41" i="111"/>
  <c r="AB42" i="111" s="1"/>
  <c r="AA41" i="111"/>
  <c r="AA42" i="111" s="1"/>
  <c r="Z41" i="111"/>
  <c r="Z42" i="111" s="1"/>
  <c r="Y41" i="111"/>
  <c r="Y42" i="111" s="1"/>
  <c r="X41" i="111"/>
  <c r="X42" i="111" s="1"/>
  <c r="W41" i="111"/>
  <c r="W42" i="111" s="1"/>
  <c r="V41" i="111"/>
  <c r="V42" i="111" s="1"/>
  <c r="U41" i="111"/>
  <c r="U42" i="111" s="1"/>
  <c r="T41" i="111"/>
  <c r="T42" i="111" s="1"/>
  <c r="S41" i="111"/>
  <c r="S42" i="111" s="1"/>
  <c r="T22" i="11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T23" i="111"/>
  <c r="U23" i="111"/>
  <c r="V23" i="111"/>
  <c r="W23" i="111"/>
  <c r="X23" i="111"/>
  <c r="Y23" i="111"/>
  <c r="Z23" i="111"/>
  <c r="AA23" i="111"/>
  <c r="AB23" i="111"/>
  <c r="AC23" i="111"/>
  <c r="AD23" i="111"/>
  <c r="AE23" i="111"/>
  <c r="AF23" i="11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T31" i="111"/>
  <c r="U31" i="111"/>
  <c r="V31" i="111"/>
  <c r="W31" i="111"/>
  <c r="X31" i="111"/>
  <c r="Y31" i="111"/>
  <c r="Z31" i="111"/>
  <c r="AA31" i="111"/>
  <c r="AB31" i="111"/>
  <c r="AC31" i="111"/>
  <c r="AD31" i="111"/>
  <c r="AE31" i="111"/>
  <c r="AF31" i="111"/>
  <c r="T32" i="111"/>
  <c r="U32" i="111"/>
  <c r="V32" i="111"/>
  <c r="W32" i="111"/>
  <c r="X32" i="111"/>
  <c r="Y32" i="111"/>
  <c r="Z32" i="111"/>
  <c r="AA32" i="111"/>
  <c r="AB32" i="111"/>
  <c r="AC32" i="111"/>
  <c r="AD32" i="111"/>
  <c r="AE32" i="111"/>
  <c r="AF32" i="111"/>
  <c r="T33" i="111"/>
  <c r="U33" i="111"/>
  <c r="V33" i="111"/>
  <c r="W33" i="111"/>
  <c r="X33" i="111"/>
  <c r="Y33" i="111"/>
  <c r="Z33" i="111"/>
  <c r="AA33" i="111"/>
  <c r="AB33" i="111"/>
  <c r="AC33" i="111"/>
  <c r="AD33" i="111"/>
  <c r="AE33" i="111"/>
  <c r="AF33" i="111"/>
  <c r="S33" i="111"/>
  <c r="S32" i="111"/>
  <c r="S31" i="111"/>
  <c r="S30" i="111"/>
  <c r="S29" i="111"/>
  <c r="S28" i="111"/>
  <c r="S27" i="111"/>
  <c r="S26" i="111"/>
  <c r="S25" i="111"/>
  <c r="S24" i="111"/>
  <c r="S23" i="111"/>
  <c r="S22" i="111"/>
  <c r="AF41" i="108"/>
  <c r="AF42" i="108" s="1"/>
  <c r="AE41" i="108"/>
  <c r="AE42" i="108" s="1"/>
  <c r="AD41" i="108"/>
  <c r="AD42" i="108" s="1"/>
  <c r="AC41" i="108"/>
  <c r="AC42" i="108" s="1"/>
  <c r="AB41" i="108"/>
  <c r="AB42" i="108" s="1"/>
  <c r="AA41" i="108"/>
  <c r="AA42" i="108" s="1"/>
  <c r="Z41" i="108"/>
  <c r="Z42" i="108" s="1"/>
  <c r="Y41" i="108"/>
  <c r="Y42" i="108" s="1"/>
  <c r="X41" i="108"/>
  <c r="X42" i="108" s="1"/>
  <c r="W41" i="108"/>
  <c r="W42" i="108" s="1"/>
  <c r="V41" i="108"/>
  <c r="V42" i="108" s="1"/>
  <c r="U41" i="108"/>
  <c r="U42" i="108" s="1"/>
  <c r="T41" i="108"/>
  <c r="T42" i="108" s="1"/>
  <c r="S41" i="108"/>
  <c r="S42" i="108" s="1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T23" i="108"/>
  <c r="U23" i="108"/>
  <c r="V23" i="108"/>
  <c r="W23" i="108"/>
  <c r="X23" i="108"/>
  <c r="Y23" i="108"/>
  <c r="Z23" i="108"/>
  <c r="AA23" i="108"/>
  <c r="AB23" i="108"/>
  <c r="AC23" i="108"/>
  <c r="AD23" i="108"/>
  <c r="AE23" i="108"/>
  <c r="AF23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T31" i="108"/>
  <c r="U31" i="108"/>
  <c r="V31" i="108"/>
  <c r="W31" i="108"/>
  <c r="X31" i="108"/>
  <c r="Y31" i="108"/>
  <c r="Z31" i="108"/>
  <c r="AA31" i="108"/>
  <c r="AB31" i="108"/>
  <c r="AC31" i="108"/>
  <c r="AD31" i="108"/>
  <c r="AE31" i="108"/>
  <c r="AF31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T33" i="108"/>
  <c r="U33" i="108"/>
  <c r="V33" i="108"/>
  <c r="W33" i="108"/>
  <c r="X33" i="108"/>
  <c r="Y33" i="108"/>
  <c r="Z33" i="108"/>
  <c r="AA33" i="108"/>
  <c r="AB33" i="108"/>
  <c r="AC33" i="108"/>
  <c r="AD33" i="108"/>
  <c r="AE33" i="108"/>
  <c r="AF33" i="108"/>
  <c r="S33" i="108"/>
  <c r="S32" i="108"/>
  <c r="S31" i="108"/>
  <c r="S30" i="108"/>
  <c r="S29" i="108"/>
  <c r="S28" i="108"/>
  <c r="S27" i="108"/>
  <c r="S26" i="108"/>
  <c r="S25" i="108"/>
  <c r="S24" i="108"/>
  <c r="S23" i="108"/>
  <c r="S22" i="108"/>
  <c r="AF41" i="107"/>
  <c r="AF42" i="107" s="1"/>
  <c r="AE41" i="107"/>
  <c r="AE42" i="107" s="1"/>
  <c r="AD41" i="107"/>
  <c r="AD42" i="107" s="1"/>
  <c r="AC41" i="107"/>
  <c r="AC42" i="107" s="1"/>
  <c r="AB41" i="107"/>
  <c r="AB42" i="107" s="1"/>
  <c r="AA41" i="107"/>
  <c r="AA42" i="107" s="1"/>
  <c r="Z41" i="107"/>
  <c r="Z42" i="107" s="1"/>
  <c r="Y41" i="107"/>
  <c r="Y42" i="107" s="1"/>
  <c r="X41" i="107"/>
  <c r="X42" i="107" s="1"/>
  <c r="W41" i="107"/>
  <c r="W42" i="107" s="1"/>
  <c r="V41" i="107"/>
  <c r="V42" i="107" s="1"/>
  <c r="U41" i="107"/>
  <c r="U42" i="107" s="1"/>
  <c r="T41" i="107"/>
  <c r="T42" i="107" s="1"/>
  <c r="S41" i="107"/>
  <c r="S42" i="107" s="1"/>
  <c r="T22" i="107"/>
  <c r="U22" i="107"/>
  <c r="V22" i="107"/>
  <c r="W22" i="107"/>
  <c r="X22" i="107"/>
  <c r="Y22" i="107"/>
  <c r="Z22" i="107"/>
  <c r="AA22" i="107"/>
  <c r="AB22" i="107"/>
  <c r="AC22" i="107"/>
  <c r="AD22" i="107"/>
  <c r="AE22" i="107"/>
  <c r="AF22" i="107"/>
  <c r="T23" i="107"/>
  <c r="U23" i="107"/>
  <c r="V23" i="107"/>
  <c r="W23" i="107"/>
  <c r="X23" i="107"/>
  <c r="Y23" i="107"/>
  <c r="Z23" i="107"/>
  <c r="AA23" i="107"/>
  <c r="AB23" i="107"/>
  <c r="AC23" i="107"/>
  <c r="AD23" i="107"/>
  <c r="AE23" i="107"/>
  <c r="AF23" i="107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T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T26" i="107"/>
  <c r="U26" i="107"/>
  <c r="V26" i="107"/>
  <c r="W26" i="107"/>
  <c r="X26" i="107"/>
  <c r="Y26" i="107"/>
  <c r="Z26" i="107"/>
  <c r="AA26" i="107"/>
  <c r="AB26" i="107"/>
  <c r="AC26" i="107"/>
  <c r="AD26" i="107"/>
  <c r="AE26" i="107"/>
  <c r="AF26" i="107"/>
  <c r="T27" i="107"/>
  <c r="U27" i="107"/>
  <c r="V27" i="107"/>
  <c r="W27" i="107"/>
  <c r="X27" i="107"/>
  <c r="Y27" i="107"/>
  <c r="Z27" i="107"/>
  <c r="AA27" i="107"/>
  <c r="AB27" i="107"/>
  <c r="AC27" i="107"/>
  <c r="AD27" i="107"/>
  <c r="AE27" i="107"/>
  <c r="AF27" i="107"/>
  <c r="T28" i="107"/>
  <c r="U28" i="107"/>
  <c r="V28" i="107"/>
  <c r="W28" i="107"/>
  <c r="X28" i="107"/>
  <c r="Y28" i="107"/>
  <c r="Z28" i="107"/>
  <c r="AA28" i="107"/>
  <c r="AB28" i="107"/>
  <c r="AC28" i="107"/>
  <c r="AD28" i="107"/>
  <c r="AE28" i="107"/>
  <c r="AF28" i="107"/>
  <c r="T29" i="107"/>
  <c r="U29" i="107"/>
  <c r="V29" i="107"/>
  <c r="W29" i="107"/>
  <c r="X29" i="107"/>
  <c r="Y29" i="107"/>
  <c r="Z29" i="107"/>
  <c r="AA29" i="107"/>
  <c r="AB29" i="107"/>
  <c r="AC29" i="107"/>
  <c r="AD29" i="107"/>
  <c r="AE29" i="107"/>
  <c r="AF29" i="107"/>
  <c r="T30" i="107"/>
  <c r="U30" i="107"/>
  <c r="V30" i="107"/>
  <c r="W30" i="107"/>
  <c r="X30" i="107"/>
  <c r="Y30" i="107"/>
  <c r="Z30" i="107"/>
  <c r="AA30" i="107"/>
  <c r="AB30" i="107"/>
  <c r="AC30" i="107"/>
  <c r="AD30" i="107"/>
  <c r="AE30" i="107"/>
  <c r="AF30" i="107"/>
  <c r="T31" i="107"/>
  <c r="U31" i="107"/>
  <c r="V31" i="107"/>
  <c r="W31" i="107"/>
  <c r="X31" i="107"/>
  <c r="Y31" i="107"/>
  <c r="Z31" i="107"/>
  <c r="AA31" i="107"/>
  <c r="AB31" i="107"/>
  <c r="AC31" i="107"/>
  <c r="AD31" i="107"/>
  <c r="AE31" i="107"/>
  <c r="AF31" i="107"/>
  <c r="T32" i="107"/>
  <c r="U32" i="107"/>
  <c r="V32" i="107"/>
  <c r="W32" i="107"/>
  <c r="X32" i="107"/>
  <c r="Y32" i="107"/>
  <c r="Z32" i="107"/>
  <c r="AA32" i="107"/>
  <c r="AB32" i="107"/>
  <c r="AC32" i="107"/>
  <c r="AD32" i="107"/>
  <c r="AE32" i="107"/>
  <c r="AF32" i="107"/>
  <c r="T33" i="107"/>
  <c r="U33" i="107"/>
  <c r="V33" i="107"/>
  <c r="W33" i="107"/>
  <c r="X33" i="107"/>
  <c r="Y33" i="107"/>
  <c r="Z33" i="107"/>
  <c r="AA33" i="107"/>
  <c r="AB33" i="107"/>
  <c r="AC33" i="107"/>
  <c r="AD33" i="107"/>
  <c r="AE33" i="107"/>
  <c r="AF33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D58" i="111"/>
  <c r="E58" i="111"/>
  <c r="F58" i="111"/>
  <c r="G58" i="111"/>
  <c r="H58" i="111"/>
  <c r="I58" i="111"/>
  <c r="J58" i="111"/>
  <c r="K58" i="111"/>
  <c r="L58" i="111"/>
  <c r="M58" i="111"/>
  <c r="N58" i="111"/>
  <c r="D59" i="111"/>
  <c r="E59" i="111"/>
  <c r="F59" i="111"/>
  <c r="G59" i="111"/>
  <c r="H59" i="111"/>
  <c r="I59" i="111"/>
  <c r="J59" i="111"/>
  <c r="K59" i="111"/>
  <c r="L59" i="111"/>
  <c r="M59" i="111"/>
  <c r="N59" i="111"/>
  <c r="D60" i="111"/>
  <c r="O60" i="111" s="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G61" i="111"/>
  <c r="H61" i="111"/>
  <c r="I61" i="111"/>
  <c r="J61" i="111"/>
  <c r="K61" i="111"/>
  <c r="L61" i="111"/>
  <c r="M61" i="111"/>
  <c r="N61" i="111"/>
  <c r="D62" i="111"/>
  <c r="E62" i="111"/>
  <c r="F62" i="111"/>
  <c r="G62" i="111"/>
  <c r="H62" i="111"/>
  <c r="I62" i="111"/>
  <c r="J62" i="111"/>
  <c r="K62" i="111"/>
  <c r="L62" i="111"/>
  <c r="M62" i="111"/>
  <c r="N62" i="11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O64" i="111" s="1"/>
  <c r="E64" i="111"/>
  <c r="F64" i="111"/>
  <c r="G64" i="111"/>
  <c r="H64" i="111"/>
  <c r="I64" i="111"/>
  <c r="J64" i="111"/>
  <c r="K64" i="111"/>
  <c r="L64" i="111"/>
  <c r="M64" i="11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H66" i="111"/>
  <c r="I66" i="111"/>
  <c r="J66" i="111"/>
  <c r="K66" i="111"/>
  <c r="L66" i="111"/>
  <c r="M66" i="111"/>
  <c r="N66" i="111"/>
  <c r="D67" i="111"/>
  <c r="E67" i="111"/>
  <c r="F67" i="111"/>
  <c r="G67" i="111"/>
  <c r="H67" i="111"/>
  <c r="I67" i="111"/>
  <c r="J67" i="111"/>
  <c r="K67" i="111"/>
  <c r="L67" i="111"/>
  <c r="M67" i="111"/>
  <c r="N67" i="111"/>
  <c r="D68" i="111"/>
  <c r="O68" i="111" s="1"/>
  <c r="E68" i="111"/>
  <c r="F68" i="111"/>
  <c r="G68" i="111"/>
  <c r="H68" i="111"/>
  <c r="I68" i="111"/>
  <c r="J68" i="111"/>
  <c r="K68" i="111"/>
  <c r="L68" i="11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H70" i="111"/>
  <c r="I70" i="111"/>
  <c r="J70" i="111"/>
  <c r="K70" i="111"/>
  <c r="L70" i="111"/>
  <c r="M70" i="111"/>
  <c r="N70" i="111"/>
  <c r="D71" i="111"/>
  <c r="E71" i="111"/>
  <c r="F71" i="111"/>
  <c r="G71" i="111"/>
  <c r="H71" i="111"/>
  <c r="I71" i="111"/>
  <c r="J71" i="111"/>
  <c r="K71" i="111"/>
  <c r="L71" i="111"/>
  <c r="M71" i="111"/>
  <c r="N71" i="111"/>
  <c r="D72" i="111"/>
  <c r="O72" i="111" s="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G73" i="111"/>
  <c r="H73" i="111"/>
  <c r="I73" i="111"/>
  <c r="J73" i="111"/>
  <c r="K73" i="111"/>
  <c r="L73" i="111"/>
  <c r="M73" i="111"/>
  <c r="N73" i="111"/>
  <c r="D74" i="111"/>
  <c r="E74" i="111"/>
  <c r="F74" i="111"/>
  <c r="G74" i="111"/>
  <c r="H74" i="111"/>
  <c r="I74" i="111"/>
  <c r="J74" i="111"/>
  <c r="K74" i="111"/>
  <c r="L74" i="111"/>
  <c r="M74" i="111"/>
  <c r="N74" i="111"/>
  <c r="D75" i="111"/>
  <c r="E75" i="111"/>
  <c r="F75" i="111"/>
  <c r="G75" i="111"/>
  <c r="H75" i="111"/>
  <c r="I75" i="111"/>
  <c r="J75" i="111"/>
  <c r="K75" i="111"/>
  <c r="L75" i="111"/>
  <c r="M75" i="111"/>
  <c r="N75" i="111"/>
  <c r="D76" i="111"/>
  <c r="E76" i="111"/>
  <c r="F76" i="111"/>
  <c r="G76" i="111"/>
  <c r="H76" i="111"/>
  <c r="I76" i="111"/>
  <c r="J76" i="111"/>
  <c r="K76" i="111"/>
  <c r="L76" i="111"/>
  <c r="M76" i="11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H78" i="111"/>
  <c r="I78" i="111"/>
  <c r="J78" i="111"/>
  <c r="K78" i="111"/>
  <c r="L78" i="111"/>
  <c r="M78" i="111"/>
  <c r="N78" i="111"/>
  <c r="D79" i="111"/>
  <c r="E79" i="111"/>
  <c r="F79" i="111"/>
  <c r="G79" i="111"/>
  <c r="H79" i="111"/>
  <c r="I79" i="111"/>
  <c r="J79" i="111"/>
  <c r="K79" i="111"/>
  <c r="L79" i="111"/>
  <c r="M79" i="111"/>
  <c r="N79" i="111"/>
  <c r="D80" i="111"/>
  <c r="E80" i="111"/>
  <c r="F80" i="111"/>
  <c r="G80" i="111"/>
  <c r="H80" i="111"/>
  <c r="I80" i="111"/>
  <c r="J80" i="111"/>
  <c r="K80" i="111"/>
  <c r="L80" i="111"/>
  <c r="M80" i="11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H82" i="111"/>
  <c r="I82" i="111"/>
  <c r="J82" i="111"/>
  <c r="K82" i="111"/>
  <c r="L82" i="111"/>
  <c r="M82" i="111"/>
  <c r="N82" i="11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F84" i="111"/>
  <c r="G84" i="111"/>
  <c r="H84" i="111"/>
  <c r="I84" i="111"/>
  <c r="J84" i="111"/>
  <c r="K84" i="111"/>
  <c r="L84" i="111"/>
  <c r="M84" i="11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G86" i="111"/>
  <c r="H86" i="111"/>
  <c r="I86" i="111"/>
  <c r="J86" i="111"/>
  <c r="K86" i="111"/>
  <c r="L86" i="111"/>
  <c r="M86" i="111"/>
  <c r="N86" i="111"/>
  <c r="D87" i="111"/>
  <c r="E87" i="111"/>
  <c r="F87" i="111"/>
  <c r="G87" i="111"/>
  <c r="H87" i="111"/>
  <c r="I87" i="111"/>
  <c r="J87" i="111"/>
  <c r="K87" i="111"/>
  <c r="L87" i="111"/>
  <c r="M87" i="111"/>
  <c r="N87" i="111"/>
  <c r="D88" i="111"/>
  <c r="E88" i="111"/>
  <c r="F88" i="111"/>
  <c r="G88" i="111"/>
  <c r="H88" i="111"/>
  <c r="I88" i="111"/>
  <c r="J88" i="111"/>
  <c r="K88" i="111"/>
  <c r="L88" i="111"/>
  <c r="M88" i="11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H90" i="111"/>
  <c r="I90" i="111"/>
  <c r="J90" i="111"/>
  <c r="K90" i="111"/>
  <c r="L90" i="111"/>
  <c r="M90" i="111"/>
  <c r="N90" i="111"/>
  <c r="D91" i="111"/>
  <c r="E91" i="111"/>
  <c r="F91" i="111"/>
  <c r="G91" i="111"/>
  <c r="H91" i="111"/>
  <c r="I91" i="111"/>
  <c r="J91" i="111"/>
  <c r="K91" i="111"/>
  <c r="L91" i="11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E94" i="111"/>
  <c r="F94" i="111"/>
  <c r="G94" i="111"/>
  <c r="H94" i="111"/>
  <c r="I94" i="111"/>
  <c r="J94" i="111"/>
  <c r="K94" i="111"/>
  <c r="L94" i="111"/>
  <c r="M94" i="111"/>
  <c r="N94" i="11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F96" i="111"/>
  <c r="G96" i="111"/>
  <c r="H96" i="111"/>
  <c r="I96" i="111"/>
  <c r="J96" i="111"/>
  <c r="K96" i="111"/>
  <c r="L96" i="111"/>
  <c r="M96" i="11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E98" i="111"/>
  <c r="F98" i="111"/>
  <c r="G98" i="111"/>
  <c r="H98" i="111"/>
  <c r="I98" i="111"/>
  <c r="J98" i="111"/>
  <c r="K98" i="111"/>
  <c r="L98" i="111"/>
  <c r="M98" i="11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C59" i="111"/>
  <c r="P59" i="111" s="1"/>
  <c r="C60" i="111"/>
  <c r="C61" i="111"/>
  <c r="P61" i="111" s="1"/>
  <c r="C62" i="111"/>
  <c r="C63" i="111"/>
  <c r="P63" i="111" s="1"/>
  <c r="C64" i="111"/>
  <c r="C65" i="111"/>
  <c r="P65" i="111" s="1"/>
  <c r="C66" i="111"/>
  <c r="C67" i="111"/>
  <c r="P67" i="111" s="1"/>
  <c r="C68" i="111"/>
  <c r="C69" i="111"/>
  <c r="P69" i="111" s="1"/>
  <c r="C70" i="111"/>
  <c r="C71" i="111"/>
  <c r="P71" i="111" s="1"/>
  <c r="C72" i="111"/>
  <c r="C73" i="111"/>
  <c r="P73" i="111" s="1"/>
  <c r="C74" i="111"/>
  <c r="C75" i="111"/>
  <c r="P75" i="111" s="1"/>
  <c r="C76" i="111"/>
  <c r="C77" i="111"/>
  <c r="P77" i="111" s="1"/>
  <c r="C78" i="111"/>
  <c r="C79" i="111"/>
  <c r="P79" i="111" s="1"/>
  <c r="C80" i="111"/>
  <c r="C81" i="111"/>
  <c r="P81" i="111" s="1"/>
  <c r="C82" i="111"/>
  <c r="C83" i="111"/>
  <c r="P83" i="111" s="1"/>
  <c r="C84" i="111"/>
  <c r="C85" i="111"/>
  <c r="P85" i="111" s="1"/>
  <c r="C86" i="111"/>
  <c r="C87" i="111"/>
  <c r="P87" i="111" s="1"/>
  <c r="C88" i="111"/>
  <c r="C89" i="111"/>
  <c r="P89" i="111" s="1"/>
  <c r="C90" i="111"/>
  <c r="C91" i="111"/>
  <c r="P91" i="111" s="1"/>
  <c r="C92" i="111"/>
  <c r="C93" i="111"/>
  <c r="P93" i="111" s="1"/>
  <c r="C94" i="111"/>
  <c r="C95" i="111"/>
  <c r="P95" i="111" s="1"/>
  <c r="C96" i="111"/>
  <c r="C97" i="111"/>
  <c r="P97" i="111" s="1"/>
  <c r="C98" i="111"/>
  <c r="C99" i="111"/>
  <c r="P99" i="111" s="1"/>
  <c r="C100" i="111"/>
  <c r="C101" i="111"/>
  <c r="P101" i="111" s="1"/>
  <c r="C102" i="111"/>
  <c r="C103" i="111"/>
  <c r="P103" i="111" s="1"/>
  <c r="C104" i="111"/>
  <c r="C105" i="111"/>
  <c r="P105" i="111" s="1"/>
  <c r="C58" i="111"/>
  <c r="P105" i="108"/>
  <c r="O105" i="108"/>
  <c r="P104" i="108"/>
  <c r="O104" i="108"/>
  <c r="P103" i="108"/>
  <c r="O103" i="108"/>
  <c r="P102" i="108"/>
  <c r="O102" i="108"/>
  <c r="P101" i="108"/>
  <c r="O101" i="108"/>
  <c r="P100" i="108"/>
  <c r="O100" i="108"/>
  <c r="P99" i="108"/>
  <c r="O99" i="108"/>
  <c r="P98" i="108"/>
  <c r="O98" i="108"/>
  <c r="P97" i="108"/>
  <c r="O97" i="108"/>
  <c r="P96" i="108"/>
  <c r="O96" i="108"/>
  <c r="P95" i="108"/>
  <c r="O95" i="108"/>
  <c r="P94" i="108"/>
  <c r="O94" i="108"/>
  <c r="P93" i="108"/>
  <c r="O93" i="108"/>
  <c r="P92" i="108"/>
  <c r="O92" i="108"/>
  <c r="P91" i="108"/>
  <c r="O91" i="108"/>
  <c r="P90" i="108"/>
  <c r="O90" i="108"/>
  <c r="P89" i="108"/>
  <c r="O89" i="108"/>
  <c r="P88" i="108"/>
  <c r="O88" i="108"/>
  <c r="P87" i="108"/>
  <c r="O87" i="108"/>
  <c r="P86" i="108"/>
  <c r="O86" i="108"/>
  <c r="P85" i="108"/>
  <c r="O85" i="108"/>
  <c r="P84" i="108"/>
  <c r="O84" i="108"/>
  <c r="P83" i="108"/>
  <c r="O83" i="108"/>
  <c r="P82" i="108"/>
  <c r="O82" i="108"/>
  <c r="P81" i="108"/>
  <c r="O81" i="108"/>
  <c r="P80" i="108"/>
  <c r="O80" i="108"/>
  <c r="P79" i="108"/>
  <c r="O79" i="108"/>
  <c r="P78" i="108"/>
  <c r="O78" i="108"/>
  <c r="P77" i="108"/>
  <c r="O77" i="108"/>
  <c r="P76" i="108"/>
  <c r="O76" i="108"/>
  <c r="P75" i="108"/>
  <c r="O75" i="108"/>
  <c r="P74" i="108"/>
  <c r="O74" i="108"/>
  <c r="P73" i="108"/>
  <c r="O73" i="108"/>
  <c r="P72" i="108"/>
  <c r="O72" i="108"/>
  <c r="P71" i="108"/>
  <c r="O71" i="108"/>
  <c r="P70" i="108"/>
  <c r="O70" i="108"/>
  <c r="P69" i="108"/>
  <c r="O69" i="108"/>
  <c r="P68" i="108"/>
  <c r="O68" i="108"/>
  <c r="P67" i="108"/>
  <c r="O67" i="108"/>
  <c r="P66" i="108"/>
  <c r="O66" i="108"/>
  <c r="P65" i="108"/>
  <c r="O65" i="108"/>
  <c r="P64" i="108"/>
  <c r="O64" i="108"/>
  <c r="P63" i="108"/>
  <c r="O63" i="108"/>
  <c r="P62" i="108"/>
  <c r="O62" i="108"/>
  <c r="P61" i="108"/>
  <c r="O61" i="108"/>
  <c r="P60" i="108"/>
  <c r="O60" i="108"/>
  <c r="P59" i="108"/>
  <c r="O59" i="108"/>
  <c r="P58" i="108"/>
  <c r="O58" i="108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P105" i="107"/>
  <c r="O105" i="107"/>
  <c r="P104" i="107"/>
  <c r="O104" i="107"/>
  <c r="P103" i="107"/>
  <c r="O103" i="107"/>
  <c r="P102" i="107"/>
  <c r="O102" i="107"/>
  <c r="P101" i="107"/>
  <c r="O101" i="107"/>
  <c r="P100" i="107"/>
  <c r="O100" i="107"/>
  <c r="P99" i="107"/>
  <c r="O99" i="107"/>
  <c r="P98" i="107"/>
  <c r="O98" i="107"/>
  <c r="P97" i="107"/>
  <c r="O97" i="107"/>
  <c r="P96" i="107"/>
  <c r="O96" i="107"/>
  <c r="P95" i="107"/>
  <c r="O95" i="107"/>
  <c r="P94" i="107"/>
  <c r="O94" i="107"/>
  <c r="P93" i="107"/>
  <c r="O93" i="107"/>
  <c r="P92" i="107"/>
  <c r="O92" i="107"/>
  <c r="P91" i="107"/>
  <c r="O91" i="107"/>
  <c r="P90" i="107"/>
  <c r="O90" i="107"/>
  <c r="P89" i="107"/>
  <c r="O89" i="107"/>
  <c r="P88" i="107"/>
  <c r="O88" i="107"/>
  <c r="P87" i="107"/>
  <c r="O87" i="107"/>
  <c r="P86" i="107"/>
  <c r="O86" i="107"/>
  <c r="P85" i="107"/>
  <c r="O85" i="107"/>
  <c r="P84" i="107"/>
  <c r="O84" i="107"/>
  <c r="P83" i="107"/>
  <c r="O83" i="107"/>
  <c r="P82" i="107"/>
  <c r="O82" i="107"/>
  <c r="P81" i="107"/>
  <c r="O81" i="107"/>
  <c r="P80" i="107"/>
  <c r="O80" i="107"/>
  <c r="P79" i="107"/>
  <c r="O79" i="107"/>
  <c r="P78" i="107"/>
  <c r="O78" i="107"/>
  <c r="P77" i="107"/>
  <c r="O77" i="107"/>
  <c r="P76" i="107"/>
  <c r="O76" i="107"/>
  <c r="P75" i="107"/>
  <c r="O75" i="107"/>
  <c r="P74" i="107"/>
  <c r="O74" i="107"/>
  <c r="P73" i="107"/>
  <c r="O73" i="107"/>
  <c r="P72" i="107"/>
  <c r="O72" i="107"/>
  <c r="P71" i="107"/>
  <c r="O71" i="107"/>
  <c r="P70" i="107"/>
  <c r="O70" i="107"/>
  <c r="P69" i="107"/>
  <c r="O69" i="107"/>
  <c r="P68" i="107"/>
  <c r="O68" i="107"/>
  <c r="P67" i="107"/>
  <c r="O67" i="107"/>
  <c r="P66" i="107"/>
  <c r="O66" i="107"/>
  <c r="P65" i="107"/>
  <c r="O65" i="107"/>
  <c r="P64" i="107"/>
  <c r="O64" i="107"/>
  <c r="P63" i="107"/>
  <c r="O63" i="107"/>
  <c r="P62" i="107"/>
  <c r="O62" i="107"/>
  <c r="P61" i="107"/>
  <c r="O61" i="107"/>
  <c r="P60" i="107"/>
  <c r="O60" i="107"/>
  <c r="P59" i="107"/>
  <c r="O59" i="107"/>
  <c r="P58" i="107"/>
  <c r="O58" i="107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P58" i="111" l="1"/>
  <c r="P74" i="111"/>
  <c r="P72" i="111"/>
  <c r="P70" i="111"/>
  <c r="P68" i="111"/>
  <c r="P66" i="111"/>
  <c r="P64" i="111"/>
  <c r="P62" i="111"/>
  <c r="P60" i="111"/>
  <c r="O75" i="111"/>
  <c r="O73" i="111"/>
  <c r="O71" i="111"/>
  <c r="O69" i="111"/>
  <c r="O67" i="111"/>
  <c r="O65" i="111"/>
  <c r="O63" i="111"/>
  <c r="O61" i="111"/>
  <c r="O59" i="111"/>
  <c r="O58" i="111"/>
  <c r="O62" i="111"/>
  <c r="O66" i="111"/>
  <c r="O70" i="111"/>
  <c r="O74" i="111"/>
  <c r="P104" i="111"/>
  <c r="O104" i="111"/>
  <c r="P102" i="111"/>
  <c r="O102" i="111"/>
  <c r="P100" i="111"/>
  <c r="O100" i="111"/>
  <c r="P98" i="111"/>
  <c r="O98" i="111"/>
  <c r="P96" i="111"/>
  <c r="O96" i="111"/>
  <c r="P94" i="111"/>
  <c r="O94" i="111"/>
  <c r="P92" i="111"/>
  <c r="O92" i="111"/>
  <c r="P90" i="111"/>
  <c r="O90" i="111"/>
  <c r="P88" i="111"/>
  <c r="O88" i="111"/>
  <c r="P86" i="111"/>
  <c r="O86" i="111"/>
  <c r="P84" i="111"/>
  <c r="O84" i="111"/>
  <c r="P82" i="111"/>
  <c r="O82" i="111"/>
  <c r="P80" i="111"/>
  <c r="O80" i="111"/>
  <c r="P78" i="111"/>
  <c r="O78" i="111"/>
  <c r="P76" i="111"/>
  <c r="O76" i="111"/>
  <c r="O105" i="111"/>
  <c r="O103" i="111"/>
  <c r="O101" i="111"/>
  <c r="O99" i="111"/>
  <c r="O97" i="111"/>
  <c r="O95" i="111"/>
  <c r="O93" i="111"/>
  <c r="O91" i="111"/>
  <c r="O89" i="111"/>
  <c r="O87" i="111"/>
  <c r="O85" i="111"/>
  <c r="O83" i="111"/>
  <c r="O81" i="111"/>
  <c r="O79" i="111"/>
  <c r="O77" i="111"/>
  <c r="D5" i="105"/>
  <c r="D5" i="104" l="1"/>
  <c r="C3" i="94" l="1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1" s="1"/>
  <c r="K5" i="105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K5" i="95"/>
  <c r="G5" i="95"/>
  <c r="K6" i="94"/>
  <c r="K5" i="94"/>
  <c r="G5" i="94"/>
  <c r="G6" i="104"/>
  <c r="G6" i="108" s="1"/>
  <c r="G6" i="110"/>
  <c r="G6" i="98"/>
  <c r="G6" i="109"/>
  <c r="G6" i="103"/>
  <c r="G6" i="107" s="1"/>
  <c r="D6" i="104"/>
  <c r="D6" i="108" s="1"/>
  <c r="D6" i="110"/>
  <c r="D6" i="98"/>
  <c r="D6" i="103"/>
  <c r="D6" i="107" s="1"/>
  <c r="D5" i="100"/>
  <c r="D5" i="98"/>
  <c r="D5" i="96"/>
  <c r="K5" i="104" l="1"/>
  <c r="K5" i="108" s="1"/>
  <c r="K5" i="111" s="1"/>
  <c r="K5" i="107"/>
  <c r="K6" i="107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AA27" i="99" l="1"/>
  <c r="AA39" i="101"/>
  <c r="X39" i="105"/>
  <c r="AD38" i="101"/>
  <c r="Y39" i="109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D26" i="97" l="1"/>
  <c r="Z26" i="95"/>
  <c r="X26" i="96"/>
  <c r="AF25" i="101"/>
  <c r="AF28" i="101"/>
  <c r="S38" i="105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F10" i="111"/>
  <c r="F106" i="111" s="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K106" i="111" s="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AF10" i="108" s="1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6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E106" i="111" l="1"/>
  <c r="M106" i="111"/>
  <c r="D106" i="111"/>
  <c r="L106" i="111"/>
  <c r="G106" i="111"/>
  <c r="H106" i="111"/>
  <c r="I106" i="111"/>
  <c r="C106" i="111"/>
  <c r="J106" i="111"/>
  <c r="AD39" i="107"/>
  <c r="AD12" i="111"/>
  <c r="U39" i="107"/>
  <c r="X42" i="109"/>
  <c r="T12" i="111"/>
  <c r="T13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O106" i="111" l="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AF34" i="111" s="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7" i="111" l="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<sst xmlns="http://schemas.openxmlformats.org/spreadsheetml/2006/main" count="2345" uniqueCount="178">
  <si>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</si>
  <si>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</si>
  <si>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</si>
  <si>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</si>
  <si>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</si>
  <si>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</si>
  <si>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</si>
  <si>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</si>
  <si>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</si>
  <si>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</si>
  <si>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</si>
  <si>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</si>
  <si>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</si>
  <si>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</si>
  <si>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</si>
  <si>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</si>
  <si>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</si>
  <si>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</si>
  <si>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</si>
  <si>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</si>
  <si>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</si>
  <si>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</si>
  <si>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</si>
  <si>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</si>
  <si>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</si>
  <si>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</si>
  <si>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</si>
  <si>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</si>
  <si>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</si>
  <si>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</si>
  <si>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</si>
  <si>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</si>
  <si>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</si>
  <si>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</si>
  <si>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</si>
  <si>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</si>
  <si>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</si>
  <si>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</si>
  <si>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</si>
  <si>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</si>
  <si>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</si>
  <si>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</si>
  <si>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</si>
  <si>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</si>
  <si>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</si>
  <si>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</si>
  <si>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</si>
  <si>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</si>
  <si>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</si>
  <si>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</si>
  <si>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</si>
  <si>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</si>
  <si>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</si>
  <si>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</si>
  <si>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</si>
  <si>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</si>
  <si>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</si>
  <si>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</si>
  <si>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</si>
  <si>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</si>
  <si>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</si>
  <si>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</si>
  <si>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</si>
  <si>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</si>
  <si>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</si>
  <si>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</si>
  <si>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</si>
  <si>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</si>
  <si>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</si>
  <si>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</si>
  <si>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</si>
  <si>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</si>
  <si>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</si>
  <si>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</si>
  <si>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</si>
  <si>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</si>
  <si>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</si>
  <si>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</si>
  <si>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</si>
  <si>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</si>
  <si>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</si>
  <si>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</si>
  <si>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</si>
  <si>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</si>
  <si>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</si>
  <si>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</si>
  <si>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</si>
  <si>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</si>
  <si>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</si>
  <si>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</si>
  <si>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</si>
  <si>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</si>
  <si>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</si>
  <si>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</si>
  <si>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</si>
  <si>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</si>
  <si>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</si>
  <si>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</si>
  <si>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</si>
  <si>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</si>
  <si>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</si>
  <si>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</si>
  <si>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</si>
  <si>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</si>
  <si>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</si>
  <si>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</si>
  <si>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</si>
  <si>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</si>
  <si>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</si>
  <si>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</si>
  <si>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</si>
  <si>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</si>
  <si>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</si>
  <si>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</si>
  <si>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</si>
  <si>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</si>
  <si>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</si>
  <si>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</si>
  <si>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</si>
  <si>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</si>
  <si>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</si>
  <si>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</si>
  <si>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</si>
  <si>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</si>
  <si>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</si>
  <si>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</si>
  <si>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</si>
  <si>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</si>
  <si>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</si>
  <si>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</si>
  <si>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</si>
  <si>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</si>
  <si>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</si>
  <si>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</si>
  <si>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</si>
  <si>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</si>
  <si>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</si>
  <si>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</si>
  <si>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</si>
  <si>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</si>
  <si>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</si>
  <si>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</si>
  <si>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</si>
  <si>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</si>
  <si>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</si>
  <si>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</si>
  <si>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</si>
  <si>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</si>
  <si>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</si>
  <si>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</si>
  <si>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</si>
  <si>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</si>
  <si>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</si>
  <si>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</si>
  <si>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</si>
  <si>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</si>
  <si>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</si>
  <si>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</si>
  <si>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</si>
  <si>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</si>
  <si>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</si>
  <si>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</si>
  <si>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</si>
  <si>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TORORO</t>
  </si>
  <si>
    <t>BUSITEMA</t>
  </si>
  <si>
    <t>RWOTHOMIYO NORMAN</t>
  </si>
  <si>
    <t>STATION 98</t>
  </si>
  <si>
    <t>TORORO TO BUSITEMA</t>
  </si>
  <si>
    <t>IVAN</t>
  </si>
  <si>
    <t>22.08.19</t>
  </si>
  <si>
    <t>23.08.19</t>
  </si>
  <si>
    <t>AMONY JOVANA BELLA</t>
  </si>
  <si>
    <t>25.08.19</t>
  </si>
  <si>
    <t>24.08.19</t>
  </si>
  <si>
    <t>26.08.19</t>
  </si>
  <si>
    <t>28.08.19</t>
  </si>
  <si>
    <t>27.8.19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</si>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</sst>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TORORO-BUSITEMA'!$AE$9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TORORO-BUSITEMA'!$AE$10:$AE$21</c:f>
              <c:numCache>
                <c:formatCode>0</c:formatCode>
                <c:ptCount val="12"/>
                <c:pt idx="0">
                  <c:v>83</c:v>
                </c:pt>
                <c:pt idx="1">
                  <c:v>40</c:v>
                </c:pt>
                <c:pt idx="2">
                  <c:v>80</c:v>
                </c:pt>
                <c:pt idx="3">
                  <c:v>96</c:v>
                </c:pt>
                <c:pt idx="4">
                  <c:v>87</c:v>
                </c:pt>
                <c:pt idx="5">
                  <c:v>108</c:v>
                </c:pt>
                <c:pt idx="6">
                  <c:v>55</c:v>
                </c:pt>
                <c:pt idx="7">
                  <c:v>65</c:v>
                </c:pt>
                <c:pt idx="8">
                  <c:v>79</c:v>
                </c:pt>
                <c:pt idx="9">
                  <c:v>67</c:v>
                </c:pt>
                <c:pt idx="10">
                  <c:v>93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'22.08 TORORO-BUSITEMA'!$AF$9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TORORO-BUSITEMA'!$AF$10:$AF$21</c:f>
              <c:numCache>
                <c:formatCode>0</c:formatCode>
                <c:ptCount val="12"/>
                <c:pt idx="0">
                  <c:v>96</c:v>
                </c:pt>
                <c:pt idx="1">
                  <c:v>51</c:v>
                </c:pt>
                <c:pt idx="2">
                  <c:v>106</c:v>
                </c:pt>
                <c:pt idx="3">
                  <c:v>131</c:v>
                </c:pt>
                <c:pt idx="4">
                  <c:v>104</c:v>
                </c:pt>
                <c:pt idx="5">
                  <c:v>131</c:v>
                </c:pt>
                <c:pt idx="6">
                  <c:v>76</c:v>
                </c:pt>
                <c:pt idx="7">
                  <c:v>82</c:v>
                </c:pt>
                <c:pt idx="8">
                  <c:v>105</c:v>
                </c:pt>
                <c:pt idx="9">
                  <c:v>83</c:v>
                </c:pt>
                <c:pt idx="10">
                  <c:v>126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718176"/>
        <c:axId val="214841952"/>
      </c:lineChart>
      <c:catAx>
        <c:axId val="215718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841952"/>
        <c:crosses val="autoZero"/>
        <c:auto val="1"/>
        <c:lblAlgn val="ctr"/>
        <c:lblOffset val="100"/>
        <c:noMultiLvlLbl val="0"/>
      </c:catAx>
      <c:valAx>
        <c:axId val="214841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7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TORORO-BUSITEMA'!$C$59:$N$59</c:f>
              <c:numCache>
                <c:formatCode>0.0%</c:formatCode>
                <c:ptCount val="12"/>
                <c:pt idx="0">
                  <c:v>4.4839255499153977E-2</c:v>
                </c:pt>
                <c:pt idx="1">
                  <c:v>0.12944162436548223</c:v>
                </c:pt>
                <c:pt idx="2">
                  <c:v>4.3993231810490696E-2</c:v>
                </c:pt>
                <c:pt idx="3">
                  <c:v>0.14043993231810489</c:v>
                </c:pt>
                <c:pt idx="4">
                  <c:v>3.3840947546531302E-3</c:v>
                </c:pt>
                <c:pt idx="5">
                  <c:v>5.076142131979695E-3</c:v>
                </c:pt>
                <c:pt idx="6">
                  <c:v>6.0913705583756347E-2</c:v>
                </c:pt>
                <c:pt idx="7">
                  <c:v>3.3840947546531302E-3</c:v>
                </c:pt>
                <c:pt idx="8">
                  <c:v>1.7766497461928935E-2</c:v>
                </c:pt>
                <c:pt idx="9">
                  <c:v>0.3350253807106599</c:v>
                </c:pt>
                <c:pt idx="10">
                  <c:v>0.21573604060913706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TORORO-BUSITEMA'!$C$60:$N$60</c:f>
              <c:numCache>
                <c:formatCode>0.00%</c:formatCode>
                <c:ptCount val="12"/>
                <c:pt idx="0">
                  <c:v>5.7173678532901832E-2</c:v>
                </c:pt>
                <c:pt idx="1">
                  <c:v>0.1650485436893204</c:v>
                </c:pt>
                <c:pt idx="2">
                  <c:v>5.609492988133765E-2</c:v>
                </c:pt>
                <c:pt idx="3">
                  <c:v>0.17907227615965479</c:v>
                </c:pt>
                <c:pt idx="4">
                  <c:v>4.3149946062567418E-3</c:v>
                </c:pt>
                <c:pt idx="5">
                  <c:v>6.4724919093851136E-3</c:v>
                </c:pt>
                <c:pt idx="6">
                  <c:v>7.7669902912621352E-2</c:v>
                </c:pt>
                <c:pt idx="7">
                  <c:v>4.3149946062567418E-3</c:v>
                </c:pt>
                <c:pt idx="8">
                  <c:v>2.2653721682847898E-2</c:v>
                </c:pt>
                <c:pt idx="9">
                  <c:v>0.42718446601941745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BUSITEMA-TORORO'!$AE$9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BUSITEMA-TORORO'!$AE$10:$AE$21</c:f>
              <c:numCache>
                <c:formatCode>0</c:formatCode>
                <c:ptCount val="12"/>
                <c:pt idx="0">
                  <c:v>42</c:v>
                </c:pt>
                <c:pt idx="1">
                  <c:v>62</c:v>
                </c:pt>
                <c:pt idx="2">
                  <c:v>59</c:v>
                </c:pt>
                <c:pt idx="3">
                  <c:v>41</c:v>
                </c:pt>
                <c:pt idx="4">
                  <c:v>48</c:v>
                </c:pt>
                <c:pt idx="5">
                  <c:v>50</c:v>
                </c:pt>
                <c:pt idx="6">
                  <c:v>67</c:v>
                </c:pt>
                <c:pt idx="7">
                  <c:v>52</c:v>
                </c:pt>
                <c:pt idx="8">
                  <c:v>73</c:v>
                </c:pt>
                <c:pt idx="9">
                  <c:v>96</c:v>
                </c:pt>
                <c:pt idx="10">
                  <c:v>80</c:v>
                </c:pt>
                <c:pt idx="11">
                  <c:v>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'22.08 BUSITEMA-TORORO'!$AF$9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BUSITEMA-TORORO'!$AF$10:$AF$21</c:f>
              <c:numCache>
                <c:formatCode>0</c:formatCode>
                <c:ptCount val="12"/>
                <c:pt idx="0">
                  <c:v>56</c:v>
                </c:pt>
                <c:pt idx="1">
                  <c:v>91</c:v>
                </c:pt>
                <c:pt idx="2">
                  <c:v>75</c:v>
                </c:pt>
                <c:pt idx="3">
                  <c:v>51</c:v>
                </c:pt>
                <c:pt idx="4">
                  <c:v>57</c:v>
                </c:pt>
                <c:pt idx="5">
                  <c:v>65</c:v>
                </c:pt>
                <c:pt idx="6">
                  <c:v>75</c:v>
                </c:pt>
                <c:pt idx="7">
                  <c:v>72</c:v>
                </c:pt>
                <c:pt idx="8">
                  <c:v>83</c:v>
                </c:pt>
                <c:pt idx="9">
                  <c:v>100</c:v>
                </c:pt>
                <c:pt idx="10">
                  <c:v>84</c:v>
                </c:pt>
                <c:pt idx="11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591912"/>
        <c:axId val="216592304"/>
      </c:lineChart>
      <c:catAx>
        <c:axId val="216591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92304"/>
        <c:crosses val="autoZero"/>
        <c:auto val="1"/>
        <c:lblAlgn val="ctr"/>
        <c:lblOffset val="100"/>
        <c:noMultiLvlLbl val="0"/>
      </c:catAx>
      <c:valAx>
        <c:axId val="216592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9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BUSITEMA-TORORO'!$C$59:$N$59</c:f>
              <c:numCache>
                <c:formatCode>0.0%</c:formatCode>
                <c:ptCount val="12"/>
                <c:pt idx="0">
                  <c:v>5.8324496288441142E-2</c:v>
                </c:pt>
                <c:pt idx="1">
                  <c:v>6.9989395546129374E-2</c:v>
                </c:pt>
                <c:pt idx="2">
                  <c:v>6.0445387062566275E-2</c:v>
                </c:pt>
                <c:pt idx="3">
                  <c:v>0.1633085896076352</c:v>
                </c:pt>
                <c:pt idx="4">
                  <c:v>1.0604453870625663E-2</c:v>
                </c:pt>
                <c:pt idx="5">
                  <c:v>8.483563096500531E-3</c:v>
                </c:pt>
                <c:pt idx="6">
                  <c:v>5.620360551431601E-2</c:v>
                </c:pt>
                <c:pt idx="7">
                  <c:v>2.5450689289501591E-2</c:v>
                </c:pt>
                <c:pt idx="8">
                  <c:v>5.726405090137858E-2</c:v>
                </c:pt>
                <c:pt idx="9">
                  <c:v>0.32767762460233296</c:v>
                </c:pt>
                <c:pt idx="10">
                  <c:v>0.16224814422057265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BUSITEMA-TORORO'!$S$9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BUSITEMA-TORORO'!$S$10:$S$21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10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'22.08 BUSITEMA-TORORO'!$T$9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'22.08 BUSITEMA-TORORO'!$T$10:$T$21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13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13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'22.08 BUSITEMA-TORORO'!$U$9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BUSITEMA-TORORO'!$U$10:$U$21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'22.08 BUSITEMA-TORORO'!$V$9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BUSITEMA-TORORO'!$V$10:$V$21</c:f>
              <c:numCache>
                <c:formatCode>0</c:formatCode>
                <c:ptCount val="12"/>
                <c:pt idx="0">
                  <c:v>2</c:v>
                </c:pt>
                <c:pt idx="1">
                  <c:v>13</c:v>
                </c:pt>
                <c:pt idx="2">
                  <c:v>11</c:v>
                </c:pt>
                <c:pt idx="3">
                  <c:v>8</c:v>
                </c:pt>
                <c:pt idx="4">
                  <c:v>12</c:v>
                </c:pt>
                <c:pt idx="5">
                  <c:v>11</c:v>
                </c:pt>
                <c:pt idx="6">
                  <c:v>18</c:v>
                </c:pt>
                <c:pt idx="7">
                  <c:v>20</c:v>
                </c:pt>
                <c:pt idx="8">
                  <c:v>9</c:v>
                </c:pt>
                <c:pt idx="9">
                  <c:v>11</c:v>
                </c:pt>
                <c:pt idx="10">
                  <c:v>15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'22.08 BUSITEMA-TORORO'!$W$9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'22.08 BUSITEMA-TORORO'!$X$9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'22.08 BUSITEMA-TORORO'!$Y$9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'22.08 BUSITEMA-TORORO'!$Z$9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'22.08 BUSITEMA-TORORO'!$AA$9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BUSITEMA-TORORO'!$AA$10:$AA$21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'22.08 BUSITEMA-TORORO'!$AB$9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BUSITEMA-TORORO'!$AB$10:$AB$21</c:f>
              <c:numCache>
                <c:formatCode>0</c:formatCode>
                <c:ptCount val="12"/>
                <c:pt idx="0">
                  <c:v>21</c:v>
                </c:pt>
                <c:pt idx="1">
                  <c:v>24</c:v>
                </c:pt>
                <c:pt idx="2">
                  <c:v>22</c:v>
                </c:pt>
                <c:pt idx="3">
                  <c:v>14</c:v>
                </c:pt>
                <c:pt idx="4">
                  <c:v>5</c:v>
                </c:pt>
                <c:pt idx="5">
                  <c:v>16</c:v>
                </c:pt>
                <c:pt idx="6">
                  <c:v>10</c:v>
                </c:pt>
                <c:pt idx="7">
                  <c:v>12</c:v>
                </c:pt>
                <c:pt idx="8">
                  <c:v>35</c:v>
                </c:pt>
                <c:pt idx="9">
                  <c:v>61</c:v>
                </c:pt>
                <c:pt idx="10">
                  <c:v>47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'22.08 BUSITEMA-TORORO'!$AC$9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BUSITEMA-TORORO'!$AC$10:$AC$21</c:f>
              <c:numCache>
                <c:formatCode>0</c:formatCode>
                <c:ptCount val="12"/>
                <c:pt idx="0">
                  <c:v>14</c:v>
                </c:pt>
                <c:pt idx="1">
                  <c:v>29</c:v>
                </c:pt>
                <c:pt idx="2">
                  <c:v>16</c:v>
                </c:pt>
                <c:pt idx="3">
                  <c:v>10</c:v>
                </c:pt>
                <c:pt idx="4">
                  <c:v>9</c:v>
                </c:pt>
                <c:pt idx="5">
                  <c:v>15</c:v>
                </c:pt>
                <c:pt idx="6">
                  <c:v>8</c:v>
                </c:pt>
                <c:pt idx="7">
                  <c:v>20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'22.08 BUSITEMA-TORORO'!$AD$9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'22.08 BUSITEMA-TORORO'!$AD$10:$AD$21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592696"/>
        <c:axId val="216589168"/>
      </c:lineChart>
      <c:catAx>
        <c:axId val="21659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89168"/>
        <c:crosses val="autoZero"/>
        <c:auto val="1"/>
        <c:lblAlgn val="ctr"/>
        <c:lblOffset val="100"/>
        <c:noMultiLvlLbl val="0"/>
      </c:catAx>
      <c:valAx>
        <c:axId val="2165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9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BUSITEMA-TORORO'!$C$60:$N$60</c:f>
              <c:numCache>
                <c:formatCode>0.00%</c:formatCode>
                <c:ptCount val="12"/>
                <c:pt idx="0">
                  <c:v>6.9620253164556958E-2</c:v>
                </c:pt>
                <c:pt idx="1">
                  <c:v>8.3544303797468356E-2</c:v>
                </c:pt>
                <c:pt idx="2">
                  <c:v>7.2151898734177211E-2</c:v>
                </c:pt>
                <c:pt idx="3">
                  <c:v>0.19493670886075951</c:v>
                </c:pt>
                <c:pt idx="4">
                  <c:v>1.2658227848101266E-2</c:v>
                </c:pt>
                <c:pt idx="5">
                  <c:v>1.0126582278481013E-2</c:v>
                </c:pt>
                <c:pt idx="6">
                  <c:v>6.7088607594936706E-2</c:v>
                </c:pt>
                <c:pt idx="7">
                  <c:v>3.0379746835443037E-2</c:v>
                </c:pt>
                <c:pt idx="8">
                  <c:v>6.8354430379746839E-2</c:v>
                </c:pt>
                <c:pt idx="9">
                  <c:v>0.39113924050632909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BUSITEMA-TORORO'!$AE$9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BUSITEMA-TORORO'!$AE$10:$AE$21</c:f>
              <c:numCache>
                <c:formatCode>0</c:formatCode>
                <c:ptCount val="12"/>
                <c:pt idx="0">
                  <c:v>73</c:v>
                </c:pt>
                <c:pt idx="1">
                  <c:v>67</c:v>
                </c:pt>
                <c:pt idx="2">
                  <c:v>52</c:v>
                </c:pt>
                <c:pt idx="3">
                  <c:v>50</c:v>
                </c:pt>
                <c:pt idx="4">
                  <c:v>52</c:v>
                </c:pt>
                <c:pt idx="5">
                  <c:v>49</c:v>
                </c:pt>
                <c:pt idx="6">
                  <c:v>55</c:v>
                </c:pt>
                <c:pt idx="7">
                  <c:v>91</c:v>
                </c:pt>
                <c:pt idx="8">
                  <c:v>128</c:v>
                </c:pt>
                <c:pt idx="9">
                  <c:v>120</c:v>
                </c:pt>
                <c:pt idx="10">
                  <c:v>110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'23.08 BUSITEMA-TORORO'!$AF$9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BUSITEMA-TORORO'!$AF$10:$AF$21</c:f>
              <c:numCache>
                <c:formatCode>0</c:formatCode>
                <c:ptCount val="12"/>
                <c:pt idx="0">
                  <c:v>87</c:v>
                </c:pt>
                <c:pt idx="1">
                  <c:v>75</c:v>
                </c:pt>
                <c:pt idx="2">
                  <c:v>61</c:v>
                </c:pt>
                <c:pt idx="3">
                  <c:v>58</c:v>
                </c:pt>
                <c:pt idx="4">
                  <c:v>77</c:v>
                </c:pt>
                <c:pt idx="5">
                  <c:v>60</c:v>
                </c:pt>
                <c:pt idx="6">
                  <c:v>82</c:v>
                </c:pt>
                <c:pt idx="7">
                  <c:v>116</c:v>
                </c:pt>
                <c:pt idx="8">
                  <c:v>151</c:v>
                </c:pt>
                <c:pt idx="9">
                  <c:v>129</c:v>
                </c:pt>
                <c:pt idx="10">
                  <c:v>125</c:v>
                </c:pt>
                <c:pt idx="11">
                  <c:v>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590344"/>
        <c:axId val="216587600"/>
      </c:lineChart>
      <c:catAx>
        <c:axId val="216590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87600"/>
        <c:crosses val="autoZero"/>
        <c:auto val="1"/>
        <c:lblAlgn val="ctr"/>
        <c:lblOffset val="100"/>
        <c:noMultiLvlLbl val="0"/>
      </c:catAx>
      <c:valAx>
        <c:axId val="216587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9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BUSITEMA-TORORO'!$C$59:$N$59</c:f>
              <c:numCache>
                <c:formatCode>0.0%</c:formatCode>
                <c:ptCount val="12"/>
                <c:pt idx="0">
                  <c:v>5.5879899916597163E-2</c:v>
                </c:pt>
                <c:pt idx="1">
                  <c:v>9.7581317764803999E-2</c:v>
                </c:pt>
                <c:pt idx="2">
                  <c:v>3.5863219349457881E-2</c:v>
                </c:pt>
                <c:pt idx="3">
                  <c:v>0.18598832360300249</c:v>
                </c:pt>
                <c:pt idx="4">
                  <c:v>2.5020850708924102E-3</c:v>
                </c:pt>
                <c:pt idx="5">
                  <c:v>4.1701417848206837E-3</c:v>
                </c:pt>
                <c:pt idx="6">
                  <c:v>5.5045871559633031E-2</c:v>
                </c:pt>
                <c:pt idx="7">
                  <c:v>2.3352793994995829E-2</c:v>
                </c:pt>
                <c:pt idx="8">
                  <c:v>5.4211843202668891E-2</c:v>
                </c:pt>
                <c:pt idx="9">
                  <c:v>0.30525437864887406</c:v>
                </c:pt>
                <c:pt idx="10">
                  <c:v>0.18015012510425354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BUSITEMA-TORORO'!$S$9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BUSITEMA-TORORO'!$S$10:$S$21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10</c:v>
                </c:pt>
                <c:pt idx="10">
                  <c:v>8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'23.08 BUSITEMA-TORORO'!$T$9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BUSITEMA-TORORO'!$T$10:$T$21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11</c:v>
                </c:pt>
                <c:pt idx="4">
                  <c:v>8</c:v>
                </c:pt>
                <c:pt idx="5">
                  <c:v>15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  <c:pt idx="9">
                  <c:v>16</c:v>
                </c:pt>
                <c:pt idx="10">
                  <c:v>16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'23.08 BUSITEMA-TORORO'!$U$9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BUSITEMA-TORORO'!$U$10:$U$21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'23.08 BUSITEMA-TORORO'!$V$9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BUSITEMA-TORORO'!$V$10:$V$21</c:f>
              <c:numCache>
                <c:formatCode>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16</c:v>
                </c:pt>
                <c:pt idx="4">
                  <c:v>12</c:v>
                </c:pt>
                <c:pt idx="5">
                  <c:v>17</c:v>
                </c:pt>
                <c:pt idx="6">
                  <c:v>15</c:v>
                </c:pt>
                <c:pt idx="7">
                  <c:v>30</c:v>
                </c:pt>
                <c:pt idx="8">
                  <c:v>35</c:v>
                </c:pt>
                <c:pt idx="9">
                  <c:v>13</c:v>
                </c:pt>
                <c:pt idx="10">
                  <c:v>21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'23.08 BUSITEMA-TORORO'!$W$9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'23.08 BUSITEMA-TORORO'!$X$9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'23.08 BUSITEMA-TORORO'!$Y$9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12</c:v>
                </c:pt>
                <c:pt idx="8">
                  <c:v>13</c:v>
                </c:pt>
                <c:pt idx="9">
                  <c:v>4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'23.08 BUSITEMA-TORORO'!$Z$9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'23.08 BUSITEMA-TORORO'!$AA$9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8</c:v>
                </c:pt>
                <c:pt idx="9">
                  <c:v>4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'23.08 BUSITEMA-TORORO'!$AB$9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BUSITEMA-TORORO'!$AB$10:$AB$21</c:f>
              <c:numCache>
                <c:formatCode>0</c:formatCode>
                <c:ptCount val="12"/>
                <c:pt idx="0">
                  <c:v>46</c:v>
                </c:pt>
                <c:pt idx="1">
                  <c:v>36</c:v>
                </c:pt>
                <c:pt idx="2">
                  <c:v>18</c:v>
                </c:pt>
                <c:pt idx="3">
                  <c:v>13</c:v>
                </c:pt>
                <c:pt idx="4">
                  <c:v>13</c:v>
                </c:pt>
                <c:pt idx="5">
                  <c:v>9</c:v>
                </c:pt>
                <c:pt idx="6">
                  <c:v>13</c:v>
                </c:pt>
                <c:pt idx="7">
                  <c:v>19</c:v>
                </c:pt>
                <c:pt idx="8">
                  <c:v>52</c:v>
                </c:pt>
                <c:pt idx="9">
                  <c:v>66</c:v>
                </c:pt>
                <c:pt idx="10">
                  <c:v>38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'23.08 BUSITEMA-TORORO'!$AC$9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BUSITEMA-TORORO'!$AC$10:$AC$21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25</c:v>
                </c:pt>
                <c:pt idx="5">
                  <c:v>11</c:v>
                </c:pt>
                <c:pt idx="6">
                  <c:v>27</c:v>
                </c:pt>
                <c:pt idx="7">
                  <c:v>25</c:v>
                </c:pt>
                <c:pt idx="8">
                  <c:v>23</c:v>
                </c:pt>
                <c:pt idx="9">
                  <c:v>9</c:v>
                </c:pt>
                <c:pt idx="10">
                  <c:v>15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'23.08 BUSITEMA-TORORO'!$AD$9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BUSITEMA-TORORO'!$AD$10:$AD$21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589560"/>
        <c:axId val="216594656"/>
      </c:lineChart>
      <c:catAx>
        <c:axId val="21658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94656"/>
        <c:crosses val="autoZero"/>
        <c:auto val="1"/>
        <c:lblAlgn val="ctr"/>
        <c:lblOffset val="100"/>
        <c:noMultiLvlLbl val="0"/>
      </c:catAx>
      <c:valAx>
        <c:axId val="216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658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BUSITEMA-TORORO'!$C$60:$N$60</c:f>
              <c:numCache>
                <c:formatCode>0.00%</c:formatCode>
                <c:ptCount val="12"/>
                <c:pt idx="0">
                  <c:v>6.8158697863682602E-2</c:v>
                </c:pt>
                <c:pt idx="1">
                  <c:v>0.1190233977619532</c:v>
                </c:pt>
                <c:pt idx="2">
                  <c:v>4.3743641912512718E-2</c:v>
                </c:pt>
                <c:pt idx="3">
                  <c:v>0.22685656154628689</c:v>
                </c:pt>
                <c:pt idx="4">
                  <c:v>3.0518819938962359E-3</c:v>
                </c:pt>
                <c:pt idx="5">
                  <c:v>5.0864699898270603E-3</c:v>
                </c:pt>
                <c:pt idx="6">
                  <c:v>6.7141403865717195E-2</c:v>
                </c:pt>
                <c:pt idx="7">
                  <c:v>2.8484231943031537E-2</c:v>
                </c:pt>
                <c:pt idx="8">
                  <c:v>6.6124109867751774E-2</c:v>
                </c:pt>
                <c:pt idx="9">
                  <c:v>0.37232960325534081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TORORO-BUSITEMA'!$AE$9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TORORO-BUSITEMA'!$AE$10:$AE$21</c:f>
              <c:numCache>
                <c:formatCode>0</c:formatCode>
                <c:ptCount val="12"/>
                <c:pt idx="0">
                  <c:v>99</c:v>
                </c:pt>
                <c:pt idx="1">
                  <c:v>67</c:v>
                </c:pt>
                <c:pt idx="2">
                  <c:v>88</c:v>
                </c:pt>
                <c:pt idx="3">
                  <c:v>92</c:v>
                </c:pt>
                <c:pt idx="4">
                  <c:v>106</c:v>
                </c:pt>
                <c:pt idx="5">
                  <c:v>93</c:v>
                </c:pt>
                <c:pt idx="6">
                  <c:v>105</c:v>
                </c:pt>
                <c:pt idx="7">
                  <c:v>92</c:v>
                </c:pt>
                <c:pt idx="8">
                  <c:v>86</c:v>
                </c:pt>
                <c:pt idx="9">
                  <c:v>99</c:v>
                </c:pt>
                <c:pt idx="10">
                  <c:v>128</c:v>
                </c:pt>
                <c:pt idx="11">
                  <c:v>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'23.08 TORORO-BUSITEMA'!$AF$9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TORORO-BUSITEMA'!$AF$10:$AF$21</c:f>
              <c:numCache>
                <c:formatCode>0</c:formatCode>
                <c:ptCount val="12"/>
                <c:pt idx="0">
                  <c:v>101</c:v>
                </c:pt>
                <c:pt idx="1">
                  <c:v>77</c:v>
                </c:pt>
                <c:pt idx="2">
                  <c:v>100</c:v>
                </c:pt>
                <c:pt idx="3">
                  <c:v>101</c:v>
                </c:pt>
                <c:pt idx="4">
                  <c:v>122</c:v>
                </c:pt>
                <c:pt idx="5">
                  <c:v>106</c:v>
                </c:pt>
                <c:pt idx="6">
                  <c:v>115</c:v>
                </c:pt>
                <c:pt idx="7">
                  <c:v>98</c:v>
                </c:pt>
                <c:pt idx="8">
                  <c:v>96</c:v>
                </c:pt>
                <c:pt idx="9">
                  <c:v>114</c:v>
                </c:pt>
                <c:pt idx="10">
                  <c:v>142</c:v>
                </c:pt>
                <c:pt idx="11">
                  <c:v>142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248784"/>
        <c:axId val="218254664"/>
      </c:lineChart>
      <c:catAx>
        <c:axId val="218248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254664"/>
        <c:crosses val="autoZero"/>
        <c:auto val="1"/>
        <c:lblAlgn val="ctr"/>
        <c:lblOffset val="100"/>
        <c:noMultiLvlLbl val="0"/>
      </c:catAx>
      <c:valAx>
        <c:axId val="218254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24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TORORO-BUSITEMA'!$C$59:$N$59</c:f>
              <c:numCache>
                <c:formatCode>0.0%</c:formatCode>
                <c:ptCount val="12"/>
                <c:pt idx="0">
                  <c:v>0.11872146118721461</c:v>
                </c:pt>
                <c:pt idx="1">
                  <c:v>9.8173515981735154E-2</c:v>
                </c:pt>
                <c:pt idx="2">
                  <c:v>3.8812785388127852E-2</c:v>
                </c:pt>
                <c:pt idx="3">
                  <c:v>0.14231354642313546</c:v>
                </c:pt>
                <c:pt idx="4">
                  <c:v>5.3272450532724502E-3</c:v>
                </c:pt>
                <c:pt idx="5">
                  <c:v>9.1324200913242004E-3</c:v>
                </c:pt>
                <c:pt idx="6">
                  <c:v>2.3592085235920851E-2</c:v>
                </c:pt>
                <c:pt idx="7">
                  <c:v>5.7077625570776253E-2</c:v>
                </c:pt>
                <c:pt idx="8">
                  <c:v>3.8812785388127852E-2</c:v>
                </c:pt>
                <c:pt idx="9">
                  <c:v>0.36681887366818872</c:v>
                </c:pt>
                <c:pt idx="10">
                  <c:v>0.10121765601217655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TORORO-BUSITEMA'!$S$9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TORORO-BUSITEMA'!$S$10:$S$21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16</c:v>
                </c:pt>
                <c:pt idx="4">
                  <c:v>22</c:v>
                </c:pt>
                <c:pt idx="5">
                  <c:v>12</c:v>
                </c:pt>
                <c:pt idx="6">
                  <c:v>14</c:v>
                </c:pt>
                <c:pt idx="7">
                  <c:v>22</c:v>
                </c:pt>
                <c:pt idx="8">
                  <c:v>11</c:v>
                </c:pt>
                <c:pt idx="9">
                  <c:v>12</c:v>
                </c:pt>
                <c:pt idx="10">
                  <c:v>20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'23.08 TORORO-BUSITEMA'!$T$9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TORORO-BUSITEMA'!$T$10:$T$21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20</c:v>
                </c:pt>
                <c:pt idx="5">
                  <c:v>18</c:v>
                </c:pt>
                <c:pt idx="6">
                  <c:v>9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'23.08 TORORO-BUSITEMA'!$U$9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TORORO-BUSITEMA'!$U$10:$U$21</c:f>
              <c:numCache>
                <c:formatCode>0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'23.08 TORORO-BUSITEMA'!$V$9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TORORO-BUSITEMA'!$V$10:$V$21</c:f>
              <c:numCache>
                <c:formatCode>0</c:formatCode>
                <c:ptCount val="12"/>
                <c:pt idx="0">
                  <c:v>15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11</c:v>
                </c:pt>
                <c:pt idx="8">
                  <c:v>18</c:v>
                </c:pt>
                <c:pt idx="9">
                  <c:v>25</c:v>
                </c:pt>
                <c:pt idx="10">
                  <c:v>17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'23.08 TORORO-BUSITEMA'!$W$9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'23.08 TORORO-BUSITEMA'!$X$9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'23.08 TORORO-BUSITEMA'!$Y$9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'23.08 TORORO-BUSITEMA'!$Z$9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12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'23.08 TORORO-BUSITEMA'!$AA$9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TORORO-BUSITEMA'!$AA$10:$AA$21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'23.08 TORORO-BUSITEMA'!$AB$9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TORORO-BUSITEMA'!$AB$10:$AB$21</c:f>
              <c:numCache>
                <c:formatCode>0</c:formatCode>
                <c:ptCount val="12"/>
                <c:pt idx="0">
                  <c:v>63</c:v>
                </c:pt>
                <c:pt idx="1">
                  <c:v>39</c:v>
                </c:pt>
                <c:pt idx="2">
                  <c:v>46</c:v>
                </c:pt>
                <c:pt idx="3">
                  <c:v>36</c:v>
                </c:pt>
                <c:pt idx="4">
                  <c:v>34</c:v>
                </c:pt>
                <c:pt idx="5">
                  <c:v>28</c:v>
                </c:pt>
                <c:pt idx="6">
                  <c:v>40</c:v>
                </c:pt>
                <c:pt idx="7">
                  <c:v>32</c:v>
                </c:pt>
                <c:pt idx="8">
                  <c:v>40</c:v>
                </c:pt>
                <c:pt idx="9">
                  <c:v>38</c:v>
                </c:pt>
                <c:pt idx="10">
                  <c:v>43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'23.08 TORORO-BUSITEMA'!$AC$9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TORORO-BUSITEMA'!$AC$10:$AC$21</c:f>
              <c:numCache>
                <c:formatCode>0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12</c:v>
                </c:pt>
                <c:pt idx="3">
                  <c:v>9</c:v>
                </c:pt>
                <c:pt idx="4">
                  <c:v>16</c:v>
                </c:pt>
                <c:pt idx="5">
                  <c:v>13</c:v>
                </c:pt>
                <c:pt idx="6">
                  <c:v>10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'23.08 TORORO-BUSITEMA'!$AD$9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TORORO-BUSITEMA'!$AD$10:$AD$21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251920"/>
        <c:axId val="218248392"/>
      </c:lineChart>
      <c:catAx>
        <c:axId val="21825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248392"/>
        <c:crosses val="autoZero"/>
        <c:auto val="1"/>
        <c:lblAlgn val="ctr"/>
        <c:lblOffset val="100"/>
        <c:noMultiLvlLbl val="0"/>
      </c:catAx>
      <c:valAx>
        <c:axId val="21824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2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TORORO-BUSITEMA'!$C$60:$N$60</c:f>
              <c:numCache>
                <c:formatCode>0.00%</c:formatCode>
                <c:ptCount val="12"/>
                <c:pt idx="0">
                  <c:v>0.13209144792548688</c:v>
                </c:pt>
                <c:pt idx="1">
                  <c:v>0.10922946655376799</c:v>
                </c:pt>
                <c:pt idx="2">
                  <c:v>4.3183742591024553E-2</c:v>
                </c:pt>
                <c:pt idx="3">
                  <c:v>0.15834038950042337</c:v>
                </c:pt>
                <c:pt idx="4">
                  <c:v>5.9271803556308214E-3</c:v>
                </c:pt>
                <c:pt idx="5">
                  <c:v>1.0160880609652836E-2</c:v>
                </c:pt>
                <c:pt idx="6">
                  <c:v>2.6248941574936496E-2</c:v>
                </c:pt>
                <c:pt idx="7">
                  <c:v>6.3505503810330224E-2</c:v>
                </c:pt>
                <c:pt idx="8">
                  <c:v>4.3183742591024553E-2</c:v>
                </c:pt>
                <c:pt idx="9">
                  <c:v>0.40812870448772226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BUSITEMA-TORORO-24h'!$AE$9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BUSITEMA-TORORO-24h'!$R$10:$R$33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BUSITEMA-TORORO-24h'!$AE$10:$AE$33</c:f>
              <c:numCache>
                <c:formatCode>0</c:formatCode>
                <c:ptCount val="24"/>
                <c:pt idx="0">
                  <c:v>53</c:v>
                </c:pt>
                <c:pt idx="1">
                  <c:v>63</c:v>
                </c:pt>
                <c:pt idx="2">
                  <c:v>64</c:v>
                </c:pt>
                <c:pt idx="3">
                  <c:v>55</c:v>
                </c:pt>
                <c:pt idx="4">
                  <c:v>72</c:v>
                </c:pt>
                <c:pt idx="5">
                  <c:v>53</c:v>
                </c:pt>
                <c:pt idx="6">
                  <c:v>64</c:v>
                </c:pt>
                <c:pt idx="7">
                  <c:v>42</c:v>
                </c:pt>
                <c:pt idx="8">
                  <c:v>54</c:v>
                </c:pt>
                <c:pt idx="9">
                  <c:v>40</c:v>
                </c:pt>
                <c:pt idx="10">
                  <c:v>155</c:v>
                </c:pt>
                <c:pt idx="11">
                  <c:v>197</c:v>
                </c:pt>
                <c:pt idx="12">
                  <c:v>112</c:v>
                </c:pt>
                <c:pt idx="13">
                  <c:v>84</c:v>
                </c:pt>
                <c:pt idx="14">
                  <c:v>114</c:v>
                </c:pt>
                <c:pt idx="15">
                  <c:v>30</c:v>
                </c:pt>
                <c:pt idx="16">
                  <c:v>28</c:v>
                </c:pt>
                <c:pt idx="17">
                  <c:v>4</c:v>
                </c:pt>
                <c:pt idx="18">
                  <c:v>9</c:v>
                </c:pt>
                <c:pt idx="19">
                  <c:v>24</c:v>
                </c:pt>
                <c:pt idx="20">
                  <c:v>25</c:v>
                </c:pt>
                <c:pt idx="21">
                  <c:v>15</c:v>
                </c:pt>
                <c:pt idx="22">
                  <c:v>33</c:v>
                </c:pt>
                <c:pt idx="23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'24.08 BUSITEMA-TORORO-24h'!$AF$9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BUSITEMA-TORORO-24h'!$R$10:$R$33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BUSITEMA-TORORO-24h'!$AF$10:$AF$33</c:f>
              <c:numCache>
                <c:formatCode>0</c:formatCode>
                <c:ptCount val="24"/>
                <c:pt idx="0">
                  <c:v>74</c:v>
                </c:pt>
                <c:pt idx="1">
                  <c:v>79</c:v>
                </c:pt>
                <c:pt idx="2">
                  <c:v>79</c:v>
                </c:pt>
                <c:pt idx="3">
                  <c:v>69</c:v>
                </c:pt>
                <c:pt idx="4">
                  <c:v>88</c:v>
                </c:pt>
                <c:pt idx="5">
                  <c:v>67</c:v>
                </c:pt>
                <c:pt idx="6">
                  <c:v>89</c:v>
                </c:pt>
                <c:pt idx="7">
                  <c:v>55</c:v>
                </c:pt>
                <c:pt idx="8">
                  <c:v>64</c:v>
                </c:pt>
                <c:pt idx="9">
                  <c:v>55</c:v>
                </c:pt>
                <c:pt idx="10">
                  <c:v>205</c:v>
                </c:pt>
                <c:pt idx="11">
                  <c:v>215</c:v>
                </c:pt>
                <c:pt idx="12">
                  <c:v>127</c:v>
                </c:pt>
                <c:pt idx="13">
                  <c:v>90</c:v>
                </c:pt>
                <c:pt idx="14">
                  <c:v>122</c:v>
                </c:pt>
                <c:pt idx="15">
                  <c:v>77</c:v>
                </c:pt>
                <c:pt idx="16">
                  <c:v>63</c:v>
                </c:pt>
                <c:pt idx="17">
                  <c:v>84</c:v>
                </c:pt>
                <c:pt idx="18">
                  <c:v>32</c:v>
                </c:pt>
                <c:pt idx="19">
                  <c:v>24</c:v>
                </c:pt>
                <c:pt idx="20">
                  <c:v>25</c:v>
                </c:pt>
                <c:pt idx="21">
                  <c:v>15</c:v>
                </c:pt>
                <c:pt idx="22">
                  <c:v>33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247608"/>
        <c:axId val="218253488"/>
      </c:lineChart>
      <c:catAx>
        <c:axId val="218247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253488"/>
        <c:crosses val="autoZero"/>
        <c:auto val="1"/>
        <c:lblAlgn val="ctr"/>
        <c:lblOffset val="100"/>
        <c:noMultiLvlLbl val="0"/>
      </c:catAx>
      <c:valAx>
        <c:axId val="218253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24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BUSITEMA-TORORO-24h'!$C$9:$N$9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BUSITEMA-TORORO-24h'!$C$107:$N$107</c:f>
              <c:numCache>
                <c:formatCode>0.0%</c:formatCode>
                <c:ptCount val="12"/>
                <c:pt idx="0">
                  <c:v>4.9785867237687367E-2</c:v>
                </c:pt>
                <c:pt idx="1">
                  <c:v>9.3147751605995713E-2</c:v>
                </c:pt>
                <c:pt idx="2">
                  <c:v>2.4625267665952889E-2</c:v>
                </c:pt>
                <c:pt idx="3">
                  <c:v>0.10867237687366167</c:v>
                </c:pt>
                <c:pt idx="4">
                  <c:v>5.8886509635974306E-3</c:v>
                </c:pt>
                <c:pt idx="5">
                  <c:v>3.7473233404710922E-3</c:v>
                </c:pt>
                <c:pt idx="6">
                  <c:v>2.8907922912205567E-2</c:v>
                </c:pt>
                <c:pt idx="7">
                  <c:v>2.2483940042826552E-2</c:v>
                </c:pt>
                <c:pt idx="8">
                  <c:v>4.1220556745182012E-2</c:v>
                </c:pt>
                <c:pt idx="9">
                  <c:v>0.38436830835117775</c:v>
                </c:pt>
                <c:pt idx="10">
                  <c:v>0.2366167023554604</c:v>
                </c:pt>
                <c:pt idx="11">
                  <c:v>5.3533190578158461E-4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BUSITEMA-TORORO-24h'!$C$9:$N$9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BUSITEMA-TORORO-24h'!$C$108:$N$108</c:f>
              <c:numCache>
                <c:formatCode>0.00%</c:formatCode>
                <c:ptCount val="12"/>
                <c:pt idx="0">
                  <c:v>6.5217391304347824E-2</c:v>
                </c:pt>
                <c:pt idx="1">
                  <c:v>0.12201963534361851</c:v>
                </c:pt>
                <c:pt idx="2">
                  <c:v>3.2258064516129031E-2</c:v>
                </c:pt>
                <c:pt idx="3">
                  <c:v>0.14235624123422161</c:v>
                </c:pt>
                <c:pt idx="4">
                  <c:v>7.7138849929873771E-3</c:v>
                </c:pt>
                <c:pt idx="5">
                  <c:v>4.9088359046283309E-3</c:v>
                </c:pt>
                <c:pt idx="6">
                  <c:v>3.7868162692847124E-2</c:v>
                </c:pt>
                <c:pt idx="7">
                  <c:v>2.9453015427769985E-2</c:v>
                </c:pt>
                <c:pt idx="8">
                  <c:v>5.3997194950911639E-2</c:v>
                </c:pt>
                <c:pt idx="9">
                  <c:v>0.50350631136044877</c:v>
                </c:pt>
                <c:pt idx="11">
                  <c:v>7.0126227208976155E-4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TORORO-BUSITEMA-24h'!$AE$9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TORORO-BUSITEMA-24h'!$R$10:$R$33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TORORO-BUSITEMA-24h'!$AE$10:$AE$33</c:f>
              <c:numCache>
                <c:formatCode>0</c:formatCode>
                <c:ptCount val="24"/>
                <c:pt idx="0">
                  <c:v>49</c:v>
                </c:pt>
                <c:pt idx="1">
                  <c:v>51</c:v>
                </c:pt>
                <c:pt idx="2">
                  <c:v>83</c:v>
                </c:pt>
                <c:pt idx="3">
                  <c:v>77</c:v>
                </c:pt>
                <c:pt idx="4">
                  <c:v>94</c:v>
                </c:pt>
                <c:pt idx="5">
                  <c:v>90</c:v>
                </c:pt>
                <c:pt idx="6">
                  <c:v>114</c:v>
                </c:pt>
                <c:pt idx="7">
                  <c:v>86</c:v>
                </c:pt>
                <c:pt idx="8">
                  <c:v>75</c:v>
                </c:pt>
                <c:pt idx="9">
                  <c:v>76</c:v>
                </c:pt>
                <c:pt idx="10">
                  <c:v>131</c:v>
                </c:pt>
                <c:pt idx="11">
                  <c:v>141</c:v>
                </c:pt>
                <c:pt idx="12">
                  <c:v>78</c:v>
                </c:pt>
                <c:pt idx="13">
                  <c:v>63</c:v>
                </c:pt>
                <c:pt idx="14">
                  <c:v>33</c:v>
                </c:pt>
                <c:pt idx="15">
                  <c:v>49</c:v>
                </c:pt>
                <c:pt idx="16">
                  <c:v>30</c:v>
                </c:pt>
                <c:pt idx="17">
                  <c:v>16</c:v>
                </c:pt>
                <c:pt idx="18">
                  <c:v>11</c:v>
                </c:pt>
                <c:pt idx="19">
                  <c:v>29</c:v>
                </c:pt>
                <c:pt idx="20">
                  <c:v>27</c:v>
                </c:pt>
                <c:pt idx="21">
                  <c:v>46</c:v>
                </c:pt>
                <c:pt idx="22">
                  <c:v>74</c:v>
                </c:pt>
                <c:pt idx="23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'24.08 TORORO-BUSITEMA-24h'!$AF$9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TORORO-BUSITEMA-24h'!$R$10:$R$33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TORORO-BUSITEMA-24h'!$AF$10:$AF$33</c:f>
              <c:numCache>
                <c:formatCode>0</c:formatCode>
                <c:ptCount val="24"/>
                <c:pt idx="0">
                  <c:v>57</c:v>
                </c:pt>
                <c:pt idx="1">
                  <c:v>63</c:v>
                </c:pt>
                <c:pt idx="2">
                  <c:v>98</c:v>
                </c:pt>
                <c:pt idx="3">
                  <c:v>96</c:v>
                </c:pt>
                <c:pt idx="4">
                  <c:v>115</c:v>
                </c:pt>
                <c:pt idx="5">
                  <c:v>109</c:v>
                </c:pt>
                <c:pt idx="6">
                  <c:v>139</c:v>
                </c:pt>
                <c:pt idx="7">
                  <c:v>100</c:v>
                </c:pt>
                <c:pt idx="8">
                  <c:v>88</c:v>
                </c:pt>
                <c:pt idx="9">
                  <c:v>93</c:v>
                </c:pt>
                <c:pt idx="10">
                  <c:v>147</c:v>
                </c:pt>
                <c:pt idx="11">
                  <c:v>162</c:v>
                </c:pt>
                <c:pt idx="12">
                  <c:v>93</c:v>
                </c:pt>
                <c:pt idx="13">
                  <c:v>71</c:v>
                </c:pt>
                <c:pt idx="14">
                  <c:v>38</c:v>
                </c:pt>
                <c:pt idx="15">
                  <c:v>53</c:v>
                </c:pt>
                <c:pt idx="16">
                  <c:v>30</c:v>
                </c:pt>
                <c:pt idx="17">
                  <c:v>16</c:v>
                </c:pt>
                <c:pt idx="18">
                  <c:v>11</c:v>
                </c:pt>
                <c:pt idx="19">
                  <c:v>30</c:v>
                </c:pt>
                <c:pt idx="20">
                  <c:v>27</c:v>
                </c:pt>
                <c:pt idx="21">
                  <c:v>46</c:v>
                </c:pt>
                <c:pt idx="22">
                  <c:v>75</c:v>
                </c:pt>
                <c:pt idx="23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50064"/>
        <c:axId val="224649280"/>
      </c:lineChart>
      <c:catAx>
        <c:axId val="224650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49280"/>
        <c:crosses val="autoZero"/>
        <c:auto val="1"/>
        <c:lblAlgn val="ctr"/>
        <c:lblOffset val="100"/>
        <c:noMultiLvlLbl val="0"/>
      </c:catAx>
      <c:valAx>
        <c:axId val="22464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TORORO-BUSITEMA-24h'!$C$9:$N$9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TORORO-BUSITEMA-24h'!$C$107:$N$107</c:f>
              <c:numCache>
                <c:formatCode>0.0%</c:formatCode>
                <c:ptCount val="12"/>
                <c:pt idx="0">
                  <c:v>7.8420767982693346E-2</c:v>
                </c:pt>
                <c:pt idx="1">
                  <c:v>8.2206598161168196E-2</c:v>
                </c:pt>
                <c:pt idx="2">
                  <c:v>3.4613304488912928E-2</c:v>
                </c:pt>
                <c:pt idx="3">
                  <c:v>0.13304488912925905</c:v>
                </c:pt>
                <c:pt idx="4">
                  <c:v>7.0308274743104381E-3</c:v>
                </c:pt>
                <c:pt idx="5">
                  <c:v>7.0308274743104381E-3</c:v>
                </c:pt>
                <c:pt idx="6">
                  <c:v>2.4878312601406164E-2</c:v>
                </c:pt>
                <c:pt idx="7">
                  <c:v>4.3807463493780424E-2</c:v>
                </c:pt>
                <c:pt idx="8">
                  <c:v>2.2714981070849107E-2</c:v>
                </c:pt>
                <c:pt idx="9">
                  <c:v>0.43482963764196864</c:v>
                </c:pt>
                <c:pt idx="10">
                  <c:v>0.13142239048134127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TORORO-BUSITEMA-24h'!$C$9:$N$9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TORORO-BUSITEMA-24h'!$C$108:$N$108</c:f>
              <c:numCache>
                <c:formatCode>0.00%</c:formatCode>
                <c:ptCount val="12"/>
                <c:pt idx="0">
                  <c:v>9.0286425902864259E-2</c:v>
                </c:pt>
                <c:pt idx="1">
                  <c:v>9.4645080946450813E-2</c:v>
                </c:pt>
                <c:pt idx="2">
                  <c:v>3.9850560398505604E-2</c:v>
                </c:pt>
                <c:pt idx="3">
                  <c:v>0.15317559153175592</c:v>
                </c:pt>
                <c:pt idx="4">
                  <c:v>8.0946450809464502E-3</c:v>
                </c:pt>
                <c:pt idx="5">
                  <c:v>8.0946450809464502E-3</c:v>
                </c:pt>
                <c:pt idx="6">
                  <c:v>2.8642590286425903E-2</c:v>
                </c:pt>
                <c:pt idx="7">
                  <c:v>5.0435865504358655E-2</c:v>
                </c:pt>
                <c:pt idx="8">
                  <c:v>2.6151930261519303E-2</c:v>
                </c:pt>
                <c:pt idx="9">
                  <c:v>0.50062266500622665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BUSITEMA-TORORO'!$AE$9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BUSITEMA-TORORO'!$AE$10:$AE$21</c:f>
              <c:numCache>
                <c:formatCode>0</c:formatCode>
                <c:ptCount val="12"/>
                <c:pt idx="0">
                  <c:v>39</c:v>
                </c:pt>
                <c:pt idx="1">
                  <c:v>32</c:v>
                </c:pt>
                <c:pt idx="2">
                  <c:v>37</c:v>
                </c:pt>
                <c:pt idx="3">
                  <c:v>45</c:v>
                </c:pt>
                <c:pt idx="4">
                  <c:v>64</c:v>
                </c:pt>
                <c:pt idx="5">
                  <c:v>62</c:v>
                </c:pt>
                <c:pt idx="6">
                  <c:v>34</c:v>
                </c:pt>
                <c:pt idx="7">
                  <c:v>91</c:v>
                </c:pt>
                <c:pt idx="8">
                  <c:v>82</c:v>
                </c:pt>
                <c:pt idx="9">
                  <c:v>65</c:v>
                </c:pt>
                <c:pt idx="10">
                  <c:v>90</c:v>
                </c:pt>
                <c:pt idx="11">
                  <c:v>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'25.08 BUSITEMA-TORORO'!$AF$9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BUSITEMA-TORORO'!$AF$10:$AF$21</c:f>
              <c:numCache>
                <c:formatCode>0</c:formatCode>
                <c:ptCount val="12"/>
                <c:pt idx="0">
                  <c:v>45</c:v>
                </c:pt>
                <c:pt idx="1">
                  <c:v>40</c:v>
                </c:pt>
                <c:pt idx="2">
                  <c:v>51</c:v>
                </c:pt>
                <c:pt idx="3">
                  <c:v>59</c:v>
                </c:pt>
                <c:pt idx="4">
                  <c:v>80</c:v>
                </c:pt>
                <c:pt idx="5">
                  <c:v>71</c:v>
                </c:pt>
                <c:pt idx="6">
                  <c:v>37</c:v>
                </c:pt>
                <c:pt idx="7">
                  <c:v>110</c:v>
                </c:pt>
                <c:pt idx="8">
                  <c:v>92</c:v>
                </c:pt>
                <c:pt idx="9">
                  <c:v>73</c:v>
                </c:pt>
                <c:pt idx="10">
                  <c:v>121</c:v>
                </c:pt>
                <c:pt idx="11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50456"/>
        <c:axId val="224654768"/>
      </c:lineChart>
      <c:catAx>
        <c:axId val="224650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4768"/>
        <c:crosses val="autoZero"/>
        <c:auto val="1"/>
        <c:lblAlgn val="ctr"/>
        <c:lblOffset val="100"/>
        <c:noMultiLvlLbl val="0"/>
      </c:catAx>
      <c:valAx>
        <c:axId val="224654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BUSITEMA-TORORO'!$C$59:$N$59</c:f>
              <c:numCache>
                <c:formatCode>0.0%</c:formatCode>
                <c:ptCount val="12"/>
                <c:pt idx="0">
                  <c:v>7.6608784473953015E-2</c:v>
                </c:pt>
                <c:pt idx="1">
                  <c:v>0.10214504596527069</c:v>
                </c:pt>
                <c:pt idx="2">
                  <c:v>5.3115423901940753E-2</c:v>
                </c:pt>
                <c:pt idx="3">
                  <c:v>0.16649642492339123</c:v>
                </c:pt>
                <c:pt idx="4">
                  <c:v>2.0429009193054137E-3</c:v>
                </c:pt>
                <c:pt idx="5">
                  <c:v>9.1930541368743617E-3</c:v>
                </c:pt>
                <c:pt idx="6">
                  <c:v>2.8600612870275793E-2</c:v>
                </c:pt>
                <c:pt idx="7">
                  <c:v>1.9407558733401432E-2</c:v>
                </c:pt>
                <c:pt idx="8">
                  <c:v>2.8600612870275793E-2</c:v>
                </c:pt>
                <c:pt idx="9">
                  <c:v>0.33503575076608783</c:v>
                </c:pt>
                <c:pt idx="10">
                  <c:v>0.17875383043922369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BUSITEMA-TORORO'!$S$9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BUSITEMA-TORORO'!$S$10:$S$21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'25.08 BUSITEMA-TORORO'!$T$9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BUSITEMA-TORORO'!$T$10:$T$21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11</c:v>
                </c:pt>
                <c:pt idx="5">
                  <c:v>6</c:v>
                </c:pt>
                <c:pt idx="6">
                  <c:v>2</c:v>
                </c:pt>
                <c:pt idx="7">
                  <c:v>10</c:v>
                </c:pt>
                <c:pt idx="8">
                  <c:v>15</c:v>
                </c:pt>
                <c:pt idx="9">
                  <c:v>6</c:v>
                </c:pt>
                <c:pt idx="10">
                  <c:v>16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'25.08 BUSITEMA-TORORO'!$U$9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0</c:v>
                </c:pt>
                <c:pt idx="10">
                  <c:v>6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'25.08 BUSITEMA-TORORO'!$V$9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BUSITEMA-TORORO'!$V$10:$V$21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8</c:v>
                </c:pt>
                <c:pt idx="3">
                  <c:v>15</c:v>
                </c:pt>
                <c:pt idx="4">
                  <c:v>13</c:v>
                </c:pt>
                <c:pt idx="5">
                  <c:v>7</c:v>
                </c:pt>
                <c:pt idx="6">
                  <c:v>7</c:v>
                </c:pt>
                <c:pt idx="7">
                  <c:v>30</c:v>
                </c:pt>
                <c:pt idx="8">
                  <c:v>8</c:v>
                </c:pt>
                <c:pt idx="9">
                  <c:v>10</c:v>
                </c:pt>
                <c:pt idx="10">
                  <c:v>18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'25.08 BUSITEMA-TORORO'!$W$9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'25.08 BUSITEMA-TORORO'!$X$9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'25.08 BUSITEMA-TORORO'!$Y$9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8</c:v>
                </c:pt>
                <c:pt idx="9">
                  <c:v>0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'25.08 BUSITEMA-TORORO'!$Z$9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'25.08 BUSITEMA-TORORO'!$AA$9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'25.08 BUSITEMA-TORORO'!$AB$9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BUSITEMA-TORORO'!$AB$10:$AB$21</c:f>
              <c:numCache>
                <c:formatCode>0</c:formatCode>
                <c:ptCount val="12"/>
                <c:pt idx="0">
                  <c:v>24</c:v>
                </c:pt>
                <c:pt idx="1">
                  <c:v>15</c:v>
                </c:pt>
                <c:pt idx="2">
                  <c:v>16</c:v>
                </c:pt>
                <c:pt idx="3">
                  <c:v>14</c:v>
                </c:pt>
                <c:pt idx="4">
                  <c:v>28</c:v>
                </c:pt>
                <c:pt idx="5">
                  <c:v>36</c:v>
                </c:pt>
                <c:pt idx="6">
                  <c:v>18</c:v>
                </c:pt>
                <c:pt idx="7">
                  <c:v>22</c:v>
                </c:pt>
                <c:pt idx="8">
                  <c:v>34</c:v>
                </c:pt>
                <c:pt idx="9">
                  <c:v>38</c:v>
                </c:pt>
                <c:pt idx="10">
                  <c:v>26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'25.08 BUSITEMA-TORORO'!$AC$9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BUSITEMA-TORORO'!$AC$10:$AC$21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14</c:v>
                </c:pt>
                <c:pt idx="3">
                  <c:v>14</c:v>
                </c:pt>
                <c:pt idx="4">
                  <c:v>16</c:v>
                </c:pt>
                <c:pt idx="5">
                  <c:v>9</c:v>
                </c:pt>
                <c:pt idx="6">
                  <c:v>3</c:v>
                </c:pt>
                <c:pt idx="7">
                  <c:v>19</c:v>
                </c:pt>
                <c:pt idx="8">
                  <c:v>10</c:v>
                </c:pt>
                <c:pt idx="9">
                  <c:v>8</c:v>
                </c:pt>
                <c:pt idx="10">
                  <c:v>31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'25.08 BUSITEMA-TORORO'!$AD$9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BUSITEMA-TORORO'!$AD$10:$AD$21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653592"/>
        <c:axId val="224655552"/>
      </c:lineChart>
      <c:catAx>
        <c:axId val="22465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5552"/>
        <c:crosses val="autoZero"/>
        <c:auto val="1"/>
        <c:lblAlgn val="ctr"/>
        <c:lblOffset val="100"/>
        <c:noMultiLvlLbl val="0"/>
      </c:catAx>
      <c:valAx>
        <c:axId val="22465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BUSITEMA-TORORO'!$C$60:$N$60</c:f>
              <c:numCache>
                <c:formatCode>0.00%</c:formatCode>
                <c:ptCount val="12"/>
                <c:pt idx="0">
                  <c:v>9.3283582089552244E-2</c:v>
                </c:pt>
                <c:pt idx="1">
                  <c:v>0.12437810945273632</c:v>
                </c:pt>
                <c:pt idx="2">
                  <c:v>6.4676616915422883E-2</c:v>
                </c:pt>
                <c:pt idx="3">
                  <c:v>0.20273631840796019</c:v>
                </c:pt>
                <c:pt idx="4">
                  <c:v>2.4875621890547263E-3</c:v>
                </c:pt>
                <c:pt idx="5">
                  <c:v>1.1194029850746268E-2</c:v>
                </c:pt>
                <c:pt idx="6">
                  <c:v>3.482587064676617E-2</c:v>
                </c:pt>
                <c:pt idx="7">
                  <c:v>2.36318407960199E-2</c:v>
                </c:pt>
                <c:pt idx="8">
                  <c:v>3.482587064676617E-2</c:v>
                </c:pt>
                <c:pt idx="9">
                  <c:v>0.4079601990049751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TORORO-BUSITEMA'!$AE$9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TORORO-BUSITEMA'!$AE$10:$AE$21</c:f>
              <c:numCache>
                <c:formatCode>0</c:formatCode>
                <c:ptCount val="12"/>
                <c:pt idx="0">
                  <c:v>74</c:v>
                </c:pt>
                <c:pt idx="1">
                  <c:v>54</c:v>
                </c:pt>
                <c:pt idx="2">
                  <c:v>52</c:v>
                </c:pt>
                <c:pt idx="3">
                  <c:v>85</c:v>
                </c:pt>
                <c:pt idx="4">
                  <c:v>107</c:v>
                </c:pt>
                <c:pt idx="5">
                  <c:v>106</c:v>
                </c:pt>
                <c:pt idx="6">
                  <c:v>75</c:v>
                </c:pt>
                <c:pt idx="7">
                  <c:v>60</c:v>
                </c:pt>
                <c:pt idx="8">
                  <c:v>104</c:v>
                </c:pt>
                <c:pt idx="9">
                  <c:v>93</c:v>
                </c:pt>
                <c:pt idx="10">
                  <c:v>76</c:v>
                </c:pt>
                <c:pt idx="11">
                  <c:v>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'25.08 TORORO-BUSITEMA'!$AF$9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TORORO-BUSITEMA'!$AF$10:$AF$21</c:f>
              <c:numCache>
                <c:formatCode>0</c:formatCode>
                <c:ptCount val="12"/>
                <c:pt idx="0">
                  <c:v>81</c:v>
                </c:pt>
                <c:pt idx="1">
                  <c:v>62</c:v>
                </c:pt>
                <c:pt idx="2">
                  <c:v>62</c:v>
                </c:pt>
                <c:pt idx="3">
                  <c:v>100</c:v>
                </c:pt>
                <c:pt idx="4">
                  <c:v>122</c:v>
                </c:pt>
                <c:pt idx="5">
                  <c:v>121</c:v>
                </c:pt>
                <c:pt idx="6">
                  <c:v>84</c:v>
                </c:pt>
                <c:pt idx="7">
                  <c:v>73</c:v>
                </c:pt>
                <c:pt idx="8">
                  <c:v>118</c:v>
                </c:pt>
                <c:pt idx="9">
                  <c:v>108</c:v>
                </c:pt>
                <c:pt idx="10">
                  <c:v>96</c:v>
                </c:pt>
                <c:pt idx="11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52808"/>
        <c:axId val="224653200"/>
      </c:lineChart>
      <c:catAx>
        <c:axId val="224652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3200"/>
        <c:crosses val="autoZero"/>
        <c:auto val="1"/>
        <c:lblAlgn val="ctr"/>
        <c:lblOffset val="100"/>
        <c:noMultiLvlLbl val="0"/>
      </c:catAx>
      <c:valAx>
        <c:axId val="22465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5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TORORO-BUSITEMA'!$C$59:$N$59</c:f>
              <c:numCache>
                <c:formatCode>0.0%</c:formatCode>
                <c:ptCount val="12"/>
                <c:pt idx="0">
                  <c:v>8.8082901554404139E-2</c:v>
                </c:pt>
                <c:pt idx="1">
                  <c:v>0.10103626943005181</c:v>
                </c:pt>
                <c:pt idx="2">
                  <c:v>3.7132987910189985E-2</c:v>
                </c:pt>
                <c:pt idx="3">
                  <c:v>0.14248704663212436</c:v>
                </c:pt>
                <c:pt idx="4">
                  <c:v>8.6355785837651119E-4</c:v>
                </c:pt>
                <c:pt idx="5">
                  <c:v>8.6355785837651119E-4</c:v>
                </c:pt>
                <c:pt idx="6">
                  <c:v>3.0224525043177894E-2</c:v>
                </c:pt>
                <c:pt idx="7">
                  <c:v>3.367875647668394E-2</c:v>
                </c:pt>
                <c:pt idx="8">
                  <c:v>2.2452504317789293E-2</c:v>
                </c:pt>
                <c:pt idx="9">
                  <c:v>0.40759930915371329</c:v>
                </c:pt>
                <c:pt idx="10">
                  <c:v>0.13557858376511225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TORORO-BUSITEMA'!$C$60:$N$60</c:f>
              <c:numCache>
                <c:formatCode>0.00%</c:formatCode>
                <c:ptCount val="12"/>
                <c:pt idx="0">
                  <c:v>0.1018981018981019</c:v>
                </c:pt>
                <c:pt idx="1">
                  <c:v>0.11688311688311688</c:v>
                </c:pt>
                <c:pt idx="2">
                  <c:v>4.295704295704296E-2</c:v>
                </c:pt>
                <c:pt idx="3">
                  <c:v>0.16483516483516483</c:v>
                </c:pt>
                <c:pt idx="4">
                  <c:v>9.99000999000999E-4</c:v>
                </c:pt>
                <c:pt idx="5">
                  <c:v>9.99000999000999E-4</c:v>
                </c:pt>
                <c:pt idx="6">
                  <c:v>3.4965034965034968E-2</c:v>
                </c:pt>
                <c:pt idx="7">
                  <c:v>3.896103896103896E-2</c:v>
                </c:pt>
                <c:pt idx="8">
                  <c:v>2.5974025974025976E-2</c:v>
                </c:pt>
                <c:pt idx="9">
                  <c:v>0.47152847152847155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'26.08 BUSITEMA-TORORO'!$AE$9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BUSITEMA-TORORO'!$AE$10:$AE$21</c:f>
              <c:numCache>
                <c:formatCode>0</c:formatCode>
                <c:ptCount val="12"/>
                <c:pt idx="0">
                  <c:v>51</c:v>
                </c:pt>
                <c:pt idx="1">
                  <c:v>40</c:v>
                </c:pt>
                <c:pt idx="2">
                  <c:v>68</c:v>
                </c:pt>
                <c:pt idx="3">
                  <c:v>56</c:v>
                </c:pt>
                <c:pt idx="4">
                  <c:v>76</c:v>
                </c:pt>
                <c:pt idx="5">
                  <c:v>66</c:v>
                </c:pt>
                <c:pt idx="6">
                  <c:v>30</c:v>
                </c:pt>
                <c:pt idx="7">
                  <c:v>29</c:v>
                </c:pt>
                <c:pt idx="8">
                  <c:v>95</c:v>
                </c:pt>
                <c:pt idx="9">
                  <c:v>70</c:v>
                </c:pt>
                <c:pt idx="10">
                  <c:v>53</c:v>
                </c:pt>
                <c:pt idx="11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'26.08 BUSITEMA-TORORO'!$AF$9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BUSITEMA-TORORO'!$AF$10:$AF$21</c:f>
              <c:numCache>
                <c:formatCode>0</c:formatCode>
                <c:ptCount val="12"/>
                <c:pt idx="0">
                  <c:v>96</c:v>
                </c:pt>
                <c:pt idx="1">
                  <c:v>50</c:v>
                </c:pt>
                <c:pt idx="2">
                  <c:v>86</c:v>
                </c:pt>
                <c:pt idx="3">
                  <c:v>82</c:v>
                </c:pt>
                <c:pt idx="4">
                  <c:v>99</c:v>
                </c:pt>
                <c:pt idx="5">
                  <c:v>82</c:v>
                </c:pt>
                <c:pt idx="6">
                  <c:v>42</c:v>
                </c:pt>
                <c:pt idx="7">
                  <c:v>45</c:v>
                </c:pt>
                <c:pt idx="8">
                  <c:v>111</c:v>
                </c:pt>
                <c:pt idx="9">
                  <c:v>82</c:v>
                </c:pt>
                <c:pt idx="10">
                  <c:v>59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45632"/>
        <c:axId val="225546416"/>
      </c:lineChart>
      <c:catAx>
        <c:axId val="225545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546416"/>
        <c:crosses val="autoZero"/>
        <c:auto val="1"/>
        <c:lblAlgn val="ctr"/>
        <c:lblOffset val="100"/>
        <c:noMultiLvlLbl val="0"/>
      </c:catAx>
      <c:valAx>
        <c:axId val="225546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54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BUSITEMA-TORORO'!$C$59:$N$59</c:f>
              <c:numCache>
                <c:formatCode>0.0%</c:formatCode>
                <c:ptCount val="12"/>
                <c:pt idx="0">
                  <c:v>6.1202185792349727E-2</c:v>
                </c:pt>
                <c:pt idx="1">
                  <c:v>8.4153005464480873E-2</c:v>
                </c:pt>
                <c:pt idx="2">
                  <c:v>5.4644808743169397E-2</c:v>
                </c:pt>
                <c:pt idx="3">
                  <c:v>0.14863387978142076</c:v>
                </c:pt>
                <c:pt idx="4">
                  <c:v>2.185792349726776E-3</c:v>
                </c:pt>
                <c:pt idx="5">
                  <c:v>5.4644808743169399E-3</c:v>
                </c:pt>
                <c:pt idx="6">
                  <c:v>2.2950819672131147E-2</c:v>
                </c:pt>
                <c:pt idx="7">
                  <c:v>2.9508196721311476E-2</c:v>
                </c:pt>
                <c:pt idx="8">
                  <c:v>2.185792349726776E-2</c:v>
                </c:pt>
                <c:pt idx="9">
                  <c:v>0.34098360655737703</c:v>
                </c:pt>
                <c:pt idx="10">
                  <c:v>0.2284153005464481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'26.08 BUSITEMA-TORORO'!$S$9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'26.08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BUSITEMA-TORORO'!$S$10:$S$21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7</c:v>
                </c:pt>
                <c:pt idx="9">
                  <c:v>1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'26.08 BUSITEMA-TORORO'!$T$9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'26.08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BUSITEMA-TORORO'!$T$10:$T$21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4</c:v>
                </c:pt>
                <c:pt idx="7">
                  <c:v>2</c:v>
                </c:pt>
                <c:pt idx="8">
                  <c:v>7</c:v>
                </c:pt>
                <c:pt idx="9">
                  <c:v>8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'26.08 BUSITEMA-TORORO'!$U$9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BUSITEMA-TORORO'!$U$10:$U$21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9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'26.08 BUSITEMA-TORORO'!$V$9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BUSITEMA-TORORO'!$V$10:$V$21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19</c:v>
                </c:pt>
                <c:pt idx="4">
                  <c:v>17</c:v>
                </c:pt>
                <c:pt idx="5">
                  <c:v>14</c:v>
                </c:pt>
                <c:pt idx="6">
                  <c:v>5</c:v>
                </c:pt>
                <c:pt idx="7">
                  <c:v>13</c:v>
                </c:pt>
                <c:pt idx="8">
                  <c:v>15</c:v>
                </c:pt>
                <c:pt idx="9">
                  <c:v>13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'26.08 BUSITEMA-TORORO'!$W$9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'26.08 BUSITEMA-TORORO'!$X$9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'26.08 BUSITEMA-TORORO'!$Y$9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BUSITEMA-TORORO'!$Y$10:$Y$21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'26.08 BUSITEMA-TORORO'!$Z$9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'26.08 BUSITEMA-TORORO'!$AA$9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'26.08 BUSITEMA-TORORO'!$AB$9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BUSITEMA-TORORO'!$AB$10:$AB$21</c:f>
              <c:numCache>
                <c:formatCode>0</c:formatCode>
                <c:ptCount val="12"/>
                <c:pt idx="0">
                  <c:v>30</c:v>
                </c:pt>
                <c:pt idx="1">
                  <c:v>15</c:v>
                </c:pt>
                <c:pt idx="2">
                  <c:v>33</c:v>
                </c:pt>
                <c:pt idx="3">
                  <c:v>16</c:v>
                </c:pt>
                <c:pt idx="4">
                  <c:v>25</c:v>
                </c:pt>
                <c:pt idx="5">
                  <c:v>24</c:v>
                </c:pt>
                <c:pt idx="6">
                  <c:v>14</c:v>
                </c:pt>
                <c:pt idx="7">
                  <c:v>9</c:v>
                </c:pt>
                <c:pt idx="8">
                  <c:v>48</c:v>
                </c:pt>
                <c:pt idx="9">
                  <c:v>33</c:v>
                </c:pt>
                <c:pt idx="10">
                  <c:v>22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'26.08 BUSITEMA-TORORO'!$AC$9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BUSITEMA-TORORO'!$AC$10:$AC$21</c:f>
              <c:numCache>
                <c:formatCode>0</c:formatCode>
                <c:ptCount val="12"/>
                <c:pt idx="0">
                  <c:v>45</c:v>
                </c:pt>
                <c:pt idx="1">
                  <c:v>10</c:v>
                </c:pt>
                <c:pt idx="2">
                  <c:v>18</c:v>
                </c:pt>
                <c:pt idx="3">
                  <c:v>26</c:v>
                </c:pt>
                <c:pt idx="4">
                  <c:v>23</c:v>
                </c:pt>
                <c:pt idx="5">
                  <c:v>16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12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'26.08 BUSITEMA-TORORO'!$AD$9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BUSITEMA-TORORO'!$AD$10:$AD$21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840384"/>
        <c:axId val="226997576"/>
      </c:lineChart>
      <c:catAx>
        <c:axId val="21484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7576"/>
        <c:crosses val="autoZero"/>
        <c:auto val="1"/>
        <c:lblAlgn val="ctr"/>
        <c:lblOffset val="100"/>
        <c:noMultiLvlLbl val="0"/>
      </c:catAx>
      <c:valAx>
        <c:axId val="22699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8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BUSITEMA-TORORO'!$C$60:$N$60</c:f>
              <c:numCache>
                <c:formatCode>0.00%</c:formatCode>
                <c:ptCount val="12"/>
                <c:pt idx="0">
                  <c:v>7.9320113314447591E-2</c:v>
                </c:pt>
                <c:pt idx="1">
                  <c:v>0.10906515580736544</c:v>
                </c:pt>
                <c:pt idx="2">
                  <c:v>7.0821529745042494E-2</c:v>
                </c:pt>
                <c:pt idx="3">
                  <c:v>0.19263456090651557</c:v>
                </c:pt>
                <c:pt idx="4">
                  <c:v>2.8328611898016999E-3</c:v>
                </c:pt>
                <c:pt idx="5">
                  <c:v>7.0821529745042494E-3</c:v>
                </c:pt>
                <c:pt idx="6">
                  <c:v>2.9745042492917848E-2</c:v>
                </c:pt>
                <c:pt idx="7">
                  <c:v>3.8243626062322948E-2</c:v>
                </c:pt>
                <c:pt idx="8">
                  <c:v>2.8328611898016998E-2</c:v>
                </c:pt>
                <c:pt idx="9">
                  <c:v>0.44192634560906513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'26.08 TORORO-BUSITEMA'!$AE$9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TORORO-BUSITEMA'!$AE$10:$AE$21</c:f>
              <c:numCache>
                <c:formatCode>0</c:formatCode>
                <c:ptCount val="12"/>
                <c:pt idx="0">
                  <c:v>78</c:v>
                </c:pt>
                <c:pt idx="1">
                  <c:v>58</c:v>
                </c:pt>
                <c:pt idx="2">
                  <c:v>67</c:v>
                </c:pt>
                <c:pt idx="3">
                  <c:v>88</c:v>
                </c:pt>
                <c:pt idx="4">
                  <c:v>78</c:v>
                </c:pt>
                <c:pt idx="5">
                  <c:v>83</c:v>
                </c:pt>
                <c:pt idx="6">
                  <c:v>90</c:v>
                </c:pt>
                <c:pt idx="7">
                  <c:v>70</c:v>
                </c:pt>
                <c:pt idx="8">
                  <c:v>74</c:v>
                </c:pt>
                <c:pt idx="9">
                  <c:v>91</c:v>
                </c:pt>
                <c:pt idx="10">
                  <c:v>90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'26.08 TORORO-BUSITEMA'!$AF$9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TORORO-BUSITEMA'!$AF$10:$AF$21</c:f>
              <c:numCache>
                <c:formatCode>0</c:formatCode>
                <c:ptCount val="12"/>
                <c:pt idx="0">
                  <c:v>86</c:v>
                </c:pt>
                <c:pt idx="1">
                  <c:v>65</c:v>
                </c:pt>
                <c:pt idx="2">
                  <c:v>83</c:v>
                </c:pt>
                <c:pt idx="3">
                  <c:v>104</c:v>
                </c:pt>
                <c:pt idx="4">
                  <c:v>93</c:v>
                </c:pt>
                <c:pt idx="5">
                  <c:v>92</c:v>
                </c:pt>
                <c:pt idx="6">
                  <c:v>97</c:v>
                </c:pt>
                <c:pt idx="7">
                  <c:v>78</c:v>
                </c:pt>
                <c:pt idx="8">
                  <c:v>95</c:v>
                </c:pt>
                <c:pt idx="9">
                  <c:v>108</c:v>
                </c:pt>
                <c:pt idx="10">
                  <c:v>102</c:v>
                </c:pt>
                <c:pt idx="11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94048"/>
        <c:axId val="226994832"/>
      </c:lineChart>
      <c:catAx>
        <c:axId val="226994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4832"/>
        <c:crosses val="autoZero"/>
        <c:auto val="1"/>
        <c:lblAlgn val="ctr"/>
        <c:lblOffset val="100"/>
        <c:noMultiLvlLbl val="0"/>
      </c:catAx>
      <c:valAx>
        <c:axId val="226994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TORORO-BUSITEMA'!$C$59:$N$59</c:f>
              <c:numCache>
                <c:formatCode>0.0%</c:formatCode>
                <c:ptCount val="12"/>
                <c:pt idx="0">
                  <c:v>7.4208144796380091E-2</c:v>
                </c:pt>
                <c:pt idx="1">
                  <c:v>0.10135746606334842</c:v>
                </c:pt>
                <c:pt idx="2">
                  <c:v>3.9819004524886875E-2</c:v>
                </c:pt>
                <c:pt idx="3">
                  <c:v>0.15475113122171946</c:v>
                </c:pt>
                <c:pt idx="4">
                  <c:v>3.6199095022624436E-3</c:v>
                </c:pt>
                <c:pt idx="5">
                  <c:v>2.7149321266968325E-3</c:v>
                </c:pt>
                <c:pt idx="6">
                  <c:v>3.7104072398190045E-2</c:v>
                </c:pt>
                <c:pt idx="7">
                  <c:v>2.8959276018099549E-2</c:v>
                </c:pt>
                <c:pt idx="8">
                  <c:v>4.5248868778280547E-3</c:v>
                </c:pt>
                <c:pt idx="9">
                  <c:v>0.4144796380090498</c:v>
                </c:pt>
                <c:pt idx="10">
                  <c:v>0.13846153846153847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'26.08 TORORO-BUSITEMA'!$S$9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'26.08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TORORO-BUSITEMA'!$S$10:$S$21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4</c:v>
                </c:pt>
                <c:pt idx="3">
                  <c:v>9</c:v>
                </c:pt>
                <c:pt idx="4">
                  <c:v>4</c:v>
                </c:pt>
                <c:pt idx="5">
                  <c:v>11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12</c:v>
                </c:pt>
                <c:pt idx="10">
                  <c:v>12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'26.08 TORORO-BUSITEMA'!$T$9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'26.08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'26.08 TORORO-BUSITEMA'!$T$10:$T$21</c:f>
              <c:numCache>
                <c:formatCode>0</c:formatCode>
                <c:ptCount val="12"/>
                <c:pt idx="0">
                  <c:v>0</c:v>
                </c:pt>
                <c:pt idx="1">
                  <c:v>11</c:v>
                </c:pt>
                <c:pt idx="2">
                  <c:v>13</c:v>
                </c:pt>
                <c:pt idx="3">
                  <c:v>6</c:v>
                </c:pt>
                <c:pt idx="4">
                  <c:v>13</c:v>
                </c:pt>
                <c:pt idx="5">
                  <c:v>13</c:v>
                </c:pt>
                <c:pt idx="6">
                  <c:v>8</c:v>
                </c:pt>
                <c:pt idx="7">
                  <c:v>5</c:v>
                </c:pt>
                <c:pt idx="8">
                  <c:v>5</c:v>
                </c:pt>
                <c:pt idx="9">
                  <c:v>14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'26.08 TORORO-BUSITEMA'!$U$9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'26.08 TORORO-BUSITEMA'!$V$9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TORORO-BUSITEMA'!$V$10:$V$21</c:f>
              <c:numCache>
                <c:formatCode>0</c:formatCode>
                <c:ptCount val="12"/>
                <c:pt idx="0">
                  <c:v>12</c:v>
                </c:pt>
                <c:pt idx="1">
                  <c:v>8</c:v>
                </c:pt>
                <c:pt idx="2">
                  <c:v>10</c:v>
                </c:pt>
                <c:pt idx="3">
                  <c:v>18</c:v>
                </c:pt>
                <c:pt idx="4">
                  <c:v>17</c:v>
                </c:pt>
                <c:pt idx="5">
                  <c:v>11</c:v>
                </c:pt>
                <c:pt idx="6">
                  <c:v>18</c:v>
                </c:pt>
                <c:pt idx="7">
                  <c:v>5</c:v>
                </c:pt>
                <c:pt idx="8">
                  <c:v>14</c:v>
                </c:pt>
                <c:pt idx="9">
                  <c:v>17</c:v>
                </c:pt>
                <c:pt idx="10">
                  <c:v>23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'26.08 TORORO-BUSITEMA'!$W$9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'26.08 TORORO-BUSITEMA'!$X$9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'26.08 TORORO-BUSITEMA'!$Y$9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'26.08 TORORO-BUSITEMA'!$Z$9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8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'26.08 TORORO-BUSITEMA'!$AA$9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'26.08 TORORO-BUSITEMA'!$AB$9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TORORO-BUSITEMA'!$AB$10:$AB$21</c:f>
              <c:numCache>
                <c:formatCode>0</c:formatCode>
                <c:ptCount val="12"/>
                <c:pt idx="0">
                  <c:v>60</c:v>
                </c:pt>
                <c:pt idx="1">
                  <c:v>25</c:v>
                </c:pt>
                <c:pt idx="2">
                  <c:v>30</c:v>
                </c:pt>
                <c:pt idx="3">
                  <c:v>44</c:v>
                </c:pt>
                <c:pt idx="4">
                  <c:v>37</c:v>
                </c:pt>
                <c:pt idx="5">
                  <c:v>44</c:v>
                </c:pt>
                <c:pt idx="6">
                  <c:v>49</c:v>
                </c:pt>
                <c:pt idx="7">
                  <c:v>46</c:v>
                </c:pt>
                <c:pt idx="8">
                  <c:v>33</c:v>
                </c:pt>
                <c:pt idx="9">
                  <c:v>32</c:v>
                </c:pt>
                <c:pt idx="10">
                  <c:v>24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'26.08 TORORO-BUSITEMA'!$AC$9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TORORO-BUSITEMA'!$AC$10:$AC$21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9</c:v>
                </c:pt>
                <c:pt idx="6">
                  <c:v>7</c:v>
                </c:pt>
                <c:pt idx="7">
                  <c:v>8</c:v>
                </c:pt>
                <c:pt idx="8">
                  <c:v>21</c:v>
                </c:pt>
                <c:pt idx="9">
                  <c:v>17</c:v>
                </c:pt>
                <c:pt idx="10">
                  <c:v>12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'26.08 TORORO-BUSITEMA'!$AD$9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'26.08 TORORO-BUSITEMA'!$AD$10:$AD$21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993656"/>
        <c:axId val="226992872"/>
      </c:lineChart>
      <c:catAx>
        <c:axId val="22699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2872"/>
        <c:crosses val="autoZero"/>
        <c:auto val="1"/>
        <c:lblAlgn val="ctr"/>
        <c:lblOffset val="100"/>
        <c:noMultiLvlLbl val="0"/>
      </c:catAx>
      <c:valAx>
        <c:axId val="22699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TORORO-BUSITEMA'!$C$60:$N$60</c:f>
              <c:numCache>
                <c:formatCode>0.00%</c:formatCode>
                <c:ptCount val="12"/>
                <c:pt idx="0">
                  <c:v>8.6134453781512604E-2</c:v>
                </c:pt>
                <c:pt idx="1">
                  <c:v>0.11764705882352941</c:v>
                </c:pt>
                <c:pt idx="2">
                  <c:v>4.6218487394957986E-2</c:v>
                </c:pt>
                <c:pt idx="3">
                  <c:v>0.1796218487394958</c:v>
                </c:pt>
                <c:pt idx="4">
                  <c:v>4.2016806722689074E-3</c:v>
                </c:pt>
                <c:pt idx="5">
                  <c:v>3.1512605042016808E-3</c:v>
                </c:pt>
                <c:pt idx="6">
                  <c:v>4.3067226890756302E-2</c:v>
                </c:pt>
                <c:pt idx="7">
                  <c:v>3.3613445378151259E-2</c:v>
                </c:pt>
                <c:pt idx="8">
                  <c:v>5.2521008403361349E-3</c:v>
                </c:pt>
                <c:pt idx="9">
                  <c:v>0.48109243697478993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'27.08 BUSITEMA-TORORO-24h'!$AE$9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'27.08 BUSITEMA-TORORO-24h'!$R$10:$R$33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'27.08 BUSITEMA-TORORO-24h'!$AE$10:$AE$33</c:f>
              <c:numCache>
                <c:formatCode>0</c:formatCode>
                <c:ptCount val="24"/>
                <c:pt idx="0">
                  <c:v>36</c:v>
                </c:pt>
                <c:pt idx="1">
                  <c:v>32</c:v>
                </c:pt>
                <c:pt idx="2">
                  <c:v>47</c:v>
                </c:pt>
                <c:pt idx="3">
                  <c:v>46</c:v>
                </c:pt>
                <c:pt idx="4">
                  <c:v>35</c:v>
                </c:pt>
                <c:pt idx="5">
                  <c:v>40</c:v>
                </c:pt>
                <c:pt idx="6">
                  <c:v>48</c:v>
                </c:pt>
                <c:pt idx="7">
                  <c:v>100</c:v>
                </c:pt>
                <c:pt idx="8">
                  <c:v>75</c:v>
                </c:pt>
                <c:pt idx="9">
                  <c:v>69</c:v>
                </c:pt>
                <c:pt idx="10">
                  <c:v>123</c:v>
                </c:pt>
                <c:pt idx="11">
                  <c:v>120</c:v>
                </c:pt>
                <c:pt idx="12">
                  <c:v>118</c:v>
                </c:pt>
                <c:pt idx="13">
                  <c:v>84</c:v>
                </c:pt>
                <c:pt idx="14">
                  <c:v>84</c:v>
                </c:pt>
                <c:pt idx="15">
                  <c:v>36</c:v>
                </c:pt>
                <c:pt idx="16">
                  <c:v>47</c:v>
                </c:pt>
                <c:pt idx="17">
                  <c:v>33</c:v>
                </c:pt>
                <c:pt idx="18">
                  <c:v>40</c:v>
                </c:pt>
                <c:pt idx="19">
                  <c:v>20</c:v>
                </c:pt>
                <c:pt idx="20">
                  <c:v>21</c:v>
                </c:pt>
                <c:pt idx="21">
                  <c:v>17</c:v>
                </c:pt>
                <c:pt idx="22">
                  <c:v>33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'27.08 BUSITEMA-TORORO-24h'!$AF$9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'27.08 BUSITEMA-TORORO-24h'!$R$10:$R$33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'27.08 BUSITEMA-TORORO-24h'!$AF$10:$AF$33</c:f>
              <c:numCache>
                <c:formatCode>0</c:formatCode>
                <c:ptCount val="24"/>
                <c:pt idx="0">
                  <c:v>37</c:v>
                </c:pt>
                <c:pt idx="1">
                  <c:v>37</c:v>
                </c:pt>
                <c:pt idx="2">
                  <c:v>68</c:v>
                </c:pt>
                <c:pt idx="3">
                  <c:v>66</c:v>
                </c:pt>
                <c:pt idx="4">
                  <c:v>58</c:v>
                </c:pt>
                <c:pt idx="5">
                  <c:v>53</c:v>
                </c:pt>
                <c:pt idx="6">
                  <c:v>62</c:v>
                </c:pt>
                <c:pt idx="7">
                  <c:v>120</c:v>
                </c:pt>
                <c:pt idx="8">
                  <c:v>97</c:v>
                </c:pt>
                <c:pt idx="9">
                  <c:v>89</c:v>
                </c:pt>
                <c:pt idx="10">
                  <c:v>154</c:v>
                </c:pt>
                <c:pt idx="11">
                  <c:v>149</c:v>
                </c:pt>
                <c:pt idx="12">
                  <c:v>128</c:v>
                </c:pt>
                <c:pt idx="13">
                  <c:v>84</c:v>
                </c:pt>
                <c:pt idx="14">
                  <c:v>84</c:v>
                </c:pt>
                <c:pt idx="15">
                  <c:v>36</c:v>
                </c:pt>
                <c:pt idx="16">
                  <c:v>47</c:v>
                </c:pt>
                <c:pt idx="17">
                  <c:v>33</c:v>
                </c:pt>
                <c:pt idx="18">
                  <c:v>40</c:v>
                </c:pt>
                <c:pt idx="19">
                  <c:v>20</c:v>
                </c:pt>
                <c:pt idx="20">
                  <c:v>21</c:v>
                </c:pt>
                <c:pt idx="21">
                  <c:v>17</c:v>
                </c:pt>
                <c:pt idx="22">
                  <c:v>36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44456"/>
        <c:axId val="225544848"/>
      </c:lineChart>
      <c:catAx>
        <c:axId val="225544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544848"/>
        <c:crosses val="autoZero"/>
        <c:auto val="1"/>
        <c:lblAlgn val="ctr"/>
        <c:lblOffset val="100"/>
        <c:noMultiLvlLbl val="0"/>
      </c:catAx>
      <c:valAx>
        <c:axId val="225544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54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BUSITEMA-TORORO-24h'!$C$9:$N$9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BUSITEMA-TORORO-24h'!$C$107:$N$107</c:f>
              <c:numCache>
                <c:formatCode>0.0%</c:formatCode>
                <c:ptCount val="12"/>
                <c:pt idx="0">
                  <c:v>5.3459119496855348E-2</c:v>
                </c:pt>
                <c:pt idx="1">
                  <c:v>7.1698113207547168E-2</c:v>
                </c:pt>
                <c:pt idx="2">
                  <c:v>3.962264150943396E-2</c:v>
                </c:pt>
                <c:pt idx="3">
                  <c:v>0.10628930817610063</c:v>
                </c:pt>
                <c:pt idx="4">
                  <c:v>3.1446540880503146E-3</c:v>
                </c:pt>
                <c:pt idx="5">
                  <c:v>3.7735849056603774E-3</c:v>
                </c:pt>
                <c:pt idx="6">
                  <c:v>3.1446540880503145E-2</c:v>
                </c:pt>
                <c:pt idx="7">
                  <c:v>1.509433962264151E-2</c:v>
                </c:pt>
                <c:pt idx="8">
                  <c:v>3.3333333333333333E-2</c:v>
                </c:pt>
                <c:pt idx="9">
                  <c:v>0.48930817610062893</c:v>
                </c:pt>
                <c:pt idx="10">
                  <c:v>0.15283018867924528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BUSITEMA-TORORO-24h'!$C$9:$N$9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BUSITEMA-TORORO-24h'!$C$108:$N$108</c:f>
              <c:numCache>
                <c:formatCode>0.00%</c:formatCode>
                <c:ptCount val="12"/>
                <c:pt idx="0">
                  <c:v>6.3103192279138826E-2</c:v>
                </c:pt>
                <c:pt idx="1">
                  <c:v>8.4632516703786187E-2</c:v>
                </c:pt>
                <c:pt idx="2">
                  <c:v>4.6770601336302897E-2</c:v>
                </c:pt>
                <c:pt idx="3">
                  <c:v>0.12546399406087602</c:v>
                </c:pt>
                <c:pt idx="4">
                  <c:v>3.7119524870081661E-3</c:v>
                </c:pt>
                <c:pt idx="5">
                  <c:v>4.4543429844097994E-3</c:v>
                </c:pt>
                <c:pt idx="6">
                  <c:v>3.711952487008166E-2</c:v>
                </c:pt>
                <c:pt idx="7">
                  <c:v>1.7817371937639197E-2</c:v>
                </c:pt>
                <c:pt idx="8">
                  <c:v>3.9346696362286562E-2</c:v>
                </c:pt>
                <c:pt idx="9">
                  <c:v>0.57757980697847067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'27.08 TORORO-BUSITEMA-24h'!$AE$9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'27.08 TORORO-BUSITEMA-24h'!$R$10:$R$33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'27.08 TORORO-BUSITEMA-24h'!$AE$10:$AE$33</c:f>
              <c:numCache>
                <c:formatCode>0</c:formatCode>
                <c:ptCount val="24"/>
                <c:pt idx="0">
                  <c:v>39</c:v>
                </c:pt>
                <c:pt idx="1">
                  <c:v>56</c:v>
                </c:pt>
                <c:pt idx="2">
                  <c:v>49</c:v>
                </c:pt>
                <c:pt idx="3">
                  <c:v>93</c:v>
                </c:pt>
                <c:pt idx="4">
                  <c:v>65</c:v>
                </c:pt>
                <c:pt idx="5">
                  <c:v>79</c:v>
                </c:pt>
                <c:pt idx="6">
                  <c:v>75</c:v>
                </c:pt>
                <c:pt idx="7">
                  <c:v>71</c:v>
                </c:pt>
                <c:pt idx="8">
                  <c:v>78</c:v>
                </c:pt>
                <c:pt idx="9">
                  <c:v>61</c:v>
                </c:pt>
                <c:pt idx="10">
                  <c:v>119</c:v>
                </c:pt>
                <c:pt idx="11">
                  <c:v>135</c:v>
                </c:pt>
                <c:pt idx="12">
                  <c:v>114</c:v>
                </c:pt>
                <c:pt idx="13">
                  <c:v>53</c:v>
                </c:pt>
                <c:pt idx="14">
                  <c:v>52</c:v>
                </c:pt>
                <c:pt idx="15">
                  <c:v>48</c:v>
                </c:pt>
                <c:pt idx="16">
                  <c:v>30</c:v>
                </c:pt>
                <c:pt idx="17">
                  <c:v>25</c:v>
                </c:pt>
                <c:pt idx="18">
                  <c:v>19</c:v>
                </c:pt>
                <c:pt idx="19">
                  <c:v>31</c:v>
                </c:pt>
                <c:pt idx="20">
                  <c:v>29</c:v>
                </c:pt>
                <c:pt idx="21">
                  <c:v>29</c:v>
                </c:pt>
                <c:pt idx="22">
                  <c:v>46</c:v>
                </c:pt>
                <c:pt idx="23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'27.08 TORORO-BUSITEMA-24h'!$AF$9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'27.08 TORORO-BUSITEMA-24h'!$R$10:$R$33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'27.08 TORORO-BUSITEMA-24h'!$AF$10:$AF$33</c:f>
              <c:numCache>
                <c:formatCode>0</c:formatCode>
                <c:ptCount val="24"/>
                <c:pt idx="0">
                  <c:v>39</c:v>
                </c:pt>
                <c:pt idx="1">
                  <c:v>66</c:v>
                </c:pt>
                <c:pt idx="2">
                  <c:v>62</c:v>
                </c:pt>
                <c:pt idx="3">
                  <c:v>112</c:v>
                </c:pt>
                <c:pt idx="4">
                  <c:v>77</c:v>
                </c:pt>
                <c:pt idx="5">
                  <c:v>95</c:v>
                </c:pt>
                <c:pt idx="6">
                  <c:v>92</c:v>
                </c:pt>
                <c:pt idx="7">
                  <c:v>87</c:v>
                </c:pt>
                <c:pt idx="8">
                  <c:v>95</c:v>
                </c:pt>
                <c:pt idx="9">
                  <c:v>76</c:v>
                </c:pt>
                <c:pt idx="10">
                  <c:v>119</c:v>
                </c:pt>
                <c:pt idx="11">
                  <c:v>161</c:v>
                </c:pt>
                <c:pt idx="12">
                  <c:v>126</c:v>
                </c:pt>
                <c:pt idx="13">
                  <c:v>53</c:v>
                </c:pt>
                <c:pt idx="14">
                  <c:v>52</c:v>
                </c:pt>
                <c:pt idx="15">
                  <c:v>48</c:v>
                </c:pt>
                <c:pt idx="16">
                  <c:v>30</c:v>
                </c:pt>
                <c:pt idx="17">
                  <c:v>31</c:v>
                </c:pt>
                <c:pt idx="18">
                  <c:v>19</c:v>
                </c:pt>
                <c:pt idx="19">
                  <c:v>31</c:v>
                </c:pt>
                <c:pt idx="20">
                  <c:v>29</c:v>
                </c:pt>
                <c:pt idx="21">
                  <c:v>29</c:v>
                </c:pt>
                <c:pt idx="22">
                  <c:v>46</c:v>
                </c:pt>
                <c:pt idx="23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42104"/>
        <c:axId val="225548376"/>
      </c:lineChart>
      <c:catAx>
        <c:axId val="225542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548376"/>
        <c:crosses val="autoZero"/>
        <c:auto val="1"/>
        <c:lblAlgn val="ctr"/>
        <c:lblOffset val="100"/>
        <c:noMultiLvlLbl val="0"/>
      </c:catAx>
      <c:valAx>
        <c:axId val="225548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54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TORORO-BUSITEMA-24h'!$C$9:$N$9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TORORO-BUSITEMA-24h'!$C$107:$N$107</c:f>
              <c:numCache>
                <c:formatCode>0.0%</c:formatCode>
                <c:ptCount val="12"/>
                <c:pt idx="0">
                  <c:v>7.5483091787439616E-2</c:v>
                </c:pt>
                <c:pt idx="1">
                  <c:v>5.6763285024154592E-2</c:v>
                </c:pt>
                <c:pt idx="2">
                  <c:v>3.4420289855072464E-2</c:v>
                </c:pt>
                <c:pt idx="3">
                  <c:v>0.13164251207729469</c:v>
                </c:pt>
                <c:pt idx="4">
                  <c:v>3.0193236714975845E-3</c:v>
                </c:pt>
                <c:pt idx="5">
                  <c:v>6.642512077294686E-3</c:v>
                </c:pt>
                <c:pt idx="6">
                  <c:v>2.2342995169082124E-2</c:v>
                </c:pt>
                <c:pt idx="7">
                  <c:v>5.9782608695652176E-2</c:v>
                </c:pt>
                <c:pt idx="8">
                  <c:v>1.932367149758454E-2</c:v>
                </c:pt>
                <c:pt idx="9">
                  <c:v>0.48128019323671495</c:v>
                </c:pt>
                <c:pt idx="10">
                  <c:v>0.10929951690821256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TORORO-BUSITEMA-24h'!$C$9:$N$9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TORORO-BUSITEMA-24h'!$C$108:$N$108</c:f>
              <c:numCache>
                <c:formatCode>0.00%</c:formatCode>
                <c:ptCount val="12"/>
                <c:pt idx="0">
                  <c:v>8.4745762711864403E-2</c:v>
                </c:pt>
                <c:pt idx="1">
                  <c:v>6.3728813559322028E-2</c:v>
                </c:pt>
                <c:pt idx="2">
                  <c:v>3.8644067796610171E-2</c:v>
                </c:pt>
                <c:pt idx="3">
                  <c:v>0.14779661016949153</c:v>
                </c:pt>
                <c:pt idx="4">
                  <c:v>3.3898305084745762E-3</c:v>
                </c:pt>
                <c:pt idx="5">
                  <c:v>7.4576271186440682E-3</c:v>
                </c:pt>
                <c:pt idx="6">
                  <c:v>2.5084745762711864E-2</c:v>
                </c:pt>
                <c:pt idx="7">
                  <c:v>6.7118644067796607E-2</c:v>
                </c:pt>
                <c:pt idx="8">
                  <c:v>2.169491525423729E-2</c:v>
                </c:pt>
                <c:pt idx="9">
                  <c:v>0.54033898305084749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BUSITEMA-TORORO'!$AE$9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BUSITEMA-TORORO'!$AE$10:$AE$21</c:f>
              <c:numCache>
                <c:formatCode>0</c:formatCode>
                <c:ptCount val="12"/>
                <c:pt idx="0">
                  <c:v>31</c:v>
                </c:pt>
                <c:pt idx="1">
                  <c:v>110</c:v>
                </c:pt>
                <c:pt idx="2">
                  <c:v>63</c:v>
                </c:pt>
                <c:pt idx="3">
                  <c:v>62</c:v>
                </c:pt>
                <c:pt idx="4">
                  <c:v>75</c:v>
                </c:pt>
                <c:pt idx="5">
                  <c:v>124</c:v>
                </c:pt>
                <c:pt idx="6">
                  <c:v>102</c:v>
                </c:pt>
                <c:pt idx="7">
                  <c:v>104</c:v>
                </c:pt>
                <c:pt idx="8">
                  <c:v>106</c:v>
                </c:pt>
                <c:pt idx="9">
                  <c:v>82</c:v>
                </c:pt>
                <c:pt idx="10">
                  <c:v>105</c:v>
                </c:pt>
                <c:pt idx="11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'28.08 BUSITEMA-TORORO'!$AF$9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BUSITEMA-TORORO'!$AF$10:$AF$21</c:f>
              <c:numCache>
                <c:formatCode>0</c:formatCode>
                <c:ptCount val="12"/>
                <c:pt idx="0">
                  <c:v>37</c:v>
                </c:pt>
                <c:pt idx="1">
                  <c:v>145</c:v>
                </c:pt>
                <c:pt idx="2">
                  <c:v>89</c:v>
                </c:pt>
                <c:pt idx="3">
                  <c:v>77</c:v>
                </c:pt>
                <c:pt idx="4">
                  <c:v>95</c:v>
                </c:pt>
                <c:pt idx="5">
                  <c:v>138</c:v>
                </c:pt>
                <c:pt idx="6">
                  <c:v>124</c:v>
                </c:pt>
                <c:pt idx="7">
                  <c:v>122</c:v>
                </c:pt>
                <c:pt idx="8">
                  <c:v>141</c:v>
                </c:pt>
                <c:pt idx="9">
                  <c:v>105</c:v>
                </c:pt>
                <c:pt idx="10">
                  <c:v>126</c:v>
                </c:pt>
                <c:pt idx="11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96400"/>
        <c:axId val="226999536"/>
      </c:lineChart>
      <c:catAx>
        <c:axId val="226996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9536"/>
        <c:crosses val="autoZero"/>
        <c:auto val="1"/>
        <c:lblAlgn val="ctr"/>
        <c:lblOffset val="100"/>
        <c:noMultiLvlLbl val="0"/>
      </c:catAx>
      <c:valAx>
        <c:axId val="226999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BUSITEMA-TORORO'!$C$59:$N$59</c:f>
              <c:numCache>
                <c:formatCode>0.0%</c:formatCode>
                <c:ptCount val="12"/>
                <c:pt idx="0">
                  <c:v>5.9185242121445041E-2</c:v>
                </c:pt>
                <c:pt idx="1">
                  <c:v>8.1475787855495779E-2</c:v>
                </c:pt>
                <c:pt idx="2">
                  <c:v>5.9185242121445041E-2</c:v>
                </c:pt>
                <c:pt idx="3">
                  <c:v>0.16372021521906227</c:v>
                </c:pt>
                <c:pt idx="4">
                  <c:v>7.6863950807071484E-4</c:v>
                </c:pt>
                <c:pt idx="5">
                  <c:v>0</c:v>
                </c:pt>
                <c:pt idx="6">
                  <c:v>2.9208301306687164E-2</c:v>
                </c:pt>
                <c:pt idx="7">
                  <c:v>9.9923136049192927E-3</c:v>
                </c:pt>
                <c:pt idx="8">
                  <c:v>5.8416602613374329E-2</c:v>
                </c:pt>
                <c:pt idx="9">
                  <c:v>0.34588777863182169</c:v>
                </c:pt>
                <c:pt idx="10">
                  <c:v>0.19062259800153727</c:v>
                </c:pt>
                <c:pt idx="11">
                  <c:v>1.5372790161414297E-3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BUSITEMA-TORORO'!$S$9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BUSITEMA-TORORO'!$S$10:$S$21</c:f>
              <c:numCache>
                <c:formatCode>0</c:formatCode>
                <c:ptCount val="12"/>
                <c:pt idx="0">
                  <c:v>1</c:v>
                </c:pt>
                <c:pt idx="1">
                  <c:v>15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'28.08 BUSITEMA-TORORO'!$T$9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'28.08 BUSITEMA-TORORO'!$R$10:$R$21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BUSITEMA-TORORO'!$T$10:$T$21</c:f>
              <c:numCache>
                <c:formatCode>0</c:formatCode>
                <c:ptCount val="12"/>
                <c:pt idx="0">
                  <c:v>0</c:v>
                </c:pt>
                <c:pt idx="1">
                  <c:v>17</c:v>
                </c:pt>
                <c:pt idx="2">
                  <c:v>10</c:v>
                </c:pt>
                <c:pt idx="3">
                  <c:v>4</c:v>
                </c:pt>
                <c:pt idx="4">
                  <c:v>8</c:v>
                </c:pt>
                <c:pt idx="5">
                  <c:v>17</c:v>
                </c:pt>
                <c:pt idx="6">
                  <c:v>6</c:v>
                </c:pt>
                <c:pt idx="7">
                  <c:v>10</c:v>
                </c:pt>
                <c:pt idx="8">
                  <c:v>6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'28.08 BUSITEMA-TORORO'!$U$9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BUSITEMA-TORORO'!$U$10:$U$21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'28.08 BUSITEMA-TORORO'!$V$9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BUSITEMA-TORORO'!$V$10:$V$21</c:f>
              <c:numCache>
                <c:formatCode>0</c:formatCode>
                <c:ptCount val="12"/>
                <c:pt idx="0">
                  <c:v>6</c:v>
                </c:pt>
                <c:pt idx="1">
                  <c:v>28</c:v>
                </c:pt>
                <c:pt idx="2">
                  <c:v>12</c:v>
                </c:pt>
                <c:pt idx="3">
                  <c:v>18</c:v>
                </c:pt>
                <c:pt idx="4">
                  <c:v>22</c:v>
                </c:pt>
                <c:pt idx="5">
                  <c:v>29</c:v>
                </c:pt>
                <c:pt idx="6">
                  <c:v>16</c:v>
                </c:pt>
                <c:pt idx="7">
                  <c:v>16</c:v>
                </c:pt>
                <c:pt idx="8">
                  <c:v>25</c:v>
                </c:pt>
                <c:pt idx="9">
                  <c:v>19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'28.08 BUSITEMA-TORORO'!$W$9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'28.08 BUSITEMA-TORORO'!$X$9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'28.08 BUSITEMA-TORORO'!$Y$9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'28.08 BUSITEMA-TORORO'!$Z$9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'28.08 BUSITEMA-TORORO'!$AA$9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19</c:v>
                </c:pt>
                <c:pt idx="6">
                  <c:v>18</c:v>
                </c:pt>
                <c:pt idx="7">
                  <c:v>25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'28.08 BUSITEMA-TORORO'!$AB$9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BUSITEMA-TORORO'!$AB$10:$AB$21</c:f>
              <c:numCache>
                <c:formatCode>0</c:formatCode>
                <c:ptCount val="12"/>
                <c:pt idx="0">
                  <c:v>23</c:v>
                </c:pt>
                <c:pt idx="1">
                  <c:v>38</c:v>
                </c:pt>
                <c:pt idx="2">
                  <c:v>28</c:v>
                </c:pt>
                <c:pt idx="3">
                  <c:v>24</c:v>
                </c:pt>
                <c:pt idx="4">
                  <c:v>35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34</c:v>
                </c:pt>
                <c:pt idx="10">
                  <c:v>62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'28.08 BUSITEMA-TORORO'!$AC$9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BUSITEMA-TORORO'!$AC$10:$AC$21</c:f>
              <c:numCache>
                <c:formatCode>0</c:formatCode>
                <c:ptCount val="12"/>
                <c:pt idx="0">
                  <c:v>6</c:v>
                </c:pt>
                <c:pt idx="1">
                  <c:v>35</c:v>
                </c:pt>
                <c:pt idx="2">
                  <c:v>26</c:v>
                </c:pt>
                <c:pt idx="3">
                  <c:v>15</c:v>
                </c:pt>
                <c:pt idx="4">
                  <c:v>20</c:v>
                </c:pt>
                <c:pt idx="5">
                  <c:v>14</c:v>
                </c:pt>
                <c:pt idx="6">
                  <c:v>22</c:v>
                </c:pt>
                <c:pt idx="7">
                  <c:v>18</c:v>
                </c:pt>
                <c:pt idx="8">
                  <c:v>35</c:v>
                </c:pt>
                <c:pt idx="9">
                  <c:v>23</c:v>
                </c:pt>
                <c:pt idx="10">
                  <c:v>21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'28.08 BUSITEMA-TORORO'!$AD$9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BUSITEMA-TORORO'!$AD$10:$AD$21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999144"/>
        <c:axId val="226998360"/>
      </c:lineChart>
      <c:catAx>
        <c:axId val="22699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8360"/>
        <c:crosses val="autoZero"/>
        <c:auto val="1"/>
        <c:lblAlgn val="ctr"/>
        <c:lblOffset val="100"/>
        <c:noMultiLvlLbl val="0"/>
      </c:catAx>
      <c:valAx>
        <c:axId val="22699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99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BUSITEMA-TORORO'!$C$60:$N$60</c:f>
              <c:numCache>
                <c:formatCode>0.00%</c:formatCode>
                <c:ptCount val="12"/>
                <c:pt idx="0">
                  <c:v>7.3124406457739793E-2</c:v>
                </c:pt>
                <c:pt idx="1">
                  <c:v>0.10066476733143399</c:v>
                </c:pt>
                <c:pt idx="2">
                  <c:v>7.3124406457739793E-2</c:v>
                </c:pt>
                <c:pt idx="3">
                  <c:v>0.20227920227920229</c:v>
                </c:pt>
                <c:pt idx="4">
                  <c:v>9.4966761633428305E-4</c:v>
                </c:pt>
                <c:pt idx="5">
                  <c:v>0</c:v>
                </c:pt>
                <c:pt idx="6">
                  <c:v>3.6087369420702751E-2</c:v>
                </c:pt>
                <c:pt idx="7">
                  <c:v>1.2345679012345678E-2</c:v>
                </c:pt>
                <c:pt idx="8">
                  <c:v>7.2174738841405503E-2</c:v>
                </c:pt>
                <c:pt idx="9">
                  <c:v>0.42735042735042733</c:v>
                </c:pt>
                <c:pt idx="11">
                  <c:v>1.8993352326685661E-3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TORORO-BUSITEMA'!$AE$9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TORORO-BUSITEMA'!$AE$10:$AE$21</c:f>
              <c:numCache>
                <c:formatCode>0</c:formatCode>
                <c:ptCount val="12"/>
                <c:pt idx="0">
                  <c:v>66</c:v>
                </c:pt>
                <c:pt idx="1">
                  <c:v>56</c:v>
                </c:pt>
                <c:pt idx="2">
                  <c:v>51</c:v>
                </c:pt>
                <c:pt idx="3">
                  <c:v>92</c:v>
                </c:pt>
                <c:pt idx="4">
                  <c:v>59</c:v>
                </c:pt>
                <c:pt idx="5">
                  <c:v>101</c:v>
                </c:pt>
                <c:pt idx="6">
                  <c:v>129</c:v>
                </c:pt>
                <c:pt idx="7">
                  <c:v>112</c:v>
                </c:pt>
                <c:pt idx="8">
                  <c:v>135</c:v>
                </c:pt>
                <c:pt idx="9">
                  <c:v>123</c:v>
                </c:pt>
                <c:pt idx="10">
                  <c:v>132</c:v>
                </c:pt>
                <c:pt idx="11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'28.08 TORORO-BUSITEMA'!$AF$9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TORORO-BUSITEMA'!$AF$10:$AF$21</c:f>
              <c:numCache>
                <c:formatCode>0</c:formatCode>
                <c:ptCount val="12"/>
                <c:pt idx="0">
                  <c:v>91</c:v>
                </c:pt>
                <c:pt idx="1">
                  <c:v>69</c:v>
                </c:pt>
                <c:pt idx="2">
                  <c:v>64</c:v>
                </c:pt>
                <c:pt idx="3">
                  <c:v>105</c:v>
                </c:pt>
                <c:pt idx="4">
                  <c:v>71</c:v>
                </c:pt>
                <c:pt idx="5">
                  <c:v>115</c:v>
                </c:pt>
                <c:pt idx="6">
                  <c:v>151</c:v>
                </c:pt>
                <c:pt idx="7">
                  <c:v>137</c:v>
                </c:pt>
                <c:pt idx="8">
                  <c:v>155</c:v>
                </c:pt>
                <c:pt idx="9">
                  <c:v>138</c:v>
                </c:pt>
                <c:pt idx="10">
                  <c:v>173</c:v>
                </c:pt>
                <c:pt idx="11">
                  <c:v>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17240"/>
        <c:axId val="227315672"/>
      </c:lineChart>
      <c:catAx>
        <c:axId val="227317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5672"/>
        <c:crosses val="autoZero"/>
        <c:auto val="1"/>
        <c:lblAlgn val="ctr"/>
        <c:lblOffset val="100"/>
        <c:noMultiLvlLbl val="0"/>
      </c:catAx>
      <c:valAx>
        <c:axId val="227315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TORORO-BUSITEMA'!$C$59:$N$59</c:f>
              <c:numCache>
                <c:formatCode>0.0%</c:formatCode>
                <c:ptCount val="12"/>
                <c:pt idx="0">
                  <c:v>0.10460251046025104</c:v>
                </c:pt>
                <c:pt idx="1">
                  <c:v>6.555090655509066E-2</c:v>
                </c:pt>
                <c:pt idx="2">
                  <c:v>4.2538354253835425E-2</c:v>
                </c:pt>
                <c:pt idx="3">
                  <c:v>0.14714086471408647</c:v>
                </c:pt>
                <c:pt idx="4">
                  <c:v>5.5788005578800556E-3</c:v>
                </c:pt>
                <c:pt idx="5">
                  <c:v>0</c:v>
                </c:pt>
                <c:pt idx="6">
                  <c:v>4.1841004184100417E-2</c:v>
                </c:pt>
                <c:pt idx="7">
                  <c:v>3.5564853556485358E-2</c:v>
                </c:pt>
                <c:pt idx="8">
                  <c:v>2.7196652719665274E-2</c:v>
                </c:pt>
                <c:pt idx="9">
                  <c:v>0.36471408647140863</c:v>
                </c:pt>
                <c:pt idx="10">
                  <c:v>0.16457461645746166</c:v>
                </c:pt>
                <c:pt idx="11">
                  <c:v>6.9735006973500695E-4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TORORO-BUSITEMA'!$S$9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TORORO-BUSITEMA'!$S$10:$S$21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23</c:v>
                </c:pt>
                <c:pt idx="4">
                  <c:v>10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12</c:v>
                </c:pt>
                <c:pt idx="9">
                  <c:v>24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'28.08 TORORO-BUSITEMA'!$T$9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'28.08 TORORO-BUSITEMA'!$R$10:$R$21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TORORO-BUSITEMA'!$T$10:$T$21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6</c:v>
                </c:pt>
                <c:pt idx="10">
                  <c:v>22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'28.08 TORORO-BUSITEMA'!$U$9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TORORO-BUSITEMA'!$U$10:$U$21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1</c:v>
                </c:pt>
                <c:pt idx="8">
                  <c:v>12</c:v>
                </c:pt>
                <c:pt idx="9">
                  <c:v>6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'28.08 TORORO-BUSITEMA'!$V$9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TORORO-BUSITEMA'!$V$10:$V$21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  <c:pt idx="4">
                  <c:v>11</c:v>
                </c:pt>
                <c:pt idx="5">
                  <c:v>26</c:v>
                </c:pt>
                <c:pt idx="6">
                  <c:v>17</c:v>
                </c:pt>
                <c:pt idx="7">
                  <c:v>31</c:v>
                </c:pt>
                <c:pt idx="8">
                  <c:v>23</c:v>
                </c:pt>
                <c:pt idx="9">
                  <c:v>24</c:v>
                </c:pt>
                <c:pt idx="10">
                  <c:v>18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'28.08 TORORO-BUSITEMA'!$W$9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'28.08 TORORO-BUSITEMA'!$X$9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'28.08 TORORO-BUSITEMA'!$Y$9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TORORO-BUSITEMA'!$Y$10:$Y$21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7</c:v>
                </c:pt>
                <c:pt idx="9">
                  <c:v>14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'28.08 TORORO-BUSITEMA'!$Z$9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2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'28.08 TORORO-BUSITEMA'!$AA$9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TORORO-BUSITEMA'!$AA$10:$AA$21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0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'28.08 TORORO-BUSITEMA'!$AB$9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TORORO-BUSITEMA'!$AB$10:$AB$21</c:f>
              <c:numCache>
                <c:formatCode>0</c:formatCode>
                <c:ptCount val="12"/>
                <c:pt idx="0">
                  <c:v>58</c:v>
                </c:pt>
                <c:pt idx="1">
                  <c:v>29</c:v>
                </c:pt>
                <c:pt idx="2">
                  <c:v>29</c:v>
                </c:pt>
                <c:pt idx="3">
                  <c:v>36</c:v>
                </c:pt>
                <c:pt idx="4">
                  <c:v>22</c:v>
                </c:pt>
                <c:pt idx="5">
                  <c:v>36</c:v>
                </c:pt>
                <c:pt idx="6">
                  <c:v>63</c:v>
                </c:pt>
                <c:pt idx="7">
                  <c:v>47</c:v>
                </c:pt>
                <c:pt idx="8">
                  <c:v>57</c:v>
                </c:pt>
                <c:pt idx="9">
                  <c:v>40</c:v>
                </c:pt>
                <c:pt idx="10">
                  <c:v>54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'28.08 TORORO-BUSITEMA'!$AC$9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TORORO-BUSITEMA'!$AC$10:$AC$21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14</c:v>
                </c:pt>
                <c:pt idx="6">
                  <c:v>31</c:v>
                </c:pt>
                <c:pt idx="7">
                  <c:v>25</c:v>
                </c:pt>
                <c:pt idx="8">
                  <c:v>20</c:v>
                </c:pt>
                <c:pt idx="9">
                  <c:v>15</c:v>
                </c:pt>
                <c:pt idx="10">
                  <c:v>41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'28.08 TORORO-BUSITEMA'!$AD$9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TORORO-BUSITEMA'!$AD$10:$AD$21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318024"/>
        <c:axId val="227314104"/>
      </c:lineChart>
      <c:catAx>
        <c:axId val="22731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4104"/>
        <c:crosses val="autoZero"/>
        <c:auto val="1"/>
        <c:lblAlgn val="ctr"/>
        <c:lblOffset val="100"/>
        <c:noMultiLvlLbl val="0"/>
      </c:catAx>
      <c:valAx>
        <c:axId val="22731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TORORO-BUSITEMA'!$C$60:$N$60</c:f>
              <c:numCache>
                <c:formatCode>0.00%</c:formatCode>
                <c:ptCount val="12"/>
                <c:pt idx="0">
                  <c:v>0.12605042016806722</c:v>
                </c:pt>
                <c:pt idx="1">
                  <c:v>7.8991596638655459E-2</c:v>
                </c:pt>
                <c:pt idx="2">
                  <c:v>5.1260504201680671E-2</c:v>
                </c:pt>
                <c:pt idx="3">
                  <c:v>0.17731092436974791</c:v>
                </c:pt>
                <c:pt idx="4">
                  <c:v>6.7226890756302525E-3</c:v>
                </c:pt>
                <c:pt idx="5">
                  <c:v>0</c:v>
                </c:pt>
                <c:pt idx="6">
                  <c:v>5.0420168067226892E-2</c:v>
                </c:pt>
                <c:pt idx="7">
                  <c:v>4.2857142857142858E-2</c:v>
                </c:pt>
                <c:pt idx="8">
                  <c:v>3.2773109243697481E-2</c:v>
                </c:pt>
                <c:pt idx="9">
                  <c:v>0.43949579831932772</c:v>
                </c:pt>
                <c:pt idx="11">
                  <c:v>8.4033613445378156E-4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BUSITEMA-TORORO'!$AE$9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BUSITEMA-TORORO'!$R$10:$R$33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BUSITEMA-TORORO'!$AE$10:$AE$33</c:f>
              <c:numCache>
                <c:formatCode>0</c:formatCode>
                <c:ptCount val="24"/>
                <c:pt idx="0">
                  <c:v>52.714285714285715</c:v>
                </c:pt>
                <c:pt idx="1">
                  <c:v>58.285714285714292</c:v>
                </c:pt>
                <c:pt idx="2">
                  <c:v>59</c:v>
                </c:pt>
                <c:pt idx="3">
                  <c:v>65.285714285714278</c:v>
                </c:pt>
                <c:pt idx="4">
                  <c:v>70.142857142857139</c:v>
                </c:pt>
                <c:pt idx="5">
                  <c:v>77.285714285714292</c:v>
                </c:pt>
                <c:pt idx="6">
                  <c:v>59.285714285714292</c:v>
                </c:pt>
                <c:pt idx="7">
                  <c:v>70.428571428571416</c:v>
                </c:pt>
                <c:pt idx="8">
                  <c:v>88.857142857142861</c:v>
                </c:pt>
                <c:pt idx="9">
                  <c:v>72.142857142857139</c:v>
                </c:pt>
                <c:pt idx="10">
                  <c:v>103.57142857142857</c:v>
                </c:pt>
                <c:pt idx="11">
                  <c:v>123.71428571428571</c:v>
                </c:pt>
                <c:pt idx="12">
                  <c:v>115</c:v>
                </c:pt>
                <c:pt idx="13">
                  <c:v>84</c:v>
                </c:pt>
                <c:pt idx="14">
                  <c:v>99</c:v>
                </c:pt>
                <c:pt idx="15">
                  <c:v>33</c:v>
                </c:pt>
                <c:pt idx="16">
                  <c:v>37.5</c:v>
                </c:pt>
                <c:pt idx="17">
                  <c:v>18.5</c:v>
                </c:pt>
                <c:pt idx="18">
                  <c:v>24.5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33</c:v>
                </c:pt>
                <c:pt idx="23">
                  <c:v>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BUSITEMA-TORORO'!$AF$9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BUSITEMA-TORORO'!$R$10:$R$33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BUSITEMA-TORORO'!$AF$10:$AF$33</c:f>
              <c:numCache>
                <c:formatCode>0</c:formatCode>
                <c:ptCount val="24"/>
                <c:pt idx="0">
                  <c:v>67.714285714285722</c:v>
                </c:pt>
                <c:pt idx="1">
                  <c:v>72.285714285714278</c:v>
                </c:pt>
                <c:pt idx="2">
                  <c:v>76.285714285714278</c:v>
                </c:pt>
                <c:pt idx="3">
                  <c:v>84</c:v>
                </c:pt>
                <c:pt idx="4">
                  <c:v>88.571428571428569</c:v>
                </c:pt>
                <c:pt idx="5">
                  <c:v>92</c:v>
                </c:pt>
                <c:pt idx="6">
                  <c:v>77.428571428571431</c:v>
                </c:pt>
                <c:pt idx="7">
                  <c:v>88.142857142857139</c:v>
                </c:pt>
                <c:pt idx="8">
                  <c:v>108.42857142857143</c:v>
                </c:pt>
                <c:pt idx="9">
                  <c:v>86.142857142857139</c:v>
                </c:pt>
                <c:pt idx="10">
                  <c:v>125.85714285714285</c:v>
                </c:pt>
                <c:pt idx="11">
                  <c:v>146.85714285714286</c:v>
                </c:pt>
                <c:pt idx="12">
                  <c:v>127.5</c:v>
                </c:pt>
                <c:pt idx="13">
                  <c:v>87</c:v>
                </c:pt>
                <c:pt idx="14">
                  <c:v>103</c:v>
                </c:pt>
                <c:pt idx="15">
                  <c:v>56.5</c:v>
                </c:pt>
                <c:pt idx="16">
                  <c:v>55</c:v>
                </c:pt>
                <c:pt idx="17">
                  <c:v>58.5</c:v>
                </c:pt>
                <c:pt idx="18">
                  <c:v>36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34.5</c:v>
                </c:pt>
                <c:pt idx="23">
                  <c:v>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16456"/>
        <c:axId val="227316848"/>
      </c:lineChart>
      <c:catAx>
        <c:axId val="227316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6848"/>
        <c:crosses val="autoZero"/>
        <c:auto val="1"/>
        <c:lblAlgn val="ctr"/>
        <c:lblOffset val="100"/>
        <c:noMultiLvlLbl val="0"/>
      </c:catAx>
      <c:valAx>
        <c:axId val="227316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BUSITEMA-TORORO'!$C$107:$N$107</c:f>
              <c:numCache>
                <c:formatCode>0.0%</c:formatCode>
                <c:ptCount val="12"/>
                <c:pt idx="0">
                  <c:v>5.0451897971480211E-2</c:v>
                </c:pt>
                <c:pt idx="1">
                  <c:v>7.7967463346053451E-2</c:v>
                </c:pt>
                <c:pt idx="2">
                  <c:v>3.338019682667203E-2</c:v>
                </c:pt>
                <c:pt idx="3">
                  <c:v>0.1193412331793533</c:v>
                </c:pt>
                <c:pt idx="4">
                  <c:v>2.6511347660172725E-3</c:v>
                </c:pt>
                <c:pt idx="5">
                  <c:v>5.5031130749146418E-3</c:v>
                </c:pt>
                <c:pt idx="6">
                  <c:v>3.0568387226350677E-2</c:v>
                </c:pt>
                <c:pt idx="7">
                  <c:v>2.0445872665193814E-2</c:v>
                </c:pt>
                <c:pt idx="8">
                  <c:v>3.7477405101425991E-2</c:v>
                </c:pt>
                <c:pt idx="9">
                  <c:v>0.43498694516971276</c:v>
                </c:pt>
                <c:pt idx="10">
                  <c:v>0.18698533842136975</c:v>
                </c:pt>
                <c:pt idx="11">
                  <c:v>2.410122514561157E-4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BUSITEMA-TORORO'!$C$9:$N$9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BUSITEMA-TORORO'!$C$108:$N$108</c:f>
              <c:numCache>
                <c:formatCode>0.00%</c:formatCode>
                <c:ptCount val="12"/>
                <c:pt idx="0">
                  <c:v>6.2055335968379428E-2</c:v>
                </c:pt>
                <c:pt idx="1">
                  <c:v>9.5899209486166023E-2</c:v>
                </c:pt>
                <c:pt idx="2">
                  <c:v>4.1057312252964426E-2</c:v>
                </c:pt>
                <c:pt idx="3">
                  <c:v>0.1467885375494071</c:v>
                </c:pt>
                <c:pt idx="4">
                  <c:v>3.2608695652173907E-3</c:v>
                </c:pt>
                <c:pt idx="5">
                  <c:v>6.7687747035573113E-3</c:v>
                </c:pt>
                <c:pt idx="6">
                  <c:v>3.759881422924901E-2</c:v>
                </c:pt>
                <c:pt idx="7">
                  <c:v>2.5148221343873515E-2</c:v>
                </c:pt>
                <c:pt idx="8">
                  <c:v>4.6096837944664029E-2</c:v>
                </c:pt>
                <c:pt idx="9">
                  <c:v>0.53502964426877464</c:v>
                </c:pt>
                <c:pt idx="11">
                  <c:v>2.9644268774703554E-4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TORORO-BUSITEMA'!$AE$9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TORORO-BUSITEMA'!$R$10:$R$33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TORORO-BUSITEMA'!$AE$10:$AE$33</c:f>
              <c:numCache>
                <c:formatCode>0</c:formatCode>
                <c:ptCount val="24"/>
                <c:pt idx="0">
                  <c:v>65.857142857142861</c:v>
                </c:pt>
                <c:pt idx="1">
                  <c:v>54.285714285714292</c:v>
                </c:pt>
                <c:pt idx="2">
                  <c:v>63.857142857142861</c:v>
                </c:pt>
                <c:pt idx="3">
                  <c:v>74.428571428571431</c:v>
                </c:pt>
                <c:pt idx="4">
                  <c:v>75.285714285714292</c:v>
                </c:pt>
                <c:pt idx="5">
                  <c:v>80.428571428571431</c:v>
                </c:pt>
                <c:pt idx="6">
                  <c:v>88.428571428571431</c:v>
                </c:pt>
                <c:pt idx="7">
                  <c:v>81.714285714285722</c:v>
                </c:pt>
                <c:pt idx="8">
                  <c:v>88.857142857142861</c:v>
                </c:pt>
                <c:pt idx="9">
                  <c:v>92.428571428571431</c:v>
                </c:pt>
                <c:pt idx="10">
                  <c:v>108.57142857142857</c:v>
                </c:pt>
                <c:pt idx="11">
                  <c:v>120.14285714285714</c:v>
                </c:pt>
                <c:pt idx="12">
                  <c:v>96</c:v>
                </c:pt>
                <c:pt idx="13">
                  <c:v>58</c:v>
                </c:pt>
                <c:pt idx="14">
                  <c:v>42.5</c:v>
                </c:pt>
                <c:pt idx="15">
                  <c:v>48.5</c:v>
                </c:pt>
                <c:pt idx="16">
                  <c:v>30</c:v>
                </c:pt>
                <c:pt idx="17">
                  <c:v>20.5</c:v>
                </c:pt>
                <c:pt idx="18">
                  <c:v>15</c:v>
                </c:pt>
                <c:pt idx="19">
                  <c:v>30</c:v>
                </c:pt>
                <c:pt idx="20">
                  <c:v>28</c:v>
                </c:pt>
                <c:pt idx="21">
                  <c:v>37.5</c:v>
                </c:pt>
                <c:pt idx="22">
                  <c:v>60</c:v>
                </c:pt>
                <c:pt idx="23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TORORO-BUSITEMA'!$AF$9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TORORO-BUSITEMA'!$R$10:$R$33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TORORO-BUSITEMA'!$AF$10:$AF$33</c:f>
              <c:numCache>
                <c:formatCode>0</c:formatCode>
                <c:ptCount val="24"/>
                <c:pt idx="0">
                  <c:v>72.714285714285722</c:v>
                </c:pt>
                <c:pt idx="1">
                  <c:v>66.285714285714292</c:v>
                </c:pt>
                <c:pt idx="2">
                  <c:v>78.571428571428584</c:v>
                </c:pt>
                <c:pt idx="3">
                  <c:v>89</c:v>
                </c:pt>
                <c:pt idx="4">
                  <c:v>91.142857142857139</c:v>
                </c:pt>
                <c:pt idx="5">
                  <c:v>94.428571428571431</c:v>
                </c:pt>
                <c:pt idx="6">
                  <c:v>103.28571428571428</c:v>
                </c:pt>
                <c:pt idx="7">
                  <c:v>96.857142857142861</c:v>
                </c:pt>
                <c:pt idx="8">
                  <c:v>104.57142857142857</c:v>
                </c:pt>
                <c:pt idx="9">
                  <c:v>107.14285714285714</c:v>
                </c:pt>
                <c:pt idx="10">
                  <c:v>128.28571428571431</c:v>
                </c:pt>
                <c:pt idx="11">
                  <c:v>140.71428571428572</c:v>
                </c:pt>
                <c:pt idx="12">
                  <c:v>109.5</c:v>
                </c:pt>
                <c:pt idx="13">
                  <c:v>62</c:v>
                </c:pt>
                <c:pt idx="14">
                  <c:v>45</c:v>
                </c:pt>
                <c:pt idx="15">
                  <c:v>50.5</c:v>
                </c:pt>
                <c:pt idx="16">
                  <c:v>30</c:v>
                </c:pt>
                <c:pt idx="17">
                  <c:v>23.5</c:v>
                </c:pt>
                <c:pt idx="18">
                  <c:v>15</c:v>
                </c:pt>
                <c:pt idx="19">
                  <c:v>30.5</c:v>
                </c:pt>
                <c:pt idx="20">
                  <c:v>28</c:v>
                </c:pt>
                <c:pt idx="21">
                  <c:v>37.5</c:v>
                </c:pt>
                <c:pt idx="22">
                  <c:v>60.5</c:v>
                </c:pt>
                <c:pt idx="23">
                  <c:v>86.5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12144"/>
        <c:axId val="228109928"/>
      </c:lineChart>
      <c:catAx>
        <c:axId val="227312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109928"/>
        <c:crosses val="autoZero"/>
        <c:auto val="1"/>
        <c:lblAlgn val="ctr"/>
        <c:lblOffset val="100"/>
        <c:noMultiLvlLbl val="0"/>
      </c:catAx>
      <c:valAx>
        <c:axId val="228109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31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TORORO-BUSITEMA'!$C$107:$N$107</c:f>
              <c:numCache>
                <c:formatCode>0.0%</c:formatCode>
                <c:ptCount val="12"/>
                <c:pt idx="0">
                  <c:v>7.8137106969536296E-2</c:v>
                </c:pt>
                <c:pt idx="1">
                  <c:v>7.4996941397169781E-2</c:v>
                </c:pt>
                <c:pt idx="2">
                  <c:v>3.8497614289792419E-2</c:v>
                </c:pt>
                <c:pt idx="3">
                  <c:v>0.12311895925941027</c:v>
                </c:pt>
                <c:pt idx="4">
                  <c:v>4.1189184780392315E-3</c:v>
                </c:pt>
                <c:pt idx="5">
                  <c:v>6.7289262264997336E-3</c:v>
                </c:pt>
                <c:pt idx="6">
                  <c:v>2.9484931283389741E-2</c:v>
                </c:pt>
                <c:pt idx="7">
                  <c:v>4.9427021736470768E-2</c:v>
                </c:pt>
                <c:pt idx="8">
                  <c:v>2.4876636352514168E-2</c:v>
                </c:pt>
                <c:pt idx="9">
                  <c:v>0.45051180620692466</c:v>
                </c:pt>
                <c:pt idx="10">
                  <c:v>0.12001957505811342</c:v>
                </c:pt>
                <c:pt idx="11">
                  <c:v>8.1562742139390716E-5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TORORO-BUSITEMA'!$C$9:$N$9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TORORO-BUSITEMA'!$C$108:$N$108</c:f>
              <c:numCache>
                <c:formatCode>0.00%</c:formatCode>
                <c:ptCount val="12"/>
                <c:pt idx="0">
                  <c:v>8.8794142181851873E-2</c:v>
                </c:pt>
                <c:pt idx="1">
                  <c:v>8.5225692835295228E-2</c:v>
                </c:pt>
                <c:pt idx="2">
                  <c:v>4.3748262118824731E-2</c:v>
                </c:pt>
                <c:pt idx="3">
                  <c:v>0.13991102048382612</c:v>
                </c:pt>
                <c:pt idx="4">
                  <c:v>4.6806932987301887E-3</c:v>
                </c:pt>
                <c:pt idx="5">
                  <c:v>7.6466771711928812E-3</c:v>
                </c:pt>
                <c:pt idx="6">
                  <c:v>3.3506349059226989E-2</c:v>
                </c:pt>
                <c:pt idx="7">
                  <c:v>5.6168319584762247E-2</c:v>
                </c:pt>
                <c:pt idx="8">
                  <c:v>2.8269533784410047E-2</c:v>
                </c:pt>
                <c:pt idx="9">
                  <c:v>0.51195662248586526</c:v>
                </c:pt>
                <c:pt idx="11">
                  <c:v>9.2686996014459169E-5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BUSITEMA-TORORO-2Dir'!$C$9:$N$9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BUSITEMA-TORORO-2Dir'!$C$107:$N$107</c:f>
              <c:numCache>
                <c:formatCode>0.0%</c:formatCode>
                <c:ptCount val="12"/>
                <c:pt idx="0">
                  <c:v>6.4189736117856555E-2</c:v>
                </c:pt>
                <c:pt idx="1">
                  <c:v>7.6493443419135485E-2</c:v>
                </c:pt>
                <c:pt idx="2">
                  <c:v>3.5919540229885055E-2</c:v>
                </c:pt>
                <c:pt idx="3">
                  <c:v>0.12121580055042899</c:v>
                </c:pt>
                <c:pt idx="4">
                  <c:v>3.379472235713128E-3</c:v>
                </c:pt>
                <c:pt idx="5">
                  <c:v>6.1113809292536805E-3</c:v>
                </c:pt>
                <c:pt idx="6">
                  <c:v>3.0030759268253188E-2</c:v>
                </c:pt>
                <c:pt idx="7">
                  <c:v>3.4826776752468827E-2</c:v>
                </c:pt>
                <c:pt idx="8">
                  <c:v>3.1224704549133873E-2</c:v>
                </c:pt>
                <c:pt idx="9">
                  <c:v>0.44269062651772689</c:v>
                </c:pt>
                <c:pt idx="10">
                  <c:v>0.15375586854460091</c:v>
                </c:pt>
                <c:pt idx="11">
                  <c:v>1.6189088554314387E-4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BUSITEMA-TORORO-2Dir'!$C$9:$N$9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BUSITEMA-TORORO-2Dir'!$C$108:$N$108</c:f>
              <c:numCache>
                <c:formatCode>0.00%</c:formatCode>
                <c:ptCount val="12"/>
                <c:pt idx="0">
                  <c:v>7.5852503706537858E-2</c:v>
                </c:pt>
                <c:pt idx="1">
                  <c:v>9.0391697355205886E-2</c:v>
                </c:pt>
                <c:pt idx="2">
                  <c:v>4.244583672102923E-2</c:v>
                </c:pt>
                <c:pt idx="3">
                  <c:v>0.14323975321631835</c:v>
                </c:pt>
                <c:pt idx="4">
                  <c:v>3.993495623894016E-3</c:v>
                </c:pt>
                <c:pt idx="5">
                  <c:v>7.2217705294370842E-3</c:v>
                </c:pt>
                <c:pt idx="6">
                  <c:v>3.5487110813525277E-2</c:v>
                </c:pt>
                <c:pt idx="7">
                  <c:v>4.1154526758811996E-2</c:v>
                </c:pt>
                <c:pt idx="8">
                  <c:v>3.6897986512984836E-2</c:v>
                </c:pt>
                <c:pt idx="9">
                  <c:v>0.52312401358266769</c:v>
                </c:pt>
                <c:pt idx="11">
                  <c:v>1.9130517958773733E-4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BUSITEMA-TORORO-2Dir'!$AE$9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BUSITEMA-TORORO-2Dir'!$R$10:$R$33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BUSITEMA-TORORO-2Dir'!$AE$10:$AE$33</c:f>
              <c:numCache>
                <c:formatCode>0</c:formatCode>
                <c:ptCount val="24"/>
                <c:pt idx="0">
                  <c:v>118.57142857142856</c:v>
                </c:pt>
                <c:pt idx="1">
                  <c:v>112.57142857142858</c:v>
                </c:pt>
                <c:pt idx="2">
                  <c:v>122.85714285714286</c:v>
                </c:pt>
                <c:pt idx="3">
                  <c:v>139.71428571428572</c:v>
                </c:pt>
                <c:pt idx="4">
                  <c:v>145.42857142857144</c:v>
                </c:pt>
                <c:pt idx="5">
                  <c:v>157.71428571428569</c:v>
                </c:pt>
                <c:pt idx="6">
                  <c:v>147.71428571428572</c:v>
                </c:pt>
                <c:pt idx="7">
                  <c:v>152.14285714285714</c:v>
                </c:pt>
                <c:pt idx="8">
                  <c:v>177.71428571428572</c:v>
                </c:pt>
                <c:pt idx="9">
                  <c:v>164.57142857142856</c:v>
                </c:pt>
                <c:pt idx="10">
                  <c:v>212.14285714285714</c:v>
                </c:pt>
                <c:pt idx="11">
                  <c:v>243.85714285714289</c:v>
                </c:pt>
                <c:pt idx="12">
                  <c:v>211</c:v>
                </c:pt>
                <c:pt idx="13">
                  <c:v>142</c:v>
                </c:pt>
                <c:pt idx="14">
                  <c:v>141.5</c:v>
                </c:pt>
                <c:pt idx="15">
                  <c:v>81.5</c:v>
                </c:pt>
                <c:pt idx="16">
                  <c:v>67.5</c:v>
                </c:pt>
                <c:pt idx="17">
                  <c:v>39</c:v>
                </c:pt>
                <c:pt idx="18">
                  <c:v>39.5</c:v>
                </c:pt>
                <c:pt idx="19">
                  <c:v>52</c:v>
                </c:pt>
                <c:pt idx="20">
                  <c:v>51</c:v>
                </c:pt>
                <c:pt idx="21">
                  <c:v>53.5</c:v>
                </c:pt>
                <c:pt idx="22">
                  <c:v>93</c:v>
                </c:pt>
                <c:pt idx="23">
                  <c:v>120.5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F7-40DD-B2CE-E6C11248A901}"/>
            </c:ext>
          </c:extLst>
        </c:ser>
        <c:ser>
          <c:idx val="1"/>
          <c:order val="1"/>
          <c:tx>
            <c:strRef>
              <c:f>'Avg Week BUSITEMA-TORORO-2Dir'!$AF$9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BUSITEMA-TORORO-2Dir'!$R$10:$R$33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BUSITEMA-TORORO-2Dir'!$AF$10:$AF$33</c:f>
              <c:numCache>
                <c:formatCode>0</c:formatCode>
                <c:ptCount val="24"/>
                <c:pt idx="0">
                  <c:v>140.42857142857144</c:v>
                </c:pt>
                <c:pt idx="1">
                  <c:v>138.57142857142858</c:v>
                </c:pt>
                <c:pt idx="2">
                  <c:v>154.85714285714286</c:v>
                </c:pt>
                <c:pt idx="3">
                  <c:v>173.00000000000003</c:v>
                </c:pt>
                <c:pt idx="4">
                  <c:v>179.71428571428572</c:v>
                </c:pt>
                <c:pt idx="5">
                  <c:v>186.42857142857144</c:v>
                </c:pt>
                <c:pt idx="6">
                  <c:v>180.71428571428572</c:v>
                </c:pt>
                <c:pt idx="7">
                  <c:v>185</c:v>
                </c:pt>
                <c:pt idx="8">
                  <c:v>213</c:v>
                </c:pt>
                <c:pt idx="9">
                  <c:v>193.28571428571428</c:v>
                </c:pt>
                <c:pt idx="10">
                  <c:v>254.14285714285714</c:v>
                </c:pt>
                <c:pt idx="11">
                  <c:v>287.57142857142856</c:v>
                </c:pt>
                <c:pt idx="12">
                  <c:v>237</c:v>
                </c:pt>
                <c:pt idx="13">
                  <c:v>149</c:v>
                </c:pt>
                <c:pt idx="14">
                  <c:v>148</c:v>
                </c:pt>
                <c:pt idx="15">
                  <c:v>107</c:v>
                </c:pt>
                <c:pt idx="16">
                  <c:v>85</c:v>
                </c:pt>
                <c:pt idx="17">
                  <c:v>82</c:v>
                </c:pt>
                <c:pt idx="18">
                  <c:v>51</c:v>
                </c:pt>
                <c:pt idx="19">
                  <c:v>52.5</c:v>
                </c:pt>
                <c:pt idx="20">
                  <c:v>51</c:v>
                </c:pt>
                <c:pt idx="21">
                  <c:v>53.5</c:v>
                </c:pt>
                <c:pt idx="22">
                  <c:v>95</c:v>
                </c:pt>
                <c:pt idx="23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F7-40DD-B2CE-E6C11248A901}"/>
            </c:ext>
          </c:extLst>
        </c:ser>
        <c:ser>
          <c:idx val="5"/>
          <c:order val="2"/>
          <c:tx>
            <c:strRef>
              <c:f>'Avg Week BUSITEMA-TORORO-2Dir'!$AC$9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BUSITEMA-TORORO-2Dir'!$R$10:$R$33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BUSITEMA-TORORO-2Dir'!$AC$10:$AC$33</c:f>
              <c:numCache>
                <c:formatCode>0</c:formatCode>
                <c:ptCount val="24"/>
                <c:pt idx="0">
                  <c:v>21.857142857142858</c:v>
                </c:pt>
                <c:pt idx="1">
                  <c:v>26</c:v>
                </c:pt>
                <c:pt idx="2">
                  <c:v>32</c:v>
                </c:pt>
                <c:pt idx="3">
                  <c:v>33.285714285714285</c:v>
                </c:pt>
                <c:pt idx="4">
                  <c:v>34.285714285714292</c:v>
                </c:pt>
                <c:pt idx="5">
                  <c:v>28.714285714285715</c:v>
                </c:pt>
                <c:pt idx="6">
                  <c:v>33</c:v>
                </c:pt>
                <c:pt idx="7">
                  <c:v>32.857142857142854</c:v>
                </c:pt>
                <c:pt idx="8">
                  <c:v>35.285714285714285</c:v>
                </c:pt>
                <c:pt idx="9">
                  <c:v>28.714285714285712</c:v>
                </c:pt>
                <c:pt idx="10">
                  <c:v>42</c:v>
                </c:pt>
                <c:pt idx="11">
                  <c:v>43.714285714285708</c:v>
                </c:pt>
                <c:pt idx="12">
                  <c:v>26</c:v>
                </c:pt>
                <c:pt idx="13">
                  <c:v>7</c:v>
                </c:pt>
                <c:pt idx="14">
                  <c:v>6.5</c:v>
                </c:pt>
                <c:pt idx="15">
                  <c:v>25.5</c:v>
                </c:pt>
                <c:pt idx="16">
                  <c:v>17.5</c:v>
                </c:pt>
                <c:pt idx="17">
                  <c:v>43</c:v>
                </c:pt>
                <c:pt idx="18">
                  <c:v>11.5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F7-40DD-B2CE-E6C11248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BUSITEMA-TORORO-2Dir'!$S$9:$AF$9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BUSITEMA-TORORO-2Dir'!$S$41:$AF$41</c:f>
              <c:numCache>
                <c:formatCode>_(* #,##0_);_(* \(#,##0\);_(* "-"_);_(@_)</c:formatCode>
                <c:ptCount val="14"/>
                <c:pt idx="0">
                  <c:v>226.57142857142856</c:v>
                </c:pt>
                <c:pt idx="1">
                  <c:v>270</c:v>
                </c:pt>
                <c:pt idx="2">
                  <c:v>126.78571428571428</c:v>
                </c:pt>
                <c:pt idx="3">
                  <c:v>427.85714285714283</c:v>
                </c:pt>
                <c:pt idx="4">
                  <c:v>11.928571428571431</c:v>
                </c:pt>
                <c:pt idx="5">
                  <c:v>21.571428571428569</c:v>
                </c:pt>
                <c:pt idx="6">
                  <c:v>106</c:v>
                </c:pt>
                <c:pt idx="7">
                  <c:v>122.92857142857143</c:v>
                </c:pt>
                <c:pt idx="8">
                  <c:v>110.21428571428572</c:v>
                </c:pt>
                <c:pt idx="9">
                  <c:v>1562.5714285714284</c:v>
                </c:pt>
                <c:pt idx="10">
                  <c:v>542.71428571428578</c:v>
                </c:pt>
                <c:pt idx="11">
                  <c:v>0.5714285714285714</c:v>
                </c:pt>
                <c:pt idx="12">
                  <c:v>2987</c:v>
                </c:pt>
                <c:pt idx="13">
                  <c:v>3529.7142857142858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A-4E0C-86FD-B1A65AD004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BUSITEMA-TORORO-2Dir'!$S$9:$AF$9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BUSITEMA-TORORO-2Dir'!$S$42:$AF$42</c:f>
              <c:numCache>
                <c:formatCode>0.000</c:formatCode>
                <c:ptCount val="14"/>
                <c:pt idx="0">
                  <c:v>1.3053497942386831</c:v>
                </c:pt>
                <c:pt idx="1">
                  <c:v>1.267605633802817</c:v>
                </c:pt>
                <c:pt idx="2">
                  <c:v>1.2517630465444287</c:v>
                </c:pt>
                <c:pt idx="3">
                  <c:v>1.2091239402503029</c:v>
                </c:pt>
                <c:pt idx="4">
                  <c:v>1.1438356164383561</c:v>
                </c:pt>
                <c:pt idx="5">
                  <c:v>2.5166666666666671</c:v>
                </c:pt>
                <c:pt idx="6">
                  <c:v>1.2619047619047619</c:v>
                </c:pt>
                <c:pt idx="7">
                  <c:v>1.9691075514874141</c:v>
                </c:pt>
                <c:pt idx="8">
                  <c:v>1.4951550387596899</c:v>
                </c:pt>
                <c:pt idx="9">
                  <c:v>1.9206321334503949</c:v>
                </c:pt>
                <c:pt idx="10">
                  <c:v>1.385485047410649</c:v>
                </c:pt>
                <c:pt idx="11">
                  <c:v>1</c:v>
                </c:pt>
                <c:pt idx="12">
                  <c:v>1.5762532981530344</c:v>
                </c:pt>
                <c:pt idx="13">
                  <c:v>1.5435746860748423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E-4E9C-9038-368A1B2233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0</xdr:rowOff>
    </xdr:from>
    <xdr:to>
      <xdr:col>28</xdr:col>
      <xdr:colOff>15875</xdr:colOff>
      <xdr:row>59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15874</xdr:rowOff>
    </xdr:from>
    <xdr:to>
      <xdr:col>23</xdr:col>
      <xdr:colOff>31750</xdr:colOff>
      <xdr:row>71</xdr:row>
      <xdr:rowOff>63499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59</xdr:row>
      <xdr:rowOff>269875</xdr:rowOff>
    </xdr:from>
    <xdr:to>
      <xdr:col>31</xdr:col>
      <xdr:colOff>15875</xdr:colOff>
      <xdr:row>71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44</xdr:row>
      <xdr:rowOff>38100</xdr:rowOff>
    </xdr:from>
    <xdr:to>
      <xdr:col>28</xdr:col>
      <xdr:colOff>15875</xdr:colOff>
      <xdr:row>58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59</xdr:row>
      <xdr:rowOff>254001</xdr:rowOff>
    </xdr:from>
    <xdr:to>
      <xdr:col>23</xdr:col>
      <xdr:colOff>0</xdr:colOff>
      <xdr:row>73</xdr:row>
      <xdr:rowOff>31751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15874</xdr:colOff>
      <xdr:row>60</xdr:row>
      <xdr:rowOff>15875</xdr:rowOff>
    </xdr:from>
    <xdr:to>
      <xdr:col>31</xdr:col>
      <xdr:colOff>0</xdr:colOff>
      <xdr:row>73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25399</xdr:rowOff>
    </xdr:from>
    <xdr:to>
      <xdr:col>23</xdr:col>
      <xdr:colOff>650874</xdr:colOff>
      <xdr:row>74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269875</xdr:rowOff>
    </xdr:from>
    <xdr:to>
      <xdr:col>23</xdr:col>
      <xdr:colOff>650875</xdr:colOff>
      <xdr:row>91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0</xdr:rowOff>
    </xdr:from>
    <xdr:to>
      <xdr:col>28</xdr:col>
      <xdr:colOff>47626</xdr:colOff>
      <xdr:row>59</xdr:row>
      <xdr:rowOff>15875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59</xdr:row>
      <xdr:rowOff>15876</xdr:rowOff>
    </xdr:from>
    <xdr:to>
      <xdr:col>30</xdr:col>
      <xdr:colOff>650875</xdr:colOff>
      <xdr:row>74</xdr:row>
      <xdr:rowOff>269876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74</xdr:row>
      <xdr:rowOff>269875</xdr:rowOff>
    </xdr:from>
    <xdr:to>
      <xdr:col>30</xdr:col>
      <xdr:colOff>650875</xdr:colOff>
      <xdr:row>90</xdr:row>
      <xdr:rowOff>284163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0" zoomScale="60" workbookViewId="0">
      <selection activeCell="J32" sqref="J3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167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54" t="s">
        <v>166</v>
      </c>
      <c r="H5" s="55"/>
      <c r="I5" s="14"/>
      <c r="J5" s="2" t="s">
        <v>5</v>
      </c>
      <c r="K5" s="54" t="s">
        <v>165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163</v>
      </c>
      <c r="E6" s="55"/>
      <c r="F6" s="2" t="s">
        <v>2</v>
      </c>
      <c r="G6" s="54" t="s">
        <v>164</v>
      </c>
      <c r="H6" s="55"/>
      <c r="J6" s="2" t="s">
        <v>21</v>
      </c>
      <c r="K6" s="54" t="s">
        <v>168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0</v>
      </c>
      <c r="F10" s="50">
        <v>1</v>
      </c>
      <c r="G10" s="50">
        <v>0</v>
      </c>
      <c r="H10" s="50">
        <v>1</v>
      </c>
      <c r="I10" s="50">
        <v>3</v>
      </c>
      <c r="J10" s="50">
        <v>1</v>
      </c>
      <c r="K10" s="50">
        <v>2</v>
      </c>
      <c r="L10" s="50">
        <v>16</v>
      </c>
      <c r="M10" s="50">
        <v>2</v>
      </c>
      <c r="N10" s="50">
        <v>0</v>
      </c>
      <c r="O10" s="15">
        <f t="shared" ref="O10:O57" si="0">SUM(C10:L10,N10)</f>
        <v>26</v>
      </c>
      <c r="P10" s="15">
        <f t="shared" ref="P10:P57" si="1">SUM(C10:N10)</f>
        <v>28</v>
      </c>
      <c r="R10" s="1" t="s">
        <v>6</v>
      </c>
      <c r="S10" s="17">
        <f t="shared" ref="S10:AF10" si="2">SUM(C10:C13)</f>
        <v>5</v>
      </c>
      <c r="T10" s="17">
        <f t="shared" si="2"/>
        <v>2</v>
      </c>
      <c r="U10" s="17">
        <f t="shared" si="2"/>
        <v>6</v>
      </c>
      <c r="V10" s="17">
        <f t="shared" si="2"/>
        <v>12</v>
      </c>
      <c r="W10" s="17">
        <f t="shared" si="2"/>
        <v>0</v>
      </c>
      <c r="X10" s="17">
        <f t="shared" si="2"/>
        <v>1</v>
      </c>
      <c r="Y10" s="17">
        <f t="shared" si="2"/>
        <v>7</v>
      </c>
      <c r="Z10" s="17">
        <f t="shared" si="2"/>
        <v>1</v>
      </c>
      <c r="AA10" s="17">
        <f t="shared" si="2"/>
        <v>4</v>
      </c>
      <c r="AB10" s="17">
        <f t="shared" si="2"/>
        <v>45</v>
      </c>
      <c r="AC10" s="17">
        <f t="shared" si="2"/>
        <v>13</v>
      </c>
      <c r="AD10" s="17">
        <f t="shared" si="2"/>
        <v>0</v>
      </c>
      <c r="AE10" s="31">
        <f t="shared" si="2"/>
        <v>83</v>
      </c>
      <c r="AF10" s="31">
        <f t="shared" si="2"/>
        <v>96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16</v>
      </c>
      <c r="M11" s="50">
        <v>1</v>
      </c>
      <c r="N11" s="50">
        <v>0</v>
      </c>
      <c r="O11" s="15">
        <f t="shared" si="0"/>
        <v>22</v>
      </c>
      <c r="P11" s="15">
        <f t="shared" si="1"/>
        <v>23</v>
      </c>
      <c r="R11" s="1" t="s">
        <v>7</v>
      </c>
      <c r="S11" s="17">
        <f t="shared" ref="S11:AF11" si="3">SUM(C14:C17)</f>
        <v>1</v>
      </c>
      <c r="T11" s="17">
        <f t="shared" si="3"/>
        <v>10</v>
      </c>
      <c r="U11" s="17">
        <f t="shared" si="3"/>
        <v>2</v>
      </c>
      <c r="V11" s="17">
        <f t="shared" si="3"/>
        <v>9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16</v>
      </c>
      <c r="AC11" s="17">
        <f t="shared" si="3"/>
        <v>11</v>
      </c>
      <c r="AD11" s="17">
        <f t="shared" si="3"/>
        <v>0</v>
      </c>
      <c r="AE11" s="31">
        <f t="shared" si="3"/>
        <v>40</v>
      </c>
      <c r="AF11" s="31">
        <f t="shared" si="3"/>
        <v>51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3</v>
      </c>
      <c r="F12" s="50">
        <v>4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5</v>
      </c>
      <c r="M12" s="50">
        <v>4</v>
      </c>
      <c r="N12" s="50">
        <v>0</v>
      </c>
      <c r="O12" s="15">
        <f t="shared" si="0"/>
        <v>16</v>
      </c>
      <c r="P12" s="15">
        <f t="shared" si="1"/>
        <v>20</v>
      </c>
      <c r="R12" s="1" t="s">
        <v>8</v>
      </c>
      <c r="S12" s="17">
        <f t="shared" ref="S12:AF12" si="4">SUM(C18:C21)</f>
        <v>4</v>
      </c>
      <c r="T12" s="17">
        <f t="shared" si="4"/>
        <v>13</v>
      </c>
      <c r="U12" s="17">
        <f t="shared" si="4"/>
        <v>4</v>
      </c>
      <c r="V12" s="17">
        <f t="shared" si="4"/>
        <v>19</v>
      </c>
      <c r="W12" s="17">
        <f t="shared" si="4"/>
        <v>1</v>
      </c>
      <c r="X12" s="17">
        <f t="shared" si="4"/>
        <v>1</v>
      </c>
      <c r="Y12" s="17">
        <f t="shared" si="4"/>
        <v>6</v>
      </c>
      <c r="Z12" s="17">
        <f t="shared" si="4"/>
        <v>0</v>
      </c>
      <c r="AA12" s="17">
        <f t="shared" si="4"/>
        <v>4</v>
      </c>
      <c r="AB12" s="17">
        <f t="shared" si="4"/>
        <v>28</v>
      </c>
      <c r="AC12" s="17">
        <f t="shared" si="4"/>
        <v>26</v>
      </c>
      <c r="AD12" s="17">
        <f t="shared" si="4"/>
        <v>0</v>
      </c>
      <c r="AE12" s="31">
        <f t="shared" si="4"/>
        <v>80</v>
      </c>
      <c r="AF12" s="31">
        <f t="shared" si="4"/>
        <v>106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2</v>
      </c>
      <c r="F13" s="50">
        <v>4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8</v>
      </c>
      <c r="M13" s="50">
        <v>6</v>
      </c>
      <c r="N13" s="50">
        <v>0</v>
      </c>
      <c r="O13" s="15">
        <f t="shared" si="0"/>
        <v>19</v>
      </c>
      <c r="P13" s="15">
        <f t="shared" si="1"/>
        <v>25</v>
      </c>
      <c r="R13" s="1" t="s">
        <v>9</v>
      </c>
      <c r="S13" s="17">
        <f t="shared" ref="S13:AF13" si="5">SUM(C22:C25)</f>
        <v>7</v>
      </c>
      <c r="T13" s="17">
        <f t="shared" si="5"/>
        <v>26</v>
      </c>
      <c r="U13" s="17">
        <f t="shared" si="5"/>
        <v>5</v>
      </c>
      <c r="V13" s="17">
        <f t="shared" si="5"/>
        <v>20</v>
      </c>
      <c r="W13" s="17">
        <f t="shared" si="5"/>
        <v>0</v>
      </c>
      <c r="X13" s="17">
        <f t="shared" si="5"/>
        <v>3</v>
      </c>
      <c r="Y13" s="17">
        <f t="shared" si="5"/>
        <v>6</v>
      </c>
      <c r="Z13" s="17">
        <f t="shared" si="5"/>
        <v>0</v>
      </c>
      <c r="AA13" s="17">
        <f t="shared" si="5"/>
        <v>2</v>
      </c>
      <c r="AB13" s="17">
        <f t="shared" si="5"/>
        <v>27</v>
      </c>
      <c r="AC13" s="17">
        <f t="shared" si="5"/>
        <v>35</v>
      </c>
      <c r="AD13" s="17">
        <f t="shared" si="5"/>
        <v>0</v>
      </c>
      <c r="AE13" s="31">
        <f t="shared" si="5"/>
        <v>96</v>
      </c>
      <c r="AF13" s="31">
        <f t="shared" si="5"/>
        <v>131</v>
      </c>
    </row>
    <row r="14" spans="2:32" ht="23.1" customHeight="1" x14ac:dyDescent="0.25">
      <c r="B14" s="23" t="s">
        <v>41</v>
      </c>
      <c r="C14" s="50">
        <v>0</v>
      </c>
      <c r="D14" s="50">
        <v>2</v>
      </c>
      <c r="E14" s="50">
        <v>0</v>
      </c>
      <c r="F14" s="50">
        <v>1</v>
      </c>
      <c r="G14" s="50">
        <v>1</v>
      </c>
      <c r="H14" s="50">
        <v>0</v>
      </c>
      <c r="I14" s="50">
        <v>1</v>
      </c>
      <c r="J14" s="50">
        <v>0</v>
      </c>
      <c r="K14" s="50">
        <v>0</v>
      </c>
      <c r="L14" s="50">
        <v>2</v>
      </c>
      <c r="M14" s="50">
        <v>1</v>
      </c>
      <c r="N14" s="50">
        <v>0</v>
      </c>
      <c r="O14" s="15">
        <f t="shared" si="0"/>
        <v>7</v>
      </c>
      <c r="P14" s="15">
        <f t="shared" si="1"/>
        <v>8</v>
      </c>
      <c r="R14" s="1" t="s">
        <v>10</v>
      </c>
      <c r="S14" s="17">
        <f t="shared" ref="S14:AF14" si="6">SUM(C26:C29)</f>
        <v>4</v>
      </c>
      <c r="T14" s="17">
        <f t="shared" si="6"/>
        <v>19</v>
      </c>
      <c r="U14" s="17">
        <f t="shared" si="6"/>
        <v>5</v>
      </c>
      <c r="V14" s="17">
        <f t="shared" si="6"/>
        <v>14</v>
      </c>
      <c r="W14" s="17">
        <f t="shared" si="6"/>
        <v>1</v>
      </c>
      <c r="X14" s="17">
        <f t="shared" si="6"/>
        <v>1</v>
      </c>
      <c r="Y14" s="17">
        <f t="shared" si="6"/>
        <v>4</v>
      </c>
      <c r="Z14" s="17">
        <f t="shared" si="6"/>
        <v>1</v>
      </c>
      <c r="AA14" s="17">
        <f t="shared" si="6"/>
        <v>2</v>
      </c>
      <c r="AB14" s="17">
        <f t="shared" si="6"/>
        <v>36</v>
      </c>
      <c r="AC14" s="17">
        <f t="shared" si="6"/>
        <v>17</v>
      </c>
      <c r="AD14" s="17">
        <f t="shared" si="6"/>
        <v>0</v>
      </c>
      <c r="AE14" s="31">
        <f t="shared" si="6"/>
        <v>87</v>
      </c>
      <c r="AF14" s="31">
        <f t="shared" si="6"/>
        <v>104</v>
      </c>
    </row>
    <row r="15" spans="2:32" ht="23.1" customHeight="1" x14ac:dyDescent="0.25">
      <c r="B15" s="23" t="s">
        <v>42</v>
      </c>
      <c r="C15" s="50">
        <v>0</v>
      </c>
      <c r="D15" s="50">
        <v>6</v>
      </c>
      <c r="E15" s="50">
        <v>2</v>
      </c>
      <c r="F15" s="50">
        <v>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6</v>
      </c>
      <c r="M15" s="50">
        <v>2</v>
      </c>
      <c r="N15" s="50">
        <v>0</v>
      </c>
      <c r="O15" s="15">
        <f t="shared" si="0"/>
        <v>18</v>
      </c>
      <c r="P15" s="15">
        <f t="shared" si="1"/>
        <v>20</v>
      </c>
      <c r="R15" s="1" t="s">
        <v>11</v>
      </c>
      <c r="S15" s="17">
        <f t="shared" ref="S15:AF15" si="7">SUM(C30:C33)</f>
        <v>3</v>
      </c>
      <c r="T15" s="17">
        <f t="shared" si="7"/>
        <v>16</v>
      </c>
      <c r="U15" s="17">
        <f t="shared" si="7"/>
        <v>11</v>
      </c>
      <c r="V15" s="17">
        <f t="shared" si="7"/>
        <v>18</v>
      </c>
      <c r="W15" s="17">
        <f t="shared" si="7"/>
        <v>1</v>
      </c>
      <c r="X15" s="17">
        <f t="shared" si="7"/>
        <v>0</v>
      </c>
      <c r="Y15" s="17">
        <f t="shared" si="7"/>
        <v>7</v>
      </c>
      <c r="Z15" s="17">
        <f t="shared" si="7"/>
        <v>1</v>
      </c>
      <c r="AA15" s="17">
        <f t="shared" si="7"/>
        <v>1</v>
      </c>
      <c r="AB15" s="17">
        <f t="shared" si="7"/>
        <v>50</v>
      </c>
      <c r="AC15" s="17">
        <f t="shared" si="7"/>
        <v>23</v>
      </c>
      <c r="AD15" s="17">
        <f t="shared" si="7"/>
        <v>0</v>
      </c>
      <c r="AE15" s="31">
        <f t="shared" si="7"/>
        <v>108</v>
      </c>
      <c r="AF15" s="31">
        <f t="shared" si="7"/>
        <v>131</v>
      </c>
    </row>
    <row r="16" spans="2:32" ht="23.1" customHeight="1" x14ac:dyDescent="0.25">
      <c r="B16" s="23" t="s">
        <v>43</v>
      </c>
      <c r="C16" s="50">
        <v>1</v>
      </c>
      <c r="D16" s="50">
        <v>2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3</v>
      </c>
      <c r="M16" s="50">
        <v>6</v>
      </c>
      <c r="N16" s="50">
        <v>0</v>
      </c>
      <c r="O16" s="15">
        <f t="shared" si="0"/>
        <v>9</v>
      </c>
      <c r="P16" s="15">
        <f t="shared" si="1"/>
        <v>15</v>
      </c>
      <c r="R16" s="1" t="s">
        <v>12</v>
      </c>
      <c r="S16" s="17">
        <f t="shared" ref="S16:AF16" si="8">SUM(C34:C37)</f>
        <v>3</v>
      </c>
      <c r="T16" s="17">
        <f t="shared" si="8"/>
        <v>11</v>
      </c>
      <c r="U16" s="17">
        <f t="shared" si="8"/>
        <v>4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3</v>
      </c>
      <c r="AB16" s="17">
        <f t="shared" si="8"/>
        <v>19</v>
      </c>
      <c r="AC16" s="17">
        <f t="shared" si="8"/>
        <v>21</v>
      </c>
      <c r="AD16" s="17">
        <f t="shared" si="8"/>
        <v>0</v>
      </c>
      <c r="AE16" s="31">
        <f t="shared" si="8"/>
        <v>55</v>
      </c>
      <c r="AF16" s="31">
        <f t="shared" si="8"/>
        <v>76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5</v>
      </c>
      <c r="M17" s="50">
        <v>2</v>
      </c>
      <c r="N17" s="50">
        <v>0</v>
      </c>
      <c r="O17" s="15">
        <f t="shared" si="0"/>
        <v>6</v>
      </c>
      <c r="P17" s="15">
        <f t="shared" si="1"/>
        <v>8</v>
      </c>
      <c r="R17" s="1" t="s">
        <v>13</v>
      </c>
      <c r="S17" s="17">
        <f t="shared" ref="S17:AF17" si="9">SUM(C38:C41)</f>
        <v>0</v>
      </c>
      <c r="T17" s="17">
        <f t="shared" si="9"/>
        <v>10</v>
      </c>
      <c r="U17" s="17">
        <f t="shared" si="9"/>
        <v>3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3</v>
      </c>
      <c r="AB17" s="17">
        <f t="shared" si="9"/>
        <v>31</v>
      </c>
      <c r="AC17" s="17">
        <f t="shared" si="9"/>
        <v>17</v>
      </c>
      <c r="AD17" s="17">
        <f t="shared" si="9"/>
        <v>0</v>
      </c>
      <c r="AE17" s="31">
        <f t="shared" si="9"/>
        <v>65</v>
      </c>
      <c r="AF17" s="31">
        <f t="shared" si="9"/>
        <v>82</v>
      </c>
    </row>
    <row r="18" spans="2:32" ht="23.1" customHeight="1" x14ac:dyDescent="0.25">
      <c r="B18" s="23" t="s">
        <v>45</v>
      </c>
      <c r="C18" s="50">
        <v>0</v>
      </c>
      <c r="D18" s="50">
        <v>3</v>
      </c>
      <c r="E18" s="50">
        <v>1</v>
      </c>
      <c r="F18" s="50">
        <v>1</v>
      </c>
      <c r="G18" s="50">
        <v>1</v>
      </c>
      <c r="H18" s="50">
        <v>0</v>
      </c>
      <c r="I18" s="50">
        <v>1</v>
      </c>
      <c r="J18" s="50">
        <v>0</v>
      </c>
      <c r="K18" s="50">
        <v>1</v>
      </c>
      <c r="L18" s="50">
        <v>7</v>
      </c>
      <c r="M18" s="50">
        <v>4</v>
      </c>
      <c r="N18" s="50">
        <v>0</v>
      </c>
      <c r="O18" s="15">
        <f t="shared" si="0"/>
        <v>15</v>
      </c>
      <c r="P18" s="15">
        <f t="shared" si="1"/>
        <v>19</v>
      </c>
      <c r="R18" s="1" t="s">
        <v>14</v>
      </c>
      <c r="S18" s="17">
        <f t="shared" ref="S18:AF18" si="10">SUM(C42:C45)</f>
        <v>8</v>
      </c>
      <c r="T18" s="17">
        <f t="shared" si="10"/>
        <v>12</v>
      </c>
      <c r="U18" s="17">
        <f t="shared" si="10"/>
        <v>2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2</v>
      </c>
      <c r="AB18" s="17">
        <f t="shared" si="10"/>
        <v>35</v>
      </c>
      <c r="AC18" s="17">
        <f t="shared" si="10"/>
        <v>26</v>
      </c>
      <c r="AD18" s="17">
        <f t="shared" si="10"/>
        <v>0</v>
      </c>
      <c r="AE18" s="31">
        <f t="shared" si="10"/>
        <v>79</v>
      </c>
      <c r="AF18" s="31">
        <f t="shared" si="10"/>
        <v>105</v>
      </c>
    </row>
    <row r="19" spans="2:32" ht="23.1" customHeight="1" x14ac:dyDescent="0.25">
      <c r="B19" s="23" t="s">
        <v>46</v>
      </c>
      <c r="C19" s="50">
        <v>2</v>
      </c>
      <c r="D19" s="50">
        <v>4</v>
      </c>
      <c r="E19" s="50">
        <v>2</v>
      </c>
      <c r="F19" s="50">
        <v>6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7</v>
      </c>
      <c r="M19" s="50">
        <v>6</v>
      </c>
      <c r="N19" s="50">
        <v>0</v>
      </c>
      <c r="O19" s="15">
        <f t="shared" si="0"/>
        <v>23</v>
      </c>
      <c r="P19" s="15">
        <f t="shared" si="1"/>
        <v>29</v>
      </c>
      <c r="R19" s="1" t="s">
        <v>15</v>
      </c>
      <c r="S19" s="17">
        <f t="shared" ref="S19:AF19" si="11">SUM(C46:C49)</f>
        <v>8</v>
      </c>
      <c r="T19" s="17">
        <f t="shared" si="11"/>
        <v>13</v>
      </c>
      <c r="U19" s="17">
        <f t="shared" si="11"/>
        <v>5</v>
      </c>
      <c r="V19" s="17">
        <f t="shared" si="11"/>
        <v>12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24</v>
      </c>
      <c r="AC19" s="17">
        <f t="shared" si="11"/>
        <v>16</v>
      </c>
      <c r="AD19" s="17">
        <f t="shared" si="11"/>
        <v>0</v>
      </c>
      <c r="AE19" s="31">
        <f t="shared" si="11"/>
        <v>67</v>
      </c>
      <c r="AF19" s="31">
        <f t="shared" si="11"/>
        <v>83</v>
      </c>
    </row>
    <row r="20" spans="2:32" ht="23.1" customHeight="1" x14ac:dyDescent="0.25">
      <c r="B20" s="23" t="s">
        <v>47</v>
      </c>
      <c r="C20" s="50">
        <v>2</v>
      </c>
      <c r="D20" s="50">
        <v>6</v>
      </c>
      <c r="E20" s="50">
        <v>1</v>
      </c>
      <c r="F20" s="50">
        <v>7</v>
      </c>
      <c r="G20" s="50">
        <v>0</v>
      </c>
      <c r="H20" s="50">
        <v>1</v>
      </c>
      <c r="I20" s="50">
        <v>2</v>
      </c>
      <c r="J20" s="50">
        <v>0</v>
      </c>
      <c r="K20" s="50">
        <v>2</v>
      </c>
      <c r="L20" s="50">
        <v>11</v>
      </c>
      <c r="M20" s="50">
        <v>11</v>
      </c>
      <c r="N20" s="50">
        <v>0</v>
      </c>
      <c r="O20" s="15">
        <f t="shared" si="0"/>
        <v>32</v>
      </c>
      <c r="P20" s="15">
        <f t="shared" si="1"/>
        <v>43</v>
      </c>
      <c r="R20" s="1" t="s">
        <v>16</v>
      </c>
      <c r="S20" s="17">
        <f t="shared" ref="S20:AF20" si="12">SUM(C50:C53)</f>
        <v>8</v>
      </c>
      <c r="T20" s="17">
        <f t="shared" si="12"/>
        <v>13</v>
      </c>
      <c r="U20" s="17">
        <f t="shared" si="12"/>
        <v>4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0</v>
      </c>
      <c r="AB20" s="17">
        <f t="shared" si="12"/>
        <v>52</v>
      </c>
      <c r="AC20" s="17">
        <f t="shared" si="12"/>
        <v>33</v>
      </c>
      <c r="AD20" s="17">
        <f t="shared" si="12"/>
        <v>0</v>
      </c>
      <c r="AE20" s="31">
        <f t="shared" si="12"/>
        <v>93</v>
      </c>
      <c r="AF20" s="31">
        <f t="shared" si="12"/>
        <v>126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5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3</v>
      </c>
      <c r="M21" s="50">
        <v>5</v>
      </c>
      <c r="N21" s="50">
        <v>0</v>
      </c>
      <c r="O21" s="15">
        <f t="shared" si="0"/>
        <v>10</v>
      </c>
      <c r="P21" s="15">
        <f t="shared" si="1"/>
        <v>15</v>
      </c>
      <c r="R21" s="36" t="s">
        <v>20</v>
      </c>
      <c r="S21" s="34">
        <f t="shared" ref="S21:AF21" si="13">SUM(C54:C57)</f>
        <v>2</v>
      </c>
      <c r="T21" s="17">
        <f t="shared" si="13"/>
        <v>8</v>
      </c>
      <c r="U21" s="17">
        <f t="shared" si="13"/>
        <v>1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18</v>
      </c>
      <c r="Z21" s="17">
        <f t="shared" si="13"/>
        <v>0</v>
      </c>
      <c r="AA21" s="17">
        <f t="shared" si="13"/>
        <v>0</v>
      </c>
      <c r="AB21" s="17">
        <f t="shared" si="13"/>
        <v>33</v>
      </c>
      <c r="AC21" s="17">
        <f t="shared" si="13"/>
        <v>17</v>
      </c>
      <c r="AD21" s="17">
        <f t="shared" si="13"/>
        <v>0</v>
      </c>
      <c r="AE21" s="31">
        <f t="shared" si="13"/>
        <v>74</v>
      </c>
      <c r="AF21" s="31">
        <f t="shared" si="13"/>
        <v>91</v>
      </c>
    </row>
    <row r="22" spans="2:32" ht="23.1" customHeight="1" x14ac:dyDescent="0.25">
      <c r="B22" s="23" t="s">
        <v>49</v>
      </c>
      <c r="C22" s="50">
        <v>0</v>
      </c>
      <c r="D22" s="50">
        <v>2</v>
      </c>
      <c r="E22" s="50">
        <v>0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6</v>
      </c>
      <c r="M22" s="50">
        <v>3</v>
      </c>
      <c r="N22" s="50">
        <v>0</v>
      </c>
      <c r="O22" s="15">
        <f t="shared" si="0"/>
        <v>13</v>
      </c>
      <c r="P22" s="15">
        <f t="shared" si="1"/>
        <v>16</v>
      </c>
      <c r="R22" s="38" t="s">
        <v>90</v>
      </c>
      <c r="S22" s="39">
        <f>MAX(S10:S12)</f>
        <v>5</v>
      </c>
      <c r="T22" s="39">
        <f t="shared" ref="T22:AF22" si="14">MAX(T10:T12)</f>
        <v>13</v>
      </c>
      <c r="U22" s="39">
        <f t="shared" si="14"/>
        <v>6</v>
      </c>
      <c r="V22" s="39">
        <f t="shared" si="14"/>
        <v>19</v>
      </c>
      <c r="W22" s="39">
        <f t="shared" si="14"/>
        <v>1</v>
      </c>
      <c r="X22" s="39">
        <f t="shared" si="14"/>
        <v>1</v>
      </c>
      <c r="Y22" s="39">
        <f t="shared" si="14"/>
        <v>7</v>
      </c>
      <c r="Z22" s="39">
        <f t="shared" si="14"/>
        <v>1</v>
      </c>
      <c r="AA22" s="39">
        <f t="shared" si="14"/>
        <v>4</v>
      </c>
      <c r="AB22" s="39">
        <f t="shared" si="14"/>
        <v>45</v>
      </c>
      <c r="AC22" s="39">
        <f t="shared" si="14"/>
        <v>26</v>
      </c>
      <c r="AD22" s="39">
        <f t="shared" si="14"/>
        <v>0</v>
      </c>
      <c r="AE22" s="40">
        <f t="shared" si="14"/>
        <v>83</v>
      </c>
      <c r="AF22" s="40">
        <f t="shared" si="14"/>
        <v>106</v>
      </c>
    </row>
    <row r="23" spans="2:32" ht="23.1" customHeight="1" x14ac:dyDescent="0.25">
      <c r="B23" s="23" t="s">
        <v>50</v>
      </c>
      <c r="C23" s="50">
        <v>3</v>
      </c>
      <c r="D23" s="50">
        <v>4</v>
      </c>
      <c r="E23" s="50">
        <v>1</v>
      </c>
      <c r="F23" s="50">
        <v>3</v>
      </c>
      <c r="G23" s="50">
        <v>0</v>
      </c>
      <c r="H23" s="50">
        <v>3</v>
      </c>
      <c r="I23" s="50">
        <v>1</v>
      </c>
      <c r="J23" s="50">
        <v>0</v>
      </c>
      <c r="K23" s="50">
        <v>0</v>
      </c>
      <c r="L23" s="50">
        <v>8</v>
      </c>
      <c r="M23" s="50">
        <v>9</v>
      </c>
      <c r="N23" s="50">
        <v>0</v>
      </c>
      <c r="O23" s="15">
        <f t="shared" si="0"/>
        <v>23</v>
      </c>
      <c r="P23" s="15">
        <f t="shared" si="1"/>
        <v>32</v>
      </c>
      <c r="R23" s="38" t="s">
        <v>91</v>
      </c>
      <c r="S23" s="39">
        <f>MAX(S13:S18)</f>
        <v>8</v>
      </c>
      <c r="T23" s="39">
        <f t="shared" ref="T23:AF23" si="15">MAX(T13:T18)</f>
        <v>26</v>
      </c>
      <c r="U23" s="39">
        <f t="shared" si="15"/>
        <v>11</v>
      </c>
      <c r="V23" s="39">
        <f t="shared" si="15"/>
        <v>20</v>
      </c>
      <c r="W23" s="39">
        <f t="shared" si="15"/>
        <v>1</v>
      </c>
      <c r="X23" s="39">
        <f t="shared" si="15"/>
        <v>3</v>
      </c>
      <c r="Y23" s="39">
        <f t="shared" si="15"/>
        <v>7</v>
      </c>
      <c r="Z23" s="39">
        <f t="shared" si="15"/>
        <v>1</v>
      </c>
      <c r="AA23" s="39">
        <f t="shared" si="15"/>
        <v>3</v>
      </c>
      <c r="AB23" s="39">
        <f t="shared" si="15"/>
        <v>50</v>
      </c>
      <c r="AC23" s="39">
        <f t="shared" si="15"/>
        <v>35</v>
      </c>
      <c r="AD23" s="39">
        <f t="shared" si="15"/>
        <v>0</v>
      </c>
      <c r="AE23" s="40">
        <f t="shared" si="15"/>
        <v>108</v>
      </c>
      <c r="AF23" s="40">
        <f t="shared" si="15"/>
        <v>131</v>
      </c>
    </row>
    <row r="24" spans="2:32" ht="23.1" customHeight="1" x14ac:dyDescent="0.25">
      <c r="B24" s="23" t="s">
        <v>51</v>
      </c>
      <c r="C24" s="50">
        <v>3</v>
      </c>
      <c r="D24" s="50">
        <v>3</v>
      </c>
      <c r="E24" s="50">
        <v>2</v>
      </c>
      <c r="F24" s="50">
        <v>5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8</v>
      </c>
      <c r="M24" s="50">
        <v>10</v>
      </c>
      <c r="N24" s="50">
        <v>0</v>
      </c>
      <c r="O24" s="15">
        <f t="shared" si="0"/>
        <v>22</v>
      </c>
      <c r="P24" s="15">
        <f t="shared" si="1"/>
        <v>32</v>
      </c>
      <c r="R24" s="38" t="s">
        <v>92</v>
      </c>
      <c r="S24" s="39">
        <f>MAX(S19:S21)</f>
        <v>8</v>
      </c>
      <c r="T24" s="39">
        <f t="shared" ref="T24:AF24" si="16">MAX(T19:T21)</f>
        <v>13</v>
      </c>
      <c r="U24" s="39">
        <f t="shared" si="16"/>
        <v>5</v>
      </c>
      <c r="V24" s="39">
        <f t="shared" si="16"/>
        <v>12</v>
      </c>
      <c r="W24" s="39">
        <f t="shared" si="16"/>
        <v>0</v>
      </c>
      <c r="X24" s="39">
        <f t="shared" si="16"/>
        <v>0</v>
      </c>
      <c r="Y24" s="39">
        <f t="shared" si="16"/>
        <v>18</v>
      </c>
      <c r="Z24" s="39">
        <f t="shared" si="16"/>
        <v>0</v>
      </c>
      <c r="AA24" s="39">
        <f t="shared" si="16"/>
        <v>0</v>
      </c>
      <c r="AB24" s="39">
        <f t="shared" si="16"/>
        <v>52</v>
      </c>
      <c r="AC24" s="39">
        <f t="shared" si="16"/>
        <v>33</v>
      </c>
      <c r="AD24" s="39">
        <f t="shared" si="16"/>
        <v>0</v>
      </c>
      <c r="AE24" s="40">
        <f t="shared" si="16"/>
        <v>93</v>
      </c>
      <c r="AF24" s="40">
        <f t="shared" si="16"/>
        <v>126</v>
      </c>
    </row>
    <row r="25" spans="2:32" ht="23.1" customHeight="1" x14ac:dyDescent="0.25">
      <c r="B25" s="23" t="s">
        <v>52</v>
      </c>
      <c r="C25" s="50">
        <v>1</v>
      </c>
      <c r="D25" s="50">
        <v>17</v>
      </c>
      <c r="E25" s="50">
        <v>2</v>
      </c>
      <c r="F25" s="50">
        <v>9</v>
      </c>
      <c r="G25" s="50">
        <v>0</v>
      </c>
      <c r="H25" s="50">
        <v>0</v>
      </c>
      <c r="I25" s="50">
        <v>3</v>
      </c>
      <c r="J25" s="50">
        <v>0</v>
      </c>
      <c r="K25" s="50">
        <v>1</v>
      </c>
      <c r="L25" s="50">
        <v>5</v>
      </c>
      <c r="M25" s="50">
        <v>13</v>
      </c>
      <c r="N25" s="50">
        <v>0</v>
      </c>
      <c r="O25" s="15">
        <f t="shared" si="0"/>
        <v>38</v>
      </c>
      <c r="P25" s="15">
        <f t="shared" si="1"/>
        <v>51</v>
      </c>
      <c r="R25" s="37" t="s">
        <v>85</v>
      </c>
      <c r="S25" s="35">
        <f t="shared" ref="S25:AF25" si="17">SUM(S10:S12)</f>
        <v>10</v>
      </c>
      <c r="T25" s="16">
        <f t="shared" si="17"/>
        <v>25</v>
      </c>
      <c r="U25" s="16">
        <f t="shared" si="17"/>
        <v>12</v>
      </c>
      <c r="V25" s="16">
        <f t="shared" si="17"/>
        <v>40</v>
      </c>
      <c r="W25" s="16">
        <f t="shared" si="17"/>
        <v>2</v>
      </c>
      <c r="X25" s="16">
        <f t="shared" si="17"/>
        <v>2</v>
      </c>
      <c r="Y25" s="16">
        <f t="shared" si="17"/>
        <v>14</v>
      </c>
      <c r="Z25" s="16">
        <f t="shared" si="17"/>
        <v>1</v>
      </c>
      <c r="AA25" s="16">
        <f t="shared" si="17"/>
        <v>8</v>
      </c>
      <c r="AB25" s="16">
        <f t="shared" si="17"/>
        <v>89</v>
      </c>
      <c r="AC25" s="16">
        <f t="shared" si="17"/>
        <v>50</v>
      </c>
      <c r="AD25" s="16">
        <f t="shared" si="17"/>
        <v>0</v>
      </c>
      <c r="AE25" s="32">
        <f t="shared" si="17"/>
        <v>203</v>
      </c>
      <c r="AF25" s="32">
        <f t="shared" si="17"/>
        <v>253</v>
      </c>
    </row>
    <row r="26" spans="2:32" ht="23.1" customHeight="1" x14ac:dyDescent="0.25">
      <c r="B26" s="23" t="s">
        <v>53</v>
      </c>
      <c r="C26" s="50">
        <v>1</v>
      </c>
      <c r="D26" s="50">
        <v>3</v>
      </c>
      <c r="E26" s="50">
        <v>0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10</v>
      </c>
      <c r="M26" s="50">
        <v>6</v>
      </c>
      <c r="N26" s="50">
        <v>0</v>
      </c>
      <c r="O26" s="15">
        <f t="shared" si="0"/>
        <v>17</v>
      </c>
      <c r="P26" s="15">
        <f t="shared" si="1"/>
        <v>23</v>
      </c>
      <c r="R26" s="28" t="s">
        <v>86</v>
      </c>
      <c r="S26" s="16">
        <f t="shared" ref="S26:AF26" si="18">SUM(S13:S18)</f>
        <v>25</v>
      </c>
      <c r="T26" s="16">
        <f t="shared" si="18"/>
        <v>94</v>
      </c>
      <c r="U26" s="16">
        <f t="shared" si="18"/>
        <v>30</v>
      </c>
      <c r="V26" s="16">
        <f t="shared" si="18"/>
        <v>93</v>
      </c>
      <c r="W26" s="16">
        <f t="shared" si="18"/>
        <v>2</v>
      </c>
      <c r="X26" s="16">
        <f t="shared" si="18"/>
        <v>4</v>
      </c>
      <c r="Y26" s="16">
        <f t="shared" si="18"/>
        <v>28</v>
      </c>
      <c r="Z26" s="16">
        <f t="shared" si="18"/>
        <v>3</v>
      </c>
      <c r="AA26" s="16">
        <f t="shared" si="18"/>
        <v>13</v>
      </c>
      <c r="AB26" s="16">
        <f t="shared" si="18"/>
        <v>198</v>
      </c>
      <c r="AC26" s="16">
        <f t="shared" si="18"/>
        <v>139</v>
      </c>
      <c r="AD26" s="16">
        <f t="shared" si="18"/>
        <v>0</v>
      </c>
      <c r="AE26" s="32">
        <f t="shared" si="18"/>
        <v>490</v>
      </c>
      <c r="AF26" s="32">
        <f t="shared" si="18"/>
        <v>629</v>
      </c>
    </row>
    <row r="27" spans="2:32" ht="23.1" customHeight="1" x14ac:dyDescent="0.25">
      <c r="B27" s="23" t="s">
        <v>54</v>
      </c>
      <c r="C27" s="50">
        <v>1</v>
      </c>
      <c r="D27" s="50">
        <v>8</v>
      </c>
      <c r="E27" s="50">
        <v>1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7</v>
      </c>
      <c r="M27" s="50">
        <v>5</v>
      </c>
      <c r="N27" s="50">
        <v>0</v>
      </c>
      <c r="O27" s="15">
        <f t="shared" si="0"/>
        <v>20</v>
      </c>
      <c r="P27" s="15">
        <f t="shared" si="1"/>
        <v>25</v>
      </c>
      <c r="R27" s="29" t="s">
        <v>87</v>
      </c>
      <c r="S27" s="16">
        <f t="shared" ref="S27:AF27" si="19">SUM(S19:S21)</f>
        <v>18</v>
      </c>
      <c r="T27" s="16">
        <f t="shared" si="19"/>
        <v>34</v>
      </c>
      <c r="U27" s="16">
        <f t="shared" si="19"/>
        <v>10</v>
      </c>
      <c r="V27" s="16">
        <f t="shared" si="19"/>
        <v>33</v>
      </c>
      <c r="W27" s="16">
        <f t="shared" si="19"/>
        <v>0</v>
      </c>
      <c r="X27" s="16">
        <f t="shared" si="19"/>
        <v>0</v>
      </c>
      <c r="Y27" s="16">
        <f t="shared" si="19"/>
        <v>30</v>
      </c>
      <c r="Z27" s="16">
        <f t="shared" si="19"/>
        <v>0</v>
      </c>
      <c r="AA27" s="16">
        <f t="shared" si="19"/>
        <v>0</v>
      </c>
      <c r="AB27" s="16">
        <f t="shared" si="19"/>
        <v>109</v>
      </c>
      <c r="AC27" s="16">
        <f t="shared" si="19"/>
        <v>66</v>
      </c>
      <c r="AD27" s="16">
        <f t="shared" si="19"/>
        <v>0</v>
      </c>
      <c r="AE27" s="32">
        <f t="shared" si="19"/>
        <v>234</v>
      </c>
      <c r="AF27" s="32">
        <f t="shared" si="19"/>
        <v>300</v>
      </c>
    </row>
    <row r="28" spans="2:32" ht="23.1" customHeight="1" x14ac:dyDescent="0.25">
      <c r="B28" s="23" t="s">
        <v>55</v>
      </c>
      <c r="C28" s="50">
        <v>1</v>
      </c>
      <c r="D28" s="50">
        <v>4</v>
      </c>
      <c r="E28" s="50">
        <v>1</v>
      </c>
      <c r="F28" s="50">
        <v>4</v>
      </c>
      <c r="G28" s="50">
        <v>1</v>
      </c>
      <c r="H28" s="50">
        <v>1</v>
      </c>
      <c r="I28" s="50">
        <v>1</v>
      </c>
      <c r="J28" s="50">
        <v>0</v>
      </c>
      <c r="K28" s="50">
        <v>2</v>
      </c>
      <c r="L28" s="50">
        <v>6</v>
      </c>
      <c r="M28" s="50">
        <v>4</v>
      </c>
      <c r="N28" s="50">
        <v>0</v>
      </c>
      <c r="O28" s="15">
        <f t="shared" si="0"/>
        <v>21</v>
      </c>
      <c r="P28" s="15">
        <f t="shared" si="1"/>
        <v>25</v>
      </c>
      <c r="R28" s="5" t="s">
        <v>17</v>
      </c>
      <c r="S28" s="16">
        <f t="shared" ref="S28:AF28" si="20">SUM(S10:S21)</f>
        <v>53</v>
      </c>
      <c r="T28" s="16">
        <f t="shared" si="20"/>
        <v>153</v>
      </c>
      <c r="U28" s="16">
        <f t="shared" si="20"/>
        <v>52</v>
      </c>
      <c r="V28" s="16">
        <f t="shared" si="20"/>
        <v>166</v>
      </c>
      <c r="W28" s="16">
        <f t="shared" si="20"/>
        <v>4</v>
      </c>
      <c r="X28" s="16">
        <f t="shared" si="20"/>
        <v>6</v>
      </c>
      <c r="Y28" s="16">
        <f t="shared" si="20"/>
        <v>72</v>
      </c>
      <c r="Z28" s="16">
        <f t="shared" si="20"/>
        <v>4</v>
      </c>
      <c r="AA28" s="16">
        <f t="shared" si="20"/>
        <v>21</v>
      </c>
      <c r="AB28" s="16">
        <f t="shared" si="20"/>
        <v>396</v>
      </c>
      <c r="AC28" s="16">
        <f t="shared" si="20"/>
        <v>255</v>
      </c>
      <c r="AD28" s="16">
        <f t="shared" si="20"/>
        <v>0</v>
      </c>
      <c r="AE28" s="32">
        <f t="shared" si="20"/>
        <v>927</v>
      </c>
      <c r="AF28" s="32">
        <f t="shared" si="20"/>
        <v>1182</v>
      </c>
    </row>
    <row r="29" spans="2:32" ht="23.1" customHeight="1" x14ac:dyDescent="0.25">
      <c r="B29" s="23" t="s">
        <v>56</v>
      </c>
      <c r="C29" s="50">
        <v>1</v>
      </c>
      <c r="D29" s="50">
        <v>4</v>
      </c>
      <c r="E29" s="50">
        <v>3</v>
      </c>
      <c r="F29" s="50">
        <v>6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13</v>
      </c>
      <c r="M29" s="50">
        <v>2</v>
      </c>
      <c r="N29" s="50">
        <v>0</v>
      </c>
      <c r="O29" s="15">
        <f t="shared" si="0"/>
        <v>29</v>
      </c>
      <c r="P29" s="15">
        <f t="shared" si="1"/>
        <v>31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2</v>
      </c>
      <c r="E30" s="50">
        <v>0</v>
      </c>
      <c r="F30" s="50">
        <v>4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9</v>
      </c>
      <c r="M30" s="50">
        <v>5</v>
      </c>
      <c r="N30" s="50">
        <v>0</v>
      </c>
      <c r="O30" s="15">
        <f t="shared" si="0"/>
        <v>16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1</v>
      </c>
      <c r="D31" s="50">
        <v>2</v>
      </c>
      <c r="E31" s="50">
        <v>3</v>
      </c>
      <c r="F31" s="50">
        <v>6</v>
      </c>
      <c r="G31" s="50">
        <v>0</v>
      </c>
      <c r="H31" s="50">
        <v>0</v>
      </c>
      <c r="I31" s="50">
        <v>1</v>
      </c>
      <c r="J31" s="50">
        <v>0</v>
      </c>
      <c r="K31" s="50">
        <v>1</v>
      </c>
      <c r="L31" s="50">
        <v>12</v>
      </c>
      <c r="M31" s="50">
        <v>7</v>
      </c>
      <c r="N31" s="50">
        <v>0</v>
      </c>
      <c r="O31" s="15">
        <f t="shared" si="0"/>
        <v>26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2</v>
      </c>
      <c r="D32" s="50">
        <v>10</v>
      </c>
      <c r="E32" s="50">
        <v>5</v>
      </c>
      <c r="F32" s="50">
        <v>6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22</v>
      </c>
      <c r="M32" s="50">
        <v>8</v>
      </c>
      <c r="N32" s="50">
        <v>0</v>
      </c>
      <c r="O32" s="15">
        <f t="shared" si="0"/>
        <v>49</v>
      </c>
      <c r="P32" s="15">
        <f t="shared" si="1"/>
        <v>57</v>
      </c>
    </row>
    <row r="33" spans="2:20" ht="23.1" customHeight="1" x14ac:dyDescent="0.25">
      <c r="B33" s="23" t="s">
        <v>60</v>
      </c>
      <c r="C33" s="50">
        <v>0</v>
      </c>
      <c r="D33" s="50">
        <v>2</v>
      </c>
      <c r="E33" s="50">
        <v>3</v>
      </c>
      <c r="F33" s="50">
        <v>2</v>
      </c>
      <c r="G33" s="50">
        <v>1</v>
      </c>
      <c r="H33" s="50">
        <v>0</v>
      </c>
      <c r="I33" s="50">
        <v>2</v>
      </c>
      <c r="J33" s="50">
        <v>0</v>
      </c>
      <c r="K33" s="50">
        <v>0</v>
      </c>
      <c r="L33" s="50">
        <v>7</v>
      </c>
      <c r="M33" s="50">
        <v>3</v>
      </c>
      <c r="N33" s="50">
        <v>0</v>
      </c>
      <c r="O33" s="15">
        <f t="shared" si="0"/>
        <v>17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1</v>
      </c>
      <c r="D34" s="50">
        <v>7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3</v>
      </c>
      <c r="M34" s="50">
        <v>6</v>
      </c>
      <c r="N34" s="50">
        <v>0</v>
      </c>
      <c r="O34" s="15">
        <f t="shared" si="0"/>
        <v>13</v>
      </c>
      <c r="P34" s="15">
        <f t="shared" si="1"/>
        <v>19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0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2</v>
      </c>
      <c r="M35" s="50">
        <v>3</v>
      </c>
      <c r="N35" s="50">
        <v>0</v>
      </c>
      <c r="O35" s="15">
        <f t="shared" si="0"/>
        <v>7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1</v>
      </c>
      <c r="D36" s="50">
        <v>3</v>
      </c>
      <c r="E36" s="50">
        <v>1</v>
      </c>
      <c r="F36" s="50">
        <v>1</v>
      </c>
      <c r="G36" s="50">
        <v>0</v>
      </c>
      <c r="H36" s="50">
        <v>0</v>
      </c>
      <c r="I36" s="50">
        <v>1</v>
      </c>
      <c r="J36" s="50">
        <v>1</v>
      </c>
      <c r="K36" s="50">
        <v>2</v>
      </c>
      <c r="L36" s="50">
        <v>7</v>
      </c>
      <c r="M36" s="50">
        <v>2</v>
      </c>
      <c r="N36" s="50">
        <v>0</v>
      </c>
      <c r="O36" s="15">
        <f t="shared" si="0"/>
        <v>17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2</v>
      </c>
      <c r="F37" s="50">
        <v>6</v>
      </c>
      <c r="G37" s="50">
        <v>0</v>
      </c>
      <c r="H37" s="50">
        <v>0</v>
      </c>
      <c r="I37" s="50">
        <v>2</v>
      </c>
      <c r="J37" s="50">
        <v>0</v>
      </c>
      <c r="K37" s="50">
        <v>1</v>
      </c>
      <c r="L37" s="50">
        <v>7</v>
      </c>
      <c r="M37" s="50">
        <v>10</v>
      </c>
      <c r="N37" s="50">
        <v>0</v>
      </c>
      <c r="O37" s="15">
        <f t="shared" si="0"/>
        <v>18</v>
      </c>
      <c r="P37" s="15">
        <f t="shared" si="1"/>
        <v>28</v>
      </c>
    </row>
    <row r="38" spans="2:20" ht="23.1" customHeight="1" x14ac:dyDescent="0.25">
      <c r="B38" s="24" t="s">
        <v>65</v>
      </c>
      <c r="C38" s="50">
        <v>0</v>
      </c>
      <c r="D38" s="50">
        <v>4</v>
      </c>
      <c r="E38" s="50">
        <v>1</v>
      </c>
      <c r="F38" s="50">
        <v>4</v>
      </c>
      <c r="G38" s="50">
        <v>0</v>
      </c>
      <c r="H38" s="50">
        <v>0</v>
      </c>
      <c r="I38" s="50">
        <v>1</v>
      </c>
      <c r="J38" s="50">
        <v>0</v>
      </c>
      <c r="K38" s="50">
        <v>1</v>
      </c>
      <c r="L38" s="50">
        <v>13</v>
      </c>
      <c r="M38" s="50">
        <v>2</v>
      </c>
      <c r="N38" s="50">
        <v>0</v>
      </c>
      <c r="O38" s="15">
        <f t="shared" si="0"/>
        <v>24</v>
      </c>
      <c r="P38" s="15">
        <f t="shared" si="1"/>
        <v>26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6</v>
      </c>
      <c r="M39" s="50">
        <v>7</v>
      </c>
      <c r="N39" s="50">
        <v>0</v>
      </c>
      <c r="O39" s="15">
        <f t="shared" si="0"/>
        <v>11</v>
      </c>
      <c r="P39" s="15">
        <f t="shared" si="1"/>
        <v>18</v>
      </c>
    </row>
    <row r="40" spans="2:20" ht="23.1" customHeight="1" x14ac:dyDescent="0.25">
      <c r="B40" s="24" t="s">
        <v>67</v>
      </c>
      <c r="C40" s="50">
        <v>0</v>
      </c>
      <c r="D40" s="50">
        <v>5</v>
      </c>
      <c r="E40" s="50">
        <v>2</v>
      </c>
      <c r="F40" s="50">
        <v>5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6</v>
      </c>
      <c r="M40" s="50">
        <v>4</v>
      </c>
      <c r="N40" s="50">
        <v>0</v>
      </c>
      <c r="O40" s="15">
        <f t="shared" si="0"/>
        <v>18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4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6</v>
      </c>
      <c r="M41" s="50">
        <v>4</v>
      </c>
      <c r="N41" s="50">
        <v>0</v>
      </c>
      <c r="O41" s="15">
        <f t="shared" si="0"/>
        <v>12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0</v>
      </c>
      <c r="F42" s="50">
        <v>4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7</v>
      </c>
      <c r="M42" s="50">
        <v>6</v>
      </c>
      <c r="N42" s="50">
        <v>0</v>
      </c>
      <c r="O42" s="15">
        <f t="shared" si="0"/>
        <v>14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2</v>
      </c>
      <c r="D43" s="50">
        <v>4</v>
      </c>
      <c r="E43" s="50">
        <v>0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7</v>
      </c>
      <c r="M43" s="50">
        <v>6</v>
      </c>
      <c r="N43" s="50">
        <v>0</v>
      </c>
      <c r="O43" s="15">
        <f t="shared" si="0"/>
        <v>17</v>
      </c>
      <c r="P43" s="15">
        <f t="shared" si="1"/>
        <v>23</v>
      </c>
    </row>
    <row r="44" spans="2:20" ht="23.1" customHeight="1" x14ac:dyDescent="0.25">
      <c r="B44" s="25" t="s">
        <v>71</v>
      </c>
      <c r="C44" s="50">
        <v>3</v>
      </c>
      <c r="D44" s="50">
        <v>2</v>
      </c>
      <c r="E44" s="50">
        <v>0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10</v>
      </c>
      <c r="M44" s="50">
        <v>8</v>
      </c>
      <c r="N44" s="50">
        <v>0</v>
      </c>
      <c r="O44" s="15">
        <f t="shared" si="0"/>
        <v>21</v>
      </c>
      <c r="P44" s="15">
        <f t="shared" si="1"/>
        <v>29</v>
      </c>
    </row>
    <row r="45" spans="2:20" ht="23.1" customHeight="1" x14ac:dyDescent="0.25">
      <c r="B45" s="23" t="s">
        <v>72</v>
      </c>
      <c r="C45" s="50">
        <v>1</v>
      </c>
      <c r="D45" s="50">
        <v>5</v>
      </c>
      <c r="E45" s="50">
        <v>2</v>
      </c>
      <c r="F45" s="50">
        <v>5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11</v>
      </c>
      <c r="M45" s="50">
        <v>6</v>
      </c>
      <c r="N45" s="50">
        <v>0</v>
      </c>
      <c r="O45" s="15">
        <f t="shared" si="0"/>
        <v>27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2</v>
      </c>
      <c r="F46" s="50">
        <v>4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5</v>
      </c>
      <c r="M46" s="50">
        <v>5</v>
      </c>
      <c r="N46" s="50">
        <v>0</v>
      </c>
      <c r="O46" s="15">
        <f t="shared" si="0"/>
        <v>14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3</v>
      </c>
      <c r="E47" s="50">
        <v>2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9</v>
      </c>
      <c r="M47" s="50">
        <v>6</v>
      </c>
      <c r="N47" s="50">
        <v>0</v>
      </c>
      <c r="O47" s="15">
        <f t="shared" si="0"/>
        <v>20</v>
      </c>
      <c r="P47" s="15">
        <f t="shared" si="1"/>
        <v>26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2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6</v>
      </c>
      <c r="M48" s="50">
        <v>4</v>
      </c>
      <c r="N48" s="50">
        <v>0</v>
      </c>
      <c r="O48" s="15">
        <f t="shared" si="0"/>
        <v>15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6</v>
      </c>
      <c r="E49" s="50">
        <v>1</v>
      </c>
      <c r="F49" s="50">
        <v>3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4</v>
      </c>
      <c r="M49" s="50">
        <v>1</v>
      </c>
      <c r="N49" s="50">
        <v>0</v>
      </c>
      <c r="O49" s="15">
        <f t="shared" si="0"/>
        <v>18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0</v>
      </c>
      <c r="F50" s="50">
        <v>3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10</v>
      </c>
      <c r="M50" s="50">
        <v>10</v>
      </c>
      <c r="N50" s="50">
        <v>0</v>
      </c>
      <c r="O50" s="15">
        <f t="shared" si="0"/>
        <v>19</v>
      </c>
      <c r="P50" s="15">
        <f t="shared" si="1"/>
        <v>29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9</v>
      </c>
      <c r="E51" s="50">
        <v>0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18</v>
      </c>
      <c r="M51" s="50">
        <v>9</v>
      </c>
      <c r="N51" s="50">
        <v>0</v>
      </c>
      <c r="O51" s="15">
        <f t="shared" si="0"/>
        <v>34</v>
      </c>
      <c r="P51" s="15">
        <f t="shared" si="1"/>
        <v>43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1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8</v>
      </c>
      <c r="M52" s="50">
        <v>7</v>
      </c>
      <c r="N52" s="50">
        <v>0</v>
      </c>
      <c r="O52" s="15">
        <f t="shared" si="0"/>
        <v>15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3</v>
      </c>
      <c r="F53" s="50">
        <v>2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16</v>
      </c>
      <c r="M53" s="50">
        <v>7</v>
      </c>
      <c r="N53" s="50">
        <v>0</v>
      </c>
      <c r="O53" s="15">
        <f t="shared" si="0"/>
        <v>25</v>
      </c>
      <c r="P53" s="15">
        <f t="shared" si="1"/>
        <v>32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4</v>
      </c>
      <c r="E54" s="50">
        <v>1</v>
      </c>
      <c r="F54" s="50">
        <v>4</v>
      </c>
      <c r="G54" s="50">
        <v>0</v>
      </c>
      <c r="H54" s="50">
        <v>0</v>
      </c>
      <c r="I54" s="50">
        <v>9</v>
      </c>
      <c r="J54" s="50">
        <v>0</v>
      </c>
      <c r="K54" s="50">
        <v>0</v>
      </c>
      <c r="L54" s="50">
        <v>6</v>
      </c>
      <c r="M54" s="50">
        <v>3</v>
      </c>
      <c r="N54" s="50">
        <v>0</v>
      </c>
      <c r="O54" s="15">
        <f t="shared" si="0"/>
        <v>25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3</v>
      </c>
      <c r="E55" s="50">
        <v>0</v>
      </c>
      <c r="F55" s="50">
        <v>2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7</v>
      </c>
      <c r="M55" s="50">
        <v>5</v>
      </c>
      <c r="N55" s="50">
        <v>0</v>
      </c>
      <c r="O55" s="15">
        <f t="shared" si="0"/>
        <v>15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5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12</v>
      </c>
      <c r="M56" s="50">
        <v>2</v>
      </c>
      <c r="N56" s="50">
        <v>0</v>
      </c>
      <c r="O56" s="15">
        <f t="shared" si="0"/>
        <v>20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5</v>
      </c>
      <c r="J57" s="50">
        <v>0</v>
      </c>
      <c r="K57" s="50">
        <v>0</v>
      </c>
      <c r="L57" s="50">
        <v>8</v>
      </c>
      <c r="M57" s="50">
        <v>7</v>
      </c>
      <c r="N57" s="50">
        <v>0</v>
      </c>
      <c r="O57" s="15">
        <f t="shared" si="0"/>
        <v>14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53</v>
      </c>
      <c r="D58" s="16">
        <f t="shared" si="21"/>
        <v>153</v>
      </c>
      <c r="E58" s="16">
        <f t="shared" si="21"/>
        <v>52</v>
      </c>
      <c r="F58" s="16">
        <f t="shared" si="21"/>
        <v>166</v>
      </c>
      <c r="G58" s="16">
        <f t="shared" si="21"/>
        <v>4</v>
      </c>
      <c r="H58" s="16">
        <f t="shared" si="21"/>
        <v>6</v>
      </c>
      <c r="I58" s="16">
        <f t="shared" si="21"/>
        <v>72</v>
      </c>
      <c r="J58" s="16">
        <f t="shared" si="21"/>
        <v>4</v>
      </c>
      <c r="K58" s="16">
        <f t="shared" si="21"/>
        <v>21</v>
      </c>
      <c r="L58" s="16">
        <f t="shared" si="21"/>
        <v>396</v>
      </c>
      <c r="M58" s="16">
        <f t="shared" si="21"/>
        <v>255</v>
      </c>
      <c r="N58" s="16">
        <f t="shared" si="21"/>
        <v>0</v>
      </c>
      <c r="O58" s="16">
        <f t="shared" si="21"/>
        <v>927</v>
      </c>
      <c r="P58" s="16">
        <f t="shared" si="21"/>
        <v>1182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4.4839255499153977E-2</v>
      </c>
      <c r="D59" s="43">
        <f t="shared" si="22"/>
        <v>0.12944162436548223</v>
      </c>
      <c r="E59" s="43">
        <f t="shared" si="22"/>
        <v>4.3993231810490696E-2</v>
      </c>
      <c r="F59" s="43">
        <f t="shared" si="22"/>
        <v>0.14043993231810489</v>
      </c>
      <c r="G59" s="43">
        <f t="shared" si="22"/>
        <v>3.3840947546531302E-3</v>
      </c>
      <c r="H59" s="43">
        <f t="shared" si="22"/>
        <v>5.076142131979695E-3</v>
      </c>
      <c r="I59" s="43">
        <f t="shared" si="22"/>
        <v>6.0913705583756347E-2</v>
      </c>
      <c r="J59" s="43">
        <f t="shared" si="22"/>
        <v>3.3840947546531302E-3</v>
      </c>
      <c r="K59" s="43">
        <f t="shared" si="22"/>
        <v>1.7766497461928935E-2</v>
      </c>
      <c r="L59" s="43">
        <f t="shared" si="22"/>
        <v>0.3350253807106599</v>
      </c>
      <c r="M59" s="43">
        <f t="shared" si="22"/>
        <v>0.21573604060913706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5.7173678532901832E-2</v>
      </c>
      <c r="D60" s="44">
        <f t="shared" ref="D60:N60" si="23">D58/$O$58</f>
        <v>0.1650485436893204</v>
      </c>
      <c r="E60" s="44">
        <f t="shared" si="23"/>
        <v>5.609492988133765E-2</v>
      </c>
      <c r="F60" s="44">
        <f t="shared" si="23"/>
        <v>0.17907227615965479</v>
      </c>
      <c r="G60" s="44">
        <f t="shared" si="23"/>
        <v>4.3149946062567418E-3</v>
      </c>
      <c r="H60" s="44">
        <f t="shared" si="23"/>
        <v>6.4724919093851136E-3</v>
      </c>
      <c r="I60" s="44">
        <f t="shared" si="23"/>
        <v>7.7669902912621352E-2</v>
      </c>
      <c r="J60" s="44">
        <f t="shared" si="23"/>
        <v>4.3149946062567418E-3</v>
      </c>
      <c r="K60" s="44">
        <f t="shared" si="23"/>
        <v>2.2653721682847898E-2</v>
      </c>
      <c r="L60" s="44">
        <f t="shared" si="23"/>
        <v>0.42718446601941745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0" t="str">
        <f>'22.08 TORORO-BUSITEMA'!G5:H5</f>
        <v>STATION 98</v>
      </c>
      <c r="H5" s="61"/>
      <c r="I5" s="14"/>
      <c r="J5" s="2" t="s">
        <v>5</v>
      </c>
      <c r="K5" s="60" t="str">
        <f>'22.08 TORORO-BUSITEMA'!K5:L5</f>
        <v>RWOTHOMIYO NORMAN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163</v>
      </c>
      <c r="H6" s="55"/>
      <c r="J6" s="2" t="s">
        <v>21</v>
      </c>
      <c r="K6" s="60" t="str">
        <f>'22.08 TORORO-BUSITEMA'!K6:L6</f>
        <v>IVAN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2</v>
      </c>
      <c r="K10" s="50">
        <v>2</v>
      </c>
      <c r="L10" s="50">
        <v>5</v>
      </c>
      <c r="M10" s="50">
        <v>0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6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3</v>
      </c>
      <c r="AA10" s="17">
        <f t="shared" si="2"/>
        <v>5</v>
      </c>
      <c r="AB10" s="17">
        <f t="shared" si="2"/>
        <v>21</v>
      </c>
      <c r="AC10" s="17">
        <f t="shared" si="2"/>
        <v>14</v>
      </c>
      <c r="AD10" s="17">
        <f t="shared" si="2"/>
        <v>0</v>
      </c>
      <c r="AE10" s="31">
        <f t="shared" si="2"/>
        <v>42</v>
      </c>
      <c r="AF10" s="31">
        <f t="shared" si="2"/>
        <v>56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7</v>
      </c>
      <c r="M11" s="50">
        <v>8</v>
      </c>
      <c r="N11" s="50">
        <v>0</v>
      </c>
      <c r="O11" s="15">
        <f t="shared" si="0"/>
        <v>10</v>
      </c>
      <c r="P11" s="15">
        <f t="shared" si="1"/>
        <v>18</v>
      </c>
      <c r="R11" s="1" t="s">
        <v>7</v>
      </c>
      <c r="S11" s="17">
        <f t="shared" ref="S11:AF11" si="3">SUM(C14:C17)</f>
        <v>7</v>
      </c>
      <c r="T11" s="17">
        <f t="shared" si="3"/>
        <v>6</v>
      </c>
      <c r="U11" s="17">
        <f t="shared" si="3"/>
        <v>4</v>
      </c>
      <c r="V11" s="17">
        <f t="shared" si="3"/>
        <v>13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4</v>
      </c>
      <c r="AB11" s="17">
        <f t="shared" si="3"/>
        <v>24</v>
      </c>
      <c r="AC11" s="17">
        <f t="shared" si="3"/>
        <v>29</v>
      </c>
      <c r="AD11" s="17">
        <f t="shared" si="3"/>
        <v>0</v>
      </c>
      <c r="AE11" s="31">
        <f t="shared" si="3"/>
        <v>62</v>
      </c>
      <c r="AF11" s="31">
        <f t="shared" si="3"/>
        <v>91</v>
      </c>
    </row>
    <row r="12" spans="2:32" ht="23.1" customHeight="1" x14ac:dyDescent="0.25">
      <c r="B12" s="23" t="s">
        <v>39</v>
      </c>
      <c r="C12" s="50">
        <v>2</v>
      </c>
      <c r="D12" s="50">
        <v>1</v>
      </c>
      <c r="E12" s="50">
        <v>4</v>
      </c>
      <c r="F12" s="50">
        <v>2</v>
      </c>
      <c r="G12" s="50">
        <v>0</v>
      </c>
      <c r="H12" s="50">
        <v>0</v>
      </c>
      <c r="I12" s="50">
        <v>0</v>
      </c>
      <c r="J12" s="50">
        <v>1</v>
      </c>
      <c r="K12" s="50">
        <v>2</v>
      </c>
      <c r="L12" s="50">
        <v>4</v>
      </c>
      <c r="M12" s="50">
        <v>3</v>
      </c>
      <c r="N12" s="50">
        <v>0</v>
      </c>
      <c r="O12" s="15">
        <f t="shared" si="0"/>
        <v>16</v>
      </c>
      <c r="P12" s="15">
        <f t="shared" si="1"/>
        <v>19</v>
      </c>
      <c r="R12" s="1" t="s">
        <v>8</v>
      </c>
      <c r="S12" s="17">
        <f t="shared" ref="S12:AF12" si="4">SUM(C18:C21)</f>
        <v>3</v>
      </c>
      <c r="T12" s="17">
        <f t="shared" si="4"/>
        <v>13</v>
      </c>
      <c r="U12" s="17">
        <f t="shared" si="4"/>
        <v>1</v>
      </c>
      <c r="V12" s="17">
        <f t="shared" si="4"/>
        <v>11</v>
      </c>
      <c r="W12" s="17">
        <f t="shared" si="4"/>
        <v>2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22</v>
      </c>
      <c r="AC12" s="17">
        <f t="shared" si="4"/>
        <v>16</v>
      </c>
      <c r="AD12" s="17">
        <f t="shared" si="4"/>
        <v>0</v>
      </c>
      <c r="AE12" s="31">
        <f t="shared" si="4"/>
        <v>59</v>
      </c>
      <c r="AF12" s="31">
        <f t="shared" si="4"/>
        <v>75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5</v>
      </c>
      <c r="M13" s="50">
        <v>3</v>
      </c>
      <c r="N13" s="50">
        <v>0</v>
      </c>
      <c r="O13" s="15">
        <f t="shared" si="0"/>
        <v>6</v>
      </c>
      <c r="P13" s="15">
        <f t="shared" si="1"/>
        <v>9</v>
      </c>
      <c r="R13" s="1" t="s">
        <v>9</v>
      </c>
      <c r="S13" s="17">
        <f t="shared" ref="S13:AF13" si="5">SUM(C22:C25)</f>
        <v>3</v>
      </c>
      <c r="T13" s="17">
        <f t="shared" si="5"/>
        <v>2</v>
      </c>
      <c r="U13" s="17">
        <f t="shared" si="5"/>
        <v>5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5</v>
      </c>
      <c r="AB13" s="17">
        <f t="shared" si="5"/>
        <v>14</v>
      </c>
      <c r="AC13" s="17">
        <f t="shared" si="5"/>
        <v>10</v>
      </c>
      <c r="AD13" s="17">
        <f t="shared" si="5"/>
        <v>0</v>
      </c>
      <c r="AE13" s="31">
        <f t="shared" si="5"/>
        <v>41</v>
      </c>
      <c r="AF13" s="31">
        <f t="shared" si="5"/>
        <v>51</v>
      </c>
    </row>
    <row r="14" spans="2:32" ht="23.1" customHeight="1" x14ac:dyDescent="0.25">
      <c r="B14" s="23" t="s">
        <v>41</v>
      </c>
      <c r="C14" s="50">
        <v>2</v>
      </c>
      <c r="D14" s="50">
        <v>1</v>
      </c>
      <c r="E14" s="50">
        <v>1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6</v>
      </c>
      <c r="M14" s="50">
        <v>5</v>
      </c>
      <c r="N14" s="50">
        <v>0</v>
      </c>
      <c r="O14" s="15">
        <f t="shared" si="0"/>
        <v>14</v>
      </c>
      <c r="P14" s="15">
        <f t="shared" si="1"/>
        <v>19</v>
      </c>
      <c r="R14" s="1" t="s">
        <v>10</v>
      </c>
      <c r="S14" s="17">
        <f t="shared" ref="S14:AF14" si="6">SUM(C26:C29)</f>
        <v>6</v>
      </c>
      <c r="T14" s="17">
        <f t="shared" si="6"/>
        <v>8</v>
      </c>
      <c r="U14" s="17">
        <f t="shared" si="6"/>
        <v>2</v>
      </c>
      <c r="V14" s="17">
        <f t="shared" si="6"/>
        <v>12</v>
      </c>
      <c r="W14" s="17">
        <f t="shared" si="6"/>
        <v>4</v>
      </c>
      <c r="X14" s="17">
        <f t="shared" si="6"/>
        <v>0</v>
      </c>
      <c r="Y14" s="17">
        <f t="shared" si="6"/>
        <v>6</v>
      </c>
      <c r="Z14" s="17">
        <f t="shared" si="6"/>
        <v>1</v>
      </c>
      <c r="AA14" s="17">
        <f t="shared" si="6"/>
        <v>4</v>
      </c>
      <c r="AB14" s="17">
        <f t="shared" si="6"/>
        <v>5</v>
      </c>
      <c r="AC14" s="17">
        <f t="shared" si="6"/>
        <v>9</v>
      </c>
      <c r="AD14" s="17">
        <f t="shared" si="6"/>
        <v>0</v>
      </c>
      <c r="AE14" s="31">
        <f t="shared" si="6"/>
        <v>48</v>
      </c>
      <c r="AF14" s="31">
        <f t="shared" si="6"/>
        <v>57</v>
      </c>
    </row>
    <row r="15" spans="2:32" ht="23.1" customHeight="1" x14ac:dyDescent="0.25">
      <c r="B15" s="23" t="s">
        <v>42</v>
      </c>
      <c r="C15" s="50">
        <v>0</v>
      </c>
      <c r="D15" s="50">
        <v>3</v>
      </c>
      <c r="E15" s="50">
        <v>0</v>
      </c>
      <c r="F15" s="50">
        <v>5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5</v>
      </c>
      <c r="M15" s="50">
        <v>8</v>
      </c>
      <c r="N15" s="50">
        <v>0</v>
      </c>
      <c r="O15" s="15">
        <f t="shared" si="0"/>
        <v>13</v>
      </c>
      <c r="P15" s="15">
        <f t="shared" si="1"/>
        <v>21</v>
      </c>
      <c r="R15" s="1" t="s">
        <v>11</v>
      </c>
      <c r="S15" s="17">
        <f t="shared" ref="S15:AF15" si="7">SUM(C30:C33)</f>
        <v>1</v>
      </c>
      <c r="T15" s="17">
        <f t="shared" si="7"/>
        <v>3</v>
      </c>
      <c r="U15" s="17">
        <f t="shared" si="7"/>
        <v>6</v>
      </c>
      <c r="V15" s="17">
        <f t="shared" si="7"/>
        <v>11</v>
      </c>
      <c r="W15" s="17">
        <f t="shared" si="7"/>
        <v>0</v>
      </c>
      <c r="X15" s="17">
        <f t="shared" si="7"/>
        <v>2</v>
      </c>
      <c r="Y15" s="17">
        <f t="shared" si="7"/>
        <v>4</v>
      </c>
      <c r="Z15" s="17">
        <f t="shared" si="7"/>
        <v>1</v>
      </c>
      <c r="AA15" s="17">
        <f t="shared" si="7"/>
        <v>6</v>
      </c>
      <c r="AB15" s="17">
        <f t="shared" si="7"/>
        <v>16</v>
      </c>
      <c r="AC15" s="17">
        <f t="shared" si="7"/>
        <v>15</v>
      </c>
      <c r="AD15" s="17">
        <f t="shared" si="7"/>
        <v>0</v>
      </c>
      <c r="AE15" s="31">
        <f t="shared" si="7"/>
        <v>50</v>
      </c>
      <c r="AF15" s="31">
        <f t="shared" si="7"/>
        <v>65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3</v>
      </c>
      <c r="G16" s="50">
        <v>1</v>
      </c>
      <c r="H16" s="50">
        <v>0</v>
      </c>
      <c r="I16" s="50">
        <v>1</v>
      </c>
      <c r="J16" s="50">
        <v>2</v>
      </c>
      <c r="K16" s="50">
        <v>1</v>
      </c>
      <c r="L16" s="50">
        <v>5</v>
      </c>
      <c r="M16" s="50">
        <v>4</v>
      </c>
      <c r="N16" s="50">
        <v>0</v>
      </c>
      <c r="O16" s="15">
        <f t="shared" si="0"/>
        <v>15</v>
      </c>
      <c r="P16" s="15">
        <f t="shared" si="1"/>
        <v>19</v>
      </c>
      <c r="R16" s="1" t="s">
        <v>12</v>
      </c>
      <c r="S16" s="17">
        <f t="shared" ref="S16:AF16" si="8">SUM(C34:C37)</f>
        <v>10</v>
      </c>
      <c r="T16" s="17">
        <f t="shared" si="8"/>
        <v>2</v>
      </c>
      <c r="U16" s="17">
        <f t="shared" si="8"/>
        <v>8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5</v>
      </c>
      <c r="AA16" s="17">
        <f t="shared" si="8"/>
        <v>6</v>
      </c>
      <c r="AB16" s="17">
        <f t="shared" si="8"/>
        <v>10</v>
      </c>
      <c r="AC16" s="17">
        <f t="shared" si="8"/>
        <v>8</v>
      </c>
      <c r="AD16" s="17">
        <f t="shared" si="8"/>
        <v>0</v>
      </c>
      <c r="AE16" s="31">
        <f t="shared" si="8"/>
        <v>67</v>
      </c>
      <c r="AF16" s="31">
        <f t="shared" si="8"/>
        <v>75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3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2</v>
      </c>
      <c r="L17" s="50">
        <v>8</v>
      </c>
      <c r="M17" s="50">
        <v>12</v>
      </c>
      <c r="N17" s="50">
        <v>0</v>
      </c>
      <c r="O17" s="15">
        <f t="shared" si="0"/>
        <v>20</v>
      </c>
      <c r="P17" s="15">
        <f t="shared" si="1"/>
        <v>32</v>
      </c>
      <c r="R17" s="1" t="s">
        <v>13</v>
      </c>
      <c r="S17" s="17">
        <f t="shared" ref="S17:AF17" si="9">SUM(C38:C41)</f>
        <v>3</v>
      </c>
      <c r="T17" s="17">
        <f t="shared" si="9"/>
        <v>5</v>
      </c>
      <c r="U17" s="17">
        <f t="shared" si="9"/>
        <v>5</v>
      </c>
      <c r="V17" s="17">
        <f t="shared" si="9"/>
        <v>20</v>
      </c>
      <c r="W17" s="17">
        <f t="shared" si="9"/>
        <v>0</v>
      </c>
      <c r="X17" s="17">
        <f t="shared" si="9"/>
        <v>2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12</v>
      </c>
      <c r="AC17" s="17">
        <f t="shared" si="9"/>
        <v>20</v>
      </c>
      <c r="AD17" s="17">
        <f t="shared" si="9"/>
        <v>0</v>
      </c>
      <c r="AE17" s="31">
        <f t="shared" si="9"/>
        <v>52</v>
      </c>
      <c r="AF17" s="31">
        <f t="shared" si="9"/>
        <v>72</v>
      </c>
    </row>
    <row r="18" spans="2:32" ht="23.1" customHeight="1" x14ac:dyDescent="0.25">
      <c r="B18" s="23" t="s">
        <v>45</v>
      </c>
      <c r="C18" s="50">
        <v>2</v>
      </c>
      <c r="D18" s="50">
        <v>1</v>
      </c>
      <c r="E18" s="50">
        <v>1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4</v>
      </c>
      <c r="M18" s="50">
        <v>2</v>
      </c>
      <c r="N18" s="50">
        <v>0</v>
      </c>
      <c r="O18" s="15">
        <f t="shared" si="0"/>
        <v>11</v>
      </c>
      <c r="P18" s="15">
        <f t="shared" si="1"/>
        <v>13</v>
      </c>
      <c r="R18" s="1" t="s">
        <v>14</v>
      </c>
      <c r="S18" s="17">
        <f t="shared" ref="S18:AF18" si="10">SUM(C42:C45)</f>
        <v>7</v>
      </c>
      <c r="T18" s="17">
        <f t="shared" si="10"/>
        <v>13</v>
      </c>
      <c r="U18" s="17">
        <f t="shared" si="10"/>
        <v>2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2</v>
      </c>
      <c r="AB18" s="17">
        <f t="shared" si="10"/>
        <v>35</v>
      </c>
      <c r="AC18" s="17">
        <f t="shared" si="10"/>
        <v>10</v>
      </c>
      <c r="AD18" s="17">
        <f t="shared" si="10"/>
        <v>0</v>
      </c>
      <c r="AE18" s="31">
        <f t="shared" si="10"/>
        <v>73</v>
      </c>
      <c r="AF18" s="31">
        <f t="shared" si="10"/>
        <v>83</v>
      </c>
    </row>
    <row r="19" spans="2:32" ht="23.1" customHeight="1" x14ac:dyDescent="0.25">
      <c r="B19" s="23" t="s">
        <v>46</v>
      </c>
      <c r="C19" s="50">
        <v>0</v>
      </c>
      <c r="D19" s="50">
        <v>6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2</v>
      </c>
      <c r="M19" s="50">
        <v>2</v>
      </c>
      <c r="N19" s="50">
        <v>0</v>
      </c>
      <c r="O19" s="15">
        <f t="shared" si="0"/>
        <v>11</v>
      </c>
      <c r="P19" s="15">
        <f t="shared" si="1"/>
        <v>13</v>
      </c>
      <c r="R19" s="1" t="s">
        <v>15</v>
      </c>
      <c r="S19" s="17">
        <f t="shared" ref="S19:AF19" si="11">SUM(C46:C49)</f>
        <v>2</v>
      </c>
      <c r="T19" s="17">
        <f t="shared" si="11"/>
        <v>6</v>
      </c>
      <c r="U19" s="17">
        <f t="shared" si="11"/>
        <v>1</v>
      </c>
      <c r="V19" s="17">
        <f t="shared" si="11"/>
        <v>11</v>
      </c>
      <c r="W19" s="17">
        <f t="shared" si="11"/>
        <v>0</v>
      </c>
      <c r="X19" s="17">
        <f t="shared" si="11"/>
        <v>4</v>
      </c>
      <c r="Y19" s="17">
        <f t="shared" si="11"/>
        <v>5</v>
      </c>
      <c r="Z19" s="17">
        <f t="shared" si="11"/>
        <v>0</v>
      </c>
      <c r="AA19" s="17">
        <f t="shared" si="11"/>
        <v>6</v>
      </c>
      <c r="AB19" s="17">
        <f t="shared" si="11"/>
        <v>61</v>
      </c>
      <c r="AC19" s="17">
        <f t="shared" si="11"/>
        <v>4</v>
      </c>
      <c r="AD19" s="17">
        <f t="shared" si="11"/>
        <v>0</v>
      </c>
      <c r="AE19" s="31">
        <f t="shared" si="11"/>
        <v>96</v>
      </c>
      <c r="AF19" s="31">
        <f t="shared" si="11"/>
        <v>100</v>
      </c>
    </row>
    <row r="20" spans="2:32" ht="23.1" customHeight="1" x14ac:dyDescent="0.25">
      <c r="B20" s="23" t="s">
        <v>47</v>
      </c>
      <c r="C20" s="50">
        <v>1</v>
      </c>
      <c r="D20" s="50">
        <v>5</v>
      </c>
      <c r="E20" s="50">
        <v>0</v>
      </c>
      <c r="F20" s="50">
        <v>6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13</v>
      </c>
      <c r="M20" s="50">
        <v>4</v>
      </c>
      <c r="N20" s="50">
        <v>0</v>
      </c>
      <c r="O20" s="15">
        <f t="shared" si="0"/>
        <v>28</v>
      </c>
      <c r="P20" s="15">
        <f t="shared" si="1"/>
        <v>32</v>
      </c>
      <c r="R20" s="1" t="s">
        <v>16</v>
      </c>
      <c r="S20" s="17">
        <f t="shared" ref="S20:AF20" si="12">SUM(C50:C53)</f>
        <v>4</v>
      </c>
      <c r="T20" s="17">
        <f t="shared" si="12"/>
        <v>3</v>
      </c>
      <c r="U20" s="17">
        <f t="shared" si="12"/>
        <v>4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7</v>
      </c>
      <c r="AB20" s="17">
        <f t="shared" si="12"/>
        <v>47</v>
      </c>
      <c r="AC20" s="17">
        <f t="shared" si="12"/>
        <v>4</v>
      </c>
      <c r="AD20" s="17">
        <f t="shared" si="12"/>
        <v>0</v>
      </c>
      <c r="AE20" s="31">
        <f t="shared" si="12"/>
        <v>80</v>
      </c>
      <c r="AF20" s="31">
        <f t="shared" si="12"/>
        <v>84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0</v>
      </c>
      <c r="F21" s="50">
        <v>3</v>
      </c>
      <c r="G21" s="50">
        <v>2</v>
      </c>
      <c r="H21" s="50">
        <v>0</v>
      </c>
      <c r="I21" s="50">
        <v>0</v>
      </c>
      <c r="J21" s="50">
        <v>0</v>
      </c>
      <c r="K21" s="50">
        <v>0</v>
      </c>
      <c r="L21" s="50">
        <v>3</v>
      </c>
      <c r="M21" s="50">
        <v>8</v>
      </c>
      <c r="N21" s="50">
        <v>0</v>
      </c>
      <c r="O21" s="15">
        <f t="shared" si="0"/>
        <v>9</v>
      </c>
      <c r="P21" s="15">
        <f t="shared" si="1"/>
        <v>17</v>
      </c>
      <c r="R21" s="36" t="s">
        <v>20</v>
      </c>
      <c r="S21" s="34">
        <f t="shared" ref="S21:AF21" si="13">SUM(C54:C57)</f>
        <v>7</v>
      </c>
      <c r="T21" s="17">
        <f t="shared" si="13"/>
        <v>3</v>
      </c>
      <c r="U21" s="17">
        <f t="shared" si="13"/>
        <v>13</v>
      </c>
      <c r="V21" s="17">
        <f t="shared" si="13"/>
        <v>24</v>
      </c>
      <c r="W21" s="17">
        <f t="shared" si="13"/>
        <v>3</v>
      </c>
      <c r="X21" s="17">
        <f t="shared" si="13"/>
        <v>0</v>
      </c>
      <c r="Y21" s="17">
        <f t="shared" si="13"/>
        <v>10</v>
      </c>
      <c r="Z21" s="17">
        <f t="shared" si="13"/>
        <v>9</v>
      </c>
      <c r="AA21" s="17">
        <f t="shared" si="13"/>
        <v>9</v>
      </c>
      <c r="AB21" s="17">
        <f t="shared" si="13"/>
        <v>42</v>
      </c>
      <c r="AC21" s="17">
        <f t="shared" si="13"/>
        <v>14</v>
      </c>
      <c r="AD21" s="17">
        <f t="shared" si="13"/>
        <v>0</v>
      </c>
      <c r="AE21" s="31">
        <f t="shared" si="13"/>
        <v>120</v>
      </c>
      <c r="AF21" s="31">
        <f t="shared" si="13"/>
        <v>134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5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5</v>
      </c>
      <c r="L22" s="50">
        <v>4</v>
      </c>
      <c r="M22" s="50">
        <v>1</v>
      </c>
      <c r="N22" s="50">
        <v>0</v>
      </c>
      <c r="O22" s="15">
        <f t="shared" si="0"/>
        <v>18</v>
      </c>
      <c r="P22" s="15">
        <f t="shared" si="1"/>
        <v>19</v>
      </c>
      <c r="R22" s="38" t="s">
        <v>90</v>
      </c>
      <c r="S22" s="39">
        <f>MAX(S10:S12)</f>
        <v>7</v>
      </c>
      <c r="T22" s="39">
        <f t="shared" ref="T22:AF22" si="14">MAX(T10:T12)</f>
        <v>13</v>
      </c>
      <c r="U22" s="39">
        <f t="shared" si="14"/>
        <v>6</v>
      </c>
      <c r="V22" s="39">
        <f t="shared" si="14"/>
        <v>13</v>
      </c>
      <c r="W22" s="39">
        <f t="shared" si="14"/>
        <v>2</v>
      </c>
      <c r="X22" s="39">
        <f t="shared" si="14"/>
        <v>0</v>
      </c>
      <c r="Y22" s="39">
        <f t="shared" si="14"/>
        <v>7</v>
      </c>
      <c r="Z22" s="39">
        <f t="shared" si="14"/>
        <v>3</v>
      </c>
      <c r="AA22" s="39">
        <f t="shared" si="14"/>
        <v>5</v>
      </c>
      <c r="AB22" s="39">
        <f t="shared" si="14"/>
        <v>24</v>
      </c>
      <c r="AC22" s="39">
        <f t="shared" si="14"/>
        <v>29</v>
      </c>
      <c r="AD22" s="39">
        <f t="shared" si="14"/>
        <v>0</v>
      </c>
      <c r="AE22" s="40">
        <f t="shared" si="14"/>
        <v>62</v>
      </c>
      <c r="AF22" s="40">
        <f t="shared" si="14"/>
        <v>91</v>
      </c>
    </row>
    <row r="23" spans="2:32" ht="23.1" customHeight="1" x14ac:dyDescent="0.25">
      <c r="B23" s="23" t="s">
        <v>50</v>
      </c>
      <c r="C23" s="50">
        <v>0</v>
      </c>
      <c r="D23" s="50">
        <v>2</v>
      </c>
      <c r="E23" s="50">
        <v>0</v>
      </c>
      <c r="F23" s="50">
        <v>4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2</v>
      </c>
      <c r="N23" s="50">
        <v>0</v>
      </c>
      <c r="O23" s="15">
        <f t="shared" si="0"/>
        <v>7</v>
      </c>
      <c r="P23" s="15">
        <f t="shared" si="1"/>
        <v>9</v>
      </c>
      <c r="R23" s="38" t="s">
        <v>91</v>
      </c>
      <c r="S23" s="39">
        <f>MAX(S13:S18)</f>
        <v>10</v>
      </c>
      <c r="T23" s="39">
        <f t="shared" ref="T23:AF23" si="15">MAX(T13:T18)</f>
        <v>13</v>
      </c>
      <c r="U23" s="39">
        <f t="shared" si="15"/>
        <v>8</v>
      </c>
      <c r="V23" s="39">
        <f t="shared" si="15"/>
        <v>20</v>
      </c>
      <c r="W23" s="39">
        <f t="shared" si="15"/>
        <v>4</v>
      </c>
      <c r="X23" s="39">
        <f t="shared" si="15"/>
        <v>2</v>
      </c>
      <c r="Y23" s="39">
        <f t="shared" si="15"/>
        <v>8</v>
      </c>
      <c r="Z23" s="39">
        <f t="shared" si="15"/>
        <v>5</v>
      </c>
      <c r="AA23" s="39">
        <f t="shared" si="15"/>
        <v>6</v>
      </c>
      <c r="AB23" s="39">
        <f t="shared" si="15"/>
        <v>35</v>
      </c>
      <c r="AC23" s="39">
        <f t="shared" si="15"/>
        <v>20</v>
      </c>
      <c r="AD23" s="39">
        <f t="shared" si="15"/>
        <v>0</v>
      </c>
      <c r="AE23" s="40">
        <f t="shared" si="15"/>
        <v>73</v>
      </c>
      <c r="AF23" s="40">
        <f t="shared" si="15"/>
        <v>83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5</v>
      </c>
      <c r="M24" s="50">
        <v>4</v>
      </c>
      <c r="N24" s="50">
        <v>0</v>
      </c>
      <c r="O24" s="15">
        <f t="shared" si="0"/>
        <v>9</v>
      </c>
      <c r="P24" s="15">
        <f t="shared" si="1"/>
        <v>13</v>
      </c>
      <c r="R24" s="38" t="s">
        <v>92</v>
      </c>
      <c r="S24" s="39">
        <f>MAX(S19:S21)</f>
        <v>7</v>
      </c>
      <c r="T24" s="39">
        <f t="shared" ref="T24:AF24" si="16">MAX(T19:T21)</f>
        <v>6</v>
      </c>
      <c r="U24" s="39">
        <f t="shared" si="16"/>
        <v>13</v>
      </c>
      <c r="V24" s="39">
        <f t="shared" si="16"/>
        <v>24</v>
      </c>
      <c r="W24" s="39">
        <f t="shared" si="16"/>
        <v>3</v>
      </c>
      <c r="X24" s="39">
        <f t="shared" si="16"/>
        <v>4</v>
      </c>
      <c r="Y24" s="39">
        <f t="shared" si="16"/>
        <v>10</v>
      </c>
      <c r="Z24" s="39">
        <f t="shared" si="16"/>
        <v>9</v>
      </c>
      <c r="AA24" s="39">
        <f t="shared" si="16"/>
        <v>9</v>
      </c>
      <c r="AB24" s="39">
        <f t="shared" si="16"/>
        <v>61</v>
      </c>
      <c r="AC24" s="39">
        <f t="shared" si="16"/>
        <v>14</v>
      </c>
      <c r="AD24" s="39">
        <f t="shared" si="16"/>
        <v>0</v>
      </c>
      <c r="AE24" s="40">
        <f t="shared" si="16"/>
        <v>120</v>
      </c>
      <c r="AF24" s="40">
        <f t="shared" si="16"/>
        <v>134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4</v>
      </c>
      <c r="M25" s="50">
        <v>3</v>
      </c>
      <c r="N25" s="50">
        <v>0</v>
      </c>
      <c r="O25" s="15">
        <f t="shared" si="0"/>
        <v>7</v>
      </c>
      <c r="P25" s="15">
        <f t="shared" si="1"/>
        <v>10</v>
      </c>
      <c r="R25" s="37" t="s">
        <v>85</v>
      </c>
      <c r="S25" s="35">
        <f t="shared" ref="S25:AF25" si="17">SUM(S10:S12)</f>
        <v>12</v>
      </c>
      <c r="T25" s="16">
        <f t="shared" si="17"/>
        <v>21</v>
      </c>
      <c r="U25" s="16">
        <f t="shared" si="17"/>
        <v>11</v>
      </c>
      <c r="V25" s="16">
        <f t="shared" si="17"/>
        <v>26</v>
      </c>
      <c r="W25" s="16">
        <f t="shared" si="17"/>
        <v>3</v>
      </c>
      <c r="X25" s="16">
        <f t="shared" si="17"/>
        <v>0</v>
      </c>
      <c r="Y25" s="16">
        <f t="shared" si="17"/>
        <v>9</v>
      </c>
      <c r="Z25" s="16">
        <f t="shared" si="17"/>
        <v>5</v>
      </c>
      <c r="AA25" s="16">
        <f t="shared" si="17"/>
        <v>9</v>
      </c>
      <c r="AB25" s="16">
        <f t="shared" si="17"/>
        <v>67</v>
      </c>
      <c r="AC25" s="16">
        <f t="shared" si="17"/>
        <v>59</v>
      </c>
      <c r="AD25" s="16">
        <f t="shared" si="17"/>
        <v>0</v>
      </c>
      <c r="AE25" s="32">
        <f t="shared" si="17"/>
        <v>163</v>
      </c>
      <c r="AF25" s="32">
        <f t="shared" si="17"/>
        <v>222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1</v>
      </c>
      <c r="M26" s="50">
        <v>0</v>
      </c>
      <c r="N26" s="50">
        <v>0</v>
      </c>
      <c r="O26" s="15">
        <f t="shared" si="0"/>
        <v>3</v>
      </c>
      <c r="P26" s="15">
        <f t="shared" si="1"/>
        <v>3</v>
      </c>
      <c r="R26" s="28" t="s">
        <v>86</v>
      </c>
      <c r="S26" s="16">
        <f t="shared" ref="S26:AF26" si="18">SUM(S13:S18)</f>
        <v>30</v>
      </c>
      <c r="T26" s="16">
        <f t="shared" si="18"/>
        <v>33</v>
      </c>
      <c r="U26" s="16">
        <f t="shared" si="18"/>
        <v>28</v>
      </c>
      <c r="V26" s="16">
        <f t="shared" si="18"/>
        <v>78</v>
      </c>
      <c r="W26" s="16">
        <f t="shared" si="18"/>
        <v>4</v>
      </c>
      <c r="X26" s="16">
        <f t="shared" si="18"/>
        <v>4</v>
      </c>
      <c r="Y26" s="16">
        <f t="shared" si="18"/>
        <v>29</v>
      </c>
      <c r="Z26" s="16">
        <f t="shared" si="18"/>
        <v>10</v>
      </c>
      <c r="AA26" s="16">
        <f t="shared" si="18"/>
        <v>23</v>
      </c>
      <c r="AB26" s="16">
        <f t="shared" si="18"/>
        <v>92</v>
      </c>
      <c r="AC26" s="16">
        <f t="shared" si="18"/>
        <v>72</v>
      </c>
      <c r="AD26" s="16">
        <f t="shared" si="18"/>
        <v>0</v>
      </c>
      <c r="AE26" s="32">
        <f t="shared" si="18"/>
        <v>331</v>
      </c>
      <c r="AF26" s="32">
        <f t="shared" si="18"/>
        <v>403</v>
      </c>
    </row>
    <row r="27" spans="2:32" ht="23.1" customHeight="1" x14ac:dyDescent="0.25">
      <c r="B27" s="23" t="s">
        <v>54</v>
      </c>
      <c r="C27" s="50">
        <v>0</v>
      </c>
      <c r="D27" s="50">
        <v>5</v>
      </c>
      <c r="E27" s="50">
        <v>0</v>
      </c>
      <c r="F27" s="50">
        <v>5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2</v>
      </c>
      <c r="M27" s="50">
        <v>7</v>
      </c>
      <c r="N27" s="50">
        <v>0</v>
      </c>
      <c r="O27" s="15">
        <f t="shared" si="0"/>
        <v>16</v>
      </c>
      <c r="P27" s="15">
        <f t="shared" si="1"/>
        <v>23</v>
      </c>
      <c r="R27" s="29" t="s">
        <v>87</v>
      </c>
      <c r="S27" s="16">
        <f t="shared" ref="S27:AF27" si="19">SUM(S19:S21)</f>
        <v>13</v>
      </c>
      <c r="T27" s="16">
        <f t="shared" si="19"/>
        <v>12</v>
      </c>
      <c r="U27" s="16">
        <f t="shared" si="19"/>
        <v>18</v>
      </c>
      <c r="V27" s="16">
        <f t="shared" si="19"/>
        <v>50</v>
      </c>
      <c r="W27" s="16">
        <f t="shared" si="19"/>
        <v>3</v>
      </c>
      <c r="X27" s="16">
        <f t="shared" si="19"/>
        <v>4</v>
      </c>
      <c r="Y27" s="16">
        <f t="shared" si="19"/>
        <v>15</v>
      </c>
      <c r="Z27" s="16">
        <f t="shared" si="19"/>
        <v>9</v>
      </c>
      <c r="AA27" s="16">
        <f t="shared" si="19"/>
        <v>22</v>
      </c>
      <c r="AB27" s="16">
        <f t="shared" si="19"/>
        <v>150</v>
      </c>
      <c r="AC27" s="16">
        <f t="shared" si="19"/>
        <v>22</v>
      </c>
      <c r="AD27" s="16">
        <f t="shared" si="19"/>
        <v>0</v>
      </c>
      <c r="AE27" s="32">
        <f t="shared" si="19"/>
        <v>296</v>
      </c>
      <c r="AF27" s="32">
        <f t="shared" si="19"/>
        <v>318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2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2</v>
      </c>
      <c r="M28" s="50">
        <v>2</v>
      </c>
      <c r="N28" s="50">
        <v>0</v>
      </c>
      <c r="O28" s="15">
        <f t="shared" si="0"/>
        <v>9</v>
      </c>
      <c r="P28" s="15">
        <f t="shared" si="1"/>
        <v>11</v>
      </c>
      <c r="R28" s="5" t="s">
        <v>17</v>
      </c>
      <c r="S28" s="16">
        <f t="shared" ref="S28:AF28" si="20">SUM(S10:S21)</f>
        <v>55</v>
      </c>
      <c r="T28" s="16">
        <f t="shared" si="20"/>
        <v>66</v>
      </c>
      <c r="U28" s="16">
        <f t="shared" si="20"/>
        <v>57</v>
      </c>
      <c r="V28" s="16">
        <f t="shared" si="20"/>
        <v>154</v>
      </c>
      <c r="W28" s="16">
        <f t="shared" si="20"/>
        <v>10</v>
      </c>
      <c r="X28" s="16">
        <f t="shared" si="20"/>
        <v>8</v>
      </c>
      <c r="Y28" s="16">
        <f t="shared" si="20"/>
        <v>53</v>
      </c>
      <c r="Z28" s="16">
        <f t="shared" si="20"/>
        <v>24</v>
      </c>
      <c r="AA28" s="16">
        <f t="shared" si="20"/>
        <v>54</v>
      </c>
      <c r="AB28" s="16">
        <f t="shared" si="20"/>
        <v>309</v>
      </c>
      <c r="AC28" s="16">
        <f t="shared" si="20"/>
        <v>153</v>
      </c>
      <c r="AD28" s="16">
        <f t="shared" si="20"/>
        <v>0</v>
      </c>
      <c r="AE28" s="32">
        <f t="shared" si="20"/>
        <v>790</v>
      </c>
      <c r="AF28" s="32">
        <f t="shared" si="20"/>
        <v>943</v>
      </c>
    </row>
    <row r="29" spans="2:32" ht="23.1" customHeight="1" x14ac:dyDescent="0.25">
      <c r="B29" s="23" t="s">
        <v>56</v>
      </c>
      <c r="C29" s="50">
        <v>5</v>
      </c>
      <c r="D29" s="50">
        <v>2</v>
      </c>
      <c r="E29" s="50">
        <v>0</v>
      </c>
      <c r="F29" s="50">
        <v>5</v>
      </c>
      <c r="G29" s="50">
        <v>4</v>
      </c>
      <c r="H29" s="50">
        <v>0</v>
      </c>
      <c r="I29" s="50">
        <v>1</v>
      </c>
      <c r="J29" s="50">
        <v>0</v>
      </c>
      <c r="K29" s="50">
        <v>3</v>
      </c>
      <c r="L29" s="50">
        <v>0</v>
      </c>
      <c r="M29" s="50">
        <v>0</v>
      </c>
      <c r="N29" s="50">
        <v>0</v>
      </c>
      <c r="O29" s="15">
        <f t="shared" si="0"/>
        <v>20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1</v>
      </c>
      <c r="L30" s="50">
        <v>3</v>
      </c>
      <c r="M30" s="50">
        <v>0</v>
      </c>
      <c r="N30" s="50">
        <v>0</v>
      </c>
      <c r="O30" s="15">
        <f t="shared" si="0"/>
        <v>8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2</v>
      </c>
      <c r="L31" s="50">
        <v>0</v>
      </c>
      <c r="M31" s="50">
        <v>1</v>
      </c>
      <c r="N31" s="50">
        <v>0</v>
      </c>
      <c r="O31" s="15">
        <f t="shared" si="0"/>
        <v>6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1</v>
      </c>
      <c r="F32" s="50">
        <v>2</v>
      </c>
      <c r="G32" s="50">
        <v>0</v>
      </c>
      <c r="H32" s="50">
        <v>2</v>
      </c>
      <c r="I32" s="50">
        <v>0</v>
      </c>
      <c r="J32" s="50">
        <v>0</v>
      </c>
      <c r="K32" s="50">
        <v>0</v>
      </c>
      <c r="L32" s="50">
        <v>3</v>
      </c>
      <c r="M32" s="50">
        <v>2</v>
      </c>
      <c r="N32" s="50">
        <v>0</v>
      </c>
      <c r="O32" s="15">
        <f t="shared" si="0"/>
        <v>9</v>
      </c>
      <c r="P32" s="15">
        <f t="shared" si="1"/>
        <v>11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3</v>
      </c>
      <c r="F33" s="50">
        <v>7</v>
      </c>
      <c r="G33" s="50">
        <v>0</v>
      </c>
      <c r="H33" s="50">
        <v>0</v>
      </c>
      <c r="I33" s="50">
        <v>3</v>
      </c>
      <c r="J33" s="50">
        <v>0</v>
      </c>
      <c r="K33" s="50">
        <v>3</v>
      </c>
      <c r="L33" s="50">
        <v>10</v>
      </c>
      <c r="M33" s="50">
        <v>12</v>
      </c>
      <c r="N33" s="50">
        <v>0</v>
      </c>
      <c r="O33" s="15">
        <f t="shared" si="0"/>
        <v>27</v>
      </c>
      <c r="P33" s="15">
        <f t="shared" si="1"/>
        <v>39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2</v>
      </c>
      <c r="F34" s="50">
        <v>7</v>
      </c>
      <c r="G34" s="50">
        <v>0</v>
      </c>
      <c r="H34" s="50">
        <v>0</v>
      </c>
      <c r="I34" s="50">
        <v>2</v>
      </c>
      <c r="J34" s="50">
        <v>1</v>
      </c>
      <c r="K34" s="50">
        <v>5</v>
      </c>
      <c r="L34" s="50">
        <v>1</v>
      </c>
      <c r="M34" s="50">
        <v>2</v>
      </c>
      <c r="N34" s="50">
        <v>0</v>
      </c>
      <c r="O34" s="15">
        <f t="shared" si="0"/>
        <v>22</v>
      </c>
      <c r="P34" s="15">
        <f t="shared" si="1"/>
        <v>24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5</v>
      </c>
      <c r="F35" s="50">
        <v>3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3</v>
      </c>
      <c r="M35" s="50">
        <v>5</v>
      </c>
      <c r="N35" s="50">
        <v>0</v>
      </c>
      <c r="O35" s="15">
        <f t="shared" si="0"/>
        <v>14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5</v>
      </c>
      <c r="G36" s="50">
        <v>0</v>
      </c>
      <c r="H36" s="50">
        <v>0</v>
      </c>
      <c r="I36" s="50">
        <v>6</v>
      </c>
      <c r="J36" s="50">
        <v>3</v>
      </c>
      <c r="K36" s="50">
        <v>1</v>
      </c>
      <c r="L36" s="50">
        <v>1</v>
      </c>
      <c r="M36" s="50">
        <v>0</v>
      </c>
      <c r="N36" s="50">
        <v>0</v>
      </c>
      <c r="O36" s="15">
        <f t="shared" si="0"/>
        <v>19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2</v>
      </c>
      <c r="D37" s="50">
        <v>1</v>
      </c>
      <c r="E37" s="50">
        <v>1</v>
      </c>
      <c r="F37" s="50">
        <v>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5</v>
      </c>
      <c r="M37" s="50">
        <v>1</v>
      </c>
      <c r="N37" s="50">
        <v>0</v>
      </c>
      <c r="O37" s="15">
        <f t="shared" si="0"/>
        <v>12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4</v>
      </c>
      <c r="M38" s="50">
        <v>8</v>
      </c>
      <c r="N38" s="50">
        <v>0</v>
      </c>
      <c r="O38" s="15">
        <f t="shared" si="0"/>
        <v>9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1</v>
      </c>
      <c r="D39" s="50">
        <v>3</v>
      </c>
      <c r="E39" s="50">
        <v>3</v>
      </c>
      <c r="F39" s="50">
        <v>1</v>
      </c>
      <c r="G39" s="50">
        <v>0</v>
      </c>
      <c r="H39" s="50">
        <v>2</v>
      </c>
      <c r="I39" s="50">
        <v>2</v>
      </c>
      <c r="J39" s="50">
        <v>0</v>
      </c>
      <c r="K39" s="50">
        <v>0</v>
      </c>
      <c r="L39" s="50">
        <v>4</v>
      </c>
      <c r="M39" s="50">
        <v>6</v>
      </c>
      <c r="N39" s="50">
        <v>0</v>
      </c>
      <c r="O39" s="15">
        <f t="shared" si="0"/>
        <v>16</v>
      </c>
      <c r="P39" s="15">
        <f t="shared" si="1"/>
        <v>22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1</v>
      </c>
      <c r="F40" s="50">
        <v>9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2</v>
      </c>
      <c r="M40" s="50">
        <v>6</v>
      </c>
      <c r="N40" s="50">
        <v>0</v>
      </c>
      <c r="O40" s="15">
        <f t="shared" si="0"/>
        <v>13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8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2</v>
      </c>
      <c r="M41" s="50">
        <v>0</v>
      </c>
      <c r="N41" s="50">
        <v>0</v>
      </c>
      <c r="O41" s="15">
        <f t="shared" si="0"/>
        <v>14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10</v>
      </c>
      <c r="M42" s="50">
        <v>4</v>
      </c>
      <c r="N42" s="50">
        <v>0</v>
      </c>
      <c r="O42" s="15">
        <f t="shared" si="0"/>
        <v>15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3</v>
      </c>
      <c r="D43" s="50">
        <v>4</v>
      </c>
      <c r="E43" s="50">
        <v>2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3</v>
      </c>
      <c r="M43" s="50">
        <v>1</v>
      </c>
      <c r="N43" s="50">
        <v>0</v>
      </c>
      <c r="O43" s="15">
        <f t="shared" si="0"/>
        <v>15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6</v>
      </c>
      <c r="M44" s="50">
        <v>2</v>
      </c>
      <c r="N44" s="50">
        <v>0</v>
      </c>
      <c r="O44" s="15">
        <f t="shared" si="0"/>
        <v>8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2</v>
      </c>
      <c r="D45" s="50">
        <v>8</v>
      </c>
      <c r="E45" s="50">
        <v>0</v>
      </c>
      <c r="F45" s="50">
        <v>4</v>
      </c>
      <c r="G45" s="50">
        <v>0</v>
      </c>
      <c r="H45" s="50">
        <v>0</v>
      </c>
      <c r="I45" s="50">
        <v>3</v>
      </c>
      <c r="J45" s="50">
        <v>1</v>
      </c>
      <c r="K45" s="50">
        <v>1</v>
      </c>
      <c r="L45" s="50">
        <v>16</v>
      </c>
      <c r="M45" s="50">
        <v>3</v>
      </c>
      <c r="N45" s="50">
        <v>0</v>
      </c>
      <c r="O45" s="15">
        <f t="shared" si="0"/>
        <v>35</v>
      </c>
      <c r="P45" s="15">
        <f t="shared" si="1"/>
        <v>38</v>
      </c>
    </row>
    <row r="46" spans="2:20" ht="23.1" customHeight="1" x14ac:dyDescent="0.25">
      <c r="B46" s="24" t="s">
        <v>73</v>
      </c>
      <c r="C46" s="50">
        <v>0</v>
      </c>
      <c r="D46" s="50">
        <v>4</v>
      </c>
      <c r="E46" s="50">
        <v>1</v>
      </c>
      <c r="F46" s="50">
        <v>4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13</v>
      </c>
      <c r="M46" s="50">
        <v>0</v>
      </c>
      <c r="N46" s="50">
        <v>0</v>
      </c>
      <c r="O46" s="15">
        <f t="shared" si="0"/>
        <v>23</v>
      </c>
      <c r="P46" s="15">
        <f t="shared" si="1"/>
        <v>23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2</v>
      </c>
      <c r="E47" s="50">
        <v>0</v>
      </c>
      <c r="F47" s="50">
        <v>3</v>
      </c>
      <c r="G47" s="50">
        <v>0</v>
      </c>
      <c r="H47" s="50">
        <v>1</v>
      </c>
      <c r="I47" s="50">
        <v>3</v>
      </c>
      <c r="J47" s="50">
        <v>0</v>
      </c>
      <c r="K47" s="50">
        <v>3</v>
      </c>
      <c r="L47" s="50">
        <v>14</v>
      </c>
      <c r="M47" s="50">
        <v>0</v>
      </c>
      <c r="N47" s="50">
        <v>0</v>
      </c>
      <c r="O47" s="15">
        <f t="shared" si="0"/>
        <v>26</v>
      </c>
      <c r="P47" s="15">
        <f t="shared" si="1"/>
        <v>26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2</v>
      </c>
      <c r="G48" s="50">
        <v>0</v>
      </c>
      <c r="H48" s="50">
        <v>3</v>
      </c>
      <c r="I48" s="50">
        <v>1</v>
      </c>
      <c r="J48" s="50">
        <v>0</v>
      </c>
      <c r="K48" s="50">
        <v>0</v>
      </c>
      <c r="L48" s="50">
        <v>3</v>
      </c>
      <c r="M48" s="50">
        <v>0</v>
      </c>
      <c r="N48" s="50">
        <v>0</v>
      </c>
      <c r="O48" s="15">
        <f t="shared" si="0"/>
        <v>11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3</v>
      </c>
      <c r="L49" s="50">
        <v>31</v>
      </c>
      <c r="M49" s="50">
        <v>4</v>
      </c>
      <c r="N49" s="50">
        <v>0</v>
      </c>
      <c r="O49" s="15">
        <f t="shared" si="0"/>
        <v>36</v>
      </c>
      <c r="P49" s="15">
        <f t="shared" si="1"/>
        <v>40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5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9</v>
      </c>
      <c r="M50" s="50">
        <v>0</v>
      </c>
      <c r="N50" s="50">
        <v>0</v>
      </c>
      <c r="O50" s="15">
        <f t="shared" si="0"/>
        <v>18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1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3</v>
      </c>
      <c r="L51" s="50">
        <v>23</v>
      </c>
      <c r="M51" s="50">
        <v>4</v>
      </c>
      <c r="N51" s="50">
        <v>0</v>
      </c>
      <c r="O51" s="15">
        <f t="shared" si="0"/>
        <v>32</v>
      </c>
      <c r="P51" s="15">
        <f t="shared" si="1"/>
        <v>36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7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15</v>
      </c>
      <c r="M52" s="50">
        <v>0</v>
      </c>
      <c r="N52" s="50">
        <v>0</v>
      </c>
      <c r="O52" s="15">
        <f t="shared" si="0"/>
        <v>23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3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3</v>
      </c>
      <c r="L53" s="50">
        <v>0</v>
      </c>
      <c r="M53" s="50">
        <v>0</v>
      </c>
      <c r="N53" s="50">
        <v>0</v>
      </c>
      <c r="O53" s="15">
        <f t="shared" si="0"/>
        <v>7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1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15</v>
      </c>
      <c r="M54" s="50">
        <v>0</v>
      </c>
      <c r="N54" s="50">
        <v>0</v>
      </c>
      <c r="O54" s="15">
        <f t="shared" si="0"/>
        <v>22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2</v>
      </c>
      <c r="F55" s="50">
        <v>0</v>
      </c>
      <c r="G55" s="50">
        <v>0</v>
      </c>
      <c r="H55" s="50">
        <v>0</v>
      </c>
      <c r="I55" s="50">
        <v>3</v>
      </c>
      <c r="J55" s="50">
        <v>2</v>
      </c>
      <c r="K55" s="50">
        <v>6</v>
      </c>
      <c r="L55" s="50">
        <v>9</v>
      </c>
      <c r="M55" s="50">
        <v>4</v>
      </c>
      <c r="N55" s="50">
        <v>0</v>
      </c>
      <c r="O55" s="15">
        <f t="shared" si="0"/>
        <v>24</v>
      </c>
      <c r="P55" s="15">
        <f t="shared" si="1"/>
        <v>28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3</v>
      </c>
      <c r="F56" s="50">
        <v>8</v>
      </c>
      <c r="G56" s="50">
        <v>0</v>
      </c>
      <c r="H56" s="50">
        <v>0</v>
      </c>
      <c r="I56" s="50">
        <v>5</v>
      </c>
      <c r="J56" s="50">
        <v>1</v>
      </c>
      <c r="K56" s="50">
        <v>3</v>
      </c>
      <c r="L56" s="50">
        <v>11</v>
      </c>
      <c r="M56" s="50">
        <v>2</v>
      </c>
      <c r="N56" s="50">
        <v>0</v>
      </c>
      <c r="O56" s="15">
        <f t="shared" si="0"/>
        <v>31</v>
      </c>
      <c r="P56" s="15">
        <f t="shared" si="1"/>
        <v>33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2</v>
      </c>
      <c r="E57" s="50">
        <v>7</v>
      </c>
      <c r="F57" s="50">
        <v>13</v>
      </c>
      <c r="G57" s="50">
        <v>3</v>
      </c>
      <c r="H57" s="50">
        <v>0</v>
      </c>
      <c r="I57" s="50">
        <v>2</v>
      </c>
      <c r="J57" s="50">
        <v>6</v>
      </c>
      <c r="K57" s="50">
        <v>0</v>
      </c>
      <c r="L57" s="50">
        <v>7</v>
      </c>
      <c r="M57" s="50">
        <v>8</v>
      </c>
      <c r="N57" s="50">
        <v>0</v>
      </c>
      <c r="O57" s="15">
        <f t="shared" si="0"/>
        <v>43</v>
      </c>
      <c r="P57" s="15">
        <f t="shared" si="1"/>
        <v>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55</v>
      </c>
      <c r="D58" s="16">
        <f t="shared" si="21"/>
        <v>66</v>
      </c>
      <c r="E58" s="16">
        <f t="shared" si="21"/>
        <v>57</v>
      </c>
      <c r="F58" s="16">
        <f t="shared" si="21"/>
        <v>154</v>
      </c>
      <c r="G58" s="16">
        <f t="shared" si="21"/>
        <v>10</v>
      </c>
      <c r="H58" s="16">
        <f t="shared" si="21"/>
        <v>8</v>
      </c>
      <c r="I58" s="16">
        <f t="shared" si="21"/>
        <v>53</v>
      </c>
      <c r="J58" s="16">
        <f t="shared" si="21"/>
        <v>24</v>
      </c>
      <c r="K58" s="16">
        <f t="shared" si="21"/>
        <v>54</v>
      </c>
      <c r="L58" s="16">
        <f t="shared" si="21"/>
        <v>309</v>
      </c>
      <c r="M58" s="16">
        <f t="shared" si="21"/>
        <v>153</v>
      </c>
      <c r="N58" s="16">
        <f t="shared" si="21"/>
        <v>0</v>
      </c>
      <c r="O58" s="16">
        <f t="shared" si="21"/>
        <v>790</v>
      </c>
      <c r="P58" s="16">
        <f t="shared" si="21"/>
        <v>943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5.8324496288441142E-2</v>
      </c>
      <c r="D59" s="43">
        <f t="shared" si="22"/>
        <v>6.9989395546129374E-2</v>
      </c>
      <c r="E59" s="43">
        <f t="shared" si="22"/>
        <v>6.0445387062566275E-2</v>
      </c>
      <c r="F59" s="43">
        <f t="shared" si="22"/>
        <v>0.1633085896076352</v>
      </c>
      <c r="G59" s="43">
        <f t="shared" si="22"/>
        <v>1.0604453870625663E-2</v>
      </c>
      <c r="H59" s="43">
        <f t="shared" si="22"/>
        <v>8.483563096500531E-3</v>
      </c>
      <c r="I59" s="43">
        <f t="shared" si="22"/>
        <v>5.620360551431601E-2</v>
      </c>
      <c r="J59" s="43">
        <f t="shared" si="22"/>
        <v>2.5450689289501591E-2</v>
      </c>
      <c r="K59" s="43">
        <f t="shared" si="22"/>
        <v>5.726405090137858E-2</v>
      </c>
      <c r="L59" s="43">
        <f t="shared" si="22"/>
        <v>0.32767762460233296</v>
      </c>
      <c r="M59" s="43">
        <f t="shared" si="22"/>
        <v>0.16224814422057265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6.9620253164556958E-2</v>
      </c>
      <c r="D60" s="44">
        <f t="shared" ref="D60:N60" si="23">D58/$O$58</f>
        <v>8.3544303797468356E-2</v>
      </c>
      <c r="E60" s="44">
        <f t="shared" si="23"/>
        <v>7.2151898734177211E-2</v>
      </c>
      <c r="F60" s="44">
        <f t="shared" si="23"/>
        <v>0.19493670886075951</v>
      </c>
      <c r="G60" s="44">
        <f t="shared" si="23"/>
        <v>1.2658227848101266E-2</v>
      </c>
      <c r="H60" s="44">
        <f t="shared" si="23"/>
        <v>1.0126582278481013E-2</v>
      </c>
      <c r="I60" s="44">
        <f t="shared" si="23"/>
        <v>6.7088607594936706E-2</v>
      </c>
      <c r="J60" s="44">
        <f t="shared" si="23"/>
        <v>3.0379746835443037E-2</v>
      </c>
      <c r="K60" s="44">
        <f t="shared" si="23"/>
        <v>6.8354430379746839E-2</v>
      </c>
      <c r="L60" s="44">
        <f t="shared" si="23"/>
        <v>0.39113924050632909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'22.08 TORORO-BUSITEMA'!G5:H5</f>
        <v>STATION 98</v>
      </c>
      <c r="H5" s="64"/>
      <c r="I5" s="14"/>
      <c r="J5" s="2" t="s">
        <v>5</v>
      </c>
      <c r="K5" s="63" t="str">
        <f>'22.08 TORORO-BUSITEMA'!K5:L5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164</v>
      </c>
      <c r="E6" s="64"/>
      <c r="F6" s="2" t="s">
        <v>2</v>
      </c>
      <c r="G6" s="63" t="s">
        <v>163</v>
      </c>
      <c r="H6" s="64"/>
      <c r="J6" s="2" t="s">
        <v>21</v>
      </c>
      <c r="K6" s="63" t="str">
        <f>'22.08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7</v>
      </c>
      <c r="G10" s="50">
        <v>0</v>
      </c>
      <c r="H10" s="50">
        <v>0</v>
      </c>
      <c r="I10" s="50">
        <v>0</v>
      </c>
      <c r="J10" s="50">
        <v>0</v>
      </c>
      <c r="K10" s="50">
        <v>3</v>
      </c>
      <c r="L10" s="50">
        <v>11</v>
      </c>
      <c r="M10" s="50">
        <v>3</v>
      </c>
      <c r="N10" s="50">
        <v>0</v>
      </c>
      <c r="O10" s="15">
        <f t="shared" ref="O10:O57" si="0">SUM(C10:L10,N10)</f>
        <v>21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3</v>
      </c>
      <c r="T10" s="17">
        <f t="shared" si="2"/>
        <v>6</v>
      </c>
      <c r="U10" s="17">
        <f t="shared" si="2"/>
        <v>1</v>
      </c>
      <c r="V10" s="17">
        <f t="shared" si="2"/>
        <v>14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3</v>
      </c>
      <c r="AB10" s="17">
        <f t="shared" si="2"/>
        <v>46</v>
      </c>
      <c r="AC10" s="17">
        <f t="shared" si="2"/>
        <v>14</v>
      </c>
      <c r="AD10" s="17">
        <f t="shared" si="2"/>
        <v>0</v>
      </c>
      <c r="AE10" s="31">
        <f t="shared" si="2"/>
        <v>73</v>
      </c>
      <c r="AF10" s="31">
        <f t="shared" si="2"/>
        <v>87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9</v>
      </c>
      <c r="M11" s="50">
        <v>4</v>
      </c>
      <c r="N11" s="50">
        <v>0</v>
      </c>
      <c r="O11" s="15">
        <f t="shared" si="0"/>
        <v>13</v>
      </c>
      <c r="P11" s="15">
        <f t="shared" si="1"/>
        <v>17</v>
      </c>
      <c r="R11" s="1" t="s">
        <v>7</v>
      </c>
      <c r="S11" s="17">
        <f t="shared" ref="S11:AF11" si="3">SUM(C14:C17)</f>
        <v>3</v>
      </c>
      <c r="T11" s="17">
        <f t="shared" si="3"/>
        <v>10</v>
      </c>
      <c r="U11" s="17">
        <f t="shared" si="3"/>
        <v>4</v>
      </c>
      <c r="V11" s="17">
        <f t="shared" si="3"/>
        <v>13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36</v>
      </c>
      <c r="AC11" s="17">
        <f t="shared" si="3"/>
        <v>8</v>
      </c>
      <c r="AD11" s="17">
        <f t="shared" si="3"/>
        <v>0</v>
      </c>
      <c r="AE11" s="31">
        <f t="shared" si="3"/>
        <v>67</v>
      </c>
      <c r="AF11" s="31">
        <f t="shared" si="3"/>
        <v>75</v>
      </c>
    </row>
    <row r="12" spans="2:32" ht="23.1" customHeight="1" x14ac:dyDescent="0.25">
      <c r="B12" s="23" t="s">
        <v>39</v>
      </c>
      <c r="C12" s="50">
        <v>0</v>
      </c>
      <c r="D12" s="50">
        <v>3</v>
      </c>
      <c r="E12" s="50">
        <v>0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20</v>
      </c>
      <c r="M12" s="50">
        <v>0</v>
      </c>
      <c r="N12" s="50">
        <v>0</v>
      </c>
      <c r="O12" s="15">
        <f t="shared" si="0"/>
        <v>27</v>
      </c>
      <c r="P12" s="15">
        <f t="shared" si="1"/>
        <v>27</v>
      </c>
      <c r="R12" s="1" t="s">
        <v>8</v>
      </c>
      <c r="S12" s="17">
        <f t="shared" ref="S12:AF12" si="4">SUM(C18:C21)</f>
        <v>2</v>
      </c>
      <c r="T12" s="17">
        <f t="shared" si="4"/>
        <v>7</v>
      </c>
      <c r="U12" s="17">
        <f t="shared" si="4"/>
        <v>2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5</v>
      </c>
      <c r="AB12" s="17">
        <f t="shared" si="4"/>
        <v>18</v>
      </c>
      <c r="AC12" s="17">
        <f t="shared" si="4"/>
        <v>9</v>
      </c>
      <c r="AD12" s="17">
        <f t="shared" si="4"/>
        <v>0</v>
      </c>
      <c r="AE12" s="31">
        <f t="shared" si="4"/>
        <v>52</v>
      </c>
      <c r="AF12" s="31">
        <f t="shared" si="4"/>
        <v>61</v>
      </c>
    </row>
    <row r="13" spans="2:32" ht="23.1" customHeight="1" x14ac:dyDescent="0.25">
      <c r="B13" s="23" t="s">
        <v>40</v>
      </c>
      <c r="C13" s="50">
        <v>0</v>
      </c>
      <c r="D13" s="50">
        <v>3</v>
      </c>
      <c r="E13" s="50">
        <v>0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6</v>
      </c>
      <c r="M13" s="50">
        <v>7</v>
      </c>
      <c r="N13" s="50">
        <v>0</v>
      </c>
      <c r="O13" s="15">
        <f t="shared" si="0"/>
        <v>12</v>
      </c>
      <c r="P13" s="15">
        <f t="shared" si="1"/>
        <v>19</v>
      </c>
      <c r="R13" s="1" t="s">
        <v>9</v>
      </c>
      <c r="S13" s="17">
        <f t="shared" ref="S13:AF13" si="5">SUM(C22:C25)</f>
        <v>5</v>
      </c>
      <c r="T13" s="17">
        <f t="shared" si="5"/>
        <v>11</v>
      </c>
      <c r="U13" s="17">
        <f t="shared" si="5"/>
        <v>0</v>
      </c>
      <c r="V13" s="17">
        <f t="shared" si="5"/>
        <v>16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3</v>
      </c>
      <c r="AB13" s="17">
        <f t="shared" si="5"/>
        <v>13</v>
      </c>
      <c r="AC13" s="17">
        <f t="shared" si="5"/>
        <v>8</v>
      </c>
      <c r="AD13" s="17">
        <f t="shared" si="5"/>
        <v>0</v>
      </c>
      <c r="AE13" s="31">
        <f t="shared" si="5"/>
        <v>50</v>
      </c>
      <c r="AF13" s="31">
        <f t="shared" si="5"/>
        <v>58</v>
      </c>
    </row>
    <row r="14" spans="2:32" ht="23.1" customHeight="1" x14ac:dyDescent="0.25">
      <c r="B14" s="23" t="s">
        <v>41</v>
      </c>
      <c r="C14" s="50">
        <v>0</v>
      </c>
      <c r="D14" s="50">
        <v>2</v>
      </c>
      <c r="E14" s="50">
        <v>1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4</v>
      </c>
      <c r="M14" s="50">
        <v>0</v>
      </c>
      <c r="N14" s="50">
        <v>0</v>
      </c>
      <c r="O14" s="15">
        <f t="shared" si="0"/>
        <v>10</v>
      </c>
      <c r="P14" s="15">
        <f t="shared" si="1"/>
        <v>10</v>
      </c>
      <c r="R14" s="1" t="s">
        <v>10</v>
      </c>
      <c r="S14" s="17">
        <f t="shared" ref="S14:AF14" si="6">SUM(C26:C29)</f>
        <v>5</v>
      </c>
      <c r="T14" s="17">
        <f t="shared" si="6"/>
        <v>8</v>
      </c>
      <c r="U14" s="17">
        <f t="shared" si="6"/>
        <v>3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3</v>
      </c>
      <c r="AA14" s="17">
        <f t="shared" si="6"/>
        <v>7</v>
      </c>
      <c r="AB14" s="17">
        <f t="shared" si="6"/>
        <v>13</v>
      </c>
      <c r="AC14" s="17">
        <f t="shared" si="6"/>
        <v>25</v>
      </c>
      <c r="AD14" s="17">
        <f t="shared" si="6"/>
        <v>0</v>
      </c>
      <c r="AE14" s="31">
        <f t="shared" si="6"/>
        <v>52</v>
      </c>
      <c r="AF14" s="31">
        <f t="shared" si="6"/>
        <v>77</v>
      </c>
    </row>
    <row r="15" spans="2:32" ht="23.1" customHeight="1" x14ac:dyDescent="0.25">
      <c r="B15" s="23" t="s">
        <v>42</v>
      </c>
      <c r="C15" s="50">
        <v>0</v>
      </c>
      <c r="D15" s="50">
        <v>3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8</v>
      </c>
      <c r="M15" s="50">
        <v>1</v>
      </c>
      <c r="N15" s="50">
        <v>0</v>
      </c>
      <c r="O15" s="15">
        <f t="shared" si="0"/>
        <v>13</v>
      </c>
      <c r="P15" s="15">
        <f t="shared" si="1"/>
        <v>14</v>
      </c>
      <c r="R15" s="1" t="s">
        <v>11</v>
      </c>
      <c r="S15" s="17">
        <f t="shared" ref="S15:AF15" si="7">SUM(C30:C33)</f>
        <v>3</v>
      </c>
      <c r="T15" s="17">
        <f t="shared" si="7"/>
        <v>15</v>
      </c>
      <c r="U15" s="17">
        <f t="shared" si="7"/>
        <v>0</v>
      </c>
      <c r="V15" s="17">
        <f t="shared" si="7"/>
        <v>17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3</v>
      </c>
      <c r="AB15" s="17">
        <f t="shared" si="7"/>
        <v>9</v>
      </c>
      <c r="AC15" s="17">
        <f t="shared" si="7"/>
        <v>11</v>
      </c>
      <c r="AD15" s="17">
        <f t="shared" si="7"/>
        <v>0</v>
      </c>
      <c r="AE15" s="31">
        <f t="shared" si="7"/>
        <v>49</v>
      </c>
      <c r="AF15" s="31">
        <f t="shared" si="7"/>
        <v>60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0</v>
      </c>
      <c r="N16" s="50">
        <v>0</v>
      </c>
      <c r="O16" s="15">
        <f t="shared" si="0"/>
        <v>2</v>
      </c>
      <c r="P16" s="15">
        <f t="shared" si="1"/>
        <v>2</v>
      </c>
      <c r="R16" s="1" t="s">
        <v>12</v>
      </c>
      <c r="S16" s="17">
        <f t="shared" ref="S16:AF16" si="8">SUM(C34:C37)</f>
        <v>7</v>
      </c>
      <c r="T16" s="17">
        <f t="shared" si="8"/>
        <v>8</v>
      </c>
      <c r="U16" s="17">
        <f t="shared" si="8"/>
        <v>1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3</v>
      </c>
      <c r="AA16" s="17">
        <f t="shared" si="8"/>
        <v>4</v>
      </c>
      <c r="AB16" s="17">
        <f t="shared" si="8"/>
        <v>13</v>
      </c>
      <c r="AC16" s="17">
        <f t="shared" si="8"/>
        <v>27</v>
      </c>
      <c r="AD16" s="17">
        <f t="shared" si="8"/>
        <v>0</v>
      </c>
      <c r="AE16" s="31">
        <f t="shared" si="8"/>
        <v>55</v>
      </c>
      <c r="AF16" s="31">
        <f t="shared" si="8"/>
        <v>82</v>
      </c>
    </row>
    <row r="17" spans="2:32" ht="23.1" customHeight="1" x14ac:dyDescent="0.25">
      <c r="B17" s="23" t="s">
        <v>44</v>
      </c>
      <c r="C17" s="50">
        <v>3</v>
      </c>
      <c r="D17" s="50">
        <v>5</v>
      </c>
      <c r="E17" s="50">
        <v>2</v>
      </c>
      <c r="F17" s="50">
        <v>9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23</v>
      </c>
      <c r="M17" s="50">
        <v>7</v>
      </c>
      <c r="N17" s="50">
        <v>0</v>
      </c>
      <c r="O17" s="15">
        <f t="shared" si="0"/>
        <v>42</v>
      </c>
      <c r="P17" s="15">
        <f t="shared" si="1"/>
        <v>49</v>
      </c>
      <c r="R17" s="1" t="s">
        <v>13</v>
      </c>
      <c r="S17" s="17">
        <f t="shared" ref="S17:AF17" si="9">SUM(C38:C41)</f>
        <v>4</v>
      </c>
      <c r="T17" s="17">
        <f t="shared" si="9"/>
        <v>7</v>
      </c>
      <c r="U17" s="17">
        <f t="shared" si="9"/>
        <v>5</v>
      </c>
      <c r="V17" s="17">
        <f t="shared" si="9"/>
        <v>30</v>
      </c>
      <c r="W17" s="17">
        <f t="shared" si="9"/>
        <v>2</v>
      </c>
      <c r="X17" s="17">
        <f t="shared" si="9"/>
        <v>0</v>
      </c>
      <c r="Y17" s="17">
        <f t="shared" si="9"/>
        <v>12</v>
      </c>
      <c r="Z17" s="17">
        <f t="shared" si="9"/>
        <v>5</v>
      </c>
      <c r="AA17" s="17">
        <f t="shared" si="9"/>
        <v>7</v>
      </c>
      <c r="AB17" s="17">
        <f t="shared" si="9"/>
        <v>19</v>
      </c>
      <c r="AC17" s="17">
        <f t="shared" si="9"/>
        <v>25</v>
      </c>
      <c r="AD17" s="17">
        <f t="shared" si="9"/>
        <v>0</v>
      </c>
      <c r="AE17" s="31">
        <f t="shared" si="9"/>
        <v>91</v>
      </c>
      <c r="AF17" s="31">
        <f t="shared" si="9"/>
        <v>116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3</v>
      </c>
      <c r="T18" s="17">
        <f t="shared" si="10"/>
        <v>4</v>
      </c>
      <c r="U18" s="17">
        <f t="shared" si="10"/>
        <v>5</v>
      </c>
      <c r="V18" s="17">
        <f t="shared" si="10"/>
        <v>35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8</v>
      </c>
      <c r="AA18" s="17">
        <f t="shared" si="10"/>
        <v>8</v>
      </c>
      <c r="AB18" s="17">
        <f t="shared" si="10"/>
        <v>52</v>
      </c>
      <c r="AC18" s="17">
        <f t="shared" si="10"/>
        <v>23</v>
      </c>
      <c r="AD18" s="17">
        <f t="shared" si="10"/>
        <v>0</v>
      </c>
      <c r="AE18" s="31">
        <f t="shared" si="10"/>
        <v>128</v>
      </c>
      <c r="AF18" s="31">
        <f t="shared" si="10"/>
        <v>151</v>
      </c>
    </row>
    <row r="19" spans="2:32" ht="23.1" customHeight="1" x14ac:dyDescent="0.25">
      <c r="B19" s="23" t="s">
        <v>46</v>
      </c>
      <c r="C19" s="50">
        <v>1</v>
      </c>
      <c r="D19" s="50">
        <v>3</v>
      </c>
      <c r="E19" s="50">
        <v>1</v>
      </c>
      <c r="F19" s="50">
        <v>4</v>
      </c>
      <c r="G19" s="50">
        <v>0</v>
      </c>
      <c r="H19" s="50">
        <v>0</v>
      </c>
      <c r="I19" s="50">
        <v>5</v>
      </c>
      <c r="J19" s="50">
        <v>0</v>
      </c>
      <c r="K19" s="50">
        <v>2</v>
      </c>
      <c r="L19" s="50">
        <v>12</v>
      </c>
      <c r="M19" s="50">
        <v>2</v>
      </c>
      <c r="N19" s="50">
        <v>0</v>
      </c>
      <c r="O19" s="15">
        <f t="shared" si="0"/>
        <v>28</v>
      </c>
      <c r="P19" s="15">
        <f t="shared" si="1"/>
        <v>30</v>
      </c>
      <c r="R19" s="1" t="s">
        <v>15</v>
      </c>
      <c r="S19" s="17">
        <f t="shared" ref="S19:AF19" si="11">SUM(C46:C49)</f>
        <v>10</v>
      </c>
      <c r="T19" s="17">
        <f t="shared" si="11"/>
        <v>16</v>
      </c>
      <c r="U19" s="17">
        <f t="shared" si="11"/>
        <v>7</v>
      </c>
      <c r="V19" s="17">
        <f t="shared" si="11"/>
        <v>13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4</v>
      </c>
      <c r="AB19" s="17">
        <f t="shared" si="11"/>
        <v>66</v>
      </c>
      <c r="AC19" s="17">
        <f t="shared" si="11"/>
        <v>9</v>
      </c>
      <c r="AD19" s="17">
        <f t="shared" si="11"/>
        <v>0</v>
      </c>
      <c r="AE19" s="31">
        <f t="shared" si="11"/>
        <v>120</v>
      </c>
      <c r="AF19" s="31">
        <f t="shared" si="11"/>
        <v>129</v>
      </c>
    </row>
    <row r="20" spans="2:32" ht="23.1" customHeight="1" x14ac:dyDescent="0.25">
      <c r="B20" s="23" t="s">
        <v>47</v>
      </c>
      <c r="C20" s="50">
        <v>0</v>
      </c>
      <c r="D20" s="50">
        <v>4</v>
      </c>
      <c r="E20" s="50">
        <v>0</v>
      </c>
      <c r="F20" s="50">
        <v>6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4</v>
      </c>
      <c r="M20" s="50">
        <v>3</v>
      </c>
      <c r="N20" s="50">
        <v>0</v>
      </c>
      <c r="O20" s="15">
        <f t="shared" si="0"/>
        <v>15</v>
      </c>
      <c r="P20" s="15">
        <f t="shared" si="1"/>
        <v>18</v>
      </c>
      <c r="R20" s="1" t="s">
        <v>16</v>
      </c>
      <c r="S20" s="17">
        <f t="shared" ref="S20:AF20" si="12">SUM(C50:C53)</f>
        <v>8</v>
      </c>
      <c r="T20" s="17">
        <f t="shared" si="12"/>
        <v>16</v>
      </c>
      <c r="U20" s="17">
        <f t="shared" si="12"/>
        <v>5</v>
      </c>
      <c r="V20" s="17">
        <f t="shared" si="12"/>
        <v>21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4</v>
      </c>
      <c r="AA20" s="17">
        <f t="shared" si="12"/>
        <v>9</v>
      </c>
      <c r="AB20" s="17">
        <f t="shared" si="12"/>
        <v>38</v>
      </c>
      <c r="AC20" s="17">
        <f t="shared" si="12"/>
        <v>15</v>
      </c>
      <c r="AD20" s="17">
        <f t="shared" si="12"/>
        <v>0</v>
      </c>
      <c r="AE20" s="31">
        <f t="shared" si="12"/>
        <v>110</v>
      </c>
      <c r="AF20" s="31">
        <f t="shared" si="12"/>
        <v>125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2</v>
      </c>
      <c r="L21" s="50">
        <v>2</v>
      </c>
      <c r="M21" s="50">
        <v>4</v>
      </c>
      <c r="N21" s="50">
        <v>0</v>
      </c>
      <c r="O21" s="15">
        <f t="shared" si="0"/>
        <v>9</v>
      </c>
      <c r="P21" s="15">
        <f t="shared" si="1"/>
        <v>13</v>
      </c>
      <c r="R21" s="36" t="s">
        <v>20</v>
      </c>
      <c r="S21" s="34">
        <f t="shared" ref="S21:AF21" si="13">SUM(C54:C57)</f>
        <v>14</v>
      </c>
      <c r="T21" s="17">
        <f t="shared" si="13"/>
        <v>9</v>
      </c>
      <c r="U21" s="17">
        <f t="shared" si="13"/>
        <v>10</v>
      </c>
      <c r="V21" s="17">
        <f t="shared" si="13"/>
        <v>24</v>
      </c>
      <c r="W21" s="17">
        <f t="shared" si="13"/>
        <v>1</v>
      </c>
      <c r="X21" s="17">
        <f t="shared" si="13"/>
        <v>5</v>
      </c>
      <c r="Y21" s="17">
        <f t="shared" si="13"/>
        <v>14</v>
      </c>
      <c r="Z21" s="17">
        <f t="shared" si="13"/>
        <v>4</v>
      </c>
      <c r="AA21" s="17">
        <f t="shared" si="13"/>
        <v>12</v>
      </c>
      <c r="AB21" s="17">
        <f t="shared" si="13"/>
        <v>43</v>
      </c>
      <c r="AC21" s="17">
        <f t="shared" si="13"/>
        <v>42</v>
      </c>
      <c r="AD21" s="17">
        <f t="shared" si="13"/>
        <v>0</v>
      </c>
      <c r="AE21" s="31">
        <f t="shared" si="13"/>
        <v>136</v>
      </c>
      <c r="AF21" s="31">
        <f t="shared" si="13"/>
        <v>178</v>
      </c>
    </row>
    <row r="22" spans="2:32" ht="23.1" customHeight="1" x14ac:dyDescent="0.25">
      <c r="B22" s="23" t="s">
        <v>49</v>
      </c>
      <c r="C22" s="50">
        <v>0</v>
      </c>
      <c r="D22" s="50">
        <v>2</v>
      </c>
      <c r="E22" s="50">
        <v>0</v>
      </c>
      <c r="F22" s="50">
        <v>3</v>
      </c>
      <c r="G22" s="50">
        <v>0</v>
      </c>
      <c r="H22" s="50">
        <v>0</v>
      </c>
      <c r="I22" s="50">
        <v>1</v>
      </c>
      <c r="J22" s="50">
        <v>0</v>
      </c>
      <c r="K22" s="50">
        <v>3</v>
      </c>
      <c r="L22" s="50">
        <v>5</v>
      </c>
      <c r="M22" s="50">
        <v>0</v>
      </c>
      <c r="N22" s="50">
        <v>0</v>
      </c>
      <c r="O22" s="15">
        <f t="shared" si="0"/>
        <v>14</v>
      </c>
      <c r="P22" s="15">
        <f t="shared" si="1"/>
        <v>14</v>
      </c>
      <c r="R22" s="38" t="s">
        <v>90</v>
      </c>
      <c r="S22" s="39">
        <f>MAX(S10:S12)</f>
        <v>3</v>
      </c>
      <c r="T22" s="39">
        <f t="shared" ref="T22:AF22" si="14">MAX(T10:T12)</f>
        <v>10</v>
      </c>
      <c r="U22" s="39">
        <f t="shared" si="14"/>
        <v>4</v>
      </c>
      <c r="V22" s="39">
        <f t="shared" si="14"/>
        <v>14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1</v>
      </c>
      <c r="AA22" s="39">
        <f t="shared" si="14"/>
        <v>5</v>
      </c>
      <c r="AB22" s="39">
        <f t="shared" si="14"/>
        <v>46</v>
      </c>
      <c r="AC22" s="39">
        <f t="shared" si="14"/>
        <v>14</v>
      </c>
      <c r="AD22" s="39">
        <f t="shared" si="14"/>
        <v>0</v>
      </c>
      <c r="AE22" s="40">
        <f t="shared" si="14"/>
        <v>73</v>
      </c>
      <c r="AF22" s="40">
        <f t="shared" si="14"/>
        <v>87</v>
      </c>
    </row>
    <row r="23" spans="2:32" ht="23.1" customHeight="1" x14ac:dyDescent="0.25">
      <c r="B23" s="23" t="s">
        <v>50</v>
      </c>
      <c r="C23" s="50">
        <v>2</v>
      </c>
      <c r="D23" s="50">
        <v>4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2</v>
      </c>
      <c r="M23" s="50">
        <v>2</v>
      </c>
      <c r="N23" s="50">
        <v>0</v>
      </c>
      <c r="O23" s="15">
        <f t="shared" si="0"/>
        <v>11</v>
      </c>
      <c r="P23" s="15">
        <f t="shared" si="1"/>
        <v>13</v>
      </c>
      <c r="R23" s="38" t="s">
        <v>91</v>
      </c>
      <c r="S23" s="39">
        <f>MAX(S13:S18)</f>
        <v>7</v>
      </c>
      <c r="T23" s="39">
        <f t="shared" ref="T23:AF23" si="15">MAX(T13:T18)</f>
        <v>15</v>
      </c>
      <c r="U23" s="39">
        <f t="shared" si="15"/>
        <v>5</v>
      </c>
      <c r="V23" s="39">
        <f t="shared" si="15"/>
        <v>35</v>
      </c>
      <c r="W23" s="39">
        <f t="shared" si="15"/>
        <v>2</v>
      </c>
      <c r="X23" s="39">
        <f t="shared" si="15"/>
        <v>0</v>
      </c>
      <c r="Y23" s="39">
        <f t="shared" si="15"/>
        <v>13</v>
      </c>
      <c r="Z23" s="39">
        <f t="shared" si="15"/>
        <v>8</v>
      </c>
      <c r="AA23" s="39">
        <f t="shared" si="15"/>
        <v>8</v>
      </c>
      <c r="AB23" s="39">
        <f t="shared" si="15"/>
        <v>52</v>
      </c>
      <c r="AC23" s="39">
        <f t="shared" si="15"/>
        <v>27</v>
      </c>
      <c r="AD23" s="39">
        <f t="shared" si="15"/>
        <v>0</v>
      </c>
      <c r="AE23" s="40">
        <f t="shared" si="15"/>
        <v>128</v>
      </c>
      <c r="AF23" s="40">
        <f t="shared" si="15"/>
        <v>151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5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1</v>
      </c>
      <c r="N24" s="50">
        <v>0</v>
      </c>
      <c r="O24" s="15">
        <f t="shared" si="0"/>
        <v>7</v>
      </c>
      <c r="P24" s="15">
        <f t="shared" si="1"/>
        <v>8</v>
      </c>
      <c r="R24" s="38" t="s">
        <v>92</v>
      </c>
      <c r="S24" s="39">
        <f>MAX(S19:S21)</f>
        <v>14</v>
      </c>
      <c r="T24" s="39">
        <f t="shared" ref="T24:AF24" si="16">MAX(T19:T21)</f>
        <v>16</v>
      </c>
      <c r="U24" s="39">
        <f t="shared" si="16"/>
        <v>10</v>
      </c>
      <c r="V24" s="39">
        <f t="shared" si="16"/>
        <v>24</v>
      </c>
      <c r="W24" s="39">
        <f t="shared" si="16"/>
        <v>1</v>
      </c>
      <c r="X24" s="39">
        <f t="shared" si="16"/>
        <v>5</v>
      </c>
      <c r="Y24" s="39">
        <f t="shared" si="16"/>
        <v>14</v>
      </c>
      <c r="Z24" s="39">
        <f t="shared" si="16"/>
        <v>4</v>
      </c>
      <c r="AA24" s="39">
        <f t="shared" si="16"/>
        <v>12</v>
      </c>
      <c r="AB24" s="39">
        <f t="shared" si="16"/>
        <v>66</v>
      </c>
      <c r="AC24" s="39">
        <f t="shared" si="16"/>
        <v>42</v>
      </c>
      <c r="AD24" s="39">
        <f t="shared" si="16"/>
        <v>0</v>
      </c>
      <c r="AE24" s="40">
        <f t="shared" si="16"/>
        <v>136</v>
      </c>
      <c r="AF24" s="40">
        <f t="shared" si="16"/>
        <v>178</v>
      </c>
    </row>
    <row r="25" spans="2:32" ht="23.1" customHeight="1" x14ac:dyDescent="0.25">
      <c r="B25" s="23" t="s">
        <v>52</v>
      </c>
      <c r="C25" s="50">
        <v>3</v>
      </c>
      <c r="D25" s="50">
        <v>4</v>
      </c>
      <c r="E25" s="50">
        <v>0</v>
      </c>
      <c r="F25" s="50">
        <v>6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5</v>
      </c>
      <c r="M25" s="50">
        <v>5</v>
      </c>
      <c r="N25" s="50">
        <v>0</v>
      </c>
      <c r="O25" s="15">
        <f t="shared" si="0"/>
        <v>18</v>
      </c>
      <c r="P25" s="15">
        <f t="shared" si="1"/>
        <v>23</v>
      </c>
      <c r="R25" s="37" t="s">
        <v>85</v>
      </c>
      <c r="S25" s="35">
        <f t="shared" ref="S25:AF25" si="17">SUM(S10:S12)</f>
        <v>8</v>
      </c>
      <c r="T25" s="16">
        <f t="shared" si="17"/>
        <v>23</v>
      </c>
      <c r="U25" s="16">
        <f t="shared" si="17"/>
        <v>7</v>
      </c>
      <c r="V25" s="16">
        <f t="shared" si="17"/>
        <v>40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1</v>
      </c>
      <c r="AA25" s="16">
        <f t="shared" si="17"/>
        <v>8</v>
      </c>
      <c r="AB25" s="16">
        <f t="shared" si="17"/>
        <v>100</v>
      </c>
      <c r="AC25" s="16">
        <f t="shared" si="17"/>
        <v>31</v>
      </c>
      <c r="AD25" s="16">
        <f t="shared" si="17"/>
        <v>0</v>
      </c>
      <c r="AE25" s="32">
        <f t="shared" si="17"/>
        <v>192</v>
      </c>
      <c r="AF25" s="32">
        <f t="shared" si="17"/>
        <v>223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2</v>
      </c>
      <c r="F26" s="50">
        <v>2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6</v>
      </c>
      <c r="M26" s="50">
        <v>11</v>
      </c>
      <c r="N26" s="50">
        <v>0</v>
      </c>
      <c r="O26" s="15">
        <f t="shared" si="0"/>
        <v>16</v>
      </c>
      <c r="P26" s="15">
        <f t="shared" si="1"/>
        <v>27</v>
      </c>
      <c r="R26" s="28" t="s">
        <v>86</v>
      </c>
      <c r="S26" s="16">
        <f t="shared" ref="S26:AF26" si="18">SUM(S13:S18)</f>
        <v>27</v>
      </c>
      <c r="T26" s="16">
        <f t="shared" si="18"/>
        <v>53</v>
      </c>
      <c r="U26" s="16">
        <f t="shared" si="18"/>
        <v>14</v>
      </c>
      <c r="V26" s="16">
        <f t="shared" si="18"/>
        <v>125</v>
      </c>
      <c r="W26" s="16">
        <f t="shared" si="18"/>
        <v>2</v>
      </c>
      <c r="X26" s="16">
        <f t="shared" si="18"/>
        <v>0</v>
      </c>
      <c r="Y26" s="16">
        <f t="shared" si="18"/>
        <v>34</v>
      </c>
      <c r="Z26" s="16">
        <f t="shared" si="18"/>
        <v>19</v>
      </c>
      <c r="AA26" s="16">
        <f t="shared" si="18"/>
        <v>32</v>
      </c>
      <c r="AB26" s="16">
        <f t="shared" si="18"/>
        <v>119</v>
      </c>
      <c r="AC26" s="16">
        <f t="shared" si="18"/>
        <v>119</v>
      </c>
      <c r="AD26" s="16">
        <f t="shared" si="18"/>
        <v>0</v>
      </c>
      <c r="AE26" s="32">
        <f t="shared" si="18"/>
        <v>425</v>
      </c>
      <c r="AF26" s="32">
        <f t="shared" si="18"/>
        <v>544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1</v>
      </c>
      <c r="F27" s="50">
        <v>3</v>
      </c>
      <c r="G27" s="50">
        <v>0</v>
      </c>
      <c r="H27" s="50">
        <v>0</v>
      </c>
      <c r="I27" s="50">
        <v>0</v>
      </c>
      <c r="J27" s="50">
        <v>1</v>
      </c>
      <c r="K27" s="50">
        <v>3</v>
      </c>
      <c r="L27" s="50">
        <v>2</v>
      </c>
      <c r="M27" s="50">
        <v>0</v>
      </c>
      <c r="N27" s="50">
        <v>0</v>
      </c>
      <c r="O27" s="15">
        <f t="shared" si="0"/>
        <v>11</v>
      </c>
      <c r="P27" s="15">
        <f t="shared" si="1"/>
        <v>11</v>
      </c>
      <c r="R27" s="29" t="s">
        <v>87</v>
      </c>
      <c r="S27" s="16">
        <f t="shared" ref="S27:AF27" si="19">SUM(S19:S21)</f>
        <v>32</v>
      </c>
      <c r="T27" s="16">
        <f t="shared" si="19"/>
        <v>41</v>
      </c>
      <c r="U27" s="16">
        <f t="shared" si="19"/>
        <v>22</v>
      </c>
      <c r="V27" s="16">
        <f t="shared" si="19"/>
        <v>58</v>
      </c>
      <c r="W27" s="16">
        <f t="shared" si="19"/>
        <v>1</v>
      </c>
      <c r="X27" s="16">
        <f t="shared" si="19"/>
        <v>5</v>
      </c>
      <c r="Y27" s="16">
        <f t="shared" si="19"/>
        <v>27</v>
      </c>
      <c r="Z27" s="16">
        <f t="shared" si="19"/>
        <v>8</v>
      </c>
      <c r="AA27" s="16">
        <f t="shared" si="19"/>
        <v>25</v>
      </c>
      <c r="AB27" s="16">
        <f t="shared" si="19"/>
        <v>147</v>
      </c>
      <c r="AC27" s="16">
        <f t="shared" si="19"/>
        <v>66</v>
      </c>
      <c r="AD27" s="16">
        <f t="shared" si="19"/>
        <v>0</v>
      </c>
      <c r="AE27" s="32">
        <f t="shared" si="19"/>
        <v>366</v>
      </c>
      <c r="AF27" s="32">
        <f t="shared" si="19"/>
        <v>432</v>
      </c>
    </row>
    <row r="28" spans="2:32" ht="23.1" customHeight="1" x14ac:dyDescent="0.25">
      <c r="B28" s="23" t="s">
        <v>55</v>
      </c>
      <c r="C28" s="50">
        <v>0</v>
      </c>
      <c r="D28" s="50">
        <v>6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1</v>
      </c>
      <c r="L28" s="50">
        <v>2</v>
      </c>
      <c r="M28" s="50">
        <v>9</v>
      </c>
      <c r="N28" s="50">
        <v>0</v>
      </c>
      <c r="O28" s="15">
        <f t="shared" si="0"/>
        <v>11</v>
      </c>
      <c r="P28" s="15">
        <f t="shared" si="1"/>
        <v>20</v>
      </c>
      <c r="R28" s="5" t="s">
        <v>17</v>
      </c>
      <c r="S28" s="16">
        <f t="shared" ref="S28:AF28" si="20">SUM(S10:S21)</f>
        <v>67</v>
      </c>
      <c r="T28" s="16">
        <f t="shared" si="20"/>
        <v>117</v>
      </c>
      <c r="U28" s="16">
        <f t="shared" si="20"/>
        <v>43</v>
      </c>
      <c r="V28" s="16">
        <f t="shared" si="20"/>
        <v>223</v>
      </c>
      <c r="W28" s="16">
        <f t="shared" si="20"/>
        <v>3</v>
      </c>
      <c r="X28" s="16">
        <f t="shared" si="20"/>
        <v>5</v>
      </c>
      <c r="Y28" s="16">
        <f t="shared" si="20"/>
        <v>66</v>
      </c>
      <c r="Z28" s="16">
        <f t="shared" si="20"/>
        <v>28</v>
      </c>
      <c r="AA28" s="16">
        <f t="shared" si="20"/>
        <v>65</v>
      </c>
      <c r="AB28" s="16">
        <f t="shared" si="20"/>
        <v>366</v>
      </c>
      <c r="AC28" s="16">
        <f t="shared" si="20"/>
        <v>216</v>
      </c>
      <c r="AD28" s="16">
        <f t="shared" si="20"/>
        <v>0</v>
      </c>
      <c r="AE28" s="32">
        <f t="shared" si="20"/>
        <v>983</v>
      </c>
      <c r="AF28" s="32">
        <f t="shared" si="20"/>
        <v>1199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6</v>
      </c>
      <c r="G29" s="50">
        <v>0</v>
      </c>
      <c r="H29" s="50">
        <v>0</v>
      </c>
      <c r="I29" s="50">
        <v>0</v>
      </c>
      <c r="J29" s="50">
        <v>0</v>
      </c>
      <c r="K29" s="50">
        <v>3</v>
      </c>
      <c r="L29" s="50">
        <v>3</v>
      </c>
      <c r="M29" s="50">
        <v>5</v>
      </c>
      <c r="N29" s="50">
        <v>0</v>
      </c>
      <c r="O29" s="15">
        <f t="shared" si="0"/>
        <v>14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4</v>
      </c>
      <c r="E30" s="50">
        <v>0</v>
      </c>
      <c r="F30" s="50">
        <v>4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2</v>
      </c>
      <c r="M30" s="50">
        <v>3</v>
      </c>
      <c r="N30" s="50">
        <v>0</v>
      </c>
      <c r="O30" s="15">
        <f t="shared" si="0"/>
        <v>13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1</v>
      </c>
      <c r="D31" s="50">
        <v>3</v>
      </c>
      <c r="E31" s="50">
        <v>0</v>
      </c>
      <c r="F31" s="50">
        <v>4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6</v>
      </c>
      <c r="M31" s="50">
        <v>1</v>
      </c>
      <c r="N31" s="50">
        <v>0</v>
      </c>
      <c r="O31" s="15">
        <f t="shared" si="0"/>
        <v>14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0</v>
      </c>
      <c r="D32" s="50">
        <v>5</v>
      </c>
      <c r="E32" s="50">
        <v>0</v>
      </c>
      <c r="F32" s="50">
        <v>5</v>
      </c>
      <c r="G32" s="50">
        <v>0</v>
      </c>
      <c r="H32" s="50">
        <v>0</v>
      </c>
      <c r="I32" s="50">
        <v>1</v>
      </c>
      <c r="J32" s="50">
        <v>0</v>
      </c>
      <c r="K32" s="50">
        <v>2</v>
      </c>
      <c r="L32" s="50">
        <v>1</v>
      </c>
      <c r="M32" s="50">
        <v>1</v>
      </c>
      <c r="N32" s="50">
        <v>0</v>
      </c>
      <c r="O32" s="15">
        <f t="shared" si="0"/>
        <v>14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1</v>
      </c>
      <c r="D33" s="50">
        <v>3</v>
      </c>
      <c r="E33" s="50">
        <v>0</v>
      </c>
      <c r="F33" s="50">
        <v>4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8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3</v>
      </c>
      <c r="D34" s="50">
        <v>2</v>
      </c>
      <c r="E34" s="50">
        <v>0</v>
      </c>
      <c r="F34" s="50">
        <v>3</v>
      </c>
      <c r="G34" s="50">
        <v>0</v>
      </c>
      <c r="H34" s="50">
        <v>0</v>
      </c>
      <c r="I34" s="50">
        <v>1</v>
      </c>
      <c r="J34" s="50">
        <v>1</v>
      </c>
      <c r="K34" s="50">
        <v>3</v>
      </c>
      <c r="L34" s="50">
        <v>2</v>
      </c>
      <c r="M34" s="50">
        <v>8</v>
      </c>
      <c r="N34" s="50">
        <v>0</v>
      </c>
      <c r="O34" s="15">
        <f t="shared" si="0"/>
        <v>15</v>
      </c>
      <c r="P34" s="15">
        <f t="shared" si="1"/>
        <v>23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1</v>
      </c>
      <c r="F35" s="50">
        <v>4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3</v>
      </c>
      <c r="M35" s="50">
        <v>4</v>
      </c>
      <c r="N35" s="50">
        <v>0</v>
      </c>
      <c r="O35" s="15">
        <f t="shared" si="0"/>
        <v>14</v>
      </c>
      <c r="P35" s="15">
        <f t="shared" si="1"/>
        <v>18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0</v>
      </c>
      <c r="F36" s="50">
        <v>4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4</v>
      </c>
      <c r="M36" s="50">
        <v>5</v>
      </c>
      <c r="N36" s="50">
        <v>0</v>
      </c>
      <c r="O36" s="15">
        <f t="shared" si="0"/>
        <v>10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2</v>
      </c>
      <c r="D37" s="50">
        <v>4</v>
      </c>
      <c r="E37" s="50">
        <v>0</v>
      </c>
      <c r="F37" s="50">
        <v>4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4</v>
      </c>
      <c r="M37" s="50">
        <v>10</v>
      </c>
      <c r="N37" s="50">
        <v>0</v>
      </c>
      <c r="O37" s="15">
        <f t="shared" si="0"/>
        <v>16</v>
      </c>
      <c r="P37" s="15">
        <f t="shared" si="1"/>
        <v>26</v>
      </c>
    </row>
    <row r="38" spans="2:20" ht="23.1" customHeight="1" x14ac:dyDescent="0.25">
      <c r="B38" s="24" t="s">
        <v>65</v>
      </c>
      <c r="C38" s="50">
        <v>0</v>
      </c>
      <c r="D38" s="50">
        <v>1</v>
      </c>
      <c r="E38" s="50">
        <v>3</v>
      </c>
      <c r="F38" s="50">
        <v>11</v>
      </c>
      <c r="G38" s="50">
        <v>2</v>
      </c>
      <c r="H38" s="50">
        <v>0</v>
      </c>
      <c r="I38" s="50">
        <v>7</v>
      </c>
      <c r="J38" s="50">
        <v>3</v>
      </c>
      <c r="K38" s="50">
        <v>4</v>
      </c>
      <c r="L38" s="50">
        <v>8</v>
      </c>
      <c r="M38" s="50">
        <v>3</v>
      </c>
      <c r="N38" s="50">
        <v>0</v>
      </c>
      <c r="O38" s="15">
        <f t="shared" si="0"/>
        <v>39</v>
      </c>
      <c r="P38" s="15">
        <f t="shared" si="1"/>
        <v>42</v>
      </c>
    </row>
    <row r="39" spans="2:20" ht="23.1" customHeight="1" x14ac:dyDescent="0.25">
      <c r="B39" s="24" t="s">
        <v>66</v>
      </c>
      <c r="C39" s="50">
        <v>4</v>
      </c>
      <c r="D39" s="50">
        <v>2</v>
      </c>
      <c r="E39" s="50">
        <v>0</v>
      </c>
      <c r="F39" s="50">
        <v>10</v>
      </c>
      <c r="G39" s="50">
        <v>0</v>
      </c>
      <c r="H39" s="50">
        <v>0</v>
      </c>
      <c r="I39" s="50">
        <v>3</v>
      </c>
      <c r="J39" s="50">
        <v>2</v>
      </c>
      <c r="K39" s="50">
        <v>2</v>
      </c>
      <c r="L39" s="50">
        <v>9</v>
      </c>
      <c r="M39" s="50">
        <v>7</v>
      </c>
      <c r="N39" s="50">
        <v>0</v>
      </c>
      <c r="O39" s="15">
        <f t="shared" si="0"/>
        <v>32</v>
      </c>
      <c r="P39" s="15">
        <f t="shared" si="1"/>
        <v>39</v>
      </c>
    </row>
    <row r="40" spans="2:20" ht="23.1" customHeight="1" x14ac:dyDescent="0.25">
      <c r="B40" s="24" t="s">
        <v>67</v>
      </c>
      <c r="C40" s="50">
        <v>0</v>
      </c>
      <c r="D40" s="50">
        <v>3</v>
      </c>
      <c r="E40" s="50">
        <v>0</v>
      </c>
      <c r="F40" s="50">
        <v>7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2</v>
      </c>
      <c r="M40" s="50">
        <v>4</v>
      </c>
      <c r="N40" s="50">
        <v>0</v>
      </c>
      <c r="O40" s="15">
        <f t="shared" si="0"/>
        <v>14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2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11</v>
      </c>
      <c r="N41" s="50">
        <v>0</v>
      </c>
      <c r="O41" s="15">
        <f t="shared" si="0"/>
        <v>6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10</v>
      </c>
      <c r="M42" s="50">
        <v>1</v>
      </c>
      <c r="N42" s="50">
        <v>0</v>
      </c>
      <c r="O42" s="15">
        <f t="shared" si="0"/>
        <v>13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0</v>
      </c>
      <c r="D43" s="50">
        <v>2</v>
      </c>
      <c r="E43" s="50">
        <v>0</v>
      </c>
      <c r="F43" s="50">
        <v>11</v>
      </c>
      <c r="G43" s="50">
        <v>0</v>
      </c>
      <c r="H43" s="50">
        <v>0</v>
      </c>
      <c r="I43" s="50">
        <v>6</v>
      </c>
      <c r="J43" s="50">
        <v>3</v>
      </c>
      <c r="K43" s="50">
        <v>0</v>
      </c>
      <c r="L43" s="50">
        <v>15</v>
      </c>
      <c r="M43" s="50">
        <v>6</v>
      </c>
      <c r="N43" s="50">
        <v>0</v>
      </c>
      <c r="O43" s="15">
        <f t="shared" si="0"/>
        <v>37</v>
      </c>
      <c r="P43" s="15">
        <f t="shared" si="1"/>
        <v>43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5</v>
      </c>
      <c r="F44" s="50">
        <v>9</v>
      </c>
      <c r="G44" s="50">
        <v>0</v>
      </c>
      <c r="H44" s="50">
        <v>0</v>
      </c>
      <c r="I44" s="50">
        <v>3</v>
      </c>
      <c r="J44" s="50">
        <v>4</v>
      </c>
      <c r="K44" s="50">
        <v>2</v>
      </c>
      <c r="L44" s="50">
        <v>18</v>
      </c>
      <c r="M44" s="50">
        <v>12</v>
      </c>
      <c r="N44" s="50">
        <v>0</v>
      </c>
      <c r="O44" s="15">
        <f t="shared" si="0"/>
        <v>45</v>
      </c>
      <c r="P44" s="15">
        <f t="shared" si="1"/>
        <v>57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13</v>
      </c>
      <c r="G45" s="50">
        <v>0</v>
      </c>
      <c r="H45" s="50">
        <v>0</v>
      </c>
      <c r="I45" s="50">
        <v>4</v>
      </c>
      <c r="J45" s="50">
        <v>1</v>
      </c>
      <c r="K45" s="50">
        <v>6</v>
      </c>
      <c r="L45" s="50">
        <v>9</v>
      </c>
      <c r="M45" s="50">
        <v>4</v>
      </c>
      <c r="N45" s="50">
        <v>0</v>
      </c>
      <c r="O45" s="15">
        <f t="shared" si="0"/>
        <v>33</v>
      </c>
      <c r="P45" s="15">
        <f t="shared" si="1"/>
        <v>37</v>
      </c>
    </row>
    <row r="46" spans="2:20" ht="23.1" customHeight="1" x14ac:dyDescent="0.25">
      <c r="B46" s="24" t="s">
        <v>73</v>
      </c>
      <c r="C46" s="50">
        <v>1</v>
      </c>
      <c r="D46" s="50">
        <v>2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13</v>
      </c>
      <c r="M46" s="50">
        <v>0</v>
      </c>
      <c r="N46" s="50">
        <v>0</v>
      </c>
      <c r="O46" s="15">
        <f t="shared" si="0"/>
        <v>17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2</v>
      </c>
      <c r="E47" s="50">
        <v>0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22</v>
      </c>
      <c r="M47" s="50">
        <v>2</v>
      </c>
      <c r="N47" s="50">
        <v>0</v>
      </c>
      <c r="O47" s="15">
        <f t="shared" si="0"/>
        <v>30</v>
      </c>
      <c r="P47" s="15">
        <f t="shared" si="1"/>
        <v>32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9</v>
      </c>
      <c r="E48" s="50">
        <v>4</v>
      </c>
      <c r="F48" s="50">
        <v>3</v>
      </c>
      <c r="G48" s="50">
        <v>0</v>
      </c>
      <c r="H48" s="50">
        <v>0</v>
      </c>
      <c r="I48" s="50">
        <v>1</v>
      </c>
      <c r="J48" s="50">
        <v>0</v>
      </c>
      <c r="K48" s="50">
        <v>3</v>
      </c>
      <c r="L48" s="50">
        <v>20</v>
      </c>
      <c r="M48" s="50">
        <v>1</v>
      </c>
      <c r="N48" s="50">
        <v>0</v>
      </c>
      <c r="O48" s="15">
        <f t="shared" si="0"/>
        <v>45</v>
      </c>
      <c r="P48" s="15">
        <f t="shared" si="1"/>
        <v>46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3</v>
      </c>
      <c r="E49" s="50">
        <v>3</v>
      </c>
      <c r="F49" s="50">
        <v>6</v>
      </c>
      <c r="G49" s="50">
        <v>0</v>
      </c>
      <c r="H49" s="50">
        <v>0</v>
      </c>
      <c r="I49" s="50">
        <v>3</v>
      </c>
      <c r="J49" s="50">
        <v>0</v>
      </c>
      <c r="K49" s="50">
        <v>1</v>
      </c>
      <c r="L49" s="50">
        <v>11</v>
      </c>
      <c r="M49" s="50">
        <v>6</v>
      </c>
      <c r="N49" s="50">
        <v>0</v>
      </c>
      <c r="O49" s="15">
        <f t="shared" si="0"/>
        <v>28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3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9</v>
      </c>
      <c r="M50" s="50">
        <v>3</v>
      </c>
      <c r="N50" s="50">
        <v>0</v>
      </c>
      <c r="O50" s="15">
        <f t="shared" si="0"/>
        <v>17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4</v>
      </c>
      <c r="E51" s="50">
        <v>2</v>
      </c>
      <c r="F51" s="50">
        <v>5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11</v>
      </c>
      <c r="M51" s="50">
        <v>0</v>
      </c>
      <c r="N51" s="50">
        <v>0</v>
      </c>
      <c r="O51" s="15">
        <f t="shared" si="0"/>
        <v>27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5</v>
      </c>
      <c r="E52" s="50">
        <v>0</v>
      </c>
      <c r="F52" s="50">
        <v>4</v>
      </c>
      <c r="G52" s="50">
        <v>0</v>
      </c>
      <c r="H52" s="50">
        <v>0</v>
      </c>
      <c r="I52" s="50">
        <v>6</v>
      </c>
      <c r="J52" s="50">
        <v>0</v>
      </c>
      <c r="K52" s="50">
        <v>8</v>
      </c>
      <c r="L52" s="50">
        <v>14</v>
      </c>
      <c r="M52" s="50">
        <v>9</v>
      </c>
      <c r="N52" s="50">
        <v>0</v>
      </c>
      <c r="O52" s="15">
        <f t="shared" si="0"/>
        <v>38</v>
      </c>
      <c r="P52" s="15">
        <f t="shared" si="1"/>
        <v>47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4</v>
      </c>
      <c r="E53" s="50">
        <v>3</v>
      </c>
      <c r="F53" s="50">
        <v>11</v>
      </c>
      <c r="G53" s="50">
        <v>0</v>
      </c>
      <c r="H53" s="50">
        <v>0</v>
      </c>
      <c r="I53" s="50">
        <v>1</v>
      </c>
      <c r="J53" s="50">
        <v>2</v>
      </c>
      <c r="K53" s="50">
        <v>1</v>
      </c>
      <c r="L53" s="50">
        <v>4</v>
      </c>
      <c r="M53" s="50">
        <v>3</v>
      </c>
      <c r="N53" s="50">
        <v>0</v>
      </c>
      <c r="O53" s="15">
        <f t="shared" si="0"/>
        <v>28</v>
      </c>
      <c r="P53" s="15">
        <f t="shared" si="1"/>
        <v>31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5</v>
      </c>
      <c r="G54" s="50">
        <v>0</v>
      </c>
      <c r="H54" s="50">
        <v>3</v>
      </c>
      <c r="I54" s="50">
        <v>6</v>
      </c>
      <c r="J54" s="50">
        <v>0</v>
      </c>
      <c r="K54" s="50">
        <v>5</v>
      </c>
      <c r="L54" s="50">
        <v>12</v>
      </c>
      <c r="M54" s="50">
        <v>13</v>
      </c>
      <c r="N54" s="50">
        <v>0</v>
      </c>
      <c r="O54" s="15">
        <f t="shared" si="0"/>
        <v>32</v>
      </c>
      <c r="P54" s="15">
        <f t="shared" si="1"/>
        <v>45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3</v>
      </c>
      <c r="E55" s="50">
        <v>7</v>
      </c>
      <c r="F55" s="50">
        <v>10</v>
      </c>
      <c r="G55" s="50">
        <v>0</v>
      </c>
      <c r="H55" s="50">
        <v>0</v>
      </c>
      <c r="I55" s="50">
        <v>0</v>
      </c>
      <c r="J55" s="50">
        <v>1</v>
      </c>
      <c r="K55" s="50">
        <v>2</v>
      </c>
      <c r="L55" s="50">
        <v>3</v>
      </c>
      <c r="M55" s="50">
        <v>0</v>
      </c>
      <c r="N55" s="50">
        <v>0</v>
      </c>
      <c r="O55" s="15">
        <f t="shared" si="0"/>
        <v>31</v>
      </c>
      <c r="P55" s="15">
        <f t="shared" si="1"/>
        <v>31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5</v>
      </c>
      <c r="E56" s="50">
        <v>2</v>
      </c>
      <c r="F56" s="50">
        <v>6</v>
      </c>
      <c r="G56" s="50">
        <v>1</v>
      </c>
      <c r="H56" s="50">
        <v>2</v>
      </c>
      <c r="I56" s="50">
        <v>8</v>
      </c>
      <c r="J56" s="50">
        <v>3</v>
      </c>
      <c r="K56" s="50">
        <v>5</v>
      </c>
      <c r="L56" s="50">
        <v>19</v>
      </c>
      <c r="M56" s="50">
        <v>22</v>
      </c>
      <c r="N56" s="50">
        <v>0</v>
      </c>
      <c r="O56" s="15">
        <f t="shared" si="0"/>
        <v>59</v>
      </c>
      <c r="P56" s="15">
        <f t="shared" si="1"/>
        <v>81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9</v>
      </c>
      <c r="M57" s="50">
        <v>7</v>
      </c>
      <c r="N57" s="50">
        <v>0</v>
      </c>
      <c r="O57" s="15">
        <f t="shared" si="0"/>
        <v>14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67</v>
      </c>
      <c r="D58" s="16">
        <f t="shared" si="21"/>
        <v>117</v>
      </c>
      <c r="E58" s="16">
        <f t="shared" si="21"/>
        <v>43</v>
      </c>
      <c r="F58" s="16">
        <f t="shared" si="21"/>
        <v>223</v>
      </c>
      <c r="G58" s="16">
        <f t="shared" si="21"/>
        <v>3</v>
      </c>
      <c r="H58" s="16">
        <f t="shared" si="21"/>
        <v>5</v>
      </c>
      <c r="I58" s="16">
        <f t="shared" si="21"/>
        <v>66</v>
      </c>
      <c r="J58" s="16">
        <f t="shared" si="21"/>
        <v>28</v>
      </c>
      <c r="K58" s="16">
        <f t="shared" si="21"/>
        <v>65</v>
      </c>
      <c r="L58" s="16">
        <f t="shared" si="21"/>
        <v>366</v>
      </c>
      <c r="M58" s="16">
        <f t="shared" si="21"/>
        <v>216</v>
      </c>
      <c r="N58" s="16">
        <f t="shared" si="21"/>
        <v>0</v>
      </c>
      <c r="O58" s="16">
        <f t="shared" si="21"/>
        <v>983</v>
      </c>
      <c r="P58" s="16">
        <f t="shared" si="21"/>
        <v>1199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5.5879899916597163E-2</v>
      </c>
      <c r="D59" s="43">
        <f t="shared" si="22"/>
        <v>9.7581317764803999E-2</v>
      </c>
      <c r="E59" s="43">
        <f t="shared" si="22"/>
        <v>3.5863219349457881E-2</v>
      </c>
      <c r="F59" s="43">
        <f t="shared" si="22"/>
        <v>0.18598832360300249</v>
      </c>
      <c r="G59" s="43">
        <f t="shared" si="22"/>
        <v>2.5020850708924102E-3</v>
      </c>
      <c r="H59" s="43">
        <f t="shared" si="22"/>
        <v>4.1701417848206837E-3</v>
      </c>
      <c r="I59" s="43">
        <f t="shared" si="22"/>
        <v>5.5045871559633031E-2</v>
      </c>
      <c r="J59" s="43">
        <f t="shared" si="22"/>
        <v>2.3352793994995829E-2</v>
      </c>
      <c r="K59" s="43">
        <f t="shared" si="22"/>
        <v>5.4211843202668891E-2</v>
      </c>
      <c r="L59" s="43">
        <f t="shared" si="22"/>
        <v>0.30525437864887406</v>
      </c>
      <c r="M59" s="43">
        <f t="shared" si="22"/>
        <v>0.18015012510425354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6.8158697863682602E-2</v>
      </c>
      <c r="D60" s="44">
        <f t="shared" ref="D60:N60" si="23">D58/$O$58</f>
        <v>0.1190233977619532</v>
      </c>
      <c r="E60" s="44">
        <f t="shared" si="23"/>
        <v>4.3743641912512718E-2</v>
      </c>
      <c r="F60" s="44">
        <f t="shared" si="23"/>
        <v>0.22685656154628689</v>
      </c>
      <c r="G60" s="44">
        <f t="shared" si="23"/>
        <v>3.0518819938962359E-3</v>
      </c>
      <c r="H60" s="44">
        <f t="shared" si="23"/>
        <v>5.0864699898270603E-3</v>
      </c>
      <c r="I60" s="44">
        <f t="shared" si="23"/>
        <v>6.7141403865717195E-2</v>
      </c>
      <c r="J60" s="44">
        <f t="shared" si="23"/>
        <v>2.8484231943031537E-2</v>
      </c>
      <c r="K60" s="44">
        <f t="shared" si="23"/>
        <v>6.6124109867751774E-2</v>
      </c>
      <c r="L60" s="44">
        <f t="shared" si="23"/>
        <v>0.37232960325534081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5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BUSITEMA-TORORO'!C3:G3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'23.08 BUSITEMA-TORORO'!D5</f>
        <v>23.08.19</v>
      </c>
      <c r="E5" s="3"/>
      <c r="F5" s="41" t="s">
        <v>1</v>
      </c>
      <c r="G5" s="63" t="str">
        <f>'22.08 TORORO-BUSITEMA'!G5:H5</f>
        <v>STATION 98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163</v>
      </c>
      <c r="E6" s="64"/>
      <c r="F6" s="2" t="s">
        <v>2</v>
      </c>
      <c r="G6" s="63" t="s">
        <v>164</v>
      </c>
      <c r="H6" s="64"/>
      <c r="J6" s="2" t="s">
        <v>21</v>
      </c>
      <c r="K6" s="63" t="str">
        <f>'22.08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2</v>
      </c>
      <c r="E10" s="50">
        <v>0</v>
      </c>
      <c r="F10" s="50">
        <v>7</v>
      </c>
      <c r="G10" s="50">
        <v>0</v>
      </c>
      <c r="H10" s="50">
        <v>1</v>
      </c>
      <c r="I10" s="50">
        <v>0</v>
      </c>
      <c r="J10" s="50">
        <v>0</v>
      </c>
      <c r="K10" s="50">
        <v>3</v>
      </c>
      <c r="L10" s="50">
        <v>23</v>
      </c>
      <c r="M10" s="50">
        <v>2</v>
      </c>
      <c r="N10" s="50">
        <v>0</v>
      </c>
      <c r="O10" s="15">
        <f t="shared" ref="O10:O57" si="0">SUM(C10:L10,N10)</f>
        <v>37</v>
      </c>
      <c r="P10" s="15">
        <f t="shared" ref="P10:P57" si="1">SUM(C10:N10)</f>
        <v>39</v>
      </c>
      <c r="R10" s="1" t="s">
        <v>6</v>
      </c>
      <c r="S10" s="17">
        <f t="shared" ref="S10:AF10" si="2">SUM(C10:C13)</f>
        <v>1</v>
      </c>
      <c r="T10" s="17">
        <f t="shared" si="2"/>
        <v>6</v>
      </c>
      <c r="U10" s="17">
        <f t="shared" si="2"/>
        <v>7</v>
      </c>
      <c r="V10" s="17">
        <f t="shared" si="2"/>
        <v>15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6</v>
      </c>
      <c r="AB10" s="17">
        <f t="shared" si="2"/>
        <v>63</v>
      </c>
      <c r="AC10" s="17">
        <f t="shared" si="2"/>
        <v>2</v>
      </c>
      <c r="AD10" s="17">
        <f t="shared" si="2"/>
        <v>0</v>
      </c>
      <c r="AE10" s="31">
        <f t="shared" si="2"/>
        <v>99</v>
      </c>
      <c r="AF10" s="31">
        <f t="shared" si="2"/>
        <v>101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5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17</v>
      </c>
      <c r="M11" s="50">
        <v>0</v>
      </c>
      <c r="N11" s="50">
        <v>0</v>
      </c>
      <c r="O11" s="15">
        <f t="shared" si="0"/>
        <v>22</v>
      </c>
      <c r="P11" s="15">
        <f t="shared" si="1"/>
        <v>22</v>
      </c>
      <c r="R11" s="1" t="s">
        <v>7</v>
      </c>
      <c r="S11" s="17">
        <f t="shared" ref="S11:AF11" si="3">SUM(C14:C17)</f>
        <v>4</v>
      </c>
      <c r="T11" s="17">
        <f t="shared" si="3"/>
        <v>6</v>
      </c>
      <c r="U11" s="17">
        <f t="shared" si="3"/>
        <v>1</v>
      </c>
      <c r="V11" s="17">
        <f t="shared" si="3"/>
        <v>8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3</v>
      </c>
      <c r="AA11" s="17">
        <f t="shared" si="3"/>
        <v>4</v>
      </c>
      <c r="AB11" s="17">
        <f t="shared" si="3"/>
        <v>39</v>
      </c>
      <c r="AC11" s="17">
        <f t="shared" si="3"/>
        <v>10</v>
      </c>
      <c r="AD11" s="17">
        <f t="shared" si="3"/>
        <v>0</v>
      </c>
      <c r="AE11" s="31">
        <f t="shared" si="3"/>
        <v>67</v>
      </c>
      <c r="AF11" s="31">
        <f t="shared" si="3"/>
        <v>77</v>
      </c>
    </row>
    <row r="12" spans="2:32" ht="23.1" customHeight="1" x14ac:dyDescent="0.25">
      <c r="B12" s="23" t="s">
        <v>39</v>
      </c>
      <c r="C12" s="50">
        <v>0</v>
      </c>
      <c r="D12" s="50">
        <v>2</v>
      </c>
      <c r="E12" s="50">
        <v>1</v>
      </c>
      <c r="F12" s="50">
        <v>6</v>
      </c>
      <c r="G12" s="50">
        <v>0</v>
      </c>
      <c r="H12" s="50">
        <v>0</v>
      </c>
      <c r="I12" s="50">
        <v>0</v>
      </c>
      <c r="J12" s="50">
        <v>0</v>
      </c>
      <c r="K12" s="50">
        <v>2</v>
      </c>
      <c r="L12" s="50">
        <v>15</v>
      </c>
      <c r="M12" s="50">
        <v>0</v>
      </c>
      <c r="N12" s="50">
        <v>0</v>
      </c>
      <c r="O12" s="15">
        <f t="shared" si="0"/>
        <v>26</v>
      </c>
      <c r="P12" s="15">
        <f t="shared" si="1"/>
        <v>26</v>
      </c>
      <c r="R12" s="1" t="s">
        <v>8</v>
      </c>
      <c r="S12" s="17">
        <f t="shared" ref="S12:AF12" si="4">SUM(C18:C21)</f>
        <v>7</v>
      </c>
      <c r="T12" s="17">
        <f t="shared" si="4"/>
        <v>7</v>
      </c>
      <c r="U12" s="17">
        <f t="shared" si="4"/>
        <v>2</v>
      </c>
      <c r="V12" s="17">
        <f t="shared" si="4"/>
        <v>13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8</v>
      </c>
      <c r="AA12" s="17">
        <f t="shared" si="4"/>
        <v>3</v>
      </c>
      <c r="AB12" s="17">
        <f t="shared" si="4"/>
        <v>46</v>
      </c>
      <c r="AC12" s="17">
        <f t="shared" si="4"/>
        <v>12</v>
      </c>
      <c r="AD12" s="17">
        <f t="shared" si="4"/>
        <v>0</v>
      </c>
      <c r="AE12" s="31">
        <f t="shared" si="4"/>
        <v>88</v>
      </c>
      <c r="AF12" s="31">
        <f t="shared" si="4"/>
        <v>100</v>
      </c>
    </row>
    <row r="13" spans="2:32" ht="23.1" customHeight="1" x14ac:dyDescent="0.25">
      <c r="B13" s="23" t="s">
        <v>40</v>
      </c>
      <c r="C13" s="50">
        <v>0</v>
      </c>
      <c r="D13" s="50">
        <v>2</v>
      </c>
      <c r="E13" s="50">
        <v>1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8</v>
      </c>
      <c r="M13" s="50">
        <v>0</v>
      </c>
      <c r="N13" s="50">
        <v>0</v>
      </c>
      <c r="O13" s="15">
        <f t="shared" si="0"/>
        <v>14</v>
      </c>
      <c r="P13" s="15">
        <f t="shared" si="1"/>
        <v>14</v>
      </c>
      <c r="R13" s="1" t="s">
        <v>9</v>
      </c>
      <c r="S13" s="17">
        <f t="shared" ref="S13:AF13" si="5">SUM(C22:C25)</f>
        <v>16</v>
      </c>
      <c r="T13" s="17">
        <f t="shared" si="5"/>
        <v>8</v>
      </c>
      <c r="U13" s="17">
        <f t="shared" si="5"/>
        <v>5</v>
      </c>
      <c r="V13" s="17">
        <f t="shared" si="5"/>
        <v>19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4</v>
      </c>
      <c r="AA13" s="17">
        <f t="shared" si="5"/>
        <v>3</v>
      </c>
      <c r="AB13" s="17">
        <f t="shared" si="5"/>
        <v>36</v>
      </c>
      <c r="AC13" s="17">
        <f t="shared" si="5"/>
        <v>9</v>
      </c>
      <c r="AD13" s="17">
        <f t="shared" si="5"/>
        <v>0</v>
      </c>
      <c r="AE13" s="31">
        <f t="shared" si="5"/>
        <v>92</v>
      </c>
      <c r="AF13" s="31">
        <f t="shared" si="5"/>
        <v>101</v>
      </c>
    </row>
    <row r="14" spans="2:32" ht="23.1" customHeight="1" x14ac:dyDescent="0.25">
      <c r="B14" s="23" t="s">
        <v>41</v>
      </c>
      <c r="C14" s="50">
        <v>1</v>
      </c>
      <c r="D14" s="50">
        <v>4</v>
      </c>
      <c r="E14" s="50">
        <v>1</v>
      </c>
      <c r="F14" s="50">
        <v>4</v>
      </c>
      <c r="G14" s="50">
        <v>1</v>
      </c>
      <c r="H14" s="50">
        <v>0</v>
      </c>
      <c r="I14" s="50">
        <v>0</v>
      </c>
      <c r="J14" s="50">
        <v>0</v>
      </c>
      <c r="K14" s="50">
        <v>1</v>
      </c>
      <c r="L14" s="50">
        <v>9</v>
      </c>
      <c r="M14" s="50">
        <v>0</v>
      </c>
      <c r="N14" s="50">
        <v>0</v>
      </c>
      <c r="O14" s="15">
        <f t="shared" si="0"/>
        <v>21</v>
      </c>
      <c r="P14" s="15">
        <f t="shared" si="1"/>
        <v>21</v>
      </c>
      <c r="R14" s="1" t="s">
        <v>10</v>
      </c>
      <c r="S14" s="17">
        <f t="shared" ref="S14:AF14" si="6">SUM(C26:C29)</f>
        <v>22</v>
      </c>
      <c r="T14" s="17">
        <f t="shared" si="6"/>
        <v>20</v>
      </c>
      <c r="U14" s="17">
        <f t="shared" si="6"/>
        <v>3</v>
      </c>
      <c r="V14" s="17">
        <f t="shared" si="6"/>
        <v>17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5</v>
      </c>
      <c r="AA14" s="17">
        <f t="shared" si="6"/>
        <v>2</v>
      </c>
      <c r="AB14" s="17">
        <f t="shared" si="6"/>
        <v>34</v>
      </c>
      <c r="AC14" s="17">
        <f t="shared" si="6"/>
        <v>16</v>
      </c>
      <c r="AD14" s="17">
        <f t="shared" si="6"/>
        <v>0</v>
      </c>
      <c r="AE14" s="31">
        <f t="shared" si="6"/>
        <v>106</v>
      </c>
      <c r="AF14" s="31">
        <f t="shared" si="6"/>
        <v>122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12</v>
      </c>
      <c r="M15" s="50">
        <v>3</v>
      </c>
      <c r="N15" s="50">
        <v>0</v>
      </c>
      <c r="O15" s="15">
        <f t="shared" si="0"/>
        <v>15</v>
      </c>
      <c r="P15" s="15">
        <f t="shared" si="1"/>
        <v>18</v>
      </c>
      <c r="R15" s="1" t="s">
        <v>11</v>
      </c>
      <c r="S15" s="17">
        <f t="shared" ref="S15:AF15" si="7">SUM(C30:C33)</f>
        <v>12</v>
      </c>
      <c r="T15" s="17">
        <f t="shared" si="7"/>
        <v>18</v>
      </c>
      <c r="U15" s="17">
        <f t="shared" si="7"/>
        <v>3</v>
      </c>
      <c r="V15" s="17">
        <f t="shared" si="7"/>
        <v>17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7</v>
      </c>
      <c r="AA15" s="17">
        <f t="shared" si="7"/>
        <v>6</v>
      </c>
      <c r="AB15" s="17">
        <f t="shared" si="7"/>
        <v>28</v>
      </c>
      <c r="AC15" s="17">
        <f t="shared" si="7"/>
        <v>13</v>
      </c>
      <c r="AD15" s="17">
        <f t="shared" si="7"/>
        <v>0</v>
      </c>
      <c r="AE15" s="31">
        <f t="shared" si="7"/>
        <v>93</v>
      </c>
      <c r="AF15" s="31">
        <f t="shared" si="7"/>
        <v>106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1</v>
      </c>
      <c r="K16" s="50">
        <v>2</v>
      </c>
      <c r="L16" s="50">
        <v>10</v>
      </c>
      <c r="M16" s="50">
        <v>3</v>
      </c>
      <c r="N16" s="50">
        <v>0</v>
      </c>
      <c r="O16" s="15">
        <f t="shared" si="0"/>
        <v>17</v>
      </c>
      <c r="P16" s="15">
        <f t="shared" si="1"/>
        <v>20</v>
      </c>
      <c r="R16" s="1" t="s">
        <v>12</v>
      </c>
      <c r="S16" s="17">
        <f t="shared" ref="S16:AF16" si="8">SUM(C34:C37)</f>
        <v>14</v>
      </c>
      <c r="T16" s="17">
        <f t="shared" si="8"/>
        <v>9</v>
      </c>
      <c r="U16" s="17">
        <f t="shared" si="8"/>
        <v>6</v>
      </c>
      <c r="V16" s="17">
        <f t="shared" si="8"/>
        <v>17</v>
      </c>
      <c r="W16" s="17">
        <f t="shared" si="8"/>
        <v>1</v>
      </c>
      <c r="X16" s="17">
        <f t="shared" si="8"/>
        <v>6</v>
      </c>
      <c r="Y16" s="17">
        <f t="shared" si="8"/>
        <v>4</v>
      </c>
      <c r="Z16" s="17">
        <f t="shared" si="8"/>
        <v>5</v>
      </c>
      <c r="AA16" s="17">
        <f t="shared" si="8"/>
        <v>3</v>
      </c>
      <c r="AB16" s="17">
        <f t="shared" si="8"/>
        <v>40</v>
      </c>
      <c r="AC16" s="17">
        <f t="shared" si="8"/>
        <v>10</v>
      </c>
      <c r="AD16" s="17">
        <f t="shared" si="8"/>
        <v>0</v>
      </c>
      <c r="AE16" s="31">
        <f t="shared" si="8"/>
        <v>105</v>
      </c>
      <c r="AF16" s="31">
        <f t="shared" si="8"/>
        <v>115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2</v>
      </c>
      <c r="K17" s="50">
        <v>1</v>
      </c>
      <c r="L17" s="50">
        <v>8</v>
      </c>
      <c r="M17" s="50">
        <v>4</v>
      </c>
      <c r="N17" s="50">
        <v>0</v>
      </c>
      <c r="O17" s="15">
        <f t="shared" si="0"/>
        <v>14</v>
      </c>
      <c r="P17" s="15">
        <f t="shared" si="1"/>
        <v>18</v>
      </c>
      <c r="R17" s="1" t="s">
        <v>13</v>
      </c>
      <c r="S17" s="17">
        <f t="shared" ref="S17:AF17" si="9">SUM(C38:C41)</f>
        <v>22</v>
      </c>
      <c r="T17" s="17">
        <f t="shared" si="9"/>
        <v>9</v>
      </c>
      <c r="U17" s="17">
        <f t="shared" si="9"/>
        <v>3</v>
      </c>
      <c r="V17" s="17">
        <f t="shared" si="9"/>
        <v>11</v>
      </c>
      <c r="W17" s="17">
        <f t="shared" si="9"/>
        <v>0</v>
      </c>
      <c r="X17" s="17">
        <f t="shared" si="9"/>
        <v>1</v>
      </c>
      <c r="Y17" s="17">
        <f t="shared" si="9"/>
        <v>3</v>
      </c>
      <c r="Z17" s="17">
        <f t="shared" si="9"/>
        <v>9</v>
      </c>
      <c r="AA17" s="17">
        <f t="shared" si="9"/>
        <v>2</v>
      </c>
      <c r="AB17" s="17">
        <f t="shared" si="9"/>
        <v>32</v>
      </c>
      <c r="AC17" s="17">
        <f t="shared" si="9"/>
        <v>6</v>
      </c>
      <c r="AD17" s="17">
        <f t="shared" si="9"/>
        <v>0</v>
      </c>
      <c r="AE17" s="31">
        <f t="shared" si="9"/>
        <v>92</v>
      </c>
      <c r="AF17" s="31">
        <f t="shared" si="9"/>
        <v>98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14</v>
      </c>
      <c r="M18" s="50">
        <v>3</v>
      </c>
      <c r="N18" s="50">
        <v>0</v>
      </c>
      <c r="O18" s="15">
        <f t="shared" si="0"/>
        <v>16</v>
      </c>
      <c r="P18" s="15">
        <f t="shared" si="1"/>
        <v>19</v>
      </c>
      <c r="R18" s="1" t="s">
        <v>14</v>
      </c>
      <c r="S18" s="17">
        <f t="shared" ref="S18:AF18" si="10">SUM(C42:C45)</f>
        <v>11</v>
      </c>
      <c r="T18" s="17">
        <f t="shared" si="10"/>
        <v>3</v>
      </c>
      <c r="U18" s="17">
        <f t="shared" si="10"/>
        <v>0</v>
      </c>
      <c r="V18" s="17">
        <f t="shared" si="10"/>
        <v>18</v>
      </c>
      <c r="W18" s="17">
        <f t="shared" si="10"/>
        <v>1</v>
      </c>
      <c r="X18" s="17">
        <f t="shared" si="10"/>
        <v>0</v>
      </c>
      <c r="Y18" s="17">
        <f t="shared" si="10"/>
        <v>3</v>
      </c>
      <c r="Z18" s="17">
        <f t="shared" si="10"/>
        <v>9</v>
      </c>
      <c r="AA18" s="17">
        <f t="shared" si="10"/>
        <v>1</v>
      </c>
      <c r="AB18" s="17">
        <f t="shared" si="10"/>
        <v>40</v>
      </c>
      <c r="AC18" s="17">
        <f t="shared" si="10"/>
        <v>10</v>
      </c>
      <c r="AD18" s="17">
        <f t="shared" si="10"/>
        <v>0</v>
      </c>
      <c r="AE18" s="31">
        <f t="shared" si="10"/>
        <v>86</v>
      </c>
      <c r="AF18" s="31">
        <f t="shared" si="10"/>
        <v>96</v>
      </c>
    </row>
    <row r="19" spans="2:32" ht="23.1" customHeight="1" x14ac:dyDescent="0.25">
      <c r="B19" s="23" t="s">
        <v>46</v>
      </c>
      <c r="C19" s="50">
        <v>2</v>
      </c>
      <c r="D19" s="50">
        <v>2</v>
      </c>
      <c r="E19" s="50">
        <v>1</v>
      </c>
      <c r="F19" s="50">
        <v>5</v>
      </c>
      <c r="G19" s="50">
        <v>0</v>
      </c>
      <c r="H19" s="50">
        <v>1</v>
      </c>
      <c r="I19" s="50">
        <v>0</v>
      </c>
      <c r="J19" s="50">
        <v>3</v>
      </c>
      <c r="K19" s="50">
        <v>2</v>
      </c>
      <c r="L19" s="50">
        <v>12</v>
      </c>
      <c r="M19" s="50">
        <v>3</v>
      </c>
      <c r="N19" s="50">
        <v>0</v>
      </c>
      <c r="O19" s="15">
        <f t="shared" si="0"/>
        <v>28</v>
      </c>
      <c r="P19" s="15">
        <f t="shared" si="1"/>
        <v>31</v>
      </c>
      <c r="R19" s="1" t="s">
        <v>15</v>
      </c>
      <c r="S19" s="17">
        <f t="shared" ref="S19:AF19" si="11">SUM(C46:C49)</f>
        <v>12</v>
      </c>
      <c r="T19" s="17">
        <f t="shared" si="11"/>
        <v>7</v>
      </c>
      <c r="U19" s="17">
        <f t="shared" si="11"/>
        <v>5</v>
      </c>
      <c r="V19" s="17">
        <f t="shared" si="11"/>
        <v>25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8</v>
      </c>
      <c r="AA19" s="17">
        <f t="shared" si="11"/>
        <v>2</v>
      </c>
      <c r="AB19" s="17">
        <f t="shared" si="11"/>
        <v>38</v>
      </c>
      <c r="AC19" s="17">
        <f t="shared" si="11"/>
        <v>15</v>
      </c>
      <c r="AD19" s="17">
        <f t="shared" si="11"/>
        <v>0</v>
      </c>
      <c r="AE19" s="31">
        <f t="shared" si="11"/>
        <v>99</v>
      </c>
      <c r="AF19" s="31">
        <f t="shared" si="11"/>
        <v>114</v>
      </c>
    </row>
    <row r="20" spans="2:32" ht="23.1" customHeight="1" x14ac:dyDescent="0.25">
      <c r="B20" s="23" t="s">
        <v>47</v>
      </c>
      <c r="C20" s="50">
        <v>4</v>
      </c>
      <c r="D20" s="50">
        <v>2</v>
      </c>
      <c r="E20" s="50">
        <v>1</v>
      </c>
      <c r="F20" s="50">
        <v>7</v>
      </c>
      <c r="G20" s="50">
        <v>0</v>
      </c>
      <c r="H20" s="50">
        <v>0</v>
      </c>
      <c r="I20" s="50">
        <v>1</v>
      </c>
      <c r="J20" s="50">
        <v>3</v>
      </c>
      <c r="K20" s="50">
        <v>1</v>
      </c>
      <c r="L20" s="50">
        <v>12</v>
      </c>
      <c r="M20" s="50">
        <v>3</v>
      </c>
      <c r="N20" s="50">
        <v>0</v>
      </c>
      <c r="O20" s="15">
        <f t="shared" si="0"/>
        <v>31</v>
      </c>
      <c r="P20" s="15">
        <f t="shared" si="1"/>
        <v>34</v>
      </c>
      <c r="R20" s="1" t="s">
        <v>16</v>
      </c>
      <c r="S20" s="17">
        <f t="shared" ref="S20:AF20" si="12">SUM(C50:C53)</f>
        <v>20</v>
      </c>
      <c r="T20" s="17">
        <f t="shared" si="12"/>
        <v>18</v>
      </c>
      <c r="U20" s="17">
        <f t="shared" si="12"/>
        <v>5</v>
      </c>
      <c r="V20" s="17">
        <f t="shared" si="12"/>
        <v>17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12</v>
      </c>
      <c r="AA20" s="17">
        <f t="shared" si="12"/>
        <v>6</v>
      </c>
      <c r="AB20" s="17">
        <f t="shared" si="12"/>
        <v>43</v>
      </c>
      <c r="AC20" s="17">
        <f t="shared" si="12"/>
        <v>14</v>
      </c>
      <c r="AD20" s="17">
        <f t="shared" si="12"/>
        <v>0</v>
      </c>
      <c r="AE20" s="31">
        <f t="shared" si="12"/>
        <v>128</v>
      </c>
      <c r="AF20" s="31">
        <f t="shared" si="12"/>
        <v>142</v>
      </c>
    </row>
    <row r="21" spans="2:32" ht="23.1" customHeight="1" x14ac:dyDescent="0.25">
      <c r="B21" s="23" t="s">
        <v>48</v>
      </c>
      <c r="C21" s="50">
        <v>1</v>
      </c>
      <c r="D21" s="50">
        <v>3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8</v>
      </c>
      <c r="M21" s="50">
        <v>3</v>
      </c>
      <c r="N21" s="50">
        <v>0</v>
      </c>
      <c r="O21" s="15">
        <f t="shared" si="0"/>
        <v>13</v>
      </c>
      <c r="P21" s="15">
        <f t="shared" si="1"/>
        <v>16</v>
      </c>
      <c r="R21" s="36" t="s">
        <v>20</v>
      </c>
      <c r="S21" s="34">
        <f t="shared" ref="S21:AF21" si="13">SUM(C54:C57)</f>
        <v>15</v>
      </c>
      <c r="T21" s="17">
        <f t="shared" si="13"/>
        <v>18</v>
      </c>
      <c r="U21" s="17">
        <f t="shared" si="13"/>
        <v>11</v>
      </c>
      <c r="V21" s="17">
        <f t="shared" si="13"/>
        <v>10</v>
      </c>
      <c r="W21" s="17">
        <f t="shared" si="13"/>
        <v>4</v>
      </c>
      <c r="X21" s="17">
        <f t="shared" si="13"/>
        <v>3</v>
      </c>
      <c r="Y21" s="17">
        <f t="shared" si="13"/>
        <v>4</v>
      </c>
      <c r="Z21" s="17">
        <f t="shared" si="13"/>
        <v>5</v>
      </c>
      <c r="AA21" s="17">
        <f t="shared" si="13"/>
        <v>13</v>
      </c>
      <c r="AB21" s="17">
        <f t="shared" si="13"/>
        <v>43</v>
      </c>
      <c r="AC21" s="17">
        <f t="shared" si="13"/>
        <v>16</v>
      </c>
      <c r="AD21" s="17">
        <f t="shared" si="13"/>
        <v>0</v>
      </c>
      <c r="AE21" s="31">
        <f t="shared" si="13"/>
        <v>126</v>
      </c>
      <c r="AF21" s="31">
        <f t="shared" si="13"/>
        <v>142</v>
      </c>
    </row>
    <row r="22" spans="2:32" ht="23.1" customHeight="1" x14ac:dyDescent="0.25">
      <c r="B22" s="23" t="s">
        <v>49</v>
      </c>
      <c r="C22" s="50">
        <v>2</v>
      </c>
      <c r="D22" s="50">
        <v>3</v>
      </c>
      <c r="E22" s="50">
        <v>1</v>
      </c>
      <c r="F22" s="50">
        <v>6</v>
      </c>
      <c r="G22" s="50">
        <v>0</v>
      </c>
      <c r="H22" s="50">
        <v>0</v>
      </c>
      <c r="I22" s="50">
        <v>1</v>
      </c>
      <c r="J22" s="50">
        <v>1</v>
      </c>
      <c r="K22" s="50">
        <v>1</v>
      </c>
      <c r="L22" s="50">
        <v>11</v>
      </c>
      <c r="M22" s="50">
        <v>2</v>
      </c>
      <c r="N22" s="50">
        <v>0</v>
      </c>
      <c r="O22" s="15">
        <f t="shared" si="0"/>
        <v>26</v>
      </c>
      <c r="P22" s="15">
        <f t="shared" si="1"/>
        <v>28</v>
      </c>
      <c r="R22" s="38" t="s">
        <v>90</v>
      </c>
      <c r="S22" s="39">
        <f>MAX(S10:S12)</f>
        <v>7</v>
      </c>
      <c r="T22" s="39">
        <f t="shared" ref="T22:AF22" si="14">MAX(T10:T12)</f>
        <v>7</v>
      </c>
      <c r="U22" s="39">
        <f t="shared" si="14"/>
        <v>7</v>
      </c>
      <c r="V22" s="39">
        <f t="shared" si="14"/>
        <v>15</v>
      </c>
      <c r="W22" s="39">
        <f t="shared" si="14"/>
        <v>1</v>
      </c>
      <c r="X22" s="39">
        <f t="shared" si="14"/>
        <v>1</v>
      </c>
      <c r="Y22" s="39">
        <f t="shared" si="14"/>
        <v>1</v>
      </c>
      <c r="Z22" s="39">
        <f t="shared" si="14"/>
        <v>8</v>
      </c>
      <c r="AA22" s="39">
        <f t="shared" si="14"/>
        <v>6</v>
      </c>
      <c r="AB22" s="39">
        <f t="shared" si="14"/>
        <v>63</v>
      </c>
      <c r="AC22" s="39">
        <f t="shared" si="14"/>
        <v>12</v>
      </c>
      <c r="AD22" s="39">
        <f t="shared" si="14"/>
        <v>0</v>
      </c>
      <c r="AE22" s="40">
        <f t="shared" si="14"/>
        <v>99</v>
      </c>
      <c r="AF22" s="40">
        <f t="shared" si="14"/>
        <v>101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1</v>
      </c>
      <c r="F23" s="50">
        <v>4</v>
      </c>
      <c r="G23" s="50">
        <v>0</v>
      </c>
      <c r="H23" s="50">
        <v>0</v>
      </c>
      <c r="I23" s="50">
        <v>0</v>
      </c>
      <c r="J23" s="50">
        <v>3</v>
      </c>
      <c r="K23" s="50">
        <v>0</v>
      </c>
      <c r="L23" s="50">
        <v>14</v>
      </c>
      <c r="M23" s="50">
        <v>2</v>
      </c>
      <c r="N23" s="50">
        <v>0</v>
      </c>
      <c r="O23" s="15">
        <f t="shared" si="0"/>
        <v>25</v>
      </c>
      <c r="P23" s="15">
        <f t="shared" si="1"/>
        <v>27</v>
      </c>
      <c r="R23" s="38" t="s">
        <v>91</v>
      </c>
      <c r="S23" s="39">
        <f>MAX(S13:S18)</f>
        <v>22</v>
      </c>
      <c r="T23" s="39">
        <f t="shared" ref="T23:AF23" si="15">MAX(T13:T18)</f>
        <v>20</v>
      </c>
      <c r="U23" s="39">
        <f t="shared" si="15"/>
        <v>6</v>
      </c>
      <c r="V23" s="39">
        <f t="shared" si="15"/>
        <v>19</v>
      </c>
      <c r="W23" s="39">
        <f t="shared" si="15"/>
        <v>1</v>
      </c>
      <c r="X23" s="39">
        <f t="shared" si="15"/>
        <v>6</v>
      </c>
      <c r="Y23" s="39">
        <f t="shared" si="15"/>
        <v>4</v>
      </c>
      <c r="Z23" s="39">
        <f t="shared" si="15"/>
        <v>9</v>
      </c>
      <c r="AA23" s="39">
        <f t="shared" si="15"/>
        <v>6</v>
      </c>
      <c r="AB23" s="39">
        <f t="shared" si="15"/>
        <v>40</v>
      </c>
      <c r="AC23" s="39">
        <f t="shared" si="15"/>
        <v>16</v>
      </c>
      <c r="AD23" s="39">
        <f t="shared" si="15"/>
        <v>0</v>
      </c>
      <c r="AE23" s="40">
        <f t="shared" si="15"/>
        <v>106</v>
      </c>
      <c r="AF23" s="40">
        <f t="shared" si="15"/>
        <v>122</v>
      </c>
    </row>
    <row r="24" spans="2:32" ht="23.1" customHeight="1" x14ac:dyDescent="0.25">
      <c r="B24" s="23" t="s">
        <v>51</v>
      </c>
      <c r="C24" s="50">
        <v>5</v>
      </c>
      <c r="D24" s="50">
        <v>2</v>
      </c>
      <c r="E24" s="50">
        <v>0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2</v>
      </c>
      <c r="L24" s="50">
        <v>6</v>
      </c>
      <c r="M24" s="50">
        <v>3</v>
      </c>
      <c r="N24" s="50">
        <v>0</v>
      </c>
      <c r="O24" s="15">
        <f t="shared" si="0"/>
        <v>18</v>
      </c>
      <c r="P24" s="15">
        <f t="shared" si="1"/>
        <v>21</v>
      </c>
      <c r="R24" s="38" t="s">
        <v>92</v>
      </c>
      <c r="S24" s="39">
        <f>MAX(S19:S21)</f>
        <v>20</v>
      </c>
      <c r="T24" s="39">
        <f t="shared" ref="T24:AF24" si="16">MAX(T19:T21)</f>
        <v>18</v>
      </c>
      <c r="U24" s="39">
        <f t="shared" si="16"/>
        <v>11</v>
      </c>
      <c r="V24" s="39">
        <f t="shared" si="16"/>
        <v>25</v>
      </c>
      <c r="W24" s="39">
        <f t="shared" si="16"/>
        <v>4</v>
      </c>
      <c r="X24" s="39">
        <f t="shared" si="16"/>
        <v>3</v>
      </c>
      <c r="Y24" s="39">
        <f t="shared" si="16"/>
        <v>7</v>
      </c>
      <c r="Z24" s="39">
        <f t="shared" si="16"/>
        <v>12</v>
      </c>
      <c r="AA24" s="39">
        <f t="shared" si="16"/>
        <v>13</v>
      </c>
      <c r="AB24" s="39">
        <f t="shared" si="16"/>
        <v>43</v>
      </c>
      <c r="AC24" s="39">
        <f t="shared" si="16"/>
        <v>16</v>
      </c>
      <c r="AD24" s="39">
        <f t="shared" si="16"/>
        <v>0</v>
      </c>
      <c r="AE24" s="40">
        <f t="shared" si="16"/>
        <v>128</v>
      </c>
      <c r="AF24" s="40">
        <f t="shared" si="16"/>
        <v>142</v>
      </c>
    </row>
    <row r="25" spans="2:32" ht="23.1" customHeight="1" x14ac:dyDescent="0.25">
      <c r="B25" s="23" t="s">
        <v>52</v>
      </c>
      <c r="C25" s="50">
        <v>7</v>
      </c>
      <c r="D25" s="50">
        <v>2</v>
      </c>
      <c r="E25" s="50">
        <v>3</v>
      </c>
      <c r="F25" s="50">
        <v>6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5</v>
      </c>
      <c r="M25" s="50">
        <v>2</v>
      </c>
      <c r="N25" s="50">
        <v>0</v>
      </c>
      <c r="O25" s="15">
        <f t="shared" si="0"/>
        <v>23</v>
      </c>
      <c r="P25" s="15">
        <f t="shared" si="1"/>
        <v>25</v>
      </c>
      <c r="R25" s="37" t="s">
        <v>85</v>
      </c>
      <c r="S25" s="35">
        <f t="shared" ref="S25:AF25" si="17">SUM(S10:S12)</f>
        <v>12</v>
      </c>
      <c r="T25" s="16">
        <f t="shared" si="17"/>
        <v>19</v>
      </c>
      <c r="U25" s="16">
        <f t="shared" si="17"/>
        <v>10</v>
      </c>
      <c r="V25" s="16">
        <f t="shared" si="17"/>
        <v>36</v>
      </c>
      <c r="W25" s="16">
        <f t="shared" si="17"/>
        <v>1</v>
      </c>
      <c r="X25" s="16">
        <f t="shared" si="17"/>
        <v>2</v>
      </c>
      <c r="Y25" s="16">
        <f t="shared" si="17"/>
        <v>2</v>
      </c>
      <c r="Z25" s="16">
        <f t="shared" si="17"/>
        <v>11</v>
      </c>
      <c r="AA25" s="16">
        <f t="shared" si="17"/>
        <v>13</v>
      </c>
      <c r="AB25" s="16">
        <f t="shared" si="17"/>
        <v>148</v>
      </c>
      <c r="AC25" s="16">
        <f t="shared" si="17"/>
        <v>24</v>
      </c>
      <c r="AD25" s="16">
        <f t="shared" si="17"/>
        <v>0</v>
      </c>
      <c r="AE25" s="32">
        <f t="shared" si="17"/>
        <v>254</v>
      </c>
      <c r="AF25" s="32">
        <f t="shared" si="17"/>
        <v>278</v>
      </c>
    </row>
    <row r="26" spans="2:32" ht="23.1" customHeight="1" x14ac:dyDescent="0.25">
      <c r="B26" s="23" t="s">
        <v>53</v>
      </c>
      <c r="C26" s="50">
        <v>5</v>
      </c>
      <c r="D26" s="50">
        <v>8</v>
      </c>
      <c r="E26" s="50">
        <v>0</v>
      </c>
      <c r="F26" s="50">
        <v>5</v>
      </c>
      <c r="G26" s="50">
        <v>0</v>
      </c>
      <c r="H26" s="50">
        <v>0</v>
      </c>
      <c r="I26" s="50">
        <v>3</v>
      </c>
      <c r="J26" s="50">
        <v>2</v>
      </c>
      <c r="K26" s="50">
        <v>1</v>
      </c>
      <c r="L26" s="50">
        <v>10</v>
      </c>
      <c r="M26" s="50">
        <v>2</v>
      </c>
      <c r="N26" s="50">
        <v>0</v>
      </c>
      <c r="O26" s="15">
        <f t="shared" si="0"/>
        <v>34</v>
      </c>
      <c r="P26" s="15">
        <f t="shared" si="1"/>
        <v>36</v>
      </c>
      <c r="R26" s="28" t="s">
        <v>86</v>
      </c>
      <c r="S26" s="16">
        <f t="shared" ref="S26:AF26" si="18">SUM(S13:S18)</f>
        <v>97</v>
      </c>
      <c r="T26" s="16">
        <f t="shared" si="18"/>
        <v>67</v>
      </c>
      <c r="U26" s="16">
        <f t="shared" si="18"/>
        <v>20</v>
      </c>
      <c r="V26" s="16">
        <f t="shared" si="18"/>
        <v>99</v>
      </c>
      <c r="W26" s="16">
        <f t="shared" si="18"/>
        <v>2</v>
      </c>
      <c r="X26" s="16">
        <f t="shared" si="18"/>
        <v>7</v>
      </c>
      <c r="Y26" s="16">
        <f t="shared" si="18"/>
        <v>16</v>
      </c>
      <c r="Z26" s="16">
        <f t="shared" si="18"/>
        <v>39</v>
      </c>
      <c r="AA26" s="16">
        <f t="shared" si="18"/>
        <v>17</v>
      </c>
      <c r="AB26" s="16">
        <f t="shared" si="18"/>
        <v>210</v>
      </c>
      <c r="AC26" s="16">
        <f t="shared" si="18"/>
        <v>64</v>
      </c>
      <c r="AD26" s="16">
        <f t="shared" si="18"/>
        <v>0</v>
      </c>
      <c r="AE26" s="32">
        <f t="shared" si="18"/>
        <v>574</v>
      </c>
      <c r="AF26" s="32">
        <f t="shared" si="18"/>
        <v>638</v>
      </c>
    </row>
    <row r="27" spans="2:32" ht="23.1" customHeight="1" x14ac:dyDescent="0.25">
      <c r="B27" s="23" t="s">
        <v>54</v>
      </c>
      <c r="C27" s="50">
        <v>3</v>
      </c>
      <c r="D27" s="50">
        <v>2</v>
      </c>
      <c r="E27" s="50">
        <v>2</v>
      </c>
      <c r="F27" s="50">
        <v>5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7</v>
      </c>
      <c r="M27" s="50">
        <v>2</v>
      </c>
      <c r="N27" s="50">
        <v>0</v>
      </c>
      <c r="O27" s="15">
        <f t="shared" si="0"/>
        <v>19</v>
      </c>
      <c r="P27" s="15">
        <f t="shared" si="1"/>
        <v>21</v>
      </c>
      <c r="R27" s="29" t="s">
        <v>87</v>
      </c>
      <c r="S27" s="16">
        <f t="shared" ref="S27:AF27" si="19">SUM(S19:S21)</f>
        <v>47</v>
      </c>
      <c r="T27" s="16">
        <f t="shared" si="19"/>
        <v>43</v>
      </c>
      <c r="U27" s="16">
        <f t="shared" si="19"/>
        <v>21</v>
      </c>
      <c r="V27" s="16">
        <f t="shared" si="19"/>
        <v>52</v>
      </c>
      <c r="W27" s="16">
        <f t="shared" si="19"/>
        <v>4</v>
      </c>
      <c r="X27" s="16">
        <f t="shared" si="19"/>
        <v>3</v>
      </c>
      <c r="Y27" s="16">
        <f t="shared" si="19"/>
        <v>13</v>
      </c>
      <c r="Z27" s="16">
        <f t="shared" si="19"/>
        <v>25</v>
      </c>
      <c r="AA27" s="16">
        <f t="shared" si="19"/>
        <v>21</v>
      </c>
      <c r="AB27" s="16">
        <f t="shared" si="19"/>
        <v>124</v>
      </c>
      <c r="AC27" s="16">
        <f t="shared" si="19"/>
        <v>45</v>
      </c>
      <c r="AD27" s="16">
        <f t="shared" si="19"/>
        <v>0</v>
      </c>
      <c r="AE27" s="32">
        <f t="shared" si="19"/>
        <v>353</v>
      </c>
      <c r="AF27" s="32">
        <f t="shared" si="19"/>
        <v>398</v>
      </c>
    </row>
    <row r="28" spans="2:32" ht="23.1" customHeight="1" x14ac:dyDescent="0.25">
      <c r="B28" s="23" t="s">
        <v>55</v>
      </c>
      <c r="C28" s="50">
        <v>8</v>
      </c>
      <c r="D28" s="50">
        <v>5</v>
      </c>
      <c r="E28" s="50">
        <v>1</v>
      </c>
      <c r="F28" s="50">
        <v>4</v>
      </c>
      <c r="G28" s="50">
        <v>0</v>
      </c>
      <c r="H28" s="50">
        <v>0</v>
      </c>
      <c r="I28" s="50">
        <v>0</v>
      </c>
      <c r="J28" s="50">
        <v>3</v>
      </c>
      <c r="K28" s="50">
        <v>1</v>
      </c>
      <c r="L28" s="50">
        <v>10</v>
      </c>
      <c r="M28" s="50">
        <v>5</v>
      </c>
      <c r="N28" s="50">
        <v>0</v>
      </c>
      <c r="O28" s="15">
        <f t="shared" si="0"/>
        <v>32</v>
      </c>
      <c r="P28" s="15">
        <f t="shared" si="1"/>
        <v>37</v>
      </c>
      <c r="R28" s="5" t="s">
        <v>17</v>
      </c>
      <c r="S28" s="16">
        <f t="shared" ref="S28:AF28" si="20">SUM(S10:S21)</f>
        <v>156</v>
      </c>
      <c r="T28" s="16">
        <f t="shared" si="20"/>
        <v>129</v>
      </c>
      <c r="U28" s="16">
        <f t="shared" si="20"/>
        <v>51</v>
      </c>
      <c r="V28" s="16">
        <f t="shared" si="20"/>
        <v>187</v>
      </c>
      <c r="W28" s="16">
        <f t="shared" si="20"/>
        <v>7</v>
      </c>
      <c r="X28" s="16">
        <f t="shared" si="20"/>
        <v>12</v>
      </c>
      <c r="Y28" s="16">
        <f t="shared" si="20"/>
        <v>31</v>
      </c>
      <c r="Z28" s="16">
        <f t="shared" si="20"/>
        <v>75</v>
      </c>
      <c r="AA28" s="16">
        <f t="shared" si="20"/>
        <v>51</v>
      </c>
      <c r="AB28" s="16">
        <f t="shared" si="20"/>
        <v>482</v>
      </c>
      <c r="AC28" s="16">
        <f t="shared" si="20"/>
        <v>133</v>
      </c>
      <c r="AD28" s="16">
        <f t="shared" si="20"/>
        <v>0</v>
      </c>
      <c r="AE28" s="32">
        <f t="shared" si="20"/>
        <v>1181</v>
      </c>
      <c r="AF28" s="32">
        <f t="shared" si="20"/>
        <v>1314</v>
      </c>
    </row>
    <row r="29" spans="2:32" ht="23.1" customHeight="1" x14ac:dyDescent="0.25">
      <c r="B29" s="23" t="s">
        <v>56</v>
      </c>
      <c r="C29" s="50">
        <v>6</v>
      </c>
      <c r="D29" s="50">
        <v>5</v>
      </c>
      <c r="E29" s="50">
        <v>0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7</v>
      </c>
      <c r="M29" s="50">
        <v>7</v>
      </c>
      <c r="N29" s="50">
        <v>0</v>
      </c>
      <c r="O29" s="15">
        <f t="shared" si="0"/>
        <v>21</v>
      </c>
      <c r="P29" s="15">
        <f t="shared" si="1"/>
        <v>28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4</v>
      </c>
      <c r="E30" s="50">
        <v>0</v>
      </c>
      <c r="F30" s="50">
        <v>5</v>
      </c>
      <c r="G30" s="50">
        <v>0</v>
      </c>
      <c r="H30" s="50">
        <v>0</v>
      </c>
      <c r="I30" s="50">
        <v>0</v>
      </c>
      <c r="J30" s="50">
        <v>1</v>
      </c>
      <c r="K30" s="50">
        <v>3</v>
      </c>
      <c r="L30" s="50">
        <v>3</v>
      </c>
      <c r="M30" s="50">
        <v>4</v>
      </c>
      <c r="N30" s="50">
        <v>0</v>
      </c>
      <c r="O30" s="15">
        <f t="shared" si="0"/>
        <v>18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3</v>
      </c>
      <c r="D31" s="50">
        <v>2</v>
      </c>
      <c r="E31" s="50">
        <v>1</v>
      </c>
      <c r="F31" s="50">
        <v>4</v>
      </c>
      <c r="G31" s="50">
        <v>0</v>
      </c>
      <c r="H31" s="50">
        <v>0</v>
      </c>
      <c r="I31" s="50">
        <v>2</v>
      </c>
      <c r="J31" s="50">
        <v>4</v>
      </c>
      <c r="K31" s="50">
        <v>2</v>
      </c>
      <c r="L31" s="50">
        <v>4</v>
      </c>
      <c r="M31" s="50">
        <v>1</v>
      </c>
      <c r="N31" s="50">
        <v>0</v>
      </c>
      <c r="O31" s="15">
        <f t="shared" si="0"/>
        <v>22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4</v>
      </c>
      <c r="D32" s="50">
        <v>7</v>
      </c>
      <c r="E32" s="50">
        <v>1</v>
      </c>
      <c r="F32" s="50">
        <v>5</v>
      </c>
      <c r="G32" s="50">
        <v>0</v>
      </c>
      <c r="H32" s="50">
        <v>0</v>
      </c>
      <c r="I32" s="50">
        <v>0</v>
      </c>
      <c r="J32" s="50">
        <v>1</v>
      </c>
      <c r="K32" s="50">
        <v>1</v>
      </c>
      <c r="L32" s="50">
        <v>11</v>
      </c>
      <c r="M32" s="50">
        <v>5</v>
      </c>
      <c r="N32" s="50">
        <v>0</v>
      </c>
      <c r="O32" s="15">
        <f t="shared" si="0"/>
        <v>30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3</v>
      </c>
      <c r="D33" s="50">
        <v>5</v>
      </c>
      <c r="E33" s="50">
        <v>1</v>
      </c>
      <c r="F33" s="50">
        <v>3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10</v>
      </c>
      <c r="M33" s="50">
        <v>3</v>
      </c>
      <c r="N33" s="50">
        <v>0</v>
      </c>
      <c r="O33" s="15">
        <f t="shared" si="0"/>
        <v>23</v>
      </c>
      <c r="P33" s="15">
        <f t="shared" si="1"/>
        <v>26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0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9</v>
      </c>
      <c r="M34" s="50">
        <v>4</v>
      </c>
      <c r="N34" s="50">
        <v>0</v>
      </c>
      <c r="O34" s="15">
        <f t="shared" si="0"/>
        <v>16</v>
      </c>
      <c r="P34" s="15">
        <f t="shared" si="1"/>
        <v>20</v>
      </c>
    </row>
    <row r="35" spans="2:20" ht="23.1" customHeight="1" x14ac:dyDescent="0.25">
      <c r="B35" s="24" t="s">
        <v>62</v>
      </c>
      <c r="C35" s="50">
        <v>2</v>
      </c>
      <c r="D35" s="50">
        <v>3</v>
      </c>
      <c r="E35" s="50">
        <v>2</v>
      </c>
      <c r="F35" s="50">
        <v>3</v>
      </c>
      <c r="G35" s="50">
        <v>1</v>
      </c>
      <c r="H35" s="50">
        <v>4</v>
      </c>
      <c r="I35" s="50">
        <v>3</v>
      </c>
      <c r="J35" s="50">
        <v>1</v>
      </c>
      <c r="K35" s="50">
        <v>0</v>
      </c>
      <c r="L35" s="50">
        <v>3</v>
      </c>
      <c r="M35" s="50">
        <v>2</v>
      </c>
      <c r="N35" s="50">
        <v>0</v>
      </c>
      <c r="O35" s="15">
        <f t="shared" si="0"/>
        <v>22</v>
      </c>
      <c r="P35" s="15">
        <f t="shared" si="1"/>
        <v>24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0</v>
      </c>
      <c r="F36" s="50">
        <v>5</v>
      </c>
      <c r="G36" s="50">
        <v>0</v>
      </c>
      <c r="H36" s="50">
        <v>2</v>
      </c>
      <c r="I36" s="50">
        <v>1</v>
      </c>
      <c r="J36" s="50">
        <v>0</v>
      </c>
      <c r="K36" s="50">
        <v>0</v>
      </c>
      <c r="L36" s="50">
        <v>14</v>
      </c>
      <c r="M36" s="50">
        <v>1</v>
      </c>
      <c r="N36" s="50">
        <v>0</v>
      </c>
      <c r="O36" s="15">
        <f t="shared" si="0"/>
        <v>29</v>
      </c>
      <c r="P36" s="15">
        <f t="shared" si="1"/>
        <v>30</v>
      </c>
    </row>
    <row r="37" spans="2:20" ht="23.1" customHeight="1" x14ac:dyDescent="0.25">
      <c r="B37" s="23" t="s">
        <v>64</v>
      </c>
      <c r="C37" s="50">
        <v>5</v>
      </c>
      <c r="D37" s="50">
        <v>4</v>
      </c>
      <c r="E37" s="50">
        <v>4</v>
      </c>
      <c r="F37" s="50">
        <v>5</v>
      </c>
      <c r="G37" s="50">
        <v>0</v>
      </c>
      <c r="H37" s="50">
        <v>0</v>
      </c>
      <c r="I37" s="50">
        <v>0</v>
      </c>
      <c r="J37" s="50">
        <v>4</v>
      </c>
      <c r="K37" s="50">
        <v>2</v>
      </c>
      <c r="L37" s="50">
        <v>14</v>
      </c>
      <c r="M37" s="50">
        <v>3</v>
      </c>
      <c r="N37" s="50">
        <v>0</v>
      </c>
      <c r="O37" s="15">
        <f t="shared" si="0"/>
        <v>38</v>
      </c>
      <c r="P37" s="15">
        <f t="shared" si="1"/>
        <v>41</v>
      </c>
    </row>
    <row r="38" spans="2:20" ht="23.1" customHeight="1" x14ac:dyDescent="0.25">
      <c r="B38" s="24" t="s">
        <v>65</v>
      </c>
      <c r="C38" s="50">
        <v>4</v>
      </c>
      <c r="D38" s="50">
        <v>3</v>
      </c>
      <c r="E38" s="50">
        <v>2</v>
      </c>
      <c r="F38" s="50">
        <v>3</v>
      </c>
      <c r="G38" s="50">
        <v>0</v>
      </c>
      <c r="H38" s="50">
        <v>0</v>
      </c>
      <c r="I38" s="50">
        <v>0</v>
      </c>
      <c r="J38" s="50">
        <v>5</v>
      </c>
      <c r="K38" s="50">
        <v>0</v>
      </c>
      <c r="L38" s="50">
        <v>9</v>
      </c>
      <c r="M38" s="50">
        <v>2</v>
      </c>
      <c r="N38" s="50">
        <v>0</v>
      </c>
      <c r="O38" s="15">
        <f t="shared" si="0"/>
        <v>26</v>
      </c>
      <c r="P38" s="15">
        <f t="shared" si="1"/>
        <v>28</v>
      </c>
    </row>
    <row r="39" spans="2:20" ht="23.1" customHeight="1" x14ac:dyDescent="0.25">
      <c r="B39" s="24" t="s">
        <v>66</v>
      </c>
      <c r="C39" s="50">
        <v>7</v>
      </c>
      <c r="D39" s="50">
        <v>3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6</v>
      </c>
      <c r="M39" s="50">
        <v>1</v>
      </c>
      <c r="N39" s="50">
        <v>0</v>
      </c>
      <c r="O39" s="15">
        <f t="shared" si="0"/>
        <v>17</v>
      </c>
      <c r="P39" s="15">
        <f t="shared" si="1"/>
        <v>18</v>
      </c>
    </row>
    <row r="40" spans="2:20" ht="23.1" customHeight="1" x14ac:dyDescent="0.25">
      <c r="B40" s="24" t="s">
        <v>67</v>
      </c>
      <c r="C40" s="50">
        <v>6</v>
      </c>
      <c r="D40" s="50">
        <v>3</v>
      </c>
      <c r="E40" s="50">
        <v>0</v>
      </c>
      <c r="F40" s="50">
        <v>6</v>
      </c>
      <c r="G40" s="50">
        <v>0</v>
      </c>
      <c r="H40" s="50">
        <v>1</v>
      </c>
      <c r="I40" s="50">
        <v>1</v>
      </c>
      <c r="J40" s="50">
        <v>3</v>
      </c>
      <c r="K40" s="50">
        <v>2</v>
      </c>
      <c r="L40" s="50">
        <v>11</v>
      </c>
      <c r="M40" s="50">
        <v>1</v>
      </c>
      <c r="N40" s="50">
        <v>0</v>
      </c>
      <c r="O40" s="15">
        <f t="shared" si="0"/>
        <v>33</v>
      </c>
      <c r="P40" s="15">
        <f t="shared" si="1"/>
        <v>34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6</v>
      </c>
      <c r="M41" s="50">
        <v>2</v>
      </c>
      <c r="N41" s="50">
        <v>0</v>
      </c>
      <c r="O41" s="15">
        <f t="shared" si="0"/>
        <v>16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6</v>
      </c>
      <c r="M42" s="50">
        <v>2</v>
      </c>
      <c r="N42" s="50">
        <v>0</v>
      </c>
      <c r="O42" s="15">
        <f t="shared" si="0"/>
        <v>13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0</v>
      </c>
      <c r="F43" s="50">
        <v>4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11</v>
      </c>
      <c r="M43" s="50">
        <v>2</v>
      </c>
      <c r="N43" s="50">
        <v>0</v>
      </c>
      <c r="O43" s="15">
        <f t="shared" si="0"/>
        <v>20</v>
      </c>
      <c r="P43" s="15">
        <f t="shared" si="1"/>
        <v>22</v>
      </c>
    </row>
    <row r="44" spans="2:20" ht="23.1" customHeight="1" x14ac:dyDescent="0.25">
      <c r="B44" s="25" t="s">
        <v>71</v>
      </c>
      <c r="C44" s="50">
        <v>1</v>
      </c>
      <c r="D44" s="50">
        <v>3</v>
      </c>
      <c r="E44" s="50">
        <v>0</v>
      </c>
      <c r="F44" s="50">
        <v>6</v>
      </c>
      <c r="G44" s="50">
        <v>0</v>
      </c>
      <c r="H44" s="50">
        <v>0</v>
      </c>
      <c r="I44" s="50">
        <v>2</v>
      </c>
      <c r="J44" s="50">
        <v>3</v>
      </c>
      <c r="K44" s="50">
        <v>1</v>
      </c>
      <c r="L44" s="50">
        <v>8</v>
      </c>
      <c r="M44" s="50">
        <v>2</v>
      </c>
      <c r="N44" s="50">
        <v>0</v>
      </c>
      <c r="O44" s="15">
        <f t="shared" si="0"/>
        <v>24</v>
      </c>
      <c r="P44" s="15">
        <f t="shared" si="1"/>
        <v>26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0</v>
      </c>
      <c r="F45" s="50">
        <v>5</v>
      </c>
      <c r="G45" s="50">
        <v>1</v>
      </c>
      <c r="H45" s="50">
        <v>0</v>
      </c>
      <c r="I45" s="50">
        <v>1</v>
      </c>
      <c r="J45" s="50">
        <v>4</v>
      </c>
      <c r="K45" s="50">
        <v>0</v>
      </c>
      <c r="L45" s="50">
        <v>15</v>
      </c>
      <c r="M45" s="50">
        <v>4</v>
      </c>
      <c r="N45" s="50">
        <v>0</v>
      </c>
      <c r="O45" s="15">
        <f t="shared" si="0"/>
        <v>29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2</v>
      </c>
      <c r="F46" s="50">
        <v>10</v>
      </c>
      <c r="G46" s="50">
        <v>0</v>
      </c>
      <c r="H46" s="50">
        <v>0</v>
      </c>
      <c r="I46" s="50">
        <v>1</v>
      </c>
      <c r="J46" s="50">
        <v>2</v>
      </c>
      <c r="K46" s="50">
        <v>1</v>
      </c>
      <c r="L46" s="50">
        <v>13</v>
      </c>
      <c r="M46" s="50">
        <v>3</v>
      </c>
      <c r="N46" s="50">
        <v>0</v>
      </c>
      <c r="O46" s="15">
        <f t="shared" si="0"/>
        <v>31</v>
      </c>
      <c r="P46" s="15">
        <f t="shared" si="1"/>
        <v>34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6</v>
      </c>
      <c r="G47" s="50">
        <v>0</v>
      </c>
      <c r="H47" s="50">
        <v>0</v>
      </c>
      <c r="I47" s="50">
        <v>1</v>
      </c>
      <c r="J47" s="50">
        <v>4</v>
      </c>
      <c r="K47" s="50">
        <v>0</v>
      </c>
      <c r="L47" s="50">
        <v>7</v>
      </c>
      <c r="M47" s="50">
        <v>4</v>
      </c>
      <c r="N47" s="50">
        <v>0</v>
      </c>
      <c r="O47" s="15">
        <f t="shared" si="0"/>
        <v>20</v>
      </c>
      <c r="P47" s="15">
        <f t="shared" si="1"/>
        <v>24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2</v>
      </c>
      <c r="E48" s="50">
        <v>1</v>
      </c>
      <c r="F48" s="50">
        <v>4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8</v>
      </c>
      <c r="M48" s="50">
        <v>4</v>
      </c>
      <c r="N48" s="50">
        <v>0</v>
      </c>
      <c r="O48" s="15">
        <f t="shared" si="0"/>
        <v>24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4</v>
      </c>
      <c r="E49" s="50">
        <v>1</v>
      </c>
      <c r="F49" s="50">
        <v>5</v>
      </c>
      <c r="G49" s="50">
        <v>0</v>
      </c>
      <c r="H49" s="50">
        <v>0</v>
      </c>
      <c r="I49" s="50">
        <v>0</v>
      </c>
      <c r="J49" s="50">
        <v>1</v>
      </c>
      <c r="K49" s="50">
        <v>1</v>
      </c>
      <c r="L49" s="50">
        <v>10</v>
      </c>
      <c r="M49" s="50">
        <v>4</v>
      </c>
      <c r="N49" s="50">
        <v>0</v>
      </c>
      <c r="O49" s="15">
        <f t="shared" si="0"/>
        <v>24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10</v>
      </c>
      <c r="E50" s="50">
        <v>0</v>
      </c>
      <c r="F50" s="50">
        <v>7</v>
      </c>
      <c r="G50" s="50">
        <v>0</v>
      </c>
      <c r="H50" s="50">
        <v>0</v>
      </c>
      <c r="I50" s="50">
        <v>3</v>
      </c>
      <c r="J50" s="50">
        <v>4</v>
      </c>
      <c r="K50" s="50">
        <v>2</v>
      </c>
      <c r="L50" s="50">
        <v>16</v>
      </c>
      <c r="M50" s="50">
        <v>5</v>
      </c>
      <c r="N50" s="50">
        <v>0</v>
      </c>
      <c r="O50" s="15">
        <f t="shared" si="0"/>
        <v>51</v>
      </c>
      <c r="P50" s="15">
        <f t="shared" si="1"/>
        <v>56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3</v>
      </c>
      <c r="E51" s="50">
        <v>1</v>
      </c>
      <c r="F51" s="50">
        <v>4</v>
      </c>
      <c r="G51" s="50">
        <v>0</v>
      </c>
      <c r="H51" s="50">
        <v>0</v>
      </c>
      <c r="I51" s="50">
        <v>1</v>
      </c>
      <c r="J51" s="50">
        <v>2</v>
      </c>
      <c r="K51" s="50">
        <v>1</v>
      </c>
      <c r="L51" s="50">
        <v>11</v>
      </c>
      <c r="M51" s="50">
        <v>2</v>
      </c>
      <c r="N51" s="50">
        <v>0</v>
      </c>
      <c r="O51" s="15">
        <f t="shared" si="0"/>
        <v>25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4</v>
      </c>
      <c r="E52" s="50">
        <v>1</v>
      </c>
      <c r="F52" s="50">
        <v>3</v>
      </c>
      <c r="G52" s="50">
        <v>0</v>
      </c>
      <c r="H52" s="50">
        <v>0</v>
      </c>
      <c r="I52" s="50">
        <v>0</v>
      </c>
      <c r="J52" s="50">
        <v>2</v>
      </c>
      <c r="K52" s="50">
        <v>2</v>
      </c>
      <c r="L52" s="50">
        <v>9</v>
      </c>
      <c r="M52" s="50">
        <v>3</v>
      </c>
      <c r="N52" s="50">
        <v>0</v>
      </c>
      <c r="O52" s="15">
        <f t="shared" si="0"/>
        <v>27</v>
      </c>
      <c r="P52" s="15">
        <f t="shared" si="1"/>
        <v>30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3</v>
      </c>
      <c r="F53" s="50">
        <v>3</v>
      </c>
      <c r="G53" s="50">
        <v>0</v>
      </c>
      <c r="H53" s="50">
        <v>0</v>
      </c>
      <c r="I53" s="50">
        <v>3</v>
      </c>
      <c r="J53" s="50">
        <v>4</v>
      </c>
      <c r="K53" s="50">
        <v>1</v>
      </c>
      <c r="L53" s="50">
        <v>7</v>
      </c>
      <c r="M53" s="50">
        <v>4</v>
      </c>
      <c r="N53" s="50">
        <v>0</v>
      </c>
      <c r="O53" s="15">
        <f t="shared" si="0"/>
        <v>25</v>
      </c>
      <c r="P53" s="15">
        <f t="shared" si="1"/>
        <v>29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7</v>
      </c>
      <c r="E54" s="50">
        <v>3</v>
      </c>
      <c r="F54" s="50">
        <v>2</v>
      </c>
      <c r="G54" s="50">
        <v>0</v>
      </c>
      <c r="H54" s="50">
        <v>0</v>
      </c>
      <c r="I54" s="50">
        <v>2</v>
      </c>
      <c r="J54" s="50">
        <v>2</v>
      </c>
      <c r="K54" s="50">
        <v>3</v>
      </c>
      <c r="L54" s="50">
        <v>13</v>
      </c>
      <c r="M54" s="50">
        <v>6</v>
      </c>
      <c r="N54" s="50">
        <v>0</v>
      </c>
      <c r="O54" s="15">
        <f t="shared" si="0"/>
        <v>33</v>
      </c>
      <c r="P54" s="15">
        <f t="shared" si="1"/>
        <v>39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3</v>
      </c>
      <c r="E55" s="50">
        <v>2</v>
      </c>
      <c r="F55" s="50">
        <v>5</v>
      </c>
      <c r="G55" s="50">
        <v>3</v>
      </c>
      <c r="H55" s="50">
        <v>1</v>
      </c>
      <c r="I55" s="50">
        <v>0</v>
      </c>
      <c r="J55" s="50">
        <v>2</v>
      </c>
      <c r="K55" s="50">
        <v>5</v>
      </c>
      <c r="L55" s="50">
        <v>12</v>
      </c>
      <c r="M55" s="50">
        <v>2</v>
      </c>
      <c r="N55" s="50">
        <v>0</v>
      </c>
      <c r="O55" s="15">
        <f t="shared" si="0"/>
        <v>35</v>
      </c>
      <c r="P55" s="15">
        <f t="shared" si="1"/>
        <v>37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5</v>
      </c>
      <c r="E56" s="50">
        <v>1</v>
      </c>
      <c r="F56" s="50">
        <v>1</v>
      </c>
      <c r="G56" s="50">
        <v>0</v>
      </c>
      <c r="H56" s="50">
        <v>2</v>
      </c>
      <c r="I56" s="50">
        <v>1</v>
      </c>
      <c r="J56" s="50">
        <v>1</v>
      </c>
      <c r="K56" s="50">
        <v>1</v>
      </c>
      <c r="L56" s="50">
        <v>11</v>
      </c>
      <c r="M56" s="50">
        <v>3</v>
      </c>
      <c r="N56" s="50">
        <v>0</v>
      </c>
      <c r="O56" s="15">
        <f t="shared" si="0"/>
        <v>27</v>
      </c>
      <c r="P56" s="15">
        <f t="shared" si="1"/>
        <v>30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3</v>
      </c>
      <c r="E57" s="50">
        <v>5</v>
      </c>
      <c r="F57" s="50">
        <v>2</v>
      </c>
      <c r="G57" s="50">
        <v>1</v>
      </c>
      <c r="H57" s="50">
        <v>0</v>
      </c>
      <c r="I57" s="50">
        <v>1</v>
      </c>
      <c r="J57" s="50">
        <v>0</v>
      </c>
      <c r="K57" s="50">
        <v>4</v>
      </c>
      <c r="L57" s="50">
        <v>7</v>
      </c>
      <c r="M57" s="50">
        <v>5</v>
      </c>
      <c r="N57" s="50">
        <v>0</v>
      </c>
      <c r="O57" s="15">
        <f t="shared" si="0"/>
        <v>31</v>
      </c>
      <c r="P57" s="15">
        <f t="shared" si="1"/>
        <v>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156</v>
      </c>
      <c r="D58" s="16">
        <f t="shared" si="21"/>
        <v>129</v>
      </c>
      <c r="E58" s="16">
        <f t="shared" si="21"/>
        <v>51</v>
      </c>
      <c r="F58" s="16">
        <f t="shared" si="21"/>
        <v>187</v>
      </c>
      <c r="G58" s="16">
        <f t="shared" si="21"/>
        <v>7</v>
      </c>
      <c r="H58" s="16">
        <f t="shared" si="21"/>
        <v>12</v>
      </c>
      <c r="I58" s="16">
        <f t="shared" si="21"/>
        <v>31</v>
      </c>
      <c r="J58" s="16">
        <f t="shared" si="21"/>
        <v>75</v>
      </c>
      <c r="K58" s="16">
        <f t="shared" si="21"/>
        <v>51</v>
      </c>
      <c r="L58" s="16">
        <f t="shared" si="21"/>
        <v>482</v>
      </c>
      <c r="M58" s="16">
        <f t="shared" si="21"/>
        <v>133</v>
      </c>
      <c r="N58" s="16">
        <f t="shared" si="21"/>
        <v>0</v>
      </c>
      <c r="O58" s="16">
        <f t="shared" si="21"/>
        <v>1181</v>
      </c>
      <c r="P58" s="16">
        <f t="shared" si="21"/>
        <v>1314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0.11872146118721461</v>
      </c>
      <c r="D59" s="43">
        <f t="shared" si="22"/>
        <v>9.8173515981735154E-2</v>
      </c>
      <c r="E59" s="43">
        <f t="shared" si="22"/>
        <v>3.8812785388127852E-2</v>
      </c>
      <c r="F59" s="43">
        <f t="shared" si="22"/>
        <v>0.14231354642313546</v>
      </c>
      <c r="G59" s="43">
        <f t="shared" si="22"/>
        <v>5.3272450532724502E-3</v>
      </c>
      <c r="H59" s="43">
        <f t="shared" si="22"/>
        <v>9.1324200913242004E-3</v>
      </c>
      <c r="I59" s="43">
        <f t="shared" si="22"/>
        <v>2.3592085235920851E-2</v>
      </c>
      <c r="J59" s="43">
        <f t="shared" si="22"/>
        <v>5.7077625570776253E-2</v>
      </c>
      <c r="K59" s="43">
        <f t="shared" si="22"/>
        <v>3.8812785388127852E-2</v>
      </c>
      <c r="L59" s="43">
        <f t="shared" si="22"/>
        <v>0.36681887366818872</v>
      </c>
      <c r="M59" s="43">
        <f t="shared" si="22"/>
        <v>0.10121765601217655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0.13209144792548688</v>
      </c>
      <c r="D60" s="44">
        <f t="shared" ref="D60:N60" si="23">D58/$O$58</f>
        <v>0.10922946655376799</v>
      </c>
      <c r="E60" s="44">
        <f t="shared" si="23"/>
        <v>4.3183742591024553E-2</v>
      </c>
      <c r="F60" s="44">
        <f t="shared" si="23"/>
        <v>0.15834038950042337</v>
      </c>
      <c r="G60" s="44">
        <f t="shared" si="23"/>
        <v>5.9271803556308214E-3</v>
      </c>
      <c r="H60" s="44">
        <f t="shared" si="23"/>
        <v>1.0160880609652836E-2</v>
      </c>
      <c r="I60" s="44">
        <f t="shared" si="23"/>
        <v>2.6248941574936496E-2</v>
      </c>
      <c r="J60" s="44">
        <f t="shared" si="23"/>
        <v>6.3505503810330224E-2</v>
      </c>
      <c r="K60" s="44">
        <f t="shared" si="23"/>
        <v>4.3183742591024553E-2</v>
      </c>
      <c r="L60" s="44">
        <f t="shared" si="23"/>
        <v>0.40812870448772226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'26.08 TORORO-BUSITEMA'!G5:H5</f>
        <v>STATION 98</v>
      </c>
      <c r="H5" s="64"/>
      <c r="I5" s="14"/>
      <c r="J5" s="2" t="s">
        <v>5</v>
      </c>
      <c r="K5" s="63" t="str">
        <f>'26.08 TORORO-BUSITEMA'!K5:L5</f>
        <v>AMONY JOVANA BELLA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164</v>
      </c>
      <c r="E6" s="64"/>
      <c r="F6" s="2" t="s">
        <v>2</v>
      </c>
      <c r="G6" s="63" t="s">
        <v>163</v>
      </c>
      <c r="H6" s="64"/>
      <c r="J6" s="2" t="s">
        <v>21</v>
      </c>
      <c r="K6" s="63" t="str">
        <f>'26.08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11</v>
      </c>
      <c r="M10" s="50">
        <v>5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19</v>
      </c>
      <c r="R10" s="1" t="s">
        <v>6</v>
      </c>
      <c r="S10" s="17">
        <f t="shared" ref="S10:AF10" si="2">SUM(C10:C13)</f>
        <v>6</v>
      </c>
      <c r="T10" s="17">
        <f t="shared" si="2"/>
        <v>2</v>
      </c>
      <c r="U10" s="17">
        <f t="shared" si="2"/>
        <v>1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1</v>
      </c>
      <c r="AB10" s="17">
        <f t="shared" si="2"/>
        <v>32</v>
      </c>
      <c r="AC10" s="17">
        <f t="shared" si="2"/>
        <v>21</v>
      </c>
      <c r="AD10" s="17">
        <f t="shared" si="2"/>
        <v>0</v>
      </c>
      <c r="AE10" s="31">
        <f t="shared" si="2"/>
        <v>53</v>
      </c>
      <c r="AF10" s="31">
        <f t="shared" si="2"/>
        <v>74</v>
      </c>
    </row>
    <row r="11" spans="2:32" s="6" customFormat="1" ht="23.1" customHeight="1" x14ac:dyDescent="0.25">
      <c r="B11" s="45" t="s">
        <v>38</v>
      </c>
      <c r="C11" s="50">
        <v>1</v>
      </c>
      <c r="D11" s="50">
        <v>2</v>
      </c>
      <c r="E11" s="50">
        <v>1</v>
      </c>
      <c r="F11" s="50">
        <v>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12</v>
      </c>
      <c r="M11" s="50">
        <v>6</v>
      </c>
      <c r="N11" s="50">
        <v>0</v>
      </c>
      <c r="O11" s="15">
        <f t="shared" si="0"/>
        <v>20</v>
      </c>
      <c r="P11" s="15">
        <f t="shared" si="1"/>
        <v>26</v>
      </c>
      <c r="R11" s="1" t="s">
        <v>7</v>
      </c>
      <c r="S11" s="17">
        <f t="shared" ref="S11:AF11" si="3">SUM(C14:C17)</f>
        <v>8</v>
      </c>
      <c r="T11" s="17">
        <f t="shared" si="3"/>
        <v>10</v>
      </c>
      <c r="U11" s="17">
        <f t="shared" si="3"/>
        <v>4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27</v>
      </c>
      <c r="AC11" s="17">
        <f t="shared" si="3"/>
        <v>16</v>
      </c>
      <c r="AD11" s="17">
        <f t="shared" si="3"/>
        <v>1</v>
      </c>
      <c r="AE11" s="31">
        <f t="shared" si="3"/>
        <v>63</v>
      </c>
      <c r="AF11" s="31">
        <f t="shared" si="3"/>
        <v>79</v>
      </c>
    </row>
    <row r="12" spans="2:32" ht="23.1" customHeight="1" x14ac:dyDescent="0.25">
      <c r="B12" s="45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8</v>
      </c>
      <c r="M12" s="50">
        <v>4</v>
      </c>
      <c r="N12" s="50">
        <v>0</v>
      </c>
      <c r="O12" s="15">
        <f t="shared" si="0"/>
        <v>12</v>
      </c>
      <c r="P12" s="15">
        <f t="shared" si="1"/>
        <v>16</v>
      </c>
      <c r="R12" s="1" t="s">
        <v>8</v>
      </c>
      <c r="S12" s="17">
        <f t="shared" ref="S12:AF12" si="4">SUM(C18:C21)</f>
        <v>7</v>
      </c>
      <c r="T12" s="17">
        <f t="shared" si="4"/>
        <v>17</v>
      </c>
      <c r="U12" s="17">
        <f t="shared" si="4"/>
        <v>4</v>
      </c>
      <c r="V12" s="17">
        <f t="shared" si="4"/>
        <v>16</v>
      </c>
      <c r="W12" s="17">
        <f t="shared" si="4"/>
        <v>1</v>
      </c>
      <c r="X12" s="17">
        <f t="shared" si="4"/>
        <v>0</v>
      </c>
      <c r="Y12" s="17">
        <f t="shared" si="4"/>
        <v>5</v>
      </c>
      <c r="Z12" s="17">
        <f t="shared" si="4"/>
        <v>2</v>
      </c>
      <c r="AA12" s="17">
        <f t="shared" si="4"/>
        <v>2</v>
      </c>
      <c r="AB12" s="17">
        <f t="shared" si="4"/>
        <v>10</v>
      </c>
      <c r="AC12" s="17">
        <f t="shared" si="4"/>
        <v>15</v>
      </c>
      <c r="AD12" s="17">
        <f t="shared" si="4"/>
        <v>0</v>
      </c>
      <c r="AE12" s="31">
        <f t="shared" si="4"/>
        <v>64</v>
      </c>
      <c r="AF12" s="31">
        <f t="shared" si="4"/>
        <v>79</v>
      </c>
    </row>
    <row r="13" spans="2:32" ht="23.1" customHeight="1" x14ac:dyDescent="0.25">
      <c r="B13" s="45" t="s">
        <v>40</v>
      </c>
      <c r="C13" s="50">
        <v>3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1</v>
      </c>
      <c r="M13" s="50">
        <v>6</v>
      </c>
      <c r="N13" s="50">
        <v>0</v>
      </c>
      <c r="O13" s="15">
        <f t="shared" si="0"/>
        <v>7</v>
      </c>
      <c r="P13" s="15">
        <f t="shared" si="1"/>
        <v>13</v>
      </c>
      <c r="R13" s="1" t="s">
        <v>9</v>
      </c>
      <c r="S13" s="17">
        <f t="shared" ref="S13:AF13" si="5">SUM(C22:C25)</f>
        <v>0</v>
      </c>
      <c r="T13" s="17">
        <f t="shared" si="5"/>
        <v>12</v>
      </c>
      <c r="U13" s="17">
        <f t="shared" si="5"/>
        <v>1</v>
      </c>
      <c r="V13" s="17">
        <f t="shared" si="5"/>
        <v>13</v>
      </c>
      <c r="W13" s="17">
        <f t="shared" si="5"/>
        <v>2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2</v>
      </c>
      <c r="AB13" s="17">
        <f t="shared" si="5"/>
        <v>23</v>
      </c>
      <c r="AC13" s="17">
        <f t="shared" si="5"/>
        <v>14</v>
      </c>
      <c r="AD13" s="17">
        <f t="shared" si="5"/>
        <v>0</v>
      </c>
      <c r="AE13" s="31">
        <f t="shared" si="5"/>
        <v>55</v>
      </c>
      <c r="AF13" s="31">
        <f t="shared" si="5"/>
        <v>69</v>
      </c>
    </row>
    <row r="14" spans="2:32" ht="23.1" customHeight="1" x14ac:dyDescent="0.25">
      <c r="B14" s="45" t="s">
        <v>41</v>
      </c>
      <c r="C14" s="50">
        <v>4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6</v>
      </c>
      <c r="M14" s="50">
        <v>5</v>
      </c>
      <c r="N14" s="50">
        <v>0</v>
      </c>
      <c r="O14" s="15">
        <f t="shared" si="0"/>
        <v>12</v>
      </c>
      <c r="P14" s="15">
        <f t="shared" si="1"/>
        <v>17</v>
      </c>
      <c r="R14" s="1" t="s">
        <v>10</v>
      </c>
      <c r="S14" s="17">
        <f t="shared" ref="S14:AF14" si="6">SUM(C26:C29)</f>
        <v>10</v>
      </c>
      <c r="T14" s="17">
        <f t="shared" si="6"/>
        <v>15</v>
      </c>
      <c r="U14" s="17">
        <f t="shared" si="6"/>
        <v>5</v>
      </c>
      <c r="V14" s="17">
        <f t="shared" si="6"/>
        <v>18</v>
      </c>
      <c r="W14" s="17">
        <f t="shared" si="6"/>
        <v>2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19</v>
      </c>
      <c r="AC14" s="17">
        <f t="shared" si="6"/>
        <v>16</v>
      </c>
      <c r="AD14" s="17">
        <f t="shared" si="6"/>
        <v>0</v>
      </c>
      <c r="AE14" s="31">
        <f t="shared" si="6"/>
        <v>72</v>
      </c>
      <c r="AF14" s="31">
        <f t="shared" si="6"/>
        <v>88</v>
      </c>
    </row>
    <row r="15" spans="2:32" ht="23.1" customHeight="1" x14ac:dyDescent="0.25">
      <c r="B15" s="45" t="s">
        <v>42</v>
      </c>
      <c r="C15" s="50">
        <v>3</v>
      </c>
      <c r="D15" s="50">
        <v>4</v>
      </c>
      <c r="E15" s="50">
        <v>0</v>
      </c>
      <c r="F15" s="50">
        <v>5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7</v>
      </c>
      <c r="M15" s="50">
        <v>3</v>
      </c>
      <c r="N15" s="50">
        <v>1</v>
      </c>
      <c r="O15" s="15">
        <f t="shared" si="0"/>
        <v>20</v>
      </c>
      <c r="P15" s="15">
        <f t="shared" si="1"/>
        <v>23</v>
      </c>
      <c r="R15" s="1" t="s">
        <v>11</v>
      </c>
      <c r="S15" s="17">
        <f t="shared" ref="S15:AF15" si="7">SUM(C30:C33)</f>
        <v>3</v>
      </c>
      <c r="T15" s="17">
        <f t="shared" si="7"/>
        <v>10</v>
      </c>
      <c r="U15" s="17">
        <f t="shared" si="7"/>
        <v>5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6</v>
      </c>
      <c r="AB15" s="17">
        <f t="shared" si="7"/>
        <v>13</v>
      </c>
      <c r="AC15" s="17">
        <f t="shared" si="7"/>
        <v>14</v>
      </c>
      <c r="AD15" s="17">
        <f t="shared" si="7"/>
        <v>0</v>
      </c>
      <c r="AE15" s="31">
        <f t="shared" si="7"/>
        <v>53</v>
      </c>
      <c r="AF15" s="31">
        <f t="shared" si="7"/>
        <v>67</v>
      </c>
    </row>
    <row r="16" spans="2:32" ht="23.1" customHeight="1" x14ac:dyDescent="0.25">
      <c r="B16" s="45" t="s">
        <v>43</v>
      </c>
      <c r="C16" s="50">
        <v>0</v>
      </c>
      <c r="D16" s="50">
        <v>4</v>
      </c>
      <c r="E16" s="50">
        <v>3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6</v>
      </c>
      <c r="M16" s="50">
        <v>5</v>
      </c>
      <c r="N16" s="50">
        <v>0</v>
      </c>
      <c r="O16" s="15">
        <f t="shared" si="0"/>
        <v>16</v>
      </c>
      <c r="P16" s="15">
        <f t="shared" si="1"/>
        <v>21</v>
      </c>
      <c r="R16" s="1" t="s">
        <v>12</v>
      </c>
      <c r="S16" s="17">
        <f t="shared" ref="S16:AF16" si="8">SUM(C34:C37)</f>
        <v>7</v>
      </c>
      <c r="T16" s="17">
        <f t="shared" si="8"/>
        <v>8</v>
      </c>
      <c r="U16" s="17">
        <f t="shared" si="8"/>
        <v>4</v>
      </c>
      <c r="V16" s="17">
        <f t="shared" si="8"/>
        <v>12</v>
      </c>
      <c r="W16" s="17">
        <f t="shared" si="8"/>
        <v>1</v>
      </c>
      <c r="X16" s="17">
        <f t="shared" si="8"/>
        <v>0</v>
      </c>
      <c r="Y16" s="17">
        <f t="shared" si="8"/>
        <v>3</v>
      </c>
      <c r="Z16" s="17">
        <f t="shared" si="8"/>
        <v>3</v>
      </c>
      <c r="AA16" s="17">
        <f t="shared" si="8"/>
        <v>16</v>
      </c>
      <c r="AB16" s="17">
        <f t="shared" si="8"/>
        <v>10</v>
      </c>
      <c r="AC16" s="17">
        <f t="shared" si="8"/>
        <v>25</v>
      </c>
      <c r="AD16" s="17">
        <f t="shared" si="8"/>
        <v>0</v>
      </c>
      <c r="AE16" s="31">
        <f t="shared" si="8"/>
        <v>64</v>
      </c>
      <c r="AF16" s="31">
        <f t="shared" si="8"/>
        <v>89</v>
      </c>
    </row>
    <row r="17" spans="2:32" ht="23.1" customHeight="1" x14ac:dyDescent="0.25">
      <c r="B17" s="45" t="s">
        <v>44</v>
      </c>
      <c r="C17" s="50">
        <v>1</v>
      </c>
      <c r="D17" s="50">
        <v>2</v>
      </c>
      <c r="E17" s="50">
        <v>0</v>
      </c>
      <c r="F17" s="50">
        <v>3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8</v>
      </c>
      <c r="M17" s="50">
        <v>3</v>
      </c>
      <c r="N17" s="50">
        <v>0</v>
      </c>
      <c r="O17" s="15">
        <f t="shared" si="0"/>
        <v>15</v>
      </c>
      <c r="P17" s="15">
        <f t="shared" si="1"/>
        <v>18</v>
      </c>
      <c r="R17" s="1" t="s">
        <v>13</v>
      </c>
      <c r="S17" s="17">
        <f t="shared" ref="S17:AF17" si="9">SUM(C38:C41)</f>
        <v>4</v>
      </c>
      <c r="T17" s="17">
        <f t="shared" si="9"/>
        <v>4</v>
      </c>
      <c r="U17" s="17">
        <f t="shared" si="9"/>
        <v>1</v>
      </c>
      <c r="V17" s="17">
        <f t="shared" si="9"/>
        <v>7</v>
      </c>
      <c r="W17" s="17">
        <f t="shared" si="9"/>
        <v>0</v>
      </c>
      <c r="X17" s="17">
        <f t="shared" si="9"/>
        <v>1</v>
      </c>
      <c r="Y17" s="17">
        <f t="shared" si="9"/>
        <v>3</v>
      </c>
      <c r="Z17" s="17">
        <f t="shared" si="9"/>
        <v>3</v>
      </c>
      <c r="AA17" s="17">
        <f t="shared" si="9"/>
        <v>1</v>
      </c>
      <c r="AB17" s="17">
        <f t="shared" si="9"/>
        <v>18</v>
      </c>
      <c r="AC17" s="17">
        <f t="shared" si="9"/>
        <v>13</v>
      </c>
      <c r="AD17" s="17">
        <f t="shared" si="9"/>
        <v>0</v>
      </c>
      <c r="AE17" s="31">
        <f t="shared" si="9"/>
        <v>42</v>
      </c>
      <c r="AF17" s="31">
        <f t="shared" si="9"/>
        <v>55</v>
      </c>
    </row>
    <row r="18" spans="2:32" ht="23.1" customHeight="1" x14ac:dyDescent="0.25">
      <c r="B18" s="45" t="s">
        <v>45</v>
      </c>
      <c r="C18" s="50">
        <v>3</v>
      </c>
      <c r="D18" s="50">
        <v>5</v>
      </c>
      <c r="E18" s="50">
        <v>1</v>
      </c>
      <c r="F18" s="50">
        <v>4</v>
      </c>
      <c r="G18" s="50">
        <v>1</v>
      </c>
      <c r="H18" s="50">
        <v>0</v>
      </c>
      <c r="I18" s="50">
        <v>2</v>
      </c>
      <c r="J18" s="50">
        <v>2</v>
      </c>
      <c r="K18" s="50">
        <v>2</v>
      </c>
      <c r="L18" s="50">
        <v>0</v>
      </c>
      <c r="M18" s="50">
        <v>3</v>
      </c>
      <c r="N18" s="50">
        <v>0</v>
      </c>
      <c r="O18" s="15">
        <f t="shared" si="0"/>
        <v>20</v>
      </c>
      <c r="P18" s="15">
        <f t="shared" si="1"/>
        <v>23</v>
      </c>
      <c r="R18" s="1" t="s">
        <v>14</v>
      </c>
      <c r="S18" s="17">
        <f t="shared" ref="S18:AF18" si="10">SUM(C42:C45)</f>
        <v>2</v>
      </c>
      <c r="T18" s="17">
        <f t="shared" si="10"/>
        <v>11</v>
      </c>
      <c r="U18" s="17">
        <f t="shared" si="10"/>
        <v>0</v>
      </c>
      <c r="V18" s="17">
        <f t="shared" si="10"/>
        <v>17</v>
      </c>
      <c r="W18" s="17">
        <f t="shared" si="10"/>
        <v>1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1</v>
      </c>
      <c r="AB18" s="17">
        <f t="shared" si="10"/>
        <v>16</v>
      </c>
      <c r="AC18" s="17">
        <f t="shared" si="10"/>
        <v>10</v>
      </c>
      <c r="AD18" s="17">
        <f t="shared" si="10"/>
        <v>0</v>
      </c>
      <c r="AE18" s="31">
        <f t="shared" si="10"/>
        <v>54</v>
      </c>
      <c r="AF18" s="31">
        <f t="shared" si="10"/>
        <v>64</v>
      </c>
    </row>
    <row r="19" spans="2:32" ht="23.1" customHeight="1" x14ac:dyDescent="0.25">
      <c r="B19" s="45" t="s">
        <v>46</v>
      </c>
      <c r="C19" s="50">
        <v>4</v>
      </c>
      <c r="D19" s="50">
        <v>5</v>
      </c>
      <c r="E19" s="50">
        <v>3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5</v>
      </c>
      <c r="M19" s="50">
        <v>1</v>
      </c>
      <c r="N19" s="50">
        <v>0</v>
      </c>
      <c r="O19" s="15">
        <f t="shared" si="0"/>
        <v>21</v>
      </c>
      <c r="P19" s="15">
        <f t="shared" si="1"/>
        <v>22</v>
      </c>
      <c r="R19" s="1" t="s">
        <v>15</v>
      </c>
      <c r="S19" s="17">
        <f t="shared" ref="S19:AF19" si="11">SUM(C46:C49)</f>
        <v>3</v>
      </c>
      <c r="T19" s="17">
        <f t="shared" si="11"/>
        <v>4</v>
      </c>
      <c r="U19" s="17">
        <f t="shared" si="11"/>
        <v>0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24</v>
      </c>
      <c r="AC19" s="17">
        <f t="shared" si="11"/>
        <v>15</v>
      </c>
      <c r="AD19" s="17">
        <f t="shared" si="11"/>
        <v>0</v>
      </c>
      <c r="AE19" s="31">
        <f t="shared" si="11"/>
        <v>40</v>
      </c>
      <c r="AF19" s="31">
        <f t="shared" si="11"/>
        <v>55</v>
      </c>
    </row>
    <row r="20" spans="2:32" ht="23.1" customHeight="1" x14ac:dyDescent="0.25">
      <c r="B20" s="45" t="s">
        <v>47</v>
      </c>
      <c r="C20" s="50">
        <v>0</v>
      </c>
      <c r="D20" s="50">
        <v>3</v>
      </c>
      <c r="E20" s="50">
        <v>0</v>
      </c>
      <c r="F20" s="50">
        <v>7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2</v>
      </c>
      <c r="M20" s="50">
        <v>8</v>
      </c>
      <c r="N20" s="50">
        <v>0</v>
      </c>
      <c r="O20" s="15">
        <f t="shared" si="0"/>
        <v>13</v>
      </c>
      <c r="P20" s="15">
        <f t="shared" si="1"/>
        <v>21</v>
      </c>
      <c r="R20" s="1" t="s">
        <v>16</v>
      </c>
      <c r="S20" s="17">
        <f t="shared" ref="S20:AF20" si="12">SUM(C50:C53)</f>
        <v>9</v>
      </c>
      <c r="T20" s="17">
        <f t="shared" si="12"/>
        <v>17</v>
      </c>
      <c r="U20" s="17">
        <f t="shared" si="12"/>
        <v>8</v>
      </c>
      <c r="V20" s="17">
        <f t="shared" si="12"/>
        <v>14</v>
      </c>
      <c r="W20" s="17">
        <f t="shared" si="12"/>
        <v>2</v>
      </c>
      <c r="X20" s="17">
        <f t="shared" si="12"/>
        <v>0</v>
      </c>
      <c r="Y20" s="17">
        <f t="shared" si="12"/>
        <v>5</v>
      </c>
      <c r="Z20" s="17">
        <f t="shared" si="12"/>
        <v>10</v>
      </c>
      <c r="AA20" s="17">
        <f t="shared" si="12"/>
        <v>13</v>
      </c>
      <c r="AB20" s="17">
        <f t="shared" si="12"/>
        <v>77</v>
      </c>
      <c r="AC20" s="17">
        <f t="shared" si="12"/>
        <v>50</v>
      </c>
      <c r="AD20" s="17">
        <f t="shared" si="12"/>
        <v>0</v>
      </c>
      <c r="AE20" s="31">
        <f t="shared" si="12"/>
        <v>155</v>
      </c>
      <c r="AF20" s="31">
        <f t="shared" si="12"/>
        <v>205</v>
      </c>
    </row>
    <row r="21" spans="2:32" ht="23.1" customHeight="1" x14ac:dyDescent="0.25">
      <c r="B21" s="45" t="s">
        <v>48</v>
      </c>
      <c r="C21" s="50">
        <v>0</v>
      </c>
      <c r="D21" s="50">
        <v>4</v>
      </c>
      <c r="E21" s="50">
        <v>0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3</v>
      </c>
      <c r="M21" s="50">
        <v>3</v>
      </c>
      <c r="N21" s="50">
        <v>0</v>
      </c>
      <c r="O21" s="15">
        <f t="shared" si="0"/>
        <v>10</v>
      </c>
      <c r="P21" s="15">
        <f t="shared" si="1"/>
        <v>13</v>
      </c>
      <c r="R21" s="36" t="s">
        <v>20</v>
      </c>
      <c r="S21" s="34">
        <f t="shared" ref="S21:AF21" si="13">SUM(C54:C57)</f>
        <v>9</v>
      </c>
      <c r="T21" s="17">
        <f t="shared" si="13"/>
        <v>17</v>
      </c>
      <c r="U21" s="17">
        <f t="shared" si="13"/>
        <v>3</v>
      </c>
      <c r="V21" s="17">
        <f t="shared" si="13"/>
        <v>24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0</v>
      </c>
      <c r="AA21" s="17">
        <f t="shared" si="13"/>
        <v>11</v>
      </c>
      <c r="AB21" s="17">
        <f t="shared" si="13"/>
        <v>121</v>
      </c>
      <c r="AC21" s="17">
        <f t="shared" si="13"/>
        <v>18</v>
      </c>
      <c r="AD21" s="17">
        <f t="shared" si="13"/>
        <v>0</v>
      </c>
      <c r="AE21" s="31">
        <f t="shared" si="13"/>
        <v>197</v>
      </c>
      <c r="AF21" s="31">
        <f t="shared" si="13"/>
        <v>215</v>
      </c>
    </row>
    <row r="22" spans="2:32" ht="23.1" customHeight="1" x14ac:dyDescent="0.25">
      <c r="B22" s="45" t="s">
        <v>49</v>
      </c>
      <c r="C22" s="50">
        <v>0</v>
      </c>
      <c r="D22" s="50">
        <v>3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8</v>
      </c>
      <c r="M22" s="50">
        <v>0</v>
      </c>
      <c r="N22" s="50">
        <v>0</v>
      </c>
      <c r="O22" s="15">
        <f t="shared" si="0"/>
        <v>13</v>
      </c>
      <c r="P22" s="15">
        <f t="shared" si="1"/>
        <v>13</v>
      </c>
      <c r="R22" s="36" t="s">
        <v>146</v>
      </c>
      <c r="S22" s="34">
        <f>SUM(C58:C61)</f>
        <v>5</v>
      </c>
      <c r="T22" s="34">
        <f t="shared" ref="T22:AF22" si="14">SUM(D58:D61)</f>
        <v>10</v>
      </c>
      <c r="U22" s="34">
        <f t="shared" si="14"/>
        <v>2</v>
      </c>
      <c r="V22" s="34">
        <f t="shared" si="14"/>
        <v>13</v>
      </c>
      <c r="W22" s="34">
        <f t="shared" si="14"/>
        <v>1</v>
      </c>
      <c r="X22" s="34">
        <f t="shared" si="14"/>
        <v>0</v>
      </c>
      <c r="Y22" s="34">
        <f t="shared" si="14"/>
        <v>6</v>
      </c>
      <c r="Z22" s="34">
        <f t="shared" si="14"/>
        <v>4</v>
      </c>
      <c r="AA22" s="34">
        <f t="shared" si="14"/>
        <v>1</v>
      </c>
      <c r="AB22" s="34">
        <f t="shared" si="14"/>
        <v>70</v>
      </c>
      <c r="AC22" s="34">
        <f t="shared" si="14"/>
        <v>15</v>
      </c>
      <c r="AD22" s="34">
        <f t="shared" si="14"/>
        <v>0</v>
      </c>
      <c r="AE22" s="31">
        <f t="shared" si="14"/>
        <v>112</v>
      </c>
      <c r="AF22" s="31">
        <f t="shared" si="14"/>
        <v>127</v>
      </c>
    </row>
    <row r="23" spans="2:32" ht="23.1" customHeight="1" x14ac:dyDescent="0.25">
      <c r="B23" s="45" t="s">
        <v>50</v>
      </c>
      <c r="C23" s="50">
        <v>0</v>
      </c>
      <c r="D23" s="50">
        <v>1</v>
      </c>
      <c r="E23" s="50">
        <v>0</v>
      </c>
      <c r="F23" s="50">
        <v>2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7</v>
      </c>
      <c r="M23" s="50">
        <v>4</v>
      </c>
      <c r="N23" s="50">
        <v>0</v>
      </c>
      <c r="O23" s="15">
        <f t="shared" si="0"/>
        <v>11</v>
      </c>
      <c r="P23" s="15">
        <f t="shared" si="1"/>
        <v>15</v>
      </c>
      <c r="R23" s="36" t="s">
        <v>147</v>
      </c>
      <c r="S23" s="34">
        <f>SUM(C62:C65)</f>
        <v>4</v>
      </c>
      <c r="T23" s="34">
        <f t="shared" ref="T23:AF23" si="15">SUM(D62:D65)</f>
        <v>8</v>
      </c>
      <c r="U23" s="34">
        <f t="shared" si="15"/>
        <v>0</v>
      </c>
      <c r="V23" s="34">
        <f t="shared" si="15"/>
        <v>5</v>
      </c>
      <c r="W23" s="34">
        <f t="shared" si="15"/>
        <v>0</v>
      </c>
      <c r="X23" s="34">
        <f t="shared" si="15"/>
        <v>4</v>
      </c>
      <c r="Y23" s="34">
        <f t="shared" si="15"/>
        <v>0</v>
      </c>
      <c r="Z23" s="34">
        <f t="shared" si="15"/>
        <v>7</v>
      </c>
      <c r="AA23" s="34">
        <f t="shared" si="15"/>
        <v>1</v>
      </c>
      <c r="AB23" s="34">
        <f t="shared" si="15"/>
        <v>55</v>
      </c>
      <c r="AC23" s="34">
        <f t="shared" si="15"/>
        <v>6</v>
      </c>
      <c r="AD23" s="34">
        <f t="shared" si="15"/>
        <v>0</v>
      </c>
      <c r="AE23" s="31">
        <f t="shared" si="15"/>
        <v>84</v>
      </c>
      <c r="AF23" s="31">
        <f t="shared" si="15"/>
        <v>90</v>
      </c>
    </row>
    <row r="24" spans="2:32" ht="23.1" customHeight="1" x14ac:dyDescent="0.25">
      <c r="B24" s="45" t="s">
        <v>51</v>
      </c>
      <c r="C24" s="50">
        <v>0</v>
      </c>
      <c r="D24" s="50">
        <v>5</v>
      </c>
      <c r="E24" s="50">
        <v>1</v>
      </c>
      <c r="F24" s="50">
        <v>4</v>
      </c>
      <c r="G24" s="50">
        <v>2</v>
      </c>
      <c r="H24" s="50">
        <v>0</v>
      </c>
      <c r="I24" s="50">
        <v>0</v>
      </c>
      <c r="J24" s="50">
        <v>0</v>
      </c>
      <c r="K24" s="50">
        <v>2</v>
      </c>
      <c r="L24" s="50">
        <v>4</v>
      </c>
      <c r="M24" s="50">
        <v>3</v>
      </c>
      <c r="N24" s="50">
        <v>0</v>
      </c>
      <c r="O24" s="15">
        <f t="shared" si="0"/>
        <v>18</v>
      </c>
      <c r="P24" s="15">
        <f t="shared" si="1"/>
        <v>21</v>
      </c>
      <c r="R24" s="36" t="s">
        <v>148</v>
      </c>
      <c r="S24" s="34">
        <f>SUM(C66:C69)</f>
        <v>9</v>
      </c>
      <c r="T24" s="34">
        <f t="shared" ref="T24:AF24" si="16">SUM(D66:D69)</f>
        <v>7</v>
      </c>
      <c r="U24" s="34">
        <f t="shared" si="16"/>
        <v>2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5</v>
      </c>
      <c r="AA24" s="34">
        <f t="shared" si="16"/>
        <v>2</v>
      </c>
      <c r="AB24" s="34">
        <f t="shared" si="16"/>
        <v>78</v>
      </c>
      <c r="AC24" s="34">
        <f t="shared" si="16"/>
        <v>8</v>
      </c>
      <c r="AD24" s="34">
        <f t="shared" si="16"/>
        <v>0</v>
      </c>
      <c r="AE24" s="31">
        <f t="shared" si="16"/>
        <v>114</v>
      </c>
      <c r="AF24" s="31">
        <f t="shared" si="16"/>
        <v>122</v>
      </c>
    </row>
    <row r="25" spans="2:32" ht="23.1" customHeight="1" x14ac:dyDescent="0.25">
      <c r="B25" s="45" t="s">
        <v>52</v>
      </c>
      <c r="C25" s="50">
        <v>0</v>
      </c>
      <c r="D25" s="50">
        <v>3</v>
      </c>
      <c r="E25" s="50">
        <v>0</v>
      </c>
      <c r="F25" s="50">
        <v>6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4</v>
      </c>
      <c r="M25" s="50">
        <v>7</v>
      </c>
      <c r="N25" s="50">
        <v>0</v>
      </c>
      <c r="O25" s="15">
        <f t="shared" si="0"/>
        <v>13</v>
      </c>
      <c r="P25" s="15">
        <f t="shared" si="1"/>
        <v>20</v>
      </c>
      <c r="R25" s="36" t="s">
        <v>149</v>
      </c>
      <c r="S25" s="34">
        <f>SUM(C70:C73)</f>
        <v>3</v>
      </c>
      <c r="T25" s="34">
        <f t="shared" ref="T25:AF25" si="17">SUM(D70:D73)</f>
        <v>4</v>
      </c>
      <c r="U25" s="34">
        <f t="shared" si="17"/>
        <v>0</v>
      </c>
      <c r="V25" s="34">
        <f t="shared" si="17"/>
        <v>7</v>
      </c>
      <c r="W25" s="34">
        <f t="shared" si="17"/>
        <v>0</v>
      </c>
      <c r="X25" s="34">
        <f t="shared" si="17"/>
        <v>1</v>
      </c>
      <c r="Y25" s="34">
        <f t="shared" si="17"/>
        <v>0</v>
      </c>
      <c r="Z25" s="34">
        <f t="shared" si="17"/>
        <v>0</v>
      </c>
      <c r="AA25" s="34">
        <f t="shared" si="17"/>
        <v>1</v>
      </c>
      <c r="AB25" s="34">
        <f t="shared" si="17"/>
        <v>14</v>
      </c>
      <c r="AC25" s="34">
        <f t="shared" si="17"/>
        <v>47</v>
      </c>
      <c r="AD25" s="34">
        <f t="shared" si="17"/>
        <v>0</v>
      </c>
      <c r="AE25" s="31">
        <f t="shared" si="17"/>
        <v>30</v>
      </c>
      <c r="AF25" s="31">
        <f t="shared" si="17"/>
        <v>77</v>
      </c>
    </row>
    <row r="26" spans="2:32" ht="23.1" customHeight="1" x14ac:dyDescent="0.25">
      <c r="B26" s="45" t="s">
        <v>53</v>
      </c>
      <c r="C26" s="50">
        <v>3</v>
      </c>
      <c r="D26" s="50">
        <v>8</v>
      </c>
      <c r="E26" s="50">
        <v>0</v>
      </c>
      <c r="F26" s="50">
        <v>8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1</v>
      </c>
      <c r="M26" s="50">
        <v>6</v>
      </c>
      <c r="N26" s="50">
        <v>0</v>
      </c>
      <c r="O26" s="15">
        <f t="shared" si="0"/>
        <v>23</v>
      </c>
      <c r="P26" s="15">
        <f t="shared" si="1"/>
        <v>29</v>
      </c>
      <c r="R26" s="36" t="s">
        <v>150</v>
      </c>
      <c r="S26" s="34">
        <f>SUM(C74:C77)</f>
        <v>0</v>
      </c>
      <c r="T26" s="34">
        <f t="shared" ref="T26:AF26" si="18">SUM(D74:D77)</f>
        <v>5</v>
      </c>
      <c r="U26" s="34">
        <f t="shared" si="18"/>
        <v>2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1</v>
      </c>
      <c r="AB26" s="34">
        <f t="shared" si="18"/>
        <v>20</v>
      </c>
      <c r="AC26" s="34">
        <f t="shared" si="18"/>
        <v>35</v>
      </c>
      <c r="AD26" s="34">
        <f t="shared" si="18"/>
        <v>0</v>
      </c>
      <c r="AE26" s="31">
        <f t="shared" si="18"/>
        <v>28</v>
      </c>
      <c r="AF26" s="31">
        <f t="shared" si="18"/>
        <v>63</v>
      </c>
    </row>
    <row r="27" spans="2:32" ht="23.1" customHeight="1" x14ac:dyDescent="0.25">
      <c r="B27" s="45" t="s">
        <v>54</v>
      </c>
      <c r="C27" s="50">
        <v>0</v>
      </c>
      <c r="D27" s="50">
        <v>2</v>
      </c>
      <c r="E27" s="50">
        <v>1</v>
      </c>
      <c r="F27" s="50">
        <v>2</v>
      </c>
      <c r="G27" s="50">
        <v>2</v>
      </c>
      <c r="H27" s="50">
        <v>0</v>
      </c>
      <c r="I27" s="50">
        <v>0</v>
      </c>
      <c r="J27" s="50">
        <v>0</v>
      </c>
      <c r="K27" s="50">
        <v>0</v>
      </c>
      <c r="L27" s="50">
        <v>5</v>
      </c>
      <c r="M27" s="50">
        <v>4</v>
      </c>
      <c r="N27" s="50">
        <v>0</v>
      </c>
      <c r="O27" s="15">
        <f t="shared" si="0"/>
        <v>12</v>
      </c>
      <c r="P27" s="15">
        <f t="shared" si="1"/>
        <v>16</v>
      </c>
      <c r="R27" s="36" t="s">
        <v>151</v>
      </c>
      <c r="S27" s="34">
        <f>SUM(C78:C81)</f>
        <v>0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80</v>
      </c>
      <c r="AD27" s="34">
        <f t="shared" si="19"/>
        <v>0</v>
      </c>
      <c r="AE27" s="31">
        <f t="shared" si="19"/>
        <v>4</v>
      </c>
      <c r="AF27" s="31">
        <f t="shared" si="19"/>
        <v>84</v>
      </c>
    </row>
    <row r="28" spans="2:32" ht="23.1" customHeight="1" x14ac:dyDescent="0.25">
      <c r="B28" s="45" t="s">
        <v>55</v>
      </c>
      <c r="C28" s="50">
        <v>7</v>
      </c>
      <c r="D28" s="50">
        <v>3</v>
      </c>
      <c r="E28" s="50">
        <v>4</v>
      </c>
      <c r="F28" s="50">
        <v>5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8</v>
      </c>
      <c r="M28" s="50">
        <v>4</v>
      </c>
      <c r="N28" s="50">
        <v>0</v>
      </c>
      <c r="O28" s="15">
        <f t="shared" si="0"/>
        <v>27</v>
      </c>
      <c r="P28" s="15">
        <f t="shared" si="1"/>
        <v>31</v>
      </c>
      <c r="R28" s="36" t="s">
        <v>152</v>
      </c>
      <c r="S28" s="34">
        <f>SUM(C82:C85)</f>
        <v>2</v>
      </c>
      <c r="T28" s="34">
        <f t="shared" ref="T28:AF28" si="20">SUM(D82:D85)</f>
        <v>3</v>
      </c>
      <c r="U28" s="34">
        <f t="shared" si="20"/>
        <v>1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23</v>
      </c>
      <c r="AD28" s="34">
        <f t="shared" si="20"/>
        <v>0</v>
      </c>
      <c r="AE28" s="31">
        <f t="shared" si="20"/>
        <v>9</v>
      </c>
      <c r="AF28" s="31">
        <f t="shared" si="20"/>
        <v>32</v>
      </c>
    </row>
    <row r="29" spans="2:32" ht="23.1" customHeight="1" x14ac:dyDescent="0.25">
      <c r="B29" s="45" t="s">
        <v>56</v>
      </c>
      <c r="C29" s="50">
        <v>0</v>
      </c>
      <c r="D29" s="50">
        <v>2</v>
      </c>
      <c r="E29" s="50">
        <v>0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5</v>
      </c>
      <c r="M29" s="50">
        <v>2</v>
      </c>
      <c r="N29" s="50">
        <v>0</v>
      </c>
      <c r="O29" s="15">
        <f t="shared" si="0"/>
        <v>10</v>
      </c>
      <c r="P29" s="15">
        <f t="shared" si="1"/>
        <v>12</v>
      </c>
      <c r="R29" s="36" t="s">
        <v>153</v>
      </c>
      <c r="S29" s="34">
        <f>SUM(C86:C89)</f>
        <v>1</v>
      </c>
      <c r="T29" s="34">
        <f t="shared" ref="T29:AF29" si="21">SUM(D86:D89)</f>
        <v>4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2</v>
      </c>
      <c r="AA29" s="34">
        <f t="shared" si="21"/>
        <v>0</v>
      </c>
      <c r="AB29" s="34">
        <f t="shared" si="21"/>
        <v>12</v>
      </c>
      <c r="AC29" s="34">
        <f t="shared" si="21"/>
        <v>0</v>
      </c>
      <c r="AD29" s="34">
        <f t="shared" si="21"/>
        <v>0</v>
      </c>
      <c r="AE29" s="31">
        <f t="shared" si="21"/>
        <v>24</v>
      </c>
      <c r="AF29" s="31">
        <f t="shared" si="21"/>
        <v>24</v>
      </c>
    </row>
    <row r="30" spans="2:32" ht="23.1" customHeight="1" x14ac:dyDescent="0.25">
      <c r="B30" s="45" t="s">
        <v>57</v>
      </c>
      <c r="C30" s="50">
        <v>0</v>
      </c>
      <c r="D30" s="50">
        <v>3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3</v>
      </c>
      <c r="M30" s="50">
        <v>5</v>
      </c>
      <c r="N30" s="50">
        <v>0</v>
      </c>
      <c r="O30" s="15">
        <f t="shared" si="0"/>
        <v>6</v>
      </c>
      <c r="P30" s="15">
        <f t="shared" si="1"/>
        <v>11</v>
      </c>
      <c r="R30" s="36" t="s">
        <v>154</v>
      </c>
      <c r="S30" s="34">
        <f>SUM(C90:C93)</f>
        <v>1</v>
      </c>
      <c r="T30" s="34">
        <f t="shared" ref="T30:AF30" si="22">SUM(D90:D93)</f>
        <v>3</v>
      </c>
      <c r="U30" s="34">
        <f t="shared" si="22"/>
        <v>0</v>
      </c>
      <c r="V30" s="34">
        <f t="shared" si="22"/>
        <v>1</v>
      </c>
      <c r="W30" s="34">
        <f t="shared" si="22"/>
        <v>1</v>
      </c>
      <c r="X30" s="34">
        <f t="shared" si="22"/>
        <v>1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18</v>
      </c>
      <c r="AC30" s="34">
        <f t="shared" si="22"/>
        <v>0</v>
      </c>
      <c r="AD30" s="34">
        <f t="shared" si="22"/>
        <v>0</v>
      </c>
      <c r="AE30" s="31">
        <f t="shared" si="22"/>
        <v>25</v>
      </c>
      <c r="AF30" s="31">
        <f t="shared" si="22"/>
        <v>25</v>
      </c>
    </row>
    <row r="31" spans="2:32" ht="23.1" customHeight="1" x14ac:dyDescent="0.25">
      <c r="B31" s="46" t="s">
        <v>58</v>
      </c>
      <c r="C31" s="50">
        <v>0</v>
      </c>
      <c r="D31" s="50">
        <v>2</v>
      </c>
      <c r="E31" s="50">
        <v>4</v>
      </c>
      <c r="F31" s="50">
        <v>5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4</v>
      </c>
      <c r="M31" s="50">
        <v>1</v>
      </c>
      <c r="N31" s="50">
        <v>0</v>
      </c>
      <c r="O31" s="15">
        <f t="shared" si="0"/>
        <v>15</v>
      </c>
      <c r="P31" s="15">
        <f t="shared" si="1"/>
        <v>16</v>
      </c>
      <c r="R31" s="36" t="s">
        <v>155</v>
      </c>
      <c r="S31" s="34">
        <f>SUM(C94:C97)</f>
        <v>0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13</v>
      </c>
      <c r="AC31" s="34">
        <f t="shared" si="23"/>
        <v>0</v>
      </c>
      <c r="AD31" s="34">
        <f t="shared" si="23"/>
        <v>0</v>
      </c>
      <c r="AE31" s="31">
        <f t="shared" si="23"/>
        <v>15</v>
      </c>
      <c r="AF31" s="31">
        <f t="shared" si="23"/>
        <v>15</v>
      </c>
    </row>
    <row r="32" spans="2:32" ht="23.1" customHeight="1" x14ac:dyDescent="0.25">
      <c r="B32" s="46" t="s">
        <v>59</v>
      </c>
      <c r="C32" s="50">
        <v>3</v>
      </c>
      <c r="D32" s="50">
        <v>5</v>
      </c>
      <c r="E32" s="50">
        <v>0</v>
      </c>
      <c r="F32" s="50">
        <v>8</v>
      </c>
      <c r="G32" s="50">
        <v>0</v>
      </c>
      <c r="H32" s="50">
        <v>0</v>
      </c>
      <c r="I32" s="50">
        <v>0</v>
      </c>
      <c r="J32" s="50">
        <v>0</v>
      </c>
      <c r="K32" s="50">
        <v>6</v>
      </c>
      <c r="L32" s="50">
        <v>1</v>
      </c>
      <c r="M32" s="50">
        <v>6</v>
      </c>
      <c r="N32" s="50">
        <v>0</v>
      </c>
      <c r="O32" s="15">
        <f t="shared" si="0"/>
        <v>23</v>
      </c>
      <c r="P32" s="15">
        <f t="shared" si="1"/>
        <v>29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33</v>
      </c>
      <c r="AC32" s="34">
        <f t="shared" si="24"/>
        <v>0</v>
      </c>
      <c r="AD32" s="34">
        <f t="shared" si="24"/>
        <v>0</v>
      </c>
      <c r="AE32" s="31">
        <f t="shared" si="24"/>
        <v>33</v>
      </c>
      <c r="AF32" s="31">
        <f t="shared" si="24"/>
        <v>33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5</v>
      </c>
      <c r="M33" s="50">
        <v>2</v>
      </c>
      <c r="N33" s="50">
        <v>0</v>
      </c>
      <c r="O33" s="15">
        <f t="shared" si="0"/>
        <v>9</v>
      </c>
      <c r="P33" s="15">
        <f t="shared" si="1"/>
        <v>11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17</v>
      </c>
      <c r="AB33" s="34">
        <f t="shared" si="25"/>
        <v>15</v>
      </c>
      <c r="AC33" s="34">
        <f t="shared" si="25"/>
        <v>1</v>
      </c>
      <c r="AD33" s="34">
        <f t="shared" si="25"/>
        <v>0</v>
      </c>
      <c r="AE33" s="31">
        <f t="shared" si="25"/>
        <v>36</v>
      </c>
      <c r="AF33" s="31">
        <f t="shared" si="25"/>
        <v>37</v>
      </c>
    </row>
    <row r="34" spans="2:32" ht="23.1" customHeight="1" x14ac:dyDescent="0.25">
      <c r="B34" s="46" t="s">
        <v>61</v>
      </c>
      <c r="C34" s="50">
        <v>2</v>
      </c>
      <c r="D34" s="50">
        <v>4</v>
      </c>
      <c r="E34" s="50">
        <v>1</v>
      </c>
      <c r="F34" s="50">
        <v>5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2</v>
      </c>
      <c r="M34" s="50">
        <v>7</v>
      </c>
      <c r="N34" s="50">
        <v>0</v>
      </c>
      <c r="O34" s="15">
        <f t="shared" si="0"/>
        <v>17</v>
      </c>
      <c r="P34" s="15">
        <f t="shared" si="1"/>
        <v>24</v>
      </c>
      <c r="R34" s="38" t="s">
        <v>90</v>
      </c>
      <c r="S34" s="39">
        <f t="shared" ref="S34:AF34" si="26">MAX(S10:S12)</f>
        <v>8</v>
      </c>
      <c r="T34" s="39">
        <f t="shared" si="26"/>
        <v>17</v>
      </c>
      <c r="U34" s="39">
        <f t="shared" si="26"/>
        <v>4</v>
      </c>
      <c r="V34" s="39">
        <f t="shared" si="26"/>
        <v>16</v>
      </c>
      <c r="W34" s="39">
        <f t="shared" si="26"/>
        <v>1</v>
      </c>
      <c r="X34" s="39">
        <f t="shared" si="26"/>
        <v>0</v>
      </c>
      <c r="Y34" s="39">
        <f t="shared" si="26"/>
        <v>5</v>
      </c>
      <c r="Z34" s="39">
        <f t="shared" si="26"/>
        <v>2</v>
      </c>
      <c r="AA34" s="39">
        <f t="shared" si="26"/>
        <v>2</v>
      </c>
      <c r="AB34" s="39">
        <f t="shared" si="26"/>
        <v>32</v>
      </c>
      <c r="AC34" s="39">
        <f t="shared" si="26"/>
        <v>21</v>
      </c>
      <c r="AD34" s="39">
        <f t="shared" si="26"/>
        <v>1</v>
      </c>
      <c r="AE34" s="40">
        <f t="shared" si="26"/>
        <v>64</v>
      </c>
      <c r="AF34" s="40">
        <f t="shared" si="26"/>
        <v>79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7</v>
      </c>
      <c r="G35" s="50">
        <v>0</v>
      </c>
      <c r="H35" s="50">
        <v>0</v>
      </c>
      <c r="I35" s="50">
        <v>0</v>
      </c>
      <c r="J35" s="50">
        <v>0</v>
      </c>
      <c r="K35" s="50">
        <v>2</v>
      </c>
      <c r="L35" s="50">
        <v>4</v>
      </c>
      <c r="M35" s="50">
        <v>5</v>
      </c>
      <c r="N35" s="50">
        <v>0</v>
      </c>
      <c r="O35" s="15">
        <f t="shared" si="0"/>
        <v>14</v>
      </c>
      <c r="P35" s="15">
        <f t="shared" si="1"/>
        <v>19</v>
      </c>
      <c r="R35" s="38" t="s">
        <v>91</v>
      </c>
      <c r="S35" s="39">
        <f t="shared" ref="S35:AF35" si="27">MAX(S13:S18)</f>
        <v>10</v>
      </c>
      <c r="T35" s="39">
        <f t="shared" si="27"/>
        <v>15</v>
      </c>
      <c r="U35" s="39">
        <f t="shared" si="27"/>
        <v>5</v>
      </c>
      <c r="V35" s="39">
        <f t="shared" si="27"/>
        <v>18</v>
      </c>
      <c r="W35" s="39">
        <f t="shared" si="27"/>
        <v>2</v>
      </c>
      <c r="X35" s="39">
        <f t="shared" si="27"/>
        <v>1</v>
      </c>
      <c r="Y35" s="39">
        <f t="shared" si="27"/>
        <v>4</v>
      </c>
      <c r="Z35" s="39">
        <f t="shared" si="27"/>
        <v>3</v>
      </c>
      <c r="AA35" s="39">
        <f t="shared" si="27"/>
        <v>16</v>
      </c>
      <c r="AB35" s="39">
        <f t="shared" si="27"/>
        <v>23</v>
      </c>
      <c r="AC35" s="39">
        <f t="shared" si="27"/>
        <v>25</v>
      </c>
      <c r="AD35" s="39">
        <f t="shared" si="27"/>
        <v>0</v>
      </c>
      <c r="AE35" s="40">
        <f t="shared" si="27"/>
        <v>72</v>
      </c>
      <c r="AF35" s="40">
        <f t="shared" si="27"/>
        <v>89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6</v>
      </c>
      <c r="L36" s="50">
        <v>0</v>
      </c>
      <c r="M36" s="50">
        <v>3</v>
      </c>
      <c r="N36" s="50">
        <v>0</v>
      </c>
      <c r="O36" s="15">
        <f t="shared" si="0"/>
        <v>13</v>
      </c>
      <c r="P36" s="15">
        <f t="shared" si="1"/>
        <v>16</v>
      </c>
      <c r="R36" s="38" t="s">
        <v>92</v>
      </c>
      <c r="S36" s="39">
        <f t="shared" ref="S36:AF36" si="28">MAX(S19:S21)</f>
        <v>9</v>
      </c>
      <c r="T36" s="39">
        <f t="shared" si="28"/>
        <v>17</v>
      </c>
      <c r="U36" s="39">
        <f t="shared" si="28"/>
        <v>8</v>
      </c>
      <c r="V36" s="39">
        <f t="shared" si="28"/>
        <v>24</v>
      </c>
      <c r="W36" s="39">
        <f t="shared" si="28"/>
        <v>2</v>
      </c>
      <c r="X36" s="39">
        <f t="shared" si="28"/>
        <v>0</v>
      </c>
      <c r="Y36" s="39">
        <f t="shared" si="28"/>
        <v>12</v>
      </c>
      <c r="Z36" s="39">
        <f t="shared" si="28"/>
        <v>10</v>
      </c>
      <c r="AA36" s="39">
        <f t="shared" si="28"/>
        <v>13</v>
      </c>
      <c r="AB36" s="39">
        <f t="shared" si="28"/>
        <v>121</v>
      </c>
      <c r="AC36" s="39">
        <f t="shared" si="28"/>
        <v>50</v>
      </c>
      <c r="AD36" s="39">
        <f t="shared" si="28"/>
        <v>0</v>
      </c>
      <c r="AE36" s="40">
        <f t="shared" si="28"/>
        <v>197</v>
      </c>
      <c r="AF36" s="40">
        <f t="shared" si="28"/>
        <v>215</v>
      </c>
    </row>
    <row r="37" spans="2:32" ht="23.1" customHeight="1" x14ac:dyDescent="0.25">
      <c r="B37" s="45" t="s">
        <v>64</v>
      </c>
      <c r="C37" s="50">
        <v>1</v>
      </c>
      <c r="D37" s="50">
        <v>4</v>
      </c>
      <c r="E37" s="50">
        <v>1</v>
      </c>
      <c r="F37" s="50">
        <v>0</v>
      </c>
      <c r="G37" s="50">
        <v>1</v>
      </c>
      <c r="H37" s="50">
        <v>0</v>
      </c>
      <c r="I37" s="50">
        <v>0</v>
      </c>
      <c r="J37" s="50">
        <v>1</v>
      </c>
      <c r="K37" s="50">
        <v>8</v>
      </c>
      <c r="L37" s="50">
        <v>4</v>
      </c>
      <c r="M37" s="50">
        <v>10</v>
      </c>
      <c r="N37" s="50">
        <v>0</v>
      </c>
      <c r="O37" s="15">
        <f t="shared" si="0"/>
        <v>20</v>
      </c>
      <c r="P37" s="15">
        <f t="shared" si="1"/>
        <v>30</v>
      </c>
      <c r="R37" s="37" t="s">
        <v>85</v>
      </c>
      <c r="S37" s="35">
        <f t="shared" ref="S37:AF37" si="29">SUM(S10:S12)</f>
        <v>21</v>
      </c>
      <c r="T37" s="16">
        <f t="shared" si="29"/>
        <v>29</v>
      </c>
      <c r="U37" s="16">
        <f t="shared" si="29"/>
        <v>9</v>
      </c>
      <c r="V37" s="16">
        <f t="shared" si="29"/>
        <v>37</v>
      </c>
      <c r="W37" s="16">
        <f t="shared" si="29"/>
        <v>1</v>
      </c>
      <c r="X37" s="16">
        <f t="shared" si="29"/>
        <v>0</v>
      </c>
      <c r="Y37" s="16">
        <f t="shared" si="29"/>
        <v>7</v>
      </c>
      <c r="Z37" s="16">
        <f t="shared" si="29"/>
        <v>3</v>
      </c>
      <c r="AA37" s="16">
        <f t="shared" si="29"/>
        <v>3</v>
      </c>
      <c r="AB37" s="16">
        <f t="shared" si="29"/>
        <v>69</v>
      </c>
      <c r="AC37" s="16">
        <f t="shared" si="29"/>
        <v>52</v>
      </c>
      <c r="AD37" s="16">
        <f t="shared" si="29"/>
        <v>1</v>
      </c>
      <c r="AE37" s="32">
        <f t="shared" si="29"/>
        <v>180</v>
      </c>
      <c r="AF37" s="32">
        <f t="shared" si="29"/>
        <v>232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1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2</v>
      </c>
      <c r="M38" s="50">
        <v>3</v>
      </c>
      <c r="N38" s="50">
        <v>0</v>
      </c>
      <c r="O38" s="15">
        <f t="shared" si="0"/>
        <v>8</v>
      </c>
      <c r="P38" s="15">
        <f t="shared" si="1"/>
        <v>11</v>
      </c>
      <c r="R38" s="28" t="s">
        <v>86</v>
      </c>
      <c r="S38" s="16">
        <f t="shared" ref="S38:AF38" si="30">SUM(S13:S18)</f>
        <v>26</v>
      </c>
      <c r="T38" s="16">
        <f t="shared" si="30"/>
        <v>60</v>
      </c>
      <c r="U38" s="16">
        <f t="shared" si="30"/>
        <v>16</v>
      </c>
      <c r="V38" s="16">
        <f t="shared" si="30"/>
        <v>80</v>
      </c>
      <c r="W38" s="16">
        <f t="shared" si="30"/>
        <v>6</v>
      </c>
      <c r="X38" s="16">
        <f t="shared" si="30"/>
        <v>1</v>
      </c>
      <c r="Y38" s="16">
        <f t="shared" si="30"/>
        <v>16</v>
      </c>
      <c r="Z38" s="16">
        <f t="shared" si="30"/>
        <v>10</v>
      </c>
      <c r="AA38" s="16">
        <f t="shared" si="30"/>
        <v>26</v>
      </c>
      <c r="AB38" s="16">
        <f t="shared" si="30"/>
        <v>99</v>
      </c>
      <c r="AC38" s="16">
        <f t="shared" si="30"/>
        <v>92</v>
      </c>
      <c r="AD38" s="16">
        <f t="shared" si="30"/>
        <v>0</v>
      </c>
      <c r="AE38" s="32">
        <f t="shared" si="30"/>
        <v>340</v>
      </c>
      <c r="AF38" s="32">
        <f t="shared" si="30"/>
        <v>432</v>
      </c>
    </row>
    <row r="39" spans="2:32" ht="23.1" customHeight="1" x14ac:dyDescent="0.25">
      <c r="B39" s="46" t="s">
        <v>66</v>
      </c>
      <c r="C39" s="50">
        <v>0</v>
      </c>
      <c r="D39" s="50">
        <v>1</v>
      </c>
      <c r="E39" s="50">
        <v>0</v>
      </c>
      <c r="F39" s="50">
        <v>3</v>
      </c>
      <c r="G39" s="50">
        <v>0</v>
      </c>
      <c r="H39" s="50">
        <v>0</v>
      </c>
      <c r="I39" s="50">
        <v>0</v>
      </c>
      <c r="J39" s="50">
        <v>3</v>
      </c>
      <c r="K39" s="50">
        <v>0</v>
      </c>
      <c r="L39" s="50">
        <v>10</v>
      </c>
      <c r="M39" s="50">
        <v>3</v>
      </c>
      <c r="N39" s="50">
        <v>0</v>
      </c>
      <c r="O39" s="15">
        <f t="shared" si="0"/>
        <v>17</v>
      </c>
      <c r="P39" s="15">
        <f t="shared" si="1"/>
        <v>20</v>
      </c>
      <c r="R39" s="29" t="s">
        <v>87</v>
      </c>
      <c r="S39" s="16">
        <f t="shared" ref="S39:AF39" si="31">SUM(S19:S21)</f>
        <v>21</v>
      </c>
      <c r="T39" s="16">
        <f t="shared" si="31"/>
        <v>38</v>
      </c>
      <c r="U39" s="16">
        <f t="shared" si="31"/>
        <v>11</v>
      </c>
      <c r="V39" s="16">
        <f t="shared" si="31"/>
        <v>46</v>
      </c>
      <c r="W39" s="16">
        <f t="shared" si="31"/>
        <v>2</v>
      </c>
      <c r="X39" s="16">
        <f t="shared" si="31"/>
        <v>0</v>
      </c>
      <c r="Y39" s="16">
        <f t="shared" si="31"/>
        <v>18</v>
      </c>
      <c r="Z39" s="16">
        <f t="shared" si="31"/>
        <v>10</v>
      </c>
      <c r="AA39" s="16">
        <f t="shared" si="31"/>
        <v>24</v>
      </c>
      <c r="AB39" s="16">
        <f t="shared" si="31"/>
        <v>222</v>
      </c>
      <c r="AC39" s="16">
        <f t="shared" si="31"/>
        <v>83</v>
      </c>
      <c r="AD39" s="16">
        <f t="shared" si="31"/>
        <v>0</v>
      </c>
      <c r="AE39" s="32">
        <f t="shared" si="31"/>
        <v>392</v>
      </c>
      <c r="AF39" s="32">
        <f t="shared" si="31"/>
        <v>475</v>
      </c>
    </row>
    <row r="40" spans="2:32" ht="23.1" customHeight="1" x14ac:dyDescent="0.25">
      <c r="B40" s="46" t="s">
        <v>67</v>
      </c>
      <c r="C40" s="50">
        <v>4</v>
      </c>
      <c r="D40" s="50">
        <v>1</v>
      </c>
      <c r="E40" s="50">
        <v>0</v>
      </c>
      <c r="F40" s="50">
        <v>0</v>
      </c>
      <c r="G40" s="50">
        <v>0</v>
      </c>
      <c r="H40" s="50">
        <v>1</v>
      </c>
      <c r="I40" s="50">
        <v>2</v>
      </c>
      <c r="J40" s="50">
        <v>0</v>
      </c>
      <c r="K40" s="50">
        <v>0</v>
      </c>
      <c r="L40" s="50">
        <v>3</v>
      </c>
      <c r="M40" s="50">
        <v>5</v>
      </c>
      <c r="N40" s="50">
        <v>0</v>
      </c>
      <c r="O40" s="15">
        <f t="shared" si="0"/>
        <v>11</v>
      </c>
      <c r="P40" s="15">
        <f t="shared" si="1"/>
        <v>16</v>
      </c>
      <c r="R40" s="5" t="s">
        <v>17</v>
      </c>
      <c r="S40" s="16">
        <f t="shared" ref="S40:AF40" si="32">SUM(S10:S21)</f>
        <v>68</v>
      </c>
      <c r="T40" s="16">
        <f t="shared" si="32"/>
        <v>127</v>
      </c>
      <c r="U40" s="16">
        <f t="shared" si="32"/>
        <v>36</v>
      </c>
      <c r="V40" s="16">
        <f t="shared" si="32"/>
        <v>163</v>
      </c>
      <c r="W40" s="16">
        <f t="shared" si="32"/>
        <v>9</v>
      </c>
      <c r="X40" s="16">
        <f t="shared" si="32"/>
        <v>1</v>
      </c>
      <c r="Y40" s="16">
        <f t="shared" si="32"/>
        <v>41</v>
      </c>
      <c r="Z40" s="16">
        <f t="shared" si="32"/>
        <v>23</v>
      </c>
      <c r="AA40" s="16">
        <f t="shared" si="32"/>
        <v>53</v>
      </c>
      <c r="AB40" s="16">
        <f t="shared" si="32"/>
        <v>390</v>
      </c>
      <c r="AC40" s="16">
        <f t="shared" si="32"/>
        <v>227</v>
      </c>
      <c r="AD40" s="16">
        <f t="shared" si="32"/>
        <v>1</v>
      </c>
      <c r="AE40" s="32">
        <f t="shared" si="32"/>
        <v>912</v>
      </c>
      <c r="AF40" s="32">
        <f t="shared" si="32"/>
        <v>1139</v>
      </c>
    </row>
    <row r="41" spans="2:32" ht="23.1" customHeight="1" x14ac:dyDescent="0.25">
      <c r="B41" s="45" t="s">
        <v>68</v>
      </c>
      <c r="C41" s="50">
        <v>0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3</v>
      </c>
      <c r="M41" s="50">
        <v>2</v>
      </c>
      <c r="N41" s="50">
        <v>0</v>
      </c>
      <c r="O41" s="15">
        <f t="shared" si="0"/>
        <v>6</v>
      </c>
      <c r="P41" s="15">
        <f t="shared" si="1"/>
        <v>8</v>
      </c>
      <c r="R41" s="5" t="s">
        <v>159</v>
      </c>
      <c r="S41" s="16">
        <f>SUM(S10:S33)</f>
        <v>93</v>
      </c>
      <c r="T41" s="16">
        <f t="shared" ref="T41:AF41" si="33">SUM(T10:T33)</f>
        <v>174</v>
      </c>
      <c r="U41" s="16">
        <f t="shared" si="33"/>
        <v>46</v>
      </c>
      <c r="V41" s="16">
        <f t="shared" si="33"/>
        <v>203</v>
      </c>
      <c r="W41" s="16">
        <f t="shared" si="33"/>
        <v>11</v>
      </c>
      <c r="X41" s="16">
        <f t="shared" si="33"/>
        <v>7</v>
      </c>
      <c r="Y41" s="16">
        <f t="shared" si="33"/>
        <v>54</v>
      </c>
      <c r="Z41" s="16">
        <f t="shared" si="33"/>
        <v>42</v>
      </c>
      <c r="AA41" s="16">
        <f t="shared" si="33"/>
        <v>77</v>
      </c>
      <c r="AB41" s="16">
        <f t="shared" si="33"/>
        <v>718</v>
      </c>
      <c r="AC41" s="16">
        <f t="shared" si="33"/>
        <v>442</v>
      </c>
      <c r="AD41" s="16">
        <f t="shared" si="33"/>
        <v>1</v>
      </c>
      <c r="AE41" s="32">
        <f t="shared" si="33"/>
        <v>1426</v>
      </c>
      <c r="AF41" s="32">
        <f t="shared" si="33"/>
        <v>1868</v>
      </c>
    </row>
    <row r="42" spans="2:32" ht="23.1" customHeight="1" x14ac:dyDescent="0.25">
      <c r="B42" s="46" t="s">
        <v>69</v>
      </c>
      <c r="C42" s="50">
        <v>0</v>
      </c>
      <c r="D42" s="50">
        <v>1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4</v>
      </c>
      <c r="M42" s="50">
        <v>0</v>
      </c>
      <c r="N42" s="50">
        <v>0</v>
      </c>
      <c r="O42" s="15">
        <f t="shared" si="0"/>
        <v>7</v>
      </c>
      <c r="P42" s="15">
        <f t="shared" si="1"/>
        <v>7</v>
      </c>
      <c r="R42" s="5" t="s">
        <v>160</v>
      </c>
      <c r="S42" s="48">
        <f>S41/S40</f>
        <v>1.3676470588235294</v>
      </c>
      <c r="T42" s="48">
        <f t="shared" ref="T42:AF42" si="34">T41/T40</f>
        <v>1.3700787401574803</v>
      </c>
      <c r="U42" s="48">
        <f t="shared" si="34"/>
        <v>1.2777777777777777</v>
      </c>
      <c r="V42" s="48">
        <f t="shared" si="34"/>
        <v>1.2453987730061349</v>
      </c>
      <c r="W42" s="48">
        <f t="shared" si="34"/>
        <v>1.2222222222222223</v>
      </c>
      <c r="X42" s="48">
        <f t="shared" si="34"/>
        <v>7</v>
      </c>
      <c r="Y42" s="48">
        <f t="shared" si="34"/>
        <v>1.3170731707317074</v>
      </c>
      <c r="Z42" s="48">
        <f t="shared" si="34"/>
        <v>1.826086956521739</v>
      </c>
      <c r="AA42" s="48">
        <f t="shared" si="34"/>
        <v>1.4528301886792452</v>
      </c>
      <c r="AB42" s="48">
        <f t="shared" si="34"/>
        <v>1.8410256410256409</v>
      </c>
      <c r="AC42" s="48">
        <f t="shared" si="34"/>
        <v>1.947136563876652</v>
      </c>
      <c r="AD42" s="48">
        <f t="shared" si="34"/>
        <v>1</v>
      </c>
      <c r="AE42" s="48">
        <f t="shared" si="34"/>
        <v>1.5635964912280702</v>
      </c>
      <c r="AF42" s="48">
        <f t="shared" si="34"/>
        <v>1.6400351185250219</v>
      </c>
    </row>
    <row r="43" spans="2:32" ht="23.1" customHeight="1" x14ac:dyDescent="0.25">
      <c r="B43" s="45" t="s">
        <v>70</v>
      </c>
      <c r="C43" s="50">
        <v>1</v>
      </c>
      <c r="D43" s="50">
        <v>8</v>
      </c>
      <c r="E43" s="50">
        <v>0</v>
      </c>
      <c r="F43" s="50">
        <v>11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8</v>
      </c>
      <c r="M43" s="50">
        <v>0</v>
      </c>
      <c r="N43" s="50">
        <v>0</v>
      </c>
      <c r="O43" s="15">
        <f t="shared" si="0"/>
        <v>28</v>
      </c>
      <c r="P43" s="15">
        <f t="shared" si="1"/>
        <v>28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4</v>
      </c>
      <c r="J44" s="50">
        <v>2</v>
      </c>
      <c r="K44" s="50">
        <v>0</v>
      </c>
      <c r="L44" s="50">
        <v>2</v>
      </c>
      <c r="M44" s="50">
        <v>8</v>
      </c>
      <c r="N44" s="50">
        <v>0</v>
      </c>
      <c r="O44" s="15">
        <f t="shared" si="0"/>
        <v>11</v>
      </c>
      <c r="P44" s="15">
        <f t="shared" si="1"/>
        <v>19</v>
      </c>
    </row>
    <row r="45" spans="2:32" ht="23.1" customHeight="1" x14ac:dyDescent="0.25">
      <c r="B45" s="45" t="s">
        <v>72</v>
      </c>
      <c r="C45" s="50">
        <v>0</v>
      </c>
      <c r="D45" s="50">
        <v>2</v>
      </c>
      <c r="E45" s="50">
        <v>0</v>
      </c>
      <c r="F45" s="50">
        <v>2</v>
      </c>
      <c r="G45" s="50">
        <v>1</v>
      </c>
      <c r="H45" s="50">
        <v>0</v>
      </c>
      <c r="I45" s="50">
        <v>0</v>
      </c>
      <c r="J45" s="50">
        <v>0</v>
      </c>
      <c r="K45" s="50">
        <v>1</v>
      </c>
      <c r="L45" s="50">
        <v>2</v>
      </c>
      <c r="M45" s="50">
        <v>2</v>
      </c>
      <c r="N45" s="50">
        <v>0</v>
      </c>
      <c r="O45" s="15">
        <f t="shared" si="0"/>
        <v>8</v>
      </c>
      <c r="P45" s="15">
        <f t="shared" si="1"/>
        <v>10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3</v>
      </c>
      <c r="M46" s="50">
        <v>5</v>
      </c>
      <c r="N46" s="50">
        <v>0</v>
      </c>
      <c r="O46" s="15">
        <f t="shared" si="0"/>
        <v>9</v>
      </c>
      <c r="P46" s="15">
        <f t="shared" si="1"/>
        <v>14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6</v>
      </c>
      <c r="M47" s="50">
        <v>3</v>
      </c>
      <c r="N47" s="50">
        <v>0</v>
      </c>
      <c r="O47" s="15">
        <f t="shared" si="0"/>
        <v>6</v>
      </c>
      <c r="P47" s="15">
        <f t="shared" si="1"/>
        <v>9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1</v>
      </c>
      <c r="E48" s="50">
        <v>0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7</v>
      </c>
      <c r="M48" s="50">
        <v>4</v>
      </c>
      <c r="N48" s="50">
        <v>0</v>
      </c>
      <c r="O48" s="15">
        <f t="shared" si="0"/>
        <v>12</v>
      </c>
      <c r="P48" s="15">
        <f t="shared" si="1"/>
        <v>16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3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8</v>
      </c>
      <c r="M49" s="50">
        <v>3</v>
      </c>
      <c r="N49" s="50">
        <v>0</v>
      </c>
      <c r="O49" s="15">
        <f t="shared" si="0"/>
        <v>13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3</v>
      </c>
      <c r="E50" s="50">
        <v>0</v>
      </c>
      <c r="F50" s="50">
        <v>5</v>
      </c>
      <c r="G50" s="50">
        <v>2</v>
      </c>
      <c r="H50" s="50">
        <v>0</v>
      </c>
      <c r="I50" s="50">
        <v>0</v>
      </c>
      <c r="J50" s="50">
        <v>0</v>
      </c>
      <c r="K50" s="50">
        <v>0</v>
      </c>
      <c r="L50" s="50">
        <v>23</v>
      </c>
      <c r="M50" s="50">
        <v>4</v>
      </c>
      <c r="N50" s="50">
        <v>0</v>
      </c>
      <c r="O50" s="15">
        <f t="shared" si="0"/>
        <v>35</v>
      </c>
      <c r="P50" s="15">
        <f t="shared" si="1"/>
        <v>39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5</v>
      </c>
      <c r="M51" s="50">
        <v>11</v>
      </c>
      <c r="N51" s="50">
        <v>0</v>
      </c>
      <c r="O51" s="15">
        <f t="shared" si="0"/>
        <v>9</v>
      </c>
      <c r="P51" s="15">
        <f t="shared" si="1"/>
        <v>20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7</v>
      </c>
      <c r="E52" s="50">
        <v>5</v>
      </c>
      <c r="F52" s="50">
        <v>0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9</v>
      </c>
      <c r="M52" s="50">
        <v>16</v>
      </c>
      <c r="N52" s="50">
        <v>0</v>
      </c>
      <c r="O52" s="15">
        <f t="shared" si="0"/>
        <v>25</v>
      </c>
      <c r="P52" s="15">
        <f t="shared" si="1"/>
        <v>41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6</v>
      </c>
      <c r="E53" s="50">
        <v>3</v>
      </c>
      <c r="F53" s="50">
        <v>6</v>
      </c>
      <c r="G53" s="50">
        <v>0</v>
      </c>
      <c r="H53" s="50">
        <v>0</v>
      </c>
      <c r="I53" s="50">
        <v>5</v>
      </c>
      <c r="J53" s="50">
        <v>8</v>
      </c>
      <c r="K53" s="50">
        <v>13</v>
      </c>
      <c r="L53" s="50">
        <v>40</v>
      </c>
      <c r="M53" s="50">
        <v>19</v>
      </c>
      <c r="N53" s="50">
        <v>0</v>
      </c>
      <c r="O53" s="15">
        <f t="shared" si="0"/>
        <v>86</v>
      </c>
      <c r="P53" s="15">
        <f t="shared" si="1"/>
        <v>105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2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41</v>
      </c>
      <c r="M54" s="50">
        <v>5</v>
      </c>
      <c r="N54" s="50">
        <v>0</v>
      </c>
      <c r="O54" s="15">
        <f t="shared" si="0"/>
        <v>48</v>
      </c>
      <c r="P54" s="15">
        <f t="shared" si="1"/>
        <v>53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3</v>
      </c>
      <c r="E55" s="50">
        <v>0</v>
      </c>
      <c r="F55" s="50">
        <v>15</v>
      </c>
      <c r="G55" s="50">
        <v>0</v>
      </c>
      <c r="H55" s="50">
        <v>0</v>
      </c>
      <c r="I55" s="50">
        <v>12</v>
      </c>
      <c r="J55" s="50">
        <v>0</v>
      </c>
      <c r="K55" s="50">
        <v>10</v>
      </c>
      <c r="L55" s="50">
        <v>53</v>
      </c>
      <c r="M55" s="50">
        <v>2</v>
      </c>
      <c r="N55" s="50">
        <v>0</v>
      </c>
      <c r="O55" s="15">
        <f t="shared" si="0"/>
        <v>93</v>
      </c>
      <c r="P55" s="15">
        <f t="shared" si="1"/>
        <v>95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8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17</v>
      </c>
      <c r="M56" s="50">
        <v>3</v>
      </c>
      <c r="N56" s="50">
        <v>0</v>
      </c>
      <c r="O56" s="15">
        <f t="shared" si="0"/>
        <v>32</v>
      </c>
      <c r="P56" s="15">
        <f t="shared" si="1"/>
        <v>35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4</v>
      </c>
      <c r="E57" s="50">
        <v>0</v>
      </c>
      <c r="F57" s="50">
        <v>7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10</v>
      </c>
      <c r="M57" s="50">
        <v>8</v>
      </c>
      <c r="N57" s="50">
        <v>0</v>
      </c>
      <c r="O57" s="15">
        <f t="shared" si="0"/>
        <v>24</v>
      </c>
      <c r="P57" s="15">
        <f t="shared" si="1"/>
        <v>32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2</v>
      </c>
      <c r="E58" s="50">
        <v>0</v>
      </c>
      <c r="F58" s="50">
        <v>3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14</v>
      </c>
      <c r="M58" s="50">
        <v>5</v>
      </c>
      <c r="N58" s="50">
        <v>0</v>
      </c>
      <c r="O58" s="15">
        <f t="shared" ref="O58:O105" si="35">SUM(C58:L58,N58)</f>
        <v>22</v>
      </c>
      <c r="P58" s="15">
        <f t="shared" ref="P58:P105" si="36">SUM(C58:N58)</f>
        <v>27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2</v>
      </c>
      <c r="E59" s="50">
        <v>0</v>
      </c>
      <c r="F59" s="50">
        <v>3</v>
      </c>
      <c r="G59" s="50">
        <v>1</v>
      </c>
      <c r="H59" s="50">
        <v>0</v>
      </c>
      <c r="I59" s="50">
        <v>3</v>
      </c>
      <c r="J59" s="50">
        <v>1</v>
      </c>
      <c r="K59" s="50">
        <v>0</v>
      </c>
      <c r="L59" s="50">
        <v>20</v>
      </c>
      <c r="M59" s="50">
        <v>4</v>
      </c>
      <c r="N59" s="50">
        <v>0</v>
      </c>
      <c r="O59" s="15">
        <f t="shared" si="35"/>
        <v>30</v>
      </c>
      <c r="P59" s="15">
        <f t="shared" si="36"/>
        <v>34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3</v>
      </c>
      <c r="E60" s="50">
        <v>2</v>
      </c>
      <c r="F60" s="50">
        <v>1</v>
      </c>
      <c r="G60" s="50">
        <v>0</v>
      </c>
      <c r="H60" s="50">
        <v>0</v>
      </c>
      <c r="I60" s="50">
        <v>1</v>
      </c>
      <c r="J60" s="50">
        <v>1</v>
      </c>
      <c r="K60" s="50">
        <v>1</v>
      </c>
      <c r="L60" s="50">
        <v>11</v>
      </c>
      <c r="M60" s="50">
        <v>3</v>
      </c>
      <c r="N60" s="50">
        <v>0</v>
      </c>
      <c r="O60" s="15">
        <f t="shared" si="35"/>
        <v>20</v>
      </c>
      <c r="P60" s="15">
        <f t="shared" si="36"/>
        <v>23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3</v>
      </c>
      <c r="E61" s="50">
        <v>0</v>
      </c>
      <c r="F61" s="50">
        <v>6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25</v>
      </c>
      <c r="M61" s="50">
        <v>3</v>
      </c>
      <c r="N61" s="50">
        <v>0</v>
      </c>
      <c r="O61" s="15">
        <f t="shared" si="35"/>
        <v>40</v>
      </c>
      <c r="P61" s="15">
        <f t="shared" si="36"/>
        <v>43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1</v>
      </c>
      <c r="E62" s="50">
        <v>0</v>
      </c>
      <c r="F62" s="50">
        <v>2</v>
      </c>
      <c r="G62" s="50">
        <v>0</v>
      </c>
      <c r="H62" s="50">
        <v>3</v>
      </c>
      <c r="I62" s="50">
        <v>0</v>
      </c>
      <c r="J62" s="50">
        <v>1</v>
      </c>
      <c r="K62" s="50">
        <v>0</v>
      </c>
      <c r="L62" s="50">
        <v>8</v>
      </c>
      <c r="M62" s="50">
        <v>2</v>
      </c>
      <c r="N62" s="50">
        <v>0</v>
      </c>
      <c r="O62" s="15">
        <f t="shared" si="35"/>
        <v>16</v>
      </c>
      <c r="P62" s="15">
        <f t="shared" si="36"/>
        <v>18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3</v>
      </c>
      <c r="E63" s="50">
        <v>0</v>
      </c>
      <c r="F63" s="50">
        <v>1</v>
      </c>
      <c r="G63" s="50">
        <v>0</v>
      </c>
      <c r="H63" s="50">
        <v>1</v>
      </c>
      <c r="I63" s="50">
        <v>0</v>
      </c>
      <c r="J63" s="50">
        <v>1</v>
      </c>
      <c r="K63" s="50">
        <v>0</v>
      </c>
      <c r="L63" s="50">
        <v>24</v>
      </c>
      <c r="M63" s="50">
        <v>2</v>
      </c>
      <c r="N63" s="50">
        <v>0</v>
      </c>
      <c r="O63" s="15">
        <f t="shared" si="35"/>
        <v>30</v>
      </c>
      <c r="P63" s="15">
        <f t="shared" si="36"/>
        <v>32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4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4</v>
      </c>
      <c r="K64" s="50">
        <v>1</v>
      </c>
      <c r="L64" s="50">
        <v>15</v>
      </c>
      <c r="M64" s="50">
        <v>1</v>
      </c>
      <c r="N64" s="50">
        <v>0</v>
      </c>
      <c r="O64" s="15">
        <f t="shared" si="35"/>
        <v>28</v>
      </c>
      <c r="P64" s="15">
        <f t="shared" si="36"/>
        <v>29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8</v>
      </c>
      <c r="M65" s="50">
        <v>1</v>
      </c>
      <c r="N65" s="50">
        <v>0</v>
      </c>
      <c r="O65" s="15">
        <f t="shared" si="35"/>
        <v>10</v>
      </c>
      <c r="P65" s="15">
        <f t="shared" si="36"/>
        <v>11</v>
      </c>
      <c r="R65" s="8"/>
      <c r="T65"/>
    </row>
    <row r="66" spans="2:20" ht="23.1" customHeight="1" x14ac:dyDescent="0.25">
      <c r="B66" s="45" t="s">
        <v>103</v>
      </c>
      <c r="C66" s="50">
        <v>5</v>
      </c>
      <c r="D66" s="50">
        <v>2</v>
      </c>
      <c r="E66" s="50">
        <v>0</v>
      </c>
      <c r="F66" s="50">
        <v>4</v>
      </c>
      <c r="G66" s="50">
        <v>0</v>
      </c>
      <c r="H66" s="50">
        <v>0</v>
      </c>
      <c r="I66" s="50">
        <v>1</v>
      </c>
      <c r="J66" s="50">
        <v>2</v>
      </c>
      <c r="K66" s="50">
        <v>0</v>
      </c>
      <c r="L66" s="50">
        <v>22</v>
      </c>
      <c r="M66" s="50">
        <v>2</v>
      </c>
      <c r="N66" s="50">
        <v>0</v>
      </c>
      <c r="O66" s="15">
        <f t="shared" si="35"/>
        <v>36</v>
      </c>
      <c r="P66" s="15">
        <f t="shared" si="36"/>
        <v>38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2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3</v>
      </c>
      <c r="K67" s="50">
        <v>0</v>
      </c>
      <c r="L67" s="50">
        <v>12</v>
      </c>
      <c r="M67" s="50">
        <v>4</v>
      </c>
      <c r="N67" s="50">
        <v>0</v>
      </c>
      <c r="O67" s="15">
        <f t="shared" si="35"/>
        <v>20</v>
      </c>
      <c r="P67" s="15">
        <f t="shared" si="36"/>
        <v>24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3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4</v>
      </c>
      <c r="M68" s="50">
        <v>0</v>
      </c>
      <c r="N68" s="50">
        <v>0</v>
      </c>
      <c r="O68" s="15">
        <f t="shared" si="35"/>
        <v>8</v>
      </c>
      <c r="P68" s="15">
        <f t="shared" si="36"/>
        <v>8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2</v>
      </c>
      <c r="F69" s="50">
        <v>2</v>
      </c>
      <c r="G69" s="50">
        <v>0</v>
      </c>
      <c r="H69" s="50">
        <v>0</v>
      </c>
      <c r="I69" s="50">
        <v>3</v>
      </c>
      <c r="J69" s="50">
        <v>0</v>
      </c>
      <c r="K69" s="50">
        <v>2</v>
      </c>
      <c r="L69" s="50">
        <v>40</v>
      </c>
      <c r="M69" s="50">
        <v>2</v>
      </c>
      <c r="N69" s="50">
        <v>0</v>
      </c>
      <c r="O69" s="15">
        <f t="shared" si="35"/>
        <v>50</v>
      </c>
      <c r="P69" s="15">
        <f t="shared" si="36"/>
        <v>52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0</v>
      </c>
      <c r="F70" s="50">
        <v>3</v>
      </c>
      <c r="G70" s="50">
        <v>0</v>
      </c>
      <c r="H70" s="50">
        <v>0</v>
      </c>
      <c r="I70" s="50">
        <v>0</v>
      </c>
      <c r="J70" s="50">
        <v>0</v>
      </c>
      <c r="K70" s="50">
        <v>1</v>
      </c>
      <c r="L70" s="50">
        <v>7</v>
      </c>
      <c r="M70" s="50">
        <v>0</v>
      </c>
      <c r="N70" s="50">
        <v>0</v>
      </c>
      <c r="O70" s="15">
        <f t="shared" si="35"/>
        <v>14</v>
      </c>
      <c r="P70" s="15">
        <f t="shared" si="36"/>
        <v>14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3</v>
      </c>
      <c r="E71" s="50">
        <v>0</v>
      </c>
      <c r="F71" s="50">
        <v>0</v>
      </c>
      <c r="G71" s="50">
        <v>0</v>
      </c>
      <c r="H71" s="50">
        <v>1</v>
      </c>
      <c r="I71" s="50">
        <v>0</v>
      </c>
      <c r="J71" s="50">
        <v>0</v>
      </c>
      <c r="K71" s="50">
        <v>0</v>
      </c>
      <c r="L71" s="50">
        <v>2</v>
      </c>
      <c r="M71" s="50">
        <v>15</v>
      </c>
      <c r="N71" s="50">
        <v>0</v>
      </c>
      <c r="O71" s="15">
        <f t="shared" si="35"/>
        <v>6</v>
      </c>
      <c r="P71" s="15">
        <f t="shared" si="36"/>
        <v>21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1</v>
      </c>
      <c r="E72" s="50">
        <v>0</v>
      </c>
      <c r="F72" s="50">
        <v>4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3</v>
      </c>
      <c r="M72" s="50">
        <v>10</v>
      </c>
      <c r="N72" s="50">
        <v>0</v>
      </c>
      <c r="O72" s="15">
        <f t="shared" si="35"/>
        <v>8</v>
      </c>
      <c r="P72" s="15">
        <f t="shared" si="36"/>
        <v>18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2</v>
      </c>
      <c r="M73" s="50">
        <v>22</v>
      </c>
      <c r="N73" s="50">
        <v>0</v>
      </c>
      <c r="O73" s="15">
        <f t="shared" si="35"/>
        <v>2</v>
      </c>
      <c r="P73" s="15">
        <f t="shared" si="36"/>
        <v>24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5</v>
      </c>
      <c r="E74" s="50">
        <v>2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20</v>
      </c>
      <c r="M74" s="50">
        <v>0</v>
      </c>
      <c r="N74" s="50">
        <v>0</v>
      </c>
      <c r="O74" s="15">
        <f t="shared" si="35"/>
        <v>28</v>
      </c>
      <c r="P74" s="15">
        <f t="shared" si="36"/>
        <v>28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0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0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29</v>
      </c>
      <c r="N77" s="50">
        <v>0</v>
      </c>
      <c r="O77" s="15">
        <f t="shared" si="35"/>
        <v>0</v>
      </c>
      <c r="P77" s="15">
        <f t="shared" si="36"/>
        <v>29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1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23</v>
      </c>
      <c r="N78" s="50">
        <v>0</v>
      </c>
      <c r="O78" s="15">
        <f t="shared" si="35"/>
        <v>2</v>
      </c>
      <c r="P78" s="15">
        <f t="shared" si="36"/>
        <v>25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28</v>
      </c>
      <c r="N79" s="50">
        <v>0</v>
      </c>
      <c r="O79" s="15">
        <f t="shared" si="35"/>
        <v>0</v>
      </c>
      <c r="P79" s="15">
        <f t="shared" si="36"/>
        <v>28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21</v>
      </c>
      <c r="N80" s="50">
        <v>0</v>
      </c>
      <c r="O80" s="15">
        <f t="shared" si="35"/>
        <v>1</v>
      </c>
      <c r="P80" s="15">
        <f t="shared" si="36"/>
        <v>22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8</v>
      </c>
      <c r="N81" s="50">
        <v>0</v>
      </c>
      <c r="O81" s="15">
        <f t="shared" si="35"/>
        <v>1</v>
      </c>
      <c r="P81" s="15">
        <f t="shared" si="36"/>
        <v>9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6</v>
      </c>
      <c r="N82" s="50">
        <v>0</v>
      </c>
      <c r="O82" s="15">
        <f t="shared" si="35"/>
        <v>1</v>
      </c>
      <c r="P82" s="15">
        <f t="shared" si="36"/>
        <v>7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1</v>
      </c>
      <c r="E83" s="50">
        <v>0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1</v>
      </c>
      <c r="L83" s="50">
        <v>0</v>
      </c>
      <c r="M83" s="50">
        <v>5</v>
      </c>
      <c r="N83" s="50">
        <v>0</v>
      </c>
      <c r="O83" s="15">
        <f t="shared" si="35"/>
        <v>4</v>
      </c>
      <c r="P83" s="15">
        <f t="shared" si="36"/>
        <v>9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1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5</v>
      </c>
      <c r="N84" s="50">
        <v>0</v>
      </c>
      <c r="O84" s="15">
        <f t="shared" si="35"/>
        <v>2</v>
      </c>
      <c r="P84" s="15">
        <f t="shared" si="36"/>
        <v>7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7</v>
      </c>
      <c r="N85" s="50">
        <v>0</v>
      </c>
      <c r="O85" s="15">
        <f t="shared" si="35"/>
        <v>2</v>
      </c>
      <c r="P85" s="15">
        <f t="shared" si="36"/>
        <v>9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3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2</v>
      </c>
      <c r="M87" s="50">
        <v>0</v>
      </c>
      <c r="N87" s="50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1</v>
      </c>
      <c r="E88" s="50">
        <v>0</v>
      </c>
      <c r="F88" s="50">
        <v>1</v>
      </c>
      <c r="G88" s="50">
        <v>0</v>
      </c>
      <c r="H88" s="50">
        <v>0</v>
      </c>
      <c r="I88" s="50">
        <v>1</v>
      </c>
      <c r="J88" s="50">
        <v>1</v>
      </c>
      <c r="K88" s="50">
        <v>0</v>
      </c>
      <c r="L88" s="50">
        <v>2</v>
      </c>
      <c r="M88" s="50">
        <v>0</v>
      </c>
      <c r="N88" s="50"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2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1</v>
      </c>
      <c r="K89" s="50">
        <v>0</v>
      </c>
      <c r="L89" s="50">
        <v>5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1</v>
      </c>
      <c r="G90" s="50">
        <v>1</v>
      </c>
      <c r="H90" s="50">
        <v>1</v>
      </c>
      <c r="I90" s="50">
        <v>0</v>
      </c>
      <c r="J90" s="50">
        <v>0</v>
      </c>
      <c r="K90" s="50">
        <v>0</v>
      </c>
      <c r="L90" s="50">
        <v>2</v>
      </c>
      <c r="M90" s="50">
        <v>0</v>
      </c>
      <c r="N90" s="50">
        <v>0</v>
      </c>
      <c r="O90" s="15">
        <f t="shared" si="35"/>
        <v>6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2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2</v>
      </c>
      <c r="M91" s="50">
        <v>0</v>
      </c>
      <c r="N91" s="50"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6</v>
      </c>
      <c r="M92" s="50">
        <v>0</v>
      </c>
      <c r="N92" s="50">
        <v>0</v>
      </c>
      <c r="O92" s="15">
        <f t="shared" si="35"/>
        <v>6</v>
      </c>
      <c r="P92" s="15">
        <f t="shared" si="36"/>
        <v>6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8</v>
      </c>
      <c r="M93" s="50">
        <v>0</v>
      </c>
      <c r="N93" s="50">
        <v>0</v>
      </c>
      <c r="O93" s="15">
        <f t="shared" si="35"/>
        <v>9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2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6</v>
      </c>
      <c r="M95" s="50">
        <v>0</v>
      </c>
      <c r="N95" s="50">
        <v>0</v>
      </c>
      <c r="O95" s="15">
        <f t="shared" si="35"/>
        <v>8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2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3</v>
      </c>
      <c r="M97" s="50">
        <v>0</v>
      </c>
      <c r="N97" s="50">
        <v>0</v>
      </c>
      <c r="O97" s="15">
        <f t="shared" si="35"/>
        <v>3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6</v>
      </c>
      <c r="M98" s="50">
        <v>0</v>
      </c>
      <c r="N98" s="50">
        <v>0</v>
      </c>
      <c r="O98" s="15">
        <f t="shared" si="35"/>
        <v>6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4</v>
      </c>
      <c r="M99" s="50">
        <v>0</v>
      </c>
      <c r="N99" s="50">
        <v>0</v>
      </c>
      <c r="O99" s="15">
        <f t="shared" si="35"/>
        <v>4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13</v>
      </c>
      <c r="M100" s="50">
        <v>0</v>
      </c>
      <c r="N100" s="50">
        <v>0</v>
      </c>
      <c r="O100" s="15">
        <f t="shared" si="35"/>
        <v>13</v>
      </c>
      <c r="P100" s="15">
        <f t="shared" si="36"/>
        <v>13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10</v>
      </c>
      <c r="M101" s="50">
        <v>0</v>
      </c>
      <c r="N101" s="50">
        <v>0</v>
      </c>
      <c r="O101" s="15">
        <f t="shared" si="35"/>
        <v>10</v>
      </c>
      <c r="P101" s="15">
        <f t="shared" si="36"/>
        <v>10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13</v>
      </c>
      <c r="M102" s="50">
        <v>1</v>
      </c>
      <c r="N102" s="50">
        <v>0</v>
      </c>
      <c r="O102" s="15">
        <f t="shared" si="35"/>
        <v>15</v>
      </c>
      <c r="P102" s="15">
        <f t="shared" si="36"/>
        <v>16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2</v>
      </c>
      <c r="M103" s="50">
        <v>0</v>
      </c>
      <c r="N103" s="50">
        <v>0</v>
      </c>
      <c r="O103" s="15">
        <f t="shared" si="35"/>
        <v>2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3</v>
      </c>
      <c r="L104" s="50">
        <v>0</v>
      </c>
      <c r="M104" s="50">
        <v>0</v>
      </c>
      <c r="N104" s="50">
        <v>0</v>
      </c>
      <c r="O104" s="15">
        <f t="shared" si="35"/>
        <v>5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14</v>
      </c>
      <c r="L105" s="50">
        <v>0</v>
      </c>
      <c r="M105" s="50">
        <v>0</v>
      </c>
      <c r="N105" s="50">
        <v>0</v>
      </c>
      <c r="O105" s="15">
        <f t="shared" si="35"/>
        <v>14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93</v>
      </c>
      <c r="D106" s="16">
        <f t="shared" ref="D106:P106" si="37">SUM(D10:D105)</f>
        <v>174</v>
      </c>
      <c r="E106" s="16">
        <f t="shared" si="37"/>
        <v>46</v>
      </c>
      <c r="F106" s="16">
        <f t="shared" si="37"/>
        <v>203</v>
      </c>
      <c r="G106" s="16">
        <f t="shared" si="37"/>
        <v>11</v>
      </c>
      <c r="H106" s="16">
        <f t="shared" si="37"/>
        <v>7</v>
      </c>
      <c r="I106" s="16">
        <f t="shared" si="37"/>
        <v>54</v>
      </c>
      <c r="J106" s="16">
        <f t="shared" si="37"/>
        <v>42</v>
      </c>
      <c r="K106" s="16">
        <f t="shared" si="37"/>
        <v>77</v>
      </c>
      <c r="L106" s="16">
        <f t="shared" si="37"/>
        <v>718</v>
      </c>
      <c r="M106" s="16">
        <f t="shared" si="37"/>
        <v>442</v>
      </c>
      <c r="N106" s="16">
        <f t="shared" si="37"/>
        <v>1</v>
      </c>
      <c r="O106" s="16">
        <f t="shared" si="37"/>
        <v>1426</v>
      </c>
      <c r="P106" s="16">
        <f t="shared" si="37"/>
        <v>1868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4.9785867237687367E-2</v>
      </c>
      <c r="D107" s="43">
        <f t="shared" si="38"/>
        <v>9.3147751605995713E-2</v>
      </c>
      <c r="E107" s="43">
        <f t="shared" si="38"/>
        <v>2.4625267665952889E-2</v>
      </c>
      <c r="F107" s="43">
        <f t="shared" si="38"/>
        <v>0.10867237687366167</v>
      </c>
      <c r="G107" s="43">
        <f t="shared" si="38"/>
        <v>5.8886509635974306E-3</v>
      </c>
      <c r="H107" s="43">
        <f t="shared" si="38"/>
        <v>3.7473233404710922E-3</v>
      </c>
      <c r="I107" s="43">
        <f t="shared" si="38"/>
        <v>2.8907922912205567E-2</v>
      </c>
      <c r="J107" s="43">
        <f t="shared" si="38"/>
        <v>2.2483940042826552E-2</v>
      </c>
      <c r="K107" s="43">
        <f t="shared" si="38"/>
        <v>4.1220556745182012E-2</v>
      </c>
      <c r="L107" s="43">
        <f t="shared" si="38"/>
        <v>0.38436830835117775</v>
      </c>
      <c r="M107" s="43">
        <f t="shared" si="38"/>
        <v>0.2366167023554604</v>
      </c>
      <c r="N107" s="43">
        <f t="shared" si="38"/>
        <v>5.3533190578158461E-4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6.5217391304347824E-2</v>
      </c>
      <c r="D108" s="44">
        <f t="shared" ref="D108:N108" si="39">D106/$O$106</f>
        <v>0.12201963534361851</v>
      </c>
      <c r="E108" s="44">
        <f t="shared" si="39"/>
        <v>3.2258064516129031E-2</v>
      </c>
      <c r="F108" s="44">
        <f t="shared" si="39"/>
        <v>0.14235624123422161</v>
      </c>
      <c r="G108" s="44">
        <f t="shared" si="39"/>
        <v>7.7138849929873771E-3</v>
      </c>
      <c r="H108" s="44">
        <f t="shared" si="39"/>
        <v>4.9088359046283309E-3</v>
      </c>
      <c r="I108" s="44">
        <f t="shared" si="39"/>
        <v>3.7868162692847124E-2</v>
      </c>
      <c r="J108" s="44">
        <f t="shared" si="39"/>
        <v>2.9453015427769985E-2</v>
      </c>
      <c r="K108" s="44">
        <f t="shared" si="39"/>
        <v>5.3997194950911639E-2</v>
      </c>
      <c r="L108" s="44">
        <f t="shared" si="39"/>
        <v>0.50350631136044877</v>
      </c>
      <c r="M108" s="44"/>
      <c r="N108" s="44">
        <f t="shared" si="39"/>
        <v>7.0126227208976155E-4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R6" sqref="R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'24.08 BUSITEMA-TORORO-24h'!G5:H5</f>
        <v>STATION 98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163</v>
      </c>
      <c r="E6" s="64"/>
      <c r="F6" s="2" t="s">
        <v>2</v>
      </c>
      <c r="G6" s="63" t="str">
        <f>'23.08 TORORO-BUSITEMA'!G6:H6</f>
        <v>BUSITEMA</v>
      </c>
      <c r="H6" s="64"/>
      <c r="J6" s="2" t="s">
        <v>21</v>
      </c>
      <c r="K6" s="63" t="str">
        <f>'24.08 BUSITEMA-TORORO-24h'!K6:L6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5</v>
      </c>
      <c r="M10" s="50">
        <v>3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9</v>
      </c>
      <c r="R10" s="1" t="s">
        <v>6</v>
      </c>
      <c r="S10" s="17">
        <f t="shared" ref="S10:AF10" si="2">SUM(C10:C13)</f>
        <v>0</v>
      </c>
      <c r="T10" s="17">
        <f t="shared" si="2"/>
        <v>3</v>
      </c>
      <c r="U10" s="17">
        <f t="shared" si="2"/>
        <v>1</v>
      </c>
      <c r="V10" s="17">
        <f t="shared" si="2"/>
        <v>5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2</v>
      </c>
      <c r="AB10" s="17">
        <f t="shared" si="2"/>
        <v>36</v>
      </c>
      <c r="AC10" s="17">
        <f t="shared" si="2"/>
        <v>8</v>
      </c>
      <c r="AD10" s="17">
        <f t="shared" si="2"/>
        <v>0</v>
      </c>
      <c r="AE10" s="31">
        <f t="shared" si="2"/>
        <v>49</v>
      </c>
      <c r="AF10" s="31">
        <f t="shared" si="2"/>
        <v>57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1</v>
      </c>
      <c r="E11" s="50">
        <v>1</v>
      </c>
      <c r="F11" s="50">
        <v>2</v>
      </c>
      <c r="G11" s="50">
        <v>0</v>
      </c>
      <c r="H11" s="50">
        <v>1</v>
      </c>
      <c r="I11" s="50">
        <v>1</v>
      </c>
      <c r="J11" s="50">
        <v>0</v>
      </c>
      <c r="K11" s="50">
        <v>1</v>
      </c>
      <c r="L11" s="50">
        <v>9</v>
      </c>
      <c r="M11" s="50">
        <v>2</v>
      </c>
      <c r="N11" s="50">
        <v>0</v>
      </c>
      <c r="O11" s="15">
        <f t="shared" si="0"/>
        <v>16</v>
      </c>
      <c r="P11" s="15">
        <f t="shared" si="1"/>
        <v>18</v>
      </c>
      <c r="R11" s="1" t="s">
        <v>7</v>
      </c>
      <c r="S11" s="17">
        <f t="shared" ref="S11:AF11" si="3">SUM(C14:C17)</f>
        <v>2</v>
      </c>
      <c r="T11" s="17">
        <f t="shared" si="3"/>
        <v>3</v>
      </c>
      <c r="U11" s="17">
        <f t="shared" si="3"/>
        <v>4</v>
      </c>
      <c r="V11" s="17">
        <f t="shared" si="3"/>
        <v>16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24</v>
      </c>
      <c r="AC11" s="17">
        <f t="shared" si="3"/>
        <v>12</v>
      </c>
      <c r="AD11" s="17">
        <f t="shared" si="3"/>
        <v>0</v>
      </c>
      <c r="AE11" s="31">
        <f t="shared" si="3"/>
        <v>51</v>
      </c>
      <c r="AF11" s="31">
        <f t="shared" si="3"/>
        <v>63</v>
      </c>
    </row>
    <row r="12" spans="2:32" ht="23.1" customHeight="1" x14ac:dyDescent="0.25">
      <c r="B12" s="45" t="s">
        <v>39</v>
      </c>
      <c r="C12" s="50">
        <v>0</v>
      </c>
      <c r="D12" s="50">
        <v>2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7</v>
      </c>
      <c r="M12" s="50">
        <v>1</v>
      </c>
      <c r="N12" s="50">
        <v>0</v>
      </c>
      <c r="O12" s="15">
        <f t="shared" si="0"/>
        <v>12</v>
      </c>
      <c r="P12" s="15">
        <f t="shared" si="1"/>
        <v>13</v>
      </c>
      <c r="R12" s="1" t="s">
        <v>8</v>
      </c>
      <c r="S12" s="17">
        <f t="shared" ref="S12:AF12" si="4">SUM(C18:C21)</f>
        <v>6</v>
      </c>
      <c r="T12" s="17">
        <f t="shared" si="4"/>
        <v>6</v>
      </c>
      <c r="U12" s="17">
        <f t="shared" si="4"/>
        <v>2</v>
      </c>
      <c r="V12" s="17">
        <f t="shared" si="4"/>
        <v>16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4</v>
      </c>
      <c r="AA12" s="17">
        <f t="shared" si="4"/>
        <v>2</v>
      </c>
      <c r="AB12" s="17">
        <f t="shared" si="4"/>
        <v>46</v>
      </c>
      <c r="AC12" s="17">
        <f t="shared" si="4"/>
        <v>15</v>
      </c>
      <c r="AD12" s="17">
        <f t="shared" si="4"/>
        <v>0</v>
      </c>
      <c r="AE12" s="31">
        <f t="shared" si="4"/>
        <v>83</v>
      </c>
      <c r="AF12" s="31">
        <f t="shared" si="4"/>
        <v>98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15</v>
      </c>
      <c r="M13" s="50">
        <v>2</v>
      </c>
      <c r="N13" s="50">
        <v>0</v>
      </c>
      <c r="O13" s="15">
        <f t="shared" si="0"/>
        <v>15</v>
      </c>
      <c r="P13" s="15">
        <f t="shared" si="1"/>
        <v>17</v>
      </c>
      <c r="R13" s="1" t="s">
        <v>9</v>
      </c>
      <c r="S13" s="17">
        <f t="shared" ref="S13:AF13" si="5">SUM(C22:C25)</f>
        <v>8</v>
      </c>
      <c r="T13" s="17">
        <f t="shared" si="5"/>
        <v>6</v>
      </c>
      <c r="U13" s="17">
        <f t="shared" si="5"/>
        <v>3</v>
      </c>
      <c r="V13" s="17">
        <f t="shared" si="5"/>
        <v>19</v>
      </c>
      <c r="W13" s="17">
        <f t="shared" si="5"/>
        <v>0</v>
      </c>
      <c r="X13" s="17">
        <f t="shared" si="5"/>
        <v>1</v>
      </c>
      <c r="Y13" s="17">
        <f t="shared" si="5"/>
        <v>2</v>
      </c>
      <c r="Z13" s="17">
        <f t="shared" si="5"/>
        <v>3</v>
      </c>
      <c r="AA13" s="17">
        <f t="shared" si="5"/>
        <v>0</v>
      </c>
      <c r="AB13" s="17">
        <f t="shared" si="5"/>
        <v>35</v>
      </c>
      <c r="AC13" s="17">
        <f t="shared" si="5"/>
        <v>19</v>
      </c>
      <c r="AD13" s="17">
        <f t="shared" si="5"/>
        <v>0</v>
      </c>
      <c r="AE13" s="31">
        <f t="shared" si="5"/>
        <v>77</v>
      </c>
      <c r="AF13" s="31">
        <f t="shared" si="5"/>
        <v>96</v>
      </c>
    </row>
    <row r="14" spans="2:32" ht="23.1" customHeight="1" x14ac:dyDescent="0.25">
      <c r="B14" s="45" t="s">
        <v>41</v>
      </c>
      <c r="C14" s="50">
        <v>1</v>
      </c>
      <c r="D14" s="50">
        <v>1</v>
      </c>
      <c r="E14" s="50">
        <v>0</v>
      </c>
      <c r="F14" s="50">
        <v>5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6</v>
      </c>
      <c r="M14" s="50">
        <v>3</v>
      </c>
      <c r="N14" s="50">
        <v>0</v>
      </c>
      <c r="O14" s="15">
        <f t="shared" si="0"/>
        <v>13</v>
      </c>
      <c r="P14" s="15">
        <f t="shared" si="1"/>
        <v>16</v>
      </c>
      <c r="R14" s="1" t="s">
        <v>10</v>
      </c>
      <c r="S14" s="17">
        <f t="shared" ref="S14:AF14" si="6">SUM(C26:C29)</f>
        <v>11</v>
      </c>
      <c r="T14" s="17">
        <f t="shared" si="6"/>
        <v>23</v>
      </c>
      <c r="U14" s="17">
        <f t="shared" si="6"/>
        <v>4</v>
      </c>
      <c r="V14" s="17">
        <f t="shared" si="6"/>
        <v>16</v>
      </c>
      <c r="W14" s="17">
        <f t="shared" si="6"/>
        <v>0</v>
      </c>
      <c r="X14" s="17">
        <f t="shared" si="6"/>
        <v>1</v>
      </c>
      <c r="Y14" s="17">
        <f t="shared" si="6"/>
        <v>4</v>
      </c>
      <c r="Z14" s="17">
        <f t="shared" si="6"/>
        <v>2</v>
      </c>
      <c r="AA14" s="17">
        <f t="shared" si="6"/>
        <v>2</v>
      </c>
      <c r="AB14" s="17">
        <f t="shared" si="6"/>
        <v>31</v>
      </c>
      <c r="AC14" s="17">
        <f t="shared" si="6"/>
        <v>21</v>
      </c>
      <c r="AD14" s="17">
        <f t="shared" si="6"/>
        <v>0</v>
      </c>
      <c r="AE14" s="31">
        <f t="shared" si="6"/>
        <v>94</v>
      </c>
      <c r="AF14" s="31">
        <f t="shared" si="6"/>
        <v>115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3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8</v>
      </c>
      <c r="M15" s="50">
        <v>3</v>
      </c>
      <c r="N15" s="50">
        <v>0</v>
      </c>
      <c r="O15" s="15">
        <f t="shared" si="0"/>
        <v>14</v>
      </c>
      <c r="P15" s="15">
        <f t="shared" si="1"/>
        <v>17</v>
      </c>
      <c r="R15" s="1" t="s">
        <v>11</v>
      </c>
      <c r="S15" s="17">
        <f t="shared" ref="S15:AF15" si="7">SUM(C30:C33)</f>
        <v>10</v>
      </c>
      <c r="T15" s="17">
        <f t="shared" si="7"/>
        <v>13</v>
      </c>
      <c r="U15" s="17">
        <f t="shared" si="7"/>
        <v>5</v>
      </c>
      <c r="V15" s="17">
        <f t="shared" si="7"/>
        <v>14</v>
      </c>
      <c r="W15" s="17">
        <f t="shared" si="7"/>
        <v>10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0</v>
      </c>
      <c r="AB15" s="17">
        <f t="shared" si="7"/>
        <v>34</v>
      </c>
      <c r="AC15" s="17">
        <f t="shared" si="7"/>
        <v>19</v>
      </c>
      <c r="AD15" s="17">
        <f t="shared" si="7"/>
        <v>0</v>
      </c>
      <c r="AE15" s="31">
        <f t="shared" si="7"/>
        <v>90</v>
      </c>
      <c r="AF15" s="31">
        <f t="shared" si="7"/>
        <v>109</v>
      </c>
    </row>
    <row r="16" spans="2:32" ht="23.1" customHeight="1" x14ac:dyDescent="0.25">
      <c r="B16" s="45" t="s">
        <v>43</v>
      </c>
      <c r="C16" s="50">
        <v>0</v>
      </c>
      <c r="D16" s="50">
        <v>1</v>
      </c>
      <c r="E16" s="50">
        <v>2</v>
      </c>
      <c r="F16" s="50">
        <v>4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4</v>
      </c>
      <c r="M16" s="50">
        <v>2</v>
      </c>
      <c r="N16" s="50">
        <v>0</v>
      </c>
      <c r="O16" s="15">
        <f t="shared" si="0"/>
        <v>11</v>
      </c>
      <c r="P16" s="15">
        <f t="shared" si="1"/>
        <v>13</v>
      </c>
      <c r="R16" s="1" t="s">
        <v>12</v>
      </c>
      <c r="S16" s="17">
        <f t="shared" ref="S16:AF16" si="8">SUM(C34:C37)</f>
        <v>11</v>
      </c>
      <c r="T16" s="17">
        <f t="shared" si="8"/>
        <v>15</v>
      </c>
      <c r="U16" s="17">
        <f t="shared" si="8"/>
        <v>6</v>
      </c>
      <c r="V16" s="17">
        <f t="shared" si="8"/>
        <v>22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7</v>
      </c>
      <c r="AA16" s="17">
        <f t="shared" si="8"/>
        <v>5</v>
      </c>
      <c r="AB16" s="17">
        <f t="shared" si="8"/>
        <v>47</v>
      </c>
      <c r="AC16" s="17">
        <f t="shared" si="8"/>
        <v>25</v>
      </c>
      <c r="AD16" s="17">
        <f t="shared" si="8"/>
        <v>0</v>
      </c>
      <c r="AE16" s="31">
        <f t="shared" si="8"/>
        <v>114</v>
      </c>
      <c r="AF16" s="31">
        <f t="shared" si="8"/>
        <v>139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2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6</v>
      </c>
      <c r="M17" s="50">
        <v>4</v>
      </c>
      <c r="N17" s="50">
        <v>0</v>
      </c>
      <c r="O17" s="15">
        <f t="shared" si="0"/>
        <v>13</v>
      </c>
      <c r="P17" s="15">
        <f t="shared" si="1"/>
        <v>17</v>
      </c>
      <c r="R17" s="1" t="s">
        <v>13</v>
      </c>
      <c r="S17" s="17">
        <f t="shared" ref="S17:AF17" si="9">SUM(C38:C41)</f>
        <v>8</v>
      </c>
      <c r="T17" s="17">
        <f t="shared" si="9"/>
        <v>7</v>
      </c>
      <c r="U17" s="17">
        <f t="shared" si="9"/>
        <v>1</v>
      </c>
      <c r="V17" s="17">
        <f t="shared" si="9"/>
        <v>20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6</v>
      </c>
      <c r="AA17" s="17">
        <f t="shared" si="9"/>
        <v>0</v>
      </c>
      <c r="AB17" s="17">
        <f t="shared" si="9"/>
        <v>43</v>
      </c>
      <c r="AC17" s="17">
        <f t="shared" si="9"/>
        <v>14</v>
      </c>
      <c r="AD17" s="17">
        <f t="shared" si="9"/>
        <v>0</v>
      </c>
      <c r="AE17" s="31">
        <f t="shared" si="9"/>
        <v>86</v>
      </c>
      <c r="AF17" s="31">
        <f t="shared" si="9"/>
        <v>100</v>
      </c>
    </row>
    <row r="18" spans="2:32" ht="23.1" customHeight="1" x14ac:dyDescent="0.25">
      <c r="B18" s="45" t="s">
        <v>45</v>
      </c>
      <c r="C18" s="50">
        <v>0</v>
      </c>
      <c r="D18" s="50">
        <v>4</v>
      </c>
      <c r="E18" s="50">
        <v>0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5</v>
      </c>
      <c r="M18" s="50">
        <v>2</v>
      </c>
      <c r="N18" s="50">
        <v>0</v>
      </c>
      <c r="O18" s="15">
        <f t="shared" si="0"/>
        <v>11</v>
      </c>
      <c r="P18" s="15">
        <f t="shared" si="1"/>
        <v>13</v>
      </c>
      <c r="R18" s="1" t="s">
        <v>14</v>
      </c>
      <c r="S18" s="17">
        <f t="shared" ref="S18:AF18" si="10">SUM(C42:C45)</f>
        <v>5</v>
      </c>
      <c r="T18" s="17">
        <f t="shared" si="10"/>
        <v>7</v>
      </c>
      <c r="U18" s="17">
        <f t="shared" si="10"/>
        <v>1</v>
      </c>
      <c r="V18" s="17">
        <f t="shared" si="10"/>
        <v>20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10</v>
      </c>
      <c r="AA18" s="17">
        <f t="shared" si="10"/>
        <v>2</v>
      </c>
      <c r="AB18" s="17">
        <f t="shared" si="10"/>
        <v>26</v>
      </c>
      <c r="AC18" s="17">
        <f t="shared" si="10"/>
        <v>13</v>
      </c>
      <c r="AD18" s="17">
        <f t="shared" si="10"/>
        <v>0</v>
      </c>
      <c r="AE18" s="31">
        <f t="shared" si="10"/>
        <v>75</v>
      </c>
      <c r="AF18" s="31">
        <f t="shared" si="10"/>
        <v>88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0</v>
      </c>
      <c r="F19" s="50">
        <v>8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6</v>
      </c>
      <c r="M19" s="50">
        <v>5</v>
      </c>
      <c r="N19" s="50">
        <v>0</v>
      </c>
      <c r="O19" s="15">
        <f t="shared" si="0"/>
        <v>18</v>
      </c>
      <c r="P19" s="15">
        <f t="shared" si="1"/>
        <v>23</v>
      </c>
      <c r="R19" s="1" t="s">
        <v>15</v>
      </c>
      <c r="S19" s="17">
        <f t="shared" ref="S19:AF19" si="11">SUM(C46:C49)</f>
        <v>9</v>
      </c>
      <c r="T19" s="17">
        <f t="shared" si="11"/>
        <v>5</v>
      </c>
      <c r="U19" s="17">
        <f t="shared" si="11"/>
        <v>1</v>
      </c>
      <c r="V19" s="17">
        <f t="shared" si="11"/>
        <v>19</v>
      </c>
      <c r="W19" s="17">
        <f t="shared" si="11"/>
        <v>0</v>
      </c>
      <c r="X19" s="17">
        <f t="shared" si="11"/>
        <v>1</v>
      </c>
      <c r="Y19" s="17">
        <f t="shared" si="11"/>
        <v>2</v>
      </c>
      <c r="Z19" s="17">
        <f t="shared" si="11"/>
        <v>5</v>
      </c>
      <c r="AA19" s="17">
        <f t="shared" si="11"/>
        <v>0</v>
      </c>
      <c r="AB19" s="17">
        <f t="shared" si="11"/>
        <v>34</v>
      </c>
      <c r="AC19" s="17">
        <f t="shared" si="11"/>
        <v>17</v>
      </c>
      <c r="AD19" s="17">
        <f t="shared" si="11"/>
        <v>0</v>
      </c>
      <c r="AE19" s="31">
        <f t="shared" si="11"/>
        <v>76</v>
      </c>
      <c r="AF19" s="31">
        <f t="shared" si="11"/>
        <v>93</v>
      </c>
    </row>
    <row r="20" spans="2:32" ht="23.1" customHeight="1" x14ac:dyDescent="0.25">
      <c r="B20" s="45" t="s">
        <v>47</v>
      </c>
      <c r="C20" s="50">
        <v>3</v>
      </c>
      <c r="D20" s="50">
        <v>2</v>
      </c>
      <c r="E20" s="50">
        <v>1</v>
      </c>
      <c r="F20" s="50">
        <v>2</v>
      </c>
      <c r="G20" s="50">
        <v>0</v>
      </c>
      <c r="H20" s="50">
        <v>0</v>
      </c>
      <c r="I20" s="50">
        <v>0</v>
      </c>
      <c r="J20" s="50">
        <v>1</v>
      </c>
      <c r="K20" s="50">
        <v>2</v>
      </c>
      <c r="L20" s="50">
        <v>26</v>
      </c>
      <c r="M20" s="50">
        <v>3</v>
      </c>
      <c r="N20" s="50">
        <v>0</v>
      </c>
      <c r="O20" s="15">
        <f t="shared" si="0"/>
        <v>37</v>
      </c>
      <c r="P20" s="15">
        <f t="shared" si="1"/>
        <v>40</v>
      </c>
      <c r="R20" s="1" t="s">
        <v>16</v>
      </c>
      <c r="S20" s="17">
        <f t="shared" ref="S20:AF20" si="12">SUM(C50:C53)</f>
        <v>10</v>
      </c>
      <c r="T20" s="17">
        <f t="shared" si="12"/>
        <v>10</v>
      </c>
      <c r="U20" s="17">
        <f t="shared" si="12"/>
        <v>9</v>
      </c>
      <c r="V20" s="17">
        <f t="shared" si="12"/>
        <v>8</v>
      </c>
      <c r="W20" s="17">
        <f t="shared" si="12"/>
        <v>1</v>
      </c>
      <c r="X20" s="17">
        <f t="shared" si="12"/>
        <v>0</v>
      </c>
      <c r="Y20" s="17">
        <f t="shared" si="12"/>
        <v>13</v>
      </c>
      <c r="Z20" s="17">
        <f t="shared" si="12"/>
        <v>0</v>
      </c>
      <c r="AA20" s="17">
        <f t="shared" si="12"/>
        <v>20</v>
      </c>
      <c r="AB20" s="17">
        <f t="shared" si="12"/>
        <v>60</v>
      </c>
      <c r="AC20" s="17">
        <f t="shared" si="12"/>
        <v>16</v>
      </c>
      <c r="AD20" s="17">
        <f t="shared" si="12"/>
        <v>0</v>
      </c>
      <c r="AE20" s="31">
        <f t="shared" si="12"/>
        <v>131</v>
      </c>
      <c r="AF20" s="31">
        <f t="shared" si="12"/>
        <v>147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1</v>
      </c>
      <c r="F21" s="50">
        <v>5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9</v>
      </c>
      <c r="M21" s="50">
        <v>5</v>
      </c>
      <c r="N21" s="50">
        <v>0</v>
      </c>
      <c r="O21" s="15">
        <f t="shared" si="0"/>
        <v>17</v>
      </c>
      <c r="P21" s="15">
        <f t="shared" si="1"/>
        <v>22</v>
      </c>
      <c r="R21" s="36" t="s">
        <v>20</v>
      </c>
      <c r="S21" s="34">
        <f t="shared" ref="S21:AF21" si="13">SUM(C54:C57)</f>
        <v>14</v>
      </c>
      <c r="T21" s="17">
        <f t="shared" si="13"/>
        <v>18</v>
      </c>
      <c r="U21" s="17">
        <f t="shared" si="13"/>
        <v>13</v>
      </c>
      <c r="V21" s="17">
        <f t="shared" si="13"/>
        <v>21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1</v>
      </c>
      <c r="AA21" s="17">
        <f t="shared" si="13"/>
        <v>3</v>
      </c>
      <c r="AB21" s="17">
        <f t="shared" si="13"/>
        <v>65</v>
      </c>
      <c r="AC21" s="17">
        <f t="shared" si="13"/>
        <v>21</v>
      </c>
      <c r="AD21" s="17">
        <f t="shared" si="13"/>
        <v>0</v>
      </c>
      <c r="AE21" s="31">
        <f t="shared" si="13"/>
        <v>141</v>
      </c>
      <c r="AF21" s="31">
        <f t="shared" si="13"/>
        <v>162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1</v>
      </c>
      <c r="F22" s="50">
        <v>6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3</v>
      </c>
      <c r="N22" s="50">
        <v>0</v>
      </c>
      <c r="O22" s="15">
        <f t="shared" si="0"/>
        <v>9</v>
      </c>
      <c r="P22" s="15">
        <f t="shared" si="1"/>
        <v>12</v>
      </c>
      <c r="R22" s="36" t="s">
        <v>146</v>
      </c>
      <c r="S22" s="34">
        <f>SUM(C58:C61)</f>
        <v>14</v>
      </c>
      <c r="T22" s="34">
        <f t="shared" ref="T22:AF22" si="14">SUM(D58:D61)</f>
        <v>8</v>
      </c>
      <c r="U22" s="34">
        <f t="shared" si="14"/>
        <v>2</v>
      </c>
      <c r="V22" s="34">
        <f t="shared" si="14"/>
        <v>11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3</v>
      </c>
      <c r="AA22" s="34">
        <f t="shared" si="14"/>
        <v>1</v>
      </c>
      <c r="AB22" s="34">
        <f t="shared" si="14"/>
        <v>36</v>
      </c>
      <c r="AC22" s="34">
        <f t="shared" si="14"/>
        <v>15</v>
      </c>
      <c r="AD22" s="34">
        <f t="shared" si="14"/>
        <v>0</v>
      </c>
      <c r="AE22" s="31">
        <f t="shared" si="14"/>
        <v>78</v>
      </c>
      <c r="AF22" s="31">
        <f t="shared" si="14"/>
        <v>93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1</v>
      </c>
      <c r="F23" s="50">
        <v>3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15</v>
      </c>
      <c r="M23" s="50">
        <v>5</v>
      </c>
      <c r="N23" s="50">
        <v>0</v>
      </c>
      <c r="O23" s="15">
        <f t="shared" si="0"/>
        <v>22</v>
      </c>
      <c r="P23" s="15">
        <f t="shared" si="1"/>
        <v>27</v>
      </c>
      <c r="R23" s="36" t="s">
        <v>147</v>
      </c>
      <c r="S23" s="34">
        <f>SUM(C62:C65)</f>
        <v>7</v>
      </c>
      <c r="T23" s="34">
        <f t="shared" ref="T23:AF23" si="15">SUM(D62:D65)</f>
        <v>7</v>
      </c>
      <c r="U23" s="34">
        <f t="shared" si="15"/>
        <v>2</v>
      </c>
      <c r="V23" s="34">
        <f t="shared" si="15"/>
        <v>4</v>
      </c>
      <c r="W23" s="34">
        <f t="shared" si="15"/>
        <v>1</v>
      </c>
      <c r="X23" s="34">
        <f t="shared" si="15"/>
        <v>0</v>
      </c>
      <c r="Y23" s="34">
        <f t="shared" si="15"/>
        <v>0</v>
      </c>
      <c r="Z23" s="34">
        <f t="shared" si="15"/>
        <v>6</v>
      </c>
      <c r="AA23" s="34">
        <f t="shared" si="15"/>
        <v>2</v>
      </c>
      <c r="AB23" s="34">
        <f t="shared" si="15"/>
        <v>34</v>
      </c>
      <c r="AC23" s="34">
        <f t="shared" si="15"/>
        <v>8</v>
      </c>
      <c r="AD23" s="34">
        <f t="shared" si="15"/>
        <v>0</v>
      </c>
      <c r="AE23" s="31">
        <f t="shared" si="15"/>
        <v>63</v>
      </c>
      <c r="AF23" s="31">
        <f t="shared" si="15"/>
        <v>71</v>
      </c>
    </row>
    <row r="24" spans="2:32" ht="23.1" customHeight="1" x14ac:dyDescent="0.25">
      <c r="B24" s="45" t="s">
        <v>51</v>
      </c>
      <c r="C24" s="50">
        <v>3</v>
      </c>
      <c r="D24" s="50">
        <v>1</v>
      </c>
      <c r="E24" s="50">
        <v>0</v>
      </c>
      <c r="F24" s="50">
        <v>6</v>
      </c>
      <c r="G24" s="50">
        <v>0</v>
      </c>
      <c r="H24" s="50">
        <v>0</v>
      </c>
      <c r="I24" s="50">
        <v>2</v>
      </c>
      <c r="J24" s="50">
        <v>2</v>
      </c>
      <c r="K24" s="50">
        <v>0</v>
      </c>
      <c r="L24" s="50">
        <v>8</v>
      </c>
      <c r="M24" s="50">
        <v>8</v>
      </c>
      <c r="N24" s="50">
        <v>0</v>
      </c>
      <c r="O24" s="15">
        <f t="shared" si="0"/>
        <v>22</v>
      </c>
      <c r="P24" s="15">
        <f t="shared" si="1"/>
        <v>30</v>
      </c>
      <c r="R24" s="36" t="s">
        <v>148</v>
      </c>
      <c r="S24" s="34">
        <f>SUM(C66:C69)</f>
        <v>5</v>
      </c>
      <c r="T24" s="34">
        <f t="shared" ref="T24:AF24" si="16">SUM(D66:D69)</f>
        <v>4</v>
      </c>
      <c r="U24" s="34">
        <f t="shared" si="16"/>
        <v>3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4</v>
      </c>
      <c r="AA24" s="34">
        <f t="shared" si="16"/>
        <v>0</v>
      </c>
      <c r="AB24" s="34">
        <f t="shared" si="16"/>
        <v>14</v>
      </c>
      <c r="AC24" s="34">
        <f t="shared" si="16"/>
        <v>5</v>
      </c>
      <c r="AD24" s="34">
        <f t="shared" si="16"/>
        <v>0</v>
      </c>
      <c r="AE24" s="31">
        <f t="shared" si="16"/>
        <v>33</v>
      </c>
      <c r="AF24" s="31">
        <f t="shared" si="16"/>
        <v>38</v>
      </c>
    </row>
    <row r="25" spans="2:32" ht="23.1" customHeight="1" x14ac:dyDescent="0.25">
      <c r="B25" s="45" t="s">
        <v>52</v>
      </c>
      <c r="C25" s="50">
        <v>3</v>
      </c>
      <c r="D25" s="50">
        <v>4</v>
      </c>
      <c r="E25" s="50">
        <v>1</v>
      </c>
      <c r="F25" s="50">
        <v>4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11</v>
      </c>
      <c r="M25" s="50">
        <v>3</v>
      </c>
      <c r="N25" s="50">
        <v>0</v>
      </c>
      <c r="O25" s="15">
        <f t="shared" si="0"/>
        <v>24</v>
      </c>
      <c r="P25" s="15">
        <f t="shared" si="1"/>
        <v>27</v>
      </c>
      <c r="R25" s="36" t="s">
        <v>149</v>
      </c>
      <c r="S25" s="34">
        <f>SUM(C70:C73)</f>
        <v>4</v>
      </c>
      <c r="T25" s="34">
        <f t="shared" ref="T25:AF25" si="17">SUM(D70:D73)</f>
        <v>2</v>
      </c>
      <c r="U25" s="34">
        <f t="shared" si="17"/>
        <v>2</v>
      </c>
      <c r="V25" s="34">
        <f t="shared" si="17"/>
        <v>13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6</v>
      </c>
      <c r="AA25" s="34">
        <f t="shared" si="17"/>
        <v>0</v>
      </c>
      <c r="AB25" s="34">
        <f t="shared" si="17"/>
        <v>22</v>
      </c>
      <c r="AC25" s="34">
        <f t="shared" si="17"/>
        <v>4</v>
      </c>
      <c r="AD25" s="34">
        <f t="shared" si="17"/>
        <v>0</v>
      </c>
      <c r="AE25" s="31">
        <f t="shared" si="17"/>
        <v>49</v>
      </c>
      <c r="AF25" s="31">
        <f t="shared" si="17"/>
        <v>53</v>
      </c>
    </row>
    <row r="26" spans="2:32" ht="23.1" customHeight="1" x14ac:dyDescent="0.25">
      <c r="B26" s="45" t="s">
        <v>53</v>
      </c>
      <c r="C26" s="50">
        <v>2</v>
      </c>
      <c r="D26" s="50">
        <v>7</v>
      </c>
      <c r="E26" s="50">
        <v>3</v>
      </c>
      <c r="F26" s="50">
        <v>1</v>
      </c>
      <c r="G26" s="50">
        <v>0</v>
      </c>
      <c r="H26" s="50">
        <v>1</v>
      </c>
      <c r="I26" s="50">
        <v>1</v>
      </c>
      <c r="J26" s="50">
        <v>0</v>
      </c>
      <c r="K26" s="50">
        <v>1</v>
      </c>
      <c r="L26" s="50">
        <v>8</v>
      </c>
      <c r="M26" s="50">
        <v>5</v>
      </c>
      <c r="N26" s="50">
        <v>0</v>
      </c>
      <c r="O26" s="15">
        <f t="shared" si="0"/>
        <v>24</v>
      </c>
      <c r="P26" s="15">
        <f t="shared" si="1"/>
        <v>29</v>
      </c>
      <c r="R26" s="36" t="s">
        <v>150</v>
      </c>
      <c r="S26" s="34">
        <f>SUM(C74:C77)</f>
        <v>3</v>
      </c>
      <c r="T26" s="34">
        <f t="shared" ref="T26:AF26" si="18">SUM(D74:D77)</f>
        <v>4</v>
      </c>
      <c r="U26" s="34">
        <f t="shared" si="18"/>
        <v>1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2</v>
      </c>
      <c r="AA26" s="34">
        <f t="shared" si="18"/>
        <v>0</v>
      </c>
      <c r="AB26" s="34">
        <f t="shared" si="18"/>
        <v>18</v>
      </c>
      <c r="AC26" s="34">
        <f t="shared" si="18"/>
        <v>0</v>
      </c>
      <c r="AD26" s="34">
        <f t="shared" si="18"/>
        <v>0</v>
      </c>
      <c r="AE26" s="31">
        <f t="shared" si="18"/>
        <v>30</v>
      </c>
      <c r="AF26" s="31">
        <f t="shared" si="18"/>
        <v>30</v>
      </c>
    </row>
    <row r="27" spans="2:32" ht="23.1" customHeight="1" x14ac:dyDescent="0.25">
      <c r="B27" s="45" t="s">
        <v>54</v>
      </c>
      <c r="C27" s="50">
        <v>0</v>
      </c>
      <c r="D27" s="50">
        <v>4</v>
      </c>
      <c r="E27" s="50">
        <v>1</v>
      </c>
      <c r="F27" s="50">
        <v>3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10</v>
      </c>
      <c r="M27" s="50">
        <v>5</v>
      </c>
      <c r="N27" s="50">
        <v>0</v>
      </c>
      <c r="O27" s="15">
        <f t="shared" si="0"/>
        <v>21</v>
      </c>
      <c r="P27" s="15">
        <f t="shared" si="1"/>
        <v>26</v>
      </c>
      <c r="R27" s="36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1</v>
      </c>
      <c r="Y27" s="34">
        <f t="shared" si="19"/>
        <v>1</v>
      </c>
      <c r="Z27" s="34">
        <f t="shared" si="19"/>
        <v>5</v>
      </c>
      <c r="AA27" s="34">
        <f t="shared" si="19"/>
        <v>0</v>
      </c>
      <c r="AB27" s="34">
        <f t="shared" si="19"/>
        <v>7</v>
      </c>
      <c r="AC27" s="34">
        <f t="shared" si="19"/>
        <v>0</v>
      </c>
      <c r="AD27" s="34">
        <f t="shared" si="19"/>
        <v>0</v>
      </c>
      <c r="AE27" s="31">
        <f t="shared" si="19"/>
        <v>16</v>
      </c>
      <c r="AF27" s="31">
        <f t="shared" si="19"/>
        <v>16</v>
      </c>
    </row>
    <row r="28" spans="2:32" ht="23.1" customHeight="1" x14ac:dyDescent="0.25">
      <c r="B28" s="45" t="s">
        <v>55</v>
      </c>
      <c r="C28" s="50">
        <v>3</v>
      </c>
      <c r="D28" s="50">
        <v>7</v>
      </c>
      <c r="E28" s="50">
        <v>0</v>
      </c>
      <c r="F28" s="50">
        <v>5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5</v>
      </c>
      <c r="M28" s="50">
        <v>7</v>
      </c>
      <c r="N28" s="50">
        <v>0</v>
      </c>
      <c r="O28" s="15">
        <f t="shared" si="0"/>
        <v>20</v>
      </c>
      <c r="P28" s="15">
        <f t="shared" si="1"/>
        <v>27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2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7</v>
      </c>
      <c r="AC28" s="34">
        <f t="shared" si="20"/>
        <v>0</v>
      </c>
      <c r="AD28" s="34">
        <f t="shared" si="20"/>
        <v>0</v>
      </c>
      <c r="AE28" s="31">
        <f t="shared" si="20"/>
        <v>11</v>
      </c>
      <c r="AF28" s="31">
        <f t="shared" si="20"/>
        <v>11</v>
      </c>
    </row>
    <row r="29" spans="2:32" ht="23.1" customHeight="1" x14ac:dyDescent="0.25">
      <c r="B29" s="45" t="s">
        <v>56</v>
      </c>
      <c r="C29" s="50">
        <v>6</v>
      </c>
      <c r="D29" s="50">
        <v>5</v>
      </c>
      <c r="E29" s="50">
        <v>0</v>
      </c>
      <c r="F29" s="50">
        <v>7</v>
      </c>
      <c r="G29" s="50">
        <v>0</v>
      </c>
      <c r="H29" s="50">
        <v>0</v>
      </c>
      <c r="I29" s="50">
        <v>0</v>
      </c>
      <c r="J29" s="50">
        <v>2</v>
      </c>
      <c r="K29" s="50">
        <v>1</v>
      </c>
      <c r="L29" s="50">
        <v>8</v>
      </c>
      <c r="M29" s="50">
        <v>4</v>
      </c>
      <c r="N29" s="50">
        <v>0</v>
      </c>
      <c r="O29" s="15">
        <f t="shared" si="0"/>
        <v>29</v>
      </c>
      <c r="P29" s="15">
        <f t="shared" si="1"/>
        <v>33</v>
      </c>
      <c r="R29" s="36" t="s">
        <v>153</v>
      </c>
      <c r="S29" s="34">
        <f>SUM(C86:C89)</f>
        <v>2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2</v>
      </c>
      <c r="Y29" s="34">
        <f t="shared" si="21"/>
        <v>0</v>
      </c>
      <c r="Z29" s="34">
        <f t="shared" si="21"/>
        <v>2</v>
      </c>
      <c r="AA29" s="34">
        <f t="shared" si="21"/>
        <v>0</v>
      </c>
      <c r="AB29" s="34">
        <f t="shared" si="21"/>
        <v>22</v>
      </c>
      <c r="AC29" s="34">
        <f t="shared" si="21"/>
        <v>1</v>
      </c>
      <c r="AD29" s="34">
        <f t="shared" si="21"/>
        <v>0</v>
      </c>
      <c r="AE29" s="31">
        <f t="shared" si="21"/>
        <v>29</v>
      </c>
      <c r="AF29" s="31">
        <f t="shared" si="21"/>
        <v>30</v>
      </c>
    </row>
    <row r="30" spans="2:32" ht="23.1" customHeight="1" x14ac:dyDescent="0.25">
      <c r="B30" s="45" t="s">
        <v>57</v>
      </c>
      <c r="C30" s="50">
        <v>4</v>
      </c>
      <c r="D30" s="50">
        <v>2</v>
      </c>
      <c r="E30" s="50">
        <v>1</v>
      </c>
      <c r="F30" s="50">
        <v>5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8</v>
      </c>
      <c r="M30" s="50">
        <v>3</v>
      </c>
      <c r="N30" s="50">
        <v>0</v>
      </c>
      <c r="O30" s="15">
        <f t="shared" si="0"/>
        <v>20</v>
      </c>
      <c r="P30" s="15">
        <f t="shared" si="1"/>
        <v>23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3</v>
      </c>
      <c r="W30" s="34">
        <f t="shared" si="22"/>
        <v>0</v>
      </c>
      <c r="X30" s="34">
        <f t="shared" si="22"/>
        <v>1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23</v>
      </c>
      <c r="AC30" s="34">
        <f t="shared" si="22"/>
        <v>0</v>
      </c>
      <c r="AD30" s="34">
        <f t="shared" si="22"/>
        <v>0</v>
      </c>
      <c r="AE30" s="31">
        <f t="shared" si="22"/>
        <v>27</v>
      </c>
      <c r="AF30" s="31">
        <f t="shared" si="22"/>
        <v>27</v>
      </c>
    </row>
    <row r="31" spans="2:32" ht="23.1" customHeight="1" x14ac:dyDescent="0.25">
      <c r="B31" s="46" t="s">
        <v>58</v>
      </c>
      <c r="C31" s="50">
        <v>2</v>
      </c>
      <c r="D31" s="50">
        <v>4</v>
      </c>
      <c r="E31" s="50">
        <v>0</v>
      </c>
      <c r="F31" s="50">
        <v>0</v>
      </c>
      <c r="G31" s="50">
        <v>1</v>
      </c>
      <c r="H31" s="50">
        <v>0</v>
      </c>
      <c r="I31" s="50">
        <v>0</v>
      </c>
      <c r="J31" s="50">
        <v>0</v>
      </c>
      <c r="K31" s="50">
        <v>0</v>
      </c>
      <c r="L31" s="50">
        <v>6</v>
      </c>
      <c r="M31" s="50">
        <v>2</v>
      </c>
      <c r="N31" s="50">
        <v>0</v>
      </c>
      <c r="O31" s="15">
        <f t="shared" si="0"/>
        <v>13</v>
      </c>
      <c r="P31" s="15">
        <f t="shared" si="1"/>
        <v>15</v>
      </c>
      <c r="R31" s="36" t="s">
        <v>155</v>
      </c>
      <c r="S31" s="34">
        <f>SUM(C94:C97)</f>
        <v>3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5</v>
      </c>
      <c r="AA31" s="34">
        <f t="shared" si="23"/>
        <v>1</v>
      </c>
      <c r="AB31" s="34">
        <f t="shared" si="23"/>
        <v>33</v>
      </c>
      <c r="AC31" s="34">
        <f t="shared" si="23"/>
        <v>0</v>
      </c>
      <c r="AD31" s="34">
        <f t="shared" si="23"/>
        <v>0</v>
      </c>
      <c r="AE31" s="31">
        <f t="shared" si="23"/>
        <v>46</v>
      </c>
      <c r="AF31" s="31">
        <f t="shared" si="23"/>
        <v>46</v>
      </c>
    </row>
    <row r="32" spans="2:32" ht="23.1" customHeight="1" x14ac:dyDescent="0.25">
      <c r="B32" s="46" t="s">
        <v>59</v>
      </c>
      <c r="C32" s="50">
        <v>3</v>
      </c>
      <c r="D32" s="50">
        <v>4</v>
      </c>
      <c r="E32" s="50">
        <v>2</v>
      </c>
      <c r="F32" s="50">
        <v>5</v>
      </c>
      <c r="G32" s="50">
        <v>9</v>
      </c>
      <c r="H32" s="50">
        <v>0</v>
      </c>
      <c r="I32" s="50">
        <v>0</v>
      </c>
      <c r="J32" s="50">
        <v>0</v>
      </c>
      <c r="K32" s="50">
        <v>0</v>
      </c>
      <c r="L32" s="50">
        <v>12</v>
      </c>
      <c r="M32" s="50">
        <v>9</v>
      </c>
      <c r="N32" s="50">
        <v>0</v>
      </c>
      <c r="O32" s="15">
        <f t="shared" si="0"/>
        <v>35</v>
      </c>
      <c r="P32" s="15">
        <f t="shared" si="1"/>
        <v>44</v>
      </c>
      <c r="R32" s="33" t="s">
        <v>156</v>
      </c>
      <c r="S32" s="34">
        <f>SUM(C98:C101)</f>
        <v>6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4</v>
      </c>
      <c r="AA32" s="34">
        <f t="shared" si="24"/>
        <v>0</v>
      </c>
      <c r="AB32" s="34">
        <f t="shared" si="24"/>
        <v>57</v>
      </c>
      <c r="AC32" s="34">
        <f t="shared" si="24"/>
        <v>1</v>
      </c>
      <c r="AD32" s="34">
        <f t="shared" si="24"/>
        <v>0</v>
      </c>
      <c r="AE32" s="31">
        <f t="shared" si="24"/>
        <v>74</v>
      </c>
      <c r="AF32" s="31">
        <f t="shared" si="24"/>
        <v>75</v>
      </c>
    </row>
    <row r="33" spans="2:32" ht="23.1" customHeight="1" x14ac:dyDescent="0.25">
      <c r="B33" s="45" t="s">
        <v>60</v>
      </c>
      <c r="C33" s="50">
        <v>1</v>
      </c>
      <c r="D33" s="50">
        <v>3</v>
      </c>
      <c r="E33" s="50">
        <v>2</v>
      </c>
      <c r="F33" s="50">
        <v>4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8</v>
      </c>
      <c r="M33" s="50">
        <v>5</v>
      </c>
      <c r="N33" s="50">
        <v>0</v>
      </c>
      <c r="O33" s="15">
        <f t="shared" si="0"/>
        <v>22</v>
      </c>
      <c r="P33" s="15">
        <f t="shared" si="1"/>
        <v>27</v>
      </c>
      <c r="R33" s="33" t="s">
        <v>157</v>
      </c>
      <c r="S33" s="34">
        <f>SUM(C102:C105)</f>
        <v>7</v>
      </c>
      <c r="T33" s="34">
        <f t="shared" ref="T33:AF33" si="25">SUM(D102:D105)</f>
        <v>6</v>
      </c>
      <c r="U33" s="34">
        <f t="shared" si="25"/>
        <v>2</v>
      </c>
      <c r="V33" s="34">
        <f t="shared" si="25"/>
        <v>10</v>
      </c>
      <c r="W33" s="34">
        <f t="shared" si="25"/>
        <v>0</v>
      </c>
      <c r="X33" s="34">
        <f t="shared" si="25"/>
        <v>1</v>
      </c>
      <c r="Y33" s="34">
        <f t="shared" si="25"/>
        <v>3</v>
      </c>
      <c r="Z33" s="34">
        <f t="shared" si="25"/>
        <v>2</v>
      </c>
      <c r="AA33" s="34">
        <f t="shared" si="25"/>
        <v>2</v>
      </c>
      <c r="AB33" s="34">
        <f t="shared" si="25"/>
        <v>50</v>
      </c>
      <c r="AC33" s="34">
        <f t="shared" si="25"/>
        <v>9</v>
      </c>
      <c r="AD33" s="34">
        <f t="shared" si="25"/>
        <v>0</v>
      </c>
      <c r="AE33" s="31">
        <f t="shared" si="25"/>
        <v>83</v>
      </c>
      <c r="AF33" s="31">
        <f t="shared" si="25"/>
        <v>92</v>
      </c>
    </row>
    <row r="34" spans="2:32" ht="23.1" customHeight="1" x14ac:dyDescent="0.25">
      <c r="B34" s="46" t="s">
        <v>61</v>
      </c>
      <c r="C34" s="50">
        <v>3</v>
      </c>
      <c r="D34" s="50">
        <v>3</v>
      </c>
      <c r="E34" s="50">
        <v>2</v>
      </c>
      <c r="F34" s="50">
        <v>7</v>
      </c>
      <c r="G34" s="50">
        <v>0</v>
      </c>
      <c r="H34" s="50">
        <v>0</v>
      </c>
      <c r="I34" s="50">
        <v>1</v>
      </c>
      <c r="J34" s="50">
        <v>1</v>
      </c>
      <c r="K34" s="50">
        <v>2</v>
      </c>
      <c r="L34" s="50">
        <v>15</v>
      </c>
      <c r="M34" s="50">
        <v>6</v>
      </c>
      <c r="N34" s="50">
        <v>0</v>
      </c>
      <c r="O34" s="15">
        <f t="shared" si="0"/>
        <v>34</v>
      </c>
      <c r="P34" s="15">
        <f t="shared" si="1"/>
        <v>40</v>
      </c>
      <c r="R34" s="38" t="s">
        <v>90</v>
      </c>
      <c r="S34" s="39">
        <f t="shared" ref="S34:AF34" si="26">MAX(S10:S12)</f>
        <v>6</v>
      </c>
      <c r="T34" s="39">
        <f t="shared" si="26"/>
        <v>6</v>
      </c>
      <c r="U34" s="39">
        <f t="shared" si="26"/>
        <v>4</v>
      </c>
      <c r="V34" s="39">
        <f t="shared" si="26"/>
        <v>16</v>
      </c>
      <c r="W34" s="39">
        <f t="shared" si="26"/>
        <v>1</v>
      </c>
      <c r="X34" s="39">
        <f t="shared" si="26"/>
        <v>1</v>
      </c>
      <c r="Y34" s="39">
        <f t="shared" si="26"/>
        <v>1</v>
      </c>
      <c r="Z34" s="39">
        <f t="shared" si="26"/>
        <v>4</v>
      </c>
      <c r="AA34" s="39">
        <f t="shared" si="26"/>
        <v>2</v>
      </c>
      <c r="AB34" s="39">
        <f t="shared" si="26"/>
        <v>46</v>
      </c>
      <c r="AC34" s="39">
        <f t="shared" si="26"/>
        <v>15</v>
      </c>
      <c r="AD34" s="39">
        <f t="shared" si="26"/>
        <v>0</v>
      </c>
      <c r="AE34" s="40">
        <f t="shared" si="26"/>
        <v>83</v>
      </c>
      <c r="AF34" s="40">
        <f t="shared" si="26"/>
        <v>98</v>
      </c>
    </row>
    <row r="35" spans="2:32" ht="23.1" customHeight="1" x14ac:dyDescent="0.25">
      <c r="B35" s="46" t="s">
        <v>62</v>
      </c>
      <c r="C35" s="50">
        <v>4</v>
      </c>
      <c r="D35" s="50">
        <v>2</v>
      </c>
      <c r="E35" s="50">
        <v>1</v>
      </c>
      <c r="F35" s="50">
        <v>5</v>
      </c>
      <c r="G35" s="50">
        <v>0</v>
      </c>
      <c r="H35" s="50">
        <v>0</v>
      </c>
      <c r="I35" s="50">
        <v>0</v>
      </c>
      <c r="J35" s="50">
        <v>2</v>
      </c>
      <c r="K35" s="50">
        <v>1</v>
      </c>
      <c r="L35" s="50">
        <v>9</v>
      </c>
      <c r="M35" s="50">
        <v>10</v>
      </c>
      <c r="N35" s="50">
        <v>0</v>
      </c>
      <c r="O35" s="15">
        <f t="shared" si="0"/>
        <v>24</v>
      </c>
      <c r="P35" s="15">
        <f t="shared" si="1"/>
        <v>34</v>
      </c>
      <c r="R35" s="38" t="s">
        <v>91</v>
      </c>
      <c r="S35" s="39">
        <f t="shared" ref="S35:AF35" si="27">MAX(S13:S18)</f>
        <v>11</v>
      </c>
      <c r="T35" s="39">
        <f t="shared" si="27"/>
        <v>23</v>
      </c>
      <c r="U35" s="39">
        <f t="shared" si="27"/>
        <v>6</v>
      </c>
      <c r="V35" s="39">
        <f t="shared" si="27"/>
        <v>22</v>
      </c>
      <c r="W35" s="39">
        <f t="shared" si="27"/>
        <v>10</v>
      </c>
      <c r="X35" s="39">
        <f t="shared" si="27"/>
        <v>1</v>
      </c>
      <c r="Y35" s="39">
        <f t="shared" si="27"/>
        <v>4</v>
      </c>
      <c r="Z35" s="39">
        <f t="shared" si="27"/>
        <v>10</v>
      </c>
      <c r="AA35" s="39">
        <f t="shared" si="27"/>
        <v>5</v>
      </c>
      <c r="AB35" s="39">
        <f t="shared" si="27"/>
        <v>47</v>
      </c>
      <c r="AC35" s="39">
        <f t="shared" si="27"/>
        <v>25</v>
      </c>
      <c r="AD35" s="39">
        <f t="shared" si="27"/>
        <v>0</v>
      </c>
      <c r="AE35" s="40">
        <f t="shared" si="27"/>
        <v>114</v>
      </c>
      <c r="AF35" s="40">
        <f t="shared" si="27"/>
        <v>139</v>
      </c>
    </row>
    <row r="36" spans="2:32" ht="23.1" customHeight="1" x14ac:dyDescent="0.25">
      <c r="B36" s="46" t="s">
        <v>63</v>
      </c>
      <c r="C36" s="50">
        <v>2</v>
      </c>
      <c r="D36" s="50">
        <v>5</v>
      </c>
      <c r="E36" s="50">
        <v>1</v>
      </c>
      <c r="F36" s="50">
        <v>4</v>
      </c>
      <c r="G36" s="50">
        <v>0</v>
      </c>
      <c r="H36" s="50">
        <v>0</v>
      </c>
      <c r="I36" s="50">
        <v>0</v>
      </c>
      <c r="J36" s="50">
        <v>3</v>
      </c>
      <c r="K36" s="50">
        <v>1</v>
      </c>
      <c r="L36" s="50">
        <v>10</v>
      </c>
      <c r="M36" s="50">
        <v>4</v>
      </c>
      <c r="N36" s="50">
        <v>0</v>
      </c>
      <c r="O36" s="15">
        <f t="shared" si="0"/>
        <v>26</v>
      </c>
      <c r="P36" s="15">
        <f t="shared" si="1"/>
        <v>30</v>
      </c>
      <c r="R36" s="38" t="s">
        <v>92</v>
      </c>
      <c r="S36" s="39">
        <f t="shared" ref="S36:AF36" si="28">MAX(S19:S21)</f>
        <v>14</v>
      </c>
      <c r="T36" s="39">
        <f t="shared" si="28"/>
        <v>18</v>
      </c>
      <c r="U36" s="39">
        <f t="shared" si="28"/>
        <v>13</v>
      </c>
      <c r="V36" s="39">
        <f t="shared" si="28"/>
        <v>21</v>
      </c>
      <c r="W36" s="39">
        <f t="shared" si="28"/>
        <v>1</v>
      </c>
      <c r="X36" s="39">
        <f t="shared" si="28"/>
        <v>1</v>
      </c>
      <c r="Y36" s="39">
        <f t="shared" si="28"/>
        <v>13</v>
      </c>
      <c r="Z36" s="39">
        <f t="shared" si="28"/>
        <v>5</v>
      </c>
      <c r="AA36" s="39">
        <f t="shared" si="28"/>
        <v>20</v>
      </c>
      <c r="AB36" s="39">
        <f t="shared" si="28"/>
        <v>65</v>
      </c>
      <c r="AC36" s="39">
        <f t="shared" si="28"/>
        <v>21</v>
      </c>
      <c r="AD36" s="39">
        <f t="shared" si="28"/>
        <v>0</v>
      </c>
      <c r="AE36" s="40">
        <f t="shared" si="28"/>
        <v>141</v>
      </c>
      <c r="AF36" s="40">
        <f t="shared" si="28"/>
        <v>162</v>
      </c>
    </row>
    <row r="37" spans="2:32" ht="23.1" customHeight="1" x14ac:dyDescent="0.25">
      <c r="B37" s="45" t="s">
        <v>64</v>
      </c>
      <c r="C37" s="50">
        <v>2</v>
      </c>
      <c r="D37" s="50">
        <v>5</v>
      </c>
      <c r="E37" s="50">
        <v>2</v>
      </c>
      <c r="F37" s="50">
        <v>6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13</v>
      </c>
      <c r="M37" s="50">
        <v>5</v>
      </c>
      <c r="N37" s="50">
        <v>0</v>
      </c>
      <c r="O37" s="15">
        <f t="shared" si="0"/>
        <v>30</v>
      </c>
      <c r="P37" s="15">
        <f t="shared" si="1"/>
        <v>35</v>
      </c>
      <c r="R37" s="37" t="s">
        <v>85</v>
      </c>
      <c r="S37" s="35">
        <f t="shared" ref="S37:AF37" si="29">SUM(S10:S12)</f>
        <v>8</v>
      </c>
      <c r="T37" s="16">
        <f t="shared" si="29"/>
        <v>12</v>
      </c>
      <c r="U37" s="16">
        <f t="shared" si="29"/>
        <v>7</v>
      </c>
      <c r="V37" s="16">
        <f t="shared" si="29"/>
        <v>37</v>
      </c>
      <c r="W37" s="16">
        <f t="shared" si="29"/>
        <v>1</v>
      </c>
      <c r="X37" s="16">
        <f t="shared" si="29"/>
        <v>2</v>
      </c>
      <c r="Y37" s="16">
        <f t="shared" si="29"/>
        <v>2</v>
      </c>
      <c r="Z37" s="16">
        <f t="shared" si="29"/>
        <v>4</v>
      </c>
      <c r="AA37" s="16">
        <f t="shared" si="29"/>
        <v>4</v>
      </c>
      <c r="AB37" s="16">
        <f t="shared" si="29"/>
        <v>106</v>
      </c>
      <c r="AC37" s="16">
        <f t="shared" si="29"/>
        <v>35</v>
      </c>
      <c r="AD37" s="16">
        <f t="shared" si="29"/>
        <v>0</v>
      </c>
      <c r="AE37" s="32">
        <f t="shared" si="29"/>
        <v>183</v>
      </c>
      <c r="AF37" s="32">
        <f t="shared" si="29"/>
        <v>218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1</v>
      </c>
      <c r="F38" s="50">
        <v>6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15</v>
      </c>
      <c r="M38" s="50">
        <v>3</v>
      </c>
      <c r="N38" s="50">
        <v>0</v>
      </c>
      <c r="O38" s="15">
        <f t="shared" si="0"/>
        <v>25</v>
      </c>
      <c r="P38" s="15">
        <f t="shared" si="1"/>
        <v>28</v>
      </c>
      <c r="R38" s="28" t="s">
        <v>86</v>
      </c>
      <c r="S38" s="16">
        <f t="shared" ref="S38:AF38" si="30">SUM(S13:S18)</f>
        <v>53</v>
      </c>
      <c r="T38" s="16">
        <f t="shared" si="30"/>
        <v>71</v>
      </c>
      <c r="U38" s="16">
        <f t="shared" si="30"/>
        <v>20</v>
      </c>
      <c r="V38" s="16">
        <f t="shared" si="30"/>
        <v>111</v>
      </c>
      <c r="W38" s="16">
        <f t="shared" si="30"/>
        <v>10</v>
      </c>
      <c r="X38" s="16">
        <f t="shared" si="30"/>
        <v>2</v>
      </c>
      <c r="Y38" s="16">
        <f t="shared" si="30"/>
        <v>14</v>
      </c>
      <c r="Z38" s="16">
        <f t="shared" si="30"/>
        <v>30</v>
      </c>
      <c r="AA38" s="16">
        <f t="shared" si="30"/>
        <v>9</v>
      </c>
      <c r="AB38" s="16">
        <f t="shared" si="30"/>
        <v>216</v>
      </c>
      <c r="AC38" s="16">
        <f t="shared" si="30"/>
        <v>111</v>
      </c>
      <c r="AD38" s="16">
        <f t="shared" si="30"/>
        <v>0</v>
      </c>
      <c r="AE38" s="32">
        <f t="shared" si="30"/>
        <v>536</v>
      </c>
      <c r="AF38" s="32">
        <f t="shared" si="30"/>
        <v>647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0</v>
      </c>
      <c r="F39" s="50">
        <v>4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9</v>
      </c>
      <c r="M39" s="50">
        <v>3</v>
      </c>
      <c r="N39" s="50">
        <v>0</v>
      </c>
      <c r="O39" s="15">
        <f t="shared" si="0"/>
        <v>17</v>
      </c>
      <c r="P39" s="15">
        <f t="shared" si="1"/>
        <v>20</v>
      </c>
      <c r="R39" s="29" t="s">
        <v>87</v>
      </c>
      <c r="S39" s="16">
        <f t="shared" ref="S39:AF39" si="31">SUM(S19:S21)</f>
        <v>33</v>
      </c>
      <c r="T39" s="16">
        <f t="shared" si="31"/>
        <v>33</v>
      </c>
      <c r="U39" s="16">
        <f t="shared" si="31"/>
        <v>23</v>
      </c>
      <c r="V39" s="16">
        <f t="shared" si="31"/>
        <v>48</v>
      </c>
      <c r="W39" s="16">
        <f t="shared" si="31"/>
        <v>1</v>
      </c>
      <c r="X39" s="16">
        <f t="shared" si="31"/>
        <v>1</v>
      </c>
      <c r="Y39" s="16">
        <f t="shared" si="31"/>
        <v>21</v>
      </c>
      <c r="Z39" s="16">
        <f t="shared" si="31"/>
        <v>6</v>
      </c>
      <c r="AA39" s="16">
        <f t="shared" si="31"/>
        <v>23</v>
      </c>
      <c r="AB39" s="16">
        <f t="shared" si="31"/>
        <v>159</v>
      </c>
      <c r="AC39" s="16">
        <f t="shared" si="31"/>
        <v>54</v>
      </c>
      <c r="AD39" s="16">
        <f t="shared" si="31"/>
        <v>0</v>
      </c>
      <c r="AE39" s="32">
        <f t="shared" si="31"/>
        <v>348</v>
      </c>
      <c r="AF39" s="32">
        <f t="shared" si="31"/>
        <v>402</v>
      </c>
    </row>
    <row r="40" spans="2:32" ht="23.1" customHeight="1" x14ac:dyDescent="0.25">
      <c r="B40" s="46" t="s">
        <v>67</v>
      </c>
      <c r="C40" s="50">
        <v>4</v>
      </c>
      <c r="D40" s="50">
        <v>4</v>
      </c>
      <c r="E40" s="50">
        <v>0</v>
      </c>
      <c r="F40" s="50">
        <v>4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9</v>
      </c>
      <c r="M40" s="50">
        <v>2</v>
      </c>
      <c r="N40" s="50">
        <v>0</v>
      </c>
      <c r="O40" s="15">
        <f t="shared" si="0"/>
        <v>23</v>
      </c>
      <c r="P40" s="15">
        <f t="shared" si="1"/>
        <v>25</v>
      </c>
      <c r="R40" s="5" t="s">
        <v>17</v>
      </c>
      <c r="S40" s="16">
        <f t="shared" ref="S40:AF40" si="32">SUM(S10:S21)</f>
        <v>94</v>
      </c>
      <c r="T40" s="16">
        <f t="shared" si="32"/>
        <v>116</v>
      </c>
      <c r="U40" s="16">
        <f t="shared" si="32"/>
        <v>50</v>
      </c>
      <c r="V40" s="16">
        <f t="shared" si="32"/>
        <v>196</v>
      </c>
      <c r="W40" s="16">
        <f t="shared" si="32"/>
        <v>12</v>
      </c>
      <c r="X40" s="16">
        <f t="shared" si="32"/>
        <v>5</v>
      </c>
      <c r="Y40" s="16">
        <f t="shared" si="32"/>
        <v>37</v>
      </c>
      <c r="Z40" s="16">
        <f t="shared" si="32"/>
        <v>40</v>
      </c>
      <c r="AA40" s="16">
        <f t="shared" si="32"/>
        <v>36</v>
      </c>
      <c r="AB40" s="16">
        <f t="shared" si="32"/>
        <v>481</v>
      </c>
      <c r="AC40" s="16">
        <f t="shared" si="32"/>
        <v>200</v>
      </c>
      <c r="AD40" s="16">
        <f t="shared" si="32"/>
        <v>0</v>
      </c>
      <c r="AE40" s="32">
        <f t="shared" si="32"/>
        <v>1067</v>
      </c>
      <c r="AF40" s="32">
        <f t="shared" si="32"/>
        <v>1267</v>
      </c>
    </row>
    <row r="41" spans="2:32" ht="23.1" customHeight="1" x14ac:dyDescent="0.25">
      <c r="B41" s="45" t="s">
        <v>68</v>
      </c>
      <c r="C41" s="50">
        <v>0</v>
      </c>
      <c r="D41" s="50">
        <v>2</v>
      </c>
      <c r="E41" s="50">
        <v>0</v>
      </c>
      <c r="F41" s="50">
        <v>6</v>
      </c>
      <c r="G41" s="50">
        <v>0</v>
      </c>
      <c r="H41" s="50">
        <v>0</v>
      </c>
      <c r="I41" s="50">
        <v>0</v>
      </c>
      <c r="J41" s="50">
        <v>3</v>
      </c>
      <c r="K41" s="50">
        <v>0</v>
      </c>
      <c r="L41" s="50">
        <v>10</v>
      </c>
      <c r="M41" s="50">
        <v>6</v>
      </c>
      <c r="N41" s="50">
        <v>0</v>
      </c>
      <c r="O41" s="15">
        <f t="shared" si="0"/>
        <v>21</v>
      </c>
      <c r="P41" s="15">
        <f t="shared" si="1"/>
        <v>27</v>
      </c>
      <c r="R41" s="5" t="s">
        <v>159</v>
      </c>
      <c r="S41" s="16">
        <f>SUM(S10:S33)</f>
        <v>145</v>
      </c>
      <c r="T41" s="16">
        <f t="shared" ref="T41:AF41" si="33">SUM(T10:T33)</f>
        <v>152</v>
      </c>
      <c r="U41" s="16">
        <f t="shared" si="33"/>
        <v>64</v>
      </c>
      <c r="V41" s="16">
        <f t="shared" si="33"/>
        <v>246</v>
      </c>
      <c r="W41" s="16">
        <f t="shared" si="33"/>
        <v>13</v>
      </c>
      <c r="X41" s="16">
        <f t="shared" si="33"/>
        <v>13</v>
      </c>
      <c r="Y41" s="16">
        <f t="shared" si="33"/>
        <v>46</v>
      </c>
      <c r="Z41" s="16">
        <f t="shared" si="33"/>
        <v>81</v>
      </c>
      <c r="AA41" s="16">
        <f t="shared" si="33"/>
        <v>42</v>
      </c>
      <c r="AB41" s="16">
        <f t="shared" si="33"/>
        <v>804</v>
      </c>
      <c r="AC41" s="16">
        <f t="shared" si="33"/>
        <v>243</v>
      </c>
      <c r="AD41" s="16">
        <f t="shared" si="33"/>
        <v>0</v>
      </c>
      <c r="AE41" s="32">
        <f t="shared" si="33"/>
        <v>1606</v>
      </c>
      <c r="AF41" s="32">
        <f t="shared" si="33"/>
        <v>1849</v>
      </c>
    </row>
    <row r="42" spans="2:32" ht="23.1" customHeight="1" x14ac:dyDescent="0.25">
      <c r="B42" s="46" t="s">
        <v>69</v>
      </c>
      <c r="C42" s="50">
        <v>3</v>
      </c>
      <c r="D42" s="50">
        <v>2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3</v>
      </c>
      <c r="K42" s="50">
        <v>0</v>
      </c>
      <c r="L42" s="50">
        <v>3</v>
      </c>
      <c r="M42" s="50">
        <v>6</v>
      </c>
      <c r="N42" s="50">
        <v>0</v>
      </c>
      <c r="O42" s="15">
        <f t="shared" si="0"/>
        <v>16</v>
      </c>
      <c r="P42" s="15">
        <f t="shared" si="1"/>
        <v>22</v>
      </c>
      <c r="R42" s="5" t="s">
        <v>160</v>
      </c>
      <c r="S42" s="48">
        <f>S41/S40</f>
        <v>1.5425531914893618</v>
      </c>
      <c r="T42" s="48">
        <f t="shared" ref="T42:AF42" si="34">T41/T40</f>
        <v>1.3103448275862069</v>
      </c>
      <c r="U42" s="48">
        <f t="shared" si="34"/>
        <v>1.28</v>
      </c>
      <c r="V42" s="48">
        <f t="shared" si="34"/>
        <v>1.2551020408163265</v>
      </c>
      <c r="W42" s="48">
        <f t="shared" si="34"/>
        <v>1.0833333333333333</v>
      </c>
      <c r="X42" s="48">
        <f t="shared" si="34"/>
        <v>2.6</v>
      </c>
      <c r="Y42" s="48">
        <f t="shared" si="34"/>
        <v>1.2432432432432432</v>
      </c>
      <c r="Z42" s="48">
        <f t="shared" si="34"/>
        <v>2.0249999999999999</v>
      </c>
      <c r="AA42" s="48">
        <f t="shared" si="34"/>
        <v>1.1666666666666667</v>
      </c>
      <c r="AB42" s="48">
        <f t="shared" si="34"/>
        <v>1.6715176715176716</v>
      </c>
      <c r="AC42" s="48">
        <f t="shared" si="34"/>
        <v>1.2150000000000001</v>
      </c>
      <c r="AD42" s="48" t="e">
        <f t="shared" si="34"/>
        <v>#DIV/0!</v>
      </c>
      <c r="AE42" s="48">
        <f t="shared" si="34"/>
        <v>1.5051546391752577</v>
      </c>
      <c r="AF42" s="48">
        <f t="shared" si="34"/>
        <v>1.4593528018942383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7</v>
      </c>
      <c r="G43" s="50">
        <v>0</v>
      </c>
      <c r="H43" s="50">
        <v>0</v>
      </c>
      <c r="I43" s="50">
        <v>1</v>
      </c>
      <c r="J43" s="50">
        <v>2</v>
      </c>
      <c r="K43" s="50">
        <v>0</v>
      </c>
      <c r="L43" s="50">
        <v>7</v>
      </c>
      <c r="M43" s="50">
        <v>0</v>
      </c>
      <c r="N43" s="50">
        <v>0</v>
      </c>
      <c r="O43" s="15">
        <f t="shared" si="0"/>
        <v>17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0</v>
      </c>
      <c r="D44" s="50">
        <v>1</v>
      </c>
      <c r="E44" s="50">
        <v>0</v>
      </c>
      <c r="F44" s="50">
        <v>4</v>
      </c>
      <c r="G44" s="50">
        <v>0</v>
      </c>
      <c r="H44" s="50">
        <v>0</v>
      </c>
      <c r="I44" s="50">
        <v>1</v>
      </c>
      <c r="J44" s="50">
        <v>3</v>
      </c>
      <c r="K44" s="50">
        <v>1</v>
      </c>
      <c r="L44" s="50">
        <v>6</v>
      </c>
      <c r="M44" s="50">
        <v>4</v>
      </c>
      <c r="N44" s="50">
        <v>0</v>
      </c>
      <c r="O44" s="15">
        <f t="shared" si="0"/>
        <v>16</v>
      </c>
      <c r="P44" s="15">
        <f t="shared" si="1"/>
        <v>20</v>
      </c>
    </row>
    <row r="45" spans="2:32" ht="23.1" customHeight="1" x14ac:dyDescent="0.25">
      <c r="B45" s="45" t="s">
        <v>72</v>
      </c>
      <c r="C45" s="50">
        <v>2</v>
      </c>
      <c r="D45" s="50">
        <v>4</v>
      </c>
      <c r="E45" s="50">
        <v>1</v>
      </c>
      <c r="F45" s="50">
        <v>6</v>
      </c>
      <c r="G45" s="50">
        <v>0</v>
      </c>
      <c r="H45" s="50">
        <v>0</v>
      </c>
      <c r="I45" s="50">
        <v>0</v>
      </c>
      <c r="J45" s="50">
        <v>2</v>
      </c>
      <c r="K45" s="50">
        <v>1</v>
      </c>
      <c r="L45" s="50">
        <v>10</v>
      </c>
      <c r="M45" s="50">
        <v>3</v>
      </c>
      <c r="N45" s="50">
        <v>0</v>
      </c>
      <c r="O45" s="15">
        <f t="shared" si="0"/>
        <v>26</v>
      </c>
      <c r="P45" s="15">
        <f t="shared" si="1"/>
        <v>29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1</v>
      </c>
      <c r="F46" s="50">
        <v>4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10</v>
      </c>
      <c r="M46" s="50">
        <v>4</v>
      </c>
      <c r="N46" s="50">
        <v>0</v>
      </c>
      <c r="O46" s="15">
        <f t="shared" si="0"/>
        <v>20</v>
      </c>
      <c r="P46" s="15">
        <f t="shared" si="1"/>
        <v>24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1</v>
      </c>
      <c r="E47" s="50">
        <v>0</v>
      </c>
      <c r="F47" s="50">
        <v>8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10</v>
      </c>
      <c r="M47" s="50">
        <v>4</v>
      </c>
      <c r="N47" s="50">
        <v>0</v>
      </c>
      <c r="O47" s="15">
        <f t="shared" si="0"/>
        <v>24</v>
      </c>
      <c r="P47" s="15">
        <f t="shared" si="1"/>
        <v>28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0</v>
      </c>
      <c r="F48" s="50">
        <v>3</v>
      </c>
      <c r="G48" s="50">
        <v>0</v>
      </c>
      <c r="H48" s="50">
        <v>1</v>
      </c>
      <c r="I48" s="50">
        <v>0</v>
      </c>
      <c r="J48" s="50">
        <v>1</v>
      </c>
      <c r="K48" s="50">
        <v>0</v>
      </c>
      <c r="L48" s="50">
        <v>7</v>
      </c>
      <c r="M48" s="50">
        <v>6</v>
      </c>
      <c r="N48" s="50">
        <v>0</v>
      </c>
      <c r="O48" s="15">
        <f t="shared" si="0"/>
        <v>15</v>
      </c>
      <c r="P48" s="15">
        <f t="shared" si="1"/>
        <v>21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3</v>
      </c>
      <c r="E49" s="50">
        <v>0</v>
      </c>
      <c r="F49" s="50">
        <v>4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7</v>
      </c>
      <c r="M49" s="50">
        <v>3</v>
      </c>
      <c r="N49" s="50">
        <v>0</v>
      </c>
      <c r="O49" s="15">
        <f t="shared" si="0"/>
        <v>17</v>
      </c>
      <c r="P49" s="15">
        <f t="shared" si="1"/>
        <v>20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3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12</v>
      </c>
      <c r="M50" s="50">
        <v>0</v>
      </c>
      <c r="N50" s="50">
        <v>0</v>
      </c>
      <c r="O50" s="15">
        <f t="shared" si="0"/>
        <v>18</v>
      </c>
      <c r="P50" s="15">
        <f t="shared" si="1"/>
        <v>18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2</v>
      </c>
      <c r="F51" s="50">
        <v>2</v>
      </c>
      <c r="G51" s="50">
        <v>1</v>
      </c>
      <c r="H51" s="50">
        <v>0</v>
      </c>
      <c r="I51" s="50">
        <v>5</v>
      </c>
      <c r="J51" s="50">
        <v>0</v>
      </c>
      <c r="K51" s="50">
        <v>0</v>
      </c>
      <c r="L51" s="50">
        <v>9</v>
      </c>
      <c r="M51" s="50">
        <v>5</v>
      </c>
      <c r="N51" s="50">
        <v>0</v>
      </c>
      <c r="O51" s="15">
        <f t="shared" si="0"/>
        <v>21</v>
      </c>
      <c r="P51" s="15">
        <f t="shared" si="1"/>
        <v>26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4</v>
      </c>
      <c r="E52" s="50">
        <v>1</v>
      </c>
      <c r="F52" s="50">
        <v>3</v>
      </c>
      <c r="G52" s="50">
        <v>0</v>
      </c>
      <c r="H52" s="50">
        <v>0</v>
      </c>
      <c r="I52" s="50">
        <v>2</v>
      </c>
      <c r="J52" s="50">
        <v>0</v>
      </c>
      <c r="K52" s="50">
        <v>2</v>
      </c>
      <c r="L52" s="50">
        <v>13</v>
      </c>
      <c r="M52" s="50">
        <v>3</v>
      </c>
      <c r="N52" s="50">
        <v>0</v>
      </c>
      <c r="O52" s="15">
        <f t="shared" si="0"/>
        <v>28</v>
      </c>
      <c r="P52" s="15">
        <f t="shared" si="1"/>
        <v>31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3</v>
      </c>
      <c r="E53" s="50">
        <v>6</v>
      </c>
      <c r="F53" s="50">
        <v>3</v>
      </c>
      <c r="G53" s="50">
        <v>0</v>
      </c>
      <c r="H53" s="50">
        <v>0</v>
      </c>
      <c r="I53" s="50">
        <v>4</v>
      </c>
      <c r="J53" s="50">
        <v>0</v>
      </c>
      <c r="K53" s="50">
        <v>17</v>
      </c>
      <c r="L53" s="50">
        <v>26</v>
      </c>
      <c r="M53" s="50">
        <v>8</v>
      </c>
      <c r="N53" s="50">
        <v>0</v>
      </c>
      <c r="O53" s="15">
        <f t="shared" si="0"/>
        <v>64</v>
      </c>
      <c r="P53" s="15">
        <f t="shared" si="1"/>
        <v>72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5</v>
      </c>
      <c r="E54" s="50">
        <v>2</v>
      </c>
      <c r="F54" s="50">
        <v>8</v>
      </c>
      <c r="G54" s="50">
        <v>0</v>
      </c>
      <c r="H54" s="50">
        <v>0</v>
      </c>
      <c r="I54" s="50">
        <v>6</v>
      </c>
      <c r="J54" s="50">
        <v>0</v>
      </c>
      <c r="K54" s="50">
        <v>0</v>
      </c>
      <c r="L54" s="50">
        <v>20</v>
      </c>
      <c r="M54" s="50">
        <v>3</v>
      </c>
      <c r="N54" s="50">
        <v>0</v>
      </c>
      <c r="O54" s="15">
        <f t="shared" si="0"/>
        <v>44</v>
      </c>
      <c r="P54" s="15">
        <f t="shared" si="1"/>
        <v>47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7</v>
      </c>
      <c r="E55" s="50">
        <v>9</v>
      </c>
      <c r="F55" s="50">
        <v>4</v>
      </c>
      <c r="G55" s="50">
        <v>0</v>
      </c>
      <c r="H55" s="50">
        <v>0</v>
      </c>
      <c r="I55" s="50">
        <v>0</v>
      </c>
      <c r="J55" s="50">
        <v>0</v>
      </c>
      <c r="K55" s="50">
        <v>3</v>
      </c>
      <c r="L55" s="50">
        <v>29</v>
      </c>
      <c r="M55" s="50">
        <v>3</v>
      </c>
      <c r="N55" s="50">
        <v>0</v>
      </c>
      <c r="O55" s="15">
        <f t="shared" si="0"/>
        <v>55</v>
      </c>
      <c r="P55" s="15">
        <f t="shared" si="1"/>
        <v>58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5</v>
      </c>
      <c r="E56" s="50">
        <v>0</v>
      </c>
      <c r="F56" s="50">
        <v>3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9</v>
      </c>
      <c r="M56" s="50">
        <v>10</v>
      </c>
      <c r="N56" s="50">
        <v>0</v>
      </c>
      <c r="O56" s="15">
        <f t="shared" si="0"/>
        <v>23</v>
      </c>
      <c r="P56" s="15">
        <f t="shared" si="1"/>
        <v>33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2</v>
      </c>
      <c r="F57" s="50">
        <v>6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7</v>
      </c>
      <c r="M57" s="50">
        <v>5</v>
      </c>
      <c r="N57" s="50">
        <v>0</v>
      </c>
      <c r="O57" s="15">
        <f t="shared" si="0"/>
        <v>19</v>
      </c>
      <c r="P57" s="15">
        <f t="shared" si="1"/>
        <v>24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0</v>
      </c>
      <c r="F58" s="50">
        <v>4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8</v>
      </c>
      <c r="M58" s="50">
        <v>4</v>
      </c>
      <c r="N58" s="50">
        <v>0</v>
      </c>
      <c r="O58" s="15">
        <f t="shared" si="0"/>
        <v>17</v>
      </c>
      <c r="P58" s="15">
        <f t="shared" si="1"/>
        <v>21</v>
      </c>
      <c r="R58" s="8"/>
      <c r="T58"/>
    </row>
    <row r="59" spans="2:20" ht="23.1" customHeight="1" x14ac:dyDescent="0.25">
      <c r="B59" s="45" t="s">
        <v>100</v>
      </c>
      <c r="C59" s="50">
        <v>5</v>
      </c>
      <c r="D59" s="50">
        <v>5</v>
      </c>
      <c r="E59" s="50">
        <v>0</v>
      </c>
      <c r="F59" s="50">
        <v>3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9</v>
      </c>
      <c r="M59" s="50">
        <v>7</v>
      </c>
      <c r="N59" s="50">
        <v>0</v>
      </c>
      <c r="O59" s="15">
        <f t="shared" si="0"/>
        <v>23</v>
      </c>
      <c r="P59" s="15">
        <f t="shared" si="1"/>
        <v>30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2</v>
      </c>
      <c r="E60" s="50">
        <v>0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1</v>
      </c>
      <c r="L60" s="50">
        <v>10</v>
      </c>
      <c r="M60" s="50">
        <v>3</v>
      </c>
      <c r="N60" s="50">
        <v>0</v>
      </c>
      <c r="O60" s="15">
        <f t="shared" si="0"/>
        <v>18</v>
      </c>
      <c r="P60" s="15">
        <f t="shared" si="1"/>
        <v>21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1</v>
      </c>
      <c r="E61" s="50">
        <v>2</v>
      </c>
      <c r="F61" s="50">
        <v>3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9</v>
      </c>
      <c r="M61" s="50">
        <v>1</v>
      </c>
      <c r="N61" s="50">
        <v>0</v>
      </c>
      <c r="O61" s="15">
        <f t="shared" si="0"/>
        <v>20</v>
      </c>
      <c r="P61" s="15">
        <f t="shared" si="1"/>
        <v>21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1</v>
      </c>
      <c r="E62" s="50">
        <v>1</v>
      </c>
      <c r="F62" s="50">
        <v>2</v>
      </c>
      <c r="G62" s="50">
        <v>0</v>
      </c>
      <c r="H62" s="50">
        <v>0</v>
      </c>
      <c r="I62" s="50">
        <v>0</v>
      </c>
      <c r="J62" s="50">
        <v>2</v>
      </c>
      <c r="K62" s="50">
        <v>0</v>
      </c>
      <c r="L62" s="50">
        <v>8</v>
      </c>
      <c r="M62" s="50">
        <v>2</v>
      </c>
      <c r="N62" s="50">
        <v>0</v>
      </c>
      <c r="O62" s="15">
        <f t="shared" si="0"/>
        <v>17</v>
      </c>
      <c r="P62" s="15">
        <f t="shared" si="1"/>
        <v>19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3</v>
      </c>
      <c r="E63" s="50">
        <v>0</v>
      </c>
      <c r="F63" s="50">
        <v>1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5</v>
      </c>
      <c r="M63" s="50">
        <v>3</v>
      </c>
      <c r="N63" s="50">
        <v>0</v>
      </c>
      <c r="O63" s="15">
        <f t="shared" si="0"/>
        <v>12</v>
      </c>
      <c r="P63" s="15">
        <f t="shared" si="1"/>
        <v>15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3</v>
      </c>
      <c r="E64" s="50">
        <v>0</v>
      </c>
      <c r="F64" s="50">
        <v>0</v>
      </c>
      <c r="G64" s="50">
        <v>1</v>
      </c>
      <c r="H64" s="50">
        <v>0</v>
      </c>
      <c r="I64" s="50">
        <v>0</v>
      </c>
      <c r="J64" s="50">
        <v>2</v>
      </c>
      <c r="K64" s="50">
        <v>1</v>
      </c>
      <c r="L64" s="50">
        <v>9</v>
      </c>
      <c r="M64" s="50">
        <v>2</v>
      </c>
      <c r="N64" s="50">
        <v>0</v>
      </c>
      <c r="O64" s="15">
        <f t="shared" si="0"/>
        <v>18</v>
      </c>
      <c r="P64" s="15">
        <f t="shared" si="1"/>
        <v>20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1</v>
      </c>
      <c r="G65" s="50">
        <v>0</v>
      </c>
      <c r="H65" s="50">
        <v>0</v>
      </c>
      <c r="I65" s="50">
        <v>0</v>
      </c>
      <c r="J65" s="50">
        <v>1</v>
      </c>
      <c r="K65" s="50">
        <v>1</v>
      </c>
      <c r="L65" s="50">
        <v>12</v>
      </c>
      <c r="M65" s="50">
        <v>1</v>
      </c>
      <c r="N65" s="50">
        <v>0</v>
      </c>
      <c r="O65" s="15">
        <f t="shared" si="0"/>
        <v>16</v>
      </c>
      <c r="P65" s="15">
        <f t="shared" si="1"/>
        <v>17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2</v>
      </c>
      <c r="F66" s="50">
        <v>1</v>
      </c>
      <c r="G66" s="50">
        <v>0</v>
      </c>
      <c r="H66" s="50">
        <v>0</v>
      </c>
      <c r="I66" s="50">
        <v>1</v>
      </c>
      <c r="J66" s="50">
        <v>3</v>
      </c>
      <c r="K66" s="50">
        <v>0</v>
      </c>
      <c r="L66" s="50">
        <v>2</v>
      </c>
      <c r="M66" s="50">
        <v>4</v>
      </c>
      <c r="N66" s="50">
        <v>0</v>
      </c>
      <c r="O66" s="15">
        <f t="shared" si="0"/>
        <v>9</v>
      </c>
      <c r="P66" s="15">
        <f t="shared" si="1"/>
        <v>13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2</v>
      </c>
      <c r="E67" s="50">
        <v>1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5</v>
      </c>
      <c r="M67" s="50">
        <v>0</v>
      </c>
      <c r="N67" s="50">
        <v>0</v>
      </c>
      <c r="O67" s="15">
        <f t="shared" si="0"/>
        <v>9</v>
      </c>
      <c r="P67" s="15">
        <f t="shared" si="1"/>
        <v>9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3</v>
      </c>
      <c r="M68" s="50">
        <v>1</v>
      </c>
      <c r="N68" s="50">
        <v>0</v>
      </c>
      <c r="O68" s="15">
        <f t="shared" si="0"/>
        <v>4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2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4</v>
      </c>
      <c r="M69" s="50">
        <v>0</v>
      </c>
      <c r="N69" s="50">
        <v>0</v>
      </c>
      <c r="O69" s="15">
        <f t="shared" si="0"/>
        <v>11</v>
      </c>
      <c r="P69" s="15">
        <f t="shared" si="1"/>
        <v>11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1</v>
      </c>
      <c r="E70" s="50">
        <v>1</v>
      </c>
      <c r="F70" s="50">
        <v>3</v>
      </c>
      <c r="G70" s="50">
        <v>0</v>
      </c>
      <c r="H70" s="50">
        <v>0</v>
      </c>
      <c r="I70" s="50">
        <v>0</v>
      </c>
      <c r="J70" s="50">
        <v>2</v>
      </c>
      <c r="K70" s="50">
        <v>0</v>
      </c>
      <c r="L70" s="50">
        <v>6</v>
      </c>
      <c r="M70" s="50">
        <v>2</v>
      </c>
      <c r="N70" s="50">
        <v>0</v>
      </c>
      <c r="O70" s="15">
        <f t="shared" si="0"/>
        <v>14</v>
      </c>
      <c r="P70" s="15">
        <f t="shared" si="1"/>
        <v>16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1</v>
      </c>
      <c r="E71" s="50">
        <v>0</v>
      </c>
      <c r="F71" s="50">
        <v>3</v>
      </c>
      <c r="G71" s="50">
        <v>0</v>
      </c>
      <c r="H71" s="50">
        <v>0</v>
      </c>
      <c r="I71" s="50">
        <v>0</v>
      </c>
      <c r="J71" s="50">
        <v>2</v>
      </c>
      <c r="K71" s="50">
        <v>0</v>
      </c>
      <c r="L71" s="50">
        <v>4</v>
      </c>
      <c r="M71" s="50">
        <v>1</v>
      </c>
      <c r="N71" s="50">
        <v>0</v>
      </c>
      <c r="O71" s="15">
        <f t="shared" si="0"/>
        <v>12</v>
      </c>
      <c r="P71" s="15">
        <f t="shared" si="1"/>
        <v>13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5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7</v>
      </c>
      <c r="M72" s="50">
        <v>1</v>
      </c>
      <c r="N72" s="50">
        <v>0</v>
      </c>
      <c r="O72" s="15">
        <f t="shared" si="0"/>
        <v>13</v>
      </c>
      <c r="P72" s="15">
        <f t="shared" si="1"/>
        <v>14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1</v>
      </c>
      <c r="F73" s="50">
        <v>2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5</v>
      </c>
      <c r="M73" s="50">
        <v>0</v>
      </c>
      <c r="N73" s="50">
        <v>0</v>
      </c>
      <c r="O73" s="15">
        <f t="shared" si="0"/>
        <v>10</v>
      </c>
      <c r="P73" s="15">
        <f t="shared" si="1"/>
        <v>10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4</v>
      </c>
      <c r="M74" s="50">
        <v>0</v>
      </c>
      <c r="N74" s="50">
        <v>0</v>
      </c>
      <c r="O74" s="15">
        <f t="shared" ref="O74:O105" si="35">SUM(C74:L74,N74)</f>
        <v>5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2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4</v>
      </c>
      <c r="M75" s="50">
        <v>0</v>
      </c>
      <c r="N75" s="50">
        <v>0</v>
      </c>
      <c r="O75" s="15">
        <f t="shared" si="35"/>
        <v>8</v>
      </c>
      <c r="P75" s="15">
        <f t="shared" si="36"/>
        <v>8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1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7</v>
      </c>
      <c r="M76" s="50">
        <v>0</v>
      </c>
      <c r="N76" s="50">
        <v>0</v>
      </c>
      <c r="O76" s="15">
        <f t="shared" si="35"/>
        <v>8</v>
      </c>
      <c r="P76" s="15">
        <f t="shared" si="36"/>
        <v>8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1</v>
      </c>
      <c r="E77" s="50">
        <v>1</v>
      </c>
      <c r="F77" s="50">
        <v>1</v>
      </c>
      <c r="G77" s="50">
        <v>0</v>
      </c>
      <c r="H77" s="50">
        <v>0</v>
      </c>
      <c r="I77" s="50">
        <v>0</v>
      </c>
      <c r="J77" s="50">
        <v>2</v>
      </c>
      <c r="K77" s="50">
        <v>0</v>
      </c>
      <c r="L77" s="50">
        <v>3</v>
      </c>
      <c r="M77" s="50">
        <v>0</v>
      </c>
      <c r="N77" s="50">
        <v>0</v>
      </c>
      <c r="O77" s="15">
        <f t="shared" si="35"/>
        <v>9</v>
      </c>
      <c r="P77" s="15">
        <f t="shared" si="36"/>
        <v>9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1</v>
      </c>
      <c r="M78" s="50">
        <v>0</v>
      </c>
      <c r="N78" s="50">
        <v>0</v>
      </c>
      <c r="O78" s="15">
        <f t="shared" si="35"/>
        <v>4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1</v>
      </c>
      <c r="I79" s="50">
        <v>0</v>
      </c>
      <c r="J79" s="50">
        <v>1</v>
      </c>
      <c r="K79" s="50">
        <v>0</v>
      </c>
      <c r="L79" s="50">
        <v>2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1</v>
      </c>
      <c r="M80" s="50">
        <v>0</v>
      </c>
      <c r="N80" s="50">
        <v>0</v>
      </c>
      <c r="O80" s="15">
        <f t="shared" si="35"/>
        <v>2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1</v>
      </c>
      <c r="K81" s="50">
        <v>0</v>
      </c>
      <c r="L81" s="50">
        <v>3</v>
      </c>
      <c r="M81" s="50">
        <v>0</v>
      </c>
      <c r="N81" s="50">
        <v>0</v>
      </c>
      <c r="O81" s="15">
        <f t="shared" si="35"/>
        <v>6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2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1</v>
      </c>
      <c r="I83" s="50">
        <v>0</v>
      </c>
      <c r="J83" s="50">
        <v>0</v>
      </c>
      <c r="K83" s="50">
        <v>0</v>
      </c>
      <c r="L83" s="50">
        <v>2</v>
      </c>
      <c r="M83" s="50">
        <v>0</v>
      </c>
      <c r="N83" s="50">
        <v>0</v>
      </c>
      <c r="O83" s="15">
        <f t="shared" si="35"/>
        <v>3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1</v>
      </c>
      <c r="I84" s="50">
        <v>0</v>
      </c>
      <c r="J84" s="50">
        <v>2</v>
      </c>
      <c r="K84" s="50">
        <v>0</v>
      </c>
      <c r="L84" s="50">
        <v>2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1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6</v>
      </c>
      <c r="M86" s="50">
        <v>0</v>
      </c>
      <c r="N86" s="50">
        <v>0</v>
      </c>
      <c r="O86" s="15">
        <f t="shared" si="35"/>
        <v>8</v>
      </c>
      <c r="P86" s="15">
        <f t="shared" si="36"/>
        <v>8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3</v>
      </c>
      <c r="M87" s="50">
        <v>0</v>
      </c>
      <c r="N87" s="50">
        <v>0</v>
      </c>
      <c r="O87" s="15">
        <f t="shared" si="35"/>
        <v>5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4</v>
      </c>
      <c r="M88" s="50">
        <v>1</v>
      </c>
      <c r="N88" s="50">
        <v>0</v>
      </c>
      <c r="O88" s="15">
        <f t="shared" si="35"/>
        <v>5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2</v>
      </c>
      <c r="I89" s="50">
        <v>0</v>
      </c>
      <c r="J89" s="50">
        <v>0</v>
      </c>
      <c r="K89" s="50">
        <v>0</v>
      </c>
      <c r="L89" s="50">
        <v>9</v>
      </c>
      <c r="M89" s="50">
        <v>0</v>
      </c>
      <c r="N89" s="50">
        <v>0</v>
      </c>
      <c r="O89" s="15">
        <f t="shared" si="35"/>
        <v>11</v>
      </c>
      <c r="P89" s="15">
        <f t="shared" si="36"/>
        <v>11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0</v>
      </c>
      <c r="J90" s="50">
        <v>0</v>
      </c>
      <c r="K90" s="50">
        <v>0</v>
      </c>
      <c r="L90" s="50">
        <v>4</v>
      </c>
      <c r="M90" s="50">
        <v>0</v>
      </c>
      <c r="N90" s="50">
        <v>0</v>
      </c>
      <c r="O90" s="15">
        <f t="shared" si="35"/>
        <v>5</v>
      </c>
      <c r="P90" s="15">
        <f t="shared" si="36"/>
        <v>5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5</v>
      </c>
      <c r="M91" s="50">
        <v>0</v>
      </c>
      <c r="N91" s="50"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8</v>
      </c>
      <c r="M92" s="50">
        <v>0</v>
      </c>
      <c r="N92" s="50">
        <v>0</v>
      </c>
      <c r="O92" s="15">
        <f t="shared" si="35"/>
        <v>9</v>
      </c>
      <c r="P92" s="15">
        <f t="shared" si="36"/>
        <v>9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6</v>
      </c>
      <c r="M93" s="50">
        <v>0</v>
      </c>
      <c r="N93" s="50">
        <v>0</v>
      </c>
      <c r="O93" s="15">
        <f t="shared" si="35"/>
        <v>6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3</v>
      </c>
      <c r="K94" s="50">
        <v>1</v>
      </c>
      <c r="L94" s="50">
        <v>4</v>
      </c>
      <c r="M94" s="50">
        <v>0</v>
      </c>
      <c r="N94" s="50">
        <v>0</v>
      </c>
      <c r="O94" s="15">
        <f t="shared" si="35"/>
        <v>11</v>
      </c>
      <c r="P94" s="15">
        <f t="shared" si="36"/>
        <v>11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6</v>
      </c>
      <c r="M95" s="50">
        <v>0</v>
      </c>
      <c r="N95" s="50">
        <v>0</v>
      </c>
      <c r="O95" s="15">
        <f t="shared" si="35"/>
        <v>8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8</v>
      </c>
      <c r="M96" s="50">
        <v>0</v>
      </c>
      <c r="N96" s="50">
        <v>0</v>
      </c>
      <c r="O96" s="15">
        <f t="shared" si="35"/>
        <v>9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0</v>
      </c>
      <c r="J97" s="50">
        <v>1</v>
      </c>
      <c r="K97" s="50">
        <v>0</v>
      </c>
      <c r="L97" s="50">
        <v>15</v>
      </c>
      <c r="M97" s="50">
        <v>0</v>
      </c>
      <c r="N97" s="50">
        <v>0</v>
      </c>
      <c r="O97" s="15">
        <f t="shared" si="35"/>
        <v>18</v>
      </c>
      <c r="P97" s="15">
        <f t="shared" si="36"/>
        <v>18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18</v>
      </c>
      <c r="M98" s="50">
        <v>0</v>
      </c>
      <c r="N98" s="50">
        <v>0</v>
      </c>
      <c r="O98" s="15">
        <f t="shared" si="35"/>
        <v>24</v>
      </c>
      <c r="P98" s="15">
        <f t="shared" si="36"/>
        <v>24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7</v>
      </c>
      <c r="M99" s="50">
        <v>0</v>
      </c>
      <c r="N99" s="50">
        <v>0</v>
      </c>
      <c r="O99" s="15">
        <f t="shared" si="35"/>
        <v>10</v>
      </c>
      <c r="P99" s="15">
        <f t="shared" si="36"/>
        <v>10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1</v>
      </c>
      <c r="K100" s="50">
        <v>0</v>
      </c>
      <c r="L100" s="50">
        <v>15</v>
      </c>
      <c r="M100" s="50">
        <v>1</v>
      </c>
      <c r="N100" s="50">
        <v>0</v>
      </c>
      <c r="O100" s="15">
        <f t="shared" si="35"/>
        <v>20</v>
      </c>
      <c r="P100" s="15">
        <f t="shared" si="36"/>
        <v>21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17</v>
      </c>
      <c r="M101" s="50">
        <v>0</v>
      </c>
      <c r="N101" s="50">
        <v>0</v>
      </c>
      <c r="O101" s="15">
        <f t="shared" si="35"/>
        <v>20</v>
      </c>
      <c r="P101" s="15">
        <f t="shared" si="36"/>
        <v>20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13</v>
      </c>
      <c r="M102" s="50">
        <v>0</v>
      </c>
      <c r="N102" s="50">
        <v>0</v>
      </c>
      <c r="O102" s="15">
        <f t="shared" si="35"/>
        <v>14</v>
      </c>
      <c r="P102" s="15">
        <f t="shared" si="36"/>
        <v>14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3</v>
      </c>
      <c r="E103" s="50">
        <v>1</v>
      </c>
      <c r="F103" s="50">
        <v>3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18</v>
      </c>
      <c r="M103" s="50">
        <v>1</v>
      </c>
      <c r="N103" s="50">
        <v>0</v>
      </c>
      <c r="O103" s="15">
        <f t="shared" si="35"/>
        <v>28</v>
      </c>
      <c r="P103" s="15">
        <f t="shared" si="36"/>
        <v>29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0</v>
      </c>
      <c r="F104" s="50">
        <v>2</v>
      </c>
      <c r="G104" s="50">
        <v>0</v>
      </c>
      <c r="H104" s="50">
        <v>0</v>
      </c>
      <c r="I104" s="50">
        <v>1</v>
      </c>
      <c r="J104" s="50">
        <v>0</v>
      </c>
      <c r="K104" s="50">
        <v>2</v>
      </c>
      <c r="L104" s="50">
        <v>10</v>
      </c>
      <c r="M104" s="50">
        <v>3</v>
      </c>
      <c r="N104" s="50">
        <v>0</v>
      </c>
      <c r="O104" s="15">
        <f t="shared" si="35"/>
        <v>16</v>
      </c>
      <c r="P104" s="15">
        <f t="shared" si="36"/>
        <v>19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2</v>
      </c>
      <c r="E105" s="50">
        <v>1</v>
      </c>
      <c r="F105" s="50">
        <v>5</v>
      </c>
      <c r="G105" s="50">
        <v>0</v>
      </c>
      <c r="H105" s="50">
        <v>0</v>
      </c>
      <c r="I105" s="50">
        <v>2</v>
      </c>
      <c r="J105" s="50">
        <v>1</v>
      </c>
      <c r="K105" s="50">
        <v>0</v>
      </c>
      <c r="L105" s="50">
        <v>9</v>
      </c>
      <c r="M105" s="50">
        <v>5</v>
      </c>
      <c r="N105" s="50">
        <v>0</v>
      </c>
      <c r="O105" s="15">
        <f t="shared" si="35"/>
        <v>25</v>
      </c>
      <c r="P105" s="15">
        <f t="shared" si="36"/>
        <v>30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145</v>
      </c>
      <c r="D106" s="16">
        <f t="shared" ref="D106:P106" si="37">SUM(D10:D105)</f>
        <v>152</v>
      </c>
      <c r="E106" s="16">
        <f t="shared" si="37"/>
        <v>64</v>
      </c>
      <c r="F106" s="16">
        <f t="shared" si="37"/>
        <v>246</v>
      </c>
      <c r="G106" s="16">
        <f t="shared" si="37"/>
        <v>13</v>
      </c>
      <c r="H106" s="16">
        <f t="shared" si="37"/>
        <v>13</v>
      </c>
      <c r="I106" s="16">
        <f t="shared" si="37"/>
        <v>46</v>
      </c>
      <c r="J106" s="16">
        <f t="shared" si="37"/>
        <v>81</v>
      </c>
      <c r="K106" s="16">
        <f t="shared" si="37"/>
        <v>42</v>
      </c>
      <c r="L106" s="16">
        <f t="shared" si="37"/>
        <v>804</v>
      </c>
      <c r="M106" s="16">
        <f t="shared" si="37"/>
        <v>243</v>
      </c>
      <c r="N106" s="16">
        <f t="shared" si="37"/>
        <v>0</v>
      </c>
      <c r="O106" s="16">
        <f t="shared" si="37"/>
        <v>1606</v>
      </c>
      <c r="P106" s="16">
        <f t="shared" si="37"/>
        <v>1849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7.8420767982693346E-2</v>
      </c>
      <c r="D107" s="43">
        <f t="shared" si="38"/>
        <v>8.2206598161168196E-2</v>
      </c>
      <c r="E107" s="43">
        <f t="shared" si="38"/>
        <v>3.4613304488912928E-2</v>
      </c>
      <c r="F107" s="43">
        <f t="shared" si="38"/>
        <v>0.13304488912925905</v>
      </c>
      <c r="G107" s="43">
        <f t="shared" si="38"/>
        <v>7.0308274743104381E-3</v>
      </c>
      <c r="H107" s="43">
        <f t="shared" si="38"/>
        <v>7.0308274743104381E-3</v>
      </c>
      <c r="I107" s="43">
        <f t="shared" si="38"/>
        <v>2.4878312601406164E-2</v>
      </c>
      <c r="J107" s="43">
        <f t="shared" si="38"/>
        <v>4.3807463493780424E-2</v>
      </c>
      <c r="K107" s="43">
        <f t="shared" si="38"/>
        <v>2.2714981070849107E-2</v>
      </c>
      <c r="L107" s="43">
        <f t="shared" si="38"/>
        <v>0.43482963764196864</v>
      </c>
      <c r="M107" s="43">
        <f t="shared" si="38"/>
        <v>0.13142239048134127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9.0286425902864259E-2</v>
      </c>
      <c r="D108" s="44">
        <f t="shared" ref="D108:N108" si="39">D106/$O$106</f>
        <v>9.4645080946450813E-2</v>
      </c>
      <c r="E108" s="44">
        <f t="shared" si="39"/>
        <v>3.9850560398505604E-2</v>
      </c>
      <c r="F108" s="44">
        <f t="shared" si="39"/>
        <v>0.15317559153175592</v>
      </c>
      <c r="G108" s="44">
        <f t="shared" si="39"/>
        <v>8.0946450809464502E-3</v>
      </c>
      <c r="H108" s="44">
        <f t="shared" si="39"/>
        <v>8.0946450809464502E-3</v>
      </c>
      <c r="I108" s="44">
        <f t="shared" si="39"/>
        <v>2.8642590286425903E-2</v>
      </c>
      <c r="J108" s="44">
        <f t="shared" si="39"/>
        <v>5.0435865504358655E-2</v>
      </c>
      <c r="K108" s="44">
        <f t="shared" si="39"/>
        <v>2.6151930261519303E-2</v>
      </c>
      <c r="L108" s="44">
        <f t="shared" si="39"/>
        <v>0.50062266500622665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3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'22.08 TORORO-BUSITEMA'!G5:H5</f>
        <v>STATION 98</v>
      </c>
      <c r="H5" s="64"/>
      <c r="I5" s="14"/>
      <c r="J5" s="2" t="s">
        <v>5</v>
      </c>
      <c r="K5" s="63" t="str">
        <f>'22.08 TORORO-BUSITEMA'!K5:L5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164</v>
      </c>
      <c r="E6" s="64"/>
      <c r="F6" s="2" t="s">
        <v>2</v>
      </c>
      <c r="G6" s="63" t="s">
        <v>163</v>
      </c>
      <c r="H6" s="64"/>
      <c r="J6" s="2" t="s">
        <v>21</v>
      </c>
      <c r="K6" s="63" t="str">
        <f>'22.08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3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2</v>
      </c>
      <c r="L10" s="50">
        <v>8</v>
      </c>
      <c r="M10" s="50">
        <v>2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16</v>
      </c>
      <c r="R10" s="1" t="s">
        <v>6</v>
      </c>
      <c r="S10" s="17">
        <f t="shared" ref="S10:AF10" si="2">SUM(C10:C13)</f>
        <v>5</v>
      </c>
      <c r="T10" s="17">
        <f t="shared" si="2"/>
        <v>4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2</v>
      </c>
      <c r="AB10" s="17">
        <f t="shared" si="2"/>
        <v>24</v>
      </c>
      <c r="AC10" s="17">
        <f t="shared" si="2"/>
        <v>6</v>
      </c>
      <c r="AD10" s="17">
        <f t="shared" si="2"/>
        <v>0</v>
      </c>
      <c r="AE10" s="31">
        <f t="shared" si="2"/>
        <v>39</v>
      </c>
      <c r="AF10" s="31">
        <f t="shared" si="2"/>
        <v>45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0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1</v>
      </c>
      <c r="AB11" s="17">
        <f t="shared" si="3"/>
        <v>15</v>
      </c>
      <c r="AC11" s="17">
        <f t="shared" si="3"/>
        <v>8</v>
      </c>
      <c r="AD11" s="17">
        <f t="shared" si="3"/>
        <v>0</v>
      </c>
      <c r="AE11" s="31">
        <f t="shared" si="3"/>
        <v>32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10</v>
      </c>
      <c r="M12" s="50">
        <v>1</v>
      </c>
      <c r="N12" s="50">
        <v>0</v>
      </c>
      <c r="O12" s="15">
        <f t="shared" si="0"/>
        <v>15</v>
      </c>
      <c r="P12" s="15">
        <f t="shared" si="1"/>
        <v>16</v>
      </c>
      <c r="R12" s="1" t="s">
        <v>8</v>
      </c>
      <c r="S12" s="17">
        <f t="shared" ref="S12:AF12" si="4">SUM(C18:C21)</f>
        <v>5</v>
      </c>
      <c r="T12" s="17">
        <f t="shared" si="4"/>
        <v>6</v>
      </c>
      <c r="U12" s="17">
        <f t="shared" si="4"/>
        <v>0</v>
      </c>
      <c r="V12" s="17">
        <f t="shared" si="4"/>
        <v>8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16</v>
      </c>
      <c r="AC12" s="17">
        <f t="shared" si="4"/>
        <v>14</v>
      </c>
      <c r="AD12" s="17">
        <f t="shared" si="4"/>
        <v>0</v>
      </c>
      <c r="AE12" s="31">
        <f t="shared" si="4"/>
        <v>37</v>
      </c>
      <c r="AF12" s="31">
        <f t="shared" si="4"/>
        <v>51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6</v>
      </c>
      <c r="M13" s="50">
        <v>3</v>
      </c>
      <c r="N13" s="50">
        <v>0</v>
      </c>
      <c r="O13" s="15">
        <f t="shared" si="0"/>
        <v>8</v>
      </c>
      <c r="P13" s="15">
        <f t="shared" si="1"/>
        <v>11</v>
      </c>
      <c r="R13" s="1" t="s">
        <v>9</v>
      </c>
      <c r="S13" s="17">
        <f t="shared" ref="S13:AF13" si="5">SUM(C22:C25)</f>
        <v>4</v>
      </c>
      <c r="T13" s="17">
        <f t="shared" si="5"/>
        <v>5</v>
      </c>
      <c r="U13" s="17">
        <f t="shared" si="5"/>
        <v>4</v>
      </c>
      <c r="V13" s="17">
        <f t="shared" si="5"/>
        <v>15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14</v>
      </c>
      <c r="AC13" s="17">
        <f t="shared" si="5"/>
        <v>14</v>
      </c>
      <c r="AD13" s="17">
        <f t="shared" si="5"/>
        <v>0</v>
      </c>
      <c r="AE13" s="31">
        <f t="shared" si="5"/>
        <v>45</v>
      </c>
      <c r="AF13" s="31">
        <f t="shared" si="5"/>
        <v>59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4</v>
      </c>
      <c r="M14" s="50">
        <v>2</v>
      </c>
      <c r="N14" s="50">
        <v>0</v>
      </c>
      <c r="O14" s="15">
        <f t="shared" si="0"/>
        <v>8</v>
      </c>
      <c r="P14" s="15">
        <f t="shared" si="1"/>
        <v>10</v>
      </c>
      <c r="R14" s="1" t="s">
        <v>10</v>
      </c>
      <c r="S14" s="17">
        <f t="shared" ref="S14:AF14" si="6">SUM(C26:C29)</f>
        <v>6</v>
      </c>
      <c r="T14" s="17">
        <f t="shared" si="6"/>
        <v>11</v>
      </c>
      <c r="U14" s="17">
        <f t="shared" si="6"/>
        <v>4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2</v>
      </c>
      <c r="AB14" s="17">
        <f t="shared" si="6"/>
        <v>28</v>
      </c>
      <c r="AC14" s="17">
        <f t="shared" si="6"/>
        <v>16</v>
      </c>
      <c r="AD14" s="17">
        <f t="shared" si="6"/>
        <v>0</v>
      </c>
      <c r="AE14" s="31">
        <f t="shared" si="6"/>
        <v>64</v>
      </c>
      <c r="AF14" s="31">
        <f t="shared" si="6"/>
        <v>80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1</v>
      </c>
      <c r="L15" s="50">
        <v>3</v>
      </c>
      <c r="M15" s="50">
        <v>3</v>
      </c>
      <c r="N15" s="50">
        <v>0</v>
      </c>
      <c r="O15" s="15">
        <f t="shared" si="0"/>
        <v>6</v>
      </c>
      <c r="P15" s="15">
        <f t="shared" si="1"/>
        <v>9</v>
      </c>
      <c r="R15" s="1" t="s">
        <v>11</v>
      </c>
      <c r="S15" s="17">
        <f t="shared" ref="S15:AF15" si="7">SUM(C30:C33)</f>
        <v>9</v>
      </c>
      <c r="T15" s="17">
        <f t="shared" si="7"/>
        <v>6</v>
      </c>
      <c r="U15" s="17">
        <f t="shared" si="7"/>
        <v>3</v>
      </c>
      <c r="V15" s="17">
        <f t="shared" si="7"/>
        <v>7</v>
      </c>
      <c r="W15" s="17">
        <f t="shared" si="7"/>
        <v>1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36</v>
      </c>
      <c r="AC15" s="17">
        <f t="shared" si="7"/>
        <v>9</v>
      </c>
      <c r="AD15" s="17">
        <f t="shared" si="7"/>
        <v>0</v>
      </c>
      <c r="AE15" s="31">
        <f t="shared" si="7"/>
        <v>62</v>
      </c>
      <c r="AF15" s="31">
        <f t="shared" si="7"/>
        <v>71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4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5</v>
      </c>
      <c r="M16" s="50">
        <v>3</v>
      </c>
      <c r="N16" s="50">
        <v>0</v>
      </c>
      <c r="O16" s="15">
        <f t="shared" si="0"/>
        <v>11</v>
      </c>
      <c r="P16" s="15">
        <f t="shared" si="1"/>
        <v>14</v>
      </c>
      <c r="R16" s="1" t="s">
        <v>12</v>
      </c>
      <c r="S16" s="17">
        <f t="shared" ref="S16:AF16" si="8">SUM(C34:C37)</f>
        <v>5</v>
      </c>
      <c r="T16" s="17">
        <f t="shared" si="8"/>
        <v>2</v>
      </c>
      <c r="U16" s="17">
        <f t="shared" si="8"/>
        <v>2</v>
      </c>
      <c r="V16" s="17">
        <f t="shared" si="8"/>
        <v>7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18</v>
      </c>
      <c r="AC16" s="17">
        <f t="shared" si="8"/>
        <v>3</v>
      </c>
      <c r="AD16" s="17">
        <f t="shared" si="8"/>
        <v>0</v>
      </c>
      <c r="AE16" s="31">
        <f t="shared" si="8"/>
        <v>34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3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3</v>
      </c>
      <c r="M17" s="50">
        <v>0</v>
      </c>
      <c r="N17" s="50">
        <v>0</v>
      </c>
      <c r="O17" s="15">
        <f t="shared" si="0"/>
        <v>7</v>
      </c>
      <c r="P17" s="15">
        <f t="shared" si="1"/>
        <v>7</v>
      </c>
      <c r="R17" s="1" t="s">
        <v>13</v>
      </c>
      <c r="S17" s="17">
        <f t="shared" ref="S17:AF17" si="9">SUM(C38:C41)</f>
        <v>8</v>
      </c>
      <c r="T17" s="17">
        <f t="shared" si="9"/>
        <v>10</v>
      </c>
      <c r="U17" s="17">
        <f t="shared" si="9"/>
        <v>5</v>
      </c>
      <c r="V17" s="17">
        <f t="shared" si="9"/>
        <v>30</v>
      </c>
      <c r="W17" s="17">
        <f t="shared" si="9"/>
        <v>0</v>
      </c>
      <c r="X17" s="17">
        <f t="shared" si="9"/>
        <v>9</v>
      </c>
      <c r="Y17" s="17">
        <f t="shared" si="9"/>
        <v>4</v>
      </c>
      <c r="Z17" s="17">
        <f t="shared" si="9"/>
        <v>0</v>
      </c>
      <c r="AA17" s="17">
        <f t="shared" si="9"/>
        <v>3</v>
      </c>
      <c r="AB17" s="17">
        <f t="shared" si="9"/>
        <v>22</v>
      </c>
      <c r="AC17" s="17">
        <f t="shared" si="9"/>
        <v>19</v>
      </c>
      <c r="AD17" s="17">
        <f t="shared" si="9"/>
        <v>0</v>
      </c>
      <c r="AE17" s="31">
        <f t="shared" si="9"/>
        <v>91</v>
      </c>
      <c r="AF17" s="31">
        <f t="shared" si="9"/>
        <v>110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0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4</v>
      </c>
      <c r="M18" s="50">
        <v>3</v>
      </c>
      <c r="N18" s="50">
        <v>0</v>
      </c>
      <c r="O18" s="15">
        <f t="shared" si="0"/>
        <v>9</v>
      </c>
      <c r="P18" s="15">
        <f t="shared" si="1"/>
        <v>12</v>
      </c>
      <c r="R18" s="1" t="s">
        <v>14</v>
      </c>
      <c r="S18" s="17">
        <f t="shared" ref="S18:AF18" si="10">SUM(C42:C45)</f>
        <v>6</v>
      </c>
      <c r="T18" s="17">
        <f t="shared" si="10"/>
        <v>15</v>
      </c>
      <c r="U18" s="17">
        <f t="shared" si="10"/>
        <v>6</v>
      </c>
      <c r="V18" s="17">
        <f t="shared" si="10"/>
        <v>8</v>
      </c>
      <c r="W18" s="17">
        <f t="shared" si="10"/>
        <v>1</v>
      </c>
      <c r="X18" s="17">
        <f t="shared" si="10"/>
        <v>0</v>
      </c>
      <c r="Y18" s="17">
        <f t="shared" si="10"/>
        <v>8</v>
      </c>
      <c r="Z18" s="17">
        <f t="shared" si="10"/>
        <v>2</v>
      </c>
      <c r="AA18" s="17">
        <f t="shared" si="10"/>
        <v>2</v>
      </c>
      <c r="AB18" s="17">
        <f t="shared" si="10"/>
        <v>34</v>
      </c>
      <c r="AC18" s="17">
        <f t="shared" si="10"/>
        <v>10</v>
      </c>
      <c r="AD18" s="17">
        <f t="shared" si="10"/>
        <v>0</v>
      </c>
      <c r="AE18" s="31">
        <f t="shared" si="10"/>
        <v>82</v>
      </c>
      <c r="AF18" s="31">
        <f t="shared" si="10"/>
        <v>92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2</v>
      </c>
      <c r="M19" s="50">
        <v>1</v>
      </c>
      <c r="N19" s="50">
        <v>0</v>
      </c>
      <c r="O19" s="15">
        <f t="shared" si="0"/>
        <v>7</v>
      </c>
      <c r="P19" s="15">
        <f t="shared" si="1"/>
        <v>8</v>
      </c>
      <c r="R19" s="1" t="s">
        <v>15</v>
      </c>
      <c r="S19" s="17">
        <f t="shared" ref="S19:AF19" si="11">SUM(C46:C49)</f>
        <v>6</v>
      </c>
      <c r="T19" s="17">
        <f t="shared" si="11"/>
        <v>6</v>
      </c>
      <c r="U19" s="17">
        <f t="shared" si="11"/>
        <v>0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1</v>
      </c>
      <c r="AA19" s="17">
        <f t="shared" si="11"/>
        <v>4</v>
      </c>
      <c r="AB19" s="17">
        <f t="shared" si="11"/>
        <v>38</v>
      </c>
      <c r="AC19" s="17">
        <f t="shared" si="11"/>
        <v>8</v>
      </c>
      <c r="AD19" s="17">
        <f t="shared" si="11"/>
        <v>0</v>
      </c>
      <c r="AE19" s="31">
        <f t="shared" si="11"/>
        <v>65</v>
      </c>
      <c r="AF19" s="31">
        <f t="shared" si="11"/>
        <v>73</v>
      </c>
    </row>
    <row r="20" spans="2:32" ht="23.1" customHeight="1" x14ac:dyDescent="0.25">
      <c r="B20" s="23" t="s">
        <v>47</v>
      </c>
      <c r="C20" s="50">
        <v>1</v>
      </c>
      <c r="D20" s="50">
        <v>3</v>
      </c>
      <c r="E20" s="50">
        <v>0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7</v>
      </c>
      <c r="M20" s="50">
        <v>2</v>
      </c>
      <c r="N20" s="50">
        <v>0</v>
      </c>
      <c r="O20" s="15">
        <f t="shared" si="0"/>
        <v>15</v>
      </c>
      <c r="P20" s="15">
        <f t="shared" si="1"/>
        <v>17</v>
      </c>
      <c r="R20" s="1" t="s">
        <v>16</v>
      </c>
      <c r="S20" s="17">
        <f t="shared" ref="S20:AF20" si="12">SUM(C50:C53)</f>
        <v>10</v>
      </c>
      <c r="T20" s="17">
        <f t="shared" si="12"/>
        <v>16</v>
      </c>
      <c r="U20" s="17">
        <f t="shared" si="12"/>
        <v>6</v>
      </c>
      <c r="V20" s="17">
        <f t="shared" si="12"/>
        <v>18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7</v>
      </c>
      <c r="AB20" s="17">
        <f t="shared" si="12"/>
        <v>26</v>
      </c>
      <c r="AC20" s="17">
        <f t="shared" si="12"/>
        <v>31</v>
      </c>
      <c r="AD20" s="17">
        <f t="shared" si="12"/>
        <v>0</v>
      </c>
      <c r="AE20" s="31">
        <f t="shared" si="12"/>
        <v>90</v>
      </c>
      <c r="AF20" s="31">
        <f t="shared" si="12"/>
        <v>121</v>
      </c>
    </row>
    <row r="21" spans="2:32" ht="23.1" customHeight="1" x14ac:dyDescent="0.25">
      <c r="B21" s="23" t="s">
        <v>48</v>
      </c>
      <c r="C21" s="50">
        <v>1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3</v>
      </c>
      <c r="M21" s="50">
        <v>8</v>
      </c>
      <c r="N21" s="50">
        <v>0</v>
      </c>
      <c r="O21" s="15">
        <f t="shared" si="0"/>
        <v>6</v>
      </c>
      <c r="P21" s="15">
        <f t="shared" si="1"/>
        <v>14</v>
      </c>
      <c r="R21" s="36" t="s">
        <v>20</v>
      </c>
      <c r="S21" s="34">
        <f t="shared" ref="S21:AF21" si="13">SUM(C54:C57)</f>
        <v>9</v>
      </c>
      <c r="T21" s="17">
        <f t="shared" si="13"/>
        <v>18</v>
      </c>
      <c r="U21" s="17">
        <f t="shared" si="13"/>
        <v>21</v>
      </c>
      <c r="V21" s="17">
        <f t="shared" si="13"/>
        <v>34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13</v>
      </c>
      <c r="AA21" s="17">
        <f t="shared" si="13"/>
        <v>7</v>
      </c>
      <c r="AB21" s="17">
        <f t="shared" si="13"/>
        <v>57</v>
      </c>
      <c r="AC21" s="17">
        <f t="shared" si="13"/>
        <v>37</v>
      </c>
      <c r="AD21" s="17">
        <f t="shared" si="13"/>
        <v>0</v>
      </c>
      <c r="AE21" s="31">
        <f t="shared" si="13"/>
        <v>163</v>
      </c>
      <c r="AF21" s="31">
        <f t="shared" si="13"/>
        <v>200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0</v>
      </c>
      <c r="F22" s="50">
        <v>5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3</v>
      </c>
      <c r="N22" s="50">
        <v>0</v>
      </c>
      <c r="O22" s="15">
        <f t="shared" si="0"/>
        <v>9</v>
      </c>
      <c r="P22" s="15">
        <f t="shared" si="1"/>
        <v>12</v>
      </c>
      <c r="R22" s="38" t="s">
        <v>90</v>
      </c>
      <c r="S22" s="39">
        <f>MAX(S10:S12)</f>
        <v>5</v>
      </c>
      <c r="T22" s="39">
        <f t="shared" ref="T22:AF22" si="14">MAX(T10:T12)</f>
        <v>6</v>
      </c>
      <c r="U22" s="39">
        <f t="shared" si="14"/>
        <v>1</v>
      </c>
      <c r="V22" s="39">
        <f t="shared" si="14"/>
        <v>11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2</v>
      </c>
      <c r="AB22" s="39">
        <f t="shared" si="14"/>
        <v>24</v>
      </c>
      <c r="AC22" s="39">
        <f t="shared" si="14"/>
        <v>14</v>
      </c>
      <c r="AD22" s="39">
        <f t="shared" si="14"/>
        <v>0</v>
      </c>
      <c r="AE22" s="40">
        <f t="shared" si="14"/>
        <v>39</v>
      </c>
      <c r="AF22" s="40">
        <f t="shared" si="14"/>
        <v>51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2</v>
      </c>
      <c r="M23" s="50">
        <v>7</v>
      </c>
      <c r="N23" s="50">
        <v>0</v>
      </c>
      <c r="O23" s="15">
        <f t="shared" si="0"/>
        <v>3</v>
      </c>
      <c r="P23" s="15">
        <f t="shared" si="1"/>
        <v>10</v>
      </c>
      <c r="R23" s="38" t="s">
        <v>91</v>
      </c>
      <c r="S23" s="39">
        <f>MAX(S13:S18)</f>
        <v>9</v>
      </c>
      <c r="T23" s="39">
        <f t="shared" ref="T23:AF23" si="15">MAX(T13:T18)</f>
        <v>15</v>
      </c>
      <c r="U23" s="39">
        <f t="shared" si="15"/>
        <v>6</v>
      </c>
      <c r="V23" s="39">
        <f t="shared" si="15"/>
        <v>30</v>
      </c>
      <c r="W23" s="39">
        <f t="shared" si="15"/>
        <v>1</v>
      </c>
      <c r="X23" s="39">
        <f t="shared" si="15"/>
        <v>9</v>
      </c>
      <c r="Y23" s="39">
        <f t="shared" si="15"/>
        <v>8</v>
      </c>
      <c r="Z23" s="39">
        <f t="shared" si="15"/>
        <v>2</v>
      </c>
      <c r="AA23" s="39">
        <f t="shared" si="15"/>
        <v>3</v>
      </c>
      <c r="AB23" s="39">
        <f t="shared" si="15"/>
        <v>36</v>
      </c>
      <c r="AC23" s="39">
        <f t="shared" si="15"/>
        <v>19</v>
      </c>
      <c r="AD23" s="39">
        <f t="shared" si="15"/>
        <v>0</v>
      </c>
      <c r="AE23" s="40">
        <f t="shared" si="15"/>
        <v>91</v>
      </c>
      <c r="AF23" s="40">
        <f t="shared" si="15"/>
        <v>110</v>
      </c>
    </row>
    <row r="24" spans="2:32" ht="23.1" customHeight="1" x14ac:dyDescent="0.25">
      <c r="B24" s="23" t="s">
        <v>51</v>
      </c>
      <c r="C24" s="50">
        <v>3</v>
      </c>
      <c r="D24" s="50">
        <v>2</v>
      </c>
      <c r="E24" s="50">
        <v>4</v>
      </c>
      <c r="F24" s="50">
        <v>7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2</v>
      </c>
      <c r="N24" s="50">
        <v>0</v>
      </c>
      <c r="O24" s="15">
        <f t="shared" si="0"/>
        <v>17</v>
      </c>
      <c r="P24" s="15">
        <f t="shared" si="1"/>
        <v>19</v>
      </c>
      <c r="R24" s="38" t="s">
        <v>92</v>
      </c>
      <c r="S24" s="39">
        <f>MAX(S19:S21)</f>
        <v>10</v>
      </c>
      <c r="T24" s="39">
        <f t="shared" ref="T24:AF24" si="16">MAX(T19:T21)</f>
        <v>18</v>
      </c>
      <c r="U24" s="39">
        <f t="shared" si="16"/>
        <v>21</v>
      </c>
      <c r="V24" s="39">
        <f t="shared" si="16"/>
        <v>34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13</v>
      </c>
      <c r="AA24" s="39">
        <f t="shared" si="16"/>
        <v>7</v>
      </c>
      <c r="AB24" s="39">
        <f t="shared" si="16"/>
        <v>57</v>
      </c>
      <c r="AC24" s="39">
        <f t="shared" si="16"/>
        <v>37</v>
      </c>
      <c r="AD24" s="39">
        <f t="shared" si="16"/>
        <v>0</v>
      </c>
      <c r="AE24" s="40">
        <f t="shared" si="16"/>
        <v>163</v>
      </c>
      <c r="AF24" s="40">
        <f t="shared" si="16"/>
        <v>200</v>
      </c>
    </row>
    <row r="25" spans="2:32" ht="23.1" customHeight="1" x14ac:dyDescent="0.25">
      <c r="B25" s="23" t="s">
        <v>52</v>
      </c>
      <c r="C25" s="50">
        <v>0</v>
      </c>
      <c r="D25" s="50">
        <v>2</v>
      </c>
      <c r="E25" s="50">
        <v>0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10</v>
      </c>
      <c r="M25" s="50">
        <v>2</v>
      </c>
      <c r="N25" s="50">
        <v>0</v>
      </c>
      <c r="O25" s="15">
        <f t="shared" si="0"/>
        <v>16</v>
      </c>
      <c r="P25" s="15">
        <f t="shared" si="1"/>
        <v>18</v>
      </c>
      <c r="R25" s="37" t="s">
        <v>85</v>
      </c>
      <c r="S25" s="35">
        <f t="shared" ref="S25:AF25" si="17">SUM(S10:S12)</f>
        <v>12</v>
      </c>
      <c r="T25" s="16">
        <f t="shared" si="17"/>
        <v>11</v>
      </c>
      <c r="U25" s="16">
        <f t="shared" si="17"/>
        <v>1</v>
      </c>
      <c r="V25" s="16">
        <f t="shared" si="17"/>
        <v>21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3</v>
      </c>
      <c r="AA25" s="16">
        <f t="shared" si="17"/>
        <v>3</v>
      </c>
      <c r="AB25" s="16">
        <f t="shared" si="17"/>
        <v>55</v>
      </c>
      <c r="AC25" s="16">
        <f t="shared" si="17"/>
        <v>28</v>
      </c>
      <c r="AD25" s="16">
        <f t="shared" si="17"/>
        <v>0</v>
      </c>
      <c r="AE25" s="32">
        <f t="shared" si="17"/>
        <v>108</v>
      </c>
      <c r="AF25" s="32">
        <f t="shared" si="17"/>
        <v>136</v>
      </c>
    </row>
    <row r="26" spans="2:32" ht="23.1" customHeight="1" x14ac:dyDescent="0.25">
      <c r="B26" s="23" t="s">
        <v>53</v>
      </c>
      <c r="C26" s="50">
        <v>2</v>
      </c>
      <c r="D26" s="50">
        <v>3</v>
      </c>
      <c r="E26" s="50">
        <v>0</v>
      </c>
      <c r="F26" s="50">
        <v>6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12</v>
      </c>
      <c r="M26" s="50">
        <v>5</v>
      </c>
      <c r="N26" s="50">
        <v>0</v>
      </c>
      <c r="O26" s="15">
        <f t="shared" si="0"/>
        <v>23</v>
      </c>
      <c r="P26" s="15">
        <f t="shared" si="1"/>
        <v>28</v>
      </c>
      <c r="R26" s="28" t="s">
        <v>86</v>
      </c>
      <c r="S26" s="16">
        <f t="shared" ref="S26:AF26" si="18">SUM(S13:S18)</f>
        <v>38</v>
      </c>
      <c r="T26" s="16">
        <f t="shared" si="18"/>
        <v>49</v>
      </c>
      <c r="U26" s="16">
        <f t="shared" si="18"/>
        <v>24</v>
      </c>
      <c r="V26" s="16">
        <f t="shared" si="18"/>
        <v>80</v>
      </c>
      <c r="W26" s="16">
        <f t="shared" si="18"/>
        <v>2</v>
      </c>
      <c r="X26" s="16">
        <f t="shared" si="18"/>
        <v>9</v>
      </c>
      <c r="Y26" s="16">
        <f t="shared" si="18"/>
        <v>15</v>
      </c>
      <c r="Z26" s="16">
        <f t="shared" si="18"/>
        <v>2</v>
      </c>
      <c r="AA26" s="16">
        <f t="shared" si="18"/>
        <v>7</v>
      </c>
      <c r="AB26" s="16">
        <f t="shared" si="18"/>
        <v>152</v>
      </c>
      <c r="AC26" s="16">
        <f t="shared" si="18"/>
        <v>71</v>
      </c>
      <c r="AD26" s="16">
        <f t="shared" si="18"/>
        <v>0</v>
      </c>
      <c r="AE26" s="32">
        <f t="shared" si="18"/>
        <v>378</v>
      </c>
      <c r="AF26" s="32">
        <f t="shared" si="18"/>
        <v>449</v>
      </c>
    </row>
    <row r="27" spans="2:32" ht="23.1" customHeight="1" x14ac:dyDescent="0.25">
      <c r="B27" s="23" t="s">
        <v>54</v>
      </c>
      <c r="C27" s="50">
        <v>1</v>
      </c>
      <c r="D27" s="50">
        <v>2</v>
      </c>
      <c r="E27" s="50">
        <v>4</v>
      </c>
      <c r="F27" s="50">
        <v>4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12</v>
      </c>
      <c r="M27" s="50">
        <v>3</v>
      </c>
      <c r="N27" s="50">
        <v>0</v>
      </c>
      <c r="O27" s="15">
        <f t="shared" si="0"/>
        <v>23</v>
      </c>
      <c r="P27" s="15">
        <f t="shared" si="1"/>
        <v>26</v>
      </c>
      <c r="R27" s="29" t="s">
        <v>87</v>
      </c>
      <c r="S27" s="16">
        <f t="shared" ref="S27:AF27" si="19">SUM(S19:S21)</f>
        <v>25</v>
      </c>
      <c r="T27" s="16">
        <f t="shared" si="19"/>
        <v>40</v>
      </c>
      <c r="U27" s="16">
        <f t="shared" si="19"/>
        <v>27</v>
      </c>
      <c r="V27" s="16">
        <f t="shared" si="19"/>
        <v>62</v>
      </c>
      <c r="W27" s="16">
        <f t="shared" si="19"/>
        <v>0</v>
      </c>
      <c r="X27" s="16">
        <f t="shared" si="19"/>
        <v>0</v>
      </c>
      <c r="Y27" s="16">
        <f t="shared" si="19"/>
        <v>11</v>
      </c>
      <c r="Z27" s="16">
        <f t="shared" si="19"/>
        <v>14</v>
      </c>
      <c r="AA27" s="16">
        <f t="shared" si="19"/>
        <v>18</v>
      </c>
      <c r="AB27" s="16">
        <f t="shared" si="19"/>
        <v>121</v>
      </c>
      <c r="AC27" s="16">
        <f t="shared" si="19"/>
        <v>76</v>
      </c>
      <c r="AD27" s="16">
        <f t="shared" si="19"/>
        <v>0</v>
      </c>
      <c r="AE27" s="32">
        <f t="shared" si="19"/>
        <v>318</v>
      </c>
      <c r="AF27" s="32">
        <f t="shared" si="19"/>
        <v>394</v>
      </c>
    </row>
    <row r="28" spans="2:32" ht="23.1" customHeight="1" x14ac:dyDescent="0.25">
      <c r="B28" s="23" t="s">
        <v>55</v>
      </c>
      <c r="C28" s="50">
        <v>3</v>
      </c>
      <c r="D28" s="50">
        <v>6</v>
      </c>
      <c r="E28" s="50">
        <v>0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2</v>
      </c>
      <c r="L28" s="50">
        <v>1</v>
      </c>
      <c r="M28" s="50">
        <v>6</v>
      </c>
      <c r="N28" s="50">
        <v>0</v>
      </c>
      <c r="O28" s="15">
        <f t="shared" si="0"/>
        <v>15</v>
      </c>
      <c r="P28" s="15">
        <f t="shared" si="1"/>
        <v>21</v>
      </c>
      <c r="R28" s="5" t="s">
        <v>17</v>
      </c>
      <c r="S28" s="16">
        <f t="shared" ref="S28:AF28" si="20">SUM(S10:S21)</f>
        <v>75</v>
      </c>
      <c r="T28" s="16">
        <f t="shared" si="20"/>
        <v>100</v>
      </c>
      <c r="U28" s="16">
        <f t="shared" si="20"/>
        <v>52</v>
      </c>
      <c r="V28" s="16">
        <f t="shared" si="20"/>
        <v>163</v>
      </c>
      <c r="W28" s="16">
        <f t="shared" si="20"/>
        <v>2</v>
      </c>
      <c r="X28" s="16">
        <f t="shared" si="20"/>
        <v>9</v>
      </c>
      <c r="Y28" s="16">
        <f t="shared" si="20"/>
        <v>28</v>
      </c>
      <c r="Z28" s="16">
        <f t="shared" si="20"/>
        <v>19</v>
      </c>
      <c r="AA28" s="16">
        <f t="shared" si="20"/>
        <v>28</v>
      </c>
      <c r="AB28" s="16">
        <f t="shared" si="20"/>
        <v>328</v>
      </c>
      <c r="AC28" s="16">
        <f t="shared" si="20"/>
        <v>175</v>
      </c>
      <c r="AD28" s="16">
        <f t="shared" si="20"/>
        <v>0</v>
      </c>
      <c r="AE28" s="32">
        <f t="shared" si="20"/>
        <v>804</v>
      </c>
      <c r="AF28" s="32">
        <f t="shared" si="20"/>
        <v>979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3</v>
      </c>
      <c r="M29" s="50">
        <v>2</v>
      </c>
      <c r="N29" s="50">
        <v>0</v>
      </c>
      <c r="O29" s="15">
        <f t="shared" si="0"/>
        <v>3</v>
      </c>
      <c r="P29" s="15">
        <f t="shared" si="1"/>
        <v>5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1</v>
      </c>
      <c r="E30" s="50">
        <v>3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12</v>
      </c>
      <c r="M30" s="50">
        <v>7</v>
      </c>
      <c r="N30" s="50">
        <v>0</v>
      </c>
      <c r="O30" s="15">
        <f t="shared" si="0"/>
        <v>22</v>
      </c>
      <c r="P30" s="15">
        <f t="shared" si="1"/>
        <v>29</v>
      </c>
    </row>
    <row r="31" spans="2:32" ht="23.1" customHeight="1" x14ac:dyDescent="0.25">
      <c r="B31" s="24" t="s">
        <v>58</v>
      </c>
      <c r="C31" s="50">
        <v>2</v>
      </c>
      <c r="D31" s="50">
        <v>2</v>
      </c>
      <c r="E31" s="50">
        <v>0</v>
      </c>
      <c r="F31" s="50">
        <v>4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5</v>
      </c>
      <c r="M31" s="50">
        <v>0</v>
      </c>
      <c r="N31" s="50">
        <v>0</v>
      </c>
      <c r="O31" s="15">
        <f t="shared" si="0"/>
        <v>13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1</v>
      </c>
      <c r="D32" s="50">
        <v>3</v>
      </c>
      <c r="E32" s="50">
        <v>0</v>
      </c>
      <c r="F32" s="50">
        <v>0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14</v>
      </c>
      <c r="M32" s="50">
        <v>0</v>
      </c>
      <c r="N32" s="50">
        <v>0</v>
      </c>
      <c r="O32" s="15">
        <f t="shared" si="0"/>
        <v>19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5</v>
      </c>
      <c r="M33" s="50">
        <v>2</v>
      </c>
      <c r="N33" s="50">
        <v>0</v>
      </c>
      <c r="O33" s="15">
        <f t="shared" si="0"/>
        <v>8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7</v>
      </c>
      <c r="M34" s="50">
        <v>0</v>
      </c>
      <c r="N34" s="50">
        <v>0</v>
      </c>
      <c r="O34" s="15">
        <f t="shared" si="0"/>
        <v>12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3</v>
      </c>
      <c r="M36" s="50">
        <v>0</v>
      </c>
      <c r="N36" s="50">
        <v>0</v>
      </c>
      <c r="O36" s="15">
        <f t="shared" si="0"/>
        <v>5</v>
      </c>
      <c r="P36" s="15">
        <f t="shared" si="1"/>
        <v>5</v>
      </c>
    </row>
    <row r="37" spans="2:20" ht="23.1" customHeight="1" x14ac:dyDescent="0.25">
      <c r="B37" s="23" t="s">
        <v>64</v>
      </c>
      <c r="C37" s="50">
        <v>2</v>
      </c>
      <c r="D37" s="50">
        <v>1</v>
      </c>
      <c r="E37" s="50">
        <v>1</v>
      </c>
      <c r="F37" s="50">
        <v>5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8</v>
      </c>
      <c r="M37" s="50">
        <v>3</v>
      </c>
      <c r="N37" s="50">
        <v>0</v>
      </c>
      <c r="O37" s="15">
        <f t="shared" si="0"/>
        <v>17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1</v>
      </c>
      <c r="D38" s="50">
        <v>4</v>
      </c>
      <c r="E38" s="50">
        <v>2</v>
      </c>
      <c r="F38" s="50">
        <v>4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10</v>
      </c>
      <c r="M38" s="50">
        <v>0</v>
      </c>
      <c r="N38" s="50">
        <v>0</v>
      </c>
      <c r="O38" s="15">
        <f t="shared" si="0"/>
        <v>21</v>
      </c>
      <c r="P38" s="15">
        <f t="shared" si="1"/>
        <v>21</v>
      </c>
    </row>
    <row r="39" spans="2:20" ht="23.1" customHeight="1" x14ac:dyDescent="0.25">
      <c r="B39" s="24" t="s">
        <v>66</v>
      </c>
      <c r="C39" s="50">
        <v>3</v>
      </c>
      <c r="D39" s="50">
        <v>5</v>
      </c>
      <c r="E39" s="50">
        <v>2</v>
      </c>
      <c r="F39" s="50">
        <v>3</v>
      </c>
      <c r="G39" s="50">
        <v>0</v>
      </c>
      <c r="H39" s="50">
        <v>5</v>
      </c>
      <c r="I39" s="50">
        <v>2</v>
      </c>
      <c r="J39" s="50">
        <v>0</v>
      </c>
      <c r="K39" s="50">
        <v>0</v>
      </c>
      <c r="L39" s="50">
        <v>4</v>
      </c>
      <c r="M39" s="50">
        <v>7</v>
      </c>
      <c r="N39" s="50">
        <v>0</v>
      </c>
      <c r="O39" s="15">
        <f t="shared" si="0"/>
        <v>24</v>
      </c>
      <c r="P39" s="15">
        <f t="shared" si="1"/>
        <v>31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12</v>
      </c>
      <c r="G40" s="50">
        <v>0</v>
      </c>
      <c r="H40" s="50">
        <v>4</v>
      </c>
      <c r="I40" s="50">
        <v>0</v>
      </c>
      <c r="J40" s="50">
        <v>0</v>
      </c>
      <c r="K40" s="50">
        <v>2</v>
      </c>
      <c r="L40" s="50">
        <v>0</v>
      </c>
      <c r="M40" s="50">
        <v>3</v>
      </c>
      <c r="N40" s="50">
        <v>0</v>
      </c>
      <c r="O40" s="15">
        <f t="shared" si="0"/>
        <v>19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1</v>
      </c>
      <c r="F41" s="50">
        <v>11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v>8</v>
      </c>
      <c r="M41" s="50">
        <v>9</v>
      </c>
      <c r="N41" s="50">
        <v>0</v>
      </c>
      <c r="O41" s="15">
        <f t="shared" si="0"/>
        <v>27</v>
      </c>
      <c r="P41" s="15">
        <f t="shared" si="1"/>
        <v>36</v>
      </c>
    </row>
    <row r="42" spans="2:20" ht="23.1" customHeight="1" x14ac:dyDescent="0.25">
      <c r="B42" s="24" t="s">
        <v>69</v>
      </c>
      <c r="C42" s="50">
        <v>1</v>
      </c>
      <c r="D42" s="50">
        <v>3</v>
      </c>
      <c r="E42" s="50">
        <v>1</v>
      </c>
      <c r="F42" s="50">
        <v>4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3</v>
      </c>
      <c r="M42" s="50">
        <v>5</v>
      </c>
      <c r="N42" s="50">
        <v>0</v>
      </c>
      <c r="O42" s="15">
        <f t="shared" si="0"/>
        <v>15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4</v>
      </c>
      <c r="D43" s="50">
        <v>8</v>
      </c>
      <c r="E43" s="50">
        <v>4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8</v>
      </c>
      <c r="M43" s="50">
        <v>3</v>
      </c>
      <c r="N43" s="50">
        <v>0</v>
      </c>
      <c r="O43" s="15">
        <f t="shared" si="0"/>
        <v>26</v>
      </c>
      <c r="P43" s="15">
        <f t="shared" si="1"/>
        <v>29</v>
      </c>
    </row>
    <row r="44" spans="2:20" ht="23.1" customHeight="1" x14ac:dyDescent="0.25">
      <c r="B44" s="25" t="s">
        <v>71</v>
      </c>
      <c r="C44" s="50">
        <v>0</v>
      </c>
      <c r="D44" s="50">
        <v>3</v>
      </c>
      <c r="E44" s="50">
        <v>1</v>
      </c>
      <c r="F44" s="50">
        <v>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7</v>
      </c>
      <c r="M44" s="50">
        <v>2</v>
      </c>
      <c r="N44" s="50">
        <v>0</v>
      </c>
      <c r="O44" s="15">
        <f t="shared" si="0"/>
        <v>14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1</v>
      </c>
      <c r="D45" s="50">
        <v>1</v>
      </c>
      <c r="E45" s="50">
        <v>0</v>
      </c>
      <c r="F45" s="50">
        <v>0</v>
      </c>
      <c r="G45" s="50">
        <v>1</v>
      </c>
      <c r="H45" s="50">
        <v>0</v>
      </c>
      <c r="I45" s="50">
        <v>5</v>
      </c>
      <c r="J45" s="50">
        <v>2</v>
      </c>
      <c r="K45" s="50">
        <v>1</v>
      </c>
      <c r="L45" s="50">
        <v>16</v>
      </c>
      <c r="M45" s="50">
        <v>0</v>
      </c>
      <c r="N45" s="50">
        <v>0</v>
      </c>
      <c r="O45" s="15">
        <f t="shared" si="0"/>
        <v>27</v>
      </c>
      <c r="P45" s="15">
        <f t="shared" si="1"/>
        <v>27</v>
      </c>
    </row>
    <row r="46" spans="2:20" ht="23.1" customHeight="1" x14ac:dyDescent="0.25">
      <c r="B46" s="24" t="s">
        <v>73</v>
      </c>
      <c r="C46" s="50">
        <v>5</v>
      </c>
      <c r="D46" s="50">
        <v>4</v>
      </c>
      <c r="E46" s="50">
        <v>0</v>
      </c>
      <c r="F46" s="50">
        <v>6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13</v>
      </c>
      <c r="M46" s="50">
        <v>0</v>
      </c>
      <c r="N46" s="50">
        <v>0</v>
      </c>
      <c r="O46" s="15">
        <f t="shared" si="0"/>
        <v>29</v>
      </c>
      <c r="P46" s="15">
        <f t="shared" si="1"/>
        <v>29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2</v>
      </c>
      <c r="E47" s="50">
        <v>0</v>
      </c>
      <c r="F47" s="50">
        <v>2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6</v>
      </c>
      <c r="M47" s="50">
        <v>5</v>
      </c>
      <c r="N47" s="50">
        <v>0</v>
      </c>
      <c r="O47" s="15">
        <f t="shared" si="0"/>
        <v>12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14</v>
      </c>
      <c r="M48" s="50">
        <v>2</v>
      </c>
      <c r="N48" s="50">
        <v>0</v>
      </c>
      <c r="O48" s="15">
        <f t="shared" si="0"/>
        <v>17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5</v>
      </c>
      <c r="M49" s="50">
        <v>1</v>
      </c>
      <c r="N49" s="50">
        <v>0</v>
      </c>
      <c r="O49" s="15">
        <f t="shared" si="0"/>
        <v>7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3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2</v>
      </c>
      <c r="M50" s="50">
        <v>2</v>
      </c>
      <c r="N50" s="50">
        <v>0</v>
      </c>
      <c r="O50" s="15">
        <f t="shared" si="0"/>
        <v>7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5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16</v>
      </c>
      <c r="N51" s="50">
        <v>0</v>
      </c>
      <c r="O51" s="15">
        <f t="shared" si="0"/>
        <v>12</v>
      </c>
      <c r="P51" s="15">
        <f t="shared" si="1"/>
        <v>28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3</v>
      </c>
      <c r="F52" s="50">
        <v>4</v>
      </c>
      <c r="G52" s="50">
        <v>0</v>
      </c>
      <c r="H52" s="50">
        <v>0</v>
      </c>
      <c r="I52" s="50">
        <v>0</v>
      </c>
      <c r="J52" s="50">
        <v>0</v>
      </c>
      <c r="K52" s="50">
        <v>3</v>
      </c>
      <c r="L52" s="50">
        <v>12</v>
      </c>
      <c r="M52" s="50">
        <v>5</v>
      </c>
      <c r="N52" s="50">
        <v>0</v>
      </c>
      <c r="O52" s="15">
        <f t="shared" si="0"/>
        <v>24</v>
      </c>
      <c r="P52" s="15">
        <f t="shared" si="1"/>
        <v>29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8</v>
      </c>
      <c r="E53" s="50">
        <v>3</v>
      </c>
      <c r="F53" s="50">
        <v>10</v>
      </c>
      <c r="G53" s="50">
        <v>0</v>
      </c>
      <c r="H53" s="50">
        <v>0</v>
      </c>
      <c r="I53" s="50">
        <v>7</v>
      </c>
      <c r="J53" s="50">
        <v>0</v>
      </c>
      <c r="K53" s="50">
        <v>4</v>
      </c>
      <c r="L53" s="50">
        <v>11</v>
      </c>
      <c r="M53" s="50">
        <v>8</v>
      </c>
      <c r="N53" s="50">
        <v>0</v>
      </c>
      <c r="O53" s="15">
        <f t="shared" si="0"/>
        <v>47</v>
      </c>
      <c r="P53" s="15">
        <f t="shared" si="1"/>
        <v>55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13</v>
      </c>
      <c r="F54" s="50">
        <v>21</v>
      </c>
      <c r="G54" s="50">
        <v>0</v>
      </c>
      <c r="H54" s="50">
        <v>0</v>
      </c>
      <c r="I54" s="50">
        <v>3</v>
      </c>
      <c r="J54" s="50">
        <v>12</v>
      </c>
      <c r="K54" s="50">
        <v>2</v>
      </c>
      <c r="L54" s="50">
        <v>13</v>
      </c>
      <c r="M54" s="50">
        <v>11</v>
      </c>
      <c r="N54" s="50">
        <v>0</v>
      </c>
      <c r="O54" s="15">
        <f t="shared" si="0"/>
        <v>66</v>
      </c>
      <c r="P54" s="15">
        <f t="shared" si="1"/>
        <v>77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1</v>
      </c>
      <c r="F55" s="50">
        <v>4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5</v>
      </c>
      <c r="M55" s="50">
        <v>3</v>
      </c>
      <c r="N55" s="50">
        <v>0</v>
      </c>
      <c r="O55" s="15">
        <f t="shared" si="0"/>
        <v>14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4</v>
      </c>
      <c r="E56" s="50">
        <v>1</v>
      </c>
      <c r="F56" s="50">
        <v>9</v>
      </c>
      <c r="G56" s="50">
        <v>0</v>
      </c>
      <c r="H56" s="50">
        <v>0</v>
      </c>
      <c r="I56" s="50">
        <v>0</v>
      </c>
      <c r="J56" s="50">
        <v>0</v>
      </c>
      <c r="K56" s="50">
        <v>2</v>
      </c>
      <c r="L56" s="50">
        <v>14</v>
      </c>
      <c r="M56" s="50">
        <v>5</v>
      </c>
      <c r="N56" s="50">
        <v>0</v>
      </c>
      <c r="O56" s="15">
        <f t="shared" si="0"/>
        <v>31</v>
      </c>
      <c r="P56" s="15">
        <f t="shared" si="1"/>
        <v>36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13</v>
      </c>
      <c r="E57" s="50">
        <v>6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3</v>
      </c>
      <c r="L57" s="50">
        <v>25</v>
      </c>
      <c r="M57" s="50">
        <v>18</v>
      </c>
      <c r="N57" s="50">
        <v>0</v>
      </c>
      <c r="O57" s="15">
        <f t="shared" si="0"/>
        <v>52</v>
      </c>
      <c r="P57" s="15">
        <f t="shared" si="1"/>
        <v>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75</v>
      </c>
      <c r="D58" s="16">
        <f t="shared" si="21"/>
        <v>100</v>
      </c>
      <c r="E58" s="16">
        <f t="shared" si="21"/>
        <v>52</v>
      </c>
      <c r="F58" s="16">
        <f t="shared" si="21"/>
        <v>163</v>
      </c>
      <c r="G58" s="16">
        <f t="shared" si="21"/>
        <v>2</v>
      </c>
      <c r="H58" s="16">
        <f t="shared" si="21"/>
        <v>9</v>
      </c>
      <c r="I58" s="16">
        <f t="shared" si="21"/>
        <v>28</v>
      </c>
      <c r="J58" s="16">
        <f t="shared" si="21"/>
        <v>19</v>
      </c>
      <c r="K58" s="16">
        <f t="shared" si="21"/>
        <v>28</v>
      </c>
      <c r="L58" s="16">
        <f t="shared" si="21"/>
        <v>328</v>
      </c>
      <c r="M58" s="16">
        <f t="shared" si="21"/>
        <v>175</v>
      </c>
      <c r="N58" s="16">
        <f t="shared" si="21"/>
        <v>0</v>
      </c>
      <c r="O58" s="16">
        <f t="shared" si="21"/>
        <v>804</v>
      </c>
      <c r="P58" s="16">
        <f t="shared" si="21"/>
        <v>979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7.6608784473953015E-2</v>
      </c>
      <c r="D59" s="43">
        <f t="shared" si="22"/>
        <v>0.10214504596527069</v>
      </c>
      <c r="E59" s="43">
        <f t="shared" si="22"/>
        <v>5.3115423901940753E-2</v>
      </c>
      <c r="F59" s="43">
        <f t="shared" si="22"/>
        <v>0.16649642492339123</v>
      </c>
      <c r="G59" s="43">
        <f t="shared" si="22"/>
        <v>2.0429009193054137E-3</v>
      </c>
      <c r="H59" s="43">
        <f t="shared" si="22"/>
        <v>9.1930541368743617E-3</v>
      </c>
      <c r="I59" s="43">
        <f t="shared" si="22"/>
        <v>2.8600612870275793E-2</v>
      </c>
      <c r="J59" s="43">
        <f t="shared" si="22"/>
        <v>1.9407558733401432E-2</v>
      </c>
      <c r="K59" s="43">
        <f t="shared" si="22"/>
        <v>2.8600612870275793E-2</v>
      </c>
      <c r="L59" s="43">
        <f t="shared" si="22"/>
        <v>0.33503575076608783</v>
      </c>
      <c r="M59" s="43">
        <f t="shared" si="22"/>
        <v>0.17875383043922369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9.3283582089552244E-2</v>
      </c>
      <c r="D60" s="44">
        <f t="shared" ref="D60:N60" si="23">D58/$O$58</f>
        <v>0.12437810945273632</v>
      </c>
      <c r="E60" s="44">
        <f t="shared" si="23"/>
        <v>6.4676616915422883E-2</v>
      </c>
      <c r="F60" s="44">
        <f t="shared" si="23"/>
        <v>0.20273631840796019</v>
      </c>
      <c r="G60" s="44">
        <f t="shared" si="23"/>
        <v>2.4875621890547263E-3</v>
      </c>
      <c r="H60" s="44">
        <f t="shared" si="23"/>
        <v>1.1194029850746268E-2</v>
      </c>
      <c r="I60" s="44">
        <f t="shared" si="23"/>
        <v>3.482587064676617E-2</v>
      </c>
      <c r="J60" s="44">
        <f t="shared" si="23"/>
        <v>2.36318407960199E-2</v>
      </c>
      <c r="K60" s="44">
        <f t="shared" si="23"/>
        <v>3.482587064676617E-2</v>
      </c>
      <c r="L60" s="44">
        <f t="shared" si="23"/>
        <v>0.4079601990049751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BUSITEMA-TORORO'!C3:G3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'25.08 BUSITEMA-TORORO'!D5</f>
        <v>25.08.19</v>
      </c>
      <c r="E5" s="3"/>
      <c r="F5" s="41" t="s">
        <v>1</v>
      </c>
      <c r="G5" s="63" t="str">
        <f>'22.08 TORORO-BUSITEMA'!G5:H5</f>
        <v>STATION 98</v>
      </c>
      <c r="H5" s="64"/>
      <c r="I5" s="14"/>
      <c r="J5" s="2" t="s">
        <v>5</v>
      </c>
      <c r="K5" s="63" t="str">
        <f>'22.08 TORORO-BUSITEMA'!K5:L5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'22.08 BUSITEMA-TORORO'!D6:E6</f>
        <v>BUSITEMA</v>
      </c>
      <c r="E6" s="64"/>
      <c r="F6" s="2" t="s">
        <v>2</v>
      </c>
      <c r="G6" s="63" t="str">
        <f>'22.08 BUSITEMA-TORORO'!G6:H6</f>
        <v>TORORO</v>
      </c>
      <c r="H6" s="64"/>
      <c r="J6" s="2" t="s">
        <v>21</v>
      </c>
      <c r="K6" s="63" t="str">
        <f>'22.08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11</v>
      </c>
      <c r="M10" s="50">
        <v>3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21</v>
      </c>
      <c r="R10" s="1" t="s">
        <v>6</v>
      </c>
      <c r="S10" s="17">
        <f t="shared" ref="S10:AF10" si="2">SUM(C10:C13)</f>
        <v>5</v>
      </c>
      <c r="T10" s="17">
        <f t="shared" si="2"/>
        <v>3</v>
      </c>
      <c r="U10" s="17">
        <f t="shared" si="2"/>
        <v>2</v>
      </c>
      <c r="V10" s="17">
        <f t="shared" si="2"/>
        <v>11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9</v>
      </c>
      <c r="AB10" s="17">
        <f t="shared" si="2"/>
        <v>39</v>
      </c>
      <c r="AC10" s="17">
        <f t="shared" si="2"/>
        <v>7</v>
      </c>
      <c r="AD10" s="17">
        <f t="shared" si="2"/>
        <v>0</v>
      </c>
      <c r="AE10" s="31">
        <f t="shared" si="2"/>
        <v>74</v>
      </c>
      <c r="AF10" s="31">
        <f t="shared" si="2"/>
        <v>81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5</v>
      </c>
      <c r="G11" s="50">
        <v>0</v>
      </c>
      <c r="H11" s="50">
        <v>0</v>
      </c>
      <c r="I11" s="50">
        <v>0</v>
      </c>
      <c r="J11" s="50">
        <v>0</v>
      </c>
      <c r="K11" s="50">
        <v>9</v>
      </c>
      <c r="L11" s="50">
        <v>5</v>
      </c>
      <c r="M11" s="50">
        <v>1</v>
      </c>
      <c r="N11" s="50">
        <v>0</v>
      </c>
      <c r="O11" s="15">
        <f t="shared" si="0"/>
        <v>20</v>
      </c>
      <c r="P11" s="15">
        <f t="shared" si="1"/>
        <v>21</v>
      </c>
      <c r="R11" s="1" t="s">
        <v>7</v>
      </c>
      <c r="S11" s="17">
        <f t="shared" ref="S11:AF11" si="3">SUM(C14:C17)</f>
        <v>1</v>
      </c>
      <c r="T11" s="17">
        <f t="shared" si="3"/>
        <v>6</v>
      </c>
      <c r="U11" s="17">
        <f t="shared" si="3"/>
        <v>0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1</v>
      </c>
      <c r="AB11" s="17">
        <f t="shared" si="3"/>
        <v>31</v>
      </c>
      <c r="AC11" s="17">
        <f t="shared" si="3"/>
        <v>8</v>
      </c>
      <c r="AD11" s="17">
        <f t="shared" si="3"/>
        <v>0</v>
      </c>
      <c r="AE11" s="31">
        <f t="shared" si="3"/>
        <v>54</v>
      </c>
      <c r="AF11" s="31">
        <f t="shared" si="3"/>
        <v>62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15</v>
      </c>
      <c r="M12" s="50">
        <v>1</v>
      </c>
      <c r="N12" s="50">
        <v>0</v>
      </c>
      <c r="O12" s="15">
        <f t="shared" si="0"/>
        <v>20</v>
      </c>
      <c r="P12" s="15">
        <f t="shared" si="1"/>
        <v>21</v>
      </c>
      <c r="R12" s="1" t="s">
        <v>8</v>
      </c>
      <c r="S12" s="17">
        <f t="shared" ref="S12:AF12" si="4">SUM(C18:C21)</f>
        <v>1</v>
      </c>
      <c r="T12" s="17">
        <f t="shared" si="4"/>
        <v>12</v>
      </c>
      <c r="U12" s="17">
        <f t="shared" si="4"/>
        <v>6</v>
      </c>
      <c r="V12" s="17">
        <f t="shared" si="4"/>
        <v>15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17</v>
      </c>
      <c r="AC12" s="17">
        <f t="shared" si="4"/>
        <v>10</v>
      </c>
      <c r="AD12" s="17">
        <f t="shared" si="4"/>
        <v>0</v>
      </c>
      <c r="AE12" s="31">
        <f t="shared" si="4"/>
        <v>52</v>
      </c>
      <c r="AF12" s="31">
        <f t="shared" si="4"/>
        <v>62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1</v>
      </c>
      <c r="F13" s="50">
        <v>2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8</v>
      </c>
      <c r="M13" s="50">
        <v>2</v>
      </c>
      <c r="N13" s="50">
        <v>0</v>
      </c>
      <c r="O13" s="15">
        <f t="shared" si="0"/>
        <v>16</v>
      </c>
      <c r="P13" s="15">
        <f t="shared" si="1"/>
        <v>18</v>
      </c>
      <c r="R13" s="1" t="s">
        <v>9</v>
      </c>
      <c r="S13" s="17">
        <f t="shared" ref="S13:AF13" si="5">SUM(C22:C25)</f>
        <v>11</v>
      </c>
      <c r="T13" s="17">
        <f t="shared" si="5"/>
        <v>17</v>
      </c>
      <c r="U13" s="17">
        <f t="shared" si="5"/>
        <v>9</v>
      </c>
      <c r="V13" s="17">
        <f t="shared" si="5"/>
        <v>12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32</v>
      </c>
      <c r="AC13" s="17">
        <f t="shared" si="5"/>
        <v>15</v>
      </c>
      <c r="AD13" s="17">
        <f t="shared" si="5"/>
        <v>0</v>
      </c>
      <c r="AE13" s="31">
        <f t="shared" si="5"/>
        <v>85</v>
      </c>
      <c r="AF13" s="31">
        <f t="shared" si="5"/>
        <v>100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8</v>
      </c>
      <c r="M14" s="50">
        <v>2</v>
      </c>
      <c r="N14" s="50">
        <v>0</v>
      </c>
      <c r="O14" s="15">
        <f t="shared" si="0"/>
        <v>13</v>
      </c>
      <c r="P14" s="15">
        <f t="shared" si="1"/>
        <v>15</v>
      </c>
      <c r="R14" s="1" t="s">
        <v>10</v>
      </c>
      <c r="S14" s="17">
        <f t="shared" ref="S14:AF14" si="6">SUM(C26:C29)</f>
        <v>3</v>
      </c>
      <c r="T14" s="17">
        <f t="shared" si="6"/>
        <v>14</v>
      </c>
      <c r="U14" s="17">
        <f t="shared" si="6"/>
        <v>5</v>
      </c>
      <c r="V14" s="17">
        <f t="shared" si="6"/>
        <v>14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67</v>
      </c>
      <c r="AC14" s="17">
        <f t="shared" si="6"/>
        <v>15</v>
      </c>
      <c r="AD14" s="17">
        <f t="shared" si="6"/>
        <v>0</v>
      </c>
      <c r="AE14" s="31">
        <f t="shared" si="6"/>
        <v>107</v>
      </c>
      <c r="AF14" s="31">
        <f t="shared" si="6"/>
        <v>122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8</v>
      </c>
      <c r="M15" s="50">
        <v>3</v>
      </c>
      <c r="N15" s="50">
        <v>0</v>
      </c>
      <c r="O15" s="15">
        <f t="shared" si="0"/>
        <v>13</v>
      </c>
      <c r="P15" s="15">
        <f t="shared" si="1"/>
        <v>16</v>
      </c>
      <c r="R15" s="1" t="s">
        <v>11</v>
      </c>
      <c r="S15" s="17">
        <f t="shared" ref="S15:AF15" si="7">SUM(C30:C33)</f>
        <v>12</v>
      </c>
      <c r="T15" s="17">
        <f t="shared" si="7"/>
        <v>7</v>
      </c>
      <c r="U15" s="17">
        <f t="shared" si="7"/>
        <v>7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2</v>
      </c>
      <c r="AA15" s="17">
        <f t="shared" si="7"/>
        <v>2</v>
      </c>
      <c r="AB15" s="17">
        <f t="shared" si="7"/>
        <v>54</v>
      </c>
      <c r="AC15" s="17">
        <f t="shared" si="7"/>
        <v>15</v>
      </c>
      <c r="AD15" s="17">
        <f t="shared" si="7"/>
        <v>0</v>
      </c>
      <c r="AE15" s="31">
        <f t="shared" si="7"/>
        <v>106</v>
      </c>
      <c r="AF15" s="31">
        <f t="shared" si="7"/>
        <v>121</v>
      </c>
    </row>
    <row r="16" spans="2:32" ht="23.1" customHeight="1" x14ac:dyDescent="0.25">
      <c r="B16" s="23" t="s">
        <v>43</v>
      </c>
      <c r="C16" s="50">
        <v>0</v>
      </c>
      <c r="D16" s="50">
        <v>2</v>
      </c>
      <c r="E16" s="50">
        <v>0</v>
      </c>
      <c r="F16" s="50">
        <v>4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4</v>
      </c>
      <c r="M16" s="50">
        <v>2</v>
      </c>
      <c r="N16" s="50">
        <v>0</v>
      </c>
      <c r="O16" s="15">
        <f t="shared" si="0"/>
        <v>10</v>
      </c>
      <c r="P16" s="15">
        <f t="shared" si="1"/>
        <v>12</v>
      </c>
      <c r="R16" s="1" t="s">
        <v>12</v>
      </c>
      <c r="S16" s="17">
        <f t="shared" ref="S16:AF16" si="8">SUM(C34:C37)</f>
        <v>11</v>
      </c>
      <c r="T16" s="17">
        <f t="shared" si="8"/>
        <v>7</v>
      </c>
      <c r="U16" s="17">
        <f t="shared" si="8"/>
        <v>0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5</v>
      </c>
      <c r="AA16" s="17">
        <f t="shared" si="8"/>
        <v>2</v>
      </c>
      <c r="AB16" s="17">
        <f t="shared" si="8"/>
        <v>36</v>
      </c>
      <c r="AC16" s="17">
        <f t="shared" si="8"/>
        <v>9</v>
      </c>
      <c r="AD16" s="17">
        <f t="shared" si="8"/>
        <v>0</v>
      </c>
      <c r="AE16" s="31">
        <f t="shared" si="8"/>
        <v>75</v>
      </c>
      <c r="AF16" s="31">
        <f t="shared" si="8"/>
        <v>84</v>
      </c>
    </row>
    <row r="17" spans="2:32" ht="23.1" customHeight="1" x14ac:dyDescent="0.25">
      <c r="B17" s="23" t="s">
        <v>44</v>
      </c>
      <c r="C17" s="50">
        <v>0</v>
      </c>
      <c r="D17" s="50">
        <v>3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11</v>
      </c>
      <c r="M17" s="50">
        <v>1</v>
      </c>
      <c r="N17" s="50">
        <v>0</v>
      </c>
      <c r="O17" s="15">
        <f t="shared" si="0"/>
        <v>18</v>
      </c>
      <c r="P17" s="15">
        <f t="shared" si="1"/>
        <v>19</v>
      </c>
      <c r="R17" s="1" t="s">
        <v>13</v>
      </c>
      <c r="S17" s="17">
        <f t="shared" ref="S17:AF17" si="9">SUM(C38:C41)</f>
        <v>5</v>
      </c>
      <c r="T17" s="17">
        <f t="shared" si="9"/>
        <v>6</v>
      </c>
      <c r="U17" s="17">
        <f t="shared" si="9"/>
        <v>0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33</v>
      </c>
      <c r="AC17" s="17">
        <f t="shared" si="9"/>
        <v>13</v>
      </c>
      <c r="AD17" s="17">
        <f t="shared" si="9"/>
        <v>0</v>
      </c>
      <c r="AE17" s="31">
        <f t="shared" si="9"/>
        <v>60</v>
      </c>
      <c r="AF17" s="31">
        <f t="shared" si="9"/>
        <v>73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0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2</v>
      </c>
      <c r="M18" s="50">
        <v>0</v>
      </c>
      <c r="N18" s="50">
        <v>0</v>
      </c>
      <c r="O18" s="15">
        <f t="shared" si="0"/>
        <v>9</v>
      </c>
      <c r="P18" s="15">
        <f t="shared" si="1"/>
        <v>9</v>
      </c>
      <c r="R18" s="1" t="s">
        <v>14</v>
      </c>
      <c r="S18" s="17">
        <f t="shared" ref="S18:AF18" si="10">SUM(C42:C45)</f>
        <v>20</v>
      </c>
      <c r="T18" s="17">
        <f t="shared" si="10"/>
        <v>16</v>
      </c>
      <c r="U18" s="17">
        <f t="shared" si="10"/>
        <v>1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8</v>
      </c>
      <c r="AA18" s="17">
        <f t="shared" si="10"/>
        <v>1</v>
      </c>
      <c r="AB18" s="17">
        <f t="shared" si="10"/>
        <v>45</v>
      </c>
      <c r="AC18" s="17">
        <f t="shared" si="10"/>
        <v>14</v>
      </c>
      <c r="AD18" s="17">
        <f t="shared" si="10"/>
        <v>0</v>
      </c>
      <c r="AE18" s="31">
        <f t="shared" si="10"/>
        <v>104</v>
      </c>
      <c r="AF18" s="31">
        <f t="shared" si="10"/>
        <v>118</v>
      </c>
    </row>
    <row r="19" spans="2:32" ht="23.1" customHeight="1" x14ac:dyDescent="0.25">
      <c r="B19" s="23" t="s">
        <v>46</v>
      </c>
      <c r="C19" s="50">
        <v>0</v>
      </c>
      <c r="D19" s="50">
        <v>5</v>
      </c>
      <c r="E19" s="50">
        <v>3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11</v>
      </c>
      <c r="M19" s="50">
        <v>6</v>
      </c>
      <c r="N19" s="50">
        <v>0</v>
      </c>
      <c r="O19" s="15">
        <f t="shared" si="0"/>
        <v>20</v>
      </c>
      <c r="P19" s="15">
        <f t="shared" si="1"/>
        <v>26</v>
      </c>
      <c r="R19" s="1" t="s">
        <v>15</v>
      </c>
      <c r="S19" s="17">
        <f t="shared" ref="S19:AF19" si="11">SUM(C46:C49)</f>
        <v>7</v>
      </c>
      <c r="T19" s="17">
        <f t="shared" si="11"/>
        <v>18</v>
      </c>
      <c r="U19" s="17">
        <f t="shared" si="11"/>
        <v>5</v>
      </c>
      <c r="V19" s="17">
        <f t="shared" si="11"/>
        <v>15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7</v>
      </c>
      <c r="AA19" s="17">
        <f t="shared" si="11"/>
        <v>1</v>
      </c>
      <c r="AB19" s="17">
        <f t="shared" si="11"/>
        <v>37</v>
      </c>
      <c r="AC19" s="17">
        <f t="shared" si="11"/>
        <v>15</v>
      </c>
      <c r="AD19" s="17">
        <f t="shared" si="11"/>
        <v>0</v>
      </c>
      <c r="AE19" s="31">
        <f t="shared" si="11"/>
        <v>93</v>
      </c>
      <c r="AF19" s="31">
        <f t="shared" si="11"/>
        <v>108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3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1</v>
      </c>
      <c r="M20" s="50">
        <v>2</v>
      </c>
      <c r="N20" s="50">
        <v>0</v>
      </c>
      <c r="O20" s="15">
        <f t="shared" si="0"/>
        <v>7</v>
      </c>
      <c r="P20" s="15">
        <f t="shared" si="1"/>
        <v>9</v>
      </c>
      <c r="R20" s="1" t="s">
        <v>16</v>
      </c>
      <c r="S20" s="17">
        <f t="shared" ref="S20:AF20" si="12">SUM(C50:C53)</f>
        <v>9</v>
      </c>
      <c r="T20" s="17">
        <f t="shared" si="12"/>
        <v>2</v>
      </c>
      <c r="U20" s="17">
        <f t="shared" si="12"/>
        <v>4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6</v>
      </c>
      <c r="AA20" s="17">
        <f t="shared" si="12"/>
        <v>3</v>
      </c>
      <c r="AB20" s="17">
        <f t="shared" si="12"/>
        <v>35</v>
      </c>
      <c r="AC20" s="17">
        <f t="shared" si="12"/>
        <v>20</v>
      </c>
      <c r="AD20" s="17">
        <f t="shared" si="12"/>
        <v>0</v>
      </c>
      <c r="AE20" s="31">
        <f t="shared" si="12"/>
        <v>76</v>
      </c>
      <c r="AF20" s="31">
        <f t="shared" si="12"/>
        <v>96</v>
      </c>
    </row>
    <row r="21" spans="2:32" ht="23.1" customHeight="1" x14ac:dyDescent="0.25">
      <c r="B21" s="23" t="s">
        <v>48</v>
      </c>
      <c r="C21" s="50">
        <v>0</v>
      </c>
      <c r="D21" s="50">
        <v>4</v>
      </c>
      <c r="E21" s="50">
        <v>0</v>
      </c>
      <c r="F21" s="50">
        <v>8</v>
      </c>
      <c r="G21" s="50">
        <v>0</v>
      </c>
      <c r="H21" s="50">
        <v>1</v>
      </c>
      <c r="I21" s="50">
        <v>0</v>
      </c>
      <c r="J21" s="50">
        <v>0</v>
      </c>
      <c r="K21" s="50">
        <v>0</v>
      </c>
      <c r="L21" s="50">
        <v>3</v>
      </c>
      <c r="M21" s="50">
        <v>2</v>
      </c>
      <c r="N21" s="50">
        <v>0</v>
      </c>
      <c r="O21" s="15">
        <f t="shared" si="0"/>
        <v>16</v>
      </c>
      <c r="P21" s="15">
        <f t="shared" si="1"/>
        <v>18</v>
      </c>
      <c r="R21" s="36" t="s">
        <v>20</v>
      </c>
      <c r="S21" s="34">
        <f t="shared" ref="S21:AF21" si="13">SUM(C54:C57)</f>
        <v>17</v>
      </c>
      <c r="T21" s="17">
        <f t="shared" si="13"/>
        <v>9</v>
      </c>
      <c r="U21" s="17">
        <f t="shared" si="13"/>
        <v>4</v>
      </c>
      <c r="V21" s="17">
        <f t="shared" si="13"/>
        <v>22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6</v>
      </c>
      <c r="AA21" s="17">
        <f t="shared" si="13"/>
        <v>6</v>
      </c>
      <c r="AB21" s="17">
        <f t="shared" si="13"/>
        <v>46</v>
      </c>
      <c r="AC21" s="17">
        <f t="shared" si="13"/>
        <v>16</v>
      </c>
      <c r="AD21" s="17">
        <f t="shared" si="13"/>
        <v>0</v>
      </c>
      <c r="AE21" s="31">
        <f t="shared" si="13"/>
        <v>115</v>
      </c>
      <c r="AF21" s="31">
        <f t="shared" si="13"/>
        <v>131</v>
      </c>
    </row>
    <row r="22" spans="2:32" ht="23.1" customHeight="1" x14ac:dyDescent="0.25">
      <c r="B22" s="23" t="s">
        <v>49</v>
      </c>
      <c r="C22" s="50">
        <v>4</v>
      </c>
      <c r="D22" s="50">
        <v>6</v>
      </c>
      <c r="E22" s="50">
        <v>3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7</v>
      </c>
      <c r="M22" s="50">
        <v>3</v>
      </c>
      <c r="N22" s="50">
        <v>0</v>
      </c>
      <c r="O22" s="15">
        <f t="shared" si="0"/>
        <v>21</v>
      </c>
      <c r="P22" s="15">
        <f t="shared" si="1"/>
        <v>24</v>
      </c>
      <c r="R22" s="38" t="s">
        <v>90</v>
      </c>
      <c r="S22" s="39">
        <f>MAX(S10:S12)</f>
        <v>5</v>
      </c>
      <c r="T22" s="39">
        <f t="shared" ref="T22:AF22" si="14">MAX(T10:T12)</f>
        <v>12</v>
      </c>
      <c r="U22" s="39">
        <f t="shared" si="14"/>
        <v>6</v>
      </c>
      <c r="V22" s="39">
        <f t="shared" si="14"/>
        <v>15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3</v>
      </c>
      <c r="AA22" s="39">
        <f t="shared" si="14"/>
        <v>9</v>
      </c>
      <c r="AB22" s="39">
        <f t="shared" si="14"/>
        <v>39</v>
      </c>
      <c r="AC22" s="39">
        <f t="shared" si="14"/>
        <v>10</v>
      </c>
      <c r="AD22" s="39">
        <f t="shared" si="14"/>
        <v>0</v>
      </c>
      <c r="AE22" s="40">
        <f t="shared" si="14"/>
        <v>74</v>
      </c>
      <c r="AF22" s="40">
        <f t="shared" si="14"/>
        <v>81</v>
      </c>
    </row>
    <row r="23" spans="2:32" ht="23.1" customHeight="1" x14ac:dyDescent="0.25">
      <c r="B23" s="23" t="s">
        <v>50</v>
      </c>
      <c r="C23" s="50">
        <v>2</v>
      </c>
      <c r="D23" s="50">
        <v>3</v>
      </c>
      <c r="E23" s="50">
        <v>2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11</v>
      </c>
      <c r="M23" s="50">
        <v>5</v>
      </c>
      <c r="N23" s="50">
        <v>0</v>
      </c>
      <c r="O23" s="15">
        <f t="shared" si="0"/>
        <v>23</v>
      </c>
      <c r="P23" s="15">
        <f t="shared" si="1"/>
        <v>28</v>
      </c>
      <c r="R23" s="38" t="s">
        <v>91</v>
      </c>
      <c r="S23" s="39">
        <f>MAX(S13:S18)</f>
        <v>20</v>
      </c>
      <c r="T23" s="39">
        <f t="shared" ref="T23:AF23" si="15">MAX(T13:T18)</f>
        <v>17</v>
      </c>
      <c r="U23" s="39">
        <f t="shared" si="15"/>
        <v>9</v>
      </c>
      <c r="V23" s="39">
        <f t="shared" si="15"/>
        <v>14</v>
      </c>
      <c r="W23" s="39">
        <f t="shared" si="15"/>
        <v>0</v>
      </c>
      <c r="X23" s="39">
        <f t="shared" si="15"/>
        <v>0</v>
      </c>
      <c r="Y23" s="39">
        <f t="shared" si="15"/>
        <v>9</v>
      </c>
      <c r="Z23" s="39">
        <f t="shared" si="15"/>
        <v>8</v>
      </c>
      <c r="AA23" s="39">
        <f t="shared" si="15"/>
        <v>2</v>
      </c>
      <c r="AB23" s="39">
        <f t="shared" si="15"/>
        <v>67</v>
      </c>
      <c r="AC23" s="39">
        <f t="shared" si="15"/>
        <v>15</v>
      </c>
      <c r="AD23" s="39">
        <f t="shared" si="15"/>
        <v>0</v>
      </c>
      <c r="AE23" s="40">
        <f t="shared" si="15"/>
        <v>107</v>
      </c>
      <c r="AF23" s="40">
        <f t="shared" si="15"/>
        <v>122</v>
      </c>
    </row>
    <row r="24" spans="2:32" ht="23.1" customHeight="1" x14ac:dyDescent="0.25">
      <c r="B24" s="23" t="s">
        <v>51</v>
      </c>
      <c r="C24" s="50">
        <v>2</v>
      </c>
      <c r="D24" s="50">
        <v>3</v>
      </c>
      <c r="E24" s="50">
        <v>0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5</v>
      </c>
      <c r="M24" s="50">
        <v>6</v>
      </c>
      <c r="N24" s="50">
        <v>0</v>
      </c>
      <c r="O24" s="15">
        <f t="shared" si="0"/>
        <v>13</v>
      </c>
      <c r="P24" s="15">
        <f t="shared" si="1"/>
        <v>19</v>
      </c>
      <c r="R24" s="38" t="s">
        <v>92</v>
      </c>
      <c r="S24" s="39">
        <f>MAX(S19:S21)</f>
        <v>17</v>
      </c>
      <c r="T24" s="39">
        <f t="shared" ref="T24:AF24" si="16">MAX(T19:T21)</f>
        <v>18</v>
      </c>
      <c r="U24" s="39">
        <f t="shared" si="16"/>
        <v>5</v>
      </c>
      <c r="V24" s="39">
        <f t="shared" si="16"/>
        <v>22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7</v>
      </c>
      <c r="AA24" s="39">
        <f t="shared" si="16"/>
        <v>6</v>
      </c>
      <c r="AB24" s="39">
        <f t="shared" si="16"/>
        <v>46</v>
      </c>
      <c r="AC24" s="39">
        <f t="shared" si="16"/>
        <v>20</v>
      </c>
      <c r="AD24" s="39">
        <f t="shared" si="16"/>
        <v>0</v>
      </c>
      <c r="AE24" s="40">
        <f t="shared" si="16"/>
        <v>115</v>
      </c>
      <c r="AF24" s="40">
        <f t="shared" si="16"/>
        <v>131</v>
      </c>
    </row>
    <row r="25" spans="2:32" ht="23.1" customHeight="1" x14ac:dyDescent="0.25">
      <c r="B25" s="23" t="s">
        <v>52</v>
      </c>
      <c r="C25" s="50">
        <v>3</v>
      </c>
      <c r="D25" s="50">
        <v>5</v>
      </c>
      <c r="E25" s="50">
        <v>4</v>
      </c>
      <c r="F25" s="50">
        <v>7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9</v>
      </c>
      <c r="M25" s="50">
        <v>1</v>
      </c>
      <c r="N25" s="50">
        <v>0</v>
      </c>
      <c r="O25" s="15">
        <f t="shared" si="0"/>
        <v>28</v>
      </c>
      <c r="P25" s="15">
        <f t="shared" si="1"/>
        <v>29</v>
      </c>
      <c r="R25" s="37" t="s">
        <v>85</v>
      </c>
      <c r="S25" s="35">
        <f t="shared" ref="S25:AF25" si="17">SUM(S10:S12)</f>
        <v>7</v>
      </c>
      <c r="T25" s="16">
        <f t="shared" si="17"/>
        <v>21</v>
      </c>
      <c r="U25" s="16">
        <f t="shared" si="17"/>
        <v>8</v>
      </c>
      <c r="V25" s="16">
        <f t="shared" si="17"/>
        <v>38</v>
      </c>
      <c r="W25" s="16">
        <f t="shared" si="17"/>
        <v>0</v>
      </c>
      <c r="X25" s="16">
        <f t="shared" si="17"/>
        <v>1</v>
      </c>
      <c r="Y25" s="16">
        <f t="shared" si="17"/>
        <v>4</v>
      </c>
      <c r="Z25" s="16">
        <f t="shared" si="17"/>
        <v>4</v>
      </c>
      <c r="AA25" s="16">
        <f t="shared" si="17"/>
        <v>10</v>
      </c>
      <c r="AB25" s="16">
        <f t="shared" si="17"/>
        <v>87</v>
      </c>
      <c r="AC25" s="16">
        <f t="shared" si="17"/>
        <v>25</v>
      </c>
      <c r="AD25" s="16">
        <f t="shared" si="17"/>
        <v>0</v>
      </c>
      <c r="AE25" s="32">
        <f t="shared" si="17"/>
        <v>180</v>
      </c>
      <c r="AF25" s="32">
        <f t="shared" si="17"/>
        <v>205</v>
      </c>
    </row>
    <row r="26" spans="2:32" ht="23.1" customHeight="1" x14ac:dyDescent="0.25">
      <c r="B26" s="23" t="s">
        <v>53</v>
      </c>
      <c r="C26" s="50">
        <v>0</v>
      </c>
      <c r="D26" s="50">
        <v>4</v>
      </c>
      <c r="E26" s="50">
        <v>0</v>
      </c>
      <c r="F26" s="50">
        <v>6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34</v>
      </c>
      <c r="M26" s="50">
        <v>2</v>
      </c>
      <c r="N26" s="50">
        <v>0</v>
      </c>
      <c r="O26" s="15">
        <f t="shared" si="0"/>
        <v>44</v>
      </c>
      <c r="P26" s="15">
        <f t="shared" si="1"/>
        <v>46</v>
      </c>
      <c r="R26" s="28" t="s">
        <v>86</v>
      </c>
      <c r="S26" s="16">
        <f t="shared" ref="S26:AF26" si="18">SUM(S13:S18)</f>
        <v>62</v>
      </c>
      <c r="T26" s="16">
        <f t="shared" si="18"/>
        <v>67</v>
      </c>
      <c r="U26" s="16">
        <f t="shared" si="18"/>
        <v>22</v>
      </c>
      <c r="V26" s="16">
        <f t="shared" si="18"/>
        <v>76</v>
      </c>
      <c r="W26" s="16">
        <f t="shared" si="18"/>
        <v>0</v>
      </c>
      <c r="X26" s="16">
        <f t="shared" si="18"/>
        <v>0</v>
      </c>
      <c r="Y26" s="16">
        <f t="shared" si="18"/>
        <v>21</v>
      </c>
      <c r="Z26" s="16">
        <f t="shared" si="18"/>
        <v>16</v>
      </c>
      <c r="AA26" s="16">
        <f t="shared" si="18"/>
        <v>6</v>
      </c>
      <c r="AB26" s="16">
        <f t="shared" si="18"/>
        <v>267</v>
      </c>
      <c r="AC26" s="16">
        <f t="shared" si="18"/>
        <v>81</v>
      </c>
      <c r="AD26" s="16">
        <f t="shared" si="18"/>
        <v>0</v>
      </c>
      <c r="AE26" s="32">
        <f t="shared" si="18"/>
        <v>537</v>
      </c>
      <c r="AF26" s="32">
        <f t="shared" si="18"/>
        <v>618</v>
      </c>
    </row>
    <row r="27" spans="2:32" ht="23.1" customHeight="1" x14ac:dyDescent="0.25">
      <c r="B27" s="23" t="s">
        <v>54</v>
      </c>
      <c r="C27" s="50">
        <v>1</v>
      </c>
      <c r="D27" s="50">
        <v>2</v>
      </c>
      <c r="E27" s="50">
        <v>0</v>
      </c>
      <c r="F27" s="50">
        <v>4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8</v>
      </c>
      <c r="M27" s="50">
        <v>4</v>
      </c>
      <c r="N27" s="50">
        <v>0</v>
      </c>
      <c r="O27" s="15">
        <f t="shared" si="0"/>
        <v>15</v>
      </c>
      <c r="P27" s="15">
        <f t="shared" si="1"/>
        <v>19</v>
      </c>
      <c r="R27" s="29" t="s">
        <v>87</v>
      </c>
      <c r="S27" s="16">
        <f t="shared" ref="S27:AF27" si="19">SUM(S19:S21)</f>
        <v>33</v>
      </c>
      <c r="T27" s="16">
        <f t="shared" si="19"/>
        <v>29</v>
      </c>
      <c r="U27" s="16">
        <f t="shared" si="19"/>
        <v>13</v>
      </c>
      <c r="V27" s="16">
        <f t="shared" si="19"/>
        <v>51</v>
      </c>
      <c r="W27" s="16">
        <f t="shared" si="19"/>
        <v>1</v>
      </c>
      <c r="X27" s="16">
        <f t="shared" si="19"/>
        <v>0</v>
      </c>
      <c r="Y27" s="16">
        <f t="shared" si="19"/>
        <v>10</v>
      </c>
      <c r="Z27" s="16">
        <f t="shared" si="19"/>
        <v>19</v>
      </c>
      <c r="AA27" s="16">
        <f t="shared" si="19"/>
        <v>10</v>
      </c>
      <c r="AB27" s="16">
        <f t="shared" si="19"/>
        <v>118</v>
      </c>
      <c r="AC27" s="16">
        <f t="shared" si="19"/>
        <v>51</v>
      </c>
      <c r="AD27" s="16">
        <f t="shared" si="19"/>
        <v>0</v>
      </c>
      <c r="AE27" s="32">
        <f t="shared" si="19"/>
        <v>284</v>
      </c>
      <c r="AF27" s="32">
        <f t="shared" si="19"/>
        <v>335</v>
      </c>
    </row>
    <row r="28" spans="2:32" ht="23.1" customHeight="1" x14ac:dyDescent="0.25">
      <c r="B28" s="23" t="s">
        <v>55</v>
      </c>
      <c r="C28" s="50">
        <v>0</v>
      </c>
      <c r="D28" s="50">
        <v>5</v>
      </c>
      <c r="E28" s="50">
        <v>3</v>
      </c>
      <c r="F28" s="50">
        <v>4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17</v>
      </c>
      <c r="M28" s="50">
        <v>8</v>
      </c>
      <c r="N28" s="50">
        <v>0</v>
      </c>
      <c r="O28" s="15">
        <f t="shared" si="0"/>
        <v>31</v>
      </c>
      <c r="P28" s="15">
        <f t="shared" si="1"/>
        <v>39</v>
      </c>
      <c r="R28" s="5" t="s">
        <v>17</v>
      </c>
      <c r="S28" s="16">
        <f t="shared" ref="S28:AF28" si="20">SUM(S10:S21)</f>
        <v>102</v>
      </c>
      <c r="T28" s="16">
        <f t="shared" si="20"/>
        <v>117</v>
      </c>
      <c r="U28" s="16">
        <f t="shared" si="20"/>
        <v>43</v>
      </c>
      <c r="V28" s="16">
        <f t="shared" si="20"/>
        <v>165</v>
      </c>
      <c r="W28" s="16">
        <f t="shared" si="20"/>
        <v>1</v>
      </c>
      <c r="X28" s="16">
        <f t="shared" si="20"/>
        <v>1</v>
      </c>
      <c r="Y28" s="16">
        <f t="shared" si="20"/>
        <v>35</v>
      </c>
      <c r="Z28" s="16">
        <f t="shared" si="20"/>
        <v>39</v>
      </c>
      <c r="AA28" s="16">
        <f t="shared" si="20"/>
        <v>26</v>
      </c>
      <c r="AB28" s="16">
        <f t="shared" si="20"/>
        <v>472</v>
      </c>
      <c r="AC28" s="16">
        <f t="shared" si="20"/>
        <v>157</v>
      </c>
      <c r="AD28" s="16">
        <f t="shared" si="20"/>
        <v>0</v>
      </c>
      <c r="AE28" s="32">
        <f t="shared" si="20"/>
        <v>1001</v>
      </c>
      <c r="AF28" s="32">
        <f t="shared" si="20"/>
        <v>1158</v>
      </c>
    </row>
    <row r="29" spans="2:32" ht="23.1" customHeight="1" x14ac:dyDescent="0.25">
      <c r="B29" s="23" t="s">
        <v>56</v>
      </c>
      <c r="C29" s="50">
        <v>2</v>
      </c>
      <c r="D29" s="50">
        <v>3</v>
      </c>
      <c r="E29" s="50">
        <v>2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8</v>
      </c>
      <c r="M29" s="50">
        <v>1</v>
      </c>
      <c r="N29" s="50">
        <v>0</v>
      </c>
      <c r="O29" s="15">
        <f t="shared" si="0"/>
        <v>17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4</v>
      </c>
      <c r="F30" s="50">
        <v>0</v>
      </c>
      <c r="G30" s="50">
        <v>0</v>
      </c>
      <c r="H30" s="50">
        <v>0</v>
      </c>
      <c r="I30" s="50">
        <v>7</v>
      </c>
      <c r="J30" s="50">
        <v>0</v>
      </c>
      <c r="K30" s="50">
        <v>0</v>
      </c>
      <c r="L30" s="50">
        <v>16</v>
      </c>
      <c r="M30" s="50">
        <v>3</v>
      </c>
      <c r="N30" s="50">
        <v>0</v>
      </c>
      <c r="O30" s="15">
        <f t="shared" si="0"/>
        <v>30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5</v>
      </c>
      <c r="D31" s="50">
        <v>2</v>
      </c>
      <c r="E31" s="50">
        <v>1</v>
      </c>
      <c r="F31" s="50">
        <v>3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10</v>
      </c>
      <c r="M31" s="50">
        <v>4</v>
      </c>
      <c r="N31" s="50">
        <v>0</v>
      </c>
      <c r="O31" s="15">
        <f t="shared" si="0"/>
        <v>22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4</v>
      </c>
      <c r="D32" s="50">
        <v>2</v>
      </c>
      <c r="E32" s="50">
        <v>2</v>
      </c>
      <c r="F32" s="50">
        <v>4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18</v>
      </c>
      <c r="M32" s="50">
        <v>5</v>
      </c>
      <c r="N32" s="50">
        <v>0</v>
      </c>
      <c r="O32" s="15">
        <f t="shared" si="0"/>
        <v>31</v>
      </c>
      <c r="P32" s="15">
        <f t="shared" si="1"/>
        <v>36</v>
      </c>
    </row>
    <row r="33" spans="2:20" ht="23.1" customHeight="1" x14ac:dyDescent="0.25">
      <c r="B33" s="23" t="s">
        <v>60</v>
      </c>
      <c r="C33" s="50">
        <v>0</v>
      </c>
      <c r="D33" s="50">
        <v>3</v>
      </c>
      <c r="E33" s="50">
        <v>0</v>
      </c>
      <c r="F33" s="50">
        <v>6</v>
      </c>
      <c r="G33" s="50">
        <v>0</v>
      </c>
      <c r="H33" s="50">
        <v>0</v>
      </c>
      <c r="I33" s="50">
        <v>2</v>
      </c>
      <c r="J33" s="50">
        <v>1</v>
      </c>
      <c r="K33" s="50">
        <v>1</v>
      </c>
      <c r="L33" s="50">
        <v>10</v>
      </c>
      <c r="M33" s="50">
        <v>3</v>
      </c>
      <c r="N33" s="50">
        <v>0</v>
      </c>
      <c r="O33" s="15">
        <f t="shared" si="0"/>
        <v>23</v>
      </c>
      <c r="P33" s="15">
        <f t="shared" si="1"/>
        <v>26</v>
      </c>
    </row>
    <row r="34" spans="2:20" ht="23.1" customHeight="1" x14ac:dyDescent="0.25">
      <c r="B34" s="24" t="s">
        <v>61</v>
      </c>
      <c r="C34" s="50">
        <v>6</v>
      </c>
      <c r="D34" s="50">
        <v>2</v>
      </c>
      <c r="E34" s="50">
        <v>0</v>
      </c>
      <c r="F34" s="50">
        <v>3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12</v>
      </c>
      <c r="M34" s="50">
        <v>3</v>
      </c>
      <c r="N34" s="50">
        <v>0</v>
      </c>
      <c r="O34" s="15">
        <f t="shared" si="0"/>
        <v>26</v>
      </c>
      <c r="P34" s="15">
        <f t="shared" si="1"/>
        <v>29</v>
      </c>
    </row>
    <row r="35" spans="2:20" ht="23.1" customHeight="1" x14ac:dyDescent="0.25">
      <c r="B35" s="24" t="s">
        <v>62</v>
      </c>
      <c r="C35" s="50">
        <v>0</v>
      </c>
      <c r="D35" s="50">
        <v>2</v>
      </c>
      <c r="E35" s="50">
        <v>0</v>
      </c>
      <c r="F35" s="50">
        <v>3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9</v>
      </c>
      <c r="M35" s="50">
        <v>1</v>
      </c>
      <c r="N35" s="50">
        <v>0</v>
      </c>
      <c r="O35" s="15">
        <f t="shared" si="0"/>
        <v>17</v>
      </c>
      <c r="P35" s="15">
        <f t="shared" si="1"/>
        <v>18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9</v>
      </c>
      <c r="M36" s="50">
        <v>2</v>
      </c>
      <c r="N36" s="50">
        <v>0</v>
      </c>
      <c r="O36" s="15">
        <f t="shared" si="0"/>
        <v>13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3</v>
      </c>
      <c r="D37" s="50">
        <v>3</v>
      </c>
      <c r="E37" s="50">
        <v>0</v>
      </c>
      <c r="F37" s="50">
        <v>3</v>
      </c>
      <c r="G37" s="50">
        <v>0</v>
      </c>
      <c r="H37" s="50">
        <v>0</v>
      </c>
      <c r="I37" s="50">
        <v>1</v>
      </c>
      <c r="J37" s="50">
        <v>1</v>
      </c>
      <c r="K37" s="50">
        <v>2</v>
      </c>
      <c r="L37" s="50">
        <v>6</v>
      </c>
      <c r="M37" s="50">
        <v>3</v>
      </c>
      <c r="N37" s="50">
        <v>0</v>
      </c>
      <c r="O37" s="15">
        <f t="shared" si="0"/>
        <v>19</v>
      </c>
      <c r="P37" s="15">
        <f t="shared" si="1"/>
        <v>22</v>
      </c>
    </row>
    <row r="38" spans="2:20" ht="23.1" customHeight="1" x14ac:dyDescent="0.25">
      <c r="B38" s="24" t="s">
        <v>65</v>
      </c>
      <c r="C38" s="50">
        <v>0</v>
      </c>
      <c r="D38" s="50">
        <v>2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8</v>
      </c>
      <c r="M38" s="50">
        <v>3</v>
      </c>
      <c r="N38" s="50">
        <v>0</v>
      </c>
      <c r="O38" s="15">
        <f t="shared" si="0"/>
        <v>12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2</v>
      </c>
      <c r="M39" s="50">
        <v>3</v>
      </c>
      <c r="N39" s="50">
        <v>0</v>
      </c>
      <c r="O39" s="15">
        <f t="shared" si="0"/>
        <v>7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0</v>
      </c>
      <c r="D40" s="50">
        <v>2</v>
      </c>
      <c r="E40" s="50">
        <v>0</v>
      </c>
      <c r="F40" s="50">
        <v>6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15</v>
      </c>
      <c r="M40" s="50">
        <v>3</v>
      </c>
      <c r="N40" s="50">
        <v>0</v>
      </c>
      <c r="O40" s="15">
        <f t="shared" si="0"/>
        <v>23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0</v>
      </c>
      <c r="F41" s="50">
        <v>4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8</v>
      </c>
      <c r="M41" s="50">
        <v>4</v>
      </c>
      <c r="N41" s="50">
        <v>0</v>
      </c>
      <c r="O41" s="15">
        <f t="shared" si="0"/>
        <v>18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3</v>
      </c>
      <c r="D42" s="50">
        <v>2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9</v>
      </c>
      <c r="M42" s="50">
        <v>2</v>
      </c>
      <c r="N42" s="50">
        <v>0</v>
      </c>
      <c r="O42" s="15">
        <f t="shared" si="0"/>
        <v>16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4</v>
      </c>
      <c r="D43" s="50">
        <v>4</v>
      </c>
      <c r="E43" s="50">
        <v>0</v>
      </c>
      <c r="F43" s="50">
        <v>3</v>
      </c>
      <c r="G43" s="50">
        <v>0</v>
      </c>
      <c r="H43" s="50">
        <v>0</v>
      </c>
      <c r="I43" s="50">
        <v>0</v>
      </c>
      <c r="J43" s="50">
        <v>4</v>
      </c>
      <c r="K43" s="50">
        <v>1</v>
      </c>
      <c r="L43" s="50">
        <v>10</v>
      </c>
      <c r="M43" s="50">
        <v>4</v>
      </c>
      <c r="N43" s="50">
        <v>0</v>
      </c>
      <c r="O43" s="15">
        <f t="shared" si="0"/>
        <v>26</v>
      </c>
      <c r="P43" s="15">
        <f t="shared" si="1"/>
        <v>30</v>
      </c>
    </row>
    <row r="44" spans="2:20" ht="23.1" customHeight="1" x14ac:dyDescent="0.25">
      <c r="B44" s="25" t="s">
        <v>71</v>
      </c>
      <c r="C44" s="50">
        <v>4</v>
      </c>
      <c r="D44" s="50">
        <v>6</v>
      </c>
      <c r="E44" s="50">
        <v>0</v>
      </c>
      <c r="F44" s="50">
        <v>6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10</v>
      </c>
      <c r="M44" s="50">
        <v>4</v>
      </c>
      <c r="N44" s="50">
        <v>0</v>
      </c>
      <c r="O44" s="15">
        <f t="shared" si="0"/>
        <v>28</v>
      </c>
      <c r="P44" s="15">
        <f t="shared" si="1"/>
        <v>32</v>
      </c>
    </row>
    <row r="45" spans="2:20" ht="23.1" customHeight="1" x14ac:dyDescent="0.25">
      <c r="B45" s="23" t="s">
        <v>72</v>
      </c>
      <c r="C45" s="50">
        <v>9</v>
      </c>
      <c r="D45" s="50">
        <v>4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16</v>
      </c>
      <c r="M45" s="50">
        <v>4</v>
      </c>
      <c r="N45" s="50">
        <v>0</v>
      </c>
      <c r="O45" s="15">
        <f t="shared" si="0"/>
        <v>34</v>
      </c>
      <c r="P45" s="15">
        <f t="shared" si="1"/>
        <v>38</v>
      </c>
    </row>
    <row r="46" spans="2:20" ht="23.1" customHeight="1" x14ac:dyDescent="0.25">
      <c r="B46" s="24" t="s">
        <v>73</v>
      </c>
      <c r="C46" s="50">
        <v>4</v>
      </c>
      <c r="D46" s="50">
        <v>6</v>
      </c>
      <c r="E46" s="50">
        <v>3</v>
      </c>
      <c r="F46" s="50">
        <v>5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14</v>
      </c>
      <c r="M46" s="50">
        <v>2</v>
      </c>
      <c r="N46" s="50">
        <v>0</v>
      </c>
      <c r="O46" s="15">
        <f t="shared" si="0"/>
        <v>33</v>
      </c>
      <c r="P46" s="15">
        <f t="shared" si="1"/>
        <v>35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5</v>
      </c>
      <c r="E47" s="50">
        <v>1</v>
      </c>
      <c r="F47" s="50">
        <v>3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7</v>
      </c>
      <c r="M47" s="50">
        <v>5</v>
      </c>
      <c r="N47" s="50">
        <v>0</v>
      </c>
      <c r="O47" s="15">
        <f t="shared" si="0"/>
        <v>17</v>
      </c>
      <c r="P47" s="15">
        <f t="shared" si="1"/>
        <v>22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4</v>
      </c>
      <c r="E48" s="50">
        <v>0</v>
      </c>
      <c r="F48" s="50">
        <v>5</v>
      </c>
      <c r="G48" s="50">
        <v>1</v>
      </c>
      <c r="H48" s="50">
        <v>0</v>
      </c>
      <c r="I48" s="50">
        <v>1</v>
      </c>
      <c r="J48" s="50">
        <v>4</v>
      </c>
      <c r="K48" s="50">
        <v>0</v>
      </c>
      <c r="L48" s="50">
        <v>11</v>
      </c>
      <c r="M48" s="50">
        <v>5</v>
      </c>
      <c r="N48" s="50">
        <v>0</v>
      </c>
      <c r="O48" s="15">
        <f t="shared" si="0"/>
        <v>29</v>
      </c>
      <c r="P48" s="15">
        <f t="shared" si="1"/>
        <v>34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3</v>
      </c>
      <c r="E49" s="50">
        <v>1</v>
      </c>
      <c r="F49" s="50">
        <v>2</v>
      </c>
      <c r="G49" s="50">
        <v>0</v>
      </c>
      <c r="H49" s="50">
        <v>0</v>
      </c>
      <c r="I49" s="50">
        <v>1</v>
      </c>
      <c r="J49" s="50">
        <v>1</v>
      </c>
      <c r="K49" s="50">
        <v>1</v>
      </c>
      <c r="L49" s="50">
        <v>5</v>
      </c>
      <c r="M49" s="50">
        <v>3</v>
      </c>
      <c r="N49" s="50">
        <v>0</v>
      </c>
      <c r="O49" s="15">
        <f t="shared" si="0"/>
        <v>14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3</v>
      </c>
      <c r="M50" s="50">
        <v>1</v>
      </c>
      <c r="N50" s="50">
        <v>0</v>
      </c>
      <c r="O50" s="15">
        <f t="shared" si="0"/>
        <v>6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1</v>
      </c>
      <c r="E51" s="50">
        <v>0</v>
      </c>
      <c r="F51" s="50">
        <v>7</v>
      </c>
      <c r="G51" s="50">
        <v>0</v>
      </c>
      <c r="H51" s="50">
        <v>0</v>
      </c>
      <c r="I51" s="50">
        <v>2</v>
      </c>
      <c r="J51" s="50">
        <v>0</v>
      </c>
      <c r="K51" s="50">
        <v>2</v>
      </c>
      <c r="L51" s="50">
        <v>15</v>
      </c>
      <c r="M51" s="50">
        <v>5</v>
      </c>
      <c r="N51" s="50">
        <v>0</v>
      </c>
      <c r="O51" s="15">
        <f t="shared" si="0"/>
        <v>30</v>
      </c>
      <c r="P51" s="15">
        <f t="shared" si="1"/>
        <v>35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0</v>
      </c>
      <c r="J52" s="50">
        <v>4</v>
      </c>
      <c r="K52" s="50">
        <v>1</v>
      </c>
      <c r="L52" s="50">
        <v>7</v>
      </c>
      <c r="M52" s="50">
        <v>4</v>
      </c>
      <c r="N52" s="50">
        <v>0</v>
      </c>
      <c r="O52" s="15">
        <f t="shared" si="0"/>
        <v>19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1</v>
      </c>
      <c r="F53" s="50">
        <v>4</v>
      </c>
      <c r="G53" s="50">
        <v>0</v>
      </c>
      <c r="H53" s="50">
        <v>0</v>
      </c>
      <c r="I53" s="50">
        <v>1</v>
      </c>
      <c r="J53" s="50">
        <v>2</v>
      </c>
      <c r="K53" s="50">
        <v>0</v>
      </c>
      <c r="L53" s="50">
        <v>10</v>
      </c>
      <c r="M53" s="50">
        <v>10</v>
      </c>
      <c r="N53" s="50">
        <v>0</v>
      </c>
      <c r="O53" s="15">
        <f t="shared" si="0"/>
        <v>21</v>
      </c>
      <c r="P53" s="15">
        <f t="shared" si="1"/>
        <v>31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3</v>
      </c>
      <c r="E54" s="50">
        <v>0</v>
      </c>
      <c r="F54" s="50">
        <v>5</v>
      </c>
      <c r="G54" s="50">
        <v>0</v>
      </c>
      <c r="H54" s="50">
        <v>0</v>
      </c>
      <c r="I54" s="50">
        <v>3</v>
      </c>
      <c r="J54" s="50">
        <v>1</v>
      </c>
      <c r="K54" s="50">
        <v>2</v>
      </c>
      <c r="L54" s="50">
        <v>20</v>
      </c>
      <c r="M54" s="50">
        <v>8</v>
      </c>
      <c r="N54" s="50">
        <v>0</v>
      </c>
      <c r="O54" s="15">
        <f t="shared" si="0"/>
        <v>34</v>
      </c>
      <c r="P54" s="15">
        <f t="shared" si="1"/>
        <v>42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3</v>
      </c>
      <c r="F55" s="50">
        <v>9</v>
      </c>
      <c r="G55" s="50">
        <v>0</v>
      </c>
      <c r="H55" s="50">
        <v>0</v>
      </c>
      <c r="I55" s="50">
        <v>1</v>
      </c>
      <c r="J55" s="50">
        <v>3</v>
      </c>
      <c r="K55" s="50">
        <v>3</v>
      </c>
      <c r="L55" s="50">
        <v>5</v>
      </c>
      <c r="M55" s="50">
        <v>3</v>
      </c>
      <c r="N55" s="50">
        <v>0</v>
      </c>
      <c r="O55" s="15">
        <f t="shared" si="0"/>
        <v>26</v>
      </c>
      <c r="P55" s="15">
        <f t="shared" si="1"/>
        <v>29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1</v>
      </c>
      <c r="E56" s="50">
        <v>0</v>
      </c>
      <c r="F56" s="50">
        <v>5</v>
      </c>
      <c r="G56" s="50">
        <v>0</v>
      </c>
      <c r="H56" s="50">
        <v>0</v>
      </c>
      <c r="I56" s="50">
        <v>1</v>
      </c>
      <c r="J56" s="50">
        <v>1</v>
      </c>
      <c r="K56" s="50">
        <v>1</v>
      </c>
      <c r="L56" s="50">
        <v>8</v>
      </c>
      <c r="M56" s="50">
        <v>1</v>
      </c>
      <c r="N56" s="50">
        <v>0</v>
      </c>
      <c r="O56" s="15">
        <f t="shared" si="0"/>
        <v>23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4</v>
      </c>
      <c r="E57" s="50">
        <v>1</v>
      </c>
      <c r="F57" s="50">
        <v>3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13</v>
      </c>
      <c r="M57" s="50">
        <v>4</v>
      </c>
      <c r="N57" s="50">
        <v>0</v>
      </c>
      <c r="O57" s="15">
        <f t="shared" si="0"/>
        <v>32</v>
      </c>
      <c r="P57" s="15">
        <f t="shared" si="1"/>
        <v>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102</v>
      </c>
      <c r="D58" s="16">
        <f t="shared" si="21"/>
        <v>117</v>
      </c>
      <c r="E58" s="16">
        <f t="shared" si="21"/>
        <v>43</v>
      </c>
      <c r="F58" s="16">
        <f t="shared" si="21"/>
        <v>165</v>
      </c>
      <c r="G58" s="16">
        <f t="shared" si="21"/>
        <v>1</v>
      </c>
      <c r="H58" s="16">
        <f t="shared" si="21"/>
        <v>1</v>
      </c>
      <c r="I58" s="16">
        <f t="shared" si="21"/>
        <v>35</v>
      </c>
      <c r="J58" s="16">
        <f t="shared" si="21"/>
        <v>39</v>
      </c>
      <c r="K58" s="16">
        <f t="shared" si="21"/>
        <v>26</v>
      </c>
      <c r="L58" s="16">
        <f t="shared" si="21"/>
        <v>472</v>
      </c>
      <c r="M58" s="16">
        <f t="shared" si="21"/>
        <v>157</v>
      </c>
      <c r="N58" s="16">
        <f t="shared" si="21"/>
        <v>0</v>
      </c>
      <c r="O58" s="16">
        <f t="shared" si="21"/>
        <v>1001</v>
      </c>
      <c r="P58" s="16">
        <f t="shared" si="21"/>
        <v>1158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8.8082901554404139E-2</v>
      </c>
      <c r="D59" s="43">
        <f t="shared" si="22"/>
        <v>0.10103626943005181</v>
      </c>
      <c r="E59" s="43">
        <f t="shared" si="22"/>
        <v>3.7132987910189985E-2</v>
      </c>
      <c r="F59" s="43">
        <f t="shared" si="22"/>
        <v>0.14248704663212436</v>
      </c>
      <c r="G59" s="43">
        <f t="shared" si="22"/>
        <v>8.6355785837651119E-4</v>
      </c>
      <c r="H59" s="43">
        <f t="shared" si="22"/>
        <v>8.6355785837651119E-4</v>
      </c>
      <c r="I59" s="43">
        <f t="shared" si="22"/>
        <v>3.0224525043177894E-2</v>
      </c>
      <c r="J59" s="43">
        <f t="shared" si="22"/>
        <v>3.367875647668394E-2</v>
      </c>
      <c r="K59" s="43">
        <f t="shared" si="22"/>
        <v>2.2452504317789293E-2</v>
      </c>
      <c r="L59" s="43">
        <f t="shared" si="22"/>
        <v>0.40759930915371329</v>
      </c>
      <c r="M59" s="43">
        <f t="shared" si="22"/>
        <v>0.13557858376511225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0.1018981018981019</v>
      </c>
      <c r="D60" s="44">
        <f t="shared" ref="D60:N60" si="23">D58/$O$58</f>
        <v>0.11688311688311688</v>
      </c>
      <c r="E60" s="44">
        <f t="shared" si="23"/>
        <v>4.295704295704296E-2</v>
      </c>
      <c r="F60" s="44">
        <f t="shared" si="23"/>
        <v>0.16483516483516483</v>
      </c>
      <c r="G60" s="44">
        <f t="shared" si="23"/>
        <v>9.99000999000999E-4</v>
      </c>
      <c r="H60" s="44">
        <f t="shared" si="23"/>
        <v>9.99000999000999E-4</v>
      </c>
      <c r="I60" s="44">
        <f t="shared" si="23"/>
        <v>3.4965034965034968E-2</v>
      </c>
      <c r="J60" s="44">
        <f t="shared" si="23"/>
        <v>3.896103896103896E-2</v>
      </c>
      <c r="K60" s="44">
        <f t="shared" si="23"/>
        <v>2.5974025974025976E-2</v>
      </c>
      <c r="L60" s="44">
        <f t="shared" si="23"/>
        <v>0.47152847152847155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3" t="str">
        <f>'25.08 TORORO-BUSITEMA'!G5:H5</f>
        <v>STATION 98</v>
      </c>
      <c r="H5" s="64"/>
      <c r="I5" s="14"/>
      <c r="J5" s="2" t="s">
        <v>5</v>
      </c>
      <c r="K5" s="63" t="str">
        <f>'25.08 TORORO-BUSITEMA'!K5:L5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164</v>
      </c>
      <c r="E6" s="64"/>
      <c r="F6" s="2" t="s">
        <v>2</v>
      </c>
      <c r="G6" s="63" t="s">
        <v>163</v>
      </c>
      <c r="H6" s="64"/>
      <c r="J6" s="2" t="s">
        <v>21</v>
      </c>
      <c r="K6" s="63" t="str">
        <f>'25.08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2</v>
      </c>
      <c r="H10" s="50">
        <v>0</v>
      </c>
      <c r="I10" s="50">
        <v>1</v>
      </c>
      <c r="J10" s="50">
        <v>2</v>
      </c>
      <c r="K10" s="50">
        <v>2</v>
      </c>
      <c r="L10" s="50">
        <v>3</v>
      </c>
      <c r="M10" s="50">
        <v>17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28</v>
      </c>
      <c r="R10" s="1" t="s">
        <v>6</v>
      </c>
      <c r="S10" s="17">
        <f t="shared" ref="S10:AF10" si="2">SUM(C10:C13)</f>
        <v>1</v>
      </c>
      <c r="T10" s="17">
        <f t="shared" si="2"/>
        <v>3</v>
      </c>
      <c r="U10" s="17">
        <f t="shared" si="2"/>
        <v>1</v>
      </c>
      <c r="V10" s="17">
        <f t="shared" si="2"/>
        <v>6</v>
      </c>
      <c r="W10" s="17">
        <f t="shared" si="2"/>
        <v>2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3</v>
      </c>
      <c r="AB10" s="17">
        <f t="shared" si="2"/>
        <v>30</v>
      </c>
      <c r="AC10" s="17">
        <f t="shared" si="2"/>
        <v>45</v>
      </c>
      <c r="AD10" s="17">
        <f t="shared" si="2"/>
        <v>0</v>
      </c>
      <c r="AE10" s="31">
        <f t="shared" si="2"/>
        <v>51</v>
      </c>
      <c r="AF10" s="31">
        <f t="shared" si="2"/>
        <v>96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8</v>
      </c>
      <c r="M11" s="50">
        <v>12</v>
      </c>
      <c r="N11" s="50">
        <v>0</v>
      </c>
      <c r="O11" s="15">
        <f t="shared" si="0"/>
        <v>9</v>
      </c>
      <c r="P11" s="15">
        <f t="shared" si="1"/>
        <v>21</v>
      </c>
      <c r="R11" s="1" t="s">
        <v>7</v>
      </c>
      <c r="S11" s="17">
        <f t="shared" ref="S11:AF11" si="3">SUM(C14:C17)</f>
        <v>5</v>
      </c>
      <c r="T11" s="17">
        <f t="shared" si="3"/>
        <v>7</v>
      </c>
      <c r="U11" s="17">
        <f t="shared" si="3"/>
        <v>4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0</v>
      </c>
      <c r="AB11" s="17">
        <f t="shared" si="3"/>
        <v>15</v>
      </c>
      <c r="AC11" s="17">
        <f t="shared" si="3"/>
        <v>10</v>
      </c>
      <c r="AD11" s="17">
        <f t="shared" si="3"/>
        <v>0</v>
      </c>
      <c r="AE11" s="31">
        <f t="shared" si="3"/>
        <v>40</v>
      </c>
      <c r="AF11" s="31">
        <f t="shared" si="3"/>
        <v>50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4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10</v>
      </c>
      <c r="M12" s="50">
        <v>5</v>
      </c>
      <c r="N12" s="50">
        <v>0</v>
      </c>
      <c r="O12" s="15">
        <f t="shared" si="0"/>
        <v>17</v>
      </c>
      <c r="P12" s="15">
        <f t="shared" si="1"/>
        <v>22</v>
      </c>
      <c r="R12" s="1" t="s">
        <v>8</v>
      </c>
      <c r="S12" s="17">
        <f t="shared" ref="S12:AF12" si="4">SUM(C18:C21)</f>
        <v>2</v>
      </c>
      <c r="T12" s="17">
        <f t="shared" si="4"/>
        <v>11</v>
      </c>
      <c r="U12" s="17">
        <f t="shared" si="4"/>
        <v>3</v>
      </c>
      <c r="V12" s="17">
        <f t="shared" si="4"/>
        <v>11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2</v>
      </c>
      <c r="AA12" s="17">
        <f t="shared" si="4"/>
        <v>3</v>
      </c>
      <c r="AB12" s="17">
        <f t="shared" si="4"/>
        <v>33</v>
      </c>
      <c r="AC12" s="17">
        <f t="shared" si="4"/>
        <v>18</v>
      </c>
      <c r="AD12" s="17">
        <f t="shared" si="4"/>
        <v>0</v>
      </c>
      <c r="AE12" s="31">
        <f t="shared" si="4"/>
        <v>68</v>
      </c>
      <c r="AF12" s="31">
        <f t="shared" si="4"/>
        <v>86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9</v>
      </c>
      <c r="M13" s="50">
        <v>11</v>
      </c>
      <c r="N13" s="50">
        <v>0</v>
      </c>
      <c r="O13" s="15">
        <f t="shared" si="0"/>
        <v>14</v>
      </c>
      <c r="P13" s="15">
        <f t="shared" si="1"/>
        <v>25</v>
      </c>
      <c r="R13" s="1" t="s">
        <v>9</v>
      </c>
      <c r="S13" s="17">
        <f t="shared" ref="S13:AF13" si="5">SUM(C22:C25)</f>
        <v>3</v>
      </c>
      <c r="T13" s="17">
        <f t="shared" si="5"/>
        <v>6</v>
      </c>
      <c r="U13" s="17">
        <f t="shared" si="5"/>
        <v>5</v>
      </c>
      <c r="V13" s="17">
        <f t="shared" si="5"/>
        <v>19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3</v>
      </c>
      <c r="AB13" s="17">
        <f t="shared" si="5"/>
        <v>16</v>
      </c>
      <c r="AC13" s="17">
        <f t="shared" si="5"/>
        <v>26</v>
      </c>
      <c r="AD13" s="17">
        <f t="shared" si="5"/>
        <v>0</v>
      </c>
      <c r="AE13" s="31">
        <f t="shared" si="5"/>
        <v>56</v>
      </c>
      <c r="AF13" s="31">
        <f t="shared" si="5"/>
        <v>82</v>
      </c>
    </row>
    <row r="14" spans="2:32" ht="23.1" customHeight="1" x14ac:dyDescent="0.25">
      <c r="B14" s="23" t="s">
        <v>41</v>
      </c>
      <c r="C14" s="50">
        <v>3</v>
      </c>
      <c r="D14" s="50">
        <v>3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5</v>
      </c>
      <c r="M14" s="50">
        <v>3</v>
      </c>
      <c r="N14" s="50">
        <v>0</v>
      </c>
      <c r="O14" s="15">
        <f t="shared" si="0"/>
        <v>12</v>
      </c>
      <c r="P14" s="15">
        <f t="shared" si="1"/>
        <v>15</v>
      </c>
      <c r="R14" s="1" t="s">
        <v>10</v>
      </c>
      <c r="S14" s="17">
        <f t="shared" ref="S14:AF14" si="6">SUM(C26:C29)</f>
        <v>10</v>
      </c>
      <c r="T14" s="17">
        <f t="shared" si="6"/>
        <v>10</v>
      </c>
      <c r="U14" s="17">
        <f t="shared" si="6"/>
        <v>9</v>
      </c>
      <c r="V14" s="17">
        <f t="shared" si="6"/>
        <v>17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1</v>
      </c>
      <c r="AB14" s="17">
        <f t="shared" si="6"/>
        <v>25</v>
      </c>
      <c r="AC14" s="17">
        <f t="shared" si="6"/>
        <v>23</v>
      </c>
      <c r="AD14" s="17">
        <f t="shared" si="6"/>
        <v>0</v>
      </c>
      <c r="AE14" s="31">
        <f t="shared" si="6"/>
        <v>76</v>
      </c>
      <c r="AF14" s="31">
        <f t="shared" si="6"/>
        <v>99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0</v>
      </c>
      <c r="F15" s="50">
        <v>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3</v>
      </c>
      <c r="M15" s="50">
        <v>1</v>
      </c>
      <c r="N15" s="50">
        <v>0</v>
      </c>
      <c r="O15" s="15">
        <f t="shared" si="0"/>
        <v>9</v>
      </c>
      <c r="P15" s="15">
        <f t="shared" si="1"/>
        <v>10</v>
      </c>
      <c r="R15" s="1" t="s">
        <v>11</v>
      </c>
      <c r="S15" s="17">
        <f t="shared" ref="S15:AF15" si="7">SUM(C30:C33)</f>
        <v>6</v>
      </c>
      <c r="T15" s="17">
        <f t="shared" si="7"/>
        <v>13</v>
      </c>
      <c r="U15" s="17">
        <f t="shared" si="7"/>
        <v>9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24</v>
      </c>
      <c r="AC15" s="17">
        <f t="shared" si="7"/>
        <v>16</v>
      </c>
      <c r="AD15" s="17">
        <f t="shared" si="7"/>
        <v>0</v>
      </c>
      <c r="AE15" s="31">
        <f t="shared" si="7"/>
        <v>66</v>
      </c>
      <c r="AF15" s="31">
        <f t="shared" si="7"/>
        <v>82</v>
      </c>
    </row>
    <row r="16" spans="2:32" ht="23.1" customHeight="1" x14ac:dyDescent="0.25">
      <c r="B16" s="23" t="s">
        <v>43</v>
      </c>
      <c r="C16" s="50">
        <v>0</v>
      </c>
      <c r="D16" s="50">
        <v>3</v>
      </c>
      <c r="E16" s="50">
        <v>2</v>
      </c>
      <c r="F16" s="50">
        <v>2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7</v>
      </c>
      <c r="M16" s="50">
        <v>3</v>
      </c>
      <c r="N16" s="50">
        <v>0</v>
      </c>
      <c r="O16" s="15">
        <f t="shared" si="0"/>
        <v>15</v>
      </c>
      <c r="P16" s="15">
        <f t="shared" si="1"/>
        <v>18</v>
      </c>
      <c r="R16" s="1" t="s">
        <v>12</v>
      </c>
      <c r="S16" s="17">
        <f t="shared" ref="S16:AF16" si="8">SUM(C34:C37)</f>
        <v>4</v>
      </c>
      <c r="T16" s="17">
        <f t="shared" si="8"/>
        <v>4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1</v>
      </c>
      <c r="AB16" s="17">
        <f t="shared" si="8"/>
        <v>14</v>
      </c>
      <c r="AC16" s="17">
        <f t="shared" si="8"/>
        <v>12</v>
      </c>
      <c r="AD16" s="17">
        <f t="shared" si="8"/>
        <v>0</v>
      </c>
      <c r="AE16" s="31">
        <f t="shared" si="8"/>
        <v>30</v>
      </c>
      <c r="AF16" s="31">
        <f t="shared" si="8"/>
        <v>42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4</v>
      </c>
      <c r="P17" s="15">
        <f t="shared" si="1"/>
        <v>7</v>
      </c>
      <c r="R17" s="1" t="s">
        <v>13</v>
      </c>
      <c r="S17" s="17">
        <f t="shared" ref="S17:AF17" si="9">SUM(C38:C41)</f>
        <v>3</v>
      </c>
      <c r="T17" s="17">
        <f t="shared" si="9"/>
        <v>2</v>
      </c>
      <c r="U17" s="17">
        <f t="shared" si="9"/>
        <v>0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9</v>
      </c>
      <c r="AC17" s="17">
        <f t="shared" si="9"/>
        <v>16</v>
      </c>
      <c r="AD17" s="17">
        <f t="shared" si="9"/>
        <v>0</v>
      </c>
      <c r="AE17" s="31">
        <f t="shared" si="9"/>
        <v>29</v>
      </c>
      <c r="AF17" s="31">
        <f t="shared" si="9"/>
        <v>45</v>
      </c>
    </row>
    <row r="18" spans="2:32" ht="23.1" customHeight="1" x14ac:dyDescent="0.25">
      <c r="B18" s="23" t="s">
        <v>45</v>
      </c>
      <c r="C18" s="50">
        <v>0</v>
      </c>
      <c r="D18" s="50">
        <v>3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4</v>
      </c>
      <c r="M18" s="50">
        <v>5</v>
      </c>
      <c r="N18" s="50">
        <v>0</v>
      </c>
      <c r="O18" s="15">
        <f t="shared" si="0"/>
        <v>8</v>
      </c>
      <c r="P18" s="15">
        <f t="shared" si="1"/>
        <v>13</v>
      </c>
      <c r="R18" s="1" t="s">
        <v>14</v>
      </c>
      <c r="S18" s="17">
        <f t="shared" ref="S18:AF18" si="10">SUM(C42:C45)</f>
        <v>7</v>
      </c>
      <c r="T18" s="17">
        <f t="shared" si="10"/>
        <v>7</v>
      </c>
      <c r="U18" s="17">
        <f t="shared" si="10"/>
        <v>2</v>
      </c>
      <c r="V18" s="17">
        <f t="shared" si="10"/>
        <v>15</v>
      </c>
      <c r="W18" s="17">
        <f t="shared" si="10"/>
        <v>0</v>
      </c>
      <c r="X18" s="17">
        <f t="shared" si="10"/>
        <v>3</v>
      </c>
      <c r="Y18" s="17">
        <f t="shared" si="10"/>
        <v>4</v>
      </c>
      <c r="Z18" s="17">
        <f t="shared" si="10"/>
        <v>5</v>
      </c>
      <c r="AA18" s="17">
        <f t="shared" si="10"/>
        <v>4</v>
      </c>
      <c r="AB18" s="17">
        <f t="shared" si="10"/>
        <v>48</v>
      </c>
      <c r="AC18" s="17">
        <f t="shared" si="10"/>
        <v>16</v>
      </c>
      <c r="AD18" s="17">
        <f t="shared" si="10"/>
        <v>0</v>
      </c>
      <c r="AE18" s="31">
        <f t="shared" si="10"/>
        <v>95</v>
      </c>
      <c r="AF18" s="31">
        <f t="shared" si="10"/>
        <v>111</v>
      </c>
    </row>
    <row r="19" spans="2:32" ht="23.1" customHeight="1" x14ac:dyDescent="0.25">
      <c r="B19" s="23" t="s">
        <v>46</v>
      </c>
      <c r="C19" s="50">
        <v>1</v>
      </c>
      <c r="D19" s="50">
        <v>3</v>
      </c>
      <c r="E19" s="50">
        <v>2</v>
      </c>
      <c r="F19" s="50">
        <v>3</v>
      </c>
      <c r="G19" s="50">
        <v>0</v>
      </c>
      <c r="H19" s="50">
        <v>0</v>
      </c>
      <c r="I19" s="50">
        <v>1</v>
      </c>
      <c r="J19" s="50">
        <v>2</v>
      </c>
      <c r="K19" s="50">
        <v>1</v>
      </c>
      <c r="L19" s="50">
        <v>18</v>
      </c>
      <c r="M19" s="50">
        <v>4</v>
      </c>
      <c r="N19" s="50">
        <v>0</v>
      </c>
      <c r="O19" s="15">
        <f t="shared" si="0"/>
        <v>31</v>
      </c>
      <c r="P19" s="15">
        <f t="shared" si="1"/>
        <v>35</v>
      </c>
      <c r="R19" s="1" t="s">
        <v>15</v>
      </c>
      <c r="S19" s="17">
        <f t="shared" ref="S19:AF19" si="11">SUM(C46:C49)</f>
        <v>1</v>
      </c>
      <c r="T19" s="17">
        <f t="shared" si="11"/>
        <v>8</v>
      </c>
      <c r="U19" s="17">
        <f t="shared" si="11"/>
        <v>5</v>
      </c>
      <c r="V19" s="17">
        <f t="shared" si="11"/>
        <v>13</v>
      </c>
      <c r="W19" s="17">
        <f t="shared" si="11"/>
        <v>0</v>
      </c>
      <c r="X19" s="17">
        <f t="shared" si="11"/>
        <v>1</v>
      </c>
      <c r="Y19" s="17">
        <f t="shared" si="11"/>
        <v>3</v>
      </c>
      <c r="Z19" s="17">
        <f t="shared" si="11"/>
        <v>5</v>
      </c>
      <c r="AA19" s="17">
        <f t="shared" si="11"/>
        <v>1</v>
      </c>
      <c r="AB19" s="17">
        <f t="shared" si="11"/>
        <v>33</v>
      </c>
      <c r="AC19" s="17">
        <f t="shared" si="11"/>
        <v>12</v>
      </c>
      <c r="AD19" s="17">
        <f t="shared" si="11"/>
        <v>0</v>
      </c>
      <c r="AE19" s="31">
        <f t="shared" si="11"/>
        <v>70</v>
      </c>
      <c r="AF19" s="31">
        <f t="shared" si="11"/>
        <v>82</v>
      </c>
    </row>
    <row r="20" spans="2:32" ht="23.1" customHeight="1" x14ac:dyDescent="0.25">
      <c r="B20" s="23" t="s">
        <v>47</v>
      </c>
      <c r="C20" s="50">
        <v>1</v>
      </c>
      <c r="D20" s="50">
        <v>2</v>
      </c>
      <c r="E20" s="50">
        <v>1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2</v>
      </c>
      <c r="L20" s="50">
        <v>5</v>
      </c>
      <c r="M20" s="50">
        <v>7</v>
      </c>
      <c r="N20" s="50">
        <v>0</v>
      </c>
      <c r="O20" s="15">
        <f t="shared" si="0"/>
        <v>14</v>
      </c>
      <c r="P20" s="15">
        <f t="shared" si="1"/>
        <v>21</v>
      </c>
      <c r="R20" s="1" t="s">
        <v>16</v>
      </c>
      <c r="S20" s="17">
        <f t="shared" ref="S20:AF20" si="12">SUM(C50:C53)</f>
        <v>7</v>
      </c>
      <c r="T20" s="17">
        <f t="shared" si="12"/>
        <v>4</v>
      </c>
      <c r="U20" s="17">
        <f t="shared" si="12"/>
        <v>4</v>
      </c>
      <c r="V20" s="17">
        <f t="shared" si="12"/>
        <v>8</v>
      </c>
      <c r="W20" s="17">
        <f t="shared" si="12"/>
        <v>0</v>
      </c>
      <c r="X20" s="17">
        <f t="shared" si="12"/>
        <v>1</v>
      </c>
      <c r="Y20" s="17">
        <f t="shared" si="12"/>
        <v>2</v>
      </c>
      <c r="Z20" s="17">
        <f t="shared" si="12"/>
        <v>4</v>
      </c>
      <c r="AA20" s="17">
        <f t="shared" si="12"/>
        <v>1</v>
      </c>
      <c r="AB20" s="17">
        <f t="shared" si="12"/>
        <v>22</v>
      </c>
      <c r="AC20" s="17">
        <f t="shared" si="12"/>
        <v>6</v>
      </c>
      <c r="AD20" s="17">
        <f t="shared" si="12"/>
        <v>0</v>
      </c>
      <c r="AE20" s="31">
        <f t="shared" si="12"/>
        <v>53</v>
      </c>
      <c r="AF20" s="31">
        <f t="shared" si="12"/>
        <v>59</v>
      </c>
    </row>
    <row r="21" spans="2:32" ht="23.1" customHeight="1" x14ac:dyDescent="0.25">
      <c r="B21" s="23" t="s">
        <v>48</v>
      </c>
      <c r="C21" s="50">
        <v>0</v>
      </c>
      <c r="D21" s="50">
        <v>3</v>
      </c>
      <c r="E21" s="50">
        <v>0</v>
      </c>
      <c r="F21" s="50">
        <v>4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6</v>
      </c>
      <c r="M21" s="50">
        <v>2</v>
      </c>
      <c r="N21" s="50">
        <v>0</v>
      </c>
      <c r="O21" s="15">
        <f t="shared" si="0"/>
        <v>15</v>
      </c>
      <c r="P21" s="15">
        <f t="shared" si="1"/>
        <v>17</v>
      </c>
      <c r="R21" s="36" t="s">
        <v>20</v>
      </c>
      <c r="S21" s="34">
        <f t="shared" ref="S21:AF21" si="13">SUM(C54:C57)</f>
        <v>7</v>
      </c>
      <c r="T21" s="17">
        <f t="shared" si="13"/>
        <v>2</v>
      </c>
      <c r="U21" s="17">
        <f t="shared" si="13"/>
        <v>7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2</v>
      </c>
      <c r="AA21" s="17">
        <f t="shared" si="13"/>
        <v>3</v>
      </c>
      <c r="AB21" s="17">
        <f t="shared" si="13"/>
        <v>43</v>
      </c>
      <c r="AC21" s="17">
        <f t="shared" si="13"/>
        <v>9</v>
      </c>
      <c r="AD21" s="17">
        <f t="shared" si="13"/>
        <v>0</v>
      </c>
      <c r="AE21" s="31">
        <f t="shared" si="13"/>
        <v>72</v>
      </c>
      <c r="AF21" s="31">
        <f t="shared" si="13"/>
        <v>81</v>
      </c>
    </row>
    <row r="22" spans="2:32" ht="23.1" customHeight="1" x14ac:dyDescent="0.25">
      <c r="B22" s="23" t="s">
        <v>49</v>
      </c>
      <c r="C22" s="50">
        <v>2</v>
      </c>
      <c r="D22" s="50">
        <v>2</v>
      </c>
      <c r="E22" s="50">
        <v>1</v>
      </c>
      <c r="F22" s="50">
        <v>5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3</v>
      </c>
      <c r="M22" s="50">
        <v>3</v>
      </c>
      <c r="N22" s="50">
        <v>0</v>
      </c>
      <c r="O22" s="15">
        <f t="shared" si="0"/>
        <v>13</v>
      </c>
      <c r="P22" s="15">
        <f t="shared" si="1"/>
        <v>16</v>
      </c>
      <c r="R22" s="38" t="s">
        <v>90</v>
      </c>
      <c r="S22" s="39">
        <f>MAX(S10:S12)</f>
        <v>5</v>
      </c>
      <c r="T22" s="39">
        <f t="shared" ref="T22:AF22" si="14">MAX(T10:T12)</f>
        <v>11</v>
      </c>
      <c r="U22" s="39">
        <f t="shared" si="14"/>
        <v>4</v>
      </c>
      <c r="V22" s="39">
        <f t="shared" si="14"/>
        <v>11</v>
      </c>
      <c r="W22" s="39">
        <f t="shared" si="14"/>
        <v>2</v>
      </c>
      <c r="X22" s="39">
        <f t="shared" si="14"/>
        <v>0</v>
      </c>
      <c r="Y22" s="39">
        <f t="shared" si="14"/>
        <v>3</v>
      </c>
      <c r="Z22" s="39">
        <f t="shared" si="14"/>
        <v>3</v>
      </c>
      <c r="AA22" s="39">
        <f t="shared" si="14"/>
        <v>3</v>
      </c>
      <c r="AB22" s="39">
        <f t="shared" si="14"/>
        <v>33</v>
      </c>
      <c r="AC22" s="39">
        <f t="shared" si="14"/>
        <v>45</v>
      </c>
      <c r="AD22" s="39">
        <f t="shared" si="14"/>
        <v>0</v>
      </c>
      <c r="AE22" s="40">
        <f t="shared" si="14"/>
        <v>68</v>
      </c>
      <c r="AF22" s="40">
        <f t="shared" si="14"/>
        <v>96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3</v>
      </c>
      <c r="F23" s="50">
        <v>5</v>
      </c>
      <c r="G23" s="50">
        <v>0</v>
      </c>
      <c r="H23" s="50">
        <v>0</v>
      </c>
      <c r="I23" s="50">
        <v>0</v>
      </c>
      <c r="J23" s="50">
        <v>1</v>
      </c>
      <c r="K23" s="50">
        <v>2</v>
      </c>
      <c r="L23" s="50">
        <v>2</v>
      </c>
      <c r="M23" s="50">
        <v>12</v>
      </c>
      <c r="N23" s="50">
        <v>0</v>
      </c>
      <c r="O23" s="15">
        <f t="shared" si="0"/>
        <v>14</v>
      </c>
      <c r="P23" s="15">
        <f t="shared" si="1"/>
        <v>26</v>
      </c>
      <c r="R23" s="38" t="s">
        <v>91</v>
      </c>
      <c r="S23" s="39">
        <f>MAX(S13:S18)</f>
        <v>10</v>
      </c>
      <c r="T23" s="39">
        <f t="shared" ref="T23:AF23" si="15">MAX(T13:T18)</f>
        <v>13</v>
      </c>
      <c r="U23" s="39">
        <f t="shared" si="15"/>
        <v>9</v>
      </c>
      <c r="V23" s="39">
        <f t="shared" si="15"/>
        <v>19</v>
      </c>
      <c r="W23" s="39">
        <f t="shared" si="15"/>
        <v>0</v>
      </c>
      <c r="X23" s="39">
        <f t="shared" si="15"/>
        <v>3</v>
      </c>
      <c r="Y23" s="39">
        <f t="shared" si="15"/>
        <v>4</v>
      </c>
      <c r="Z23" s="39">
        <f t="shared" si="15"/>
        <v>5</v>
      </c>
      <c r="AA23" s="39">
        <f t="shared" si="15"/>
        <v>4</v>
      </c>
      <c r="AB23" s="39">
        <f t="shared" si="15"/>
        <v>48</v>
      </c>
      <c r="AC23" s="39">
        <f t="shared" si="15"/>
        <v>26</v>
      </c>
      <c r="AD23" s="39">
        <f t="shared" si="15"/>
        <v>0</v>
      </c>
      <c r="AE23" s="40">
        <f t="shared" si="15"/>
        <v>95</v>
      </c>
      <c r="AF23" s="40">
        <f t="shared" si="15"/>
        <v>111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4</v>
      </c>
      <c r="G24" s="50">
        <v>0</v>
      </c>
      <c r="H24" s="50">
        <v>0</v>
      </c>
      <c r="I24" s="50">
        <v>3</v>
      </c>
      <c r="J24" s="50">
        <v>0</v>
      </c>
      <c r="K24" s="50">
        <v>1</v>
      </c>
      <c r="L24" s="50">
        <v>7</v>
      </c>
      <c r="M24" s="50">
        <v>8</v>
      </c>
      <c r="N24" s="50">
        <v>0</v>
      </c>
      <c r="O24" s="15">
        <f t="shared" si="0"/>
        <v>15</v>
      </c>
      <c r="P24" s="15">
        <f t="shared" si="1"/>
        <v>23</v>
      </c>
      <c r="R24" s="38" t="s">
        <v>92</v>
      </c>
      <c r="S24" s="39">
        <f>MAX(S19:S21)</f>
        <v>7</v>
      </c>
      <c r="T24" s="39">
        <f t="shared" ref="T24:AF24" si="16">MAX(T19:T21)</f>
        <v>8</v>
      </c>
      <c r="U24" s="39">
        <f t="shared" si="16"/>
        <v>7</v>
      </c>
      <c r="V24" s="39">
        <f t="shared" si="16"/>
        <v>13</v>
      </c>
      <c r="W24" s="39">
        <f t="shared" si="16"/>
        <v>0</v>
      </c>
      <c r="X24" s="39">
        <f t="shared" si="16"/>
        <v>1</v>
      </c>
      <c r="Y24" s="39">
        <f t="shared" si="16"/>
        <v>3</v>
      </c>
      <c r="Z24" s="39">
        <f t="shared" si="16"/>
        <v>5</v>
      </c>
      <c r="AA24" s="39">
        <f t="shared" si="16"/>
        <v>3</v>
      </c>
      <c r="AB24" s="39">
        <f t="shared" si="16"/>
        <v>43</v>
      </c>
      <c r="AC24" s="39">
        <f t="shared" si="16"/>
        <v>12</v>
      </c>
      <c r="AD24" s="39">
        <f t="shared" si="16"/>
        <v>0</v>
      </c>
      <c r="AE24" s="40">
        <f t="shared" si="16"/>
        <v>72</v>
      </c>
      <c r="AF24" s="40">
        <f t="shared" si="16"/>
        <v>82</v>
      </c>
    </row>
    <row r="25" spans="2:32" ht="23.1" customHeight="1" x14ac:dyDescent="0.25">
      <c r="B25" s="23" t="s">
        <v>52</v>
      </c>
      <c r="C25" s="50">
        <v>1</v>
      </c>
      <c r="D25" s="50">
        <v>3</v>
      </c>
      <c r="E25" s="50">
        <v>1</v>
      </c>
      <c r="F25" s="50">
        <v>5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4</v>
      </c>
      <c r="M25" s="50">
        <v>3</v>
      </c>
      <c r="N25" s="50">
        <v>0</v>
      </c>
      <c r="O25" s="15">
        <f t="shared" si="0"/>
        <v>14</v>
      </c>
      <c r="P25" s="15">
        <f t="shared" si="1"/>
        <v>17</v>
      </c>
      <c r="R25" s="37" t="s">
        <v>85</v>
      </c>
      <c r="S25" s="35">
        <f t="shared" ref="S25:AF25" si="17">SUM(S10:S12)</f>
        <v>8</v>
      </c>
      <c r="T25" s="16">
        <f t="shared" si="17"/>
        <v>21</v>
      </c>
      <c r="U25" s="16">
        <f t="shared" si="17"/>
        <v>8</v>
      </c>
      <c r="V25" s="16">
        <f t="shared" si="17"/>
        <v>24</v>
      </c>
      <c r="W25" s="16">
        <f t="shared" si="17"/>
        <v>2</v>
      </c>
      <c r="X25" s="16">
        <f t="shared" si="17"/>
        <v>0</v>
      </c>
      <c r="Y25" s="16">
        <f t="shared" si="17"/>
        <v>5</v>
      </c>
      <c r="Z25" s="16">
        <f t="shared" si="17"/>
        <v>7</v>
      </c>
      <c r="AA25" s="16">
        <f t="shared" si="17"/>
        <v>6</v>
      </c>
      <c r="AB25" s="16">
        <f t="shared" si="17"/>
        <v>78</v>
      </c>
      <c r="AC25" s="16">
        <f t="shared" si="17"/>
        <v>73</v>
      </c>
      <c r="AD25" s="16">
        <f t="shared" si="17"/>
        <v>0</v>
      </c>
      <c r="AE25" s="32">
        <f t="shared" si="17"/>
        <v>159</v>
      </c>
      <c r="AF25" s="32">
        <f t="shared" si="17"/>
        <v>232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5</v>
      </c>
      <c r="F26" s="50">
        <v>3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3</v>
      </c>
      <c r="M26" s="50">
        <v>6</v>
      </c>
      <c r="N26" s="50">
        <v>0</v>
      </c>
      <c r="O26" s="15">
        <f t="shared" si="0"/>
        <v>15</v>
      </c>
      <c r="P26" s="15">
        <f t="shared" si="1"/>
        <v>21</v>
      </c>
      <c r="R26" s="28" t="s">
        <v>86</v>
      </c>
      <c r="S26" s="16">
        <f t="shared" ref="S26:AF26" si="18">SUM(S13:S18)</f>
        <v>33</v>
      </c>
      <c r="T26" s="16">
        <f t="shared" si="18"/>
        <v>42</v>
      </c>
      <c r="U26" s="16">
        <f t="shared" si="18"/>
        <v>26</v>
      </c>
      <c r="V26" s="16">
        <f t="shared" si="18"/>
        <v>83</v>
      </c>
      <c r="W26" s="16">
        <f t="shared" si="18"/>
        <v>0</v>
      </c>
      <c r="X26" s="16">
        <f t="shared" si="18"/>
        <v>3</v>
      </c>
      <c r="Y26" s="16">
        <f t="shared" si="18"/>
        <v>11</v>
      </c>
      <c r="Z26" s="16">
        <f t="shared" si="18"/>
        <v>9</v>
      </c>
      <c r="AA26" s="16">
        <f t="shared" si="18"/>
        <v>9</v>
      </c>
      <c r="AB26" s="16">
        <f t="shared" si="18"/>
        <v>136</v>
      </c>
      <c r="AC26" s="16">
        <f t="shared" si="18"/>
        <v>109</v>
      </c>
      <c r="AD26" s="16">
        <f t="shared" si="18"/>
        <v>0</v>
      </c>
      <c r="AE26" s="32">
        <f t="shared" si="18"/>
        <v>352</v>
      </c>
      <c r="AF26" s="32">
        <f t="shared" si="18"/>
        <v>461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1</v>
      </c>
      <c r="F27" s="50">
        <v>6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3</v>
      </c>
      <c r="M27" s="50">
        <v>8</v>
      </c>
      <c r="N27" s="50">
        <v>0</v>
      </c>
      <c r="O27" s="15">
        <f t="shared" si="0"/>
        <v>16</v>
      </c>
      <c r="P27" s="15">
        <f t="shared" si="1"/>
        <v>24</v>
      </c>
      <c r="R27" s="29" t="s">
        <v>87</v>
      </c>
      <c r="S27" s="16">
        <f t="shared" ref="S27:AF27" si="19">SUM(S19:S21)</f>
        <v>15</v>
      </c>
      <c r="T27" s="16">
        <f t="shared" si="19"/>
        <v>14</v>
      </c>
      <c r="U27" s="16">
        <f t="shared" si="19"/>
        <v>16</v>
      </c>
      <c r="V27" s="16">
        <f t="shared" si="19"/>
        <v>29</v>
      </c>
      <c r="W27" s="16">
        <f t="shared" si="19"/>
        <v>0</v>
      </c>
      <c r="X27" s="16">
        <f t="shared" si="19"/>
        <v>2</v>
      </c>
      <c r="Y27" s="16">
        <f t="shared" si="19"/>
        <v>5</v>
      </c>
      <c r="Z27" s="16">
        <f t="shared" si="19"/>
        <v>11</v>
      </c>
      <c r="AA27" s="16">
        <f t="shared" si="19"/>
        <v>5</v>
      </c>
      <c r="AB27" s="16">
        <f t="shared" si="19"/>
        <v>98</v>
      </c>
      <c r="AC27" s="16">
        <f t="shared" si="19"/>
        <v>27</v>
      </c>
      <c r="AD27" s="16">
        <f t="shared" si="19"/>
        <v>0</v>
      </c>
      <c r="AE27" s="32">
        <f t="shared" si="19"/>
        <v>195</v>
      </c>
      <c r="AF27" s="32">
        <f t="shared" si="19"/>
        <v>222</v>
      </c>
    </row>
    <row r="28" spans="2:32" ht="23.1" customHeight="1" x14ac:dyDescent="0.25">
      <c r="B28" s="23" t="s">
        <v>55</v>
      </c>
      <c r="C28" s="50">
        <v>2</v>
      </c>
      <c r="D28" s="50">
        <v>5</v>
      </c>
      <c r="E28" s="50">
        <v>1</v>
      </c>
      <c r="F28" s="50">
        <v>8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10</v>
      </c>
      <c r="M28" s="50">
        <v>4</v>
      </c>
      <c r="N28" s="50">
        <v>0</v>
      </c>
      <c r="O28" s="15">
        <f t="shared" si="0"/>
        <v>26</v>
      </c>
      <c r="P28" s="15">
        <f t="shared" si="1"/>
        <v>30</v>
      </c>
      <c r="R28" s="5" t="s">
        <v>17</v>
      </c>
      <c r="S28" s="16">
        <f t="shared" ref="S28:AF28" si="20">SUM(S10:S21)</f>
        <v>56</v>
      </c>
      <c r="T28" s="16">
        <f t="shared" si="20"/>
        <v>77</v>
      </c>
      <c r="U28" s="16">
        <f t="shared" si="20"/>
        <v>50</v>
      </c>
      <c r="V28" s="16">
        <f t="shared" si="20"/>
        <v>136</v>
      </c>
      <c r="W28" s="16">
        <f t="shared" si="20"/>
        <v>2</v>
      </c>
      <c r="X28" s="16">
        <f t="shared" si="20"/>
        <v>5</v>
      </c>
      <c r="Y28" s="16">
        <f t="shared" si="20"/>
        <v>21</v>
      </c>
      <c r="Z28" s="16">
        <f t="shared" si="20"/>
        <v>27</v>
      </c>
      <c r="AA28" s="16">
        <f t="shared" si="20"/>
        <v>20</v>
      </c>
      <c r="AB28" s="16">
        <f t="shared" si="20"/>
        <v>312</v>
      </c>
      <c r="AC28" s="16">
        <f t="shared" si="20"/>
        <v>209</v>
      </c>
      <c r="AD28" s="16">
        <f t="shared" si="20"/>
        <v>0</v>
      </c>
      <c r="AE28" s="32">
        <f t="shared" si="20"/>
        <v>706</v>
      </c>
      <c r="AF28" s="32">
        <f t="shared" si="20"/>
        <v>915</v>
      </c>
    </row>
    <row r="29" spans="2:32" ht="23.1" customHeight="1" x14ac:dyDescent="0.25">
      <c r="B29" s="23" t="s">
        <v>56</v>
      </c>
      <c r="C29" s="50">
        <v>2</v>
      </c>
      <c r="D29" s="50">
        <v>4</v>
      </c>
      <c r="E29" s="50">
        <v>2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9</v>
      </c>
      <c r="M29" s="50">
        <v>5</v>
      </c>
      <c r="N29" s="50">
        <v>0</v>
      </c>
      <c r="O29" s="15">
        <f t="shared" si="0"/>
        <v>19</v>
      </c>
      <c r="P29" s="15">
        <f t="shared" si="1"/>
        <v>24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5</v>
      </c>
      <c r="E30" s="50">
        <v>2</v>
      </c>
      <c r="F30" s="50">
        <v>8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3</v>
      </c>
      <c r="M30" s="50">
        <v>4</v>
      </c>
      <c r="N30" s="50">
        <v>0</v>
      </c>
      <c r="O30" s="15">
        <f t="shared" si="0"/>
        <v>18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0</v>
      </c>
      <c r="D31" s="50">
        <v>5</v>
      </c>
      <c r="E31" s="50">
        <v>2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10</v>
      </c>
      <c r="M31" s="50">
        <v>3</v>
      </c>
      <c r="N31" s="50">
        <v>0</v>
      </c>
      <c r="O31" s="15">
        <f t="shared" si="0"/>
        <v>19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6</v>
      </c>
      <c r="D32" s="50">
        <v>2</v>
      </c>
      <c r="E32" s="50">
        <v>5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8</v>
      </c>
      <c r="M32" s="50">
        <v>6</v>
      </c>
      <c r="N32" s="50">
        <v>0</v>
      </c>
      <c r="O32" s="15">
        <f t="shared" si="0"/>
        <v>23</v>
      </c>
      <c r="P32" s="15">
        <f t="shared" si="1"/>
        <v>29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3</v>
      </c>
      <c r="M33" s="50">
        <v>3</v>
      </c>
      <c r="N33" s="50">
        <v>0</v>
      </c>
      <c r="O33" s="15">
        <f t="shared" si="0"/>
        <v>6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5</v>
      </c>
      <c r="M34" s="50">
        <v>0</v>
      </c>
      <c r="N34" s="50">
        <v>0</v>
      </c>
      <c r="O34" s="15">
        <f t="shared" si="0"/>
        <v>8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0</v>
      </c>
      <c r="D35" s="50">
        <v>3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3</v>
      </c>
      <c r="M35" s="50">
        <v>7</v>
      </c>
      <c r="N35" s="50">
        <v>0</v>
      </c>
      <c r="O35" s="15">
        <f t="shared" si="0"/>
        <v>6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4</v>
      </c>
      <c r="M36" s="50">
        <v>2</v>
      </c>
      <c r="N36" s="50">
        <v>0</v>
      </c>
      <c r="O36" s="15">
        <f t="shared" si="0"/>
        <v>9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1</v>
      </c>
      <c r="F37" s="50">
        <v>2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2</v>
      </c>
      <c r="M37" s="50">
        <v>3</v>
      </c>
      <c r="N37" s="50">
        <v>0</v>
      </c>
      <c r="O37" s="15">
        <f t="shared" si="0"/>
        <v>7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5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0</v>
      </c>
      <c r="F39" s="50">
        <v>6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8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1</v>
      </c>
      <c r="M40" s="50">
        <v>1</v>
      </c>
      <c r="N40" s="50">
        <v>0</v>
      </c>
      <c r="O40" s="15">
        <f t="shared" si="0"/>
        <v>1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4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8</v>
      </c>
      <c r="M41" s="50">
        <v>3</v>
      </c>
      <c r="N41" s="50">
        <v>0</v>
      </c>
      <c r="O41" s="15">
        <f t="shared" si="0"/>
        <v>15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2</v>
      </c>
      <c r="D42" s="50">
        <v>3</v>
      </c>
      <c r="E42" s="50">
        <v>1</v>
      </c>
      <c r="F42" s="50">
        <v>3</v>
      </c>
      <c r="G42" s="50">
        <v>0</v>
      </c>
      <c r="H42" s="50">
        <v>3</v>
      </c>
      <c r="I42" s="50">
        <v>1</v>
      </c>
      <c r="J42" s="50">
        <v>3</v>
      </c>
      <c r="K42" s="50">
        <v>0</v>
      </c>
      <c r="L42" s="50">
        <v>23</v>
      </c>
      <c r="M42" s="50">
        <v>4</v>
      </c>
      <c r="N42" s="50">
        <v>0</v>
      </c>
      <c r="O42" s="15">
        <f t="shared" si="0"/>
        <v>39</v>
      </c>
      <c r="P42" s="15">
        <f t="shared" si="1"/>
        <v>43</v>
      </c>
    </row>
    <row r="43" spans="2:20" ht="23.1" customHeight="1" x14ac:dyDescent="0.25">
      <c r="B43" s="23" t="s">
        <v>70</v>
      </c>
      <c r="C43" s="50">
        <v>1</v>
      </c>
      <c r="D43" s="50">
        <v>4</v>
      </c>
      <c r="E43" s="50">
        <v>0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3</v>
      </c>
      <c r="L43" s="50">
        <v>7</v>
      </c>
      <c r="M43" s="50">
        <v>0</v>
      </c>
      <c r="N43" s="50">
        <v>0</v>
      </c>
      <c r="O43" s="15">
        <f t="shared" si="0"/>
        <v>23</v>
      </c>
      <c r="P43" s="15">
        <f t="shared" si="1"/>
        <v>23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4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8</v>
      </c>
      <c r="M44" s="50">
        <v>5</v>
      </c>
      <c r="N44" s="50">
        <v>0</v>
      </c>
      <c r="O44" s="15">
        <f t="shared" si="0"/>
        <v>14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1</v>
      </c>
      <c r="F45" s="50">
        <v>3</v>
      </c>
      <c r="G45" s="50">
        <v>0</v>
      </c>
      <c r="H45" s="50">
        <v>0</v>
      </c>
      <c r="I45" s="50">
        <v>0</v>
      </c>
      <c r="J45" s="50">
        <v>1</v>
      </c>
      <c r="K45" s="50">
        <v>1</v>
      </c>
      <c r="L45" s="50">
        <v>10</v>
      </c>
      <c r="M45" s="50">
        <v>7</v>
      </c>
      <c r="N45" s="50">
        <v>0</v>
      </c>
      <c r="O45" s="15">
        <f t="shared" si="0"/>
        <v>19</v>
      </c>
      <c r="P45" s="15">
        <f t="shared" si="1"/>
        <v>26</v>
      </c>
    </row>
    <row r="46" spans="2:20" ht="23.1" customHeight="1" x14ac:dyDescent="0.25">
      <c r="B46" s="24" t="s">
        <v>73</v>
      </c>
      <c r="C46" s="50">
        <v>0</v>
      </c>
      <c r="D46" s="50">
        <v>3</v>
      </c>
      <c r="E46" s="50">
        <v>1</v>
      </c>
      <c r="F46" s="50">
        <v>6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5</v>
      </c>
      <c r="M46" s="50">
        <v>3</v>
      </c>
      <c r="N46" s="50">
        <v>0</v>
      </c>
      <c r="O46" s="15">
        <f t="shared" si="0"/>
        <v>15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1</v>
      </c>
      <c r="F47" s="50">
        <v>2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11</v>
      </c>
      <c r="M47" s="50">
        <v>4</v>
      </c>
      <c r="N47" s="50">
        <v>0</v>
      </c>
      <c r="O47" s="15">
        <f t="shared" si="0"/>
        <v>17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4</v>
      </c>
      <c r="E48" s="50">
        <v>0</v>
      </c>
      <c r="F48" s="50">
        <v>2</v>
      </c>
      <c r="G48" s="50">
        <v>0</v>
      </c>
      <c r="H48" s="50">
        <v>1</v>
      </c>
      <c r="I48" s="50">
        <v>1</v>
      </c>
      <c r="J48" s="50">
        <v>2</v>
      </c>
      <c r="K48" s="50">
        <v>0</v>
      </c>
      <c r="L48" s="50">
        <v>6</v>
      </c>
      <c r="M48" s="50">
        <v>1</v>
      </c>
      <c r="N48" s="50">
        <v>0</v>
      </c>
      <c r="O48" s="15">
        <f t="shared" si="0"/>
        <v>16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3</v>
      </c>
      <c r="F49" s="50">
        <v>3</v>
      </c>
      <c r="G49" s="50">
        <v>0</v>
      </c>
      <c r="H49" s="50">
        <v>0</v>
      </c>
      <c r="I49" s="50">
        <v>1</v>
      </c>
      <c r="J49" s="50">
        <v>2</v>
      </c>
      <c r="K49" s="50">
        <v>1</v>
      </c>
      <c r="L49" s="50">
        <v>11</v>
      </c>
      <c r="M49" s="50">
        <v>4</v>
      </c>
      <c r="N49" s="50">
        <v>0</v>
      </c>
      <c r="O49" s="15">
        <f t="shared" si="0"/>
        <v>22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2</v>
      </c>
      <c r="F50" s="50">
        <v>3</v>
      </c>
      <c r="G50" s="50">
        <v>0</v>
      </c>
      <c r="H50" s="50">
        <v>0</v>
      </c>
      <c r="I50" s="50">
        <v>1</v>
      </c>
      <c r="J50" s="50">
        <v>2</v>
      </c>
      <c r="K50" s="50">
        <v>0</v>
      </c>
      <c r="L50" s="50">
        <v>6</v>
      </c>
      <c r="M50" s="50">
        <v>3</v>
      </c>
      <c r="N50" s="50">
        <v>0</v>
      </c>
      <c r="O50" s="15">
        <f t="shared" si="0"/>
        <v>17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3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8</v>
      </c>
      <c r="M51" s="50">
        <v>2</v>
      </c>
      <c r="N51" s="50">
        <v>0</v>
      </c>
      <c r="O51" s="15">
        <f t="shared" si="0"/>
        <v>16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0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8</v>
      </c>
      <c r="M52" s="50">
        <v>1</v>
      </c>
      <c r="N52" s="50">
        <v>0</v>
      </c>
      <c r="O52" s="15">
        <f t="shared" si="0"/>
        <v>14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1</v>
      </c>
      <c r="F53" s="50">
        <v>0</v>
      </c>
      <c r="G53" s="50">
        <v>0</v>
      </c>
      <c r="H53" s="50">
        <v>1</v>
      </c>
      <c r="I53" s="50">
        <v>0</v>
      </c>
      <c r="J53" s="50">
        <v>0</v>
      </c>
      <c r="K53" s="50">
        <v>1</v>
      </c>
      <c r="L53" s="50">
        <v>0</v>
      </c>
      <c r="M53" s="50">
        <v>0</v>
      </c>
      <c r="N53" s="50">
        <v>0</v>
      </c>
      <c r="O53" s="15">
        <f t="shared" si="0"/>
        <v>6</v>
      </c>
      <c r="P53" s="15">
        <f t="shared" si="1"/>
        <v>6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8</v>
      </c>
      <c r="M54" s="50">
        <v>1</v>
      </c>
      <c r="N54" s="50">
        <v>0</v>
      </c>
      <c r="O54" s="15">
        <f t="shared" si="0"/>
        <v>15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0</v>
      </c>
      <c r="F55" s="50">
        <v>4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19</v>
      </c>
      <c r="M55" s="50">
        <v>3</v>
      </c>
      <c r="N55" s="50">
        <v>0</v>
      </c>
      <c r="O55" s="15">
        <f t="shared" si="0"/>
        <v>25</v>
      </c>
      <c r="P55" s="15">
        <f t="shared" si="1"/>
        <v>28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4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3</v>
      </c>
      <c r="L56" s="50">
        <v>11</v>
      </c>
      <c r="M56" s="50">
        <v>4</v>
      </c>
      <c r="N56" s="50">
        <v>0</v>
      </c>
      <c r="O56" s="15">
        <f t="shared" si="0"/>
        <v>21</v>
      </c>
      <c r="P56" s="15">
        <f t="shared" si="1"/>
        <v>25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5</v>
      </c>
      <c r="M57" s="50">
        <v>1</v>
      </c>
      <c r="N57" s="50">
        <v>0</v>
      </c>
      <c r="O57" s="15">
        <f t="shared" si="0"/>
        <v>11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56</v>
      </c>
      <c r="D58" s="16">
        <f t="shared" si="21"/>
        <v>77</v>
      </c>
      <c r="E58" s="16">
        <f t="shared" si="21"/>
        <v>50</v>
      </c>
      <c r="F58" s="16">
        <f t="shared" si="21"/>
        <v>136</v>
      </c>
      <c r="G58" s="16">
        <f t="shared" si="21"/>
        <v>2</v>
      </c>
      <c r="H58" s="16">
        <f t="shared" si="21"/>
        <v>5</v>
      </c>
      <c r="I58" s="16">
        <f t="shared" si="21"/>
        <v>21</v>
      </c>
      <c r="J58" s="16">
        <f t="shared" si="21"/>
        <v>27</v>
      </c>
      <c r="K58" s="16">
        <f t="shared" si="21"/>
        <v>20</v>
      </c>
      <c r="L58" s="16">
        <f t="shared" si="21"/>
        <v>312</v>
      </c>
      <c r="M58" s="16">
        <f t="shared" si="21"/>
        <v>209</v>
      </c>
      <c r="N58" s="16">
        <f t="shared" si="21"/>
        <v>0</v>
      </c>
      <c r="O58" s="16">
        <f t="shared" si="21"/>
        <v>706</v>
      </c>
      <c r="P58" s="16">
        <f t="shared" si="21"/>
        <v>915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6.1202185792349727E-2</v>
      </c>
      <c r="D59" s="43">
        <f t="shared" si="22"/>
        <v>8.4153005464480873E-2</v>
      </c>
      <c r="E59" s="43">
        <f t="shared" si="22"/>
        <v>5.4644808743169397E-2</v>
      </c>
      <c r="F59" s="43">
        <f t="shared" si="22"/>
        <v>0.14863387978142076</v>
      </c>
      <c r="G59" s="43">
        <f t="shared" si="22"/>
        <v>2.185792349726776E-3</v>
      </c>
      <c r="H59" s="43">
        <f t="shared" si="22"/>
        <v>5.4644808743169399E-3</v>
      </c>
      <c r="I59" s="43">
        <f t="shared" si="22"/>
        <v>2.2950819672131147E-2</v>
      </c>
      <c r="J59" s="43">
        <f t="shared" si="22"/>
        <v>2.9508196721311476E-2</v>
      </c>
      <c r="K59" s="43">
        <f t="shared" si="22"/>
        <v>2.185792349726776E-2</v>
      </c>
      <c r="L59" s="43">
        <f t="shared" si="22"/>
        <v>0.34098360655737703</v>
      </c>
      <c r="M59" s="43">
        <f t="shared" si="22"/>
        <v>0.2284153005464481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7.9320113314447591E-2</v>
      </c>
      <c r="D60" s="44">
        <f t="shared" ref="D60:N60" si="23">D58/$O$58</f>
        <v>0.10906515580736544</v>
      </c>
      <c r="E60" s="44">
        <f t="shared" si="23"/>
        <v>7.0821529745042494E-2</v>
      </c>
      <c r="F60" s="44">
        <f t="shared" si="23"/>
        <v>0.19263456090651557</v>
      </c>
      <c r="G60" s="44">
        <f t="shared" si="23"/>
        <v>2.8328611898016999E-3</v>
      </c>
      <c r="H60" s="44">
        <f t="shared" si="23"/>
        <v>7.0821529745042494E-3</v>
      </c>
      <c r="I60" s="44">
        <f t="shared" si="23"/>
        <v>2.9745042492917848E-2</v>
      </c>
      <c r="J60" s="44">
        <f t="shared" si="23"/>
        <v>3.8243626062322948E-2</v>
      </c>
      <c r="K60" s="44">
        <f t="shared" si="23"/>
        <v>2.8328611898016998E-2</v>
      </c>
      <c r="L60" s="44">
        <f t="shared" si="23"/>
        <v>0.44192634560906513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BUSITEMA-TORORO'!C3:G3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'26.08 BUSITEMA-TORORO'!D5</f>
        <v>26.08.19</v>
      </c>
      <c r="E5" s="3"/>
      <c r="F5" s="41" t="s">
        <v>1</v>
      </c>
      <c r="G5" s="63" t="str">
        <f>'26.08 BUSITEMA-TORORO'!G5:H5</f>
        <v>STATION 98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163</v>
      </c>
      <c r="E6" s="64"/>
      <c r="F6" s="2" t="s">
        <v>2</v>
      </c>
      <c r="G6" s="63" t="s">
        <v>164</v>
      </c>
      <c r="H6" s="64"/>
      <c r="J6" s="2" t="s">
        <v>21</v>
      </c>
      <c r="K6" s="63" t="str">
        <f>'26.08 BUSITEMA-TORORO'!K6:L6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19</v>
      </c>
      <c r="M10" s="50">
        <v>1</v>
      </c>
      <c r="N10" s="50">
        <v>0</v>
      </c>
      <c r="O10" s="15">
        <f t="shared" ref="O10:O57" si="0">SUM(C10:L10,N10)</f>
        <v>25</v>
      </c>
      <c r="P10" s="15">
        <f t="shared" ref="P10:P57" si="1">SUM(C10:N10)</f>
        <v>26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1</v>
      </c>
      <c r="V10" s="17">
        <f t="shared" si="2"/>
        <v>12</v>
      </c>
      <c r="W10" s="17">
        <f t="shared" si="2"/>
        <v>1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60</v>
      </c>
      <c r="AC10" s="17">
        <f t="shared" si="2"/>
        <v>8</v>
      </c>
      <c r="AD10" s="17">
        <f t="shared" si="2"/>
        <v>0</v>
      </c>
      <c r="AE10" s="31">
        <f t="shared" si="2"/>
        <v>78</v>
      </c>
      <c r="AF10" s="31">
        <f t="shared" si="2"/>
        <v>86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3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16</v>
      </c>
      <c r="M11" s="50">
        <v>2</v>
      </c>
      <c r="N11" s="50">
        <v>0</v>
      </c>
      <c r="O11" s="15">
        <f t="shared" si="0"/>
        <v>20</v>
      </c>
      <c r="P11" s="15">
        <f t="shared" si="1"/>
        <v>22</v>
      </c>
      <c r="R11" s="1" t="s">
        <v>7</v>
      </c>
      <c r="S11" s="17">
        <f t="shared" ref="S11:AF11" si="3">SUM(C14:C17)</f>
        <v>9</v>
      </c>
      <c r="T11" s="17">
        <f t="shared" si="3"/>
        <v>11</v>
      </c>
      <c r="U11" s="17">
        <f t="shared" si="3"/>
        <v>2</v>
      </c>
      <c r="V11" s="17">
        <f t="shared" si="3"/>
        <v>8</v>
      </c>
      <c r="W11" s="17">
        <f t="shared" si="3"/>
        <v>1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1</v>
      </c>
      <c r="AB11" s="17">
        <f t="shared" si="3"/>
        <v>25</v>
      </c>
      <c r="AC11" s="17">
        <f t="shared" si="3"/>
        <v>7</v>
      </c>
      <c r="AD11" s="17">
        <f t="shared" si="3"/>
        <v>0</v>
      </c>
      <c r="AE11" s="31">
        <f t="shared" si="3"/>
        <v>58</v>
      </c>
      <c r="AF11" s="31">
        <f t="shared" si="3"/>
        <v>65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16</v>
      </c>
      <c r="M12" s="50">
        <v>1</v>
      </c>
      <c r="N12" s="50">
        <v>0</v>
      </c>
      <c r="O12" s="15">
        <f t="shared" si="0"/>
        <v>21</v>
      </c>
      <c r="P12" s="15">
        <f t="shared" si="1"/>
        <v>22</v>
      </c>
      <c r="R12" s="1" t="s">
        <v>8</v>
      </c>
      <c r="S12" s="17">
        <f t="shared" ref="S12:AF12" si="4">SUM(C18:C21)</f>
        <v>4</v>
      </c>
      <c r="T12" s="17">
        <f t="shared" si="4"/>
        <v>13</v>
      </c>
      <c r="U12" s="17">
        <f t="shared" si="4"/>
        <v>6</v>
      </c>
      <c r="V12" s="17">
        <f t="shared" si="4"/>
        <v>10</v>
      </c>
      <c r="W12" s="17">
        <f t="shared" si="4"/>
        <v>2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30</v>
      </c>
      <c r="AC12" s="17">
        <f t="shared" si="4"/>
        <v>16</v>
      </c>
      <c r="AD12" s="17">
        <f t="shared" si="4"/>
        <v>0</v>
      </c>
      <c r="AE12" s="31">
        <f t="shared" si="4"/>
        <v>67</v>
      </c>
      <c r="AF12" s="31">
        <f t="shared" si="4"/>
        <v>83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9</v>
      </c>
      <c r="M13" s="50">
        <v>4</v>
      </c>
      <c r="N13" s="50">
        <v>0</v>
      </c>
      <c r="O13" s="15">
        <f t="shared" si="0"/>
        <v>12</v>
      </c>
      <c r="P13" s="15">
        <f t="shared" si="1"/>
        <v>16</v>
      </c>
      <c r="R13" s="1" t="s">
        <v>9</v>
      </c>
      <c r="S13" s="17">
        <f t="shared" ref="S13:AF13" si="5">SUM(C22:C25)</f>
        <v>9</v>
      </c>
      <c r="T13" s="17">
        <f t="shared" si="5"/>
        <v>6</v>
      </c>
      <c r="U13" s="17">
        <f t="shared" si="5"/>
        <v>3</v>
      </c>
      <c r="V13" s="17">
        <f t="shared" si="5"/>
        <v>18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3</v>
      </c>
      <c r="AA13" s="17">
        <f t="shared" si="5"/>
        <v>0</v>
      </c>
      <c r="AB13" s="17">
        <f t="shared" si="5"/>
        <v>44</v>
      </c>
      <c r="AC13" s="17">
        <f t="shared" si="5"/>
        <v>16</v>
      </c>
      <c r="AD13" s="17">
        <f t="shared" si="5"/>
        <v>0</v>
      </c>
      <c r="AE13" s="31">
        <f t="shared" si="5"/>
        <v>88</v>
      </c>
      <c r="AF13" s="31">
        <f t="shared" si="5"/>
        <v>104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10</v>
      </c>
      <c r="M14" s="50">
        <v>1</v>
      </c>
      <c r="N14" s="50">
        <v>0</v>
      </c>
      <c r="O14" s="15">
        <f t="shared" si="0"/>
        <v>18</v>
      </c>
      <c r="P14" s="15">
        <f t="shared" si="1"/>
        <v>19</v>
      </c>
      <c r="R14" s="1" t="s">
        <v>10</v>
      </c>
      <c r="S14" s="17">
        <f t="shared" ref="S14:AF14" si="6">SUM(C26:C29)</f>
        <v>4</v>
      </c>
      <c r="T14" s="17">
        <f t="shared" si="6"/>
        <v>13</v>
      </c>
      <c r="U14" s="17">
        <f t="shared" si="6"/>
        <v>2</v>
      </c>
      <c r="V14" s="17">
        <f t="shared" si="6"/>
        <v>17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4</v>
      </c>
      <c r="AA14" s="17">
        <f t="shared" si="6"/>
        <v>0</v>
      </c>
      <c r="AB14" s="17">
        <f t="shared" si="6"/>
        <v>37</v>
      </c>
      <c r="AC14" s="17">
        <f t="shared" si="6"/>
        <v>15</v>
      </c>
      <c r="AD14" s="17">
        <f t="shared" si="6"/>
        <v>0</v>
      </c>
      <c r="AE14" s="31">
        <f t="shared" si="6"/>
        <v>78</v>
      </c>
      <c r="AF14" s="31">
        <f t="shared" si="6"/>
        <v>93</v>
      </c>
    </row>
    <row r="15" spans="2:32" ht="23.1" customHeight="1" x14ac:dyDescent="0.25">
      <c r="B15" s="23" t="s">
        <v>42</v>
      </c>
      <c r="C15" s="50">
        <v>2</v>
      </c>
      <c r="D15" s="50">
        <v>4</v>
      </c>
      <c r="E15" s="50">
        <v>0</v>
      </c>
      <c r="F15" s="50">
        <v>4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8</v>
      </c>
      <c r="M15" s="50">
        <v>1</v>
      </c>
      <c r="N15" s="50">
        <v>0</v>
      </c>
      <c r="O15" s="15">
        <f t="shared" si="0"/>
        <v>19</v>
      </c>
      <c r="P15" s="15">
        <f t="shared" si="1"/>
        <v>20</v>
      </c>
      <c r="R15" s="1" t="s">
        <v>11</v>
      </c>
      <c r="S15" s="17">
        <f t="shared" ref="S15:AF15" si="7">SUM(C30:C33)</f>
        <v>11</v>
      </c>
      <c r="T15" s="17">
        <f t="shared" si="7"/>
        <v>13</v>
      </c>
      <c r="U15" s="17">
        <f t="shared" si="7"/>
        <v>0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44</v>
      </c>
      <c r="AC15" s="17">
        <f t="shared" si="7"/>
        <v>9</v>
      </c>
      <c r="AD15" s="17">
        <f t="shared" si="7"/>
        <v>0</v>
      </c>
      <c r="AE15" s="31">
        <f t="shared" si="7"/>
        <v>83</v>
      </c>
      <c r="AF15" s="31">
        <f t="shared" si="7"/>
        <v>92</v>
      </c>
    </row>
    <row r="16" spans="2:32" ht="23.1" customHeight="1" x14ac:dyDescent="0.25">
      <c r="B16" s="23" t="s">
        <v>43</v>
      </c>
      <c r="C16" s="50">
        <v>2</v>
      </c>
      <c r="D16" s="50">
        <v>4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2</v>
      </c>
      <c r="M16" s="50">
        <v>3</v>
      </c>
      <c r="N16" s="50">
        <v>0</v>
      </c>
      <c r="O16" s="15">
        <f t="shared" si="0"/>
        <v>9</v>
      </c>
      <c r="P16" s="15">
        <f t="shared" si="1"/>
        <v>12</v>
      </c>
      <c r="R16" s="1" t="s">
        <v>12</v>
      </c>
      <c r="S16" s="17">
        <f t="shared" ref="S16:AF16" si="8">SUM(C34:C37)</f>
        <v>1</v>
      </c>
      <c r="T16" s="17">
        <f t="shared" si="8"/>
        <v>8</v>
      </c>
      <c r="U16" s="17">
        <f t="shared" si="8"/>
        <v>4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8</v>
      </c>
      <c r="AA16" s="17">
        <f t="shared" si="8"/>
        <v>0</v>
      </c>
      <c r="AB16" s="17">
        <f t="shared" si="8"/>
        <v>49</v>
      </c>
      <c r="AC16" s="17">
        <f t="shared" si="8"/>
        <v>7</v>
      </c>
      <c r="AD16" s="17">
        <f t="shared" si="8"/>
        <v>0</v>
      </c>
      <c r="AE16" s="31">
        <f t="shared" si="8"/>
        <v>90</v>
      </c>
      <c r="AF16" s="31">
        <f t="shared" si="8"/>
        <v>97</v>
      </c>
    </row>
    <row r="17" spans="2:32" ht="23.1" customHeight="1" x14ac:dyDescent="0.25">
      <c r="B17" s="23" t="s">
        <v>44</v>
      </c>
      <c r="C17" s="50">
        <v>2</v>
      </c>
      <c r="D17" s="50">
        <v>3</v>
      </c>
      <c r="E17" s="50">
        <v>0</v>
      </c>
      <c r="F17" s="50">
        <v>1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5</v>
      </c>
      <c r="M17" s="50">
        <v>2</v>
      </c>
      <c r="N17" s="50">
        <v>0</v>
      </c>
      <c r="O17" s="15">
        <f t="shared" si="0"/>
        <v>12</v>
      </c>
      <c r="P17" s="15">
        <f t="shared" si="1"/>
        <v>14</v>
      </c>
      <c r="R17" s="1" t="s">
        <v>13</v>
      </c>
      <c r="S17" s="17">
        <f t="shared" ref="S17:AF17" si="9">SUM(C38:C41)</f>
        <v>4</v>
      </c>
      <c r="T17" s="17">
        <f t="shared" si="9"/>
        <v>5</v>
      </c>
      <c r="U17" s="17">
        <f t="shared" si="9"/>
        <v>5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46</v>
      </c>
      <c r="AC17" s="17">
        <f t="shared" si="9"/>
        <v>8</v>
      </c>
      <c r="AD17" s="17">
        <f t="shared" si="9"/>
        <v>0</v>
      </c>
      <c r="AE17" s="31">
        <f t="shared" si="9"/>
        <v>70</v>
      </c>
      <c r="AF17" s="31">
        <f t="shared" si="9"/>
        <v>78</v>
      </c>
    </row>
    <row r="18" spans="2:32" ht="23.1" customHeight="1" x14ac:dyDescent="0.25">
      <c r="B18" s="23" t="s">
        <v>45</v>
      </c>
      <c r="C18" s="50">
        <v>0</v>
      </c>
      <c r="D18" s="50">
        <v>2</v>
      </c>
      <c r="E18" s="50">
        <v>3</v>
      </c>
      <c r="F18" s="50">
        <v>3</v>
      </c>
      <c r="G18" s="50">
        <v>2</v>
      </c>
      <c r="H18" s="50">
        <v>0</v>
      </c>
      <c r="I18" s="50">
        <v>0</v>
      </c>
      <c r="J18" s="50">
        <v>0</v>
      </c>
      <c r="K18" s="50">
        <v>0</v>
      </c>
      <c r="L18" s="50">
        <v>8</v>
      </c>
      <c r="M18" s="50">
        <v>9</v>
      </c>
      <c r="N18" s="50">
        <v>0</v>
      </c>
      <c r="O18" s="15">
        <f t="shared" si="0"/>
        <v>18</v>
      </c>
      <c r="P18" s="15">
        <f t="shared" si="1"/>
        <v>27</v>
      </c>
      <c r="R18" s="1" t="s">
        <v>14</v>
      </c>
      <c r="S18" s="17">
        <f t="shared" ref="S18:AF18" si="10">SUM(C42:C45)</f>
        <v>9</v>
      </c>
      <c r="T18" s="17">
        <f t="shared" si="10"/>
        <v>5</v>
      </c>
      <c r="U18" s="17">
        <f t="shared" si="10"/>
        <v>6</v>
      </c>
      <c r="V18" s="17">
        <f t="shared" si="10"/>
        <v>14</v>
      </c>
      <c r="W18" s="17">
        <f t="shared" si="10"/>
        <v>0</v>
      </c>
      <c r="X18" s="17">
        <f t="shared" si="10"/>
        <v>1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33</v>
      </c>
      <c r="AC18" s="17">
        <f t="shared" si="10"/>
        <v>21</v>
      </c>
      <c r="AD18" s="17">
        <f t="shared" si="10"/>
        <v>0</v>
      </c>
      <c r="AE18" s="31">
        <f t="shared" si="10"/>
        <v>74</v>
      </c>
      <c r="AF18" s="31">
        <f t="shared" si="10"/>
        <v>95</v>
      </c>
    </row>
    <row r="19" spans="2:32" ht="23.1" customHeight="1" x14ac:dyDescent="0.25">
      <c r="B19" s="23" t="s">
        <v>46</v>
      </c>
      <c r="C19" s="50">
        <v>1</v>
      </c>
      <c r="D19" s="50">
        <v>7</v>
      </c>
      <c r="E19" s="50">
        <v>0</v>
      </c>
      <c r="F19" s="50">
        <v>1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8</v>
      </c>
      <c r="M19" s="50">
        <v>1</v>
      </c>
      <c r="N19" s="50">
        <v>0</v>
      </c>
      <c r="O19" s="15">
        <f t="shared" si="0"/>
        <v>18</v>
      </c>
      <c r="P19" s="15">
        <f t="shared" si="1"/>
        <v>19</v>
      </c>
      <c r="R19" s="1" t="s">
        <v>15</v>
      </c>
      <c r="S19" s="17">
        <f t="shared" ref="S19:AF19" si="11">SUM(C46:C49)</f>
        <v>12</v>
      </c>
      <c r="T19" s="17">
        <f t="shared" si="11"/>
        <v>14</v>
      </c>
      <c r="U19" s="17">
        <f t="shared" si="11"/>
        <v>4</v>
      </c>
      <c r="V19" s="17">
        <f t="shared" si="11"/>
        <v>17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5</v>
      </c>
      <c r="AA19" s="17">
        <f t="shared" si="11"/>
        <v>0</v>
      </c>
      <c r="AB19" s="17">
        <f t="shared" si="11"/>
        <v>32</v>
      </c>
      <c r="AC19" s="17">
        <f t="shared" si="11"/>
        <v>17</v>
      </c>
      <c r="AD19" s="17">
        <f t="shared" si="11"/>
        <v>0</v>
      </c>
      <c r="AE19" s="31">
        <f t="shared" si="11"/>
        <v>91</v>
      </c>
      <c r="AF19" s="31">
        <f t="shared" si="11"/>
        <v>108</v>
      </c>
    </row>
    <row r="20" spans="2:32" ht="23.1" customHeight="1" x14ac:dyDescent="0.25">
      <c r="B20" s="23" t="s">
        <v>47</v>
      </c>
      <c r="C20" s="50">
        <v>1</v>
      </c>
      <c r="D20" s="50">
        <v>2</v>
      </c>
      <c r="E20" s="50">
        <v>1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6</v>
      </c>
      <c r="M20" s="50">
        <v>0</v>
      </c>
      <c r="N20" s="50">
        <v>0</v>
      </c>
      <c r="O20" s="15">
        <f t="shared" si="0"/>
        <v>14</v>
      </c>
      <c r="P20" s="15">
        <f t="shared" si="1"/>
        <v>14</v>
      </c>
      <c r="R20" s="1" t="s">
        <v>16</v>
      </c>
      <c r="S20" s="17">
        <f t="shared" ref="S20:AF20" si="12">SUM(C50:C53)</f>
        <v>12</v>
      </c>
      <c r="T20" s="17">
        <f t="shared" si="12"/>
        <v>14</v>
      </c>
      <c r="U20" s="17">
        <f t="shared" si="12"/>
        <v>8</v>
      </c>
      <c r="V20" s="17">
        <f t="shared" si="12"/>
        <v>23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2</v>
      </c>
      <c r="AB20" s="17">
        <f t="shared" si="12"/>
        <v>24</v>
      </c>
      <c r="AC20" s="17">
        <f t="shared" si="12"/>
        <v>12</v>
      </c>
      <c r="AD20" s="17">
        <f t="shared" si="12"/>
        <v>0</v>
      </c>
      <c r="AE20" s="31">
        <f t="shared" si="12"/>
        <v>90</v>
      </c>
      <c r="AF20" s="31">
        <f t="shared" si="12"/>
        <v>102</v>
      </c>
    </row>
    <row r="21" spans="2:32" ht="23.1" customHeight="1" x14ac:dyDescent="0.25">
      <c r="B21" s="23" t="s">
        <v>48</v>
      </c>
      <c r="C21" s="50">
        <v>2</v>
      </c>
      <c r="D21" s="50">
        <v>2</v>
      </c>
      <c r="E21" s="50">
        <v>2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8</v>
      </c>
      <c r="M21" s="50">
        <v>6</v>
      </c>
      <c r="N21" s="50">
        <v>0</v>
      </c>
      <c r="O21" s="15">
        <f t="shared" si="0"/>
        <v>17</v>
      </c>
      <c r="P21" s="15">
        <f t="shared" si="1"/>
        <v>23</v>
      </c>
      <c r="R21" s="36" t="s">
        <v>20</v>
      </c>
      <c r="S21" s="34">
        <f t="shared" ref="S21:AF21" si="13">SUM(C54:C57)</f>
        <v>5</v>
      </c>
      <c r="T21" s="17">
        <f t="shared" si="13"/>
        <v>10</v>
      </c>
      <c r="U21" s="17">
        <f t="shared" si="13"/>
        <v>3</v>
      </c>
      <c r="V21" s="17">
        <f t="shared" si="13"/>
        <v>18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5</v>
      </c>
      <c r="AA21" s="17">
        <f t="shared" si="13"/>
        <v>1</v>
      </c>
      <c r="AB21" s="17">
        <f t="shared" si="13"/>
        <v>34</v>
      </c>
      <c r="AC21" s="17">
        <f t="shared" si="13"/>
        <v>17</v>
      </c>
      <c r="AD21" s="17">
        <f t="shared" si="13"/>
        <v>0</v>
      </c>
      <c r="AE21" s="31">
        <f t="shared" si="13"/>
        <v>85</v>
      </c>
      <c r="AF21" s="31">
        <f t="shared" si="13"/>
        <v>102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2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11</v>
      </c>
      <c r="M22" s="50">
        <v>2</v>
      </c>
      <c r="N22" s="50">
        <v>0</v>
      </c>
      <c r="O22" s="15">
        <f t="shared" si="0"/>
        <v>15</v>
      </c>
      <c r="P22" s="15">
        <f t="shared" si="1"/>
        <v>17</v>
      </c>
      <c r="R22" s="38" t="s">
        <v>90</v>
      </c>
      <c r="S22" s="39">
        <f>MAX(S10:S12)</f>
        <v>9</v>
      </c>
      <c r="T22" s="39">
        <f t="shared" ref="T22:AF22" si="14">MAX(T10:T12)</f>
        <v>13</v>
      </c>
      <c r="U22" s="39">
        <f t="shared" si="14"/>
        <v>6</v>
      </c>
      <c r="V22" s="39">
        <f t="shared" si="14"/>
        <v>12</v>
      </c>
      <c r="W22" s="39">
        <f t="shared" si="14"/>
        <v>2</v>
      </c>
      <c r="X22" s="39">
        <f t="shared" si="14"/>
        <v>1</v>
      </c>
      <c r="Y22" s="39">
        <f t="shared" si="14"/>
        <v>1</v>
      </c>
      <c r="Z22" s="39">
        <f t="shared" si="14"/>
        <v>1</v>
      </c>
      <c r="AA22" s="39">
        <f t="shared" si="14"/>
        <v>1</v>
      </c>
      <c r="AB22" s="39">
        <f t="shared" si="14"/>
        <v>60</v>
      </c>
      <c r="AC22" s="39">
        <f t="shared" si="14"/>
        <v>16</v>
      </c>
      <c r="AD22" s="39">
        <f t="shared" si="14"/>
        <v>0</v>
      </c>
      <c r="AE22" s="40">
        <f t="shared" si="14"/>
        <v>78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3</v>
      </c>
      <c r="D23" s="50">
        <v>2</v>
      </c>
      <c r="E23" s="50">
        <v>3</v>
      </c>
      <c r="F23" s="50">
        <v>8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7</v>
      </c>
      <c r="M23" s="50">
        <v>4</v>
      </c>
      <c r="N23" s="50">
        <v>0</v>
      </c>
      <c r="O23" s="15">
        <f t="shared" si="0"/>
        <v>23</v>
      </c>
      <c r="P23" s="15">
        <f t="shared" si="1"/>
        <v>27</v>
      </c>
      <c r="R23" s="38" t="s">
        <v>91</v>
      </c>
      <c r="S23" s="39">
        <f>MAX(S13:S18)</f>
        <v>11</v>
      </c>
      <c r="T23" s="39">
        <f t="shared" ref="T23:AF23" si="15">MAX(T13:T18)</f>
        <v>13</v>
      </c>
      <c r="U23" s="39">
        <f t="shared" si="15"/>
        <v>6</v>
      </c>
      <c r="V23" s="39">
        <f t="shared" si="15"/>
        <v>18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8</v>
      </c>
      <c r="AA23" s="39">
        <f t="shared" si="15"/>
        <v>0</v>
      </c>
      <c r="AB23" s="39">
        <f t="shared" si="15"/>
        <v>49</v>
      </c>
      <c r="AC23" s="39">
        <f t="shared" si="15"/>
        <v>21</v>
      </c>
      <c r="AD23" s="39">
        <f t="shared" si="15"/>
        <v>0</v>
      </c>
      <c r="AE23" s="40">
        <f t="shared" si="15"/>
        <v>90</v>
      </c>
      <c r="AF23" s="40">
        <f t="shared" si="15"/>
        <v>104</v>
      </c>
    </row>
    <row r="24" spans="2:32" ht="23.1" customHeight="1" x14ac:dyDescent="0.25">
      <c r="B24" s="23" t="s">
        <v>51</v>
      </c>
      <c r="C24" s="50">
        <v>3</v>
      </c>
      <c r="D24" s="50">
        <v>1</v>
      </c>
      <c r="E24" s="50">
        <v>0</v>
      </c>
      <c r="F24" s="50">
        <v>5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19</v>
      </c>
      <c r="M24" s="50">
        <v>10</v>
      </c>
      <c r="N24" s="50">
        <v>0</v>
      </c>
      <c r="O24" s="15">
        <f t="shared" si="0"/>
        <v>33</v>
      </c>
      <c r="P24" s="15">
        <f t="shared" si="1"/>
        <v>43</v>
      </c>
      <c r="R24" s="38" t="s">
        <v>92</v>
      </c>
      <c r="S24" s="39">
        <f>MAX(S19:S21)</f>
        <v>12</v>
      </c>
      <c r="T24" s="39">
        <f t="shared" ref="T24:AF24" si="16">MAX(T19:T21)</f>
        <v>14</v>
      </c>
      <c r="U24" s="39">
        <f t="shared" si="16"/>
        <v>8</v>
      </c>
      <c r="V24" s="39">
        <f t="shared" si="16"/>
        <v>23</v>
      </c>
      <c r="W24" s="39">
        <f t="shared" si="16"/>
        <v>0</v>
      </c>
      <c r="X24" s="39">
        <f t="shared" si="16"/>
        <v>0</v>
      </c>
      <c r="Y24" s="39">
        <f t="shared" si="16"/>
        <v>9</v>
      </c>
      <c r="Z24" s="39">
        <f t="shared" si="16"/>
        <v>5</v>
      </c>
      <c r="AA24" s="39">
        <f t="shared" si="16"/>
        <v>2</v>
      </c>
      <c r="AB24" s="39">
        <f t="shared" si="16"/>
        <v>34</v>
      </c>
      <c r="AC24" s="39">
        <f t="shared" si="16"/>
        <v>17</v>
      </c>
      <c r="AD24" s="39">
        <f t="shared" si="16"/>
        <v>0</v>
      </c>
      <c r="AE24" s="40">
        <f t="shared" si="16"/>
        <v>91</v>
      </c>
      <c r="AF24" s="40">
        <f t="shared" si="16"/>
        <v>108</v>
      </c>
    </row>
    <row r="25" spans="2:32" ht="23.1" customHeight="1" x14ac:dyDescent="0.25">
      <c r="B25" s="23" t="s">
        <v>52</v>
      </c>
      <c r="C25" s="50">
        <v>2</v>
      </c>
      <c r="D25" s="50">
        <v>3</v>
      </c>
      <c r="E25" s="50">
        <v>0</v>
      </c>
      <c r="F25" s="50">
        <v>3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7</v>
      </c>
      <c r="M25" s="50">
        <v>0</v>
      </c>
      <c r="N25" s="50">
        <v>0</v>
      </c>
      <c r="O25" s="15">
        <f t="shared" si="0"/>
        <v>17</v>
      </c>
      <c r="P25" s="15">
        <f t="shared" si="1"/>
        <v>17</v>
      </c>
      <c r="R25" s="37" t="s">
        <v>85</v>
      </c>
      <c r="S25" s="35">
        <f t="shared" ref="S25:AF25" si="17">SUM(S10:S12)</f>
        <v>15</v>
      </c>
      <c r="T25" s="16">
        <f t="shared" si="17"/>
        <v>24</v>
      </c>
      <c r="U25" s="16">
        <f t="shared" si="17"/>
        <v>9</v>
      </c>
      <c r="V25" s="16">
        <f t="shared" si="17"/>
        <v>30</v>
      </c>
      <c r="W25" s="16">
        <f t="shared" si="17"/>
        <v>4</v>
      </c>
      <c r="X25" s="16">
        <f t="shared" si="17"/>
        <v>2</v>
      </c>
      <c r="Y25" s="16">
        <f t="shared" si="17"/>
        <v>1</v>
      </c>
      <c r="Z25" s="16">
        <f t="shared" si="17"/>
        <v>1</v>
      </c>
      <c r="AA25" s="16">
        <f t="shared" si="17"/>
        <v>2</v>
      </c>
      <c r="AB25" s="16">
        <f t="shared" si="17"/>
        <v>115</v>
      </c>
      <c r="AC25" s="16">
        <f t="shared" si="17"/>
        <v>31</v>
      </c>
      <c r="AD25" s="16">
        <f t="shared" si="17"/>
        <v>0</v>
      </c>
      <c r="AE25" s="32">
        <f t="shared" si="17"/>
        <v>203</v>
      </c>
      <c r="AF25" s="32">
        <f t="shared" si="17"/>
        <v>234</v>
      </c>
    </row>
    <row r="26" spans="2:32" ht="23.1" customHeight="1" x14ac:dyDescent="0.25">
      <c r="B26" s="23" t="s">
        <v>53</v>
      </c>
      <c r="C26" s="50">
        <v>0</v>
      </c>
      <c r="D26" s="50">
        <v>2</v>
      </c>
      <c r="E26" s="50">
        <v>1</v>
      </c>
      <c r="F26" s="50">
        <v>4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9</v>
      </c>
      <c r="M26" s="50">
        <v>3</v>
      </c>
      <c r="N26" s="50">
        <v>0</v>
      </c>
      <c r="O26" s="15">
        <f t="shared" si="0"/>
        <v>18</v>
      </c>
      <c r="P26" s="15">
        <f t="shared" si="1"/>
        <v>21</v>
      </c>
      <c r="R26" s="28" t="s">
        <v>86</v>
      </c>
      <c r="S26" s="16">
        <f t="shared" ref="S26:AF26" si="18">SUM(S13:S18)</f>
        <v>38</v>
      </c>
      <c r="T26" s="16">
        <f t="shared" si="18"/>
        <v>50</v>
      </c>
      <c r="U26" s="16">
        <f t="shared" si="18"/>
        <v>20</v>
      </c>
      <c r="V26" s="16">
        <f t="shared" si="18"/>
        <v>83</v>
      </c>
      <c r="W26" s="16">
        <f t="shared" si="18"/>
        <v>0</v>
      </c>
      <c r="X26" s="16">
        <f t="shared" si="18"/>
        <v>1</v>
      </c>
      <c r="Y26" s="16">
        <f t="shared" si="18"/>
        <v>20</v>
      </c>
      <c r="Z26" s="16">
        <f t="shared" si="18"/>
        <v>18</v>
      </c>
      <c r="AA26" s="16">
        <f t="shared" si="18"/>
        <v>0</v>
      </c>
      <c r="AB26" s="16">
        <f t="shared" si="18"/>
        <v>253</v>
      </c>
      <c r="AC26" s="16">
        <f t="shared" si="18"/>
        <v>76</v>
      </c>
      <c r="AD26" s="16">
        <f t="shared" si="18"/>
        <v>0</v>
      </c>
      <c r="AE26" s="32">
        <f t="shared" si="18"/>
        <v>483</v>
      </c>
      <c r="AF26" s="32">
        <f t="shared" si="18"/>
        <v>559</v>
      </c>
    </row>
    <row r="27" spans="2:32" ht="23.1" customHeight="1" x14ac:dyDescent="0.25">
      <c r="B27" s="23" t="s">
        <v>54</v>
      </c>
      <c r="C27" s="50">
        <v>1</v>
      </c>
      <c r="D27" s="50">
        <v>2</v>
      </c>
      <c r="E27" s="50">
        <v>1</v>
      </c>
      <c r="F27" s="50">
        <v>5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6</v>
      </c>
      <c r="M27" s="50">
        <v>5</v>
      </c>
      <c r="N27" s="50">
        <v>0</v>
      </c>
      <c r="O27" s="15">
        <f t="shared" si="0"/>
        <v>15</v>
      </c>
      <c r="P27" s="15">
        <f t="shared" si="1"/>
        <v>20</v>
      </c>
      <c r="R27" s="29" t="s">
        <v>87</v>
      </c>
      <c r="S27" s="16">
        <f t="shared" ref="S27:AF27" si="19">SUM(S19:S21)</f>
        <v>29</v>
      </c>
      <c r="T27" s="16">
        <f t="shared" si="19"/>
        <v>38</v>
      </c>
      <c r="U27" s="16">
        <f t="shared" si="19"/>
        <v>15</v>
      </c>
      <c r="V27" s="16">
        <f t="shared" si="19"/>
        <v>58</v>
      </c>
      <c r="W27" s="16">
        <f t="shared" si="19"/>
        <v>0</v>
      </c>
      <c r="X27" s="16">
        <f t="shared" si="19"/>
        <v>0</v>
      </c>
      <c r="Y27" s="16">
        <f t="shared" si="19"/>
        <v>20</v>
      </c>
      <c r="Z27" s="16">
        <f t="shared" si="19"/>
        <v>13</v>
      </c>
      <c r="AA27" s="16">
        <f t="shared" si="19"/>
        <v>3</v>
      </c>
      <c r="AB27" s="16">
        <f t="shared" si="19"/>
        <v>90</v>
      </c>
      <c r="AC27" s="16">
        <f t="shared" si="19"/>
        <v>46</v>
      </c>
      <c r="AD27" s="16">
        <f t="shared" si="19"/>
        <v>0</v>
      </c>
      <c r="AE27" s="32">
        <f t="shared" si="19"/>
        <v>266</v>
      </c>
      <c r="AF27" s="32">
        <f t="shared" si="19"/>
        <v>312</v>
      </c>
    </row>
    <row r="28" spans="2:32" ht="23.1" customHeight="1" x14ac:dyDescent="0.25">
      <c r="B28" s="23" t="s">
        <v>55</v>
      </c>
      <c r="C28" s="50">
        <v>2</v>
      </c>
      <c r="D28" s="50">
        <v>3</v>
      </c>
      <c r="E28" s="50">
        <v>0</v>
      </c>
      <c r="F28" s="50">
        <v>4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14</v>
      </c>
      <c r="M28" s="50">
        <v>4</v>
      </c>
      <c r="N28" s="50">
        <v>0</v>
      </c>
      <c r="O28" s="15">
        <f t="shared" si="0"/>
        <v>23</v>
      </c>
      <c r="P28" s="15">
        <f t="shared" si="1"/>
        <v>27</v>
      </c>
      <c r="R28" s="5" t="s">
        <v>17</v>
      </c>
      <c r="S28" s="16">
        <f t="shared" ref="S28:AF28" si="20">SUM(S10:S21)</f>
        <v>82</v>
      </c>
      <c r="T28" s="16">
        <f t="shared" si="20"/>
        <v>112</v>
      </c>
      <c r="U28" s="16">
        <f t="shared" si="20"/>
        <v>44</v>
      </c>
      <c r="V28" s="16">
        <f t="shared" si="20"/>
        <v>171</v>
      </c>
      <c r="W28" s="16">
        <f t="shared" si="20"/>
        <v>4</v>
      </c>
      <c r="X28" s="16">
        <f t="shared" si="20"/>
        <v>3</v>
      </c>
      <c r="Y28" s="16">
        <f t="shared" si="20"/>
        <v>41</v>
      </c>
      <c r="Z28" s="16">
        <f t="shared" si="20"/>
        <v>32</v>
      </c>
      <c r="AA28" s="16">
        <f t="shared" si="20"/>
        <v>5</v>
      </c>
      <c r="AB28" s="16">
        <f t="shared" si="20"/>
        <v>458</v>
      </c>
      <c r="AC28" s="16">
        <f t="shared" si="20"/>
        <v>153</v>
      </c>
      <c r="AD28" s="16">
        <f t="shared" si="20"/>
        <v>0</v>
      </c>
      <c r="AE28" s="32">
        <f t="shared" si="20"/>
        <v>952</v>
      </c>
      <c r="AF28" s="32">
        <f t="shared" si="20"/>
        <v>1105</v>
      </c>
    </row>
    <row r="29" spans="2:32" ht="23.1" customHeight="1" x14ac:dyDescent="0.25">
      <c r="B29" s="23" t="s">
        <v>56</v>
      </c>
      <c r="C29" s="50">
        <v>1</v>
      </c>
      <c r="D29" s="50">
        <v>6</v>
      </c>
      <c r="E29" s="50">
        <v>0</v>
      </c>
      <c r="F29" s="50">
        <v>4</v>
      </c>
      <c r="G29" s="50">
        <v>0</v>
      </c>
      <c r="H29" s="50">
        <v>0</v>
      </c>
      <c r="I29" s="50">
        <v>0</v>
      </c>
      <c r="J29" s="50">
        <v>3</v>
      </c>
      <c r="K29" s="50">
        <v>0</v>
      </c>
      <c r="L29" s="50">
        <v>8</v>
      </c>
      <c r="M29" s="50">
        <v>3</v>
      </c>
      <c r="N29" s="50">
        <v>0</v>
      </c>
      <c r="O29" s="15">
        <f t="shared" si="0"/>
        <v>22</v>
      </c>
      <c r="P29" s="15">
        <f t="shared" si="1"/>
        <v>25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3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5</v>
      </c>
      <c r="M30" s="50">
        <v>5</v>
      </c>
      <c r="N30" s="50">
        <v>0</v>
      </c>
      <c r="O30" s="15">
        <f t="shared" si="0"/>
        <v>12</v>
      </c>
      <c r="P30" s="15">
        <f t="shared" si="1"/>
        <v>17</v>
      </c>
    </row>
    <row r="31" spans="2:32" ht="23.1" customHeight="1" x14ac:dyDescent="0.25">
      <c r="B31" s="24" t="s">
        <v>58</v>
      </c>
      <c r="C31" s="50">
        <v>3</v>
      </c>
      <c r="D31" s="50">
        <v>5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7</v>
      </c>
      <c r="M31" s="50">
        <v>0</v>
      </c>
      <c r="N31" s="50">
        <v>0</v>
      </c>
      <c r="O31" s="15">
        <f t="shared" si="0"/>
        <v>19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1</v>
      </c>
      <c r="D32" s="50">
        <v>4</v>
      </c>
      <c r="E32" s="50">
        <v>0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13</v>
      </c>
      <c r="M32" s="50">
        <v>0</v>
      </c>
      <c r="N32" s="50">
        <v>0</v>
      </c>
      <c r="O32" s="15">
        <f t="shared" si="0"/>
        <v>23</v>
      </c>
      <c r="P32" s="15">
        <f t="shared" si="1"/>
        <v>23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0</v>
      </c>
      <c r="F33" s="50">
        <v>4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19</v>
      </c>
      <c r="M33" s="50">
        <v>4</v>
      </c>
      <c r="N33" s="50">
        <v>0</v>
      </c>
      <c r="O33" s="15">
        <f t="shared" si="0"/>
        <v>29</v>
      </c>
      <c r="P33" s="15">
        <f t="shared" si="1"/>
        <v>33</v>
      </c>
    </row>
    <row r="34" spans="2:20" ht="23.1" customHeight="1" x14ac:dyDescent="0.25">
      <c r="B34" s="24" t="s">
        <v>61</v>
      </c>
      <c r="C34" s="50">
        <v>1</v>
      </c>
      <c r="D34" s="50">
        <v>5</v>
      </c>
      <c r="E34" s="50">
        <v>0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13</v>
      </c>
      <c r="M34" s="50">
        <v>3</v>
      </c>
      <c r="N34" s="50">
        <v>0</v>
      </c>
      <c r="O34" s="15">
        <f t="shared" si="0"/>
        <v>22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2</v>
      </c>
      <c r="F35" s="50">
        <v>11</v>
      </c>
      <c r="G35" s="50">
        <v>0</v>
      </c>
      <c r="H35" s="50">
        <v>0</v>
      </c>
      <c r="I35" s="50">
        <v>1</v>
      </c>
      <c r="J35" s="50">
        <v>4</v>
      </c>
      <c r="K35" s="50">
        <v>0</v>
      </c>
      <c r="L35" s="50">
        <v>4</v>
      </c>
      <c r="M35" s="50">
        <v>0</v>
      </c>
      <c r="N35" s="50">
        <v>0</v>
      </c>
      <c r="O35" s="15">
        <f t="shared" si="0"/>
        <v>22</v>
      </c>
      <c r="P35" s="15">
        <f t="shared" si="1"/>
        <v>22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6</v>
      </c>
      <c r="M36" s="50">
        <v>2</v>
      </c>
      <c r="N36" s="50">
        <v>0</v>
      </c>
      <c r="O36" s="15">
        <f t="shared" si="0"/>
        <v>10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3</v>
      </c>
      <c r="E37" s="50">
        <v>1</v>
      </c>
      <c r="F37" s="50">
        <v>3</v>
      </c>
      <c r="G37" s="50">
        <v>0</v>
      </c>
      <c r="H37" s="50">
        <v>0</v>
      </c>
      <c r="I37" s="50">
        <v>0</v>
      </c>
      <c r="J37" s="50">
        <v>3</v>
      </c>
      <c r="K37" s="50">
        <v>0</v>
      </c>
      <c r="L37" s="50">
        <v>26</v>
      </c>
      <c r="M37" s="50">
        <v>2</v>
      </c>
      <c r="N37" s="50">
        <v>0</v>
      </c>
      <c r="O37" s="15">
        <f t="shared" si="0"/>
        <v>36</v>
      </c>
      <c r="P37" s="15">
        <f t="shared" si="1"/>
        <v>38</v>
      </c>
    </row>
    <row r="38" spans="2:20" ht="23.1" customHeight="1" x14ac:dyDescent="0.25">
      <c r="B38" s="24" t="s">
        <v>65</v>
      </c>
      <c r="C38" s="50">
        <v>2</v>
      </c>
      <c r="D38" s="50">
        <v>4</v>
      </c>
      <c r="E38" s="50">
        <v>3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25</v>
      </c>
      <c r="M38" s="50">
        <v>2</v>
      </c>
      <c r="N38" s="50">
        <v>0</v>
      </c>
      <c r="O38" s="15">
        <f t="shared" si="0"/>
        <v>37</v>
      </c>
      <c r="P38" s="15">
        <f t="shared" si="1"/>
        <v>39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4</v>
      </c>
      <c r="M39" s="50">
        <v>1</v>
      </c>
      <c r="N39" s="50">
        <v>0</v>
      </c>
      <c r="O39" s="15">
        <f t="shared" si="0"/>
        <v>11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9</v>
      </c>
      <c r="M40" s="50">
        <v>1</v>
      </c>
      <c r="N40" s="50">
        <v>0</v>
      </c>
      <c r="O40" s="15">
        <f t="shared" si="0"/>
        <v>13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8</v>
      </c>
      <c r="M41" s="50">
        <v>4</v>
      </c>
      <c r="N41" s="50">
        <v>0</v>
      </c>
      <c r="O41" s="15">
        <f t="shared" si="0"/>
        <v>9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4</v>
      </c>
      <c r="G42" s="50">
        <v>0</v>
      </c>
      <c r="H42" s="50">
        <v>1</v>
      </c>
      <c r="I42" s="50">
        <v>0</v>
      </c>
      <c r="J42" s="50">
        <v>0</v>
      </c>
      <c r="K42" s="50">
        <v>0</v>
      </c>
      <c r="L42" s="50">
        <v>7</v>
      </c>
      <c r="M42" s="50">
        <v>4</v>
      </c>
      <c r="N42" s="50">
        <v>0</v>
      </c>
      <c r="O42" s="15">
        <f t="shared" si="0"/>
        <v>13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4</v>
      </c>
      <c r="F43" s="50">
        <v>2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3</v>
      </c>
      <c r="M43" s="50">
        <v>5</v>
      </c>
      <c r="N43" s="50">
        <v>0</v>
      </c>
      <c r="O43" s="15">
        <f t="shared" si="0"/>
        <v>16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4</v>
      </c>
      <c r="D44" s="50">
        <v>2</v>
      </c>
      <c r="E44" s="50">
        <v>1</v>
      </c>
      <c r="F44" s="50">
        <v>5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19</v>
      </c>
      <c r="M44" s="50">
        <v>7</v>
      </c>
      <c r="N44" s="50">
        <v>0</v>
      </c>
      <c r="O44" s="15">
        <f t="shared" si="0"/>
        <v>32</v>
      </c>
      <c r="P44" s="15">
        <f t="shared" si="1"/>
        <v>39</v>
      </c>
    </row>
    <row r="45" spans="2:20" ht="23.1" customHeight="1" x14ac:dyDescent="0.25">
      <c r="B45" s="23" t="s">
        <v>72</v>
      </c>
      <c r="C45" s="50">
        <v>1</v>
      </c>
      <c r="D45" s="50">
        <v>2</v>
      </c>
      <c r="E45" s="50">
        <v>0</v>
      </c>
      <c r="F45" s="50">
        <v>3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4</v>
      </c>
      <c r="M45" s="50">
        <v>5</v>
      </c>
      <c r="N45" s="50">
        <v>0</v>
      </c>
      <c r="O45" s="15">
        <f t="shared" si="0"/>
        <v>13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6</v>
      </c>
      <c r="D46" s="50">
        <v>7</v>
      </c>
      <c r="E46" s="50">
        <v>2</v>
      </c>
      <c r="F46" s="50">
        <v>5</v>
      </c>
      <c r="G46" s="50">
        <v>0</v>
      </c>
      <c r="H46" s="50">
        <v>0</v>
      </c>
      <c r="I46" s="50">
        <v>0</v>
      </c>
      <c r="J46" s="50">
        <v>2</v>
      </c>
      <c r="K46" s="50">
        <v>0</v>
      </c>
      <c r="L46" s="50">
        <v>7</v>
      </c>
      <c r="M46" s="50">
        <v>5</v>
      </c>
      <c r="N46" s="50">
        <v>0</v>
      </c>
      <c r="O46" s="15">
        <f t="shared" si="0"/>
        <v>29</v>
      </c>
      <c r="P46" s="15">
        <f t="shared" si="1"/>
        <v>34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2</v>
      </c>
      <c r="F47" s="50">
        <v>5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8</v>
      </c>
      <c r="M47" s="50">
        <v>6</v>
      </c>
      <c r="N47" s="50">
        <v>0</v>
      </c>
      <c r="O47" s="15">
        <f t="shared" si="0"/>
        <v>17</v>
      </c>
      <c r="P47" s="15">
        <f t="shared" si="1"/>
        <v>23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4</v>
      </c>
      <c r="E48" s="50">
        <v>0</v>
      </c>
      <c r="F48" s="50">
        <v>3</v>
      </c>
      <c r="G48" s="50">
        <v>0</v>
      </c>
      <c r="H48" s="50">
        <v>0</v>
      </c>
      <c r="I48" s="50">
        <v>2</v>
      </c>
      <c r="J48" s="50">
        <v>2</v>
      </c>
      <c r="K48" s="50">
        <v>0</v>
      </c>
      <c r="L48" s="50">
        <v>9</v>
      </c>
      <c r="M48" s="50">
        <v>4</v>
      </c>
      <c r="N48" s="50">
        <v>0</v>
      </c>
      <c r="O48" s="15">
        <f t="shared" si="0"/>
        <v>24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2</v>
      </c>
      <c r="E49" s="50">
        <v>0</v>
      </c>
      <c r="F49" s="50">
        <v>4</v>
      </c>
      <c r="G49" s="50">
        <v>0</v>
      </c>
      <c r="H49" s="50">
        <v>0</v>
      </c>
      <c r="I49" s="50">
        <v>4</v>
      </c>
      <c r="J49" s="50">
        <v>1</v>
      </c>
      <c r="K49" s="50">
        <v>0</v>
      </c>
      <c r="L49" s="50">
        <v>8</v>
      </c>
      <c r="M49" s="50">
        <v>2</v>
      </c>
      <c r="N49" s="50">
        <v>0</v>
      </c>
      <c r="O49" s="15">
        <f t="shared" si="0"/>
        <v>21</v>
      </c>
      <c r="P49" s="15">
        <f t="shared" si="1"/>
        <v>23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3</v>
      </c>
      <c r="E50" s="50">
        <v>3</v>
      </c>
      <c r="F50" s="50">
        <v>6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4</v>
      </c>
      <c r="M50" s="50">
        <v>3</v>
      </c>
      <c r="N50" s="50">
        <v>0</v>
      </c>
      <c r="O50" s="15">
        <f t="shared" si="0"/>
        <v>23</v>
      </c>
      <c r="P50" s="15">
        <f t="shared" si="1"/>
        <v>26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3</v>
      </c>
      <c r="E51" s="50">
        <v>3</v>
      </c>
      <c r="F51" s="50">
        <v>6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8</v>
      </c>
      <c r="M51" s="50">
        <v>1</v>
      </c>
      <c r="N51" s="50">
        <v>0</v>
      </c>
      <c r="O51" s="15">
        <f t="shared" si="0"/>
        <v>24</v>
      </c>
      <c r="P51" s="15">
        <f t="shared" si="1"/>
        <v>25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6</v>
      </c>
      <c r="E52" s="50">
        <v>1</v>
      </c>
      <c r="F52" s="50">
        <v>5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3</v>
      </c>
      <c r="M52" s="50">
        <v>5</v>
      </c>
      <c r="N52" s="50">
        <v>0</v>
      </c>
      <c r="O52" s="15">
        <f t="shared" si="0"/>
        <v>17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2</v>
      </c>
      <c r="E53" s="50">
        <v>1</v>
      </c>
      <c r="F53" s="50">
        <v>6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9</v>
      </c>
      <c r="M53" s="50">
        <v>3</v>
      </c>
      <c r="N53" s="50">
        <v>0</v>
      </c>
      <c r="O53" s="15">
        <f t="shared" si="0"/>
        <v>26</v>
      </c>
      <c r="P53" s="15">
        <f t="shared" si="1"/>
        <v>29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3</v>
      </c>
      <c r="E54" s="50">
        <v>0</v>
      </c>
      <c r="F54" s="50">
        <v>5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4</v>
      </c>
      <c r="M54" s="50">
        <v>2</v>
      </c>
      <c r="N54" s="50">
        <v>0</v>
      </c>
      <c r="O54" s="15">
        <f t="shared" si="0"/>
        <v>17</v>
      </c>
      <c r="P54" s="15">
        <f t="shared" si="1"/>
        <v>19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2</v>
      </c>
      <c r="E55" s="50">
        <v>1</v>
      </c>
      <c r="F55" s="50">
        <v>3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6</v>
      </c>
      <c r="M55" s="50">
        <v>5</v>
      </c>
      <c r="N55" s="50">
        <v>0</v>
      </c>
      <c r="O55" s="15">
        <f t="shared" si="0"/>
        <v>18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4</v>
      </c>
      <c r="E56" s="50">
        <v>1</v>
      </c>
      <c r="F56" s="50">
        <v>4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14</v>
      </c>
      <c r="M56" s="50">
        <v>7</v>
      </c>
      <c r="N56" s="50">
        <v>0</v>
      </c>
      <c r="O56" s="15">
        <f t="shared" si="0"/>
        <v>25</v>
      </c>
      <c r="P56" s="15">
        <f t="shared" si="1"/>
        <v>32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1</v>
      </c>
      <c r="F57" s="50">
        <v>6</v>
      </c>
      <c r="G57" s="50">
        <v>0</v>
      </c>
      <c r="H57" s="50">
        <v>0</v>
      </c>
      <c r="I57" s="50">
        <v>3</v>
      </c>
      <c r="J57" s="50">
        <v>2</v>
      </c>
      <c r="K57" s="50">
        <v>1</v>
      </c>
      <c r="L57" s="50">
        <v>10</v>
      </c>
      <c r="M57" s="50">
        <v>3</v>
      </c>
      <c r="N57" s="50">
        <v>0</v>
      </c>
      <c r="O57" s="15">
        <f t="shared" si="0"/>
        <v>25</v>
      </c>
      <c r="P57" s="15">
        <f t="shared" si="1"/>
        <v>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82</v>
      </c>
      <c r="D58" s="16">
        <f t="shared" si="21"/>
        <v>112</v>
      </c>
      <c r="E58" s="16">
        <f t="shared" si="21"/>
        <v>44</v>
      </c>
      <c r="F58" s="16">
        <f t="shared" si="21"/>
        <v>171</v>
      </c>
      <c r="G58" s="16">
        <f t="shared" si="21"/>
        <v>4</v>
      </c>
      <c r="H58" s="16">
        <f t="shared" si="21"/>
        <v>3</v>
      </c>
      <c r="I58" s="16">
        <f t="shared" si="21"/>
        <v>41</v>
      </c>
      <c r="J58" s="16">
        <f t="shared" si="21"/>
        <v>32</v>
      </c>
      <c r="K58" s="16">
        <f t="shared" si="21"/>
        <v>5</v>
      </c>
      <c r="L58" s="16">
        <f t="shared" si="21"/>
        <v>458</v>
      </c>
      <c r="M58" s="16">
        <f t="shared" si="21"/>
        <v>153</v>
      </c>
      <c r="N58" s="16">
        <f t="shared" si="21"/>
        <v>0</v>
      </c>
      <c r="O58" s="16">
        <f t="shared" si="21"/>
        <v>952</v>
      </c>
      <c r="P58" s="16">
        <f t="shared" si="21"/>
        <v>1105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7.4208144796380091E-2</v>
      </c>
      <c r="D59" s="43">
        <f t="shared" si="22"/>
        <v>0.10135746606334842</v>
      </c>
      <c r="E59" s="43">
        <f t="shared" si="22"/>
        <v>3.9819004524886875E-2</v>
      </c>
      <c r="F59" s="43">
        <f t="shared" si="22"/>
        <v>0.15475113122171946</v>
      </c>
      <c r="G59" s="43">
        <f t="shared" si="22"/>
        <v>3.6199095022624436E-3</v>
      </c>
      <c r="H59" s="43">
        <f t="shared" si="22"/>
        <v>2.7149321266968325E-3</v>
      </c>
      <c r="I59" s="43">
        <f t="shared" si="22"/>
        <v>3.7104072398190045E-2</v>
      </c>
      <c r="J59" s="43">
        <f t="shared" si="22"/>
        <v>2.8959276018099549E-2</v>
      </c>
      <c r="K59" s="43">
        <f t="shared" si="22"/>
        <v>4.5248868778280547E-3</v>
      </c>
      <c r="L59" s="43">
        <f t="shared" si="22"/>
        <v>0.4144796380090498</v>
      </c>
      <c r="M59" s="43">
        <f t="shared" si="22"/>
        <v>0.13846153846153847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8.6134453781512604E-2</v>
      </c>
      <c r="D60" s="44">
        <f t="shared" ref="D60:N60" si="23">D58/$O$58</f>
        <v>0.11764705882352941</v>
      </c>
      <c r="E60" s="44">
        <f t="shared" si="23"/>
        <v>4.6218487394957986E-2</v>
      </c>
      <c r="F60" s="44">
        <f t="shared" si="23"/>
        <v>0.1796218487394958</v>
      </c>
      <c r="G60" s="44">
        <f t="shared" si="23"/>
        <v>4.2016806722689074E-3</v>
      </c>
      <c r="H60" s="44">
        <f t="shared" si="23"/>
        <v>3.1512605042016808E-3</v>
      </c>
      <c r="I60" s="44">
        <f t="shared" si="23"/>
        <v>4.3067226890756302E-2</v>
      </c>
      <c r="J60" s="44">
        <f t="shared" si="23"/>
        <v>3.3613445378151259E-2</v>
      </c>
      <c r="K60" s="44">
        <f t="shared" si="23"/>
        <v>5.2521008403361349E-3</v>
      </c>
      <c r="L60" s="44">
        <f t="shared" si="23"/>
        <v>0.48109243697478993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60" workbookViewId="0">
      <selection activeCell="R5" sqref="R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str">
        <f>'27.08 TORORO-BUSITEMA-24h'!G5:H5</f>
        <v>STATION 98</v>
      </c>
      <c r="H5" s="64"/>
      <c r="I5" s="14"/>
      <c r="J5" s="2" t="s">
        <v>5</v>
      </c>
      <c r="K5" s="63" t="s">
        <v>165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'22.08 BUSITEMA-TORORO'!D6:E6</f>
        <v>BUSITEMA</v>
      </c>
      <c r="E6" s="64"/>
      <c r="F6" s="2" t="s">
        <v>2</v>
      </c>
      <c r="G6" s="63" t="str">
        <f>'22.08 BUSITEMA-TORORO'!G6:H6</f>
        <v>TORORO</v>
      </c>
      <c r="H6" s="64"/>
      <c r="J6" s="2" t="s">
        <v>21</v>
      </c>
      <c r="K6" s="63" t="str">
        <f>'27.08 TORORO-BUSITEMA-24h'!K6:L6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5</v>
      </c>
      <c r="M10" s="50">
        <v>0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6</v>
      </c>
      <c r="R10" s="1" t="s">
        <v>6</v>
      </c>
      <c r="S10" s="17">
        <f t="shared" ref="S10:AF10" si="2">SUM(C10:C13)</f>
        <v>4</v>
      </c>
      <c r="T10" s="17">
        <f t="shared" si="2"/>
        <v>3</v>
      </c>
      <c r="U10" s="17">
        <f t="shared" si="2"/>
        <v>3</v>
      </c>
      <c r="V10" s="17">
        <f t="shared" si="2"/>
        <v>4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19</v>
      </c>
      <c r="AC10" s="17">
        <f t="shared" si="2"/>
        <v>1</v>
      </c>
      <c r="AD10" s="17">
        <f t="shared" si="2"/>
        <v>0</v>
      </c>
      <c r="AE10" s="31">
        <f t="shared" si="2"/>
        <v>36</v>
      </c>
      <c r="AF10" s="31">
        <f t="shared" si="2"/>
        <v>37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1</v>
      </c>
      <c r="E11" s="50">
        <v>0</v>
      </c>
      <c r="F11" s="50">
        <v>2</v>
      </c>
      <c r="G11" s="50">
        <v>0</v>
      </c>
      <c r="H11" s="50">
        <v>1</v>
      </c>
      <c r="I11" s="50">
        <v>0</v>
      </c>
      <c r="J11" s="50">
        <v>1</v>
      </c>
      <c r="K11" s="50">
        <v>0</v>
      </c>
      <c r="L11" s="50">
        <v>7</v>
      </c>
      <c r="M11" s="50">
        <v>0</v>
      </c>
      <c r="N11" s="50">
        <v>0</v>
      </c>
      <c r="O11" s="15">
        <f t="shared" si="0"/>
        <v>12</v>
      </c>
      <c r="P11" s="15">
        <f t="shared" si="1"/>
        <v>12</v>
      </c>
      <c r="R11" s="1" t="s">
        <v>7</v>
      </c>
      <c r="S11" s="17">
        <f t="shared" ref="S11:AF11" si="3">SUM(C14:C17)</f>
        <v>1</v>
      </c>
      <c r="T11" s="17">
        <f t="shared" si="3"/>
        <v>10</v>
      </c>
      <c r="U11" s="17">
        <f t="shared" si="3"/>
        <v>3</v>
      </c>
      <c r="V11" s="17">
        <f t="shared" si="3"/>
        <v>8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9</v>
      </c>
      <c r="AC11" s="17">
        <f t="shared" si="3"/>
        <v>5</v>
      </c>
      <c r="AD11" s="17">
        <f t="shared" si="3"/>
        <v>0</v>
      </c>
      <c r="AE11" s="31">
        <f t="shared" si="3"/>
        <v>32</v>
      </c>
      <c r="AF11" s="31">
        <f t="shared" si="3"/>
        <v>37</v>
      </c>
    </row>
    <row r="12" spans="2:32" ht="23.1" customHeight="1" x14ac:dyDescent="0.25">
      <c r="B12" s="45" t="s">
        <v>39</v>
      </c>
      <c r="C12" s="50">
        <v>1</v>
      </c>
      <c r="D12" s="50">
        <v>2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5</v>
      </c>
      <c r="M12" s="50">
        <v>0</v>
      </c>
      <c r="N12" s="50">
        <v>0</v>
      </c>
      <c r="O12" s="15">
        <f t="shared" si="0"/>
        <v>10</v>
      </c>
      <c r="P12" s="15">
        <f t="shared" si="1"/>
        <v>10</v>
      </c>
      <c r="R12" s="1" t="s">
        <v>8</v>
      </c>
      <c r="S12" s="17">
        <f t="shared" ref="S12:AF12" si="4">SUM(C18:C21)</f>
        <v>5</v>
      </c>
      <c r="T12" s="17">
        <f t="shared" si="4"/>
        <v>10</v>
      </c>
      <c r="U12" s="17">
        <f t="shared" si="4"/>
        <v>4</v>
      </c>
      <c r="V12" s="17">
        <f t="shared" si="4"/>
        <v>11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2</v>
      </c>
      <c r="AB12" s="17">
        <f t="shared" si="4"/>
        <v>10</v>
      </c>
      <c r="AC12" s="17">
        <f t="shared" si="4"/>
        <v>21</v>
      </c>
      <c r="AD12" s="17">
        <f t="shared" si="4"/>
        <v>0</v>
      </c>
      <c r="AE12" s="31">
        <f t="shared" si="4"/>
        <v>47</v>
      </c>
      <c r="AF12" s="31">
        <f t="shared" si="4"/>
        <v>68</v>
      </c>
    </row>
    <row r="13" spans="2:32" ht="23.1" customHeight="1" x14ac:dyDescent="0.25">
      <c r="B13" s="45" t="s">
        <v>40</v>
      </c>
      <c r="C13" s="50">
        <v>3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2</v>
      </c>
      <c r="M13" s="50">
        <v>1</v>
      </c>
      <c r="N13" s="50">
        <v>0</v>
      </c>
      <c r="O13" s="15">
        <f t="shared" si="0"/>
        <v>8</v>
      </c>
      <c r="P13" s="15">
        <f t="shared" si="1"/>
        <v>9</v>
      </c>
      <c r="R13" s="1" t="s">
        <v>9</v>
      </c>
      <c r="S13" s="17">
        <f t="shared" ref="S13:AF13" si="5">SUM(C22:C25)</f>
        <v>5</v>
      </c>
      <c r="T13" s="17">
        <f t="shared" si="5"/>
        <v>8</v>
      </c>
      <c r="U13" s="17">
        <f t="shared" si="5"/>
        <v>4</v>
      </c>
      <c r="V13" s="17">
        <f t="shared" si="5"/>
        <v>9</v>
      </c>
      <c r="W13" s="17">
        <f t="shared" si="5"/>
        <v>1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15</v>
      </c>
      <c r="AC13" s="17">
        <f t="shared" si="5"/>
        <v>20</v>
      </c>
      <c r="AD13" s="17">
        <f t="shared" si="5"/>
        <v>0</v>
      </c>
      <c r="AE13" s="31">
        <f t="shared" si="5"/>
        <v>46</v>
      </c>
      <c r="AF13" s="31">
        <f t="shared" si="5"/>
        <v>66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2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0</v>
      </c>
      <c r="N14" s="50">
        <v>0</v>
      </c>
      <c r="O14" s="15">
        <f t="shared" si="0"/>
        <v>4</v>
      </c>
      <c r="P14" s="15">
        <f t="shared" si="1"/>
        <v>4</v>
      </c>
      <c r="R14" s="1" t="s">
        <v>10</v>
      </c>
      <c r="S14" s="17">
        <f t="shared" ref="S14:AF14" si="6">SUM(C26:C29)</f>
        <v>4</v>
      </c>
      <c r="T14" s="17">
        <f t="shared" si="6"/>
        <v>5</v>
      </c>
      <c r="U14" s="17">
        <f t="shared" si="6"/>
        <v>5</v>
      </c>
      <c r="V14" s="17">
        <f t="shared" si="6"/>
        <v>14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1</v>
      </c>
      <c r="AB14" s="17">
        <f t="shared" si="6"/>
        <v>5</v>
      </c>
      <c r="AC14" s="17">
        <f t="shared" si="6"/>
        <v>23</v>
      </c>
      <c r="AD14" s="17">
        <f t="shared" si="6"/>
        <v>0</v>
      </c>
      <c r="AE14" s="31">
        <f t="shared" si="6"/>
        <v>35</v>
      </c>
      <c r="AF14" s="31">
        <f t="shared" si="6"/>
        <v>58</v>
      </c>
    </row>
    <row r="15" spans="2:32" ht="23.1" customHeight="1" x14ac:dyDescent="0.25">
      <c r="B15" s="45" t="s">
        <v>42</v>
      </c>
      <c r="C15" s="50">
        <v>0</v>
      </c>
      <c r="D15" s="50">
        <v>3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2</v>
      </c>
      <c r="M15" s="50">
        <v>0</v>
      </c>
      <c r="N15" s="50">
        <v>0</v>
      </c>
      <c r="O15" s="15">
        <f t="shared" si="0"/>
        <v>7</v>
      </c>
      <c r="P15" s="15">
        <f t="shared" si="1"/>
        <v>7</v>
      </c>
      <c r="R15" s="1" t="s">
        <v>11</v>
      </c>
      <c r="S15" s="17">
        <f t="shared" ref="S15:AF15" si="7">SUM(C30:C33)</f>
        <v>3</v>
      </c>
      <c r="T15" s="17">
        <f t="shared" si="7"/>
        <v>1</v>
      </c>
      <c r="U15" s="17">
        <f t="shared" si="7"/>
        <v>2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2</v>
      </c>
      <c r="AB15" s="17">
        <f t="shared" si="7"/>
        <v>15</v>
      </c>
      <c r="AC15" s="17">
        <f t="shared" si="7"/>
        <v>13</v>
      </c>
      <c r="AD15" s="17">
        <f t="shared" si="7"/>
        <v>0</v>
      </c>
      <c r="AE15" s="31">
        <f t="shared" si="7"/>
        <v>40</v>
      </c>
      <c r="AF15" s="31">
        <f t="shared" si="7"/>
        <v>53</v>
      </c>
    </row>
    <row r="16" spans="2:32" ht="23.1" customHeight="1" x14ac:dyDescent="0.25">
      <c r="B16" s="45" t="s">
        <v>43</v>
      </c>
      <c r="C16" s="50">
        <v>1</v>
      </c>
      <c r="D16" s="50">
        <v>3</v>
      </c>
      <c r="E16" s="50">
        <v>1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4</v>
      </c>
      <c r="M16" s="50">
        <v>3</v>
      </c>
      <c r="N16" s="50">
        <v>0</v>
      </c>
      <c r="O16" s="15">
        <f t="shared" si="0"/>
        <v>13</v>
      </c>
      <c r="P16" s="15">
        <f t="shared" si="1"/>
        <v>16</v>
      </c>
      <c r="R16" s="1" t="s">
        <v>12</v>
      </c>
      <c r="S16" s="17">
        <f t="shared" ref="S16:AF16" si="8">SUM(C34:C37)</f>
        <v>7</v>
      </c>
      <c r="T16" s="17">
        <f t="shared" si="8"/>
        <v>9</v>
      </c>
      <c r="U16" s="17">
        <f t="shared" si="8"/>
        <v>5</v>
      </c>
      <c r="V16" s="17">
        <f t="shared" si="8"/>
        <v>13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1</v>
      </c>
      <c r="AB16" s="17">
        <f t="shared" si="8"/>
        <v>12</v>
      </c>
      <c r="AC16" s="17">
        <f t="shared" si="8"/>
        <v>14</v>
      </c>
      <c r="AD16" s="17">
        <f t="shared" si="8"/>
        <v>0</v>
      </c>
      <c r="AE16" s="31">
        <f t="shared" si="8"/>
        <v>48</v>
      </c>
      <c r="AF16" s="31">
        <f t="shared" si="8"/>
        <v>62</v>
      </c>
    </row>
    <row r="17" spans="2:32" ht="23.1" customHeight="1" x14ac:dyDescent="0.25">
      <c r="B17" s="45" t="s">
        <v>44</v>
      </c>
      <c r="C17" s="50">
        <v>0</v>
      </c>
      <c r="D17" s="50">
        <v>4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2</v>
      </c>
      <c r="M17" s="50">
        <v>2</v>
      </c>
      <c r="N17" s="50">
        <v>0</v>
      </c>
      <c r="O17" s="15">
        <f t="shared" si="0"/>
        <v>8</v>
      </c>
      <c r="P17" s="15">
        <f t="shared" si="1"/>
        <v>10</v>
      </c>
      <c r="R17" s="1" t="s">
        <v>13</v>
      </c>
      <c r="S17" s="17">
        <f t="shared" ref="S17:AF17" si="9">SUM(C38:C41)</f>
        <v>12</v>
      </c>
      <c r="T17" s="17">
        <f t="shared" si="9"/>
        <v>7</v>
      </c>
      <c r="U17" s="17">
        <f t="shared" si="9"/>
        <v>9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5</v>
      </c>
      <c r="AB17" s="17">
        <f t="shared" si="9"/>
        <v>47</v>
      </c>
      <c r="AC17" s="17">
        <f t="shared" si="9"/>
        <v>20</v>
      </c>
      <c r="AD17" s="17">
        <f t="shared" si="9"/>
        <v>0</v>
      </c>
      <c r="AE17" s="31">
        <f t="shared" si="9"/>
        <v>100</v>
      </c>
      <c r="AF17" s="31">
        <f t="shared" si="9"/>
        <v>120</v>
      </c>
    </row>
    <row r="18" spans="2:32" ht="23.1" customHeight="1" x14ac:dyDescent="0.25">
      <c r="B18" s="45" t="s">
        <v>45</v>
      </c>
      <c r="C18" s="50">
        <v>3</v>
      </c>
      <c r="D18" s="50">
        <v>2</v>
      </c>
      <c r="E18" s="50">
        <v>2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1</v>
      </c>
      <c r="M18" s="50">
        <v>3</v>
      </c>
      <c r="N18" s="50">
        <v>0</v>
      </c>
      <c r="O18" s="15">
        <f t="shared" si="0"/>
        <v>9</v>
      </c>
      <c r="P18" s="15">
        <f t="shared" si="1"/>
        <v>12</v>
      </c>
      <c r="R18" s="1" t="s">
        <v>14</v>
      </c>
      <c r="S18" s="17">
        <f t="shared" ref="S18:AF18" si="10">SUM(C42:C45)</f>
        <v>8</v>
      </c>
      <c r="T18" s="17">
        <f t="shared" si="10"/>
        <v>6</v>
      </c>
      <c r="U18" s="17">
        <f t="shared" si="10"/>
        <v>5</v>
      </c>
      <c r="V18" s="17">
        <f t="shared" si="10"/>
        <v>18</v>
      </c>
      <c r="W18" s="17">
        <f t="shared" si="10"/>
        <v>3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1</v>
      </c>
      <c r="AB18" s="17">
        <f t="shared" si="10"/>
        <v>33</v>
      </c>
      <c r="AC18" s="17">
        <f t="shared" si="10"/>
        <v>22</v>
      </c>
      <c r="AD18" s="17">
        <f t="shared" si="10"/>
        <v>0</v>
      </c>
      <c r="AE18" s="31">
        <f t="shared" si="10"/>
        <v>75</v>
      </c>
      <c r="AF18" s="31">
        <f t="shared" si="10"/>
        <v>97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0</v>
      </c>
      <c r="F19" s="50">
        <v>2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2</v>
      </c>
      <c r="M19" s="50">
        <v>7</v>
      </c>
      <c r="N19" s="50">
        <v>0</v>
      </c>
      <c r="O19" s="15">
        <f t="shared" si="0"/>
        <v>8</v>
      </c>
      <c r="P19" s="15">
        <f t="shared" si="1"/>
        <v>15</v>
      </c>
      <c r="R19" s="1" t="s">
        <v>15</v>
      </c>
      <c r="S19" s="17">
        <f t="shared" ref="S19:AF19" si="11">SUM(C46:C49)</f>
        <v>11</v>
      </c>
      <c r="T19" s="17">
        <f t="shared" si="11"/>
        <v>13</v>
      </c>
      <c r="U19" s="17">
        <f t="shared" si="11"/>
        <v>3</v>
      </c>
      <c r="V19" s="17">
        <f t="shared" si="11"/>
        <v>13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8</v>
      </c>
      <c r="AA19" s="17">
        <f t="shared" si="11"/>
        <v>0</v>
      </c>
      <c r="AB19" s="17">
        <f t="shared" si="11"/>
        <v>18</v>
      </c>
      <c r="AC19" s="17">
        <f t="shared" si="11"/>
        <v>20</v>
      </c>
      <c r="AD19" s="17">
        <f t="shared" si="11"/>
        <v>0</v>
      </c>
      <c r="AE19" s="31">
        <f t="shared" si="11"/>
        <v>69</v>
      </c>
      <c r="AF19" s="31">
        <f t="shared" si="11"/>
        <v>89</v>
      </c>
    </row>
    <row r="20" spans="2:32" ht="23.1" customHeight="1" x14ac:dyDescent="0.25">
      <c r="B20" s="45" t="s">
        <v>47</v>
      </c>
      <c r="C20" s="50">
        <v>1</v>
      </c>
      <c r="D20" s="50">
        <v>3</v>
      </c>
      <c r="E20" s="50">
        <v>0</v>
      </c>
      <c r="F20" s="50">
        <v>5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3</v>
      </c>
      <c r="M20" s="50">
        <v>5</v>
      </c>
      <c r="N20" s="50">
        <v>0</v>
      </c>
      <c r="O20" s="15">
        <f t="shared" si="0"/>
        <v>14</v>
      </c>
      <c r="P20" s="15">
        <f t="shared" si="1"/>
        <v>19</v>
      </c>
      <c r="R20" s="1" t="s">
        <v>16</v>
      </c>
      <c r="S20" s="17">
        <f t="shared" ref="S20:AF20" si="12">SUM(C50:C53)</f>
        <v>7</v>
      </c>
      <c r="T20" s="17">
        <f t="shared" si="12"/>
        <v>14</v>
      </c>
      <c r="U20" s="17">
        <f t="shared" si="12"/>
        <v>7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1</v>
      </c>
      <c r="AA20" s="17">
        <f t="shared" si="12"/>
        <v>0</v>
      </c>
      <c r="AB20" s="17">
        <f t="shared" si="12"/>
        <v>79</v>
      </c>
      <c r="AC20" s="17">
        <f t="shared" si="12"/>
        <v>31</v>
      </c>
      <c r="AD20" s="17">
        <f t="shared" si="12"/>
        <v>0</v>
      </c>
      <c r="AE20" s="31">
        <f t="shared" si="12"/>
        <v>123</v>
      </c>
      <c r="AF20" s="31">
        <f t="shared" si="12"/>
        <v>154</v>
      </c>
    </row>
    <row r="21" spans="2:32" ht="23.1" customHeight="1" x14ac:dyDescent="0.25">
      <c r="B21" s="45" t="s">
        <v>48</v>
      </c>
      <c r="C21" s="50">
        <v>1</v>
      </c>
      <c r="D21" s="50">
        <v>4</v>
      </c>
      <c r="E21" s="50">
        <v>2</v>
      </c>
      <c r="F21" s="50">
        <v>3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4</v>
      </c>
      <c r="M21" s="50">
        <v>6</v>
      </c>
      <c r="N21" s="50">
        <v>0</v>
      </c>
      <c r="O21" s="15">
        <f t="shared" si="0"/>
        <v>16</v>
      </c>
      <c r="P21" s="15">
        <f t="shared" si="1"/>
        <v>22</v>
      </c>
      <c r="R21" s="36" t="s">
        <v>20</v>
      </c>
      <c r="S21" s="34">
        <f t="shared" ref="S21:AF21" si="13">SUM(C54:C57)</f>
        <v>7</v>
      </c>
      <c r="T21" s="17">
        <f t="shared" si="13"/>
        <v>14</v>
      </c>
      <c r="U21" s="17">
        <f t="shared" si="13"/>
        <v>4</v>
      </c>
      <c r="V21" s="17">
        <f t="shared" si="13"/>
        <v>18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3</v>
      </c>
      <c r="AA21" s="17">
        <f t="shared" si="13"/>
        <v>10</v>
      </c>
      <c r="AB21" s="17">
        <f t="shared" si="13"/>
        <v>55</v>
      </c>
      <c r="AC21" s="17">
        <f t="shared" si="13"/>
        <v>29</v>
      </c>
      <c r="AD21" s="17">
        <f t="shared" si="13"/>
        <v>0</v>
      </c>
      <c r="AE21" s="31">
        <f t="shared" si="13"/>
        <v>120</v>
      </c>
      <c r="AF21" s="31">
        <f t="shared" si="13"/>
        <v>149</v>
      </c>
    </row>
    <row r="22" spans="2:32" ht="23.1" customHeight="1" x14ac:dyDescent="0.25">
      <c r="B22" s="45" t="s">
        <v>49</v>
      </c>
      <c r="C22" s="50">
        <v>1</v>
      </c>
      <c r="D22" s="50">
        <v>2</v>
      </c>
      <c r="E22" s="50">
        <v>0</v>
      </c>
      <c r="F22" s="50">
        <v>2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3</v>
      </c>
      <c r="M22" s="50">
        <v>5</v>
      </c>
      <c r="N22" s="50">
        <v>0</v>
      </c>
      <c r="O22" s="15">
        <f t="shared" si="0"/>
        <v>9</v>
      </c>
      <c r="P22" s="15">
        <f t="shared" si="1"/>
        <v>14</v>
      </c>
      <c r="R22" s="36" t="s">
        <v>146</v>
      </c>
      <c r="S22" s="34">
        <f>SUM(C58:C61)</f>
        <v>6</v>
      </c>
      <c r="T22" s="34">
        <f t="shared" ref="T22:AF22" si="14">SUM(D58:D61)</f>
        <v>3</v>
      </c>
      <c r="U22" s="34">
        <f t="shared" si="14"/>
        <v>3</v>
      </c>
      <c r="V22" s="34">
        <f t="shared" si="14"/>
        <v>16</v>
      </c>
      <c r="W22" s="34">
        <f t="shared" si="14"/>
        <v>0</v>
      </c>
      <c r="X22" s="34">
        <f t="shared" si="14"/>
        <v>0</v>
      </c>
      <c r="Y22" s="34">
        <f t="shared" si="14"/>
        <v>5</v>
      </c>
      <c r="Z22" s="34">
        <f t="shared" si="14"/>
        <v>1</v>
      </c>
      <c r="AA22" s="34">
        <f t="shared" si="14"/>
        <v>21</v>
      </c>
      <c r="AB22" s="34">
        <f t="shared" si="14"/>
        <v>63</v>
      </c>
      <c r="AC22" s="34">
        <f t="shared" si="14"/>
        <v>10</v>
      </c>
      <c r="AD22" s="34">
        <f t="shared" si="14"/>
        <v>0</v>
      </c>
      <c r="AE22" s="31">
        <f t="shared" si="14"/>
        <v>118</v>
      </c>
      <c r="AF22" s="31">
        <f t="shared" si="14"/>
        <v>128</v>
      </c>
    </row>
    <row r="23" spans="2:32" ht="23.1" customHeight="1" x14ac:dyDescent="0.25">
      <c r="B23" s="45" t="s">
        <v>50</v>
      </c>
      <c r="C23" s="50">
        <v>3</v>
      </c>
      <c r="D23" s="50">
        <v>2</v>
      </c>
      <c r="E23" s="50">
        <v>0</v>
      </c>
      <c r="F23" s="50">
        <v>4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3</v>
      </c>
      <c r="M23" s="50">
        <v>3</v>
      </c>
      <c r="N23" s="50">
        <v>0</v>
      </c>
      <c r="O23" s="15">
        <f t="shared" si="0"/>
        <v>15</v>
      </c>
      <c r="P23" s="15">
        <f t="shared" si="1"/>
        <v>18</v>
      </c>
      <c r="R23" s="36" t="s">
        <v>147</v>
      </c>
      <c r="S23" s="34">
        <f>SUM(C62:C65)</f>
        <v>1</v>
      </c>
      <c r="T23" s="34">
        <f t="shared" ref="T23:AF23" si="15">SUM(D62:D65)</f>
        <v>1</v>
      </c>
      <c r="U23" s="34">
        <f t="shared" si="15"/>
        <v>4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2</v>
      </c>
      <c r="AA23" s="34">
        <f t="shared" si="15"/>
        <v>1</v>
      </c>
      <c r="AB23" s="34">
        <f t="shared" si="15"/>
        <v>70</v>
      </c>
      <c r="AC23" s="34">
        <f t="shared" si="15"/>
        <v>0</v>
      </c>
      <c r="AD23" s="34">
        <f t="shared" si="15"/>
        <v>0</v>
      </c>
      <c r="AE23" s="31">
        <f t="shared" si="15"/>
        <v>84</v>
      </c>
      <c r="AF23" s="31">
        <f t="shared" si="15"/>
        <v>84</v>
      </c>
    </row>
    <row r="24" spans="2:32" ht="23.1" customHeight="1" x14ac:dyDescent="0.25">
      <c r="B24" s="45" t="s">
        <v>51</v>
      </c>
      <c r="C24" s="50">
        <v>1</v>
      </c>
      <c r="D24" s="50">
        <v>3</v>
      </c>
      <c r="E24" s="50">
        <v>3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4</v>
      </c>
      <c r="M24" s="50">
        <v>7</v>
      </c>
      <c r="N24" s="50">
        <v>0</v>
      </c>
      <c r="O24" s="15">
        <f t="shared" si="0"/>
        <v>13</v>
      </c>
      <c r="P24" s="15">
        <f t="shared" si="1"/>
        <v>20</v>
      </c>
      <c r="R24" s="36" t="s">
        <v>148</v>
      </c>
      <c r="S24" s="34">
        <f>SUM(C66:C69)</f>
        <v>0</v>
      </c>
      <c r="T24" s="34">
        <f t="shared" ref="T24:AF24" si="16">SUM(D66:D69)</f>
        <v>7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0</v>
      </c>
      <c r="AA24" s="34">
        <f t="shared" si="16"/>
        <v>5</v>
      </c>
      <c r="AB24" s="34">
        <f t="shared" si="16"/>
        <v>68</v>
      </c>
      <c r="AC24" s="34">
        <f t="shared" si="16"/>
        <v>0</v>
      </c>
      <c r="AD24" s="34">
        <f t="shared" si="16"/>
        <v>0</v>
      </c>
      <c r="AE24" s="31">
        <f t="shared" si="16"/>
        <v>84</v>
      </c>
      <c r="AF24" s="31">
        <f t="shared" si="16"/>
        <v>84</v>
      </c>
    </row>
    <row r="25" spans="2:32" ht="23.1" customHeight="1" x14ac:dyDescent="0.25">
      <c r="B25" s="45" t="s">
        <v>52</v>
      </c>
      <c r="C25" s="50">
        <v>0</v>
      </c>
      <c r="D25" s="50">
        <v>1</v>
      </c>
      <c r="E25" s="50">
        <v>1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5</v>
      </c>
      <c r="M25" s="50">
        <v>5</v>
      </c>
      <c r="N25" s="50">
        <v>0</v>
      </c>
      <c r="O25" s="15">
        <f t="shared" si="0"/>
        <v>9</v>
      </c>
      <c r="P25" s="15">
        <f t="shared" si="1"/>
        <v>14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36</v>
      </c>
      <c r="AC25" s="34">
        <f t="shared" si="17"/>
        <v>0</v>
      </c>
      <c r="AD25" s="34">
        <f t="shared" si="17"/>
        <v>0</v>
      </c>
      <c r="AE25" s="31">
        <f t="shared" si="17"/>
        <v>36</v>
      </c>
      <c r="AF25" s="31">
        <f t="shared" si="17"/>
        <v>36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3</v>
      </c>
      <c r="F26" s="50">
        <v>5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1</v>
      </c>
      <c r="M26" s="50">
        <v>8</v>
      </c>
      <c r="N26" s="50">
        <v>0</v>
      </c>
      <c r="O26" s="15">
        <f t="shared" si="0"/>
        <v>10</v>
      </c>
      <c r="P26" s="15">
        <f t="shared" si="1"/>
        <v>18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47</v>
      </c>
      <c r="AC26" s="34">
        <f t="shared" si="18"/>
        <v>0</v>
      </c>
      <c r="AD26" s="34">
        <f t="shared" si="18"/>
        <v>0</v>
      </c>
      <c r="AE26" s="31">
        <f t="shared" si="18"/>
        <v>47</v>
      </c>
      <c r="AF26" s="31">
        <f t="shared" si="18"/>
        <v>47</v>
      </c>
    </row>
    <row r="27" spans="2:32" ht="23.1" customHeight="1" x14ac:dyDescent="0.25">
      <c r="B27" s="45" t="s">
        <v>54</v>
      </c>
      <c r="C27" s="50">
        <v>2</v>
      </c>
      <c r="D27" s="50">
        <v>3</v>
      </c>
      <c r="E27" s="50">
        <v>1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2</v>
      </c>
      <c r="M27" s="50">
        <v>5</v>
      </c>
      <c r="N27" s="50">
        <v>0</v>
      </c>
      <c r="O27" s="15">
        <f t="shared" si="0"/>
        <v>11</v>
      </c>
      <c r="P27" s="15">
        <f t="shared" si="1"/>
        <v>16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31</v>
      </c>
      <c r="AC27" s="34">
        <f t="shared" si="19"/>
        <v>0</v>
      </c>
      <c r="AD27" s="34">
        <f t="shared" si="19"/>
        <v>0</v>
      </c>
      <c r="AE27" s="31">
        <f t="shared" si="19"/>
        <v>33</v>
      </c>
      <c r="AF27" s="31">
        <f t="shared" si="19"/>
        <v>33</v>
      </c>
    </row>
    <row r="28" spans="2:32" ht="23.1" customHeight="1" x14ac:dyDescent="0.25">
      <c r="B28" s="45" t="s">
        <v>55</v>
      </c>
      <c r="C28" s="50">
        <v>0</v>
      </c>
      <c r="D28" s="50">
        <v>2</v>
      </c>
      <c r="E28" s="50">
        <v>0</v>
      </c>
      <c r="F28" s="50">
        <v>3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1</v>
      </c>
      <c r="M28" s="50">
        <v>7</v>
      </c>
      <c r="N28" s="50">
        <v>0</v>
      </c>
      <c r="O28" s="15">
        <f t="shared" si="0"/>
        <v>6</v>
      </c>
      <c r="P28" s="15">
        <f t="shared" si="1"/>
        <v>13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1</v>
      </c>
      <c r="Z28" s="34">
        <f t="shared" si="20"/>
        <v>2</v>
      </c>
      <c r="AA28" s="34">
        <f t="shared" si="20"/>
        <v>0</v>
      </c>
      <c r="AB28" s="34">
        <f t="shared" si="20"/>
        <v>35</v>
      </c>
      <c r="AC28" s="34">
        <f t="shared" si="20"/>
        <v>0</v>
      </c>
      <c r="AD28" s="34">
        <f t="shared" si="20"/>
        <v>0</v>
      </c>
      <c r="AE28" s="31">
        <f t="shared" si="20"/>
        <v>40</v>
      </c>
      <c r="AF28" s="31">
        <f t="shared" si="20"/>
        <v>40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1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1</v>
      </c>
      <c r="M29" s="50">
        <v>3</v>
      </c>
      <c r="N29" s="50">
        <v>0</v>
      </c>
      <c r="O29" s="15">
        <f t="shared" si="0"/>
        <v>8</v>
      </c>
      <c r="P29" s="15">
        <f t="shared" si="1"/>
        <v>11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18</v>
      </c>
      <c r="AC29" s="34">
        <f t="shared" si="21"/>
        <v>0</v>
      </c>
      <c r="AD29" s="34">
        <f t="shared" si="21"/>
        <v>0</v>
      </c>
      <c r="AE29" s="31">
        <f t="shared" si="21"/>
        <v>20</v>
      </c>
      <c r="AF29" s="31">
        <f t="shared" si="21"/>
        <v>20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1</v>
      </c>
      <c r="F30" s="50">
        <v>4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3</v>
      </c>
      <c r="M30" s="50">
        <v>1</v>
      </c>
      <c r="N30" s="50">
        <v>0</v>
      </c>
      <c r="O30" s="15">
        <f t="shared" si="0"/>
        <v>10</v>
      </c>
      <c r="P30" s="15">
        <f t="shared" si="1"/>
        <v>11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19</v>
      </c>
      <c r="AC30" s="34">
        <f t="shared" si="22"/>
        <v>0</v>
      </c>
      <c r="AD30" s="34">
        <f t="shared" si="22"/>
        <v>0</v>
      </c>
      <c r="AE30" s="31">
        <f t="shared" si="22"/>
        <v>21</v>
      </c>
      <c r="AF30" s="31">
        <f t="shared" si="22"/>
        <v>21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5</v>
      </c>
      <c r="G31" s="50">
        <v>0</v>
      </c>
      <c r="H31" s="50">
        <v>0</v>
      </c>
      <c r="I31" s="50">
        <v>0</v>
      </c>
      <c r="J31" s="50">
        <v>0</v>
      </c>
      <c r="K31" s="50">
        <v>2</v>
      </c>
      <c r="L31" s="50">
        <v>8</v>
      </c>
      <c r="M31" s="50">
        <v>6</v>
      </c>
      <c r="N31" s="50">
        <v>0</v>
      </c>
      <c r="O31" s="15">
        <f t="shared" si="0"/>
        <v>16</v>
      </c>
      <c r="P31" s="15">
        <f t="shared" si="1"/>
        <v>22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16</v>
      </c>
      <c r="AC31" s="34">
        <f t="shared" si="23"/>
        <v>0</v>
      </c>
      <c r="AD31" s="34">
        <f t="shared" si="23"/>
        <v>0</v>
      </c>
      <c r="AE31" s="31">
        <f t="shared" si="23"/>
        <v>17</v>
      </c>
      <c r="AF31" s="31">
        <f t="shared" si="23"/>
        <v>17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3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3</v>
      </c>
      <c r="M32" s="50">
        <v>3</v>
      </c>
      <c r="N32" s="50">
        <v>0</v>
      </c>
      <c r="O32" s="15">
        <f t="shared" si="0"/>
        <v>6</v>
      </c>
      <c r="P32" s="15">
        <f t="shared" si="1"/>
        <v>9</v>
      </c>
      <c r="R32" s="33" t="s">
        <v>156</v>
      </c>
      <c r="S32" s="34">
        <f>SUM(C98:C101)</f>
        <v>1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2</v>
      </c>
      <c r="Y32" s="34">
        <f t="shared" si="24"/>
        <v>0</v>
      </c>
      <c r="Z32" s="34">
        <f t="shared" si="24"/>
        <v>2</v>
      </c>
      <c r="AA32" s="34">
        <f t="shared" si="24"/>
        <v>1</v>
      </c>
      <c r="AB32" s="34">
        <f t="shared" si="24"/>
        <v>26</v>
      </c>
      <c r="AC32" s="34">
        <f t="shared" si="24"/>
        <v>3</v>
      </c>
      <c r="AD32" s="34">
        <f t="shared" si="24"/>
        <v>0</v>
      </c>
      <c r="AE32" s="31">
        <f t="shared" si="24"/>
        <v>33</v>
      </c>
      <c r="AF32" s="31">
        <f t="shared" si="24"/>
        <v>36</v>
      </c>
    </row>
    <row r="33" spans="2:32" ht="23.1" customHeight="1" x14ac:dyDescent="0.25">
      <c r="B33" s="45" t="s">
        <v>60</v>
      </c>
      <c r="C33" s="50">
        <v>2</v>
      </c>
      <c r="D33" s="50">
        <v>1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1</v>
      </c>
      <c r="M33" s="50">
        <v>3</v>
      </c>
      <c r="N33" s="50">
        <v>0</v>
      </c>
      <c r="O33" s="15">
        <f t="shared" si="0"/>
        <v>8</v>
      </c>
      <c r="P33" s="15">
        <f t="shared" si="1"/>
        <v>11</v>
      </c>
      <c r="R33" s="33" t="s">
        <v>157</v>
      </c>
      <c r="S33" s="34">
        <f>SUM(C102:C105)</f>
        <v>1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3</v>
      </c>
      <c r="W33" s="34">
        <f t="shared" si="25"/>
        <v>0</v>
      </c>
      <c r="X33" s="34">
        <f t="shared" si="25"/>
        <v>2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32</v>
      </c>
      <c r="AC33" s="34">
        <f t="shared" si="25"/>
        <v>11</v>
      </c>
      <c r="AD33" s="34">
        <f t="shared" si="25"/>
        <v>0</v>
      </c>
      <c r="AE33" s="31">
        <f t="shared" si="25"/>
        <v>43</v>
      </c>
      <c r="AF33" s="31">
        <f t="shared" si="25"/>
        <v>54</v>
      </c>
    </row>
    <row r="34" spans="2:32" ht="23.1" customHeight="1" x14ac:dyDescent="0.25">
      <c r="B34" s="46" t="s">
        <v>61</v>
      </c>
      <c r="C34" s="50">
        <v>3</v>
      </c>
      <c r="D34" s="50">
        <v>1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3</v>
      </c>
      <c r="N34" s="50">
        <v>0</v>
      </c>
      <c r="O34" s="15">
        <f t="shared" si="0"/>
        <v>7</v>
      </c>
      <c r="P34" s="15">
        <f t="shared" si="1"/>
        <v>10</v>
      </c>
      <c r="R34" s="38" t="s">
        <v>90</v>
      </c>
      <c r="S34" s="39">
        <f t="shared" ref="S34:AF34" si="26">MAX(S10:S12)</f>
        <v>5</v>
      </c>
      <c r="T34" s="39">
        <f t="shared" si="26"/>
        <v>10</v>
      </c>
      <c r="U34" s="39">
        <f t="shared" si="26"/>
        <v>4</v>
      </c>
      <c r="V34" s="39">
        <f t="shared" si="26"/>
        <v>11</v>
      </c>
      <c r="W34" s="39">
        <f t="shared" si="26"/>
        <v>0</v>
      </c>
      <c r="X34" s="39">
        <f t="shared" si="26"/>
        <v>1</v>
      </c>
      <c r="Y34" s="39">
        <f t="shared" si="26"/>
        <v>4</v>
      </c>
      <c r="Z34" s="39">
        <f t="shared" si="26"/>
        <v>1</v>
      </c>
      <c r="AA34" s="39">
        <f t="shared" si="26"/>
        <v>2</v>
      </c>
      <c r="AB34" s="39">
        <f t="shared" si="26"/>
        <v>19</v>
      </c>
      <c r="AC34" s="39">
        <f t="shared" si="26"/>
        <v>21</v>
      </c>
      <c r="AD34" s="39">
        <f t="shared" si="26"/>
        <v>0</v>
      </c>
      <c r="AE34" s="40">
        <f t="shared" si="26"/>
        <v>47</v>
      </c>
      <c r="AF34" s="40">
        <f t="shared" si="26"/>
        <v>68</v>
      </c>
    </row>
    <row r="35" spans="2:32" ht="23.1" customHeight="1" x14ac:dyDescent="0.25">
      <c r="B35" s="46" t="s">
        <v>62</v>
      </c>
      <c r="C35" s="50">
        <v>0</v>
      </c>
      <c r="D35" s="50">
        <v>2</v>
      </c>
      <c r="E35" s="50">
        <v>1</v>
      </c>
      <c r="F35" s="50">
        <v>4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7</v>
      </c>
      <c r="M35" s="50">
        <v>8</v>
      </c>
      <c r="N35" s="50">
        <v>0</v>
      </c>
      <c r="O35" s="15">
        <f t="shared" si="0"/>
        <v>15</v>
      </c>
      <c r="P35" s="15">
        <f t="shared" si="1"/>
        <v>23</v>
      </c>
      <c r="R35" s="38" t="s">
        <v>91</v>
      </c>
      <c r="S35" s="39">
        <f t="shared" ref="S35:AF35" si="27">MAX(S13:S18)</f>
        <v>12</v>
      </c>
      <c r="T35" s="39">
        <f t="shared" si="27"/>
        <v>9</v>
      </c>
      <c r="U35" s="39">
        <f t="shared" si="27"/>
        <v>9</v>
      </c>
      <c r="V35" s="39">
        <f t="shared" si="27"/>
        <v>18</v>
      </c>
      <c r="W35" s="39">
        <f t="shared" si="27"/>
        <v>3</v>
      </c>
      <c r="X35" s="39">
        <f t="shared" si="27"/>
        <v>0</v>
      </c>
      <c r="Y35" s="39">
        <f t="shared" si="27"/>
        <v>5</v>
      </c>
      <c r="Z35" s="39">
        <f t="shared" si="27"/>
        <v>2</v>
      </c>
      <c r="AA35" s="39">
        <f t="shared" si="27"/>
        <v>5</v>
      </c>
      <c r="AB35" s="39">
        <f t="shared" si="27"/>
        <v>47</v>
      </c>
      <c r="AC35" s="39">
        <f t="shared" si="27"/>
        <v>23</v>
      </c>
      <c r="AD35" s="39">
        <f t="shared" si="27"/>
        <v>0</v>
      </c>
      <c r="AE35" s="40">
        <f t="shared" si="27"/>
        <v>100</v>
      </c>
      <c r="AF35" s="40">
        <f t="shared" si="27"/>
        <v>120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2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4</v>
      </c>
      <c r="P36" s="15">
        <f t="shared" si="1"/>
        <v>4</v>
      </c>
      <c r="R36" s="38" t="s">
        <v>92</v>
      </c>
      <c r="S36" s="39">
        <f t="shared" ref="S36:AF36" si="28">MAX(S19:S21)</f>
        <v>11</v>
      </c>
      <c r="T36" s="39">
        <f t="shared" si="28"/>
        <v>14</v>
      </c>
      <c r="U36" s="39">
        <f t="shared" si="28"/>
        <v>7</v>
      </c>
      <c r="V36" s="39">
        <f t="shared" si="28"/>
        <v>18</v>
      </c>
      <c r="W36" s="39">
        <f t="shared" si="28"/>
        <v>1</v>
      </c>
      <c r="X36" s="39">
        <f t="shared" si="28"/>
        <v>0</v>
      </c>
      <c r="Y36" s="39">
        <f t="shared" si="28"/>
        <v>9</v>
      </c>
      <c r="Z36" s="39">
        <f t="shared" si="28"/>
        <v>8</v>
      </c>
      <c r="AA36" s="39">
        <f t="shared" si="28"/>
        <v>10</v>
      </c>
      <c r="AB36" s="39">
        <f t="shared" si="28"/>
        <v>79</v>
      </c>
      <c r="AC36" s="39">
        <f t="shared" si="28"/>
        <v>31</v>
      </c>
      <c r="AD36" s="39">
        <f t="shared" si="28"/>
        <v>0</v>
      </c>
      <c r="AE36" s="40">
        <f t="shared" si="28"/>
        <v>123</v>
      </c>
      <c r="AF36" s="40">
        <f t="shared" si="28"/>
        <v>154</v>
      </c>
    </row>
    <row r="37" spans="2:32" ht="23.1" customHeight="1" x14ac:dyDescent="0.25">
      <c r="B37" s="45" t="s">
        <v>64</v>
      </c>
      <c r="C37" s="50">
        <v>3</v>
      </c>
      <c r="D37" s="50">
        <v>6</v>
      </c>
      <c r="E37" s="50">
        <v>0</v>
      </c>
      <c r="F37" s="50">
        <v>8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5</v>
      </c>
      <c r="M37" s="50">
        <v>3</v>
      </c>
      <c r="N37" s="50">
        <v>0</v>
      </c>
      <c r="O37" s="15">
        <f t="shared" si="0"/>
        <v>22</v>
      </c>
      <c r="P37" s="15">
        <f t="shared" si="1"/>
        <v>25</v>
      </c>
      <c r="R37" s="37" t="s">
        <v>85</v>
      </c>
      <c r="S37" s="35">
        <f t="shared" ref="S37:AF37" si="29">SUM(S10:S12)</f>
        <v>10</v>
      </c>
      <c r="T37" s="16">
        <f t="shared" si="29"/>
        <v>23</v>
      </c>
      <c r="U37" s="16">
        <f t="shared" si="29"/>
        <v>10</v>
      </c>
      <c r="V37" s="16">
        <f t="shared" si="29"/>
        <v>23</v>
      </c>
      <c r="W37" s="16">
        <f t="shared" si="29"/>
        <v>0</v>
      </c>
      <c r="X37" s="16">
        <f t="shared" si="29"/>
        <v>1</v>
      </c>
      <c r="Y37" s="16">
        <f t="shared" si="29"/>
        <v>5</v>
      </c>
      <c r="Z37" s="16">
        <f t="shared" si="29"/>
        <v>2</v>
      </c>
      <c r="AA37" s="16">
        <f t="shared" si="29"/>
        <v>3</v>
      </c>
      <c r="AB37" s="16">
        <f t="shared" si="29"/>
        <v>38</v>
      </c>
      <c r="AC37" s="16">
        <f t="shared" si="29"/>
        <v>27</v>
      </c>
      <c r="AD37" s="16">
        <f t="shared" si="29"/>
        <v>0</v>
      </c>
      <c r="AE37" s="32">
        <f t="shared" si="29"/>
        <v>115</v>
      </c>
      <c r="AF37" s="32">
        <f t="shared" si="29"/>
        <v>142</v>
      </c>
    </row>
    <row r="38" spans="2:32" ht="23.1" customHeight="1" x14ac:dyDescent="0.25">
      <c r="B38" s="46" t="s">
        <v>65</v>
      </c>
      <c r="C38" s="50">
        <v>1</v>
      </c>
      <c r="D38" s="50">
        <v>3</v>
      </c>
      <c r="E38" s="50">
        <v>1</v>
      </c>
      <c r="F38" s="50">
        <v>4</v>
      </c>
      <c r="G38" s="50">
        <v>0</v>
      </c>
      <c r="H38" s="50">
        <v>0</v>
      </c>
      <c r="I38" s="50">
        <v>5</v>
      </c>
      <c r="J38" s="50">
        <v>2</v>
      </c>
      <c r="K38" s="50">
        <v>4</v>
      </c>
      <c r="L38" s="50">
        <v>11</v>
      </c>
      <c r="M38" s="50">
        <v>8</v>
      </c>
      <c r="N38" s="50">
        <v>0</v>
      </c>
      <c r="O38" s="15">
        <f t="shared" si="0"/>
        <v>31</v>
      </c>
      <c r="P38" s="15">
        <f t="shared" si="1"/>
        <v>39</v>
      </c>
      <c r="R38" s="28" t="s">
        <v>86</v>
      </c>
      <c r="S38" s="16">
        <f t="shared" ref="S38:AF38" si="30">SUM(S13:S18)</f>
        <v>39</v>
      </c>
      <c r="T38" s="16">
        <f t="shared" si="30"/>
        <v>36</v>
      </c>
      <c r="U38" s="16">
        <f t="shared" si="30"/>
        <v>30</v>
      </c>
      <c r="V38" s="16">
        <f t="shared" si="30"/>
        <v>81</v>
      </c>
      <c r="W38" s="16">
        <f t="shared" si="30"/>
        <v>4</v>
      </c>
      <c r="X38" s="16">
        <f t="shared" si="30"/>
        <v>0</v>
      </c>
      <c r="Y38" s="16">
        <f t="shared" si="30"/>
        <v>14</v>
      </c>
      <c r="Z38" s="16">
        <f t="shared" si="30"/>
        <v>2</v>
      </c>
      <c r="AA38" s="16">
        <f t="shared" si="30"/>
        <v>11</v>
      </c>
      <c r="AB38" s="16">
        <f t="shared" si="30"/>
        <v>127</v>
      </c>
      <c r="AC38" s="16">
        <f t="shared" si="30"/>
        <v>112</v>
      </c>
      <c r="AD38" s="16">
        <f t="shared" si="30"/>
        <v>0</v>
      </c>
      <c r="AE38" s="32">
        <f t="shared" si="30"/>
        <v>344</v>
      </c>
      <c r="AF38" s="32">
        <f t="shared" si="30"/>
        <v>456</v>
      </c>
    </row>
    <row r="39" spans="2:32" ht="23.1" customHeight="1" x14ac:dyDescent="0.25">
      <c r="B39" s="46" t="s">
        <v>66</v>
      </c>
      <c r="C39" s="50">
        <v>9</v>
      </c>
      <c r="D39" s="50">
        <v>3</v>
      </c>
      <c r="E39" s="50">
        <v>7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18</v>
      </c>
      <c r="M39" s="50">
        <v>3</v>
      </c>
      <c r="N39" s="50">
        <v>0</v>
      </c>
      <c r="O39" s="15">
        <f t="shared" si="0"/>
        <v>40</v>
      </c>
      <c r="P39" s="15">
        <f t="shared" si="1"/>
        <v>43</v>
      </c>
      <c r="R39" s="29" t="s">
        <v>87</v>
      </c>
      <c r="S39" s="16">
        <f t="shared" ref="S39:AF39" si="31">SUM(S19:S21)</f>
        <v>25</v>
      </c>
      <c r="T39" s="16">
        <f t="shared" si="31"/>
        <v>41</v>
      </c>
      <c r="U39" s="16">
        <f t="shared" si="31"/>
        <v>14</v>
      </c>
      <c r="V39" s="16">
        <f t="shared" si="31"/>
        <v>38</v>
      </c>
      <c r="W39" s="16">
        <f t="shared" si="31"/>
        <v>1</v>
      </c>
      <c r="X39" s="16">
        <f t="shared" si="31"/>
        <v>0</v>
      </c>
      <c r="Y39" s="16">
        <f t="shared" si="31"/>
        <v>19</v>
      </c>
      <c r="Z39" s="16">
        <f t="shared" si="31"/>
        <v>12</v>
      </c>
      <c r="AA39" s="16">
        <f t="shared" si="31"/>
        <v>10</v>
      </c>
      <c r="AB39" s="16">
        <f t="shared" si="31"/>
        <v>152</v>
      </c>
      <c r="AC39" s="16">
        <f t="shared" si="31"/>
        <v>80</v>
      </c>
      <c r="AD39" s="16">
        <f t="shared" si="31"/>
        <v>0</v>
      </c>
      <c r="AE39" s="32">
        <f t="shared" si="31"/>
        <v>312</v>
      </c>
      <c r="AF39" s="32">
        <f t="shared" si="31"/>
        <v>392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4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6</v>
      </c>
      <c r="M40" s="50">
        <v>1</v>
      </c>
      <c r="N40" s="50">
        <v>0</v>
      </c>
      <c r="O40" s="15">
        <f t="shared" si="0"/>
        <v>11</v>
      </c>
      <c r="P40" s="15">
        <f t="shared" si="1"/>
        <v>12</v>
      </c>
      <c r="R40" s="5" t="s">
        <v>17</v>
      </c>
      <c r="S40" s="16">
        <f t="shared" ref="S40:AF40" si="32">SUM(S10:S21)</f>
        <v>74</v>
      </c>
      <c r="T40" s="16">
        <f t="shared" si="32"/>
        <v>100</v>
      </c>
      <c r="U40" s="16">
        <f t="shared" si="32"/>
        <v>54</v>
      </c>
      <c r="V40" s="16">
        <f t="shared" si="32"/>
        <v>142</v>
      </c>
      <c r="W40" s="16">
        <f t="shared" si="32"/>
        <v>5</v>
      </c>
      <c r="X40" s="16">
        <f t="shared" si="32"/>
        <v>1</v>
      </c>
      <c r="Y40" s="16">
        <f t="shared" si="32"/>
        <v>38</v>
      </c>
      <c r="Z40" s="16">
        <f t="shared" si="32"/>
        <v>16</v>
      </c>
      <c r="AA40" s="16">
        <f t="shared" si="32"/>
        <v>24</v>
      </c>
      <c r="AB40" s="16">
        <f t="shared" si="32"/>
        <v>317</v>
      </c>
      <c r="AC40" s="16">
        <f t="shared" si="32"/>
        <v>219</v>
      </c>
      <c r="AD40" s="16">
        <f t="shared" si="32"/>
        <v>0</v>
      </c>
      <c r="AE40" s="32">
        <f t="shared" si="32"/>
        <v>771</v>
      </c>
      <c r="AF40" s="32">
        <f t="shared" si="32"/>
        <v>990</v>
      </c>
    </row>
    <row r="41" spans="2:32" ht="23.1" customHeight="1" x14ac:dyDescent="0.25">
      <c r="B41" s="45" t="s">
        <v>68</v>
      </c>
      <c r="C41" s="50">
        <v>2</v>
      </c>
      <c r="D41" s="50">
        <v>1</v>
      </c>
      <c r="E41" s="50">
        <v>1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12</v>
      </c>
      <c r="M41" s="50">
        <v>8</v>
      </c>
      <c r="N41" s="50">
        <v>0</v>
      </c>
      <c r="O41" s="15">
        <f t="shared" si="0"/>
        <v>18</v>
      </c>
      <c r="P41" s="15">
        <f t="shared" si="1"/>
        <v>26</v>
      </c>
      <c r="R41" s="5" t="s">
        <v>159</v>
      </c>
      <c r="S41" s="16">
        <f>SUM(S10:S33)</f>
        <v>85</v>
      </c>
      <c r="T41" s="16">
        <f t="shared" ref="T41:AF41" si="33">SUM(T10:T33)</f>
        <v>114</v>
      </c>
      <c r="U41" s="16">
        <f t="shared" si="33"/>
        <v>63</v>
      </c>
      <c r="V41" s="16">
        <f t="shared" si="33"/>
        <v>169</v>
      </c>
      <c r="W41" s="16">
        <f t="shared" si="33"/>
        <v>5</v>
      </c>
      <c r="X41" s="16">
        <f t="shared" si="33"/>
        <v>6</v>
      </c>
      <c r="Y41" s="16">
        <f t="shared" si="33"/>
        <v>50</v>
      </c>
      <c r="Z41" s="16">
        <f t="shared" si="33"/>
        <v>24</v>
      </c>
      <c r="AA41" s="16">
        <f t="shared" si="33"/>
        <v>53</v>
      </c>
      <c r="AB41" s="16">
        <f t="shared" si="33"/>
        <v>778</v>
      </c>
      <c r="AC41" s="16">
        <f t="shared" si="33"/>
        <v>243</v>
      </c>
      <c r="AD41" s="16">
        <f t="shared" si="33"/>
        <v>0</v>
      </c>
      <c r="AE41" s="32">
        <f t="shared" si="33"/>
        <v>1347</v>
      </c>
      <c r="AF41" s="32">
        <f t="shared" si="33"/>
        <v>1590</v>
      </c>
    </row>
    <row r="42" spans="2:32" ht="23.1" customHeight="1" x14ac:dyDescent="0.25">
      <c r="B42" s="46" t="s">
        <v>69</v>
      </c>
      <c r="C42" s="50">
        <v>1</v>
      </c>
      <c r="D42" s="50">
        <v>3</v>
      </c>
      <c r="E42" s="50">
        <v>2</v>
      </c>
      <c r="F42" s="50">
        <v>7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9</v>
      </c>
      <c r="M42" s="50">
        <v>9</v>
      </c>
      <c r="N42" s="50">
        <v>0</v>
      </c>
      <c r="O42" s="15">
        <f t="shared" si="0"/>
        <v>22</v>
      </c>
      <c r="P42" s="15">
        <f t="shared" si="1"/>
        <v>31</v>
      </c>
      <c r="R42" s="5" t="s">
        <v>160</v>
      </c>
      <c r="S42" s="48">
        <f>S41/S40</f>
        <v>1.1486486486486487</v>
      </c>
      <c r="T42" s="48">
        <f t="shared" ref="T42:AF42" si="34">T41/T40</f>
        <v>1.1399999999999999</v>
      </c>
      <c r="U42" s="48">
        <f t="shared" si="34"/>
        <v>1.1666666666666667</v>
      </c>
      <c r="V42" s="48">
        <f t="shared" si="34"/>
        <v>1.1901408450704225</v>
      </c>
      <c r="W42" s="48">
        <f t="shared" si="34"/>
        <v>1</v>
      </c>
      <c r="X42" s="48">
        <f t="shared" si="34"/>
        <v>6</v>
      </c>
      <c r="Y42" s="48">
        <f t="shared" si="34"/>
        <v>1.3157894736842106</v>
      </c>
      <c r="Z42" s="48">
        <f t="shared" si="34"/>
        <v>1.5</v>
      </c>
      <c r="AA42" s="48">
        <f t="shared" si="34"/>
        <v>2.2083333333333335</v>
      </c>
      <c r="AB42" s="48">
        <f t="shared" si="34"/>
        <v>2.4542586750788642</v>
      </c>
      <c r="AC42" s="48">
        <f t="shared" si="34"/>
        <v>1.1095890410958904</v>
      </c>
      <c r="AD42" s="48" t="e">
        <f t="shared" si="34"/>
        <v>#DIV/0!</v>
      </c>
      <c r="AE42" s="48">
        <f t="shared" si="34"/>
        <v>1.7470817120622568</v>
      </c>
      <c r="AF42" s="48">
        <f t="shared" si="34"/>
        <v>1.606060606060606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3</v>
      </c>
      <c r="M43" s="50">
        <v>5</v>
      </c>
      <c r="N43" s="50">
        <v>0</v>
      </c>
      <c r="O43" s="15">
        <f t="shared" si="0"/>
        <v>6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3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5</v>
      </c>
      <c r="M44" s="50">
        <v>5</v>
      </c>
      <c r="N44" s="50">
        <v>0</v>
      </c>
      <c r="O44" s="15">
        <f t="shared" si="0"/>
        <v>13</v>
      </c>
      <c r="P44" s="15">
        <f t="shared" si="1"/>
        <v>18</v>
      </c>
    </row>
    <row r="45" spans="2:32" ht="23.1" customHeight="1" x14ac:dyDescent="0.25">
      <c r="B45" s="45" t="s">
        <v>72</v>
      </c>
      <c r="C45" s="50">
        <v>5</v>
      </c>
      <c r="D45" s="50">
        <v>3</v>
      </c>
      <c r="E45" s="50">
        <v>0</v>
      </c>
      <c r="F45" s="50">
        <v>5</v>
      </c>
      <c r="G45" s="50">
        <v>3</v>
      </c>
      <c r="H45" s="50">
        <v>0</v>
      </c>
      <c r="I45" s="50">
        <v>1</v>
      </c>
      <c r="J45" s="50">
        <v>0</v>
      </c>
      <c r="K45" s="50">
        <v>1</v>
      </c>
      <c r="L45" s="50">
        <v>16</v>
      </c>
      <c r="M45" s="50">
        <v>3</v>
      </c>
      <c r="N45" s="50">
        <v>0</v>
      </c>
      <c r="O45" s="15">
        <f t="shared" si="0"/>
        <v>34</v>
      </c>
      <c r="P45" s="15">
        <f t="shared" si="1"/>
        <v>37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6</v>
      </c>
      <c r="M46" s="50">
        <v>7</v>
      </c>
      <c r="N46" s="50">
        <v>0</v>
      </c>
      <c r="O46" s="15">
        <f t="shared" si="0"/>
        <v>8</v>
      </c>
      <c r="P46" s="15">
        <f t="shared" si="1"/>
        <v>15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4</v>
      </c>
      <c r="E47" s="50">
        <v>1</v>
      </c>
      <c r="F47" s="50">
        <v>1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5</v>
      </c>
      <c r="M47" s="50">
        <v>8</v>
      </c>
      <c r="N47" s="50">
        <v>0</v>
      </c>
      <c r="O47" s="15">
        <f t="shared" si="0"/>
        <v>17</v>
      </c>
      <c r="P47" s="15">
        <f t="shared" si="1"/>
        <v>25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8</v>
      </c>
      <c r="E48" s="50">
        <v>1</v>
      </c>
      <c r="F48" s="50">
        <v>6</v>
      </c>
      <c r="G48" s="50">
        <v>0</v>
      </c>
      <c r="H48" s="50">
        <v>0</v>
      </c>
      <c r="I48" s="50">
        <v>0</v>
      </c>
      <c r="J48" s="50">
        <v>5</v>
      </c>
      <c r="K48" s="50">
        <v>0</v>
      </c>
      <c r="L48" s="50">
        <v>4</v>
      </c>
      <c r="M48" s="50">
        <v>5</v>
      </c>
      <c r="N48" s="50">
        <v>0</v>
      </c>
      <c r="O48" s="15">
        <f t="shared" si="0"/>
        <v>29</v>
      </c>
      <c r="P48" s="15">
        <f t="shared" si="1"/>
        <v>34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1</v>
      </c>
      <c r="E49" s="50">
        <v>1</v>
      </c>
      <c r="F49" s="50">
        <v>4</v>
      </c>
      <c r="G49" s="50">
        <v>1</v>
      </c>
      <c r="H49" s="50">
        <v>0</v>
      </c>
      <c r="I49" s="50">
        <v>1</v>
      </c>
      <c r="J49" s="50">
        <v>1</v>
      </c>
      <c r="K49" s="50">
        <v>0</v>
      </c>
      <c r="L49" s="50">
        <v>3</v>
      </c>
      <c r="M49" s="50">
        <v>0</v>
      </c>
      <c r="N49" s="50">
        <v>0</v>
      </c>
      <c r="O49" s="15">
        <f t="shared" si="0"/>
        <v>15</v>
      </c>
      <c r="P49" s="15">
        <f t="shared" si="1"/>
        <v>15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8</v>
      </c>
      <c r="E50" s="50">
        <v>3</v>
      </c>
      <c r="F50" s="50">
        <v>6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19</v>
      </c>
      <c r="M50" s="50">
        <v>11</v>
      </c>
      <c r="N50" s="50">
        <v>0</v>
      </c>
      <c r="O50" s="15">
        <f t="shared" si="0"/>
        <v>41</v>
      </c>
      <c r="P50" s="15">
        <f t="shared" si="1"/>
        <v>52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5</v>
      </c>
      <c r="E51" s="50">
        <v>2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21</v>
      </c>
      <c r="M51" s="50">
        <v>9</v>
      </c>
      <c r="N51" s="50">
        <v>0</v>
      </c>
      <c r="O51" s="15">
        <f t="shared" si="0"/>
        <v>34</v>
      </c>
      <c r="P51" s="15">
        <f t="shared" si="1"/>
        <v>43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2</v>
      </c>
      <c r="F52" s="50">
        <v>1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13</v>
      </c>
      <c r="M52" s="50">
        <v>2</v>
      </c>
      <c r="N52" s="50">
        <v>0</v>
      </c>
      <c r="O52" s="15">
        <f t="shared" si="0"/>
        <v>20</v>
      </c>
      <c r="P52" s="15">
        <f t="shared" si="1"/>
        <v>22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26</v>
      </c>
      <c r="M53" s="50">
        <v>9</v>
      </c>
      <c r="N53" s="50">
        <v>0</v>
      </c>
      <c r="O53" s="15">
        <f t="shared" si="0"/>
        <v>28</v>
      </c>
      <c r="P53" s="15">
        <f t="shared" si="1"/>
        <v>37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1</v>
      </c>
      <c r="E54" s="50">
        <v>0</v>
      </c>
      <c r="F54" s="50">
        <v>5</v>
      </c>
      <c r="G54" s="50">
        <v>0</v>
      </c>
      <c r="H54" s="50">
        <v>0</v>
      </c>
      <c r="I54" s="50">
        <v>0</v>
      </c>
      <c r="J54" s="50">
        <v>3</v>
      </c>
      <c r="K54" s="50">
        <v>5</v>
      </c>
      <c r="L54" s="50">
        <v>18</v>
      </c>
      <c r="M54" s="50">
        <v>4</v>
      </c>
      <c r="N54" s="50">
        <v>0</v>
      </c>
      <c r="O54" s="15">
        <f t="shared" si="0"/>
        <v>34</v>
      </c>
      <c r="P54" s="15">
        <f t="shared" si="1"/>
        <v>38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7</v>
      </c>
      <c r="E55" s="50">
        <v>3</v>
      </c>
      <c r="F55" s="50">
        <v>1</v>
      </c>
      <c r="G55" s="50">
        <v>0</v>
      </c>
      <c r="H55" s="50">
        <v>0</v>
      </c>
      <c r="I55" s="50">
        <v>5</v>
      </c>
      <c r="J55" s="50">
        <v>0</v>
      </c>
      <c r="K55" s="50">
        <v>2</v>
      </c>
      <c r="L55" s="50">
        <v>16</v>
      </c>
      <c r="M55" s="50">
        <v>8</v>
      </c>
      <c r="N55" s="50">
        <v>0</v>
      </c>
      <c r="O55" s="15">
        <f t="shared" si="0"/>
        <v>34</v>
      </c>
      <c r="P55" s="15">
        <f t="shared" si="1"/>
        <v>42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1</v>
      </c>
      <c r="E56" s="50">
        <v>0</v>
      </c>
      <c r="F56" s="50">
        <v>8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12</v>
      </c>
      <c r="M56" s="50">
        <v>6</v>
      </c>
      <c r="N56" s="50">
        <v>0</v>
      </c>
      <c r="O56" s="15">
        <f t="shared" si="0"/>
        <v>27</v>
      </c>
      <c r="P56" s="15">
        <f t="shared" si="1"/>
        <v>33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5</v>
      </c>
      <c r="E57" s="50">
        <v>1</v>
      </c>
      <c r="F57" s="50">
        <v>4</v>
      </c>
      <c r="G57" s="50">
        <v>0</v>
      </c>
      <c r="H57" s="50">
        <v>0</v>
      </c>
      <c r="I57" s="50">
        <v>3</v>
      </c>
      <c r="J57" s="50">
        <v>0</v>
      </c>
      <c r="K57" s="50">
        <v>2</v>
      </c>
      <c r="L57" s="50">
        <v>9</v>
      </c>
      <c r="M57" s="50">
        <v>11</v>
      </c>
      <c r="N57" s="50">
        <v>0</v>
      </c>
      <c r="O57" s="15">
        <f t="shared" si="0"/>
        <v>25</v>
      </c>
      <c r="P57" s="15">
        <f t="shared" si="1"/>
        <v>36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3</v>
      </c>
      <c r="E58" s="50">
        <v>3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3</v>
      </c>
      <c r="M58" s="50">
        <v>8</v>
      </c>
      <c r="N58" s="50">
        <v>0</v>
      </c>
      <c r="O58" s="15">
        <f t="shared" si="0"/>
        <v>10</v>
      </c>
      <c r="P58" s="15">
        <f t="shared" si="1"/>
        <v>18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0</v>
      </c>
      <c r="F59" s="50">
        <v>6</v>
      </c>
      <c r="G59" s="50">
        <v>0</v>
      </c>
      <c r="H59" s="50">
        <v>0</v>
      </c>
      <c r="I59" s="50">
        <v>3</v>
      </c>
      <c r="J59" s="50">
        <v>0</v>
      </c>
      <c r="K59" s="50">
        <v>4</v>
      </c>
      <c r="L59" s="50">
        <v>5</v>
      </c>
      <c r="M59" s="50">
        <v>0</v>
      </c>
      <c r="N59" s="50">
        <v>0</v>
      </c>
      <c r="O59" s="15">
        <f t="shared" si="0"/>
        <v>21</v>
      </c>
      <c r="P59" s="15">
        <f t="shared" si="1"/>
        <v>21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2</v>
      </c>
      <c r="G60" s="50">
        <v>0</v>
      </c>
      <c r="H60" s="50">
        <v>0</v>
      </c>
      <c r="I60" s="50">
        <v>2</v>
      </c>
      <c r="J60" s="50">
        <v>1</v>
      </c>
      <c r="K60" s="50">
        <v>5</v>
      </c>
      <c r="L60" s="50">
        <v>15</v>
      </c>
      <c r="M60" s="50">
        <v>2</v>
      </c>
      <c r="N60" s="50">
        <v>0</v>
      </c>
      <c r="O60" s="15">
        <f t="shared" si="0"/>
        <v>27</v>
      </c>
      <c r="P60" s="15">
        <f t="shared" si="1"/>
        <v>29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8</v>
      </c>
      <c r="G61" s="50">
        <v>0</v>
      </c>
      <c r="H61" s="50">
        <v>0</v>
      </c>
      <c r="I61" s="50">
        <v>0</v>
      </c>
      <c r="J61" s="50">
        <v>0</v>
      </c>
      <c r="K61" s="50">
        <v>12</v>
      </c>
      <c r="L61" s="50">
        <v>40</v>
      </c>
      <c r="M61" s="50">
        <v>0</v>
      </c>
      <c r="N61" s="50">
        <v>0</v>
      </c>
      <c r="O61" s="15">
        <f t="shared" si="0"/>
        <v>60</v>
      </c>
      <c r="P61" s="15">
        <f t="shared" si="1"/>
        <v>60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1</v>
      </c>
      <c r="E62" s="50">
        <v>2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1</v>
      </c>
      <c r="L62" s="50">
        <v>14</v>
      </c>
      <c r="M62" s="50">
        <v>0</v>
      </c>
      <c r="N62" s="50">
        <v>0</v>
      </c>
      <c r="O62" s="15">
        <f t="shared" si="0"/>
        <v>18</v>
      </c>
      <c r="P62" s="15">
        <f t="shared" si="1"/>
        <v>18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2</v>
      </c>
      <c r="G63" s="50">
        <v>0</v>
      </c>
      <c r="H63" s="50">
        <v>0</v>
      </c>
      <c r="I63" s="50">
        <v>0</v>
      </c>
      <c r="J63" s="50">
        <v>2</v>
      </c>
      <c r="K63" s="50">
        <v>0</v>
      </c>
      <c r="L63" s="50">
        <v>25</v>
      </c>
      <c r="M63" s="50">
        <v>0</v>
      </c>
      <c r="N63" s="50">
        <v>0</v>
      </c>
      <c r="O63" s="15">
        <f t="shared" si="0"/>
        <v>29</v>
      </c>
      <c r="P63" s="15">
        <f t="shared" si="1"/>
        <v>29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3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21</v>
      </c>
      <c r="M64" s="50">
        <v>0</v>
      </c>
      <c r="N64" s="50">
        <v>0</v>
      </c>
      <c r="O64" s="15">
        <f t="shared" si="0"/>
        <v>25</v>
      </c>
      <c r="P64" s="15">
        <f t="shared" si="1"/>
        <v>25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2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10</v>
      </c>
      <c r="M65" s="50">
        <v>0</v>
      </c>
      <c r="N65" s="50">
        <v>0</v>
      </c>
      <c r="O65" s="15">
        <f t="shared" si="0"/>
        <v>12</v>
      </c>
      <c r="P65" s="15">
        <f t="shared" si="1"/>
        <v>12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4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19</v>
      </c>
      <c r="M66" s="50">
        <v>0</v>
      </c>
      <c r="N66" s="50">
        <v>0</v>
      </c>
      <c r="O66" s="15">
        <f t="shared" si="0"/>
        <v>24</v>
      </c>
      <c r="P66" s="15">
        <f t="shared" si="1"/>
        <v>24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3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7</v>
      </c>
      <c r="M67" s="50">
        <v>0</v>
      </c>
      <c r="N67" s="50">
        <v>0</v>
      </c>
      <c r="O67" s="15">
        <f t="shared" si="0"/>
        <v>11</v>
      </c>
      <c r="P67" s="15">
        <f t="shared" si="1"/>
        <v>11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12</v>
      </c>
      <c r="M68" s="50">
        <v>0</v>
      </c>
      <c r="N68" s="50">
        <v>0</v>
      </c>
      <c r="O68" s="15">
        <f t="shared" si="0"/>
        <v>12</v>
      </c>
      <c r="P68" s="15">
        <f t="shared" si="1"/>
        <v>12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2</v>
      </c>
      <c r="J69" s="50">
        <v>0</v>
      </c>
      <c r="K69" s="50">
        <v>5</v>
      </c>
      <c r="L69" s="50">
        <v>30</v>
      </c>
      <c r="M69" s="50">
        <v>0</v>
      </c>
      <c r="N69" s="50">
        <v>0</v>
      </c>
      <c r="O69" s="15">
        <f t="shared" si="0"/>
        <v>37</v>
      </c>
      <c r="P69" s="15">
        <f t="shared" si="1"/>
        <v>37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10</v>
      </c>
      <c r="M70" s="50">
        <v>0</v>
      </c>
      <c r="N70" s="50">
        <v>0</v>
      </c>
      <c r="O70" s="15">
        <f t="shared" si="0"/>
        <v>10</v>
      </c>
      <c r="P70" s="15">
        <f t="shared" si="1"/>
        <v>10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13</v>
      </c>
      <c r="M71" s="50">
        <v>0</v>
      </c>
      <c r="N71" s="50">
        <v>0</v>
      </c>
      <c r="O71" s="15">
        <f t="shared" si="0"/>
        <v>13</v>
      </c>
      <c r="P71" s="15">
        <f t="shared" si="1"/>
        <v>13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8</v>
      </c>
      <c r="M72" s="50">
        <v>0</v>
      </c>
      <c r="N72" s="50">
        <v>0</v>
      </c>
      <c r="O72" s="15">
        <f t="shared" si="0"/>
        <v>8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5</v>
      </c>
      <c r="M73" s="50">
        <v>0</v>
      </c>
      <c r="N73" s="50">
        <v>0</v>
      </c>
      <c r="O73" s="15">
        <f t="shared" si="0"/>
        <v>5</v>
      </c>
      <c r="P73" s="15">
        <f t="shared" si="1"/>
        <v>5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23</v>
      </c>
      <c r="M74" s="50">
        <v>0</v>
      </c>
      <c r="N74" s="50">
        <v>0</v>
      </c>
      <c r="O74" s="15">
        <f t="shared" ref="O74:O105" si="35">SUM(C74:L74,N74)</f>
        <v>23</v>
      </c>
      <c r="P74" s="15">
        <f t="shared" ref="P74:P105" si="36">SUM(C74:N74)</f>
        <v>23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12</v>
      </c>
      <c r="M75" s="50">
        <v>0</v>
      </c>
      <c r="N75" s="50">
        <v>0</v>
      </c>
      <c r="O75" s="15">
        <f t="shared" si="35"/>
        <v>12</v>
      </c>
      <c r="P75" s="15">
        <f t="shared" si="36"/>
        <v>12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5</v>
      </c>
      <c r="M76" s="50">
        <v>0</v>
      </c>
      <c r="N76" s="50">
        <v>0</v>
      </c>
      <c r="O76" s="15">
        <f t="shared" si="35"/>
        <v>5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7</v>
      </c>
      <c r="M77" s="50">
        <v>0</v>
      </c>
      <c r="N77" s="50">
        <v>0</v>
      </c>
      <c r="O77" s="15">
        <f t="shared" si="35"/>
        <v>7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7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8</v>
      </c>
      <c r="M79" s="50">
        <v>0</v>
      </c>
      <c r="N79" s="50">
        <v>0</v>
      </c>
      <c r="O79" s="15">
        <f t="shared" si="35"/>
        <v>8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10</v>
      </c>
      <c r="M80" s="50">
        <v>0</v>
      </c>
      <c r="N80" s="50">
        <v>0</v>
      </c>
      <c r="O80" s="15">
        <f t="shared" si="35"/>
        <v>10</v>
      </c>
      <c r="P80" s="15">
        <f t="shared" si="36"/>
        <v>10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6</v>
      </c>
      <c r="M81" s="50">
        <v>0</v>
      </c>
      <c r="N81" s="50">
        <v>0</v>
      </c>
      <c r="O81" s="15">
        <f t="shared" si="35"/>
        <v>6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10</v>
      </c>
      <c r="M82" s="50">
        <v>0</v>
      </c>
      <c r="N82" s="50">
        <v>0</v>
      </c>
      <c r="O82" s="15">
        <f t="shared" si="35"/>
        <v>10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8</v>
      </c>
      <c r="M83" s="50">
        <v>0</v>
      </c>
      <c r="N83" s="50">
        <v>0</v>
      </c>
      <c r="O83" s="15">
        <f t="shared" si="35"/>
        <v>9</v>
      </c>
      <c r="P83" s="15">
        <f t="shared" si="36"/>
        <v>9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5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1</v>
      </c>
      <c r="I85" s="50">
        <v>1</v>
      </c>
      <c r="J85" s="50">
        <v>2</v>
      </c>
      <c r="K85" s="50">
        <v>0</v>
      </c>
      <c r="L85" s="50">
        <v>12</v>
      </c>
      <c r="M85" s="50">
        <v>0</v>
      </c>
      <c r="N85" s="50">
        <v>0</v>
      </c>
      <c r="O85" s="15">
        <f t="shared" si="35"/>
        <v>16</v>
      </c>
      <c r="P85" s="15">
        <f t="shared" si="36"/>
        <v>16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4</v>
      </c>
      <c r="M86" s="50">
        <v>0</v>
      </c>
      <c r="N86" s="50">
        <v>0</v>
      </c>
      <c r="O86" s="15">
        <f t="shared" si="35"/>
        <v>4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4</v>
      </c>
      <c r="M87" s="50">
        <v>0</v>
      </c>
      <c r="N87" s="50">
        <v>0</v>
      </c>
      <c r="O87" s="15">
        <f t="shared" si="35"/>
        <v>6</v>
      </c>
      <c r="P87" s="15">
        <f t="shared" si="36"/>
        <v>6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6</v>
      </c>
      <c r="M88" s="50">
        <v>0</v>
      </c>
      <c r="N88" s="50"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4</v>
      </c>
      <c r="M89" s="50">
        <v>0</v>
      </c>
      <c r="N89" s="50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3</v>
      </c>
      <c r="M90" s="50">
        <v>0</v>
      </c>
      <c r="N90" s="50">
        <v>0</v>
      </c>
      <c r="O90" s="15">
        <f t="shared" si="35"/>
        <v>4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6</v>
      </c>
      <c r="M91" s="50">
        <v>0</v>
      </c>
      <c r="N91" s="50"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5</v>
      </c>
      <c r="M92" s="50">
        <v>0</v>
      </c>
      <c r="N92" s="50"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5</v>
      </c>
      <c r="M93" s="50">
        <v>0</v>
      </c>
      <c r="N93" s="50">
        <v>0</v>
      </c>
      <c r="O93" s="15">
        <f t="shared" si="35"/>
        <v>5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2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4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6</v>
      </c>
      <c r="M96" s="50">
        <v>0</v>
      </c>
      <c r="N96" s="50">
        <v>0</v>
      </c>
      <c r="O96" s="15">
        <f t="shared" si="35"/>
        <v>7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4</v>
      </c>
      <c r="M97" s="50">
        <v>0</v>
      </c>
      <c r="N97" s="50"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4</v>
      </c>
      <c r="M98" s="50">
        <v>0</v>
      </c>
      <c r="N98" s="50">
        <v>0</v>
      </c>
      <c r="O98" s="15">
        <f t="shared" si="35"/>
        <v>6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6</v>
      </c>
      <c r="M99" s="50">
        <v>0</v>
      </c>
      <c r="N99" s="50">
        <v>0</v>
      </c>
      <c r="O99" s="15">
        <f t="shared" si="35"/>
        <v>6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1</v>
      </c>
      <c r="I100" s="50">
        <v>0</v>
      </c>
      <c r="J100" s="50">
        <v>1</v>
      </c>
      <c r="K100" s="50">
        <v>1</v>
      </c>
      <c r="L100" s="50">
        <v>4</v>
      </c>
      <c r="M100" s="50">
        <v>0</v>
      </c>
      <c r="N100" s="50">
        <v>0</v>
      </c>
      <c r="O100" s="15">
        <f t="shared" si="35"/>
        <v>7</v>
      </c>
      <c r="P100" s="15">
        <f t="shared" si="36"/>
        <v>7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12</v>
      </c>
      <c r="M101" s="50">
        <v>3</v>
      </c>
      <c r="N101" s="50">
        <v>0</v>
      </c>
      <c r="O101" s="15">
        <f t="shared" si="35"/>
        <v>14</v>
      </c>
      <c r="P101" s="15">
        <f t="shared" si="36"/>
        <v>17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2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1</v>
      </c>
      <c r="K102" s="50">
        <v>0</v>
      </c>
      <c r="L102" s="50">
        <v>8</v>
      </c>
      <c r="M102" s="50">
        <v>1</v>
      </c>
      <c r="N102" s="50">
        <v>0</v>
      </c>
      <c r="O102" s="15">
        <f t="shared" si="35"/>
        <v>12</v>
      </c>
      <c r="P102" s="15">
        <f t="shared" si="36"/>
        <v>13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2</v>
      </c>
      <c r="I103" s="50">
        <v>0</v>
      </c>
      <c r="J103" s="50">
        <v>0</v>
      </c>
      <c r="K103" s="50">
        <v>0</v>
      </c>
      <c r="L103" s="50">
        <v>10</v>
      </c>
      <c r="M103" s="50">
        <v>5</v>
      </c>
      <c r="N103" s="50">
        <v>0</v>
      </c>
      <c r="O103" s="15">
        <f t="shared" si="35"/>
        <v>13</v>
      </c>
      <c r="P103" s="15">
        <f t="shared" si="36"/>
        <v>18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11</v>
      </c>
      <c r="M104" s="50">
        <v>0</v>
      </c>
      <c r="N104" s="50">
        <v>0</v>
      </c>
      <c r="O104" s="15">
        <f t="shared" si="35"/>
        <v>12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3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3</v>
      </c>
      <c r="M105" s="50">
        <v>5</v>
      </c>
      <c r="N105" s="50">
        <v>0</v>
      </c>
      <c r="O105" s="15">
        <f t="shared" si="35"/>
        <v>6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85</v>
      </c>
      <c r="D106" s="16">
        <f t="shared" ref="D106:P106" si="37">SUM(D10:D105)</f>
        <v>114</v>
      </c>
      <c r="E106" s="16">
        <f t="shared" si="37"/>
        <v>63</v>
      </c>
      <c r="F106" s="16">
        <f t="shared" si="37"/>
        <v>169</v>
      </c>
      <c r="G106" s="16">
        <f t="shared" si="37"/>
        <v>5</v>
      </c>
      <c r="H106" s="16">
        <f t="shared" si="37"/>
        <v>6</v>
      </c>
      <c r="I106" s="16">
        <f t="shared" si="37"/>
        <v>50</v>
      </c>
      <c r="J106" s="16">
        <f t="shared" si="37"/>
        <v>24</v>
      </c>
      <c r="K106" s="16">
        <f t="shared" si="37"/>
        <v>53</v>
      </c>
      <c r="L106" s="16">
        <f t="shared" si="37"/>
        <v>778</v>
      </c>
      <c r="M106" s="16">
        <f t="shared" si="37"/>
        <v>243</v>
      </c>
      <c r="N106" s="16">
        <f t="shared" si="37"/>
        <v>0</v>
      </c>
      <c r="O106" s="16">
        <f t="shared" si="37"/>
        <v>1347</v>
      </c>
      <c r="P106" s="16">
        <f t="shared" si="37"/>
        <v>1590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5.3459119496855348E-2</v>
      </c>
      <c r="D107" s="43">
        <f t="shared" si="38"/>
        <v>7.1698113207547168E-2</v>
      </c>
      <c r="E107" s="43">
        <f t="shared" si="38"/>
        <v>3.962264150943396E-2</v>
      </c>
      <c r="F107" s="43">
        <f t="shared" si="38"/>
        <v>0.10628930817610063</v>
      </c>
      <c r="G107" s="43">
        <f t="shared" si="38"/>
        <v>3.1446540880503146E-3</v>
      </c>
      <c r="H107" s="43">
        <f t="shared" si="38"/>
        <v>3.7735849056603774E-3</v>
      </c>
      <c r="I107" s="43">
        <f t="shared" si="38"/>
        <v>3.1446540880503145E-2</v>
      </c>
      <c r="J107" s="43">
        <f t="shared" si="38"/>
        <v>1.509433962264151E-2</v>
      </c>
      <c r="K107" s="43">
        <f t="shared" si="38"/>
        <v>3.3333333333333333E-2</v>
      </c>
      <c r="L107" s="43">
        <f t="shared" si="38"/>
        <v>0.48930817610062893</v>
      </c>
      <c r="M107" s="43">
        <f t="shared" si="38"/>
        <v>0.15283018867924528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6.3103192279138826E-2</v>
      </c>
      <c r="D108" s="44">
        <f t="shared" ref="D108:N108" si="39">D106/$O$106</f>
        <v>8.4632516703786187E-2</v>
      </c>
      <c r="E108" s="44">
        <f t="shared" si="39"/>
        <v>4.6770601336302897E-2</v>
      </c>
      <c r="F108" s="44">
        <f t="shared" si="39"/>
        <v>0.12546399406087602</v>
      </c>
      <c r="G108" s="44">
        <f t="shared" si="39"/>
        <v>3.7119524870081661E-3</v>
      </c>
      <c r="H108" s="44">
        <f t="shared" si="39"/>
        <v>4.4543429844097994E-3</v>
      </c>
      <c r="I108" s="44">
        <f t="shared" si="39"/>
        <v>3.711952487008166E-2</v>
      </c>
      <c r="J108" s="44">
        <f t="shared" si="39"/>
        <v>1.7817371937639197E-2</v>
      </c>
      <c r="K108" s="44">
        <f t="shared" si="39"/>
        <v>3.9346696362286562E-2</v>
      </c>
      <c r="L108" s="44">
        <f t="shared" si="39"/>
        <v>0.57757980697847067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'27.08 BUSITEMA-TORORO-24h'!D5</f>
        <v>27.8.19</v>
      </c>
      <c r="E5" s="3"/>
      <c r="F5" s="41" t="s">
        <v>1</v>
      </c>
      <c r="G5" s="63" t="str">
        <f>'24.08 TORORO-BUSITEMA-24h'!G5:H5</f>
        <v>STATION 98</v>
      </c>
      <c r="H5" s="64"/>
      <c r="I5" s="14"/>
      <c r="J5" s="2" t="s">
        <v>5</v>
      </c>
      <c r="K5" s="63" t="str">
        <f>'24.08 TORORO-BUSITEMA-24h'!K5:L5</f>
        <v>AMONY JOVANA BELLA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163</v>
      </c>
      <c r="E6" s="64"/>
      <c r="F6" s="2" t="s">
        <v>2</v>
      </c>
      <c r="G6" s="63" t="s">
        <v>164</v>
      </c>
      <c r="H6" s="64"/>
      <c r="J6" s="2" t="s">
        <v>21</v>
      </c>
      <c r="K6" s="63" t="str">
        <f>'24.08 TORORO-BUSITEMA-24h'!K6:L6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9</v>
      </c>
      <c r="M10" s="50">
        <v>0</v>
      </c>
      <c r="N10" s="50">
        <v>0</v>
      </c>
      <c r="O10" s="15">
        <f t="shared" ref="O10:O73" si="0">SUM(C10:L10,N10)</f>
        <v>10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1</v>
      </c>
      <c r="V10" s="17">
        <f t="shared" si="2"/>
        <v>8</v>
      </c>
      <c r="W10" s="17">
        <f t="shared" si="2"/>
        <v>2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25</v>
      </c>
      <c r="AC10" s="17">
        <f t="shared" si="2"/>
        <v>0</v>
      </c>
      <c r="AD10" s="17">
        <f t="shared" si="2"/>
        <v>0</v>
      </c>
      <c r="AE10" s="31">
        <f t="shared" si="2"/>
        <v>39</v>
      </c>
      <c r="AF10" s="31">
        <f t="shared" si="2"/>
        <v>39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1</v>
      </c>
      <c r="F11" s="50">
        <v>5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4</v>
      </c>
      <c r="M11" s="50">
        <v>0</v>
      </c>
      <c r="N11" s="50">
        <v>0</v>
      </c>
      <c r="O11" s="15">
        <f t="shared" si="0"/>
        <v>10</v>
      </c>
      <c r="P11" s="15">
        <f t="shared" si="1"/>
        <v>10</v>
      </c>
      <c r="R11" s="1" t="s">
        <v>7</v>
      </c>
      <c r="S11" s="17">
        <f t="shared" ref="S11:AF11" si="3">SUM(C14:C17)</f>
        <v>7</v>
      </c>
      <c r="T11" s="17">
        <f t="shared" si="3"/>
        <v>8</v>
      </c>
      <c r="U11" s="17">
        <f t="shared" si="3"/>
        <v>5</v>
      </c>
      <c r="V11" s="17">
        <f t="shared" si="3"/>
        <v>10</v>
      </c>
      <c r="W11" s="17">
        <f t="shared" si="3"/>
        <v>0</v>
      </c>
      <c r="X11" s="17">
        <f t="shared" si="3"/>
        <v>2</v>
      </c>
      <c r="Y11" s="17">
        <f t="shared" si="3"/>
        <v>0</v>
      </c>
      <c r="Z11" s="17">
        <f t="shared" si="3"/>
        <v>2</v>
      </c>
      <c r="AA11" s="17">
        <f t="shared" si="3"/>
        <v>0</v>
      </c>
      <c r="AB11" s="17">
        <f t="shared" si="3"/>
        <v>22</v>
      </c>
      <c r="AC11" s="17">
        <f t="shared" si="3"/>
        <v>10</v>
      </c>
      <c r="AD11" s="17">
        <f t="shared" si="3"/>
        <v>0</v>
      </c>
      <c r="AE11" s="31">
        <f t="shared" si="3"/>
        <v>56</v>
      </c>
      <c r="AF11" s="31">
        <f t="shared" si="3"/>
        <v>66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7</v>
      </c>
      <c r="M12" s="50">
        <v>0</v>
      </c>
      <c r="N12" s="50">
        <v>0</v>
      </c>
      <c r="O12" s="15">
        <f t="shared" si="0"/>
        <v>10</v>
      </c>
      <c r="P12" s="15">
        <f t="shared" si="1"/>
        <v>10</v>
      </c>
      <c r="R12" s="1" t="s">
        <v>8</v>
      </c>
      <c r="S12" s="17">
        <f t="shared" ref="S12:AF12" si="4">SUM(C18:C21)</f>
        <v>3</v>
      </c>
      <c r="T12" s="17">
        <f t="shared" si="4"/>
        <v>2</v>
      </c>
      <c r="U12" s="17">
        <f t="shared" si="4"/>
        <v>0</v>
      </c>
      <c r="V12" s="17">
        <f t="shared" si="4"/>
        <v>15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28</v>
      </c>
      <c r="AC12" s="17">
        <f t="shared" si="4"/>
        <v>13</v>
      </c>
      <c r="AD12" s="17">
        <f t="shared" si="4"/>
        <v>0</v>
      </c>
      <c r="AE12" s="31">
        <f t="shared" si="4"/>
        <v>49</v>
      </c>
      <c r="AF12" s="31">
        <f t="shared" si="4"/>
        <v>62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2</v>
      </c>
      <c r="H13" s="50">
        <v>0</v>
      </c>
      <c r="I13" s="50">
        <v>0</v>
      </c>
      <c r="J13" s="50">
        <v>0</v>
      </c>
      <c r="K13" s="50">
        <v>0</v>
      </c>
      <c r="L13" s="50">
        <v>5</v>
      </c>
      <c r="M13" s="50">
        <v>0</v>
      </c>
      <c r="N13" s="50">
        <v>0</v>
      </c>
      <c r="O13" s="15">
        <f t="shared" si="0"/>
        <v>9</v>
      </c>
      <c r="P13" s="15">
        <f t="shared" si="1"/>
        <v>9</v>
      </c>
      <c r="R13" s="1" t="s">
        <v>9</v>
      </c>
      <c r="S13" s="17">
        <f t="shared" ref="S13:AF13" si="5">SUM(C22:C25)</f>
        <v>20</v>
      </c>
      <c r="T13" s="17">
        <f t="shared" si="5"/>
        <v>15</v>
      </c>
      <c r="U13" s="17">
        <f t="shared" si="5"/>
        <v>2</v>
      </c>
      <c r="V13" s="17">
        <f t="shared" si="5"/>
        <v>12</v>
      </c>
      <c r="W13" s="17">
        <f t="shared" si="5"/>
        <v>0</v>
      </c>
      <c r="X13" s="17">
        <f t="shared" si="5"/>
        <v>1</v>
      </c>
      <c r="Y13" s="17">
        <f t="shared" si="5"/>
        <v>1</v>
      </c>
      <c r="Z13" s="17">
        <f t="shared" si="5"/>
        <v>0</v>
      </c>
      <c r="AA13" s="17">
        <f t="shared" si="5"/>
        <v>1</v>
      </c>
      <c r="AB13" s="17">
        <f t="shared" si="5"/>
        <v>41</v>
      </c>
      <c r="AC13" s="17">
        <f t="shared" si="5"/>
        <v>19</v>
      </c>
      <c r="AD13" s="17">
        <f t="shared" si="5"/>
        <v>0</v>
      </c>
      <c r="AE13" s="31">
        <f t="shared" si="5"/>
        <v>93</v>
      </c>
      <c r="AF13" s="31">
        <f t="shared" si="5"/>
        <v>112</v>
      </c>
    </row>
    <row r="14" spans="2:32" ht="23.1" customHeight="1" x14ac:dyDescent="0.25">
      <c r="B14" s="45" t="s">
        <v>41</v>
      </c>
      <c r="C14" s="50">
        <v>2</v>
      </c>
      <c r="D14" s="50">
        <v>3</v>
      </c>
      <c r="E14" s="50">
        <v>1</v>
      </c>
      <c r="F14" s="50">
        <v>1</v>
      </c>
      <c r="G14" s="50">
        <v>0</v>
      </c>
      <c r="H14" s="50">
        <v>2</v>
      </c>
      <c r="I14" s="50">
        <v>0</v>
      </c>
      <c r="J14" s="50">
        <v>0</v>
      </c>
      <c r="K14" s="50">
        <v>0</v>
      </c>
      <c r="L14" s="50">
        <v>6</v>
      </c>
      <c r="M14" s="50">
        <v>0</v>
      </c>
      <c r="N14" s="50">
        <v>0</v>
      </c>
      <c r="O14" s="15">
        <f t="shared" si="0"/>
        <v>15</v>
      </c>
      <c r="P14" s="15">
        <f t="shared" si="1"/>
        <v>15</v>
      </c>
      <c r="R14" s="1" t="s">
        <v>10</v>
      </c>
      <c r="S14" s="17">
        <f t="shared" ref="S14:AF14" si="6">SUM(C26:C29)</f>
        <v>8</v>
      </c>
      <c r="T14" s="17">
        <f t="shared" si="6"/>
        <v>5</v>
      </c>
      <c r="U14" s="17">
        <f t="shared" si="6"/>
        <v>4</v>
      </c>
      <c r="V14" s="17">
        <f t="shared" si="6"/>
        <v>14</v>
      </c>
      <c r="W14" s="17">
        <f t="shared" si="6"/>
        <v>1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31</v>
      </c>
      <c r="AC14" s="17">
        <f t="shared" si="6"/>
        <v>12</v>
      </c>
      <c r="AD14" s="17">
        <f t="shared" si="6"/>
        <v>0</v>
      </c>
      <c r="AE14" s="31">
        <f t="shared" si="6"/>
        <v>65</v>
      </c>
      <c r="AF14" s="31">
        <f t="shared" si="6"/>
        <v>77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3</v>
      </c>
      <c r="F15" s="50">
        <v>3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3</v>
      </c>
      <c r="M15" s="50">
        <v>4</v>
      </c>
      <c r="N15" s="50">
        <v>0</v>
      </c>
      <c r="O15" s="15">
        <f t="shared" si="0"/>
        <v>12</v>
      </c>
      <c r="P15" s="15">
        <f t="shared" si="1"/>
        <v>16</v>
      </c>
      <c r="R15" s="1" t="s">
        <v>11</v>
      </c>
      <c r="S15" s="17">
        <f t="shared" ref="S15:AF15" si="7">SUM(C30:C33)</f>
        <v>6</v>
      </c>
      <c r="T15" s="17">
        <f t="shared" si="7"/>
        <v>9</v>
      </c>
      <c r="U15" s="17">
        <f t="shared" si="7"/>
        <v>1</v>
      </c>
      <c r="V15" s="17">
        <f t="shared" si="7"/>
        <v>11</v>
      </c>
      <c r="W15" s="17">
        <f t="shared" si="7"/>
        <v>1</v>
      </c>
      <c r="X15" s="17">
        <f t="shared" si="7"/>
        <v>0</v>
      </c>
      <c r="Y15" s="17">
        <f t="shared" si="7"/>
        <v>1</v>
      </c>
      <c r="Z15" s="17">
        <f t="shared" si="7"/>
        <v>4</v>
      </c>
      <c r="AA15" s="17">
        <f t="shared" si="7"/>
        <v>1</v>
      </c>
      <c r="AB15" s="17">
        <f t="shared" si="7"/>
        <v>45</v>
      </c>
      <c r="AC15" s="17">
        <f t="shared" si="7"/>
        <v>16</v>
      </c>
      <c r="AD15" s="17">
        <f t="shared" si="7"/>
        <v>0</v>
      </c>
      <c r="AE15" s="31">
        <f t="shared" si="7"/>
        <v>79</v>
      </c>
      <c r="AF15" s="31">
        <f t="shared" si="7"/>
        <v>95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0</v>
      </c>
      <c r="F16" s="50">
        <v>4</v>
      </c>
      <c r="G16" s="50">
        <v>0</v>
      </c>
      <c r="H16" s="50">
        <v>0</v>
      </c>
      <c r="I16" s="50">
        <v>0</v>
      </c>
      <c r="J16" s="50">
        <v>2</v>
      </c>
      <c r="K16" s="50">
        <v>0</v>
      </c>
      <c r="L16" s="50">
        <v>5</v>
      </c>
      <c r="M16" s="50">
        <v>5</v>
      </c>
      <c r="N16" s="50">
        <v>0</v>
      </c>
      <c r="O16" s="15">
        <f t="shared" si="0"/>
        <v>13</v>
      </c>
      <c r="P16" s="15">
        <f t="shared" si="1"/>
        <v>18</v>
      </c>
      <c r="R16" s="1" t="s">
        <v>12</v>
      </c>
      <c r="S16" s="17">
        <f t="shared" ref="S16:AF16" si="8">SUM(C34:C37)</f>
        <v>8</v>
      </c>
      <c r="T16" s="17">
        <f t="shared" si="8"/>
        <v>10</v>
      </c>
      <c r="U16" s="17">
        <f t="shared" si="8"/>
        <v>6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4</v>
      </c>
      <c r="AA16" s="17">
        <f t="shared" si="8"/>
        <v>1</v>
      </c>
      <c r="AB16" s="17">
        <f t="shared" si="8"/>
        <v>35</v>
      </c>
      <c r="AC16" s="17">
        <f t="shared" si="8"/>
        <v>17</v>
      </c>
      <c r="AD16" s="17">
        <f t="shared" si="8"/>
        <v>0</v>
      </c>
      <c r="AE16" s="31">
        <f t="shared" si="8"/>
        <v>75</v>
      </c>
      <c r="AF16" s="31">
        <f t="shared" si="8"/>
        <v>92</v>
      </c>
    </row>
    <row r="17" spans="2:32" ht="23.1" customHeight="1" x14ac:dyDescent="0.25">
      <c r="B17" s="45" t="s">
        <v>44</v>
      </c>
      <c r="C17" s="50">
        <v>1</v>
      </c>
      <c r="D17" s="50">
        <v>4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8</v>
      </c>
      <c r="M17" s="50">
        <v>1</v>
      </c>
      <c r="N17" s="50">
        <v>0</v>
      </c>
      <c r="O17" s="15">
        <f t="shared" si="0"/>
        <v>16</v>
      </c>
      <c r="P17" s="15">
        <f t="shared" si="1"/>
        <v>17</v>
      </c>
      <c r="R17" s="1" t="s">
        <v>13</v>
      </c>
      <c r="S17" s="17">
        <f t="shared" ref="S17:AF17" si="9">SUM(C38:C41)</f>
        <v>11</v>
      </c>
      <c r="T17" s="17">
        <f t="shared" si="9"/>
        <v>4</v>
      </c>
      <c r="U17" s="17">
        <f t="shared" si="9"/>
        <v>3</v>
      </c>
      <c r="V17" s="17">
        <f t="shared" si="9"/>
        <v>19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7</v>
      </c>
      <c r="AA17" s="17">
        <f t="shared" si="9"/>
        <v>2</v>
      </c>
      <c r="AB17" s="17">
        <f t="shared" si="9"/>
        <v>21</v>
      </c>
      <c r="AC17" s="17">
        <f t="shared" si="9"/>
        <v>16</v>
      </c>
      <c r="AD17" s="17">
        <f t="shared" si="9"/>
        <v>0</v>
      </c>
      <c r="AE17" s="31">
        <f t="shared" si="9"/>
        <v>71</v>
      </c>
      <c r="AF17" s="31">
        <f t="shared" si="9"/>
        <v>87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7</v>
      </c>
      <c r="M18" s="50">
        <v>2</v>
      </c>
      <c r="N18" s="50">
        <v>0</v>
      </c>
      <c r="O18" s="15">
        <f t="shared" si="0"/>
        <v>10</v>
      </c>
      <c r="P18" s="15">
        <f t="shared" si="1"/>
        <v>12</v>
      </c>
      <c r="R18" s="1" t="s">
        <v>14</v>
      </c>
      <c r="S18" s="17">
        <f t="shared" ref="S18:AF18" si="10">SUM(C42:C45)</f>
        <v>10</v>
      </c>
      <c r="T18" s="17">
        <f t="shared" si="10"/>
        <v>3</v>
      </c>
      <c r="U18" s="17">
        <f t="shared" si="10"/>
        <v>5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3</v>
      </c>
      <c r="AA18" s="17">
        <f t="shared" si="10"/>
        <v>3</v>
      </c>
      <c r="AB18" s="17">
        <f t="shared" si="10"/>
        <v>38</v>
      </c>
      <c r="AC18" s="17">
        <f t="shared" si="10"/>
        <v>17</v>
      </c>
      <c r="AD18" s="17">
        <f t="shared" si="10"/>
        <v>0</v>
      </c>
      <c r="AE18" s="31">
        <f t="shared" si="10"/>
        <v>78</v>
      </c>
      <c r="AF18" s="31">
        <f t="shared" si="10"/>
        <v>95</v>
      </c>
    </row>
    <row r="19" spans="2:32" ht="23.1" customHeight="1" x14ac:dyDescent="0.25">
      <c r="B19" s="45" t="s">
        <v>46</v>
      </c>
      <c r="C19" s="50">
        <v>3</v>
      </c>
      <c r="D19" s="50">
        <v>1</v>
      </c>
      <c r="E19" s="50">
        <v>0</v>
      </c>
      <c r="F19" s="50">
        <v>4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7</v>
      </c>
      <c r="M19" s="50">
        <v>4</v>
      </c>
      <c r="N19" s="50">
        <v>0</v>
      </c>
      <c r="O19" s="15">
        <f t="shared" si="0"/>
        <v>15</v>
      </c>
      <c r="P19" s="15">
        <f t="shared" si="1"/>
        <v>19</v>
      </c>
      <c r="R19" s="1" t="s">
        <v>15</v>
      </c>
      <c r="S19" s="17">
        <f t="shared" ref="S19:AF19" si="11">SUM(C46:C49)</f>
        <v>5</v>
      </c>
      <c r="T19" s="17">
        <f t="shared" si="11"/>
        <v>7</v>
      </c>
      <c r="U19" s="17">
        <f t="shared" si="11"/>
        <v>0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2</v>
      </c>
      <c r="AA19" s="17">
        <f t="shared" si="11"/>
        <v>3</v>
      </c>
      <c r="AB19" s="17">
        <f t="shared" si="11"/>
        <v>32</v>
      </c>
      <c r="AC19" s="17">
        <f t="shared" si="11"/>
        <v>15</v>
      </c>
      <c r="AD19" s="17">
        <f t="shared" si="11"/>
        <v>0</v>
      </c>
      <c r="AE19" s="31">
        <f t="shared" si="11"/>
        <v>61</v>
      </c>
      <c r="AF19" s="31">
        <f t="shared" si="11"/>
        <v>76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6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8</v>
      </c>
      <c r="M20" s="50">
        <v>4</v>
      </c>
      <c r="N20" s="50">
        <v>0</v>
      </c>
      <c r="O20" s="15">
        <f t="shared" si="0"/>
        <v>15</v>
      </c>
      <c r="P20" s="15">
        <f t="shared" si="1"/>
        <v>19</v>
      </c>
      <c r="R20" s="1" t="s">
        <v>16</v>
      </c>
      <c r="S20" s="17">
        <f t="shared" ref="S20:AF20" si="12">SUM(C50:C53)</f>
        <v>14</v>
      </c>
      <c r="T20" s="17">
        <f t="shared" si="12"/>
        <v>4</v>
      </c>
      <c r="U20" s="17">
        <f t="shared" si="12"/>
        <v>5</v>
      </c>
      <c r="V20" s="17">
        <f t="shared" si="12"/>
        <v>27</v>
      </c>
      <c r="W20" s="17">
        <f t="shared" si="12"/>
        <v>1</v>
      </c>
      <c r="X20" s="17">
        <f t="shared" si="12"/>
        <v>1</v>
      </c>
      <c r="Y20" s="17">
        <f t="shared" si="12"/>
        <v>12</v>
      </c>
      <c r="Z20" s="17">
        <f t="shared" si="12"/>
        <v>10</v>
      </c>
      <c r="AA20" s="17">
        <f t="shared" si="12"/>
        <v>3</v>
      </c>
      <c r="AB20" s="17">
        <f t="shared" si="12"/>
        <v>42</v>
      </c>
      <c r="AC20" s="17">
        <f t="shared" si="12"/>
        <v>0</v>
      </c>
      <c r="AD20" s="17">
        <f t="shared" si="12"/>
        <v>0</v>
      </c>
      <c r="AE20" s="31">
        <f t="shared" si="12"/>
        <v>119</v>
      </c>
      <c r="AF20" s="31">
        <f t="shared" si="12"/>
        <v>119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6</v>
      </c>
      <c r="M21" s="50">
        <v>3</v>
      </c>
      <c r="N21" s="50">
        <v>0</v>
      </c>
      <c r="O21" s="15">
        <f t="shared" si="0"/>
        <v>9</v>
      </c>
      <c r="P21" s="15">
        <f t="shared" si="1"/>
        <v>12</v>
      </c>
      <c r="R21" s="36" t="s">
        <v>20</v>
      </c>
      <c r="S21" s="34">
        <f t="shared" ref="S21:AF21" si="13">SUM(C54:C57)</f>
        <v>13</v>
      </c>
      <c r="T21" s="17">
        <f t="shared" si="13"/>
        <v>9</v>
      </c>
      <c r="U21" s="17">
        <f t="shared" si="13"/>
        <v>7</v>
      </c>
      <c r="V21" s="17">
        <f t="shared" si="13"/>
        <v>37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13</v>
      </c>
      <c r="AA21" s="17">
        <f t="shared" si="13"/>
        <v>4</v>
      </c>
      <c r="AB21" s="17">
        <f t="shared" si="13"/>
        <v>51</v>
      </c>
      <c r="AC21" s="17">
        <f t="shared" si="13"/>
        <v>26</v>
      </c>
      <c r="AD21" s="17">
        <f t="shared" si="13"/>
        <v>0</v>
      </c>
      <c r="AE21" s="31">
        <f t="shared" si="13"/>
        <v>135</v>
      </c>
      <c r="AF21" s="31">
        <f t="shared" si="13"/>
        <v>161</v>
      </c>
    </row>
    <row r="22" spans="2:32" ht="23.1" customHeight="1" x14ac:dyDescent="0.25">
      <c r="B22" s="45" t="s">
        <v>49</v>
      </c>
      <c r="C22" s="50">
        <v>2</v>
      </c>
      <c r="D22" s="50">
        <v>1</v>
      </c>
      <c r="E22" s="50">
        <v>1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7</v>
      </c>
      <c r="M22" s="50">
        <v>7</v>
      </c>
      <c r="N22" s="50">
        <v>0</v>
      </c>
      <c r="O22" s="15">
        <f t="shared" si="0"/>
        <v>14</v>
      </c>
      <c r="P22" s="15">
        <f t="shared" si="1"/>
        <v>21</v>
      </c>
      <c r="R22" s="36" t="s">
        <v>146</v>
      </c>
      <c r="S22" s="34">
        <f>SUM(C58:C61)</f>
        <v>3</v>
      </c>
      <c r="T22" s="34">
        <f t="shared" ref="T22:AF22" si="14">SUM(D58:D61)</f>
        <v>3</v>
      </c>
      <c r="U22" s="34">
        <f t="shared" si="14"/>
        <v>12</v>
      </c>
      <c r="V22" s="34">
        <f t="shared" si="14"/>
        <v>12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7</v>
      </c>
      <c r="AA22" s="34">
        <f t="shared" si="14"/>
        <v>1</v>
      </c>
      <c r="AB22" s="34">
        <f t="shared" si="14"/>
        <v>74</v>
      </c>
      <c r="AC22" s="34">
        <f t="shared" si="14"/>
        <v>12</v>
      </c>
      <c r="AD22" s="34">
        <f t="shared" si="14"/>
        <v>0</v>
      </c>
      <c r="AE22" s="31">
        <f t="shared" si="14"/>
        <v>114</v>
      </c>
      <c r="AF22" s="31">
        <f t="shared" si="14"/>
        <v>126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1</v>
      </c>
      <c r="F23" s="50">
        <v>5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11</v>
      </c>
      <c r="M23" s="50">
        <v>3</v>
      </c>
      <c r="N23" s="50">
        <v>0</v>
      </c>
      <c r="O23" s="15">
        <f t="shared" si="0"/>
        <v>21</v>
      </c>
      <c r="P23" s="15">
        <f t="shared" si="1"/>
        <v>24</v>
      </c>
      <c r="R23" s="36" t="s">
        <v>147</v>
      </c>
      <c r="S23" s="34">
        <f>SUM(C62:C65)</f>
        <v>3</v>
      </c>
      <c r="T23" s="34">
        <f t="shared" ref="T23:AF23" si="15">SUM(D62:D65)</f>
        <v>4</v>
      </c>
      <c r="U23" s="34">
        <f t="shared" si="15"/>
        <v>2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5</v>
      </c>
      <c r="AA23" s="34">
        <f t="shared" si="15"/>
        <v>0</v>
      </c>
      <c r="AB23" s="34">
        <f t="shared" si="15"/>
        <v>31</v>
      </c>
      <c r="AC23" s="34">
        <f t="shared" si="15"/>
        <v>0</v>
      </c>
      <c r="AD23" s="34">
        <f t="shared" si="15"/>
        <v>0</v>
      </c>
      <c r="AE23" s="31">
        <f t="shared" si="15"/>
        <v>53</v>
      </c>
      <c r="AF23" s="31">
        <f t="shared" si="15"/>
        <v>53</v>
      </c>
    </row>
    <row r="24" spans="2:32" ht="23.1" customHeight="1" x14ac:dyDescent="0.25">
      <c r="B24" s="45" t="s">
        <v>51</v>
      </c>
      <c r="C24" s="50">
        <v>11</v>
      </c>
      <c r="D24" s="50">
        <v>8</v>
      </c>
      <c r="E24" s="50">
        <v>0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14</v>
      </c>
      <c r="M24" s="50">
        <v>7</v>
      </c>
      <c r="N24" s="50">
        <v>0</v>
      </c>
      <c r="O24" s="15">
        <f t="shared" si="0"/>
        <v>36</v>
      </c>
      <c r="P24" s="15">
        <f t="shared" si="1"/>
        <v>43</v>
      </c>
      <c r="R24" s="36" t="s">
        <v>148</v>
      </c>
      <c r="S24" s="34">
        <f>SUM(C66:C69)</f>
        <v>3</v>
      </c>
      <c r="T24" s="34">
        <f t="shared" ref="T24:AF24" si="16">SUM(D66:D69)</f>
        <v>2</v>
      </c>
      <c r="U24" s="34">
        <f t="shared" si="16"/>
        <v>0</v>
      </c>
      <c r="V24" s="34">
        <f t="shared" si="16"/>
        <v>2</v>
      </c>
      <c r="W24" s="34">
        <f t="shared" si="16"/>
        <v>0</v>
      </c>
      <c r="X24" s="34">
        <f t="shared" si="16"/>
        <v>1</v>
      </c>
      <c r="Y24" s="34">
        <f t="shared" si="16"/>
        <v>0</v>
      </c>
      <c r="Z24" s="34">
        <f t="shared" si="16"/>
        <v>4</v>
      </c>
      <c r="AA24" s="34">
        <f t="shared" si="16"/>
        <v>9</v>
      </c>
      <c r="AB24" s="34">
        <f t="shared" si="16"/>
        <v>31</v>
      </c>
      <c r="AC24" s="34">
        <f t="shared" si="16"/>
        <v>0</v>
      </c>
      <c r="AD24" s="34">
        <f t="shared" si="16"/>
        <v>0</v>
      </c>
      <c r="AE24" s="31">
        <f t="shared" si="16"/>
        <v>52</v>
      </c>
      <c r="AF24" s="31">
        <f t="shared" si="16"/>
        <v>52</v>
      </c>
    </row>
    <row r="25" spans="2:32" ht="23.1" customHeight="1" x14ac:dyDescent="0.25">
      <c r="B25" s="45" t="s">
        <v>52</v>
      </c>
      <c r="C25" s="50">
        <v>4</v>
      </c>
      <c r="D25" s="50">
        <v>6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9</v>
      </c>
      <c r="M25" s="50">
        <v>2</v>
      </c>
      <c r="N25" s="50">
        <v>0</v>
      </c>
      <c r="O25" s="15">
        <f t="shared" si="0"/>
        <v>22</v>
      </c>
      <c r="P25" s="15">
        <f t="shared" si="1"/>
        <v>24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17</v>
      </c>
      <c r="AA25" s="34">
        <f t="shared" si="17"/>
        <v>0</v>
      </c>
      <c r="AB25" s="34">
        <f t="shared" si="17"/>
        <v>27</v>
      </c>
      <c r="AC25" s="34">
        <f t="shared" si="17"/>
        <v>0</v>
      </c>
      <c r="AD25" s="34">
        <f t="shared" si="17"/>
        <v>0</v>
      </c>
      <c r="AE25" s="31">
        <f t="shared" si="17"/>
        <v>48</v>
      </c>
      <c r="AF25" s="31">
        <f t="shared" si="17"/>
        <v>48</v>
      </c>
    </row>
    <row r="26" spans="2:32" ht="23.1" customHeight="1" x14ac:dyDescent="0.25">
      <c r="B26" s="45" t="s">
        <v>53</v>
      </c>
      <c r="C26" s="50">
        <v>6</v>
      </c>
      <c r="D26" s="50">
        <v>0</v>
      </c>
      <c r="E26" s="50">
        <v>1</v>
      </c>
      <c r="F26" s="50">
        <v>4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13</v>
      </c>
      <c r="M26" s="50">
        <v>4</v>
      </c>
      <c r="N26" s="50">
        <v>0</v>
      </c>
      <c r="O26" s="15">
        <f t="shared" si="0"/>
        <v>25</v>
      </c>
      <c r="P26" s="15">
        <f t="shared" si="1"/>
        <v>29</v>
      </c>
      <c r="R26" s="36" t="s">
        <v>150</v>
      </c>
      <c r="S26" s="34">
        <f>SUM(C74:C77)</f>
        <v>0</v>
      </c>
      <c r="T26" s="34">
        <f t="shared" ref="T26:AF26" si="18">SUM(D74:D77)</f>
        <v>2</v>
      </c>
      <c r="U26" s="34">
        <f t="shared" si="18"/>
        <v>2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25</v>
      </c>
      <c r="AC26" s="34">
        <f t="shared" si="18"/>
        <v>0</v>
      </c>
      <c r="AD26" s="34">
        <f t="shared" si="18"/>
        <v>0</v>
      </c>
      <c r="AE26" s="31">
        <f t="shared" si="18"/>
        <v>30</v>
      </c>
      <c r="AF26" s="31">
        <f t="shared" si="18"/>
        <v>30</v>
      </c>
    </row>
    <row r="27" spans="2:32" ht="23.1" customHeight="1" x14ac:dyDescent="0.25">
      <c r="B27" s="45" t="s">
        <v>54</v>
      </c>
      <c r="C27" s="50">
        <v>2</v>
      </c>
      <c r="D27" s="50">
        <v>1</v>
      </c>
      <c r="E27" s="50">
        <v>0</v>
      </c>
      <c r="F27" s="50">
        <v>4</v>
      </c>
      <c r="G27" s="50">
        <v>1</v>
      </c>
      <c r="H27" s="50">
        <v>0</v>
      </c>
      <c r="I27" s="50">
        <v>0</v>
      </c>
      <c r="J27" s="50">
        <v>0</v>
      </c>
      <c r="K27" s="50">
        <v>0</v>
      </c>
      <c r="L27" s="50">
        <v>7</v>
      </c>
      <c r="M27" s="50">
        <v>4</v>
      </c>
      <c r="N27" s="50">
        <v>0</v>
      </c>
      <c r="O27" s="15">
        <f t="shared" si="0"/>
        <v>15</v>
      </c>
      <c r="P27" s="15">
        <f t="shared" si="1"/>
        <v>19</v>
      </c>
      <c r="R27" s="36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4</v>
      </c>
      <c r="AA27" s="34">
        <f t="shared" si="19"/>
        <v>0</v>
      </c>
      <c r="AB27" s="34">
        <f t="shared" si="19"/>
        <v>18</v>
      </c>
      <c r="AC27" s="34">
        <f t="shared" si="19"/>
        <v>6</v>
      </c>
      <c r="AD27" s="34">
        <f t="shared" si="19"/>
        <v>0</v>
      </c>
      <c r="AE27" s="31">
        <f t="shared" si="19"/>
        <v>25</v>
      </c>
      <c r="AF27" s="31">
        <f t="shared" si="19"/>
        <v>31</v>
      </c>
    </row>
    <row r="28" spans="2:32" ht="23.1" customHeight="1" x14ac:dyDescent="0.25">
      <c r="B28" s="45" t="s">
        <v>55</v>
      </c>
      <c r="C28" s="50">
        <v>0</v>
      </c>
      <c r="D28" s="50">
        <v>4</v>
      </c>
      <c r="E28" s="50">
        <v>3</v>
      </c>
      <c r="F28" s="50">
        <v>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7</v>
      </c>
      <c r="M28" s="50">
        <v>1</v>
      </c>
      <c r="N28" s="50">
        <v>0</v>
      </c>
      <c r="O28" s="15">
        <f t="shared" si="0"/>
        <v>18</v>
      </c>
      <c r="P28" s="15">
        <f t="shared" si="1"/>
        <v>19</v>
      </c>
      <c r="R28" s="36" t="s">
        <v>152</v>
      </c>
      <c r="S28" s="34">
        <f>SUM(C82:C85)</f>
        <v>0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16</v>
      </c>
      <c r="AC28" s="34">
        <f t="shared" si="20"/>
        <v>0</v>
      </c>
      <c r="AD28" s="34">
        <f t="shared" si="20"/>
        <v>0</v>
      </c>
      <c r="AE28" s="31">
        <f t="shared" si="20"/>
        <v>19</v>
      </c>
      <c r="AF28" s="31">
        <f t="shared" si="20"/>
        <v>19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4</v>
      </c>
      <c r="M29" s="50">
        <v>3</v>
      </c>
      <c r="N29" s="50">
        <v>0</v>
      </c>
      <c r="O29" s="15">
        <f t="shared" si="0"/>
        <v>7</v>
      </c>
      <c r="P29" s="15">
        <f t="shared" si="1"/>
        <v>10</v>
      </c>
      <c r="R29" s="36" t="s">
        <v>153</v>
      </c>
      <c r="S29" s="34">
        <f>SUM(C86:C89)</f>
        <v>0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29</v>
      </c>
      <c r="AC29" s="34">
        <f t="shared" si="21"/>
        <v>0</v>
      </c>
      <c r="AD29" s="34">
        <f t="shared" si="21"/>
        <v>0</v>
      </c>
      <c r="AE29" s="31">
        <f t="shared" si="21"/>
        <v>31</v>
      </c>
      <c r="AF29" s="31">
        <f t="shared" si="21"/>
        <v>31</v>
      </c>
    </row>
    <row r="30" spans="2:32" ht="23.1" customHeight="1" x14ac:dyDescent="0.25">
      <c r="B30" s="45" t="s">
        <v>57</v>
      </c>
      <c r="C30" s="50">
        <v>2</v>
      </c>
      <c r="D30" s="50">
        <v>4</v>
      </c>
      <c r="E30" s="50">
        <v>0</v>
      </c>
      <c r="F30" s="50">
        <v>3</v>
      </c>
      <c r="G30" s="50">
        <v>0</v>
      </c>
      <c r="H30" s="50">
        <v>0</v>
      </c>
      <c r="I30" s="50">
        <v>1</v>
      </c>
      <c r="J30" s="50">
        <v>2</v>
      </c>
      <c r="K30" s="50">
        <v>1</v>
      </c>
      <c r="L30" s="50">
        <v>5</v>
      </c>
      <c r="M30" s="50">
        <v>1</v>
      </c>
      <c r="N30" s="50">
        <v>0</v>
      </c>
      <c r="O30" s="15">
        <f t="shared" si="0"/>
        <v>18</v>
      </c>
      <c r="P30" s="15">
        <f t="shared" si="1"/>
        <v>19</v>
      </c>
      <c r="R30" s="36" t="s">
        <v>154</v>
      </c>
      <c r="S30" s="34">
        <f>SUM(C90:C93)</f>
        <v>2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2</v>
      </c>
      <c r="AA30" s="34">
        <f t="shared" si="22"/>
        <v>0</v>
      </c>
      <c r="AB30" s="34">
        <f t="shared" si="22"/>
        <v>22</v>
      </c>
      <c r="AC30" s="34">
        <f t="shared" si="22"/>
        <v>0</v>
      </c>
      <c r="AD30" s="34">
        <f t="shared" si="22"/>
        <v>0</v>
      </c>
      <c r="AE30" s="31">
        <f t="shared" si="22"/>
        <v>29</v>
      </c>
      <c r="AF30" s="31">
        <f t="shared" si="22"/>
        <v>29</v>
      </c>
    </row>
    <row r="31" spans="2:32" ht="23.1" customHeight="1" x14ac:dyDescent="0.25">
      <c r="B31" s="46" t="s">
        <v>58</v>
      </c>
      <c r="C31" s="50">
        <v>2</v>
      </c>
      <c r="D31" s="50">
        <v>2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16</v>
      </c>
      <c r="M31" s="50">
        <v>4</v>
      </c>
      <c r="N31" s="50">
        <v>0</v>
      </c>
      <c r="O31" s="15">
        <f t="shared" si="0"/>
        <v>22</v>
      </c>
      <c r="P31" s="15">
        <f t="shared" si="1"/>
        <v>26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1</v>
      </c>
      <c r="AA31" s="34">
        <f t="shared" si="23"/>
        <v>1</v>
      </c>
      <c r="AB31" s="34">
        <f t="shared" si="23"/>
        <v>24</v>
      </c>
      <c r="AC31" s="34">
        <f t="shared" si="23"/>
        <v>0</v>
      </c>
      <c r="AD31" s="34">
        <f t="shared" si="23"/>
        <v>0</v>
      </c>
      <c r="AE31" s="31">
        <f t="shared" si="23"/>
        <v>29</v>
      </c>
      <c r="AF31" s="31">
        <f t="shared" si="23"/>
        <v>29</v>
      </c>
    </row>
    <row r="32" spans="2:32" ht="23.1" customHeight="1" x14ac:dyDescent="0.25">
      <c r="B32" s="46" t="s">
        <v>59</v>
      </c>
      <c r="C32" s="50">
        <v>1</v>
      </c>
      <c r="D32" s="50">
        <v>1</v>
      </c>
      <c r="E32" s="50">
        <v>1</v>
      </c>
      <c r="F32" s="50">
        <v>2</v>
      </c>
      <c r="G32" s="50">
        <v>1</v>
      </c>
      <c r="H32" s="50">
        <v>0</v>
      </c>
      <c r="I32" s="50">
        <v>0</v>
      </c>
      <c r="J32" s="50">
        <v>1</v>
      </c>
      <c r="K32" s="50">
        <v>0</v>
      </c>
      <c r="L32" s="50">
        <v>14</v>
      </c>
      <c r="M32" s="50">
        <v>7</v>
      </c>
      <c r="N32" s="50">
        <v>0</v>
      </c>
      <c r="O32" s="15">
        <f t="shared" si="0"/>
        <v>21</v>
      </c>
      <c r="P32" s="15">
        <f t="shared" si="1"/>
        <v>28</v>
      </c>
      <c r="R32" s="33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3</v>
      </c>
      <c r="Y32" s="34">
        <f t="shared" si="24"/>
        <v>0</v>
      </c>
      <c r="Z32" s="34">
        <f t="shared" si="24"/>
        <v>6</v>
      </c>
      <c r="AA32" s="34">
        <f t="shared" si="24"/>
        <v>2</v>
      </c>
      <c r="AB32" s="34">
        <f t="shared" si="24"/>
        <v>30</v>
      </c>
      <c r="AC32" s="34">
        <f t="shared" si="24"/>
        <v>0</v>
      </c>
      <c r="AD32" s="34">
        <f t="shared" si="24"/>
        <v>0</v>
      </c>
      <c r="AE32" s="31">
        <f t="shared" si="24"/>
        <v>46</v>
      </c>
      <c r="AF32" s="31">
        <f t="shared" si="24"/>
        <v>46</v>
      </c>
    </row>
    <row r="33" spans="2:32" ht="23.1" customHeight="1" x14ac:dyDescent="0.25">
      <c r="B33" s="45" t="s">
        <v>60</v>
      </c>
      <c r="C33" s="50">
        <v>1</v>
      </c>
      <c r="D33" s="50">
        <v>2</v>
      </c>
      <c r="E33" s="50">
        <v>0</v>
      </c>
      <c r="F33" s="50">
        <v>5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10</v>
      </c>
      <c r="M33" s="50">
        <v>4</v>
      </c>
      <c r="N33" s="50">
        <v>0</v>
      </c>
      <c r="O33" s="15">
        <f t="shared" si="0"/>
        <v>18</v>
      </c>
      <c r="P33" s="15">
        <f t="shared" si="1"/>
        <v>22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2</v>
      </c>
      <c r="V33" s="34">
        <f t="shared" si="25"/>
        <v>7</v>
      </c>
      <c r="W33" s="34">
        <f t="shared" si="25"/>
        <v>0</v>
      </c>
      <c r="X33" s="34">
        <f t="shared" si="25"/>
        <v>1</v>
      </c>
      <c r="Y33" s="34">
        <f t="shared" si="25"/>
        <v>1</v>
      </c>
      <c r="Z33" s="34">
        <f t="shared" si="25"/>
        <v>4</v>
      </c>
      <c r="AA33" s="34">
        <f t="shared" si="25"/>
        <v>1</v>
      </c>
      <c r="AB33" s="34">
        <f t="shared" si="25"/>
        <v>59</v>
      </c>
      <c r="AC33" s="34">
        <f t="shared" si="25"/>
        <v>2</v>
      </c>
      <c r="AD33" s="34">
        <f t="shared" si="25"/>
        <v>0</v>
      </c>
      <c r="AE33" s="31">
        <f t="shared" si="25"/>
        <v>79</v>
      </c>
      <c r="AF33" s="31">
        <f t="shared" si="25"/>
        <v>81</v>
      </c>
    </row>
    <row r="34" spans="2:32" ht="23.1" customHeight="1" x14ac:dyDescent="0.25">
      <c r="B34" s="46" t="s">
        <v>61</v>
      </c>
      <c r="C34" s="50">
        <v>2</v>
      </c>
      <c r="D34" s="50">
        <v>2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9</v>
      </c>
      <c r="M34" s="50">
        <v>4</v>
      </c>
      <c r="N34" s="50">
        <v>0</v>
      </c>
      <c r="O34" s="15">
        <f t="shared" si="0"/>
        <v>15</v>
      </c>
      <c r="P34" s="15">
        <f t="shared" si="1"/>
        <v>19</v>
      </c>
      <c r="R34" s="38" t="s">
        <v>90</v>
      </c>
      <c r="S34" s="39">
        <f t="shared" ref="S34:AF34" si="26">MAX(S10:S12)</f>
        <v>7</v>
      </c>
      <c r="T34" s="39">
        <f t="shared" si="26"/>
        <v>8</v>
      </c>
      <c r="U34" s="39">
        <f t="shared" si="26"/>
        <v>5</v>
      </c>
      <c r="V34" s="39">
        <f t="shared" si="26"/>
        <v>15</v>
      </c>
      <c r="W34" s="39">
        <f t="shared" si="26"/>
        <v>2</v>
      </c>
      <c r="X34" s="39">
        <f t="shared" si="26"/>
        <v>2</v>
      </c>
      <c r="Y34" s="39">
        <f t="shared" si="26"/>
        <v>1</v>
      </c>
      <c r="Z34" s="39">
        <f t="shared" si="26"/>
        <v>2</v>
      </c>
      <c r="AA34" s="39">
        <f t="shared" si="26"/>
        <v>0</v>
      </c>
      <c r="AB34" s="39">
        <f t="shared" si="26"/>
        <v>28</v>
      </c>
      <c r="AC34" s="39">
        <f t="shared" si="26"/>
        <v>13</v>
      </c>
      <c r="AD34" s="39">
        <f t="shared" si="26"/>
        <v>0</v>
      </c>
      <c r="AE34" s="40">
        <f t="shared" si="26"/>
        <v>56</v>
      </c>
      <c r="AF34" s="40">
        <f t="shared" si="26"/>
        <v>66</v>
      </c>
    </row>
    <row r="35" spans="2:32" ht="23.1" customHeight="1" x14ac:dyDescent="0.25">
      <c r="B35" s="46" t="s">
        <v>62</v>
      </c>
      <c r="C35" s="50">
        <v>1</v>
      </c>
      <c r="D35" s="50">
        <v>4</v>
      </c>
      <c r="E35" s="50">
        <v>0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9</v>
      </c>
      <c r="M35" s="50">
        <v>2</v>
      </c>
      <c r="N35" s="50">
        <v>0</v>
      </c>
      <c r="O35" s="15">
        <f t="shared" si="0"/>
        <v>19</v>
      </c>
      <c r="P35" s="15">
        <f t="shared" si="1"/>
        <v>21</v>
      </c>
      <c r="R35" s="38" t="s">
        <v>91</v>
      </c>
      <c r="S35" s="39">
        <f t="shared" ref="S35:AF35" si="27">MAX(S13:S18)</f>
        <v>20</v>
      </c>
      <c r="T35" s="39">
        <f t="shared" si="27"/>
        <v>15</v>
      </c>
      <c r="U35" s="39">
        <f t="shared" si="27"/>
        <v>6</v>
      </c>
      <c r="V35" s="39">
        <f t="shared" si="27"/>
        <v>19</v>
      </c>
      <c r="W35" s="39">
        <f t="shared" si="27"/>
        <v>1</v>
      </c>
      <c r="X35" s="39">
        <f t="shared" si="27"/>
        <v>1</v>
      </c>
      <c r="Y35" s="39">
        <f t="shared" si="27"/>
        <v>4</v>
      </c>
      <c r="Z35" s="39">
        <f t="shared" si="27"/>
        <v>7</v>
      </c>
      <c r="AA35" s="39">
        <f t="shared" si="27"/>
        <v>3</v>
      </c>
      <c r="AB35" s="39">
        <f t="shared" si="27"/>
        <v>45</v>
      </c>
      <c r="AC35" s="39">
        <f t="shared" si="27"/>
        <v>19</v>
      </c>
      <c r="AD35" s="39">
        <f t="shared" si="27"/>
        <v>0</v>
      </c>
      <c r="AE35" s="40">
        <f t="shared" si="27"/>
        <v>93</v>
      </c>
      <c r="AF35" s="40">
        <f t="shared" si="27"/>
        <v>112</v>
      </c>
    </row>
    <row r="36" spans="2:32" ht="23.1" customHeight="1" x14ac:dyDescent="0.25">
      <c r="B36" s="46" t="s">
        <v>63</v>
      </c>
      <c r="C36" s="50">
        <v>3</v>
      </c>
      <c r="D36" s="50">
        <v>1</v>
      </c>
      <c r="E36" s="50">
        <v>3</v>
      </c>
      <c r="F36" s="50">
        <v>3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7</v>
      </c>
      <c r="M36" s="50">
        <v>7</v>
      </c>
      <c r="N36" s="50">
        <v>0</v>
      </c>
      <c r="O36" s="15">
        <f t="shared" si="0"/>
        <v>20</v>
      </c>
      <c r="P36" s="15">
        <f t="shared" si="1"/>
        <v>27</v>
      </c>
      <c r="R36" s="38" t="s">
        <v>92</v>
      </c>
      <c r="S36" s="39">
        <f t="shared" ref="S36:AF36" si="28">MAX(S19:S21)</f>
        <v>14</v>
      </c>
      <c r="T36" s="39">
        <f t="shared" si="28"/>
        <v>9</v>
      </c>
      <c r="U36" s="39">
        <f t="shared" si="28"/>
        <v>7</v>
      </c>
      <c r="V36" s="39">
        <f t="shared" si="28"/>
        <v>37</v>
      </c>
      <c r="W36" s="39">
        <f t="shared" si="28"/>
        <v>1</v>
      </c>
      <c r="X36" s="39">
        <f t="shared" si="28"/>
        <v>1</v>
      </c>
      <c r="Y36" s="39">
        <f t="shared" si="28"/>
        <v>12</v>
      </c>
      <c r="Z36" s="39">
        <f t="shared" si="28"/>
        <v>13</v>
      </c>
      <c r="AA36" s="39">
        <f t="shared" si="28"/>
        <v>4</v>
      </c>
      <c r="AB36" s="39">
        <f t="shared" si="28"/>
        <v>51</v>
      </c>
      <c r="AC36" s="39">
        <f t="shared" si="28"/>
        <v>26</v>
      </c>
      <c r="AD36" s="39">
        <f t="shared" si="28"/>
        <v>0</v>
      </c>
      <c r="AE36" s="40">
        <f t="shared" si="28"/>
        <v>135</v>
      </c>
      <c r="AF36" s="40">
        <f t="shared" si="28"/>
        <v>161</v>
      </c>
    </row>
    <row r="37" spans="2:32" ht="23.1" customHeight="1" x14ac:dyDescent="0.25">
      <c r="B37" s="45" t="s">
        <v>64</v>
      </c>
      <c r="C37" s="50">
        <v>2</v>
      </c>
      <c r="D37" s="50">
        <v>3</v>
      </c>
      <c r="E37" s="50">
        <v>2</v>
      </c>
      <c r="F37" s="50">
        <v>2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10</v>
      </c>
      <c r="M37" s="50">
        <v>4</v>
      </c>
      <c r="N37" s="50">
        <v>0</v>
      </c>
      <c r="O37" s="15">
        <f t="shared" si="0"/>
        <v>21</v>
      </c>
      <c r="P37" s="15">
        <f t="shared" si="1"/>
        <v>25</v>
      </c>
      <c r="R37" s="37" t="s">
        <v>85</v>
      </c>
      <c r="S37" s="35">
        <f t="shared" ref="S37:AF37" si="29">SUM(S10:S12)</f>
        <v>11</v>
      </c>
      <c r="T37" s="16">
        <f t="shared" si="29"/>
        <v>11</v>
      </c>
      <c r="U37" s="16">
        <f t="shared" si="29"/>
        <v>6</v>
      </c>
      <c r="V37" s="16">
        <f t="shared" si="29"/>
        <v>33</v>
      </c>
      <c r="W37" s="16">
        <f t="shared" si="29"/>
        <v>2</v>
      </c>
      <c r="X37" s="16">
        <f t="shared" si="29"/>
        <v>2</v>
      </c>
      <c r="Y37" s="16">
        <f t="shared" si="29"/>
        <v>1</v>
      </c>
      <c r="Z37" s="16">
        <f t="shared" si="29"/>
        <v>3</v>
      </c>
      <c r="AA37" s="16">
        <f t="shared" si="29"/>
        <v>0</v>
      </c>
      <c r="AB37" s="16">
        <f t="shared" si="29"/>
        <v>75</v>
      </c>
      <c r="AC37" s="16">
        <f t="shared" si="29"/>
        <v>23</v>
      </c>
      <c r="AD37" s="16">
        <f t="shared" si="29"/>
        <v>0</v>
      </c>
      <c r="AE37" s="32">
        <f t="shared" si="29"/>
        <v>144</v>
      </c>
      <c r="AF37" s="32">
        <f t="shared" si="29"/>
        <v>167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1</v>
      </c>
      <c r="F38" s="50">
        <v>7</v>
      </c>
      <c r="G38" s="50">
        <v>0</v>
      </c>
      <c r="H38" s="50">
        <v>0</v>
      </c>
      <c r="I38" s="50">
        <v>1</v>
      </c>
      <c r="J38" s="50">
        <v>3</v>
      </c>
      <c r="K38" s="50">
        <v>2</v>
      </c>
      <c r="L38" s="50">
        <v>5</v>
      </c>
      <c r="M38" s="50">
        <v>4</v>
      </c>
      <c r="N38" s="50">
        <v>0</v>
      </c>
      <c r="O38" s="15">
        <f t="shared" si="0"/>
        <v>23</v>
      </c>
      <c r="P38" s="15">
        <f t="shared" si="1"/>
        <v>27</v>
      </c>
      <c r="R38" s="28" t="s">
        <v>86</v>
      </c>
      <c r="S38" s="16">
        <f t="shared" ref="S38:AF38" si="30">SUM(S13:S18)</f>
        <v>63</v>
      </c>
      <c r="T38" s="16">
        <f t="shared" si="30"/>
        <v>46</v>
      </c>
      <c r="U38" s="16">
        <f t="shared" si="30"/>
        <v>21</v>
      </c>
      <c r="V38" s="16">
        <f t="shared" si="30"/>
        <v>80</v>
      </c>
      <c r="W38" s="16">
        <f t="shared" si="30"/>
        <v>2</v>
      </c>
      <c r="X38" s="16">
        <f t="shared" si="30"/>
        <v>1</v>
      </c>
      <c r="Y38" s="16">
        <f t="shared" si="30"/>
        <v>11</v>
      </c>
      <c r="Z38" s="16">
        <f t="shared" si="30"/>
        <v>18</v>
      </c>
      <c r="AA38" s="16">
        <f t="shared" si="30"/>
        <v>8</v>
      </c>
      <c r="AB38" s="16">
        <f t="shared" si="30"/>
        <v>211</v>
      </c>
      <c r="AC38" s="16">
        <f t="shared" si="30"/>
        <v>97</v>
      </c>
      <c r="AD38" s="16">
        <f t="shared" si="30"/>
        <v>0</v>
      </c>
      <c r="AE38" s="32">
        <f t="shared" si="30"/>
        <v>461</v>
      </c>
      <c r="AF38" s="32">
        <f t="shared" si="30"/>
        <v>558</v>
      </c>
    </row>
    <row r="39" spans="2:32" ht="23.1" customHeight="1" x14ac:dyDescent="0.25">
      <c r="B39" s="46" t="s">
        <v>66</v>
      </c>
      <c r="C39" s="50">
        <v>4</v>
      </c>
      <c r="D39" s="50">
        <v>1</v>
      </c>
      <c r="E39" s="50">
        <v>1</v>
      </c>
      <c r="F39" s="50">
        <v>6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6</v>
      </c>
      <c r="M39" s="50">
        <v>4</v>
      </c>
      <c r="N39" s="50">
        <v>0</v>
      </c>
      <c r="O39" s="15">
        <f t="shared" si="0"/>
        <v>20</v>
      </c>
      <c r="P39" s="15">
        <f t="shared" si="1"/>
        <v>24</v>
      </c>
      <c r="R39" s="29" t="s">
        <v>87</v>
      </c>
      <c r="S39" s="16">
        <f t="shared" ref="S39:AF39" si="31">SUM(S19:S21)</f>
        <v>32</v>
      </c>
      <c r="T39" s="16">
        <f t="shared" si="31"/>
        <v>20</v>
      </c>
      <c r="U39" s="16">
        <f t="shared" si="31"/>
        <v>12</v>
      </c>
      <c r="V39" s="16">
        <f t="shared" si="31"/>
        <v>74</v>
      </c>
      <c r="W39" s="16">
        <f t="shared" si="31"/>
        <v>1</v>
      </c>
      <c r="X39" s="16">
        <f t="shared" si="31"/>
        <v>1</v>
      </c>
      <c r="Y39" s="16">
        <f t="shared" si="31"/>
        <v>15</v>
      </c>
      <c r="Z39" s="16">
        <f t="shared" si="31"/>
        <v>25</v>
      </c>
      <c r="AA39" s="16">
        <f t="shared" si="31"/>
        <v>10</v>
      </c>
      <c r="AB39" s="16">
        <f t="shared" si="31"/>
        <v>125</v>
      </c>
      <c r="AC39" s="16">
        <f t="shared" si="31"/>
        <v>41</v>
      </c>
      <c r="AD39" s="16">
        <f t="shared" si="31"/>
        <v>0</v>
      </c>
      <c r="AE39" s="32">
        <f t="shared" si="31"/>
        <v>315</v>
      </c>
      <c r="AF39" s="32">
        <f t="shared" si="31"/>
        <v>356</v>
      </c>
    </row>
    <row r="40" spans="2:32" ht="23.1" customHeight="1" x14ac:dyDescent="0.25">
      <c r="B40" s="46" t="s">
        <v>67</v>
      </c>
      <c r="C40" s="50">
        <v>2</v>
      </c>
      <c r="D40" s="50">
        <v>2</v>
      </c>
      <c r="E40" s="50">
        <v>1</v>
      </c>
      <c r="F40" s="50">
        <v>4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4</v>
      </c>
      <c r="M40" s="50">
        <v>3</v>
      </c>
      <c r="N40" s="50">
        <v>0</v>
      </c>
      <c r="O40" s="15">
        <f t="shared" si="0"/>
        <v>15</v>
      </c>
      <c r="P40" s="15">
        <f t="shared" si="1"/>
        <v>18</v>
      </c>
      <c r="R40" s="5" t="s">
        <v>17</v>
      </c>
      <c r="S40" s="16">
        <f t="shared" ref="S40:AF40" si="32">SUM(S10:S21)</f>
        <v>106</v>
      </c>
      <c r="T40" s="16">
        <f t="shared" si="32"/>
        <v>77</v>
      </c>
      <c r="U40" s="16">
        <f t="shared" si="32"/>
        <v>39</v>
      </c>
      <c r="V40" s="16">
        <f t="shared" si="32"/>
        <v>187</v>
      </c>
      <c r="W40" s="16">
        <f t="shared" si="32"/>
        <v>5</v>
      </c>
      <c r="X40" s="16">
        <f t="shared" si="32"/>
        <v>4</v>
      </c>
      <c r="Y40" s="16">
        <f t="shared" si="32"/>
        <v>27</v>
      </c>
      <c r="Z40" s="16">
        <f t="shared" si="32"/>
        <v>46</v>
      </c>
      <c r="AA40" s="16">
        <f t="shared" si="32"/>
        <v>18</v>
      </c>
      <c r="AB40" s="16">
        <f t="shared" si="32"/>
        <v>411</v>
      </c>
      <c r="AC40" s="16">
        <f t="shared" si="32"/>
        <v>161</v>
      </c>
      <c r="AD40" s="16">
        <f t="shared" si="32"/>
        <v>0</v>
      </c>
      <c r="AE40" s="32">
        <f t="shared" si="32"/>
        <v>920</v>
      </c>
      <c r="AF40" s="32">
        <f t="shared" si="32"/>
        <v>1081</v>
      </c>
    </row>
    <row r="41" spans="2:32" ht="23.1" customHeight="1" x14ac:dyDescent="0.25">
      <c r="B41" s="45" t="s">
        <v>68</v>
      </c>
      <c r="C41" s="50">
        <v>2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6</v>
      </c>
      <c r="M41" s="50">
        <v>5</v>
      </c>
      <c r="N41" s="50">
        <v>0</v>
      </c>
      <c r="O41" s="15">
        <f t="shared" si="0"/>
        <v>13</v>
      </c>
      <c r="P41" s="15">
        <f t="shared" si="1"/>
        <v>18</v>
      </c>
      <c r="R41" s="5" t="s">
        <v>159</v>
      </c>
      <c r="S41" s="16">
        <f>SUM(S10:S33)</f>
        <v>125</v>
      </c>
      <c r="T41" s="16">
        <f t="shared" ref="T41:AF41" si="33">SUM(T10:T33)</f>
        <v>94</v>
      </c>
      <c r="U41" s="16">
        <f t="shared" si="33"/>
        <v>57</v>
      </c>
      <c r="V41" s="16">
        <f t="shared" si="33"/>
        <v>218</v>
      </c>
      <c r="W41" s="16">
        <f t="shared" si="33"/>
        <v>5</v>
      </c>
      <c r="X41" s="16">
        <f t="shared" si="33"/>
        <v>11</v>
      </c>
      <c r="Y41" s="16">
        <f t="shared" si="33"/>
        <v>37</v>
      </c>
      <c r="Z41" s="16">
        <f t="shared" si="33"/>
        <v>99</v>
      </c>
      <c r="AA41" s="16">
        <f t="shared" si="33"/>
        <v>32</v>
      </c>
      <c r="AB41" s="16">
        <f t="shared" si="33"/>
        <v>797</v>
      </c>
      <c r="AC41" s="16">
        <f t="shared" si="33"/>
        <v>181</v>
      </c>
      <c r="AD41" s="16">
        <f t="shared" si="33"/>
        <v>0</v>
      </c>
      <c r="AE41" s="32">
        <f t="shared" si="33"/>
        <v>1475</v>
      </c>
      <c r="AF41" s="32">
        <f t="shared" si="33"/>
        <v>1656</v>
      </c>
    </row>
    <row r="42" spans="2:32" ht="23.1" customHeight="1" x14ac:dyDescent="0.25">
      <c r="B42" s="46" t="s">
        <v>69</v>
      </c>
      <c r="C42" s="50">
        <v>4</v>
      </c>
      <c r="D42" s="50">
        <v>2</v>
      </c>
      <c r="E42" s="50">
        <v>0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10</v>
      </c>
      <c r="M42" s="50">
        <v>3</v>
      </c>
      <c r="N42" s="50">
        <v>0</v>
      </c>
      <c r="O42" s="15">
        <f t="shared" si="0"/>
        <v>19</v>
      </c>
      <c r="P42" s="15">
        <f t="shared" si="1"/>
        <v>22</v>
      </c>
      <c r="R42" s="5" t="s">
        <v>160</v>
      </c>
      <c r="S42" s="48">
        <f>S41/S40</f>
        <v>1.179245283018868</v>
      </c>
      <c r="T42" s="48">
        <f t="shared" ref="T42:AF42" si="34">T41/T40</f>
        <v>1.2207792207792207</v>
      </c>
      <c r="U42" s="48">
        <f t="shared" si="34"/>
        <v>1.4615384615384615</v>
      </c>
      <c r="V42" s="48">
        <f t="shared" si="34"/>
        <v>1.1657754010695187</v>
      </c>
      <c r="W42" s="48">
        <f t="shared" si="34"/>
        <v>1</v>
      </c>
      <c r="X42" s="48">
        <f t="shared" si="34"/>
        <v>2.75</v>
      </c>
      <c r="Y42" s="48">
        <f t="shared" si="34"/>
        <v>1.3703703703703705</v>
      </c>
      <c r="Z42" s="48">
        <f t="shared" si="34"/>
        <v>2.152173913043478</v>
      </c>
      <c r="AA42" s="48">
        <f t="shared" si="34"/>
        <v>1.7777777777777777</v>
      </c>
      <c r="AB42" s="48">
        <f t="shared" si="34"/>
        <v>1.9391727493917275</v>
      </c>
      <c r="AC42" s="48">
        <f t="shared" si="34"/>
        <v>1.1242236024844721</v>
      </c>
      <c r="AD42" s="48" t="e">
        <f t="shared" si="34"/>
        <v>#DIV/0!</v>
      </c>
      <c r="AE42" s="48">
        <f t="shared" si="34"/>
        <v>1.6032608695652173</v>
      </c>
      <c r="AF42" s="48">
        <f t="shared" si="34"/>
        <v>1.5319148936170213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3</v>
      </c>
      <c r="F43" s="50">
        <v>5</v>
      </c>
      <c r="G43" s="50">
        <v>0</v>
      </c>
      <c r="H43" s="50">
        <v>0</v>
      </c>
      <c r="I43" s="50">
        <v>0</v>
      </c>
      <c r="J43" s="50">
        <v>1</v>
      </c>
      <c r="K43" s="50">
        <v>2</v>
      </c>
      <c r="L43" s="50">
        <v>11</v>
      </c>
      <c r="M43" s="50">
        <v>3</v>
      </c>
      <c r="N43" s="50">
        <v>0</v>
      </c>
      <c r="O43" s="15">
        <f t="shared" si="0"/>
        <v>22</v>
      </c>
      <c r="P43" s="15">
        <f t="shared" si="1"/>
        <v>25</v>
      </c>
    </row>
    <row r="44" spans="2:32" ht="23.1" customHeight="1" x14ac:dyDescent="0.25">
      <c r="B44" s="47" t="s">
        <v>71</v>
      </c>
      <c r="C44" s="50">
        <v>2</v>
      </c>
      <c r="D44" s="50">
        <v>1</v>
      </c>
      <c r="E44" s="50">
        <v>2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1</v>
      </c>
      <c r="L44" s="50">
        <v>10</v>
      </c>
      <c r="M44" s="50">
        <v>7</v>
      </c>
      <c r="N44" s="50">
        <v>0</v>
      </c>
      <c r="O44" s="15">
        <f t="shared" si="0"/>
        <v>19</v>
      </c>
      <c r="P44" s="15">
        <f t="shared" si="1"/>
        <v>26</v>
      </c>
    </row>
    <row r="45" spans="2:32" ht="23.1" customHeight="1" x14ac:dyDescent="0.25">
      <c r="B45" s="45" t="s">
        <v>72</v>
      </c>
      <c r="C45" s="50">
        <v>4</v>
      </c>
      <c r="D45" s="50">
        <v>0</v>
      </c>
      <c r="E45" s="50">
        <v>0</v>
      </c>
      <c r="F45" s="50">
        <v>6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7</v>
      </c>
      <c r="M45" s="50">
        <v>4</v>
      </c>
      <c r="N45" s="50">
        <v>0</v>
      </c>
      <c r="O45" s="15">
        <f t="shared" si="0"/>
        <v>18</v>
      </c>
      <c r="P45" s="15">
        <f t="shared" si="1"/>
        <v>22</v>
      </c>
    </row>
    <row r="46" spans="2:32" ht="23.1" customHeight="1" x14ac:dyDescent="0.25">
      <c r="B46" s="46" t="s">
        <v>73</v>
      </c>
      <c r="C46" s="50">
        <v>1</v>
      </c>
      <c r="D46" s="50">
        <v>5</v>
      </c>
      <c r="E46" s="50">
        <v>0</v>
      </c>
      <c r="F46" s="50">
        <v>6</v>
      </c>
      <c r="G46" s="50">
        <v>0</v>
      </c>
      <c r="H46" s="50">
        <v>0</v>
      </c>
      <c r="I46" s="50">
        <v>0</v>
      </c>
      <c r="J46" s="50">
        <v>1</v>
      </c>
      <c r="K46" s="50">
        <v>1</v>
      </c>
      <c r="L46" s="50">
        <v>16</v>
      </c>
      <c r="M46" s="50">
        <v>5</v>
      </c>
      <c r="N46" s="50">
        <v>0</v>
      </c>
      <c r="O46" s="15">
        <f t="shared" si="0"/>
        <v>30</v>
      </c>
      <c r="P46" s="15">
        <f t="shared" si="1"/>
        <v>35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2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4</v>
      </c>
      <c r="M47" s="50">
        <v>3</v>
      </c>
      <c r="N47" s="50">
        <v>0</v>
      </c>
      <c r="O47" s="15">
        <f t="shared" si="0"/>
        <v>10</v>
      </c>
      <c r="P47" s="15">
        <f t="shared" si="1"/>
        <v>13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7</v>
      </c>
      <c r="M48" s="50">
        <v>3</v>
      </c>
      <c r="N48" s="50">
        <v>0</v>
      </c>
      <c r="O48" s="15">
        <f t="shared" si="0"/>
        <v>13</v>
      </c>
      <c r="P48" s="15">
        <f t="shared" si="1"/>
        <v>16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5</v>
      </c>
      <c r="M49" s="50">
        <v>4</v>
      </c>
      <c r="N49" s="50">
        <v>0</v>
      </c>
      <c r="O49" s="15">
        <f t="shared" si="0"/>
        <v>8</v>
      </c>
      <c r="P49" s="15">
        <f t="shared" si="1"/>
        <v>12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1</v>
      </c>
      <c r="E50" s="50">
        <v>1</v>
      </c>
      <c r="F50" s="50">
        <v>10</v>
      </c>
      <c r="G50" s="50">
        <v>1</v>
      </c>
      <c r="H50" s="50">
        <v>1</v>
      </c>
      <c r="I50" s="50">
        <v>0</v>
      </c>
      <c r="J50" s="50">
        <v>7</v>
      </c>
      <c r="K50" s="50">
        <v>2</v>
      </c>
      <c r="L50" s="50">
        <v>10</v>
      </c>
      <c r="M50" s="50">
        <v>0</v>
      </c>
      <c r="N50" s="50">
        <v>0</v>
      </c>
      <c r="O50" s="15">
        <f t="shared" si="0"/>
        <v>36</v>
      </c>
      <c r="P50" s="15">
        <f t="shared" si="1"/>
        <v>36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1</v>
      </c>
      <c r="F51" s="50">
        <v>9</v>
      </c>
      <c r="G51" s="50">
        <v>0</v>
      </c>
      <c r="H51" s="50">
        <v>0</v>
      </c>
      <c r="I51" s="50">
        <v>3</v>
      </c>
      <c r="J51" s="50">
        <v>2</v>
      </c>
      <c r="K51" s="50">
        <v>1</v>
      </c>
      <c r="L51" s="50">
        <v>9</v>
      </c>
      <c r="M51" s="50">
        <v>0</v>
      </c>
      <c r="N51" s="50">
        <v>0</v>
      </c>
      <c r="O51" s="15">
        <f t="shared" si="0"/>
        <v>27</v>
      </c>
      <c r="P51" s="15">
        <f t="shared" si="1"/>
        <v>27</v>
      </c>
      <c r="R51" s="8"/>
      <c r="T51"/>
    </row>
    <row r="52" spans="2:20" ht="23.1" customHeight="1" x14ac:dyDescent="0.25">
      <c r="B52" s="46" t="s">
        <v>79</v>
      </c>
      <c r="C52" s="50">
        <v>8</v>
      </c>
      <c r="D52" s="50">
        <v>2</v>
      </c>
      <c r="E52" s="50">
        <v>3</v>
      </c>
      <c r="F52" s="50">
        <v>3</v>
      </c>
      <c r="G52" s="50">
        <v>0</v>
      </c>
      <c r="H52" s="50">
        <v>0</v>
      </c>
      <c r="I52" s="50">
        <v>8</v>
      </c>
      <c r="J52" s="50">
        <v>1</v>
      </c>
      <c r="K52" s="50">
        <v>0</v>
      </c>
      <c r="L52" s="50">
        <v>15</v>
      </c>
      <c r="M52" s="50">
        <v>0</v>
      </c>
      <c r="N52" s="50">
        <v>0</v>
      </c>
      <c r="O52" s="15">
        <f t="shared" si="0"/>
        <v>40</v>
      </c>
      <c r="P52" s="15">
        <f t="shared" si="1"/>
        <v>40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0</v>
      </c>
      <c r="F53" s="50">
        <v>5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8</v>
      </c>
      <c r="M53" s="50">
        <v>0</v>
      </c>
      <c r="N53" s="50">
        <v>0</v>
      </c>
      <c r="O53" s="15">
        <f t="shared" si="0"/>
        <v>16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3</v>
      </c>
      <c r="E54" s="50">
        <v>3</v>
      </c>
      <c r="F54" s="50">
        <v>10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13</v>
      </c>
      <c r="M54" s="50">
        <v>10</v>
      </c>
      <c r="N54" s="50">
        <v>0</v>
      </c>
      <c r="O54" s="15">
        <f t="shared" si="0"/>
        <v>32</v>
      </c>
      <c r="P54" s="15">
        <f t="shared" si="1"/>
        <v>42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1</v>
      </c>
      <c r="E55" s="50">
        <v>1</v>
      </c>
      <c r="F55" s="50">
        <v>14</v>
      </c>
      <c r="G55" s="50">
        <v>0</v>
      </c>
      <c r="H55" s="50">
        <v>0</v>
      </c>
      <c r="I55" s="50">
        <v>0</v>
      </c>
      <c r="J55" s="50">
        <v>0</v>
      </c>
      <c r="K55" s="50">
        <v>2</v>
      </c>
      <c r="L55" s="50">
        <v>18</v>
      </c>
      <c r="M55" s="50">
        <v>3</v>
      </c>
      <c r="N55" s="50">
        <v>0</v>
      </c>
      <c r="O55" s="15">
        <f t="shared" si="0"/>
        <v>42</v>
      </c>
      <c r="P55" s="15">
        <f t="shared" si="1"/>
        <v>45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0</v>
      </c>
      <c r="E56" s="50">
        <v>2</v>
      </c>
      <c r="F56" s="50">
        <v>9</v>
      </c>
      <c r="G56" s="50">
        <v>0</v>
      </c>
      <c r="H56" s="50">
        <v>0</v>
      </c>
      <c r="I56" s="50">
        <v>0</v>
      </c>
      <c r="J56" s="50">
        <v>8</v>
      </c>
      <c r="K56" s="50">
        <v>1</v>
      </c>
      <c r="L56" s="50">
        <v>10</v>
      </c>
      <c r="M56" s="50">
        <v>9</v>
      </c>
      <c r="N56" s="50">
        <v>0</v>
      </c>
      <c r="O56" s="15">
        <f t="shared" si="0"/>
        <v>34</v>
      </c>
      <c r="P56" s="15">
        <f t="shared" si="1"/>
        <v>43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5</v>
      </c>
      <c r="E57" s="50">
        <v>1</v>
      </c>
      <c r="F57" s="50">
        <v>4</v>
      </c>
      <c r="G57" s="50">
        <v>0</v>
      </c>
      <c r="H57" s="50">
        <v>0</v>
      </c>
      <c r="I57" s="50">
        <v>0</v>
      </c>
      <c r="J57" s="50">
        <v>5</v>
      </c>
      <c r="K57" s="50">
        <v>1</v>
      </c>
      <c r="L57" s="50">
        <v>10</v>
      </c>
      <c r="M57" s="50">
        <v>4</v>
      </c>
      <c r="N57" s="50">
        <v>0</v>
      </c>
      <c r="O57" s="15">
        <f t="shared" si="0"/>
        <v>27</v>
      </c>
      <c r="P57" s="15">
        <f t="shared" si="1"/>
        <v>31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2</v>
      </c>
      <c r="G58" s="50">
        <v>0</v>
      </c>
      <c r="H58" s="50">
        <v>0</v>
      </c>
      <c r="I58" s="50">
        <v>2</v>
      </c>
      <c r="J58" s="50">
        <v>0</v>
      </c>
      <c r="K58" s="50">
        <v>1</v>
      </c>
      <c r="L58" s="50">
        <v>30</v>
      </c>
      <c r="M58" s="50">
        <v>3</v>
      </c>
      <c r="N58" s="50">
        <v>0</v>
      </c>
      <c r="O58" s="15">
        <f t="shared" si="0"/>
        <v>36</v>
      </c>
      <c r="P58" s="15">
        <f t="shared" si="1"/>
        <v>39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2</v>
      </c>
      <c r="E59" s="50">
        <v>3</v>
      </c>
      <c r="F59" s="50">
        <v>5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25</v>
      </c>
      <c r="M59" s="50">
        <v>3</v>
      </c>
      <c r="N59" s="50">
        <v>0</v>
      </c>
      <c r="O59" s="15">
        <f t="shared" si="0"/>
        <v>36</v>
      </c>
      <c r="P59" s="15">
        <f t="shared" si="1"/>
        <v>39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1</v>
      </c>
      <c r="E60" s="50">
        <v>5</v>
      </c>
      <c r="F60" s="50">
        <v>3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10</v>
      </c>
      <c r="M60" s="50">
        <v>5</v>
      </c>
      <c r="N60" s="50">
        <v>0</v>
      </c>
      <c r="O60" s="15">
        <f t="shared" si="0"/>
        <v>20</v>
      </c>
      <c r="P60" s="15">
        <f t="shared" si="1"/>
        <v>25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3</v>
      </c>
      <c r="F61" s="50">
        <v>2</v>
      </c>
      <c r="G61" s="50">
        <v>0</v>
      </c>
      <c r="H61" s="50">
        <v>0</v>
      </c>
      <c r="I61" s="50">
        <v>0</v>
      </c>
      <c r="J61" s="50">
        <v>6</v>
      </c>
      <c r="K61" s="50">
        <v>0</v>
      </c>
      <c r="L61" s="50">
        <v>9</v>
      </c>
      <c r="M61" s="50">
        <v>1</v>
      </c>
      <c r="N61" s="50">
        <v>0</v>
      </c>
      <c r="O61" s="15">
        <f t="shared" si="0"/>
        <v>22</v>
      </c>
      <c r="P61" s="15">
        <f t="shared" si="1"/>
        <v>23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2</v>
      </c>
      <c r="E62" s="50">
        <v>0</v>
      </c>
      <c r="F62" s="50">
        <v>1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8</v>
      </c>
      <c r="M62" s="50">
        <v>0</v>
      </c>
      <c r="N62" s="50">
        <v>0</v>
      </c>
      <c r="O62" s="15">
        <f t="shared" si="0"/>
        <v>12</v>
      </c>
      <c r="P62" s="15">
        <f t="shared" si="1"/>
        <v>12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1</v>
      </c>
      <c r="F63" s="50">
        <v>1</v>
      </c>
      <c r="G63" s="50">
        <v>0</v>
      </c>
      <c r="H63" s="50">
        <v>0</v>
      </c>
      <c r="I63" s="50">
        <v>0</v>
      </c>
      <c r="J63" s="50">
        <v>2</v>
      </c>
      <c r="K63" s="50">
        <v>0</v>
      </c>
      <c r="L63" s="50">
        <v>10</v>
      </c>
      <c r="M63" s="50">
        <v>0</v>
      </c>
      <c r="N63" s="50">
        <v>0</v>
      </c>
      <c r="O63" s="15">
        <f t="shared" si="0"/>
        <v>16</v>
      </c>
      <c r="P63" s="15">
        <f t="shared" si="1"/>
        <v>16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2</v>
      </c>
      <c r="G64" s="50">
        <v>0</v>
      </c>
      <c r="H64" s="50">
        <v>0</v>
      </c>
      <c r="I64" s="50">
        <v>2</v>
      </c>
      <c r="J64" s="50">
        <v>2</v>
      </c>
      <c r="K64" s="50">
        <v>0</v>
      </c>
      <c r="L64" s="50">
        <v>11</v>
      </c>
      <c r="M64" s="50">
        <v>0</v>
      </c>
      <c r="N64" s="50">
        <v>0</v>
      </c>
      <c r="O64" s="15">
        <f t="shared" si="0"/>
        <v>18</v>
      </c>
      <c r="P64" s="15">
        <f t="shared" si="1"/>
        <v>18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2</v>
      </c>
      <c r="E65" s="50">
        <v>1</v>
      </c>
      <c r="F65" s="50">
        <v>1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2</v>
      </c>
      <c r="M65" s="50">
        <v>0</v>
      </c>
      <c r="N65" s="50">
        <v>0</v>
      </c>
      <c r="O65" s="15">
        <f t="shared" si="0"/>
        <v>7</v>
      </c>
      <c r="P65" s="15">
        <f t="shared" si="1"/>
        <v>7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1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18</v>
      </c>
      <c r="M66" s="50">
        <v>0</v>
      </c>
      <c r="N66" s="50">
        <v>0</v>
      </c>
      <c r="O66" s="15">
        <f t="shared" si="0"/>
        <v>22</v>
      </c>
      <c r="P66" s="15">
        <f t="shared" si="1"/>
        <v>22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1</v>
      </c>
      <c r="E67" s="50">
        <v>0</v>
      </c>
      <c r="F67" s="50">
        <v>2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5</v>
      </c>
      <c r="M67" s="50">
        <v>0</v>
      </c>
      <c r="N67" s="50">
        <v>0</v>
      </c>
      <c r="O67" s="15">
        <f t="shared" si="0"/>
        <v>9</v>
      </c>
      <c r="P67" s="15">
        <f t="shared" si="1"/>
        <v>9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2</v>
      </c>
      <c r="K68" s="50">
        <v>0</v>
      </c>
      <c r="L68" s="50">
        <v>8</v>
      </c>
      <c r="M68" s="50">
        <v>0</v>
      </c>
      <c r="N68" s="50">
        <v>0</v>
      </c>
      <c r="O68" s="15">
        <f t="shared" si="0"/>
        <v>10</v>
      </c>
      <c r="P68" s="15">
        <f t="shared" si="1"/>
        <v>10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1</v>
      </c>
      <c r="I69" s="50">
        <v>0</v>
      </c>
      <c r="J69" s="50">
        <v>0</v>
      </c>
      <c r="K69" s="50">
        <v>9</v>
      </c>
      <c r="L69" s="50">
        <v>0</v>
      </c>
      <c r="M69" s="50">
        <v>0</v>
      </c>
      <c r="N69" s="50">
        <v>0</v>
      </c>
      <c r="O69" s="15">
        <f t="shared" si="0"/>
        <v>11</v>
      </c>
      <c r="P69" s="15">
        <f t="shared" si="1"/>
        <v>11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2</v>
      </c>
      <c r="K70" s="50">
        <v>0</v>
      </c>
      <c r="L70" s="50">
        <v>11</v>
      </c>
      <c r="M70" s="50">
        <v>0</v>
      </c>
      <c r="N70" s="50">
        <v>0</v>
      </c>
      <c r="O70" s="15">
        <f t="shared" si="0"/>
        <v>14</v>
      </c>
      <c r="P70" s="15">
        <f t="shared" si="1"/>
        <v>14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3</v>
      </c>
      <c r="K71" s="50">
        <v>0</v>
      </c>
      <c r="L71" s="50">
        <v>3</v>
      </c>
      <c r="M71" s="50">
        <v>0</v>
      </c>
      <c r="N71" s="50">
        <v>0</v>
      </c>
      <c r="O71" s="15">
        <f t="shared" si="0"/>
        <v>8</v>
      </c>
      <c r="P71" s="15">
        <f t="shared" si="1"/>
        <v>8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9</v>
      </c>
      <c r="K72" s="50">
        <v>0</v>
      </c>
      <c r="L72" s="50">
        <v>7</v>
      </c>
      <c r="M72" s="50">
        <v>0</v>
      </c>
      <c r="N72" s="50">
        <v>0</v>
      </c>
      <c r="O72" s="15">
        <f t="shared" si="0"/>
        <v>17</v>
      </c>
      <c r="P72" s="15">
        <f t="shared" si="1"/>
        <v>17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3</v>
      </c>
      <c r="K73" s="50">
        <v>0</v>
      </c>
      <c r="L73" s="50">
        <v>6</v>
      </c>
      <c r="M73" s="50">
        <v>0</v>
      </c>
      <c r="N73" s="50">
        <v>0</v>
      </c>
      <c r="O73" s="15">
        <f t="shared" si="0"/>
        <v>9</v>
      </c>
      <c r="P73" s="15">
        <f t="shared" si="1"/>
        <v>9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1</v>
      </c>
      <c r="E74" s="50">
        <v>2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6</v>
      </c>
      <c r="M74" s="50">
        <v>0</v>
      </c>
      <c r="N74" s="50">
        <v>0</v>
      </c>
      <c r="O74" s="15">
        <f t="shared" ref="O74:O105" si="35">SUM(C74:L74,N74)</f>
        <v>9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7</v>
      </c>
      <c r="M75" s="50">
        <v>0</v>
      </c>
      <c r="N75" s="50">
        <v>0</v>
      </c>
      <c r="O75" s="15">
        <f t="shared" si="35"/>
        <v>9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12</v>
      </c>
      <c r="M76" s="50">
        <v>0</v>
      </c>
      <c r="N76" s="50">
        <v>0</v>
      </c>
      <c r="O76" s="15">
        <f t="shared" si="35"/>
        <v>12</v>
      </c>
      <c r="P76" s="15">
        <f t="shared" si="36"/>
        <v>12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4</v>
      </c>
      <c r="M78" s="50">
        <v>0</v>
      </c>
      <c r="N78" s="50">
        <v>0</v>
      </c>
      <c r="O78" s="15">
        <f t="shared" si="35"/>
        <v>5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6</v>
      </c>
      <c r="N79" s="50">
        <v>0</v>
      </c>
      <c r="O79" s="15">
        <f t="shared" si="35"/>
        <v>3</v>
      </c>
      <c r="P79" s="15">
        <f t="shared" si="36"/>
        <v>9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3</v>
      </c>
      <c r="K80" s="50">
        <v>0</v>
      </c>
      <c r="L80" s="50">
        <v>6</v>
      </c>
      <c r="M80" s="50">
        <v>0</v>
      </c>
      <c r="N80" s="50">
        <v>0</v>
      </c>
      <c r="O80" s="15">
        <f t="shared" si="35"/>
        <v>9</v>
      </c>
      <c r="P80" s="15">
        <f t="shared" si="36"/>
        <v>9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8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5</v>
      </c>
      <c r="M82" s="50">
        <v>0</v>
      </c>
      <c r="N82" s="50">
        <v>0</v>
      </c>
      <c r="O82" s="15">
        <f t="shared" si="35"/>
        <v>5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4</v>
      </c>
      <c r="M83" s="50">
        <v>0</v>
      </c>
      <c r="N83" s="50">
        <v>0</v>
      </c>
      <c r="O83" s="15">
        <f t="shared" si="35"/>
        <v>4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4</v>
      </c>
      <c r="M84" s="50">
        <v>0</v>
      </c>
      <c r="N84" s="50"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2</v>
      </c>
      <c r="K85" s="50">
        <v>0</v>
      </c>
      <c r="L85" s="50">
        <v>3</v>
      </c>
      <c r="M85" s="50">
        <v>0</v>
      </c>
      <c r="N85" s="50">
        <v>0</v>
      </c>
      <c r="O85" s="15">
        <f t="shared" si="35"/>
        <v>5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0</v>
      </c>
      <c r="F86" s="50">
        <v>0</v>
      </c>
      <c r="G86" s="50">
        <v>0</v>
      </c>
      <c r="H86" s="50">
        <v>1</v>
      </c>
      <c r="I86" s="50">
        <v>0</v>
      </c>
      <c r="J86" s="50">
        <v>0</v>
      </c>
      <c r="K86" s="50">
        <v>0</v>
      </c>
      <c r="L86" s="50">
        <v>5</v>
      </c>
      <c r="M86" s="50">
        <v>0</v>
      </c>
      <c r="N86" s="50">
        <v>0</v>
      </c>
      <c r="O86" s="15">
        <f t="shared" si="35"/>
        <v>7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10</v>
      </c>
      <c r="M87" s="50">
        <v>0</v>
      </c>
      <c r="N87" s="50">
        <v>0</v>
      </c>
      <c r="O87" s="15">
        <f t="shared" si="35"/>
        <v>10</v>
      </c>
      <c r="P87" s="15">
        <f t="shared" si="36"/>
        <v>10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10</v>
      </c>
      <c r="M88" s="50">
        <v>0</v>
      </c>
      <c r="N88" s="50">
        <v>0</v>
      </c>
      <c r="O88" s="15">
        <f t="shared" si="35"/>
        <v>10</v>
      </c>
      <c r="P88" s="15">
        <f t="shared" si="36"/>
        <v>10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4</v>
      </c>
      <c r="M89" s="50">
        <v>0</v>
      </c>
      <c r="N89" s="50">
        <v>0</v>
      </c>
      <c r="O89" s="15">
        <f t="shared" si="35"/>
        <v>4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3</v>
      </c>
      <c r="M90" s="50">
        <v>0</v>
      </c>
      <c r="N90" s="50">
        <v>0</v>
      </c>
      <c r="O90" s="15">
        <f t="shared" si="35"/>
        <v>3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5</v>
      </c>
      <c r="M91" s="50">
        <v>0</v>
      </c>
      <c r="N91" s="50"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2</v>
      </c>
      <c r="G92" s="50">
        <v>0</v>
      </c>
      <c r="H92" s="50">
        <v>0</v>
      </c>
      <c r="I92" s="50">
        <v>0</v>
      </c>
      <c r="J92" s="50">
        <v>2</v>
      </c>
      <c r="K92" s="50">
        <v>0</v>
      </c>
      <c r="L92" s="50">
        <v>10</v>
      </c>
      <c r="M92" s="50">
        <v>0</v>
      </c>
      <c r="N92" s="50">
        <v>0</v>
      </c>
      <c r="O92" s="15">
        <f t="shared" si="35"/>
        <v>14</v>
      </c>
      <c r="P92" s="15">
        <f t="shared" si="36"/>
        <v>14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4</v>
      </c>
      <c r="M93" s="50">
        <v>0</v>
      </c>
      <c r="N93" s="50">
        <v>0</v>
      </c>
      <c r="O93" s="15">
        <f t="shared" si="35"/>
        <v>5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4</v>
      </c>
      <c r="M94" s="50">
        <v>0</v>
      </c>
      <c r="N94" s="50">
        <v>0</v>
      </c>
      <c r="O94" s="15">
        <f t="shared" si="35"/>
        <v>4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4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2</v>
      </c>
      <c r="G96" s="50">
        <v>0</v>
      </c>
      <c r="H96" s="50">
        <v>1</v>
      </c>
      <c r="I96" s="50">
        <v>0</v>
      </c>
      <c r="J96" s="50">
        <v>0</v>
      </c>
      <c r="K96" s="50">
        <v>1</v>
      </c>
      <c r="L96" s="50">
        <v>9</v>
      </c>
      <c r="M96" s="50">
        <v>0</v>
      </c>
      <c r="N96" s="50">
        <v>0</v>
      </c>
      <c r="O96" s="15">
        <f t="shared" si="35"/>
        <v>13</v>
      </c>
      <c r="P96" s="15">
        <f t="shared" si="36"/>
        <v>13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7</v>
      </c>
      <c r="M97" s="50">
        <v>0</v>
      </c>
      <c r="N97" s="50">
        <v>0</v>
      </c>
      <c r="O97" s="15">
        <f t="shared" si="35"/>
        <v>8</v>
      </c>
      <c r="P97" s="15">
        <f t="shared" si="36"/>
        <v>8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1</v>
      </c>
      <c r="I98" s="50">
        <v>0</v>
      </c>
      <c r="J98" s="50">
        <v>2</v>
      </c>
      <c r="K98" s="50">
        <v>0</v>
      </c>
      <c r="L98" s="50">
        <v>5</v>
      </c>
      <c r="M98" s="50">
        <v>0</v>
      </c>
      <c r="N98" s="50">
        <v>0</v>
      </c>
      <c r="O98" s="15">
        <f t="shared" si="35"/>
        <v>8</v>
      </c>
      <c r="P98" s="15">
        <f t="shared" si="36"/>
        <v>8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0</v>
      </c>
      <c r="G99" s="50">
        <v>0</v>
      </c>
      <c r="H99" s="50">
        <v>1</v>
      </c>
      <c r="I99" s="50">
        <v>0</v>
      </c>
      <c r="J99" s="50">
        <v>3</v>
      </c>
      <c r="K99" s="50">
        <v>0</v>
      </c>
      <c r="L99" s="50">
        <v>8</v>
      </c>
      <c r="M99" s="50">
        <v>0</v>
      </c>
      <c r="N99" s="50">
        <v>0</v>
      </c>
      <c r="O99" s="15">
        <f t="shared" si="35"/>
        <v>13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1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1</v>
      </c>
      <c r="K100" s="50">
        <v>2</v>
      </c>
      <c r="L100" s="50">
        <v>6</v>
      </c>
      <c r="M100" s="50">
        <v>0</v>
      </c>
      <c r="N100" s="50">
        <v>0</v>
      </c>
      <c r="O100" s="15">
        <f t="shared" si="35"/>
        <v>13</v>
      </c>
      <c r="P100" s="15">
        <f t="shared" si="36"/>
        <v>13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1</v>
      </c>
      <c r="I101" s="50">
        <v>0</v>
      </c>
      <c r="J101" s="50">
        <v>0</v>
      </c>
      <c r="K101" s="50">
        <v>0</v>
      </c>
      <c r="L101" s="50">
        <v>11</v>
      </c>
      <c r="M101" s="50">
        <v>0</v>
      </c>
      <c r="N101" s="50">
        <v>0</v>
      </c>
      <c r="O101" s="15">
        <f t="shared" si="35"/>
        <v>12</v>
      </c>
      <c r="P101" s="15">
        <f t="shared" si="36"/>
        <v>12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1</v>
      </c>
      <c r="I102" s="50">
        <v>1</v>
      </c>
      <c r="J102" s="50">
        <v>3</v>
      </c>
      <c r="K102" s="50">
        <v>0</v>
      </c>
      <c r="L102" s="50">
        <v>24</v>
      </c>
      <c r="M102" s="50">
        <v>1</v>
      </c>
      <c r="N102" s="50">
        <v>0</v>
      </c>
      <c r="O102" s="15">
        <f t="shared" si="35"/>
        <v>30</v>
      </c>
      <c r="P102" s="15">
        <f t="shared" si="36"/>
        <v>31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1</v>
      </c>
      <c r="K103" s="50">
        <v>1</v>
      </c>
      <c r="L103" s="50">
        <v>11</v>
      </c>
      <c r="M103" s="50">
        <v>0</v>
      </c>
      <c r="N103" s="50">
        <v>0</v>
      </c>
      <c r="O103" s="15">
        <f t="shared" si="35"/>
        <v>13</v>
      </c>
      <c r="P103" s="15">
        <f t="shared" si="36"/>
        <v>13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15</v>
      </c>
      <c r="M104" s="50">
        <v>1</v>
      </c>
      <c r="N104" s="50">
        <v>0</v>
      </c>
      <c r="O104" s="15">
        <f t="shared" si="35"/>
        <v>18</v>
      </c>
      <c r="P104" s="15">
        <f t="shared" si="36"/>
        <v>19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2</v>
      </c>
      <c r="F105" s="50">
        <v>4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9</v>
      </c>
      <c r="M105" s="50">
        <v>0</v>
      </c>
      <c r="N105" s="50">
        <v>0</v>
      </c>
      <c r="O105" s="15">
        <f t="shared" si="35"/>
        <v>18</v>
      </c>
      <c r="P105" s="15">
        <f t="shared" si="36"/>
        <v>18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125</v>
      </c>
      <c r="D106" s="16">
        <f t="shared" ref="D106:P106" si="37">SUM(D10:D105)</f>
        <v>94</v>
      </c>
      <c r="E106" s="16">
        <f t="shared" si="37"/>
        <v>57</v>
      </c>
      <c r="F106" s="16">
        <f t="shared" si="37"/>
        <v>218</v>
      </c>
      <c r="G106" s="16">
        <f t="shared" si="37"/>
        <v>5</v>
      </c>
      <c r="H106" s="16">
        <f t="shared" si="37"/>
        <v>11</v>
      </c>
      <c r="I106" s="16">
        <f t="shared" si="37"/>
        <v>37</v>
      </c>
      <c r="J106" s="16">
        <f t="shared" si="37"/>
        <v>99</v>
      </c>
      <c r="K106" s="16">
        <f t="shared" si="37"/>
        <v>32</v>
      </c>
      <c r="L106" s="16">
        <f t="shared" si="37"/>
        <v>797</v>
      </c>
      <c r="M106" s="16">
        <f t="shared" si="37"/>
        <v>181</v>
      </c>
      <c r="N106" s="16">
        <f t="shared" si="37"/>
        <v>0</v>
      </c>
      <c r="O106" s="16">
        <f t="shared" si="37"/>
        <v>1475</v>
      </c>
      <c r="P106" s="16">
        <f t="shared" si="37"/>
        <v>1656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7.5483091787439616E-2</v>
      </c>
      <c r="D107" s="43">
        <f t="shared" si="38"/>
        <v>5.6763285024154592E-2</v>
      </c>
      <c r="E107" s="43">
        <f t="shared" si="38"/>
        <v>3.4420289855072464E-2</v>
      </c>
      <c r="F107" s="43">
        <f t="shared" si="38"/>
        <v>0.13164251207729469</v>
      </c>
      <c r="G107" s="43">
        <f t="shared" si="38"/>
        <v>3.0193236714975845E-3</v>
      </c>
      <c r="H107" s="43">
        <f t="shared" si="38"/>
        <v>6.642512077294686E-3</v>
      </c>
      <c r="I107" s="43">
        <f t="shared" si="38"/>
        <v>2.2342995169082124E-2</v>
      </c>
      <c r="J107" s="43">
        <f t="shared" si="38"/>
        <v>5.9782608695652176E-2</v>
      </c>
      <c r="K107" s="43">
        <f t="shared" si="38"/>
        <v>1.932367149758454E-2</v>
      </c>
      <c r="L107" s="43">
        <f t="shared" si="38"/>
        <v>0.48128019323671495</v>
      </c>
      <c r="M107" s="43">
        <f t="shared" si="38"/>
        <v>0.10929951690821256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8.4745762711864403E-2</v>
      </c>
      <c r="D108" s="44">
        <f t="shared" ref="D108:N108" si="39">D106/$O$106</f>
        <v>6.3728813559322028E-2</v>
      </c>
      <c r="E108" s="44">
        <f t="shared" si="39"/>
        <v>3.8644067796610171E-2</v>
      </c>
      <c r="F108" s="44">
        <f t="shared" si="39"/>
        <v>0.14779661016949153</v>
      </c>
      <c r="G108" s="44">
        <f t="shared" si="39"/>
        <v>3.3898305084745762E-3</v>
      </c>
      <c r="H108" s="44">
        <f t="shared" si="39"/>
        <v>7.4576271186440682E-3</v>
      </c>
      <c r="I108" s="44">
        <f t="shared" si="39"/>
        <v>2.5084745762711864E-2</v>
      </c>
      <c r="J108" s="44">
        <f t="shared" si="39"/>
        <v>6.7118644067796607E-2</v>
      </c>
      <c r="K108" s="44">
        <f t="shared" si="39"/>
        <v>2.169491525423729E-2</v>
      </c>
      <c r="L108" s="44">
        <f t="shared" si="39"/>
        <v>0.54033898305084749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3" t="str">
        <f>'27.08 BUSITEMA-TORORO-24h'!G5:H5</f>
        <v>STATION 98</v>
      </c>
      <c r="H5" s="64"/>
      <c r="I5" s="14"/>
      <c r="J5" s="2" t="s">
        <v>5</v>
      </c>
      <c r="K5" s="63" t="str">
        <f>'27.08 BUSITEMA-TORORO-24h'!K5:L5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'22.08 TORORO-BUSITEMA'!D6:E6</f>
        <v>TORORO</v>
      </c>
      <c r="E6" s="64"/>
      <c r="F6" s="2" t="s">
        <v>2</v>
      </c>
      <c r="G6" s="63" t="str">
        <f>'22.08 TORORO-BUSITEMA'!G6:H6</f>
        <v>BUSITEMA</v>
      </c>
      <c r="H6" s="64"/>
      <c r="J6" s="2" t="s">
        <v>21</v>
      </c>
      <c r="K6" s="63" t="str">
        <f>'27.08 BUSITEMA-TORORO-24h'!K6:L6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4</v>
      </c>
      <c r="M10" s="50">
        <v>3</v>
      </c>
      <c r="N10" s="50">
        <v>1</v>
      </c>
      <c r="O10" s="15">
        <f t="shared" ref="O10:O57" si="0">SUM(C10:L10,N10)</f>
        <v>7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23</v>
      </c>
      <c r="AC10" s="17">
        <f t="shared" si="2"/>
        <v>6</v>
      </c>
      <c r="AD10" s="17">
        <f t="shared" si="2"/>
        <v>1</v>
      </c>
      <c r="AE10" s="31">
        <f t="shared" si="2"/>
        <v>31</v>
      </c>
      <c r="AF10" s="31">
        <f t="shared" si="2"/>
        <v>37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5</v>
      </c>
      <c r="M11" s="50">
        <v>2</v>
      </c>
      <c r="N11" s="50">
        <v>0</v>
      </c>
      <c r="O11" s="15">
        <f t="shared" si="0"/>
        <v>7</v>
      </c>
      <c r="P11" s="15">
        <f t="shared" si="1"/>
        <v>9</v>
      </c>
      <c r="R11" s="1" t="s">
        <v>7</v>
      </c>
      <c r="S11" s="17">
        <f t="shared" ref="S11:AF11" si="3">SUM(C14:C17)</f>
        <v>15</v>
      </c>
      <c r="T11" s="17">
        <f t="shared" si="3"/>
        <v>17</v>
      </c>
      <c r="U11" s="17">
        <f t="shared" si="3"/>
        <v>4</v>
      </c>
      <c r="V11" s="17">
        <f t="shared" si="3"/>
        <v>28</v>
      </c>
      <c r="W11" s="17">
        <f t="shared" si="3"/>
        <v>1</v>
      </c>
      <c r="X11" s="17">
        <f t="shared" si="3"/>
        <v>0</v>
      </c>
      <c r="Y11" s="17">
        <f t="shared" si="3"/>
        <v>0</v>
      </c>
      <c r="Z11" s="17">
        <f t="shared" si="3"/>
        <v>3</v>
      </c>
      <c r="AA11" s="17">
        <f t="shared" si="3"/>
        <v>3</v>
      </c>
      <c r="AB11" s="17">
        <f t="shared" si="3"/>
        <v>38</v>
      </c>
      <c r="AC11" s="17">
        <f t="shared" si="3"/>
        <v>35</v>
      </c>
      <c r="AD11" s="17">
        <f t="shared" si="3"/>
        <v>1</v>
      </c>
      <c r="AE11" s="31">
        <f t="shared" si="3"/>
        <v>110</v>
      </c>
      <c r="AF11" s="31">
        <f t="shared" si="3"/>
        <v>145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13</v>
      </c>
      <c r="M12" s="50">
        <v>1</v>
      </c>
      <c r="N12" s="50">
        <v>0</v>
      </c>
      <c r="O12" s="15">
        <f t="shared" si="0"/>
        <v>14</v>
      </c>
      <c r="P12" s="15">
        <f t="shared" si="1"/>
        <v>15</v>
      </c>
      <c r="R12" s="1" t="s">
        <v>8</v>
      </c>
      <c r="S12" s="17">
        <f t="shared" ref="S12:AF12" si="4">SUM(C18:C21)</f>
        <v>2</v>
      </c>
      <c r="T12" s="17">
        <f t="shared" si="4"/>
        <v>10</v>
      </c>
      <c r="U12" s="17">
        <f t="shared" si="4"/>
        <v>11</v>
      </c>
      <c r="V12" s="17">
        <f t="shared" si="4"/>
        <v>12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28</v>
      </c>
      <c r="AC12" s="17">
        <f t="shared" si="4"/>
        <v>26</v>
      </c>
      <c r="AD12" s="17">
        <f t="shared" si="4"/>
        <v>0</v>
      </c>
      <c r="AE12" s="31">
        <f t="shared" si="4"/>
        <v>63</v>
      </c>
      <c r="AF12" s="31">
        <f t="shared" si="4"/>
        <v>89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0</v>
      </c>
      <c r="N13" s="50">
        <v>0</v>
      </c>
      <c r="O13" s="15">
        <f t="shared" si="0"/>
        <v>3</v>
      </c>
      <c r="P13" s="15">
        <f t="shared" si="1"/>
        <v>3</v>
      </c>
      <c r="R13" s="1" t="s">
        <v>9</v>
      </c>
      <c r="S13" s="17">
        <f t="shared" ref="S13:AF13" si="5">SUM(C22:C25)</f>
        <v>5</v>
      </c>
      <c r="T13" s="17">
        <f t="shared" si="5"/>
        <v>4</v>
      </c>
      <c r="U13" s="17">
        <f t="shared" si="5"/>
        <v>3</v>
      </c>
      <c r="V13" s="17">
        <f t="shared" si="5"/>
        <v>18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3</v>
      </c>
      <c r="AA13" s="17">
        <f t="shared" si="5"/>
        <v>2</v>
      </c>
      <c r="AB13" s="17">
        <f t="shared" si="5"/>
        <v>24</v>
      </c>
      <c r="AC13" s="17">
        <f t="shared" si="5"/>
        <v>15</v>
      </c>
      <c r="AD13" s="17">
        <f t="shared" si="5"/>
        <v>0</v>
      </c>
      <c r="AE13" s="31">
        <f t="shared" si="5"/>
        <v>62</v>
      </c>
      <c r="AF13" s="31">
        <f t="shared" si="5"/>
        <v>77</v>
      </c>
    </row>
    <row r="14" spans="2:32" ht="23.1" customHeight="1" x14ac:dyDescent="0.25">
      <c r="B14" s="23" t="s">
        <v>41</v>
      </c>
      <c r="C14" s="50">
        <v>1</v>
      </c>
      <c r="D14" s="50">
        <v>3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3</v>
      </c>
      <c r="M14" s="50">
        <v>0</v>
      </c>
      <c r="N14" s="50">
        <v>1</v>
      </c>
      <c r="O14" s="15">
        <f t="shared" si="0"/>
        <v>9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8</v>
      </c>
      <c r="U14" s="17">
        <f t="shared" si="6"/>
        <v>2</v>
      </c>
      <c r="V14" s="17">
        <f t="shared" si="6"/>
        <v>22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3</v>
      </c>
      <c r="AB14" s="17">
        <f t="shared" si="6"/>
        <v>35</v>
      </c>
      <c r="AC14" s="17">
        <f t="shared" si="6"/>
        <v>20</v>
      </c>
      <c r="AD14" s="17">
        <f t="shared" si="6"/>
        <v>0</v>
      </c>
      <c r="AE14" s="31">
        <f t="shared" si="6"/>
        <v>75</v>
      </c>
      <c r="AF14" s="31">
        <f t="shared" si="6"/>
        <v>95</v>
      </c>
    </row>
    <row r="15" spans="2:32" ht="23.1" customHeight="1" x14ac:dyDescent="0.25">
      <c r="B15" s="23" t="s">
        <v>42</v>
      </c>
      <c r="C15" s="50">
        <v>5</v>
      </c>
      <c r="D15" s="50">
        <v>2</v>
      </c>
      <c r="E15" s="50">
        <v>0</v>
      </c>
      <c r="F15" s="50">
        <v>5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3</v>
      </c>
      <c r="M15" s="50">
        <v>12</v>
      </c>
      <c r="N15" s="50">
        <v>0</v>
      </c>
      <c r="O15" s="15">
        <f t="shared" si="0"/>
        <v>15</v>
      </c>
      <c r="P15" s="15">
        <f t="shared" si="1"/>
        <v>27</v>
      </c>
      <c r="R15" s="1" t="s">
        <v>11</v>
      </c>
      <c r="S15" s="17">
        <f t="shared" ref="S15:AF15" si="7">SUM(C30:C33)</f>
        <v>7</v>
      </c>
      <c r="T15" s="17">
        <f t="shared" si="7"/>
        <v>17</v>
      </c>
      <c r="U15" s="17">
        <f t="shared" si="7"/>
        <v>10</v>
      </c>
      <c r="V15" s="17">
        <f t="shared" si="7"/>
        <v>29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4</v>
      </c>
      <c r="AA15" s="17">
        <f t="shared" si="7"/>
        <v>19</v>
      </c>
      <c r="AB15" s="17">
        <f t="shared" si="7"/>
        <v>33</v>
      </c>
      <c r="AC15" s="17">
        <f t="shared" si="7"/>
        <v>14</v>
      </c>
      <c r="AD15" s="17">
        <f t="shared" si="7"/>
        <v>0</v>
      </c>
      <c r="AE15" s="31">
        <f t="shared" si="7"/>
        <v>124</v>
      </c>
      <c r="AF15" s="31">
        <f t="shared" si="7"/>
        <v>138</v>
      </c>
    </row>
    <row r="16" spans="2:32" ht="23.1" customHeight="1" x14ac:dyDescent="0.25">
      <c r="B16" s="23" t="s">
        <v>43</v>
      </c>
      <c r="C16" s="50">
        <v>8</v>
      </c>
      <c r="D16" s="50">
        <v>4</v>
      </c>
      <c r="E16" s="50">
        <v>0</v>
      </c>
      <c r="F16" s="50">
        <v>9</v>
      </c>
      <c r="G16" s="50">
        <v>0</v>
      </c>
      <c r="H16" s="50">
        <v>0</v>
      </c>
      <c r="I16" s="50">
        <v>0</v>
      </c>
      <c r="J16" s="50">
        <v>3</v>
      </c>
      <c r="K16" s="50">
        <v>2</v>
      </c>
      <c r="L16" s="50">
        <v>13</v>
      </c>
      <c r="M16" s="50">
        <v>15</v>
      </c>
      <c r="N16" s="50">
        <v>0</v>
      </c>
      <c r="O16" s="15">
        <f t="shared" si="0"/>
        <v>39</v>
      </c>
      <c r="P16" s="15">
        <f t="shared" si="1"/>
        <v>54</v>
      </c>
      <c r="R16" s="1" t="s">
        <v>12</v>
      </c>
      <c r="S16" s="17">
        <f t="shared" ref="S16:AF16" si="8">SUM(C34:C37)</f>
        <v>7</v>
      </c>
      <c r="T16" s="17">
        <f t="shared" si="8"/>
        <v>6</v>
      </c>
      <c r="U16" s="17">
        <f t="shared" si="8"/>
        <v>8</v>
      </c>
      <c r="V16" s="17">
        <f t="shared" si="8"/>
        <v>16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18</v>
      </c>
      <c r="AB16" s="17">
        <f t="shared" si="8"/>
        <v>41</v>
      </c>
      <c r="AC16" s="17">
        <f t="shared" si="8"/>
        <v>22</v>
      </c>
      <c r="AD16" s="17">
        <f t="shared" si="8"/>
        <v>0</v>
      </c>
      <c r="AE16" s="31">
        <f t="shared" si="8"/>
        <v>102</v>
      </c>
      <c r="AF16" s="31">
        <f t="shared" si="8"/>
        <v>124</v>
      </c>
    </row>
    <row r="17" spans="2:32" ht="23.1" customHeight="1" x14ac:dyDescent="0.25">
      <c r="B17" s="23" t="s">
        <v>44</v>
      </c>
      <c r="C17" s="50">
        <v>1</v>
      </c>
      <c r="D17" s="50">
        <v>8</v>
      </c>
      <c r="E17" s="50">
        <v>3</v>
      </c>
      <c r="F17" s="50">
        <v>14</v>
      </c>
      <c r="G17" s="50">
        <v>1</v>
      </c>
      <c r="H17" s="50">
        <v>0</v>
      </c>
      <c r="I17" s="50">
        <v>0</v>
      </c>
      <c r="J17" s="50">
        <v>0</v>
      </c>
      <c r="K17" s="50">
        <v>1</v>
      </c>
      <c r="L17" s="50">
        <v>19</v>
      </c>
      <c r="M17" s="50">
        <v>8</v>
      </c>
      <c r="N17" s="50">
        <v>0</v>
      </c>
      <c r="O17" s="15">
        <f t="shared" si="0"/>
        <v>47</v>
      </c>
      <c r="P17" s="15">
        <f t="shared" si="1"/>
        <v>55</v>
      </c>
      <c r="R17" s="1" t="s">
        <v>13</v>
      </c>
      <c r="S17" s="17">
        <f t="shared" ref="S17:AF17" si="9">SUM(C38:C41)</f>
        <v>3</v>
      </c>
      <c r="T17" s="17">
        <f t="shared" si="9"/>
        <v>10</v>
      </c>
      <c r="U17" s="17">
        <f t="shared" si="9"/>
        <v>7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2</v>
      </c>
      <c r="AA17" s="17">
        <f t="shared" si="9"/>
        <v>25</v>
      </c>
      <c r="AB17" s="17">
        <f t="shared" si="9"/>
        <v>37</v>
      </c>
      <c r="AC17" s="17">
        <f t="shared" si="9"/>
        <v>18</v>
      </c>
      <c r="AD17" s="17">
        <f t="shared" si="9"/>
        <v>0</v>
      </c>
      <c r="AE17" s="31">
        <f t="shared" si="9"/>
        <v>104</v>
      </c>
      <c r="AF17" s="31">
        <f t="shared" si="9"/>
        <v>122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9</v>
      </c>
      <c r="M18" s="50">
        <v>15</v>
      </c>
      <c r="N18" s="50">
        <v>0</v>
      </c>
      <c r="O18" s="15">
        <f t="shared" si="0"/>
        <v>14</v>
      </c>
      <c r="P18" s="15">
        <f t="shared" si="1"/>
        <v>29</v>
      </c>
      <c r="R18" s="1" t="s">
        <v>14</v>
      </c>
      <c r="S18" s="17">
        <f t="shared" ref="S18:AF18" si="10">SUM(C42:C45)</f>
        <v>7</v>
      </c>
      <c r="T18" s="17">
        <f t="shared" si="10"/>
        <v>6</v>
      </c>
      <c r="U18" s="17">
        <f t="shared" si="10"/>
        <v>9</v>
      </c>
      <c r="V18" s="17">
        <f t="shared" si="10"/>
        <v>25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3</v>
      </c>
      <c r="AB18" s="17">
        <f t="shared" si="10"/>
        <v>51</v>
      </c>
      <c r="AC18" s="17">
        <f t="shared" si="10"/>
        <v>35</v>
      </c>
      <c r="AD18" s="17">
        <f t="shared" si="10"/>
        <v>0</v>
      </c>
      <c r="AE18" s="31">
        <f t="shared" si="10"/>
        <v>106</v>
      </c>
      <c r="AF18" s="31">
        <f t="shared" si="10"/>
        <v>141</v>
      </c>
    </row>
    <row r="19" spans="2:32" ht="23.1" customHeight="1" x14ac:dyDescent="0.25">
      <c r="B19" s="23" t="s">
        <v>46</v>
      </c>
      <c r="C19" s="50">
        <v>2</v>
      </c>
      <c r="D19" s="50">
        <v>4</v>
      </c>
      <c r="E19" s="50">
        <v>6</v>
      </c>
      <c r="F19" s="50">
        <v>4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8</v>
      </c>
      <c r="M19" s="50">
        <v>7</v>
      </c>
      <c r="N19" s="50">
        <v>0</v>
      </c>
      <c r="O19" s="15">
        <f t="shared" si="0"/>
        <v>24</v>
      </c>
      <c r="P19" s="15">
        <f t="shared" si="1"/>
        <v>31</v>
      </c>
      <c r="R19" s="1" t="s">
        <v>15</v>
      </c>
      <c r="S19" s="17">
        <f t="shared" ref="S19:AF19" si="11">SUM(C46:C49)</f>
        <v>10</v>
      </c>
      <c r="T19" s="17">
        <f t="shared" si="11"/>
        <v>7</v>
      </c>
      <c r="U19" s="17">
        <f t="shared" si="11"/>
        <v>7</v>
      </c>
      <c r="V19" s="17">
        <f t="shared" si="11"/>
        <v>19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34</v>
      </c>
      <c r="AC19" s="17">
        <f t="shared" si="11"/>
        <v>23</v>
      </c>
      <c r="AD19" s="17">
        <f t="shared" si="11"/>
        <v>0</v>
      </c>
      <c r="AE19" s="31">
        <f t="shared" si="11"/>
        <v>82</v>
      </c>
      <c r="AF19" s="31">
        <f t="shared" si="11"/>
        <v>105</v>
      </c>
    </row>
    <row r="20" spans="2:32" ht="23.1" customHeight="1" x14ac:dyDescent="0.25">
      <c r="B20" s="23" t="s">
        <v>47</v>
      </c>
      <c r="C20" s="50">
        <v>0</v>
      </c>
      <c r="D20" s="50">
        <v>3</v>
      </c>
      <c r="E20" s="50">
        <v>3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9</v>
      </c>
      <c r="M20" s="50">
        <v>1</v>
      </c>
      <c r="N20" s="50">
        <v>0</v>
      </c>
      <c r="O20" s="15">
        <f t="shared" si="0"/>
        <v>16</v>
      </c>
      <c r="P20" s="15">
        <f t="shared" si="1"/>
        <v>17</v>
      </c>
      <c r="R20" s="1" t="s">
        <v>16</v>
      </c>
      <c r="S20" s="17">
        <f t="shared" ref="S20:AF20" si="12">SUM(C50:C53)</f>
        <v>10</v>
      </c>
      <c r="T20" s="17">
        <f t="shared" si="12"/>
        <v>14</v>
      </c>
      <c r="U20" s="17">
        <f t="shared" si="12"/>
        <v>5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62</v>
      </c>
      <c r="AC20" s="17">
        <f t="shared" si="12"/>
        <v>21</v>
      </c>
      <c r="AD20" s="17">
        <f t="shared" si="12"/>
        <v>0</v>
      </c>
      <c r="AE20" s="31">
        <f t="shared" si="12"/>
        <v>105</v>
      </c>
      <c r="AF20" s="31">
        <f t="shared" si="12"/>
        <v>126</v>
      </c>
    </row>
    <row r="21" spans="2:32" ht="23.1" customHeight="1" x14ac:dyDescent="0.25">
      <c r="B21" s="23" t="s">
        <v>48</v>
      </c>
      <c r="C21" s="50">
        <v>0</v>
      </c>
      <c r="D21" s="50">
        <v>3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2</v>
      </c>
      <c r="M21" s="50">
        <v>3</v>
      </c>
      <c r="N21" s="50">
        <v>0</v>
      </c>
      <c r="O21" s="15">
        <f t="shared" si="0"/>
        <v>9</v>
      </c>
      <c r="P21" s="15">
        <f t="shared" si="1"/>
        <v>12</v>
      </c>
      <c r="R21" s="36" t="s">
        <v>20</v>
      </c>
      <c r="S21" s="34">
        <f t="shared" ref="S21:AF21" si="13">SUM(C54:C57)</f>
        <v>6</v>
      </c>
      <c r="T21" s="17">
        <f t="shared" si="13"/>
        <v>7</v>
      </c>
      <c r="U21" s="17">
        <f t="shared" si="13"/>
        <v>11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1</v>
      </c>
      <c r="AA21" s="17">
        <f t="shared" si="13"/>
        <v>3</v>
      </c>
      <c r="AB21" s="17">
        <f t="shared" si="13"/>
        <v>44</v>
      </c>
      <c r="AC21" s="17">
        <f t="shared" si="13"/>
        <v>13</v>
      </c>
      <c r="AD21" s="17">
        <f t="shared" si="13"/>
        <v>0</v>
      </c>
      <c r="AE21" s="31">
        <f t="shared" si="13"/>
        <v>89</v>
      </c>
      <c r="AF21" s="31">
        <f t="shared" si="13"/>
        <v>102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1</v>
      </c>
      <c r="F22" s="50">
        <v>6</v>
      </c>
      <c r="G22" s="50">
        <v>0</v>
      </c>
      <c r="H22" s="50">
        <v>0</v>
      </c>
      <c r="I22" s="50">
        <v>1</v>
      </c>
      <c r="J22" s="50">
        <v>0</v>
      </c>
      <c r="K22" s="50">
        <v>2</v>
      </c>
      <c r="L22" s="50">
        <v>8</v>
      </c>
      <c r="M22" s="50">
        <v>2</v>
      </c>
      <c r="N22" s="50">
        <v>0</v>
      </c>
      <c r="O22" s="15">
        <f t="shared" si="0"/>
        <v>20</v>
      </c>
      <c r="P22" s="15">
        <f t="shared" si="1"/>
        <v>22</v>
      </c>
      <c r="R22" s="38" t="s">
        <v>90</v>
      </c>
      <c r="S22" s="39">
        <f>MAX(S10:S12)</f>
        <v>15</v>
      </c>
      <c r="T22" s="39">
        <f t="shared" ref="T22:AF22" si="14">MAX(T10:T12)</f>
        <v>17</v>
      </c>
      <c r="U22" s="39">
        <f t="shared" si="14"/>
        <v>11</v>
      </c>
      <c r="V22" s="39">
        <f t="shared" si="14"/>
        <v>28</v>
      </c>
      <c r="W22" s="39">
        <f t="shared" si="14"/>
        <v>1</v>
      </c>
      <c r="X22" s="39">
        <f t="shared" si="14"/>
        <v>0</v>
      </c>
      <c r="Y22" s="39">
        <f t="shared" si="14"/>
        <v>0</v>
      </c>
      <c r="Z22" s="39">
        <f t="shared" si="14"/>
        <v>3</v>
      </c>
      <c r="AA22" s="39">
        <f t="shared" si="14"/>
        <v>3</v>
      </c>
      <c r="AB22" s="39">
        <f t="shared" si="14"/>
        <v>38</v>
      </c>
      <c r="AC22" s="39">
        <f t="shared" si="14"/>
        <v>35</v>
      </c>
      <c r="AD22" s="39">
        <f t="shared" si="14"/>
        <v>1</v>
      </c>
      <c r="AE22" s="40">
        <f t="shared" si="14"/>
        <v>110</v>
      </c>
      <c r="AF22" s="40">
        <f t="shared" si="14"/>
        <v>145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4</v>
      </c>
      <c r="M23" s="50">
        <v>4</v>
      </c>
      <c r="N23" s="50">
        <v>0</v>
      </c>
      <c r="O23" s="15">
        <f t="shared" si="0"/>
        <v>7</v>
      </c>
      <c r="P23" s="15">
        <f t="shared" si="1"/>
        <v>11</v>
      </c>
      <c r="R23" s="38" t="s">
        <v>91</v>
      </c>
      <c r="S23" s="39">
        <f>MAX(S13:S18)</f>
        <v>7</v>
      </c>
      <c r="T23" s="39">
        <f t="shared" ref="T23:AF23" si="15">MAX(T13:T18)</f>
        <v>17</v>
      </c>
      <c r="U23" s="39">
        <f t="shared" si="15"/>
        <v>10</v>
      </c>
      <c r="V23" s="39">
        <f t="shared" si="15"/>
        <v>29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4</v>
      </c>
      <c r="AA23" s="39">
        <f t="shared" si="15"/>
        <v>25</v>
      </c>
      <c r="AB23" s="39">
        <f t="shared" si="15"/>
        <v>51</v>
      </c>
      <c r="AC23" s="39">
        <f t="shared" si="15"/>
        <v>35</v>
      </c>
      <c r="AD23" s="39">
        <f t="shared" si="15"/>
        <v>0</v>
      </c>
      <c r="AE23" s="40">
        <f t="shared" si="15"/>
        <v>124</v>
      </c>
      <c r="AF23" s="40">
        <f t="shared" si="15"/>
        <v>141</v>
      </c>
    </row>
    <row r="24" spans="2:32" ht="23.1" customHeight="1" x14ac:dyDescent="0.25">
      <c r="B24" s="23" t="s">
        <v>51</v>
      </c>
      <c r="C24" s="50">
        <v>1</v>
      </c>
      <c r="D24" s="50">
        <v>3</v>
      </c>
      <c r="E24" s="50">
        <v>1</v>
      </c>
      <c r="F24" s="50">
        <v>4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8</v>
      </c>
      <c r="M24" s="50">
        <v>6</v>
      </c>
      <c r="N24" s="50">
        <v>0</v>
      </c>
      <c r="O24" s="15">
        <f t="shared" si="0"/>
        <v>18</v>
      </c>
      <c r="P24" s="15">
        <f t="shared" si="1"/>
        <v>24</v>
      </c>
      <c r="R24" s="38" t="s">
        <v>92</v>
      </c>
      <c r="S24" s="39">
        <f>MAX(S19:S21)</f>
        <v>10</v>
      </c>
      <c r="T24" s="39">
        <f t="shared" ref="T24:AF24" si="16">MAX(T19:T21)</f>
        <v>14</v>
      </c>
      <c r="U24" s="39">
        <f t="shared" si="16"/>
        <v>11</v>
      </c>
      <c r="V24" s="39">
        <f t="shared" si="16"/>
        <v>19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1</v>
      </c>
      <c r="AA24" s="39">
        <f t="shared" si="16"/>
        <v>3</v>
      </c>
      <c r="AB24" s="39">
        <f t="shared" si="16"/>
        <v>62</v>
      </c>
      <c r="AC24" s="39">
        <f t="shared" si="16"/>
        <v>23</v>
      </c>
      <c r="AD24" s="39">
        <f t="shared" si="16"/>
        <v>0</v>
      </c>
      <c r="AE24" s="40">
        <f t="shared" si="16"/>
        <v>105</v>
      </c>
      <c r="AF24" s="40">
        <f t="shared" si="16"/>
        <v>126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1</v>
      </c>
      <c r="F25" s="50">
        <v>5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4</v>
      </c>
      <c r="M25" s="50">
        <v>3</v>
      </c>
      <c r="N25" s="50">
        <v>0</v>
      </c>
      <c r="O25" s="15">
        <f t="shared" si="0"/>
        <v>17</v>
      </c>
      <c r="P25" s="15">
        <f t="shared" si="1"/>
        <v>20</v>
      </c>
      <c r="R25" s="37" t="s">
        <v>85</v>
      </c>
      <c r="S25" s="35">
        <f t="shared" ref="S25:AF25" si="17">SUM(S10:S12)</f>
        <v>18</v>
      </c>
      <c r="T25" s="16">
        <f t="shared" si="17"/>
        <v>27</v>
      </c>
      <c r="U25" s="16">
        <f t="shared" si="17"/>
        <v>15</v>
      </c>
      <c r="V25" s="16">
        <f t="shared" si="17"/>
        <v>46</v>
      </c>
      <c r="W25" s="16">
        <f t="shared" si="17"/>
        <v>1</v>
      </c>
      <c r="X25" s="16">
        <f t="shared" si="17"/>
        <v>0</v>
      </c>
      <c r="Y25" s="16">
        <f t="shared" si="17"/>
        <v>0</v>
      </c>
      <c r="Z25" s="16">
        <f t="shared" si="17"/>
        <v>3</v>
      </c>
      <c r="AA25" s="16">
        <f t="shared" si="17"/>
        <v>3</v>
      </c>
      <c r="AB25" s="16">
        <f t="shared" si="17"/>
        <v>89</v>
      </c>
      <c r="AC25" s="16">
        <f t="shared" si="17"/>
        <v>67</v>
      </c>
      <c r="AD25" s="16">
        <f t="shared" si="17"/>
        <v>2</v>
      </c>
      <c r="AE25" s="32">
        <f t="shared" si="17"/>
        <v>204</v>
      </c>
      <c r="AF25" s="32">
        <f t="shared" si="17"/>
        <v>271</v>
      </c>
    </row>
    <row r="26" spans="2:32" ht="23.1" customHeight="1" x14ac:dyDescent="0.25">
      <c r="B26" s="23" t="s">
        <v>53</v>
      </c>
      <c r="C26" s="50">
        <v>1</v>
      </c>
      <c r="D26" s="50">
        <v>2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5</v>
      </c>
      <c r="M26" s="50">
        <v>3</v>
      </c>
      <c r="N26" s="50">
        <v>0</v>
      </c>
      <c r="O26" s="15">
        <f t="shared" si="0"/>
        <v>9</v>
      </c>
      <c r="P26" s="15">
        <f t="shared" si="1"/>
        <v>12</v>
      </c>
      <c r="R26" s="28" t="s">
        <v>86</v>
      </c>
      <c r="S26" s="16">
        <f t="shared" ref="S26:AF26" si="18">SUM(S13:S18)</f>
        <v>33</v>
      </c>
      <c r="T26" s="16">
        <f t="shared" si="18"/>
        <v>51</v>
      </c>
      <c r="U26" s="16">
        <f t="shared" si="18"/>
        <v>39</v>
      </c>
      <c r="V26" s="16">
        <f t="shared" si="18"/>
        <v>126</v>
      </c>
      <c r="W26" s="16">
        <f t="shared" si="18"/>
        <v>0</v>
      </c>
      <c r="X26" s="16">
        <f t="shared" si="18"/>
        <v>0</v>
      </c>
      <c r="Y26" s="16">
        <f t="shared" si="18"/>
        <v>24</v>
      </c>
      <c r="Z26" s="16">
        <f t="shared" si="18"/>
        <v>9</v>
      </c>
      <c r="AA26" s="16">
        <f t="shared" si="18"/>
        <v>70</v>
      </c>
      <c r="AB26" s="16">
        <f t="shared" si="18"/>
        <v>221</v>
      </c>
      <c r="AC26" s="16">
        <f t="shared" si="18"/>
        <v>124</v>
      </c>
      <c r="AD26" s="16">
        <f t="shared" si="18"/>
        <v>0</v>
      </c>
      <c r="AE26" s="32">
        <f t="shared" si="18"/>
        <v>573</v>
      </c>
      <c r="AF26" s="32">
        <f t="shared" si="18"/>
        <v>697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7</v>
      </c>
      <c r="M27" s="50">
        <v>5</v>
      </c>
      <c r="N27" s="50">
        <v>0</v>
      </c>
      <c r="O27" s="15">
        <f t="shared" si="0"/>
        <v>12</v>
      </c>
      <c r="P27" s="15">
        <f t="shared" si="1"/>
        <v>17</v>
      </c>
      <c r="R27" s="29" t="s">
        <v>87</v>
      </c>
      <c r="S27" s="16">
        <f t="shared" ref="S27:AF27" si="19">SUM(S19:S21)</f>
        <v>26</v>
      </c>
      <c r="T27" s="16">
        <f t="shared" si="19"/>
        <v>28</v>
      </c>
      <c r="U27" s="16">
        <f t="shared" si="19"/>
        <v>23</v>
      </c>
      <c r="V27" s="16">
        <f t="shared" si="19"/>
        <v>41</v>
      </c>
      <c r="W27" s="16">
        <f t="shared" si="19"/>
        <v>0</v>
      </c>
      <c r="X27" s="16">
        <f t="shared" si="19"/>
        <v>0</v>
      </c>
      <c r="Y27" s="16">
        <f t="shared" si="19"/>
        <v>14</v>
      </c>
      <c r="Z27" s="16">
        <f t="shared" si="19"/>
        <v>1</v>
      </c>
      <c r="AA27" s="16">
        <f t="shared" si="19"/>
        <v>3</v>
      </c>
      <c r="AB27" s="16">
        <f t="shared" si="19"/>
        <v>140</v>
      </c>
      <c r="AC27" s="16">
        <f t="shared" si="19"/>
        <v>57</v>
      </c>
      <c r="AD27" s="16">
        <f t="shared" si="19"/>
        <v>0</v>
      </c>
      <c r="AE27" s="32">
        <f t="shared" si="19"/>
        <v>276</v>
      </c>
      <c r="AF27" s="32">
        <f t="shared" si="19"/>
        <v>333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0</v>
      </c>
      <c r="F28" s="50">
        <v>7</v>
      </c>
      <c r="G28" s="50">
        <v>0</v>
      </c>
      <c r="H28" s="50">
        <v>0</v>
      </c>
      <c r="I28" s="50">
        <v>0</v>
      </c>
      <c r="J28" s="50">
        <v>0</v>
      </c>
      <c r="K28" s="50">
        <v>3</v>
      </c>
      <c r="L28" s="50">
        <v>13</v>
      </c>
      <c r="M28" s="50">
        <v>4</v>
      </c>
      <c r="N28" s="50">
        <v>0</v>
      </c>
      <c r="O28" s="15">
        <f t="shared" si="0"/>
        <v>26</v>
      </c>
      <c r="P28" s="15">
        <f t="shared" si="1"/>
        <v>30</v>
      </c>
      <c r="R28" s="5" t="s">
        <v>17</v>
      </c>
      <c r="S28" s="16">
        <f t="shared" ref="S28:AF28" si="20">SUM(S10:S21)</f>
        <v>77</v>
      </c>
      <c r="T28" s="16">
        <f t="shared" si="20"/>
        <v>106</v>
      </c>
      <c r="U28" s="16">
        <f t="shared" si="20"/>
        <v>77</v>
      </c>
      <c r="V28" s="16">
        <f t="shared" si="20"/>
        <v>213</v>
      </c>
      <c r="W28" s="16">
        <f t="shared" si="20"/>
        <v>1</v>
      </c>
      <c r="X28" s="16">
        <f t="shared" si="20"/>
        <v>0</v>
      </c>
      <c r="Y28" s="16">
        <f t="shared" si="20"/>
        <v>38</v>
      </c>
      <c r="Z28" s="16">
        <f t="shared" si="20"/>
        <v>13</v>
      </c>
      <c r="AA28" s="16">
        <f t="shared" si="20"/>
        <v>76</v>
      </c>
      <c r="AB28" s="16">
        <f t="shared" si="20"/>
        <v>450</v>
      </c>
      <c r="AC28" s="16">
        <f t="shared" si="20"/>
        <v>248</v>
      </c>
      <c r="AD28" s="16">
        <f t="shared" si="20"/>
        <v>2</v>
      </c>
      <c r="AE28" s="32">
        <f t="shared" si="20"/>
        <v>1053</v>
      </c>
      <c r="AF28" s="32">
        <f t="shared" si="20"/>
        <v>1301</v>
      </c>
    </row>
    <row r="29" spans="2:32" ht="23.1" customHeight="1" x14ac:dyDescent="0.25">
      <c r="B29" s="23" t="s">
        <v>56</v>
      </c>
      <c r="C29" s="50">
        <v>0</v>
      </c>
      <c r="D29" s="50">
        <v>5</v>
      </c>
      <c r="E29" s="50">
        <v>2</v>
      </c>
      <c r="F29" s="50">
        <v>11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10</v>
      </c>
      <c r="M29" s="50">
        <v>8</v>
      </c>
      <c r="N29" s="50">
        <v>0</v>
      </c>
      <c r="O29" s="15">
        <f t="shared" si="0"/>
        <v>28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3</v>
      </c>
      <c r="F30" s="50">
        <v>8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14</v>
      </c>
      <c r="M30" s="50">
        <v>3</v>
      </c>
      <c r="N30" s="50">
        <v>0</v>
      </c>
      <c r="O30" s="15">
        <f t="shared" si="0"/>
        <v>27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1</v>
      </c>
      <c r="F31" s="50">
        <v>13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9</v>
      </c>
      <c r="M31" s="50">
        <v>0</v>
      </c>
      <c r="N31" s="50">
        <v>0</v>
      </c>
      <c r="O31" s="15">
        <f t="shared" si="0"/>
        <v>28</v>
      </c>
      <c r="P31" s="15">
        <f t="shared" si="1"/>
        <v>28</v>
      </c>
    </row>
    <row r="32" spans="2:32" ht="23.1" customHeight="1" x14ac:dyDescent="0.25">
      <c r="B32" s="24" t="s">
        <v>59</v>
      </c>
      <c r="C32" s="50">
        <v>2</v>
      </c>
      <c r="D32" s="50">
        <v>15</v>
      </c>
      <c r="E32" s="50">
        <v>2</v>
      </c>
      <c r="F32" s="50">
        <v>3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4</v>
      </c>
      <c r="M32" s="50">
        <v>11</v>
      </c>
      <c r="N32" s="50">
        <v>0</v>
      </c>
      <c r="O32" s="15">
        <f t="shared" si="0"/>
        <v>31</v>
      </c>
      <c r="P32" s="15">
        <f t="shared" si="1"/>
        <v>42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4</v>
      </c>
      <c r="F33" s="50">
        <v>5</v>
      </c>
      <c r="G33" s="50">
        <v>0</v>
      </c>
      <c r="H33" s="50">
        <v>0</v>
      </c>
      <c r="I33" s="50">
        <v>0</v>
      </c>
      <c r="J33" s="50">
        <v>3</v>
      </c>
      <c r="K33" s="50">
        <v>19</v>
      </c>
      <c r="L33" s="50">
        <v>6</v>
      </c>
      <c r="M33" s="50">
        <v>0</v>
      </c>
      <c r="N33" s="50">
        <v>0</v>
      </c>
      <c r="O33" s="15">
        <f t="shared" si="0"/>
        <v>38</v>
      </c>
      <c r="P33" s="15">
        <f t="shared" si="1"/>
        <v>38</v>
      </c>
    </row>
    <row r="34" spans="2:20" ht="23.1" customHeight="1" x14ac:dyDescent="0.25">
      <c r="B34" s="24" t="s">
        <v>61</v>
      </c>
      <c r="C34" s="50">
        <v>3</v>
      </c>
      <c r="D34" s="50">
        <v>5</v>
      </c>
      <c r="E34" s="50">
        <v>3</v>
      </c>
      <c r="F34" s="50">
        <v>7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3</v>
      </c>
      <c r="M34" s="50">
        <v>10</v>
      </c>
      <c r="N34" s="50">
        <v>0</v>
      </c>
      <c r="O34" s="15">
        <f t="shared" si="0"/>
        <v>23</v>
      </c>
      <c r="P34" s="15">
        <f t="shared" si="1"/>
        <v>33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4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3</v>
      </c>
      <c r="L35" s="50">
        <v>9</v>
      </c>
      <c r="M35" s="50">
        <v>3</v>
      </c>
      <c r="N35" s="50">
        <v>0</v>
      </c>
      <c r="O35" s="15">
        <f t="shared" si="0"/>
        <v>21</v>
      </c>
      <c r="P35" s="15">
        <f t="shared" si="1"/>
        <v>24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5</v>
      </c>
      <c r="L36" s="50">
        <v>13</v>
      </c>
      <c r="M36" s="50">
        <v>6</v>
      </c>
      <c r="N36" s="50">
        <v>0</v>
      </c>
      <c r="O36" s="15">
        <f t="shared" si="0"/>
        <v>18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7</v>
      </c>
      <c r="G37" s="50">
        <v>0</v>
      </c>
      <c r="H37" s="50">
        <v>0</v>
      </c>
      <c r="I37" s="50">
        <v>5</v>
      </c>
      <c r="J37" s="50">
        <v>0</v>
      </c>
      <c r="K37" s="50">
        <v>9</v>
      </c>
      <c r="L37" s="50">
        <v>16</v>
      </c>
      <c r="M37" s="50">
        <v>3</v>
      </c>
      <c r="N37" s="50">
        <v>0</v>
      </c>
      <c r="O37" s="15">
        <f t="shared" si="0"/>
        <v>40</v>
      </c>
      <c r="P37" s="15">
        <f t="shared" si="1"/>
        <v>43</v>
      </c>
    </row>
    <row r="38" spans="2:20" ht="23.1" customHeight="1" x14ac:dyDescent="0.25">
      <c r="B38" s="24" t="s">
        <v>65</v>
      </c>
      <c r="C38" s="50">
        <v>0</v>
      </c>
      <c r="D38" s="50">
        <v>3</v>
      </c>
      <c r="E38" s="50">
        <v>0</v>
      </c>
      <c r="F38" s="50">
        <v>5</v>
      </c>
      <c r="G38" s="50">
        <v>0</v>
      </c>
      <c r="H38" s="50">
        <v>0</v>
      </c>
      <c r="I38" s="50">
        <v>3</v>
      </c>
      <c r="J38" s="50">
        <v>0</v>
      </c>
      <c r="K38" s="50">
        <v>15</v>
      </c>
      <c r="L38" s="50">
        <v>9</v>
      </c>
      <c r="M38" s="50">
        <v>2</v>
      </c>
      <c r="N38" s="50">
        <v>0</v>
      </c>
      <c r="O38" s="15">
        <f t="shared" si="0"/>
        <v>35</v>
      </c>
      <c r="P38" s="15">
        <f t="shared" si="1"/>
        <v>37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1</v>
      </c>
      <c r="F39" s="50">
        <v>4</v>
      </c>
      <c r="G39" s="50">
        <v>0</v>
      </c>
      <c r="H39" s="50">
        <v>0</v>
      </c>
      <c r="I39" s="50">
        <v>1</v>
      </c>
      <c r="J39" s="50">
        <v>1</v>
      </c>
      <c r="K39" s="50">
        <v>8</v>
      </c>
      <c r="L39" s="50">
        <v>14</v>
      </c>
      <c r="M39" s="50">
        <v>1</v>
      </c>
      <c r="N39" s="50">
        <v>0</v>
      </c>
      <c r="O39" s="15">
        <f t="shared" si="0"/>
        <v>32</v>
      </c>
      <c r="P39" s="15">
        <f t="shared" si="1"/>
        <v>33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5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8</v>
      </c>
      <c r="M40" s="50">
        <v>11</v>
      </c>
      <c r="N40" s="50">
        <v>0</v>
      </c>
      <c r="O40" s="15">
        <f t="shared" si="0"/>
        <v>15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2</v>
      </c>
      <c r="D41" s="50">
        <v>5</v>
      </c>
      <c r="E41" s="50">
        <v>1</v>
      </c>
      <c r="F41" s="50">
        <v>5</v>
      </c>
      <c r="G41" s="50">
        <v>0</v>
      </c>
      <c r="H41" s="50">
        <v>0</v>
      </c>
      <c r="I41" s="50">
        <v>0</v>
      </c>
      <c r="J41" s="50">
        <v>1</v>
      </c>
      <c r="K41" s="50">
        <v>2</v>
      </c>
      <c r="L41" s="50">
        <v>6</v>
      </c>
      <c r="M41" s="50">
        <v>4</v>
      </c>
      <c r="N41" s="50">
        <v>0</v>
      </c>
      <c r="O41" s="15">
        <f t="shared" si="0"/>
        <v>22</v>
      </c>
      <c r="P41" s="15">
        <f t="shared" si="1"/>
        <v>26</v>
      </c>
    </row>
    <row r="42" spans="2:20" ht="23.1" customHeight="1" x14ac:dyDescent="0.25">
      <c r="B42" s="24" t="s">
        <v>69</v>
      </c>
      <c r="C42" s="50">
        <v>0</v>
      </c>
      <c r="D42" s="50">
        <v>3</v>
      </c>
      <c r="E42" s="50">
        <v>2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9</v>
      </c>
      <c r="M42" s="50">
        <v>10</v>
      </c>
      <c r="N42" s="50">
        <v>0</v>
      </c>
      <c r="O42" s="15">
        <f t="shared" si="0"/>
        <v>15</v>
      </c>
      <c r="P42" s="15">
        <f t="shared" si="1"/>
        <v>25</v>
      </c>
    </row>
    <row r="43" spans="2:20" ht="23.1" customHeight="1" x14ac:dyDescent="0.25">
      <c r="B43" s="23" t="s">
        <v>70</v>
      </c>
      <c r="C43" s="50">
        <v>1</v>
      </c>
      <c r="D43" s="50">
        <v>1</v>
      </c>
      <c r="E43" s="50">
        <v>2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19</v>
      </c>
      <c r="M43" s="50">
        <v>4</v>
      </c>
      <c r="N43" s="50">
        <v>0</v>
      </c>
      <c r="O43" s="15">
        <f t="shared" si="0"/>
        <v>26</v>
      </c>
      <c r="P43" s="15">
        <f t="shared" si="1"/>
        <v>30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5</v>
      </c>
      <c r="F44" s="50">
        <v>14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15</v>
      </c>
      <c r="M44" s="50">
        <v>10</v>
      </c>
      <c r="N44" s="50">
        <v>0</v>
      </c>
      <c r="O44" s="15">
        <f t="shared" si="0"/>
        <v>40</v>
      </c>
      <c r="P44" s="15">
        <f t="shared" si="1"/>
        <v>50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0</v>
      </c>
      <c r="F45" s="50">
        <v>7</v>
      </c>
      <c r="G45" s="50">
        <v>0</v>
      </c>
      <c r="H45" s="50">
        <v>0</v>
      </c>
      <c r="I45" s="50">
        <v>5</v>
      </c>
      <c r="J45" s="50">
        <v>0</v>
      </c>
      <c r="K45" s="50">
        <v>2</v>
      </c>
      <c r="L45" s="50">
        <v>8</v>
      </c>
      <c r="M45" s="50">
        <v>11</v>
      </c>
      <c r="N45" s="50">
        <v>0</v>
      </c>
      <c r="O45" s="15">
        <f t="shared" si="0"/>
        <v>25</v>
      </c>
      <c r="P45" s="15">
        <f t="shared" si="1"/>
        <v>36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4</v>
      </c>
      <c r="F46" s="50">
        <v>9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4</v>
      </c>
      <c r="M46" s="50">
        <v>10</v>
      </c>
      <c r="N46" s="50">
        <v>0</v>
      </c>
      <c r="O46" s="15">
        <f t="shared" si="0"/>
        <v>17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2</v>
      </c>
      <c r="E47" s="50">
        <v>1</v>
      </c>
      <c r="F47" s="50">
        <v>6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11</v>
      </c>
      <c r="M47" s="50">
        <v>7</v>
      </c>
      <c r="N47" s="50">
        <v>0</v>
      </c>
      <c r="O47" s="15">
        <f t="shared" si="0"/>
        <v>27</v>
      </c>
      <c r="P47" s="15">
        <f t="shared" si="1"/>
        <v>34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4</v>
      </c>
      <c r="E48" s="50">
        <v>2</v>
      </c>
      <c r="F48" s="50">
        <v>4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8</v>
      </c>
      <c r="M48" s="50">
        <v>3</v>
      </c>
      <c r="N48" s="50">
        <v>0</v>
      </c>
      <c r="O48" s="15">
        <f t="shared" si="0"/>
        <v>18</v>
      </c>
      <c r="P48" s="15">
        <f t="shared" si="1"/>
        <v>21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11</v>
      </c>
      <c r="M49" s="50">
        <v>3</v>
      </c>
      <c r="N49" s="50">
        <v>0</v>
      </c>
      <c r="O49" s="15">
        <f t="shared" si="0"/>
        <v>20</v>
      </c>
      <c r="P49" s="15">
        <f t="shared" si="1"/>
        <v>23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4</v>
      </c>
      <c r="E50" s="50">
        <v>1</v>
      </c>
      <c r="F50" s="50">
        <v>5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17</v>
      </c>
      <c r="M50" s="50">
        <v>9</v>
      </c>
      <c r="N50" s="50">
        <v>0</v>
      </c>
      <c r="O50" s="15">
        <f t="shared" si="0"/>
        <v>31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7</v>
      </c>
      <c r="E51" s="50">
        <v>1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20</v>
      </c>
      <c r="M51" s="50">
        <v>6</v>
      </c>
      <c r="N51" s="50">
        <v>0</v>
      </c>
      <c r="O51" s="15">
        <f t="shared" si="0"/>
        <v>35</v>
      </c>
      <c r="P51" s="15">
        <f t="shared" si="1"/>
        <v>41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3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16</v>
      </c>
      <c r="M52" s="50">
        <v>4</v>
      </c>
      <c r="N52" s="50">
        <v>0</v>
      </c>
      <c r="O52" s="15">
        <f t="shared" si="0"/>
        <v>22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2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9</v>
      </c>
      <c r="M53" s="50">
        <v>2</v>
      </c>
      <c r="N53" s="50">
        <v>0</v>
      </c>
      <c r="O53" s="15">
        <f t="shared" si="0"/>
        <v>17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13</v>
      </c>
      <c r="M54" s="50">
        <v>5</v>
      </c>
      <c r="N54" s="50">
        <v>0</v>
      </c>
      <c r="O54" s="15">
        <f t="shared" si="0"/>
        <v>14</v>
      </c>
      <c r="P54" s="15">
        <f t="shared" si="1"/>
        <v>19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2</v>
      </c>
      <c r="E55" s="50">
        <v>0</v>
      </c>
      <c r="F55" s="50">
        <v>3</v>
      </c>
      <c r="G55" s="50">
        <v>0</v>
      </c>
      <c r="H55" s="50">
        <v>0</v>
      </c>
      <c r="I55" s="50">
        <v>5</v>
      </c>
      <c r="J55" s="50">
        <v>0</v>
      </c>
      <c r="K55" s="50">
        <v>2</v>
      </c>
      <c r="L55" s="50">
        <v>18</v>
      </c>
      <c r="M55" s="50">
        <v>1</v>
      </c>
      <c r="N55" s="50">
        <v>0</v>
      </c>
      <c r="O55" s="15">
        <f t="shared" si="0"/>
        <v>34</v>
      </c>
      <c r="P55" s="15">
        <f t="shared" si="1"/>
        <v>35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3</v>
      </c>
      <c r="F56" s="50">
        <v>7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4</v>
      </c>
      <c r="M56" s="50">
        <v>4</v>
      </c>
      <c r="N56" s="50">
        <v>0</v>
      </c>
      <c r="O56" s="15">
        <f t="shared" si="0"/>
        <v>15</v>
      </c>
      <c r="P56" s="15">
        <f t="shared" si="1"/>
        <v>19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5</v>
      </c>
      <c r="E57" s="50">
        <v>8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9</v>
      </c>
      <c r="M57" s="50">
        <v>3</v>
      </c>
      <c r="N57" s="50">
        <v>0</v>
      </c>
      <c r="O57" s="15">
        <f t="shared" si="0"/>
        <v>26</v>
      </c>
      <c r="P57" s="15">
        <f t="shared" si="1"/>
        <v>29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77</v>
      </c>
      <c r="D58" s="16">
        <f t="shared" si="21"/>
        <v>106</v>
      </c>
      <c r="E58" s="16">
        <f t="shared" si="21"/>
        <v>77</v>
      </c>
      <c r="F58" s="16">
        <f t="shared" si="21"/>
        <v>213</v>
      </c>
      <c r="G58" s="16">
        <f t="shared" si="21"/>
        <v>1</v>
      </c>
      <c r="H58" s="16">
        <f t="shared" si="21"/>
        <v>0</v>
      </c>
      <c r="I58" s="16">
        <f t="shared" si="21"/>
        <v>38</v>
      </c>
      <c r="J58" s="16">
        <f t="shared" si="21"/>
        <v>13</v>
      </c>
      <c r="K58" s="16">
        <f t="shared" si="21"/>
        <v>76</v>
      </c>
      <c r="L58" s="16">
        <f t="shared" si="21"/>
        <v>450</v>
      </c>
      <c r="M58" s="16">
        <f t="shared" si="21"/>
        <v>248</v>
      </c>
      <c r="N58" s="16">
        <f t="shared" si="21"/>
        <v>2</v>
      </c>
      <c r="O58" s="16">
        <f t="shared" si="21"/>
        <v>1053</v>
      </c>
      <c r="P58" s="16">
        <f t="shared" si="21"/>
        <v>1301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5.9185242121445041E-2</v>
      </c>
      <c r="D59" s="43">
        <f t="shared" si="22"/>
        <v>8.1475787855495779E-2</v>
      </c>
      <c r="E59" s="43">
        <f t="shared" si="22"/>
        <v>5.9185242121445041E-2</v>
      </c>
      <c r="F59" s="43">
        <f t="shared" si="22"/>
        <v>0.16372021521906227</v>
      </c>
      <c r="G59" s="43">
        <f t="shared" si="22"/>
        <v>7.6863950807071484E-4</v>
      </c>
      <c r="H59" s="43">
        <f t="shared" si="22"/>
        <v>0</v>
      </c>
      <c r="I59" s="43">
        <f t="shared" si="22"/>
        <v>2.9208301306687164E-2</v>
      </c>
      <c r="J59" s="43">
        <f t="shared" si="22"/>
        <v>9.9923136049192927E-3</v>
      </c>
      <c r="K59" s="43">
        <f t="shared" si="22"/>
        <v>5.8416602613374329E-2</v>
      </c>
      <c r="L59" s="43">
        <f t="shared" si="22"/>
        <v>0.34588777863182169</v>
      </c>
      <c r="M59" s="43">
        <f t="shared" si="22"/>
        <v>0.19062259800153727</v>
      </c>
      <c r="N59" s="43">
        <f t="shared" si="22"/>
        <v>1.5372790161414297E-3</v>
      </c>
      <c r="R59" s="8"/>
      <c r="T59"/>
    </row>
    <row r="60" spans="2:20" ht="23.1" customHeight="1" x14ac:dyDescent="0.25">
      <c r="B60" s="42" t="s">
        <v>94</v>
      </c>
      <c r="C60" s="44">
        <f>C58/$O$58</f>
        <v>7.3124406457739793E-2</v>
      </c>
      <c r="D60" s="44">
        <f t="shared" ref="D60:N60" si="23">D58/$O$58</f>
        <v>0.10066476733143399</v>
      </c>
      <c r="E60" s="44">
        <f t="shared" si="23"/>
        <v>7.3124406457739793E-2</v>
      </c>
      <c r="F60" s="44">
        <f t="shared" si="23"/>
        <v>0.20227920227920229</v>
      </c>
      <c r="G60" s="44">
        <f t="shared" si="23"/>
        <v>9.4966761633428305E-4</v>
      </c>
      <c r="H60" s="44">
        <f t="shared" si="23"/>
        <v>0</v>
      </c>
      <c r="I60" s="44">
        <f t="shared" si="23"/>
        <v>3.6087369420702751E-2</v>
      </c>
      <c r="J60" s="44">
        <f t="shared" si="23"/>
        <v>1.2345679012345678E-2</v>
      </c>
      <c r="K60" s="44">
        <f t="shared" si="23"/>
        <v>7.2174738841405503E-2</v>
      </c>
      <c r="L60" s="44">
        <f t="shared" si="23"/>
        <v>0.42735042735042733</v>
      </c>
      <c r="M60" s="44"/>
      <c r="N60" s="44">
        <f t="shared" si="23"/>
        <v>1.8993352326685661E-3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N25" sqref="N2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'22.08 BUSITEMA-TORORO'!C3:G3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'28.08 BUSITEMA-TORORO'!D5</f>
        <v>28.08.19</v>
      </c>
      <c r="E5" s="3"/>
      <c r="F5" s="41" t="s">
        <v>1</v>
      </c>
      <c r="G5" s="63" t="str">
        <f>'28.08 BUSITEMA-TORORO'!G5:H5</f>
        <v>STATION 98</v>
      </c>
      <c r="H5" s="64"/>
      <c r="I5" s="14"/>
      <c r="J5" s="2" t="s">
        <v>5</v>
      </c>
      <c r="K5" s="63" t="str">
        <f>'28.08 BUSITEMA-TORORO'!K5:L5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'22.08 BUSITEMA-TORORO'!D6:E6</f>
        <v>BUSITEMA</v>
      </c>
      <c r="E6" s="64"/>
      <c r="F6" s="2" t="s">
        <v>2</v>
      </c>
      <c r="G6" s="63" t="str">
        <f>'22.08 BUSITEMA-TORORO'!G6:H6</f>
        <v>TORORO</v>
      </c>
      <c r="H6" s="64"/>
      <c r="J6" s="2" t="s">
        <v>21</v>
      </c>
      <c r="K6" s="63" t="str">
        <f>'28.08 BUSITEMA-TORORO'!K6:L6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2</v>
      </c>
      <c r="F10" s="50">
        <v>4</v>
      </c>
      <c r="G10" s="50">
        <v>1</v>
      </c>
      <c r="H10" s="50">
        <v>0</v>
      </c>
      <c r="I10" s="50">
        <v>0</v>
      </c>
      <c r="J10" s="50">
        <v>0</v>
      </c>
      <c r="K10" s="50">
        <v>2</v>
      </c>
      <c r="L10" s="50">
        <v>15</v>
      </c>
      <c r="M10" s="50">
        <v>4</v>
      </c>
      <c r="N10" s="50">
        <v>0</v>
      </c>
      <c r="O10" s="15">
        <f t="shared" ref="O10:O57" si="0">SUM(C10:L10,N10)</f>
        <v>27</v>
      </c>
      <c r="P10" s="15">
        <f t="shared" ref="P10:P57" si="1">SUM(C10:N10)</f>
        <v>31</v>
      </c>
      <c r="R10" s="1" t="s">
        <v>6</v>
      </c>
      <c r="S10" s="17">
        <f t="shared" ref="S10:AF10" si="2">SUM(C10:C13)</f>
        <v>3</v>
      </c>
      <c r="T10" s="17">
        <f t="shared" si="2"/>
        <v>4</v>
      </c>
      <c r="U10" s="17">
        <f t="shared" si="2"/>
        <v>5</v>
      </c>
      <c r="V10" s="17">
        <f t="shared" si="2"/>
        <v>9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3</v>
      </c>
      <c r="AB10" s="17">
        <f t="shared" si="2"/>
        <v>58</v>
      </c>
      <c r="AC10" s="17">
        <f t="shared" si="2"/>
        <v>8</v>
      </c>
      <c r="AD10" s="17">
        <f t="shared" si="2"/>
        <v>0</v>
      </c>
      <c r="AE10" s="31">
        <f t="shared" si="2"/>
        <v>66</v>
      </c>
      <c r="AF10" s="31">
        <f t="shared" si="2"/>
        <v>91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3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13</v>
      </c>
      <c r="M11" s="50">
        <v>0</v>
      </c>
      <c r="N11" s="50">
        <v>0</v>
      </c>
      <c r="O11" s="15">
        <v>0</v>
      </c>
      <c r="P11" s="15">
        <f t="shared" si="1"/>
        <v>17</v>
      </c>
      <c r="R11" s="1" t="s">
        <v>7</v>
      </c>
      <c r="S11" s="17">
        <f t="shared" ref="S11:AF11" si="3">SUM(C14:C17)</f>
        <v>3</v>
      </c>
      <c r="T11" s="17">
        <f t="shared" si="3"/>
        <v>3</v>
      </c>
      <c r="U11" s="17">
        <f t="shared" si="3"/>
        <v>2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2</v>
      </c>
      <c r="AA11" s="17">
        <f t="shared" si="3"/>
        <v>10</v>
      </c>
      <c r="AB11" s="17">
        <f t="shared" si="3"/>
        <v>29</v>
      </c>
      <c r="AC11" s="17">
        <f t="shared" si="3"/>
        <v>13</v>
      </c>
      <c r="AD11" s="17">
        <f t="shared" si="3"/>
        <v>0</v>
      </c>
      <c r="AE11" s="31">
        <f t="shared" si="3"/>
        <v>56</v>
      </c>
      <c r="AF11" s="31">
        <f t="shared" si="3"/>
        <v>69</v>
      </c>
    </row>
    <row r="12" spans="2:32" ht="23.1" customHeight="1" x14ac:dyDescent="0.25">
      <c r="B12" s="23" t="s">
        <v>39</v>
      </c>
      <c r="C12" s="50">
        <v>1</v>
      </c>
      <c r="D12" s="50">
        <v>2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22</v>
      </c>
      <c r="M12" s="50">
        <v>2</v>
      </c>
      <c r="N12" s="50">
        <v>0</v>
      </c>
      <c r="O12" s="15">
        <f t="shared" si="0"/>
        <v>26</v>
      </c>
      <c r="P12" s="15">
        <f t="shared" si="1"/>
        <v>28</v>
      </c>
      <c r="R12" s="1" t="s">
        <v>8</v>
      </c>
      <c r="S12" s="17">
        <f t="shared" ref="S12:AF12" si="4">SUM(C18:C21)</f>
        <v>4</v>
      </c>
      <c r="T12" s="17">
        <f t="shared" si="4"/>
        <v>6</v>
      </c>
      <c r="U12" s="17">
        <f t="shared" si="4"/>
        <v>1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29</v>
      </c>
      <c r="AC12" s="17">
        <f t="shared" si="4"/>
        <v>13</v>
      </c>
      <c r="AD12" s="17">
        <f t="shared" si="4"/>
        <v>0</v>
      </c>
      <c r="AE12" s="31">
        <f t="shared" si="4"/>
        <v>51</v>
      </c>
      <c r="AF12" s="31">
        <f t="shared" si="4"/>
        <v>64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8</v>
      </c>
      <c r="M13" s="50">
        <v>2</v>
      </c>
      <c r="N13" s="50">
        <v>0</v>
      </c>
      <c r="O13" s="15">
        <f t="shared" si="0"/>
        <v>13</v>
      </c>
      <c r="P13" s="15">
        <f t="shared" si="1"/>
        <v>15</v>
      </c>
      <c r="R13" s="1" t="s">
        <v>9</v>
      </c>
      <c r="S13" s="17">
        <f t="shared" ref="S13:AF13" si="5">SUM(C22:C25)</f>
        <v>23</v>
      </c>
      <c r="T13" s="17">
        <f t="shared" si="5"/>
        <v>4</v>
      </c>
      <c r="U13" s="17">
        <f t="shared" si="5"/>
        <v>3</v>
      </c>
      <c r="V13" s="17">
        <f t="shared" si="5"/>
        <v>15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5</v>
      </c>
      <c r="AB13" s="17">
        <f t="shared" si="5"/>
        <v>36</v>
      </c>
      <c r="AC13" s="17">
        <f t="shared" si="5"/>
        <v>13</v>
      </c>
      <c r="AD13" s="17">
        <f t="shared" si="5"/>
        <v>1</v>
      </c>
      <c r="AE13" s="31">
        <f t="shared" si="5"/>
        <v>92</v>
      </c>
      <c r="AF13" s="31">
        <f t="shared" si="5"/>
        <v>105</v>
      </c>
    </row>
    <row r="14" spans="2:32" ht="23.1" customHeight="1" x14ac:dyDescent="0.25">
      <c r="B14" s="23" t="s">
        <v>41</v>
      </c>
      <c r="C14" s="50">
        <v>1</v>
      </c>
      <c r="D14" s="50">
        <v>2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8</v>
      </c>
      <c r="M14" s="50">
        <v>2</v>
      </c>
      <c r="N14" s="50">
        <v>0</v>
      </c>
      <c r="O14" s="15">
        <f t="shared" si="0"/>
        <v>15</v>
      </c>
      <c r="P14" s="15">
        <f t="shared" si="1"/>
        <v>17</v>
      </c>
      <c r="R14" s="1" t="s">
        <v>10</v>
      </c>
      <c r="S14" s="17">
        <f t="shared" ref="S14:AF14" si="6">SUM(C26:C29)</f>
        <v>10</v>
      </c>
      <c r="T14" s="17">
        <f t="shared" si="6"/>
        <v>9</v>
      </c>
      <c r="U14" s="17">
        <f t="shared" si="6"/>
        <v>3</v>
      </c>
      <c r="V14" s="17">
        <f t="shared" si="6"/>
        <v>11</v>
      </c>
      <c r="W14" s="17">
        <f t="shared" si="6"/>
        <v>1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22</v>
      </c>
      <c r="AC14" s="17">
        <f t="shared" si="6"/>
        <v>12</v>
      </c>
      <c r="AD14" s="17">
        <f t="shared" si="6"/>
        <v>0</v>
      </c>
      <c r="AE14" s="31">
        <f t="shared" si="6"/>
        <v>59</v>
      </c>
      <c r="AF14" s="31">
        <f t="shared" si="6"/>
        <v>71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4</v>
      </c>
      <c r="M15" s="50">
        <v>5</v>
      </c>
      <c r="N15" s="50">
        <v>0</v>
      </c>
      <c r="O15" s="15">
        <f t="shared" si="0"/>
        <v>5</v>
      </c>
      <c r="P15" s="15">
        <f t="shared" si="1"/>
        <v>10</v>
      </c>
      <c r="R15" s="1" t="s">
        <v>11</v>
      </c>
      <c r="S15" s="17">
        <f t="shared" ref="S15:AF15" si="7">SUM(C30:C33)</f>
        <v>10</v>
      </c>
      <c r="T15" s="17">
        <f t="shared" si="7"/>
        <v>10</v>
      </c>
      <c r="U15" s="17">
        <f t="shared" si="7"/>
        <v>5</v>
      </c>
      <c r="V15" s="17">
        <f t="shared" si="7"/>
        <v>26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7</v>
      </c>
      <c r="AA15" s="17">
        <f t="shared" si="7"/>
        <v>3</v>
      </c>
      <c r="AB15" s="17">
        <f t="shared" si="7"/>
        <v>36</v>
      </c>
      <c r="AC15" s="17">
        <f t="shared" si="7"/>
        <v>14</v>
      </c>
      <c r="AD15" s="17">
        <f t="shared" si="7"/>
        <v>0</v>
      </c>
      <c r="AE15" s="31">
        <f t="shared" si="7"/>
        <v>101</v>
      </c>
      <c r="AF15" s="31">
        <f t="shared" si="7"/>
        <v>115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2</v>
      </c>
      <c r="J16" s="50">
        <v>0</v>
      </c>
      <c r="K16" s="50">
        <v>8</v>
      </c>
      <c r="L16" s="50">
        <v>5</v>
      </c>
      <c r="M16" s="50">
        <v>3</v>
      </c>
      <c r="N16" s="50">
        <v>0</v>
      </c>
      <c r="O16" s="15">
        <f t="shared" si="0"/>
        <v>19</v>
      </c>
      <c r="P16" s="15">
        <f t="shared" si="1"/>
        <v>22</v>
      </c>
      <c r="R16" s="1" t="s">
        <v>12</v>
      </c>
      <c r="S16" s="17">
        <f t="shared" ref="S16:AF16" si="8">SUM(C34:C37)</f>
        <v>11</v>
      </c>
      <c r="T16" s="17">
        <f t="shared" si="8"/>
        <v>6</v>
      </c>
      <c r="U16" s="17">
        <f t="shared" si="8"/>
        <v>7</v>
      </c>
      <c r="V16" s="17">
        <f t="shared" si="8"/>
        <v>17</v>
      </c>
      <c r="W16" s="17">
        <f t="shared" si="8"/>
        <v>4</v>
      </c>
      <c r="X16" s="17">
        <f t="shared" si="8"/>
        <v>0</v>
      </c>
      <c r="Y16" s="17">
        <f t="shared" si="8"/>
        <v>9</v>
      </c>
      <c r="Z16" s="17">
        <f t="shared" si="8"/>
        <v>2</v>
      </c>
      <c r="AA16" s="17">
        <f t="shared" si="8"/>
        <v>1</v>
      </c>
      <c r="AB16" s="17">
        <f t="shared" si="8"/>
        <v>63</v>
      </c>
      <c r="AC16" s="17">
        <f t="shared" si="8"/>
        <v>31</v>
      </c>
      <c r="AD16" s="17">
        <f t="shared" si="8"/>
        <v>0</v>
      </c>
      <c r="AE16" s="31">
        <f t="shared" si="8"/>
        <v>129</v>
      </c>
      <c r="AF16" s="31">
        <f t="shared" si="8"/>
        <v>151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2</v>
      </c>
      <c r="L17" s="50">
        <v>12</v>
      </c>
      <c r="M17" s="50">
        <v>3</v>
      </c>
      <c r="N17" s="50">
        <v>0</v>
      </c>
      <c r="O17" s="15">
        <f t="shared" si="0"/>
        <v>17</v>
      </c>
      <c r="P17" s="15">
        <f t="shared" si="1"/>
        <v>20</v>
      </c>
      <c r="R17" s="1" t="s">
        <v>13</v>
      </c>
      <c r="S17" s="17">
        <f t="shared" ref="S17:AF17" si="9">SUM(C38:C41)</f>
        <v>13</v>
      </c>
      <c r="T17" s="17">
        <f t="shared" si="9"/>
        <v>5</v>
      </c>
      <c r="U17" s="17">
        <f t="shared" si="9"/>
        <v>1</v>
      </c>
      <c r="V17" s="17">
        <f t="shared" si="9"/>
        <v>31</v>
      </c>
      <c r="W17" s="17">
        <f t="shared" si="9"/>
        <v>1</v>
      </c>
      <c r="X17" s="17">
        <f t="shared" si="9"/>
        <v>0</v>
      </c>
      <c r="Y17" s="17">
        <f t="shared" si="9"/>
        <v>3</v>
      </c>
      <c r="Z17" s="17">
        <f t="shared" si="9"/>
        <v>10</v>
      </c>
      <c r="AA17" s="17">
        <f t="shared" si="9"/>
        <v>1</v>
      </c>
      <c r="AB17" s="17">
        <f t="shared" si="9"/>
        <v>47</v>
      </c>
      <c r="AC17" s="17">
        <f t="shared" si="9"/>
        <v>25</v>
      </c>
      <c r="AD17" s="17">
        <f t="shared" si="9"/>
        <v>0</v>
      </c>
      <c r="AE17" s="31">
        <f t="shared" si="9"/>
        <v>112</v>
      </c>
      <c r="AF17" s="31">
        <f t="shared" si="9"/>
        <v>137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7</v>
      </c>
      <c r="M18" s="50">
        <v>8</v>
      </c>
      <c r="N18" s="50">
        <v>0</v>
      </c>
      <c r="O18" s="15">
        <f t="shared" si="0"/>
        <v>13</v>
      </c>
      <c r="P18" s="15">
        <f t="shared" si="1"/>
        <v>21</v>
      </c>
      <c r="R18" s="1" t="s">
        <v>14</v>
      </c>
      <c r="S18" s="17">
        <f t="shared" ref="S18:AF18" si="10">SUM(C42:C45)</f>
        <v>12</v>
      </c>
      <c r="T18" s="17">
        <f t="shared" si="10"/>
        <v>8</v>
      </c>
      <c r="U18" s="17">
        <f t="shared" si="10"/>
        <v>12</v>
      </c>
      <c r="V18" s="17">
        <f t="shared" si="10"/>
        <v>23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10</v>
      </c>
      <c r="AA18" s="17">
        <f t="shared" si="10"/>
        <v>6</v>
      </c>
      <c r="AB18" s="17">
        <f t="shared" si="10"/>
        <v>57</v>
      </c>
      <c r="AC18" s="17">
        <f t="shared" si="10"/>
        <v>20</v>
      </c>
      <c r="AD18" s="17">
        <f t="shared" si="10"/>
        <v>0</v>
      </c>
      <c r="AE18" s="31">
        <f t="shared" si="10"/>
        <v>135</v>
      </c>
      <c r="AF18" s="31">
        <f t="shared" si="10"/>
        <v>155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3</v>
      </c>
      <c r="M19" s="50">
        <v>0</v>
      </c>
      <c r="N19" s="50">
        <v>0</v>
      </c>
      <c r="O19" s="15">
        <f t="shared" si="0"/>
        <v>7</v>
      </c>
      <c r="P19" s="15">
        <f t="shared" si="1"/>
        <v>7</v>
      </c>
      <c r="R19" s="1" t="s">
        <v>15</v>
      </c>
      <c r="S19" s="17">
        <f t="shared" ref="S19:AF19" si="11">SUM(C46:C49)</f>
        <v>24</v>
      </c>
      <c r="T19" s="17">
        <f t="shared" si="11"/>
        <v>6</v>
      </c>
      <c r="U19" s="17">
        <f t="shared" si="11"/>
        <v>6</v>
      </c>
      <c r="V19" s="17">
        <f t="shared" si="11"/>
        <v>24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9</v>
      </c>
      <c r="AA19" s="17">
        <f t="shared" si="11"/>
        <v>0</v>
      </c>
      <c r="AB19" s="17">
        <f t="shared" si="11"/>
        <v>40</v>
      </c>
      <c r="AC19" s="17">
        <f t="shared" si="11"/>
        <v>15</v>
      </c>
      <c r="AD19" s="17">
        <f t="shared" si="11"/>
        <v>0</v>
      </c>
      <c r="AE19" s="31">
        <f t="shared" si="11"/>
        <v>123</v>
      </c>
      <c r="AF19" s="31">
        <f t="shared" si="11"/>
        <v>138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0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13</v>
      </c>
      <c r="M20" s="50">
        <v>1</v>
      </c>
      <c r="N20" s="50">
        <v>0</v>
      </c>
      <c r="O20" s="15">
        <f t="shared" si="0"/>
        <v>18</v>
      </c>
      <c r="P20" s="15">
        <f t="shared" si="1"/>
        <v>19</v>
      </c>
      <c r="R20" s="1" t="s">
        <v>16</v>
      </c>
      <c r="S20" s="17">
        <f t="shared" ref="S20:AF20" si="12">SUM(C50:C53)</f>
        <v>19</v>
      </c>
      <c r="T20" s="17">
        <f t="shared" si="12"/>
        <v>22</v>
      </c>
      <c r="U20" s="17">
        <f t="shared" si="12"/>
        <v>8</v>
      </c>
      <c r="V20" s="17">
        <f t="shared" si="12"/>
        <v>18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2</v>
      </c>
      <c r="AA20" s="17">
        <f t="shared" si="12"/>
        <v>4</v>
      </c>
      <c r="AB20" s="17">
        <f t="shared" si="12"/>
        <v>54</v>
      </c>
      <c r="AC20" s="17">
        <f t="shared" si="12"/>
        <v>41</v>
      </c>
      <c r="AD20" s="17">
        <f t="shared" si="12"/>
        <v>0</v>
      </c>
      <c r="AE20" s="31">
        <f t="shared" si="12"/>
        <v>132</v>
      </c>
      <c r="AF20" s="31">
        <f t="shared" si="12"/>
        <v>173</v>
      </c>
    </row>
    <row r="21" spans="2:32" ht="23.1" customHeight="1" x14ac:dyDescent="0.25">
      <c r="B21" s="23" t="s">
        <v>48</v>
      </c>
      <c r="C21" s="50">
        <v>0</v>
      </c>
      <c r="D21" s="50">
        <v>2</v>
      </c>
      <c r="E21" s="50">
        <v>1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6</v>
      </c>
      <c r="M21" s="50">
        <v>4</v>
      </c>
      <c r="N21" s="50">
        <v>0</v>
      </c>
      <c r="O21" s="15">
        <f t="shared" si="0"/>
        <v>13</v>
      </c>
      <c r="P21" s="15">
        <f t="shared" si="1"/>
        <v>17</v>
      </c>
      <c r="R21" s="36" t="s">
        <v>20</v>
      </c>
      <c r="S21" s="34">
        <f t="shared" ref="S21:AF21" si="13">SUM(C54:C57)</f>
        <v>18</v>
      </c>
      <c r="T21" s="17">
        <f t="shared" si="13"/>
        <v>11</v>
      </c>
      <c r="U21" s="17">
        <f t="shared" si="13"/>
        <v>8</v>
      </c>
      <c r="V21" s="17">
        <f t="shared" si="13"/>
        <v>23</v>
      </c>
      <c r="W21" s="17">
        <f t="shared" si="13"/>
        <v>1</v>
      </c>
      <c r="X21" s="17">
        <f t="shared" si="13"/>
        <v>0</v>
      </c>
      <c r="Y21" s="17">
        <f t="shared" si="13"/>
        <v>8</v>
      </c>
      <c r="Z21" s="17">
        <f t="shared" si="13"/>
        <v>7</v>
      </c>
      <c r="AA21" s="17">
        <f t="shared" si="13"/>
        <v>6</v>
      </c>
      <c r="AB21" s="17">
        <f t="shared" si="13"/>
        <v>52</v>
      </c>
      <c r="AC21" s="17">
        <f t="shared" si="13"/>
        <v>31</v>
      </c>
      <c r="AD21" s="17">
        <f t="shared" si="13"/>
        <v>0</v>
      </c>
      <c r="AE21" s="31">
        <f t="shared" si="13"/>
        <v>134</v>
      </c>
      <c r="AF21" s="31">
        <f t="shared" si="13"/>
        <v>165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5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7</v>
      </c>
      <c r="M22" s="50">
        <v>4</v>
      </c>
      <c r="N22" s="50">
        <v>0</v>
      </c>
      <c r="O22" s="15">
        <f t="shared" si="0"/>
        <v>21</v>
      </c>
      <c r="P22" s="15">
        <f t="shared" si="1"/>
        <v>25</v>
      </c>
      <c r="R22" s="38" t="s">
        <v>90</v>
      </c>
      <c r="S22" s="39">
        <f>MAX(S10:S12)</f>
        <v>4</v>
      </c>
      <c r="T22" s="39">
        <f t="shared" ref="T22:AF22" si="14">MAX(T10:T12)</f>
        <v>6</v>
      </c>
      <c r="U22" s="39">
        <f t="shared" si="14"/>
        <v>5</v>
      </c>
      <c r="V22" s="39">
        <f t="shared" si="14"/>
        <v>10</v>
      </c>
      <c r="W22" s="39">
        <f t="shared" si="14"/>
        <v>1</v>
      </c>
      <c r="X22" s="39">
        <f t="shared" si="14"/>
        <v>0</v>
      </c>
      <c r="Y22" s="39">
        <f t="shared" si="14"/>
        <v>3</v>
      </c>
      <c r="Z22" s="39">
        <f t="shared" si="14"/>
        <v>2</v>
      </c>
      <c r="AA22" s="39">
        <f t="shared" si="14"/>
        <v>10</v>
      </c>
      <c r="AB22" s="39">
        <f t="shared" si="14"/>
        <v>58</v>
      </c>
      <c r="AC22" s="39">
        <f t="shared" si="14"/>
        <v>13</v>
      </c>
      <c r="AD22" s="39">
        <f t="shared" si="14"/>
        <v>0</v>
      </c>
      <c r="AE22" s="40">
        <f t="shared" si="14"/>
        <v>66</v>
      </c>
      <c r="AF22" s="40">
        <f t="shared" si="14"/>
        <v>91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1</v>
      </c>
      <c r="F23" s="50">
        <v>5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13</v>
      </c>
      <c r="M23" s="50">
        <v>4</v>
      </c>
      <c r="N23" s="50">
        <v>0</v>
      </c>
      <c r="O23" s="15">
        <f t="shared" si="0"/>
        <v>24</v>
      </c>
      <c r="P23" s="15">
        <f t="shared" si="1"/>
        <v>28</v>
      </c>
      <c r="R23" s="38" t="s">
        <v>91</v>
      </c>
      <c r="S23" s="39">
        <f>MAX(S13:S18)</f>
        <v>23</v>
      </c>
      <c r="T23" s="39">
        <f t="shared" ref="T23:AF23" si="15">MAX(T13:T18)</f>
        <v>10</v>
      </c>
      <c r="U23" s="39">
        <f t="shared" si="15"/>
        <v>12</v>
      </c>
      <c r="V23" s="39">
        <f t="shared" si="15"/>
        <v>31</v>
      </c>
      <c r="W23" s="39">
        <f t="shared" si="15"/>
        <v>4</v>
      </c>
      <c r="X23" s="39">
        <f t="shared" si="15"/>
        <v>0</v>
      </c>
      <c r="Y23" s="39">
        <f t="shared" si="15"/>
        <v>9</v>
      </c>
      <c r="Z23" s="39">
        <f t="shared" si="15"/>
        <v>10</v>
      </c>
      <c r="AA23" s="39">
        <f t="shared" si="15"/>
        <v>6</v>
      </c>
      <c r="AB23" s="39">
        <f t="shared" si="15"/>
        <v>63</v>
      </c>
      <c r="AC23" s="39">
        <f t="shared" si="15"/>
        <v>31</v>
      </c>
      <c r="AD23" s="39">
        <f t="shared" si="15"/>
        <v>1</v>
      </c>
      <c r="AE23" s="40">
        <f t="shared" si="15"/>
        <v>135</v>
      </c>
      <c r="AF23" s="40">
        <f t="shared" si="15"/>
        <v>155</v>
      </c>
    </row>
    <row r="24" spans="2:32" ht="23.1" customHeight="1" x14ac:dyDescent="0.25">
      <c r="B24" s="23" t="s">
        <v>51</v>
      </c>
      <c r="C24" s="50">
        <v>8</v>
      </c>
      <c r="D24" s="50">
        <v>0</v>
      </c>
      <c r="E24" s="50">
        <v>0</v>
      </c>
      <c r="F24" s="50">
        <v>3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9</v>
      </c>
      <c r="M24" s="50">
        <v>2</v>
      </c>
      <c r="N24" s="50">
        <v>0</v>
      </c>
      <c r="O24" s="15">
        <f t="shared" si="0"/>
        <v>23</v>
      </c>
      <c r="P24" s="15">
        <f t="shared" si="1"/>
        <v>25</v>
      </c>
      <c r="R24" s="38" t="s">
        <v>92</v>
      </c>
      <c r="S24" s="39">
        <f>MAX(S19:S21)</f>
        <v>24</v>
      </c>
      <c r="T24" s="39">
        <f t="shared" ref="T24:AF24" si="16">MAX(T19:T21)</f>
        <v>22</v>
      </c>
      <c r="U24" s="39">
        <f t="shared" si="16"/>
        <v>8</v>
      </c>
      <c r="V24" s="39">
        <f t="shared" si="16"/>
        <v>24</v>
      </c>
      <c r="W24" s="39">
        <f t="shared" si="16"/>
        <v>1</v>
      </c>
      <c r="X24" s="39">
        <f t="shared" si="16"/>
        <v>0</v>
      </c>
      <c r="Y24" s="39">
        <f t="shared" si="16"/>
        <v>14</v>
      </c>
      <c r="Z24" s="39">
        <f t="shared" si="16"/>
        <v>9</v>
      </c>
      <c r="AA24" s="39">
        <f t="shared" si="16"/>
        <v>6</v>
      </c>
      <c r="AB24" s="39">
        <f t="shared" si="16"/>
        <v>54</v>
      </c>
      <c r="AC24" s="39">
        <f t="shared" si="16"/>
        <v>41</v>
      </c>
      <c r="AD24" s="39">
        <f t="shared" si="16"/>
        <v>0</v>
      </c>
      <c r="AE24" s="40">
        <f t="shared" si="16"/>
        <v>134</v>
      </c>
      <c r="AF24" s="40">
        <f t="shared" si="16"/>
        <v>173</v>
      </c>
    </row>
    <row r="25" spans="2:32" ht="23.1" customHeight="1" x14ac:dyDescent="0.25">
      <c r="B25" s="23" t="s">
        <v>52</v>
      </c>
      <c r="C25" s="50">
        <v>7</v>
      </c>
      <c r="D25" s="50">
        <v>3</v>
      </c>
      <c r="E25" s="50">
        <v>1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3</v>
      </c>
      <c r="L25" s="50">
        <v>7</v>
      </c>
      <c r="M25" s="50">
        <v>3</v>
      </c>
      <c r="N25" s="50">
        <v>1</v>
      </c>
      <c r="O25" s="15">
        <f t="shared" si="0"/>
        <v>24</v>
      </c>
      <c r="P25" s="15">
        <f t="shared" si="1"/>
        <v>27</v>
      </c>
      <c r="R25" s="37" t="s">
        <v>85</v>
      </c>
      <c r="S25" s="35">
        <f t="shared" ref="S25:AF25" si="17">SUM(S10:S12)</f>
        <v>10</v>
      </c>
      <c r="T25" s="16">
        <f t="shared" si="17"/>
        <v>13</v>
      </c>
      <c r="U25" s="16">
        <f t="shared" si="17"/>
        <v>8</v>
      </c>
      <c r="V25" s="16">
        <f t="shared" si="17"/>
        <v>23</v>
      </c>
      <c r="W25" s="16">
        <f t="shared" si="17"/>
        <v>1</v>
      </c>
      <c r="X25" s="16">
        <f t="shared" si="17"/>
        <v>0</v>
      </c>
      <c r="Y25" s="16">
        <f t="shared" si="17"/>
        <v>4</v>
      </c>
      <c r="Z25" s="16">
        <f t="shared" si="17"/>
        <v>2</v>
      </c>
      <c r="AA25" s="16">
        <f t="shared" si="17"/>
        <v>13</v>
      </c>
      <c r="AB25" s="16">
        <f t="shared" si="17"/>
        <v>116</v>
      </c>
      <c r="AC25" s="16">
        <f t="shared" si="17"/>
        <v>34</v>
      </c>
      <c r="AD25" s="16">
        <f t="shared" si="17"/>
        <v>0</v>
      </c>
      <c r="AE25" s="32">
        <f t="shared" si="17"/>
        <v>173</v>
      </c>
      <c r="AF25" s="32">
        <f t="shared" si="17"/>
        <v>224</v>
      </c>
    </row>
    <row r="26" spans="2:32" ht="23.1" customHeight="1" x14ac:dyDescent="0.25">
      <c r="B26" s="23" t="s">
        <v>53</v>
      </c>
      <c r="C26" s="50">
        <v>5</v>
      </c>
      <c r="D26" s="50">
        <v>2</v>
      </c>
      <c r="E26" s="50">
        <v>1</v>
      </c>
      <c r="F26" s="50">
        <v>5</v>
      </c>
      <c r="G26" s="50">
        <v>1</v>
      </c>
      <c r="H26" s="50">
        <v>0</v>
      </c>
      <c r="I26" s="50">
        <v>2</v>
      </c>
      <c r="J26" s="50">
        <v>0</v>
      </c>
      <c r="K26" s="50">
        <v>0</v>
      </c>
      <c r="L26" s="50">
        <v>7</v>
      </c>
      <c r="M26" s="50">
        <v>5</v>
      </c>
      <c r="N26" s="50">
        <v>0</v>
      </c>
      <c r="O26" s="15">
        <f t="shared" si="0"/>
        <v>23</v>
      </c>
      <c r="P26" s="15">
        <f t="shared" si="1"/>
        <v>28</v>
      </c>
      <c r="R26" s="28" t="s">
        <v>86</v>
      </c>
      <c r="S26" s="16">
        <f t="shared" ref="S26:AF26" si="18">SUM(S13:S18)</f>
        <v>79</v>
      </c>
      <c r="T26" s="16">
        <f t="shared" si="18"/>
        <v>42</v>
      </c>
      <c r="U26" s="16">
        <f t="shared" si="18"/>
        <v>31</v>
      </c>
      <c r="V26" s="16">
        <f t="shared" si="18"/>
        <v>123</v>
      </c>
      <c r="W26" s="16">
        <f t="shared" si="18"/>
        <v>6</v>
      </c>
      <c r="X26" s="16">
        <f t="shared" si="18"/>
        <v>0</v>
      </c>
      <c r="Y26" s="16">
        <f t="shared" si="18"/>
        <v>29</v>
      </c>
      <c r="Z26" s="16">
        <f t="shared" si="18"/>
        <v>31</v>
      </c>
      <c r="AA26" s="16">
        <f t="shared" si="18"/>
        <v>16</v>
      </c>
      <c r="AB26" s="16">
        <f t="shared" si="18"/>
        <v>261</v>
      </c>
      <c r="AC26" s="16">
        <f t="shared" si="18"/>
        <v>115</v>
      </c>
      <c r="AD26" s="16">
        <f t="shared" si="18"/>
        <v>1</v>
      </c>
      <c r="AE26" s="32">
        <f t="shared" si="18"/>
        <v>628</v>
      </c>
      <c r="AF26" s="32">
        <f t="shared" si="18"/>
        <v>734</v>
      </c>
    </row>
    <row r="27" spans="2:32" ht="23.1" customHeight="1" x14ac:dyDescent="0.25">
      <c r="B27" s="23" t="s">
        <v>54</v>
      </c>
      <c r="C27" s="50">
        <v>3</v>
      </c>
      <c r="D27" s="50">
        <v>4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3</v>
      </c>
      <c r="M27" s="50">
        <v>2</v>
      </c>
      <c r="N27" s="50">
        <v>0</v>
      </c>
      <c r="O27" s="15">
        <f t="shared" si="0"/>
        <v>12</v>
      </c>
      <c r="P27" s="15">
        <f t="shared" si="1"/>
        <v>14</v>
      </c>
      <c r="R27" s="29" t="s">
        <v>87</v>
      </c>
      <c r="S27" s="16">
        <f t="shared" ref="S27:AF27" si="19">SUM(S19:S21)</f>
        <v>61</v>
      </c>
      <c r="T27" s="16">
        <f t="shared" si="19"/>
        <v>39</v>
      </c>
      <c r="U27" s="16">
        <f t="shared" si="19"/>
        <v>22</v>
      </c>
      <c r="V27" s="16">
        <f t="shared" si="19"/>
        <v>65</v>
      </c>
      <c r="W27" s="16">
        <f t="shared" si="19"/>
        <v>1</v>
      </c>
      <c r="X27" s="16">
        <f t="shared" si="19"/>
        <v>0</v>
      </c>
      <c r="Y27" s="16">
        <f t="shared" si="19"/>
        <v>27</v>
      </c>
      <c r="Z27" s="16">
        <f t="shared" si="19"/>
        <v>18</v>
      </c>
      <c r="AA27" s="16">
        <f t="shared" si="19"/>
        <v>10</v>
      </c>
      <c r="AB27" s="16">
        <f t="shared" si="19"/>
        <v>146</v>
      </c>
      <c r="AC27" s="16">
        <f t="shared" si="19"/>
        <v>87</v>
      </c>
      <c r="AD27" s="16">
        <f t="shared" si="19"/>
        <v>0</v>
      </c>
      <c r="AE27" s="32">
        <f t="shared" si="19"/>
        <v>389</v>
      </c>
      <c r="AF27" s="32">
        <f t="shared" si="19"/>
        <v>476</v>
      </c>
    </row>
    <row r="28" spans="2:32" ht="23.1" customHeight="1" x14ac:dyDescent="0.25">
      <c r="B28" s="23" t="s">
        <v>55</v>
      </c>
      <c r="C28" s="50">
        <v>1</v>
      </c>
      <c r="D28" s="50">
        <v>2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6</v>
      </c>
      <c r="M28" s="50">
        <v>2</v>
      </c>
      <c r="N28" s="50">
        <v>0</v>
      </c>
      <c r="O28" s="15">
        <f t="shared" si="0"/>
        <v>11</v>
      </c>
      <c r="P28" s="15">
        <f t="shared" si="1"/>
        <v>13</v>
      </c>
      <c r="R28" s="5" t="s">
        <v>17</v>
      </c>
      <c r="S28" s="16">
        <f t="shared" ref="S28:AF28" si="20">SUM(S10:S21)</f>
        <v>150</v>
      </c>
      <c r="T28" s="16">
        <f t="shared" si="20"/>
        <v>94</v>
      </c>
      <c r="U28" s="16">
        <f t="shared" si="20"/>
        <v>61</v>
      </c>
      <c r="V28" s="16">
        <f t="shared" si="20"/>
        <v>211</v>
      </c>
      <c r="W28" s="16">
        <f t="shared" si="20"/>
        <v>8</v>
      </c>
      <c r="X28" s="16">
        <f t="shared" si="20"/>
        <v>0</v>
      </c>
      <c r="Y28" s="16">
        <f t="shared" si="20"/>
        <v>60</v>
      </c>
      <c r="Z28" s="16">
        <f t="shared" si="20"/>
        <v>51</v>
      </c>
      <c r="AA28" s="16">
        <f t="shared" si="20"/>
        <v>39</v>
      </c>
      <c r="AB28" s="16">
        <f t="shared" si="20"/>
        <v>523</v>
      </c>
      <c r="AC28" s="16">
        <f t="shared" si="20"/>
        <v>236</v>
      </c>
      <c r="AD28" s="16">
        <f t="shared" si="20"/>
        <v>1</v>
      </c>
      <c r="AE28" s="32">
        <f t="shared" si="20"/>
        <v>1190</v>
      </c>
      <c r="AF28" s="32">
        <f t="shared" si="20"/>
        <v>1434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2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6</v>
      </c>
      <c r="M29" s="50">
        <v>3</v>
      </c>
      <c r="N29" s="50">
        <v>0</v>
      </c>
      <c r="O29" s="15">
        <f t="shared" si="0"/>
        <v>13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2</v>
      </c>
      <c r="E30" s="50">
        <v>1</v>
      </c>
      <c r="F30" s="50">
        <v>4</v>
      </c>
      <c r="G30" s="50">
        <v>0</v>
      </c>
      <c r="H30" s="50">
        <v>0</v>
      </c>
      <c r="I30" s="50">
        <v>1</v>
      </c>
      <c r="J30" s="50">
        <v>2</v>
      </c>
      <c r="K30" s="50">
        <v>1</v>
      </c>
      <c r="L30" s="50">
        <v>4</v>
      </c>
      <c r="M30" s="50">
        <v>3</v>
      </c>
      <c r="N30" s="50">
        <v>0</v>
      </c>
      <c r="O30" s="15">
        <f t="shared" si="0"/>
        <v>18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1</v>
      </c>
      <c r="D31" s="50">
        <v>3</v>
      </c>
      <c r="E31" s="50">
        <v>1</v>
      </c>
      <c r="F31" s="50">
        <v>7</v>
      </c>
      <c r="G31" s="50">
        <v>0</v>
      </c>
      <c r="H31" s="50">
        <v>0</v>
      </c>
      <c r="I31" s="50">
        <v>3</v>
      </c>
      <c r="J31" s="50">
        <v>4</v>
      </c>
      <c r="K31" s="50">
        <v>2</v>
      </c>
      <c r="L31" s="50">
        <v>9</v>
      </c>
      <c r="M31" s="50">
        <v>5</v>
      </c>
      <c r="N31" s="50">
        <v>0</v>
      </c>
      <c r="O31" s="15">
        <f t="shared" si="0"/>
        <v>30</v>
      </c>
      <c r="P31" s="15">
        <f t="shared" si="1"/>
        <v>35</v>
      </c>
    </row>
    <row r="32" spans="2:32" ht="23.1" customHeight="1" x14ac:dyDescent="0.25">
      <c r="B32" s="24" t="s">
        <v>59</v>
      </c>
      <c r="C32" s="50">
        <v>5</v>
      </c>
      <c r="D32" s="50">
        <v>4</v>
      </c>
      <c r="E32" s="50">
        <v>2</v>
      </c>
      <c r="F32" s="50">
        <v>6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13</v>
      </c>
      <c r="M32" s="50">
        <v>4</v>
      </c>
      <c r="N32" s="50">
        <v>0</v>
      </c>
      <c r="O32" s="15">
        <f t="shared" si="0"/>
        <v>31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1</v>
      </c>
      <c r="F33" s="50">
        <v>9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10</v>
      </c>
      <c r="M33" s="50">
        <v>2</v>
      </c>
      <c r="N33" s="50">
        <v>0</v>
      </c>
      <c r="O33" s="15">
        <f t="shared" si="0"/>
        <v>22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10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10</v>
      </c>
      <c r="M34" s="50">
        <v>8</v>
      </c>
      <c r="N34" s="50">
        <v>0</v>
      </c>
      <c r="O34" s="15">
        <f t="shared" si="0"/>
        <v>23</v>
      </c>
      <c r="P34" s="15">
        <f t="shared" si="1"/>
        <v>31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0</v>
      </c>
      <c r="F35" s="50">
        <v>0</v>
      </c>
      <c r="G35" s="50">
        <v>4</v>
      </c>
      <c r="H35" s="50">
        <v>0</v>
      </c>
      <c r="I35" s="50">
        <v>0</v>
      </c>
      <c r="J35" s="50">
        <v>0</v>
      </c>
      <c r="K35" s="50">
        <v>0</v>
      </c>
      <c r="L35" s="50">
        <v>15</v>
      </c>
      <c r="M35" s="50">
        <v>9</v>
      </c>
      <c r="N35" s="50">
        <v>0</v>
      </c>
      <c r="O35" s="15">
        <v>32</v>
      </c>
      <c r="P35" s="15">
        <f t="shared" si="1"/>
        <v>32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2</v>
      </c>
      <c r="F36" s="50">
        <v>3</v>
      </c>
      <c r="G36" s="50">
        <v>0</v>
      </c>
      <c r="H36" s="50">
        <v>0</v>
      </c>
      <c r="I36" s="50">
        <v>2</v>
      </c>
      <c r="J36" s="50">
        <v>0</v>
      </c>
      <c r="K36" s="50">
        <v>1</v>
      </c>
      <c r="L36" s="50">
        <v>18</v>
      </c>
      <c r="M36" s="50">
        <v>10</v>
      </c>
      <c r="N36" s="50">
        <v>0</v>
      </c>
      <c r="O36" s="15">
        <f t="shared" si="0"/>
        <v>30</v>
      </c>
      <c r="P36" s="15">
        <f t="shared" si="1"/>
        <v>40</v>
      </c>
    </row>
    <row r="37" spans="2:20" ht="23.1" customHeight="1" x14ac:dyDescent="0.25">
      <c r="B37" s="23" t="s">
        <v>64</v>
      </c>
      <c r="C37" s="50">
        <v>4</v>
      </c>
      <c r="D37" s="50">
        <v>5</v>
      </c>
      <c r="E37" s="50">
        <v>5</v>
      </c>
      <c r="F37" s="50">
        <v>4</v>
      </c>
      <c r="G37" s="50">
        <v>0</v>
      </c>
      <c r="H37" s="50">
        <v>0</v>
      </c>
      <c r="I37" s="50">
        <v>4</v>
      </c>
      <c r="J37" s="50">
        <v>2</v>
      </c>
      <c r="K37" s="50">
        <v>0</v>
      </c>
      <c r="L37" s="50">
        <v>20</v>
      </c>
      <c r="M37" s="50">
        <v>4</v>
      </c>
      <c r="N37" s="50">
        <v>0</v>
      </c>
      <c r="O37" s="15">
        <f t="shared" si="0"/>
        <v>44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3</v>
      </c>
      <c r="D38" s="50">
        <v>2</v>
      </c>
      <c r="E38" s="50">
        <v>1</v>
      </c>
      <c r="F38" s="50">
        <v>4</v>
      </c>
      <c r="G38" s="50">
        <v>1</v>
      </c>
      <c r="H38" s="50">
        <v>0</v>
      </c>
      <c r="I38" s="50">
        <v>3</v>
      </c>
      <c r="J38" s="50">
        <v>1</v>
      </c>
      <c r="K38" s="50">
        <v>1</v>
      </c>
      <c r="L38" s="50">
        <v>18</v>
      </c>
      <c r="M38" s="50">
        <v>12</v>
      </c>
      <c r="N38" s="50">
        <v>0</v>
      </c>
      <c r="O38" s="15">
        <f t="shared" si="0"/>
        <v>34</v>
      </c>
      <c r="P38" s="15">
        <f t="shared" si="1"/>
        <v>46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15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8</v>
      </c>
      <c r="M39" s="50">
        <v>6</v>
      </c>
      <c r="N39" s="50">
        <v>0</v>
      </c>
      <c r="O39" s="15">
        <f t="shared" si="0"/>
        <v>26</v>
      </c>
      <c r="P39" s="15">
        <f t="shared" si="1"/>
        <v>32</v>
      </c>
    </row>
    <row r="40" spans="2:20" ht="23.1" customHeight="1" x14ac:dyDescent="0.25">
      <c r="B40" s="24" t="s">
        <v>67</v>
      </c>
      <c r="C40" s="50">
        <v>0</v>
      </c>
      <c r="D40" s="50">
        <v>2</v>
      </c>
      <c r="E40" s="50">
        <v>0</v>
      </c>
      <c r="F40" s="50">
        <v>7</v>
      </c>
      <c r="G40" s="50">
        <v>0</v>
      </c>
      <c r="H40" s="50">
        <v>0</v>
      </c>
      <c r="I40" s="50">
        <v>0</v>
      </c>
      <c r="J40" s="50">
        <v>3</v>
      </c>
      <c r="K40" s="50">
        <v>0</v>
      </c>
      <c r="L40" s="50">
        <v>10</v>
      </c>
      <c r="M40" s="50">
        <v>4</v>
      </c>
      <c r="N40" s="50">
        <v>0</v>
      </c>
      <c r="O40" s="15">
        <f t="shared" si="0"/>
        <v>22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8</v>
      </c>
      <c r="D41" s="50">
        <v>1</v>
      </c>
      <c r="E41" s="50">
        <v>0</v>
      </c>
      <c r="F41" s="50">
        <v>5</v>
      </c>
      <c r="G41" s="50">
        <v>0</v>
      </c>
      <c r="H41" s="50">
        <v>0</v>
      </c>
      <c r="I41" s="50">
        <v>0</v>
      </c>
      <c r="J41" s="50">
        <v>5</v>
      </c>
      <c r="K41" s="50">
        <v>0</v>
      </c>
      <c r="L41" s="50">
        <v>11</v>
      </c>
      <c r="M41" s="50">
        <v>3</v>
      </c>
      <c r="N41" s="50">
        <v>0</v>
      </c>
      <c r="O41" s="15">
        <f t="shared" si="0"/>
        <v>30</v>
      </c>
      <c r="P41" s="15">
        <f t="shared" si="1"/>
        <v>33</v>
      </c>
    </row>
    <row r="42" spans="2:20" ht="23.1" customHeight="1" x14ac:dyDescent="0.25">
      <c r="B42" s="24" t="s">
        <v>69</v>
      </c>
      <c r="C42" s="50">
        <v>9</v>
      </c>
      <c r="D42" s="50">
        <v>1</v>
      </c>
      <c r="E42" s="50">
        <v>4</v>
      </c>
      <c r="F42" s="50">
        <v>3</v>
      </c>
      <c r="G42" s="50">
        <v>0</v>
      </c>
      <c r="H42" s="50">
        <v>0</v>
      </c>
      <c r="I42" s="50">
        <v>0</v>
      </c>
      <c r="J42" s="50">
        <v>2</v>
      </c>
      <c r="K42" s="50">
        <v>1</v>
      </c>
      <c r="L42" s="50">
        <v>10</v>
      </c>
      <c r="M42" s="50">
        <v>9</v>
      </c>
      <c r="N42" s="50">
        <v>0</v>
      </c>
      <c r="O42" s="15">
        <f t="shared" si="0"/>
        <v>30</v>
      </c>
      <c r="P42" s="15">
        <f t="shared" si="1"/>
        <v>39</v>
      </c>
    </row>
    <row r="43" spans="2:20" ht="23.1" customHeight="1" x14ac:dyDescent="0.25">
      <c r="B43" s="23" t="s">
        <v>70</v>
      </c>
      <c r="C43" s="50">
        <v>0</v>
      </c>
      <c r="D43" s="50">
        <v>4</v>
      </c>
      <c r="E43" s="50">
        <v>3</v>
      </c>
      <c r="F43" s="50">
        <v>9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15</v>
      </c>
      <c r="M43" s="50">
        <v>4</v>
      </c>
      <c r="N43" s="50">
        <v>0</v>
      </c>
      <c r="O43" s="15">
        <f t="shared" si="0"/>
        <v>33</v>
      </c>
      <c r="P43" s="15">
        <f t="shared" si="1"/>
        <v>37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4</v>
      </c>
      <c r="F44" s="50">
        <v>4</v>
      </c>
      <c r="G44" s="50">
        <v>0</v>
      </c>
      <c r="H44" s="50">
        <v>0</v>
      </c>
      <c r="I44" s="50">
        <v>4</v>
      </c>
      <c r="J44" s="50">
        <v>5</v>
      </c>
      <c r="K44" s="50">
        <v>3</v>
      </c>
      <c r="L44" s="50">
        <v>19</v>
      </c>
      <c r="M44" s="50">
        <v>5</v>
      </c>
      <c r="N44" s="50">
        <v>0</v>
      </c>
      <c r="O44" s="15">
        <f t="shared" si="0"/>
        <v>40</v>
      </c>
      <c r="P44" s="15">
        <f t="shared" si="1"/>
        <v>45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1</v>
      </c>
      <c r="F45" s="50">
        <v>7</v>
      </c>
      <c r="G45" s="50">
        <v>0</v>
      </c>
      <c r="H45" s="50">
        <v>0</v>
      </c>
      <c r="I45" s="50">
        <v>1</v>
      </c>
      <c r="J45" s="50">
        <v>3</v>
      </c>
      <c r="K45" s="50">
        <v>2</v>
      </c>
      <c r="L45" s="50">
        <v>13</v>
      </c>
      <c r="M45" s="50">
        <v>2</v>
      </c>
      <c r="N45" s="50">
        <v>0</v>
      </c>
      <c r="O45" s="15">
        <f t="shared" si="0"/>
        <v>32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10</v>
      </c>
      <c r="D46" s="50">
        <v>1</v>
      </c>
      <c r="E46" s="50">
        <v>2</v>
      </c>
      <c r="F46" s="50">
        <v>6</v>
      </c>
      <c r="G46" s="50">
        <v>0</v>
      </c>
      <c r="H46" s="50">
        <v>0</v>
      </c>
      <c r="I46" s="50">
        <v>2</v>
      </c>
      <c r="J46" s="50">
        <v>4</v>
      </c>
      <c r="K46" s="50">
        <v>0</v>
      </c>
      <c r="L46" s="50">
        <v>17</v>
      </c>
      <c r="M46" s="50">
        <v>4</v>
      </c>
      <c r="N46" s="50">
        <v>0</v>
      </c>
      <c r="O46" s="15">
        <f t="shared" si="0"/>
        <v>42</v>
      </c>
      <c r="P46" s="15">
        <f t="shared" si="1"/>
        <v>46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1</v>
      </c>
      <c r="E47" s="50">
        <v>0</v>
      </c>
      <c r="F47" s="50">
        <v>10</v>
      </c>
      <c r="G47" s="50">
        <v>0</v>
      </c>
      <c r="H47" s="50">
        <v>0</v>
      </c>
      <c r="I47" s="50">
        <v>5</v>
      </c>
      <c r="J47" s="50">
        <v>1</v>
      </c>
      <c r="K47" s="50">
        <v>0</v>
      </c>
      <c r="L47" s="50">
        <v>10</v>
      </c>
      <c r="M47" s="50">
        <v>4</v>
      </c>
      <c r="N47" s="50">
        <v>0</v>
      </c>
      <c r="O47" s="15">
        <f t="shared" si="0"/>
        <v>32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4</v>
      </c>
      <c r="E48" s="50">
        <v>1</v>
      </c>
      <c r="F48" s="50">
        <v>5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8</v>
      </c>
      <c r="M48" s="50">
        <v>1</v>
      </c>
      <c r="N48" s="50">
        <v>0</v>
      </c>
      <c r="O48" s="15">
        <f t="shared" si="0"/>
        <v>28</v>
      </c>
      <c r="P48" s="15">
        <f t="shared" si="1"/>
        <v>29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3</v>
      </c>
      <c r="F49" s="50">
        <v>3</v>
      </c>
      <c r="G49" s="50">
        <v>0</v>
      </c>
      <c r="H49" s="50">
        <v>0</v>
      </c>
      <c r="I49" s="50">
        <v>3</v>
      </c>
      <c r="J49" s="50">
        <v>3</v>
      </c>
      <c r="K49" s="50">
        <v>0</v>
      </c>
      <c r="L49" s="50">
        <v>5</v>
      </c>
      <c r="M49" s="50">
        <v>6</v>
      </c>
      <c r="N49" s="50">
        <v>0</v>
      </c>
      <c r="O49" s="15">
        <f t="shared" si="0"/>
        <v>21</v>
      </c>
      <c r="P49" s="15">
        <f t="shared" si="1"/>
        <v>27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7</v>
      </c>
      <c r="E50" s="50">
        <v>3</v>
      </c>
      <c r="F50" s="50">
        <v>12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9</v>
      </c>
      <c r="M50" s="50">
        <v>3</v>
      </c>
      <c r="N50" s="50">
        <v>0</v>
      </c>
      <c r="O50" s="15">
        <f t="shared" si="0"/>
        <v>42</v>
      </c>
      <c r="P50" s="15">
        <f t="shared" si="1"/>
        <v>45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3</v>
      </c>
      <c r="E51" s="50">
        <v>2</v>
      </c>
      <c r="F51" s="50">
        <v>4</v>
      </c>
      <c r="G51" s="50">
        <v>0</v>
      </c>
      <c r="H51" s="50">
        <v>0</v>
      </c>
      <c r="I51" s="50">
        <v>3</v>
      </c>
      <c r="J51" s="50">
        <v>1</v>
      </c>
      <c r="K51" s="50">
        <v>2</v>
      </c>
      <c r="L51" s="50">
        <v>21</v>
      </c>
      <c r="M51" s="50">
        <v>15</v>
      </c>
      <c r="N51" s="50">
        <v>0</v>
      </c>
      <c r="O51" s="15">
        <f t="shared" si="0"/>
        <v>37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7</v>
      </c>
      <c r="E52" s="50">
        <v>3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9</v>
      </c>
      <c r="M52" s="50">
        <v>10</v>
      </c>
      <c r="N52" s="50">
        <v>0</v>
      </c>
      <c r="O52" s="15">
        <f t="shared" si="0"/>
        <v>24</v>
      </c>
      <c r="P52" s="15">
        <f t="shared" si="1"/>
        <v>34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5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1</v>
      </c>
      <c r="K53" s="50">
        <v>1</v>
      </c>
      <c r="L53" s="50">
        <v>15</v>
      </c>
      <c r="M53" s="50">
        <v>13</v>
      </c>
      <c r="N53" s="50">
        <v>0</v>
      </c>
      <c r="O53" s="15">
        <f t="shared" si="0"/>
        <v>29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2</v>
      </c>
      <c r="E54" s="50">
        <v>0</v>
      </c>
      <c r="F54" s="50">
        <v>1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8</v>
      </c>
      <c r="M54" s="50">
        <v>7</v>
      </c>
      <c r="N54" s="50">
        <v>0</v>
      </c>
      <c r="O54" s="15">
        <f t="shared" si="0"/>
        <v>23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3</v>
      </c>
      <c r="E55" s="50">
        <v>2</v>
      </c>
      <c r="F55" s="50">
        <v>7</v>
      </c>
      <c r="G55" s="50">
        <v>1</v>
      </c>
      <c r="H55" s="50">
        <v>0</v>
      </c>
      <c r="I55" s="50">
        <v>2</v>
      </c>
      <c r="J55" s="50">
        <v>3</v>
      </c>
      <c r="K55" s="50">
        <v>4</v>
      </c>
      <c r="L55" s="50">
        <v>17</v>
      </c>
      <c r="M55" s="50">
        <v>5</v>
      </c>
      <c r="N55" s="50">
        <v>0</v>
      </c>
      <c r="O55" s="15">
        <f t="shared" si="0"/>
        <v>42</v>
      </c>
      <c r="P55" s="15">
        <f t="shared" si="1"/>
        <v>47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4</v>
      </c>
      <c r="E56" s="50">
        <v>1</v>
      </c>
      <c r="F56" s="50">
        <v>6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14</v>
      </c>
      <c r="M56" s="50">
        <v>9</v>
      </c>
      <c r="N56" s="50">
        <v>0</v>
      </c>
      <c r="O56" s="15">
        <f t="shared" si="0"/>
        <v>29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5</v>
      </c>
      <c r="F57" s="50">
        <v>9</v>
      </c>
      <c r="G57" s="50">
        <v>0</v>
      </c>
      <c r="H57" s="50">
        <v>0</v>
      </c>
      <c r="I57" s="50">
        <v>3</v>
      </c>
      <c r="J57" s="50">
        <v>1</v>
      </c>
      <c r="K57" s="50">
        <v>2</v>
      </c>
      <c r="L57" s="50">
        <v>13</v>
      </c>
      <c r="M57" s="50">
        <v>10</v>
      </c>
      <c r="N57" s="50">
        <v>0</v>
      </c>
      <c r="O57" s="15">
        <f t="shared" si="0"/>
        <v>40</v>
      </c>
      <c r="P57" s="15">
        <f t="shared" si="1"/>
        <v>50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150</v>
      </c>
      <c r="D58" s="16">
        <f t="shared" si="21"/>
        <v>94</v>
      </c>
      <c r="E58" s="16">
        <f t="shared" si="21"/>
        <v>61</v>
      </c>
      <c r="F58" s="16">
        <f t="shared" si="21"/>
        <v>211</v>
      </c>
      <c r="G58" s="16">
        <f t="shared" si="21"/>
        <v>8</v>
      </c>
      <c r="H58" s="16">
        <f t="shared" si="21"/>
        <v>0</v>
      </c>
      <c r="I58" s="16">
        <f t="shared" si="21"/>
        <v>60</v>
      </c>
      <c r="J58" s="16">
        <f t="shared" si="21"/>
        <v>51</v>
      </c>
      <c r="K58" s="16">
        <f t="shared" si="21"/>
        <v>39</v>
      </c>
      <c r="L58" s="16">
        <f t="shared" si="21"/>
        <v>523</v>
      </c>
      <c r="M58" s="16">
        <f t="shared" si="21"/>
        <v>236</v>
      </c>
      <c r="N58" s="16">
        <f t="shared" si="21"/>
        <v>1</v>
      </c>
      <c r="O58" s="16">
        <f t="shared" si="21"/>
        <v>1190</v>
      </c>
      <c r="P58" s="16">
        <f t="shared" si="21"/>
        <v>1434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0.10460251046025104</v>
      </c>
      <c r="D59" s="43">
        <f t="shared" si="22"/>
        <v>6.555090655509066E-2</v>
      </c>
      <c r="E59" s="43">
        <f t="shared" si="22"/>
        <v>4.2538354253835425E-2</v>
      </c>
      <c r="F59" s="43">
        <f t="shared" si="22"/>
        <v>0.14714086471408647</v>
      </c>
      <c r="G59" s="43">
        <f t="shared" si="22"/>
        <v>5.5788005578800556E-3</v>
      </c>
      <c r="H59" s="43">
        <f t="shared" si="22"/>
        <v>0</v>
      </c>
      <c r="I59" s="43">
        <f t="shared" si="22"/>
        <v>4.1841004184100417E-2</v>
      </c>
      <c r="J59" s="43">
        <f t="shared" si="22"/>
        <v>3.5564853556485358E-2</v>
      </c>
      <c r="K59" s="43">
        <f t="shared" si="22"/>
        <v>2.7196652719665274E-2</v>
      </c>
      <c r="L59" s="43">
        <f t="shared" si="22"/>
        <v>0.36471408647140863</v>
      </c>
      <c r="M59" s="43">
        <f t="shared" si="22"/>
        <v>0.16457461645746166</v>
      </c>
      <c r="N59" s="43">
        <f t="shared" si="22"/>
        <v>6.9735006973500695E-4</v>
      </c>
      <c r="R59" s="8"/>
      <c r="T59"/>
    </row>
    <row r="60" spans="2:20" ht="23.1" customHeight="1" x14ac:dyDescent="0.25">
      <c r="B60" s="42" t="s">
        <v>94</v>
      </c>
      <c r="C60" s="44">
        <f>C58/$O$58</f>
        <v>0.12605042016806722</v>
      </c>
      <c r="D60" s="44">
        <f t="shared" ref="D60:N60" si="23">D58/$O$58</f>
        <v>7.8991596638655459E-2</v>
      </c>
      <c r="E60" s="44">
        <f t="shared" si="23"/>
        <v>5.1260504201680671E-2</v>
      </c>
      <c r="F60" s="44">
        <f t="shared" si="23"/>
        <v>0.17731092436974791</v>
      </c>
      <c r="G60" s="44">
        <f t="shared" si="23"/>
        <v>6.7226890756302525E-3</v>
      </c>
      <c r="H60" s="44">
        <f t="shared" si="23"/>
        <v>0</v>
      </c>
      <c r="I60" s="44">
        <f t="shared" si="23"/>
        <v>5.0420168067226892E-2</v>
      </c>
      <c r="J60" s="44">
        <f t="shared" si="23"/>
        <v>4.2857142857142858E-2</v>
      </c>
      <c r="K60" s="44">
        <f t="shared" si="23"/>
        <v>3.2773109243697481E-2</v>
      </c>
      <c r="L60" s="44">
        <f t="shared" si="23"/>
        <v>0.43949579831932772</v>
      </c>
      <c r="M60" s="44"/>
      <c r="N60" s="44">
        <f t="shared" si="23"/>
        <v>8.4033613445378156E-4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A2" zoomScale="60" workbookViewId="0">
      <selection activeCell="H102" sqref="H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'28.08 BUSITEMA-TORORO'!G5:H5</f>
        <v>STATION 98</v>
      </c>
      <c r="H5" s="64"/>
      <c r="I5" s="14"/>
      <c r="J5" s="2" t="s">
        <v>5</v>
      </c>
      <c r="K5" s="63" t="str">
        <f>'28.08 BUSITEMA-TORORO'!K5:L5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'28.08 BUSITEMA-TORORO'!D6:E6</f>
        <v>TORORO</v>
      </c>
      <c r="E6" s="64"/>
      <c r="F6" s="2" t="s">
        <v>2</v>
      </c>
      <c r="G6" s="63" t="str">
        <f>'28.08 BUSITEMA-TORORO'!G6:H6</f>
        <v>BUSITEMA</v>
      </c>
      <c r="H6" s="64"/>
      <c r="J6" s="2" t="s">
        <v>21</v>
      </c>
      <c r="K6" s="63" t="str">
        <f>'28.08 BUSITEMA-TORORO'!K6:L6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AVERAGE('22.08 TORORO-BUSITEMA'!C10,'23.08 BUSITEMA-TORORO'!C10,'25.08 BUSITEMA-TORORO'!C10,'26.08 BUSITEMA-TORORO'!C10,'24.08 BUSITEMA-TORORO-24h'!C10,'27.08 TORORO-BUSITEMA-24h'!C10,'28.08 BUSITEMA-TORORO'!C10)</f>
        <v>0.2857142857142857</v>
      </c>
      <c r="D10" s="49">
        <f>AVERAGE('22.08 TORORO-BUSITEMA'!D10,'23.08 BUSITEMA-TORORO'!D10,'25.08 BUSITEMA-TORORO'!D10,'26.08 BUSITEMA-TORORO'!D10,'24.08 BUSITEMA-TORORO-24h'!D10,'27.08 TORORO-BUSITEMA-24h'!D10,'28.08 BUSITEMA-TORORO'!D10)</f>
        <v>0.7142857142857143</v>
      </c>
      <c r="E10" s="49">
        <f>AVERAGE('22.08 TORORO-BUSITEMA'!E10,'23.08 BUSITEMA-TORORO'!E10,'25.08 BUSITEMA-TORORO'!E10,'26.08 BUSITEMA-TORORO'!E10,'24.08 BUSITEMA-TORORO-24h'!E10,'27.08 TORORO-BUSITEMA-24h'!E10,'28.08 BUSITEMA-TORORO'!E10)</f>
        <v>0</v>
      </c>
      <c r="F10" s="49">
        <f>AVERAGE('22.08 TORORO-BUSITEMA'!F10,'23.08 BUSITEMA-TORORO'!F10,'25.08 BUSITEMA-TORORO'!F10,'26.08 BUSITEMA-TORORO'!F10,'24.08 BUSITEMA-TORORO-24h'!F10,'27.08 TORORO-BUSITEMA-24h'!F10,'28.08 BUSITEMA-TORORO'!F10)</f>
        <v>2</v>
      </c>
      <c r="G10" s="49">
        <f>AVERAGE('22.08 TORORO-BUSITEMA'!G10,'23.08 BUSITEMA-TORORO'!G10,'25.08 BUSITEMA-TORORO'!G10,'26.08 BUSITEMA-TORORO'!G10,'24.08 BUSITEMA-TORORO-24h'!G10,'27.08 TORORO-BUSITEMA-24h'!G10,'28.08 BUSITEMA-TORORO'!G10)</f>
        <v>0.2857142857142857</v>
      </c>
      <c r="H10" s="49">
        <f>AVERAGE('22.08 TORORO-BUSITEMA'!H10,'23.08 BUSITEMA-TORORO'!H10,'25.08 BUSITEMA-TORORO'!H10,'26.08 BUSITEMA-TORORO'!H10,'24.08 BUSITEMA-TORORO-24h'!H10,'27.08 TORORO-BUSITEMA-24h'!H10,'28.08 BUSITEMA-TORORO'!H10)</f>
        <v>0.14285714285714285</v>
      </c>
      <c r="I10" s="49">
        <f>AVERAGE('22.08 TORORO-BUSITEMA'!I10,'23.08 BUSITEMA-TORORO'!I10,'25.08 BUSITEMA-TORORO'!I10,'26.08 BUSITEMA-TORORO'!I10,'24.08 BUSITEMA-TORORO-24h'!I10,'27.08 TORORO-BUSITEMA-24h'!I10,'28.08 BUSITEMA-TORORO'!I10)</f>
        <v>0.5714285714285714</v>
      </c>
      <c r="J10" s="49">
        <f>AVERAGE('22.08 TORORO-BUSITEMA'!J10,'23.08 BUSITEMA-TORORO'!J10,'25.08 BUSITEMA-TORORO'!J10,'26.08 BUSITEMA-TORORO'!J10,'24.08 BUSITEMA-TORORO-24h'!J10,'27.08 TORORO-BUSITEMA-24h'!J10,'28.08 BUSITEMA-TORORO'!J10)</f>
        <v>0.42857142857142855</v>
      </c>
      <c r="K10" s="49">
        <f>AVERAGE('22.08 TORORO-BUSITEMA'!K10,'23.08 BUSITEMA-TORORO'!K10,'25.08 BUSITEMA-TORORO'!K10,'26.08 BUSITEMA-TORORO'!K10,'24.08 BUSITEMA-TORORO-24h'!K10,'27.08 TORORO-BUSITEMA-24h'!K10,'28.08 BUSITEMA-TORORO'!K10)</f>
        <v>1.2857142857142858</v>
      </c>
      <c r="L10" s="49">
        <f>AVERAGE('22.08 TORORO-BUSITEMA'!L10,'23.08 BUSITEMA-TORORO'!L10,'25.08 BUSITEMA-TORORO'!L10,'26.08 BUSITEMA-TORORO'!L10,'24.08 BUSITEMA-TORORO-24h'!L10,'27.08 TORORO-BUSITEMA-24h'!L10,'28.08 BUSITEMA-TORORO'!L10)</f>
        <v>8.8571428571428577</v>
      </c>
      <c r="M10" s="49">
        <f>AVERAGE('22.08 TORORO-BUSITEMA'!M10,'23.08 BUSITEMA-TORORO'!M10,'25.08 BUSITEMA-TORORO'!M10,'26.08 BUSITEMA-TORORO'!M10,'24.08 BUSITEMA-TORORO-24h'!M10,'27.08 TORORO-BUSITEMA-24h'!M10,'28.08 BUSITEMA-TORORO'!M10)</f>
        <v>4.5714285714285712</v>
      </c>
      <c r="N10" s="49">
        <f>AVERAGE('22.08 TORORO-BUSITEMA'!N10,'23.08 BUSITEMA-TORORO'!N10,'25.08 BUSITEMA-TORORO'!N10,'26.08 BUSITEMA-TORORO'!N10,'24.08 BUSITEMA-TORORO-24h'!N10,'27.08 TORORO-BUSITEMA-24h'!N10,'28.08 BUSITEMA-TORORO'!N10)</f>
        <v>0.14285714285714285</v>
      </c>
      <c r="O10" s="15">
        <f t="shared" ref="O10:O73" si="0">SUM(C10:L10,N10)</f>
        <v>14.714285714285715</v>
      </c>
      <c r="P10" s="15">
        <f t="shared" ref="P10:P73" si="1">SUM(C10:N10)</f>
        <v>19.285714285714288</v>
      </c>
      <c r="R10" s="1" t="s">
        <v>6</v>
      </c>
      <c r="S10" s="17">
        <f t="shared" ref="S10:AF10" si="2">SUM(C10:C13)</f>
        <v>3.1428571428571428</v>
      </c>
      <c r="T10" s="17">
        <f t="shared" si="2"/>
        <v>2.5714285714285716</v>
      </c>
      <c r="U10" s="17">
        <f t="shared" si="2"/>
        <v>1.5714285714285714</v>
      </c>
      <c r="V10" s="17">
        <f t="shared" si="2"/>
        <v>8.1428571428571423</v>
      </c>
      <c r="W10" s="17">
        <f t="shared" si="2"/>
        <v>0.5714285714285714</v>
      </c>
      <c r="X10" s="17">
        <f t="shared" si="2"/>
        <v>0.14285714285714285</v>
      </c>
      <c r="Y10" s="17">
        <f t="shared" si="2"/>
        <v>1.5714285714285712</v>
      </c>
      <c r="Z10" s="17">
        <f t="shared" si="2"/>
        <v>0.85714285714285698</v>
      </c>
      <c r="AA10" s="17">
        <f t="shared" si="2"/>
        <v>1.8571428571428572</v>
      </c>
      <c r="AB10" s="17">
        <f t="shared" si="2"/>
        <v>32.142857142857146</v>
      </c>
      <c r="AC10" s="17">
        <f t="shared" si="2"/>
        <v>15</v>
      </c>
      <c r="AD10" s="17">
        <f t="shared" si="2"/>
        <v>0.14285714285714285</v>
      </c>
      <c r="AE10" s="31">
        <f t="shared" si="2"/>
        <v>52.714285714285715</v>
      </c>
      <c r="AF10" s="31">
        <f t="shared" si="2"/>
        <v>67.714285714285722</v>
      </c>
    </row>
    <row r="11" spans="2:32" s="6" customFormat="1" ht="23.1" customHeight="1" x14ac:dyDescent="0.25">
      <c r="B11" s="23" t="s">
        <v>38</v>
      </c>
      <c r="C11" s="49">
        <f>AVERAGE('22.08 TORORO-BUSITEMA'!C11,'23.08 BUSITEMA-TORORO'!C11,'25.08 BUSITEMA-TORORO'!C11,'26.08 BUSITEMA-TORORO'!C11,'24.08 BUSITEMA-TORORO-24h'!C11,'27.08 TORORO-BUSITEMA-24h'!C11,'28.08 BUSITEMA-TORORO'!C11)</f>
        <v>1</v>
      </c>
      <c r="D11" s="49">
        <f>AVERAGE('22.08 TORORO-BUSITEMA'!D11,'23.08 BUSITEMA-TORORO'!D11,'25.08 BUSITEMA-TORORO'!D11,'26.08 BUSITEMA-TORORO'!D11,'24.08 BUSITEMA-TORORO-24h'!D11,'27.08 TORORO-BUSITEMA-24h'!D11,'28.08 BUSITEMA-TORORO'!D11)</f>
        <v>0.42857142857142855</v>
      </c>
      <c r="E11" s="49">
        <f>AVERAGE('22.08 TORORO-BUSITEMA'!E11,'23.08 BUSITEMA-TORORO'!E11,'25.08 BUSITEMA-TORORO'!E11,'26.08 BUSITEMA-TORORO'!E11,'24.08 BUSITEMA-TORORO-24h'!E11,'27.08 TORORO-BUSITEMA-24h'!E11,'28.08 BUSITEMA-TORORO'!E11)</f>
        <v>0.5714285714285714</v>
      </c>
      <c r="F11" s="49">
        <f>AVERAGE('22.08 TORORO-BUSITEMA'!F11,'23.08 BUSITEMA-TORORO'!F11,'25.08 BUSITEMA-TORORO'!F11,'26.08 BUSITEMA-TORORO'!F11,'24.08 BUSITEMA-TORORO-24h'!F11,'27.08 TORORO-BUSITEMA-24h'!F11,'28.08 BUSITEMA-TORORO'!F11)</f>
        <v>2</v>
      </c>
      <c r="G11" s="49">
        <f>AVERAGE('22.08 TORORO-BUSITEMA'!G11,'23.08 BUSITEMA-TORORO'!G11,'25.08 BUSITEMA-TORORO'!G11,'26.08 BUSITEMA-TORORO'!G11,'24.08 BUSITEMA-TORORO-24h'!G11,'27.08 TORORO-BUSITEMA-24h'!G11,'28.08 BUSITEMA-TORORO'!G11)</f>
        <v>0</v>
      </c>
      <c r="H11" s="49">
        <f>AVERAGE('22.08 TORORO-BUSITEMA'!H11,'23.08 BUSITEMA-TORORO'!H11,'25.08 BUSITEMA-TORORO'!H11,'26.08 BUSITEMA-TORORO'!H11,'24.08 BUSITEMA-TORORO-24h'!H11,'27.08 TORORO-BUSITEMA-24h'!H11,'28.08 BUSITEMA-TORORO'!H11)</f>
        <v>0</v>
      </c>
      <c r="I11" s="49">
        <f>AVERAGE('22.08 TORORO-BUSITEMA'!I11,'23.08 BUSITEMA-TORORO'!I11,'25.08 BUSITEMA-TORORO'!I11,'26.08 BUSITEMA-TORORO'!I11,'24.08 BUSITEMA-TORORO-24h'!I11,'27.08 TORORO-BUSITEMA-24h'!I11,'28.08 BUSITEMA-TORORO'!I11)</f>
        <v>0.14285714285714285</v>
      </c>
      <c r="J11" s="49">
        <f>AVERAGE('22.08 TORORO-BUSITEMA'!J11,'23.08 BUSITEMA-TORORO'!J11,'25.08 BUSITEMA-TORORO'!J11,'26.08 BUSITEMA-TORORO'!J11,'24.08 BUSITEMA-TORORO-24h'!J11,'27.08 TORORO-BUSITEMA-24h'!J11,'28.08 BUSITEMA-TORORO'!J11)</f>
        <v>0</v>
      </c>
      <c r="K11" s="49">
        <f>AVERAGE('22.08 TORORO-BUSITEMA'!K11,'23.08 BUSITEMA-TORORO'!K11,'25.08 BUSITEMA-TORORO'!K11,'26.08 BUSITEMA-TORORO'!K11,'24.08 BUSITEMA-TORORO-24h'!K11,'27.08 TORORO-BUSITEMA-24h'!K11,'28.08 BUSITEMA-TORORO'!K11)</f>
        <v>0</v>
      </c>
      <c r="L11" s="49">
        <f>AVERAGE('22.08 TORORO-BUSITEMA'!L11,'23.08 BUSITEMA-TORORO'!L11,'25.08 BUSITEMA-TORORO'!L11,'26.08 BUSITEMA-TORORO'!L11,'24.08 BUSITEMA-TORORO-24h'!L11,'27.08 TORORO-BUSITEMA-24h'!L11,'28.08 BUSITEMA-TORORO'!L11)</f>
        <v>7.7142857142857144</v>
      </c>
      <c r="M11" s="49">
        <f>AVERAGE('22.08 TORORO-BUSITEMA'!M11,'23.08 BUSITEMA-TORORO'!M11,'25.08 BUSITEMA-TORORO'!M11,'26.08 BUSITEMA-TORORO'!M11,'24.08 BUSITEMA-TORORO-24h'!M11,'27.08 TORORO-BUSITEMA-24h'!M11,'28.08 BUSITEMA-TORORO'!M11)</f>
        <v>3.5714285714285716</v>
      </c>
      <c r="N11" s="49">
        <f>AVERAGE('22.08 TORORO-BUSITEMA'!N11,'23.08 BUSITEMA-TORORO'!N11,'25.08 BUSITEMA-TORORO'!N11,'26.08 BUSITEMA-TORORO'!N11,'24.08 BUSITEMA-TORORO-24h'!N11,'27.08 TORORO-BUSITEMA-24h'!N11,'28.08 BUSITEMA-TORORO'!N11)</f>
        <v>0</v>
      </c>
      <c r="O11" s="15">
        <f t="shared" si="0"/>
        <v>11.857142857142858</v>
      </c>
      <c r="P11" s="15">
        <f t="shared" si="1"/>
        <v>15.428571428571429</v>
      </c>
      <c r="R11" s="1" t="s">
        <v>7</v>
      </c>
      <c r="S11" s="17">
        <f t="shared" ref="S11:AF11" si="3">SUM(C14:C17)</f>
        <v>5.8571428571428568</v>
      </c>
      <c r="T11" s="17">
        <f t="shared" si="3"/>
        <v>9</v>
      </c>
      <c r="U11" s="17">
        <f t="shared" si="3"/>
        <v>3.2857142857142856</v>
      </c>
      <c r="V11" s="17">
        <f t="shared" si="3"/>
        <v>12.857142857142858</v>
      </c>
      <c r="W11" s="17">
        <f t="shared" si="3"/>
        <v>0.2857142857142857</v>
      </c>
      <c r="X11" s="17">
        <f t="shared" si="3"/>
        <v>0.2857142857142857</v>
      </c>
      <c r="Y11" s="17">
        <f t="shared" si="3"/>
        <v>0.14285714285714285</v>
      </c>
      <c r="Z11" s="17">
        <f t="shared" si="3"/>
        <v>1.5714285714285712</v>
      </c>
      <c r="AA11" s="17">
        <f t="shared" si="3"/>
        <v>0.5714285714285714</v>
      </c>
      <c r="AB11" s="17">
        <f t="shared" si="3"/>
        <v>24.142857142857146</v>
      </c>
      <c r="AC11" s="17">
        <f t="shared" si="3"/>
        <v>14</v>
      </c>
      <c r="AD11" s="17">
        <f t="shared" si="3"/>
        <v>0.2857142857142857</v>
      </c>
      <c r="AE11" s="31">
        <f t="shared" si="3"/>
        <v>58.285714285714292</v>
      </c>
      <c r="AF11" s="31">
        <f t="shared" si="3"/>
        <v>72.285714285714278</v>
      </c>
    </row>
    <row r="12" spans="2:32" ht="23.1" customHeight="1" x14ac:dyDescent="0.25">
      <c r="B12" s="23" t="s">
        <v>39</v>
      </c>
      <c r="C12" s="49">
        <f>AVERAGE('22.08 TORORO-BUSITEMA'!C12,'23.08 BUSITEMA-TORORO'!C12,'25.08 BUSITEMA-TORORO'!C12,'26.08 BUSITEMA-TORORO'!C12,'24.08 BUSITEMA-TORORO-24h'!C12,'27.08 TORORO-BUSITEMA-24h'!C12,'28.08 BUSITEMA-TORORO'!C12)</f>
        <v>1</v>
      </c>
      <c r="D12" s="49">
        <f>AVERAGE('22.08 TORORO-BUSITEMA'!D12,'23.08 BUSITEMA-TORORO'!D12,'25.08 BUSITEMA-TORORO'!D12,'26.08 BUSITEMA-TORORO'!D12,'24.08 BUSITEMA-TORORO-24h'!D12,'27.08 TORORO-BUSITEMA-24h'!D12,'28.08 BUSITEMA-TORORO'!D12)</f>
        <v>0.7142857142857143</v>
      </c>
      <c r="E12" s="49">
        <f>AVERAGE('22.08 TORORO-BUSITEMA'!E12,'23.08 BUSITEMA-TORORO'!E12,'25.08 BUSITEMA-TORORO'!E12,'26.08 BUSITEMA-TORORO'!E12,'24.08 BUSITEMA-TORORO-24h'!E12,'27.08 TORORO-BUSITEMA-24h'!E12,'28.08 BUSITEMA-TORORO'!E12)</f>
        <v>0.5714285714285714</v>
      </c>
      <c r="F12" s="49">
        <f>AVERAGE('22.08 TORORO-BUSITEMA'!F12,'23.08 BUSITEMA-TORORO'!F12,'25.08 BUSITEMA-TORORO'!F12,'26.08 BUSITEMA-TORORO'!F12,'24.08 BUSITEMA-TORORO-24h'!F12,'27.08 TORORO-BUSITEMA-24h'!F12,'28.08 BUSITEMA-TORORO'!F12)</f>
        <v>2.1428571428571428</v>
      </c>
      <c r="G12" s="49">
        <f>AVERAGE('22.08 TORORO-BUSITEMA'!G12,'23.08 BUSITEMA-TORORO'!G12,'25.08 BUSITEMA-TORORO'!G12,'26.08 BUSITEMA-TORORO'!G12,'24.08 BUSITEMA-TORORO-24h'!G12,'27.08 TORORO-BUSITEMA-24h'!G12,'28.08 BUSITEMA-TORORO'!G12)</f>
        <v>0</v>
      </c>
      <c r="H12" s="49">
        <f>AVERAGE('22.08 TORORO-BUSITEMA'!H12,'23.08 BUSITEMA-TORORO'!H12,'25.08 BUSITEMA-TORORO'!H12,'26.08 BUSITEMA-TORORO'!H12,'24.08 BUSITEMA-TORORO-24h'!H12,'27.08 TORORO-BUSITEMA-24h'!H12,'28.08 BUSITEMA-TORORO'!H12)</f>
        <v>0</v>
      </c>
      <c r="I12" s="49">
        <f>AVERAGE('22.08 TORORO-BUSITEMA'!I12,'23.08 BUSITEMA-TORORO'!I12,'25.08 BUSITEMA-TORORO'!I12,'26.08 BUSITEMA-TORORO'!I12,'24.08 BUSITEMA-TORORO-24h'!I12,'27.08 TORORO-BUSITEMA-24h'!I12,'28.08 BUSITEMA-TORORO'!I12)</f>
        <v>0.2857142857142857</v>
      </c>
      <c r="J12" s="49">
        <f>AVERAGE('22.08 TORORO-BUSITEMA'!J12,'23.08 BUSITEMA-TORORO'!J12,'25.08 BUSITEMA-TORORO'!J12,'26.08 BUSITEMA-TORORO'!J12,'24.08 BUSITEMA-TORORO-24h'!J12,'27.08 TORORO-BUSITEMA-24h'!J12,'28.08 BUSITEMA-TORORO'!J12)</f>
        <v>0.2857142857142857</v>
      </c>
      <c r="K12" s="49">
        <f>AVERAGE('22.08 TORORO-BUSITEMA'!K12,'23.08 BUSITEMA-TORORO'!K12,'25.08 BUSITEMA-TORORO'!K12,'26.08 BUSITEMA-TORORO'!K12,'24.08 BUSITEMA-TORORO-24h'!K12,'27.08 TORORO-BUSITEMA-24h'!K12,'28.08 BUSITEMA-TORORO'!K12)</f>
        <v>0.42857142857142855</v>
      </c>
      <c r="L12" s="49">
        <f>AVERAGE('22.08 TORORO-BUSITEMA'!L12,'23.08 BUSITEMA-TORORO'!L12,'25.08 BUSITEMA-TORORO'!L12,'26.08 BUSITEMA-TORORO'!L12,'24.08 BUSITEMA-TORORO-24h'!L12,'27.08 TORORO-BUSITEMA-24h'!L12,'28.08 BUSITEMA-TORORO'!L12)</f>
        <v>10.428571428571429</v>
      </c>
      <c r="M12" s="49">
        <f>AVERAGE('22.08 TORORO-BUSITEMA'!M12,'23.08 BUSITEMA-TORORO'!M12,'25.08 BUSITEMA-TORORO'!M12,'26.08 BUSITEMA-TORORO'!M12,'24.08 BUSITEMA-TORORO-24h'!M12,'27.08 TORORO-BUSITEMA-24h'!M12,'28.08 BUSITEMA-TORORO'!M12)</f>
        <v>2.1428571428571428</v>
      </c>
      <c r="N12" s="49">
        <f>AVERAGE('22.08 TORORO-BUSITEMA'!N12,'23.08 BUSITEMA-TORORO'!N12,'25.08 BUSITEMA-TORORO'!N12,'26.08 BUSITEMA-TORORO'!N12,'24.08 BUSITEMA-TORORO-24h'!N12,'27.08 TORORO-BUSITEMA-24h'!N12,'28.08 BUSITEMA-TORORO'!N12)</f>
        <v>0</v>
      </c>
      <c r="O12" s="15">
        <f t="shared" si="0"/>
        <v>15.857142857142858</v>
      </c>
      <c r="P12" s="15">
        <f t="shared" si="1"/>
        <v>18</v>
      </c>
      <c r="R12" s="1" t="s">
        <v>8</v>
      </c>
      <c r="S12" s="17">
        <f t="shared" ref="S12:AF12" si="4">SUM(C18:C21)</f>
        <v>3.5714285714285712</v>
      </c>
      <c r="T12" s="17">
        <f t="shared" si="4"/>
        <v>9.4285714285714288</v>
      </c>
      <c r="U12" s="17">
        <f t="shared" si="4"/>
        <v>3.4285714285714284</v>
      </c>
      <c r="V12" s="17">
        <f t="shared" si="4"/>
        <v>13.428571428571431</v>
      </c>
      <c r="W12" s="17">
        <f t="shared" si="4"/>
        <v>0.2857142857142857</v>
      </c>
      <c r="X12" s="17">
        <f t="shared" si="4"/>
        <v>0.14285714285714285</v>
      </c>
      <c r="Y12" s="17">
        <f t="shared" si="4"/>
        <v>3.1428571428571432</v>
      </c>
      <c r="Z12" s="17">
        <f t="shared" si="4"/>
        <v>0.5714285714285714</v>
      </c>
      <c r="AA12" s="17">
        <f t="shared" si="4"/>
        <v>2</v>
      </c>
      <c r="AB12" s="17">
        <f t="shared" si="4"/>
        <v>23.000000000000004</v>
      </c>
      <c r="AC12" s="17">
        <f t="shared" si="4"/>
        <v>17.285714285714285</v>
      </c>
      <c r="AD12" s="17">
        <f t="shared" si="4"/>
        <v>0</v>
      </c>
      <c r="AE12" s="31">
        <f t="shared" si="4"/>
        <v>59</v>
      </c>
      <c r="AF12" s="31">
        <f t="shared" si="4"/>
        <v>76.285714285714278</v>
      </c>
    </row>
    <row r="13" spans="2:32" ht="23.1" customHeight="1" x14ac:dyDescent="0.25">
      <c r="B13" s="23" t="s">
        <v>40</v>
      </c>
      <c r="C13" s="49">
        <f>AVERAGE('22.08 TORORO-BUSITEMA'!C13,'23.08 BUSITEMA-TORORO'!C13,'25.08 BUSITEMA-TORORO'!C13,'26.08 BUSITEMA-TORORO'!C13,'24.08 BUSITEMA-TORORO-24h'!C13,'27.08 TORORO-BUSITEMA-24h'!C13,'28.08 BUSITEMA-TORORO'!C13)</f>
        <v>0.8571428571428571</v>
      </c>
      <c r="D13" s="49">
        <f>AVERAGE('22.08 TORORO-BUSITEMA'!D13,'23.08 BUSITEMA-TORORO'!D13,'25.08 BUSITEMA-TORORO'!D13,'26.08 BUSITEMA-TORORO'!D13,'24.08 BUSITEMA-TORORO-24h'!D13,'27.08 TORORO-BUSITEMA-24h'!D13,'28.08 BUSITEMA-TORORO'!D13)</f>
        <v>0.7142857142857143</v>
      </c>
      <c r="E13" s="49">
        <f>AVERAGE('22.08 TORORO-BUSITEMA'!E13,'23.08 BUSITEMA-TORORO'!E13,'25.08 BUSITEMA-TORORO'!E13,'26.08 BUSITEMA-TORORO'!E13,'24.08 BUSITEMA-TORORO-24h'!E13,'27.08 TORORO-BUSITEMA-24h'!E13,'28.08 BUSITEMA-TORORO'!E13)</f>
        <v>0.42857142857142855</v>
      </c>
      <c r="F13" s="49">
        <f>AVERAGE('22.08 TORORO-BUSITEMA'!F13,'23.08 BUSITEMA-TORORO'!F13,'25.08 BUSITEMA-TORORO'!F13,'26.08 BUSITEMA-TORORO'!F13,'24.08 BUSITEMA-TORORO-24h'!F13,'27.08 TORORO-BUSITEMA-24h'!F13,'28.08 BUSITEMA-TORORO'!F13)</f>
        <v>2</v>
      </c>
      <c r="G13" s="49">
        <f>AVERAGE('22.08 TORORO-BUSITEMA'!G13,'23.08 BUSITEMA-TORORO'!G13,'25.08 BUSITEMA-TORORO'!G13,'26.08 BUSITEMA-TORORO'!G13,'24.08 BUSITEMA-TORORO-24h'!G13,'27.08 TORORO-BUSITEMA-24h'!G13,'28.08 BUSITEMA-TORORO'!G13)</f>
        <v>0.2857142857142857</v>
      </c>
      <c r="H13" s="49">
        <f>AVERAGE('22.08 TORORO-BUSITEMA'!H13,'23.08 BUSITEMA-TORORO'!H13,'25.08 BUSITEMA-TORORO'!H13,'26.08 BUSITEMA-TORORO'!H13,'24.08 BUSITEMA-TORORO-24h'!H13,'27.08 TORORO-BUSITEMA-24h'!H13,'28.08 BUSITEMA-TORORO'!H13)</f>
        <v>0</v>
      </c>
      <c r="I13" s="49">
        <f>AVERAGE('22.08 TORORO-BUSITEMA'!I13,'23.08 BUSITEMA-TORORO'!I13,'25.08 BUSITEMA-TORORO'!I13,'26.08 BUSITEMA-TORORO'!I13,'24.08 BUSITEMA-TORORO-24h'!I13,'27.08 TORORO-BUSITEMA-24h'!I13,'28.08 BUSITEMA-TORORO'!I13)</f>
        <v>0.5714285714285714</v>
      </c>
      <c r="J13" s="49">
        <f>AVERAGE('22.08 TORORO-BUSITEMA'!J13,'23.08 BUSITEMA-TORORO'!J13,'25.08 BUSITEMA-TORORO'!J13,'26.08 BUSITEMA-TORORO'!J13,'24.08 BUSITEMA-TORORO-24h'!J13,'27.08 TORORO-BUSITEMA-24h'!J13,'28.08 BUSITEMA-TORORO'!J13)</f>
        <v>0.14285714285714285</v>
      </c>
      <c r="K13" s="49">
        <f>AVERAGE('22.08 TORORO-BUSITEMA'!K13,'23.08 BUSITEMA-TORORO'!K13,'25.08 BUSITEMA-TORORO'!K13,'26.08 BUSITEMA-TORORO'!K13,'24.08 BUSITEMA-TORORO-24h'!K13,'27.08 TORORO-BUSITEMA-24h'!K13,'28.08 BUSITEMA-TORORO'!K13)</f>
        <v>0.14285714285714285</v>
      </c>
      <c r="L13" s="49">
        <f>AVERAGE('22.08 TORORO-BUSITEMA'!L13,'23.08 BUSITEMA-TORORO'!L13,'25.08 BUSITEMA-TORORO'!L13,'26.08 BUSITEMA-TORORO'!L13,'24.08 BUSITEMA-TORORO-24h'!L13,'27.08 TORORO-BUSITEMA-24h'!L13,'28.08 BUSITEMA-TORORO'!L13)</f>
        <v>5.1428571428571432</v>
      </c>
      <c r="M13" s="49">
        <f>AVERAGE('22.08 TORORO-BUSITEMA'!M13,'23.08 BUSITEMA-TORORO'!M13,'25.08 BUSITEMA-TORORO'!M13,'26.08 BUSITEMA-TORORO'!M13,'24.08 BUSITEMA-TORORO-24h'!M13,'27.08 TORORO-BUSITEMA-24h'!M13,'28.08 BUSITEMA-TORORO'!M13)</f>
        <v>4.7142857142857144</v>
      </c>
      <c r="N13" s="49">
        <f>AVERAGE('22.08 TORORO-BUSITEMA'!N13,'23.08 BUSITEMA-TORORO'!N13,'25.08 BUSITEMA-TORORO'!N13,'26.08 BUSITEMA-TORORO'!N13,'24.08 BUSITEMA-TORORO-24h'!N13,'27.08 TORORO-BUSITEMA-24h'!N13,'28.08 BUSITEMA-TORORO'!N13)</f>
        <v>0</v>
      </c>
      <c r="O13" s="15">
        <f t="shared" si="0"/>
        <v>10.285714285714286</v>
      </c>
      <c r="P13" s="15">
        <f t="shared" si="1"/>
        <v>15</v>
      </c>
      <c r="R13" s="1" t="s">
        <v>9</v>
      </c>
      <c r="S13" s="17">
        <f t="shared" ref="S13:AF13" si="5">SUM(C22:C25)</f>
        <v>6.2857142857142856</v>
      </c>
      <c r="T13" s="17">
        <f t="shared" si="5"/>
        <v>11.285714285714285</v>
      </c>
      <c r="U13" s="17">
        <f t="shared" si="5"/>
        <v>2.8571428571428568</v>
      </c>
      <c r="V13" s="17">
        <f t="shared" si="5"/>
        <v>16.142857142857142</v>
      </c>
      <c r="W13" s="17">
        <f t="shared" si="5"/>
        <v>0.2857142857142857</v>
      </c>
      <c r="X13" s="17">
        <f t="shared" si="5"/>
        <v>0.5714285714285714</v>
      </c>
      <c r="Y13" s="17">
        <f t="shared" si="5"/>
        <v>2.7142857142857144</v>
      </c>
      <c r="Z13" s="17">
        <f t="shared" si="5"/>
        <v>0.71428571428571419</v>
      </c>
      <c r="AA13" s="17">
        <f t="shared" si="5"/>
        <v>1.8571428571428572</v>
      </c>
      <c r="AB13" s="17">
        <f t="shared" si="5"/>
        <v>22.571428571428573</v>
      </c>
      <c r="AC13" s="17">
        <f t="shared" si="5"/>
        <v>18.714285714285715</v>
      </c>
      <c r="AD13" s="17">
        <f t="shared" si="5"/>
        <v>0</v>
      </c>
      <c r="AE13" s="31">
        <f t="shared" si="5"/>
        <v>65.285714285714278</v>
      </c>
      <c r="AF13" s="31">
        <f t="shared" si="5"/>
        <v>84</v>
      </c>
    </row>
    <row r="14" spans="2:32" ht="23.1" customHeight="1" x14ac:dyDescent="0.25">
      <c r="B14" s="23" t="s">
        <v>41</v>
      </c>
      <c r="C14" s="49">
        <f>AVERAGE('22.08 TORORO-BUSITEMA'!C14,'23.08 BUSITEMA-TORORO'!C14,'25.08 BUSITEMA-TORORO'!C14,'26.08 BUSITEMA-TORORO'!C14,'24.08 BUSITEMA-TORORO-24h'!C14,'27.08 TORORO-BUSITEMA-24h'!C14,'28.08 BUSITEMA-TORORO'!C14)</f>
        <v>1.5714285714285714</v>
      </c>
      <c r="D14" s="49">
        <f>AVERAGE('22.08 TORORO-BUSITEMA'!D14,'23.08 BUSITEMA-TORORO'!D14,'25.08 BUSITEMA-TORORO'!D14,'26.08 BUSITEMA-TORORO'!D14,'24.08 BUSITEMA-TORORO-24h'!D14,'27.08 TORORO-BUSITEMA-24h'!D14,'28.08 BUSITEMA-TORORO'!D14)</f>
        <v>1.8571428571428572</v>
      </c>
      <c r="E14" s="49">
        <f>AVERAGE('22.08 TORORO-BUSITEMA'!E14,'23.08 BUSITEMA-TORORO'!E14,'25.08 BUSITEMA-TORORO'!E14,'26.08 BUSITEMA-TORORO'!E14,'24.08 BUSITEMA-TORORO-24h'!E14,'27.08 TORORO-BUSITEMA-24h'!E14,'28.08 BUSITEMA-TORORO'!E14)</f>
        <v>0.5714285714285714</v>
      </c>
      <c r="F14" s="49">
        <f>AVERAGE('22.08 TORORO-BUSITEMA'!F14,'23.08 BUSITEMA-TORORO'!F14,'25.08 BUSITEMA-TORORO'!F14,'26.08 BUSITEMA-TORORO'!F14,'24.08 BUSITEMA-TORORO-24h'!F14,'27.08 TORORO-BUSITEMA-24h'!F14,'28.08 BUSITEMA-TORORO'!F14)</f>
        <v>1.2857142857142858</v>
      </c>
      <c r="G14" s="49">
        <f>AVERAGE('22.08 TORORO-BUSITEMA'!G14,'23.08 BUSITEMA-TORORO'!G14,'25.08 BUSITEMA-TORORO'!G14,'26.08 BUSITEMA-TORORO'!G14,'24.08 BUSITEMA-TORORO-24h'!G14,'27.08 TORORO-BUSITEMA-24h'!G14,'28.08 BUSITEMA-TORORO'!G14)</f>
        <v>0.14285714285714285</v>
      </c>
      <c r="H14" s="49">
        <f>AVERAGE('22.08 TORORO-BUSITEMA'!H14,'23.08 BUSITEMA-TORORO'!H14,'25.08 BUSITEMA-TORORO'!H14,'26.08 BUSITEMA-TORORO'!H14,'24.08 BUSITEMA-TORORO-24h'!H14,'27.08 TORORO-BUSITEMA-24h'!H14,'28.08 BUSITEMA-TORORO'!H14)</f>
        <v>0.2857142857142857</v>
      </c>
      <c r="I14" s="49">
        <f>AVERAGE('22.08 TORORO-BUSITEMA'!I14,'23.08 BUSITEMA-TORORO'!I14,'25.08 BUSITEMA-TORORO'!I14,'26.08 BUSITEMA-TORORO'!I14,'24.08 BUSITEMA-TORORO-24h'!I14,'27.08 TORORO-BUSITEMA-24h'!I14,'28.08 BUSITEMA-TORORO'!I14)</f>
        <v>0.14285714285714285</v>
      </c>
      <c r="J14" s="49">
        <f>AVERAGE('22.08 TORORO-BUSITEMA'!J14,'23.08 BUSITEMA-TORORO'!J14,'25.08 BUSITEMA-TORORO'!J14,'26.08 BUSITEMA-TORORO'!J14,'24.08 BUSITEMA-TORORO-24h'!J14,'27.08 TORORO-BUSITEMA-24h'!J14,'28.08 BUSITEMA-TORORO'!J14)</f>
        <v>0.14285714285714285</v>
      </c>
      <c r="K14" s="49">
        <f>AVERAGE('22.08 TORORO-BUSITEMA'!K14,'23.08 BUSITEMA-TORORO'!K14,'25.08 BUSITEMA-TORORO'!K14,'26.08 BUSITEMA-TORORO'!K14,'24.08 BUSITEMA-TORORO-24h'!K14,'27.08 TORORO-BUSITEMA-24h'!K14,'28.08 BUSITEMA-TORORO'!K14)</f>
        <v>0</v>
      </c>
      <c r="L14" s="49">
        <f>AVERAGE('22.08 TORORO-BUSITEMA'!L14,'23.08 BUSITEMA-TORORO'!L14,'25.08 BUSITEMA-TORORO'!L14,'26.08 BUSITEMA-TORORO'!L14,'24.08 BUSITEMA-TORORO-24h'!L14,'27.08 TORORO-BUSITEMA-24h'!L14,'28.08 BUSITEMA-TORORO'!L14)</f>
        <v>4.2857142857142856</v>
      </c>
      <c r="M14" s="49">
        <f>AVERAGE('22.08 TORORO-BUSITEMA'!M14,'23.08 BUSITEMA-TORORO'!M14,'25.08 BUSITEMA-TORORO'!M14,'26.08 BUSITEMA-TORORO'!M14,'24.08 BUSITEMA-TORORO-24h'!M14,'27.08 TORORO-BUSITEMA-24h'!M14,'28.08 BUSITEMA-TORORO'!M14)</f>
        <v>1.5714285714285714</v>
      </c>
      <c r="N14" s="49">
        <f>AVERAGE('22.08 TORORO-BUSITEMA'!N14,'23.08 BUSITEMA-TORORO'!N14,'25.08 BUSITEMA-TORORO'!N14,'26.08 BUSITEMA-TORORO'!N14,'24.08 BUSITEMA-TORORO-24h'!N14,'27.08 TORORO-BUSITEMA-24h'!N14,'28.08 BUSITEMA-TORORO'!N14)</f>
        <v>0.14285714285714285</v>
      </c>
      <c r="O14" s="15">
        <f t="shared" si="0"/>
        <v>10.428571428571429</v>
      </c>
      <c r="P14" s="15">
        <f t="shared" si="1"/>
        <v>12</v>
      </c>
      <c r="R14" s="1" t="s">
        <v>10</v>
      </c>
      <c r="S14" s="17">
        <f t="shared" ref="S14:AF14" si="6">SUM(C26:C29)</f>
        <v>6.7142857142857144</v>
      </c>
      <c r="T14" s="17">
        <f t="shared" si="6"/>
        <v>10.857142857142858</v>
      </c>
      <c r="U14" s="17">
        <f t="shared" si="6"/>
        <v>4.5714285714285712</v>
      </c>
      <c r="V14" s="17">
        <f t="shared" si="6"/>
        <v>15.714285714285715</v>
      </c>
      <c r="W14" s="17">
        <f t="shared" si="6"/>
        <v>0.5714285714285714</v>
      </c>
      <c r="X14" s="17">
        <f t="shared" si="6"/>
        <v>0.14285714285714285</v>
      </c>
      <c r="Y14" s="17">
        <f t="shared" si="6"/>
        <v>1.8571428571428572</v>
      </c>
      <c r="Z14" s="17">
        <f t="shared" si="6"/>
        <v>0.8571428571428571</v>
      </c>
      <c r="AA14" s="17">
        <f t="shared" si="6"/>
        <v>2.1428571428571428</v>
      </c>
      <c r="AB14" s="17">
        <f t="shared" si="6"/>
        <v>26.714285714285715</v>
      </c>
      <c r="AC14" s="17">
        <f t="shared" si="6"/>
        <v>18.428571428571427</v>
      </c>
      <c r="AD14" s="17">
        <f t="shared" si="6"/>
        <v>0</v>
      </c>
      <c r="AE14" s="31">
        <f t="shared" si="6"/>
        <v>70.142857142857139</v>
      </c>
      <c r="AF14" s="31">
        <f t="shared" si="6"/>
        <v>88.571428571428569</v>
      </c>
    </row>
    <row r="15" spans="2:32" ht="23.1" customHeight="1" x14ac:dyDescent="0.25">
      <c r="B15" s="23" t="s">
        <v>42</v>
      </c>
      <c r="C15" s="49">
        <f>AVERAGE('22.08 TORORO-BUSITEMA'!C15,'23.08 BUSITEMA-TORORO'!C15,'25.08 BUSITEMA-TORORO'!C15,'26.08 BUSITEMA-TORORO'!C15,'24.08 BUSITEMA-TORORO-24h'!C15,'27.08 TORORO-BUSITEMA-24h'!C15,'28.08 BUSITEMA-TORORO'!C15)</f>
        <v>1.5714285714285714</v>
      </c>
      <c r="D15" s="49">
        <f>AVERAGE('22.08 TORORO-BUSITEMA'!D15,'23.08 BUSITEMA-TORORO'!D15,'25.08 BUSITEMA-TORORO'!D15,'26.08 BUSITEMA-TORORO'!D15,'24.08 BUSITEMA-TORORO-24h'!D15,'27.08 TORORO-BUSITEMA-24h'!D15,'28.08 BUSITEMA-TORORO'!D15)</f>
        <v>2.4285714285714284</v>
      </c>
      <c r="E15" s="49">
        <f>AVERAGE('22.08 TORORO-BUSITEMA'!E15,'23.08 BUSITEMA-TORORO'!E15,'25.08 BUSITEMA-TORORO'!E15,'26.08 BUSITEMA-TORORO'!E15,'24.08 BUSITEMA-TORORO-24h'!E15,'27.08 TORORO-BUSITEMA-24h'!E15,'28.08 BUSITEMA-TORORO'!E15)</f>
        <v>0.7142857142857143</v>
      </c>
      <c r="F15" s="49">
        <f>AVERAGE('22.08 TORORO-BUSITEMA'!F15,'23.08 BUSITEMA-TORORO'!F15,'25.08 BUSITEMA-TORORO'!F15,'26.08 BUSITEMA-TORORO'!F15,'24.08 BUSITEMA-TORORO-24h'!F15,'27.08 TORORO-BUSITEMA-24h'!F15,'28.08 BUSITEMA-TORORO'!F15)</f>
        <v>3.2857142857142856</v>
      </c>
      <c r="G15" s="49">
        <f>AVERAGE('22.08 TORORO-BUSITEMA'!G15,'23.08 BUSITEMA-TORORO'!G15,'25.08 BUSITEMA-TORORO'!G15,'26.08 BUSITEMA-TORORO'!G15,'24.08 BUSITEMA-TORORO-24h'!G15,'27.08 TORORO-BUSITEMA-24h'!G15,'28.08 BUSITEMA-TORORO'!G15)</f>
        <v>0</v>
      </c>
      <c r="H15" s="49">
        <f>AVERAGE('22.08 TORORO-BUSITEMA'!H15,'23.08 BUSITEMA-TORORO'!H15,'25.08 BUSITEMA-TORORO'!H15,'26.08 BUSITEMA-TORORO'!H15,'24.08 BUSITEMA-TORORO-24h'!H15,'27.08 TORORO-BUSITEMA-24h'!H15,'28.08 BUSITEMA-TORORO'!H15)</f>
        <v>0</v>
      </c>
      <c r="I15" s="49">
        <f>AVERAGE('22.08 TORORO-BUSITEMA'!I15,'23.08 BUSITEMA-TORORO'!I15,'25.08 BUSITEMA-TORORO'!I15,'26.08 BUSITEMA-TORORO'!I15,'24.08 BUSITEMA-TORORO-24h'!I15,'27.08 TORORO-BUSITEMA-24h'!I15,'28.08 BUSITEMA-TORORO'!I15)</f>
        <v>0</v>
      </c>
      <c r="J15" s="49">
        <f>AVERAGE('22.08 TORORO-BUSITEMA'!J15,'23.08 BUSITEMA-TORORO'!J15,'25.08 BUSITEMA-TORORO'!J15,'26.08 BUSITEMA-TORORO'!J15,'24.08 BUSITEMA-TORORO-24h'!J15,'27.08 TORORO-BUSITEMA-24h'!J15,'28.08 BUSITEMA-TORORO'!J15)</f>
        <v>0.2857142857142857</v>
      </c>
      <c r="K15" s="49">
        <f>AVERAGE('22.08 TORORO-BUSITEMA'!K15,'23.08 BUSITEMA-TORORO'!K15,'25.08 BUSITEMA-TORORO'!K15,'26.08 BUSITEMA-TORORO'!K15,'24.08 BUSITEMA-TORORO-24h'!K15,'27.08 TORORO-BUSITEMA-24h'!K15,'28.08 BUSITEMA-TORORO'!K15)</f>
        <v>0.14285714285714285</v>
      </c>
      <c r="L15" s="49">
        <f>AVERAGE('22.08 TORORO-BUSITEMA'!L15,'23.08 BUSITEMA-TORORO'!L15,'25.08 BUSITEMA-TORORO'!L15,'26.08 BUSITEMA-TORORO'!L15,'24.08 BUSITEMA-TORORO-24h'!L15,'27.08 TORORO-BUSITEMA-24h'!L15,'28.08 BUSITEMA-TORORO'!L15)</f>
        <v>4.7142857142857144</v>
      </c>
      <c r="M15" s="49">
        <f>AVERAGE('22.08 TORORO-BUSITEMA'!M15,'23.08 BUSITEMA-TORORO'!M15,'25.08 BUSITEMA-TORORO'!M15,'26.08 BUSITEMA-TORORO'!M15,'24.08 BUSITEMA-TORORO-24h'!M15,'27.08 TORORO-BUSITEMA-24h'!M15,'28.08 BUSITEMA-TORORO'!M15)</f>
        <v>3.7142857142857144</v>
      </c>
      <c r="N15" s="49">
        <f>AVERAGE('22.08 TORORO-BUSITEMA'!N15,'23.08 BUSITEMA-TORORO'!N15,'25.08 BUSITEMA-TORORO'!N15,'26.08 BUSITEMA-TORORO'!N15,'24.08 BUSITEMA-TORORO-24h'!N15,'27.08 TORORO-BUSITEMA-24h'!N15,'28.08 BUSITEMA-TORORO'!N15)</f>
        <v>0.14285714285714285</v>
      </c>
      <c r="O15" s="15">
        <f t="shared" si="0"/>
        <v>13.285714285714285</v>
      </c>
      <c r="P15" s="15">
        <f t="shared" si="1"/>
        <v>17</v>
      </c>
      <c r="R15" s="1" t="s">
        <v>11</v>
      </c>
      <c r="S15" s="17">
        <f t="shared" ref="S15:AF15" si="7">SUM(C30:C33)</f>
        <v>5.2857142857142856</v>
      </c>
      <c r="T15" s="17">
        <f t="shared" si="7"/>
        <v>12.285714285714286</v>
      </c>
      <c r="U15" s="17">
        <f t="shared" si="7"/>
        <v>5.5714285714285712</v>
      </c>
      <c r="V15" s="17">
        <f t="shared" si="7"/>
        <v>15.571428571428573</v>
      </c>
      <c r="W15" s="17">
        <f t="shared" si="7"/>
        <v>0.42857142857142855</v>
      </c>
      <c r="X15" s="17">
        <f t="shared" si="7"/>
        <v>0</v>
      </c>
      <c r="Y15" s="17">
        <f t="shared" si="7"/>
        <v>2.4285714285714288</v>
      </c>
      <c r="Z15" s="17">
        <f t="shared" si="7"/>
        <v>1.4285714285714284</v>
      </c>
      <c r="AA15" s="17">
        <f t="shared" si="7"/>
        <v>4.2857142857142856</v>
      </c>
      <c r="AB15" s="17">
        <f t="shared" si="7"/>
        <v>30</v>
      </c>
      <c r="AC15" s="17">
        <f t="shared" si="7"/>
        <v>14.714285714285715</v>
      </c>
      <c r="AD15" s="17">
        <f t="shared" si="7"/>
        <v>0</v>
      </c>
      <c r="AE15" s="31">
        <f t="shared" si="7"/>
        <v>77.285714285714292</v>
      </c>
      <c r="AF15" s="31">
        <f t="shared" si="7"/>
        <v>92</v>
      </c>
    </row>
    <row r="16" spans="2:32" ht="23.1" customHeight="1" x14ac:dyDescent="0.25">
      <c r="B16" s="23" t="s">
        <v>43</v>
      </c>
      <c r="C16" s="49">
        <f>AVERAGE('22.08 TORORO-BUSITEMA'!C16,'23.08 BUSITEMA-TORORO'!C16,'25.08 BUSITEMA-TORORO'!C16,'26.08 BUSITEMA-TORORO'!C16,'24.08 BUSITEMA-TORORO-24h'!C16,'27.08 TORORO-BUSITEMA-24h'!C16,'28.08 BUSITEMA-TORORO'!C16)</f>
        <v>1.7142857142857142</v>
      </c>
      <c r="D16" s="49">
        <f>AVERAGE('22.08 TORORO-BUSITEMA'!D16,'23.08 BUSITEMA-TORORO'!D16,'25.08 BUSITEMA-TORORO'!D16,'26.08 BUSITEMA-TORORO'!D16,'24.08 BUSITEMA-TORORO-24h'!D16,'27.08 TORORO-BUSITEMA-24h'!D16,'28.08 BUSITEMA-TORORO'!D16)</f>
        <v>2</v>
      </c>
      <c r="E16" s="49">
        <f>AVERAGE('22.08 TORORO-BUSITEMA'!E16,'23.08 BUSITEMA-TORORO'!E16,'25.08 BUSITEMA-TORORO'!E16,'26.08 BUSITEMA-TORORO'!E16,'24.08 BUSITEMA-TORORO-24h'!E16,'27.08 TORORO-BUSITEMA-24h'!E16,'28.08 BUSITEMA-TORORO'!E16)</f>
        <v>0.8571428571428571</v>
      </c>
      <c r="F16" s="49">
        <f>AVERAGE('22.08 TORORO-BUSITEMA'!F16,'23.08 BUSITEMA-TORORO'!F16,'25.08 BUSITEMA-TORORO'!F16,'26.08 BUSITEMA-TORORO'!F16,'24.08 BUSITEMA-TORORO-24h'!F16,'27.08 TORORO-BUSITEMA-24h'!F16,'28.08 BUSITEMA-TORORO'!F16)</f>
        <v>3.5714285714285716</v>
      </c>
      <c r="G16" s="49">
        <f>AVERAGE('22.08 TORORO-BUSITEMA'!G16,'23.08 BUSITEMA-TORORO'!G16,'25.08 BUSITEMA-TORORO'!G16,'26.08 BUSITEMA-TORORO'!G16,'24.08 BUSITEMA-TORORO-24h'!G16,'27.08 TORORO-BUSITEMA-24h'!G16,'28.08 BUSITEMA-TORORO'!G16)</f>
        <v>0</v>
      </c>
      <c r="H16" s="49">
        <f>AVERAGE('22.08 TORORO-BUSITEMA'!H16,'23.08 BUSITEMA-TORORO'!H16,'25.08 BUSITEMA-TORORO'!H16,'26.08 BUSITEMA-TORORO'!H16,'24.08 BUSITEMA-TORORO-24h'!H16,'27.08 TORORO-BUSITEMA-24h'!H16,'28.08 BUSITEMA-TORORO'!H16)</f>
        <v>0</v>
      </c>
      <c r="I16" s="49">
        <f>AVERAGE('22.08 TORORO-BUSITEMA'!I16,'23.08 BUSITEMA-TORORO'!I16,'25.08 BUSITEMA-TORORO'!I16,'26.08 BUSITEMA-TORORO'!I16,'24.08 BUSITEMA-TORORO-24h'!I16,'27.08 TORORO-BUSITEMA-24h'!I16,'28.08 BUSITEMA-TORORO'!I16)</f>
        <v>0</v>
      </c>
      <c r="J16" s="49">
        <f>AVERAGE('22.08 TORORO-BUSITEMA'!J16,'23.08 BUSITEMA-TORORO'!J16,'25.08 BUSITEMA-TORORO'!J16,'26.08 BUSITEMA-TORORO'!J16,'24.08 BUSITEMA-TORORO-24h'!J16,'27.08 TORORO-BUSITEMA-24h'!J16,'28.08 BUSITEMA-TORORO'!J16)</f>
        <v>0.8571428571428571</v>
      </c>
      <c r="K16" s="49">
        <f>AVERAGE('22.08 TORORO-BUSITEMA'!K16,'23.08 BUSITEMA-TORORO'!K16,'25.08 BUSITEMA-TORORO'!K16,'26.08 BUSITEMA-TORORO'!K16,'24.08 BUSITEMA-TORORO-24h'!K16,'27.08 TORORO-BUSITEMA-24h'!K16,'28.08 BUSITEMA-TORORO'!K16)</f>
        <v>0.2857142857142857</v>
      </c>
      <c r="L16" s="49">
        <f>AVERAGE('22.08 TORORO-BUSITEMA'!L16,'23.08 BUSITEMA-TORORO'!L16,'25.08 BUSITEMA-TORORO'!L16,'26.08 BUSITEMA-TORORO'!L16,'24.08 BUSITEMA-TORORO-24h'!L16,'27.08 TORORO-BUSITEMA-24h'!L16,'28.08 BUSITEMA-TORORO'!L16)</f>
        <v>5.7142857142857144</v>
      </c>
      <c r="M16" s="49">
        <f>AVERAGE('22.08 TORORO-BUSITEMA'!M16,'23.08 BUSITEMA-TORORO'!M16,'25.08 BUSITEMA-TORORO'!M16,'26.08 BUSITEMA-TORORO'!M16,'24.08 BUSITEMA-TORORO-24h'!M16,'27.08 TORORO-BUSITEMA-24h'!M16,'28.08 BUSITEMA-TORORO'!M16)</f>
        <v>5.2857142857142856</v>
      </c>
      <c r="N16" s="49">
        <f>AVERAGE('22.08 TORORO-BUSITEMA'!N16,'23.08 BUSITEMA-TORORO'!N16,'25.08 BUSITEMA-TORORO'!N16,'26.08 BUSITEMA-TORORO'!N16,'24.08 BUSITEMA-TORORO-24h'!N16,'27.08 TORORO-BUSITEMA-24h'!N16,'28.08 BUSITEMA-TORORO'!N16)</f>
        <v>0</v>
      </c>
      <c r="O16" s="15">
        <f t="shared" si="0"/>
        <v>15</v>
      </c>
      <c r="P16" s="15">
        <f t="shared" si="1"/>
        <v>20.285714285714285</v>
      </c>
      <c r="R16" s="1" t="s">
        <v>12</v>
      </c>
      <c r="S16" s="17">
        <f t="shared" ref="S16:AF16" si="8">SUM(C34:C37)</f>
        <v>5.8571428571428568</v>
      </c>
      <c r="T16" s="17">
        <f t="shared" si="8"/>
        <v>7</v>
      </c>
      <c r="U16" s="17">
        <f t="shared" si="8"/>
        <v>3.7142857142857144</v>
      </c>
      <c r="V16" s="17">
        <f t="shared" si="8"/>
        <v>10.285714285714285</v>
      </c>
      <c r="W16" s="17">
        <f t="shared" si="8"/>
        <v>0.14285714285714285</v>
      </c>
      <c r="X16" s="17">
        <f t="shared" si="8"/>
        <v>0</v>
      </c>
      <c r="Y16" s="17">
        <f t="shared" si="8"/>
        <v>3.1428571428571432</v>
      </c>
      <c r="Z16" s="17">
        <f t="shared" si="8"/>
        <v>1.5714285714285714</v>
      </c>
      <c r="AA16" s="17">
        <f t="shared" si="8"/>
        <v>6.1428571428571423</v>
      </c>
      <c r="AB16" s="17">
        <f t="shared" si="8"/>
        <v>21.428571428571431</v>
      </c>
      <c r="AC16" s="17">
        <f t="shared" si="8"/>
        <v>18.142857142857142</v>
      </c>
      <c r="AD16" s="17">
        <f t="shared" si="8"/>
        <v>0</v>
      </c>
      <c r="AE16" s="31">
        <f t="shared" si="8"/>
        <v>59.285714285714292</v>
      </c>
      <c r="AF16" s="31">
        <f t="shared" si="8"/>
        <v>77.428571428571431</v>
      </c>
    </row>
    <row r="17" spans="2:32" ht="23.1" customHeight="1" x14ac:dyDescent="0.25">
      <c r="B17" s="23" t="s">
        <v>44</v>
      </c>
      <c r="C17" s="49">
        <f>AVERAGE('22.08 TORORO-BUSITEMA'!C17,'23.08 BUSITEMA-TORORO'!C17,'25.08 BUSITEMA-TORORO'!C17,'26.08 BUSITEMA-TORORO'!C17,'24.08 BUSITEMA-TORORO-24h'!C17,'27.08 TORORO-BUSITEMA-24h'!C17,'28.08 BUSITEMA-TORORO'!C17)</f>
        <v>1</v>
      </c>
      <c r="D17" s="49">
        <f>AVERAGE('22.08 TORORO-BUSITEMA'!D17,'23.08 BUSITEMA-TORORO'!D17,'25.08 BUSITEMA-TORORO'!D17,'26.08 BUSITEMA-TORORO'!D17,'24.08 BUSITEMA-TORORO-24h'!D17,'27.08 TORORO-BUSITEMA-24h'!D17,'28.08 BUSITEMA-TORORO'!D17)</f>
        <v>2.7142857142857144</v>
      </c>
      <c r="E17" s="49">
        <f>AVERAGE('22.08 TORORO-BUSITEMA'!E17,'23.08 BUSITEMA-TORORO'!E17,'25.08 BUSITEMA-TORORO'!E17,'26.08 BUSITEMA-TORORO'!E17,'24.08 BUSITEMA-TORORO-24h'!E17,'27.08 TORORO-BUSITEMA-24h'!E17,'28.08 BUSITEMA-TORORO'!E17)</f>
        <v>1.1428571428571428</v>
      </c>
      <c r="F17" s="49">
        <f>AVERAGE('22.08 TORORO-BUSITEMA'!F17,'23.08 BUSITEMA-TORORO'!F17,'25.08 BUSITEMA-TORORO'!F17,'26.08 BUSITEMA-TORORO'!F17,'24.08 BUSITEMA-TORORO-24h'!F17,'27.08 TORORO-BUSITEMA-24h'!F17,'28.08 BUSITEMA-TORORO'!F17)</f>
        <v>4.7142857142857144</v>
      </c>
      <c r="G17" s="49">
        <f>AVERAGE('22.08 TORORO-BUSITEMA'!G17,'23.08 BUSITEMA-TORORO'!G17,'25.08 BUSITEMA-TORORO'!G17,'26.08 BUSITEMA-TORORO'!G17,'24.08 BUSITEMA-TORORO-24h'!G17,'27.08 TORORO-BUSITEMA-24h'!G17,'28.08 BUSITEMA-TORORO'!G17)</f>
        <v>0.14285714285714285</v>
      </c>
      <c r="H17" s="49">
        <f>AVERAGE('22.08 TORORO-BUSITEMA'!H17,'23.08 BUSITEMA-TORORO'!H17,'25.08 BUSITEMA-TORORO'!H17,'26.08 BUSITEMA-TORORO'!H17,'24.08 BUSITEMA-TORORO-24h'!H17,'27.08 TORORO-BUSITEMA-24h'!H17,'28.08 BUSITEMA-TORORO'!H17)</f>
        <v>0</v>
      </c>
      <c r="I17" s="49">
        <f>AVERAGE('22.08 TORORO-BUSITEMA'!I17,'23.08 BUSITEMA-TORORO'!I17,'25.08 BUSITEMA-TORORO'!I17,'26.08 BUSITEMA-TORORO'!I17,'24.08 BUSITEMA-TORORO-24h'!I17,'27.08 TORORO-BUSITEMA-24h'!I17,'28.08 BUSITEMA-TORORO'!I17)</f>
        <v>0</v>
      </c>
      <c r="J17" s="49">
        <f>AVERAGE('22.08 TORORO-BUSITEMA'!J17,'23.08 BUSITEMA-TORORO'!J17,'25.08 BUSITEMA-TORORO'!J17,'26.08 BUSITEMA-TORORO'!J17,'24.08 BUSITEMA-TORORO-24h'!J17,'27.08 TORORO-BUSITEMA-24h'!J17,'28.08 BUSITEMA-TORORO'!J17)</f>
        <v>0.2857142857142857</v>
      </c>
      <c r="K17" s="49">
        <f>AVERAGE('22.08 TORORO-BUSITEMA'!K17,'23.08 BUSITEMA-TORORO'!K17,'25.08 BUSITEMA-TORORO'!K17,'26.08 BUSITEMA-TORORO'!K17,'24.08 BUSITEMA-TORORO-24h'!K17,'27.08 TORORO-BUSITEMA-24h'!K17,'28.08 BUSITEMA-TORORO'!K17)</f>
        <v>0.14285714285714285</v>
      </c>
      <c r="L17" s="49">
        <f>AVERAGE('22.08 TORORO-BUSITEMA'!L17,'23.08 BUSITEMA-TORORO'!L17,'25.08 BUSITEMA-TORORO'!L17,'26.08 BUSITEMA-TORORO'!L17,'24.08 BUSITEMA-TORORO-24h'!L17,'27.08 TORORO-BUSITEMA-24h'!L17,'28.08 BUSITEMA-TORORO'!L17)</f>
        <v>9.4285714285714288</v>
      </c>
      <c r="M17" s="49">
        <f>AVERAGE('22.08 TORORO-BUSITEMA'!M17,'23.08 BUSITEMA-TORORO'!M17,'25.08 BUSITEMA-TORORO'!M17,'26.08 BUSITEMA-TORORO'!M17,'24.08 BUSITEMA-TORORO-24h'!M17,'27.08 TORORO-BUSITEMA-24h'!M17,'28.08 BUSITEMA-TORORO'!M17)</f>
        <v>3.4285714285714284</v>
      </c>
      <c r="N17" s="49">
        <f>AVERAGE('22.08 TORORO-BUSITEMA'!N17,'23.08 BUSITEMA-TORORO'!N17,'25.08 BUSITEMA-TORORO'!N17,'26.08 BUSITEMA-TORORO'!N17,'24.08 BUSITEMA-TORORO-24h'!N17,'27.08 TORORO-BUSITEMA-24h'!N17,'28.08 BUSITEMA-TORORO'!N17)</f>
        <v>0</v>
      </c>
      <c r="O17" s="15">
        <f t="shared" si="0"/>
        <v>19.571428571428573</v>
      </c>
      <c r="P17" s="15">
        <f t="shared" si="1"/>
        <v>23</v>
      </c>
      <c r="R17" s="1" t="s">
        <v>13</v>
      </c>
      <c r="S17" s="17">
        <f t="shared" ref="S17:AF17" si="9">SUM(C38:C41)</f>
        <v>4.7142857142857144</v>
      </c>
      <c r="T17" s="17">
        <f t="shared" si="9"/>
        <v>6.7142857142857144</v>
      </c>
      <c r="U17" s="17">
        <f t="shared" si="9"/>
        <v>3.4285714285714279</v>
      </c>
      <c r="V17" s="17">
        <f t="shared" si="9"/>
        <v>18.714285714285712</v>
      </c>
      <c r="W17" s="17">
        <f t="shared" si="9"/>
        <v>0.2857142857142857</v>
      </c>
      <c r="X17" s="17">
        <f t="shared" si="9"/>
        <v>1.4285714285714286</v>
      </c>
      <c r="Y17" s="17">
        <f t="shared" si="9"/>
        <v>4.2857142857142856</v>
      </c>
      <c r="Z17" s="17">
        <f t="shared" si="9"/>
        <v>2.5714285714285712</v>
      </c>
      <c r="AA17" s="17">
        <f t="shared" si="9"/>
        <v>5.8571428571428568</v>
      </c>
      <c r="AB17" s="17">
        <f t="shared" si="9"/>
        <v>22.428571428571427</v>
      </c>
      <c r="AC17" s="17">
        <f t="shared" si="9"/>
        <v>17.714285714285715</v>
      </c>
      <c r="AD17" s="17">
        <f t="shared" si="9"/>
        <v>0</v>
      </c>
      <c r="AE17" s="31">
        <f t="shared" si="9"/>
        <v>70.428571428571416</v>
      </c>
      <c r="AF17" s="31">
        <f t="shared" si="9"/>
        <v>88.142857142857139</v>
      </c>
    </row>
    <row r="18" spans="2:32" ht="23.1" customHeight="1" x14ac:dyDescent="0.25">
      <c r="B18" s="23" t="s">
        <v>45</v>
      </c>
      <c r="C18" s="49">
        <f>AVERAGE('22.08 TORORO-BUSITEMA'!C18,'23.08 BUSITEMA-TORORO'!C18,'25.08 BUSITEMA-TORORO'!C18,'26.08 BUSITEMA-TORORO'!C18,'24.08 BUSITEMA-TORORO-24h'!C18,'27.08 TORORO-BUSITEMA-24h'!C18,'28.08 BUSITEMA-TORORO'!C18)</f>
        <v>0.5714285714285714</v>
      </c>
      <c r="D18" s="49">
        <f>AVERAGE('22.08 TORORO-BUSITEMA'!D18,'23.08 BUSITEMA-TORORO'!D18,'25.08 BUSITEMA-TORORO'!D18,'26.08 BUSITEMA-TORORO'!D18,'24.08 BUSITEMA-TORORO-24h'!D18,'27.08 TORORO-BUSITEMA-24h'!D18,'28.08 BUSITEMA-TORORO'!D18)</f>
        <v>1.8571428571428572</v>
      </c>
      <c r="E18" s="49">
        <f>AVERAGE('22.08 TORORO-BUSITEMA'!E18,'23.08 BUSITEMA-TORORO'!E18,'25.08 BUSITEMA-TORORO'!E18,'26.08 BUSITEMA-TORORO'!E18,'24.08 BUSITEMA-TORORO-24h'!E18,'27.08 TORORO-BUSITEMA-24h'!E18,'28.08 BUSITEMA-TORORO'!E18)</f>
        <v>0.2857142857142857</v>
      </c>
      <c r="F18" s="49">
        <f>AVERAGE('22.08 TORORO-BUSITEMA'!F18,'23.08 BUSITEMA-TORORO'!F18,'25.08 BUSITEMA-TORORO'!F18,'26.08 BUSITEMA-TORORO'!F18,'24.08 BUSITEMA-TORORO-24h'!F18,'27.08 TORORO-BUSITEMA-24h'!F18,'28.08 BUSITEMA-TORORO'!F18)</f>
        <v>2.1428571428571428</v>
      </c>
      <c r="G18" s="49">
        <f>AVERAGE('22.08 TORORO-BUSITEMA'!G18,'23.08 BUSITEMA-TORORO'!G18,'25.08 BUSITEMA-TORORO'!G18,'26.08 BUSITEMA-TORORO'!G18,'24.08 BUSITEMA-TORORO-24h'!G18,'27.08 TORORO-BUSITEMA-24h'!G18,'28.08 BUSITEMA-TORORO'!G18)</f>
        <v>0.2857142857142857</v>
      </c>
      <c r="H18" s="49">
        <f>AVERAGE('22.08 TORORO-BUSITEMA'!H18,'23.08 BUSITEMA-TORORO'!H18,'25.08 BUSITEMA-TORORO'!H18,'26.08 BUSITEMA-TORORO'!H18,'24.08 BUSITEMA-TORORO-24h'!H18,'27.08 TORORO-BUSITEMA-24h'!H18,'28.08 BUSITEMA-TORORO'!H18)</f>
        <v>0</v>
      </c>
      <c r="I18" s="49">
        <f>AVERAGE('22.08 TORORO-BUSITEMA'!I18,'23.08 BUSITEMA-TORORO'!I18,'25.08 BUSITEMA-TORORO'!I18,'26.08 BUSITEMA-TORORO'!I18,'24.08 BUSITEMA-TORORO-24h'!I18,'27.08 TORORO-BUSITEMA-24h'!I18,'28.08 BUSITEMA-TORORO'!I18)</f>
        <v>0.5714285714285714</v>
      </c>
      <c r="J18" s="49">
        <f>AVERAGE('22.08 TORORO-BUSITEMA'!J18,'23.08 BUSITEMA-TORORO'!J18,'25.08 BUSITEMA-TORORO'!J18,'26.08 BUSITEMA-TORORO'!J18,'24.08 BUSITEMA-TORORO-24h'!J18,'27.08 TORORO-BUSITEMA-24h'!J18,'28.08 BUSITEMA-TORORO'!J18)</f>
        <v>0.2857142857142857</v>
      </c>
      <c r="K18" s="49">
        <f>AVERAGE('22.08 TORORO-BUSITEMA'!K18,'23.08 BUSITEMA-TORORO'!K18,'25.08 BUSITEMA-TORORO'!K18,'26.08 BUSITEMA-TORORO'!K18,'24.08 BUSITEMA-TORORO-24h'!K18,'27.08 TORORO-BUSITEMA-24h'!K18,'28.08 BUSITEMA-TORORO'!K18)</f>
        <v>0.42857142857142855</v>
      </c>
      <c r="L18" s="49">
        <f>AVERAGE('22.08 TORORO-BUSITEMA'!L18,'23.08 BUSITEMA-TORORO'!L18,'25.08 BUSITEMA-TORORO'!L18,'26.08 BUSITEMA-TORORO'!L18,'24.08 BUSITEMA-TORORO-24h'!L18,'27.08 TORORO-BUSITEMA-24h'!L18,'28.08 BUSITEMA-TORORO'!L18)</f>
        <v>4.4285714285714288</v>
      </c>
      <c r="M18" s="49">
        <f>AVERAGE('22.08 TORORO-BUSITEMA'!M18,'23.08 BUSITEMA-TORORO'!M18,'25.08 BUSITEMA-TORORO'!M18,'26.08 BUSITEMA-TORORO'!M18,'24.08 BUSITEMA-TORORO-24h'!M18,'27.08 TORORO-BUSITEMA-24h'!M18,'28.08 BUSITEMA-TORORO'!M18)</f>
        <v>4.5714285714285712</v>
      </c>
      <c r="N18" s="49">
        <f>AVERAGE('22.08 TORORO-BUSITEMA'!N18,'23.08 BUSITEMA-TORORO'!N18,'25.08 BUSITEMA-TORORO'!N18,'26.08 BUSITEMA-TORORO'!N18,'24.08 BUSITEMA-TORORO-24h'!N18,'27.08 TORORO-BUSITEMA-24h'!N18,'28.08 BUSITEMA-TORORO'!N18)</f>
        <v>0</v>
      </c>
      <c r="O18" s="15">
        <f t="shared" si="0"/>
        <v>10.857142857142858</v>
      </c>
      <c r="P18" s="15">
        <f t="shared" si="1"/>
        <v>15.428571428571429</v>
      </c>
      <c r="R18" s="1" t="s">
        <v>14</v>
      </c>
      <c r="S18" s="17">
        <f t="shared" ref="S18:AF18" si="10">SUM(C42:C45)</f>
        <v>6.1428571428571423</v>
      </c>
      <c r="T18" s="17">
        <f t="shared" si="10"/>
        <v>8.2857142857142865</v>
      </c>
      <c r="U18" s="17">
        <f t="shared" si="10"/>
        <v>4.1428571428571432</v>
      </c>
      <c r="V18" s="17">
        <f t="shared" si="10"/>
        <v>18.857142857142858</v>
      </c>
      <c r="W18" s="17">
        <f t="shared" si="10"/>
        <v>0.2857142857142857</v>
      </c>
      <c r="X18" s="17">
        <f t="shared" si="10"/>
        <v>0.42857142857142855</v>
      </c>
      <c r="Y18" s="17">
        <f t="shared" si="10"/>
        <v>5.4285714285714288</v>
      </c>
      <c r="Z18" s="17">
        <f t="shared" si="10"/>
        <v>2.8571428571428572</v>
      </c>
      <c r="AA18" s="17">
        <f t="shared" si="10"/>
        <v>3.2857142857142856</v>
      </c>
      <c r="AB18" s="17">
        <f t="shared" si="10"/>
        <v>39.142857142857139</v>
      </c>
      <c r="AC18" s="17">
        <f t="shared" si="10"/>
        <v>19.571428571428573</v>
      </c>
      <c r="AD18" s="17">
        <f t="shared" si="10"/>
        <v>0</v>
      </c>
      <c r="AE18" s="31">
        <f t="shared" si="10"/>
        <v>88.857142857142861</v>
      </c>
      <c r="AF18" s="31">
        <f t="shared" si="10"/>
        <v>108.42857142857143</v>
      </c>
    </row>
    <row r="19" spans="2:32" ht="23.1" customHeight="1" x14ac:dyDescent="0.25">
      <c r="B19" s="23" t="s">
        <v>46</v>
      </c>
      <c r="C19" s="49">
        <f>AVERAGE('22.08 TORORO-BUSITEMA'!C19,'23.08 BUSITEMA-TORORO'!C19,'25.08 BUSITEMA-TORORO'!C19,'26.08 BUSITEMA-TORORO'!C19,'24.08 BUSITEMA-TORORO-24h'!C19,'27.08 TORORO-BUSITEMA-24h'!C19,'28.08 BUSITEMA-TORORO'!C19)</f>
        <v>2.1428571428571428</v>
      </c>
      <c r="D19" s="49">
        <f>AVERAGE('22.08 TORORO-BUSITEMA'!D19,'23.08 BUSITEMA-TORORO'!D19,'25.08 BUSITEMA-TORORO'!D19,'26.08 BUSITEMA-TORORO'!D19,'24.08 BUSITEMA-TORORO-24h'!D19,'27.08 TORORO-BUSITEMA-24h'!D19,'28.08 BUSITEMA-TORORO'!D19)</f>
        <v>2.8571428571428572</v>
      </c>
      <c r="E19" s="49">
        <f>AVERAGE('22.08 TORORO-BUSITEMA'!E19,'23.08 BUSITEMA-TORORO'!E19,'25.08 BUSITEMA-TORORO'!E19,'26.08 BUSITEMA-TORORO'!E19,'24.08 BUSITEMA-TORORO-24h'!E19,'27.08 TORORO-BUSITEMA-24h'!E19,'28.08 BUSITEMA-TORORO'!E19)</f>
        <v>2</v>
      </c>
      <c r="F19" s="49">
        <f>AVERAGE('22.08 TORORO-BUSITEMA'!F19,'23.08 BUSITEMA-TORORO'!F19,'25.08 BUSITEMA-TORORO'!F19,'26.08 BUSITEMA-TORORO'!F19,'24.08 BUSITEMA-TORORO-24h'!F19,'27.08 TORORO-BUSITEMA-24h'!F19,'28.08 BUSITEMA-TORORO'!F19)</f>
        <v>3.8571428571428572</v>
      </c>
      <c r="G19" s="49">
        <f>AVERAGE('22.08 TORORO-BUSITEMA'!G19,'23.08 BUSITEMA-TORORO'!G19,'25.08 BUSITEMA-TORORO'!G19,'26.08 BUSITEMA-TORORO'!G19,'24.08 BUSITEMA-TORORO-24h'!G19,'27.08 TORORO-BUSITEMA-24h'!G19,'28.08 BUSITEMA-TORORO'!G19)</f>
        <v>0</v>
      </c>
      <c r="H19" s="49">
        <f>AVERAGE('22.08 TORORO-BUSITEMA'!H19,'23.08 BUSITEMA-TORORO'!H19,'25.08 BUSITEMA-TORORO'!H19,'26.08 BUSITEMA-TORORO'!H19,'24.08 BUSITEMA-TORORO-24h'!H19,'27.08 TORORO-BUSITEMA-24h'!H19,'28.08 BUSITEMA-TORORO'!H19)</f>
        <v>0</v>
      </c>
      <c r="I19" s="49">
        <f>AVERAGE('22.08 TORORO-BUSITEMA'!I19,'23.08 BUSITEMA-TORORO'!I19,'25.08 BUSITEMA-TORORO'!I19,'26.08 BUSITEMA-TORORO'!I19,'24.08 BUSITEMA-TORORO-24h'!I19,'27.08 TORORO-BUSITEMA-24h'!I19,'28.08 BUSITEMA-TORORO'!I19)</f>
        <v>1.2857142857142858</v>
      </c>
      <c r="J19" s="49">
        <f>AVERAGE('22.08 TORORO-BUSITEMA'!J19,'23.08 BUSITEMA-TORORO'!J19,'25.08 BUSITEMA-TORORO'!J19,'26.08 BUSITEMA-TORORO'!J19,'24.08 BUSITEMA-TORORO-24h'!J19,'27.08 TORORO-BUSITEMA-24h'!J19,'28.08 BUSITEMA-TORORO'!J19)</f>
        <v>0.2857142857142857</v>
      </c>
      <c r="K19" s="49">
        <f>AVERAGE('22.08 TORORO-BUSITEMA'!K19,'23.08 BUSITEMA-TORORO'!K19,'25.08 BUSITEMA-TORORO'!K19,'26.08 BUSITEMA-TORORO'!K19,'24.08 BUSITEMA-TORORO-24h'!K19,'27.08 TORORO-BUSITEMA-24h'!K19,'28.08 BUSITEMA-TORORO'!K19)</f>
        <v>0.42857142857142855</v>
      </c>
      <c r="L19" s="49">
        <f>AVERAGE('22.08 TORORO-BUSITEMA'!L19,'23.08 BUSITEMA-TORORO'!L19,'25.08 BUSITEMA-TORORO'!L19,'26.08 BUSITEMA-TORORO'!L19,'24.08 BUSITEMA-TORORO-24h'!L19,'27.08 TORORO-BUSITEMA-24h'!L19,'28.08 BUSITEMA-TORORO'!L19)</f>
        <v>8.4285714285714288</v>
      </c>
      <c r="M19" s="49">
        <f>AVERAGE('22.08 TORORO-BUSITEMA'!M19,'23.08 BUSITEMA-TORORO'!M19,'25.08 BUSITEMA-TORORO'!M19,'26.08 BUSITEMA-TORORO'!M19,'24.08 BUSITEMA-TORORO-24h'!M19,'27.08 TORORO-BUSITEMA-24h'!M19,'28.08 BUSITEMA-TORORO'!M19)</f>
        <v>3.5714285714285716</v>
      </c>
      <c r="N19" s="49">
        <f>AVERAGE('22.08 TORORO-BUSITEMA'!N19,'23.08 BUSITEMA-TORORO'!N19,'25.08 BUSITEMA-TORORO'!N19,'26.08 BUSITEMA-TORORO'!N19,'24.08 BUSITEMA-TORORO-24h'!N19,'27.08 TORORO-BUSITEMA-24h'!N19,'28.08 BUSITEMA-TORORO'!N19)</f>
        <v>0</v>
      </c>
      <c r="O19" s="15">
        <f t="shared" si="0"/>
        <v>21.285714285714288</v>
      </c>
      <c r="P19" s="15">
        <f t="shared" si="1"/>
        <v>24.857142857142861</v>
      </c>
      <c r="R19" s="1" t="s">
        <v>15</v>
      </c>
      <c r="S19" s="17">
        <f t="shared" ref="S19:AF19" si="11">SUM(C46:C49)</f>
        <v>6.1428571428571423</v>
      </c>
      <c r="T19" s="17">
        <f t="shared" si="11"/>
        <v>8.7142857142857135</v>
      </c>
      <c r="U19" s="17">
        <f t="shared" si="11"/>
        <v>3.4285714285714284</v>
      </c>
      <c r="V19" s="17">
        <f t="shared" si="11"/>
        <v>12.142857142857142</v>
      </c>
      <c r="W19" s="17">
        <f t="shared" si="11"/>
        <v>0</v>
      </c>
      <c r="X19" s="17">
        <f t="shared" si="11"/>
        <v>0.14285714285714285</v>
      </c>
      <c r="Y19" s="17">
        <f t="shared" si="11"/>
        <v>2.8571428571428572</v>
      </c>
      <c r="Z19" s="17">
        <f t="shared" si="11"/>
        <v>1.1428571428571428</v>
      </c>
      <c r="AA19" s="17">
        <f t="shared" si="11"/>
        <v>1.7142857142857142</v>
      </c>
      <c r="AB19" s="17">
        <f t="shared" si="11"/>
        <v>35.857142857142854</v>
      </c>
      <c r="AC19" s="17">
        <f t="shared" si="11"/>
        <v>13.999999999999998</v>
      </c>
      <c r="AD19" s="17">
        <f t="shared" si="11"/>
        <v>0</v>
      </c>
      <c r="AE19" s="31">
        <f t="shared" si="11"/>
        <v>72.142857142857139</v>
      </c>
      <c r="AF19" s="31">
        <f t="shared" si="11"/>
        <v>86.142857142857139</v>
      </c>
    </row>
    <row r="20" spans="2:32" ht="23.1" customHeight="1" x14ac:dyDescent="0.25">
      <c r="B20" s="23" t="s">
        <v>47</v>
      </c>
      <c r="C20" s="49">
        <f>AVERAGE('22.08 TORORO-BUSITEMA'!C20,'23.08 BUSITEMA-TORORO'!C20,'25.08 BUSITEMA-TORORO'!C20,'26.08 BUSITEMA-TORORO'!C20,'24.08 BUSITEMA-TORORO-24h'!C20,'27.08 TORORO-BUSITEMA-24h'!C20,'28.08 BUSITEMA-TORORO'!C20)</f>
        <v>0.5714285714285714</v>
      </c>
      <c r="D20" s="49">
        <f>AVERAGE('22.08 TORORO-BUSITEMA'!D20,'23.08 BUSITEMA-TORORO'!D20,'25.08 BUSITEMA-TORORO'!D20,'26.08 BUSITEMA-TORORO'!D20,'24.08 BUSITEMA-TORORO-24h'!D20,'27.08 TORORO-BUSITEMA-24h'!D20,'28.08 BUSITEMA-TORORO'!D20)</f>
        <v>3</v>
      </c>
      <c r="E20" s="49">
        <f>AVERAGE('22.08 TORORO-BUSITEMA'!E20,'23.08 BUSITEMA-TORORO'!E20,'25.08 BUSITEMA-TORORO'!E20,'26.08 BUSITEMA-TORORO'!E20,'24.08 BUSITEMA-TORORO-24h'!E20,'27.08 TORORO-BUSITEMA-24h'!E20,'28.08 BUSITEMA-TORORO'!E20)</f>
        <v>0.7142857142857143</v>
      </c>
      <c r="F20" s="49">
        <f>AVERAGE('22.08 TORORO-BUSITEMA'!F20,'23.08 BUSITEMA-TORORO'!F20,'25.08 BUSITEMA-TORORO'!F20,'26.08 BUSITEMA-TORORO'!F20,'24.08 BUSITEMA-TORORO-24h'!F20,'27.08 TORORO-BUSITEMA-24h'!F20,'28.08 BUSITEMA-TORORO'!F20)</f>
        <v>4.7142857142857144</v>
      </c>
      <c r="G20" s="49">
        <f>AVERAGE('22.08 TORORO-BUSITEMA'!G20,'23.08 BUSITEMA-TORORO'!G20,'25.08 BUSITEMA-TORORO'!G20,'26.08 BUSITEMA-TORORO'!G20,'24.08 BUSITEMA-TORORO-24h'!G20,'27.08 TORORO-BUSITEMA-24h'!G20,'28.08 BUSITEMA-TORORO'!G20)</f>
        <v>0</v>
      </c>
      <c r="H20" s="49">
        <f>AVERAGE('22.08 TORORO-BUSITEMA'!H20,'23.08 BUSITEMA-TORORO'!H20,'25.08 BUSITEMA-TORORO'!H20,'26.08 BUSITEMA-TORORO'!H20,'24.08 BUSITEMA-TORORO-24h'!H20,'27.08 TORORO-BUSITEMA-24h'!H20,'28.08 BUSITEMA-TORORO'!H20)</f>
        <v>0.14285714285714285</v>
      </c>
      <c r="I20" s="49">
        <f>AVERAGE('22.08 TORORO-BUSITEMA'!I20,'23.08 BUSITEMA-TORORO'!I20,'25.08 BUSITEMA-TORORO'!I20,'26.08 BUSITEMA-TORORO'!I20,'24.08 BUSITEMA-TORORO-24h'!I20,'27.08 TORORO-BUSITEMA-24h'!I20,'28.08 BUSITEMA-TORORO'!I20)</f>
        <v>0.7142857142857143</v>
      </c>
      <c r="J20" s="49">
        <f>AVERAGE('22.08 TORORO-BUSITEMA'!J20,'23.08 BUSITEMA-TORORO'!J20,'25.08 BUSITEMA-TORORO'!J20,'26.08 BUSITEMA-TORORO'!J20,'24.08 BUSITEMA-TORORO-24h'!J20,'27.08 TORORO-BUSITEMA-24h'!J20,'28.08 BUSITEMA-TORORO'!J20)</f>
        <v>0</v>
      </c>
      <c r="K20" s="49">
        <f>AVERAGE('22.08 TORORO-BUSITEMA'!K20,'23.08 BUSITEMA-TORORO'!K20,'25.08 BUSITEMA-TORORO'!K20,'26.08 BUSITEMA-TORORO'!K20,'24.08 BUSITEMA-TORORO-24h'!K20,'27.08 TORORO-BUSITEMA-24h'!K20,'28.08 BUSITEMA-TORORO'!K20)</f>
        <v>0.7142857142857143</v>
      </c>
      <c r="L20" s="49">
        <f>AVERAGE('22.08 TORORO-BUSITEMA'!L20,'23.08 BUSITEMA-TORORO'!L20,'25.08 BUSITEMA-TORORO'!L20,'26.08 BUSITEMA-TORORO'!L20,'24.08 BUSITEMA-TORORO-24h'!L20,'27.08 TORORO-BUSITEMA-24h'!L20,'28.08 BUSITEMA-TORORO'!L20)</f>
        <v>6.5714285714285712</v>
      </c>
      <c r="M20" s="49">
        <f>AVERAGE('22.08 TORORO-BUSITEMA'!M20,'23.08 BUSITEMA-TORORO'!M20,'25.08 BUSITEMA-TORORO'!M20,'26.08 BUSITEMA-TORORO'!M20,'24.08 BUSITEMA-TORORO-24h'!M20,'27.08 TORORO-BUSITEMA-24h'!M20,'28.08 BUSITEMA-TORORO'!M20)</f>
        <v>5.1428571428571432</v>
      </c>
      <c r="N20" s="49">
        <f>AVERAGE('22.08 TORORO-BUSITEMA'!N20,'23.08 BUSITEMA-TORORO'!N20,'25.08 BUSITEMA-TORORO'!N20,'26.08 BUSITEMA-TORORO'!N20,'24.08 BUSITEMA-TORORO-24h'!N20,'27.08 TORORO-BUSITEMA-24h'!N20,'28.08 BUSITEMA-TORORO'!N20)</f>
        <v>0</v>
      </c>
      <c r="O20" s="15">
        <f t="shared" si="0"/>
        <v>17.142857142857139</v>
      </c>
      <c r="P20" s="15">
        <f t="shared" si="1"/>
        <v>22.285714285714281</v>
      </c>
      <c r="R20" s="1" t="s">
        <v>16</v>
      </c>
      <c r="S20" s="17">
        <f t="shared" ref="S20:AF20" si="12">SUM(C50:C53)</f>
        <v>9.4285714285714288</v>
      </c>
      <c r="T20" s="17">
        <f t="shared" si="12"/>
        <v>12</v>
      </c>
      <c r="U20" s="17">
        <f t="shared" si="12"/>
        <v>5.2857142857142856</v>
      </c>
      <c r="V20" s="17">
        <f t="shared" si="12"/>
        <v>15.285714285714286</v>
      </c>
      <c r="W20" s="17">
        <f t="shared" si="12"/>
        <v>0.42857142857142855</v>
      </c>
      <c r="X20" s="17">
        <f t="shared" si="12"/>
        <v>0.2857142857142857</v>
      </c>
      <c r="Y20" s="17">
        <f t="shared" si="12"/>
        <v>6.5714285714285712</v>
      </c>
      <c r="Z20" s="17">
        <f t="shared" si="12"/>
        <v>4</v>
      </c>
      <c r="AA20" s="17">
        <f t="shared" si="12"/>
        <v>4.7142857142857144</v>
      </c>
      <c r="AB20" s="17">
        <f t="shared" si="12"/>
        <v>45.571428571428569</v>
      </c>
      <c r="AC20" s="17">
        <f t="shared" si="12"/>
        <v>22.285714285714285</v>
      </c>
      <c r="AD20" s="17">
        <f t="shared" si="12"/>
        <v>0</v>
      </c>
      <c r="AE20" s="31">
        <f t="shared" si="12"/>
        <v>103.57142857142857</v>
      </c>
      <c r="AF20" s="31">
        <f t="shared" si="12"/>
        <v>125.85714285714285</v>
      </c>
    </row>
    <row r="21" spans="2:32" ht="23.1" customHeight="1" x14ac:dyDescent="0.25">
      <c r="B21" s="23" t="s">
        <v>48</v>
      </c>
      <c r="C21" s="49">
        <f>AVERAGE('22.08 TORORO-BUSITEMA'!C21,'23.08 BUSITEMA-TORORO'!C21,'25.08 BUSITEMA-TORORO'!C21,'26.08 BUSITEMA-TORORO'!C21,'24.08 BUSITEMA-TORORO-24h'!C21,'27.08 TORORO-BUSITEMA-24h'!C21,'28.08 BUSITEMA-TORORO'!C21)</f>
        <v>0.2857142857142857</v>
      </c>
      <c r="D21" s="49">
        <f>AVERAGE('22.08 TORORO-BUSITEMA'!D21,'23.08 BUSITEMA-TORORO'!D21,'25.08 BUSITEMA-TORORO'!D21,'26.08 BUSITEMA-TORORO'!D21,'24.08 BUSITEMA-TORORO-24h'!D21,'27.08 TORORO-BUSITEMA-24h'!D21,'28.08 BUSITEMA-TORORO'!D21)</f>
        <v>1.7142857142857142</v>
      </c>
      <c r="E21" s="49">
        <f>AVERAGE('22.08 TORORO-BUSITEMA'!E21,'23.08 BUSITEMA-TORORO'!E21,'25.08 BUSITEMA-TORORO'!E21,'26.08 BUSITEMA-TORORO'!E21,'24.08 BUSITEMA-TORORO-24h'!E21,'27.08 TORORO-BUSITEMA-24h'!E21,'28.08 BUSITEMA-TORORO'!E21)</f>
        <v>0.42857142857142855</v>
      </c>
      <c r="F21" s="49">
        <f>AVERAGE('22.08 TORORO-BUSITEMA'!F21,'23.08 BUSITEMA-TORORO'!F21,'25.08 BUSITEMA-TORORO'!F21,'26.08 BUSITEMA-TORORO'!F21,'24.08 BUSITEMA-TORORO-24h'!F21,'27.08 TORORO-BUSITEMA-24h'!F21,'28.08 BUSITEMA-TORORO'!F21)</f>
        <v>2.7142857142857144</v>
      </c>
      <c r="G21" s="49">
        <f>AVERAGE('22.08 TORORO-BUSITEMA'!G21,'23.08 BUSITEMA-TORORO'!G21,'25.08 BUSITEMA-TORORO'!G21,'26.08 BUSITEMA-TORORO'!G21,'24.08 BUSITEMA-TORORO-24h'!G21,'27.08 TORORO-BUSITEMA-24h'!G21,'28.08 BUSITEMA-TORORO'!G21)</f>
        <v>0</v>
      </c>
      <c r="H21" s="49">
        <f>AVERAGE('22.08 TORORO-BUSITEMA'!H21,'23.08 BUSITEMA-TORORO'!H21,'25.08 BUSITEMA-TORORO'!H21,'26.08 BUSITEMA-TORORO'!H21,'24.08 BUSITEMA-TORORO-24h'!H21,'27.08 TORORO-BUSITEMA-24h'!H21,'28.08 BUSITEMA-TORORO'!H21)</f>
        <v>0</v>
      </c>
      <c r="I21" s="49">
        <f>AVERAGE('22.08 TORORO-BUSITEMA'!I21,'23.08 BUSITEMA-TORORO'!I21,'25.08 BUSITEMA-TORORO'!I21,'26.08 BUSITEMA-TORORO'!I21,'24.08 BUSITEMA-TORORO-24h'!I21,'27.08 TORORO-BUSITEMA-24h'!I21,'28.08 BUSITEMA-TORORO'!I21)</f>
        <v>0.5714285714285714</v>
      </c>
      <c r="J21" s="49">
        <f>AVERAGE('22.08 TORORO-BUSITEMA'!J21,'23.08 BUSITEMA-TORORO'!J21,'25.08 BUSITEMA-TORORO'!J21,'26.08 BUSITEMA-TORORO'!J21,'24.08 BUSITEMA-TORORO-24h'!J21,'27.08 TORORO-BUSITEMA-24h'!J21,'28.08 BUSITEMA-TORORO'!J21)</f>
        <v>0</v>
      </c>
      <c r="K21" s="49">
        <f>AVERAGE('22.08 TORORO-BUSITEMA'!K21,'23.08 BUSITEMA-TORORO'!K21,'25.08 BUSITEMA-TORORO'!K21,'26.08 BUSITEMA-TORORO'!K21,'24.08 BUSITEMA-TORORO-24h'!K21,'27.08 TORORO-BUSITEMA-24h'!K21,'28.08 BUSITEMA-TORORO'!K21)</f>
        <v>0.42857142857142855</v>
      </c>
      <c r="L21" s="49">
        <f>AVERAGE('22.08 TORORO-BUSITEMA'!L21,'23.08 BUSITEMA-TORORO'!L21,'25.08 BUSITEMA-TORORO'!L21,'26.08 BUSITEMA-TORORO'!L21,'24.08 BUSITEMA-TORORO-24h'!L21,'27.08 TORORO-BUSITEMA-24h'!L21,'28.08 BUSITEMA-TORORO'!L21)</f>
        <v>3.5714285714285716</v>
      </c>
      <c r="M21" s="49">
        <f>AVERAGE('22.08 TORORO-BUSITEMA'!M21,'23.08 BUSITEMA-TORORO'!M21,'25.08 BUSITEMA-TORORO'!M21,'26.08 BUSITEMA-TORORO'!M21,'24.08 BUSITEMA-TORORO-24h'!M21,'27.08 TORORO-BUSITEMA-24h'!M21,'28.08 BUSITEMA-TORORO'!M21)</f>
        <v>4</v>
      </c>
      <c r="N21" s="49">
        <f>AVERAGE('22.08 TORORO-BUSITEMA'!N21,'23.08 BUSITEMA-TORORO'!N21,'25.08 BUSITEMA-TORORO'!N21,'26.08 BUSITEMA-TORORO'!N21,'24.08 BUSITEMA-TORORO-24h'!N21,'27.08 TORORO-BUSITEMA-24h'!N21,'28.08 BUSITEMA-TORORO'!N21)</f>
        <v>0</v>
      </c>
      <c r="O21" s="15">
        <f t="shared" si="0"/>
        <v>9.7142857142857135</v>
      </c>
      <c r="P21" s="15">
        <f t="shared" si="1"/>
        <v>13.714285714285714</v>
      </c>
      <c r="R21" s="36" t="s">
        <v>20</v>
      </c>
      <c r="S21" s="34">
        <f t="shared" ref="S21:AF21" si="13">SUM(C54:C57)</f>
        <v>8.5714285714285712</v>
      </c>
      <c r="T21" s="17">
        <f t="shared" si="13"/>
        <v>10</v>
      </c>
      <c r="U21" s="17">
        <f t="shared" si="13"/>
        <v>8.5714285714285712</v>
      </c>
      <c r="V21" s="17">
        <f t="shared" si="13"/>
        <v>21.571428571428573</v>
      </c>
      <c r="W21" s="17">
        <f t="shared" si="13"/>
        <v>0.14285714285714285</v>
      </c>
      <c r="X21" s="17">
        <f t="shared" si="13"/>
        <v>0.71428571428571419</v>
      </c>
      <c r="Y21" s="17">
        <f t="shared" si="13"/>
        <v>7.7142857142857144</v>
      </c>
      <c r="Z21" s="17">
        <f t="shared" si="13"/>
        <v>4.7142857142857144</v>
      </c>
      <c r="AA21" s="17">
        <f t="shared" si="13"/>
        <v>5.7142857142857144</v>
      </c>
      <c r="AB21" s="17">
        <f t="shared" si="13"/>
        <v>56</v>
      </c>
      <c r="AC21" s="17">
        <f t="shared" si="13"/>
        <v>23.142857142857142</v>
      </c>
      <c r="AD21" s="17">
        <f t="shared" si="13"/>
        <v>0</v>
      </c>
      <c r="AE21" s="31">
        <f t="shared" si="13"/>
        <v>123.71428571428571</v>
      </c>
      <c r="AF21" s="31">
        <f t="shared" si="13"/>
        <v>146.85714285714286</v>
      </c>
    </row>
    <row r="22" spans="2:32" ht="23.1" customHeight="1" x14ac:dyDescent="0.25">
      <c r="B22" s="23" t="s">
        <v>49</v>
      </c>
      <c r="C22" s="49">
        <f>AVERAGE('22.08 TORORO-BUSITEMA'!C22,'23.08 BUSITEMA-TORORO'!C22,'25.08 BUSITEMA-TORORO'!C22,'26.08 BUSITEMA-TORORO'!C22,'24.08 BUSITEMA-TORORO-24h'!C22,'27.08 TORORO-BUSITEMA-24h'!C22,'28.08 BUSITEMA-TORORO'!C22)</f>
        <v>1</v>
      </c>
      <c r="D22" s="49">
        <f>AVERAGE('22.08 TORORO-BUSITEMA'!D22,'23.08 BUSITEMA-TORORO'!D22,'25.08 BUSITEMA-TORORO'!D22,'26.08 BUSITEMA-TORORO'!D22,'24.08 BUSITEMA-TORORO-24h'!D22,'27.08 TORORO-BUSITEMA-24h'!D22,'28.08 BUSITEMA-TORORO'!D22)</f>
        <v>1.5714285714285714</v>
      </c>
      <c r="E22" s="49">
        <f>AVERAGE('22.08 TORORO-BUSITEMA'!E22,'23.08 BUSITEMA-TORORO'!E22,'25.08 BUSITEMA-TORORO'!E22,'26.08 BUSITEMA-TORORO'!E22,'24.08 BUSITEMA-TORORO-24h'!E22,'27.08 TORORO-BUSITEMA-24h'!E22,'28.08 BUSITEMA-TORORO'!E22)</f>
        <v>0.42857142857142855</v>
      </c>
      <c r="F22" s="49">
        <f>AVERAGE('22.08 TORORO-BUSITEMA'!F22,'23.08 BUSITEMA-TORORO'!F22,'25.08 BUSITEMA-TORORO'!F22,'26.08 BUSITEMA-TORORO'!F22,'24.08 BUSITEMA-TORORO-24h'!F22,'27.08 TORORO-BUSITEMA-24h'!F22,'28.08 BUSITEMA-TORORO'!F22)</f>
        <v>3.7142857142857144</v>
      </c>
      <c r="G22" s="49">
        <f>AVERAGE('22.08 TORORO-BUSITEMA'!G22,'23.08 BUSITEMA-TORORO'!G22,'25.08 BUSITEMA-TORORO'!G22,'26.08 BUSITEMA-TORORO'!G22,'24.08 BUSITEMA-TORORO-24h'!G22,'27.08 TORORO-BUSITEMA-24h'!G22,'28.08 BUSITEMA-TORORO'!G22)</f>
        <v>0</v>
      </c>
      <c r="H22" s="49">
        <f>AVERAGE('22.08 TORORO-BUSITEMA'!H22,'23.08 BUSITEMA-TORORO'!H22,'25.08 BUSITEMA-TORORO'!H22,'26.08 BUSITEMA-TORORO'!H22,'24.08 BUSITEMA-TORORO-24h'!H22,'27.08 TORORO-BUSITEMA-24h'!H22,'28.08 BUSITEMA-TORORO'!H22)</f>
        <v>0</v>
      </c>
      <c r="I22" s="49">
        <f>AVERAGE('22.08 TORORO-BUSITEMA'!I22,'23.08 BUSITEMA-TORORO'!I22,'25.08 BUSITEMA-TORORO'!I22,'26.08 BUSITEMA-TORORO'!I22,'24.08 BUSITEMA-TORORO-24h'!I22,'27.08 TORORO-BUSITEMA-24h'!I22,'28.08 BUSITEMA-TORORO'!I22)</f>
        <v>0.7142857142857143</v>
      </c>
      <c r="J22" s="49">
        <f>AVERAGE('22.08 TORORO-BUSITEMA'!J22,'23.08 BUSITEMA-TORORO'!J22,'25.08 BUSITEMA-TORORO'!J22,'26.08 BUSITEMA-TORORO'!J22,'24.08 BUSITEMA-TORORO-24h'!J22,'27.08 TORORO-BUSITEMA-24h'!J22,'28.08 BUSITEMA-TORORO'!J22)</f>
        <v>0</v>
      </c>
      <c r="K22" s="49">
        <f>AVERAGE('22.08 TORORO-BUSITEMA'!K22,'23.08 BUSITEMA-TORORO'!K22,'25.08 BUSITEMA-TORORO'!K22,'26.08 BUSITEMA-TORORO'!K22,'24.08 BUSITEMA-TORORO-24h'!K22,'27.08 TORORO-BUSITEMA-24h'!K22,'28.08 BUSITEMA-TORORO'!K22)</f>
        <v>0.8571428571428571</v>
      </c>
      <c r="L22" s="49">
        <f>AVERAGE('22.08 TORORO-BUSITEMA'!L22,'23.08 BUSITEMA-TORORO'!L22,'25.08 BUSITEMA-TORORO'!L22,'26.08 BUSITEMA-TORORO'!L22,'24.08 BUSITEMA-TORORO-24h'!L22,'27.08 TORORO-BUSITEMA-24h'!L22,'28.08 BUSITEMA-TORORO'!L22)</f>
        <v>5.4285714285714288</v>
      </c>
      <c r="M22" s="49">
        <f>AVERAGE('22.08 TORORO-BUSITEMA'!M22,'23.08 BUSITEMA-TORORO'!M22,'25.08 BUSITEMA-TORORO'!M22,'26.08 BUSITEMA-TORORO'!M22,'24.08 BUSITEMA-TORORO-24h'!M22,'27.08 TORORO-BUSITEMA-24h'!M22,'28.08 BUSITEMA-TORORO'!M22)</f>
        <v>2.5714285714285716</v>
      </c>
      <c r="N22" s="49">
        <f>AVERAGE('22.08 TORORO-BUSITEMA'!N22,'23.08 BUSITEMA-TORORO'!N22,'25.08 BUSITEMA-TORORO'!N22,'26.08 BUSITEMA-TORORO'!N22,'24.08 BUSITEMA-TORORO-24h'!N22,'27.08 TORORO-BUSITEMA-24h'!N22,'28.08 BUSITEMA-TORORO'!N22)</f>
        <v>0</v>
      </c>
      <c r="O22" s="15">
        <f t="shared" si="0"/>
        <v>13.714285714285714</v>
      </c>
      <c r="P22" s="15">
        <f t="shared" si="1"/>
        <v>16.285714285714285</v>
      </c>
      <c r="R22" s="1" t="s">
        <v>146</v>
      </c>
      <c r="S22" s="34">
        <f>SUM(C58:C61)</f>
        <v>5.5</v>
      </c>
      <c r="T22" s="34">
        <f t="shared" ref="T22:AF22" si="14">SUM(D58:D61)</f>
        <v>6.5</v>
      </c>
      <c r="U22" s="34">
        <f t="shared" si="14"/>
        <v>2.5</v>
      </c>
      <c r="V22" s="34">
        <f t="shared" si="14"/>
        <v>14.5</v>
      </c>
      <c r="W22" s="34">
        <f t="shared" si="14"/>
        <v>0.5</v>
      </c>
      <c r="X22" s="34">
        <f t="shared" si="14"/>
        <v>0</v>
      </c>
      <c r="Y22" s="34">
        <f t="shared" si="14"/>
        <v>5.5</v>
      </c>
      <c r="Z22" s="34">
        <f t="shared" si="14"/>
        <v>2.5</v>
      </c>
      <c r="AA22" s="34">
        <f t="shared" si="14"/>
        <v>11</v>
      </c>
      <c r="AB22" s="34">
        <f t="shared" si="14"/>
        <v>66.5</v>
      </c>
      <c r="AC22" s="34">
        <f t="shared" si="14"/>
        <v>12.5</v>
      </c>
      <c r="AD22" s="34">
        <f t="shared" si="14"/>
        <v>0</v>
      </c>
      <c r="AE22" s="31">
        <f t="shared" si="14"/>
        <v>115</v>
      </c>
      <c r="AF22" s="31">
        <f t="shared" si="14"/>
        <v>127.5</v>
      </c>
    </row>
    <row r="23" spans="2:32" ht="23.1" customHeight="1" x14ac:dyDescent="0.25">
      <c r="B23" s="23" t="s">
        <v>50</v>
      </c>
      <c r="C23" s="49">
        <f>AVERAGE('22.08 TORORO-BUSITEMA'!C23,'23.08 BUSITEMA-TORORO'!C23,'25.08 BUSITEMA-TORORO'!C23,'26.08 BUSITEMA-TORORO'!C23,'24.08 BUSITEMA-TORORO-24h'!C23,'27.08 TORORO-BUSITEMA-24h'!C23,'28.08 BUSITEMA-TORORO'!C23)</f>
        <v>1.1428571428571428</v>
      </c>
      <c r="D23" s="49">
        <f>AVERAGE('22.08 TORORO-BUSITEMA'!D23,'23.08 BUSITEMA-TORORO'!D23,'25.08 BUSITEMA-TORORO'!D23,'26.08 BUSITEMA-TORORO'!D23,'24.08 BUSITEMA-TORORO-24h'!D23,'27.08 TORORO-BUSITEMA-24h'!D23,'28.08 BUSITEMA-TORORO'!D23)</f>
        <v>1.4285714285714286</v>
      </c>
      <c r="E23" s="49">
        <f>AVERAGE('22.08 TORORO-BUSITEMA'!E23,'23.08 BUSITEMA-TORORO'!E23,'25.08 BUSITEMA-TORORO'!E23,'26.08 BUSITEMA-TORORO'!E23,'24.08 BUSITEMA-TORORO-24h'!E23,'27.08 TORORO-BUSITEMA-24h'!E23,'28.08 BUSITEMA-TORORO'!E23)</f>
        <v>0.7142857142857143</v>
      </c>
      <c r="F23" s="49">
        <f>AVERAGE('22.08 TORORO-BUSITEMA'!F23,'23.08 BUSITEMA-TORORO'!F23,'25.08 BUSITEMA-TORORO'!F23,'26.08 BUSITEMA-TORORO'!F23,'24.08 BUSITEMA-TORORO-24h'!F23,'27.08 TORORO-BUSITEMA-24h'!F23,'28.08 BUSITEMA-TORORO'!F23)</f>
        <v>3</v>
      </c>
      <c r="G23" s="49">
        <f>AVERAGE('22.08 TORORO-BUSITEMA'!G23,'23.08 BUSITEMA-TORORO'!G23,'25.08 BUSITEMA-TORORO'!G23,'26.08 BUSITEMA-TORORO'!G23,'24.08 BUSITEMA-TORORO-24h'!G23,'27.08 TORORO-BUSITEMA-24h'!G23,'28.08 BUSITEMA-TORORO'!G23)</f>
        <v>0</v>
      </c>
      <c r="H23" s="49">
        <f>AVERAGE('22.08 TORORO-BUSITEMA'!H23,'23.08 BUSITEMA-TORORO'!H23,'25.08 BUSITEMA-TORORO'!H23,'26.08 BUSITEMA-TORORO'!H23,'24.08 BUSITEMA-TORORO-24h'!H23,'27.08 TORORO-BUSITEMA-24h'!H23,'28.08 BUSITEMA-TORORO'!H23)</f>
        <v>0.5714285714285714</v>
      </c>
      <c r="I23" s="49">
        <f>AVERAGE('22.08 TORORO-BUSITEMA'!I23,'23.08 BUSITEMA-TORORO'!I23,'25.08 BUSITEMA-TORORO'!I23,'26.08 BUSITEMA-TORORO'!I23,'24.08 BUSITEMA-TORORO-24h'!I23,'27.08 TORORO-BUSITEMA-24h'!I23,'28.08 BUSITEMA-TORORO'!I23)</f>
        <v>0.2857142857142857</v>
      </c>
      <c r="J23" s="49">
        <f>AVERAGE('22.08 TORORO-BUSITEMA'!J23,'23.08 BUSITEMA-TORORO'!J23,'25.08 BUSITEMA-TORORO'!J23,'26.08 BUSITEMA-TORORO'!J23,'24.08 BUSITEMA-TORORO-24h'!J23,'27.08 TORORO-BUSITEMA-24h'!J23,'28.08 BUSITEMA-TORORO'!J23)</f>
        <v>0.2857142857142857</v>
      </c>
      <c r="K23" s="49">
        <f>AVERAGE('22.08 TORORO-BUSITEMA'!K23,'23.08 BUSITEMA-TORORO'!K23,'25.08 BUSITEMA-TORORO'!K23,'26.08 BUSITEMA-TORORO'!K23,'24.08 BUSITEMA-TORORO-24h'!K23,'27.08 TORORO-BUSITEMA-24h'!K23,'28.08 BUSITEMA-TORORO'!K23)</f>
        <v>0.2857142857142857</v>
      </c>
      <c r="L23" s="49">
        <f>AVERAGE('22.08 TORORO-BUSITEMA'!L23,'23.08 BUSITEMA-TORORO'!L23,'25.08 BUSITEMA-TORORO'!L23,'26.08 BUSITEMA-TORORO'!L23,'24.08 BUSITEMA-TORORO-24h'!L23,'27.08 TORORO-BUSITEMA-24h'!L23,'28.08 BUSITEMA-TORORO'!L23)</f>
        <v>5.1428571428571432</v>
      </c>
      <c r="M23" s="49">
        <f>AVERAGE('22.08 TORORO-BUSITEMA'!M23,'23.08 BUSITEMA-TORORO'!M23,'25.08 BUSITEMA-TORORO'!M23,'26.08 BUSITEMA-TORORO'!M23,'24.08 BUSITEMA-TORORO-24h'!M23,'27.08 TORORO-BUSITEMA-24h'!M23,'28.08 BUSITEMA-TORORO'!M23)</f>
        <v>5.8571428571428568</v>
      </c>
      <c r="N23" s="49">
        <f>AVERAGE('22.08 TORORO-BUSITEMA'!N23,'23.08 BUSITEMA-TORORO'!N23,'25.08 BUSITEMA-TORORO'!N23,'26.08 BUSITEMA-TORORO'!N23,'24.08 BUSITEMA-TORORO-24h'!N23,'27.08 TORORO-BUSITEMA-24h'!N23,'28.08 BUSITEMA-TORORO'!N23)</f>
        <v>0</v>
      </c>
      <c r="O23" s="15">
        <f t="shared" si="0"/>
        <v>12.857142857142858</v>
      </c>
      <c r="P23" s="15">
        <f t="shared" si="1"/>
        <v>18.714285714285715</v>
      </c>
      <c r="R23" s="1" t="s">
        <v>147</v>
      </c>
      <c r="S23" s="34">
        <f>SUM(C62:C65)</f>
        <v>2.5</v>
      </c>
      <c r="T23" s="34">
        <f t="shared" ref="T23:AF23" si="15">SUM(D62:D65)</f>
        <v>4.5</v>
      </c>
      <c r="U23" s="34">
        <f t="shared" si="15"/>
        <v>2</v>
      </c>
      <c r="V23" s="34">
        <f t="shared" si="15"/>
        <v>5</v>
      </c>
      <c r="W23" s="34">
        <f t="shared" si="15"/>
        <v>0</v>
      </c>
      <c r="X23" s="34">
        <f t="shared" si="15"/>
        <v>2</v>
      </c>
      <c r="Y23" s="34">
        <f t="shared" si="15"/>
        <v>0</v>
      </c>
      <c r="Z23" s="34">
        <f t="shared" si="15"/>
        <v>4.5</v>
      </c>
      <c r="AA23" s="34">
        <f t="shared" si="15"/>
        <v>1</v>
      </c>
      <c r="AB23" s="34">
        <f t="shared" si="15"/>
        <v>62.5</v>
      </c>
      <c r="AC23" s="34">
        <f t="shared" si="15"/>
        <v>3</v>
      </c>
      <c r="AD23" s="34">
        <f t="shared" si="15"/>
        <v>0</v>
      </c>
      <c r="AE23" s="31">
        <f t="shared" si="15"/>
        <v>84</v>
      </c>
      <c r="AF23" s="31">
        <f t="shared" si="15"/>
        <v>87</v>
      </c>
    </row>
    <row r="24" spans="2:32" ht="23.1" customHeight="1" x14ac:dyDescent="0.25">
      <c r="B24" s="23" t="s">
        <v>51</v>
      </c>
      <c r="C24" s="49">
        <f>AVERAGE('22.08 TORORO-BUSITEMA'!C24,'23.08 BUSITEMA-TORORO'!C24,'25.08 BUSITEMA-TORORO'!C24,'26.08 BUSITEMA-TORORO'!C24,'24.08 BUSITEMA-TORORO-24h'!C24,'27.08 TORORO-BUSITEMA-24h'!C24,'28.08 BUSITEMA-TORORO'!C24)</f>
        <v>2.5714285714285716</v>
      </c>
      <c r="D24" s="49">
        <f>AVERAGE('22.08 TORORO-BUSITEMA'!D24,'23.08 BUSITEMA-TORORO'!D24,'25.08 BUSITEMA-TORORO'!D24,'26.08 BUSITEMA-TORORO'!D24,'24.08 BUSITEMA-TORORO-24h'!D24,'27.08 TORORO-BUSITEMA-24h'!D24,'28.08 BUSITEMA-TORORO'!D24)</f>
        <v>3.1428571428571428</v>
      </c>
      <c r="E24" s="49">
        <f>AVERAGE('22.08 TORORO-BUSITEMA'!E24,'23.08 BUSITEMA-TORORO'!E24,'25.08 BUSITEMA-TORORO'!E24,'26.08 BUSITEMA-TORORO'!E24,'24.08 BUSITEMA-TORORO-24h'!E24,'27.08 TORORO-BUSITEMA-24h'!E24,'28.08 BUSITEMA-TORORO'!E24)</f>
        <v>1.1428571428571428</v>
      </c>
      <c r="F24" s="49">
        <f>AVERAGE('22.08 TORORO-BUSITEMA'!F24,'23.08 BUSITEMA-TORORO'!F24,'25.08 BUSITEMA-TORORO'!F24,'26.08 BUSITEMA-TORORO'!F24,'24.08 BUSITEMA-TORORO-24h'!F24,'27.08 TORORO-BUSITEMA-24h'!F24,'28.08 BUSITEMA-TORORO'!F24)</f>
        <v>4.5714285714285712</v>
      </c>
      <c r="G24" s="49">
        <f>AVERAGE('22.08 TORORO-BUSITEMA'!G24,'23.08 BUSITEMA-TORORO'!G24,'25.08 BUSITEMA-TORORO'!G24,'26.08 BUSITEMA-TORORO'!G24,'24.08 BUSITEMA-TORORO-24h'!G24,'27.08 TORORO-BUSITEMA-24h'!G24,'28.08 BUSITEMA-TORORO'!G24)</f>
        <v>0.2857142857142857</v>
      </c>
      <c r="H24" s="49">
        <f>AVERAGE('22.08 TORORO-BUSITEMA'!H24,'23.08 BUSITEMA-TORORO'!H24,'25.08 BUSITEMA-TORORO'!H24,'26.08 BUSITEMA-TORORO'!H24,'24.08 BUSITEMA-TORORO-24h'!H24,'27.08 TORORO-BUSITEMA-24h'!H24,'28.08 BUSITEMA-TORORO'!H24)</f>
        <v>0</v>
      </c>
      <c r="I24" s="49">
        <f>AVERAGE('22.08 TORORO-BUSITEMA'!I24,'23.08 BUSITEMA-TORORO'!I24,'25.08 BUSITEMA-TORORO'!I24,'26.08 BUSITEMA-TORORO'!I24,'24.08 BUSITEMA-TORORO-24h'!I24,'27.08 TORORO-BUSITEMA-24h'!I24,'28.08 BUSITEMA-TORORO'!I24)</f>
        <v>0.5714285714285714</v>
      </c>
      <c r="J24" s="49">
        <f>AVERAGE('22.08 TORORO-BUSITEMA'!J24,'23.08 BUSITEMA-TORORO'!J24,'25.08 BUSITEMA-TORORO'!J24,'26.08 BUSITEMA-TORORO'!J24,'24.08 BUSITEMA-TORORO-24h'!J24,'27.08 TORORO-BUSITEMA-24h'!J24,'28.08 BUSITEMA-TORORO'!J24)</f>
        <v>0.14285714285714285</v>
      </c>
      <c r="K24" s="49">
        <f>AVERAGE('22.08 TORORO-BUSITEMA'!K24,'23.08 BUSITEMA-TORORO'!K24,'25.08 BUSITEMA-TORORO'!K24,'26.08 BUSITEMA-TORORO'!K24,'24.08 BUSITEMA-TORORO-24h'!K24,'27.08 TORORO-BUSITEMA-24h'!K24,'28.08 BUSITEMA-TORORO'!K24)</f>
        <v>0.42857142857142855</v>
      </c>
      <c r="L24" s="49">
        <f>AVERAGE('22.08 TORORO-BUSITEMA'!L24,'23.08 BUSITEMA-TORORO'!L24,'25.08 BUSITEMA-TORORO'!L24,'26.08 BUSITEMA-TORORO'!L24,'24.08 BUSITEMA-TORORO-24h'!L24,'27.08 TORORO-BUSITEMA-24h'!L24,'28.08 BUSITEMA-TORORO'!L24)</f>
        <v>6.1428571428571432</v>
      </c>
      <c r="M24" s="49">
        <f>AVERAGE('22.08 TORORO-BUSITEMA'!M24,'23.08 BUSITEMA-TORORO'!M24,'25.08 BUSITEMA-TORORO'!M24,'26.08 BUSITEMA-TORORO'!M24,'24.08 BUSITEMA-TORORO-24h'!M24,'27.08 TORORO-BUSITEMA-24h'!M24,'28.08 BUSITEMA-TORORO'!M24)</f>
        <v>5.2857142857142856</v>
      </c>
      <c r="N24" s="49">
        <f>AVERAGE('22.08 TORORO-BUSITEMA'!N24,'23.08 BUSITEMA-TORORO'!N24,'25.08 BUSITEMA-TORORO'!N24,'26.08 BUSITEMA-TORORO'!N24,'24.08 BUSITEMA-TORORO-24h'!N24,'27.08 TORORO-BUSITEMA-24h'!N24,'28.08 BUSITEMA-TORORO'!N24)</f>
        <v>0</v>
      </c>
      <c r="O24" s="15">
        <f t="shared" si="0"/>
        <v>19</v>
      </c>
      <c r="P24" s="15">
        <f t="shared" si="1"/>
        <v>24.285714285714285</v>
      </c>
      <c r="R24" s="1" t="s">
        <v>148</v>
      </c>
      <c r="S24" s="34">
        <f>SUM(C66:C69)</f>
        <v>4.5</v>
      </c>
      <c r="T24" s="34">
        <f t="shared" ref="T24:AF24" si="16">SUM(D66:D69)</f>
        <v>7</v>
      </c>
      <c r="U24" s="34">
        <f t="shared" si="16"/>
        <v>1</v>
      </c>
      <c r="V24" s="34">
        <f t="shared" si="16"/>
        <v>3.5</v>
      </c>
      <c r="W24" s="34">
        <f t="shared" si="16"/>
        <v>0</v>
      </c>
      <c r="X24" s="34">
        <f t="shared" si="16"/>
        <v>0</v>
      </c>
      <c r="Y24" s="34">
        <f t="shared" si="16"/>
        <v>4</v>
      </c>
      <c r="Z24" s="34">
        <f t="shared" si="16"/>
        <v>2.5</v>
      </c>
      <c r="AA24" s="34">
        <f t="shared" si="16"/>
        <v>3.5</v>
      </c>
      <c r="AB24" s="34">
        <f t="shared" si="16"/>
        <v>73</v>
      </c>
      <c r="AC24" s="34">
        <f t="shared" si="16"/>
        <v>4</v>
      </c>
      <c r="AD24" s="34">
        <f t="shared" si="16"/>
        <v>0</v>
      </c>
      <c r="AE24" s="31">
        <f t="shared" si="16"/>
        <v>99</v>
      </c>
      <c r="AF24" s="31">
        <f t="shared" si="16"/>
        <v>103</v>
      </c>
    </row>
    <row r="25" spans="2:32" ht="23.1" customHeight="1" x14ac:dyDescent="0.25">
      <c r="B25" s="23" t="s">
        <v>52</v>
      </c>
      <c r="C25" s="49">
        <f>AVERAGE('22.08 TORORO-BUSITEMA'!C25,'23.08 BUSITEMA-TORORO'!C25,'25.08 BUSITEMA-TORORO'!C25,'26.08 BUSITEMA-TORORO'!C25,'24.08 BUSITEMA-TORORO-24h'!C25,'27.08 TORORO-BUSITEMA-24h'!C25,'28.08 BUSITEMA-TORORO'!C25)</f>
        <v>1.5714285714285714</v>
      </c>
      <c r="D25" s="49">
        <f>AVERAGE('22.08 TORORO-BUSITEMA'!D25,'23.08 BUSITEMA-TORORO'!D25,'25.08 BUSITEMA-TORORO'!D25,'26.08 BUSITEMA-TORORO'!D25,'24.08 BUSITEMA-TORORO-24h'!D25,'27.08 TORORO-BUSITEMA-24h'!D25,'28.08 BUSITEMA-TORORO'!D25)</f>
        <v>5.1428571428571432</v>
      </c>
      <c r="E25" s="49">
        <f>AVERAGE('22.08 TORORO-BUSITEMA'!E25,'23.08 BUSITEMA-TORORO'!E25,'25.08 BUSITEMA-TORORO'!E25,'26.08 BUSITEMA-TORORO'!E25,'24.08 BUSITEMA-TORORO-24h'!E25,'27.08 TORORO-BUSITEMA-24h'!E25,'28.08 BUSITEMA-TORORO'!E25)</f>
        <v>0.5714285714285714</v>
      </c>
      <c r="F25" s="49">
        <f>AVERAGE('22.08 TORORO-BUSITEMA'!F25,'23.08 BUSITEMA-TORORO'!F25,'25.08 BUSITEMA-TORORO'!F25,'26.08 BUSITEMA-TORORO'!F25,'24.08 BUSITEMA-TORORO-24h'!F25,'27.08 TORORO-BUSITEMA-24h'!F25,'28.08 BUSITEMA-TORORO'!F25)</f>
        <v>4.8571428571428568</v>
      </c>
      <c r="G25" s="49">
        <f>AVERAGE('22.08 TORORO-BUSITEMA'!G25,'23.08 BUSITEMA-TORORO'!G25,'25.08 BUSITEMA-TORORO'!G25,'26.08 BUSITEMA-TORORO'!G25,'24.08 BUSITEMA-TORORO-24h'!G25,'27.08 TORORO-BUSITEMA-24h'!G25,'28.08 BUSITEMA-TORORO'!G25)</f>
        <v>0</v>
      </c>
      <c r="H25" s="49">
        <f>AVERAGE('22.08 TORORO-BUSITEMA'!H25,'23.08 BUSITEMA-TORORO'!H25,'25.08 BUSITEMA-TORORO'!H25,'26.08 BUSITEMA-TORORO'!H25,'24.08 BUSITEMA-TORORO-24h'!H25,'27.08 TORORO-BUSITEMA-24h'!H25,'28.08 BUSITEMA-TORORO'!H25)</f>
        <v>0</v>
      </c>
      <c r="I25" s="49">
        <f>AVERAGE('22.08 TORORO-BUSITEMA'!I25,'23.08 BUSITEMA-TORORO'!I25,'25.08 BUSITEMA-TORORO'!I25,'26.08 BUSITEMA-TORORO'!I25,'24.08 BUSITEMA-TORORO-24h'!I25,'27.08 TORORO-BUSITEMA-24h'!I25,'28.08 BUSITEMA-TORORO'!I25)</f>
        <v>1.1428571428571428</v>
      </c>
      <c r="J25" s="49">
        <f>AVERAGE('22.08 TORORO-BUSITEMA'!J25,'23.08 BUSITEMA-TORORO'!J25,'25.08 BUSITEMA-TORORO'!J25,'26.08 BUSITEMA-TORORO'!J25,'24.08 BUSITEMA-TORORO-24h'!J25,'27.08 TORORO-BUSITEMA-24h'!J25,'28.08 BUSITEMA-TORORO'!J25)</f>
        <v>0.2857142857142857</v>
      </c>
      <c r="K25" s="49">
        <f>AVERAGE('22.08 TORORO-BUSITEMA'!K25,'23.08 BUSITEMA-TORORO'!K25,'25.08 BUSITEMA-TORORO'!K25,'26.08 BUSITEMA-TORORO'!K25,'24.08 BUSITEMA-TORORO-24h'!K25,'27.08 TORORO-BUSITEMA-24h'!K25,'28.08 BUSITEMA-TORORO'!K25)</f>
        <v>0.2857142857142857</v>
      </c>
      <c r="L25" s="49">
        <f>AVERAGE('22.08 TORORO-BUSITEMA'!L25,'23.08 BUSITEMA-TORORO'!L25,'25.08 BUSITEMA-TORORO'!L25,'26.08 BUSITEMA-TORORO'!L25,'24.08 BUSITEMA-TORORO-24h'!L25,'27.08 TORORO-BUSITEMA-24h'!L25,'28.08 BUSITEMA-TORORO'!L25)</f>
        <v>5.8571428571428568</v>
      </c>
      <c r="M25" s="49">
        <f>AVERAGE('22.08 TORORO-BUSITEMA'!M25,'23.08 BUSITEMA-TORORO'!M25,'25.08 BUSITEMA-TORORO'!M25,'26.08 BUSITEMA-TORORO'!M25,'24.08 BUSITEMA-TORORO-24h'!M25,'27.08 TORORO-BUSITEMA-24h'!M25,'28.08 BUSITEMA-TORORO'!M25)</f>
        <v>5</v>
      </c>
      <c r="N25" s="49">
        <f>AVERAGE('22.08 TORORO-BUSITEMA'!N25,'23.08 BUSITEMA-TORORO'!N25,'25.08 BUSITEMA-TORORO'!N25,'26.08 BUSITEMA-TORORO'!N25,'24.08 BUSITEMA-TORORO-24h'!N25,'27.08 TORORO-BUSITEMA-24h'!N25,'28.08 BUSITEMA-TORORO'!N25)</f>
        <v>0</v>
      </c>
      <c r="O25" s="15">
        <f t="shared" si="0"/>
        <v>19.714285714285715</v>
      </c>
      <c r="P25" s="15">
        <f t="shared" si="1"/>
        <v>24.714285714285715</v>
      </c>
      <c r="R25" s="1" t="s">
        <v>149</v>
      </c>
      <c r="S25" s="34">
        <f>SUM(C70:C73)</f>
        <v>1.5</v>
      </c>
      <c r="T25" s="34">
        <f t="shared" ref="T25:AF25" si="17">SUM(D70:D73)</f>
        <v>2</v>
      </c>
      <c r="U25" s="34">
        <f t="shared" si="17"/>
        <v>0</v>
      </c>
      <c r="V25" s="34">
        <f t="shared" si="17"/>
        <v>3.5</v>
      </c>
      <c r="W25" s="34">
        <f t="shared" si="17"/>
        <v>0</v>
      </c>
      <c r="X25" s="34">
        <f t="shared" si="17"/>
        <v>0.5</v>
      </c>
      <c r="Y25" s="34">
        <f t="shared" si="17"/>
        <v>0</v>
      </c>
      <c r="Z25" s="34">
        <f t="shared" si="17"/>
        <v>0</v>
      </c>
      <c r="AA25" s="34">
        <f t="shared" si="17"/>
        <v>0.5</v>
      </c>
      <c r="AB25" s="34">
        <f t="shared" si="17"/>
        <v>25</v>
      </c>
      <c r="AC25" s="34">
        <f t="shared" si="17"/>
        <v>23.5</v>
      </c>
      <c r="AD25" s="34">
        <f t="shared" si="17"/>
        <v>0</v>
      </c>
      <c r="AE25" s="31">
        <f t="shared" si="17"/>
        <v>33</v>
      </c>
      <c r="AF25" s="31">
        <f t="shared" si="17"/>
        <v>56.5</v>
      </c>
    </row>
    <row r="26" spans="2:32" ht="23.1" customHeight="1" x14ac:dyDescent="0.25">
      <c r="B26" s="23" t="s">
        <v>53</v>
      </c>
      <c r="C26" s="49">
        <f>AVERAGE('22.08 TORORO-BUSITEMA'!C26,'23.08 BUSITEMA-TORORO'!C26,'25.08 BUSITEMA-TORORO'!C26,'26.08 BUSITEMA-TORORO'!C26,'24.08 BUSITEMA-TORORO-24h'!C26,'27.08 TORORO-BUSITEMA-24h'!C26,'28.08 BUSITEMA-TORORO'!C26)</f>
        <v>2.4285714285714284</v>
      </c>
      <c r="D26" s="49">
        <f>AVERAGE('22.08 TORORO-BUSITEMA'!D26,'23.08 BUSITEMA-TORORO'!D26,'25.08 BUSITEMA-TORORO'!D26,'26.08 BUSITEMA-TORORO'!D26,'24.08 BUSITEMA-TORORO-24h'!D26,'27.08 TORORO-BUSITEMA-24h'!D26,'28.08 BUSITEMA-TORORO'!D26)</f>
        <v>2.5714285714285716</v>
      </c>
      <c r="E26" s="49">
        <f>AVERAGE('22.08 TORORO-BUSITEMA'!E26,'23.08 BUSITEMA-TORORO'!E26,'25.08 BUSITEMA-TORORO'!E26,'26.08 BUSITEMA-TORORO'!E26,'24.08 BUSITEMA-TORORO-24h'!E26,'27.08 TORORO-BUSITEMA-24h'!E26,'28.08 BUSITEMA-TORORO'!E26)</f>
        <v>1.1428571428571428</v>
      </c>
      <c r="F26" s="49">
        <f>AVERAGE('22.08 TORORO-BUSITEMA'!F26,'23.08 BUSITEMA-TORORO'!F26,'25.08 BUSITEMA-TORORO'!F26,'26.08 BUSITEMA-TORORO'!F26,'24.08 BUSITEMA-TORORO-24h'!F26,'27.08 TORORO-BUSITEMA-24h'!F26,'28.08 BUSITEMA-TORORO'!F26)</f>
        <v>3.7142857142857144</v>
      </c>
      <c r="G26" s="49">
        <f>AVERAGE('22.08 TORORO-BUSITEMA'!G26,'23.08 BUSITEMA-TORORO'!G26,'25.08 BUSITEMA-TORORO'!G26,'26.08 BUSITEMA-TORORO'!G26,'24.08 BUSITEMA-TORORO-24h'!G26,'27.08 TORORO-BUSITEMA-24h'!G26,'28.08 BUSITEMA-TORORO'!G26)</f>
        <v>0</v>
      </c>
      <c r="H26" s="49">
        <f>AVERAGE('22.08 TORORO-BUSITEMA'!H26,'23.08 BUSITEMA-TORORO'!H26,'25.08 BUSITEMA-TORORO'!H26,'26.08 BUSITEMA-TORORO'!H26,'24.08 BUSITEMA-TORORO-24h'!H26,'27.08 TORORO-BUSITEMA-24h'!H26,'28.08 BUSITEMA-TORORO'!H26)</f>
        <v>0</v>
      </c>
      <c r="I26" s="49">
        <f>AVERAGE('22.08 TORORO-BUSITEMA'!I26,'23.08 BUSITEMA-TORORO'!I26,'25.08 BUSITEMA-TORORO'!I26,'26.08 BUSITEMA-TORORO'!I26,'24.08 BUSITEMA-TORORO-24h'!I26,'27.08 TORORO-BUSITEMA-24h'!I26,'28.08 BUSITEMA-TORORO'!I26)</f>
        <v>0.8571428571428571</v>
      </c>
      <c r="J26" s="49">
        <f>AVERAGE('22.08 TORORO-BUSITEMA'!J26,'23.08 BUSITEMA-TORORO'!J26,'25.08 BUSITEMA-TORORO'!J26,'26.08 BUSITEMA-TORORO'!J26,'24.08 BUSITEMA-TORORO-24h'!J26,'27.08 TORORO-BUSITEMA-24h'!J26,'28.08 BUSITEMA-TORORO'!J26)</f>
        <v>0.2857142857142857</v>
      </c>
      <c r="K26" s="49">
        <f>AVERAGE('22.08 TORORO-BUSITEMA'!K26,'23.08 BUSITEMA-TORORO'!K26,'25.08 BUSITEMA-TORORO'!K26,'26.08 BUSITEMA-TORORO'!K26,'24.08 BUSITEMA-TORORO-24h'!K26,'27.08 TORORO-BUSITEMA-24h'!K26,'28.08 BUSITEMA-TORORO'!K26)</f>
        <v>0.14285714285714285</v>
      </c>
      <c r="L26" s="49">
        <f>AVERAGE('22.08 TORORO-BUSITEMA'!L26,'23.08 BUSITEMA-TORORO'!L26,'25.08 BUSITEMA-TORORO'!L26,'26.08 BUSITEMA-TORORO'!L26,'24.08 BUSITEMA-TORORO-24h'!L26,'27.08 TORORO-BUSITEMA-24h'!L26,'28.08 BUSITEMA-TORORO'!L26)</f>
        <v>7.1428571428571432</v>
      </c>
      <c r="M26" s="49">
        <f>AVERAGE('22.08 TORORO-BUSITEMA'!M26,'23.08 BUSITEMA-TORORO'!M26,'25.08 BUSITEMA-TORORO'!M26,'26.08 BUSITEMA-TORORO'!M26,'24.08 BUSITEMA-TORORO-24h'!M26,'27.08 TORORO-BUSITEMA-24h'!M26,'28.08 BUSITEMA-TORORO'!M26)</f>
        <v>5.8571428571428568</v>
      </c>
      <c r="N26" s="49">
        <f>AVERAGE('22.08 TORORO-BUSITEMA'!N26,'23.08 BUSITEMA-TORORO'!N26,'25.08 BUSITEMA-TORORO'!N26,'26.08 BUSITEMA-TORORO'!N26,'24.08 BUSITEMA-TORORO-24h'!N26,'27.08 TORORO-BUSITEMA-24h'!N26,'28.08 BUSITEMA-TORORO'!N26)</f>
        <v>0</v>
      </c>
      <c r="O26" s="15">
        <f t="shared" si="0"/>
        <v>18.285714285714288</v>
      </c>
      <c r="P26" s="15">
        <f t="shared" si="1"/>
        <v>24.142857142857146</v>
      </c>
      <c r="R26" s="1" t="s">
        <v>150</v>
      </c>
      <c r="S26" s="34">
        <f>SUM(C74:C77)</f>
        <v>0</v>
      </c>
      <c r="T26" s="34">
        <f t="shared" ref="T26:AF26" si="18">SUM(D74:D77)</f>
        <v>2.5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0.5</v>
      </c>
      <c r="AB26" s="34">
        <f t="shared" si="18"/>
        <v>33.5</v>
      </c>
      <c r="AC26" s="34">
        <f t="shared" si="18"/>
        <v>17.5</v>
      </c>
      <c r="AD26" s="34">
        <f t="shared" si="18"/>
        <v>0</v>
      </c>
      <c r="AE26" s="31">
        <f t="shared" si="18"/>
        <v>37.5</v>
      </c>
      <c r="AF26" s="31">
        <f t="shared" si="18"/>
        <v>55</v>
      </c>
    </row>
    <row r="27" spans="2:32" ht="23.1" customHeight="1" x14ac:dyDescent="0.25">
      <c r="B27" s="23" t="s">
        <v>54</v>
      </c>
      <c r="C27" s="49">
        <f>AVERAGE('22.08 TORORO-BUSITEMA'!C27,'23.08 BUSITEMA-TORORO'!C27,'25.08 BUSITEMA-TORORO'!C27,'26.08 BUSITEMA-TORORO'!C27,'24.08 BUSITEMA-TORORO-24h'!C27,'27.08 TORORO-BUSITEMA-24h'!C27,'28.08 BUSITEMA-TORORO'!C27)</f>
        <v>1.4285714285714286</v>
      </c>
      <c r="D27" s="49">
        <f>AVERAGE('22.08 TORORO-BUSITEMA'!D27,'23.08 BUSITEMA-TORORO'!D27,'25.08 BUSITEMA-TORORO'!D27,'26.08 BUSITEMA-TORORO'!D27,'24.08 BUSITEMA-TORORO-24h'!D27,'27.08 TORORO-BUSITEMA-24h'!D27,'28.08 BUSITEMA-TORORO'!D27)</f>
        <v>2</v>
      </c>
      <c r="E27" s="49">
        <f>AVERAGE('22.08 TORORO-BUSITEMA'!E27,'23.08 BUSITEMA-TORORO'!E27,'25.08 BUSITEMA-TORORO'!E27,'26.08 BUSITEMA-TORORO'!E27,'24.08 BUSITEMA-TORORO-24h'!E27,'27.08 TORORO-BUSITEMA-24h'!E27,'28.08 BUSITEMA-TORORO'!E27)</f>
        <v>1.1428571428571428</v>
      </c>
      <c r="F27" s="49">
        <f>AVERAGE('22.08 TORORO-BUSITEMA'!F27,'23.08 BUSITEMA-TORORO'!F27,'25.08 BUSITEMA-TORORO'!F27,'26.08 BUSITEMA-TORORO'!F27,'24.08 BUSITEMA-TORORO-24h'!F27,'27.08 TORORO-BUSITEMA-24h'!F27,'28.08 BUSITEMA-TORORO'!F27)</f>
        <v>3.4285714285714284</v>
      </c>
      <c r="G27" s="49">
        <f>AVERAGE('22.08 TORORO-BUSITEMA'!G27,'23.08 BUSITEMA-TORORO'!G27,'25.08 BUSITEMA-TORORO'!G27,'26.08 BUSITEMA-TORORO'!G27,'24.08 BUSITEMA-TORORO-24h'!G27,'27.08 TORORO-BUSITEMA-24h'!G27,'28.08 BUSITEMA-TORORO'!G27)</f>
        <v>0.42857142857142855</v>
      </c>
      <c r="H27" s="49">
        <f>AVERAGE('22.08 TORORO-BUSITEMA'!H27,'23.08 BUSITEMA-TORORO'!H27,'25.08 BUSITEMA-TORORO'!H27,'26.08 BUSITEMA-TORORO'!H27,'24.08 BUSITEMA-TORORO-24h'!H27,'27.08 TORORO-BUSITEMA-24h'!H27,'28.08 BUSITEMA-TORORO'!H27)</f>
        <v>0</v>
      </c>
      <c r="I27" s="49">
        <f>AVERAGE('22.08 TORORO-BUSITEMA'!I27,'23.08 BUSITEMA-TORORO'!I27,'25.08 BUSITEMA-TORORO'!I27,'26.08 BUSITEMA-TORORO'!I27,'24.08 BUSITEMA-TORORO-24h'!I27,'27.08 TORORO-BUSITEMA-24h'!I27,'28.08 BUSITEMA-TORORO'!I27)</f>
        <v>0.2857142857142857</v>
      </c>
      <c r="J27" s="49">
        <f>AVERAGE('22.08 TORORO-BUSITEMA'!J27,'23.08 BUSITEMA-TORORO'!J27,'25.08 BUSITEMA-TORORO'!J27,'26.08 BUSITEMA-TORORO'!J27,'24.08 BUSITEMA-TORORO-24h'!J27,'27.08 TORORO-BUSITEMA-24h'!J27,'28.08 BUSITEMA-TORORO'!J27)</f>
        <v>0.2857142857142857</v>
      </c>
      <c r="K27" s="49">
        <f>AVERAGE('22.08 TORORO-BUSITEMA'!K27,'23.08 BUSITEMA-TORORO'!K27,'25.08 BUSITEMA-TORORO'!K27,'26.08 BUSITEMA-TORORO'!K27,'24.08 BUSITEMA-TORORO-24h'!K27,'27.08 TORORO-BUSITEMA-24h'!K27,'28.08 BUSITEMA-TORORO'!K27)</f>
        <v>0.42857142857142855</v>
      </c>
      <c r="L27" s="49">
        <f>AVERAGE('22.08 TORORO-BUSITEMA'!L27,'23.08 BUSITEMA-TORORO'!L27,'25.08 BUSITEMA-TORORO'!L27,'26.08 BUSITEMA-TORORO'!L27,'24.08 BUSITEMA-TORORO-24h'!L27,'27.08 TORORO-BUSITEMA-24h'!L27,'28.08 BUSITEMA-TORORO'!L27)</f>
        <v>6.1428571428571432</v>
      </c>
      <c r="M27" s="49">
        <f>AVERAGE('22.08 TORORO-BUSITEMA'!M27,'23.08 BUSITEMA-TORORO'!M27,'25.08 BUSITEMA-TORORO'!M27,'26.08 BUSITEMA-TORORO'!M27,'24.08 BUSITEMA-TORORO-24h'!M27,'27.08 TORORO-BUSITEMA-24h'!M27,'28.08 BUSITEMA-TORORO'!M27)</f>
        <v>4.1428571428571432</v>
      </c>
      <c r="N27" s="49">
        <f>AVERAGE('22.08 TORORO-BUSITEMA'!N27,'23.08 BUSITEMA-TORORO'!N27,'25.08 BUSITEMA-TORORO'!N27,'26.08 BUSITEMA-TORORO'!N27,'24.08 BUSITEMA-TORORO-24h'!N27,'27.08 TORORO-BUSITEMA-24h'!N27,'28.08 BUSITEMA-TORORO'!N27)</f>
        <v>0</v>
      </c>
      <c r="O27" s="15">
        <f t="shared" si="0"/>
        <v>15.571428571428573</v>
      </c>
      <c r="P27" s="15">
        <f t="shared" si="1"/>
        <v>19.714285714285715</v>
      </c>
      <c r="R27" s="1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0.5</v>
      </c>
      <c r="V27" s="34">
        <f t="shared" si="19"/>
        <v>1.5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15.5</v>
      </c>
      <c r="AC27" s="34">
        <f t="shared" si="19"/>
        <v>40</v>
      </c>
      <c r="AD27" s="34">
        <f t="shared" si="19"/>
        <v>0</v>
      </c>
      <c r="AE27" s="31">
        <f t="shared" si="19"/>
        <v>18.5</v>
      </c>
      <c r="AF27" s="31">
        <f t="shared" si="19"/>
        <v>58.5</v>
      </c>
    </row>
    <row r="28" spans="2:32" ht="23.1" customHeight="1" x14ac:dyDescent="0.25">
      <c r="B28" s="23" t="s">
        <v>55</v>
      </c>
      <c r="C28" s="49">
        <f>AVERAGE('22.08 TORORO-BUSITEMA'!C28,'23.08 BUSITEMA-TORORO'!C28,'25.08 BUSITEMA-TORORO'!C28,'26.08 BUSITEMA-TORORO'!C28,'24.08 BUSITEMA-TORORO-24h'!C28,'27.08 TORORO-BUSITEMA-24h'!C28,'28.08 BUSITEMA-TORORO'!C28)</f>
        <v>2.1428571428571428</v>
      </c>
      <c r="D28" s="49">
        <f>AVERAGE('22.08 TORORO-BUSITEMA'!D28,'23.08 BUSITEMA-TORORO'!D28,'25.08 BUSITEMA-TORORO'!D28,'26.08 BUSITEMA-TORORO'!D28,'24.08 BUSITEMA-TORORO-24h'!D28,'27.08 TORORO-BUSITEMA-24h'!D28,'28.08 BUSITEMA-TORORO'!D28)</f>
        <v>4.1428571428571432</v>
      </c>
      <c r="E28" s="49">
        <f>AVERAGE('22.08 TORORO-BUSITEMA'!E28,'23.08 BUSITEMA-TORORO'!E28,'25.08 BUSITEMA-TORORO'!E28,'26.08 BUSITEMA-TORORO'!E28,'24.08 BUSITEMA-TORORO-24h'!E28,'27.08 TORORO-BUSITEMA-24h'!E28,'28.08 BUSITEMA-TORORO'!E28)</f>
        <v>1.2857142857142858</v>
      </c>
      <c r="F28" s="49">
        <f>AVERAGE('22.08 TORORO-BUSITEMA'!F28,'23.08 BUSITEMA-TORORO'!F28,'25.08 BUSITEMA-TORORO'!F28,'26.08 BUSITEMA-TORORO'!F28,'24.08 BUSITEMA-TORORO-24h'!F28,'27.08 TORORO-BUSITEMA-24h'!F28,'28.08 BUSITEMA-TORORO'!F28)</f>
        <v>4.4285714285714288</v>
      </c>
      <c r="G28" s="49">
        <f>AVERAGE('22.08 TORORO-BUSITEMA'!G28,'23.08 BUSITEMA-TORORO'!G28,'25.08 BUSITEMA-TORORO'!G28,'26.08 BUSITEMA-TORORO'!G28,'24.08 BUSITEMA-TORORO-24h'!G28,'27.08 TORORO-BUSITEMA-24h'!G28,'28.08 BUSITEMA-TORORO'!G28)</f>
        <v>0.14285714285714285</v>
      </c>
      <c r="H28" s="49">
        <f>AVERAGE('22.08 TORORO-BUSITEMA'!H28,'23.08 BUSITEMA-TORORO'!H28,'25.08 BUSITEMA-TORORO'!H28,'26.08 BUSITEMA-TORORO'!H28,'24.08 BUSITEMA-TORORO-24h'!H28,'27.08 TORORO-BUSITEMA-24h'!H28,'28.08 BUSITEMA-TORORO'!H28)</f>
        <v>0.14285714285714285</v>
      </c>
      <c r="I28" s="49">
        <f>AVERAGE('22.08 TORORO-BUSITEMA'!I28,'23.08 BUSITEMA-TORORO'!I28,'25.08 BUSITEMA-TORORO'!I28,'26.08 BUSITEMA-TORORO'!I28,'24.08 BUSITEMA-TORORO-24h'!I28,'27.08 TORORO-BUSITEMA-24h'!I28,'28.08 BUSITEMA-TORORO'!I28)</f>
        <v>0.42857142857142855</v>
      </c>
      <c r="J28" s="49">
        <f>AVERAGE('22.08 TORORO-BUSITEMA'!J28,'23.08 BUSITEMA-TORORO'!J28,'25.08 BUSITEMA-TORORO'!J28,'26.08 BUSITEMA-TORORO'!J28,'24.08 BUSITEMA-TORORO-24h'!J28,'27.08 TORORO-BUSITEMA-24h'!J28,'28.08 BUSITEMA-TORORO'!J28)</f>
        <v>0</v>
      </c>
      <c r="K28" s="49">
        <f>AVERAGE('22.08 TORORO-BUSITEMA'!K28,'23.08 BUSITEMA-TORORO'!K28,'25.08 BUSITEMA-TORORO'!K28,'26.08 BUSITEMA-TORORO'!K28,'24.08 BUSITEMA-TORORO-24h'!K28,'27.08 TORORO-BUSITEMA-24h'!K28,'28.08 BUSITEMA-TORORO'!K28)</f>
        <v>1.1428571428571428</v>
      </c>
      <c r="L28" s="49">
        <f>AVERAGE('22.08 TORORO-BUSITEMA'!L28,'23.08 BUSITEMA-TORORO'!L28,'25.08 BUSITEMA-TORORO'!L28,'26.08 BUSITEMA-TORORO'!L28,'24.08 BUSITEMA-TORORO-24h'!L28,'27.08 TORORO-BUSITEMA-24h'!L28,'28.08 BUSITEMA-TORORO'!L28)</f>
        <v>6.7142857142857144</v>
      </c>
      <c r="M28" s="49">
        <f>AVERAGE('22.08 TORORO-BUSITEMA'!M28,'23.08 BUSITEMA-TORORO'!M28,'25.08 BUSITEMA-TORORO'!M28,'26.08 BUSITEMA-TORORO'!M28,'24.08 BUSITEMA-TORORO-24h'!M28,'27.08 TORORO-BUSITEMA-24h'!M28,'28.08 BUSITEMA-TORORO'!M28)</f>
        <v>4.5714285714285712</v>
      </c>
      <c r="N28" s="49">
        <f>AVERAGE('22.08 TORORO-BUSITEMA'!N28,'23.08 BUSITEMA-TORORO'!N28,'25.08 BUSITEMA-TORORO'!N28,'26.08 BUSITEMA-TORORO'!N28,'24.08 BUSITEMA-TORORO-24h'!N28,'27.08 TORORO-BUSITEMA-24h'!N28,'28.08 BUSITEMA-TORORO'!N28)</f>
        <v>0</v>
      </c>
      <c r="O28" s="15">
        <f t="shared" si="0"/>
        <v>20.571428571428569</v>
      </c>
      <c r="P28" s="15">
        <f t="shared" si="1"/>
        <v>25.142857142857139</v>
      </c>
      <c r="R28" s="1" t="s">
        <v>152</v>
      </c>
      <c r="S28" s="34">
        <f>SUM(C82:C85)</f>
        <v>1.5</v>
      </c>
      <c r="T28" s="34">
        <f t="shared" ref="T28:AF28" si="20">SUM(D82:D85)</f>
        <v>1.5</v>
      </c>
      <c r="U28" s="34">
        <f t="shared" si="20"/>
        <v>0.5</v>
      </c>
      <c r="V28" s="34">
        <f t="shared" si="20"/>
        <v>1</v>
      </c>
      <c r="W28" s="34">
        <f t="shared" si="20"/>
        <v>0</v>
      </c>
      <c r="X28" s="34">
        <f t="shared" si="20"/>
        <v>0.5</v>
      </c>
      <c r="Y28" s="34">
        <f t="shared" si="20"/>
        <v>0.5</v>
      </c>
      <c r="Z28" s="34">
        <f t="shared" si="20"/>
        <v>1</v>
      </c>
      <c r="AA28" s="34">
        <f t="shared" si="20"/>
        <v>0.5</v>
      </c>
      <c r="AB28" s="34">
        <f t="shared" si="20"/>
        <v>17.5</v>
      </c>
      <c r="AC28" s="34">
        <f t="shared" si="20"/>
        <v>11.5</v>
      </c>
      <c r="AD28" s="34">
        <f t="shared" si="20"/>
        <v>0</v>
      </c>
      <c r="AE28" s="31">
        <f t="shared" si="20"/>
        <v>24.5</v>
      </c>
      <c r="AF28" s="31">
        <f t="shared" si="20"/>
        <v>36</v>
      </c>
    </row>
    <row r="29" spans="2:32" ht="23.1" customHeight="1" x14ac:dyDescent="0.25">
      <c r="B29" s="23" t="s">
        <v>56</v>
      </c>
      <c r="C29" s="49">
        <f>AVERAGE('22.08 TORORO-BUSITEMA'!C29,'23.08 BUSITEMA-TORORO'!C29,'25.08 BUSITEMA-TORORO'!C29,'26.08 BUSITEMA-TORORO'!C29,'24.08 BUSITEMA-TORORO-24h'!C29,'27.08 TORORO-BUSITEMA-24h'!C29,'28.08 BUSITEMA-TORORO'!C29)</f>
        <v>0.7142857142857143</v>
      </c>
      <c r="D29" s="49">
        <f>AVERAGE('22.08 TORORO-BUSITEMA'!D29,'23.08 BUSITEMA-TORORO'!D29,'25.08 BUSITEMA-TORORO'!D29,'26.08 BUSITEMA-TORORO'!D29,'24.08 BUSITEMA-TORORO-24h'!D29,'27.08 TORORO-BUSITEMA-24h'!D29,'28.08 BUSITEMA-TORORO'!D29)</f>
        <v>2.1428571428571428</v>
      </c>
      <c r="E29" s="49">
        <f>AVERAGE('22.08 TORORO-BUSITEMA'!E29,'23.08 BUSITEMA-TORORO'!E29,'25.08 BUSITEMA-TORORO'!E29,'26.08 BUSITEMA-TORORO'!E29,'24.08 BUSITEMA-TORORO-24h'!E29,'27.08 TORORO-BUSITEMA-24h'!E29,'28.08 BUSITEMA-TORORO'!E29)</f>
        <v>1</v>
      </c>
      <c r="F29" s="49">
        <f>AVERAGE('22.08 TORORO-BUSITEMA'!F29,'23.08 BUSITEMA-TORORO'!F29,'25.08 BUSITEMA-TORORO'!F29,'26.08 BUSITEMA-TORORO'!F29,'24.08 BUSITEMA-TORORO-24h'!F29,'27.08 TORORO-BUSITEMA-24h'!F29,'28.08 BUSITEMA-TORORO'!F29)</f>
        <v>4.1428571428571432</v>
      </c>
      <c r="G29" s="49">
        <f>AVERAGE('22.08 TORORO-BUSITEMA'!G29,'23.08 BUSITEMA-TORORO'!G29,'25.08 BUSITEMA-TORORO'!G29,'26.08 BUSITEMA-TORORO'!G29,'24.08 BUSITEMA-TORORO-24h'!G29,'27.08 TORORO-BUSITEMA-24h'!G29,'28.08 BUSITEMA-TORORO'!G29)</f>
        <v>0</v>
      </c>
      <c r="H29" s="49">
        <f>AVERAGE('22.08 TORORO-BUSITEMA'!H29,'23.08 BUSITEMA-TORORO'!H29,'25.08 BUSITEMA-TORORO'!H29,'26.08 BUSITEMA-TORORO'!H29,'24.08 BUSITEMA-TORORO-24h'!H29,'27.08 TORORO-BUSITEMA-24h'!H29,'28.08 BUSITEMA-TORORO'!H29)</f>
        <v>0</v>
      </c>
      <c r="I29" s="49">
        <f>AVERAGE('22.08 TORORO-BUSITEMA'!I29,'23.08 BUSITEMA-TORORO'!I29,'25.08 BUSITEMA-TORORO'!I29,'26.08 BUSITEMA-TORORO'!I29,'24.08 BUSITEMA-TORORO-24h'!I29,'27.08 TORORO-BUSITEMA-24h'!I29,'28.08 BUSITEMA-TORORO'!I29)</f>
        <v>0.2857142857142857</v>
      </c>
      <c r="J29" s="49">
        <f>AVERAGE('22.08 TORORO-BUSITEMA'!J29,'23.08 BUSITEMA-TORORO'!J29,'25.08 BUSITEMA-TORORO'!J29,'26.08 BUSITEMA-TORORO'!J29,'24.08 BUSITEMA-TORORO-24h'!J29,'27.08 TORORO-BUSITEMA-24h'!J29,'28.08 BUSITEMA-TORORO'!J29)</f>
        <v>0.2857142857142857</v>
      </c>
      <c r="K29" s="49">
        <f>AVERAGE('22.08 TORORO-BUSITEMA'!K29,'23.08 BUSITEMA-TORORO'!K29,'25.08 BUSITEMA-TORORO'!K29,'26.08 BUSITEMA-TORORO'!K29,'24.08 BUSITEMA-TORORO-24h'!K29,'27.08 TORORO-BUSITEMA-24h'!K29,'28.08 BUSITEMA-TORORO'!K29)</f>
        <v>0.42857142857142855</v>
      </c>
      <c r="L29" s="49">
        <f>AVERAGE('22.08 TORORO-BUSITEMA'!L29,'23.08 BUSITEMA-TORORO'!L29,'25.08 BUSITEMA-TORORO'!L29,'26.08 BUSITEMA-TORORO'!L29,'24.08 BUSITEMA-TORORO-24h'!L29,'27.08 TORORO-BUSITEMA-24h'!L29,'28.08 BUSITEMA-TORORO'!L29)</f>
        <v>6.7142857142857144</v>
      </c>
      <c r="M29" s="49">
        <f>AVERAGE('22.08 TORORO-BUSITEMA'!M29,'23.08 BUSITEMA-TORORO'!M29,'25.08 BUSITEMA-TORORO'!M29,'26.08 BUSITEMA-TORORO'!M29,'24.08 BUSITEMA-TORORO-24h'!M29,'27.08 TORORO-BUSITEMA-24h'!M29,'28.08 BUSITEMA-TORORO'!M29)</f>
        <v>3.8571428571428572</v>
      </c>
      <c r="N29" s="49">
        <f>AVERAGE('22.08 TORORO-BUSITEMA'!N29,'23.08 BUSITEMA-TORORO'!N29,'25.08 BUSITEMA-TORORO'!N29,'26.08 BUSITEMA-TORORO'!N29,'24.08 BUSITEMA-TORORO-24h'!N29,'27.08 TORORO-BUSITEMA-24h'!N29,'28.08 BUSITEMA-TORORO'!N29)</f>
        <v>0</v>
      </c>
      <c r="O29" s="15">
        <f t="shared" si="0"/>
        <v>15.714285714285715</v>
      </c>
      <c r="P29" s="15">
        <f t="shared" si="1"/>
        <v>19.571428571428573</v>
      </c>
      <c r="R29" s="1" t="s">
        <v>153</v>
      </c>
      <c r="S29" s="34">
        <f>SUM(C86:C89)</f>
        <v>0.5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1</v>
      </c>
      <c r="AA29" s="34">
        <f t="shared" si="21"/>
        <v>0</v>
      </c>
      <c r="AB29" s="34">
        <f t="shared" si="21"/>
        <v>15</v>
      </c>
      <c r="AC29" s="34">
        <f t="shared" si="21"/>
        <v>0</v>
      </c>
      <c r="AD29" s="34">
        <f t="shared" si="21"/>
        <v>0</v>
      </c>
      <c r="AE29" s="31">
        <f t="shared" si="21"/>
        <v>22</v>
      </c>
      <c r="AF29" s="31">
        <f t="shared" si="21"/>
        <v>22</v>
      </c>
    </row>
    <row r="30" spans="2:32" ht="23.1" customHeight="1" x14ac:dyDescent="0.25">
      <c r="B30" s="23" t="s">
        <v>57</v>
      </c>
      <c r="C30" s="49">
        <f>AVERAGE('22.08 TORORO-BUSITEMA'!C30,'23.08 BUSITEMA-TORORO'!C30,'25.08 BUSITEMA-TORORO'!C30,'26.08 BUSITEMA-TORORO'!C30,'24.08 BUSITEMA-TORORO-24h'!C30,'27.08 TORORO-BUSITEMA-24h'!C30,'28.08 BUSITEMA-TORORO'!C30)</f>
        <v>1.4285714285714286</v>
      </c>
      <c r="D30" s="49">
        <f>AVERAGE('22.08 TORORO-BUSITEMA'!D30,'23.08 BUSITEMA-TORORO'!D30,'25.08 BUSITEMA-TORORO'!D30,'26.08 BUSITEMA-TORORO'!D30,'24.08 BUSITEMA-TORORO-24h'!D30,'27.08 TORORO-BUSITEMA-24h'!D30,'28.08 BUSITEMA-TORORO'!D30)</f>
        <v>2.7142857142857144</v>
      </c>
      <c r="E30" s="49">
        <f>AVERAGE('22.08 TORORO-BUSITEMA'!E30,'23.08 BUSITEMA-TORORO'!E30,'25.08 BUSITEMA-TORORO'!E30,'26.08 BUSITEMA-TORORO'!E30,'24.08 BUSITEMA-TORORO-24h'!E30,'27.08 TORORO-BUSITEMA-24h'!E30,'28.08 BUSITEMA-TORORO'!E30)</f>
        <v>1.1428571428571428</v>
      </c>
      <c r="F30" s="49">
        <f>AVERAGE('22.08 TORORO-BUSITEMA'!F30,'23.08 BUSITEMA-TORORO'!F30,'25.08 BUSITEMA-TORORO'!F30,'26.08 BUSITEMA-TORORO'!F30,'24.08 BUSITEMA-TORORO-24h'!F30,'27.08 TORORO-BUSITEMA-24h'!F30,'28.08 BUSITEMA-TORORO'!F30)</f>
        <v>3.8571428571428572</v>
      </c>
      <c r="G30" s="49">
        <f>AVERAGE('22.08 TORORO-BUSITEMA'!G30,'23.08 BUSITEMA-TORORO'!G30,'25.08 BUSITEMA-TORORO'!G30,'26.08 BUSITEMA-TORORO'!G30,'24.08 BUSITEMA-TORORO-24h'!G30,'27.08 TORORO-BUSITEMA-24h'!G30,'28.08 BUSITEMA-TORORO'!G30)</f>
        <v>0</v>
      </c>
      <c r="H30" s="49">
        <f>AVERAGE('22.08 TORORO-BUSITEMA'!H30,'23.08 BUSITEMA-TORORO'!H30,'25.08 BUSITEMA-TORORO'!H30,'26.08 BUSITEMA-TORORO'!H30,'24.08 BUSITEMA-TORORO-24h'!H30,'27.08 TORORO-BUSITEMA-24h'!H30,'28.08 BUSITEMA-TORORO'!H30)</f>
        <v>0</v>
      </c>
      <c r="I30" s="49">
        <f>AVERAGE('22.08 TORORO-BUSITEMA'!I30,'23.08 BUSITEMA-TORORO'!I30,'25.08 BUSITEMA-TORORO'!I30,'26.08 BUSITEMA-TORORO'!I30,'24.08 BUSITEMA-TORORO-24h'!I30,'27.08 TORORO-BUSITEMA-24h'!I30,'28.08 BUSITEMA-TORORO'!I30)</f>
        <v>0.2857142857142857</v>
      </c>
      <c r="J30" s="49">
        <f>AVERAGE('22.08 TORORO-BUSITEMA'!J30,'23.08 BUSITEMA-TORORO'!J30,'25.08 BUSITEMA-TORORO'!J30,'26.08 BUSITEMA-TORORO'!J30,'24.08 BUSITEMA-TORORO-24h'!J30,'27.08 TORORO-BUSITEMA-24h'!J30,'28.08 BUSITEMA-TORORO'!J30)</f>
        <v>0.5714285714285714</v>
      </c>
      <c r="K30" s="49">
        <f>AVERAGE('22.08 TORORO-BUSITEMA'!K30,'23.08 BUSITEMA-TORORO'!K30,'25.08 BUSITEMA-TORORO'!K30,'26.08 BUSITEMA-TORORO'!K30,'24.08 BUSITEMA-TORORO-24h'!K30,'27.08 TORORO-BUSITEMA-24h'!K30,'28.08 BUSITEMA-TORORO'!K30)</f>
        <v>0.2857142857142857</v>
      </c>
      <c r="L30" s="49">
        <f>AVERAGE('22.08 TORORO-BUSITEMA'!L30,'23.08 BUSITEMA-TORORO'!L30,'25.08 BUSITEMA-TORORO'!L30,'26.08 BUSITEMA-TORORO'!L30,'24.08 BUSITEMA-TORORO-24h'!L30,'27.08 TORORO-BUSITEMA-24h'!L30,'28.08 BUSITEMA-TORORO'!L30)</f>
        <v>6.8571428571428568</v>
      </c>
      <c r="M30" s="49">
        <f>AVERAGE('22.08 TORORO-BUSITEMA'!M30,'23.08 BUSITEMA-TORORO'!M30,'25.08 BUSITEMA-TORORO'!M30,'26.08 BUSITEMA-TORORO'!M30,'24.08 BUSITEMA-TORORO-24h'!M30,'27.08 TORORO-BUSITEMA-24h'!M30,'28.08 BUSITEMA-TORORO'!M30)</f>
        <v>4</v>
      </c>
      <c r="N30" s="49">
        <f>AVERAGE('22.08 TORORO-BUSITEMA'!N30,'23.08 BUSITEMA-TORORO'!N30,'25.08 BUSITEMA-TORORO'!N30,'26.08 BUSITEMA-TORORO'!N30,'24.08 BUSITEMA-TORORO-24h'!N30,'27.08 TORORO-BUSITEMA-24h'!N30,'28.08 BUSITEMA-TORORO'!N30)</f>
        <v>0</v>
      </c>
      <c r="O30" s="15">
        <f t="shared" si="0"/>
        <v>17.142857142857146</v>
      </c>
      <c r="P30" s="15">
        <f t="shared" si="1"/>
        <v>21.142857142857146</v>
      </c>
      <c r="R30" s="1" t="s">
        <v>154</v>
      </c>
      <c r="S30" s="34">
        <f>SUM(C90:C93)</f>
        <v>1</v>
      </c>
      <c r="T30" s="34">
        <f t="shared" ref="T30:AF30" si="22">SUM(D90:D93)</f>
        <v>1.5</v>
      </c>
      <c r="U30" s="34">
        <f t="shared" si="22"/>
        <v>0</v>
      </c>
      <c r="V30" s="34">
        <f t="shared" si="22"/>
        <v>0.5</v>
      </c>
      <c r="W30" s="34">
        <f t="shared" si="22"/>
        <v>0.5</v>
      </c>
      <c r="X30" s="34">
        <f t="shared" si="22"/>
        <v>0.5</v>
      </c>
      <c r="Y30" s="34">
        <f t="shared" si="22"/>
        <v>0</v>
      </c>
      <c r="Z30" s="34">
        <f t="shared" si="22"/>
        <v>0</v>
      </c>
      <c r="AA30" s="34">
        <f t="shared" si="22"/>
        <v>0.5</v>
      </c>
      <c r="AB30" s="34">
        <f t="shared" si="22"/>
        <v>18.5</v>
      </c>
      <c r="AC30" s="34">
        <f t="shared" si="22"/>
        <v>0</v>
      </c>
      <c r="AD30" s="34">
        <f t="shared" si="22"/>
        <v>0</v>
      </c>
      <c r="AE30" s="31">
        <f t="shared" si="22"/>
        <v>23</v>
      </c>
      <c r="AF30" s="31">
        <f t="shared" si="22"/>
        <v>23</v>
      </c>
    </row>
    <row r="31" spans="2:32" ht="23.1" customHeight="1" x14ac:dyDescent="0.25">
      <c r="B31" s="24" t="s">
        <v>58</v>
      </c>
      <c r="C31" s="49">
        <f>AVERAGE('22.08 TORORO-BUSITEMA'!C31,'23.08 BUSITEMA-TORORO'!C31,'25.08 BUSITEMA-TORORO'!C31,'26.08 BUSITEMA-TORORO'!C31,'24.08 BUSITEMA-TORORO-24h'!C31,'27.08 TORORO-BUSITEMA-24h'!C31,'28.08 BUSITEMA-TORORO'!C31)</f>
        <v>1.4285714285714286</v>
      </c>
      <c r="D31" s="49">
        <f>AVERAGE('22.08 TORORO-BUSITEMA'!D31,'23.08 BUSITEMA-TORORO'!D31,'25.08 BUSITEMA-TORORO'!D31,'26.08 BUSITEMA-TORORO'!D31,'24.08 BUSITEMA-TORORO-24h'!D31,'27.08 TORORO-BUSITEMA-24h'!D31,'28.08 BUSITEMA-TORORO'!D31)</f>
        <v>2.4285714285714284</v>
      </c>
      <c r="E31" s="49">
        <f>AVERAGE('22.08 TORORO-BUSITEMA'!E31,'23.08 BUSITEMA-TORORO'!E31,'25.08 BUSITEMA-TORORO'!E31,'26.08 BUSITEMA-TORORO'!E31,'24.08 BUSITEMA-TORORO-24h'!E31,'27.08 TORORO-BUSITEMA-24h'!E31,'28.08 BUSITEMA-TORORO'!E31)</f>
        <v>1.4285714285714286</v>
      </c>
      <c r="F31" s="49">
        <f>AVERAGE('22.08 TORORO-BUSITEMA'!F31,'23.08 BUSITEMA-TORORO'!F31,'25.08 BUSITEMA-TORORO'!F31,'26.08 BUSITEMA-TORORO'!F31,'24.08 BUSITEMA-TORORO-24h'!F31,'27.08 TORORO-BUSITEMA-24h'!F31,'28.08 BUSITEMA-TORORO'!F31)</f>
        <v>5</v>
      </c>
      <c r="G31" s="49">
        <f>AVERAGE('22.08 TORORO-BUSITEMA'!G31,'23.08 BUSITEMA-TORORO'!G31,'25.08 BUSITEMA-TORORO'!G31,'26.08 BUSITEMA-TORORO'!G31,'24.08 BUSITEMA-TORORO-24h'!G31,'27.08 TORORO-BUSITEMA-24h'!G31,'28.08 BUSITEMA-TORORO'!G31)</f>
        <v>0</v>
      </c>
      <c r="H31" s="49">
        <f>AVERAGE('22.08 TORORO-BUSITEMA'!H31,'23.08 BUSITEMA-TORORO'!H31,'25.08 BUSITEMA-TORORO'!H31,'26.08 BUSITEMA-TORORO'!H31,'24.08 BUSITEMA-TORORO-24h'!H31,'27.08 TORORO-BUSITEMA-24h'!H31,'28.08 BUSITEMA-TORORO'!H31)</f>
        <v>0</v>
      </c>
      <c r="I31" s="49">
        <f>AVERAGE('22.08 TORORO-BUSITEMA'!I31,'23.08 BUSITEMA-TORORO'!I31,'25.08 BUSITEMA-TORORO'!I31,'26.08 BUSITEMA-TORORO'!I31,'24.08 BUSITEMA-TORORO-24h'!I31,'27.08 TORORO-BUSITEMA-24h'!I31,'28.08 BUSITEMA-TORORO'!I31)</f>
        <v>0.14285714285714285</v>
      </c>
      <c r="J31" s="49">
        <f>AVERAGE('22.08 TORORO-BUSITEMA'!J31,'23.08 BUSITEMA-TORORO'!J31,'25.08 BUSITEMA-TORORO'!J31,'26.08 BUSITEMA-TORORO'!J31,'24.08 BUSITEMA-TORORO-24h'!J31,'27.08 TORORO-BUSITEMA-24h'!J31,'28.08 BUSITEMA-TORORO'!J31)</f>
        <v>0.14285714285714285</v>
      </c>
      <c r="K31" s="49">
        <f>AVERAGE('22.08 TORORO-BUSITEMA'!K31,'23.08 BUSITEMA-TORORO'!K31,'25.08 BUSITEMA-TORORO'!K31,'26.08 BUSITEMA-TORORO'!K31,'24.08 BUSITEMA-TORORO-24h'!K31,'27.08 TORORO-BUSITEMA-24h'!K31,'28.08 BUSITEMA-TORORO'!K31)</f>
        <v>0.14285714285714285</v>
      </c>
      <c r="L31" s="49">
        <f>AVERAGE('22.08 TORORO-BUSITEMA'!L31,'23.08 BUSITEMA-TORORO'!L31,'25.08 BUSITEMA-TORORO'!L31,'26.08 BUSITEMA-TORORO'!L31,'24.08 BUSITEMA-TORORO-24h'!L31,'27.08 TORORO-BUSITEMA-24h'!L31,'28.08 BUSITEMA-TORORO'!L31)</f>
        <v>8.8571428571428577</v>
      </c>
      <c r="M31" s="49">
        <f>AVERAGE('22.08 TORORO-BUSITEMA'!M31,'23.08 BUSITEMA-TORORO'!M31,'25.08 BUSITEMA-TORORO'!M31,'26.08 BUSITEMA-TORORO'!M31,'24.08 BUSITEMA-TORORO-24h'!M31,'27.08 TORORO-BUSITEMA-24h'!M31,'28.08 BUSITEMA-TORORO'!M31)</f>
        <v>2.2857142857142856</v>
      </c>
      <c r="N31" s="49">
        <f>AVERAGE('22.08 TORORO-BUSITEMA'!N31,'23.08 BUSITEMA-TORORO'!N31,'25.08 BUSITEMA-TORORO'!N31,'26.08 BUSITEMA-TORORO'!N31,'24.08 BUSITEMA-TORORO-24h'!N31,'27.08 TORORO-BUSITEMA-24h'!N31,'28.08 BUSITEMA-TORORO'!N31)</f>
        <v>0</v>
      </c>
      <c r="O31" s="15">
        <f t="shared" si="0"/>
        <v>19.571428571428569</v>
      </c>
      <c r="P31" s="15">
        <f t="shared" si="1"/>
        <v>21.857142857142854</v>
      </c>
      <c r="R31" s="1" t="s">
        <v>155</v>
      </c>
      <c r="S31" s="34">
        <f>SUM(C94:C97)</f>
        <v>0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0.5</v>
      </c>
      <c r="AA31" s="34">
        <f t="shared" si="23"/>
        <v>0</v>
      </c>
      <c r="AB31" s="34">
        <f t="shared" si="23"/>
        <v>14.5</v>
      </c>
      <c r="AC31" s="34">
        <f t="shared" si="23"/>
        <v>0</v>
      </c>
      <c r="AD31" s="34">
        <f t="shared" si="23"/>
        <v>0</v>
      </c>
      <c r="AE31" s="31">
        <f t="shared" si="23"/>
        <v>16</v>
      </c>
      <c r="AF31" s="31">
        <f t="shared" si="23"/>
        <v>16</v>
      </c>
    </row>
    <row r="32" spans="2:32" ht="23.1" customHeight="1" x14ac:dyDescent="0.25">
      <c r="B32" s="24" t="s">
        <v>59</v>
      </c>
      <c r="C32" s="49">
        <f>AVERAGE('22.08 TORORO-BUSITEMA'!C32,'23.08 BUSITEMA-TORORO'!C32,'25.08 BUSITEMA-TORORO'!C32,'26.08 BUSITEMA-TORORO'!C32,'24.08 BUSITEMA-TORORO-24h'!C32,'27.08 TORORO-BUSITEMA-24h'!C32,'28.08 BUSITEMA-TORORO'!C32)</f>
        <v>2.1428571428571428</v>
      </c>
      <c r="D32" s="49">
        <f>AVERAGE('22.08 TORORO-BUSITEMA'!D32,'23.08 BUSITEMA-TORORO'!D32,'25.08 BUSITEMA-TORORO'!D32,'26.08 BUSITEMA-TORORO'!D32,'24.08 BUSITEMA-TORORO-24h'!D32,'27.08 TORORO-BUSITEMA-24h'!D32,'28.08 BUSITEMA-TORORO'!D32)</f>
        <v>5.8571428571428568</v>
      </c>
      <c r="E32" s="49">
        <f>AVERAGE('22.08 TORORO-BUSITEMA'!E32,'23.08 BUSITEMA-TORORO'!E32,'25.08 BUSITEMA-TORORO'!E32,'26.08 BUSITEMA-TORORO'!E32,'24.08 BUSITEMA-TORORO-24h'!E32,'27.08 TORORO-BUSITEMA-24h'!E32,'28.08 BUSITEMA-TORORO'!E32)</f>
        <v>1.8571428571428572</v>
      </c>
      <c r="F32" s="49">
        <f>AVERAGE('22.08 TORORO-BUSITEMA'!F32,'23.08 BUSITEMA-TORORO'!F32,'25.08 BUSITEMA-TORORO'!F32,'26.08 BUSITEMA-TORORO'!F32,'24.08 BUSITEMA-TORORO-24h'!F32,'27.08 TORORO-BUSITEMA-24h'!F32,'28.08 BUSITEMA-TORORO'!F32)</f>
        <v>3.7142857142857144</v>
      </c>
      <c r="G32" s="49">
        <f>AVERAGE('22.08 TORORO-BUSITEMA'!G32,'23.08 BUSITEMA-TORORO'!G32,'25.08 BUSITEMA-TORORO'!G32,'26.08 BUSITEMA-TORORO'!G32,'24.08 BUSITEMA-TORORO-24h'!G32,'27.08 TORORO-BUSITEMA-24h'!G32,'28.08 BUSITEMA-TORORO'!G32)</f>
        <v>0.2857142857142857</v>
      </c>
      <c r="H32" s="49">
        <f>AVERAGE('22.08 TORORO-BUSITEMA'!H32,'23.08 BUSITEMA-TORORO'!H32,'25.08 BUSITEMA-TORORO'!H32,'26.08 BUSITEMA-TORORO'!H32,'24.08 BUSITEMA-TORORO-24h'!H32,'27.08 TORORO-BUSITEMA-24h'!H32,'28.08 BUSITEMA-TORORO'!H32)</f>
        <v>0</v>
      </c>
      <c r="I32" s="49">
        <f>AVERAGE('22.08 TORORO-BUSITEMA'!I32,'23.08 BUSITEMA-TORORO'!I32,'25.08 BUSITEMA-TORORO'!I32,'26.08 BUSITEMA-TORORO'!I32,'24.08 BUSITEMA-TORORO-24h'!I32,'27.08 TORORO-BUSITEMA-24h'!I32,'28.08 BUSITEMA-TORORO'!I32)</f>
        <v>1.4285714285714286</v>
      </c>
      <c r="J32" s="49">
        <f>AVERAGE('22.08 TORORO-BUSITEMA'!J32,'23.08 BUSITEMA-TORORO'!J32,'25.08 BUSITEMA-TORORO'!J32,'26.08 BUSITEMA-TORORO'!J32,'24.08 BUSITEMA-TORORO-24h'!J32,'27.08 TORORO-BUSITEMA-24h'!J32,'28.08 BUSITEMA-TORORO'!J32)</f>
        <v>0.14285714285714285</v>
      </c>
      <c r="K32" s="49">
        <f>AVERAGE('22.08 TORORO-BUSITEMA'!K32,'23.08 BUSITEMA-TORORO'!K32,'25.08 BUSITEMA-TORORO'!K32,'26.08 BUSITEMA-TORORO'!K32,'24.08 BUSITEMA-TORORO-24h'!K32,'27.08 TORORO-BUSITEMA-24h'!K32,'28.08 BUSITEMA-TORORO'!K32)</f>
        <v>1.1428571428571428</v>
      </c>
      <c r="L32" s="49">
        <f>AVERAGE('22.08 TORORO-BUSITEMA'!L32,'23.08 BUSITEMA-TORORO'!L32,'25.08 BUSITEMA-TORORO'!L32,'26.08 BUSITEMA-TORORO'!L32,'24.08 BUSITEMA-TORORO-24h'!L32,'27.08 TORORO-BUSITEMA-24h'!L32,'28.08 BUSITEMA-TORORO'!L32)</f>
        <v>9.1428571428571423</v>
      </c>
      <c r="M32" s="49">
        <f>AVERAGE('22.08 TORORO-BUSITEMA'!M32,'23.08 BUSITEMA-TORORO'!M32,'25.08 BUSITEMA-TORORO'!M32,'26.08 BUSITEMA-TORORO'!M32,'24.08 BUSITEMA-TORORO-24h'!M32,'27.08 TORORO-BUSITEMA-24h'!M32,'28.08 BUSITEMA-TORORO'!M32)</f>
        <v>5.5714285714285712</v>
      </c>
      <c r="N32" s="49">
        <f>AVERAGE('22.08 TORORO-BUSITEMA'!N32,'23.08 BUSITEMA-TORORO'!N32,'25.08 BUSITEMA-TORORO'!N32,'26.08 BUSITEMA-TORORO'!N32,'24.08 BUSITEMA-TORORO-24h'!N32,'27.08 TORORO-BUSITEMA-24h'!N32,'28.08 BUSITEMA-TORORO'!N32)</f>
        <v>0</v>
      </c>
      <c r="O32" s="15">
        <f t="shared" si="0"/>
        <v>25.714285714285715</v>
      </c>
      <c r="P32" s="15">
        <f t="shared" si="1"/>
        <v>31.285714285714285</v>
      </c>
      <c r="R32" s="1" t="s">
        <v>156</v>
      </c>
      <c r="S32" s="34">
        <f>SUM(C98:C101)</f>
        <v>0.5</v>
      </c>
      <c r="T32" s="34">
        <f t="shared" ref="T32:AF32" si="24">SUM(D98:D101)</f>
        <v>0.5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1</v>
      </c>
      <c r="AA32" s="34">
        <f t="shared" si="24"/>
        <v>0.5</v>
      </c>
      <c r="AB32" s="34">
        <f t="shared" si="24"/>
        <v>29.5</v>
      </c>
      <c r="AC32" s="34">
        <f t="shared" si="24"/>
        <v>1.5</v>
      </c>
      <c r="AD32" s="34">
        <f t="shared" si="24"/>
        <v>0</v>
      </c>
      <c r="AE32" s="31">
        <f t="shared" si="24"/>
        <v>33</v>
      </c>
      <c r="AF32" s="31">
        <f t="shared" si="24"/>
        <v>34.5</v>
      </c>
    </row>
    <row r="33" spans="2:32" ht="23.1" customHeight="1" x14ac:dyDescent="0.25">
      <c r="B33" s="23" t="s">
        <v>60</v>
      </c>
      <c r="C33" s="49">
        <f>AVERAGE('22.08 TORORO-BUSITEMA'!C33,'23.08 BUSITEMA-TORORO'!C33,'25.08 BUSITEMA-TORORO'!C33,'26.08 BUSITEMA-TORORO'!C33,'24.08 BUSITEMA-TORORO-24h'!C33,'27.08 TORORO-BUSITEMA-24h'!C33,'28.08 BUSITEMA-TORORO'!C33)</f>
        <v>0.2857142857142857</v>
      </c>
      <c r="D33" s="49">
        <f>AVERAGE('22.08 TORORO-BUSITEMA'!D33,'23.08 BUSITEMA-TORORO'!D33,'25.08 BUSITEMA-TORORO'!D33,'26.08 BUSITEMA-TORORO'!D33,'24.08 BUSITEMA-TORORO-24h'!D33,'27.08 TORORO-BUSITEMA-24h'!D33,'28.08 BUSITEMA-TORORO'!D33)</f>
        <v>1.2857142857142858</v>
      </c>
      <c r="E33" s="49">
        <f>AVERAGE('22.08 TORORO-BUSITEMA'!E33,'23.08 BUSITEMA-TORORO'!E33,'25.08 BUSITEMA-TORORO'!E33,'26.08 BUSITEMA-TORORO'!E33,'24.08 BUSITEMA-TORORO-24h'!E33,'27.08 TORORO-BUSITEMA-24h'!E33,'28.08 BUSITEMA-TORORO'!E33)</f>
        <v>1.1428571428571428</v>
      </c>
      <c r="F33" s="49">
        <f>AVERAGE('22.08 TORORO-BUSITEMA'!F33,'23.08 BUSITEMA-TORORO'!F33,'25.08 BUSITEMA-TORORO'!F33,'26.08 BUSITEMA-TORORO'!F33,'24.08 BUSITEMA-TORORO-24h'!F33,'27.08 TORORO-BUSITEMA-24h'!F33,'28.08 BUSITEMA-TORORO'!F33)</f>
        <v>3</v>
      </c>
      <c r="G33" s="49">
        <f>AVERAGE('22.08 TORORO-BUSITEMA'!G33,'23.08 BUSITEMA-TORORO'!G33,'25.08 BUSITEMA-TORORO'!G33,'26.08 BUSITEMA-TORORO'!G33,'24.08 BUSITEMA-TORORO-24h'!G33,'27.08 TORORO-BUSITEMA-24h'!G33,'28.08 BUSITEMA-TORORO'!G33)</f>
        <v>0.14285714285714285</v>
      </c>
      <c r="H33" s="49">
        <f>AVERAGE('22.08 TORORO-BUSITEMA'!H33,'23.08 BUSITEMA-TORORO'!H33,'25.08 BUSITEMA-TORORO'!H33,'26.08 BUSITEMA-TORORO'!H33,'24.08 BUSITEMA-TORORO-24h'!H33,'27.08 TORORO-BUSITEMA-24h'!H33,'28.08 BUSITEMA-TORORO'!H33)</f>
        <v>0</v>
      </c>
      <c r="I33" s="49">
        <f>AVERAGE('22.08 TORORO-BUSITEMA'!I33,'23.08 BUSITEMA-TORORO'!I33,'25.08 BUSITEMA-TORORO'!I33,'26.08 BUSITEMA-TORORO'!I33,'24.08 BUSITEMA-TORORO-24h'!I33,'27.08 TORORO-BUSITEMA-24h'!I33,'28.08 BUSITEMA-TORORO'!I33)</f>
        <v>0.5714285714285714</v>
      </c>
      <c r="J33" s="49">
        <f>AVERAGE('22.08 TORORO-BUSITEMA'!J33,'23.08 BUSITEMA-TORORO'!J33,'25.08 BUSITEMA-TORORO'!J33,'26.08 BUSITEMA-TORORO'!J33,'24.08 BUSITEMA-TORORO-24h'!J33,'27.08 TORORO-BUSITEMA-24h'!J33,'28.08 BUSITEMA-TORORO'!J33)</f>
        <v>0.5714285714285714</v>
      </c>
      <c r="K33" s="49">
        <f>AVERAGE('22.08 TORORO-BUSITEMA'!K33,'23.08 BUSITEMA-TORORO'!K33,'25.08 BUSITEMA-TORORO'!K33,'26.08 BUSITEMA-TORORO'!K33,'24.08 BUSITEMA-TORORO-24h'!K33,'27.08 TORORO-BUSITEMA-24h'!K33,'28.08 BUSITEMA-TORORO'!K33)</f>
        <v>2.7142857142857144</v>
      </c>
      <c r="L33" s="49">
        <f>AVERAGE('22.08 TORORO-BUSITEMA'!L33,'23.08 BUSITEMA-TORORO'!L33,'25.08 BUSITEMA-TORORO'!L33,'26.08 BUSITEMA-TORORO'!L33,'24.08 BUSITEMA-TORORO-24h'!L33,'27.08 TORORO-BUSITEMA-24h'!L33,'28.08 BUSITEMA-TORORO'!L33)</f>
        <v>5.1428571428571432</v>
      </c>
      <c r="M33" s="49">
        <f>AVERAGE('22.08 TORORO-BUSITEMA'!M33,'23.08 BUSITEMA-TORORO'!M33,'25.08 BUSITEMA-TORORO'!M33,'26.08 BUSITEMA-TORORO'!M33,'24.08 BUSITEMA-TORORO-24h'!M33,'27.08 TORORO-BUSITEMA-24h'!M33,'28.08 BUSITEMA-TORORO'!M33)</f>
        <v>2.8571428571428572</v>
      </c>
      <c r="N33" s="49">
        <f>AVERAGE('22.08 TORORO-BUSITEMA'!N33,'23.08 BUSITEMA-TORORO'!N33,'25.08 BUSITEMA-TORORO'!N33,'26.08 BUSITEMA-TORORO'!N33,'24.08 BUSITEMA-TORORO-24h'!N33,'27.08 TORORO-BUSITEMA-24h'!N33,'28.08 BUSITEMA-TORORO'!N33)</f>
        <v>0</v>
      </c>
      <c r="O33" s="15">
        <f t="shared" si="0"/>
        <v>14.857142857142858</v>
      </c>
      <c r="P33" s="15">
        <f t="shared" si="1"/>
        <v>17.714285714285715</v>
      </c>
      <c r="R33" s="1" t="s">
        <v>157</v>
      </c>
      <c r="S33" s="34">
        <f>SUM(C102:C105)</f>
        <v>0.5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3</v>
      </c>
      <c r="W33" s="34">
        <f t="shared" si="25"/>
        <v>0</v>
      </c>
      <c r="X33" s="34">
        <f t="shared" si="25"/>
        <v>1</v>
      </c>
      <c r="Y33" s="34">
        <f t="shared" si="25"/>
        <v>0.5</v>
      </c>
      <c r="Z33" s="34">
        <f t="shared" si="25"/>
        <v>0.5</v>
      </c>
      <c r="AA33" s="34">
        <f t="shared" si="25"/>
        <v>8.5</v>
      </c>
      <c r="AB33" s="34">
        <f t="shared" si="25"/>
        <v>23.5</v>
      </c>
      <c r="AC33" s="34">
        <f t="shared" si="25"/>
        <v>6</v>
      </c>
      <c r="AD33" s="34">
        <f t="shared" si="25"/>
        <v>0</v>
      </c>
      <c r="AE33" s="31">
        <f t="shared" si="25"/>
        <v>39.5</v>
      </c>
      <c r="AF33" s="31">
        <f t="shared" si="25"/>
        <v>45.5</v>
      </c>
    </row>
    <row r="34" spans="2:32" ht="23.1" customHeight="1" x14ac:dyDescent="0.25">
      <c r="B34" s="24" t="s">
        <v>61</v>
      </c>
      <c r="C34" s="49">
        <f>AVERAGE('22.08 TORORO-BUSITEMA'!C34,'23.08 BUSITEMA-TORORO'!C34,'25.08 BUSITEMA-TORORO'!C34,'26.08 BUSITEMA-TORORO'!C34,'24.08 BUSITEMA-TORORO-24h'!C34,'27.08 TORORO-BUSITEMA-24h'!C34,'28.08 BUSITEMA-TORORO'!C34)</f>
        <v>2.2857142857142856</v>
      </c>
      <c r="D34" s="49">
        <f>AVERAGE('22.08 TORORO-BUSITEMA'!D34,'23.08 BUSITEMA-TORORO'!D34,'25.08 BUSITEMA-TORORO'!D34,'26.08 BUSITEMA-TORORO'!D34,'24.08 BUSITEMA-TORORO-24h'!D34,'27.08 TORORO-BUSITEMA-24h'!D34,'28.08 BUSITEMA-TORORO'!D34)</f>
        <v>3</v>
      </c>
      <c r="E34" s="49">
        <f>AVERAGE('22.08 TORORO-BUSITEMA'!E34,'23.08 BUSITEMA-TORORO'!E34,'25.08 BUSITEMA-TORORO'!E34,'26.08 BUSITEMA-TORORO'!E34,'24.08 BUSITEMA-TORORO-24h'!E34,'27.08 TORORO-BUSITEMA-24h'!E34,'28.08 BUSITEMA-TORORO'!E34)</f>
        <v>1</v>
      </c>
      <c r="F34" s="49">
        <f>AVERAGE('22.08 TORORO-BUSITEMA'!F34,'23.08 BUSITEMA-TORORO'!F34,'25.08 BUSITEMA-TORORO'!F34,'26.08 BUSITEMA-TORORO'!F34,'24.08 BUSITEMA-TORORO-24h'!F34,'27.08 TORORO-BUSITEMA-24h'!F34,'28.08 BUSITEMA-TORORO'!F34)</f>
        <v>2.4285714285714284</v>
      </c>
      <c r="G34" s="49">
        <f>AVERAGE('22.08 TORORO-BUSITEMA'!G34,'23.08 BUSITEMA-TORORO'!G34,'25.08 BUSITEMA-TORORO'!G34,'26.08 BUSITEMA-TORORO'!G34,'24.08 BUSITEMA-TORORO-24h'!G34,'27.08 TORORO-BUSITEMA-24h'!G34,'28.08 BUSITEMA-TORORO'!G34)</f>
        <v>0</v>
      </c>
      <c r="H34" s="49">
        <f>AVERAGE('22.08 TORORO-BUSITEMA'!H34,'23.08 BUSITEMA-TORORO'!H34,'25.08 BUSITEMA-TORORO'!H34,'26.08 BUSITEMA-TORORO'!H34,'24.08 BUSITEMA-TORORO-24h'!H34,'27.08 TORORO-BUSITEMA-24h'!H34,'28.08 BUSITEMA-TORORO'!H34)</f>
        <v>0</v>
      </c>
      <c r="I34" s="49">
        <f>AVERAGE('22.08 TORORO-BUSITEMA'!I34,'23.08 BUSITEMA-TORORO'!I34,'25.08 BUSITEMA-TORORO'!I34,'26.08 BUSITEMA-TORORO'!I34,'24.08 BUSITEMA-TORORO-24h'!I34,'27.08 TORORO-BUSITEMA-24h'!I34,'28.08 BUSITEMA-TORORO'!I34)</f>
        <v>0.8571428571428571</v>
      </c>
      <c r="J34" s="49">
        <f>AVERAGE('22.08 TORORO-BUSITEMA'!J34,'23.08 BUSITEMA-TORORO'!J34,'25.08 BUSITEMA-TORORO'!J34,'26.08 BUSITEMA-TORORO'!J34,'24.08 BUSITEMA-TORORO-24h'!J34,'27.08 TORORO-BUSITEMA-24h'!J34,'28.08 BUSITEMA-TORORO'!J34)</f>
        <v>0.14285714285714285</v>
      </c>
      <c r="K34" s="49">
        <f>AVERAGE('22.08 TORORO-BUSITEMA'!K34,'23.08 BUSITEMA-TORORO'!K34,'25.08 BUSITEMA-TORORO'!K34,'26.08 BUSITEMA-TORORO'!K34,'24.08 BUSITEMA-TORORO-24h'!K34,'27.08 TORORO-BUSITEMA-24h'!K34,'28.08 BUSITEMA-TORORO'!K34)</f>
        <v>0.5714285714285714</v>
      </c>
      <c r="L34" s="49">
        <f>AVERAGE('22.08 TORORO-BUSITEMA'!L34,'23.08 BUSITEMA-TORORO'!L34,'25.08 BUSITEMA-TORORO'!L34,'26.08 BUSITEMA-TORORO'!L34,'24.08 BUSITEMA-TORORO-24h'!L34,'27.08 TORORO-BUSITEMA-24h'!L34,'28.08 BUSITEMA-TORORO'!L34)</f>
        <v>4.4285714285714288</v>
      </c>
      <c r="M34" s="49">
        <f>AVERAGE('22.08 TORORO-BUSITEMA'!M34,'23.08 BUSITEMA-TORORO'!M34,'25.08 BUSITEMA-TORORO'!M34,'26.08 BUSITEMA-TORORO'!M34,'24.08 BUSITEMA-TORORO-24h'!M34,'27.08 TORORO-BUSITEMA-24h'!M34,'28.08 BUSITEMA-TORORO'!M34)</f>
        <v>5</v>
      </c>
      <c r="N34" s="49">
        <f>AVERAGE('22.08 TORORO-BUSITEMA'!N34,'23.08 BUSITEMA-TORORO'!N34,'25.08 BUSITEMA-TORORO'!N34,'26.08 BUSITEMA-TORORO'!N34,'24.08 BUSITEMA-TORORO-24h'!N34,'27.08 TORORO-BUSITEMA-24h'!N34,'28.08 BUSITEMA-TORORO'!N34)</f>
        <v>0</v>
      </c>
      <c r="O34" s="15">
        <f t="shared" si="0"/>
        <v>14.714285714285714</v>
      </c>
      <c r="P34" s="15">
        <f t="shared" si="1"/>
        <v>19.714285714285715</v>
      </c>
      <c r="R34" s="38" t="s">
        <v>90</v>
      </c>
      <c r="S34" s="39">
        <f t="shared" ref="S34:AF34" si="26">MAX(S10:S12)</f>
        <v>5.8571428571428568</v>
      </c>
      <c r="T34" s="39">
        <f t="shared" si="26"/>
        <v>9.4285714285714288</v>
      </c>
      <c r="U34" s="39">
        <f t="shared" si="26"/>
        <v>3.4285714285714284</v>
      </c>
      <c r="V34" s="39">
        <f t="shared" si="26"/>
        <v>13.428571428571431</v>
      </c>
      <c r="W34" s="39">
        <f t="shared" si="26"/>
        <v>0.5714285714285714</v>
      </c>
      <c r="X34" s="39">
        <f t="shared" si="26"/>
        <v>0.2857142857142857</v>
      </c>
      <c r="Y34" s="39">
        <f t="shared" si="26"/>
        <v>3.1428571428571432</v>
      </c>
      <c r="Z34" s="39">
        <f t="shared" si="26"/>
        <v>1.5714285714285712</v>
      </c>
      <c r="AA34" s="39">
        <f t="shared" si="26"/>
        <v>2</v>
      </c>
      <c r="AB34" s="39">
        <f t="shared" si="26"/>
        <v>32.142857142857146</v>
      </c>
      <c r="AC34" s="39">
        <f t="shared" si="26"/>
        <v>17.285714285714285</v>
      </c>
      <c r="AD34" s="39">
        <f t="shared" si="26"/>
        <v>0.2857142857142857</v>
      </c>
      <c r="AE34" s="40">
        <f t="shared" si="26"/>
        <v>59</v>
      </c>
      <c r="AF34" s="40">
        <f t="shared" si="26"/>
        <v>76.285714285714278</v>
      </c>
    </row>
    <row r="35" spans="2:32" ht="23.1" customHeight="1" x14ac:dyDescent="0.25">
      <c r="B35" s="24" t="s">
        <v>62</v>
      </c>
      <c r="C35" s="49">
        <f>AVERAGE('22.08 TORORO-BUSITEMA'!C35,'23.08 BUSITEMA-TORORO'!C35,'25.08 BUSITEMA-TORORO'!C35,'26.08 BUSITEMA-TORORO'!C35,'24.08 BUSITEMA-TORORO-24h'!C35,'27.08 TORORO-BUSITEMA-24h'!C35,'28.08 BUSITEMA-TORORO'!C35)</f>
        <v>1</v>
      </c>
      <c r="D35" s="49">
        <f>AVERAGE('22.08 TORORO-BUSITEMA'!D35,'23.08 BUSITEMA-TORORO'!D35,'25.08 BUSITEMA-TORORO'!D35,'26.08 BUSITEMA-TORORO'!D35,'24.08 BUSITEMA-TORORO-24h'!D35,'27.08 TORORO-BUSITEMA-24h'!D35,'28.08 BUSITEMA-TORORO'!D35)</f>
        <v>1.4285714285714286</v>
      </c>
      <c r="E35" s="49">
        <f>AVERAGE('22.08 TORORO-BUSITEMA'!E35,'23.08 BUSITEMA-TORORO'!E35,'25.08 BUSITEMA-TORORO'!E35,'26.08 BUSITEMA-TORORO'!E35,'24.08 BUSITEMA-TORORO-24h'!E35,'27.08 TORORO-BUSITEMA-24h'!E35,'28.08 BUSITEMA-TORORO'!E35)</f>
        <v>0.7142857142857143</v>
      </c>
      <c r="F35" s="49">
        <f>AVERAGE('22.08 TORORO-BUSITEMA'!F35,'23.08 BUSITEMA-TORORO'!F35,'25.08 BUSITEMA-TORORO'!F35,'26.08 BUSITEMA-TORORO'!F35,'24.08 BUSITEMA-TORORO-24h'!F35,'27.08 TORORO-BUSITEMA-24h'!F35,'28.08 BUSITEMA-TORORO'!F35)</f>
        <v>2.4285714285714284</v>
      </c>
      <c r="G35" s="49">
        <f>AVERAGE('22.08 TORORO-BUSITEMA'!G35,'23.08 BUSITEMA-TORORO'!G35,'25.08 BUSITEMA-TORORO'!G35,'26.08 BUSITEMA-TORORO'!G35,'24.08 BUSITEMA-TORORO-24h'!G35,'27.08 TORORO-BUSITEMA-24h'!G35,'28.08 BUSITEMA-TORORO'!G35)</f>
        <v>0</v>
      </c>
      <c r="H35" s="49">
        <f>AVERAGE('22.08 TORORO-BUSITEMA'!H35,'23.08 BUSITEMA-TORORO'!H35,'25.08 BUSITEMA-TORORO'!H35,'26.08 BUSITEMA-TORORO'!H35,'24.08 BUSITEMA-TORORO-24h'!H35,'27.08 TORORO-BUSITEMA-24h'!H35,'28.08 BUSITEMA-TORORO'!H35)</f>
        <v>0</v>
      </c>
      <c r="I35" s="49">
        <f>AVERAGE('22.08 TORORO-BUSITEMA'!I35,'23.08 BUSITEMA-TORORO'!I35,'25.08 BUSITEMA-TORORO'!I35,'26.08 BUSITEMA-TORORO'!I35,'24.08 BUSITEMA-TORORO-24h'!I35,'27.08 TORORO-BUSITEMA-24h'!I35,'28.08 BUSITEMA-TORORO'!I35)</f>
        <v>0.7142857142857143</v>
      </c>
      <c r="J35" s="49">
        <f>AVERAGE('22.08 TORORO-BUSITEMA'!J35,'23.08 BUSITEMA-TORORO'!J35,'25.08 BUSITEMA-TORORO'!J35,'26.08 BUSITEMA-TORORO'!J35,'24.08 BUSITEMA-TORORO-24h'!J35,'27.08 TORORO-BUSITEMA-24h'!J35,'28.08 BUSITEMA-TORORO'!J35)</f>
        <v>0</v>
      </c>
      <c r="K35" s="49">
        <f>AVERAGE('22.08 TORORO-BUSITEMA'!K35,'23.08 BUSITEMA-TORORO'!K35,'25.08 BUSITEMA-TORORO'!K35,'26.08 BUSITEMA-TORORO'!K35,'24.08 BUSITEMA-TORORO-24h'!K35,'27.08 TORORO-BUSITEMA-24h'!K35,'28.08 BUSITEMA-TORORO'!K35)</f>
        <v>1</v>
      </c>
      <c r="L35" s="49">
        <f>AVERAGE('22.08 TORORO-BUSITEMA'!L35,'23.08 BUSITEMA-TORORO'!L35,'25.08 BUSITEMA-TORORO'!L35,'26.08 BUSITEMA-TORORO'!L35,'24.08 BUSITEMA-TORORO-24h'!L35,'27.08 TORORO-BUSITEMA-24h'!L35,'28.08 BUSITEMA-TORORO'!L35)</f>
        <v>4.2857142857142856</v>
      </c>
      <c r="M35" s="49">
        <f>AVERAGE('22.08 TORORO-BUSITEMA'!M35,'23.08 BUSITEMA-TORORO'!M35,'25.08 BUSITEMA-TORORO'!M35,'26.08 BUSITEMA-TORORO'!M35,'24.08 BUSITEMA-TORORO-24h'!M35,'27.08 TORORO-BUSITEMA-24h'!M35,'28.08 BUSITEMA-TORORO'!M35)</f>
        <v>3.4285714285714284</v>
      </c>
      <c r="N35" s="49">
        <f>AVERAGE('22.08 TORORO-BUSITEMA'!N35,'23.08 BUSITEMA-TORORO'!N35,'25.08 BUSITEMA-TORORO'!N35,'26.08 BUSITEMA-TORORO'!N35,'24.08 BUSITEMA-TORORO-24h'!N35,'27.08 TORORO-BUSITEMA-24h'!N35,'28.08 BUSITEMA-TORORO'!N35)</f>
        <v>0</v>
      </c>
      <c r="O35" s="15">
        <f t="shared" si="0"/>
        <v>11.571428571428571</v>
      </c>
      <c r="P35" s="15">
        <f t="shared" si="1"/>
        <v>15</v>
      </c>
      <c r="R35" s="38" t="s">
        <v>91</v>
      </c>
      <c r="S35" s="39">
        <f t="shared" ref="S35:AF35" si="27">MAX(S13:S18)</f>
        <v>6.7142857142857144</v>
      </c>
      <c r="T35" s="39">
        <f t="shared" si="27"/>
        <v>12.285714285714286</v>
      </c>
      <c r="U35" s="39">
        <f t="shared" si="27"/>
        <v>5.5714285714285712</v>
      </c>
      <c r="V35" s="39">
        <f t="shared" si="27"/>
        <v>18.857142857142858</v>
      </c>
      <c r="W35" s="39">
        <f t="shared" si="27"/>
        <v>0.5714285714285714</v>
      </c>
      <c r="X35" s="39">
        <f t="shared" si="27"/>
        <v>1.4285714285714286</v>
      </c>
      <c r="Y35" s="39">
        <f t="shared" si="27"/>
        <v>5.4285714285714288</v>
      </c>
      <c r="Z35" s="39">
        <f t="shared" si="27"/>
        <v>2.8571428571428572</v>
      </c>
      <c r="AA35" s="39">
        <f t="shared" si="27"/>
        <v>6.1428571428571423</v>
      </c>
      <c r="AB35" s="39">
        <f t="shared" si="27"/>
        <v>39.142857142857139</v>
      </c>
      <c r="AC35" s="39">
        <f t="shared" si="27"/>
        <v>19.571428571428573</v>
      </c>
      <c r="AD35" s="39">
        <f t="shared" si="27"/>
        <v>0</v>
      </c>
      <c r="AE35" s="40">
        <f t="shared" si="27"/>
        <v>88.857142857142861</v>
      </c>
      <c r="AF35" s="40">
        <f t="shared" si="27"/>
        <v>108.42857142857143</v>
      </c>
    </row>
    <row r="36" spans="2:32" ht="23.1" customHeight="1" x14ac:dyDescent="0.25">
      <c r="B36" s="24" t="s">
        <v>63</v>
      </c>
      <c r="C36" s="49">
        <f>AVERAGE('22.08 TORORO-BUSITEMA'!C36,'23.08 BUSITEMA-TORORO'!C36,'25.08 BUSITEMA-TORORO'!C36,'26.08 BUSITEMA-TORORO'!C36,'24.08 BUSITEMA-TORORO-24h'!C36,'27.08 TORORO-BUSITEMA-24h'!C36,'28.08 BUSITEMA-TORORO'!C36)</f>
        <v>1.2857142857142858</v>
      </c>
      <c r="D36" s="49">
        <f>AVERAGE('22.08 TORORO-BUSITEMA'!D36,'23.08 BUSITEMA-TORORO'!D36,'25.08 BUSITEMA-TORORO'!D36,'26.08 BUSITEMA-TORORO'!D36,'24.08 BUSITEMA-TORORO-24h'!D36,'27.08 TORORO-BUSITEMA-24h'!D36,'28.08 BUSITEMA-TORORO'!D36)</f>
        <v>0.7142857142857143</v>
      </c>
      <c r="E36" s="49">
        <f>AVERAGE('22.08 TORORO-BUSITEMA'!E36,'23.08 BUSITEMA-TORORO'!E36,'25.08 BUSITEMA-TORORO'!E36,'26.08 BUSITEMA-TORORO'!E36,'24.08 BUSITEMA-TORORO-24h'!E36,'27.08 TORORO-BUSITEMA-24h'!E36,'28.08 BUSITEMA-TORORO'!E36)</f>
        <v>0.8571428571428571</v>
      </c>
      <c r="F36" s="49">
        <f>AVERAGE('22.08 TORORO-BUSITEMA'!F36,'23.08 BUSITEMA-TORORO'!F36,'25.08 BUSITEMA-TORORO'!F36,'26.08 BUSITEMA-TORORO'!F36,'24.08 BUSITEMA-TORORO-24h'!F36,'27.08 TORORO-BUSITEMA-24h'!F36,'28.08 BUSITEMA-TORORO'!F36)</f>
        <v>1.7142857142857142</v>
      </c>
      <c r="G36" s="49">
        <f>AVERAGE('22.08 TORORO-BUSITEMA'!G36,'23.08 BUSITEMA-TORORO'!G36,'25.08 BUSITEMA-TORORO'!G36,'26.08 BUSITEMA-TORORO'!G36,'24.08 BUSITEMA-TORORO-24h'!G36,'27.08 TORORO-BUSITEMA-24h'!G36,'28.08 BUSITEMA-TORORO'!G36)</f>
        <v>0</v>
      </c>
      <c r="H36" s="49">
        <f>AVERAGE('22.08 TORORO-BUSITEMA'!H36,'23.08 BUSITEMA-TORORO'!H36,'25.08 BUSITEMA-TORORO'!H36,'26.08 BUSITEMA-TORORO'!H36,'24.08 BUSITEMA-TORORO-24h'!H36,'27.08 TORORO-BUSITEMA-24h'!H36,'28.08 BUSITEMA-TORORO'!H36)</f>
        <v>0</v>
      </c>
      <c r="I36" s="49">
        <f>AVERAGE('22.08 TORORO-BUSITEMA'!I36,'23.08 BUSITEMA-TORORO'!I36,'25.08 BUSITEMA-TORORO'!I36,'26.08 BUSITEMA-TORORO'!I36,'24.08 BUSITEMA-TORORO-24h'!I36,'27.08 TORORO-BUSITEMA-24h'!I36,'28.08 BUSITEMA-TORORO'!I36)</f>
        <v>0.2857142857142857</v>
      </c>
      <c r="J36" s="49">
        <f>AVERAGE('22.08 TORORO-BUSITEMA'!J36,'23.08 BUSITEMA-TORORO'!J36,'25.08 BUSITEMA-TORORO'!J36,'26.08 BUSITEMA-TORORO'!J36,'24.08 BUSITEMA-TORORO-24h'!J36,'27.08 TORORO-BUSITEMA-24h'!J36,'28.08 BUSITEMA-TORORO'!J36)</f>
        <v>0.8571428571428571</v>
      </c>
      <c r="K36" s="49">
        <f>AVERAGE('22.08 TORORO-BUSITEMA'!K36,'23.08 BUSITEMA-TORORO'!K36,'25.08 BUSITEMA-TORORO'!K36,'26.08 BUSITEMA-TORORO'!K36,'24.08 BUSITEMA-TORORO-24h'!K36,'27.08 TORORO-BUSITEMA-24h'!K36,'28.08 BUSITEMA-TORORO'!K36)</f>
        <v>2</v>
      </c>
      <c r="L36" s="49">
        <f>AVERAGE('22.08 TORORO-BUSITEMA'!L36,'23.08 BUSITEMA-TORORO'!L36,'25.08 BUSITEMA-TORORO'!L36,'26.08 BUSITEMA-TORORO'!L36,'24.08 BUSITEMA-TORORO-24h'!L36,'27.08 TORORO-BUSITEMA-24h'!L36,'28.08 BUSITEMA-TORORO'!L36)</f>
        <v>5.4285714285714288</v>
      </c>
      <c r="M36" s="49">
        <f>AVERAGE('22.08 TORORO-BUSITEMA'!M36,'23.08 BUSITEMA-TORORO'!M36,'25.08 BUSITEMA-TORORO'!M36,'26.08 BUSITEMA-TORORO'!M36,'24.08 BUSITEMA-TORORO-24h'!M36,'27.08 TORORO-BUSITEMA-24h'!M36,'28.08 BUSITEMA-TORORO'!M36)</f>
        <v>3.5714285714285716</v>
      </c>
      <c r="N36" s="49">
        <f>AVERAGE('22.08 TORORO-BUSITEMA'!N36,'23.08 BUSITEMA-TORORO'!N36,'25.08 BUSITEMA-TORORO'!N36,'26.08 BUSITEMA-TORORO'!N36,'24.08 BUSITEMA-TORORO-24h'!N36,'27.08 TORORO-BUSITEMA-24h'!N36,'28.08 BUSITEMA-TORORO'!N36)</f>
        <v>0</v>
      </c>
      <c r="O36" s="15">
        <f t="shared" si="0"/>
        <v>13.142857142857142</v>
      </c>
      <c r="P36" s="15">
        <f t="shared" si="1"/>
        <v>16.714285714285715</v>
      </c>
      <c r="R36" s="38" t="s">
        <v>92</v>
      </c>
      <c r="S36" s="39">
        <f t="shared" ref="S36:AF36" si="28">MAX(S19:S21)</f>
        <v>9.4285714285714288</v>
      </c>
      <c r="T36" s="39">
        <f t="shared" si="28"/>
        <v>12</v>
      </c>
      <c r="U36" s="39">
        <f t="shared" si="28"/>
        <v>8.5714285714285712</v>
      </c>
      <c r="V36" s="39">
        <f t="shared" si="28"/>
        <v>21.571428571428573</v>
      </c>
      <c r="W36" s="39">
        <f t="shared" si="28"/>
        <v>0.42857142857142855</v>
      </c>
      <c r="X36" s="39">
        <f t="shared" si="28"/>
        <v>0.71428571428571419</v>
      </c>
      <c r="Y36" s="39">
        <f t="shared" si="28"/>
        <v>7.7142857142857144</v>
      </c>
      <c r="Z36" s="39">
        <f t="shared" si="28"/>
        <v>4.7142857142857144</v>
      </c>
      <c r="AA36" s="39">
        <f t="shared" si="28"/>
        <v>5.7142857142857144</v>
      </c>
      <c r="AB36" s="39">
        <f t="shared" si="28"/>
        <v>56</v>
      </c>
      <c r="AC36" s="39">
        <f t="shared" si="28"/>
        <v>23.142857142857142</v>
      </c>
      <c r="AD36" s="39">
        <f t="shared" si="28"/>
        <v>0</v>
      </c>
      <c r="AE36" s="40">
        <f t="shared" si="28"/>
        <v>123.71428571428571</v>
      </c>
      <c r="AF36" s="40">
        <f t="shared" si="28"/>
        <v>146.85714285714286</v>
      </c>
    </row>
    <row r="37" spans="2:32" ht="23.1" customHeight="1" x14ac:dyDescent="0.25">
      <c r="B37" s="23" t="s">
        <v>64</v>
      </c>
      <c r="C37" s="49">
        <f>AVERAGE('22.08 TORORO-BUSITEMA'!C37,'23.08 BUSITEMA-TORORO'!C37,'25.08 BUSITEMA-TORORO'!C37,'26.08 BUSITEMA-TORORO'!C37,'24.08 BUSITEMA-TORORO-24h'!C37,'27.08 TORORO-BUSITEMA-24h'!C37,'28.08 BUSITEMA-TORORO'!C37)</f>
        <v>1.2857142857142858</v>
      </c>
      <c r="D37" s="49">
        <f>AVERAGE('22.08 TORORO-BUSITEMA'!D37,'23.08 BUSITEMA-TORORO'!D37,'25.08 BUSITEMA-TORORO'!D37,'26.08 BUSITEMA-TORORO'!D37,'24.08 BUSITEMA-TORORO-24h'!D37,'27.08 TORORO-BUSITEMA-24h'!D37,'28.08 BUSITEMA-TORORO'!D37)</f>
        <v>1.8571428571428572</v>
      </c>
      <c r="E37" s="49">
        <f>AVERAGE('22.08 TORORO-BUSITEMA'!E37,'23.08 BUSITEMA-TORORO'!E37,'25.08 BUSITEMA-TORORO'!E37,'26.08 BUSITEMA-TORORO'!E37,'24.08 BUSITEMA-TORORO-24h'!E37,'27.08 TORORO-BUSITEMA-24h'!E37,'28.08 BUSITEMA-TORORO'!E37)</f>
        <v>1.1428571428571428</v>
      </c>
      <c r="F37" s="49">
        <f>AVERAGE('22.08 TORORO-BUSITEMA'!F37,'23.08 BUSITEMA-TORORO'!F37,'25.08 BUSITEMA-TORORO'!F37,'26.08 BUSITEMA-TORORO'!F37,'24.08 BUSITEMA-TORORO-24h'!F37,'27.08 TORORO-BUSITEMA-24h'!F37,'28.08 BUSITEMA-TORORO'!F37)</f>
        <v>3.7142857142857144</v>
      </c>
      <c r="G37" s="49">
        <f>AVERAGE('22.08 TORORO-BUSITEMA'!G37,'23.08 BUSITEMA-TORORO'!G37,'25.08 BUSITEMA-TORORO'!G37,'26.08 BUSITEMA-TORORO'!G37,'24.08 BUSITEMA-TORORO-24h'!G37,'27.08 TORORO-BUSITEMA-24h'!G37,'28.08 BUSITEMA-TORORO'!G37)</f>
        <v>0.14285714285714285</v>
      </c>
      <c r="H37" s="49">
        <f>AVERAGE('22.08 TORORO-BUSITEMA'!H37,'23.08 BUSITEMA-TORORO'!H37,'25.08 BUSITEMA-TORORO'!H37,'26.08 BUSITEMA-TORORO'!H37,'24.08 BUSITEMA-TORORO-24h'!H37,'27.08 TORORO-BUSITEMA-24h'!H37,'28.08 BUSITEMA-TORORO'!H37)</f>
        <v>0</v>
      </c>
      <c r="I37" s="49">
        <f>AVERAGE('22.08 TORORO-BUSITEMA'!I37,'23.08 BUSITEMA-TORORO'!I37,'25.08 BUSITEMA-TORORO'!I37,'26.08 BUSITEMA-TORORO'!I37,'24.08 BUSITEMA-TORORO-24h'!I37,'27.08 TORORO-BUSITEMA-24h'!I37,'28.08 BUSITEMA-TORORO'!I37)</f>
        <v>1.2857142857142858</v>
      </c>
      <c r="J37" s="49">
        <f>AVERAGE('22.08 TORORO-BUSITEMA'!J37,'23.08 BUSITEMA-TORORO'!J37,'25.08 BUSITEMA-TORORO'!J37,'26.08 BUSITEMA-TORORO'!J37,'24.08 BUSITEMA-TORORO-24h'!J37,'27.08 TORORO-BUSITEMA-24h'!J37,'28.08 BUSITEMA-TORORO'!J37)</f>
        <v>0.5714285714285714</v>
      </c>
      <c r="K37" s="49">
        <f>AVERAGE('22.08 TORORO-BUSITEMA'!K37,'23.08 BUSITEMA-TORORO'!K37,'25.08 BUSITEMA-TORORO'!K37,'26.08 BUSITEMA-TORORO'!K37,'24.08 BUSITEMA-TORORO-24h'!K37,'27.08 TORORO-BUSITEMA-24h'!K37,'28.08 BUSITEMA-TORORO'!K37)</f>
        <v>2.5714285714285716</v>
      </c>
      <c r="L37" s="49">
        <f>AVERAGE('22.08 TORORO-BUSITEMA'!L37,'23.08 BUSITEMA-TORORO'!L37,'25.08 BUSITEMA-TORORO'!L37,'26.08 BUSITEMA-TORORO'!L37,'24.08 BUSITEMA-TORORO-24h'!L37,'27.08 TORORO-BUSITEMA-24h'!L37,'28.08 BUSITEMA-TORORO'!L37)</f>
        <v>7.2857142857142856</v>
      </c>
      <c r="M37" s="49">
        <f>AVERAGE('22.08 TORORO-BUSITEMA'!M37,'23.08 BUSITEMA-TORORO'!M37,'25.08 BUSITEMA-TORORO'!M37,'26.08 BUSITEMA-TORORO'!M37,'24.08 BUSITEMA-TORORO-24h'!M37,'27.08 TORORO-BUSITEMA-24h'!M37,'28.08 BUSITEMA-TORORO'!M37)</f>
        <v>6.1428571428571432</v>
      </c>
      <c r="N37" s="49">
        <f>AVERAGE('22.08 TORORO-BUSITEMA'!N37,'23.08 BUSITEMA-TORORO'!N37,'25.08 BUSITEMA-TORORO'!N37,'26.08 BUSITEMA-TORORO'!N37,'24.08 BUSITEMA-TORORO-24h'!N37,'27.08 TORORO-BUSITEMA-24h'!N37,'28.08 BUSITEMA-TORORO'!N37)</f>
        <v>0</v>
      </c>
      <c r="O37" s="15">
        <f t="shared" si="0"/>
        <v>19.857142857142858</v>
      </c>
      <c r="P37" s="15">
        <f t="shared" si="1"/>
        <v>26</v>
      </c>
      <c r="R37" s="37" t="s">
        <v>85</v>
      </c>
      <c r="S37" s="35">
        <f t="shared" ref="S37:AF37" si="29">SUM(S10:S12)</f>
        <v>12.571428571428571</v>
      </c>
      <c r="T37" s="16">
        <f t="shared" si="29"/>
        <v>21</v>
      </c>
      <c r="U37" s="16">
        <f t="shared" si="29"/>
        <v>8.2857142857142847</v>
      </c>
      <c r="V37" s="16">
        <f t="shared" si="29"/>
        <v>34.428571428571431</v>
      </c>
      <c r="W37" s="16">
        <f t="shared" si="29"/>
        <v>1.1428571428571428</v>
      </c>
      <c r="X37" s="16">
        <f t="shared" si="29"/>
        <v>0.5714285714285714</v>
      </c>
      <c r="Y37" s="16">
        <f t="shared" si="29"/>
        <v>4.8571428571428577</v>
      </c>
      <c r="Z37" s="16">
        <f t="shared" si="29"/>
        <v>2.9999999999999991</v>
      </c>
      <c r="AA37" s="16">
        <f t="shared" si="29"/>
        <v>4.4285714285714288</v>
      </c>
      <c r="AB37" s="16">
        <f t="shared" si="29"/>
        <v>79.285714285714292</v>
      </c>
      <c r="AC37" s="16">
        <f t="shared" si="29"/>
        <v>46.285714285714285</v>
      </c>
      <c r="AD37" s="16">
        <f t="shared" si="29"/>
        <v>0.42857142857142855</v>
      </c>
      <c r="AE37" s="32">
        <f t="shared" si="29"/>
        <v>170</v>
      </c>
      <c r="AF37" s="32">
        <f t="shared" si="29"/>
        <v>216.28571428571428</v>
      </c>
    </row>
    <row r="38" spans="2:32" ht="23.1" customHeight="1" x14ac:dyDescent="0.25">
      <c r="B38" s="24" t="s">
        <v>65</v>
      </c>
      <c r="C38" s="49">
        <f>AVERAGE('22.08 TORORO-BUSITEMA'!C38,'23.08 BUSITEMA-TORORO'!C38,'25.08 BUSITEMA-TORORO'!C38,'26.08 BUSITEMA-TORORO'!C38,'24.08 BUSITEMA-TORORO-24h'!C38,'27.08 TORORO-BUSITEMA-24h'!C38,'28.08 BUSITEMA-TORORO'!C38)</f>
        <v>0.8571428571428571</v>
      </c>
      <c r="D38" s="49">
        <f>AVERAGE('22.08 TORORO-BUSITEMA'!D38,'23.08 BUSITEMA-TORORO'!D38,'25.08 BUSITEMA-TORORO'!D38,'26.08 BUSITEMA-TORORO'!D38,'24.08 BUSITEMA-TORORO-24h'!D38,'27.08 TORORO-BUSITEMA-24h'!D38,'28.08 BUSITEMA-TORORO'!D38)</f>
        <v>2</v>
      </c>
      <c r="E38" s="49">
        <f>AVERAGE('22.08 TORORO-BUSITEMA'!E38,'23.08 BUSITEMA-TORORO'!E38,'25.08 BUSITEMA-TORORO'!E38,'26.08 BUSITEMA-TORORO'!E38,'24.08 BUSITEMA-TORORO-24h'!E38,'27.08 TORORO-BUSITEMA-24h'!E38,'28.08 BUSITEMA-TORORO'!E38)</f>
        <v>1.1428571428571428</v>
      </c>
      <c r="F38" s="49">
        <f>AVERAGE('22.08 TORORO-BUSITEMA'!F38,'23.08 BUSITEMA-TORORO'!F38,'25.08 BUSITEMA-TORORO'!F38,'26.08 BUSITEMA-TORORO'!F38,'24.08 BUSITEMA-TORORO-24h'!F38,'27.08 TORORO-BUSITEMA-24h'!F38,'28.08 BUSITEMA-TORORO'!F38)</f>
        <v>5.2857142857142856</v>
      </c>
      <c r="G38" s="49">
        <f>AVERAGE('22.08 TORORO-BUSITEMA'!G38,'23.08 BUSITEMA-TORORO'!G38,'25.08 BUSITEMA-TORORO'!G38,'26.08 BUSITEMA-TORORO'!G38,'24.08 BUSITEMA-TORORO-24h'!G38,'27.08 TORORO-BUSITEMA-24h'!G38,'28.08 BUSITEMA-TORORO'!G38)</f>
        <v>0.2857142857142857</v>
      </c>
      <c r="H38" s="49">
        <f>AVERAGE('22.08 TORORO-BUSITEMA'!H38,'23.08 BUSITEMA-TORORO'!H38,'25.08 BUSITEMA-TORORO'!H38,'26.08 BUSITEMA-TORORO'!H38,'24.08 BUSITEMA-TORORO-24h'!H38,'27.08 TORORO-BUSITEMA-24h'!H38,'28.08 BUSITEMA-TORORO'!H38)</f>
        <v>0</v>
      </c>
      <c r="I38" s="49">
        <f>AVERAGE('22.08 TORORO-BUSITEMA'!I38,'23.08 BUSITEMA-TORORO'!I38,'25.08 BUSITEMA-TORORO'!I38,'26.08 BUSITEMA-TORORO'!I38,'24.08 BUSITEMA-TORORO-24h'!I38,'27.08 TORORO-BUSITEMA-24h'!I38,'28.08 BUSITEMA-TORORO'!I38)</f>
        <v>1.7142857142857142</v>
      </c>
      <c r="J38" s="49">
        <f>AVERAGE('22.08 TORORO-BUSITEMA'!J38,'23.08 BUSITEMA-TORORO'!J38,'25.08 BUSITEMA-TORORO'!J38,'26.08 BUSITEMA-TORORO'!J38,'24.08 BUSITEMA-TORORO-24h'!J38,'27.08 TORORO-BUSITEMA-24h'!J38,'28.08 BUSITEMA-TORORO'!J38)</f>
        <v>0.8571428571428571</v>
      </c>
      <c r="K38" s="49">
        <f>AVERAGE('22.08 TORORO-BUSITEMA'!K38,'23.08 BUSITEMA-TORORO'!K38,'25.08 BUSITEMA-TORORO'!K38,'26.08 BUSITEMA-TORORO'!K38,'24.08 BUSITEMA-TORORO-24h'!K38,'27.08 TORORO-BUSITEMA-24h'!K38,'28.08 BUSITEMA-TORORO'!K38)</f>
        <v>3.2857142857142856</v>
      </c>
      <c r="L38" s="49">
        <f>AVERAGE('22.08 TORORO-BUSITEMA'!L38,'23.08 BUSITEMA-TORORO'!L38,'25.08 BUSITEMA-TORORO'!L38,'26.08 BUSITEMA-TORORO'!L38,'24.08 BUSITEMA-TORORO-24h'!L38,'27.08 TORORO-BUSITEMA-24h'!L38,'28.08 BUSITEMA-TORORO'!L38)</f>
        <v>6.7142857142857144</v>
      </c>
      <c r="M38" s="49">
        <f>AVERAGE('22.08 TORORO-BUSITEMA'!M38,'23.08 BUSITEMA-TORORO'!M38,'25.08 BUSITEMA-TORORO'!M38,'26.08 BUSITEMA-TORORO'!M38,'24.08 BUSITEMA-TORORO-24h'!M38,'27.08 TORORO-BUSITEMA-24h'!M38,'28.08 BUSITEMA-TORORO'!M38)</f>
        <v>3.7142857142857144</v>
      </c>
      <c r="N38" s="49">
        <f>AVERAGE('22.08 TORORO-BUSITEMA'!N38,'23.08 BUSITEMA-TORORO'!N38,'25.08 BUSITEMA-TORORO'!N38,'26.08 BUSITEMA-TORORO'!N38,'24.08 BUSITEMA-TORORO-24h'!N38,'27.08 TORORO-BUSITEMA-24h'!N38,'28.08 BUSITEMA-TORORO'!N38)</f>
        <v>0</v>
      </c>
      <c r="O38" s="15">
        <f t="shared" si="0"/>
        <v>22.142857142857142</v>
      </c>
      <c r="P38" s="15">
        <f t="shared" si="1"/>
        <v>25.857142857142858</v>
      </c>
      <c r="R38" s="28" t="s">
        <v>86</v>
      </c>
      <c r="S38" s="16">
        <f t="shared" ref="S38:AF38" si="30">SUM(S13:S18)</f>
        <v>35</v>
      </c>
      <c r="T38" s="16">
        <f t="shared" si="30"/>
        <v>56.428571428571431</v>
      </c>
      <c r="U38" s="16">
        <f t="shared" si="30"/>
        <v>24.285714285714285</v>
      </c>
      <c r="V38" s="16">
        <f t="shared" si="30"/>
        <v>95.285714285714292</v>
      </c>
      <c r="W38" s="16">
        <f t="shared" si="30"/>
        <v>1.9999999999999996</v>
      </c>
      <c r="X38" s="16">
        <f t="shared" si="30"/>
        <v>2.5714285714285712</v>
      </c>
      <c r="Y38" s="16">
        <f t="shared" si="30"/>
        <v>19.857142857142854</v>
      </c>
      <c r="Z38" s="16">
        <f t="shared" si="30"/>
        <v>10</v>
      </c>
      <c r="AA38" s="16">
        <f t="shared" si="30"/>
        <v>23.571428571428569</v>
      </c>
      <c r="AB38" s="16">
        <f t="shared" si="30"/>
        <v>162.28571428571428</v>
      </c>
      <c r="AC38" s="16">
        <f t="shared" si="30"/>
        <v>107.28571428571429</v>
      </c>
      <c r="AD38" s="16">
        <f t="shared" si="30"/>
        <v>0</v>
      </c>
      <c r="AE38" s="32">
        <f t="shared" si="30"/>
        <v>431.28571428571433</v>
      </c>
      <c r="AF38" s="32">
        <f t="shared" si="30"/>
        <v>538.57142857142856</v>
      </c>
    </row>
    <row r="39" spans="2:32" ht="23.1" customHeight="1" x14ac:dyDescent="0.25">
      <c r="B39" s="24" t="s">
        <v>66</v>
      </c>
      <c r="C39" s="49">
        <f>AVERAGE('22.08 TORORO-BUSITEMA'!C39,'23.08 BUSITEMA-TORORO'!C39,'25.08 BUSITEMA-TORORO'!C39,'26.08 BUSITEMA-TORORO'!C39,'24.08 BUSITEMA-TORORO-24h'!C39,'27.08 TORORO-BUSITEMA-24h'!C39,'28.08 BUSITEMA-TORORO'!C39)</f>
        <v>1.8571428571428572</v>
      </c>
      <c r="D39" s="49">
        <f>AVERAGE('22.08 TORORO-BUSITEMA'!D39,'23.08 BUSITEMA-TORORO'!D39,'25.08 BUSITEMA-TORORO'!D39,'26.08 BUSITEMA-TORORO'!D39,'24.08 BUSITEMA-TORORO-24h'!D39,'27.08 TORORO-BUSITEMA-24h'!D39,'28.08 BUSITEMA-TORORO'!D39)</f>
        <v>1.8571428571428572</v>
      </c>
      <c r="E39" s="49">
        <f>AVERAGE('22.08 TORORO-BUSITEMA'!E39,'23.08 BUSITEMA-TORORO'!E39,'25.08 BUSITEMA-TORORO'!E39,'26.08 BUSITEMA-TORORO'!E39,'24.08 BUSITEMA-TORORO-24h'!E39,'27.08 TORORO-BUSITEMA-24h'!E39,'28.08 BUSITEMA-TORORO'!E39)</f>
        <v>0.5714285714285714</v>
      </c>
      <c r="F39" s="49">
        <f>AVERAGE('22.08 TORORO-BUSITEMA'!F39,'23.08 BUSITEMA-TORORO'!F39,'25.08 BUSITEMA-TORORO'!F39,'26.08 BUSITEMA-TORORO'!F39,'24.08 BUSITEMA-TORORO-24h'!F39,'27.08 TORORO-BUSITEMA-24h'!F39,'28.08 BUSITEMA-TORORO'!F39)</f>
        <v>5</v>
      </c>
      <c r="G39" s="49">
        <f>AVERAGE('22.08 TORORO-BUSITEMA'!G39,'23.08 BUSITEMA-TORORO'!G39,'25.08 BUSITEMA-TORORO'!G39,'26.08 BUSITEMA-TORORO'!G39,'24.08 BUSITEMA-TORORO-24h'!G39,'27.08 TORORO-BUSITEMA-24h'!G39,'28.08 BUSITEMA-TORORO'!G39)</f>
        <v>0</v>
      </c>
      <c r="H39" s="49">
        <f>AVERAGE('22.08 TORORO-BUSITEMA'!H39,'23.08 BUSITEMA-TORORO'!H39,'25.08 BUSITEMA-TORORO'!H39,'26.08 BUSITEMA-TORORO'!H39,'24.08 BUSITEMA-TORORO-24h'!H39,'27.08 TORORO-BUSITEMA-24h'!H39,'28.08 BUSITEMA-TORORO'!H39)</f>
        <v>0.7142857142857143</v>
      </c>
      <c r="I39" s="49">
        <f>AVERAGE('22.08 TORORO-BUSITEMA'!I39,'23.08 BUSITEMA-TORORO'!I39,'25.08 BUSITEMA-TORORO'!I39,'26.08 BUSITEMA-TORORO'!I39,'24.08 BUSITEMA-TORORO-24h'!I39,'27.08 TORORO-BUSITEMA-24h'!I39,'28.08 BUSITEMA-TORORO'!I39)</f>
        <v>0.8571428571428571</v>
      </c>
      <c r="J39" s="49">
        <f>AVERAGE('22.08 TORORO-BUSITEMA'!J39,'23.08 BUSITEMA-TORORO'!J39,'25.08 BUSITEMA-TORORO'!J39,'26.08 BUSITEMA-TORORO'!J39,'24.08 BUSITEMA-TORORO-24h'!J39,'27.08 TORORO-BUSITEMA-24h'!J39,'28.08 BUSITEMA-TORORO'!J39)</f>
        <v>1.1428571428571428</v>
      </c>
      <c r="K39" s="49">
        <f>AVERAGE('22.08 TORORO-BUSITEMA'!K39,'23.08 BUSITEMA-TORORO'!K39,'25.08 BUSITEMA-TORORO'!K39,'26.08 BUSITEMA-TORORO'!K39,'24.08 BUSITEMA-TORORO-24h'!K39,'27.08 TORORO-BUSITEMA-24h'!K39,'28.08 BUSITEMA-TORORO'!K39)</f>
        <v>1.5714285714285714</v>
      </c>
      <c r="L39" s="49">
        <f>AVERAGE('22.08 TORORO-BUSITEMA'!L39,'23.08 BUSITEMA-TORORO'!L39,'25.08 BUSITEMA-TORORO'!L39,'26.08 BUSITEMA-TORORO'!L39,'24.08 BUSITEMA-TORORO-24h'!L39,'27.08 TORORO-BUSITEMA-24h'!L39,'28.08 BUSITEMA-TORORO'!L39)</f>
        <v>7</v>
      </c>
      <c r="M39" s="49">
        <f>AVERAGE('22.08 TORORO-BUSITEMA'!M39,'23.08 BUSITEMA-TORORO'!M39,'25.08 BUSITEMA-TORORO'!M39,'26.08 BUSITEMA-TORORO'!M39,'24.08 BUSITEMA-TORORO-24h'!M39,'27.08 TORORO-BUSITEMA-24h'!M39,'28.08 BUSITEMA-TORORO'!M39)</f>
        <v>4.1428571428571432</v>
      </c>
      <c r="N39" s="49">
        <f>AVERAGE('22.08 TORORO-BUSITEMA'!N39,'23.08 BUSITEMA-TORORO'!N39,'25.08 BUSITEMA-TORORO'!N39,'26.08 BUSITEMA-TORORO'!N39,'24.08 BUSITEMA-TORORO-24h'!N39,'27.08 TORORO-BUSITEMA-24h'!N39,'28.08 BUSITEMA-TORORO'!N39)</f>
        <v>0</v>
      </c>
      <c r="O39" s="15">
        <f t="shared" si="0"/>
        <v>20.571428571428569</v>
      </c>
      <c r="P39" s="15">
        <f t="shared" si="1"/>
        <v>24.714285714285712</v>
      </c>
      <c r="R39" s="29" t="s">
        <v>87</v>
      </c>
      <c r="S39" s="16">
        <f t="shared" ref="S39:AF39" si="31">SUM(S19:S21)</f>
        <v>24.142857142857142</v>
      </c>
      <c r="T39" s="16">
        <f t="shared" si="31"/>
        <v>30.714285714285715</v>
      </c>
      <c r="U39" s="16">
        <f t="shared" si="31"/>
        <v>17.285714285714285</v>
      </c>
      <c r="V39" s="16">
        <f t="shared" si="31"/>
        <v>49</v>
      </c>
      <c r="W39" s="16">
        <f t="shared" si="31"/>
        <v>0.5714285714285714</v>
      </c>
      <c r="X39" s="16">
        <f t="shared" si="31"/>
        <v>1.1428571428571428</v>
      </c>
      <c r="Y39" s="16">
        <f t="shared" si="31"/>
        <v>17.142857142857142</v>
      </c>
      <c r="Z39" s="16">
        <f t="shared" si="31"/>
        <v>9.8571428571428577</v>
      </c>
      <c r="AA39" s="16">
        <f t="shared" si="31"/>
        <v>12.142857142857142</v>
      </c>
      <c r="AB39" s="16">
        <f t="shared" si="31"/>
        <v>137.42857142857142</v>
      </c>
      <c r="AC39" s="16">
        <f t="shared" si="31"/>
        <v>59.428571428571431</v>
      </c>
      <c r="AD39" s="16">
        <f t="shared" si="31"/>
        <v>0</v>
      </c>
      <c r="AE39" s="32">
        <f t="shared" si="31"/>
        <v>299.42857142857144</v>
      </c>
      <c r="AF39" s="32">
        <f t="shared" si="31"/>
        <v>358.85714285714289</v>
      </c>
    </row>
    <row r="40" spans="2:32" ht="23.1" customHeight="1" x14ac:dyDescent="0.25">
      <c r="B40" s="24" t="s">
        <v>67</v>
      </c>
      <c r="C40" s="49">
        <f>AVERAGE('22.08 TORORO-BUSITEMA'!C40,'23.08 BUSITEMA-TORORO'!C40,'25.08 BUSITEMA-TORORO'!C40,'26.08 BUSITEMA-TORORO'!C40,'24.08 BUSITEMA-TORORO-24h'!C40,'27.08 TORORO-BUSITEMA-24h'!C40,'28.08 BUSITEMA-TORORO'!C40)</f>
        <v>1</v>
      </c>
      <c r="D40" s="49">
        <f>AVERAGE('22.08 TORORO-BUSITEMA'!D40,'23.08 BUSITEMA-TORORO'!D40,'25.08 BUSITEMA-TORORO'!D40,'26.08 BUSITEMA-TORORO'!D40,'24.08 BUSITEMA-TORORO-24h'!D40,'27.08 TORORO-BUSITEMA-24h'!D40,'28.08 BUSITEMA-TORORO'!D40)</f>
        <v>1.5714285714285714</v>
      </c>
      <c r="E40" s="49">
        <f>AVERAGE('22.08 TORORO-BUSITEMA'!E40,'23.08 BUSITEMA-TORORO'!E40,'25.08 BUSITEMA-TORORO'!E40,'26.08 BUSITEMA-TORORO'!E40,'24.08 BUSITEMA-TORORO-24h'!E40,'27.08 TORORO-BUSITEMA-24h'!E40,'28.08 BUSITEMA-TORORO'!E40)</f>
        <v>1.1428571428571428</v>
      </c>
      <c r="F40" s="49">
        <f>AVERAGE('22.08 TORORO-BUSITEMA'!F40,'23.08 BUSITEMA-TORORO'!F40,'25.08 BUSITEMA-TORORO'!F40,'26.08 BUSITEMA-TORORO'!F40,'24.08 BUSITEMA-TORORO-24h'!F40,'27.08 TORORO-BUSITEMA-24h'!F40,'28.08 BUSITEMA-TORORO'!F40)</f>
        <v>4.2857142857142856</v>
      </c>
      <c r="G40" s="49">
        <f>AVERAGE('22.08 TORORO-BUSITEMA'!G40,'23.08 BUSITEMA-TORORO'!G40,'25.08 BUSITEMA-TORORO'!G40,'26.08 BUSITEMA-TORORO'!G40,'24.08 BUSITEMA-TORORO-24h'!G40,'27.08 TORORO-BUSITEMA-24h'!G40,'28.08 BUSITEMA-TORORO'!G40)</f>
        <v>0</v>
      </c>
      <c r="H40" s="49">
        <f>AVERAGE('22.08 TORORO-BUSITEMA'!H40,'23.08 BUSITEMA-TORORO'!H40,'25.08 BUSITEMA-TORORO'!H40,'26.08 BUSITEMA-TORORO'!H40,'24.08 BUSITEMA-TORORO-24h'!H40,'27.08 TORORO-BUSITEMA-24h'!H40,'28.08 BUSITEMA-TORORO'!H40)</f>
        <v>0.7142857142857143</v>
      </c>
      <c r="I40" s="49">
        <f>AVERAGE('22.08 TORORO-BUSITEMA'!I40,'23.08 BUSITEMA-TORORO'!I40,'25.08 BUSITEMA-TORORO'!I40,'26.08 BUSITEMA-TORORO'!I40,'24.08 BUSITEMA-TORORO-24h'!I40,'27.08 TORORO-BUSITEMA-24h'!I40,'28.08 BUSITEMA-TORORO'!I40)</f>
        <v>0.7142857142857143</v>
      </c>
      <c r="J40" s="49">
        <f>AVERAGE('22.08 TORORO-BUSITEMA'!J40,'23.08 BUSITEMA-TORORO'!J40,'25.08 BUSITEMA-TORORO'!J40,'26.08 BUSITEMA-TORORO'!J40,'24.08 BUSITEMA-TORORO-24h'!J40,'27.08 TORORO-BUSITEMA-24h'!J40,'28.08 BUSITEMA-TORORO'!J40)</f>
        <v>0.14285714285714285</v>
      </c>
      <c r="K40" s="49">
        <f>AVERAGE('22.08 TORORO-BUSITEMA'!K40,'23.08 BUSITEMA-TORORO'!K40,'25.08 BUSITEMA-TORORO'!K40,'26.08 BUSITEMA-TORORO'!K40,'24.08 BUSITEMA-TORORO-24h'!K40,'27.08 TORORO-BUSITEMA-24h'!K40,'28.08 BUSITEMA-TORORO'!K40)</f>
        <v>0.2857142857142857</v>
      </c>
      <c r="L40" s="49">
        <f>AVERAGE('22.08 TORORO-BUSITEMA'!L40,'23.08 BUSITEMA-TORORO'!L40,'25.08 BUSITEMA-TORORO'!L40,'26.08 BUSITEMA-TORORO'!L40,'24.08 BUSITEMA-TORORO-24h'!L40,'27.08 TORORO-BUSITEMA-24h'!L40,'28.08 BUSITEMA-TORORO'!L40)</f>
        <v>3.4285714285714284</v>
      </c>
      <c r="M40" s="49">
        <f>AVERAGE('22.08 TORORO-BUSITEMA'!M40,'23.08 BUSITEMA-TORORO'!M40,'25.08 BUSITEMA-TORORO'!M40,'26.08 BUSITEMA-TORORO'!M40,'24.08 BUSITEMA-TORORO-24h'!M40,'27.08 TORORO-BUSITEMA-24h'!M40,'28.08 BUSITEMA-TORORO'!M40)</f>
        <v>4.4285714285714288</v>
      </c>
      <c r="N40" s="49">
        <f>AVERAGE('22.08 TORORO-BUSITEMA'!N40,'23.08 BUSITEMA-TORORO'!N40,'25.08 BUSITEMA-TORORO'!N40,'26.08 BUSITEMA-TORORO'!N40,'24.08 BUSITEMA-TORORO-24h'!N40,'27.08 TORORO-BUSITEMA-24h'!N40,'28.08 BUSITEMA-TORORO'!N40)</f>
        <v>0</v>
      </c>
      <c r="O40" s="15">
        <f t="shared" si="0"/>
        <v>13.285714285714285</v>
      </c>
      <c r="P40" s="15">
        <f t="shared" si="1"/>
        <v>17.714285714285715</v>
      </c>
      <c r="R40" s="5" t="s">
        <v>17</v>
      </c>
      <c r="S40" s="16">
        <f t="shared" ref="S40:AF40" si="32">SUM(S10:S21)</f>
        <v>71.714285714285708</v>
      </c>
      <c r="T40" s="16">
        <f t="shared" si="32"/>
        <v>108.14285714285714</v>
      </c>
      <c r="U40" s="16">
        <f t="shared" si="32"/>
        <v>49.857142857142854</v>
      </c>
      <c r="V40" s="16">
        <f t="shared" si="32"/>
        <v>178.71428571428569</v>
      </c>
      <c r="W40" s="16">
        <f t="shared" si="32"/>
        <v>3.7142857142857135</v>
      </c>
      <c r="X40" s="16">
        <f t="shared" si="32"/>
        <v>4.2857142857142856</v>
      </c>
      <c r="Y40" s="16">
        <f t="shared" si="32"/>
        <v>41.857142857142861</v>
      </c>
      <c r="Z40" s="16">
        <f t="shared" si="32"/>
        <v>22.857142857142854</v>
      </c>
      <c r="AA40" s="16">
        <f t="shared" si="32"/>
        <v>40.142857142857146</v>
      </c>
      <c r="AB40" s="16">
        <f t="shared" si="32"/>
        <v>378.99999999999994</v>
      </c>
      <c r="AC40" s="16">
        <f t="shared" si="32"/>
        <v>213</v>
      </c>
      <c r="AD40" s="16">
        <f t="shared" si="32"/>
        <v>0.42857142857142855</v>
      </c>
      <c r="AE40" s="32">
        <f t="shared" si="32"/>
        <v>900.71428571428567</v>
      </c>
      <c r="AF40" s="32">
        <f t="shared" si="32"/>
        <v>1113.7142857142856</v>
      </c>
    </row>
    <row r="41" spans="2:32" ht="23.1" customHeight="1" x14ac:dyDescent="0.25">
      <c r="B41" s="23" t="s">
        <v>68</v>
      </c>
      <c r="C41" s="49">
        <f>AVERAGE('22.08 TORORO-BUSITEMA'!C41,'23.08 BUSITEMA-TORORO'!C41,'25.08 BUSITEMA-TORORO'!C41,'26.08 BUSITEMA-TORORO'!C41,'24.08 BUSITEMA-TORORO-24h'!C41,'27.08 TORORO-BUSITEMA-24h'!C41,'28.08 BUSITEMA-TORORO'!C41)</f>
        <v>1</v>
      </c>
      <c r="D41" s="49">
        <f>AVERAGE('22.08 TORORO-BUSITEMA'!D41,'23.08 BUSITEMA-TORORO'!D41,'25.08 BUSITEMA-TORORO'!D41,'26.08 BUSITEMA-TORORO'!D41,'24.08 BUSITEMA-TORORO-24h'!D41,'27.08 TORORO-BUSITEMA-24h'!D41,'28.08 BUSITEMA-TORORO'!D41)</f>
        <v>1.2857142857142858</v>
      </c>
      <c r="E41" s="49">
        <f>AVERAGE('22.08 TORORO-BUSITEMA'!E41,'23.08 BUSITEMA-TORORO'!E41,'25.08 BUSITEMA-TORORO'!E41,'26.08 BUSITEMA-TORORO'!E41,'24.08 BUSITEMA-TORORO-24h'!E41,'27.08 TORORO-BUSITEMA-24h'!E41,'28.08 BUSITEMA-TORORO'!E41)</f>
        <v>0.5714285714285714</v>
      </c>
      <c r="F41" s="49">
        <f>AVERAGE('22.08 TORORO-BUSITEMA'!F41,'23.08 BUSITEMA-TORORO'!F41,'25.08 BUSITEMA-TORORO'!F41,'26.08 BUSITEMA-TORORO'!F41,'24.08 BUSITEMA-TORORO-24h'!F41,'27.08 TORORO-BUSITEMA-24h'!F41,'28.08 BUSITEMA-TORORO'!F41)</f>
        <v>4.1428571428571432</v>
      </c>
      <c r="G41" s="49">
        <f>AVERAGE('22.08 TORORO-BUSITEMA'!G41,'23.08 BUSITEMA-TORORO'!G41,'25.08 BUSITEMA-TORORO'!G41,'26.08 BUSITEMA-TORORO'!G41,'24.08 BUSITEMA-TORORO-24h'!G41,'27.08 TORORO-BUSITEMA-24h'!G41,'28.08 BUSITEMA-TORORO'!G41)</f>
        <v>0</v>
      </c>
      <c r="H41" s="49">
        <f>AVERAGE('22.08 TORORO-BUSITEMA'!H41,'23.08 BUSITEMA-TORORO'!H41,'25.08 BUSITEMA-TORORO'!H41,'26.08 BUSITEMA-TORORO'!H41,'24.08 BUSITEMA-TORORO-24h'!H41,'27.08 TORORO-BUSITEMA-24h'!H41,'28.08 BUSITEMA-TORORO'!H41)</f>
        <v>0</v>
      </c>
      <c r="I41" s="49">
        <f>AVERAGE('22.08 TORORO-BUSITEMA'!I41,'23.08 BUSITEMA-TORORO'!I41,'25.08 BUSITEMA-TORORO'!I41,'26.08 BUSITEMA-TORORO'!I41,'24.08 BUSITEMA-TORORO-24h'!I41,'27.08 TORORO-BUSITEMA-24h'!I41,'28.08 BUSITEMA-TORORO'!I41)</f>
        <v>1</v>
      </c>
      <c r="J41" s="49">
        <f>AVERAGE('22.08 TORORO-BUSITEMA'!J41,'23.08 BUSITEMA-TORORO'!J41,'25.08 BUSITEMA-TORORO'!J41,'26.08 BUSITEMA-TORORO'!J41,'24.08 BUSITEMA-TORORO-24h'!J41,'27.08 TORORO-BUSITEMA-24h'!J41,'28.08 BUSITEMA-TORORO'!J41)</f>
        <v>0.42857142857142855</v>
      </c>
      <c r="K41" s="49">
        <f>AVERAGE('22.08 TORORO-BUSITEMA'!K41,'23.08 BUSITEMA-TORORO'!K41,'25.08 BUSITEMA-TORORO'!K41,'26.08 BUSITEMA-TORORO'!K41,'24.08 BUSITEMA-TORORO-24h'!K41,'27.08 TORORO-BUSITEMA-24h'!K41,'28.08 BUSITEMA-TORORO'!K41)</f>
        <v>0.7142857142857143</v>
      </c>
      <c r="L41" s="49">
        <f>AVERAGE('22.08 TORORO-BUSITEMA'!L41,'23.08 BUSITEMA-TORORO'!L41,'25.08 BUSITEMA-TORORO'!L41,'26.08 BUSITEMA-TORORO'!L41,'24.08 BUSITEMA-TORORO-24h'!L41,'27.08 TORORO-BUSITEMA-24h'!L41,'28.08 BUSITEMA-TORORO'!L41)</f>
        <v>5.2857142857142856</v>
      </c>
      <c r="M41" s="49">
        <f>AVERAGE('22.08 TORORO-BUSITEMA'!M41,'23.08 BUSITEMA-TORORO'!M41,'25.08 BUSITEMA-TORORO'!M41,'26.08 BUSITEMA-TORORO'!M41,'24.08 BUSITEMA-TORORO-24h'!M41,'27.08 TORORO-BUSITEMA-24h'!M41,'28.08 BUSITEMA-TORORO'!M41)</f>
        <v>5.4285714285714288</v>
      </c>
      <c r="N41" s="49">
        <f>AVERAGE('22.08 TORORO-BUSITEMA'!N41,'23.08 BUSITEMA-TORORO'!N41,'25.08 BUSITEMA-TORORO'!N41,'26.08 BUSITEMA-TORORO'!N41,'24.08 BUSITEMA-TORORO-24h'!N41,'27.08 TORORO-BUSITEMA-24h'!N41,'28.08 BUSITEMA-TORORO'!N41)</f>
        <v>0</v>
      </c>
      <c r="O41" s="15">
        <f t="shared" si="0"/>
        <v>14.428571428571427</v>
      </c>
      <c r="P41" s="15">
        <f t="shared" si="1"/>
        <v>19.857142857142854</v>
      </c>
      <c r="R41" s="5" t="s">
        <v>177</v>
      </c>
      <c r="S41" s="16">
        <f>SUM(S10:S33)</f>
        <v>89.714285714285708</v>
      </c>
      <c r="T41" s="16">
        <f t="shared" ref="T41:AD41" si="33">SUM(T10:T33)</f>
        <v>138.64285714285714</v>
      </c>
      <c r="U41" s="16">
        <f t="shared" si="33"/>
        <v>59.357142857142854</v>
      </c>
      <c r="V41" s="16">
        <f t="shared" si="33"/>
        <v>212.21428571428569</v>
      </c>
      <c r="W41" s="16">
        <f t="shared" si="33"/>
        <v>4.7142857142857135</v>
      </c>
      <c r="X41" s="16">
        <f t="shared" si="33"/>
        <v>9.7857142857142847</v>
      </c>
      <c r="Y41" s="16">
        <f t="shared" si="33"/>
        <v>54.357142857142861</v>
      </c>
      <c r="Z41" s="16">
        <f t="shared" si="33"/>
        <v>36.357142857142854</v>
      </c>
      <c r="AA41" s="16">
        <f t="shared" si="33"/>
        <v>66.642857142857139</v>
      </c>
      <c r="AB41" s="16">
        <f t="shared" si="33"/>
        <v>773.5</v>
      </c>
      <c r="AC41" s="16">
        <f t="shared" si="33"/>
        <v>332.5</v>
      </c>
      <c r="AD41" s="16">
        <f t="shared" si="33"/>
        <v>0.42857142857142855</v>
      </c>
      <c r="AE41" s="32">
        <f>SUM(AE10:AE33)</f>
        <v>1445.7142857142858</v>
      </c>
      <c r="AF41" s="32">
        <f>SUM(AF10:AF33)</f>
        <v>1778.2142857142856</v>
      </c>
    </row>
    <row r="42" spans="2:32" ht="23.1" customHeight="1" x14ac:dyDescent="0.25">
      <c r="B42" s="24" t="s">
        <v>69</v>
      </c>
      <c r="C42" s="49">
        <f>AVERAGE('22.08 TORORO-BUSITEMA'!C42,'23.08 BUSITEMA-TORORO'!C42,'25.08 BUSITEMA-TORORO'!C42,'26.08 BUSITEMA-TORORO'!C42,'24.08 BUSITEMA-TORORO-24h'!C42,'27.08 TORORO-BUSITEMA-24h'!C42,'28.08 BUSITEMA-TORORO'!C42)</f>
        <v>1.2857142857142858</v>
      </c>
      <c r="D42" s="49">
        <f>AVERAGE('22.08 TORORO-BUSITEMA'!D42,'23.08 BUSITEMA-TORORO'!D42,'25.08 BUSITEMA-TORORO'!D42,'26.08 BUSITEMA-TORORO'!D42,'24.08 BUSITEMA-TORORO-24h'!D42,'27.08 TORORO-BUSITEMA-24h'!D42,'28.08 BUSITEMA-TORORO'!D42)</f>
        <v>2</v>
      </c>
      <c r="E42" s="49">
        <f>AVERAGE('22.08 TORORO-BUSITEMA'!E42,'23.08 BUSITEMA-TORORO'!E42,'25.08 BUSITEMA-TORORO'!E42,'26.08 BUSITEMA-TORORO'!E42,'24.08 BUSITEMA-TORORO-24h'!E42,'27.08 TORORO-BUSITEMA-24h'!E42,'28.08 BUSITEMA-TORORO'!E42)</f>
        <v>0.5714285714285714</v>
      </c>
      <c r="F42" s="49">
        <f>AVERAGE('22.08 TORORO-BUSITEMA'!F42,'23.08 BUSITEMA-TORORO'!F42,'25.08 BUSITEMA-TORORO'!F42,'26.08 BUSITEMA-TORORO'!F42,'24.08 BUSITEMA-TORORO-24h'!F42,'27.08 TORORO-BUSITEMA-24h'!F42,'28.08 BUSITEMA-TORORO'!F42)</f>
        <v>2.7142857142857144</v>
      </c>
      <c r="G42" s="49">
        <f>AVERAGE('22.08 TORORO-BUSITEMA'!G42,'23.08 BUSITEMA-TORORO'!G42,'25.08 BUSITEMA-TORORO'!G42,'26.08 BUSITEMA-TORORO'!G42,'24.08 BUSITEMA-TORORO-24h'!G42,'27.08 TORORO-BUSITEMA-24h'!G42,'28.08 BUSITEMA-TORORO'!G42)</f>
        <v>0</v>
      </c>
      <c r="H42" s="49">
        <f>AVERAGE('22.08 TORORO-BUSITEMA'!H42,'23.08 BUSITEMA-TORORO'!H42,'25.08 BUSITEMA-TORORO'!H42,'26.08 BUSITEMA-TORORO'!H42,'24.08 BUSITEMA-TORORO-24h'!H42,'27.08 TORORO-BUSITEMA-24h'!H42,'28.08 BUSITEMA-TORORO'!H42)</f>
        <v>0.42857142857142855</v>
      </c>
      <c r="I42" s="49">
        <f>AVERAGE('22.08 TORORO-BUSITEMA'!I42,'23.08 BUSITEMA-TORORO'!I42,'25.08 BUSITEMA-TORORO'!I42,'26.08 BUSITEMA-TORORO'!I42,'24.08 BUSITEMA-TORORO-24h'!I42,'27.08 TORORO-BUSITEMA-24h'!I42,'28.08 BUSITEMA-TORORO'!I42)</f>
        <v>0.5714285714285714</v>
      </c>
      <c r="J42" s="49">
        <f>AVERAGE('22.08 TORORO-BUSITEMA'!J42,'23.08 BUSITEMA-TORORO'!J42,'25.08 BUSITEMA-TORORO'!J42,'26.08 BUSITEMA-TORORO'!J42,'24.08 BUSITEMA-TORORO-24h'!J42,'27.08 TORORO-BUSITEMA-24h'!J42,'28.08 BUSITEMA-TORORO'!J42)</f>
        <v>0.42857142857142855</v>
      </c>
      <c r="K42" s="49">
        <f>AVERAGE('22.08 TORORO-BUSITEMA'!K42,'23.08 BUSITEMA-TORORO'!K42,'25.08 BUSITEMA-TORORO'!K42,'26.08 BUSITEMA-TORORO'!K42,'24.08 BUSITEMA-TORORO-24h'!K42,'27.08 TORORO-BUSITEMA-24h'!K42,'28.08 BUSITEMA-TORORO'!K42)</f>
        <v>0</v>
      </c>
      <c r="L42" s="49">
        <f>AVERAGE('22.08 TORORO-BUSITEMA'!L42,'23.08 BUSITEMA-TORORO'!L42,'25.08 BUSITEMA-TORORO'!L42,'26.08 BUSITEMA-TORORO'!L42,'24.08 BUSITEMA-TORORO-24h'!L42,'27.08 TORORO-BUSITEMA-24h'!L42,'28.08 BUSITEMA-TORORO'!L42)</f>
        <v>9.4285714285714288</v>
      </c>
      <c r="M42" s="49">
        <f>AVERAGE('22.08 TORORO-BUSITEMA'!M42,'23.08 BUSITEMA-TORORO'!M42,'25.08 BUSITEMA-TORORO'!M42,'26.08 BUSITEMA-TORORO'!M42,'24.08 BUSITEMA-TORORO-24h'!M42,'27.08 TORORO-BUSITEMA-24h'!M42,'28.08 BUSITEMA-TORORO'!M42)</f>
        <v>4.1428571428571432</v>
      </c>
      <c r="N42" s="49">
        <f>AVERAGE('22.08 TORORO-BUSITEMA'!N42,'23.08 BUSITEMA-TORORO'!N42,'25.08 BUSITEMA-TORORO'!N42,'26.08 BUSITEMA-TORORO'!N42,'24.08 BUSITEMA-TORORO-24h'!N42,'27.08 TORORO-BUSITEMA-24h'!N42,'28.08 BUSITEMA-TORORO'!N42)</f>
        <v>0</v>
      </c>
      <c r="O42" s="15">
        <f t="shared" si="0"/>
        <v>17.428571428571431</v>
      </c>
      <c r="P42" s="15">
        <f t="shared" si="1"/>
        <v>21.571428571428573</v>
      </c>
      <c r="R42" s="5" t="s">
        <v>160</v>
      </c>
      <c r="S42" s="48">
        <f>S41/S40</f>
        <v>1.250996015936255</v>
      </c>
      <c r="T42" s="48">
        <f t="shared" ref="T42:AF42" si="34">T41/T40</f>
        <v>1.2820343461030383</v>
      </c>
      <c r="U42" s="48">
        <f t="shared" si="34"/>
        <v>1.1905444126074498</v>
      </c>
      <c r="V42" s="48">
        <f t="shared" si="34"/>
        <v>1.1874500399680257</v>
      </c>
      <c r="W42" s="48">
        <f t="shared" si="34"/>
        <v>1.2692307692307694</v>
      </c>
      <c r="X42" s="48">
        <f t="shared" si="34"/>
        <v>2.2833333333333332</v>
      </c>
      <c r="Y42" s="48">
        <f t="shared" si="34"/>
        <v>1.2986348122866893</v>
      </c>
      <c r="Z42" s="48">
        <f t="shared" si="34"/>
        <v>1.5906250000000002</v>
      </c>
      <c r="AA42" s="48">
        <f t="shared" si="34"/>
        <v>1.6601423487544482</v>
      </c>
      <c r="AB42" s="48">
        <f t="shared" si="34"/>
        <v>2.0408970976253302</v>
      </c>
      <c r="AC42" s="48">
        <f t="shared" si="34"/>
        <v>1.5610328638497653</v>
      </c>
      <c r="AD42" s="48">
        <f t="shared" si="34"/>
        <v>1</v>
      </c>
      <c r="AE42" s="51">
        <f t="shared" si="34"/>
        <v>1.6050753370341</v>
      </c>
      <c r="AF42" s="51">
        <f t="shared" si="34"/>
        <v>1.5966521292970755</v>
      </c>
    </row>
    <row r="43" spans="2:32" ht="23.1" customHeight="1" x14ac:dyDescent="0.25">
      <c r="B43" s="23" t="s">
        <v>70</v>
      </c>
      <c r="C43" s="49">
        <f>AVERAGE('22.08 TORORO-BUSITEMA'!C43,'23.08 BUSITEMA-TORORO'!C43,'25.08 BUSITEMA-TORORO'!C43,'26.08 BUSITEMA-TORORO'!C43,'24.08 BUSITEMA-TORORO-24h'!C43,'27.08 TORORO-BUSITEMA-24h'!C43,'28.08 BUSITEMA-TORORO'!C43)</f>
        <v>1.2857142857142858</v>
      </c>
      <c r="D43" s="49">
        <f>AVERAGE('22.08 TORORO-BUSITEMA'!D43,'23.08 BUSITEMA-TORORO'!D43,'25.08 BUSITEMA-TORORO'!D43,'26.08 BUSITEMA-TORORO'!D43,'24.08 BUSITEMA-TORORO-24h'!D43,'27.08 TORORO-BUSITEMA-24h'!D43,'28.08 BUSITEMA-TORORO'!D43)</f>
        <v>3.8571428571428572</v>
      </c>
      <c r="E43" s="49">
        <f>AVERAGE('22.08 TORORO-BUSITEMA'!E43,'23.08 BUSITEMA-TORORO'!E43,'25.08 BUSITEMA-TORORO'!E43,'26.08 BUSITEMA-TORORO'!E43,'24.08 BUSITEMA-TORORO-24h'!E43,'27.08 TORORO-BUSITEMA-24h'!E43,'28.08 BUSITEMA-TORORO'!E43)</f>
        <v>1.2857142857142858</v>
      </c>
      <c r="F43" s="49">
        <f>AVERAGE('22.08 TORORO-BUSITEMA'!F43,'23.08 BUSITEMA-TORORO'!F43,'25.08 BUSITEMA-TORORO'!F43,'26.08 BUSITEMA-TORORO'!F43,'24.08 BUSITEMA-TORORO-24h'!F43,'27.08 TORORO-BUSITEMA-24h'!F43,'28.08 BUSITEMA-TORORO'!F43)</f>
        <v>5.5714285714285712</v>
      </c>
      <c r="G43" s="49">
        <f>AVERAGE('22.08 TORORO-BUSITEMA'!G43,'23.08 BUSITEMA-TORORO'!G43,'25.08 BUSITEMA-TORORO'!G43,'26.08 BUSITEMA-TORORO'!G43,'24.08 BUSITEMA-TORORO-24h'!G43,'27.08 TORORO-BUSITEMA-24h'!G43,'28.08 BUSITEMA-TORORO'!G43)</f>
        <v>0</v>
      </c>
      <c r="H43" s="49">
        <f>AVERAGE('22.08 TORORO-BUSITEMA'!H43,'23.08 BUSITEMA-TORORO'!H43,'25.08 BUSITEMA-TORORO'!H43,'26.08 BUSITEMA-TORORO'!H43,'24.08 BUSITEMA-TORORO-24h'!H43,'27.08 TORORO-BUSITEMA-24h'!H43,'28.08 BUSITEMA-TORORO'!H43)</f>
        <v>0</v>
      </c>
      <c r="I43" s="49">
        <f>AVERAGE('22.08 TORORO-BUSITEMA'!I43,'23.08 BUSITEMA-TORORO'!I43,'25.08 BUSITEMA-TORORO'!I43,'26.08 BUSITEMA-TORORO'!I43,'24.08 BUSITEMA-TORORO-24h'!I43,'27.08 TORORO-BUSITEMA-24h'!I43,'28.08 BUSITEMA-TORORO'!I43)</f>
        <v>1.4285714285714286</v>
      </c>
      <c r="J43" s="49">
        <f>AVERAGE('22.08 TORORO-BUSITEMA'!J43,'23.08 BUSITEMA-TORORO'!J43,'25.08 BUSITEMA-TORORO'!J43,'26.08 BUSITEMA-TORORO'!J43,'24.08 BUSITEMA-TORORO-24h'!J43,'27.08 TORORO-BUSITEMA-24h'!J43,'28.08 BUSITEMA-TORORO'!J43)</f>
        <v>0.5714285714285714</v>
      </c>
      <c r="K43" s="49">
        <f>AVERAGE('22.08 TORORO-BUSITEMA'!K43,'23.08 BUSITEMA-TORORO'!K43,'25.08 BUSITEMA-TORORO'!K43,'26.08 BUSITEMA-TORORO'!K43,'24.08 BUSITEMA-TORORO-24h'!K43,'27.08 TORORO-BUSITEMA-24h'!K43,'28.08 BUSITEMA-TORORO'!K43)</f>
        <v>0.8571428571428571</v>
      </c>
      <c r="L43" s="49">
        <f>AVERAGE('22.08 TORORO-BUSITEMA'!L43,'23.08 BUSITEMA-TORORO'!L43,'25.08 BUSITEMA-TORORO'!L43,'26.08 BUSITEMA-TORORO'!L43,'24.08 BUSITEMA-TORORO-24h'!L43,'27.08 TORORO-BUSITEMA-24h'!L43,'28.08 BUSITEMA-TORORO'!L43)</f>
        <v>10.714285714285714</v>
      </c>
      <c r="M43" s="49">
        <f>AVERAGE('22.08 TORORO-BUSITEMA'!M43,'23.08 BUSITEMA-TORORO'!M43,'25.08 BUSITEMA-TORORO'!M43,'26.08 BUSITEMA-TORORO'!M43,'24.08 BUSITEMA-TORORO-24h'!M43,'27.08 TORORO-BUSITEMA-24h'!M43,'28.08 BUSITEMA-TORORO'!M43)</f>
        <v>3.1428571428571428</v>
      </c>
      <c r="N43" s="49">
        <f>AVERAGE('22.08 TORORO-BUSITEMA'!N43,'23.08 BUSITEMA-TORORO'!N43,'25.08 BUSITEMA-TORORO'!N43,'26.08 BUSITEMA-TORORO'!N43,'24.08 BUSITEMA-TORORO-24h'!N43,'27.08 TORORO-BUSITEMA-24h'!N43,'28.08 BUSITEMA-TORORO'!N43)</f>
        <v>0</v>
      </c>
      <c r="O43" s="15">
        <f t="shared" si="0"/>
        <v>25.571428571428569</v>
      </c>
      <c r="P43" s="15">
        <f t="shared" si="1"/>
        <v>28.714285714285712</v>
      </c>
    </row>
    <row r="44" spans="2:32" ht="23.1" customHeight="1" x14ac:dyDescent="0.25">
      <c r="B44" s="25" t="s">
        <v>71</v>
      </c>
      <c r="C44" s="49">
        <f>AVERAGE('22.08 TORORO-BUSITEMA'!C44,'23.08 BUSITEMA-TORORO'!C44,'25.08 BUSITEMA-TORORO'!C44,'26.08 BUSITEMA-TORORO'!C44,'24.08 BUSITEMA-TORORO-24h'!C44,'27.08 TORORO-BUSITEMA-24h'!C44,'28.08 BUSITEMA-TORORO'!C44)</f>
        <v>2</v>
      </c>
      <c r="D44" s="49">
        <f>AVERAGE('22.08 TORORO-BUSITEMA'!D44,'23.08 BUSITEMA-TORORO'!D44,'25.08 BUSITEMA-TORORO'!D44,'26.08 BUSITEMA-TORORO'!D44,'24.08 BUSITEMA-TORORO-24h'!D44,'27.08 TORORO-BUSITEMA-24h'!D44,'28.08 BUSITEMA-TORORO'!D44)</f>
        <v>1.1428571428571428</v>
      </c>
      <c r="E44" s="49">
        <f>AVERAGE('22.08 TORORO-BUSITEMA'!E44,'23.08 BUSITEMA-TORORO'!E44,'25.08 BUSITEMA-TORORO'!E44,'26.08 BUSITEMA-TORORO'!E44,'24.08 BUSITEMA-TORORO-24h'!E44,'27.08 TORORO-BUSITEMA-24h'!E44,'28.08 BUSITEMA-TORORO'!E44)</f>
        <v>1.8571428571428572</v>
      </c>
      <c r="F44" s="49">
        <f>AVERAGE('22.08 TORORO-BUSITEMA'!F44,'23.08 BUSITEMA-TORORO'!F44,'25.08 BUSITEMA-TORORO'!F44,'26.08 BUSITEMA-TORORO'!F44,'24.08 BUSITEMA-TORORO-24h'!F44,'27.08 TORORO-BUSITEMA-24h'!F44,'28.08 BUSITEMA-TORORO'!F44)</f>
        <v>5.4285714285714288</v>
      </c>
      <c r="G44" s="49">
        <f>AVERAGE('22.08 TORORO-BUSITEMA'!G44,'23.08 BUSITEMA-TORORO'!G44,'25.08 BUSITEMA-TORORO'!G44,'26.08 BUSITEMA-TORORO'!G44,'24.08 BUSITEMA-TORORO-24h'!G44,'27.08 TORORO-BUSITEMA-24h'!G44,'28.08 BUSITEMA-TORORO'!G44)</f>
        <v>0</v>
      </c>
      <c r="H44" s="49">
        <f>AVERAGE('22.08 TORORO-BUSITEMA'!H44,'23.08 BUSITEMA-TORORO'!H44,'25.08 BUSITEMA-TORORO'!H44,'26.08 BUSITEMA-TORORO'!H44,'24.08 BUSITEMA-TORORO-24h'!H44,'27.08 TORORO-BUSITEMA-24h'!H44,'28.08 BUSITEMA-TORORO'!H44)</f>
        <v>0</v>
      </c>
      <c r="I44" s="49">
        <f>AVERAGE('22.08 TORORO-BUSITEMA'!I44,'23.08 BUSITEMA-TORORO'!I44,'25.08 BUSITEMA-TORORO'!I44,'26.08 BUSITEMA-TORORO'!I44,'24.08 BUSITEMA-TORORO-24h'!I44,'27.08 TORORO-BUSITEMA-24h'!I44,'28.08 BUSITEMA-TORORO'!I44)</f>
        <v>1</v>
      </c>
      <c r="J44" s="49">
        <f>AVERAGE('22.08 TORORO-BUSITEMA'!J44,'23.08 BUSITEMA-TORORO'!J44,'25.08 BUSITEMA-TORORO'!J44,'26.08 BUSITEMA-TORORO'!J44,'24.08 BUSITEMA-TORORO-24h'!J44,'27.08 TORORO-BUSITEMA-24h'!J44,'28.08 BUSITEMA-TORORO'!J44)</f>
        <v>1.1428571428571428</v>
      </c>
      <c r="K44" s="49">
        <f>AVERAGE('22.08 TORORO-BUSITEMA'!K44,'23.08 BUSITEMA-TORORO'!K44,'25.08 BUSITEMA-TORORO'!K44,'26.08 BUSITEMA-TORORO'!K44,'24.08 BUSITEMA-TORORO-24h'!K44,'27.08 TORORO-BUSITEMA-24h'!K44,'28.08 BUSITEMA-TORORO'!K44)</f>
        <v>0.8571428571428571</v>
      </c>
      <c r="L44" s="49">
        <f>AVERAGE('22.08 TORORO-BUSITEMA'!L44,'23.08 BUSITEMA-TORORO'!L44,'25.08 BUSITEMA-TORORO'!L44,'26.08 BUSITEMA-TORORO'!L44,'24.08 BUSITEMA-TORORO-24h'!L44,'27.08 TORORO-BUSITEMA-24h'!L44,'28.08 BUSITEMA-TORORO'!L44)</f>
        <v>10</v>
      </c>
      <c r="M44" s="49">
        <f>AVERAGE('22.08 TORORO-BUSITEMA'!M44,'23.08 BUSITEMA-TORORO'!M44,'25.08 BUSITEMA-TORORO'!M44,'26.08 BUSITEMA-TORORO'!M44,'24.08 BUSITEMA-TORORO-24h'!M44,'27.08 TORORO-BUSITEMA-24h'!M44,'28.08 BUSITEMA-TORORO'!M44)</f>
        <v>7.4285714285714288</v>
      </c>
      <c r="N44" s="49">
        <f>AVERAGE('22.08 TORORO-BUSITEMA'!N44,'23.08 BUSITEMA-TORORO'!N44,'25.08 BUSITEMA-TORORO'!N44,'26.08 BUSITEMA-TORORO'!N44,'24.08 BUSITEMA-TORORO-24h'!N44,'27.08 TORORO-BUSITEMA-24h'!N44,'28.08 BUSITEMA-TORORO'!N44)</f>
        <v>0</v>
      </c>
      <c r="O44" s="15">
        <f t="shared" si="0"/>
        <v>23.428571428571431</v>
      </c>
      <c r="P44" s="15">
        <f t="shared" si="1"/>
        <v>30.857142857142861</v>
      </c>
    </row>
    <row r="45" spans="2:32" ht="23.1" customHeight="1" x14ac:dyDescent="0.25">
      <c r="B45" s="23" t="s">
        <v>72</v>
      </c>
      <c r="C45" s="49">
        <f>AVERAGE('22.08 TORORO-BUSITEMA'!C45,'23.08 BUSITEMA-TORORO'!C45,'25.08 BUSITEMA-TORORO'!C45,'26.08 BUSITEMA-TORORO'!C45,'24.08 BUSITEMA-TORORO-24h'!C45,'27.08 TORORO-BUSITEMA-24h'!C45,'28.08 BUSITEMA-TORORO'!C45)</f>
        <v>1.5714285714285714</v>
      </c>
      <c r="D45" s="49">
        <f>AVERAGE('22.08 TORORO-BUSITEMA'!D45,'23.08 BUSITEMA-TORORO'!D45,'25.08 BUSITEMA-TORORO'!D45,'26.08 BUSITEMA-TORORO'!D45,'24.08 BUSITEMA-TORORO-24h'!D45,'27.08 TORORO-BUSITEMA-24h'!D45,'28.08 BUSITEMA-TORORO'!D45)</f>
        <v>1.2857142857142858</v>
      </c>
      <c r="E45" s="49">
        <f>AVERAGE('22.08 TORORO-BUSITEMA'!E45,'23.08 BUSITEMA-TORORO'!E45,'25.08 BUSITEMA-TORORO'!E45,'26.08 BUSITEMA-TORORO'!E45,'24.08 BUSITEMA-TORORO-24h'!E45,'27.08 TORORO-BUSITEMA-24h'!E45,'28.08 BUSITEMA-TORORO'!E45)</f>
        <v>0.42857142857142855</v>
      </c>
      <c r="F45" s="49">
        <f>AVERAGE('22.08 TORORO-BUSITEMA'!F45,'23.08 BUSITEMA-TORORO'!F45,'25.08 BUSITEMA-TORORO'!F45,'26.08 BUSITEMA-TORORO'!F45,'24.08 BUSITEMA-TORORO-24h'!F45,'27.08 TORORO-BUSITEMA-24h'!F45,'28.08 BUSITEMA-TORORO'!F45)</f>
        <v>5.1428571428571432</v>
      </c>
      <c r="G45" s="49">
        <f>AVERAGE('22.08 TORORO-BUSITEMA'!G45,'23.08 BUSITEMA-TORORO'!G45,'25.08 BUSITEMA-TORORO'!G45,'26.08 BUSITEMA-TORORO'!G45,'24.08 BUSITEMA-TORORO-24h'!G45,'27.08 TORORO-BUSITEMA-24h'!G45,'28.08 BUSITEMA-TORORO'!G45)</f>
        <v>0.2857142857142857</v>
      </c>
      <c r="H45" s="49">
        <f>AVERAGE('22.08 TORORO-BUSITEMA'!H45,'23.08 BUSITEMA-TORORO'!H45,'25.08 BUSITEMA-TORORO'!H45,'26.08 BUSITEMA-TORORO'!H45,'24.08 BUSITEMA-TORORO-24h'!H45,'27.08 TORORO-BUSITEMA-24h'!H45,'28.08 BUSITEMA-TORORO'!H45)</f>
        <v>0</v>
      </c>
      <c r="I45" s="49">
        <f>AVERAGE('22.08 TORORO-BUSITEMA'!I45,'23.08 BUSITEMA-TORORO'!I45,'25.08 BUSITEMA-TORORO'!I45,'26.08 BUSITEMA-TORORO'!I45,'24.08 BUSITEMA-TORORO-24h'!I45,'27.08 TORORO-BUSITEMA-24h'!I45,'28.08 BUSITEMA-TORORO'!I45)</f>
        <v>2.4285714285714284</v>
      </c>
      <c r="J45" s="49">
        <f>AVERAGE('22.08 TORORO-BUSITEMA'!J45,'23.08 BUSITEMA-TORORO'!J45,'25.08 BUSITEMA-TORORO'!J45,'26.08 BUSITEMA-TORORO'!J45,'24.08 BUSITEMA-TORORO-24h'!J45,'27.08 TORORO-BUSITEMA-24h'!J45,'28.08 BUSITEMA-TORORO'!J45)</f>
        <v>0.7142857142857143</v>
      </c>
      <c r="K45" s="49">
        <f>AVERAGE('22.08 TORORO-BUSITEMA'!K45,'23.08 BUSITEMA-TORORO'!K45,'25.08 BUSITEMA-TORORO'!K45,'26.08 BUSITEMA-TORORO'!K45,'24.08 BUSITEMA-TORORO-24h'!K45,'27.08 TORORO-BUSITEMA-24h'!K45,'28.08 BUSITEMA-TORORO'!K45)</f>
        <v>1.5714285714285714</v>
      </c>
      <c r="L45" s="49">
        <f>AVERAGE('22.08 TORORO-BUSITEMA'!L45,'23.08 BUSITEMA-TORORO'!L45,'25.08 BUSITEMA-TORORO'!L45,'26.08 BUSITEMA-TORORO'!L45,'24.08 BUSITEMA-TORORO-24h'!L45,'27.08 TORORO-BUSITEMA-24h'!L45,'28.08 BUSITEMA-TORORO'!L45)</f>
        <v>9</v>
      </c>
      <c r="M45" s="49">
        <f>AVERAGE('22.08 TORORO-BUSITEMA'!M45,'23.08 BUSITEMA-TORORO'!M45,'25.08 BUSITEMA-TORORO'!M45,'26.08 BUSITEMA-TORORO'!M45,'24.08 BUSITEMA-TORORO-24h'!M45,'27.08 TORORO-BUSITEMA-24h'!M45,'28.08 BUSITEMA-TORORO'!M45)</f>
        <v>4.8571428571428568</v>
      </c>
      <c r="N45" s="49">
        <f>AVERAGE('22.08 TORORO-BUSITEMA'!N45,'23.08 BUSITEMA-TORORO'!N45,'25.08 BUSITEMA-TORORO'!N45,'26.08 BUSITEMA-TORORO'!N45,'24.08 BUSITEMA-TORORO-24h'!N45,'27.08 TORORO-BUSITEMA-24h'!N45,'28.08 BUSITEMA-TORORO'!N45)</f>
        <v>0</v>
      </c>
      <c r="O45" s="15">
        <f t="shared" si="0"/>
        <v>22.428571428571431</v>
      </c>
      <c r="P45" s="15">
        <f t="shared" si="1"/>
        <v>27.285714285714288</v>
      </c>
    </row>
    <row r="46" spans="2:32" ht="23.1" customHeight="1" x14ac:dyDescent="0.25">
      <c r="B46" s="24" t="s">
        <v>73</v>
      </c>
      <c r="C46" s="49">
        <f>AVERAGE('22.08 TORORO-BUSITEMA'!C46,'23.08 BUSITEMA-TORORO'!C46,'25.08 BUSITEMA-TORORO'!C46,'26.08 BUSITEMA-TORORO'!C46,'24.08 BUSITEMA-TORORO-24h'!C46,'27.08 TORORO-BUSITEMA-24h'!C46,'28.08 BUSITEMA-TORORO'!C46)</f>
        <v>1.1428571428571428</v>
      </c>
      <c r="D46" s="49">
        <f>AVERAGE('22.08 TORORO-BUSITEMA'!D46,'23.08 BUSITEMA-TORORO'!D46,'25.08 BUSITEMA-TORORO'!D46,'26.08 BUSITEMA-TORORO'!D46,'24.08 BUSITEMA-TORORO-24h'!D46,'27.08 TORORO-BUSITEMA-24h'!D46,'28.08 BUSITEMA-TORORO'!D46)</f>
        <v>2.2857142857142856</v>
      </c>
      <c r="E46" s="49">
        <f>AVERAGE('22.08 TORORO-BUSITEMA'!E46,'23.08 BUSITEMA-TORORO'!E46,'25.08 BUSITEMA-TORORO'!E46,'26.08 BUSITEMA-TORORO'!E46,'24.08 BUSITEMA-TORORO-24h'!E46,'27.08 TORORO-BUSITEMA-24h'!E46,'28.08 BUSITEMA-TORORO'!E46)</f>
        <v>1</v>
      </c>
      <c r="F46" s="49">
        <f>AVERAGE('22.08 TORORO-BUSITEMA'!F46,'23.08 BUSITEMA-TORORO'!F46,'25.08 BUSITEMA-TORORO'!F46,'26.08 BUSITEMA-TORORO'!F46,'24.08 BUSITEMA-TORORO-24h'!F46,'27.08 TORORO-BUSITEMA-24h'!F46,'28.08 BUSITEMA-TORORO'!F46)</f>
        <v>5.1428571428571432</v>
      </c>
      <c r="G46" s="49">
        <f>AVERAGE('22.08 TORORO-BUSITEMA'!G46,'23.08 BUSITEMA-TORORO'!G46,'25.08 BUSITEMA-TORORO'!G46,'26.08 BUSITEMA-TORORO'!G46,'24.08 BUSITEMA-TORORO-24h'!G46,'27.08 TORORO-BUSITEMA-24h'!G46,'28.08 BUSITEMA-TORORO'!G46)</f>
        <v>0</v>
      </c>
      <c r="H46" s="49">
        <f>AVERAGE('22.08 TORORO-BUSITEMA'!H46,'23.08 BUSITEMA-TORORO'!H46,'25.08 BUSITEMA-TORORO'!H46,'26.08 BUSITEMA-TORORO'!H46,'24.08 BUSITEMA-TORORO-24h'!H46,'27.08 TORORO-BUSITEMA-24h'!H46,'28.08 BUSITEMA-TORORO'!H46)</f>
        <v>0</v>
      </c>
      <c r="I46" s="49">
        <f>AVERAGE('22.08 TORORO-BUSITEMA'!I46,'23.08 BUSITEMA-TORORO'!I46,'25.08 BUSITEMA-TORORO'!I46,'26.08 BUSITEMA-TORORO'!I46,'24.08 BUSITEMA-TORORO-24h'!I46,'27.08 TORORO-BUSITEMA-24h'!I46,'28.08 BUSITEMA-TORORO'!I46)</f>
        <v>0.2857142857142857</v>
      </c>
      <c r="J46" s="49">
        <f>AVERAGE('22.08 TORORO-BUSITEMA'!J46,'23.08 BUSITEMA-TORORO'!J46,'25.08 BUSITEMA-TORORO'!J46,'26.08 BUSITEMA-TORORO'!J46,'24.08 BUSITEMA-TORORO-24h'!J46,'27.08 TORORO-BUSITEMA-24h'!J46,'28.08 BUSITEMA-TORORO'!J46)</f>
        <v>0.2857142857142857</v>
      </c>
      <c r="K46" s="49">
        <f>AVERAGE('22.08 TORORO-BUSITEMA'!K46,'23.08 BUSITEMA-TORORO'!K46,'25.08 BUSITEMA-TORORO'!K46,'26.08 BUSITEMA-TORORO'!K46,'24.08 BUSITEMA-TORORO-24h'!K46,'27.08 TORORO-BUSITEMA-24h'!K46,'28.08 BUSITEMA-TORORO'!K46)</f>
        <v>0.14285714285714285</v>
      </c>
      <c r="L46" s="49">
        <f>AVERAGE('22.08 TORORO-BUSITEMA'!L46,'23.08 BUSITEMA-TORORO'!L46,'25.08 BUSITEMA-TORORO'!L46,'26.08 BUSITEMA-TORORO'!L46,'24.08 BUSITEMA-TORORO-24h'!L46,'27.08 TORORO-BUSITEMA-24h'!L46,'28.08 BUSITEMA-TORORO'!L46)</f>
        <v>8.4285714285714288</v>
      </c>
      <c r="M46" s="49">
        <f>AVERAGE('22.08 TORORO-BUSITEMA'!M46,'23.08 BUSITEMA-TORORO'!M46,'25.08 BUSITEMA-TORORO'!M46,'26.08 BUSITEMA-TORORO'!M46,'24.08 BUSITEMA-TORORO-24h'!M46,'27.08 TORORO-BUSITEMA-24h'!M46,'28.08 BUSITEMA-TORORO'!M46)</f>
        <v>4</v>
      </c>
      <c r="N46" s="49">
        <f>AVERAGE('22.08 TORORO-BUSITEMA'!N46,'23.08 BUSITEMA-TORORO'!N46,'25.08 BUSITEMA-TORORO'!N46,'26.08 BUSITEMA-TORORO'!N46,'24.08 BUSITEMA-TORORO-24h'!N46,'27.08 TORORO-BUSITEMA-24h'!N46,'28.08 BUSITEMA-TORORO'!N46)</f>
        <v>0</v>
      </c>
      <c r="O46" s="15">
        <f t="shared" si="0"/>
        <v>18.714285714285715</v>
      </c>
      <c r="P46" s="15">
        <f t="shared" si="1"/>
        <v>22.714285714285715</v>
      </c>
      <c r="R46" s="8"/>
      <c r="T46"/>
    </row>
    <row r="47" spans="2:32" ht="23.1" customHeight="1" x14ac:dyDescent="0.25">
      <c r="B47" s="24" t="s">
        <v>74</v>
      </c>
      <c r="C47" s="49">
        <f>AVERAGE('22.08 TORORO-BUSITEMA'!C47,'23.08 BUSITEMA-TORORO'!C47,'25.08 BUSITEMA-TORORO'!C47,'26.08 BUSITEMA-TORORO'!C47,'24.08 BUSITEMA-TORORO-24h'!C47,'27.08 TORORO-BUSITEMA-24h'!C47,'28.08 BUSITEMA-TORORO'!C47)</f>
        <v>1.7142857142857142</v>
      </c>
      <c r="D47" s="49">
        <f>AVERAGE('22.08 TORORO-BUSITEMA'!D47,'23.08 BUSITEMA-TORORO'!D47,'25.08 BUSITEMA-TORORO'!D47,'26.08 BUSITEMA-TORORO'!D47,'24.08 BUSITEMA-TORORO-24h'!D47,'27.08 TORORO-BUSITEMA-24h'!D47,'28.08 BUSITEMA-TORORO'!D47)</f>
        <v>1.5714285714285714</v>
      </c>
      <c r="E47" s="49">
        <f>AVERAGE('22.08 TORORO-BUSITEMA'!E47,'23.08 BUSITEMA-TORORO'!E47,'25.08 BUSITEMA-TORORO'!E47,'26.08 BUSITEMA-TORORO'!E47,'24.08 BUSITEMA-TORORO-24h'!E47,'27.08 TORORO-BUSITEMA-24h'!E47,'28.08 BUSITEMA-TORORO'!E47)</f>
        <v>0.5714285714285714</v>
      </c>
      <c r="F47" s="49">
        <f>AVERAGE('22.08 TORORO-BUSITEMA'!F47,'23.08 BUSITEMA-TORORO'!F47,'25.08 BUSITEMA-TORORO'!F47,'26.08 BUSITEMA-TORORO'!F47,'24.08 BUSITEMA-TORORO-24h'!F47,'27.08 TORORO-BUSITEMA-24h'!F47,'28.08 BUSITEMA-TORORO'!F47)</f>
        <v>2.4285714285714284</v>
      </c>
      <c r="G47" s="49">
        <f>AVERAGE('22.08 TORORO-BUSITEMA'!G47,'23.08 BUSITEMA-TORORO'!G47,'25.08 BUSITEMA-TORORO'!G47,'26.08 BUSITEMA-TORORO'!G47,'24.08 BUSITEMA-TORORO-24h'!G47,'27.08 TORORO-BUSITEMA-24h'!G47,'28.08 BUSITEMA-TORORO'!G47)</f>
        <v>0</v>
      </c>
      <c r="H47" s="49">
        <f>AVERAGE('22.08 TORORO-BUSITEMA'!H47,'23.08 BUSITEMA-TORORO'!H47,'25.08 BUSITEMA-TORORO'!H47,'26.08 BUSITEMA-TORORO'!H47,'24.08 BUSITEMA-TORORO-24h'!H47,'27.08 TORORO-BUSITEMA-24h'!H47,'28.08 BUSITEMA-TORORO'!H47)</f>
        <v>0</v>
      </c>
      <c r="I47" s="49">
        <f>AVERAGE('22.08 TORORO-BUSITEMA'!I47,'23.08 BUSITEMA-TORORO'!I47,'25.08 BUSITEMA-TORORO'!I47,'26.08 BUSITEMA-TORORO'!I47,'24.08 BUSITEMA-TORORO-24h'!I47,'27.08 TORORO-BUSITEMA-24h'!I47,'28.08 BUSITEMA-TORORO'!I47)</f>
        <v>0.5714285714285714</v>
      </c>
      <c r="J47" s="49">
        <f>AVERAGE('22.08 TORORO-BUSITEMA'!J47,'23.08 BUSITEMA-TORORO'!J47,'25.08 BUSITEMA-TORORO'!J47,'26.08 BUSITEMA-TORORO'!J47,'24.08 BUSITEMA-TORORO-24h'!J47,'27.08 TORORO-BUSITEMA-24h'!J47,'28.08 BUSITEMA-TORORO'!J47)</f>
        <v>0.14285714285714285</v>
      </c>
      <c r="K47" s="49">
        <f>AVERAGE('22.08 TORORO-BUSITEMA'!K47,'23.08 BUSITEMA-TORORO'!K47,'25.08 BUSITEMA-TORORO'!K47,'26.08 BUSITEMA-TORORO'!K47,'24.08 BUSITEMA-TORORO-24h'!K47,'27.08 TORORO-BUSITEMA-24h'!K47,'28.08 BUSITEMA-TORORO'!K47)</f>
        <v>0.5714285714285714</v>
      </c>
      <c r="L47" s="49">
        <f>AVERAGE('22.08 TORORO-BUSITEMA'!L47,'23.08 BUSITEMA-TORORO'!L47,'25.08 BUSITEMA-TORORO'!L47,'26.08 BUSITEMA-TORORO'!L47,'24.08 BUSITEMA-TORORO-24h'!L47,'27.08 TORORO-BUSITEMA-24h'!L47,'28.08 BUSITEMA-TORORO'!L47)</f>
        <v>9.8571428571428577</v>
      </c>
      <c r="M47" s="49">
        <f>AVERAGE('22.08 TORORO-BUSITEMA'!M47,'23.08 BUSITEMA-TORORO'!M47,'25.08 BUSITEMA-TORORO'!M47,'26.08 BUSITEMA-TORORO'!M47,'24.08 BUSITEMA-TORORO-24h'!M47,'27.08 TORORO-BUSITEMA-24h'!M47,'28.08 BUSITEMA-TORORO'!M47)</f>
        <v>4.2857142857142856</v>
      </c>
      <c r="N47" s="49">
        <f>AVERAGE('22.08 TORORO-BUSITEMA'!N47,'23.08 BUSITEMA-TORORO'!N47,'25.08 BUSITEMA-TORORO'!N47,'26.08 BUSITEMA-TORORO'!N47,'24.08 BUSITEMA-TORORO-24h'!N47,'27.08 TORORO-BUSITEMA-24h'!N47,'28.08 BUSITEMA-TORORO'!N47)</f>
        <v>0</v>
      </c>
      <c r="O47" s="15">
        <f t="shared" si="0"/>
        <v>17.428571428571427</v>
      </c>
      <c r="P47" s="15">
        <f t="shared" si="1"/>
        <v>21.714285714285712</v>
      </c>
      <c r="R47" s="8"/>
      <c r="T47"/>
    </row>
    <row r="48" spans="2:32" ht="23.1" customHeight="1" x14ac:dyDescent="0.25">
      <c r="B48" s="24" t="s">
        <v>75</v>
      </c>
      <c r="C48" s="49">
        <f>AVERAGE('22.08 TORORO-BUSITEMA'!C48,'23.08 BUSITEMA-TORORO'!C48,'25.08 BUSITEMA-TORORO'!C48,'26.08 BUSITEMA-TORORO'!C48,'24.08 BUSITEMA-TORORO-24h'!C48,'27.08 TORORO-BUSITEMA-24h'!C48,'28.08 BUSITEMA-TORORO'!C48)</f>
        <v>1.8571428571428572</v>
      </c>
      <c r="D48" s="49">
        <f>AVERAGE('22.08 TORORO-BUSITEMA'!D48,'23.08 BUSITEMA-TORORO'!D48,'25.08 BUSITEMA-TORORO'!D48,'26.08 BUSITEMA-TORORO'!D48,'24.08 BUSITEMA-TORORO-24h'!D48,'27.08 TORORO-BUSITEMA-24h'!D48,'28.08 BUSITEMA-TORORO'!D48)</f>
        <v>2.8571428571428572</v>
      </c>
      <c r="E48" s="49">
        <f>AVERAGE('22.08 TORORO-BUSITEMA'!E48,'23.08 BUSITEMA-TORORO'!E48,'25.08 BUSITEMA-TORORO'!E48,'26.08 BUSITEMA-TORORO'!E48,'24.08 BUSITEMA-TORORO-24h'!E48,'27.08 TORORO-BUSITEMA-24h'!E48,'28.08 BUSITEMA-TORORO'!E48)</f>
        <v>0.8571428571428571</v>
      </c>
      <c r="F48" s="49">
        <f>AVERAGE('22.08 TORORO-BUSITEMA'!F48,'23.08 BUSITEMA-TORORO'!F48,'25.08 BUSITEMA-TORORO'!F48,'26.08 BUSITEMA-TORORO'!F48,'24.08 BUSITEMA-TORORO-24h'!F48,'27.08 TORORO-BUSITEMA-24h'!F48,'28.08 BUSITEMA-TORORO'!F48)</f>
        <v>2.4285714285714284</v>
      </c>
      <c r="G48" s="49">
        <f>AVERAGE('22.08 TORORO-BUSITEMA'!G48,'23.08 BUSITEMA-TORORO'!G48,'25.08 BUSITEMA-TORORO'!G48,'26.08 BUSITEMA-TORORO'!G48,'24.08 BUSITEMA-TORORO-24h'!G48,'27.08 TORORO-BUSITEMA-24h'!G48,'28.08 BUSITEMA-TORORO'!G48)</f>
        <v>0</v>
      </c>
      <c r="H48" s="49">
        <f>AVERAGE('22.08 TORORO-BUSITEMA'!H48,'23.08 BUSITEMA-TORORO'!H48,'25.08 BUSITEMA-TORORO'!H48,'26.08 BUSITEMA-TORORO'!H48,'24.08 BUSITEMA-TORORO-24h'!H48,'27.08 TORORO-BUSITEMA-24h'!H48,'28.08 BUSITEMA-TORORO'!H48)</f>
        <v>0.14285714285714285</v>
      </c>
      <c r="I48" s="49">
        <f>AVERAGE('22.08 TORORO-BUSITEMA'!I48,'23.08 BUSITEMA-TORORO'!I48,'25.08 BUSITEMA-TORORO'!I48,'26.08 BUSITEMA-TORORO'!I48,'24.08 BUSITEMA-TORORO-24h'!I48,'27.08 TORORO-BUSITEMA-24h'!I48,'28.08 BUSITEMA-TORORO'!I48)</f>
        <v>0.7142857142857143</v>
      </c>
      <c r="J48" s="49">
        <f>AVERAGE('22.08 TORORO-BUSITEMA'!J48,'23.08 BUSITEMA-TORORO'!J48,'25.08 BUSITEMA-TORORO'!J48,'26.08 BUSITEMA-TORORO'!J48,'24.08 BUSITEMA-TORORO-24h'!J48,'27.08 TORORO-BUSITEMA-24h'!J48,'28.08 BUSITEMA-TORORO'!J48)</f>
        <v>0.42857142857142855</v>
      </c>
      <c r="K48" s="49">
        <f>AVERAGE('22.08 TORORO-BUSITEMA'!K48,'23.08 BUSITEMA-TORORO'!K48,'25.08 BUSITEMA-TORORO'!K48,'26.08 BUSITEMA-TORORO'!K48,'24.08 BUSITEMA-TORORO-24h'!K48,'27.08 TORORO-BUSITEMA-24h'!K48,'28.08 BUSITEMA-TORORO'!K48)</f>
        <v>0.42857142857142855</v>
      </c>
      <c r="L48" s="49">
        <f>AVERAGE('22.08 TORORO-BUSITEMA'!L48,'23.08 BUSITEMA-TORORO'!L48,'25.08 BUSITEMA-TORORO'!L48,'26.08 BUSITEMA-TORORO'!L48,'24.08 BUSITEMA-TORORO-24h'!L48,'27.08 TORORO-BUSITEMA-24h'!L48,'28.08 BUSITEMA-TORORO'!L48)</f>
        <v>9.7142857142857135</v>
      </c>
      <c r="M48" s="49">
        <f>AVERAGE('22.08 TORORO-BUSITEMA'!M48,'23.08 BUSITEMA-TORORO'!M48,'25.08 BUSITEMA-TORORO'!M48,'26.08 BUSITEMA-TORORO'!M48,'24.08 BUSITEMA-TORORO-24h'!M48,'27.08 TORORO-BUSITEMA-24h'!M48,'28.08 BUSITEMA-TORORO'!M48)</f>
        <v>2.5714285714285716</v>
      </c>
      <c r="N48" s="49">
        <f>AVERAGE('22.08 TORORO-BUSITEMA'!N48,'23.08 BUSITEMA-TORORO'!N48,'25.08 BUSITEMA-TORORO'!N48,'26.08 BUSITEMA-TORORO'!N48,'24.08 BUSITEMA-TORORO-24h'!N48,'27.08 TORORO-BUSITEMA-24h'!N48,'28.08 BUSITEMA-TORORO'!N48)</f>
        <v>0</v>
      </c>
      <c r="O48" s="15">
        <f t="shared" si="0"/>
        <v>19.428571428571427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49">
        <f>AVERAGE('22.08 TORORO-BUSITEMA'!C49,'23.08 BUSITEMA-TORORO'!C49,'25.08 BUSITEMA-TORORO'!C49,'26.08 BUSITEMA-TORORO'!C49,'24.08 BUSITEMA-TORORO-24h'!C49,'27.08 TORORO-BUSITEMA-24h'!C49,'28.08 BUSITEMA-TORORO'!C49)</f>
        <v>1.4285714285714286</v>
      </c>
      <c r="D49" s="49">
        <f>AVERAGE('22.08 TORORO-BUSITEMA'!D49,'23.08 BUSITEMA-TORORO'!D49,'25.08 BUSITEMA-TORORO'!D49,'26.08 BUSITEMA-TORORO'!D49,'24.08 BUSITEMA-TORORO-24h'!D49,'27.08 TORORO-BUSITEMA-24h'!D49,'28.08 BUSITEMA-TORORO'!D49)</f>
        <v>2</v>
      </c>
      <c r="E49" s="49">
        <f>AVERAGE('22.08 TORORO-BUSITEMA'!E49,'23.08 BUSITEMA-TORORO'!E49,'25.08 BUSITEMA-TORORO'!E49,'26.08 BUSITEMA-TORORO'!E49,'24.08 BUSITEMA-TORORO-24h'!E49,'27.08 TORORO-BUSITEMA-24h'!E49,'28.08 BUSITEMA-TORORO'!E49)</f>
        <v>1</v>
      </c>
      <c r="F49" s="49">
        <f>AVERAGE('22.08 TORORO-BUSITEMA'!F49,'23.08 BUSITEMA-TORORO'!F49,'25.08 BUSITEMA-TORORO'!F49,'26.08 BUSITEMA-TORORO'!F49,'24.08 BUSITEMA-TORORO-24h'!F49,'27.08 TORORO-BUSITEMA-24h'!F49,'28.08 BUSITEMA-TORORO'!F49)</f>
        <v>2.1428571428571428</v>
      </c>
      <c r="G49" s="49">
        <f>AVERAGE('22.08 TORORO-BUSITEMA'!G49,'23.08 BUSITEMA-TORORO'!G49,'25.08 BUSITEMA-TORORO'!G49,'26.08 BUSITEMA-TORORO'!G49,'24.08 BUSITEMA-TORORO-24h'!G49,'27.08 TORORO-BUSITEMA-24h'!G49,'28.08 BUSITEMA-TORORO'!G49)</f>
        <v>0</v>
      </c>
      <c r="H49" s="49">
        <f>AVERAGE('22.08 TORORO-BUSITEMA'!H49,'23.08 BUSITEMA-TORORO'!H49,'25.08 BUSITEMA-TORORO'!H49,'26.08 BUSITEMA-TORORO'!H49,'24.08 BUSITEMA-TORORO-24h'!H49,'27.08 TORORO-BUSITEMA-24h'!H49,'28.08 BUSITEMA-TORORO'!H49)</f>
        <v>0</v>
      </c>
      <c r="I49" s="49">
        <f>AVERAGE('22.08 TORORO-BUSITEMA'!I49,'23.08 BUSITEMA-TORORO'!I49,'25.08 BUSITEMA-TORORO'!I49,'26.08 BUSITEMA-TORORO'!I49,'24.08 BUSITEMA-TORORO-24h'!I49,'27.08 TORORO-BUSITEMA-24h'!I49,'28.08 BUSITEMA-TORORO'!I49)</f>
        <v>1.2857142857142858</v>
      </c>
      <c r="J49" s="49">
        <f>AVERAGE('22.08 TORORO-BUSITEMA'!J49,'23.08 BUSITEMA-TORORO'!J49,'25.08 BUSITEMA-TORORO'!J49,'26.08 BUSITEMA-TORORO'!J49,'24.08 BUSITEMA-TORORO-24h'!J49,'27.08 TORORO-BUSITEMA-24h'!J49,'28.08 BUSITEMA-TORORO'!J49)</f>
        <v>0.2857142857142857</v>
      </c>
      <c r="K49" s="49">
        <f>AVERAGE('22.08 TORORO-BUSITEMA'!K49,'23.08 BUSITEMA-TORORO'!K49,'25.08 BUSITEMA-TORORO'!K49,'26.08 BUSITEMA-TORORO'!K49,'24.08 BUSITEMA-TORORO-24h'!K49,'27.08 TORORO-BUSITEMA-24h'!K49,'28.08 BUSITEMA-TORORO'!K49)</f>
        <v>0.5714285714285714</v>
      </c>
      <c r="L49" s="49">
        <f>AVERAGE('22.08 TORORO-BUSITEMA'!L49,'23.08 BUSITEMA-TORORO'!L49,'25.08 BUSITEMA-TORORO'!L49,'26.08 BUSITEMA-TORORO'!L49,'24.08 BUSITEMA-TORORO-24h'!L49,'27.08 TORORO-BUSITEMA-24h'!L49,'28.08 BUSITEMA-TORORO'!L49)</f>
        <v>7.8571428571428568</v>
      </c>
      <c r="M49" s="49">
        <f>AVERAGE('22.08 TORORO-BUSITEMA'!M49,'23.08 BUSITEMA-TORORO'!M49,'25.08 BUSITEMA-TORORO'!M49,'26.08 BUSITEMA-TORORO'!M49,'24.08 BUSITEMA-TORORO-24h'!M49,'27.08 TORORO-BUSITEMA-24h'!M49,'28.08 BUSITEMA-TORORO'!M49)</f>
        <v>3.1428571428571428</v>
      </c>
      <c r="N49" s="49">
        <f>AVERAGE('22.08 TORORO-BUSITEMA'!N49,'23.08 BUSITEMA-TORORO'!N49,'25.08 BUSITEMA-TORORO'!N49,'26.08 BUSITEMA-TORORO'!N49,'24.08 BUSITEMA-TORORO-24h'!N49,'27.08 TORORO-BUSITEMA-24h'!N49,'28.08 BUSITEMA-TORORO'!N49)</f>
        <v>0</v>
      </c>
      <c r="O49" s="15">
        <f t="shared" si="0"/>
        <v>16.571428571428569</v>
      </c>
      <c r="P49" s="15">
        <f t="shared" si="1"/>
        <v>19.714285714285712</v>
      </c>
      <c r="R49" s="8"/>
      <c r="T49"/>
    </row>
    <row r="50" spans="2:20" ht="23.1" customHeight="1" x14ac:dyDescent="0.25">
      <c r="B50" s="24" t="s">
        <v>77</v>
      </c>
      <c r="C50" s="49">
        <f>AVERAGE('22.08 TORORO-BUSITEMA'!C50,'23.08 BUSITEMA-TORORO'!C50,'25.08 BUSITEMA-TORORO'!C50,'26.08 BUSITEMA-TORORO'!C50,'24.08 BUSITEMA-TORORO-24h'!C50,'27.08 TORORO-BUSITEMA-24h'!C50,'28.08 BUSITEMA-TORORO'!C50)</f>
        <v>1.8571428571428572</v>
      </c>
      <c r="D50" s="49">
        <f>AVERAGE('22.08 TORORO-BUSITEMA'!D50,'23.08 BUSITEMA-TORORO'!D50,'25.08 BUSITEMA-TORORO'!D50,'26.08 BUSITEMA-TORORO'!D50,'24.08 BUSITEMA-TORORO-24h'!D50,'27.08 TORORO-BUSITEMA-24h'!D50,'28.08 BUSITEMA-TORORO'!D50)</f>
        <v>2.2857142857142856</v>
      </c>
      <c r="E50" s="49">
        <f>AVERAGE('22.08 TORORO-BUSITEMA'!E50,'23.08 BUSITEMA-TORORO'!E50,'25.08 BUSITEMA-TORORO'!E50,'26.08 BUSITEMA-TORORO'!E50,'24.08 BUSITEMA-TORORO-24h'!E50,'27.08 TORORO-BUSITEMA-24h'!E50,'28.08 BUSITEMA-TORORO'!E50)</f>
        <v>0.5714285714285714</v>
      </c>
      <c r="F50" s="49">
        <f>AVERAGE('22.08 TORORO-BUSITEMA'!F50,'23.08 BUSITEMA-TORORO'!F50,'25.08 BUSITEMA-TORORO'!F50,'26.08 BUSITEMA-TORORO'!F50,'24.08 BUSITEMA-TORORO-24h'!F50,'27.08 TORORO-BUSITEMA-24h'!F50,'28.08 BUSITEMA-TORORO'!F50)</f>
        <v>4</v>
      </c>
      <c r="G50" s="49">
        <f>AVERAGE('22.08 TORORO-BUSITEMA'!G50,'23.08 BUSITEMA-TORORO'!G50,'25.08 BUSITEMA-TORORO'!G50,'26.08 BUSITEMA-TORORO'!G50,'24.08 BUSITEMA-TORORO-24h'!G50,'27.08 TORORO-BUSITEMA-24h'!G50,'28.08 BUSITEMA-TORORO'!G50)</f>
        <v>0.42857142857142855</v>
      </c>
      <c r="H50" s="49">
        <f>AVERAGE('22.08 TORORO-BUSITEMA'!H50,'23.08 BUSITEMA-TORORO'!H50,'25.08 BUSITEMA-TORORO'!H50,'26.08 BUSITEMA-TORORO'!H50,'24.08 BUSITEMA-TORORO-24h'!H50,'27.08 TORORO-BUSITEMA-24h'!H50,'28.08 BUSITEMA-TORORO'!H50)</f>
        <v>0.14285714285714285</v>
      </c>
      <c r="I50" s="49">
        <f>AVERAGE('22.08 TORORO-BUSITEMA'!I50,'23.08 BUSITEMA-TORORO'!I50,'25.08 BUSITEMA-TORORO'!I50,'26.08 BUSITEMA-TORORO'!I50,'24.08 BUSITEMA-TORORO-24h'!I50,'27.08 TORORO-BUSITEMA-24h'!I50,'28.08 BUSITEMA-TORORO'!I50)</f>
        <v>1</v>
      </c>
      <c r="J50" s="49">
        <f>AVERAGE('22.08 TORORO-BUSITEMA'!J50,'23.08 BUSITEMA-TORORO'!J50,'25.08 BUSITEMA-TORORO'!J50,'26.08 BUSITEMA-TORORO'!J50,'24.08 BUSITEMA-TORORO-24h'!J50,'27.08 TORORO-BUSITEMA-24h'!J50,'28.08 BUSITEMA-TORORO'!J50)</f>
        <v>1.5714285714285714</v>
      </c>
      <c r="K50" s="49">
        <f>AVERAGE('22.08 TORORO-BUSITEMA'!K50,'23.08 BUSITEMA-TORORO'!K50,'25.08 BUSITEMA-TORORO'!K50,'26.08 BUSITEMA-TORORO'!K50,'24.08 BUSITEMA-TORORO-24h'!K50,'27.08 TORORO-BUSITEMA-24h'!K50,'28.08 BUSITEMA-TORORO'!K50)</f>
        <v>0.2857142857142857</v>
      </c>
      <c r="L50" s="49">
        <f>AVERAGE('22.08 TORORO-BUSITEMA'!L50,'23.08 BUSITEMA-TORORO'!L50,'25.08 BUSITEMA-TORORO'!L50,'26.08 BUSITEMA-TORORO'!L50,'24.08 BUSITEMA-TORORO-24h'!L50,'27.08 TORORO-BUSITEMA-24h'!L50,'28.08 BUSITEMA-TORORO'!L50)</f>
        <v>11</v>
      </c>
      <c r="M50" s="49">
        <f>AVERAGE('22.08 TORORO-BUSITEMA'!M50,'23.08 BUSITEMA-TORORO'!M50,'25.08 BUSITEMA-TORORO'!M50,'26.08 BUSITEMA-TORORO'!M50,'24.08 BUSITEMA-TORORO-24h'!M50,'27.08 TORORO-BUSITEMA-24h'!M50,'28.08 BUSITEMA-TORORO'!M50)</f>
        <v>4.4285714285714288</v>
      </c>
      <c r="N50" s="49">
        <f>AVERAGE('22.08 TORORO-BUSITEMA'!N50,'23.08 BUSITEMA-TORORO'!N50,'25.08 BUSITEMA-TORORO'!N50,'26.08 BUSITEMA-TORORO'!N50,'24.08 BUSITEMA-TORORO-24h'!N50,'27.08 TORORO-BUSITEMA-24h'!N50,'28.08 BUSITEMA-TORORO'!N50)</f>
        <v>0</v>
      </c>
      <c r="O50" s="15">
        <f t="shared" si="0"/>
        <v>23.142857142857142</v>
      </c>
      <c r="P50" s="15">
        <f t="shared" si="1"/>
        <v>27.571428571428569</v>
      </c>
      <c r="R50" s="8"/>
      <c r="T50"/>
    </row>
    <row r="51" spans="2:20" ht="23.1" customHeight="1" x14ac:dyDescent="0.25">
      <c r="B51" s="24" t="s">
        <v>78</v>
      </c>
      <c r="C51" s="49">
        <f>AVERAGE('22.08 TORORO-BUSITEMA'!C51,'23.08 BUSITEMA-TORORO'!C51,'25.08 BUSITEMA-TORORO'!C51,'26.08 BUSITEMA-TORORO'!C51,'24.08 BUSITEMA-TORORO-24h'!C51,'27.08 TORORO-BUSITEMA-24h'!C51,'28.08 BUSITEMA-TORORO'!C51)</f>
        <v>2.5714285714285716</v>
      </c>
      <c r="D51" s="49">
        <f>AVERAGE('22.08 TORORO-BUSITEMA'!D51,'23.08 BUSITEMA-TORORO'!D51,'25.08 BUSITEMA-TORORO'!D51,'26.08 BUSITEMA-TORORO'!D51,'24.08 BUSITEMA-TORORO-24h'!D51,'27.08 TORORO-BUSITEMA-24h'!D51,'28.08 BUSITEMA-TORORO'!D51)</f>
        <v>3.7142857142857144</v>
      </c>
      <c r="E51" s="49">
        <f>AVERAGE('22.08 TORORO-BUSITEMA'!E51,'23.08 BUSITEMA-TORORO'!E51,'25.08 BUSITEMA-TORORO'!E51,'26.08 BUSITEMA-TORORO'!E51,'24.08 BUSITEMA-TORORO-24h'!E51,'27.08 TORORO-BUSITEMA-24h'!E51,'28.08 BUSITEMA-TORORO'!E51)</f>
        <v>0.7142857142857143</v>
      </c>
      <c r="F51" s="49">
        <f>AVERAGE('22.08 TORORO-BUSITEMA'!F51,'23.08 BUSITEMA-TORORO'!F51,'25.08 BUSITEMA-TORORO'!F51,'26.08 BUSITEMA-TORORO'!F51,'24.08 BUSITEMA-TORORO-24h'!F51,'27.08 TORORO-BUSITEMA-24h'!F51,'28.08 BUSITEMA-TORORO'!F51)</f>
        <v>3.7142857142857144</v>
      </c>
      <c r="G51" s="49">
        <f>AVERAGE('22.08 TORORO-BUSITEMA'!G51,'23.08 BUSITEMA-TORORO'!G51,'25.08 BUSITEMA-TORORO'!G51,'26.08 BUSITEMA-TORORO'!G51,'24.08 BUSITEMA-TORORO-24h'!G51,'27.08 TORORO-BUSITEMA-24h'!G51,'28.08 BUSITEMA-TORORO'!G51)</f>
        <v>0</v>
      </c>
      <c r="H51" s="49">
        <f>AVERAGE('22.08 TORORO-BUSITEMA'!H51,'23.08 BUSITEMA-TORORO'!H51,'25.08 BUSITEMA-TORORO'!H51,'26.08 BUSITEMA-TORORO'!H51,'24.08 BUSITEMA-TORORO-24h'!H51,'27.08 TORORO-BUSITEMA-24h'!H51,'28.08 BUSITEMA-TORORO'!H51)</f>
        <v>0</v>
      </c>
      <c r="I51" s="49">
        <f>AVERAGE('22.08 TORORO-BUSITEMA'!I51,'23.08 BUSITEMA-TORORO'!I51,'25.08 BUSITEMA-TORORO'!I51,'26.08 BUSITEMA-TORORO'!I51,'24.08 BUSITEMA-TORORO-24h'!I51,'27.08 TORORO-BUSITEMA-24h'!I51,'28.08 BUSITEMA-TORORO'!I51)</f>
        <v>1.1428571428571428</v>
      </c>
      <c r="J51" s="49">
        <f>AVERAGE('22.08 TORORO-BUSITEMA'!J51,'23.08 BUSITEMA-TORORO'!J51,'25.08 BUSITEMA-TORORO'!J51,'26.08 BUSITEMA-TORORO'!J51,'24.08 BUSITEMA-TORORO-24h'!J51,'27.08 TORORO-BUSITEMA-24h'!J51,'28.08 BUSITEMA-TORORO'!J51)</f>
        <v>0.5714285714285714</v>
      </c>
      <c r="K51" s="49">
        <f>AVERAGE('22.08 TORORO-BUSITEMA'!K51,'23.08 BUSITEMA-TORORO'!K51,'25.08 BUSITEMA-TORORO'!K51,'26.08 BUSITEMA-TORORO'!K51,'24.08 BUSITEMA-TORORO-24h'!K51,'27.08 TORORO-BUSITEMA-24h'!K51,'28.08 BUSITEMA-TORORO'!K51)</f>
        <v>0.14285714285714285</v>
      </c>
      <c r="L51" s="49">
        <f>AVERAGE('22.08 TORORO-BUSITEMA'!L51,'23.08 BUSITEMA-TORORO'!L51,'25.08 BUSITEMA-TORORO'!L51,'26.08 BUSITEMA-TORORO'!L51,'24.08 BUSITEMA-TORORO-24h'!L51,'27.08 TORORO-BUSITEMA-24h'!L51,'28.08 BUSITEMA-TORORO'!L51)</f>
        <v>10.285714285714286</v>
      </c>
      <c r="M51" s="49">
        <f>AVERAGE('22.08 TORORO-BUSITEMA'!M51,'23.08 BUSITEMA-TORORO'!M51,'25.08 BUSITEMA-TORORO'!M51,'26.08 BUSITEMA-TORORO'!M51,'24.08 BUSITEMA-TORORO-24h'!M51,'27.08 TORORO-BUSITEMA-24h'!M51,'28.08 BUSITEMA-TORORO'!M51)</f>
        <v>6.2857142857142856</v>
      </c>
      <c r="N51" s="49">
        <f>AVERAGE('22.08 TORORO-BUSITEMA'!N51,'23.08 BUSITEMA-TORORO'!N51,'25.08 BUSITEMA-TORORO'!N51,'26.08 BUSITEMA-TORORO'!N51,'24.08 BUSITEMA-TORORO-24h'!N51,'27.08 TORORO-BUSITEMA-24h'!N51,'28.08 BUSITEMA-TORORO'!N51)</f>
        <v>0</v>
      </c>
      <c r="O51" s="15">
        <f t="shared" si="0"/>
        <v>22.857142857142858</v>
      </c>
      <c r="P51" s="15">
        <f t="shared" si="1"/>
        <v>29.142857142857142</v>
      </c>
      <c r="R51" s="8"/>
      <c r="T51"/>
    </row>
    <row r="52" spans="2:20" ht="23.1" customHeight="1" x14ac:dyDescent="0.25">
      <c r="B52" s="24" t="s">
        <v>79</v>
      </c>
      <c r="C52" s="49">
        <f>AVERAGE('22.08 TORORO-BUSITEMA'!C52,'23.08 BUSITEMA-TORORO'!C52,'25.08 BUSITEMA-TORORO'!C52,'26.08 BUSITEMA-TORORO'!C52,'24.08 BUSITEMA-TORORO-24h'!C52,'27.08 TORORO-BUSITEMA-24h'!C52,'28.08 BUSITEMA-TORORO'!C52)</f>
        <v>2.1428571428571428</v>
      </c>
      <c r="D52" s="49">
        <f>AVERAGE('22.08 TORORO-BUSITEMA'!D52,'23.08 BUSITEMA-TORORO'!D52,'25.08 BUSITEMA-TORORO'!D52,'26.08 BUSITEMA-TORORO'!D52,'24.08 BUSITEMA-TORORO-24h'!D52,'27.08 TORORO-BUSITEMA-24h'!D52,'28.08 BUSITEMA-TORORO'!D52)</f>
        <v>2.7142857142857144</v>
      </c>
      <c r="E52" s="49">
        <f>AVERAGE('22.08 TORORO-BUSITEMA'!E52,'23.08 BUSITEMA-TORORO'!E52,'25.08 BUSITEMA-TORORO'!E52,'26.08 BUSITEMA-TORORO'!E52,'24.08 BUSITEMA-TORORO-24h'!E52,'27.08 TORORO-BUSITEMA-24h'!E52,'28.08 BUSITEMA-TORORO'!E52)</f>
        <v>2.1428571428571428</v>
      </c>
      <c r="F52" s="49">
        <f>AVERAGE('22.08 TORORO-BUSITEMA'!F52,'23.08 BUSITEMA-TORORO'!F52,'25.08 BUSITEMA-TORORO'!F52,'26.08 BUSITEMA-TORORO'!F52,'24.08 BUSITEMA-TORORO-24h'!F52,'27.08 TORORO-BUSITEMA-24h'!F52,'28.08 BUSITEMA-TORORO'!F52)</f>
        <v>2.5714285714285716</v>
      </c>
      <c r="G52" s="49">
        <f>AVERAGE('22.08 TORORO-BUSITEMA'!G52,'23.08 BUSITEMA-TORORO'!G52,'25.08 BUSITEMA-TORORO'!G52,'26.08 BUSITEMA-TORORO'!G52,'24.08 BUSITEMA-TORORO-24h'!G52,'27.08 TORORO-BUSITEMA-24h'!G52,'28.08 BUSITEMA-TORORO'!G52)</f>
        <v>0</v>
      </c>
      <c r="H52" s="49">
        <f>AVERAGE('22.08 TORORO-BUSITEMA'!H52,'23.08 BUSITEMA-TORORO'!H52,'25.08 BUSITEMA-TORORO'!H52,'26.08 BUSITEMA-TORORO'!H52,'24.08 BUSITEMA-TORORO-24h'!H52,'27.08 TORORO-BUSITEMA-24h'!H52,'28.08 BUSITEMA-TORORO'!H52)</f>
        <v>0</v>
      </c>
      <c r="I52" s="49">
        <f>AVERAGE('22.08 TORORO-BUSITEMA'!I52,'23.08 BUSITEMA-TORORO'!I52,'25.08 BUSITEMA-TORORO'!I52,'26.08 BUSITEMA-TORORO'!I52,'24.08 BUSITEMA-TORORO-24h'!I52,'27.08 TORORO-BUSITEMA-24h'!I52,'28.08 BUSITEMA-TORORO'!I52)</f>
        <v>2.1428571428571428</v>
      </c>
      <c r="J52" s="49">
        <f>AVERAGE('22.08 TORORO-BUSITEMA'!J52,'23.08 BUSITEMA-TORORO'!J52,'25.08 BUSITEMA-TORORO'!J52,'26.08 BUSITEMA-TORORO'!J52,'24.08 BUSITEMA-TORORO-24h'!J52,'27.08 TORORO-BUSITEMA-24h'!J52,'28.08 BUSITEMA-TORORO'!J52)</f>
        <v>0.42857142857142855</v>
      </c>
      <c r="K52" s="49">
        <f>AVERAGE('22.08 TORORO-BUSITEMA'!K52,'23.08 BUSITEMA-TORORO'!K52,'25.08 BUSITEMA-TORORO'!K52,'26.08 BUSITEMA-TORORO'!K52,'24.08 BUSITEMA-TORORO-24h'!K52,'27.08 TORORO-BUSITEMA-24h'!K52,'28.08 BUSITEMA-TORORO'!K52)</f>
        <v>1.5714285714285714</v>
      </c>
      <c r="L52" s="49">
        <f>AVERAGE('22.08 TORORO-BUSITEMA'!L52,'23.08 BUSITEMA-TORORO'!L52,'25.08 BUSITEMA-TORORO'!L52,'26.08 BUSITEMA-TORORO'!L52,'24.08 BUSITEMA-TORORO-24h'!L52,'27.08 TORORO-BUSITEMA-24h'!L52,'28.08 BUSITEMA-TORORO'!L52)</f>
        <v>11.714285714285714</v>
      </c>
      <c r="M52" s="49">
        <f>AVERAGE('22.08 TORORO-BUSITEMA'!M52,'23.08 BUSITEMA-TORORO'!M52,'25.08 BUSITEMA-TORORO'!M52,'26.08 BUSITEMA-TORORO'!M52,'24.08 BUSITEMA-TORORO-24h'!M52,'27.08 TORORO-BUSITEMA-24h'!M52,'28.08 BUSITEMA-TORORO'!M52)</f>
        <v>6</v>
      </c>
      <c r="N52" s="49">
        <f>AVERAGE('22.08 TORORO-BUSITEMA'!N52,'23.08 BUSITEMA-TORORO'!N52,'25.08 BUSITEMA-TORORO'!N52,'26.08 BUSITEMA-TORORO'!N52,'24.08 BUSITEMA-TORORO-24h'!N52,'27.08 TORORO-BUSITEMA-24h'!N52,'28.08 BUSITEMA-TORORO'!N52)</f>
        <v>0</v>
      </c>
      <c r="O52" s="15">
        <f t="shared" si="0"/>
        <v>25.428571428571427</v>
      </c>
      <c r="P52" s="15">
        <f t="shared" si="1"/>
        <v>31.428571428571427</v>
      </c>
      <c r="R52" s="8"/>
      <c r="T52"/>
    </row>
    <row r="53" spans="2:20" ht="23.1" customHeight="1" x14ac:dyDescent="0.25">
      <c r="B53" s="23" t="s">
        <v>80</v>
      </c>
      <c r="C53" s="49">
        <f>AVERAGE('22.08 TORORO-BUSITEMA'!C53,'23.08 BUSITEMA-TORORO'!C53,'25.08 BUSITEMA-TORORO'!C53,'26.08 BUSITEMA-TORORO'!C53,'24.08 BUSITEMA-TORORO-24h'!C53,'27.08 TORORO-BUSITEMA-24h'!C53,'28.08 BUSITEMA-TORORO'!C53)</f>
        <v>2.8571428571428572</v>
      </c>
      <c r="D53" s="49">
        <f>AVERAGE('22.08 TORORO-BUSITEMA'!D53,'23.08 BUSITEMA-TORORO'!D53,'25.08 BUSITEMA-TORORO'!D53,'26.08 BUSITEMA-TORORO'!D53,'24.08 BUSITEMA-TORORO-24h'!D53,'27.08 TORORO-BUSITEMA-24h'!D53,'28.08 BUSITEMA-TORORO'!D53)</f>
        <v>3.2857142857142856</v>
      </c>
      <c r="E53" s="49">
        <f>AVERAGE('22.08 TORORO-BUSITEMA'!E53,'23.08 BUSITEMA-TORORO'!E53,'25.08 BUSITEMA-TORORO'!E53,'26.08 BUSITEMA-TORORO'!E53,'24.08 BUSITEMA-TORORO-24h'!E53,'27.08 TORORO-BUSITEMA-24h'!E53,'28.08 BUSITEMA-TORORO'!E53)</f>
        <v>1.8571428571428572</v>
      </c>
      <c r="F53" s="49">
        <f>AVERAGE('22.08 TORORO-BUSITEMA'!F53,'23.08 BUSITEMA-TORORO'!F53,'25.08 BUSITEMA-TORORO'!F53,'26.08 BUSITEMA-TORORO'!F53,'24.08 BUSITEMA-TORORO-24h'!F53,'27.08 TORORO-BUSITEMA-24h'!F53,'28.08 BUSITEMA-TORORO'!F53)</f>
        <v>5</v>
      </c>
      <c r="G53" s="49">
        <f>AVERAGE('22.08 TORORO-BUSITEMA'!G53,'23.08 BUSITEMA-TORORO'!G53,'25.08 BUSITEMA-TORORO'!G53,'26.08 BUSITEMA-TORORO'!G53,'24.08 BUSITEMA-TORORO-24h'!G53,'27.08 TORORO-BUSITEMA-24h'!G53,'28.08 BUSITEMA-TORORO'!G53)</f>
        <v>0</v>
      </c>
      <c r="H53" s="49">
        <f>AVERAGE('22.08 TORORO-BUSITEMA'!H53,'23.08 BUSITEMA-TORORO'!H53,'25.08 BUSITEMA-TORORO'!H53,'26.08 BUSITEMA-TORORO'!H53,'24.08 BUSITEMA-TORORO-24h'!H53,'27.08 TORORO-BUSITEMA-24h'!H53,'28.08 BUSITEMA-TORORO'!H53)</f>
        <v>0.14285714285714285</v>
      </c>
      <c r="I53" s="49">
        <f>AVERAGE('22.08 TORORO-BUSITEMA'!I53,'23.08 BUSITEMA-TORORO'!I53,'25.08 BUSITEMA-TORORO'!I53,'26.08 BUSITEMA-TORORO'!I53,'24.08 BUSITEMA-TORORO-24h'!I53,'27.08 TORORO-BUSITEMA-24h'!I53,'28.08 BUSITEMA-TORORO'!I53)</f>
        <v>2.2857142857142856</v>
      </c>
      <c r="J53" s="49">
        <f>AVERAGE('22.08 TORORO-BUSITEMA'!J53,'23.08 BUSITEMA-TORORO'!J53,'25.08 BUSITEMA-TORORO'!J53,'26.08 BUSITEMA-TORORO'!J53,'24.08 BUSITEMA-TORORO-24h'!J53,'27.08 TORORO-BUSITEMA-24h'!J53,'28.08 BUSITEMA-TORORO'!J53)</f>
        <v>1.4285714285714286</v>
      </c>
      <c r="K53" s="49">
        <f>AVERAGE('22.08 TORORO-BUSITEMA'!K53,'23.08 BUSITEMA-TORORO'!K53,'25.08 BUSITEMA-TORORO'!K53,'26.08 BUSITEMA-TORORO'!K53,'24.08 BUSITEMA-TORORO-24h'!K53,'27.08 TORORO-BUSITEMA-24h'!K53,'28.08 BUSITEMA-TORORO'!K53)</f>
        <v>2.7142857142857144</v>
      </c>
      <c r="L53" s="49">
        <f>AVERAGE('22.08 TORORO-BUSITEMA'!L53,'23.08 BUSITEMA-TORORO'!L53,'25.08 BUSITEMA-TORORO'!L53,'26.08 BUSITEMA-TORORO'!L53,'24.08 BUSITEMA-TORORO-24h'!L53,'27.08 TORORO-BUSITEMA-24h'!L53,'28.08 BUSITEMA-TORORO'!L53)</f>
        <v>12.571428571428571</v>
      </c>
      <c r="M53" s="49">
        <f>AVERAGE('22.08 TORORO-BUSITEMA'!M53,'23.08 BUSITEMA-TORORO'!M53,'25.08 BUSITEMA-TORORO'!M53,'26.08 BUSITEMA-TORORO'!M53,'24.08 BUSITEMA-TORORO-24h'!M53,'27.08 TORORO-BUSITEMA-24h'!M53,'28.08 BUSITEMA-TORORO'!M53)</f>
        <v>5.5714285714285712</v>
      </c>
      <c r="N53" s="49">
        <f>AVERAGE('22.08 TORORO-BUSITEMA'!N53,'23.08 BUSITEMA-TORORO'!N53,'25.08 BUSITEMA-TORORO'!N53,'26.08 BUSITEMA-TORORO'!N53,'24.08 BUSITEMA-TORORO-24h'!N53,'27.08 TORORO-BUSITEMA-24h'!N53,'28.08 BUSITEMA-TORORO'!N53)</f>
        <v>0</v>
      </c>
      <c r="O53" s="15">
        <f t="shared" si="0"/>
        <v>32.142857142857139</v>
      </c>
      <c r="P53" s="15">
        <f t="shared" si="1"/>
        <v>37.714285714285708</v>
      </c>
      <c r="R53" s="8"/>
      <c r="T53"/>
    </row>
    <row r="54" spans="2:20" ht="23.1" customHeight="1" x14ac:dyDescent="0.25">
      <c r="B54" s="23" t="s">
        <v>81</v>
      </c>
      <c r="C54" s="49">
        <f>AVERAGE('22.08 TORORO-BUSITEMA'!C54,'23.08 BUSITEMA-TORORO'!C54,'25.08 BUSITEMA-TORORO'!C54,'26.08 BUSITEMA-TORORO'!C54,'24.08 BUSITEMA-TORORO-24h'!C54,'27.08 TORORO-BUSITEMA-24h'!C54,'28.08 BUSITEMA-TORORO'!C54)</f>
        <v>1.2857142857142858</v>
      </c>
      <c r="D54" s="49">
        <f>AVERAGE('22.08 TORORO-BUSITEMA'!D54,'23.08 BUSITEMA-TORORO'!D54,'25.08 BUSITEMA-TORORO'!D54,'26.08 BUSITEMA-TORORO'!D54,'24.08 BUSITEMA-TORORO-24h'!D54,'27.08 TORORO-BUSITEMA-24h'!D54,'28.08 BUSITEMA-TORORO'!D54)</f>
        <v>1.4285714285714286</v>
      </c>
      <c r="E54" s="49">
        <f>AVERAGE('22.08 TORORO-BUSITEMA'!E54,'23.08 BUSITEMA-TORORO'!E54,'25.08 BUSITEMA-TORORO'!E54,'26.08 BUSITEMA-TORORO'!E54,'24.08 BUSITEMA-TORORO-24h'!E54,'27.08 TORORO-BUSITEMA-24h'!E54,'28.08 BUSITEMA-TORORO'!E54)</f>
        <v>3.4285714285714284</v>
      </c>
      <c r="F54" s="49">
        <f>AVERAGE('22.08 TORORO-BUSITEMA'!F54,'23.08 BUSITEMA-TORORO'!F54,'25.08 BUSITEMA-TORORO'!F54,'26.08 BUSITEMA-TORORO'!F54,'24.08 BUSITEMA-TORORO-24h'!F54,'27.08 TORORO-BUSITEMA-24h'!F54,'28.08 BUSITEMA-TORORO'!F54)</f>
        <v>5.7142857142857144</v>
      </c>
      <c r="G54" s="49">
        <f>AVERAGE('22.08 TORORO-BUSITEMA'!G54,'23.08 BUSITEMA-TORORO'!G54,'25.08 BUSITEMA-TORORO'!G54,'26.08 BUSITEMA-TORORO'!G54,'24.08 BUSITEMA-TORORO-24h'!G54,'27.08 TORORO-BUSITEMA-24h'!G54,'28.08 BUSITEMA-TORORO'!G54)</f>
        <v>0</v>
      </c>
      <c r="H54" s="49">
        <f>AVERAGE('22.08 TORORO-BUSITEMA'!H54,'23.08 BUSITEMA-TORORO'!H54,'25.08 BUSITEMA-TORORO'!H54,'26.08 BUSITEMA-TORORO'!H54,'24.08 BUSITEMA-TORORO-24h'!H54,'27.08 TORORO-BUSITEMA-24h'!H54,'28.08 BUSITEMA-TORORO'!H54)</f>
        <v>0.42857142857142855</v>
      </c>
      <c r="I54" s="49">
        <f>AVERAGE('22.08 TORORO-BUSITEMA'!I54,'23.08 BUSITEMA-TORORO'!I54,'25.08 BUSITEMA-TORORO'!I54,'26.08 BUSITEMA-TORORO'!I54,'24.08 BUSITEMA-TORORO-24h'!I54,'27.08 TORORO-BUSITEMA-24h'!I54,'28.08 BUSITEMA-TORORO'!I54)</f>
        <v>2.7142857142857144</v>
      </c>
      <c r="J54" s="49">
        <f>AVERAGE('22.08 TORORO-BUSITEMA'!J54,'23.08 BUSITEMA-TORORO'!J54,'25.08 BUSITEMA-TORORO'!J54,'26.08 BUSITEMA-TORORO'!J54,'24.08 BUSITEMA-TORORO-24h'!J54,'27.08 TORORO-BUSITEMA-24h'!J54,'28.08 BUSITEMA-TORORO'!J54)</f>
        <v>1.8571428571428572</v>
      </c>
      <c r="K54" s="49">
        <f>AVERAGE('22.08 TORORO-BUSITEMA'!K54,'23.08 BUSITEMA-TORORO'!K54,'25.08 BUSITEMA-TORORO'!K54,'26.08 BUSITEMA-TORORO'!K54,'24.08 BUSITEMA-TORORO-24h'!K54,'27.08 TORORO-BUSITEMA-24h'!K54,'28.08 BUSITEMA-TORORO'!K54)</f>
        <v>1.1428571428571428</v>
      </c>
      <c r="L54" s="49">
        <f>AVERAGE('22.08 TORORO-BUSITEMA'!L54,'23.08 BUSITEMA-TORORO'!L54,'25.08 BUSITEMA-TORORO'!L54,'26.08 BUSITEMA-TORORO'!L54,'24.08 BUSITEMA-TORORO-24h'!L54,'27.08 TORORO-BUSITEMA-24h'!L54,'28.08 BUSITEMA-TORORO'!L54)</f>
        <v>15.142857142857142</v>
      </c>
      <c r="M54" s="49">
        <f>AVERAGE('22.08 TORORO-BUSITEMA'!M54,'23.08 BUSITEMA-TORORO'!M54,'25.08 BUSITEMA-TORORO'!M54,'26.08 BUSITEMA-TORORO'!M54,'24.08 BUSITEMA-TORORO-24h'!M54,'27.08 TORORO-BUSITEMA-24h'!M54,'28.08 BUSITEMA-TORORO'!M54)</f>
        <v>6.8571428571428568</v>
      </c>
      <c r="N54" s="49">
        <f>AVERAGE('22.08 TORORO-BUSITEMA'!N54,'23.08 BUSITEMA-TORORO'!N54,'25.08 BUSITEMA-TORORO'!N54,'26.08 BUSITEMA-TORORO'!N54,'24.08 BUSITEMA-TORORO-24h'!N54,'27.08 TORORO-BUSITEMA-24h'!N54,'28.08 BUSITEMA-TORORO'!N54)</f>
        <v>0</v>
      </c>
      <c r="O54" s="15">
        <f t="shared" si="0"/>
        <v>33.142857142857139</v>
      </c>
      <c r="P54" s="15">
        <f t="shared" si="1"/>
        <v>39.999999999999993</v>
      </c>
      <c r="R54" s="8"/>
      <c r="T54"/>
    </row>
    <row r="55" spans="2:20" ht="23.1" customHeight="1" x14ac:dyDescent="0.25">
      <c r="B55" s="23" t="s">
        <v>82</v>
      </c>
      <c r="C55" s="49">
        <f>AVERAGE('22.08 TORORO-BUSITEMA'!C55,'23.08 BUSITEMA-TORORO'!C55,'25.08 BUSITEMA-TORORO'!C55,'26.08 BUSITEMA-TORORO'!C55,'24.08 BUSITEMA-TORORO-24h'!C55,'27.08 TORORO-BUSITEMA-24h'!C55,'28.08 BUSITEMA-TORORO'!C55)</f>
        <v>2.7142857142857144</v>
      </c>
      <c r="D55" s="49">
        <f>AVERAGE('22.08 TORORO-BUSITEMA'!D55,'23.08 BUSITEMA-TORORO'!D55,'25.08 BUSITEMA-TORORO'!D55,'26.08 BUSITEMA-TORORO'!D55,'24.08 BUSITEMA-TORORO-24h'!D55,'27.08 TORORO-BUSITEMA-24h'!D55,'28.08 BUSITEMA-TORORO'!D55)</f>
        <v>1.8571428571428572</v>
      </c>
      <c r="E55" s="49">
        <f>AVERAGE('22.08 TORORO-BUSITEMA'!E55,'23.08 BUSITEMA-TORORO'!E55,'25.08 BUSITEMA-TORORO'!E55,'26.08 BUSITEMA-TORORO'!E55,'24.08 BUSITEMA-TORORO-24h'!E55,'27.08 TORORO-BUSITEMA-24h'!E55,'28.08 BUSITEMA-TORORO'!E55)</f>
        <v>1.2857142857142858</v>
      </c>
      <c r="F55" s="49">
        <f>AVERAGE('22.08 TORORO-BUSITEMA'!F55,'23.08 BUSITEMA-TORORO'!F55,'25.08 BUSITEMA-TORORO'!F55,'26.08 BUSITEMA-TORORO'!F55,'24.08 BUSITEMA-TORORO-24h'!F55,'27.08 TORORO-BUSITEMA-24h'!F55,'28.08 BUSITEMA-TORORO'!F55)</f>
        <v>7.4285714285714288</v>
      </c>
      <c r="G55" s="49">
        <f>AVERAGE('22.08 TORORO-BUSITEMA'!G55,'23.08 BUSITEMA-TORORO'!G55,'25.08 BUSITEMA-TORORO'!G55,'26.08 BUSITEMA-TORORO'!G55,'24.08 BUSITEMA-TORORO-24h'!G55,'27.08 TORORO-BUSITEMA-24h'!G55,'28.08 BUSITEMA-TORORO'!G55)</f>
        <v>0</v>
      </c>
      <c r="H55" s="49">
        <f>AVERAGE('22.08 TORORO-BUSITEMA'!H55,'23.08 BUSITEMA-TORORO'!H55,'25.08 BUSITEMA-TORORO'!H55,'26.08 BUSITEMA-TORORO'!H55,'24.08 BUSITEMA-TORORO-24h'!H55,'27.08 TORORO-BUSITEMA-24h'!H55,'28.08 BUSITEMA-TORORO'!H55)</f>
        <v>0</v>
      </c>
      <c r="I55" s="49">
        <f>AVERAGE('22.08 TORORO-BUSITEMA'!I55,'23.08 BUSITEMA-TORORO'!I55,'25.08 BUSITEMA-TORORO'!I55,'26.08 BUSITEMA-TORORO'!I55,'24.08 BUSITEMA-TORORO-24h'!I55,'27.08 TORORO-BUSITEMA-24h'!I55,'28.08 BUSITEMA-TORORO'!I55)</f>
        <v>3</v>
      </c>
      <c r="J55" s="49">
        <f>AVERAGE('22.08 TORORO-BUSITEMA'!J55,'23.08 BUSITEMA-TORORO'!J55,'25.08 BUSITEMA-TORORO'!J55,'26.08 BUSITEMA-TORORO'!J55,'24.08 BUSITEMA-TORORO-24h'!J55,'27.08 TORORO-BUSITEMA-24h'!J55,'28.08 BUSITEMA-TORORO'!J55)</f>
        <v>0.14285714285714285</v>
      </c>
      <c r="K55" s="49">
        <f>AVERAGE('22.08 TORORO-BUSITEMA'!K55,'23.08 BUSITEMA-TORORO'!K55,'25.08 BUSITEMA-TORORO'!K55,'26.08 BUSITEMA-TORORO'!K55,'24.08 BUSITEMA-TORORO-24h'!K55,'27.08 TORORO-BUSITEMA-24h'!K55,'28.08 BUSITEMA-TORORO'!K55)</f>
        <v>2.2857142857142856</v>
      </c>
      <c r="L55" s="49">
        <f>AVERAGE('22.08 TORORO-BUSITEMA'!L55,'23.08 BUSITEMA-TORORO'!L55,'25.08 BUSITEMA-TORORO'!L55,'26.08 BUSITEMA-TORORO'!L55,'24.08 BUSITEMA-TORORO-24h'!L55,'27.08 TORORO-BUSITEMA-24h'!L55,'28.08 BUSITEMA-TORORO'!L55)</f>
        <v>17.571428571428573</v>
      </c>
      <c r="M55" s="49">
        <f>AVERAGE('22.08 TORORO-BUSITEMA'!M55,'23.08 BUSITEMA-TORORO'!M55,'25.08 BUSITEMA-TORORO'!M55,'26.08 BUSITEMA-TORORO'!M55,'24.08 BUSITEMA-TORORO-24h'!M55,'27.08 TORORO-BUSITEMA-24h'!M55,'28.08 BUSITEMA-TORORO'!M55)</f>
        <v>2.4285714285714284</v>
      </c>
      <c r="N55" s="49">
        <f>AVERAGE('22.08 TORORO-BUSITEMA'!N55,'23.08 BUSITEMA-TORORO'!N55,'25.08 BUSITEMA-TORORO'!N55,'26.08 BUSITEMA-TORORO'!N55,'24.08 BUSITEMA-TORORO-24h'!N55,'27.08 TORORO-BUSITEMA-24h'!N55,'28.08 BUSITEMA-TORORO'!N55)</f>
        <v>0</v>
      </c>
      <c r="O55" s="15">
        <f t="shared" si="0"/>
        <v>36.285714285714285</v>
      </c>
      <c r="P55" s="15">
        <f t="shared" si="1"/>
        <v>38.714285714285715</v>
      </c>
      <c r="R55" s="8"/>
      <c r="T55"/>
    </row>
    <row r="56" spans="2:20" ht="23.1" customHeight="1" x14ac:dyDescent="0.25">
      <c r="B56" s="23" t="s">
        <v>83</v>
      </c>
      <c r="C56" s="49">
        <f>AVERAGE('22.08 TORORO-BUSITEMA'!C56,'23.08 BUSITEMA-TORORO'!C56,'25.08 BUSITEMA-TORORO'!C56,'26.08 BUSITEMA-TORORO'!C56,'24.08 BUSITEMA-TORORO-24h'!C56,'27.08 TORORO-BUSITEMA-24h'!C56,'28.08 BUSITEMA-TORORO'!C56)</f>
        <v>3</v>
      </c>
      <c r="D56" s="49">
        <f>AVERAGE('22.08 TORORO-BUSITEMA'!D56,'23.08 BUSITEMA-TORORO'!D56,'25.08 BUSITEMA-TORORO'!D56,'26.08 BUSITEMA-TORORO'!D56,'24.08 BUSITEMA-TORORO-24h'!D56,'27.08 TORORO-BUSITEMA-24h'!D56,'28.08 BUSITEMA-TORORO'!D56)</f>
        <v>2.5714285714285716</v>
      </c>
      <c r="E56" s="49">
        <f>AVERAGE('22.08 TORORO-BUSITEMA'!E56,'23.08 BUSITEMA-TORORO'!E56,'25.08 BUSITEMA-TORORO'!E56,'26.08 BUSITEMA-TORORO'!E56,'24.08 BUSITEMA-TORORO-24h'!E56,'27.08 TORORO-BUSITEMA-24h'!E56,'28.08 BUSITEMA-TORORO'!E56)</f>
        <v>1.7142857142857142</v>
      </c>
      <c r="F56" s="49">
        <f>AVERAGE('22.08 TORORO-BUSITEMA'!F56,'23.08 BUSITEMA-TORORO'!F56,'25.08 BUSITEMA-TORORO'!F56,'26.08 BUSITEMA-TORORO'!F56,'24.08 BUSITEMA-TORORO-24h'!F56,'27.08 TORORO-BUSITEMA-24h'!F56,'28.08 BUSITEMA-TORORO'!F56)</f>
        <v>5.5714285714285712</v>
      </c>
      <c r="G56" s="49">
        <f>AVERAGE('22.08 TORORO-BUSITEMA'!G56,'23.08 BUSITEMA-TORORO'!G56,'25.08 BUSITEMA-TORORO'!G56,'26.08 BUSITEMA-TORORO'!G56,'24.08 BUSITEMA-TORORO-24h'!G56,'27.08 TORORO-BUSITEMA-24h'!G56,'28.08 BUSITEMA-TORORO'!G56)</f>
        <v>0.14285714285714285</v>
      </c>
      <c r="H56" s="49">
        <f>AVERAGE('22.08 TORORO-BUSITEMA'!H56,'23.08 BUSITEMA-TORORO'!H56,'25.08 BUSITEMA-TORORO'!H56,'26.08 BUSITEMA-TORORO'!H56,'24.08 BUSITEMA-TORORO-24h'!H56,'27.08 TORORO-BUSITEMA-24h'!H56,'28.08 BUSITEMA-TORORO'!H56)</f>
        <v>0.2857142857142857</v>
      </c>
      <c r="I56" s="49">
        <f>AVERAGE('22.08 TORORO-BUSITEMA'!I56,'23.08 BUSITEMA-TORORO'!I56,'25.08 BUSITEMA-TORORO'!I56,'26.08 BUSITEMA-TORORO'!I56,'24.08 BUSITEMA-TORORO-24h'!I56,'27.08 TORORO-BUSITEMA-24h'!I56,'28.08 BUSITEMA-TORORO'!I56)</f>
        <v>1.2857142857142858</v>
      </c>
      <c r="J56" s="49">
        <f>AVERAGE('22.08 TORORO-BUSITEMA'!J56,'23.08 BUSITEMA-TORORO'!J56,'25.08 BUSITEMA-TORORO'!J56,'26.08 BUSITEMA-TORORO'!J56,'24.08 BUSITEMA-TORORO-24h'!J56,'27.08 TORORO-BUSITEMA-24h'!J56,'28.08 BUSITEMA-TORORO'!J56)</f>
        <v>1.7142857142857142</v>
      </c>
      <c r="K56" s="49">
        <f>AVERAGE('22.08 TORORO-BUSITEMA'!K56,'23.08 BUSITEMA-TORORO'!K56,'25.08 BUSITEMA-TORORO'!K56,'26.08 BUSITEMA-TORORO'!K56,'24.08 BUSITEMA-TORORO-24h'!K56,'27.08 TORORO-BUSITEMA-24h'!K56,'28.08 BUSITEMA-TORORO'!K56)</f>
        <v>1.5714285714285714</v>
      </c>
      <c r="L56" s="49">
        <f>AVERAGE('22.08 TORORO-BUSITEMA'!L56,'23.08 BUSITEMA-TORORO'!L56,'25.08 BUSITEMA-TORORO'!L56,'26.08 BUSITEMA-TORORO'!L56,'24.08 BUSITEMA-TORORO-24h'!L56,'27.08 TORORO-BUSITEMA-24h'!L56,'28.08 BUSITEMA-TORORO'!L56)</f>
        <v>12.428571428571429</v>
      </c>
      <c r="M56" s="49">
        <f>AVERAGE('22.08 TORORO-BUSITEMA'!M56,'23.08 BUSITEMA-TORORO'!M56,'25.08 BUSITEMA-TORORO'!M56,'26.08 BUSITEMA-TORORO'!M56,'24.08 BUSITEMA-TORORO-24h'!M56,'27.08 TORORO-BUSITEMA-24h'!M56,'28.08 BUSITEMA-TORORO'!M56)</f>
        <v>7</v>
      </c>
      <c r="N56" s="49">
        <f>AVERAGE('22.08 TORORO-BUSITEMA'!N56,'23.08 BUSITEMA-TORORO'!N56,'25.08 BUSITEMA-TORORO'!N56,'26.08 BUSITEMA-TORORO'!N56,'24.08 BUSITEMA-TORORO-24h'!N56,'27.08 TORORO-BUSITEMA-24h'!N56,'28.08 BUSITEMA-TORORO'!N56)</f>
        <v>0</v>
      </c>
      <c r="O56" s="15">
        <f t="shared" si="0"/>
        <v>30.285714285714292</v>
      </c>
      <c r="P56" s="15">
        <f t="shared" si="1"/>
        <v>37.285714285714292</v>
      </c>
      <c r="R56" s="8"/>
      <c r="T56"/>
    </row>
    <row r="57" spans="2:20" ht="23.1" customHeight="1" x14ac:dyDescent="0.25">
      <c r="B57" s="23" t="s">
        <v>84</v>
      </c>
      <c r="C57" s="49">
        <f>AVERAGE('22.08 TORORO-BUSITEMA'!C57,'23.08 BUSITEMA-TORORO'!C57,'25.08 BUSITEMA-TORORO'!C57,'26.08 BUSITEMA-TORORO'!C57,'24.08 BUSITEMA-TORORO-24h'!C57,'27.08 TORORO-BUSITEMA-24h'!C57,'28.08 BUSITEMA-TORORO'!C57)</f>
        <v>1.5714285714285714</v>
      </c>
      <c r="D57" s="49">
        <f>AVERAGE('22.08 TORORO-BUSITEMA'!D57,'23.08 BUSITEMA-TORORO'!D57,'25.08 BUSITEMA-TORORO'!D57,'26.08 BUSITEMA-TORORO'!D57,'24.08 BUSITEMA-TORORO-24h'!D57,'27.08 TORORO-BUSITEMA-24h'!D57,'28.08 BUSITEMA-TORORO'!D57)</f>
        <v>4.1428571428571432</v>
      </c>
      <c r="E57" s="49">
        <f>AVERAGE('22.08 TORORO-BUSITEMA'!E57,'23.08 BUSITEMA-TORORO'!E57,'25.08 BUSITEMA-TORORO'!E57,'26.08 BUSITEMA-TORORO'!E57,'24.08 BUSITEMA-TORORO-24h'!E57,'27.08 TORORO-BUSITEMA-24h'!E57,'28.08 BUSITEMA-TORORO'!E57)</f>
        <v>2.1428571428571428</v>
      </c>
      <c r="F57" s="49">
        <f>AVERAGE('22.08 TORORO-BUSITEMA'!F57,'23.08 BUSITEMA-TORORO'!F57,'25.08 BUSITEMA-TORORO'!F57,'26.08 BUSITEMA-TORORO'!F57,'24.08 BUSITEMA-TORORO-24h'!F57,'27.08 TORORO-BUSITEMA-24h'!F57,'28.08 BUSITEMA-TORORO'!F57)</f>
        <v>2.8571428571428572</v>
      </c>
      <c r="G57" s="49">
        <f>AVERAGE('22.08 TORORO-BUSITEMA'!G57,'23.08 BUSITEMA-TORORO'!G57,'25.08 BUSITEMA-TORORO'!G57,'26.08 BUSITEMA-TORORO'!G57,'24.08 BUSITEMA-TORORO-24h'!G57,'27.08 TORORO-BUSITEMA-24h'!G57,'28.08 BUSITEMA-TORORO'!G57)</f>
        <v>0</v>
      </c>
      <c r="H57" s="49">
        <f>AVERAGE('22.08 TORORO-BUSITEMA'!H57,'23.08 BUSITEMA-TORORO'!H57,'25.08 BUSITEMA-TORORO'!H57,'26.08 BUSITEMA-TORORO'!H57,'24.08 BUSITEMA-TORORO-24h'!H57,'27.08 TORORO-BUSITEMA-24h'!H57,'28.08 BUSITEMA-TORORO'!H57)</f>
        <v>0</v>
      </c>
      <c r="I57" s="49">
        <f>AVERAGE('22.08 TORORO-BUSITEMA'!I57,'23.08 BUSITEMA-TORORO'!I57,'25.08 BUSITEMA-TORORO'!I57,'26.08 BUSITEMA-TORORO'!I57,'24.08 BUSITEMA-TORORO-24h'!I57,'27.08 TORORO-BUSITEMA-24h'!I57,'28.08 BUSITEMA-TORORO'!I57)</f>
        <v>0.7142857142857143</v>
      </c>
      <c r="J57" s="49">
        <f>AVERAGE('22.08 TORORO-BUSITEMA'!J57,'23.08 BUSITEMA-TORORO'!J57,'25.08 BUSITEMA-TORORO'!J57,'26.08 BUSITEMA-TORORO'!J57,'24.08 BUSITEMA-TORORO-24h'!J57,'27.08 TORORO-BUSITEMA-24h'!J57,'28.08 BUSITEMA-TORORO'!J57)</f>
        <v>1</v>
      </c>
      <c r="K57" s="49">
        <f>AVERAGE('22.08 TORORO-BUSITEMA'!K57,'23.08 BUSITEMA-TORORO'!K57,'25.08 BUSITEMA-TORORO'!K57,'26.08 BUSITEMA-TORORO'!K57,'24.08 BUSITEMA-TORORO-24h'!K57,'27.08 TORORO-BUSITEMA-24h'!K57,'28.08 BUSITEMA-TORORO'!K57)</f>
        <v>0.7142857142857143</v>
      </c>
      <c r="L57" s="49">
        <f>AVERAGE('22.08 TORORO-BUSITEMA'!L57,'23.08 BUSITEMA-TORORO'!L57,'25.08 BUSITEMA-TORORO'!L57,'26.08 BUSITEMA-TORORO'!L57,'24.08 BUSITEMA-TORORO-24h'!L57,'27.08 TORORO-BUSITEMA-24h'!L57,'28.08 BUSITEMA-TORORO'!L57)</f>
        <v>10.857142857142858</v>
      </c>
      <c r="M57" s="49">
        <f>AVERAGE('22.08 TORORO-BUSITEMA'!M57,'23.08 BUSITEMA-TORORO'!M57,'25.08 BUSITEMA-TORORO'!M57,'26.08 BUSITEMA-TORORO'!M57,'24.08 BUSITEMA-TORORO-24h'!M57,'27.08 TORORO-BUSITEMA-24h'!M57,'28.08 BUSITEMA-TORORO'!M57)</f>
        <v>6.8571428571428568</v>
      </c>
      <c r="N57" s="49">
        <f>AVERAGE('22.08 TORORO-BUSITEMA'!N57,'23.08 BUSITEMA-TORORO'!N57,'25.08 BUSITEMA-TORORO'!N57,'26.08 BUSITEMA-TORORO'!N57,'24.08 BUSITEMA-TORORO-24h'!N57,'27.08 TORORO-BUSITEMA-24h'!N57,'28.08 BUSITEMA-TORORO'!N57)</f>
        <v>0</v>
      </c>
      <c r="O57" s="15">
        <f t="shared" si="0"/>
        <v>24</v>
      </c>
      <c r="P57" s="15">
        <f t="shared" si="1"/>
        <v>30.857142857142858</v>
      </c>
      <c r="R57" s="8"/>
      <c r="T57"/>
    </row>
    <row r="58" spans="2:20" ht="23.1" customHeight="1" x14ac:dyDescent="0.25">
      <c r="B58" s="23" t="s">
        <v>99</v>
      </c>
      <c r="C58" s="49">
        <f>AVERAGE('24.08 BUSITEMA-TORORO-24h'!C58,'27.08 BUSITEMA-TORORO-24h'!C58)</f>
        <v>1</v>
      </c>
      <c r="D58" s="49">
        <f>AVERAGE('24.08 BUSITEMA-TORORO-24h'!D58,'27.08 BUSITEMA-TORORO-24h'!D58)</f>
        <v>2.5</v>
      </c>
      <c r="E58" s="49">
        <f>AVERAGE('24.08 BUSITEMA-TORORO-24h'!E58,'27.08 BUSITEMA-TORORO-24h'!E58)</f>
        <v>1.5</v>
      </c>
      <c r="F58" s="49">
        <f>AVERAGE('24.08 BUSITEMA-TORORO-24h'!F58,'27.08 BUSITEMA-TORORO-24h'!F58)</f>
        <v>1.5</v>
      </c>
      <c r="G58" s="49">
        <f>AVERAGE('24.08 BUSITEMA-TORORO-24h'!G58,'27.08 BUSITEMA-TORORO-24h'!G58)</f>
        <v>0</v>
      </c>
      <c r="H58" s="49">
        <f>AVERAGE('24.08 BUSITEMA-TORORO-24h'!H58,'27.08 BUSITEMA-TORORO-24h'!H58)</f>
        <v>0</v>
      </c>
      <c r="I58" s="49">
        <f>AVERAGE('24.08 BUSITEMA-TORORO-24h'!I58,'27.08 BUSITEMA-TORORO-24h'!I58)</f>
        <v>0</v>
      </c>
      <c r="J58" s="49">
        <f>AVERAGE('24.08 BUSITEMA-TORORO-24h'!J58,'27.08 BUSITEMA-TORORO-24h'!J58)</f>
        <v>1</v>
      </c>
      <c r="K58" s="49">
        <f>AVERAGE('24.08 BUSITEMA-TORORO-24h'!K58,'27.08 BUSITEMA-TORORO-24h'!K58)</f>
        <v>0</v>
      </c>
      <c r="L58" s="49">
        <f>AVERAGE('24.08 BUSITEMA-TORORO-24h'!L58,'27.08 BUSITEMA-TORORO-24h'!L58)</f>
        <v>8.5</v>
      </c>
      <c r="M58" s="49">
        <f>AVERAGE('24.08 BUSITEMA-TORORO-24h'!M58,'27.08 BUSITEMA-TORORO-24h'!M58)</f>
        <v>6.5</v>
      </c>
      <c r="N58" s="49">
        <f>AVERAGE('24.08 BUSITEMA-TORORO-24h'!N58,'27.08 BUSITEMA-TORORO-24h'!N58)</f>
        <v>0</v>
      </c>
      <c r="O58" s="15">
        <f t="shared" si="0"/>
        <v>16</v>
      </c>
      <c r="P58" s="15">
        <f t="shared" si="1"/>
        <v>22.5</v>
      </c>
      <c r="R58" s="8"/>
      <c r="T58"/>
    </row>
    <row r="59" spans="2:20" ht="23.1" customHeight="1" x14ac:dyDescent="0.25">
      <c r="B59" s="23" t="s">
        <v>100</v>
      </c>
      <c r="C59" s="49">
        <f>AVERAGE('24.08 BUSITEMA-TORORO-24h'!C59,'27.08 BUSITEMA-TORORO-24h'!C59)</f>
        <v>1.5</v>
      </c>
      <c r="D59" s="49">
        <f>AVERAGE('24.08 BUSITEMA-TORORO-24h'!D59,'27.08 BUSITEMA-TORORO-24h'!D59)</f>
        <v>1</v>
      </c>
      <c r="E59" s="49">
        <f>AVERAGE('24.08 BUSITEMA-TORORO-24h'!E59,'27.08 BUSITEMA-TORORO-24h'!E59)</f>
        <v>0</v>
      </c>
      <c r="F59" s="49">
        <f>AVERAGE('24.08 BUSITEMA-TORORO-24h'!F59,'27.08 BUSITEMA-TORORO-24h'!F59)</f>
        <v>4.5</v>
      </c>
      <c r="G59" s="49">
        <f>AVERAGE('24.08 BUSITEMA-TORORO-24h'!G59,'27.08 BUSITEMA-TORORO-24h'!G59)</f>
        <v>0.5</v>
      </c>
      <c r="H59" s="49">
        <f>AVERAGE('24.08 BUSITEMA-TORORO-24h'!H59,'27.08 BUSITEMA-TORORO-24h'!H59)</f>
        <v>0</v>
      </c>
      <c r="I59" s="49">
        <f>AVERAGE('24.08 BUSITEMA-TORORO-24h'!I59,'27.08 BUSITEMA-TORORO-24h'!I59)</f>
        <v>3</v>
      </c>
      <c r="J59" s="49">
        <f>AVERAGE('24.08 BUSITEMA-TORORO-24h'!J59,'27.08 BUSITEMA-TORORO-24h'!J59)</f>
        <v>0.5</v>
      </c>
      <c r="K59" s="49">
        <f>AVERAGE('24.08 BUSITEMA-TORORO-24h'!K59,'27.08 BUSITEMA-TORORO-24h'!K59)</f>
        <v>2</v>
      </c>
      <c r="L59" s="49">
        <f>AVERAGE('24.08 BUSITEMA-TORORO-24h'!L59,'27.08 BUSITEMA-TORORO-24h'!L59)</f>
        <v>12.5</v>
      </c>
      <c r="M59" s="49">
        <f>AVERAGE('24.08 BUSITEMA-TORORO-24h'!M59,'27.08 BUSITEMA-TORORO-24h'!M59)</f>
        <v>2</v>
      </c>
      <c r="N59" s="49">
        <f>AVERAGE('24.08 BUSITEMA-TORORO-24h'!N59,'27.08 BUSITEMA-TORORO-24h'!N59)</f>
        <v>0</v>
      </c>
      <c r="O59" s="15">
        <f t="shared" si="0"/>
        <v>25.5</v>
      </c>
      <c r="P59" s="15">
        <f t="shared" si="1"/>
        <v>27.5</v>
      </c>
      <c r="R59" s="8"/>
      <c r="T59"/>
    </row>
    <row r="60" spans="2:20" ht="23.1" customHeight="1" x14ac:dyDescent="0.25">
      <c r="B60" s="23" t="s">
        <v>101</v>
      </c>
      <c r="C60" s="49">
        <f>AVERAGE('24.08 BUSITEMA-TORORO-24h'!C60,'27.08 BUSITEMA-TORORO-24h'!C60)</f>
        <v>1</v>
      </c>
      <c r="D60" s="49">
        <f>AVERAGE('24.08 BUSITEMA-TORORO-24h'!D60,'27.08 BUSITEMA-TORORO-24h'!D60)</f>
        <v>1.5</v>
      </c>
      <c r="E60" s="49">
        <f>AVERAGE('24.08 BUSITEMA-TORORO-24h'!E60,'27.08 BUSITEMA-TORORO-24h'!E60)</f>
        <v>1</v>
      </c>
      <c r="F60" s="49">
        <f>AVERAGE('24.08 BUSITEMA-TORORO-24h'!F60,'27.08 BUSITEMA-TORORO-24h'!F60)</f>
        <v>1.5</v>
      </c>
      <c r="G60" s="49">
        <f>AVERAGE('24.08 BUSITEMA-TORORO-24h'!G60,'27.08 BUSITEMA-TORORO-24h'!G60)</f>
        <v>0</v>
      </c>
      <c r="H60" s="49">
        <f>AVERAGE('24.08 BUSITEMA-TORORO-24h'!H60,'27.08 BUSITEMA-TORORO-24h'!H60)</f>
        <v>0</v>
      </c>
      <c r="I60" s="49">
        <f>AVERAGE('24.08 BUSITEMA-TORORO-24h'!I60,'27.08 BUSITEMA-TORORO-24h'!I60)</f>
        <v>1.5</v>
      </c>
      <c r="J60" s="49">
        <f>AVERAGE('24.08 BUSITEMA-TORORO-24h'!J60,'27.08 BUSITEMA-TORORO-24h'!J60)</f>
        <v>1</v>
      </c>
      <c r="K60" s="49">
        <f>AVERAGE('24.08 BUSITEMA-TORORO-24h'!K60,'27.08 BUSITEMA-TORORO-24h'!K60)</f>
        <v>3</v>
      </c>
      <c r="L60" s="49">
        <f>AVERAGE('24.08 BUSITEMA-TORORO-24h'!L60,'27.08 BUSITEMA-TORORO-24h'!L60)</f>
        <v>13</v>
      </c>
      <c r="M60" s="49">
        <f>AVERAGE('24.08 BUSITEMA-TORORO-24h'!M60,'27.08 BUSITEMA-TORORO-24h'!M60)</f>
        <v>2.5</v>
      </c>
      <c r="N60" s="49">
        <f>AVERAGE('24.08 BUSITEMA-TORORO-24h'!N60,'27.08 BUSITEMA-TORORO-24h'!N60)</f>
        <v>0</v>
      </c>
      <c r="O60" s="15">
        <f t="shared" si="0"/>
        <v>23.5</v>
      </c>
      <c r="P60" s="15">
        <f t="shared" si="1"/>
        <v>26</v>
      </c>
      <c r="R60" s="8"/>
      <c r="T60"/>
    </row>
    <row r="61" spans="2:20" ht="23.1" customHeight="1" x14ac:dyDescent="0.25">
      <c r="B61" s="23" t="s">
        <v>102</v>
      </c>
      <c r="C61" s="49">
        <f>AVERAGE('24.08 BUSITEMA-TORORO-24h'!C61,'27.08 BUSITEMA-TORORO-24h'!C61)</f>
        <v>2</v>
      </c>
      <c r="D61" s="49">
        <f>AVERAGE('24.08 BUSITEMA-TORORO-24h'!D61,'27.08 BUSITEMA-TORORO-24h'!D61)</f>
        <v>1.5</v>
      </c>
      <c r="E61" s="49">
        <f>AVERAGE('24.08 BUSITEMA-TORORO-24h'!E61,'27.08 BUSITEMA-TORORO-24h'!E61)</f>
        <v>0</v>
      </c>
      <c r="F61" s="49">
        <f>AVERAGE('24.08 BUSITEMA-TORORO-24h'!F61,'27.08 BUSITEMA-TORORO-24h'!F61)</f>
        <v>7</v>
      </c>
      <c r="G61" s="49">
        <f>AVERAGE('24.08 BUSITEMA-TORORO-24h'!G61,'27.08 BUSITEMA-TORORO-24h'!G61)</f>
        <v>0</v>
      </c>
      <c r="H61" s="49">
        <f>AVERAGE('24.08 BUSITEMA-TORORO-24h'!H61,'27.08 BUSITEMA-TORORO-24h'!H61)</f>
        <v>0</v>
      </c>
      <c r="I61" s="49">
        <f>AVERAGE('24.08 BUSITEMA-TORORO-24h'!I61,'27.08 BUSITEMA-TORORO-24h'!I61)</f>
        <v>1</v>
      </c>
      <c r="J61" s="49">
        <f>AVERAGE('24.08 BUSITEMA-TORORO-24h'!J61,'27.08 BUSITEMA-TORORO-24h'!J61)</f>
        <v>0</v>
      </c>
      <c r="K61" s="49">
        <f>AVERAGE('24.08 BUSITEMA-TORORO-24h'!K61,'27.08 BUSITEMA-TORORO-24h'!K61)</f>
        <v>6</v>
      </c>
      <c r="L61" s="49">
        <f>AVERAGE('24.08 BUSITEMA-TORORO-24h'!L61,'27.08 BUSITEMA-TORORO-24h'!L61)</f>
        <v>32.5</v>
      </c>
      <c r="M61" s="49">
        <f>AVERAGE('24.08 BUSITEMA-TORORO-24h'!M61,'27.08 BUSITEMA-TORORO-24h'!M61)</f>
        <v>1.5</v>
      </c>
      <c r="N61" s="49">
        <f>AVERAGE('24.08 BUSITEMA-TORORO-24h'!N61,'27.08 BUSITEMA-TORORO-24h'!N61)</f>
        <v>0</v>
      </c>
      <c r="O61" s="15">
        <f t="shared" si="0"/>
        <v>50</v>
      </c>
      <c r="P61" s="15">
        <f t="shared" si="1"/>
        <v>51.5</v>
      </c>
      <c r="R61" s="8"/>
      <c r="T61"/>
    </row>
    <row r="62" spans="2:20" ht="23.1" customHeight="1" x14ac:dyDescent="0.25">
      <c r="B62" s="23" t="s">
        <v>107</v>
      </c>
      <c r="C62" s="49">
        <f>AVERAGE('24.08 BUSITEMA-TORORO-24h'!C62,'27.08 BUSITEMA-TORORO-24h'!C62)</f>
        <v>0.5</v>
      </c>
      <c r="D62" s="49">
        <f>AVERAGE('24.08 BUSITEMA-TORORO-24h'!D62,'27.08 BUSITEMA-TORORO-24h'!D62)</f>
        <v>1</v>
      </c>
      <c r="E62" s="49">
        <f>AVERAGE('24.08 BUSITEMA-TORORO-24h'!E62,'27.08 BUSITEMA-TORORO-24h'!E62)</f>
        <v>1</v>
      </c>
      <c r="F62" s="49">
        <f>AVERAGE('24.08 BUSITEMA-TORORO-24h'!F62,'27.08 BUSITEMA-TORORO-24h'!F62)</f>
        <v>1</v>
      </c>
      <c r="G62" s="49">
        <f>AVERAGE('24.08 BUSITEMA-TORORO-24h'!G62,'27.08 BUSITEMA-TORORO-24h'!G62)</f>
        <v>0</v>
      </c>
      <c r="H62" s="49">
        <f>AVERAGE('24.08 BUSITEMA-TORORO-24h'!H62,'27.08 BUSITEMA-TORORO-24h'!H62)</f>
        <v>1.5</v>
      </c>
      <c r="I62" s="49">
        <f>AVERAGE('24.08 BUSITEMA-TORORO-24h'!I62,'27.08 BUSITEMA-TORORO-24h'!I62)</f>
        <v>0</v>
      </c>
      <c r="J62" s="49">
        <f>AVERAGE('24.08 BUSITEMA-TORORO-24h'!J62,'27.08 BUSITEMA-TORORO-24h'!J62)</f>
        <v>0.5</v>
      </c>
      <c r="K62" s="49">
        <f>AVERAGE('24.08 BUSITEMA-TORORO-24h'!K62,'27.08 BUSITEMA-TORORO-24h'!K62)</f>
        <v>0.5</v>
      </c>
      <c r="L62" s="49">
        <f>AVERAGE('24.08 BUSITEMA-TORORO-24h'!L62,'27.08 BUSITEMA-TORORO-24h'!L62)</f>
        <v>11</v>
      </c>
      <c r="M62" s="49">
        <f>AVERAGE('24.08 BUSITEMA-TORORO-24h'!M62,'27.08 BUSITEMA-TORORO-24h'!M62)</f>
        <v>1</v>
      </c>
      <c r="N62" s="49">
        <f>AVERAGE('24.08 BUSITEMA-TORORO-24h'!N62,'27.08 BUSITEMA-TORORO-24h'!N62)</f>
        <v>0</v>
      </c>
      <c r="O62" s="15">
        <f t="shared" si="0"/>
        <v>17</v>
      </c>
      <c r="P62" s="15">
        <f t="shared" si="1"/>
        <v>18</v>
      </c>
      <c r="R62" s="8"/>
      <c r="T62"/>
    </row>
    <row r="63" spans="2:20" ht="23.1" customHeight="1" x14ac:dyDescent="0.25">
      <c r="B63" s="23" t="s">
        <v>108</v>
      </c>
      <c r="C63" s="49">
        <f>AVERAGE('24.08 BUSITEMA-TORORO-24h'!C63,'27.08 BUSITEMA-TORORO-24h'!C63)</f>
        <v>0</v>
      </c>
      <c r="D63" s="49">
        <f>AVERAGE('24.08 BUSITEMA-TORORO-24h'!D63,'27.08 BUSITEMA-TORORO-24h'!D63)</f>
        <v>1.5</v>
      </c>
      <c r="E63" s="49">
        <f>AVERAGE('24.08 BUSITEMA-TORORO-24h'!E63,'27.08 BUSITEMA-TORORO-24h'!E63)</f>
        <v>0</v>
      </c>
      <c r="F63" s="49">
        <f>AVERAGE('24.08 BUSITEMA-TORORO-24h'!F63,'27.08 BUSITEMA-TORORO-24h'!F63)</f>
        <v>1.5</v>
      </c>
      <c r="G63" s="49">
        <f>AVERAGE('24.08 BUSITEMA-TORORO-24h'!G63,'27.08 BUSITEMA-TORORO-24h'!G63)</f>
        <v>0</v>
      </c>
      <c r="H63" s="49">
        <f>AVERAGE('24.08 BUSITEMA-TORORO-24h'!H63,'27.08 BUSITEMA-TORORO-24h'!H63)</f>
        <v>0.5</v>
      </c>
      <c r="I63" s="49">
        <f>AVERAGE('24.08 BUSITEMA-TORORO-24h'!I63,'27.08 BUSITEMA-TORORO-24h'!I63)</f>
        <v>0</v>
      </c>
      <c r="J63" s="49">
        <f>AVERAGE('24.08 BUSITEMA-TORORO-24h'!J63,'27.08 BUSITEMA-TORORO-24h'!J63)</f>
        <v>1.5</v>
      </c>
      <c r="K63" s="49">
        <f>AVERAGE('24.08 BUSITEMA-TORORO-24h'!K63,'27.08 BUSITEMA-TORORO-24h'!K63)</f>
        <v>0</v>
      </c>
      <c r="L63" s="49">
        <f>AVERAGE('24.08 BUSITEMA-TORORO-24h'!L63,'27.08 BUSITEMA-TORORO-24h'!L63)</f>
        <v>24.5</v>
      </c>
      <c r="M63" s="49">
        <f>AVERAGE('24.08 BUSITEMA-TORORO-24h'!M63,'27.08 BUSITEMA-TORORO-24h'!M63)</f>
        <v>1</v>
      </c>
      <c r="N63" s="49">
        <f>AVERAGE('24.08 BUSITEMA-TORORO-24h'!N63,'27.08 BUSITEMA-TORORO-24h'!N63)</f>
        <v>0</v>
      </c>
      <c r="O63" s="15">
        <f t="shared" si="0"/>
        <v>29.5</v>
      </c>
      <c r="P63" s="15">
        <f t="shared" si="1"/>
        <v>30.5</v>
      </c>
      <c r="R63" s="8"/>
      <c r="T63"/>
    </row>
    <row r="64" spans="2:20" ht="23.1" customHeight="1" x14ac:dyDescent="0.25">
      <c r="B64" s="23" t="s">
        <v>109</v>
      </c>
      <c r="C64" s="49">
        <f>AVERAGE('24.08 BUSITEMA-TORORO-24h'!C64,'27.08 BUSITEMA-TORORO-24h'!C64)</f>
        <v>2</v>
      </c>
      <c r="D64" s="49">
        <f>AVERAGE('24.08 BUSITEMA-TORORO-24h'!D64,'27.08 BUSITEMA-TORORO-24h'!D64)</f>
        <v>2</v>
      </c>
      <c r="E64" s="49">
        <f>AVERAGE('24.08 BUSITEMA-TORORO-24h'!E64,'27.08 BUSITEMA-TORORO-24h'!E64)</f>
        <v>0</v>
      </c>
      <c r="F64" s="49">
        <f>AVERAGE('24.08 BUSITEMA-TORORO-24h'!F64,'27.08 BUSITEMA-TORORO-24h'!F64)</f>
        <v>2</v>
      </c>
      <c r="G64" s="49">
        <f>AVERAGE('24.08 BUSITEMA-TORORO-24h'!G64,'27.08 BUSITEMA-TORORO-24h'!G64)</f>
        <v>0</v>
      </c>
      <c r="H64" s="49">
        <f>AVERAGE('24.08 BUSITEMA-TORORO-24h'!H64,'27.08 BUSITEMA-TORORO-24h'!H64)</f>
        <v>0</v>
      </c>
      <c r="I64" s="49">
        <f>AVERAGE('24.08 BUSITEMA-TORORO-24h'!I64,'27.08 BUSITEMA-TORORO-24h'!I64)</f>
        <v>0</v>
      </c>
      <c r="J64" s="49">
        <f>AVERAGE('24.08 BUSITEMA-TORORO-24h'!J64,'27.08 BUSITEMA-TORORO-24h'!J64)</f>
        <v>2</v>
      </c>
      <c r="K64" s="49">
        <f>AVERAGE('24.08 BUSITEMA-TORORO-24h'!K64,'27.08 BUSITEMA-TORORO-24h'!K64)</f>
        <v>0.5</v>
      </c>
      <c r="L64" s="49">
        <f>AVERAGE('24.08 BUSITEMA-TORORO-24h'!L64,'27.08 BUSITEMA-TORORO-24h'!L64)</f>
        <v>18</v>
      </c>
      <c r="M64" s="49">
        <f>AVERAGE('24.08 BUSITEMA-TORORO-24h'!M64,'27.08 BUSITEMA-TORORO-24h'!M64)</f>
        <v>0.5</v>
      </c>
      <c r="N64" s="49">
        <f>AVERAGE('24.08 BUSITEMA-TORORO-24h'!N64,'27.08 BUSITEMA-TORORO-24h'!N64)</f>
        <v>0</v>
      </c>
      <c r="O64" s="15">
        <f t="shared" si="0"/>
        <v>26.5</v>
      </c>
      <c r="P64" s="15">
        <f t="shared" si="1"/>
        <v>27</v>
      </c>
      <c r="R64" s="8"/>
      <c r="T64"/>
    </row>
    <row r="65" spans="2:20" ht="23.1" customHeight="1" x14ac:dyDescent="0.25">
      <c r="B65" s="23" t="s">
        <v>158</v>
      </c>
      <c r="C65" s="49">
        <f>AVERAGE('24.08 BUSITEMA-TORORO-24h'!C65,'27.08 BUSITEMA-TORORO-24h'!C65)</f>
        <v>0</v>
      </c>
      <c r="D65" s="49">
        <f>AVERAGE('24.08 BUSITEMA-TORORO-24h'!D65,'27.08 BUSITEMA-TORORO-24h'!D65)</f>
        <v>0</v>
      </c>
      <c r="E65" s="49">
        <f>AVERAGE('24.08 BUSITEMA-TORORO-24h'!E65,'27.08 BUSITEMA-TORORO-24h'!E65)</f>
        <v>1</v>
      </c>
      <c r="F65" s="49">
        <f>AVERAGE('24.08 BUSITEMA-TORORO-24h'!F65,'27.08 BUSITEMA-TORORO-24h'!F65)</f>
        <v>0.5</v>
      </c>
      <c r="G65" s="49">
        <f>AVERAGE('24.08 BUSITEMA-TORORO-24h'!G65,'27.08 BUSITEMA-TORORO-24h'!G65)</f>
        <v>0</v>
      </c>
      <c r="H65" s="49">
        <f>AVERAGE('24.08 BUSITEMA-TORORO-24h'!H65,'27.08 BUSITEMA-TORORO-24h'!H65)</f>
        <v>0</v>
      </c>
      <c r="I65" s="49">
        <f>AVERAGE('24.08 BUSITEMA-TORORO-24h'!I65,'27.08 BUSITEMA-TORORO-24h'!I65)</f>
        <v>0</v>
      </c>
      <c r="J65" s="49">
        <f>AVERAGE('24.08 BUSITEMA-TORORO-24h'!J65,'27.08 BUSITEMA-TORORO-24h'!J65)</f>
        <v>0.5</v>
      </c>
      <c r="K65" s="49">
        <f>AVERAGE('24.08 BUSITEMA-TORORO-24h'!K65,'27.08 BUSITEMA-TORORO-24h'!K65)</f>
        <v>0</v>
      </c>
      <c r="L65" s="49">
        <f>AVERAGE('24.08 BUSITEMA-TORORO-24h'!L65,'27.08 BUSITEMA-TORORO-24h'!L65)</f>
        <v>9</v>
      </c>
      <c r="M65" s="49">
        <f>AVERAGE('24.08 BUSITEMA-TORORO-24h'!M65,'27.08 BUSITEMA-TORORO-24h'!M65)</f>
        <v>0.5</v>
      </c>
      <c r="N65" s="49">
        <f>AVERAGE('24.08 BUSITEMA-TORORO-24h'!N65,'27.08 BUSITEMA-TORORO-24h'!N65)</f>
        <v>0</v>
      </c>
      <c r="O65" s="15">
        <f t="shared" si="0"/>
        <v>11</v>
      </c>
      <c r="P65" s="15">
        <f t="shared" si="1"/>
        <v>11.5</v>
      </c>
      <c r="R65" s="8"/>
      <c r="T65"/>
    </row>
    <row r="66" spans="2:20" ht="23.1" customHeight="1" x14ac:dyDescent="0.25">
      <c r="B66" s="23" t="s">
        <v>103</v>
      </c>
      <c r="C66" s="49">
        <f>AVERAGE('24.08 BUSITEMA-TORORO-24h'!C66,'27.08 BUSITEMA-TORORO-24h'!C66)</f>
        <v>2.5</v>
      </c>
      <c r="D66" s="49">
        <f>AVERAGE('24.08 BUSITEMA-TORORO-24h'!D66,'27.08 BUSITEMA-TORORO-24h'!D66)</f>
        <v>3</v>
      </c>
      <c r="E66" s="49">
        <f>AVERAGE('24.08 BUSITEMA-TORORO-24h'!E66,'27.08 BUSITEMA-TORORO-24h'!E66)</f>
        <v>0</v>
      </c>
      <c r="F66" s="49">
        <f>AVERAGE('24.08 BUSITEMA-TORORO-24h'!F66,'27.08 BUSITEMA-TORORO-24h'!F66)</f>
        <v>2</v>
      </c>
      <c r="G66" s="49">
        <f>AVERAGE('24.08 BUSITEMA-TORORO-24h'!G66,'27.08 BUSITEMA-TORORO-24h'!G66)</f>
        <v>0</v>
      </c>
      <c r="H66" s="49">
        <f>AVERAGE('24.08 BUSITEMA-TORORO-24h'!H66,'27.08 BUSITEMA-TORORO-24h'!H66)</f>
        <v>0</v>
      </c>
      <c r="I66" s="49">
        <f>AVERAGE('24.08 BUSITEMA-TORORO-24h'!I66,'27.08 BUSITEMA-TORORO-24h'!I66)</f>
        <v>1</v>
      </c>
      <c r="J66" s="49">
        <f>AVERAGE('24.08 BUSITEMA-TORORO-24h'!J66,'27.08 BUSITEMA-TORORO-24h'!J66)</f>
        <v>1</v>
      </c>
      <c r="K66" s="49">
        <f>AVERAGE('24.08 BUSITEMA-TORORO-24h'!K66,'27.08 BUSITEMA-TORORO-24h'!K66)</f>
        <v>0</v>
      </c>
      <c r="L66" s="49">
        <f>AVERAGE('24.08 BUSITEMA-TORORO-24h'!L66,'27.08 BUSITEMA-TORORO-24h'!L66)</f>
        <v>20.5</v>
      </c>
      <c r="M66" s="49">
        <f>AVERAGE('24.08 BUSITEMA-TORORO-24h'!M66,'27.08 BUSITEMA-TORORO-24h'!M66)</f>
        <v>1</v>
      </c>
      <c r="N66" s="49">
        <f>AVERAGE('24.08 BUSITEMA-TORORO-24h'!N66,'27.08 BUSITEMA-TORORO-24h'!N66)</f>
        <v>0</v>
      </c>
      <c r="O66" s="15">
        <f t="shared" si="0"/>
        <v>30</v>
      </c>
      <c r="P66" s="15">
        <f t="shared" si="1"/>
        <v>31</v>
      </c>
      <c r="R66" s="8"/>
      <c r="T66"/>
    </row>
    <row r="67" spans="2:20" ht="23.1" customHeight="1" x14ac:dyDescent="0.25">
      <c r="B67" s="23" t="s">
        <v>104</v>
      </c>
      <c r="C67" s="49">
        <f>AVERAGE('24.08 BUSITEMA-TORORO-24h'!C67,'27.08 BUSITEMA-TORORO-24h'!C67)</f>
        <v>1.5</v>
      </c>
      <c r="D67" s="49">
        <f>AVERAGE('24.08 BUSITEMA-TORORO-24h'!D67,'27.08 BUSITEMA-TORORO-24h'!D67)</f>
        <v>2.5</v>
      </c>
      <c r="E67" s="49">
        <f>AVERAGE('24.08 BUSITEMA-TORORO-24h'!E67,'27.08 BUSITEMA-TORORO-24h'!E67)</f>
        <v>0</v>
      </c>
      <c r="F67" s="49">
        <f>AVERAGE('24.08 BUSITEMA-TORORO-24h'!F67,'27.08 BUSITEMA-TORORO-24h'!F67)</f>
        <v>0</v>
      </c>
      <c r="G67" s="49">
        <f>AVERAGE('24.08 BUSITEMA-TORORO-24h'!G67,'27.08 BUSITEMA-TORORO-24h'!G67)</f>
        <v>0</v>
      </c>
      <c r="H67" s="49">
        <f>AVERAGE('24.08 BUSITEMA-TORORO-24h'!H67,'27.08 BUSITEMA-TORORO-24h'!H67)</f>
        <v>0</v>
      </c>
      <c r="I67" s="49">
        <f>AVERAGE('24.08 BUSITEMA-TORORO-24h'!I67,'27.08 BUSITEMA-TORORO-24h'!I67)</f>
        <v>0.5</v>
      </c>
      <c r="J67" s="49">
        <f>AVERAGE('24.08 BUSITEMA-TORORO-24h'!J67,'27.08 BUSITEMA-TORORO-24h'!J67)</f>
        <v>1.5</v>
      </c>
      <c r="K67" s="49">
        <f>AVERAGE('24.08 BUSITEMA-TORORO-24h'!K67,'27.08 BUSITEMA-TORORO-24h'!K67)</f>
        <v>0</v>
      </c>
      <c r="L67" s="49">
        <f>AVERAGE('24.08 BUSITEMA-TORORO-24h'!L67,'27.08 BUSITEMA-TORORO-24h'!L67)</f>
        <v>9.5</v>
      </c>
      <c r="M67" s="49">
        <f>AVERAGE('24.08 BUSITEMA-TORORO-24h'!M67,'27.08 BUSITEMA-TORORO-24h'!M67)</f>
        <v>2</v>
      </c>
      <c r="N67" s="49">
        <f>AVERAGE('24.08 BUSITEMA-TORORO-24h'!N67,'27.08 BUSITEMA-TORORO-24h'!N67)</f>
        <v>0</v>
      </c>
      <c r="O67" s="15">
        <f t="shared" si="0"/>
        <v>15.5</v>
      </c>
      <c r="P67" s="15">
        <f t="shared" si="1"/>
        <v>17.5</v>
      </c>
      <c r="R67" s="8"/>
      <c r="T67"/>
    </row>
    <row r="68" spans="2:20" ht="23.1" customHeight="1" x14ac:dyDescent="0.25">
      <c r="B68" s="23" t="s">
        <v>105</v>
      </c>
      <c r="C68" s="49">
        <f>AVERAGE('24.08 BUSITEMA-TORORO-24h'!C68,'27.08 BUSITEMA-TORORO-24h'!C68)</f>
        <v>0</v>
      </c>
      <c r="D68" s="49">
        <f>AVERAGE('24.08 BUSITEMA-TORORO-24h'!D68,'27.08 BUSITEMA-TORORO-24h'!D68)</f>
        <v>1.5</v>
      </c>
      <c r="E68" s="49">
        <f>AVERAGE('24.08 BUSITEMA-TORORO-24h'!E68,'27.08 BUSITEMA-TORORO-24h'!E68)</f>
        <v>0</v>
      </c>
      <c r="F68" s="49">
        <f>AVERAGE('24.08 BUSITEMA-TORORO-24h'!F68,'27.08 BUSITEMA-TORORO-24h'!F68)</f>
        <v>0.5</v>
      </c>
      <c r="G68" s="49">
        <f>AVERAGE('24.08 BUSITEMA-TORORO-24h'!G68,'27.08 BUSITEMA-TORORO-24h'!G68)</f>
        <v>0</v>
      </c>
      <c r="H68" s="49">
        <f>AVERAGE('24.08 BUSITEMA-TORORO-24h'!H68,'27.08 BUSITEMA-TORORO-24h'!H68)</f>
        <v>0</v>
      </c>
      <c r="I68" s="49">
        <f>AVERAGE('24.08 BUSITEMA-TORORO-24h'!I68,'27.08 BUSITEMA-TORORO-24h'!I68)</f>
        <v>0</v>
      </c>
      <c r="J68" s="49">
        <f>AVERAGE('24.08 BUSITEMA-TORORO-24h'!J68,'27.08 BUSITEMA-TORORO-24h'!J68)</f>
        <v>0</v>
      </c>
      <c r="K68" s="49">
        <f>AVERAGE('24.08 BUSITEMA-TORORO-24h'!K68,'27.08 BUSITEMA-TORORO-24h'!K68)</f>
        <v>0</v>
      </c>
      <c r="L68" s="49">
        <f>AVERAGE('24.08 BUSITEMA-TORORO-24h'!L68,'27.08 BUSITEMA-TORORO-24h'!L68)</f>
        <v>8</v>
      </c>
      <c r="M68" s="49">
        <f>AVERAGE('24.08 BUSITEMA-TORORO-24h'!M68,'27.08 BUSITEMA-TORORO-24h'!M68)</f>
        <v>0</v>
      </c>
      <c r="N68" s="49">
        <f>AVERAGE('24.08 BUSITEMA-TORORO-24h'!N68,'27.08 BUSITEMA-TORORO-24h'!N68)</f>
        <v>0</v>
      </c>
      <c r="O68" s="15">
        <f t="shared" si="0"/>
        <v>10</v>
      </c>
      <c r="P68" s="15">
        <f t="shared" si="1"/>
        <v>10</v>
      </c>
      <c r="R68" s="8"/>
      <c r="T68"/>
    </row>
    <row r="69" spans="2:20" ht="23.1" customHeight="1" x14ac:dyDescent="0.25">
      <c r="B69" s="23" t="s">
        <v>106</v>
      </c>
      <c r="C69" s="49">
        <f>AVERAGE('24.08 BUSITEMA-TORORO-24h'!C69,'27.08 BUSITEMA-TORORO-24h'!C69)</f>
        <v>0.5</v>
      </c>
      <c r="D69" s="49">
        <f>AVERAGE('24.08 BUSITEMA-TORORO-24h'!D69,'27.08 BUSITEMA-TORORO-24h'!D69)</f>
        <v>0</v>
      </c>
      <c r="E69" s="49">
        <f>AVERAGE('24.08 BUSITEMA-TORORO-24h'!E69,'27.08 BUSITEMA-TORORO-24h'!E69)</f>
        <v>1</v>
      </c>
      <c r="F69" s="49">
        <f>AVERAGE('24.08 BUSITEMA-TORORO-24h'!F69,'27.08 BUSITEMA-TORORO-24h'!F69)</f>
        <v>1</v>
      </c>
      <c r="G69" s="49">
        <f>AVERAGE('24.08 BUSITEMA-TORORO-24h'!G69,'27.08 BUSITEMA-TORORO-24h'!G69)</f>
        <v>0</v>
      </c>
      <c r="H69" s="49">
        <f>AVERAGE('24.08 BUSITEMA-TORORO-24h'!H69,'27.08 BUSITEMA-TORORO-24h'!H69)</f>
        <v>0</v>
      </c>
      <c r="I69" s="49">
        <f>AVERAGE('24.08 BUSITEMA-TORORO-24h'!I69,'27.08 BUSITEMA-TORORO-24h'!I69)</f>
        <v>2.5</v>
      </c>
      <c r="J69" s="49">
        <f>AVERAGE('24.08 BUSITEMA-TORORO-24h'!J69,'27.08 BUSITEMA-TORORO-24h'!J69)</f>
        <v>0</v>
      </c>
      <c r="K69" s="49">
        <f>AVERAGE('24.08 BUSITEMA-TORORO-24h'!K69,'27.08 BUSITEMA-TORORO-24h'!K69)</f>
        <v>3.5</v>
      </c>
      <c r="L69" s="49">
        <f>AVERAGE('24.08 BUSITEMA-TORORO-24h'!L69,'27.08 BUSITEMA-TORORO-24h'!L69)</f>
        <v>35</v>
      </c>
      <c r="M69" s="49">
        <f>AVERAGE('24.08 BUSITEMA-TORORO-24h'!M69,'27.08 BUSITEMA-TORORO-24h'!M69)</f>
        <v>1</v>
      </c>
      <c r="N69" s="49">
        <f>AVERAGE('24.08 BUSITEMA-TORORO-24h'!N69,'27.08 BUSITEMA-TORORO-24h'!N69)</f>
        <v>0</v>
      </c>
      <c r="O69" s="15">
        <f t="shared" si="0"/>
        <v>43.5</v>
      </c>
      <c r="P69" s="15">
        <f t="shared" si="1"/>
        <v>44.5</v>
      </c>
      <c r="R69" s="8"/>
      <c r="T69"/>
    </row>
    <row r="70" spans="2:20" ht="23.1" customHeight="1" x14ac:dyDescent="0.25">
      <c r="B70" s="23" t="s">
        <v>110</v>
      </c>
      <c r="C70" s="49">
        <f>AVERAGE('24.08 BUSITEMA-TORORO-24h'!C70,'27.08 BUSITEMA-TORORO-24h'!C70)</f>
        <v>1.5</v>
      </c>
      <c r="D70" s="49">
        <f>AVERAGE('24.08 BUSITEMA-TORORO-24h'!D70,'27.08 BUSITEMA-TORORO-24h'!D70)</f>
        <v>0</v>
      </c>
      <c r="E70" s="49">
        <f>AVERAGE('24.08 BUSITEMA-TORORO-24h'!E70,'27.08 BUSITEMA-TORORO-24h'!E70)</f>
        <v>0</v>
      </c>
      <c r="F70" s="49">
        <f>AVERAGE('24.08 BUSITEMA-TORORO-24h'!F70,'27.08 BUSITEMA-TORORO-24h'!F70)</f>
        <v>1.5</v>
      </c>
      <c r="G70" s="49">
        <f>AVERAGE('24.08 BUSITEMA-TORORO-24h'!G70,'27.08 BUSITEMA-TORORO-24h'!G70)</f>
        <v>0</v>
      </c>
      <c r="H70" s="49">
        <f>AVERAGE('24.08 BUSITEMA-TORORO-24h'!H70,'27.08 BUSITEMA-TORORO-24h'!H70)</f>
        <v>0</v>
      </c>
      <c r="I70" s="49">
        <f>AVERAGE('24.08 BUSITEMA-TORORO-24h'!I70,'27.08 BUSITEMA-TORORO-24h'!I70)</f>
        <v>0</v>
      </c>
      <c r="J70" s="49">
        <f>AVERAGE('24.08 BUSITEMA-TORORO-24h'!J70,'27.08 BUSITEMA-TORORO-24h'!J70)</f>
        <v>0</v>
      </c>
      <c r="K70" s="49">
        <f>AVERAGE('24.08 BUSITEMA-TORORO-24h'!K70,'27.08 BUSITEMA-TORORO-24h'!K70)</f>
        <v>0.5</v>
      </c>
      <c r="L70" s="49">
        <f>AVERAGE('24.08 BUSITEMA-TORORO-24h'!L70,'27.08 BUSITEMA-TORORO-24h'!L70)</f>
        <v>8.5</v>
      </c>
      <c r="M70" s="49">
        <f>AVERAGE('24.08 BUSITEMA-TORORO-24h'!M70,'27.08 BUSITEMA-TORORO-24h'!M70)</f>
        <v>0</v>
      </c>
      <c r="N70" s="49">
        <f>AVERAGE('24.08 BUSITEMA-TORORO-24h'!N70,'27.08 BUSITEMA-TORORO-24h'!N70)</f>
        <v>0</v>
      </c>
      <c r="O70" s="15">
        <f t="shared" si="0"/>
        <v>12</v>
      </c>
      <c r="P70" s="15">
        <f t="shared" si="1"/>
        <v>12</v>
      </c>
      <c r="R70" s="8"/>
      <c r="T70"/>
    </row>
    <row r="71" spans="2:20" ht="23.1" customHeight="1" x14ac:dyDescent="0.25">
      <c r="B71" s="23" t="s">
        <v>111</v>
      </c>
      <c r="C71" s="49">
        <f>AVERAGE('24.08 BUSITEMA-TORORO-24h'!C71,'27.08 BUSITEMA-TORORO-24h'!C71)</f>
        <v>0</v>
      </c>
      <c r="D71" s="49">
        <f>AVERAGE('24.08 BUSITEMA-TORORO-24h'!D71,'27.08 BUSITEMA-TORORO-24h'!D71)</f>
        <v>1.5</v>
      </c>
      <c r="E71" s="49">
        <f>AVERAGE('24.08 BUSITEMA-TORORO-24h'!E71,'27.08 BUSITEMA-TORORO-24h'!E71)</f>
        <v>0</v>
      </c>
      <c r="F71" s="49">
        <f>AVERAGE('24.08 BUSITEMA-TORORO-24h'!F71,'27.08 BUSITEMA-TORORO-24h'!F71)</f>
        <v>0</v>
      </c>
      <c r="G71" s="49">
        <f>AVERAGE('24.08 BUSITEMA-TORORO-24h'!G71,'27.08 BUSITEMA-TORORO-24h'!G71)</f>
        <v>0</v>
      </c>
      <c r="H71" s="49">
        <f>AVERAGE('24.08 BUSITEMA-TORORO-24h'!H71,'27.08 BUSITEMA-TORORO-24h'!H71)</f>
        <v>0.5</v>
      </c>
      <c r="I71" s="49">
        <f>AVERAGE('24.08 BUSITEMA-TORORO-24h'!I71,'27.08 BUSITEMA-TORORO-24h'!I71)</f>
        <v>0</v>
      </c>
      <c r="J71" s="49">
        <f>AVERAGE('24.08 BUSITEMA-TORORO-24h'!J71,'27.08 BUSITEMA-TORORO-24h'!J71)</f>
        <v>0</v>
      </c>
      <c r="K71" s="49">
        <f>AVERAGE('24.08 BUSITEMA-TORORO-24h'!K71,'27.08 BUSITEMA-TORORO-24h'!K71)</f>
        <v>0</v>
      </c>
      <c r="L71" s="49">
        <f>AVERAGE('24.08 BUSITEMA-TORORO-24h'!L71,'27.08 BUSITEMA-TORORO-24h'!L71)</f>
        <v>7.5</v>
      </c>
      <c r="M71" s="49">
        <f>AVERAGE('24.08 BUSITEMA-TORORO-24h'!M71,'27.08 BUSITEMA-TORORO-24h'!M71)</f>
        <v>7.5</v>
      </c>
      <c r="N71" s="49">
        <f>AVERAGE('24.08 BUSITEMA-TORORO-24h'!N71,'27.08 BUSITEMA-TORORO-24h'!N71)</f>
        <v>0</v>
      </c>
      <c r="O71" s="15">
        <f t="shared" si="0"/>
        <v>9.5</v>
      </c>
      <c r="P71" s="15">
        <f t="shared" si="1"/>
        <v>17</v>
      </c>
      <c r="R71" s="8"/>
      <c r="T71"/>
    </row>
    <row r="72" spans="2:20" ht="23.1" customHeight="1" x14ac:dyDescent="0.25">
      <c r="B72" s="23" t="s">
        <v>112</v>
      </c>
      <c r="C72" s="49">
        <f>AVERAGE('24.08 BUSITEMA-TORORO-24h'!C72,'27.08 BUSITEMA-TORORO-24h'!C72)</f>
        <v>0</v>
      </c>
      <c r="D72" s="49">
        <f>AVERAGE('24.08 BUSITEMA-TORORO-24h'!D72,'27.08 BUSITEMA-TORORO-24h'!D72)</f>
        <v>0.5</v>
      </c>
      <c r="E72" s="49">
        <f>AVERAGE('24.08 BUSITEMA-TORORO-24h'!E72,'27.08 BUSITEMA-TORORO-24h'!E72)</f>
        <v>0</v>
      </c>
      <c r="F72" s="49">
        <f>AVERAGE('24.08 BUSITEMA-TORORO-24h'!F72,'27.08 BUSITEMA-TORORO-24h'!F72)</f>
        <v>2</v>
      </c>
      <c r="G72" s="49">
        <f>AVERAGE('24.08 BUSITEMA-TORORO-24h'!G72,'27.08 BUSITEMA-TORORO-24h'!G72)</f>
        <v>0</v>
      </c>
      <c r="H72" s="49">
        <f>AVERAGE('24.08 BUSITEMA-TORORO-24h'!H72,'27.08 BUSITEMA-TORORO-24h'!H72)</f>
        <v>0</v>
      </c>
      <c r="I72" s="49">
        <f>AVERAGE('24.08 BUSITEMA-TORORO-24h'!I72,'27.08 BUSITEMA-TORORO-24h'!I72)</f>
        <v>0</v>
      </c>
      <c r="J72" s="49">
        <f>AVERAGE('24.08 BUSITEMA-TORORO-24h'!J72,'27.08 BUSITEMA-TORORO-24h'!J72)</f>
        <v>0</v>
      </c>
      <c r="K72" s="49">
        <f>AVERAGE('24.08 BUSITEMA-TORORO-24h'!K72,'27.08 BUSITEMA-TORORO-24h'!K72)</f>
        <v>0</v>
      </c>
      <c r="L72" s="49">
        <f>AVERAGE('24.08 BUSITEMA-TORORO-24h'!L72,'27.08 BUSITEMA-TORORO-24h'!L72)</f>
        <v>5.5</v>
      </c>
      <c r="M72" s="49">
        <f>AVERAGE('24.08 BUSITEMA-TORORO-24h'!M72,'27.08 BUSITEMA-TORORO-24h'!M72)</f>
        <v>5</v>
      </c>
      <c r="N72" s="49">
        <f>AVERAGE('24.08 BUSITEMA-TORORO-24h'!N72,'27.08 BUSITEMA-TORORO-24h'!N72)</f>
        <v>0</v>
      </c>
      <c r="O72" s="15">
        <f t="shared" si="0"/>
        <v>8</v>
      </c>
      <c r="P72" s="15">
        <f t="shared" si="1"/>
        <v>13</v>
      </c>
      <c r="R72" s="8"/>
      <c r="T72"/>
    </row>
    <row r="73" spans="2:20" ht="23.1" customHeight="1" x14ac:dyDescent="0.25">
      <c r="B73" s="23" t="s">
        <v>113</v>
      </c>
      <c r="C73" s="49">
        <f>AVERAGE('24.08 BUSITEMA-TORORO-24h'!C73,'27.08 BUSITEMA-TORORO-24h'!C73)</f>
        <v>0</v>
      </c>
      <c r="D73" s="49">
        <f>AVERAGE('24.08 BUSITEMA-TORORO-24h'!D73,'27.08 BUSITEMA-TORORO-24h'!D73)</f>
        <v>0</v>
      </c>
      <c r="E73" s="49">
        <f>AVERAGE('24.08 BUSITEMA-TORORO-24h'!E73,'27.08 BUSITEMA-TORORO-24h'!E73)</f>
        <v>0</v>
      </c>
      <c r="F73" s="49">
        <f>AVERAGE('24.08 BUSITEMA-TORORO-24h'!F73,'27.08 BUSITEMA-TORORO-24h'!F73)</f>
        <v>0</v>
      </c>
      <c r="G73" s="49">
        <f>AVERAGE('24.08 BUSITEMA-TORORO-24h'!G73,'27.08 BUSITEMA-TORORO-24h'!G73)</f>
        <v>0</v>
      </c>
      <c r="H73" s="49">
        <f>AVERAGE('24.08 BUSITEMA-TORORO-24h'!H73,'27.08 BUSITEMA-TORORO-24h'!H73)</f>
        <v>0</v>
      </c>
      <c r="I73" s="49">
        <f>AVERAGE('24.08 BUSITEMA-TORORO-24h'!I73,'27.08 BUSITEMA-TORORO-24h'!I73)</f>
        <v>0</v>
      </c>
      <c r="J73" s="49">
        <f>AVERAGE('24.08 BUSITEMA-TORORO-24h'!J73,'27.08 BUSITEMA-TORORO-24h'!J73)</f>
        <v>0</v>
      </c>
      <c r="K73" s="49">
        <f>AVERAGE('24.08 BUSITEMA-TORORO-24h'!K73,'27.08 BUSITEMA-TORORO-24h'!K73)</f>
        <v>0</v>
      </c>
      <c r="L73" s="49">
        <f>AVERAGE('24.08 BUSITEMA-TORORO-24h'!L73,'27.08 BUSITEMA-TORORO-24h'!L73)</f>
        <v>3.5</v>
      </c>
      <c r="M73" s="49">
        <f>AVERAGE('24.08 BUSITEMA-TORORO-24h'!M73,'27.08 BUSITEMA-TORORO-24h'!M73)</f>
        <v>11</v>
      </c>
      <c r="N73" s="49">
        <f>AVERAGE('24.08 BUSITEMA-TORORO-24h'!N73,'27.08 BUSITEMA-TORORO-24h'!N73)</f>
        <v>0</v>
      </c>
      <c r="O73" s="15">
        <f t="shared" si="0"/>
        <v>3.5</v>
      </c>
      <c r="P73" s="15">
        <f t="shared" si="1"/>
        <v>14.5</v>
      </c>
      <c r="R73" s="8"/>
      <c r="T73"/>
    </row>
    <row r="74" spans="2:20" ht="23.1" customHeight="1" x14ac:dyDescent="0.25">
      <c r="B74" s="23" t="s">
        <v>114</v>
      </c>
      <c r="C74" s="49">
        <f>AVERAGE('24.08 BUSITEMA-TORORO-24h'!C74,'27.08 BUSITEMA-TORORO-24h'!C74)</f>
        <v>0</v>
      </c>
      <c r="D74" s="49">
        <f>AVERAGE('24.08 BUSITEMA-TORORO-24h'!D74,'27.08 BUSITEMA-TORORO-24h'!D74)</f>
        <v>2.5</v>
      </c>
      <c r="E74" s="49">
        <f>AVERAGE('24.08 BUSITEMA-TORORO-24h'!E74,'27.08 BUSITEMA-TORORO-24h'!E74)</f>
        <v>1</v>
      </c>
      <c r="F74" s="49">
        <f>AVERAGE('24.08 BUSITEMA-TORORO-24h'!F74,'27.08 BUSITEMA-TORORO-24h'!F74)</f>
        <v>0</v>
      </c>
      <c r="G74" s="49">
        <f>AVERAGE('24.08 BUSITEMA-TORORO-24h'!G74,'27.08 BUSITEMA-TORORO-24h'!G74)</f>
        <v>0</v>
      </c>
      <c r="H74" s="49">
        <f>AVERAGE('24.08 BUSITEMA-TORORO-24h'!H74,'27.08 BUSITEMA-TORORO-24h'!H74)</f>
        <v>0</v>
      </c>
      <c r="I74" s="49">
        <f>AVERAGE('24.08 BUSITEMA-TORORO-24h'!I74,'27.08 BUSITEMA-TORORO-24h'!I74)</f>
        <v>0</v>
      </c>
      <c r="J74" s="49">
        <f>AVERAGE('24.08 BUSITEMA-TORORO-24h'!J74,'27.08 BUSITEMA-TORORO-24h'!J74)</f>
        <v>0</v>
      </c>
      <c r="K74" s="49">
        <f>AVERAGE('24.08 BUSITEMA-TORORO-24h'!K74,'27.08 BUSITEMA-TORORO-24h'!K74)</f>
        <v>0.5</v>
      </c>
      <c r="L74" s="49">
        <f>AVERAGE('24.08 BUSITEMA-TORORO-24h'!L74,'27.08 BUSITEMA-TORORO-24h'!L74)</f>
        <v>21.5</v>
      </c>
      <c r="M74" s="49">
        <f>AVERAGE('24.08 BUSITEMA-TORORO-24h'!M74,'27.08 BUSITEMA-TORORO-24h'!M74)</f>
        <v>0</v>
      </c>
      <c r="N74" s="49">
        <f>AVERAGE('24.08 BUSITEMA-TORORO-24h'!N74,'27.08 BUSITEMA-TORORO-24h'!N74)</f>
        <v>0</v>
      </c>
      <c r="O74" s="15">
        <f t="shared" ref="O74:O105" si="35">SUM(C74:L74,N74)</f>
        <v>25.5</v>
      </c>
      <c r="P74" s="15">
        <f t="shared" ref="P74:P105" si="36">SUM(C74:N74)</f>
        <v>25.5</v>
      </c>
      <c r="R74" s="8"/>
      <c r="T74"/>
    </row>
    <row r="75" spans="2:20" ht="23.1" customHeight="1" x14ac:dyDescent="0.25">
      <c r="B75" s="23" t="s">
        <v>115</v>
      </c>
      <c r="C75" s="49">
        <f>AVERAGE('24.08 BUSITEMA-TORORO-24h'!C75,'27.08 BUSITEMA-TORORO-24h'!C75)</f>
        <v>0</v>
      </c>
      <c r="D75" s="49">
        <f>AVERAGE('24.08 BUSITEMA-TORORO-24h'!D75,'27.08 BUSITEMA-TORORO-24h'!D75)</f>
        <v>0</v>
      </c>
      <c r="E75" s="49">
        <f>AVERAGE('24.08 BUSITEMA-TORORO-24h'!E75,'27.08 BUSITEMA-TORORO-24h'!E75)</f>
        <v>0</v>
      </c>
      <c r="F75" s="49">
        <f>AVERAGE('24.08 BUSITEMA-TORORO-24h'!F75,'27.08 BUSITEMA-TORORO-24h'!F75)</f>
        <v>0</v>
      </c>
      <c r="G75" s="49">
        <f>AVERAGE('24.08 BUSITEMA-TORORO-24h'!G75,'27.08 BUSITEMA-TORORO-24h'!G75)</f>
        <v>0</v>
      </c>
      <c r="H75" s="49">
        <f>AVERAGE('24.08 BUSITEMA-TORORO-24h'!H75,'27.08 BUSITEMA-TORORO-24h'!H75)</f>
        <v>0</v>
      </c>
      <c r="I75" s="49">
        <f>AVERAGE('24.08 BUSITEMA-TORORO-24h'!I75,'27.08 BUSITEMA-TORORO-24h'!I75)</f>
        <v>0</v>
      </c>
      <c r="J75" s="49">
        <f>AVERAGE('24.08 BUSITEMA-TORORO-24h'!J75,'27.08 BUSITEMA-TORORO-24h'!J75)</f>
        <v>0</v>
      </c>
      <c r="K75" s="49">
        <f>AVERAGE('24.08 BUSITEMA-TORORO-24h'!K75,'27.08 BUSITEMA-TORORO-24h'!K75)</f>
        <v>0</v>
      </c>
      <c r="L75" s="49">
        <f>AVERAGE('24.08 BUSITEMA-TORORO-24h'!L75,'27.08 BUSITEMA-TORORO-24h'!L75)</f>
        <v>6</v>
      </c>
      <c r="M75" s="49">
        <f>AVERAGE('24.08 BUSITEMA-TORORO-24h'!M75,'27.08 BUSITEMA-TORORO-24h'!M75)</f>
        <v>2</v>
      </c>
      <c r="N75" s="49">
        <f>AVERAGE('24.08 BUSITEMA-TORORO-24h'!N75,'27.08 BUSITEMA-TORORO-24h'!N75)</f>
        <v>0</v>
      </c>
      <c r="O75" s="15">
        <f t="shared" si="35"/>
        <v>6</v>
      </c>
      <c r="P75" s="15">
        <f t="shared" si="36"/>
        <v>8</v>
      </c>
      <c r="R75" s="8"/>
      <c r="T75"/>
    </row>
    <row r="76" spans="2:20" ht="23.1" customHeight="1" x14ac:dyDescent="0.25">
      <c r="B76" s="23" t="s">
        <v>116</v>
      </c>
      <c r="C76" s="49">
        <f>AVERAGE('24.08 BUSITEMA-TORORO-24h'!C76,'27.08 BUSITEMA-TORORO-24h'!C76)</f>
        <v>0</v>
      </c>
      <c r="D76" s="49">
        <f>AVERAGE('24.08 BUSITEMA-TORORO-24h'!D76,'27.08 BUSITEMA-TORORO-24h'!D76)</f>
        <v>0</v>
      </c>
      <c r="E76" s="49">
        <f>AVERAGE('24.08 BUSITEMA-TORORO-24h'!E76,'27.08 BUSITEMA-TORORO-24h'!E76)</f>
        <v>0</v>
      </c>
      <c r="F76" s="49">
        <f>AVERAGE('24.08 BUSITEMA-TORORO-24h'!F76,'27.08 BUSITEMA-TORORO-24h'!F76)</f>
        <v>0</v>
      </c>
      <c r="G76" s="49">
        <f>AVERAGE('24.08 BUSITEMA-TORORO-24h'!G76,'27.08 BUSITEMA-TORORO-24h'!G76)</f>
        <v>0</v>
      </c>
      <c r="H76" s="49">
        <f>AVERAGE('24.08 BUSITEMA-TORORO-24h'!H76,'27.08 BUSITEMA-TORORO-24h'!H76)</f>
        <v>0</v>
      </c>
      <c r="I76" s="49">
        <f>AVERAGE('24.08 BUSITEMA-TORORO-24h'!I76,'27.08 BUSITEMA-TORORO-24h'!I76)</f>
        <v>0</v>
      </c>
      <c r="J76" s="49">
        <f>AVERAGE('24.08 BUSITEMA-TORORO-24h'!J76,'27.08 BUSITEMA-TORORO-24h'!J76)</f>
        <v>0</v>
      </c>
      <c r="K76" s="49">
        <f>AVERAGE('24.08 BUSITEMA-TORORO-24h'!K76,'27.08 BUSITEMA-TORORO-24h'!K76)</f>
        <v>0</v>
      </c>
      <c r="L76" s="49">
        <f>AVERAGE('24.08 BUSITEMA-TORORO-24h'!L76,'27.08 BUSITEMA-TORORO-24h'!L76)</f>
        <v>2.5</v>
      </c>
      <c r="M76" s="49">
        <f>AVERAGE('24.08 BUSITEMA-TORORO-24h'!M76,'27.08 BUSITEMA-TORORO-24h'!M76)</f>
        <v>1</v>
      </c>
      <c r="N76" s="49">
        <f>AVERAGE('24.08 BUSITEMA-TORORO-24h'!N76,'27.08 BUSITEMA-TORORO-24h'!N76)</f>
        <v>0</v>
      </c>
      <c r="O76" s="15">
        <f t="shared" si="35"/>
        <v>2.5</v>
      </c>
      <c r="P76" s="15">
        <f t="shared" si="36"/>
        <v>3.5</v>
      </c>
      <c r="R76" s="8"/>
      <c r="T76"/>
    </row>
    <row r="77" spans="2:20" ht="23.1" customHeight="1" x14ac:dyDescent="0.25">
      <c r="B77" s="23" t="s">
        <v>117</v>
      </c>
      <c r="C77" s="49">
        <f>AVERAGE('24.08 BUSITEMA-TORORO-24h'!C77,'27.08 BUSITEMA-TORORO-24h'!C77)</f>
        <v>0</v>
      </c>
      <c r="D77" s="49">
        <f>AVERAGE('24.08 BUSITEMA-TORORO-24h'!D77,'27.08 BUSITEMA-TORORO-24h'!D77)</f>
        <v>0</v>
      </c>
      <c r="E77" s="49">
        <f>AVERAGE('24.08 BUSITEMA-TORORO-24h'!E77,'27.08 BUSITEMA-TORORO-24h'!E77)</f>
        <v>0</v>
      </c>
      <c r="F77" s="49">
        <f>AVERAGE('24.08 BUSITEMA-TORORO-24h'!F77,'27.08 BUSITEMA-TORORO-24h'!F77)</f>
        <v>0</v>
      </c>
      <c r="G77" s="49">
        <f>AVERAGE('24.08 BUSITEMA-TORORO-24h'!G77,'27.08 BUSITEMA-TORORO-24h'!G77)</f>
        <v>0</v>
      </c>
      <c r="H77" s="49">
        <f>AVERAGE('24.08 BUSITEMA-TORORO-24h'!H77,'27.08 BUSITEMA-TORORO-24h'!H77)</f>
        <v>0</v>
      </c>
      <c r="I77" s="49">
        <f>AVERAGE('24.08 BUSITEMA-TORORO-24h'!I77,'27.08 BUSITEMA-TORORO-24h'!I77)</f>
        <v>0</v>
      </c>
      <c r="J77" s="49">
        <f>AVERAGE('24.08 BUSITEMA-TORORO-24h'!J77,'27.08 BUSITEMA-TORORO-24h'!J77)</f>
        <v>0</v>
      </c>
      <c r="K77" s="49">
        <f>AVERAGE('24.08 BUSITEMA-TORORO-24h'!K77,'27.08 BUSITEMA-TORORO-24h'!K77)</f>
        <v>0</v>
      </c>
      <c r="L77" s="49">
        <f>AVERAGE('24.08 BUSITEMA-TORORO-24h'!L77,'27.08 BUSITEMA-TORORO-24h'!L77)</f>
        <v>3.5</v>
      </c>
      <c r="M77" s="49">
        <f>AVERAGE('24.08 BUSITEMA-TORORO-24h'!M77,'27.08 BUSITEMA-TORORO-24h'!M77)</f>
        <v>14.5</v>
      </c>
      <c r="N77" s="49">
        <f>AVERAGE('24.08 BUSITEMA-TORORO-24h'!N77,'27.08 BUSITEMA-TORORO-24h'!N77)</f>
        <v>0</v>
      </c>
      <c r="O77" s="15">
        <f t="shared" si="35"/>
        <v>3.5</v>
      </c>
      <c r="P77" s="15">
        <f t="shared" si="36"/>
        <v>18</v>
      </c>
      <c r="R77" s="8"/>
      <c r="T77"/>
    </row>
    <row r="78" spans="2:20" ht="23.1" customHeight="1" x14ac:dyDescent="0.25">
      <c r="B78" s="24" t="s">
        <v>118</v>
      </c>
      <c r="C78" s="49">
        <f>AVERAGE('24.08 BUSITEMA-TORORO-24h'!C78,'27.08 BUSITEMA-TORORO-24h'!C78)</f>
        <v>0</v>
      </c>
      <c r="D78" s="49">
        <f>AVERAGE('24.08 BUSITEMA-TORORO-24h'!D78,'27.08 BUSITEMA-TORORO-24h'!D78)</f>
        <v>0.5</v>
      </c>
      <c r="E78" s="49">
        <f>AVERAGE('24.08 BUSITEMA-TORORO-24h'!E78,'27.08 BUSITEMA-TORORO-24h'!E78)</f>
        <v>0.5</v>
      </c>
      <c r="F78" s="49">
        <f>AVERAGE('24.08 BUSITEMA-TORORO-24h'!F78,'27.08 BUSITEMA-TORORO-24h'!F78)</f>
        <v>1</v>
      </c>
      <c r="G78" s="49">
        <f>AVERAGE('24.08 BUSITEMA-TORORO-24h'!G78,'27.08 BUSITEMA-TORORO-24h'!G78)</f>
        <v>0</v>
      </c>
      <c r="H78" s="49">
        <f>AVERAGE('24.08 BUSITEMA-TORORO-24h'!H78,'27.08 BUSITEMA-TORORO-24h'!H78)</f>
        <v>0</v>
      </c>
      <c r="I78" s="49">
        <f>AVERAGE('24.08 BUSITEMA-TORORO-24h'!I78,'27.08 BUSITEMA-TORORO-24h'!I78)</f>
        <v>0</v>
      </c>
      <c r="J78" s="49">
        <f>AVERAGE('24.08 BUSITEMA-TORORO-24h'!J78,'27.08 BUSITEMA-TORORO-24h'!J78)</f>
        <v>0</v>
      </c>
      <c r="K78" s="49">
        <f>AVERAGE('24.08 BUSITEMA-TORORO-24h'!K78,'27.08 BUSITEMA-TORORO-24h'!K78)</f>
        <v>0</v>
      </c>
      <c r="L78" s="49">
        <f>AVERAGE('24.08 BUSITEMA-TORORO-24h'!L78,'27.08 BUSITEMA-TORORO-24h'!L78)</f>
        <v>3.5</v>
      </c>
      <c r="M78" s="49">
        <f>AVERAGE('24.08 BUSITEMA-TORORO-24h'!M78,'27.08 BUSITEMA-TORORO-24h'!M78)</f>
        <v>11.5</v>
      </c>
      <c r="N78" s="49">
        <f>AVERAGE('24.08 BUSITEMA-TORORO-24h'!N78,'27.08 BUSITEMA-TORORO-24h'!N78)</f>
        <v>0</v>
      </c>
      <c r="O78" s="15">
        <f t="shared" si="35"/>
        <v>5.5</v>
      </c>
      <c r="P78" s="15">
        <f t="shared" si="36"/>
        <v>17</v>
      </c>
      <c r="R78" s="8"/>
      <c r="T78"/>
    </row>
    <row r="79" spans="2:20" ht="23.1" customHeight="1" x14ac:dyDescent="0.25">
      <c r="B79" s="23" t="s">
        <v>119</v>
      </c>
      <c r="C79" s="49">
        <f>AVERAGE('24.08 BUSITEMA-TORORO-24h'!C79,'27.08 BUSITEMA-TORORO-24h'!C79)</f>
        <v>0</v>
      </c>
      <c r="D79" s="49">
        <f>AVERAGE('24.08 BUSITEMA-TORORO-24h'!D79,'27.08 BUSITEMA-TORORO-24h'!D79)</f>
        <v>0</v>
      </c>
      <c r="E79" s="49">
        <f>AVERAGE('24.08 BUSITEMA-TORORO-24h'!E79,'27.08 BUSITEMA-TORORO-24h'!E79)</f>
        <v>0</v>
      </c>
      <c r="F79" s="49">
        <f>AVERAGE('24.08 BUSITEMA-TORORO-24h'!F79,'27.08 BUSITEMA-TORORO-24h'!F79)</f>
        <v>0</v>
      </c>
      <c r="G79" s="49">
        <f>AVERAGE('24.08 BUSITEMA-TORORO-24h'!G79,'27.08 BUSITEMA-TORORO-24h'!G79)</f>
        <v>0</v>
      </c>
      <c r="H79" s="49">
        <f>AVERAGE('24.08 BUSITEMA-TORORO-24h'!H79,'27.08 BUSITEMA-TORORO-24h'!H79)</f>
        <v>0</v>
      </c>
      <c r="I79" s="49">
        <f>AVERAGE('24.08 BUSITEMA-TORORO-24h'!I79,'27.08 BUSITEMA-TORORO-24h'!I79)</f>
        <v>0</v>
      </c>
      <c r="J79" s="49">
        <f>AVERAGE('24.08 BUSITEMA-TORORO-24h'!J79,'27.08 BUSITEMA-TORORO-24h'!J79)</f>
        <v>0</v>
      </c>
      <c r="K79" s="49">
        <f>AVERAGE('24.08 BUSITEMA-TORORO-24h'!K79,'27.08 BUSITEMA-TORORO-24h'!K79)</f>
        <v>0</v>
      </c>
      <c r="L79" s="49">
        <f>AVERAGE('24.08 BUSITEMA-TORORO-24h'!L79,'27.08 BUSITEMA-TORORO-24h'!L79)</f>
        <v>4</v>
      </c>
      <c r="M79" s="49">
        <f>AVERAGE('24.08 BUSITEMA-TORORO-24h'!M79,'27.08 BUSITEMA-TORORO-24h'!M79)</f>
        <v>14</v>
      </c>
      <c r="N79" s="49">
        <f>AVERAGE('24.08 BUSITEMA-TORORO-24h'!N79,'27.08 BUSITEMA-TORORO-24h'!N79)</f>
        <v>0</v>
      </c>
      <c r="O79" s="15">
        <f t="shared" si="35"/>
        <v>4</v>
      </c>
      <c r="P79" s="15">
        <f t="shared" si="36"/>
        <v>18</v>
      </c>
      <c r="R79" s="8"/>
      <c r="T79"/>
    </row>
    <row r="80" spans="2:20" ht="23.1" customHeight="1" x14ac:dyDescent="0.25">
      <c r="B80" s="25" t="s">
        <v>120</v>
      </c>
      <c r="C80" s="49">
        <f>AVERAGE('24.08 BUSITEMA-TORORO-24h'!C80,'27.08 BUSITEMA-TORORO-24h'!C80)</f>
        <v>0</v>
      </c>
      <c r="D80" s="49">
        <f>AVERAGE('24.08 BUSITEMA-TORORO-24h'!D80,'27.08 BUSITEMA-TORORO-24h'!D80)</f>
        <v>0.5</v>
      </c>
      <c r="E80" s="49">
        <f>AVERAGE('24.08 BUSITEMA-TORORO-24h'!E80,'27.08 BUSITEMA-TORORO-24h'!E80)</f>
        <v>0</v>
      </c>
      <c r="F80" s="49">
        <f>AVERAGE('24.08 BUSITEMA-TORORO-24h'!F80,'27.08 BUSITEMA-TORORO-24h'!F80)</f>
        <v>0</v>
      </c>
      <c r="G80" s="49">
        <f>AVERAGE('24.08 BUSITEMA-TORORO-24h'!G80,'27.08 BUSITEMA-TORORO-24h'!G80)</f>
        <v>0</v>
      </c>
      <c r="H80" s="49">
        <f>AVERAGE('24.08 BUSITEMA-TORORO-24h'!H80,'27.08 BUSITEMA-TORORO-24h'!H80)</f>
        <v>0</v>
      </c>
      <c r="I80" s="49">
        <f>AVERAGE('24.08 BUSITEMA-TORORO-24h'!I80,'27.08 BUSITEMA-TORORO-24h'!I80)</f>
        <v>0</v>
      </c>
      <c r="J80" s="49">
        <f>AVERAGE('24.08 BUSITEMA-TORORO-24h'!J80,'27.08 BUSITEMA-TORORO-24h'!J80)</f>
        <v>0</v>
      </c>
      <c r="K80" s="49">
        <f>AVERAGE('24.08 BUSITEMA-TORORO-24h'!K80,'27.08 BUSITEMA-TORORO-24h'!K80)</f>
        <v>0</v>
      </c>
      <c r="L80" s="49">
        <f>AVERAGE('24.08 BUSITEMA-TORORO-24h'!L80,'27.08 BUSITEMA-TORORO-24h'!L80)</f>
        <v>5</v>
      </c>
      <c r="M80" s="49">
        <f>AVERAGE('24.08 BUSITEMA-TORORO-24h'!M80,'27.08 BUSITEMA-TORORO-24h'!M80)</f>
        <v>10.5</v>
      </c>
      <c r="N80" s="49">
        <f>AVERAGE('24.08 BUSITEMA-TORORO-24h'!N80,'27.08 BUSITEMA-TORORO-24h'!N80)</f>
        <v>0</v>
      </c>
      <c r="O80" s="15">
        <f t="shared" si="35"/>
        <v>5.5</v>
      </c>
      <c r="P80" s="15">
        <f t="shared" si="36"/>
        <v>16</v>
      </c>
      <c r="R80" s="8"/>
      <c r="T80"/>
    </row>
    <row r="81" spans="2:20" ht="23.1" customHeight="1" x14ac:dyDescent="0.25">
      <c r="B81" s="23" t="s">
        <v>121</v>
      </c>
      <c r="C81" s="49">
        <f>AVERAGE('24.08 BUSITEMA-TORORO-24h'!C81,'27.08 BUSITEMA-TORORO-24h'!C81)</f>
        <v>0</v>
      </c>
      <c r="D81" s="49">
        <f>AVERAGE('24.08 BUSITEMA-TORORO-24h'!D81,'27.08 BUSITEMA-TORORO-24h'!D81)</f>
        <v>0</v>
      </c>
      <c r="E81" s="49">
        <f>AVERAGE('24.08 BUSITEMA-TORORO-24h'!E81,'27.08 BUSITEMA-TORORO-24h'!E81)</f>
        <v>0</v>
      </c>
      <c r="F81" s="49">
        <f>AVERAGE('24.08 BUSITEMA-TORORO-24h'!F81,'27.08 BUSITEMA-TORORO-24h'!F81)</f>
        <v>0.5</v>
      </c>
      <c r="G81" s="49">
        <f>AVERAGE('24.08 BUSITEMA-TORORO-24h'!G81,'27.08 BUSITEMA-TORORO-24h'!G81)</f>
        <v>0</v>
      </c>
      <c r="H81" s="49">
        <f>AVERAGE('24.08 BUSITEMA-TORORO-24h'!H81,'27.08 BUSITEMA-TORORO-24h'!H81)</f>
        <v>0</v>
      </c>
      <c r="I81" s="49">
        <f>AVERAGE('24.08 BUSITEMA-TORORO-24h'!I81,'27.08 BUSITEMA-TORORO-24h'!I81)</f>
        <v>0</v>
      </c>
      <c r="J81" s="49">
        <f>AVERAGE('24.08 BUSITEMA-TORORO-24h'!J81,'27.08 BUSITEMA-TORORO-24h'!J81)</f>
        <v>0</v>
      </c>
      <c r="K81" s="49">
        <f>AVERAGE('24.08 BUSITEMA-TORORO-24h'!K81,'27.08 BUSITEMA-TORORO-24h'!K81)</f>
        <v>0</v>
      </c>
      <c r="L81" s="49">
        <f>AVERAGE('24.08 BUSITEMA-TORORO-24h'!L81,'27.08 BUSITEMA-TORORO-24h'!L81)</f>
        <v>3</v>
      </c>
      <c r="M81" s="49">
        <f>AVERAGE('24.08 BUSITEMA-TORORO-24h'!M81,'27.08 BUSITEMA-TORORO-24h'!M81)</f>
        <v>4</v>
      </c>
      <c r="N81" s="49">
        <f>AVERAGE('24.08 BUSITEMA-TORORO-24h'!N81,'27.08 BUSITEMA-TORORO-24h'!N81)</f>
        <v>0</v>
      </c>
      <c r="O81" s="15">
        <f t="shared" si="35"/>
        <v>3.5</v>
      </c>
      <c r="P81" s="15">
        <f t="shared" si="36"/>
        <v>7.5</v>
      </c>
      <c r="R81" s="8"/>
      <c r="T81"/>
    </row>
    <row r="82" spans="2:20" ht="23.1" customHeight="1" x14ac:dyDescent="0.25">
      <c r="B82" s="24" t="s">
        <v>122</v>
      </c>
      <c r="C82" s="49">
        <f>AVERAGE('24.08 BUSITEMA-TORORO-24h'!C82,'27.08 BUSITEMA-TORORO-24h'!C82)</f>
        <v>0</v>
      </c>
      <c r="D82" s="49">
        <f>AVERAGE('24.08 BUSITEMA-TORORO-24h'!D82,'27.08 BUSITEMA-TORORO-24h'!D82)</f>
        <v>0.5</v>
      </c>
      <c r="E82" s="49">
        <f>AVERAGE('24.08 BUSITEMA-TORORO-24h'!E82,'27.08 BUSITEMA-TORORO-24h'!E82)</f>
        <v>0</v>
      </c>
      <c r="F82" s="49">
        <f>AVERAGE('24.08 BUSITEMA-TORORO-24h'!F82,'27.08 BUSITEMA-TORORO-24h'!F82)</f>
        <v>0</v>
      </c>
      <c r="G82" s="49">
        <f>AVERAGE('24.08 BUSITEMA-TORORO-24h'!G82,'27.08 BUSITEMA-TORORO-24h'!G82)</f>
        <v>0</v>
      </c>
      <c r="H82" s="49">
        <f>AVERAGE('24.08 BUSITEMA-TORORO-24h'!H82,'27.08 BUSITEMA-TORORO-24h'!H82)</f>
        <v>0</v>
      </c>
      <c r="I82" s="49">
        <f>AVERAGE('24.08 BUSITEMA-TORORO-24h'!I82,'27.08 BUSITEMA-TORORO-24h'!I82)</f>
        <v>0</v>
      </c>
      <c r="J82" s="49">
        <f>AVERAGE('24.08 BUSITEMA-TORORO-24h'!J82,'27.08 BUSITEMA-TORORO-24h'!J82)</f>
        <v>0</v>
      </c>
      <c r="K82" s="49">
        <f>AVERAGE('24.08 BUSITEMA-TORORO-24h'!K82,'27.08 BUSITEMA-TORORO-24h'!K82)</f>
        <v>0</v>
      </c>
      <c r="L82" s="49">
        <f>AVERAGE('24.08 BUSITEMA-TORORO-24h'!L82,'27.08 BUSITEMA-TORORO-24h'!L82)</f>
        <v>5</v>
      </c>
      <c r="M82" s="49">
        <f>AVERAGE('24.08 BUSITEMA-TORORO-24h'!M82,'27.08 BUSITEMA-TORORO-24h'!M82)</f>
        <v>3</v>
      </c>
      <c r="N82" s="49">
        <f>AVERAGE('24.08 BUSITEMA-TORORO-24h'!N82,'27.08 BUSITEMA-TORORO-24h'!N82)</f>
        <v>0</v>
      </c>
      <c r="O82" s="15">
        <f t="shared" si="35"/>
        <v>5.5</v>
      </c>
      <c r="P82" s="15">
        <f t="shared" si="36"/>
        <v>8.5</v>
      </c>
      <c r="R82" s="8"/>
      <c r="T82"/>
    </row>
    <row r="83" spans="2:20" ht="23.1" customHeight="1" x14ac:dyDescent="0.25">
      <c r="B83" s="23" t="s">
        <v>123</v>
      </c>
      <c r="C83" s="49">
        <f>AVERAGE('24.08 BUSITEMA-TORORO-24h'!C83,'27.08 BUSITEMA-TORORO-24h'!C83)</f>
        <v>0.5</v>
      </c>
      <c r="D83" s="49">
        <f>AVERAGE('24.08 BUSITEMA-TORORO-24h'!D83,'27.08 BUSITEMA-TORORO-24h'!D83)</f>
        <v>0.5</v>
      </c>
      <c r="E83" s="49">
        <f>AVERAGE('24.08 BUSITEMA-TORORO-24h'!E83,'27.08 BUSITEMA-TORORO-24h'!E83)</f>
        <v>0</v>
      </c>
      <c r="F83" s="49">
        <f>AVERAGE('24.08 BUSITEMA-TORORO-24h'!F83,'27.08 BUSITEMA-TORORO-24h'!F83)</f>
        <v>1</v>
      </c>
      <c r="G83" s="49">
        <f>AVERAGE('24.08 BUSITEMA-TORORO-24h'!G83,'27.08 BUSITEMA-TORORO-24h'!G83)</f>
        <v>0</v>
      </c>
      <c r="H83" s="49">
        <f>AVERAGE('24.08 BUSITEMA-TORORO-24h'!H83,'27.08 BUSITEMA-TORORO-24h'!H83)</f>
        <v>0</v>
      </c>
      <c r="I83" s="49">
        <f>AVERAGE('24.08 BUSITEMA-TORORO-24h'!I83,'27.08 BUSITEMA-TORORO-24h'!I83)</f>
        <v>0</v>
      </c>
      <c r="J83" s="49">
        <f>AVERAGE('24.08 BUSITEMA-TORORO-24h'!J83,'27.08 BUSITEMA-TORORO-24h'!J83)</f>
        <v>0</v>
      </c>
      <c r="K83" s="49">
        <f>AVERAGE('24.08 BUSITEMA-TORORO-24h'!K83,'27.08 BUSITEMA-TORORO-24h'!K83)</f>
        <v>0.5</v>
      </c>
      <c r="L83" s="49">
        <f>AVERAGE('24.08 BUSITEMA-TORORO-24h'!L83,'27.08 BUSITEMA-TORORO-24h'!L83)</f>
        <v>4</v>
      </c>
      <c r="M83" s="49">
        <f>AVERAGE('24.08 BUSITEMA-TORORO-24h'!M83,'27.08 BUSITEMA-TORORO-24h'!M83)</f>
        <v>2.5</v>
      </c>
      <c r="N83" s="49">
        <f>AVERAGE('24.08 BUSITEMA-TORORO-24h'!N83,'27.08 BUSITEMA-TORORO-24h'!N83)</f>
        <v>0</v>
      </c>
      <c r="O83" s="15">
        <f t="shared" si="35"/>
        <v>6.5</v>
      </c>
      <c r="P83" s="15">
        <f t="shared" si="36"/>
        <v>9</v>
      </c>
      <c r="R83" s="8"/>
      <c r="T83"/>
    </row>
    <row r="84" spans="2:20" ht="23.1" customHeight="1" x14ac:dyDescent="0.25">
      <c r="B84" s="25" t="s">
        <v>124</v>
      </c>
      <c r="C84" s="49">
        <f>AVERAGE('24.08 BUSITEMA-TORORO-24h'!C84,'27.08 BUSITEMA-TORORO-24h'!C84)</f>
        <v>0</v>
      </c>
      <c r="D84" s="49">
        <f>AVERAGE('24.08 BUSITEMA-TORORO-24h'!D84,'27.08 BUSITEMA-TORORO-24h'!D84)</f>
        <v>0.5</v>
      </c>
      <c r="E84" s="49">
        <f>AVERAGE('24.08 BUSITEMA-TORORO-24h'!E84,'27.08 BUSITEMA-TORORO-24h'!E84)</f>
        <v>0.5</v>
      </c>
      <c r="F84" s="49">
        <f>AVERAGE('24.08 BUSITEMA-TORORO-24h'!F84,'27.08 BUSITEMA-TORORO-24h'!F84)</f>
        <v>0</v>
      </c>
      <c r="G84" s="49">
        <f>AVERAGE('24.08 BUSITEMA-TORORO-24h'!G84,'27.08 BUSITEMA-TORORO-24h'!G84)</f>
        <v>0</v>
      </c>
      <c r="H84" s="49">
        <f>AVERAGE('24.08 BUSITEMA-TORORO-24h'!H84,'27.08 BUSITEMA-TORORO-24h'!H84)</f>
        <v>0</v>
      </c>
      <c r="I84" s="49">
        <f>AVERAGE('24.08 BUSITEMA-TORORO-24h'!I84,'27.08 BUSITEMA-TORORO-24h'!I84)</f>
        <v>0</v>
      </c>
      <c r="J84" s="49">
        <f>AVERAGE('24.08 BUSITEMA-TORORO-24h'!J84,'27.08 BUSITEMA-TORORO-24h'!J84)</f>
        <v>0</v>
      </c>
      <c r="K84" s="49">
        <f>AVERAGE('24.08 BUSITEMA-TORORO-24h'!K84,'27.08 BUSITEMA-TORORO-24h'!K84)</f>
        <v>0</v>
      </c>
      <c r="L84" s="49">
        <f>AVERAGE('24.08 BUSITEMA-TORORO-24h'!L84,'27.08 BUSITEMA-TORORO-24h'!L84)</f>
        <v>2.5</v>
      </c>
      <c r="M84" s="49">
        <f>AVERAGE('24.08 BUSITEMA-TORORO-24h'!M84,'27.08 BUSITEMA-TORORO-24h'!M84)</f>
        <v>2.5</v>
      </c>
      <c r="N84" s="49">
        <f>AVERAGE('24.08 BUSITEMA-TORORO-24h'!N84,'27.08 BUSITEMA-TORORO-24h'!N84)</f>
        <v>0</v>
      </c>
      <c r="O84" s="15">
        <f t="shared" si="35"/>
        <v>3.5</v>
      </c>
      <c r="P84" s="15">
        <f t="shared" si="36"/>
        <v>6</v>
      </c>
      <c r="R84" s="8"/>
      <c r="T84"/>
    </row>
    <row r="85" spans="2:20" ht="23.1" customHeight="1" x14ac:dyDescent="0.25">
      <c r="B85" s="23" t="s">
        <v>125</v>
      </c>
      <c r="C85" s="49">
        <f>AVERAGE('24.08 BUSITEMA-TORORO-24h'!C85,'27.08 BUSITEMA-TORORO-24h'!C85)</f>
        <v>1</v>
      </c>
      <c r="D85" s="49">
        <f>AVERAGE('24.08 BUSITEMA-TORORO-24h'!D85,'27.08 BUSITEMA-TORORO-24h'!D85)</f>
        <v>0</v>
      </c>
      <c r="E85" s="49">
        <f>AVERAGE('24.08 BUSITEMA-TORORO-24h'!E85,'27.08 BUSITEMA-TORORO-24h'!E85)</f>
        <v>0</v>
      </c>
      <c r="F85" s="49">
        <f>AVERAGE('24.08 BUSITEMA-TORORO-24h'!F85,'27.08 BUSITEMA-TORORO-24h'!F85)</f>
        <v>0</v>
      </c>
      <c r="G85" s="49">
        <f>AVERAGE('24.08 BUSITEMA-TORORO-24h'!G85,'27.08 BUSITEMA-TORORO-24h'!G85)</f>
        <v>0</v>
      </c>
      <c r="H85" s="49">
        <f>AVERAGE('24.08 BUSITEMA-TORORO-24h'!H85,'27.08 BUSITEMA-TORORO-24h'!H85)</f>
        <v>0.5</v>
      </c>
      <c r="I85" s="49">
        <f>AVERAGE('24.08 BUSITEMA-TORORO-24h'!I85,'27.08 BUSITEMA-TORORO-24h'!I85)</f>
        <v>0.5</v>
      </c>
      <c r="J85" s="49">
        <f>AVERAGE('24.08 BUSITEMA-TORORO-24h'!J85,'27.08 BUSITEMA-TORORO-24h'!J85)</f>
        <v>1</v>
      </c>
      <c r="K85" s="49">
        <f>AVERAGE('24.08 BUSITEMA-TORORO-24h'!K85,'27.08 BUSITEMA-TORORO-24h'!K85)</f>
        <v>0</v>
      </c>
      <c r="L85" s="49">
        <f>AVERAGE('24.08 BUSITEMA-TORORO-24h'!L85,'27.08 BUSITEMA-TORORO-24h'!L85)</f>
        <v>6</v>
      </c>
      <c r="M85" s="49">
        <f>AVERAGE('24.08 BUSITEMA-TORORO-24h'!M85,'27.08 BUSITEMA-TORORO-24h'!M85)</f>
        <v>3.5</v>
      </c>
      <c r="N85" s="49">
        <f>AVERAGE('24.08 BUSITEMA-TORORO-24h'!N85,'27.08 BUSITEMA-TORORO-24h'!N85)</f>
        <v>0</v>
      </c>
      <c r="O85" s="15">
        <f t="shared" si="35"/>
        <v>9</v>
      </c>
      <c r="P85" s="15">
        <f t="shared" si="36"/>
        <v>12.5</v>
      </c>
      <c r="R85" s="8"/>
      <c r="T85"/>
    </row>
    <row r="86" spans="2:20" ht="23.1" customHeight="1" x14ac:dyDescent="0.25">
      <c r="B86" s="24" t="s">
        <v>126</v>
      </c>
      <c r="C86" s="49">
        <f>AVERAGE('24.08 BUSITEMA-TORORO-24h'!C86,'27.08 BUSITEMA-TORORO-24h'!C86)</f>
        <v>0.5</v>
      </c>
      <c r="D86" s="49">
        <f>AVERAGE('24.08 BUSITEMA-TORORO-24h'!D86,'27.08 BUSITEMA-TORORO-24h'!D86)</f>
        <v>0</v>
      </c>
      <c r="E86" s="49">
        <f>AVERAGE('24.08 BUSITEMA-TORORO-24h'!E86,'27.08 BUSITEMA-TORORO-24h'!E86)</f>
        <v>0.5</v>
      </c>
      <c r="F86" s="49">
        <f>AVERAGE('24.08 BUSITEMA-TORORO-24h'!F86,'27.08 BUSITEMA-TORORO-24h'!F86)</f>
        <v>0</v>
      </c>
      <c r="G86" s="49">
        <f>AVERAGE('24.08 BUSITEMA-TORORO-24h'!G86,'27.08 BUSITEMA-TORORO-24h'!G86)</f>
        <v>0</v>
      </c>
      <c r="H86" s="49">
        <f>AVERAGE('24.08 BUSITEMA-TORORO-24h'!H86,'27.08 BUSITEMA-TORORO-24h'!H86)</f>
        <v>0</v>
      </c>
      <c r="I86" s="49">
        <f>AVERAGE('24.08 BUSITEMA-TORORO-24h'!I86,'27.08 BUSITEMA-TORORO-24h'!I86)</f>
        <v>0.5</v>
      </c>
      <c r="J86" s="49">
        <f>AVERAGE('24.08 BUSITEMA-TORORO-24h'!J86,'27.08 BUSITEMA-TORORO-24h'!J86)</f>
        <v>0</v>
      </c>
      <c r="K86" s="49">
        <f>AVERAGE('24.08 BUSITEMA-TORORO-24h'!K86,'27.08 BUSITEMA-TORORO-24h'!K86)</f>
        <v>0</v>
      </c>
      <c r="L86" s="49">
        <f>AVERAGE('24.08 BUSITEMA-TORORO-24h'!L86,'27.08 BUSITEMA-TORORO-24h'!L86)</f>
        <v>3.5</v>
      </c>
      <c r="M86" s="49">
        <f>AVERAGE('24.08 BUSITEMA-TORORO-24h'!M86,'27.08 BUSITEMA-TORORO-24h'!M86)</f>
        <v>0</v>
      </c>
      <c r="N86" s="49">
        <f>AVERAGE('24.08 BUSITEMA-TORORO-24h'!N86,'27.08 BUSITEMA-TORORO-24h'!N86)</f>
        <v>0</v>
      </c>
      <c r="O86" s="15">
        <f t="shared" si="35"/>
        <v>5</v>
      </c>
      <c r="P86" s="15">
        <f t="shared" si="36"/>
        <v>5</v>
      </c>
      <c r="R86" s="8"/>
      <c r="T86"/>
    </row>
    <row r="87" spans="2:20" ht="23.1" customHeight="1" x14ac:dyDescent="0.25">
      <c r="B87" s="23" t="s">
        <v>127</v>
      </c>
      <c r="C87" s="49">
        <f>AVERAGE('24.08 BUSITEMA-TORORO-24h'!C87,'27.08 BUSITEMA-TORORO-24h'!C87)</f>
        <v>0</v>
      </c>
      <c r="D87" s="49">
        <f>AVERAGE('24.08 BUSITEMA-TORORO-24h'!D87,'27.08 BUSITEMA-TORORO-24h'!D87)</f>
        <v>0.5</v>
      </c>
      <c r="E87" s="49">
        <f>AVERAGE('24.08 BUSITEMA-TORORO-24h'!E87,'27.08 BUSITEMA-TORORO-24h'!E87)</f>
        <v>0.5</v>
      </c>
      <c r="F87" s="49">
        <f>AVERAGE('24.08 BUSITEMA-TORORO-24h'!F87,'27.08 BUSITEMA-TORORO-24h'!F87)</f>
        <v>0.5</v>
      </c>
      <c r="G87" s="49">
        <f>AVERAGE('24.08 BUSITEMA-TORORO-24h'!G87,'27.08 BUSITEMA-TORORO-24h'!G87)</f>
        <v>0</v>
      </c>
      <c r="H87" s="49">
        <f>AVERAGE('24.08 BUSITEMA-TORORO-24h'!H87,'27.08 BUSITEMA-TORORO-24h'!H87)</f>
        <v>0</v>
      </c>
      <c r="I87" s="49">
        <f>AVERAGE('24.08 BUSITEMA-TORORO-24h'!I87,'27.08 BUSITEMA-TORORO-24h'!I87)</f>
        <v>0</v>
      </c>
      <c r="J87" s="49">
        <f>AVERAGE('24.08 BUSITEMA-TORORO-24h'!J87,'27.08 BUSITEMA-TORORO-24h'!J87)</f>
        <v>0</v>
      </c>
      <c r="K87" s="49">
        <f>AVERAGE('24.08 BUSITEMA-TORORO-24h'!K87,'27.08 BUSITEMA-TORORO-24h'!K87)</f>
        <v>0</v>
      </c>
      <c r="L87" s="49">
        <f>AVERAGE('24.08 BUSITEMA-TORORO-24h'!L87,'27.08 BUSITEMA-TORORO-24h'!L87)</f>
        <v>3</v>
      </c>
      <c r="M87" s="49">
        <f>AVERAGE('24.08 BUSITEMA-TORORO-24h'!M87,'27.08 BUSITEMA-TORORO-24h'!M87)</f>
        <v>0</v>
      </c>
      <c r="N87" s="49">
        <f>AVERAGE('24.08 BUSITEMA-TORORO-24h'!N87,'27.08 BUSITEMA-TORORO-24h'!N87)</f>
        <v>0</v>
      </c>
      <c r="O87" s="15">
        <f t="shared" si="35"/>
        <v>4.5</v>
      </c>
      <c r="P87" s="15">
        <f t="shared" si="36"/>
        <v>4.5</v>
      </c>
      <c r="R87" s="8"/>
      <c r="T87"/>
    </row>
    <row r="88" spans="2:20" ht="23.1" customHeight="1" x14ac:dyDescent="0.25">
      <c r="B88" s="25" t="s">
        <v>128</v>
      </c>
      <c r="C88" s="49">
        <f>AVERAGE('24.08 BUSITEMA-TORORO-24h'!C88,'27.08 BUSITEMA-TORORO-24h'!C88)</f>
        <v>0</v>
      </c>
      <c r="D88" s="49">
        <f>AVERAGE('24.08 BUSITEMA-TORORO-24h'!D88,'27.08 BUSITEMA-TORORO-24h'!D88)</f>
        <v>0.5</v>
      </c>
      <c r="E88" s="49">
        <f>AVERAGE('24.08 BUSITEMA-TORORO-24h'!E88,'27.08 BUSITEMA-TORORO-24h'!E88)</f>
        <v>0</v>
      </c>
      <c r="F88" s="49">
        <f>AVERAGE('24.08 BUSITEMA-TORORO-24h'!F88,'27.08 BUSITEMA-TORORO-24h'!F88)</f>
        <v>0.5</v>
      </c>
      <c r="G88" s="49">
        <f>AVERAGE('24.08 BUSITEMA-TORORO-24h'!G88,'27.08 BUSITEMA-TORORO-24h'!G88)</f>
        <v>0</v>
      </c>
      <c r="H88" s="49">
        <f>AVERAGE('24.08 BUSITEMA-TORORO-24h'!H88,'27.08 BUSITEMA-TORORO-24h'!H88)</f>
        <v>0</v>
      </c>
      <c r="I88" s="49">
        <f>AVERAGE('24.08 BUSITEMA-TORORO-24h'!I88,'27.08 BUSITEMA-TORORO-24h'!I88)</f>
        <v>0.5</v>
      </c>
      <c r="J88" s="49">
        <f>AVERAGE('24.08 BUSITEMA-TORORO-24h'!J88,'27.08 BUSITEMA-TORORO-24h'!J88)</f>
        <v>0.5</v>
      </c>
      <c r="K88" s="49">
        <f>AVERAGE('24.08 BUSITEMA-TORORO-24h'!K88,'27.08 BUSITEMA-TORORO-24h'!K88)</f>
        <v>0</v>
      </c>
      <c r="L88" s="49">
        <f>AVERAGE('24.08 BUSITEMA-TORORO-24h'!L88,'27.08 BUSITEMA-TORORO-24h'!L88)</f>
        <v>4</v>
      </c>
      <c r="M88" s="49">
        <f>AVERAGE('24.08 BUSITEMA-TORORO-24h'!M88,'27.08 BUSITEMA-TORORO-24h'!M88)</f>
        <v>0</v>
      </c>
      <c r="N88" s="49">
        <f>AVERAGE('24.08 BUSITEMA-TORORO-24h'!N88,'27.08 BUSITEMA-TORORO-24h'!N88)</f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AVERAGE('24.08 BUSITEMA-TORORO-24h'!C89,'27.08 BUSITEMA-TORORO-24h'!C89)</f>
        <v>0</v>
      </c>
      <c r="D89" s="49">
        <f>AVERAGE('24.08 BUSITEMA-TORORO-24h'!D89,'27.08 BUSITEMA-TORORO-24h'!D89)</f>
        <v>1</v>
      </c>
      <c r="E89" s="49">
        <f>AVERAGE('24.08 BUSITEMA-TORORO-24h'!E89,'27.08 BUSITEMA-TORORO-24h'!E89)</f>
        <v>0</v>
      </c>
      <c r="F89" s="49">
        <f>AVERAGE('24.08 BUSITEMA-TORORO-24h'!F89,'27.08 BUSITEMA-TORORO-24h'!F89)</f>
        <v>0</v>
      </c>
      <c r="G89" s="49">
        <f>AVERAGE('24.08 BUSITEMA-TORORO-24h'!G89,'27.08 BUSITEMA-TORORO-24h'!G89)</f>
        <v>0</v>
      </c>
      <c r="H89" s="49">
        <f>AVERAGE('24.08 BUSITEMA-TORORO-24h'!H89,'27.08 BUSITEMA-TORORO-24h'!H89)</f>
        <v>0</v>
      </c>
      <c r="I89" s="49">
        <f>AVERAGE('24.08 BUSITEMA-TORORO-24h'!I89,'27.08 BUSITEMA-TORORO-24h'!I89)</f>
        <v>0.5</v>
      </c>
      <c r="J89" s="49">
        <f>AVERAGE('24.08 BUSITEMA-TORORO-24h'!J89,'27.08 BUSITEMA-TORORO-24h'!J89)</f>
        <v>0.5</v>
      </c>
      <c r="K89" s="49">
        <f>AVERAGE('24.08 BUSITEMA-TORORO-24h'!K89,'27.08 BUSITEMA-TORORO-24h'!K89)</f>
        <v>0</v>
      </c>
      <c r="L89" s="49">
        <f>AVERAGE('24.08 BUSITEMA-TORORO-24h'!L89,'27.08 BUSITEMA-TORORO-24h'!L89)</f>
        <v>4.5</v>
      </c>
      <c r="M89" s="49">
        <f>AVERAGE('24.08 BUSITEMA-TORORO-24h'!M89,'27.08 BUSITEMA-TORORO-24h'!M89)</f>
        <v>0</v>
      </c>
      <c r="N89" s="49">
        <f>AVERAGE('24.08 BUSITEMA-TORORO-24h'!N89,'27.08 BUSITEMA-TORORO-24h'!N89)</f>
        <v>0</v>
      </c>
      <c r="O89" s="15">
        <f t="shared" si="35"/>
        <v>6.5</v>
      </c>
      <c r="P89" s="15">
        <f t="shared" si="36"/>
        <v>6.5</v>
      </c>
      <c r="R89" s="8"/>
      <c r="T89"/>
    </row>
    <row r="90" spans="2:20" ht="23.1" customHeight="1" x14ac:dyDescent="0.25">
      <c r="B90" s="24" t="s">
        <v>130</v>
      </c>
      <c r="C90" s="49">
        <f>AVERAGE('24.08 BUSITEMA-TORORO-24h'!C90,'27.08 BUSITEMA-TORORO-24h'!C90)</f>
        <v>0.5</v>
      </c>
      <c r="D90" s="49">
        <f>AVERAGE('24.08 BUSITEMA-TORORO-24h'!D90,'27.08 BUSITEMA-TORORO-24h'!D90)</f>
        <v>0</v>
      </c>
      <c r="E90" s="49">
        <f>AVERAGE('24.08 BUSITEMA-TORORO-24h'!E90,'27.08 BUSITEMA-TORORO-24h'!E90)</f>
        <v>0</v>
      </c>
      <c r="F90" s="49">
        <f>AVERAGE('24.08 BUSITEMA-TORORO-24h'!F90,'27.08 BUSITEMA-TORORO-24h'!F90)</f>
        <v>0.5</v>
      </c>
      <c r="G90" s="49">
        <f>AVERAGE('24.08 BUSITEMA-TORORO-24h'!G90,'27.08 BUSITEMA-TORORO-24h'!G90)</f>
        <v>0.5</v>
      </c>
      <c r="H90" s="49">
        <f>AVERAGE('24.08 BUSITEMA-TORORO-24h'!H90,'27.08 BUSITEMA-TORORO-24h'!H90)</f>
        <v>0.5</v>
      </c>
      <c r="I90" s="49">
        <f>AVERAGE('24.08 BUSITEMA-TORORO-24h'!I90,'27.08 BUSITEMA-TORORO-24h'!I90)</f>
        <v>0</v>
      </c>
      <c r="J90" s="49">
        <f>AVERAGE('24.08 BUSITEMA-TORORO-24h'!J90,'27.08 BUSITEMA-TORORO-24h'!J90)</f>
        <v>0</v>
      </c>
      <c r="K90" s="49">
        <f>AVERAGE('24.08 BUSITEMA-TORORO-24h'!K90,'27.08 BUSITEMA-TORORO-24h'!K90)</f>
        <v>0.5</v>
      </c>
      <c r="L90" s="49">
        <f>AVERAGE('24.08 BUSITEMA-TORORO-24h'!L90,'27.08 BUSITEMA-TORORO-24h'!L90)</f>
        <v>2.5</v>
      </c>
      <c r="M90" s="49">
        <f>AVERAGE('24.08 BUSITEMA-TORORO-24h'!M90,'27.08 BUSITEMA-TORORO-24h'!M90)</f>
        <v>0</v>
      </c>
      <c r="N90" s="49">
        <f>AVERAGE('24.08 BUSITEMA-TORORO-24h'!N90,'27.08 BUSITEMA-TORORO-24h'!N90)</f>
        <v>0</v>
      </c>
      <c r="O90" s="15">
        <f t="shared" si="35"/>
        <v>5</v>
      </c>
      <c r="P90" s="15">
        <f t="shared" si="36"/>
        <v>5</v>
      </c>
      <c r="R90" s="8"/>
      <c r="T90"/>
    </row>
    <row r="91" spans="2:20" ht="23.1" customHeight="1" x14ac:dyDescent="0.25">
      <c r="B91" s="23" t="s">
        <v>131</v>
      </c>
      <c r="C91" s="49">
        <f>AVERAGE('24.08 BUSITEMA-TORORO-24h'!C91,'27.08 BUSITEMA-TORORO-24h'!C91)</f>
        <v>0.5</v>
      </c>
      <c r="D91" s="49">
        <f>AVERAGE('24.08 BUSITEMA-TORORO-24h'!D91,'27.08 BUSITEMA-TORORO-24h'!D91)</f>
        <v>1</v>
      </c>
      <c r="E91" s="49">
        <f>AVERAGE('24.08 BUSITEMA-TORORO-24h'!E91,'27.08 BUSITEMA-TORORO-24h'!E91)</f>
        <v>0</v>
      </c>
      <c r="F91" s="49">
        <f>AVERAGE('24.08 BUSITEMA-TORORO-24h'!F91,'27.08 BUSITEMA-TORORO-24h'!F91)</f>
        <v>0</v>
      </c>
      <c r="G91" s="49">
        <f>AVERAGE('24.08 BUSITEMA-TORORO-24h'!G91,'27.08 BUSITEMA-TORORO-24h'!G91)</f>
        <v>0</v>
      </c>
      <c r="H91" s="49">
        <f>AVERAGE('24.08 BUSITEMA-TORORO-24h'!H91,'27.08 BUSITEMA-TORORO-24h'!H91)</f>
        <v>0</v>
      </c>
      <c r="I91" s="49">
        <f>AVERAGE('24.08 BUSITEMA-TORORO-24h'!I91,'27.08 BUSITEMA-TORORO-24h'!I91)</f>
        <v>0</v>
      </c>
      <c r="J91" s="49">
        <f>AVERAGE('24.08 BUSITEMA-TORORO-24h'!J91,'27.08 BUSITEMA-TORORO-24h'!J91)</f>
        <v>0</v>
      </c>
      <c r="K91" s="49">
        <f>AVERAGE('24.08 BUSITEMA-TORORO-24h'!K91,'27.08 BUSITEMA-TORORO-24h'!K91)</f>
        <v>0</v>
      </c>
      <c r="L91" s="49">
        <f>AVERAGE('24.08 BUSITEMA-TORORO-24h'!L91,'27.08 BUSITEMA-TORORO-24h'!L91)</f>
        <v>4</v>
      </c>
      <c r="M91" s="49">
        <f>AVERAGE('24.08 BUSITEMA-TORORO-24h'!M91,'27.08 BUSITEMA-TORORO-24h'!M91)</f>
        <v>0</v>
      </c>
      <c r="N91" s="49">
        <f>AVERAGE('24.08 BUSITEMA-TORORO-24h'!N91,'27.08 BUSITEMA-TORORO-24h'!N91)</f>
        <v>0</v>
      </c>
      <c r="O91" s="15">
        <f t="shared" si="35"/>
        <v>5.5</v>
      </c>
      <c r="P91" s="15">
        <f t="shared" si="36"/>
        <v>5.5</v>
      </c>
      <c r="R91" s="8"/>
      <c r="T91"/>
    </row>
    <row r="92" spans="2:20" ht="23.1" customHeight="1" x14ac:dyDescent="0.25">
      <c r="B92" s="25" t="s">
        <v>132</v>
      </c>
      <c r="C92" s="49">
        <f>AVERAGE('24.08 BUSITEMA-TORORO-24h'!C92,'27.08 BUSITEMA-TORORO-24h'!C92)</f>
        <v>0</v>
      </c>
      <c r="D92" s="49">
        <f>AVERAGE('24.08 BUSITEMA-TORORO-24h'!D92,'27.08 BUSITEMA-TORORO-24h'!D92)</f>
        <v>0</v>
      </c>
      <c r="E92" s="49">
        <f>AVERAGE('24.08 BUSITEMA-TORORO-24h'!E92,'27.08 BUSITEMA-TORORO-24h'!E92)</f>
        <v>0</v>
      </c>
      <c r="F92" s="49">
        <f>AVERAGE('24.08 BUSITEMA-TORORO-24h'!F92,'27.08 BUSITEMA-TORORO-24h'!F92)</f>
        <v>0</v>
      </c>
      <c r="G92" s="49">
        <f>AVERAGE('24.08 BUSITEMA-TORORO-24h'!G92,'27.08 BUSITEMA-TORORO-24h'!G92)</f>
        <v>0</v>
      </c>
      <c r="H92" s="49">
        <f>AVERAGE('24.08 BUSITEMA-TORORO-24h'!H92,'27.08 BUSITEMA-TORORO-24h'!H92)</f>
        <v>0</v>
      </c>
      <c r="I92" s="49">
        <f>AVERAGE('24.08 BUSITEMA-TORORO-24h'!I92,'27.08 BUSITEMA-TORORO-24h'!I92)</f>
        <v>0</v>
      </c>
      <c r="J92" s="49">
        <f>AVERAGE('24.08 BUSITEMA-TORORO-24h'!J92,'27.08 BUSITEMA-TORORO-24h'!J92)</f>
        <v>0</v>
      </c>
      <c r="K92" s="49">
        <f>AVERAGE('24.08 BUSITEMA-TORORO-24h'!K92,'27.08 BUSITEMA-TORORO-24h'!K92)</f>
        <v>0</v>
      </c>
      <c r="L92" s="49">
        <f>AVERAGE('24.08 BUSITEMA-TORORO-24h'!L92,'27.08 BUSITEMA-TORORO-24h'!L92)</f>
        <v>5.5</v>
      </c>
      <c r="M92" s="49">
        <f>AVERAGE('24.08 BUSITEMA-TORORO-24h'!M92,'27.08 BUSITEMA-TORORO-24h'!M92)</f>
        <v>0</v>
      </c>
      <c r="N92" s="49">
        <f>AVERAGE('24.08 BUSITEMA-TORORO-24h'!N92,'27.08 BUSITEMA-TORORO-24h'!N92)</f>
        <v>0</v>
      </c>
      <c r="O92" s="15">
        <f t="shared" si="35"/>
        <v>5.5</v>
      </c>
      <c r="P92" s="15">
        <f t="shared" si="36"/>
        <v>5.5</v>
      </c>
      <c r="R92" s="8"/>
      <c r="T92"/>
    </row>
    <row r="93" spans="2:20" ht="23.1" customHeight="1" x14ac:dyDescent="0.25">
      <c r="B93" s="23" t="s">
        <v>133</v>
      </c>
      <c r="C93" s="49">
        <f>AVERAGE('24.08 BUSITEMA-TORORO-24h'!C93,'27.08 BUSITEMA-TORORO-24h'!C93)</f>
        <v>0</v>
      </c>
      <c r="D93" s="49">
        <f>AVERAGE('24.08 BUSITEMA-TORORO-24h'!D93,'27.08 BUSITEMA-TORORO-24h'!D93)</f>
        <v>0.5</v>
      </c>
      <c r="E93" s="49">
        <f>AVERAGE('24.08 BUSITEMA-TORORO-24h'!E93,'27.08 BUSITEMA-TORORO-24h'!E93)</f>
        <v>0</v>
      </c>
      <c r="F93" s="49">
        <f>AVERAGE('24.08 BUSITEMA-TORORO-24h'!F93,'27.08 BUSITEMA-TORORO-24h'!F93)</f>
        <v>0</v>
      </c>
      <c r="G93" s="49">
        <f>AVERAGE('24.08 BUSITEMA-TORORO-24h'!G93,'27.08 BUSITEMA-TORORO-24h'!G93)</f>
        <v>0</v>
      </c>
      <c r="H93" s="49">
        <f>AVERAGE('24.08 BUSITEMA-TORORO-24h'!H93,'27.08 BUSITEMA-TORORO-24h'!H93)</f>
        <v>0</v>
      </c>
      <c r="I93" s="49">
        <f>AVERAGE('24.08 BUSITEMA-TORORO-24h'!I93,'27.08 BUSITEMA-TORORO-24h'!I93)</f>
        <v>0</v>
      </c>
      <c r="J93" s="49">
        <f>AVERAGE('24.08 BUSITEMA-TORORO-24h'!J93,'27.08 BUSITEMA-TORORO-24h'!J93)</f>
        <v>0</v>
      </c>
      <c r="K93" s="49">
        <f>AVERAGE('24.08 BUSITEMA-TORORO-24h'!K93,'27.08 BUSITEMA-TORORO-24h'!K93)</f>
        <v>0</v>
      </c>
      <c r="L93" s="49">
        <f>AVERAGE('24.08 BUSITEMA-TORORO-24h'!L93,'27.08 BUSITEMA-TORORO-24h'!L93)</f>
        <v>6.5</v>
      </c>
      <c r="M93" s="49">
        <f>AVERAGE('24.08 BUSITEMA-TORORO-24h'!M93,'27.08 BUSITEMA-TORORO-24h'!M93)</f>
        <v>0</v>
      </c>
      <c r="N93" s="49">
        <f>AVERAGE('24.08 BUSITEMA-TORORO-24h'!N93,'27.08 BUSITEMA-TORORO-24h'!N93)</f>
        <v>0</v>
      </c>
      <c r="O93" s="15">
        <f t="shared" si="35"/>
        <v>7</v>
      </c>
      <c r="P93" s="15">
        <f t="shared" si="36"/>
        <v>7</v>
      </c>
      <c r="R93" s="8"/>
      <c r="T93"/>
    </row>
    <row r="94" spans="2:20" ht="23.1" customHeight="1" x14ac:dyDescent="0.25">
      <c r="B94" s="24" t="s">
        <v>134</v>
      </c>
      <c r="C94" s="49">
        <f>AVERAGE('24.08 BUSITEMA-TORORO-24h'!C94,'27.08 BUSITEMA-TORORO-24h'!C94)</f>
        <v>0</v>
      </c>
      <c r="D94" s="49">
        <f>AVERAGE('24.08 BUSITEMA-TORORO-24h'!D94,'27.08 BUSITEMA-TORORO-24h'!D94)</f>
        <v>0</v>
      </c>
      <c r="E94" s="49">
        <f>AVERAGE('24.08 BUSITEMA-TORORO-24h'!E94,'27.08 BUSITEMA-TORORO-24h'!E94)</f>
        <v>0</v>
      </c>
      <c r="F94" s="49">
        <f>AVERAGE('24.08 BUSITEMA-TORORO-24h'!F94,'27.08 BUSITEMA-TORORO-24h'!F94)</f>
        <v>0</v>
      </c>
      <c r="G94" s="49">
        <f>AVERAGE('24.08 BUSITEMA-TORORO-24h'!G94,'27.08 BUSITEMA-TORORO-24h'!G94)</f>
        <v>0</v>
      </c>
      <c r="H94" s="49">
        <f>AVERAGE('24.08 BUSITEMA-TORORO-24h'!H94,'27.08 BUSITEMA-TORORO-24h'!H94)</f>
        <v>0</v>
      </c>
      <c r="I94" s="49">
        <f>AVERAGE('24.08 BUSITEMA-TORORO-24h'!I94,'27.08 BUSITEMA-TORORO-24h'!I94)</f>
        <v>0</v>
      </c>
      <c r="J94" s="49">
        <f>AVERAGE('24.08 BUSITEMA-TORORO-24h'!J94,'27.08 BUSITEMA-TORORO-24h'!J94)</f>
        <v>0</v>
      </c>
      <c r="K94" s="49">
        <f>AVERAGE('24.08 BUSITEMA-TORORO-24h'!K94,'27.08 BUSITEMA-TORORO-24h'!K94)</f>
        <v>0</v>
      </c>
      <c r="L94" s="49">
        <f>AVERAGE('24.08 BUSITEMA-TORORO-24h'!L94,'27.08 BUSITEMA-TORORO-24h'!L94)</f>
        <v>2</v>
      </c>
      <c r="M94" s="49">
        <f>AVERAGE('24.08 BUSITEMA-TORORO-24h'!M94,'27.08 BUSITEMA-TORORO-24h'!M94)</f>
        <v>0</v>
      </c>
      <c r="N94" s="49">
        <f>AVERAGE('24.08 BUSITEMA-TORORO-24h'!N94,'27.08 BUSITEMA-TORORO-24h'!N94)</f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AVERAGE('24.08 BUSITEMA-TORORO-24h'!C95,'27.08 BUSITEMA-TORORO-24h'!C95)</f>
        <v>0</v>
      </c>
      <c r="D95" s="49">
        <f>AVERAGE('24.08 BUSITEMA-TORORO-24h'!D95,'27.08 BUSITEMA-TORORO-24h'!D95)</f>
        <v>0.5</v>
      </c>
      <c r="E95" s="49">
        <f>AVERAGE('24.08 BUSITEMA-TORORO-24h'!E95,'27.08 BUSITEMA-TORORO-24h'!E95)</f>
        <v>0</v>
      </c>
      <c r="F95" s="49">
        <f>AVERAGE('24.08 BUSITEMA-TORORO-24h'!F95,'27.08 BUSITEMA-TORORO-24h'!F95)</f>
        <v>0</v>
      </c>
      <c r="G95" s="49">
        <f>AVERAGE('24.08 BUSITEMA-TORORO-24h'!G95,'27.08 BUSITEMA-TORORO-24h'!G95)</f>
        <v>0</v>
      </c>
      <c r="H95" s="49">
        <f>AVERAGE('24.08 BUSITEMA-TORORO-24h'!H95,'27.08 BUSITEMA-TORORO-24h'!H95)</f>
        <v>0</v>
      </c>
      <c r="I95" s="49">
        <f>AVERAGE('24.08 BUSITEMA-TORORO-24h'!I95,'27.08 BUSITEMA-TORORO-24h'!I95)</f>
        <v>0</v>
      </c>
      <c r="J95" s="49">
        <f>AVERAGE('24.08 BUSITEMA-TORORO-24h'!J95,'27.08 BUSITEMA-TORORO-24h'!J95)</f>
        <v>0.5</v>
      </c>
      <c r="K95" s="49">
        <f>AVERAGE('24.08 BUSITEMA-TORORO-24h'!K95,'27.08 BUSITEMA-TORORO-24h'!K95)</f>
        <v>0</v>
      </c>
      <c r="L95" s="49">
        <f>AVERAGE('24.08 BUSITEMA-TORORO-24h'!L95,'27.08 BUSITEMA-TORORO-24h'!L95)</f>
        <v>5</v>
      </c>
      <c r="M95" s="49">
        <f>AVERAGE('24.08 BUSITEMA-TORORO-24h'!M95,'27.08 BUSITEMA-TORORO-24h'!M95)</f>
        <v>0</v>
      </c>
      <c r="N95" s="49">
        <f>AVERAGE('24.08 BUSITEMA-TORORO-24h'!N95,'27.08 BUSITEMA-TORORO-24h'!N95)</f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25" t="s">
        <v>136</v>
      </c>
      <c r="C96" s="49">
        <f>AVERAGE('24.08 BUSITEMA-TORORO-24h'!C96,'27.08 BUSITEMA-TORORO-24h'!C96)</f>
        <v>0</v>
      </c>
      <c r="D96" s="49">
        <f>AVERAGE('24.08 BUSITEMA-TORORO-24h'!D96,'27.08 BUSITEMA-TORORO-24h'!D96)</f>
        <v>0</v>
      </c>
      <c r="E96" s="49">
        <f>AVERAGE('24.08 BUSITEMA-TORORO-24h'!E96,'27.08 BUSITEMA-TORORO-24h'!E96)</f>
        <v>0</v>
      </c>
      <c r="F96" s="49">
        <f>AVERAGE('24.08 BUSITEMA-TORORO-24h'!F96,'27.08 BUSITEMA-TORORO-24h'!F96)</f>
        <v>0</v>
      </c>
      <c r="G96" s="49">
        <f>AVERAGE('24.08 BUSITEMA-TORORO-24h'!G96,'27.08 BUSITEMA-TORORO-24h'!G96)</f>
        <v>0</v>
      </c>
      <c r="H96" s="49">
        <f>AVERAGE('24.08 BUSITEMA-TORORO-24h'!H96,'27.08 BUSITEMA-TORORO-24h'!H96)</f>
        <v>0</v>
      </c>
      <c r="I96" s="49">
        <f>AVERAGE('24.08 BUSITEMA-TORORO-24h'!I96,'27.08 BUSITEMA-TORORO-24h'!I96)</f>
        <v>0.5</v>
      </c>
      <c r="J96" s="49">
        <f>AVERAGE('24.08 BUSITEMA-TORORO-24h'!J96,'27.08 BUSITEMA-TORORO-24h'!J96)</f>
        <v>0</v>
      </c>
      <c r="K96" s="49">
        <f>AVERAGE('24.08 BUSITEMA-TORORO-24h'!K96,'27.08 BUSITEMA-TORORO-24h'!K96)</f>
        <v>0</v>
      </c>
      <c r="L96" s="49">
        <f>AVERAGE('24.08 BUSITEMA-TORORO-24h'!L96,'27.08 BUSITEMA-TORORO-24h'!L96)</f>
        <v>4</v>
      </c>
      <c r="M96" s="49">
        <f>AVERAGE('24.08 BUSITEMA-TORORO-24h'!M96,'27.08 BUSITEMA-TORORO-24h'!M96)</f>
        <v>0</v>
      </c>
      <c r="N96" s="49">
        <f>AVERAGE('24.08 BUSITEMA-TORORO-24h'!N96,'27.08 BUSITEMA-TORORO-24h'!N96)</f>
        <v>0</v>
      </c>
      <c r="O96" s="15">
        <f t="shared" si="35"/>
        <v>4.5</v>
      </c>
      <c r="P96" s="15">
        <f t="shared" si="36"/>
        <v>4.5</v>
      </c>
      <c r="R96" s="8"/>
      <c r="T96"/>
    </row>
    <row r="97" spans="2:20" ht="23.1" customHeight="1" x14ac:dyDescent="0.25">
      <c r="B97" s="23" t="s">
        <v>137</v>
      </c>
      <c r="C97" s="49">
        <f>AVERAGE('24.08 BUSITEMA-TORORO-24h'!C97,'27.08 BUSITEMA-TORORO-24h'!C97)</f>
        <v>0</v>
      </c>
      <c r="D97" s="49">
        <f>AVERAGE('24.08 BUSITEMA-TORORO-24h'!D97,'27.08 BUSITEMA-TORORO-24h'!D97)</f>
        <v>0</v>
      </c>
      <c r="E97" s="49">
        <f>AVERAGE('24.08 BUSITEMA-TORORO-24h'!E97,'27.08 BUSITEMA-TORORO-24h'!E97)</f>
        <v>0</v>
      </c>
      <c r="F97" s="49">
        <f>AVERAGE('24.08 BUSITEMA-TORORO-24h'!F97,'27.08 BUSITEMA-TORORO-24h'!F97)</f>
        <v>0</v>
      </c>
      <c r="G97" s="49">
        <f>AVERAGE('24.08 BUSITEMA-TORORO-24h'!G97,'27.08 BUSITEMA-TORORO-24h'!G97)</f>
        <v>0</v>
      </c>
      <c r="H97" s="49">
        <f>AVERAGE('24.08 BUSITEMA-TORORO-24h'!H97,'27.08 BUSITEMA-TORORO-24h'!H97)</f>
        <v>0</v>
      </c>
      <c r="I97" s="49">
        <f>AVERAGE('24.08 BUSITEMA-TORORO-24h'!I97,'27.08 BUSITEMA-TORORO-24h'!I97)</f>
        <v>0</v>
      </c>
      <c r="J97" s="49">
        <f>AVERAGE('24.08 BUSITEMA-TORORO-24h'!J97,'27.08 BUSITEMA-TORORO-24h'!J97)</f>
        <v>0</v>
      </c>
      <c r="K97" s="49">
        <f>AVERAGE('24.08 BUSITEMA-TORORO-24h'!K97,'27.08 BUSITEMA-TORORO-24h'!K97)</f>
        <v>0</v>
      </c>
      <c r="L97" s="49">
        <f>AVERAGE('24.08 BUSITEMA-TORORO-24h'!L97,'27.08 BUSITEMA-TORORO-24h'!L97)</f>
        <v>3.5</v>
      </c>
      <c r="M97" s="49">
        <f>AVERAGE('24.08 BUSITEMA-TORORO-24h'!M97,'27.08 BUSITEMA-TORORO-24h'!M97)</f>
        <v>0</v>
      </c>
      <c r="N97" s="49">
        <f>AVERAGE('24.08 BUSITEMA-TORORO-24h'!N97,'27.08 BUSITEMA-TORORO-24h'!N97)</f>
        <v>0</v>
      </c>
      <c r="O97" s="15">
        <f t="shared" si="35"/>
        <v>3.5</v>
      </c>
      <c r="P97" s="15">
        <f t="shared" si="36"/>
        <v>3.5</v>
      </c>
      <c r="R97" s="8"/>
      <c r="T97"/>
    </row>
    <row r="98" spans="2:20" ht="23.1" customHeight="1" x14ac:dyDescent="0.25">
      <c r="B98" s="24" t="s">
        <v>138</v>
      </c>
      <c r="C98" s="49">
        <f>AVERAGE('24.08 BUSITEMA-TORORO-24h'!C98,'27.08 BUSITEMA-TORORO-24h'!C98)</f>
        <v>0</v>
      </c>
      <c r="D98" s="49">
        <f>AVERAGE('24.08 BUSITEMA-TORORO-24h'!D98,'27.08 BUSITEMA-TORORO-24h'!D98)</f>
        <v>0.5</v>
      </c>
      <c r="E98" s="49">
        <f>AVERAGE('24.08 BUSITEMA-TORORO-24h'!E98,'27.08 BUSITEMA-TORORO-24h'!E98)</f>
        <v>0</v>
      </c>
      <c r="F98" s="49">
        <f>AVERAGE('24.08 BUSITEMA-TORORO-24h'!F98,'27.08 BUSITEMA-TORORO-24h'!F98)</f>
        <v>0</v>
      </c>
      <c r="G98" s="49">
        <f>AVERAGE('24.08 BUSITEMA-TORORO-24h'!G98,'27.08 BUSITEMA-TORORO-24h'!G98)</f>
        <v>0</v>
      </c>
      <c r="H98" s="49">
        <f>AVERAGE('24.08 BUSITEMA-TORORO-24h'!H98,'27.08 BUSITEMA-TORORO-24h'!H98)</f>
        <v>0</v>
      </c>
      <c r="I98" s="49">
        <f>AVERAGE('24.08 BUSITEMA-TORORO-24h'!I98,'27.08 BUSITEMA-TORORO-24h'!I98)</f>
        <v>0</v>
      </c>
      <c r="J98" s="49">
        <f>AVERAGE('24.08 BUSITEMA-TORORO-24h'!J98,'27.08 BUSITEMA-TORORO-24h'!J98)</f>
        <v>0.5</v>
      </c>
      <c r="K98" s="49">
        <f>AVERAGE('24.08 BUSITEMA-TORORO-24h'!K98,'27.08 BUSITEMA-TORORO-24h'!K98)</f>
        <v>0</v>
      </c>
      <c r="L98" s="49">
        <f>AVERAGE('24.08 BUSITEMA-TORORO-24h'!L98,'27.08 BUSITEMA-TORORO-24h'!L98)</f>
        <v>5</v>
      </c>
      <c r="M98" s="49">
        <f>AVERAGE('24.08 BUSITEMA-TORORO-24h'!M98,'27.08 BUSITEMA-TORORO-24h'!M98)</f>
        <v>0</v>
      </c>
      <c r="N98" s="49">
        <f>AVERAGE('24.08 BUSITEMA-TORORO-24h'!N98,'27.08 BUSITEMA-TORORO-24h'!N98)</f>
        <v>0</v>
      </c>
      <c r="O98" s="15">
        <f t="shared" si="35"/>
        <v>6</v>
      </c>
      <c r="P98" s="15">
        <f t="shared" si="36"/>
        <v>6</v>
      </c>
      <c r="R98" s="8"/>
      <c r="T98"/>
    </row>
    <row r="99" spans="2:20" ht="23.1" customHeight="1" x14ac:dyDescent="0.25">
      <c r="B99" s="23" t="s">
        <v>139</v>
      </c>
      <c r="C99" s="49">
        <f>AVERAGE('24.08 BUSITEMA-TORORO-24h'!C99,'27.08 BUSITEMA-TORORO-24h'!C99)</f>
        <v>0</v>
      </c>
      <c r="D99" s="49">
        <f>AVERAGE('24.08 BUSITEMA-TORORO-24h'!D99,'27.08 BUSITEMA-TORORO-24h'!D99)</f>
        <v>0</v>
      </c>
      <c r="E99" s="49">
        <f>AVERAGE('24.08 BUSITEMA-TORORO-24h'!E99,'27.08 BUSITEMA-TORORO-24h'!E99)</f>
        <v>0</v>
      </c>
      <c r="F99" s="49">
        <f>AVERAGE('24.08 BUSITEMA-TORORO-24h'!F99,'27.08 BUSITEMA-TORORO-24h'!F99)</f>
        <v>0</v>
      </c>
      <c r="G99" s="49">
        <f>AVERAGE('24.08 BUSITEMA-TORORO-24h'!G99,'27.08 BUSITEMA-TORORO-24h'!G99)</f>
        <v>0</v>
      </c>
      <c r="H99" s="49">
        <f>AVERAGE('24.08 BUSITEMA-TORORO-24h'!H99,'27.08 BUSITEMA-TORORO-24h'!H99)</f>
        <v>0</v>
      </c>
      <c r="I99" s="49">
        <f>AVERAGE('24.08 BUSITEMA-TORORO-24h'!I99,'27.08 BUSITEMA-TORORO-24h'!I99)</f>
        <v>0</v>
      </c>
      <c r="J99" s="49">
        <f>AVERAGE('24.08 BUSITEMA-TORORO-24h'!J99,'27.08 BUSITEMA-TORORO-24h'!J99)</f>
        <v>0</v>
      </c>
      <c r="K99" s="49">
        <f>AVERAGE('24.08 BUSITEMA-TORORO-24h'!K99,'27.08 BUSITEMA-TORORO-24h'!K99)</f>
        <v>0</v>
      </c>
      <c r="L99" s="49">
        <f>AVERAGE('24.08 BUSITEMA-TORORO-24h'!L99,'27.08 BUSITEMA-TORORO-24h'!L99)</f>
        <v>5</v>
      </c>
      <c r="M99" s="49">
        <f>AVERAGE('24.08 BUSITEMA-TORORO-24h'!M99,'27.08 BUSITEMA-TORORO-24h'!M99)</f>
        <v>0</v>
      </c>
      <c r="N99" s="49">
        <f>AVERAGE('24.08 BUSITEMA-TORORO-24h'!N99,'27.08 BUSITEMA-TORORO-24h'!N99)</f>
        <v>0</v>
      </c>
      <c r="O99" s="15">
        <f t="shared" si="35"/>
        <v>5</v>
      </c>
      <c r="P99" s="15">
        <f t="shared" si="36"/>
        <v>5</v>
      </c>
      <c r="R99" s="8"/>
      <c r="T99"/>
    </row>
    <row r="100" spans="2:20" ht="23.1" customHeight="1" x14ac:dyDescent="0.25">
      <c r="B100" s="25" t="s">
        <v>140</v>
      </c>
      <c r="C100" s="49">
        <f>AVERAGE('24.08 BUSITEMA-TORORO-24h'!C100,'27.08 BUSITEMA-TORORO-24h'!C100)</f>
        <v>0</v>
      </c>
      <c r="D100" s="49">
        <f>AVERAGE('24.08 BUSITEMA-TORORO-24h'!D100,'27.08 BUSITEMA-TORORO-24h'!D100)</f>
        <v>0</v>
      </c>
      <c r="E100" s="49">
        <f>AVERAGE('24.08 BUSITEMA-TORORO-24h'!E100,'27.08 BUSITEMA-TORORO-24h'!E100)</f>
        <v>0</v>
      </c>
      <c r="F100" s="49">
        <f>AVERAGE('24.08 BUSITEMA-TORORO-24h'!F100,'27.08 BUSITEMA-TORORO-24h'!F100)</f>
        <v>0</v>
      </c>
      <c r="G100" s="49">
        <f>AVERAGE('24.08 BUSITEMA-TORORO-24h'!G100,'27.08 BUSITEMA-TORORO-24h'!G100)</f>
        <v>0</v>
      </c>
      <c r="H100" s="49">
        <f>AVERAGE('24.08 BUSITEMA-TORORO-24h'!H100,'27.08 BUSITEMA-TORORO-24h'!H100)</f>
        <v>0.5</v>
      </c>
      <c r="I100" s="49">
        <f>AVERAGE('24.08 BUSITEMA-TORORO-24h'!I100,'27.08 BUSITEMA-TORORO-24h'!I100)</f>
        <v>0</v>
      </c>
      <c r="J100" s="49">
        <f>AVERAGE('24.08 BUSITEMA-TORORO-24h'!J100,'27.08 BUSITEMA-TORORO-24h'!J100)</f>
        <v>0.5</v>
      </c>
      <c r="K100" s="49">
        <f>AVERAGE('24.08 BUSITEMA-TORORO-24h'!K100,'27.08 BUSITEMA-TORORO-24h'!K100)</f>
        <v>0.5</v>
      </c>
      <c r="L100" s="49">
        <f>AVERAGE('24.08 BUSITEMA-TORORO-24h'!L100,'27.08 BUSITEMA-TORORO-24h'!L100)</f>
        <v>8.5</v>
      </c>
      <c r="M100" s="49">
        <f>AVERAGE('24.08 BUSITEMA-TORORO-24h'!M100,'27.08 BUSITEMA-TORORO-24h'!M100)</f>
        <v>0</v>
      </c>
      <c r="N100" s="49">
        <f>AVERAGE('24.08 BUSITEMA-TORORO-24h'!N100,'27.08 BUSITEMA-TORORO-24h'!N100)</f>
        <v>0</v>
      </c>
      <c r="O100" s="15">
        <f t="shared" si="35"/>
        <v>10</v>
      </c>
      <c r="P100" s="15">
        <f t="shared" si="36"/>
        <v>10</v>
      </c>
      <c r="R100" s="8"/>
      <c r="T100"/>
    </row>
    <row r="101" spans="2:20" ht="23.1" customHeight="1" x14ac:dyDescent="0.25">
      <c r="B101" s="23" t="s">
        <v>141</v>
      </c>
      <c r="C101" s="49">
        <f>AVERAGE('24.08 BUSITEMA-TORORO-24h'!C101,'27.08 BUSITEMA-TORORO-24h'!C101)</f>
        <v>0.5</v>
      </c>
      <c r="D101" s="49">
        <f>AVERAGE('24.08 BUSITEMA-TORORO-24h'!D101,'27.08 BUSITEMA-TORORO-24h'!D101)</f>
        <v>0</v>
      </c>
      <c r="E101" s="49">
        <f>AVERAGE('24.08 BUSITEMA-TORORO-24h'!E101,'27.08 BUSITEMA-TORORO-24h'!E101)</f>
        <v>0</v>
      </c>
      <c r="F101" s="49">
        <f>AVERAGE('24.08 BUSITEMA-TORORO-24h'!F101,'27.08 BUSITEMA-TORORO-24h'!F101)</f>
        <v>0</v>
      </c>
      <c r="G101" s="49">
        <f>AVERAGE('24.08 BUSITEMA-TORORO-24h'!G101,'27.08 BUSITEMA-TORORO-24h'!G101)</f>
        <v>0</v>
      </c>
      <c r="H101" s="49">
        <f>AVERAGE('24.08 BUSITEMA-TORORO-24h'!H101,'27.08 BUSITEMA-TORORO-24h'!H101)</f>
        <v>0.5</v>
      </c>
      <c r="I101" s="49">
        <f>AVERAGE('24.08 BUSITEMA-TORORO-24h'!I101,'27.08 BUSITEMA-TORORO-24h'!I101)</f>
        <v>0</v>
      </c>
      <c r="J101" s="49">
        <f>AVERAGE('24.08 BUSITEMA-TORORO-24h'!J101,'27.08 BUSITEMA-TORORO-24h'!J101)</f>
        <v>0</v>
      </c>
      <c r="K101" s="49">
        <f>AVERAGE('24.08 BUSITEMA-TORORO-24h'!K101,'27.08 BUSITEMA-TORORO-24h'!K101)</f>
        <v>0</v>
      </c>
      <c r="L101" s="49">
        <f>AVERAGE('24.08 BUSITEMA-TORORO-24h'!L101,'27.08 BUSITEMA-TORORO-24h'!L101)</f>
        <v>11</v>
      </c>
      <c r="M101" s="49">
        <f>AVERAGE('24.08 BUSITEMA-TORORO-24h'!M101,'27.08 BUSITEMA-TORORO-24h'!M101)</f>
        <v>1.5</v>
      </c>
      <c r="N101" s="49">
        <f>AVERAGE('24.08 BUSITEMA-TORORO-24h'!N101,'27.08 BUSITEMA-TORORO-24h'!N101)</f>
        <v>0</v>
      </c>
      <c r="O101" s="15">
        <f t="shared" si="35"/>
        <v>12</v>
      </c>
      <c r="P101" s="15">
        <f t="shared" si="36"/>
        <v>13.5</v>
      </c>
      <c r="R101" s="8"/>
      <c r="T101"/>
    </row>
    <row r="102" spans="2:20" ht="23.1" customHeight="1" x14ac:dyDescent="0.25">
      <c r="B102" s="24" t="s">
        <v>142</v>
      </c>
      <c r="C102" s="49">
        <f>AVERAGE('24.08 BUSITEMA-TORORO-24h'!C102,'27.08 BUSITEMA-TORORO-24h'!C102)</f>
        <v>0</v>
      </c>
      <c r="D102" s="49">
        <f>AVERAGE('24.08 BUSITEMA-TORORO-24h'!D102,'27.08 BUSITEMA-TORORO-24h'!D102)</f>
        <v>1</v>
      </c>
      <c r="E102" s="49">
        <f>AVERAGE('24.08 BUSITEMA-TORORO-24h'!E102,'27.08 BUSITEMA-TORORO-24h'!E102)</f>
        <v>0.5</v>
      </c>
      <c r="F102" s="49">
        <f>AVERAGE('24.08 BUSITEMA-TORORO-24h'!F102,'27.08 BUSITEMA-TORORO-24h'!F102)</f>
        <v>0.5</v>
      </c>
      <c r="G102" s="49">
        <f>AVERAGE('24.08 BUSITEMA-TORORO-24h'!G102,'27.08 BUSITEMA-TORORO-24h'!G102)</f>
        <v>0</v>
      </c>
      <c r="H102" s="49">
        <f>AVERAGE('24.08 BUSITEMA-TORORO-24h'!H102,'27.08 BUSITEMA-TORORO-24h'!H102)</f>
        <v>0</v>
      </c>
      <c r="I102" s="49">
        <f>AVERAGE('24.08 BUSITEMA-TORORO-24h'!I102,'27.08 BUSITEMA-TORORO-24h'!I102)</f>
        <v>0.5</v>
      </c>
      <c r="J102" s="49">
        <f>AVERAGE('24.08 BUSITEMA-TORORO-24h'!J102,'27.08 BUSITEMA-TORORO-24h'!J102)</f>
        <v>0.5</v>
      </c>
      <c r="K102" s="49">
        <f>AVERAGE('24.08 BUSITEMA-TORORO-24h'!K102,'27.08 BUSITEMA-TORORO-24h'!K102)</f>
        <v>0</v>
      </c>
      <c r="L102" s="49">
        <f>AVERAGE('24.08 BUSITEMA-TORORO-24h'!L102,'27.08 BUSITEMA-TORORO-24h'!L102)</f>
        <v>10.5</v>
      </c>
      <c r="M102" s="49">
        <f>AVERAGE('24.08 BUSITEMA-TORORO-24h'!M102,'27.08 BUSITEMA-TORORO-24h'!M102)</f>
        <v>1</v>
      </c>
      <c r="N102" s="49">
        <f>AVERAGE('24.08 BUSITEMA-TORORO-24h'!N102,'27.08 BUSITEMA-TORORO-24h'!N102)</f>
        <v>0</v>
      </c>
      <c r="O102" s="15">
        <f t="shared" si="35"/>
        <v>13.5</v>
      </c>
      <c r="P102" s="15">
        <f t="shared" si="36"/>
        <v>14.5</v>
      </c>
      <c r="R102" s="8"/>
      <c r="T102"/>
    </row>
    <row r="103" spans="2:20" ht="23.1" customHeight="1" x14ac:dyDescent="0.25">
      <c r="B103" s="23" t="s">
        <v>143</v>
      </c>
      <c r="C103" s="49">
        <f>AVERAGE('24.08 BUSITEMA-TORORO-24h'!C103,'27.08 BUSITEMA-TORORO-24h'!C103)</f>
        <v>0.5</v>
      </c>
      <c r="D103" s="49">
        <f>AVERAGE('24.08 BUSITEMA-TORORO-24h'!D103,'27.08 BUSITEMA-TORORO-24h'!D103)</f>
        <v>0</v>
      </c>
      <c r="E103" s="49">
        <f>AVERAGE('24.08 BUSITEMA-TORORO-24h'!E103,'27.08 BUSITEMA-TORORO-24h'!E103)</f>
        <v>0</v>
      </c>
      <c r="F103" s="49">
        <f>AVERAGE('24.08 BUSITEMA-TORORO-24h'!F103,'27.08 BUSITEMA-TORORO-24h'!F103)</f>
        <v>0</v>
      </c>
      <c r="G103" s="49">
        <f>AVERAGE('24.08 BUSITEMA-TORORO-24h'!G103,'27.08 BUSITEMA-TORORO-24h'!G103)</f>
        <v>0</v>
      </c>
      <c r="H103" s="49">
        <f>AVERAGE('24.08 BUSITEMA-TORORO-24h'!H103,'27.08 BUSITEMA-TORORO-24h'!H103)</f>
        <v>1</v>
      </c>
      <c r="I103" s="49">
        <f>AVERAGE('24.08 BUSITEMA-TORORO-24h'!I103,'27.08 BUSITEMA-TORORO-24h'!I103)</f>
        <v>0</v>
      </c>
      <c r="J103" s="49">
        <f>AVERAGE('24.08 BUSITEMA-TORORO-24h'!J103,'27.08 BUSITEMA-TORORO-24h'!J103)</f>
        <v>0</v>
      </c>
      <c r="K103" s="49">
        <f>AVERAGE('24.08 BUSITEMA-TORORO-24h'!K103,'27.08 BUSITEMA-TORORO-24h'!K103)</f>
        <v>0</v>
      </c>
      <c r="L103" s="49">
        <f>AVERAGE('24.08 BUSITEMA-TORORO-24h'!L103,'27.08 BUSITEMA-TORORO-24h'!L103)</f>
        <v>6</v>
      </c>
      <c r="M103" s="49">
        <f>AVERAGE('24.08 BUSITEMA-TORORO-24h'!M103,'27.08 BUSITEMA-TORORO-24h'!M103)</f>
        <v>2.5</v>
      </c>
      <c r="N103" s="49">
        <f>AVERAGE('24.08 BUSITEMA-TORORO-24h'!N103,'27.08 BUSITEMA-TORORO-24h'!N103)</f>
        <v>0</v>
      </c>
      <c r="O103" s="15">
        <f t="shared" si="35"/>
        <v>7.5</v>
      </c>
      <c r="P103" s="15">
        <f t="shared" si="36"/>
        <v>10</v>
      </c>
      <c r="R103" s="8"/>
      <c r="T103"/>
    </row>
    <row r="104" spans="2:20" ht="23.1" customHeight="1" x14ac:dyDescent="0.25">
      <c r="B104" s="25" t="s">
        <v>144</v>
      </c>
      <c r="C104" s="49">
        <f>AVERAGE('24.08 BUSITEMA-TORORO-24h'!C104,'27.08 BUSITEMA-TORORO-24h'!C104)</f>
        <v>0</v>
      </c>
      <c r="D104" s="49">
        <f>AVERAGE('24.08 BUSITEMA-TORORO-24h'!D104,'27.08 BUSITEMA-TORORO-24h'!D104)</f>
        <v>0</v>
      </c>
      <c r="E104" s="49">
        <f>AVERAGE('24.08 BUSITEMA-TORORO-24h'!E104,'27.08 BUSITEMA-TORORO-24h'!E104)</f>
        <v>0.5</v>
      </c>
      <c r="F104" s="49">
        <f>AVERAGE('24.08 BUSITEMA-TORORO-24h'!F104,'27.08 BUSITEMA-TORORO-24h'!F104)</f>
        <v>1</v>
      </c>
      <c r="G104" s="49">
        <f>AVERAGE('24.08 BUSITEMA-TORORO-24h'!G104,'27.08 BUSITEMA-TORORO-24h'!G104)</f>
        <v>0</v>
      </c>
      <c r="H104" s="49">
        <f>AVERAGE('24.08 BUSITEMA-TORORO-24h'!H104,'27.08 BUSITEMA-TORORO-24h'!H104)</f>
        <v>0</v>
      </c>
      <c r="I104" s="49">
        <f>AVERAGE('24.08 BUSITEMA-TORORO-24h'!I104,'27.08 BUSITEMA-TORORO-24h'!I104)</f>
        <v>0</v>
      </c>
      <c r="J104" s="49">
        <f>AVERAGE('24.08 BUSITEMA-TORORO-24h'!J104,'27.08 BUSITEMA-TORORO-24h'!J104)</f>
        <v>0</v>
      </c>
      <c r="K104" s="49">
        <f>AVERAGE('24.08 BUSITEMA-TORORO-24h'!K104,'27.08 BUSITEMA-TORORO-24h'!K104)</f>
        <v>1.5</v>
      </c>
      <c r="L104" s="49">
        <f>AVERAGE('24.08 BUSITEMA-TORORO-24h'!L104,'27.08 BUSITEMA-TORORO-24h'!L104)</f>
        <v>5.5</v>
      </c>
      <c r="M104" s="49">
        <f>AVERAGE('24.08 BUSITEMA-TORORO-24h'!M104,'27.08 BUSITEMA-TORORO-24h'!M104)</f>
        <v>0</v>
      </c>
      <c r="N104" s="49">
        <f>AVERAGE('24.08 BUSITEMA-TORORO-24h'!N104,'27.08 BUSITEMA-TORORO-24h'!N104)</f>
        <v>0</v>
      </c>
      <c r="O104" s="15">
        <f t="shared" si="35"/>
        <v>8.5</v>
      </c>
      <c r="P104" s="15">
        <f t="shared" si="36"/>
        <v>8.5</v>
      </c>
      <c r="R104" s="8"/>
      <c r="T104"/>
    </row>
    <row r="105" spans="2:20" ht="23.1" customHeight="1" x14ac:dyDescent="0.25">
      <c r="B105" s="23" t="s">
        <v>145</v>
      </c>
      <c r="C105" s="49">
        <f>AVERAGE('24.08 BUSITEMA-TORORO-24h'!C105,'27.08 BUSITEMA-TORORO-24h'!C105)</f>
        <v>0</v>
      </c>
      <c r="D105" s="49">
        <f>AVERAGE('24.08 BUSITEMA-TORORO-24h'!D105,'27.08 BUSITEMA-TORORO-24h'!D105)</f>
        <v>0</v>
      </c>
      <c r="E105" s="49">
        <f>AVERAGE('24.08 BUSITEMA-TORORO-24h'!E105,'27.08 BUSITEMA-TORORO-24h'!E105)</f>
        <v>0</v>
      </c>
      <c r="F105" s="49">
        <f>AVERAGE('24.08 BUSITEMA-TORORO-24h'!F105,'27.08 BUSITEMA-TORORO-24h'!F105)</f>
        <v>1.5</v>
      </c>
      <c r="G105" s="49">
        <f>AVERAGE('24.08 BUSITEMA-TORORO-24h'!G105,'27.08 BUSITEMA-TORORO-24h'!G105)</f>
        <v>0</v>
      </c>
      <c r="H105" s="49">
        <f>AVERAGE('24.08 BUSITEMA-TORORO-24h'!H105,'27.08 BUSITEMA-TORORO-24h'!H105)</f>
        <v>0</v>
      </c>
      <c r="I105" s="49">
        <f>AVERAGE('24.08 BUSITEMA-TORORO-24h'!I105,'27.08 BUSITEMA-TORORO-24h'!I105)</f>
        <v>0</v>
      </c>
      <c r="J105" s="49">
        <f>AVERAGE('24.08 BUSITEMA-TORORO-24h'!J105,'27.08 BUSITEMA-TORORO-24h'!J105)</f>
        <v>0</v>
      </c>
      <c r="K105" s="49">
        <f>AVERAGE('24.08 BUSITEMA-TORORO-24h'!K105,'27.08 BUSITEMA-TORORO-24h'!K105)</f>
        <v>7</v>
      </c>
      <c r="L105" s="49">
        <f>AVERAGE('24.08 BUSITEMA-TORORO-24h'!L105,'27.08 BUSITEMA-TORORO-24h'!L105)</f>
        <v>1.5</v>
      </c>
      <c r="M105" s="49">
        <f>AVERAGE('24.08 BUSITEMA-TORORO-24h'!M105,'27.08 BUSITEMA-TORORO-24h'!M105)</f>
        <v>2.5</v>
      </c>
      <c r="N105" s="49">
        <f>AVERAGE('24.08 BUSITEMA-TORORO-24h'!N105,'27.08 BUSITEMA-TORORO-24h'!N105)</f>
        <v>0</v>
      </c>
      <c r="O105" s="15">
        <f t="shared" si="35"/>
        <v>10</v>
      </c>
      <c r="P105" s="15">
        <f t="shared" si="36"/>
        <v>12.5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89.714285714285694</v>
      </c>
      <c r="D106" s="16">
        <f t="shared" ref="D106:P106" si="37">SUM(D10:D105)</f>
        <v>138.64285714285717</v>
      </c>
      <c r="E106" s="16">
        <f t="shared" si="37"/>
        <v>59.357142857142861</v>
      </c>
      <c r="F106" s="16">
        <f t="shared" si="37"/>
        <v>212.21428571428572</v>
      </c>
      <c r="G106" s="16">
        <f t="shared" si="37"/>
        <v>4.7142857142857135</v>
      </c>
      <c r="H106" s="16">
        <f t="shared" si="37"/>
        <v>9.7857142857142847</v>
      </c>
      <c r="I106" s="16">
        <f t="shared" si="37"/>
        <v>54.357142857142861</v>
      </c>
      <c r="J106" s="16">
        <f t="shared" si="37"/>
        <v>36.357142857142854</v>
      </c>
      <c r="K106" s="16">
        <f t="shared" si="37"/>
        <v>66.642857142857139</v>
      </c>
      <c r="L106" s="16">
        <f t="shared" si="37"/>
        <v>773.49999999999989</v>
      </c>
      <c r="M106" s="16">
        <f t="shared" si="37"/>
        <v>332.49999999999994</v>
      </c>
      <c r="N106" s="16">
        <f t="shared" si="37"/>
        <v>0.42857142857142855</v>
      </c>
      <c r="O106" s="16">
        <f t="shared" si="37"/>
        <v>1445.7142857142858</v>
      </c>
      <c r="P106" s="16">
        <f t="shared" si="37"/>
        <v>1778.2142857142856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5.0451897971480211E-2</v>
      </c>
      <c r="D107" s="43">
        <f t="shared" si="38"/>
        <v>7.7967463346053451E-2</v>
      </c>
      <c r="E107" s="43">
        <f t="shared" si="38"/>
        <v>3.338019682667203E-2</v>
      </c>
      <c r="F107" s="43">
        <f t="shared" si="38"/>
        <v>0.1193412331793533</v>
      </c>
      <c r="G107" s="43">
        <f t="shared" si="38"/>
        <v>2.6511347660172725E-3</v>
      </c>
      <c r="H107" s="43">
        <f t="shared" si="38"/>
        <v>5.5031130749146418E-3</v>
      </c>
      <c r="I107" s="43">
        <f t="shared" si="38"/>
        <v>3.0568387226350677E-2</v>
      </c>
      <c r="J107" s="43">
        <f t="shared" si="38"/>
        <v>2.0445872665193814E-2</v>
      </c>
      <c r="K107" s="43">
        <f t="shared" si="38"/>
        <v>3.7477405101425991E-2</v>
      </c>
      <c r="L107" s="43">
        <f t="shared" si="38"/>
        <v>0.43498694516971276</v>
      </c>
      <c r="M107" s="43">
        <f t="shared" si="38"/>
        <v>0.18698533842136975</v>
      </c>
      <c r="N107" s="43">
        <f t="shared" si="38"/>
        <v>2.410122514561157E-4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6.2055335968379428E-2</v>
      </c>
      <c r="D108" s="44">
        <f t="shared" ref="D108:N108" si="39">D106/$O$106</f>
        <v>9.5899209486166023E-2</v>
      </c>
      <c r="E108" s="44">
        <f t="shared" si="39"/>
        <v>4.1057312252964426E-2</v>
      </c>
      <c r="F108" s="44">
        <f t="shared" si="39"/>
        <v>0.1467885375494071</v>
      </c>
      <c r="G108" s="44">
        <f t="shared" si="39"/>
        <v>3.2608695652173907E-3</v>
      </c>
      <c r="H108" s="44">
        <f t="shared" si="39"/>
        <v>6.7687747035573113E-3</v>
      </c>
      <c r="I108" s="44">
        <f t="shared" si="39"/>
        <v>3.759881422924901E-2</v>
      </c>
      <c r="J108" s="44">
        <f t="shared" si="39"/>
        <v>2.5148221343873515E-2</v>
      </c>
      <c r="K108" s="44">
        <f t="shared" si="39"/>
        <v>4.6096837944664029E-2</v>
      </c>
      <c r="L108" s="44">
        <f t="shared" si="39"/>
        <v>0.53502964426877464</v>
      </c>
      <c r="M108" s="44"/>
      <c r="N108" s="44">
        <f t="shared" si="39"/>
        <v>2.9644268774703554E-4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S102" sqref="S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'28.08 TORORO-BUSITEMA'!G5:H5</f>
        <v>STATION 98</v>
      </c>
      <c r="H5" s="64"/>
      <c r="I5" s="14"/>
      <c r="J5" s="2" t="s">
        <v>5</v>
      </c>
      <c r="K5" s="63" t="str">
        <f>'28.08 TORORO-BUSITEMA'!K5:L5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'28.08 TORORO-BUSITEMA'!D6:E6</f>
        <v>BUSITEMA</v>
      </c>
      <c r="E6" s="64"/>
      <c r="F6" s="2" t="s">
        <v>2</v>
      </c>
      <c r="G6" s="63" t="str">
        <f>'28.08 TORORO-BUSITEMA'!G6:H6</f>
        <v>TORORO</v>
      </c>
      <c r="H6" s="64"/>
      <c r="J6" s="2" t="s">
        <v>21</v>
      </c>
      <c r="K6" s="63" t="str">
        <f>'28.08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AVERAGE('22.08 BUSITEMA-TORORO'!C10,'23.08 TORORO-BUSITEMA'!C10,'25.08 TORORO-BUSITEMA'!C10,'26.08 TORORO-BUSITEMA'!C10,'24.08 TORORO-BUSITEMA-24h'!C10,'27.08 BUSITEMA-TORORO-24h'!C10,'28.08 TORORO-BUSITEMA'!C10)</f>
        <v>1</v>
      </c>
      <c r="D10" s="49">
        <f>AVERAGE('22.08 BUSITEMA-TORORO'!D10,'23.08 TORORO-BUSITEMA'!D10,'25.08 TORORO-BUSITEMA'!D10,'26.08 TORORO-BUSITEMA'!D10,'24.08 TORORO-BUSITEMA-24h'!D10,'27.08 BUSITEMA-TORORO-24h'!D10,'28.08 TORORO-BUSITEMA'!D10)</f>
        <v>0.5714285714285714</v>
      </c>
      <c r="E10" s="49">
        <f>AVERAGE('22.08 BUSITEMA-TORORO'!E10,'23.08 TORORO-BUSITEMA'!E10,'25.08 TORORO-BUSITEMA'!E10,'26.08 TORORO-BUSITEMA'!E10,'24.08 TORORO-BUSITEMA-24h'!E10,'27.08 BUSITEMA-TORORO-24h'!E10,'28.08 TORORO-BUSITEMA'!E10)</f>
        <v>0.42857142857142855</v>
      </c>
      <c r="F10" s="49">
        <f>AVERAGE('22.08 BUSITEMA-TORORO'!F10,'23.08 TORORO-BUSITEMA'!F10,'25.08 TORORO-BUSITEMA'!F10,'26.08 TORORO-BUSITEMA'!F10,'24.08 TORORO-BUSITEMA-24h'!F10,'27.08 BUSITEMA-TORORO-24h'!F10,'28.08 TORORO-BUSITEMA'!F10)</f>
        <v>2.4285714285714284</v>
      </c>
      <c r="G10" s="49">
        <f>AVERAGE('22.08 BUSITEMA-TORORO'!G10,'23.08 TORORO-BUSITEMA'!G10,'25.08 TORORO-BUSITEMA'!G10,'26.08 TORORO-BUSITEMA'!G10,'24.08 TORORO-BUSITEMA-24h'!G10,'27.08 BUSITEMA-TORORO-24h'!G10,'28.08 TORORO-BUSITEMA'!G10)</f>
        <v>0.14285714285714285</v>
      </c>
      <c r="H10" s="49">
        <f>AVERAGE('22.08 BUSITEMA-TORORO'!H10,'23.08 TORORO-BUSITEMA'!H10,'25.08 TORORO-BUSITEMA'!H10,'26.08 TORORO-BUSITEMA'!H10,'24.08 TORORO-BUSITEMA-24h'!H10,'27.08 BUSITEMA-TORORO-24h'!H10,'28.08 TORORO-BUSITEMA'!H10)</f>
        <v>0.14285714285714285</v>
      </c>
      <c r="I10" s="49">
        <f>AVERAGE('22.08 BUSITEMA-TORORO'!I10,'23.08 TORORO-BUSITEMA'!I10,'25.08 TORORO-BUSITEMA'!I10,'26.08 TORORO-BUSITEMA'!I10,'24.08 TORORO-BUSITEMA-24h'!I10,'27.08 BUSITEMA-TORORO-24h'!I10,'28.08 TORORO-BUSITEMA'!I10)</f>
        <v>0.14285714285714285</v>
      </c>
      <c r="J10" s="49">
        <f>AVERAGE('22.08 BUSITEMA-TORORO'!J10,'23.08 TORORO-BUSITEMA'!J10,'25.08 TORORO-BUSITEMA'!J10,'26.08 TORORO-BUSITEMA'!J10,'24.08 TORORO-BUSITEMA-24h'!J10,'27.08 BUSITEMA-TORORO-24h'!J10,'28.08 TORORO-BUSITEMA'!J10)</f>
        <v>0.42857142857142855</v>
      </c>
      <c r="K10" s="49">
        <f>AVERAGE('22.08 BUSITEMA-TORORO'!K10,'23.08 TORORO-BUSITEMA'!K10,'25.08 TORORO-BUSITEMA'!K10,'26.08 TORORO-BUSITEMA'!K10,'24.08 TORORO-BUSITEMA-24h'!K10,'27.08 BUSITEMA-TORORO-24h'!K10,'28.08 TORORO-BUSITEMA'!K10)</f>
        <v>1.2857142857142858</v>
      </c>
      <c r="L10" s="49">
        <f>AVERAGE('22.08 BUSITEMA-TORORO'!L10,'23.08 TORORO-BUSITEMA'!L10,'25.08 TORORO-BUSITEMA'!L10,'26.08 TORORO-BUSITEMA'!L10,'24.08 TORORO-BUSITEMA-24h'!L10,'27.08 BUSITEMA-TORORO-24h'!L10,'28.08 TORORO-BUSITEMA'!L10)</f>
        <v>11.857142857142858</v>
      </c>
      <c r="M10" s="49">
        <f>AVERAGE('22.08 BUSITEMA-TORORO'!M10,'23.08 TORORO-BUSITEMA'!M10,'25.08 TORORO-BUSITEMA'!M10,'26.08 TORORO-BUSITEMA'!M10,'24.08 TORORO-BUSITEMA-24h'!M10,'27.08 BUSITEMA-TORORO-24h'!M10,'28.08 TORORO-BUSITEMA'!M10)</f>
        <v>1.8571428571428572</v>
      </c>
      <c r="N10" s="49">
        <f>AVERAGE('22.08 BUSITEMA-TORORO'!N10,'23.08 TORORO-BUSITEMA'!N10,'25.08 TORORO-BUSITEMA'!N10,'26.08 TORORO-BUSITEMA'!N10,'24.08 TORORO-BUSITEMA-24h'!N10,'27.08 BUSITEMA-TORORO-24h'!N10,'28.08 TORORO-BUSITEMA'!N10)</f>
        <v>0</v>
      </c>
      <c r="O10" s="15">
        <f t="shared" ref="O10:O73" si="0">SUM(C10:L10,N10)</f>
        <v>18.428571428571431</v>
      </c>
      <c r="P10" s="15">
        <f t="shared" ref="P10:P73" si="1">SUM(C10:N10)</f>
        <v>20.285714285714288</v>
      </c>
      <c r="R10" s="1" t="s">
        <v>6</v>
      </c>
      <c r="S10" s="17">
        <f t="shared" ref="S10:AF10" si="2">SUM(C10:C13)</f>
        <v>2.4285714285714284</v>
      </c>
      <c r="T10" s="17">
        <f t="shared" si="2"/>
        <v>3</v>
      </c>
      <c r="U10" s="17">
        <f t="shared" si="2"/>
        <v>3.5714285714285716</v>
      </c>
      <c r="V10" s="17">
        <f t="shared" si="2"/>
        <v>8.2857142857142847</v>
      </c>
      <c r="W10" s="17">
        <f t="shared" si="2"/>
        <v>0.2857142857142857</v>
      </c>
      <c r="X10" s="17">
        <f t="shared" si="2"/>
        <v>0.5714285714285714</v>
      </c>
      <c r="Y10" s="17">
        <f t="shared" si="2"/>
        <v>0.71428571428571419</v>
      </c>
      <c r="Z10" s="17">
        <f t="shared" si="2"/>
        <v>1</v>
      </c>
      <c r="AA10" s="17">
        <f t="shared" si="2"/>
        <v>3.7142857142857144</v>
      </c>
      <c r="AB10" s="17">
        <f t="shared" si="2"/>
        <v>42.285714285714285</v>
      </c>
      <c r="AC10" s="17">
        <f t="shared" si="2"/>
        <v>6.8571428571428577</v>
      </c>
      <c r="AD10" s="17">
        <f t="shared" si="2"/>
        <v>0</v>
      </c>
      <c r="AE10" s="31">
        <f t="shared" si="2"/>
        <v>65.857142857142861</v>
      </c>
      <c r="AF10" s="31">
        <f t="shared" si="2"/>
        <v>72.714285714285722</v>
      </c>
    </row>
    <row r="11" spans="2:32" s="6" customFormat="1" ht="23.1" customHeight="1" x14ac:dyDescent="0.25">
      <c r="B11" s="23" t="s">
        <v>38</v>
      </c>
      <c r="C11" s="49">
        <f>AVERAGE('22.08 BUSITEMA-TORORO'!C11,'23.08 TORORO-BUSITEMA'!C11,'25.08 TORORO-BUSITEMA'!C11,'26.08 TORORO-BUSITEMA'!C11,'24.08 TORORO-BUSITEMA-24h'!C11,'27.08 BUSITEMA-TORORO-24h'!C11,'28.08 TORORO-BUSITEMA'!C11)</f>
        <v>0</v>
      </c>
      <c r="D11" s="49">
        <f>AVERAGE('22.08 BUSITEMA-TORORO'!D11,'23.08 TORORO-BUSITEMA'!D11,'25.08 TORORO-BUSITEMA'!D11,'26.08 TORORO-BUSITEMA'!D11,'24.08 TORORO-BUSITEMA-24h'!D11,'27.08 BUSITEMA-TORORO-24h'!D11,'28.08 TORORO-BUSITEMA'!D11)</f>
        <v>0.5714285714285714</v>
      </c>
      <c r="E11" s="49">
        <f>AVERAGE('22.08 BUSITEMA-TORORO'!E11,'23.08 TORORO-BUSITEMA'!E11,'25.08 TORORO-BUSITEMA'!E11,'26.08 TORORO-BUSITEMA'!E11,'24.08 TORORO-BUSITEMA-24h'!E11,'27.08 BUSITEMA-TORORO-24h'!E11,'28.08 TORORO-BUSITEMA'!E11)</f>
        <v>1.4285714285714286</v>
      </c>
      <c r="F11" s="49">
        <f>AVERAGE('22.08 BUSITEMA-TORORO'!F11,'23.08 TORORO-BUSITEMA'!F11,'25.08 TORORO-BUSITEMA'!F11,'26.08 TORORO-BUSITEMA'!F11,'24.08 TORORO-BUSITEMA-24h'!F11,'27.08 BUSITEMA-TORORO-24h'!F11,'28.08 TORORO-BUSITEMA'!F11)</f>
        <v>1.8571428571428572</v>
      </c>
      <c r="G11" s="49">
        <f>AVERAGE('22.08 BUSITEMA-TORORO'!G11,'23.08 TORORO-BUSITEMA'!G11,'25.08 TORORO-BUSITEMA'!G11,'26.08 TORORO-BUSITEMA'!G11,'24.08 TORORO-BUSITEMA-24h'!G11,'27.08 BUSITEMA-TORORO-24h'!G11,'28.08 TORORO-BUSITEMA'!G11)</f>
        <v>0</v>
      </c>
      <c r="H11" s="49">
        <f>AVERAGE('22.08 BUSITEMA-TORORO'!H11,'23.08 TORORO-BUSITEMA'!H11,'25.08 TORORO-BUSITEMA'!H11,'26.08 TORORO-BUSITEMA'!H11,'24.08 TORORO-BUSITEMA-24h'!H11,'27.08 BUSITEMA-TORORO-24h'!H11,'28.08 TORORO-BUSITEMA'!H11)</f>
        <v>0.42857142857142855</v>
      </c>
      <c r="I11" s="49">
        <f>AVERAGE('22.08 BUSITEMA-TORORO'!I11,'23.08 TORORO-BUSITEMA'!I11,'25.08 TORORO-BUSITEMA'!I11,'26.08 TORORO-BUSITEMA'!I11,'24.08 TORORO-BUSITEMA-24h'!I11,'27.08 BUSITEMA-TORORO-24h'!I11,'28.08 TORORO-BUSITEMA'!I11)</f>
        <v>0.14285714285714285</v>
      </c>
      <c r="J11" s="49">
        <f>AVERAGE('22.08 BUSITEMA-TORORO'!J11,'23.08 TORORO-BUSITEMA'!J11,'25.08 TORORO-BUSITEMA'!J11,'26.08 TORORO-BUSITEMA'!J11,'24.08 TORORO-BUSITEMA-24h'!J11,'27.08 BUSITEMA-TORORO-24h'!J11,'28.08 TORORO-BUSITEMA'!J11)</f>
        <v>0.14285714285714285</v>
      </c>
      <c r="K11" s="49">
        <f>AVERAGE('22.08 BUSITEMA-TORORO'!K11,'23.08 TORORO-BUSITEMA'!K11,'25.08 TORORO-BUSITEMA'!K11,'26.08 TORORO-BUSITEMA'!K11,'24.08 TORORO-BUSITEMA-24h'!K11,'27.08 BUSITEMA-TORORO-24h'!K11,'28.08 TORORO-BUSITEMA'!K11)</f>
        <v>1.5714285714285714</v>
      </c>
      <c r="L11" s="49">
        <f>AVERAGE('22.08 BUSITEMA-TORORO'!L11,'23.08 TORORO-BUSITEMA'!L11,'25.08 TORORO-BUSITEMA'!L11,'26.08 TORORO-BUSITEMA'!L11,'24.08 TORORO-BUSITEMA-24h'!L11,'27.08 BUSITEMA-TORORO-24h'!L11,'28.08 TORORO-BUSITEMA'!L11)</f>
        <v>10.571428571428571</v>
      </c>
      <c r="M11" s="49">
        <f>AVERAGE('22.08 BUSITEMA-TORORO'!M11,'23.08 TORORO-BUSITEMA'!M11,'25.08 TORORO-BUSITEMA'!M11,'26.08 TORORO-BUSITEMA'!M11,'24.08 TORORO-BUSITEMA-24h'!M11,'27.08 BUSITEMA-TORORO-24h'!M11,'28.08 TORORO-BUSITEMA'!M11)</f>
        <v>1.8571428571428572</v>
      </c>
      <c r="N11" s="49">
        <f>AVERAGE('22.08 BUSITEMA-TORORO'!N11,'23.08 TORORO-BUSITEMA'!N11,'25.08 TORORO-BUSITEMA'!N11,'26.08 TORORO-BUSITEMA'!N11,'24.08 TORORO-BUSITEMA-24h'!N11,'27.08 BUSITEMA-TORORO-24h'!N11,'28.08 TORORO-BUSITEMA'!N11)</f>
        <v>0</v>
      </c>
      <c r="O11" s="15">
        <f t="shared" si="0"/>
        <v>16.714285714285715</v>
      </c>
      <c r="P11" s="15">
        <f t="shared" si="1"/>
        <v>18.571428571428573</v>
      </c>
      <c r="R11" s="1" t="s">
        <v>7</v>
      </c>
      <c r="S11" s="17">
        <f t="shared" ref="S11:AF11" si="3">SUM(C14:C17)</f>
        <v>3.8571428571428572</v>
      </c>
      <c r="T11" s="17">
        <f t="shared" si="3"/>
        <v>6.4285714285714288</v>
      </c>
      <c r="U11" s="17">
        <f t="shared" si="3"/>
        <v>2.2857142857142856</v>
      </c>
      <c r="V11" s="17">
        <f t="shared" si="3"/>
        <v>9.8571428571428559</v>
      </c>
      <c r="W11" s="17">
        <f t="shared" si="3"/>
        <v>0.42857142857142855</v>
      </c>
      <c r="X11" s="17">
        <f t="shared" si="3"/>
        <v>0.14285714285714285</v>
      </c>
      <c r="Y11" s="17">
        <f t="shared" si="3"/>
        <v>1.1428571428571428</v>
      </c>
      <c r="Z11" s="17">
        <f t="shared" si="3"/>
        <v>1.2857142857142856</v>
      </c>
      <c r="AA11" s="17">
        <f t="shared" si="3"/>
        <v>3</v>
      </c>
      <c r="AB11" s="17">
        <f t="shared" si="3"/>
        <v>25.857142857142854</v>
      </c>
      <c r="AC11" s="17">
        <f t="shared" si="3"/>
        <v>12</v>
      </c>
      <c r="AD11" s="17">
        <f t="shared" si="3"/>
        <v>0</v>
      </c>
      <c r="AE11" s="31">
        <f t="shared" si="3"/>
        <v>54.285714285714292</v>
      </c>
      <c r="AF11" s="31">
        <f t="shared" si="3"/>
        <v>66.285714285714292</v>
      </c>
    </row>
    <row r="12" spans="2:32" ht="23.1" customHeight="1" x14ac:dyDescent="0.25">
      <c r="B12" s="23" t="s">
        <v>39</v>
      </c>
      <c r="C12" s="49">
        <f>AVERAGE('22.08 BUSITEMA-TORORO'!C12,'23.08 TORORO-BUSITEMA'!C12,'25.08 TORORO-BUSITEMA'!C12,'26.08 TORORO-BUSITEMA'!C12,'24.08 TORORO-BUSITEMA-24h'!C12,'27.08 BUSITEMA-TORORO-24h'!C12,'28.08 TORORO-BUSITEMA'!C12)</f>
        <v>0.5714285714285714</v>
      </c>
      <c r="D12" s="49">
        <f>AVERAGE('22.08 BUSITEMA-TORORO'!D12,'23.08 TORORO-BUSITEMA'!D12,'25.08 TORORO-BUSITEMA'!D12,'26.08 TORORO-BUSITEMA'!D12,'24.08 TORORO-BUSITEMA-24h'!D12,'27.08 BUSITEMA-TORORO-24h'!D12,'28.08 TORORO-BUSITEMA'!D12)</f>
        <v>1.2857142857142858</v>
      </c>
      <c r="E12" s="49">
        <f>AVERAGE('22.08 BUSITEMA-TORORO'!E12,'23.08 TORORO-BUSITEMA'!E12,'25.08 TORORO-BUSITEMA'!E12,'26.08 TORORO-BUSITEMA'!E12,'24.08 TORORO-BUSITEMA-24h'!E12,'27.08 BUSITEMA-TORORO-24h'!E12,'28.08 TORORO-BUSITEMA'!E12)</f>
        <v>1</v>
      </c>
      <c r="F12" s="49">
        <f>AVERAGE('22.08 BUSITEMA-TORORO'!F12,'23.08 TORORO-BUSITEMA'!F12,'25.08 TORORO-BUSITEMA'!F12,'26.08 TORORO-BUSITEMA'!F12,'24.08 TORORO-BUSITEMA-24h'!F12,'27.08 BUSITEMA-TORORO-24h'!F12,'28.08 TORORO-BUSITEMA'!F12)</f>
        <v>2.8571428571428572</v>
      </c>
      <c r="G12" s="49">
        <f>AVERAGE('22.08 BUSITEMA-TORORO'!G12,'23.08 TORORO-BUSITEMA'!G12,'25.08 TORORO-BUSITEMA'!G12,'26.08 TORORO-BUSITEMA'!G12,'24.08 TORORO-BUSITEMA-24h'!G12,'27.08 BUSITEMA-TORORO-24h'!G12,'28.08 TORORO-BUSITEMA'!G12)</f>
        <v>0</v>
      </c>
      <c r="H12" s="49">
        <f>AVERAGE('22.08 BUSITEMA-TORORO'!H12,'23.08 TORORO-BUSITEMA'!H12,'25.08 TORORO-BUSITEMA'!H12,'26.08 TORORO-BUSITEMA'!H12,'24.08 TORORO-BUSITEMA-24h'!H12,'27.08 BUSITEMA-TORORO-24h'!H12,'28.08 TORORO-BUSITEMA'!H12)</f>
        <v>0</v>
      </c>
      <c r="I12" s="49">
        <f>AVERAGE('22.08 BUSITEMA-TORORO'!I12,'23.08 TORORO-BUSITEMA'!I12,'25.08 TORORO-BUSITEMA'!I12,'26.08 TORORO-BUSITEMA'!I12,'24.08 TORORO-BUSITEMA-24h'!I12,'27.08 BUSITEMA-TORORO-24h'!I12,'28.08 TORORO-BUSITEMA'!I12)</f>
        <v>0.14285714285714285</v>
      </c>
      <c r="J12" s="49">
        <f>AVERAGE('22.08 BUSITEMA-TORORO'!J12,'23.08 TORORO-BUSITEMA'!J12,'25.08 TORORO-BUSITEMA'!J12,'26.08 TORORO-BUSITEMA'!J12,'24.08 TORORO-BUSITEMA-24h'!J12,'27.08 BUSITEMA-TORORO-24h'!J12,'28.08 TORORO-BUSITEMA'!J12)</f>
        <v>0.2857142857142857</v>
      </c>
      <c r="K12" s="49">
        <f>AVERAGE('22.08 BUSITEMA-TORORO'!K12,'23.08 TORORO-BUSITEMA'!K12,'25.08 TORORO-BUSITEMA'!K12,'26.08 TORORO-BUSITEMA'!K12,'24.08 TORORO-BUSITEMA-24h'!K12,'27.08 BUSITEMA-TORORO-24h'!K12,'28.08 TORORO-BUSITEMA'!K12)</f>
        <v>0.5714285714285714</v>
      </c>
      <c r="L12" s="49">
        <f>AVERAGE('22.08 BUSITEMA-TORORO'!L12,'23.08 TORORO-BUSITEMA'!L12,'25.08 TORORO-BUSITEMA'!L12,'26.08 TORORO-BUSITEMA'!L12,'24.08 TORORO-BUSITEMA-24h'!L12,'27.08 BUSITEMA-TORORO-24h'!L12,'28.08 TORORO-BUSITEMA'!L12)</f>
        <v>12</v>
      </c>
      <c r="M12" s="49">
        <f>AVERAGE('22.08 BUSITEMA-TORORO'!M12,'23.08 TORORO-BUSITEMA'!M12,'25.08 TORORO-BUSITEMA'!M12,'26.08 TORORO-BUSITEMA'!M12,'24.08 TORORO-BUSITEMA-24h'!M12,'27.08 BUSITEMA-TORORO-24h'!M12,'28.08 TORORO-BUSITEMA'!M12)</f>
        <v>1.1428571428571428</v>
      </c>
      <c r="N12" s="49">
        <f>AVERAGE('22.08 BUSITEMA-TORORO'!N12,'23.08 TORORO-BUSITEMA'!N12,'25.08 TORORO-BUSITEMA'!N12,'26.08 TORORO-BUSITEMA'!N12,'24.08 TORORO-BUSITEMA-24h'!N12,'27.08 BUSITEMA-TORORO-24h'!N12,'28.08 TORORO-BUSITEMA'!N12)</f>
        <v>0</v>
      </c>
      <c r="O12" s="15">
        <f t="shared" si="0"/>
        <v>18.714285714285715</v>
      </c>
      <c r="P12" s="15">
        <f t="shared" si="1"/>
        <v>19.857142857142858</v>
      </c>
      <c r="R12" s="1" t="s">
        <v>8</v>
      </c>
      <c r="S12" s="17">
        <f t="shared" ref="S12:AF12" si="4">SUM(C18:C21)</f>
        <v>4.2857142857142856</v>
      </c>
      <c r="T12" s="17">
        <f t="shared" si="4"/>
        <v>9.5714285714285694</v>
      </c>
      <c r="U12" s="17">
        <f t="shared" si="4"/>
        <v>3.1428571428571428</v>
      </c>
      <c r="V12" s="17">
        <f t="shared" si="4"/>
        <v>12.285714285714286</v>
      </c>
      <c r="W12" s="17">
        <f t="shared" si="4"/>
        <v>0.71428571428571419</v>
      </c>
      <c r="X12" s="17">
        <f t="shared" si="4"/>
        <v>0.42857142857142855</v>
      </c>
      <c r="Y12" s="17">
        <f t="shared" si="4"/>
        <v>2</v>
      </c>
      <c r="Z12" s="17">
        <f t="shared" si="4"/>
        <v>1.857142857142857</v>
      </c>
      <c r="AA12" s="17">
        <f t="shared" si="4"/>
        <v>1</v>
      </c>
      <c r="AB12" s="17">
        <f t="shared" si="4"/>
        <v>28.571428571428573</v>
      </c>
      <c r="AC12" s="17">
        <f t="shared" si="4"/>
        <v>14.714285714285715</v>
      </c>
      <c r="AD12" s="17">
        <f t="shared" si="4"/>
        <v>0</v>
      </c>
      <c r="AE12" s="31">
        <f t="shared" si="4"/>
        <v>63.857142857142861</v>
      </c>
      <c r="AF12" s="31">
        <f t="shared" si="4"/>
        <v>78.571428571428584</v>
      </c>
    </row>
    <row r="13" spans="2:32" ht="23.1" customHeight="1" x14ac:dyDescent="0.25">
      <c r="B13" s="23" t="s">
        <v>40</v>
      </c>
      <c r="C13" s="49">
        <f>AVERAGE('22.08 BUSITEMA-TORORO'!C13,'23.08 TORORO-BUSITEMA'!C13,'25.08 TORORO-BUSITEMA'!C13,'26.08 TORORO-BUSITEMA'!C13,'24.08 TORORO-BUSITEMA-24h'!C13,'27.08 BUSITEMA-TORORO-24h'!C13,'28.08 TORORO-BUSITEMA'!C13)</f>
        <v>0.8571428571428571</v>
      </c>
      <c r="D13" s="49">
        <f>AVERAGE('22.08 BUSITEMA-TORORO'!D13,'23.08 TORORO-BUSITEMA'!D13,'25.08 TORORO-BUSITEMA'!D13,'26.08 TORORO-BUSITEMA'!D13,'24.08 TORORO-BUSITEMA-24h'!D13,'27.08 BUSITEMA-TORORO-24h'!D13,'28.08 TORORO-BUSITEMA'!D13)</f>
        <v>0.5714285714285714</v>
      </c>
      <c r="E13" s="49">
        <f>AVERAGE('22.08 BUSITEMA-TORORO'!E13,'23.08 TORORO-BUSITEMA'!E13,'25.08 TORORO-BUSITEMA'!E13,'26.08 TORORO-BUSITEMA'!E13,'24.08 TORORO-BUSITEMA-24h'!E13,'27.08 BUSITEMA-TORORO-24h'!E13,'28.08 TORORO-BUSITEMA'!E13)</f>
        <v>0.7142857142857143</v>
      </c>
      <c r="F13" s="49">
        <f>AVERAGE('22.08 BUSITEMA-TORORO'!F13,'23.08 TORORO-BUSITEMA'!F13,'25.08 TORORO-BUSITEMA'!F13,'26.08 TORORO-BUSITEMA'!F13,'24.08 TORORO-BUSITEMA-24h'!F13,'27.08 BUSITEMA-TORORO-24h'!F13,'28.08 TORORO-BUSITEMA'!F13)</f>
        <v>1.1428571428571428</v>
      </c>
      <c r="G13" s="49">
        <f>AVERAGE('22.08 BUSITEMA-TORORO'!G13,'23.08 TORORO-BUSITEMA'!G13,'25.08 TORORO-BUSITEMA'!G13,'26.08 TORORO-BUSITEMA'!G13,'24.08 TORORO-BUSITEMA-24h'!G13,'27.08 BUSITEMA-TORORO-24h'!G13,'28.08 TORORO-BUSITEMA'!G13)</f>
        <v>0.14285714285714285</v>
      </c>
      <c r="H13" s="49">
        <f>AVERAGE('22.08 BUSITEMA-TORORO'!H13,'23.08 TORORO-BUSITEMA'!H13,'25.08 TORORO-BUSITEMA'!H13,'26.08 TORORO-BUSITEMA'!H13,'24.08 TORORO-BUSITEMA-24h'!H13,'27.08 BUSITEMA-TORORO-24h'!H13,'28.08 TORORO-BUSITEMA'!H13)</f>
        <v>0</v>
      </c>
      <c r="I13" s="49">
        <f>AVERAGE('22.08 BUSITEMA-TORORO'!I13,'23.08 TORORO-BUSITEMA'!I13,'25.08 TORORO-BUSITEMA'!I13,'26.08 TORORO-BUSITEMA'!I13,'24.08 TORORO-BUSITEMA-24h'!I13,'27.08 BUSITEMA-TORORO-24h'!I13,'28.08 TORORO-BUSITEMA'!I13)</f>
        <v>0.2857142857142857</v>
      </c>
      <c r="J13" s="49">
        <f>AVERAGE('22.08 BUSITEMA-TORORO'!J13,'23.08 TORORO-BUSITEMA'!J13,'25.08 TORORO-BUSITEMA'!J13,'26.08 TORORO-BUSITEMA'!J13,'24.08 TORORO-BUSITEMA-24h'!J13,'27.08 BUSITEMA-TORORO-24h'!J13,'28.08 TORORO-BUSITEMA'!J13)</f>
        <v>0.14285714285714285</v>
      </c>
      <c r="K13" s="49">
        <f>AVERAGE('22.08 BUSITEMA-TORORO'!K13,'23.08 TORORO-BUSITEMA'!K13,'25.08 TORORO-BUSITEMA'!K13,'26.08 TORORO-BUSITEMA'!K13,'24.08 TORORO-BUSITEMA-24h'!K13,'27.08 BUSITEMA-TORORO-24h'!K13,'28.08 TORORO-BUSITEMA'!K13)</f>
        <v>0.2857142857142857</v>
      </c>
      <c r="L13" s="49">
        <f>AVERAGE('22.08 BUSITEMA-TORORO'!L13,'23.08 TORORO-BUSITEMA'!L13,'25.08 TORORO-BUSITEMA'!L13,'26.08 TORORO-BUSITEMA'!L13,'24.08 TORORO-BUSITEMA-24h'!L13,'27.08 BUSITEMA-TORORO-24h'!L13,'28.08 TORORO-BUSITEMA'!L13)</f>
        <v>7.8571428571428568</v>
      </c>
      <c r="M13" s="49">
        <f>AVERAGE('22.08 BUSITEMA-TORORO'!M13,'23.08 TORORO-BUSITEMA'!M13,'25.08 TORORO-BUSITEMA'!M13,'26.08 TORORO-BUSITEMA'!M13,'24.08 TORORO-BUSITEMA-24h'!M13,'27.08 BUSITEMA-TORORO-24h'!M13,'28.08 TORORO-BUSITEMA'!M13)</f>
        <v>2</v>
      </c>
      <c r="N13" s="49">
        <f>AVERAGE('22.08 BUSITEMA-TORORO'!N13,'23.08 TORORO-BUSITEMA'!N13,'25.08 TORORO-BUSITEMA'!N13,'26.08 TORORO-BUSITEMA'!N13,'24.08 TORORO-BUSITEMA-24h'!N13,'27.08 BUSITEMA-TORORO-24h'!N13,'28.08 TORORO-BUSITEMA'!N13)</f>
        <v>0</v>
      </c>
      <c r="O13" s="15">
        <f t="shared" si="0"/>
        <v>12</v>
      </c>
      <c r="P13" s="15">
        <f t="shared" si="1"/>
        <v>14</v>
      </c>
      <c r="R13" s="1" t="s">
        <v>9</v>
      </c>
      <c r="S13" s="17">
        <f t="shared" ref="S13:AF13" si="5">SUM(C22:C25)</f>
        <v>10.714285714285715</v>
      </c>
      <c r="T13" s="17">
        <f t="shared" si="5"/>
        <v>7.2857142857142865</v>
      </c>
      <c r="U13" s="17">
        <f t="shared" si="5"/>
        <v>4.5714285714285712</v>
      </c>
      <c r="V13" s="17">
        <f t="shared" si="5"/>
        <v>14.285714285714285</v>
      </c>
      <c r="W13" s="17">
        <f t="shared" si="5"/>
        <v>0.14285714285714285</v>
      </c>
      <c r="X13" s="17">
        <f t="shared" si="5"/>
        <v>0.14285714285714285</v>
      </c>
      <c r="Y13" s="17">
        <f t="shared" si="5"/>
        <v>2.8571428571428568</v>
      </c>
      <c r="Z13" s="17">
        <f t="shared" si="5"/>
        <v>1.857142857142857</v>
      </c>
      <c r="AA13" s="17">
        <f t="shared" si="5"/>
        <v>2.1428571428571428</v>
      </c>
      <c r="AB13" s="17">
        <f t="shared" si="5"/>
        <v>30.285714285714285</v>
      </c>
      <c r="AC13" s="17">
        <f t="shared" si="5"/>
        <v>14.571428571428571</v>
      </c>
      <c r="AD13" s="17">
        <f t="shared" si="5"/>
        <v>0.14285714285714285</v>
      </c>
      <c r="AE13" s="31">
        <f t="shared" si="5"/>
        <v>74.428571428571431</v>
      </c>
      <c r="AF13" s="31">
        <f t="shared" si="5"/>
        <v>89</v>
      </c>
    </row>
    <row r="14" spans="2:32" ht="23.1" customHeight="1" x14ac:dyDescent="0.25">
      <c r="B14" s="23" t="s">
        <v>41</v>
      </c>
      <c r="C14" s="49">
        <f>AVERAGE('22.08 BUSITEMA-TORORO'!C14,'23.08 TORORO-BUSITEMA'!C14,'25.08 TORORO-BUSITEMA'!C14,'26.08 TORORO-BUSITEMA'!C14,'24.08 TORORO-BUSITEMA-24h'!C14,'27.08 BUSITEMA-TORORO-24h'!C14,'28.08 TORORO-BUSITEMA'!C14)</f>
        <v>1.2857142857142858</v>
      </c>
      <c r="D14" s="49">
        <f>AVERAGE('22.08 BUSITEMA-TORORO'!D14,'23.08 TORORO-BUSITEMA'!D14,'25.08 TORORO-BUSITEMA'!D14,'26.08 TORORO-BUSITEMA'!D14,'24.08 TORORO-BUSITEMA-24h'!D14,'27.08 BUSITEMA-TORORO-24h'!D14,'28.08 TORORO-BUSITEMA'!D14)</f>
        <v>1.1428571428571428</v>
      </c>
      <c r="E14" s="49">
        <f>AVERAGE('22.08 BUSITEMA-TORORO'!E14,'23.08 TORORO-BUSITEMA'!E14,'25.08 TORORO-BUSITEMA'!E14,'26.08 TORORO-BUSITEMA'!E14,'24.08 TORORO-BUSITEMA-24h'!E14,'27.08 BUSITEMA-TORORO-24h'!E14,'28.08 TORORO-BUSITEMA'!E14)</f>
        <v>1</v>
      </c>
      <c r="F14" s="49">
        <f>AVERAGE('22.08 BUSITEMA-TORORO'!F14,'23.08 TORORO-BUSITEMA'!F14,'25.08 TORORO-BUSITEMA'!F14,'26.08 TORORO-BUSITEMA'!F14,'24.08 TORORO-BUSITEMA-24h'!F14,'27.08 BUSITEMA-TORORO-24h'!F14,'28.08 TORORO-BUSITEMA'!F14)</f>
        <v>2.8571428571428572</v>
      </c>
      <c r="G14" s="49">
        <f>AVERAGE('22.08 BUSITEMA-TORORO'!G14,'23.08 TORORO-BUSITEMA'!G14,'25.08 TORORO-BUSITEMA'!G14,'26.08 TORORO-BUSITEMA'!G14,'24.08 TORORO-BUSITEMA-24h'!G14,'27.08 BUSITEMA-TORORO-24h'!G14,'28.08 TORORO-BUSITEMA'!G14)</f>
        <v>0.14285714285714285</v>
      </c>
      <c r="H14" s="49">
        <f>AVERAGE('22.08 BUSITEMA-TORORO'!H14,'23.08 TORORO-BUSITEMA'!H14,'25.08 TORORO-BUSITEMA'!H14,'26.08 TORORO-BUSITEMA'!H14,'24.08 TORORO-BUSITEMA-24h'!H14,'27.08 BUSITEMA-TORORO-24h'!H14,'28.08 TORORO-BUSITEMA'!H14)</f>
        <v>0</v>
      </c>
      <c r="I14" s="49">
        <f>AVERAGE('22.08 BUSITEMA-TORORO'!I14,'23.08 TORORO-BUSITEMA'!I14,'25.08 TORORO-BUSITEMA'!I14,'26.08 TORORO-BUSITEMA'!I14,'24.08 TORORO-BUSITEMA-24h'!I14,'27.08 BUSITEMA-TORORO-24h'!I14,'28.08 TORORO-BUSITEMA'!I14)</f>
        <v>0.14285714285714285</v>
      </c>
      <c r="J14" s="49">
        <f>AVERAGE('22.08 BUSITEMA-TORORO'!J14,'23.08 TORORO-BUSITEMA'!J14,'25.08 TORORO-BUSITEMA'!J14,'26.08 TORORO-BUSITEMA'!J14,'24.08 TORORO-BUSITEMA-24h'!J14,'27.08 BUSITEMA-TORORO-24h'!J14,'28.08 TORORO-BUSITEMA'!J14)</f>
        <v>0.14285714285714285</v>
      </c>
      <c r="K14" s="49">
        <f>AVERAGE('22.08 BUSITEMA-TORORO'!K14,'23.08 TORORO-BUSITEMA'!K14,'25.08 TORORO-BUSITEMA'!K14,'26.08 TORORO-BUSITEMA'!K14,'24.08 TORORO-BUSITEMA-24h'!K14,'27.08 BUSITEMA-TORORO-24h'!K14,'28.08 TORORO-BUSITEMA'!K14)</f>
        <v>0.42857142857142855</v>
      </c>
      <c r="L14" s="49">
        <f>AVERAGE('22.08 BUSITEMA-TORORO'!L14,'23.08 TORORO-BUSITEMA'!L14,'25.08 TORORO-BUSITEMA'!L14,'26.08 TORORO-BUSITEMA'!L14,'24.08 TORORO-BUSITEMA-24h'!L14,'27.08 BUSITEMA-TORORO-24h'!L14,'28.08 TORORO-BUSITEMA'!L14)</f>
        <v>6.8571428571428568</v>
      </c>
      <c r="M14" s="49">
        <f>AVERAGE('22.08 BUSITEMA-TORORO'!M14,'23.08 TORORO-BUSITEMA'!M14,'25.08 TORORO-BUSITEMA'!M14,'26.08 TORORO-BUSITEMA'!M14,'24.08 TORORO-BUSITEMA-24h'!M14,'27.08 BUSITEMA-TORORO-24h'!M14,'28.08 TORORO-BUSITEMA'!M14)</f>
        <v>1.8571428571428572</v>
      </c>
      <c r="N14" s="49">
        <f>AVERAGE('22.08 BUSITEMA-TORORO'!N14,'23.08 TORORO-BUSITEMA'!N14,'25.08 TORORO-BUSITEMA'!N14,'26.08 TORORO-BUSITEMA'!N14,'24.08 TORORO-BUSITEMA-24h'!N14,'27.08 BUSITEMA-TORORO-24h'!N14,'28.08 TORORO-BUSITEMA'!N14)</f>
        <v>0</v>
      </c>
      <c r="O14" s="15">
        <f t="shared" si="0"/>
        <v>14.000000000000002</v>
      </c>
      <c r="P14" s="15">
        <f t="shared" si="1"/>
        <v>15.857142857142859</v>
      </c>
      <c r="R14" s="1" t="s">
        <v>10</v>
      </c>
      <c r="S14" s="17">
        <f t="shared" ref="S14:AF14" si="6">SUM(C26:C29)</f>
        <v>8.5714285714285712</v>
      </c>
      <c r="T14" s="17">
        <f t="shared" si="6"/>
        <v>13.142857142857142</v>
      </c>
      <c r="U14" s="17">
        <f t="shared" si="6"/>
        <v>3.4285714285714288</v>
      </c>
      <c r="V14" s="17">
        <f t="shared" si="6"/>
        <v>14.428571428571429</v>
      </c>
      <c r="W14" s="17">
        <f t="shared" si="6"/>
        <v>0.71428571428571419</v>
      </c>
      <c r="X14" s="17">
        <f t="shared" si="6"/>
        <v>0.14285714285714285</v>
      </c>
      <c r="Y14" s="17">
        <f t="shared" si="6"/>
        <v>3</v>
      </c>
      <c r="Z14" s="17">
        <f t="shared" si="6"/>
        <v>1.8571428571428572</v>
      </c>
      <c r="AA14" s="17">
        <f t="shared" si="6"/>
        <v>1.2857142857142856</v>
      </c>
      <c r="AB14" s="17">
        <f t="shared" si="6"/>
        <v>28.714285714285715</v>
      </c>
      <c r="AC14" s="17">
        <f t="shared" si="6"/>
        <v>15.857142857142858</v>
      </c>
      <c r="AD14" s="17">
        <f t="shared" si="6"/>
        <v>0</v>
      </c>
      <c r="AE14" s="31">
        <f t="shared" si="6"/>
        <v>75.285714285714292</v>
      </c>
      <c r="AF14" s="31">
        <f t="shared" si="6"/>
        <v>91.142857142857139</v>
      </c>
    </row>
    <row r="15" spans="2:32" ht="23.1" customHeight="1" x14ac:dyDescent="0.25">
      <c r="B15" s="23" t="s">
        <v>42</v>
      </c>
      <c r="C15" s="49">
        <f>AVERAGE('22.08 BUSITEMA-TORORO'!C15,'23.08 TORORO-BUSITEMA'!C15,'25.08 TORORO-BUSITEMA'!C15,'26.08 TORORO-BUSITEMA'!C15,'24.08 TORORO-BUSITEMA-24h'!C15,'27.08 BUSITEMA-TORORO-24h'!C15,'28.08 TORORO-BUSITEMA'!C15)</f>
        <v>0.5714285714285714</v>
      </c>
      <c r="D15" s="49">
        <f>AVERAGE('22.08 BUSITEMA-TORORO'!D15,'23.08 TORORO-BUSITEMA'!D15,'25.08 TORORO-BUSITEMA'!D15,'26.08 TORORO-BUSITEMA'!D15,'24.08 TORORO-BUSITEMA-24h'!D15,'27.08 BUSITEMA-TORORO-24h'!D15,'28.08 TORORO-BUSITEMA'!D15)</f>
        <v>1.5714285714285714</v>
      </c>
      <c r="E15" s="49">
        <f>AVERAGE('22.08 BUSITEMA-TORORO'!E15,'23.08 TORORO-BUSITEMA'!E15,'25.08 TORORO-BUSITEMA'!E15,'26.08 TORORO-BUSITEMA'!E15,'24.08 TORORO-BUSITEMA-24h'!E15,'27.08 BUSITEMA-TORORO-24h'!E15,'28.08 TORORO-BUSITEMA'!E15)</f>
        <v>0</v>
      </c>
      <c r="F15" s="49">
        <f>AVERAGE('22.08 BUSITEMA-TORORO'!F15,'23.08 TORORO-BUSITEMA'!F15,'25.08 TORORO-BUSITEMA'!F15,'26.08 TORORO-BUSITEMA'!F15,'24.08 TORORO-BUSITEMA-24h'!F15,'27.08 BUSITEMA-TORORO-24h'!F15,'28.08 TORORO-BUSITEMA'!F15)</f>
        <v>2.5714285714285716</v>
      </c>
      <c r="G15" s="49">
        <f>AVERAGE('22.08 BUSITEMA-TORORO'!G15,'23.08 TORORO-BUSITEMA'!G15,'25.08 TORORO-BUSITEMA'!G15,'26.08 TORORO-BUSITEMA'!G15,'24.08 TORORO-BUSITEMA-24h'!G15,'27.08 BUSITEMA-TORORO-24h'!G15,'28.08 TORORO-BUSITEMA'!G15)</f>
        <v>0</v>
      </c>
      <c r="H15" s="49">
        <f>AVERAGE('22.08 BUSITEMA-TORORO'!H15,'23.08 TORORO-BUSITEMA'!H15,'25.08 TORORO-BUSITEMA'!H15,'26.08 TORORO-BUSITEMA'!H15,'24.08 TORORO-BUSITEMA-24h'!H15,'27.08 BUSITEMA-TORORO-24h'!H15,'28.08 TORORO-BUSITEMA'!H15)</f>
        <v>0.14285714285714285</v>
      </c>
      <c r="I15" s="49">
        <f>AVERAGE('22.08 BUSITEMA-TORORO'!I15,'23.08 TORORO-BUSITEMA'!I15,'25.08 TORORO-BUSITEMA'!I15,'26.08 TORORO-BUSITEMA'!I15,'24.08 TORORO-BUSITEMA-24h'!I15,'27.08 BUSITEMA-TORORO-24h'!I15,'28.08 TORORO-BUSITEMA'!I15)</f>
        <v>0.42857142857142855</v>
      </c>
      <c r="J15" s="49">
        <f>AVERAGE('22.08 BUSITEMA-TORORO'!J15,'23.08 TORORO-BUSITEMA'!J15,'25.08 TORORO-BUSITEMA'!J15,'26.08 TORORO-BUSITEMA'!J15,'24.08 TORORO-BUSITEMA-24h'!J15,'27.08 BUSITEMA-TORORO-24h'!J15,'28.08 TORORO-BUSITEMA'!J15)</f>
        <v>0.2857142857142857</v>
      </c>
      <c r="K15" s="49">
        <f>AVERAGE('22.08 BUSITEMA-TORORO'!K15,'23.08 TORORO-BUSITEMA'!K15,'25.08 TORORO-BUSITEMA'!K15,'26.08 TORORO-BUSITEMA'!K15,'24.08 TORORO-BUSITEMA-24h'!K15,'27.08 BUSITEMA-TORORO-24h'!K15,'28.08 TORORO-BUSITEMA'!K15)</f>
        <v>0</v>
      </c>
      <c r="L15" s="49">
        <f>AVERAGE('22.08 BUSITEMA-TORORO'!L15,'23.08 TORORO-BUSITEMA'!L15,'25.08 TORORO-BUSITEMA'!L15,'26.08 TORORO-BUSITEMA'!L15,'24.08 TORORO-BUSITEMA-24h'!L15,'27.08 BUSITEMA-TORORO-24h'!L15,'28.08 TORORO-BUSITEMA'!L15)</f>
        <v>6.7142857142857144</v>
      </c>
      <c r="M15" s="49">
        <f>AVERAGE('22.08 BUSITEMA-TORORO'!M15,'23.08 TORORO-BUSITEMA'!M15,'25.08 TORORO-BUSITEMA'!M15,'26.08 TORORO-BUSITEMA'!M15,'24.08 TORORO-BUSITEMA-24h'!M15,'27.08 BUSITEMA-TORORO-24h'!M15,'28.08 TORORO-BUSITEMA'!M15)</f>
        <v>3.2857142857142856</v>
      </c>
      <c r="N15" s="49">
        <f>AVERAGE('22.08 BUSITEMA-TORORO'!N15,'23.08 TORORO-BUSITEMA'!N15,'25.08 TORORO-BUSITEMA'!N15,'26.08 TORORO-BUSITEMA'!N15,'24.08 TORORO-BUSITEMA-24h'!N15,'27.08 BUSITEMA-TORORO-24h'!N15,'28.08 TORORO-BUSITEMA'!N15)</f>
        <v>0</v>
      </c>
      <c r="O15" s="15">
        <f t="shared" si="0"/>
        <v>12.285714285714286</v>
      </c>
      <c r="P15" s="15">
        <f t="shared" si="1"/>
        <v>15.571428571428573</v>
      </c>
      <c r="R15" s="1" t="s">
        <v>11</v>
      </c>
      <c r="S15" s="17">
        <f t="shared" ref="S15:AF15" si="7">SUM(C30:C33)</f>
        <v>8.4285714285714288</v>
      </c>
      <c r="T15" s="17">
        <f t="shared" si="7"/>
        <v>9.2857142857142847</v>
      </c>
      <c r="U15" s="17">
        <f t="shared" si="7"/>
        <v>3.9999999999999996</v>
      </c>
      <c r="V15" s="17">
        <f t="shared" si="7"/>
        <v>15.142857142857142</v>
      </c>
      <c r="W15" s="17">
        <f t="shared" si="7"/>
        <v>1.4285714285714286</v>
      </c>
      <c r="X15" s="17">
        <f t="shared" si="7"/>
        <v>0.2857142857142857</v>
      </c>
      <c r="Y15" s="17">
        <f t="shared" si="7"/>
        <v>3.8571428571428568</v>
      </c>
      <c r="Z15" s="17">
        <f t="shared" si="7"/>
        <v>2.8571428571428568</v>
      </c>
      <c r="AA15" s="17">
        <f t="shared" si="7"/>
        <v>2.7142857142857144</v>
      </c>
      <c r="AB15" s="17">
        <f t="shared" si="7"/>
        <v>32.428571428571431</v>
      </c>
      <c r="AC15" s="17">
        <f t="shared" si="7"/>
        <v>14</v>
      </c>
      <c r="AD15" s="17">
        <f t="shared" si="7"/>
        <v>0</v>
      </c>
      <c r="AE15" s="31">
        <f t="shared" si="7"/>
        <v>80.428571428571431</v>
      </c>
      <c r="AF15" s="31">
        <f t="shared" si="7"/>
        <v>94.428571428571431</v>
      </c>
    </row>
    <row r="16" spans="2:32" ht="23.1" customHeight="1" x14ac:dyDescent="0.25">
      <c r="B16" s="23" t="s">
        <v>43</v>
      </c>
      <c r="C16" s="49">
        <f>AVERAGE('22.08 BUSITEMA-TORORO'!C16,'23.08 TORORO-BUSITEMA'!C16,'25.08 TORORO-BUSITEMA'!C16,'26.08 TORORO-BUSITEMA'!C16,'24.08 TORORO-BUSITEMA-24h'!C16,'27.08 BUSITEMA-TORORO-24h'!C16,'28.08 TORORO-BUSITEMA'!C16)</f>
        <v>0.8571428571428571</v>
      </c>
      <c r="D16" s="49">
        <f>AVERAGE('22.08 BUSITEMA-TORORO'!D16,'23.08 TORORO-BUSITEMA'!D16,'25.08 TORORO-BUSITEMA'!D16,'26.08 TORORO-BUSITEMA'!D16,'24.08 TORORO-BUSITEMA-24h'!D16,'27.08 BUSITEMA-TORORO-24h'!D16,'28.08 TORORO-BUSITEMA'!D16)</f>
        <v>1.7142857142857142</v>
      </c>
      <c r="E16" s="49">
        <f>AVERAGE('22.08 BUSITEMA-TORORO'!E16,'23.08 TORORO-BUSITEMA'!E16,'25.08 TORORO-BUSITEMA'!E16,'26.08 TORORO-BUSITEMA'!E16,'24.08 TORORO-BUSITEMA-24h'!E16,'27.08 BUSITEMA-TORORO-24h'!E16,'28.08 TORORO-BUSITEMA'!E16)</f>
        <v>0.5714285714285714</v>
      </c>
      <c r="F16" s="49">
        <f>AVERAGE('22.08 BUSITEMA-TORORO'!F16,'23.08 TORORO-BUSITEMA'!F16,'25.08 TORORO-BUSITEMA'!F16,'26.08 TORORO-BUSITEMA'!F16,'24.08 TORORO-BUSITEMA-24h'!F16,'27.08 BUSITEMA-TORORO-24h'!F16,'28.08 TORORO-BUSITEMA'!F16)</f>
        <v>2.7142857142857144</v>
      </c>
      <c r="G16" s="49">
        <f>AVERAGE('22.08 BUSITEMA-TORORO'!G16,'23.08 TORORO-BUSITEMA'!G16,'25.08 TORORO-BUSITEMA'!G16,'26.08 TORORO-BUSITEMA'!G16,'24.08 TORORO-BUSITEMA-24h'!G16,'27.08 BUSITEMA-TORORO-24h'!G16,'28.08 TORORO-BUSITEMA'!G16)</f>
        <v>0.14285714285714285</v>
      </c>
      <c r="H16" s="49">
        <f>AVERAGE('22.08 BUSITEMA-TORORO'!H16,'23.08 TORORO-BUSITEMA'!H16,'25.08 TORORO-BUSITEMA'!H16,'26.08 TORORO-BUSITEMA'!H16,'24.08 TORORO-BUSITEMA-24h'!H16,'27.08 BUSITEMA-TORORO-24h'!H16,'28.08 TORORO-BUSITEMA'!H16)</f>
        <v>0</v>
      </c>
      <c r="I16" s="49">
        <f>AVERAGE('22.08 BUSITEMA-TORORO'!I16,'23.08 TORORO-BUSITEMA'!I16,'25.08 TORORO-BUSITEMA'!I16,'26.08 TORORO-BUSITEMA'!I16,'24.08 TORORO-BUSITEMA-24h'!I16,'27.08 BUSITEMA-TORORO-24h'!I16,'28.08 TORORO-BUSITEMA'!I16)</f>
        <v>0.42857142857142855</v>
      </c>
      <c r="J16" s="49">
        <f>AVERAGE('22.08 BUSITEMA-TORORO'!J16,'23.08 TORORO-BUSITEMA'!J16,'25.08 TORORO-BUSITEMA'!J16,'26.08 TORORO-BUSITEMA'!J16,'24.08 TORORO-BUSITEMA-24h'!J16,'27.08 BUSITEMA-TORORO-24h'!J16,'28.08 TORORO-BUSITEMA'!J16)</f>
        <v>0.42857142857142855</v>
      </c>
      <c r="K16" s="49">
        <f>AVERAGE('22.08 BUSITEMA-TORORO'!K16,'23.08 TORORO-BUSITEMA'!K16,'25.08 TORORO-BUSITEMA'!K16,'26.08 TORORO-BUSITEMA'!K16,'24.08 TORORO-BUSITEMA-24h'!K16,'27.08 BUSITEMA-TORORO-24h'!K16,'28.08 TORORO-BUSITEMA'!K16)</f>
        <v>1.7142857142857142</v>
      </c>
      <c r="L16" s="49">
        <f>AVERAGE('22.08 BUSITEMA-TORORO'!L16,'23.08 TORORO-BUSITEMA'!L16,'25.08 TORORO-BUSITEMA'!L16,'26.08 TORORO-BUSITEMA'!L16,'24.08 TORORO-BUSITEMA-24h'!L16,'27.08 BUSITEMA-TORORO-24h'!L16,'28.08 TORORO-BUSITEMA'!L16)</f>
        <v>4.8571428571428568</v>
      </c>
      <c r="M16" s="49">
        <f>AVERAGE('22.08 BUSITEMA-TORORO'!M16,'23.08 TORORO-BUSITEMA'!M16,'25.08 TORORO-BUSITEMA'!M16,'26.08 TORORO-BUSITEMA'!M16,'24.08 TORORO-BUSITEMA-24h'!M16,'27.08 BUSITEMA-TORORO-24h'!M16,'28.08 TORORO-BUSITEMA'!M16)</f>
        <v>2.8571428571428572</v>
      </c>
      <c r="N16" s="49">
        <f>AVERAGE('22.08 BUSITEMA-TORORO'!N16,'23.08 TORORO-BUSITEMA'!N16,'25.08 TORORO-BUSITEMA'!N16,'26.08 TORORO-BUSITEMA'!N16,'24.08 TORORO-BUSITEMA-24h'!N16,'27.08 BUSITEMA-TORORO-24h'!N16,'28.08 TORORO-BUSITEMA'!N16)</f>
        <v>0</v>
      </c>
      <c r="O16" s="15">
        <f t="shared" si="0"/>
        <v>13.428571428571427</v>
      </c>
      <c r="P16" s="15">
        <f t="shared" si="1"/>
        <v>16.285714285714285</v>
      </c>
      <c r="R16" s="1" t="s">
        <v>12</v>
      </c>
      <c r="S16" s="17">
        <f t="shared" ref="S16:AF16" si="8">SUM(C34:C37)</f>
        <v>9.2857142857142847</v>
      </c>
      <c r="T16" s="17">
        <f t="shared" si="8"/>
        <v>8</v>
      </c>
      <c r="U16" s="17">
        <f t="shared" si="8"/>
        <v>5.1428571428571423</v>
      </c>
      <c r="V16" s="17">
        <f t="shared" si="8"/>
        <v>16.571428571428569</v>
      </c>
      <c r="W16" s="17">
        <f t="shared" si="8"/>
        <v>0.7142857142857143</v>
      </c>
      <c r="X16" s="17">
        <f t="shared" si="8"/>
        <v>0.8571428571428571</v>
      </c>
      <c r="Y16" s="17">
        <f t="shared" si="8"/>
        <v>4</v>
      </c>
      <c r="Z16" s="17">
        <f t="shared" si="8"/>
        <v>4.5714285714285712</v>
      </c>
      <c r="AA16" s="17">
        <f t="shared" si="8"/>
        <v>2.5714285714285716</v>
      </c>
      <c r="AB16" s="17">
        <f t="shared" si="8"/>
        <v>36.714285714285715</v>
      </c>
      <c r="AC16" s="17">
        <f t="shared" si="8"/>
        <v>14.857142857142858</v>
      </c>
      <c r="AD16" s="17">
        <f t="shared" si="8"/>
        <v>0</v>
      </c>
      <c r="AE16" s="31">
        <f t="shared" si="8"/>
        <v>88.428571428571431</v>
      </c>
      <c r="AF16" s="31">
        <f t="shared" si="8"/>
        <v>103.28571428571428</v>
      </c>
    </row>
    <row r="17" spans="2:32" ht="23.1" customHeight="1" x14ac:dyDescent="0.25">
      <c r="B17" s="23" t="s">
        <v>44</v>
      </c>
      <c r="C17" s="49">
        <f>AVERAGE('22.08 BUSITEMA-TORORO'!C17,'23.08 TORORO-BUSITEMA'!C17,'25.08 TORORO-BUSITEMA'!C17,'26.08 TORORO-BUSITEMA'!C17,'24.08 TORORO-BUSITEMA-24h'!C17,'27.08 BUSITEMA-TORORO-24h'!C17,'28.08 TORORO-BUSITEMA'!C17)</f>
        <v>1.1428571428571428</v>
      </c>
      <c r="D17" s="49">
        <f>AVERAGE('22.08 BUSITEMA-TORORO'!D17,'23.08 TORORO-BUSITEMA'!D17,'25.08 TORORO-BUSITEMA'!D17,'26.08 TORORO-BUSITEMA'!D17,'24.08 TORORO-BUSITEMA-24h'!D17,'27.08 BUSITEMA-TORORO-24h'!D17,'28.08 TORORO-BUSITEMA'!D17)</f>
        <v>2</v>
      </c>
      <c r="E17" s="49">
        <f>AVERAGE('22.08 BUSITEMA-TORORO'!E17,'23.08 TORORO-BUSITEMA'!E17,'25.08 TORORO-BUSITEMA'!E17,'26.08 TORORO-BUSITEMA'!E17,'24.08 TORORO-BUSITEMA-24h'!E17,'27.08 BUSITEMA-TORORO-24h'!E17,'28.08 TORORO-BUSITEMA'!E17)</f>
        <v>0.7142857142857143</v>
      </c>
      <c r="F17" s="49">
        <f>AVERAGE('22.08 BUSITEMA-TORORO'!F17,'23.08 TORORO-BUSITEMA'!F17,'25.08 TORORO-BUSITEMA'!F17,'26.08 TORORO-BUSITEMA'!F17,'24.08 TORORO-BUSITEMA-24h'!F17,'27.08 BUSITEMA-TORORO-24h'!F17,'28.08 TORORO-BUSITEMA'!F17)</f>
        <v>1.7142857142857142</v>
      </c>
      <c r="G17" s="49">
        <f>AVERAGE('22.08 BUSITEMA-TORORO'!G17,'23.08 TORORO-BUSITEMA'!G17,'25.08 TORORO-BUSITEMA'!G17,'26.08 TORORO-BUSITEMA'!G17,'24.08 TORORO-BUSITEMA-24h'!G17,'27.08 BUSITEMA-TORORO-24h'!G17,'28.08 TORORO-BUSITEMA'!G17)</f>
        <v>0.14285714285714285</v>
      </c>
      <c r="H17" s="49">
        <f>AVERAGE('22.08 BUSITEMA-TORORO'!H17,'23.08 TORORO-BUSITEMA'!H17,'25.08 TORORO-BUSITEMA'!H17,'26.08 TORORO-BUSITEMA'!H17,'24.08 TORORO-BUSITEMA-24h'!H17,'27.08 BUSITEMA-TORORO-24h'!H17,'28.08 TORORO-BUSITEMA'!H17)</f>
        <v>0</v>
      </c>
      <c r="I17" s="49">
        <f>AVERAGE('22.08 BUSITEMA-TORORO'!I17,'23.08 TORORO-BUSITEMA'!I17,'25.08 TORORO-BUSITEMA'!I17,'26.08 TORORO-BUSITEMA'!I17,'24.08 TORORO-BUSITEMA-24h'!I17,'27.08 BUSITEMA-TORORO-24h'!I17,'28.08 TORORO-BUSITEMA'!I17)</f>
        <v>0.14285714285714285</v>
      </c>
      <c r="J17" s="49">
        <f>AVERAGE('22.08 BUSITEMA-TORORO'!J17,'23.08 TORORO-BUSITEMA'!J17,'25.08 TORORO-BUSITEMA'!J17,'26.08 TORORO-BUSITEMA'!J17,'24.08 TORORO-BUSITEMA-24h'!J17,'27.08 BUSITEMA-TORORO-24h'!J17,'28.08 TORORO-BUSITEMA'!J17)</f>
        <v>0.42857142857142855</v>
      </c>
      <c r="K17" s="49">
        <f>AVERAGE('22.08 BUSITEMA-TORORO'!K17,'23.08 TORORO-BUSITEMA'!K17,'25.08 TORORO-BUSITEMA'!K17,'26.08 TORORO-BUSITEMA'!K17,'24.08 TORORO-BUSITEMA-24h'!K17,'27.08 BUSITEMA-TORORO-24h'!K17,'28.08 TORORO-BUSITEMA'!K17)</f>
        <v>0.8571428571428571</v>
      </c>
      <c r="L17" s="49">
        <f>AVERAGE('22.08 BUSITEMA-TORORO'!L17,'23.08 TORORO-BUSITEMA'!L17,'25.08 TORORO-BUSITEMA'!L17,'26.08 TORORO-BUSITEMA'!L17,'24.08 TORORO-BUSITEMA-24h'!L17,'27.08 BUSITEMA-TORORO-24h'!L17,'28.08 TORORO-BUSITEMA'!L17)</f>
        <v>7.4285714285714288</v>
      </c>
      <c r="M17" s="49">
        <f>AVERAGE('22.08 BUSITEMA-TORORO'!M17,'23.08 TORORO-BUSITEMA'!M17,'25.08 TORORO-BUSITEMA'!M17,'26.08 TORORO-BUSITEMA'!M17,'24.08 TORORO-BUSITEMA-24h'!M17,'27.08 BUSITEMA-TORORO-24h'!M17,'28.08 TORORO-BUSITEMA'!M17)</f>
        <v>4</v>
      </c>
      <c r="N17" s="49">
        <f>AVERAGE('22.08 BUSITEMA-TORORO'!N17,'23.08 TORORO-BUSITEMA'!N17,'25.08 TORORO-BUSITEMA'!N17,'26.08 TORORO-BUSITEMA'!N17,'24.08 TORORO-BUSITEMA-24h'!N17,'27.08 BUSITEMA-TORORO-24h'!N17,'28.08 TORORO-BUSITEMA'!N17)</f>
        <v>0</v>
      </c>
      <c r="O17" s="15">
        <f t="shared" si="0"/>
        <v>14.571428571428573</v>
      </c>
      <c r="P17" s="15">
        <f t="shared" si="1"/>
        <v>18.571428571428573</v>
      </c>
      <c r="R17" s="1" t="s">
        <v>13</v>
      </c>
      <c r="S17" s="17">
        <f t="shared" ref="S17:AF17" si="9">SUM(C38:C41)</f>
        <v>9.571428571428573</v>
      </c>
      <c r="T17" s="17">
        <f t="shared" si="9"/>
        <v>6.2857142857142856</v>
      </c>
      <c r="U17" s="17">
        <f t="shared" si="9"/>
        <v>3.4285714285714284</v>
      </c>
      <c r="V17" s="17">
        <f t="shared" si="9"/>
        <v>16.142857142857142</v>
      </c>
      <c r="W17" s="17">
        <f t="shared" si="9"/>
        <v>0.14285714285714285</v>
      </c>
      <c r="X17" s="17">
        <f t="shared" si="9"/>
        <v>0.42857142857142855</v>
      </c>
      <c r="Y17" s="17">
        <f t="shared" si="9"/>
        <v>3.4285714285714284</v>
      </c>
      <c r="Z17" s="17">
        <f t="shared" si="9"/>
        <v>4</v>
      </c>
      <c r="AA17" s="17">
        <f t="shared" si="9"/>
        <v>1.1428571428571428</v>
      </c>
      <c r="AB17" s="17">
        <f t="shared" si="9"/>
        <v>37.142857142857139</v>
      </c>
      <c r="AC17" s="17">
        <f t="shared" si="9"/>
        <v>15.142857142857144</v>
      </c>
      <c r="AD17" s="17">
        <f t="shared" si="9"/>
        <v>0</v>
      </c>
      <c r="AE17" s="31">
        <f t="shared" si="9"/>
        <v>81.714285714285722</v>
      </c>
      <c r="AF17" s="31">
        <f t="shared" si="9"/>
        <v>96.857142857142861</v>
      </c>
    </row>
    <row r="18" spans="2:32" ht="23.1" customHeight="1" x14ac:dyDescent="0.25">
      <c r="B18" s="23" t="s">
        <v>45</v>
      </c>
      <c r="C18" s="49">
        <f>AVERAGE('22.08 BUSITEMA-TORORO'!C18,'23.08 TORORO-BUSITEMA'!C18,'25.08 TORORO-BUSITEMA'!C18,'26.08 TORORO-BUSITEMA'!C18,'24.08 TORORO-BUSITEMA-24h'!C18,'27.08 BUSITEMA-TORORO-24h'!C18,'28.08 TORORO-BUSITEMA'!C18)</f>
        <v>1.4285714285714286</v>
      </c>
      <c r="D18" s="49">
        <f>AVERAGE('22.08 BUSITEMA-TORORO'!D18,'23.08 TORORO-BUSITEMA'!D18,'25.08 TORORO-BUSITEMA'!D18,'26.08 TORORO-BUSITEMA'!D18,'24.08 TORORO-BUSITEMA-24h'!D18,'27.08 BUSITEMA-TORORO-24h'!D18,'28.08 TORORO-BUSITEMA'!D18)</f>
        <v>1.5714285714285714</v>
      </c>
      <c r="E18" s="49">
        <f>AVERAGE('22.08 BUSITEMA-TORORO'!E18,'23.08 TORORO-BUSITEMA'!E18,'25.08 TORORO-BUSITEMA'!E18,'26.08 TORORO-BUSITEMA'!E18,'24.08 TORORO-BUSITEMA-24h'!E18,'27.08 BUSITEMA-TORORO-24h'!E18,'28.08 TORORO-BUSITEMA'!E18)</f>
        <v>0.8571428571428571</v>
      </c>
      <c r="F18" s="49">
        <f>AVERAGE('22.08 BUSITEMA-TORORO'!F18,'23.08 TORORO-BUSITEMA'!F18,'25.08 TORORO-BUSITEMA'!F18,'26.08 TORORO-BUSITEMA'!F18,'24.08 TORORO-BUSITEMA-24h'!F18,'27.08 BUSITEMA-TORORO-24h'!F18,'28.08 TORORO-BUSITEMA'!F18)</f>
        <v>1.7142857142857142</v>
      </c>
      <c r="G18" s="49">
        <f>AVERAGE('22.08 BUSITEMA-TORORO'!G18,'23.08 TORORO-BUSITEMA'!G18,'25.08 TORORO-BUSITEMA'!G18,'26.08 TORORO-BUSITEMA'!G18,'24.08 TORORO-BUSITEMA-24h'!G18,'27.08 BUSITEMA-TORORO-24h'!G18,'28.08 TORORO-BUSITEMA'!G18)</f>
        <v>0.42857142857142855</v>
      </c>
      <c r="H18" s="49">
        <f>AVERAGE('22.08 BUSITEMA-TORORO'!H18,'23.08 TORORO-BUSITEMA'!H18,'25.08 TORORO-BUSITEMA'!H18,'26.08 TORORO-BUSITEMA'!H18,'24.08 TORORO-BUSITEMA-24h'!H18,'27.08 BUSITEMA-TORORO-24h'!H18,'28.08 TORORO-BUSITEMA'!H18)</f>
        <v>0</v>
      </c>
      <c r="I18" s="49">
        <f>AVERAGE('22.08 BUSITEMA-TORORO'!I18,'23.08 TORORO-BUSITEMA'!I18,'25.08 TORORO-BUSITEMA'!I18,'26.08 TORORO-BUSITEMA'!I18,'24.08 TORORO-BUSITEMA-24h'!I18,'27.08 BUSITEMA-TORORO-24h'!I18,'28.08 TORORO-BUSITEMA'!I18)</f>
        <v>0.2857142857142857</v>
      </c>
      <c r="J18" s="49">
        <f>AVERAGE('22.08 BUSITEMA-TORORO'!J18,'23.08 TORORO-BUSITEMA'!J18,'25.08 TORORO-BUSITEMA'!J18,'26.08 TORORO-BUSITEMA'!J18,'24.08 TORORO-BUSITEMA-24h'!J18,'27.08 BUSITEMA-TORORO-24h'!J18,'28.08 TORORO-BUSITEMA'!J18)</f>
        <v>0.2857142857142857</v>
      </c>
      <c r="K18" s="49">
        <f>AVERAGE('22.08 BUSITEMA-TORORO'!K18,'23.08 TORORO-BUSITEMA'!K18,'25.08 TORORO-BUSITEMA'!K18,'26.08 TORORO-BUSITEMA'!K18,'24.08 TORORO-BUSITEMA-24h'!K18,'27.08 BUSITEMA-TORORO-24h'!K18,'28.08 TORORO-BUSITEMA'!K18)</f>
        <v>0</v>
      </c>
      <c r="L18" s="49">
        <f>AVERAGE('22.08 BUSITEMA-TORORO'!L18,'23.08 TORORO-BUSITEMA'!L18,'25.08 TORORO-BUSITEMA'!L18,'26.08 TORORO-BUSITEMA'!L18,'24.08 TORORO-BUSITEMA-24h'!L18,'27.08 BUSITEMA-TORORO-24h'!L18,'28.08 TORORO-BUSITEMA'!L18)</f>
        <v>5.8571428571428568</v>
      </c>
      <c r="M18" s="49">
        <f>AVERAGE('22.08 BUSITEMA-TORORO'!M18,'23.08 TORORO-BUSITEMA'!M18,'25.08 TORORO-BUSITEMA'!M18,'26.08 TORORO-BUSITEMA'!M18,'24.08 TORORO-BUSITEMA-24h'!M18,'27.08 BUSITEMA-TORORO-24h'!M18,'28.08 TORORO-BUSITEMA'!M18)</f>
        <v>3.8571428571428572</v>
      </c>
      <c r="N18" s="49">
        <f>AVERAGE('22.08 BUSITEMA-TORORO'!N18,'23.08 TORORO-BUSITEMA'!N18,'25.08 TORORO-BUSITEMA'!N18,'26.08 TORORO-BUSITEMA'!N18,'24.08 TORORO-BUSITEMA-24h'!N18,'27.08 BUSITEMA-TORORO-24h'!N18,'28.08 TORORO-BUSITEMA'!N18)</f>
        <v>0</v>
      </c>
      <c r="O18" s="15">
        <f t="shared" si="0"/>
        <v>12.428571428571427</v>
      </c>
      <c r="P18" s="15">
        <f t="shared" si="1"/>
        <v>16.285714285714285</v>
      </c>
      <c r="R18" s="1" t="s">
        <v>14</v>
      </c>
      <c r="S18" s="17">
        <f t="shared" ref="S18:AF18" si="10">SUM(C42:C45)</f>
        <v>10.285714285714286</v>
      </c>
      <c r="T18" s="17">
        <f t="shared" si="10"/>
        <v>8.2857142857142847</v>
      </c>
      <c r="U18" s="17">
        <f t="shared" si="10"/>
        <v>3.8571428571428568</v>
      </c>
      <c r="V18" s="17">
        <f t="shared" si="10"/>
        <v>16.428571428571431</v>
      </c>
      <c r="W18" s="17">
        <f t="shared" si="10"/>
        <v>0.5714285714285714</v>
      </c>
      <c r="X18" s="17">
        <f t="shared" si="10"/>
        <v>0.14285714285714285</v>
      </c>
      <c r="Y18" s="17">
        <f t="shared" si="10"/>
        <v>3.2857142857142856</v>
      </c>
      <c r="Z18" s="17">
        <f t="shared" si="10"/>
        <v>5.7142857142857144</v>
      </c>
      <c r="AA18" s="17">
        <f t="shared" si="10"/>
        <v>1.8571428571428572</v>
      </c>
      <c r="AB18" s="17">
        <f t="shared" si="10"/>
        <v>38.428571428571431</v>
      </c>
      <c r="AC18" s="17">
        <f t="shared" si="10"/>
        <v>15.714285714285714</v>
      </c>
      <c r="AD18" s="17">
        <f t="shared" si="10"/>
        <v>0</v>
      </c>
      <c r="AE18" s="31">
        <f t="shared" si="10"/>
        <v>88.857142857142861</v>
      </c>
      <c r="AF18" s="31">
        <f t="shared" si="10"/>
        <v>104.57142857142857</v>
      </c>
    </row>
    <row r="19" spans="2:32" ht="23.1" customHeight="1" x14ac:dyDescent="0.25">
      <c r="B19" s="23" t="s">
        <v>46</v>
      </c>
      <c r="C19" s="49">
        <f>AVERAGE('22.08 BUSITEMA-TORORO'!C19,'23.08 TORORO-BUSITEMA'!C19,'25.08 TORORO-BUSITEMA'!C19,'26.08 TORORO-BUSITEMA'!C19,'24.08 TORORO-BUSITEMA-24h'!C19,'27.08 BUSITEMA-TORORO-24h'!C19,'28.08 TORORO-BUSITEMA'!C19)</f>
        <v>0.7142857142857143</v>
      </c>
      <c r="D19" s="49">
        <f>AVERAGE('22.08 BUSITEMA-TORORO'!D19,'23.08 TORORO-BUSITEMA'!D19,'25.08 TORORO-BUSITEMA'!D19,'26.08 TORORO-BUSITEMA'!D19,'24.08 TORORO-BUSITEMA-24h'!D19,'27.08 BUSITEMA-TORORO-24h'!D19,'28.08 TORORO-BUSITEMA'!D19)</f>
        <v>3.2857142857142856</v>
      </c>
      <c r="E19" s="49">
        <f>AVERAGE('22.08 BUSITEMA-TORORO'!E19,'23.08 TORORO-BUSITEMA'!E19,'25.08 TORORO-BUSITEMA'!E19,'26.08 TORORO-BUSITEMA'!E19,'24.08 TORORO-BUSITEMA-24h'!E19,'27.08 BUSITEMA-TORORO-24h'!E19,'28.08 TORORO-BUSITEMA'!E19)</f>
        <v>0.5714285714285714</v>
      </c>
      <c r="F19" s="49">
        <f>AVERAGE('22.08 BUSITEMA-TORORO'!F19,'23.08 TORORO-BUSITEMA'!F19,'25.08 TORORO-BUSITEMA'!F19,'26.08 TORORO-BUSITEMA'!F19,'24.08 TORORO-BUSITEMA-24h'!F19,'27.08 BUSITEMA-TORORO-24h'!F19,'28.08 TORORO-BUSITEMA'!F19)</f>
        <v>2.8571428571428572</v>
      </c>
      <c r="G19" s="49">
        <f>AVERAGE('22.08 BUSITEMA-TORORO'!G19,'23.08 TORORO-BUSITEMA'!G19,'25.08 TORORO-BUSITEMA'!G19,'26.08 TORORO-BUSITEMA'!G19,'24.08 TORORO-BUSITEMA-24h'!G19,'27.08 BUSITEMA-TORORO-24h'!G19,'28.08 TORORO-BUSITEMA'!G19)</f>
        <v>0</v>
      </c>
      <c r="H19" s="49">
        <f>AVERAGE('22.08 BUSITEMA-TORORO'!H19,'23.08 TORORO-BUSITEMA'!H19,'25.08 TORORO-BUSITEMA'!H19,'26.08 TORORO-BUSITEMA'!H19,'24.08 TORORO-BUSITEMA-24h'!H19,'27.08 BUSITEMA-TORORO-24h'!H19,'28.08 TORORO-BUSITEMA'!H19)</f>
        <v>0.2857142857142857</v>
      </c>
      <c r="I19" s="49">
        <f>AVERAGE('22.08 BUSITEMA-TORORO'!I19,'23.08 TORORO-BUSITEMA'!I19,'25.08 TORORO-BUSITEMA'!I19,'26.08 TORORO-BUSITEMA'!I19,'24.08 TORORO-BUSITEMA-24h'!I19,'27.08 BUSITEMA-TORORO-24h'!I19,'28.08 TORORO-BUSITEMA'!I19)</f>
        <v>0.5714285714285714</v>
      </c>
      <c r="J19" s="49">
        <f>AVERAGE('22.08 BUSITEMA-TORORO'!J19,'23.08 TORORO-BUSITEMA'!J19,'25.08 TORORO-BUSITEMA'!J19,'26.08 TORORO-BUSITEMA'!J19,'24.08 TORORO-BUSITEMA-24h'!J19,'27.08 BUSITEMA-TORORO-24h'!J19,'28.08 TORORO-BUSITEMA'!J19)</f>
        <v>0.8571428571428571</v>
      </c>
      <c r="K19" s="49">
        <f>AVERAGE('22.08 BUSITEMA-TORORO'!K19,'23.08 TORORO-BUSITEMA'!K19,'25.08 TORORO-BUSITEMA'!K19,'26.08 TORORO-BUSITEMA'!K19,'24.08 TORORO-BUSITEMA-24h'!K19,'27.08 BUSITEMA-TORORO-24h'!K19,'28.08 TORORO-BUSITEMA'!K19)</f>
        <v>0.2857142857142857</v>
      </c>
      <c r="L19" s="49">
        <f>AVERAGE('22.08 BUSITEMA-TORORO'!L19,'23.08 TORORO-BUSITEMA'!L19,'25.08 TORORO-BUSITEMA'!L19,'26.08 TORORO-BUSITEMA'!L19,'24.08 TORORO-BUSITEMA-24h'!L19,'27.08 BUSITEMA-TORORO-24h'!L19,'28.08 TORORO-BUSITEMA'!L19)</f>
        <v>6.2857142857142856</v>
      </c>
      <c r="M19" s="49">
        <f>AVERAGE('22.08 BUSITEMA-TORORO'!M19,'23.08 TORORO-BUSITEMA'!M19,'25.08 TORORO-BUSITEMA'!M19,'26.08 TORORO-BUSITEMA'!M19,'24.08 TORORO-BUSITEMA-24h'!M19,'27.08 BUSITEMA-TORORO-24h'!M19,'28.08 TORORO-BUSITEMA'!M19)</f>
        <v>3.4285714285714284</v>
      </c>
      <c r="N19" s="49">
        <f>AVERAGE('22.08 BUSITEMA-TORORO'!N19,'23.08 TORORO-BUSITEMA'!N19,'25.08 TORORO-BUSITEMA'!N19,'26.08 TORORO-BUSITEMA'!N19,'24.08 TORORO-BUSITEMA-24h'!N19,'27.08 BUSITEMA-TORORO-24h'!N19,'28.08 TORORO-BUSITEMA'!N19)</f>
        <v>0</v>
      </c>
      <c r="O19" s="15">
        <f t="shared" si="0"/>
        <v>15.714285714285715</v>
      </c>
      <c r="P19" s="15">
        <f t="shared" si="1"/>
        <v>19.142857142857142</v>
      </c>
      <c r="R19" s="1" t="s">
        <v>15</v>
      </c>
      <c r="S19" s="17">
        <f t="shared" ref="S19:AF19" si="11">SUM(C46:C49)</f>
        <v>10.999999999999998</v>
      </c>
      <c r="T19" s="17">
        <f t="shared" si="11"/>
        <v>9.8571428571428577</v>
      </c>
      <c r="U19" s="17">
        <f t="shared" si="11"/>
        <v>3.5714285714285712</v>
      </c>
      <c r="V19" s="17">
        <f t="shared" si="11"/>
        <v>17.714285714285715</v>
      </c>
      <c r="W19" s="17">
        <f t="shared" si="11"/>
        <v>0.2857142857142857</v>
      </c>
      <c r="X19" s="17">
        <f t="shared" si="11"/>
        <v>0.71428571428571419</v>
      </c>
      <c r="Y19" s="17">
        <f t="shared" si="11"/>
        <v>4.8571428571428568</v>
      </c>
      <c r="Z19" s="17">
        <f t="shared" si="11"/>
        <v>6</v>
      </c>
      <c r="AA19" s="17">
        <f t="shared" si="11"/>
        <v>1.2857142857142856</v>
      </c>
      <c r="AB19" s="17">
        <f t="shared" si="11"/>
        <v>37.142857142857139</v>
      </c>
      <c r="AC19" s="17">
        <f t="shared" si="11"/>
        <v>14.714285714285714</v>
      </c>
      <c r="AD19" s="17">
        <f t="shared" si="11"/>
        <v>0</v>
      </c>
      <c r="AE19" s="31">
        <f t="shared" si="11"/>
        <v>92.428571428571431</v>
      </c>
      <c r="AF19" s="31">
        <f t="shared" si="11"/>
        <v>107.14285714285714</v>
      </c>
    </row>
    <row r="20" spans="2:32" ht="23.1" customHeight="1" x14ac:dyDescent="0.25">
      <c r="B20" s="23" t="s">
        <v>47</v>
      </c>
      <c r="C20" s="49">
        <f>AVERAGE('22.08 BUSITEMA-TORORO'!C20,'23.08 TORORO-BUSITEMA'!C20,'25.08 TORORO-BUSITEMA'!C20,'26.08 TORORO-BUSITEMA'!C20,'24.08 TORORO-BUSITEMA-24h'!C20,'27.08 BUSITEMA-TORORO-24h'!C20,'28.08 TORORO-BUSITEMA'!C20)</f>
        <v>1.4285714285714286</v>
      </c>
      <c r="D20" s="49">
        <f>AVERAGE('22.08 BUSITEMA-TORORO'!D20,'23.08 TORORO-BUSITEMA'!D20,'25.08 TORORO-BUSITEMA'!D20,'26.08 TORORO-BUSITEMA'!D20,'24.08 TORORO-BUSITEMA-24h'!D20,'27.08 BUSITEMA-TORORO-24h'!D20,'28.08 TORORO-BUSITEMA'!D20)</f>
        <v>2.4285714285714284</v>
      </c>
      <c r="E20" s="49">
        <f>AVERAGE('22.08 BUSITEMA-TORORO'!E20,'23.08 TORORO-BUSITEMA'!E20,'25.08 TORORO-BUSITEMA'!E20,'26.08 TORORO-BUSITEMA'!E20,'24.08 TORORO-BUSITEMA-24h'!E20,'27.08 BUSITEMA-TORORO-24h'!E20,'28.08 TORORO-BUSITEMA'!E20)</f>
        <v>0.8571428571428571</v>
      </c>
      <c r="F20" s="49">
        <f>AVERAGE('22.08 BUSITEMA-TORORO'!F20,'23.08 TORORO-BUSITEMA'!F20,'25.08 TORORO-BUSITEMA'!F20,'26.08 TORORO-BUSITEMA'!F20,'24.08 TORORO-BUSITEMA-24h'!F20,'27.08 BUSITEMA-TORORO-24h'!F20,'28.08 TORORO-BUSITEMA'!F20)</f>
        <v>3.8571428571428572</v>
      </c>
      <c r="G20" s="49">
        <f>AVERAGE('22.08 BUSITEMA-TORORO'!G20,'23.08 TORORO-BUSITEMA'!G20,'25.08 TORORO-BUSITEMA'!G20,'26.08 TORORO-BUSITEMA'!G20,'24.08 TORORO-BUSITEMA-24h'!G20,'27.08 BUSITEMA-TORORO-24h'!G20,'28.08 TORORO-BUSITEMA'!G20)</f>
        <v>0</v>
      </c>
      <c r="H20" s="49">
        <f>AVERAGE('22.08 BUSITEMA-TORORO'!H20,'23.08 TORORO-BUSITEMA'!H20,'25.08 TORORO-BUSITEMA'!H20,'26.08 TORORO-BUSITEMA'!H20,'24.08 TORORO-BUSITEMA-24h'!H20,'27.08 BUSITEMA-TORORO-24h'!H20,'28.08 TORORO-BUSITEMA'!H20)</f>
        <v>0</v>
      </c>
      <c r="I20" s="49">
        <f>AVERAGE('22.08 BUSITEMA-TORORO'!I20,'23.08 TORORO-BUSITEMA'!I20,'25.08 TORORO-BUSITEMA'!I20,'26.08 TORORO-BUSITEMA'!I20,'24.08 TORORO-BUSITEMA-24h'!I20,'27.08 BUSITEMA-TORORO-24h'!I20,'28.08 TORORO-BUSITEMA'!I20)</f>
        <v>1</v>
      </c>
      <c r="J20" s="49">
        <f>AVERAGE('22.08 BUSITEMA-TORORO'!J20,'23.08 TORORO-BUSITEMA'!J20,'25.08 TORORO-BUSITEMA'!J20,'26.08 TORORO-BUSITEMA'!J20,'24.08 TORORO-BUSITEMA-24h'!J20,'27.08 BUSITEMA-TORORO-24h'!J20,'28.08 TORORO-BUSITEMA'!J20)</f>
        <v>0.5714285714285714</v>
      </c>
      <c r="K20" s="49">
        <f>AVERAGE('22.08 BUSITEMA-TORORO'!K20,'23.08 TORORO-BUSITEMA'!K20,'25.08 TORORO-BUSITEMA'!K20,'26.08 TORORO-BUSITEMA'!K20,'24.08 TORORO-BUSITEMA-24h'!K20,'27.08 BUSITEMA-TORORO-24h'!K20,'28.08 TORORO-BUSITEMA'!K20)</f>
        <v>0.5714285714285714</v>
      </c>
      <c r="L20" s="49">
        <f>AVERAGE('22.08 BUSITEMA-TORORO'!L20,'23.08 TORORO-BUSITEMA'!L20,'25.08 TORORO-BUSITEMA'!L20,'26.08 TORORO-BUSITEMA'!L20,'24.08 TORORO-BUSITEMA-24h'!L20,'27.08 BUSITEMA-TORORO-24h'!L20,'28.08 TORORO-BUSITEMA'!L20)</f>
        <v>10.571428571428571</v>
      </c>
      <c r="M20" s="49">
        <f>AVERAGE('22.08 BUSITEMA-TORORO'!M20,'23.08 TORORO-BUSITEMA'!M20,'25.08 TORORO-BUSITEMA'!M20,'26.08 TORORO-BUSITEMA'!M20,'24.08 TORORO-BUSITEMA-24h'!M20,'27.08 BUSITEMA-TORORO-24h'!M20,'28.08 TORORO-BUSITEMA'!M20)</f>
        <v>2.5714285714285716</v>
      </c>
      <c r="N20" s="49">
        <f>AVERAGE('22.08 BUSITEMA-TORORO'!N20,'23.08 TORORO-BUSITEMA'!N20,'25.08 TORORO-BUSITEMA'!N20,'26.08 TORORO-BUSITEMA'!N20,'24.08 TORORO-BUSITEMA-24h'!N20,'27.08 BUSITEMA-TORORO-24h'!N20,'28.08 TORORO-BUSITEMA'!N20)</f>
        <v>0</v>
      </c>
      <c r="O20" s="15">
        <f t="shared" si="0"/>
        <v>21.285714285714285</v>
      </c>
      <c r="P20" s="15">
        <f t="shared" si="1"/>
        <v>23.857142857142858</v>
      </c>
      <c r="R20" s="1" t="s">
        <v>16</v>
      </c>
      <c r="S20" s="17">
        <f t="shared" ref="S20:AF20" si="12">SUM(C50:C53)</f>
        <v>11.571428571428573</v>
      </c>
      <c r="T20" s="17">
        <f t="shared" si="12"/>
        <v>11.857142857142858</v>
      </c>
      <c r="U20" s="17">
        <f t="shared" si="12"/>
        <v>6.4285714285714288</v>
      </c>
      <c r="V20" s="17">
        <f t="shared" si="12"/>
        <v>14.571428571428571</v>
      </c>
      <c r="W20" s="17">
        <f t="shared" si="12"/>
        <v>0.14285714285714285</v>
      </c>
      <c r="X20" s="17">
        <f t="shared" si="12"/>
        <v>0</v>
      </c>
      <c r="Y20" s="17">
        <f t="shared" si="12"/>
        <v>5.7142857142857144</v>
      </c>
      <c r="Z20" s="17">
        <f t="shared" si="12"/>
        <v>3.4285714285714288</v>
      </c>
      <c r="AA20" s="17">
        <f t="shared" si="12"/>
        <v>6</v>
      </c>
      <c r="AB20" s="17">
        <f t="shared" si="12"/>
        <v>48.857142857142854</v>
      </c>
      <c r="AC20" s="17">
        <f t="shared" si="12"/>
        <v>19.714285714285715</v>
      </c>
      <c r="AD20" s="17">
        <f t="shared" si="12"/>
        <v>0</v>
      </c>
      <c r="AE20" s="31">
        <f t="shared" si="12"/>
        <v>108.57142857142857</v>
      </c>
      <c r="AF20" s="31">
        <f t="shared" si="12"/>
        <v>128.28571428571431</v>
      </c>
    </row>
    <row r="21" spans="2:32" ht="23.1" customHeight="1" x14ac:dyDescent="0.25">
      <c r="B21" s="23" t="s">
        <v>48</v>
      </c>
      <c r="C21" s="49">
        <f>AVERAGE('22.08 BUSITEMA-TORORO'!C21,'23.08 TORORO-BUSITEMA'!C21,'25.08 TORORO-BUSITEMA'!C21,'26.08 TORORO-BUSITEMA'!C21,'24.08 TORORO-BUSITEMA-24h'!C21,'27.08 BUSITEMA-TORORO-24h'!C21,'28.08 TORORO-BUSITEMA'!C21)</f>
        <v>0.7142857142857143</v>
      </c>
      <c r="D21" s="49">
        <f>AVERAGE('22.08 BUSITEMA-TORORO'!D21,'23.08 TORORO-BUSITEMA'!D21,'25.08 TORORO-BUSITEMA'!D21,'26.08 TORORO-BUSITEMA'!D21,'24.08 TORORO-BUSITEMA-24h'!D21,'27.08 BUSITEMA-TORORO-24h'!D21,'28.08 TORORO-BUSITEMA'!D21)</f>
        <v>2.2857142857142856</v>
      </c>
      <c r="E21" s="49">
        <f>AVERAGE('22.08 BUSITEMA-TORORO'!E21,'23.08 TORORO-BUSITEMA'!E21,'25.08 TORORO-BUSITEMA'!E21,'26.08 TORORO-BUSITEMA'!E21,'24.08 TORORO-BUSITEMA-24h'!E21,'27.08 BUSITEMA-TORORO-24h'!E21,'28.08 TORORO-BUSITEMA'!E21)</f>
        <v>0.8571428571428571</v>
      </c>
      <c r="F21" s="49">
        <f>AVERAGE('22.08 BUSITEMA-TORORO'!F21,'23.08 TORORO-BUSITEMA'!F21,'25.08 TORORO-BUSITEMA'!F21,'26.08 TORORO-BUSITEMA'!F21,'24.08 TORORO-BUSITEMA-24h'!F21,'27.08 BUSITEMA-TORORO-24h'!F21,'28.08 TORORO-BUSITEMA'!F21)</f>
        <v>3.8571428571428572</v>
      </c>
      <c r="G21" s="49">
        <f>AVERAGE('22.08 BUSITEMA-TORORO'!G21,'23.08 TORORO-BUSITEMA'!G21,'25.08 TORORO-BUSITEMA'!G21,'26.08 TORORO-BUSITEMA'!G21,'24.08 TORORO-BUSITEMA-24h'!G21,'27.08 BUSITEMA-TORORO-24h'!G21,'28.08 TORORO-BUSITEMA'!G21)</f>
        <v>0.2857142857142857</v>
      </c>
      <c r="H21" s="49">
        <f>AVERAGE('22.08 BUSITEMA-TORORO'!H21,'23.08 TORORO-BUSITEMA'!H21,'25.08 TORORO-BUSITEMA'!H21,'26.08 TORORO-BUSITEMA'!H21,'24.08 TORORO-BUSITEMA-24h'!H21,'27.08 BUSITEMA-TORORO-24h'!H21,'28.08 TORORO-BUSITEMA'!H21)</f>
        <v>0.14285714285714285</v>
      </c>
      <c r="I21" s="49">
        <f>AVERAGE('22.08 BUSITEMA-TORORO'!I21,'23.08 TORORO-BUSITEMA'!I21,'25.08 TORORO-BUSITEMA'!I21,'26.08 TORORO-BUSITEMA'!I21,'24.08 TORORO-BUSITEMA-24h'!I21,'27.08 BUSITEMA-TORORO-24h'!I21,'28.08 TORORO-BUSITEMA'!I21)</f>
        <v>0.14285714285714285</v>
      </c>
      <c r="J21" s="49">
        <f>AVERAGE('22.08 BUSITEMA-TORORO'!J21,'23.08 TORORO-BUSITEMA'!J21,'25.08 TORORO-BUSITEMA'!J21,'26.08 TORORO-BUSITEMA'!J21,'24.08 TORORO-BUSITEMA-24h'!J21,'27.08 BUSITEMA-TORORO-24h'!J21,'28.08 TORORO-BUSITEMA'!J21)</f>
        <v>0.14285714285714285</v>
      </c>
      <c r="K21" s="49">
        <f>AVERAGE('22.08 BUSITEMA-TORORO'!K21,'23.08 TORORO-BUSITEMA'!K21,'25.08 TORORO-BUSITEMA'!K21,'26.08 TORORO-BUSITEMA'!K21,'24.08 TORORO-BUSITEMA-24h'!K21,'27.08 BUSITEMA-TORORO-24h'!K21,'28.08 TORORO-BUSITEMA'!K21)</f>
        <v>0.14285714285714285</v>
      </c>
      <c r="L21" s="49">
        <f>AVERAGE('22.08 BUSITEMA-TORORO'!L21,'23.08 TORORO-BUSITEMA'!L21,'25.08 TORORO-BUSITEMA'!L21,'26.08 TORORO-BUSITEMA'!L21,'24.08 TORORO-BUSITEMA-24h'!L21,'27.08 BUSITEMA-TORORO-24h'!L21,'28.08 TORORO-BUSITEMA'!L21)</f>
        <v>5.8571428571428568</v>
      </c>
      <c r="M21" s="49">
        <f>AVERAGE('22.08 BUSITEMA-TORORO'!M21,'23.08 TORORO-BUSITEMA'!M21,'25.08 TORORO-BUSITEMA'!M21,'26.08 TORORO-BUSITEMA'!M21,'24.08 TORORO-BUSITEMA-24h'!M21,'27.08 BUSITEMA-TORORO-24h'!M21,'28.08 TORORO-BUSITEMA'!M21)</f>
        <v>4.8571428571428568</v>
      </c>
      <c r="N21" s="49">
        <f>AVERAGE('22.08 BUSITEMA-TORORO'!N21,'23.08 TORORO-BUSITEMA'!N21,'25.08 TORORO-BUSITEMA'!N21,'26.08 TORORO-BUSITEMA'!N21,'24.08 TORORO-BUSITEMA-24h'!N21,'27.08 BUSITEMA-TORORO-24h'!N21,'28.08 TORORO-BUSITEMA'!N21)</f>
        <v>0</v>
      </c>
      <c r="O21" s="15">
        <f t="shared" si="0"/>
        <v>14.428571428571427</v>
      </c>
      <c r="P21" s="15">
        <f t="shared" si="1"/>
        <v>19.285714285714285</v>
      </c>
      <c r="R21" s="36" t="s">
        <v>20</v>
      </c>
      <c r="S21" s="34">
        <f t="shared" ref="S21:AF21" si="13">SUM(C54:C57)</f>
        <v>11.857142857142858</v>
      </c>
      <c r="T21" s="17">
        <f t="shared" si="13"/>
        <v>11.857142857142858</v>
      </c>
      <c r="U21" s="17">
        <f t="shared" si="13"/>
        <v>8</v>
      </c>
      <c r="V21" s="17">
        <f t="shared" si="13"/>
        <v>19.428571428571431</v>
      </c>
      <c r="W21" s="17">
        <f t="shared" si="13"/>
        <v>1.1428571428571428</v>
      </c>
      <c r="X21" s="17">
        <f t="shared" si="13"/>
        <v>0.42857142857142855</v>
      </c>
      <c r="Y21" s="17">
        <f t="shared" si="13"/>
        <v>7.2857142857142856</v>
      </c>
      <c r="Z21" s="17">
        <f t="shared" si="13"/>
        <v>5.1428571428571423</v>
      </c>
      <c r="AA21" s="17">
        <f t="shared" si="13"/>
        <v>6.8571428571428568</v>
      </c>
      <c r="AB21" s="17">
        <f t="shared" si="13"/>
        <v>48.142857142857146</v>
      </c>
      <c r="AC21" s="17">
        <f t="shared" si="13"/>
        <v>20.571428571428569</v>
      </c>
      <c r="AD21" s="17">
        <f t="shared" si="13"/>
        <v>0</v>
      </c>
      <c r="AE21" s="31">
        <f t="shared" si="13"/>
        <v>120.14285714285714</v>
      </c>
      <c r="AF21" s="31">
        <f t="shared" si="13"/>
        <v>140.71428571428572</v>
      </c>
    </row>
    <row r="22" spans="2:32" ht="23.1" customHeight="1" x14ac:dyDescent="0.25">
      <c r="B22" s="23" t="s">
        <v>49</v>
      </c>
      <c r="C22" s="49">
        <f>AVERAGE('22.08 BUSITEMA-TORORO'!C22,'23.08 TORORO-BUSITEMA'!C22,'25.08 TORORO-BUSITEMA'!C22,'26.08 TORORO-BUSITEMA'!C22,'24.08 TORORO-BUSITEMA-24h'!C22,'27.08 BUSITEMA-TORORO-24h'!C22,'28.08 TORORO-BUSITEMA'!C22)</f>
        <v>2.1428571428571428</v>
      </c>
      <c r="D22" s="49">
        <f>AVERAGE('22.08 BUSITEMA-TORORO'!D22,'23.08 TORORO-BUSITEMA'!D22,'25.08 TORORO-BUSITEMA'!D22,'26.08 TORORO-BUSITEMA'!D22,'24.08 TORORO-BUSITEMA-24h'!D22,'27.08 BUSITEMA-TORORO-24h'!D22,'28.08 TORORO-BUSITEMA'!D22)</f>
        <v>1.5714285714285714</v>
      </c>
      <c r="E22" s="49">
        <f>AVERAGE('22.08 BUSITEMA-TORORO'!E22,'23.08 TORORO-BUSITEMA'!E22,'25.08 TORORO-BUSITEMA'!E22,'26.08 TORORO-BUSITEMA'!E22,'24.08 TORORO-BUSITEMA-24h'!E22,'27.08 BUSITEMA-TORORO-24h'!E22,'28.08 TORORO-BUSITEMA'!E22)</f>
        <v>1.5714285714285714</v>
      </c>
      <c r="F22" s="49">
        <f>AVERAGE('22.08 BUSITEMA-TORORO'!F22,'23.08 TORORO-BUSITEMA'!F22,'25.08 TORORO-BUSITEMA'!F22,'26.08 TORORO-BUSITEMA'!F22,'24.08 TORORO-BUSITEMA-24h'!F22,'27.08 BUSITEMA-TORORO-24h'!F22,'28.08 TORORO-BUSITEMA'!F22)</f>
        <v>3</v>
      </c>
      <c r="G22" s="49">
        <f>AVERAGE('22.08 BUSITEMA-TORORO'!G22,'23.08 TORORO-BUSITEMA'!G22,'25.08 TORORO-BUSITEMA'!G22,'26.08 TORORO-BUSITEMA'!G22,'24.08 TORORO-BUSITEMA-24h'!G22,'27.08 BUSITEMA-TORORO-24h'!G22,'28.08 TORORO-BUSITEMA'!G22)</f>
        <v>0.14285714285714285</v>
      </c>
      <c r="H22" s="49">
        <f>AVERAGE('22.08 BUSITEMA-TORORO'!H22,'23.08 TORORO-BUSITEMA'!H22,'25.08 TORORO-BUSITEMA'!H22,'26.08 TORORO-BUSITEMA'!H22,'24.08 TORORO-BUSITEMA-24h'!H22,'27.08 BUSITEMA-TORORO-24h'!H22,'28.08 TORORO-BUSITEMA'!H22)</f>
        <v>0</v>
      </c>
      <c r="I22" s="49">
        <f>AVERAGE('22.08 BUSITEMA-TORORO'!I22,'23.08 TORORO-BUSITEMA'!I22,'25.08 TORORO-BUSITEMA'!I22,'26.08 TORORO-BUSITEMA'!I22,'24.08 TORORO-BUSITEMA-24h'!I22,'27.08 BUSITEMA-TORORO-24h'!I22,'28.08 TORORO-BUSITEMA'!I22)</f>
        <v>0.8571428571428571</v>
      </c>
      <c r="J22" s="49">
        <f>AVERAGE('22.08 BUSITEMA-TORORO'!J22,'23.08 TORORO-BUSITEMA'!J22,'25.08 TORORO-BUSITEMA'!J22,'26.08 TORORO-BUSITEMA'!J22,'24.08 TORORO-BUSITEMA-24h'!J22,'27.08 BUSITEMA-TORORO-24h'!J22,'28.08 TORORO-BUSITEMA'!J22)</f>
        <v>0.42857142857142855</v>
      </c>
      <c r="K22" s="49">
        <f>AVERAGE('22.08 BUSITEMA-TORORO'!K22,'23.08 TORORO-BUSITEMA'!K22,'25.08 TORORO-BUSITEMA'!K22,'26.08 TORORO-BUSITEMA'!K22,'24.08 TORORO-BUSITEMA-24h'!K22,'27.08 BUSITEMA-TORORO-24h'!K22,'28.08 TORORO-BUSITEMA'!K22)</f>
        <v>1</v>
      </c>
      <c r="L22" s="49">
        <f>AVERAGE('22.08 BUSITEMA-TORORO'!L22,'23.08 TORORO-BUSITEMA'!L22,'25.08 TORORO-BUSITEMA'!L22,'26.08 TORORO-BUSITEMA'!L22,'24.08 TORORO-BUSITEMA-24h'!L22,'27.08 BUSITEMA-TORORO-24h'!L22,'28.08 TORORO-BUSITEMA'!L22)</f>
        <v>6.2857142857142856</v>
      </c>
      <c r="M22" s="49">
        <f>AVERAGE('22.08 BUSITEMA-TORORO'!M22,'23.08 TORORO-BUSITEMA'!M22,'25.08 TORORO-BUSITEMA'!M22,'26.08 TORORO-BUSITEMA'!M22,'24.08 TORORO-BUSITEMA-24h'!M22,'27.08 BUSITEMA-TORORO-24h'!M22,'28.08 TORORO-BUSITEMA'!M22)</f>
        <v>2.8571428571428572</v>
      </c>
      <c r="N22" s="49">
        <f>AVERAGE('22.08 BUSITEMA-TORORO'!N22,'23.08 TORORO-BUSITEMA'!N22,'25.08 TORORO-BUSITEMA'!N22,'26.08 TORORO-BUSITEMA'!N22,'24.08 TORORO-BUSITEMA-24h'!N22,'27.08 BUSITEMA-TORORO-24h'!N22,'28.08 TORORO-BUSITEMA'!N22)</f>
        <v>0</v>
      </c>
      <c r="O22" s="15">
        <f t="shared" si="0"/>
        <v>17</v>
      </c>
      <c r="P22" s="15">
        <f t="shared" si="1"/>
        <v>19.857142857142858</v>
      </c>
      <c r="R22" s="1" t="s">
        <v>146</v>
      </c>
      <c r="S22" s="34">
        <f>SUM(C58:C61)</f>
        <v>8.5</v>
      </c>
      <c r="T22" s="34">
        <f t="shared" ref="T22:AF22" si="14">SUM(D58:D61)</f>
        <v>5.5</v>
      </c>
      <c r="U22" s="34">
        <f t="shared" si="14"/>
        <v>7</v>
      </c>
      <c r="V22" s="34">
        <f t="shared" si="14"/>
        <v>11.5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5</v>
      </c>
      <c r="AA22" s="34">
        <f t="shared" si="14"/>
        <v>1</v>
      </c>
      <c r="AB22" s="34">
        <f t="shared" si="14"/>
        <v>55</v>
      </c>
      <c r="AC22" s="34">
        <f t="shared" si="14"/>
        <v>13.5</v>
      </c>
      <c r="AD22" s="34">
        <f t="shared" si="14"/>
        <v>0</v>
      </c>
      <c r="AE22" s="31">
        <f t="shared" si="14"/>
        <v>96</v>
      </c>
      <c r="AF22" s="31">
        <f t="shared" si="14"/>
        <v>109.5</v>
      </c>
    </row>
    <row r="23" spans="2:32" ht="23.1" customHeight="1" x14ac:dyDescent="0.25">
      <c r="B23" s="23" t="s">
        <v>50</v>
      </c>
      <c r="C23" s="49">
        <f>AVERAGE('22.08 BUSITEMA-TORORO'!C23,'23.08 TORORO-BUSITEMA'!C23,'25.08 TORORO-BUSITEMA'!C23,'26.08 TORORO-BUSITEMA'!C23,'24.08 TORORO-BUSITEMA-24h'!C23,'27.08 BUSITEMA-TORORO-24h'!C23,'28.08 TORORO-BUSITEMA'!C23)</f>
        <v>2.1428571428571428</v>
      </c>
      <c r="D23" s="49">
        <f>AVERAGE('22.08 BUSITEMA-TORORO'!D23,'23.08 TORORO-BUSITEMA'!D23,'25.08 TORORO-BUSITEMA'!D23,'26.08 TORORO-BUSITEMA'!D23,'24.08 TORORO-BUSITEMA-24h'!D23,'27.08 BUSITEMA-TORORO-24h'!D23,'28.08 TORORO-BUSITEMA'!D23)</f>
        <v>1.7142857142857142</v>
      </c>
      <c r="E23" s="49">
        <f>AVERAGE('22.08 BUSITEMA-TORORO'!E23,'23.08 TORORO-BUSITEMA'!E23,'25.08 TORORO-BUSITEMA'!E23,'26.08 TORORO-BUSITEMA'!E23,'24.08 TORORO-BUSITEMA-24h'!E23,'27.08 BUSITEMA-TORORO-24h'!E23,'28.08 TORORO-BUSITEMA'!E23)</f>
        <v>1.1428571428571428</v>
      </c>
      <c r="F23" s="49">
        <f>AVERAGE('22.08 BUSITEMA-TORORO'!F23,'23.08 TORORO-BUSITEMA'!F23,'25.08 TORORO-BUSITEMA'!F23,'26.08 TORORO-BUSITEMA'!F23,'24.08 TORORO-BUSITEMA-24h'!F23,'27.08 BUSITEMA-TORORO-24h'!F23,'28.08 TORORO-BUSITEMA'!F23)</f>
        <v>4.2857142857142856</v>
      </c>
      <c r="G23" s="49">
        <f>AVERAGE('22.08 BUSITEMA-TORORO'!G23,'23.08 TORORO-BUSITEMA'!G23,'25.08 TORORO-BUSITEMA'!G23,'26.08 TORORO-BUSITEMA'!G23,'24.08 TORORO-BUSITEMA-24h'!G23,'27.08 BUSITEMA-TORORO-24h'!G23,'28.08 TORORO-BUSITEMA'!G23)</f>
        <v>0</v>
      </c>
      <c r="H23" s="49">
        <f>AVERAGE('22.08 BUSITEMA-TORORO'!H23,'23.08 TORORO-BUSITEMA'!H23,'25.08 TORORO-BUSITEMA'!H23,'26.08 TORORO-BUSITEMA'!H23,'24.08 TORORO-BUSITEMA-24h'!H23,'27.08 BUSITEMA-TORORO-24h'!H23,'28.08 TORORO-BUSITEMA'!H23)</f>
        <v>0.14285714285714285</v>
      </c>
      <c r="I23" s="49">
        <f>AVERAGE('22.08 BUSITEMA-TORORO'!I23,'23.08 TORORO-BUSITEMA'!I23,'25.08 TORORO-BUSITEMA'!I23,'26.08 TORORO-BUSITEMA'!I23,'24.08 TORORO-BUSITEMA-24h'!I23,'27.08 BUSITEMA-TORORO-24h'!I23,'28.08 TORORO-BUSITEMA'!I23)</f>
        <v>0.5714285714285714</v>
      </c>
      <c r="J23" s="49">
        <f>AVERAGE('22.08 BUSITEMA-TORORO'!J23,'23.08 TORORO-BUSITEMA'!J23,'25.08 TORORO-BUSITEMA'!J23,'26.08 TORORO-BUSITEMA'!J23,'24.08 TORORO-BUSITEMA-24h'!J23,'27.08 BUSITEMA-TORORO-24h'!J23,'28.08 TORORO-BUSITEMA'!J23)</f>
        <v>0.42857142857142855</v>
      </c>
      <c r="K23" s="49">
        <f>AVERAGE('22.08 BUSITEMA-TORORO'!K23,'23.08 TORORO-BUSITEMA'!K23,'25.08 TORORO-BUSITEMA'!K23,'26.08 TORORO-BUSITEMA'!K23,'24.08 TORORO-BUSITEMA-24h'!K23,'27.08 BUSITEMA-TORORO-24h'!K23,'28.08 TORORO-BUSITEMA'!K23)</f>
        <v>0.2857142857142857</v>
      </c>
      <c r="L23" s="49">
        <f>AVERAGE('22.08 BUSITEMA-TORORO'!L23,'23.08 TORORO-BUSITEMA'!L23,'25.08 TORORO-BUSITEMA'!L23,'26.08 TORORO-BUSITEMA'!L23,'24.08 TORORO-BUSITEMA-24h'!L23,'27.08 BUSITEMA-TORORO-24h'!L23,'28.08 TORORO-BUSITEMA'!L23)</f>
        <v>9.1428571428571423</v>
      </c>
      <c r="M23" s="49">
        <f>AVERAGE('22.08 BUSITEMA-TORORO'!M23,'23.08 TORORO-BUSITEMA'!M23,'25.08 TORORO-BUSITEMA'!M23,'26.08 TORORO-BUSITEMA'!M23,'24.08 TORORO-BUSITEMA-24h'!M23,'27.08 BUSITEMA-TORORO-24h'!M23,'28.08 TORORO-BUSITEMA'!M23)</f>
        <v>3.5714285714285716</v>
      </c>
      <c r="N23" s="49">
        <f>AVERAGE('22.08 BUSITEMA-TORORO'!N23,'23.08 TORORO-BUSITEMA'!N23,'25.08 TORORO-BUSITEMA'!N23,'26.08 TORORO-BUSITEMA'!N23,'24.08 TORORO-BUSITEMA-24h'!N23,'27.08 BUSITEMA-TORORO-24h'!N23,'28.08 TORORO-BUSITEMA'!N23)</f>
        <v>0</v>
      </c>
      <c r="O23" s="15">
        <f t="shared" si="0"/>
        <v>19.857142857142854</v>
      </c>
      <c r="P23" s="15">
        <f t="shared" si="1"/>
        <v>23.428571428571427</v>
      </c>
      <c r="R23" s="1" t="s">
        <v>147</v>
      </c>
      <c r="S23" s="34">
        <f>SUM(C62:C65)</f>
        <v>5</v>
      </c>
      <c r="T23" s="34">
        <f t="shared" ref="T23:AF23" si="15">SUM(D62:D65)</f>
        <v>5.5</v>
      </c>
      <c r="U23" s="34">
        <f t="shared" si="15"/>
        <v>2</v>
      </c>
      <c r="V23" s="34">
        <f t="shared" si="15"/>
        <v>4.5</v>
      </c>
      <c r="W23" s="34">
        <f t="shared" si="15"/>
        <v>0.5</v>
      </c>
      <c r="X23" s="34">
        <f t="shared" si="15"/>
        <v>0</v>
      </c>
      <c r="Y23" s="34">
        <f t="shared" si="15"/>
        <v>1.5</v>
      </c>
      <c r="Z23" s="34">
        <f t="shared" si="15"/>
        <v>5.5</v>
      </c>
      <c r="AA23" s="34">
        <f t="shared" si="15"/>
        <v>1</v>
      </c>
      <c r="AB23" s="34">
        <f t="shared" si="15"/>
        <v>32.5</v>
      </c>
      <c r="AC23" s="34">
        <f t="shared" si="15"/>
        <v>4</v>
      </c>
      <c r="AD23" s="34">
        <f t="shared" si="15"/>
        <v>0</v>
      </c>
      <c r="AE23" s="31">
        <f t="shared" si="15"/>
        <v>58</v>
      </c>
      <c r="AF23" s="31">
        <f t="shared" si="15"/>
        <v>62</v>
      </c>
    </row>
    <row r="24" spans="2:32" ht="23.1" customHeight="1" x14ac:dyDescent="0.25">
      <c r="B24" s="23" t="s">
        <v>51</v>
      </c>
      <c r="C24" s="49">
        <f>AVERAGE('22.08 BUSITEMA-TORORO'!C24,'23.08 TORORO-BUSITEMA'!C24,'25.08 TORORO-BUSITEMA'!C24,'26.08 TORORO-BUSITEMA'!C24,'24.08 TORORO-BUSITEMA-24h'!C24,'27.08 BUSITEMA-TORORO-24h'!C24,'28.08 TORORO-BUSITEMA'!C24)</f>
        <v>3.1428571428571428</v>
      </c>
      <c r="D24" s="49">
        <f>AVERAGE('22.08 BUSITEMA-TORORO'!D24,'23.08 TORORO-BUSITEMA'!D24,'25.08 TORORO-BUSITEMA'!D24,'26.08 TORORO-BUSITEMA'!D24,'24.08 TORORO-BUSITEMA-24h'!D24,'27.08 BUSITEMA-TORORO-24h'!D24,'28.08 TORORO-BUSITEMA'!D24)</f>
        <v>1.4285714285714286</v>
      </c>
      <c r="E24" s="49">
        <f>AVERAGE('22.08 BUSITEMA-TORORO'!E24,'23.08 TORORO-BUSITEMA'!E24,'25.08 TORORO-BUSITEMA'!E24,'26.08 TORORO-BUSITEMA'!E24,'24.08 TORORO-BUSITEMA-24h'!E24,'27.08 BUSITEMA-TORORO-24h'!E24,'28.08 TORORO-BUSITEMA'!E24)</f>
        <v>0.42857142857142855</v>
      </c>
      <c r="F24" s="49">
        <f>AVERAGE('22.08 BUSITEMA-TORORO'!F24,'23.08 TORORO-BUSITEMA'!F24,'25.08 TORORO-BUSITEMA'!F24,'26.08 TORORO-BUSITEMA'!F24,'24.08 TORORO-BUSITEMA-24h'!F24,'27.08 BUSITEMA-TORORO-24h'!F24,'28.08 TORORO-BUSITEMA'!F24)</f>
        <v>3.2857142857142856</v>
      </c>
      <c r="G24" s="49">
        <f>AVERAGE('22.08 BUSITEMA-TORORO'!G24,'23.08 TORORO-BUSITEMA'!G24,'25.08 TORORO-BUSITEMA'!G24,'26.08 TORORO-BUSITEMA'!G24,'24.08 TORORO-BUSITEMA-24h'!G24,'27.08 BUSITEMA-TORORO-24h'!G24,'28.08 TORORO-BUSITEMA'!G24)</f>
        <v>0</v>
      </c>
      <c r="H24" s="49">
        <f>AVERAGE('22.08 BUSITEMA-TORORO'!H24,'23.08 TORORO-BUSITEMA'!H24,'25.08 TORORO-BUSITEMA'!H24,'26.08 TORORO-BUSITEMA'!H24,'24.08 TORORO-BUSITEMA-24h'!H24,'27.08 BUSITEMA-TORORO-24h'!H24,'28.08 TORORO-BUSITEMA'!H24)</f>
        <v>0</v>
      </c>
      <c r="I24" s="49">
        <f>AVERAGE('22.08 BUSITEMA-TORORO'!I24,'23.08 TORORO-BUSITEMA'!I24,'25.08 TORORO-BUSITEMA'!I24,'26.08 TORORO-BUSITEMA'!I24,'24.08 TORORO-BUSITEMA-24h'!I24,'27.08 BUSITEMA-TORORO-24h'!I24,'28.08 TORORO-BUSITEMA'!I24)</f>
        <v>1.4285714285714286</v>
      </c>
      <c r="J24" s="49">
        <f>AVERAGE('22.08 BUSITEMA-TORORO'!J24,'23.08 TORORO-BUSITEMA'!J24,'25.08 TORORO-BUSITEMA'!J24,'26.08 TORORO-BUSITEMA'!J24,'24.08 TORORO-BUSITEMA-24h'!J24,'27.08 BUSITEMA-TORORO-24h'!J24,'28.08 TORORO-BUSITEMA'!J24)</f>
        <v>0.5714285714285714</v>
      </c>
      <c r="K24" s="49">
        <f>AVERAGE('22.08 BUSITEMA-TORORO'!K24,'23.08 TORORO-BUSITEMA'!K24,'25.08 TORORO-BUSITEMA'!K24,'26.08 TORORO-BUSITEMA'!K24,'24.08 TORORO-BUSITEMA-24h'!K24,'27.08 BUSITEMA-TORORO-24h'!K24,'28.08 TORORO-BUSITEMA'!K24)</f>
        <v>0.42857142857142855</v>
      </c>
      <c r="L24" s="49">
        <f>AVERAGE('22.08 BUSITEMA-TORORO'!L24,'23.08 TORORO-BUSITEMA'!L24,'25.08 TORORO-BUSITEMA'!L24,'26.08 TORORO-BUSITEMA'!L24,'24.08 TORORO-BUSITEMA-24h'!L24,'27.08 BUSITEMA-TORORO-24h'!L24,'28.08 TORORO-BUSITEMA'!L24)</f>
        <v>8</v>
      </c>
      <c r="M24" s="49">
        <f>AVERAGE('22.08 BUSITEMA-TORORO'!M24,'23.08 TORORO-BUSITEMA'!M24,'25.08 TORORO-BUSITEMA'!M24,'26.08 TORORO-BUSITEMA'!M24,'24.08 TORORO-BUSITEMA-24h'!M24,'27.08 BUSITEMA-TORORO-24h'!M24,'28.08 TORORO-BUSITEMA'!M24)</f>
        <v>5.7142857142857144</v>
      </c>
      <c r="N24" s="49">
        <f>AVERAGE('22.08 BUSITEMA-TORORO'!N24,'23.08 TORORO-BUSITEMA'!N24,'25.08 TORORO-BUSITEMA'!N24,'26.08 TORORO-BUSITEMA'!N24,'24.08 TORORO-BUSITEMA-24h'!N24,'27.08 BUSITEMA-TORORO-24h'!N24,'28.08 TORORO-BUSITEMA'!N24)</f>
        <v>0</v>
      </c>
      <c r="O24" s="15">
        <f t="shared" si="0"/>
        <v>18.714285714285715</v>
      </c>
      <c r="P24" s="15">
        <f t="shared" si="1"/>
        <v>24.428571428571431</v>
      </c>
      <c r="R24" s="1" t="s">
        <v>148</v>
      </c>
      <c r="S24" s="34">
        <f>SUM(C66:C69)</f>
        <v>4</v>
      </c>
      <c r="T24" s="34">
        <f t="shared" ref="T24:AF24" si="16">SUM(D66:D69)</f>
        <v>3</v>
      </c>
      <c r="U24" s="34">
        <f t="shared" si="16"/>
        <v>1.5</v>
      </c>
      <c r="V24" s="34">
        <f t="shared" si="16"/>
        <v>2</v>
      </c>
      <c r="W24" s="34">
        <f t="shared" si="16"/>
        <v>0</v>
      </c>
      <c r="X24" s="34">
        <f t="shared" si="16"/>
        <v>0.5</v>
      </c>
      <c r="Y24" s="34">
        <f t="shared" si="16"/>
        <v>0.5</v>
      </c>
      <c r="Z24" s="34">
        <f t="shared" si="16"/>
        <v>4</v>
      </c>
      <c r="AA24" s="34">
        <f t="shared" si="16"/>
        <v>4.5</v>
      </c>
      <c r="AB24" s="34">
        <f t="shared" si="16"/>
        <v>22.5</v>
      </c>
      <c r="AC24" s="34">
        <f t="shared" si="16"/>
        <v>2.5</v>
      </c>
      <c r="AD24" s="34">
        <f t="shared" si="16"/>
        <v>0</v>
      </c>
      <c r="AE24" s="31">
        <f t="shared" si="16"/>
        <v>42.5</v>
      </c>
      <c r="AF24" s="31">
        <f t="shared" si="16"/>
        <v>45</v>
      </c>
    </row>
    <row r="25" spans="2:32" ht="23.1" customHeight="1" x14ac:dyDescent="0.25">
      <c r="B25" s="23" t="s">
        <v>52</v>
      </c>
      <c r="C25" s="49">
        <f>AVERAGE('22.08 BUSITEMA-TORORO'!C25,'23.08 TORORO-BUSITEMA'!C25,'25.08 TORORO-BUSITEMA'!C25,'26.08 TORORO-BUSITEMA'!C25,'24.08 TORORO-BUSITEMA-24h'!C25,'27.08 BUSITEMA-TORORO-24h'!C25,'28.08 TORORO-BUSITEMA'!C25)</f>
        <v>3.2857142857142856</v>
      </c>
      <c r="D25" s="49">
        <f>AVERAGE('22.08 BUSITEMA-TORORO'!D25,'23.08 TORORO-BUSITEMA'!D25,'25.08 TORORO-BUSITEMA'!D25,'26.08 TORORO-BUSITEMA'!D25,'24.08 TORORO-BUSITEMA-24h'!D25,'27.08 BUSITEMA-TORORO-24h'!D25,'28.08 TORORO-BUSITEMA'!D25)</f>
        <v>2.5714285714285716</v>
      </c>
      <c r="E25" s="49">
        <f>AVERAGE('22.08 BUSITEMA-TORORO'!E25,'23.08 TORORO-BUSITEMA'!E25,'25.08 TORORO-BUSITEMA'!E25,'26.08 TORORO-BUSITEMA'!E25,'24.08 TORORO-BUSITEMA-24h'!E25,'27.08 BUSITEMA-TORORO-24h'!E25,'28.08 TORORO-BUSITEMA'!E25)</f>
        <v>1.4285714285714286</v>
      </c>
      <c r="F25" s="49">
        <f>AVERAGE('22.08 BUSITEMA-TORORO'!F25,'23.08 TORORO-BUSITEMA'!F25,'25.08 TORORO-BUSITEMA'!F25,'26.08 TORORO-BUSITEMA'!F25,'24.08 TORORO-BUSITEMA-24h'!F25,'27.08 BUSITEMA-TORORO-24h'!F25,'28.08 TORORO-BUSITEMA'!F25)</f>
        <v>3.7142857142857144</v>
      </c>
      <c r="G25" s="49">
        <f>AVERAGE('22.08 BUSITEMA-TORORO'!G25,'23.08 TORORO-BUSITEMA'!G25,'25.08 TORORO-BUSITEMA'!G25,'26.08 TORORO-BUSITEMA'!G25,'24.08 TORORO-BUSITEMA-24h'!G25,'27.08 BUSITEMA-TORORO-24h'!G25,'28.08 TORORO-BUSITEMA'!G25)</f>
        <v>0</v>
      </c>
      <c r="H25" s="49">
        <f>AVERAGE('22.08 BUSITEMA-TORORO'!H25,'23.08 TORORO-BUSITEMA'!H25,'25.08 TORORO-BUSITEMA'!H25,'26.08 TORORO-BUSITEMA'!H25,'24.08 TORORO-BUSITEMA-24h'!H25,'27.08 BUSITEMA-TORORO-24h'!H25,'28.08 TORORO-BUSITEMA'!H25)</f>
        <v>0</v>
      </c>
      <c r="I25" s="49">
        <f>AVERAGE('22.08 BUSITEMA-TORORO'!I25,'23.08 TORORO-BUSITEMA'!I25,'25.08 TORORO-BUSITEMA'!I25,'26.08 TORORO-BUSITEMA'!I25,'24.08 TORORO-BUSITEMA-24h'!I25,'27.08 BUSITEMA-TORORO-24h'!I25,'28.08 TORORO-BUSITEMA'!I25)</f>
        <v>0</v>
      </c>
      <c r="J25" s="49">
        <f>AVERAGE('22.08 BUSITEMA-TORORO'!J25,'23.08 TORORO-BUSITEMA'!J25,'25.08 TORORO-BUSITEMA'!J25,'26.08 TORORO-BUSITEMA'!J25,'24.08 TORORO-BUSITEMA-24h'!J25,'27.08 BUSITEMA-TORORO-24h'!J25,'28.08 TORORO-BUSITEMA'!J25)</f>
        <v>0.42857142857142855</v>
      </c>
      <c r="K25" s="49">
        <f>AVERAGE('22.08 BUSITEMA-TORORO'!K25,'23.08 TORORO-BUSITEMA'!K25,'25.08 TORORO-BUSITEMA'!K25,'26.08 TORORO-BUSITEMA'!K25,'24.08 TORORO-BUSITEMA-24h'!K25,'27.08 BUSITEMA-TORORO-24h'!K25,'28.08 TORORO-BUSITEMA'!K25)</f>
        <v>0.42857142857142855</v>
      </c>
      <c r="L25" s="49">
        <f>AVERAGE('22.08 BUSITEMA-TORORO'!L25,'23.08 TORORO-BUSITEMA'!L25,'25.08 TORORO-BUSITEMA'!L25,'26.08 TORORO-BUSITEMA'!L25,'24.08 TORORO-BUSITEMA-24h'!L25,'27.08 BUSITEMA-TORORO-24h'!L25,'28.08 TORORO-BUSITEMA'!L25)</f>
        <v>6.8571428571428568</v>
      </c>
      <c r="M25" s="49">
        <f>AVERAGE('22.08 BUSITEMA-TORORO'!M25,'23.08 TORORO-BUSITEMA'!M25,'25.08 TORORO-BUSITEMA'!M25,'26.08 TORORO-BUSITEMA'!M25,'24.08 TORORO-BUSITEMA-24h'!M25,'27.08 BUSITEMA-TORORO-24h'!M25,'28.08 TORORO-BUSITEMA'!M25)</f>
        <v>2.4285714285714284</v>
      </c>
      <c r="N25" s="49">
        <f>AVERAGE('22.08 BUSITEMA-TORORO'!N25,'23.08 TORORO-BUSITEMA'!N25,'25.08 TORORO-BUSITEMA'!N25,'26.08 TORORO-BUSITEMA'!N25,'24.08 TORORO-BUSITEMA-24h'!N25,'27.08 BUSITEMA-TORORO-24h'!N25,'28.08 TORORO-BUSITEMA'!N25)</f>
        <v>0.14285714285714285</v>
      </c>
      <c r="O25" s="15">
        <f t="shared" si="0"/>
        <v>18.857142857142858</v>
      </c>
      <c r="P25" s="15">
        <f t="shared" si="1"/>
        <v>21.285714285714285</v>
      </c>
      <c r="R25" s="1" t="s">
        <v>149</v>
      </c>
      <c r="S25" s="34">
        <f>SUM(C70:C73)</f>
        <v>3</v>
      </c>
      <c r="T25" s="34">
        <f t="shared" ref="T25:AF25" si="17">SUM(D70:D73)</f>
        <v>1</v>
      </c>
      <c r="U25" s="34">
        <f t="shared" si="17"/>
        <v>1</v>
      </c>
      <c r="V25" s="34">
        <f t="shared" si="17"/>
        <v>6.5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11.5</v>
      </c>
      <c r="AA25" s="34">
        <f t="shared" si="17"/>
        <v>0</v>
      </c>
      <c r="AB25" s="34">
        <f t="shared" si="17"/>
        <v>24.5</v>
      </c>
      <c r="AC25" s="34">
        <f t="shared" si="17"/>
        <v>2</v>
      </c>
      <c r="AD25" s="34">
        <f t="shared" si="17"/>
        <v>0</v>
      </c>
      <c r="AE25" s="31">
        <f t="shared" si="17"/>
        <v>48.5</v>
      </c>
      <c r="AF25" s="31">
        <f t="shared" si="17"/>
        <v>50.5</v>
      </c>
    </row>
    <row r="26" spans="2:32" ht="23.1" customHeight="1" x14ac:dyDescent="0.25">
      <c r="B26" s="23" t="s">
        <v>53</v>
      </c>
      <c r="C26" s="49">
        <f>AVERAGE('22.08 BUSITEMA-TORORO'!C26,'23.08 TORORO-BUSITEMA'!C26,'25.08 TORORO-BUSITEMA'!C26,'26.08 TORORO-BUSITEMA'!C26,'24.08 TORORO-BUSITEMA-24h'!C26,'27.08 BUSITEMA-TORORO-24h'!C26,'28.08 TORORO-BUSITEMA'!C26)</f>
        <v>1.8571428571428572</v>
      </c>
      <c r="D26" s="49">
        <f>AVERAGE('22.08 BUSITEMA-TORORO'!D26,'23.08 TORORO-BUSITEMA'!D26,'25.08 TORORO-BUSITEMA'!D26,'26.08 TORORO-BUSITEMA'!D26,'24.08 TORORO-BUSITEMA-24h'!D26,'27.08 BUSITEMA-TORORO-24h'!D26,'28.08 TORORO-BUSITEMA'!D26)</f>
        <v>3.2857142857142856</v>
      </c>
      <c r="E26" s="49">
        <f>AVERAGE('22.08 BUSITEMA-TORORO'!E26,'23.08 TORORO-BUSITEMA'!E26,'25.08 TORORO-BUSITEMA'!E26,'26.08 TORORO-BUSITEMA'!E26,'24.08 TORORO-BUSITEMA-24h'!E26,'27.08 BUSITEMA-TORORO-24h'!E26,'28.08 TORORO-BUSITEMA'!E26)</f>
        <v>1.1428571428571428</v>
      </c>
      <c r="F26" s="49">
        <f>AVERAGE('22.08 BUSITEMA-TORORO'!F26,'23.08 TORORO-BUSITEMA'!F26,'25.08 TORORO-BUSITEMA'!F26,'26.08 TORORO-BUSITEMA'!F26,'24.08 TORORO-BUSITEMA-24h'!F26,'27.08 BUSITEMA-TORORO-24h'!F26,'28.08 TORORO-BUSITEMA'!F26)</f>
        <v>3.7142857142857144</v>
      </c>
      <c r="G26" s="49">
        <f>AVERAGE('22.08 BUSITEMA-TORORO'!G26,'23.08 TORORO-BUSITEMA'!G26,'25.08 TORORO-BUSITEMA'!G26,'26.08 TORORO-BUSITEMA'!G26,'24.08 TORORO-BUSITEMA-24h'!G26,'27.08 BUSITEMA-TORORO-24h'!G26,'28.08 TORORO-BUSITEMA'!G26)</f>
        <v>0.14285714285714285</v>
      </c>
      <c r="H26" s="49">
        <f>AVERAGE('22.08 BUSITEMA-TORORO'!H26,'23.08 TORORO-BUSITEMA'!H26,'25.08 TORORO-BUSITEMA'!H26,'26.08 TORORO-BUSITEMA'!H26,'24.08 TORORO-BUSITEMA-24h'!H26,'27.08 BUSITEMA-TORORO-24h'!H26,'28.08 TORORO-BUSITEMA'!H26)</f>
        <v>0.14285714285714285</v>
      </c>
      <c r="I26" s="49">
        <f>AVERAGE('22.08 BUSITEMA-TORORO'!I26,'23.08 TORORO-BUSITEMA'!I26,'25.08 TORORO-BUSITEMA'!I26,'26.08 TORORO-BUSITEMA'!I26,'24.08 TORORO-BUSITEMA-24h'!I26,'27.08 BUSITEMA-TORORO-24h'!I26,'28.08 TORORO-BUSITEMA'!I26)</f>
        <v>1.1428571428571428</v>
      </c>
      <c r="J26" s="49">
        <f>AVERAGE('22.08 BUSITEMA-TORORO'!J26,'23.08 TORORO-BUSITEMA'!J26,'25.08 TORORO-BUSITEMA'!J26,'26.08 TORORO-BUSITEMA'!J26,'24.08 TORORO-BUSITEMA-24h'!J26,'27.08 BUSITEMA-TORORO-24h'!J26,'28.08 TORORO-BUSITEMA'!J26)</f>
        <v>0.42857142857142855</v>
      </c>
      <c r="K26" s="49">
        <f>AVERAGE('22.08 BUSITEMA-TORORO'!K26,'23.08 TORORO-BUSITEMA'!K26,'25.08 TORORO-BUSITEMA'!K26,'26.08 TORORO-BUSITEMA'!K26,'24.08 TORORO-BUSITEMA-24h'!K26,'27.08 BUSITEMA-TORORO-24h'!K26,'28.08 TORORO-BUSITEMA'!K26)</f>
        <v>0.42857142857142855</v>
      </c>
      <c r="L26" s="49">
        <f>AVERAGE('22.08 BUSITEMA-TORORO'!L26,'23.08 TORORO-BUSITEMA'!L26,'25.08 TORORO-BUSITEMA'!L26,'26.08 TORORO-BUSITEMA'!L26,'24.08 TORORO-BUSITEMA-24h'!L26,'27.08 BUSITEMA-TORORO-24h'!L26,'28.08 TORORO-BUSITEMA'!L26)</f>
        <v>10</v>
      </c>
      <c r="M26" s="49">
        <f>AVERAGE('22.08 BUSITEMA-TORORO'!M26,'23.08 TORORO-BUSITEMA'!M26,'25.08 TORORO-BUSITEMA'!M26,'26.08 TORORO-BUSITEMA'!M26,'24.08 TORORO-BUSITEMA-24h'!M26,'27.08 BUSITEMA-TORORO-24h'!M26,'28.08 TORORO-BUSITEMA'!M26)</f>
        <v>3.5714285714285716</v>
      </c>
      <c r="N26" s="49">
        <f>AVERAGE('22.08 BUSITEMA-TORORO'!N26,'23.08 TORORO-BUSITEMA'!N26,'25.08 TORORO-BUSITEMA'!N26,'26.08 TORORO-BUSITEMA'!N26,'24.08 TORORO-BUSITEMA-24h'!N26,'27.08 BUSITEMA-TORORO-24h'!N26,'28.08 TORORO-BUSITEMA'!N26)</f>
        <v>0</v>
      </c>
      <c r="O26" s="15">
        <f t="shared" si="0"/>
        <v>22.285714285714285</v>
      </c>
      <c r="P26" s="15">
        <f t="shared" si="1"/>
        <v>25.857142857142858</v>
      </c>
      <c r="R26" s="1" t="s">
        <v>150</v>
      </c>
      <c r="S26" s="34">
        <f>SUM(C74:C77)</f>
        <v>1.5</v>
      </c>
      <c r="T26" s="34">
        <f t="shared" ref="T26:AF26" si="18">SUM(D74:D77)</f>
        <v>3</v>
      </c>
      <c r="U26" s="34">
        <f t="shared" si="18"/>
        <v>1.5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1.5</v>
      </c>
      <c r="AA26" s="34">
        <f t="shared" si="18"/>
        <v>0</v>
      </c>
      <c r="AB26" s="34">
        <f t="shared" si="18"/>
        <v>21.5</v>
      </c>
      <c r="AC26" s="34">
        <f t="shared" si="18"/>
        <v>0</v>
      </c>
      <c r="AD26" s="34">
        <f t="shared" si="18"/>
        <v>0</v>
      </c>
      <c r="AE26" s="31">
        <f t="shared" si="18"/>
        <v>30</v>
      </c>
      <c r="AF26" s="31">
        <f t="shared" si="18"/>
        <v>30</v>
      </c>
    </row>
    <row r="27" spans="2:32" ht="23.1" customHeight="1" x14ac:dyDescent="0.25">
      <c r="B27" s="23" t="s">
        <v>54</v>
      </c>
      <c r="C27" s="49">
        <f>AVERAGE('22.08 BUSITEMA-TORORO'!C27,'23.08 TORORO-BUSITEMA'!C27,'25.08 TORORO-BUSITEMA'!C27,'26.08 TORORO-BUSITEMA'!C27,'24.08 TORORO-BUSITEMA-24h'!C27,'27.08 BUSITEMA-TORORO-24h'!C27,'28.08 TORORO-BUSITEMA'!C27)</f>
        <v>1.4285714285714286</v>
      </c>
      <c r="D27" s="49">
        <f>AVERAGE('22.08 BUSITEMA-TORORO'!D27,'23.08 TORORO-BUSITEMA'!D27,'25.08 TORORO-BUSITEMA'!D27,'26.08 TORORO-BUSITEMA'!D27,'24.08 TORORO-BUSITEMA-24h'!D27,'27.08 BUSITEMA-TORORO-24h'!D27,'28.08 TORORO-BUSITEMA'!D27)</f>
        <v>3.1428571428571428</v>
      </c>
      <c r="E27" s="49">
        <f>AVERAGE('22.08 BUSITEMA-TORORO'!E27,'23.08 TORORO-BUSITEMA'!E27,'25.08 TORORO-BUSITEMA'!E27,'26.08 TORORO-BUSITEMA'!E27,'24.08 TORORO-BUSITEMA-24h'!E27,'27.08 BUSITEMA-TORORO-24h'!E27,'28.08 TORORO-BUSITEMA'!E27)</f>
        <v>0.7142857142857143</v>
      </c>
      <c r="F27" s="49">
        <f>AVERAGE('22.08 BUSITEMA-TORORO'!F27,'23.08 TORORO-BUSITEMA'!F27,'25.08 TORORO-BUSITEMA'!F27,'26.08 TORORO-BUSITEMA'!F27,'24.08 TORORO-BUSITEMA-24h'!F27,'27.08 BUSITEMA-TORORO-24h'!F27,'28.08 TORORO-BUSITEMA'!F27)</f>
        <v>3.7142857142857144</v>
      </c>
      <c r="G27" s="49">
        <f>AVERAGE('22.08 BUSITEMA-TORORO'!G27,'23.08 TORORO-BUSITEMA'!G27,'25.08 TORORO-BUSITEMA'!G27,'26.08 TORORO-BUSITEMA'!G27,'24.08 TORORO-BUSITEMA-24h'!G27,'27.08 BUSITEMA-TORORO-24h'!G27,'28.08 TORORO-BUSITEMA'!G27)</f>
        <v>0</v>
      </c>
      <c r="H27" s="49">
        <f>AVERAGE('22.08 BUSITEMA-TORORO'!H27,'23.08 TORORO-BUSITEMA'!H27,'25.08 TORORO-BUSITEMA'!H27,'26.08 TORORO-BUSITEMA'!H27,'24.08 TORORO-BUSITEMA-24h'!H27,'27.08 BUSITEMA-TORORO-24h'!H27,'28.08 TORORO-BUSITEMA'!H27)</f>
        <v>0</v>
      </c>
      <c r="I27" s="49">
        <f>AVERAGE('22.08 BUSITEMA-TORORO'!I27,'23.08 TORORO-BUSITEMA'!I27,'25.08 TORORO-BUSITEMA'!I27,'26.08 TORORO-BUSITEMA'!I27,'24.08 TORORO-BUSITEMA-24h'!I27,'27.08 BUSITEMA-TORORO-24h'!I27,'28.08 TORORO-BUSITEMA'!I27)</f>
        <v>0.8571428571428571</v>
      </c>
      <c r="J27" s="49">
        <f>AVERAGE('22.08 BUSITEMA-TORORO'!J27,'23.08 TORORO-BUSITEMA'!J27,'25.08 TORORO-BUSITEMA'!J27,'26.08 TORORO-BUSITEMA'!J27,'24.08 TORORO-BUSITEMA-24h'!J27,'27.08 BUSITEMA-TORORO-24h'!J27,'28.08 TORORO-BUSITEMA'!J27)</f>
        <v>0.2857142857142857</v>
      </c>
      <c r="K27" s="49">
        <f>AVERAGE('22.08 BUSITEMA-TORORO'!K27,'23.08 TORORO-BUSITEMA'!K27,'25.08 TORORO-BUSITEMA'!K27,'26.08 TORORO-BUSITEMA'!K27,'24.08 TORORO-BUSITEMA-24h'!K27,'27.08 BUSITEMA-TORORO-24h'!K27,'28.08 TORORO-BUSITEMA'!K27)</f>
        <v>0</v>
      </c>
      <c r="L27" s="49">
        <f>AVERAGE('22.08 BUSITEMA-TORORO'!L27,'23.08 TORORO-BUSITEMA'!L27,'25.08 TORORO-BUSITEMA'!L27,'26.08 TORORO-BUSITEMA'!L27,'24.08 TORORO-BUSITEMA-24h'!L27,'27.08 BUSITEMA-TORORO-24h'!L27,'28.08 TORORO-BUSITEMA'!L27)</f>
        <v>5.4285714285714288</v>
      </c>
      <c r="M27" s="49">
        <f>AVERAGE('22.08 BUSITEMA-TORORO'!M27,'23.08 TORORO-BUSITEMA'!M27,'25.08 TORORO-BUSITEMA'!M27,'26.08 TORORO-BUSITEMA'!M27,'24.08 TORORO-BUSITEMA-24h'!M27,'27.08 BUSITEMA-TORORO-24h'!M27,'28.08 TORORO-BUSITEMA'!M27)</f>
        <v>4.2857142857142856</v>
      </c>
      <c r="N27" s="49">
        <f>AVERAGE('22.08 BUSITEMA-TORORO'!N27,'23.08 TORORO-BUSITEMA'!N27,'25.08 TORORO-BUSITEMA'!N27,'26.08 TORORO-BUSITEMA'!N27,'24.08 TORORO-BUSITEMA-24h'!N27,'27.08 BUSITEMA-TORORO-24h'!N27,'28.08 TORORO-BUSITEMA'!N27)</f>
        <v>0</v>
      </c>
      <c r="O27" s="15">
        <f t="shared" si="0"/>
        <v>15.571428571428573</v>
      </c>
      <c r="P27" s="15">
        <f t="shared" si="1"/>
        <v>19.857142857142858</v>
      </c>
      <c r="R27" s="1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0.5</v>
      </c>
      <c r="V27" s="34">
        <f t="shared" si="19"/>
        <v>0</v>
      </c>
      <c r="W27" s="34">
        <f t="shared" si="19"/>
        <v>0</v>
      </c>
      <c r="X27" s="34">
        <f t="shared" si="19"/>
        <v>0.5</v>
      </c>
      <c r="Y27" s="34">
        <f t="shared" si="19"/>
        <v>1.5</v>
      </c>
      <c r="Z27" s="34">
        <f t="shared" si="19"/>
        <v>4.5</v>
      </c>
      <c r="AA27" s="34">
        <f t="shared" si="19"/>
        <v>0</v>
      </c>
      <c r="AB27" s="34">
        <f t="shared" si="19"/>
        <v>12.5</v>
      </c>
      <c r="AC27" s="34">
        <f t="shared" si="19"/>
        <v>3</v>
      </c>
      <c r="AD27" s="34">
        <f t="shared" si="19"/>
        <v>0</v>
      </c>
      <c r="AE27" s="31">
        <f t="shared" si="19"/>
        <v>20.5</v>
      </c>
      <c r="AF27" s="31">
        <f t="shared" si="19"/>
        <v>23.5</v>
      </c>
    </row>
    <row r="28" spans="2:32" ht="23.1" customHeight="1" x14ac:dyDescent="0.25">
      <c r="B28" s="23" t="s">
        <v>55</v>
      </c>
      <c r="C28" s="49">
        <f>AVERAGE('22.08 BUSITEMA-TORORO'!C28,'23.08 TORORO-BUSITEMA'!C28,'25.08 TORORO-BUSITEMA'!C28,'26.08 TORORO-BUSITEMA'!C28,'24.08 TORORO-BUSITEMA-24h'!C28,'27.08 BUSITEMA-TORORO-24h'!C28,'28.08 TORORO-BUSITEMA'!C28)</f>
        <v>2.1428571428571428</v>
      </c>
      <c r="D28" s="49">
        <f>AVERAGE('22.08 BUSITEMA-TORORO'!D28,'23.08 TORORO-BUSITEMA'!D28,'25.08 TORORO-BUSITEMA'!D28,'26.08 TORORO-BUSITEMA'!D28,'24.08 TORORO-BUSITEMA-24h'!D28,'27.08 BUSITEMA-TORORO-24h'!D28,'28.08 TORORO-BUSITEMA'!D28)</f>
        <v>3.5714285714285716</v>
      </c>
      <c r="E28" s="49">
        <f>AVERAGE('22.08 BUSITEMA-TORORO'!E28,'23.08 TORORO-BUSITEMA'!E28,'25.08 TORORO-BUSITEMA'!E28,'26.08 TORORO-BUSITEMA'!E28,'24.08 TORORO-BUSITEMA-24h'!E28,'27.08 BUSITEMA-TORORO-24h'!E28,'28.08 TORORO-BUSITEMA'!E28)</f>
        <v>0.8571428571428571</v>
      </c>
      <c r="F28" s="49">
        <f>AVERAGE('22.08 BUSITEMA-TORORO'!F28,'23.08 TORORO-BUSITEMA'!F28,'25.08 TORORO-BUSITEMA'!F28,'26.08 TORORO-BUSITEMA'!F28,'24.08 TORORO-BUSITEMA-24h'!F28,'27.08 BUSITEMA-TORORO-24h'!F28,'28.08 TORORO-BUSITEMA'!F28)</f>
        <v>3.4285714285714284</v>
      </c>
      <c r="G28" s="49">
        <f>AVERAGE('22.08 BUSITEMA-TORORO'!G28,'23.08 TORORO-BUSITEMA'!G28,'25.08 TORORO-BUSITEMA'!G28,'26.08 TORORO-BUSITEMA'!G28,'24.08 TORORO-BUSITEMA-24h'!G28,'27.08 BUSITEMA-TORORO-24h'!G28,'28.08 TORORO-BUSITEMA'!G28)</f>
        <v>0</v>
      </c>
      <c r="H28" s="49">
        <f>AVERAGE('22.08 BUSITEMA-TORORO'!H28,'23.08 TORORO-BUSITEMA'!H28,'25.08 TORORO-BUSITEMA'!H28,'26.08 TORORO-BUSITEMA'!H28,'24.08 TORORO-BUSITEMA-24h'!H28,'27.08 BUSITEMA-TORORO-24h'!H28,'28.08 TORORO-BUSITEMA'!H28)</f>
        <v>0</v>
      </c>
      <c r="I28" s="49">
        <f>AVERAGE('22.08 BUSITEMA-TORORO'!I28,'23.08 TORORO-BUSITEMA'!I28,'25.08 TORORO-BUSITEMA'!I28,'26.08 TORORO-BUSITEMA'!I28,'24.08 TORORO-BUSITEMA-24h'!I28,'27.08 BUSITEMA-TORORO-24h'!I28,'28.08 TORORO-BUSITEMA'!I28)</f>
        <v>0.42857142857142855</v>
      </c>
      <c r="J28" s="49">
        <f>AVERAGE('22.08 BUSITEMA-TORORO'!J28,'23.08 TORORO-BUSITEMA'!J28,'25.08 TORORO-BUSITEMA'!J28,'26.08 TORORO-BUSITEMA'!J28,'24.08 TORORO-BUSITEMA-24h'!J28,'27.08 BUSITEMA-TORORO-24h'!J28,'28.08 TORORO-BUSITEMA'!J28)</f>
        <v>0.42857142857142855</v>
      </c>
      <c r="K28" s="49">
        <f>AVERAGE('22.08 BUSITEMA-TORORO'!K28,'23.08 TORORO-BUSITEMA'!K28,'25.08 TORORO-BUSITEMA'!K28,'26.08 TORORO-BUSITEMA'!K28,'24.08 TORORO-BUSITEMA-24h'!K28,'27.08 BUSITEMA-TORORO-24h'!K28,'28.08 TORORO-BUSITEMA'!K28)</f>
        <v>0.14285714285714285</v>
      </c>
      <c r="L28" s="49">
        <f>AVERAGE('22.08 BUSITEMA-TORORO'!L28,'23.08 TORORO-BUSITEMA'!L28,'25.08 TORORO-BUSITEMA'!L28,'26.08 TORORO-BUSITEMA'!L28,'24.08 TORORO-BUSITEMA-24h'!L28,'27.08 BUSITEMA-TORORO-24h'!L28,'28.08 TORORO-BUSITEMA'!L28)</f>
        <v>7.8571428571428568</v>
      </c>
      <c r="M28" s="49">
        <f>AVERAGE('22.08 BUSITEMA-TORORO'!M28,'23.08 TORORO-BUSITEMA'!M28,'25.08 TORORO-BUSITEMA'!M28,'26.08 TORORO-BUSITEMA'!M28,'24.08 TORORO-BUSITEMA-24h'!M28,'27.08 BUSITEMA-TORORO-24h'!M28,'28.08 TORORO-BUSITEMA'!M28)</f>
        <v>5</v>
      </c>
      <c r="N28" s="49">
        <f>AVERAGE('22.08 BUSITEMA-TORORO'!N28,'23.08 TORORO-BUSITEMA'!N28,'25.08 TORORO-BUSITEMA'!N28,'26.08 TORORO-BUSITEMA'!N28,'24.08 TORORO-BUSITEMA-24h'!N28,'27.08 BUSITEMA-TORORO-24h'!N28,'28.08 TORORO-BUSITEMA'!N28)</f>
        <v>0</v>
      </c>
      <c r="O28" s="15">
        <f t="shared" si="0"/>
        <v>18.857142857142858</v>
      </c>
      <c r="P28" s="15">
        <f t="shared" si="1"/>
        <v>23.857142857142858</v>
      </c>
      <c r="R28" s="1" t="s">
        <v>152</v>
      </c>
      <c r="S28" s="34">
        <f>SUM(C82:C85)</f>
        <v>0</v>
      </c>
      <c r="T28" s="34">
        <f t="shared" ref="T28:AF28" si="20">SUM(D82:D85)</f>
        <v>0.5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11.5</v>
      </c>
      <c r="AC28" s="34">
        <f t="shared" si="20"/>
        <v>0</v>
      </c>
      <c r="AD28" s="34">
        <f t="shared" si="20"/>
        <v>0</v>
      </c>
      <c r="AE28" s="31">
        <f t="shared" si="20"/>
        <v>15</v>
      </c>
      <c r="AF28" s="31">
        <f t="shared" si="20"/>
        <v>15</v>
      </c>
    </row>
    <row r="29" spans="2:32" ht="23.1" customHeight="1" x14ac:dyDescent="0.25">
      <c r="B29" s="23" t="s">
        <v>56</v>
      </c>
      <c r="C29" s="49">
        <f>AVERAGE('22.08 BUSITEMA-TORORO'!C29,'23.08 TORORO-BUSITEMA'!C29,'25.08 TORORO-BUSITEMA'!C29,'26.08 TORORO-BUSITEMA'!C29,'24.08 TORORO-BUSITEMA-24h'!C29,'27.08 BUSITEMA-TORORO-24h'!C29,'28.08 TORORO-BUSITEMA'!C29)</f>
        <v>3.1428571428571428</v>
      </c>
      <c r="D29" s="49">
        <f>AVERAGE('22.08 BUSITEMA-TORORO'!D29,'23.08 TORORO-BUSITEMA'!D29,'25.08 TORORO-BUSITEMA'!D29,'26.08 TORORO-BUSITEMA'!D29,'24.08 TORORO-BUSITEMA-24h'!D29,'27.08 BUSITEMA-TORORO-24h'!D29,'28.08 TORORO-BUSITEMA'!D29)</f>
        <v>3.1428571428571428</v>
      </c>
      <c r="E29" s="49">
        <f>AVERAGE('22.08 BUSITEMA-TORORO'!E29,'23.08 TORORO-BUSITEMA'!E29,'25.08 TORORO-BUSITEMA'!E29,'26.08 TORORO-BUSITEMA'!E29,'24.08 TORORO-BUSITEMA-24h'!E29,'27.08 BUSITEMA-TORORO-24h'!E29,'28.08 TORORO-BUSITEMA'!E29)</f>
        <v>0.7142857142857143</v>
      </c>
      <c r="F29" s="49">
        <f>AVERAGE('22.08 BUSITEMA-TORORO'!F29,'23.08 TORORO-BUSITEMA'!F29,'25.08 TORORO-BUSITEMA'!F29,'26.08 TORORO-BUSITEMA'!F29,'24.08 TORORO-BUSITEMA-24h'!F29,'27.08 BUSITEMA-TORORO-24h'!F29,'28.08 TORORO-BUSITEMA'!F29)</f>
        <v>3.5714285714285716</v>
      </c>
      <c r="G29" s="49">
        <f>AVERAGE('22.08 BUSITEMA-TORORO'!G29,'23.08 TORORO-BUSITEMA'!G29,'25.08 TORORO-BUSITEMA'!G29,'26.08 TORORO-BUSITEMA'!G29,'24.08 TORORO-BUSITEMA-24h'!G29,'27.08 BUSITEMA-TORORO-24h'!G29,'28.08 TORORO-BUSITEMA'!G29)</f>
        <v>0.5714285714285714</v>
      </c>
      <c r="H29" s="49">
        <f>AVERAGE('22.08 BUSITEMA-TORORO'!H29,'23.08 TORORO-BUSITEMA'!H29,'25.08 TORORO-BUSITEMA'!H29,'26.08 TORORO-BUSITEMA'!H29,'24.08 TORORO-BUSITEMA-24h'!H29,'27.08 BUSITEMA-TORORO-24h'!H29,'28.08 TORORO-BUSITEMA'!H29)</f>
        <v>0</v>
      </c>
      <c r="I29" s="49">
        <f>AVERAGE('22.08 BUSITEMA-TORORO'!I29,'23.08 TORORO-BUSITEMA'!I29,'25.08 TORORO-BUSITEMA'!I29,'26.08 TORORO-BUSITEMA'!I29,'24.08 TORORO-BUSITEMA-24h'!I29,'27.08 BUSITEMA-TORORO-24h'!I29,'28.08 TORORO-BUSITEMA'!I29)</f>
        <v>0.5714285714285714</v>
      </c>
      <c r="J29" s="49">
        <f>AVERAGE('22.08 BUSITEMA-TORORO'!J29,'23.08 TORORO-BUSITEMA'!J29,'25.08 TORORO-BUSITEMA'!J29,'26.08 TORORO-BUSITEMA'!J29,'24.08 TORORO-BUSITEMA-24h'!J29,'27.08 BUSITEMA-TORORO-24h'!J29,'28.08 TORORO-BUSITEMA'!J29)</f>
        <v>0.7142857142857143</v>
      </c>
      <c r="K29" s="49">
        <f>AVERAGE('22.08 BUSITEMA-TORORO'!K29,'23.08 TORORO-BUSITEMA'!K29,'25.08 TORORO-BUSITEMA'!K29,'26.08 TORORO-BUSITEMA'!K29,'24.08 TORORO-BUSITEMA-24h'!K29,'27.08 BUSITEMA-TORORO-24h'!K29,'28.08 TORORO-BUSITEMA'!K29)</f>
        <v>0.7142857142857143</v>
      </c>
      <c r="L29" s="49">
        <f>AVERAGE('22.08 BUSITEMA-TORORO'!L29,'23.08 TORORO-BUSITEMA'!L29,'25.08 TORORO-BUSITEMA'!L29,'26.08 TORORO-BUSITEMA'!L29,'24.08 TORORO-BUSITEMA-24h'!L29,'27.08 BUSITEMA-TORORO-24h'!L29,'28.08 TORORO-BUSITEMA'!L29)</f>
        <v>5.4285714285714288</v>
      </c>
      <c r="M29" s="49">
        <f>AVERAGE('22.08 BUSITEMA-TORORO'!M29,'23.08 TORORO-BUSITEMA'!M29,'25.08 TORORO-BUSITEMA'!M29,'26.08 TORORO-BUSITEMA'!M29,'24.08 TORORO-BUSITEMA-24h'!M29,'27.08 BUSITEMA-TORORO-24h'!M29,'28.08 TORORO-BUSITEMA'!M29)</f>
        <v>3</v>
      </c>
      <c r="N29" s="49">
        <f>AVERAGE('22.08 BUSITEMA-TORORO'!N29,'23.08 TORORO-BUSITEMA'!N29,'25.08 TORORO-BUSITEMA'!N29,'26.08 TORORO-BUSITEMA'!N29,'24.08 TORORO-BUSITEMA-24h'!N29,'27.08 BUSITEMA-TORORO-24h'!N29,'28.08 TORORO-BUSITEMA'!N29)</f>
        <v>0</v>
      </c>
      <c r="O29" s="15">
        <f t="shared" si="0"/>
        <v>18.571428571428569</v>
      </c>
      <c r="P29" s="15">
        <f t="shared" si="1"/>
        <v>21.571428571428569</v>
      </c>
      <c r="R29" s="1" t="s">
        <v>153</v>
      </c>
      <c r="S29" s="34">
        <f>SUM(C86:C89)</f>
        <v>1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1.5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25.5</v>
      </c>
      <c r="AC29" s="34">
        <f t="shared" si="21"/>
        <v>0.5</v>
      </c>
      <c r="AD29" s="34">
        <f t="shared" si="21"/>
        <v>0</v>
      </c>
      <c r="AE29" s="31">
        <f t="shared" si="21"/>
        <v>30</v>
      </c>
      <c r="AF29" s="31">
        <f t="shared" si="21"/>
        <v>30.5</v>
      </c>
    </row>
    <row r="30" spans="2:32" ht="23.1" customHeight="1" x14ac:dyDescent="0.25">
      <c r="B30" s="23" t="s">
        <v>57</v>
      </c>
      <c r="C30" s="49">
        <f>AVERAGE('22.08 BUSITEMA-TORORO'!C30,'23.08 TORORO-BUSITEMA'!C30,'25.08 TORORO-BUSITEMA'!C30,'26.08 TORORO-BUSITEMA'!C30,'24.08 TORORO-BUSITEMA-24h'!C30,'27.08 BUSITEMA-TORORO-24h'!C30,'28.08 TORORO-BUSITEMA'!C30)</f>
        <v>2.1428571428571428</v>
      </c>
      <c r="D30" s="49">
        <f>AVERAGE('22.08 BUSITEMA-TORORO'!D30,'23.08 TORORO-BUSITEMA'!D30,'25.08 TORORO-BUSITEMA'!D30,'26.08 TORORO-BUSITEMA'!D30,'24.08 TORORO-BUSITEMA-24h'!D30,'27.08 BUSITEMA-TORORO-24h'!D30,'28.08 TORORO-BUSITEMA'!D30)</f>
        <v>1.5714285714285714</v>
      </c>
      <c r="E30" s="49">
        <f>AVERAGE('22.08 BUSITEMA-TORORO'!E30,'23.08 TORORO-BUSITEMA'!E30,'25.08 TORORO-BUSITEMA'!E30,'26.08 TORORO-BUSITEMA'!E30,'24.08 TORORO-BUSITEMA-24h'!E30,'27.08 BUSITEMA-TORORO-24h'!E30,'28.08 TORORO-BUSITEMA'!E30)</f>
        <v>1.1428571428571428</v>
      </c>
      <c r="F30" s="49">
        <f>AVERAGE('22.08 BUSITEMA-TORORO'!F30,'23.08 TORORO-BUSITEMA'!F30,'25.08 TORORO-BUSITEMA'!F30,'26.08 TORORO-BUSITEMA'!F30,'24.08 TORORO-BUSITEMA-24h'!F30,'27.08 BUSITEMA-TORORO-24h'!F30,'28.08 TORORO-BUSITEMA'!F30)</f>
        <v>2.8571428571428572</v>
      </c>
      <c r="G30" s="49">
        <f>AVERAGE('22.08 BUSITEMA-TORORO'!G30,'23.08 TORORO-BUSITEMA'!G30,'25.08 TORORO-BUSITEMA'!G30,'26.08 TORORO-BUSITEMA'!G30,'24.08 TORORO-BUSITEMA-24h'!G30,'27.08 BUSITEMA-TORORO-24h'!G30,'28.08 TORORO-BUSITEMA'!G30)</f>
        <v>0</v>
      </c>
      <c r="H30" s="49">
        <f>AVERAGE('22.08 BUSITEMA-TORORO'!H30,'23.08 TORORO-BUSITEMA'!H30,'25.08 TORORO-BUSITEMA'!H30,'26.08 TORORO-BUSITEMA'!H30,'24.08 TORORO-BUSITEMA-24h'!H30,'27.08 BUSITEMA-TORORO-24h'!H30,'28.08 TORORO-BUSITEMA'!H30)</f>
        <v>0</v>
      </c>
      <c r="I30" s="49">
        <f>AVERAGE('22.08 BUSITEMA-TORORO'!I30,'23.08 TORORO-BUSITEMA'!I30,'25.08 TORORO-BUSITEMA'!I30,'26.08 TORORO-BUSITEMA'!I30,'24.08 TORORO-BUSITEMA-24h'!I30,'27.08 BUSITEMA-TORORO-24h'!I30,'28.08 TORORO-BUSITEMA'!I30)</f>
        <v>1.5714285714285714</v>
      </c>
      <c r="J30" s="49">
        <f>AVERAGE('22.08 BUSITEMA-TORORO'!J30,'23.08 TORORO-BUSITEMA'!J30,'25.08 TORORO-BUSITEMA'!J30,'26.08 TORORO-BUSITEMA'!J30,'24.08 TORORO-BUSITEMA-24h'!J30,'27.08 BUSITEMA-TORORO-24h'!J30,'28.08 TORORO-BUSITEMA'!J30)</f>
        <v>0.5714285714285714</v>
      </c>
      <c r="K30" s="49">
        <f>AVERAGE('22.08 BUSITEMA-TORORO'!K30,'23.08 TORORO-BUSITEMA'!K30,'25.08 TORORO-BUSITEMA'!K30,'26.08 TORORO-BUSITEMA'!K30,'24.08 TORORO-BUSITEMA-24h'!K30,'27.08 BUSITEMA-TORORO-24h'!K30,'28.08 TORORO-BUSITEMA'!K30)</f>
        <v>0.7142857142857143</v>
      </c>
      <c r="L30" s="49">
        <f>AVERAGE('22.08 BUSITEMA-TORORO'!L30,'23.08 TORORO-BUSITEMA'!L30,'25.08 TORORO-BUSITEMA'!L30,'26.08 TORORO-BUSITEMA'!L30,'24.08 TORORO-BUSITEMA-24h'!L30,'27.08 BUSITEMA-TORORO-24h'!L30,'28.08 TORORO-BUSITEMA'!L30)</f>
        <v>6</v>
      </c>
      <c r="M30" s="49">
        <f>AVERAGE('22.08 BUSITEMA-TORORO'!M30,'23.08 TORORO-BUSITEMA'!M30,'25.08 TORORO-BUSITEMA'!M30,'26.08 TORORO-BUSITEMA'!M30,'24.08 TORORO-BUSITEMA-24h'!M30,'27.08 BUSITEMA-TORORO-24h'!M30,'28.08 TORORO-BUSITEMA'!M30)</f>
        <v>2.7142857142857144</v>
      </c>
      <c r="N30" s="49">
        <f>AVERAGE('22.08 BUSITEMA-TORORO'!N30,'23.08 TORORO-BUSITEMA'!N30,'25.08 TORORO-BUSITEMA'!N30,'26.08 TORORO-BUSITEMA'!N30,'24.08 TORORO-BUSITEMA-24h'!N30,'27.08 BUSITEMA-TORORO-24h'!N30,'28.08 TORORO-BUSITEMA'!N30)</f>
        <v>0</v>
      </c>
      <c r="O30" s="15">
        <f t="shared" si="0"/>
        <v>16.571428571428569</v>
      </c>
      <c r="P30" s="15">
        <f t="shared" si="1"/>
        <v>19.285714285714285</v>
      </c>
      <c r="R30" s="1" t="s">
        <v>154</v>
      </c>
      <c r="S30" s="34">
        <f>SUM(C90:C93)</f>
        <v>1</v>
      </c>
      <c r="T30" s="34">
        <f t="shared" ref="T30:AF30" si="22">SUM(D90:D93)</f>
        <v>0.5</v>
      </c>
      <c r="U30" s="34">
        <f t="shared" si="22"/>
        <v>0</v>
      </c>
      <c r="V30" s="34">
        <f t="shared" si="22"/>
        <v>2.5</v>
      </c>
      <c r="W30" s="34">
        <f t="shared" si="22"/>
        <v>0</v>
      </c>
      <c r="X30" s="34">
        <f t="shared" si="22"/>
        <v>0.5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22.5</v>
      </c>
      <c r="AC30" s="34">
        <f t="shared" si="22"/>
        <v>0</v>
      </c>
      <c r="AD30" s="34">
        <f t="shared" si="22"/>
        <v>0</v>
      </c>
      <c r="AE30" s="31">
        <f t="shared" si="22"/>
        <v>28</v>
      </c>
      <c r="AF30" s="31">
        <f t="shared" si="22"/>
        <v>28</v>
      </c>
    </row>
    <row r="31" spans="2:32" ht="23.1" customHeight="1" x14ac:dyDescent="0.25">
      <c r="B31" s="24" t="s">
        <v>58</v>
      </c>
      <c r="C31" s="49">
        <f>AVERAGE('22.08 BUSITEMA-TORORO'!C31,'23.08 TORORO-BUSITEMA'!C31,'25.08 TORORO-BUSITEMA'!C31,'26.08 TORORO-BUSITEMA'!C31,'24.08 TORORO-BUSITEMA-24h'!C31,'27.08 BUSITEMA-TORORO-24h'!C31,'28.08 TORORO-BUSITEMA'!C31)</f>
        <v>2.2857142857142856</v>
      </c>
      <c r="D31" s="49">
        <f>AVERAGE('22.08 BUSITEMA-TORORO'!D31,'23.08 TORORO-BUSITEMA'!D31,'25.08 TORORO-BUSITEMA'!D31,'26.08 TORORO-BUSITEMA'!D31,'24.08 TORORO-BUSITEMA-24h'!D31,'27.08 BUSITEMA-TORORO-24h'!D31,'28.08 TORORO-BUSITEMA'!D31)</f>
        <v>2.4285714285714284</v>
      </c>
      <c r="E31" s="49">
        <f>AVERAGE('22.08 BUSITEMA-TORORO'!E31,'23.08 TORORO-BUSITEMA'!E31,'25.08 TORORO-BUSITEMA'!E31,'26.08 TORORO-BUSITEMA'!E31,'24.08 TORORO-BUSITEMA-24h'!E31,'27.08 BUSITEMA-TORORO-24h'!E31,'28.08 TORORO-BUSITEMA'!E31)</f>
        <v>0.5714285714285714</v>
      </c>
      <c r="F31" s="49">
        <f>AVERAGE('22.08 BUSITEMA-TORORO'!F31,'23.08 TORORO-BUSITEMA'!F31,'25.08 TORORO-BUSITEMA'!F31,'26.08 TORORO-BUSITEMA'!F31,'24.08 TORORO-BUSITEMA-24h'!F31,'27.08 BUSITEMA-TORORO-24h'!F31,'28.08 TORORO-BUSITEMA'!F31)</f>
        <v>3.2857142857142856</v>
      </c>
      <c r="G31" s="49">
        <f>AVERAGE('22.08 BUSITEMA-TORORO'!G31,'23.08 TORORO-BUSITEMA'!G31,'25.08 TORORO-BUSITEMA'!G31,'26.08 TORORO-BUSITEMA'!G31,'24.08 TORORO-BUSITEMA-24h'!G31,'27.08 BUSITEMA-TORORO-24h'!G31,'28.08 TORORO-BUSITEMA'!G31)</f>
        <v>0.14285714285714285</v>
      </c>
      <c r="H31" s="49">
        <f>AVERAGE('22.08 BUSITEMA-TORORO'!H31,'23.08 TORORO-BUSITEMA'!H31,'25.08 TORORO-BUSITEMA'!H31,'26.08 TORORO-BUSITEMA'!H31,'24.08 TORORO-BUSITEMA-24h'!H31,'27.08 BUSITEMA-TORORO-24h'!H31,'28.08 TORORO-BUSITEMA'!H31)</f>
        <v>0</v>
      </c>
      <c r="I31" s="49">
        <f>AVERAGE('22.08 BUSITEMA-TORORO'!I31,'23.08 TORORO-BUSITEMA'!I31,'25.08 TORORO-BUSITEMA'!I31,'26.08 TORORO-BUSITEMA'!I31,'24.08 TORORO-BUSITEMA-24h'!I31,'27.08 BUSITEMA-TORORO-24h'!I31,'28.08 TORORO-BUSITEMA'!I31)</f>
        <v>0.7142857142857143</v>
      </c>
      <c r="J31" s="49">
        <f>AVERAGE('22.08 BUSITEMA-TORORO'!J31,'23.08 TORORO-BUSITEMA'!J31,'25.08 TORORO-BUSITEMA'!J31,'26.08 TORORO-BUSITEMA'!J31,'24.08 TORORO-BUSITEMA-24h'!J31,'27.08 BUSITEMA-TORORO-24h'!J31,'28.08 TORORO-BUSITEMA'!J31)</f>
        <v>1.2857142857142858</v>
      </c>
      <c r="K31" s="49">
        <f>AVERAGE('22.08 BUSITEMA-TORORO'!K31,'23.08 TORORO-BUSITEMA'!K31,'25.08 TORORO-BUSITEMA'!K31,'26.08 TORORO-BUSITEMA'!K31,'24.08 TORORO-BUSITEMA-24h'!K31,'27.08 BUSITEMA-TORORO-24h'!K31,'28.08 TORORO-BUSITEMA'!K31)</f>
        <v>1.2857142857142858</v>
      </c>
      <c r="L31" s="49">
        <f>AVERAGE('22.08 BUSITEMA-TORORO'!L31,'23.08 TORORO-BUSITEMA'!L31,'25.08 TORORO-BUSITEMA'!L31,'26.08 TORORO-BUSITEMA'!L31,'24.08 TORORO-BUSITEMA-24h'!L31,'27.08 BUSITEMA-TORORO-24h'!L31,'28.08 TORORO-BUSITEMA'!L31)</f>
        <v>6.2857142857142856</v>
      </c>
      <c r="M31" s="49">
        <f>AVERAGE('22.08 BUSITEMA-TORORO'!M31,'23.08 TORORO-BUSITEMA'!M31,'25.08 TORORO-BUSITEMA'!M31,'26.08 TORORO-BUSITEMA'!M31,'24.08 TORORO-BUSITEMA-24h'!M31,'27.08 BUSITEMA-TORORO-24h'!M31,'28.08 TORORO-BUSITEMA'!M31)</f>
        <v>2.7142857142857144</v>
      </c>
      <c r="N31" s="49">
        <f>AVERAGE('22.08 BUSITEMA-TORORO'!N31,'23.08 TORORO-BUSITEMA'!N31,'25.08 TORORO-BUSITEMA'!N31,'26.08 TORORO-BUSITEMA'!N31,'24.08 TORORO-BUSITEMA-24h'!N31,'27.08 BUSITEMA-TORORO-24h'!N31,'28.08 TORORO-BUSITEMA'!N31)</f>
        <v>0</v>
      </c>
      <c r="O31" s="15">
        <f t="shared" si="0"/>
        <v>18.285714285714285</v>
      </c>
      <c r="P31" s="15">
        <f t="shared" si="1"/>
        <v>21</v>
      </c>
      <c r="R31" s="1" t="s">
        <v>155</v>
      </c>
      <c r="S31" s="34">
        <f>SUM(C94:C97)</f>
        <v>1.5</v>
      </c>
      <c r="T31" s="34">
        <f t="shared" ref="T31:AF31" si="23">SUM(D94:D97)</f>
        <v>1</v>
      </c>
      <c r="U31" s="34">
        <f t="shared" si="23"/>
        <v>0.5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3</v>
      </c>
      <c r="AA31" s="34">
        <f t="shared" si="23"/>
        <v>1</v>
      </c>
      <c r="AB31" s="34">
        <f t="shared" si="23"/>
        <v>28.5</v>
      </c>
      <c r="AC31" s="34">
        <f t="shared" si="23"/>
        <v>0</v>
      </c>
      <c r="AD31" s="34">
        <f t="shared" si="23"/>
        <v>0</v>
      </c>
      <c r="AE31" s="31">
        <f t="shared" si="23"/>
        <v>37.5</v>
      </c>
      <c r="AF31" s="31">
        <f t="shared" si="23"/>
        <v>37.5</v>
      </c>
    </row>
    <row r="32" spans="2:32" ht="23.1" customHeight="1" x14ac:dyDescent="0.25">
      <c r="B32" s="24" t="s">
        <v>59</v>
      </c>
      <c r="C32" s="49">
        <f>AVERAGE('22.08 BUSITEMA-TORORO'!C32,'23.08 TORORO-BUSITEMA'!C32,'25.08 TORORO-BUSITEMA'!C32,'26.08 TORORO-BUSITEMA'!C32,'24.08 TORORO-BUSITEMA-24h'!C32,'27.08 BUSITEMA-TORORO-24h'!C32,'28.08 TORORO-BUSITEMA'!C32)</f>
        <v>2.4285714285714284</v>
      </c>
      <c r="D32" s="49">
        <f>AVERAGE('22.08 BUSITEMA-TORORO'!D32,'23.08 TORORO-BUSITEMA'!D32,'25.08 TORORO-BUSITEMA'!D32,'26.08 TORORO-BUSITEMA'!D32,'24.08 TORORO-BUSITEMA-24h'!D32,'27.08 BUSITEMA-TORORO-24h'!D32,'28.08 TORORO-BUSITEMA'!D32)</f>
        <v>3.1428571428571428</v>
      </c>
      <c r="E32" s="49">
        <f>AVERAGE('22.08 BUSITEMA-TORORO'!E32,'23.08 TORORO-BUSITEMA'!E32,'25.08 TORORO-BUSITEMA'!E32,'26.08 TORORO-BUSITEMA'!E32,'24.08 TORORO-BUSITEMA-24h'!E32,'27.08 BUSITEMA-TORORO-24h'!E32,'28.08 TORORO-BUSITEMA'!E32)</f>
        <v>1.1428571428571428</v>
      </c>
      <c r="F32" s="49">
        <f>AVERAGE('22.08 BUSITEMA-TORORO'!F32,'23.08 TORORO-BUSITEMA'!F32,'25.08 TORORO-BUSITEMA'!F32,'26.08 TORORO-BUSITEMA'!F32,'24.08 TORORO-BUSITEMA-24h'!F32,'27.08 BUSITEMA-TORORO-24h'!F32,'28.08 TORORO-BUSITEMA'!F32)</f>
        <v>4</v>
      </c>
      <c r="G32" s="49">
        <f>AVERAGE('22.08 BUSITEMA-TORORO'!G32,'23.08 TORORO-BUSITEMA'!G32,'25.08 TORORO-BUSITEMA'!G32,'26.08 TORORO-BUSITEMA'!G32,'24.08 TORORO-BUSITEMA-24h'!G32,'27.08 BUSITEMA-TORORO-24h'!G32,'28.08 TORORO-BUSITEMA'!G32)</f>
        <v>1.2857142857142858</v>
      </c>
      <c r="H32" s="49">
        <f>AVERAGE('22.08 BUSITEMA-TORORO'!H32,'23.08 TORORO-BUSITEMA'!H32,'25.08 TORORO-BUSITEMA'!H32,'26.08 TORORO-BUSITEMA'!H32,'24.08 TORORO-BUSITEMA-24h'!H32,'27.08 BUSITEMA-TORORO-24h'!H32,'28.08 TORORO-BUSITEMA'!H32)</f>
        <v>0.2857142857142857</v>
      </c>
      <c r="I32" s="49">
        <f>AVERAGE('22.08 BUSITEMA-TORORO'!I32,'23.08 TORORO-BUSITEMA'!I32,'25.08 TORORO-BUSITEMA'!I32,'26.08 TORORO-BUSITEMA'!I32,'24.08 TORORO-BUSITEMA-24h'!I32,'27.08 BUSITEMA-TORORO-24h'!I32,'28.08 TORORO-BUSITEMA'!I32)</f>
        <v>0.2857142857142857</v>
      </c>
      <c r="J32" s="49">
        <f>AVERAGE('22.08 BUSITEMA-TORORO'!J32,'23.08 TORORO-BUSITEMA'!J32,'25.08 TORORO-BUSITEMA'!J32,'26.08 TORORO-BUSITEMA'!J32,'24.08 TORORO-BUSITEMA-24h'!J32,'27.08 BUSITEMA-TORORO-24h'!J32,'28.08 TORORO-BUSITEMA'!J32)</f>
        <v>0.42857142857142855</v>
      </c>
      <c r="K32" s="49">
        <f>AVERAGE('22.08 BUSITEMA-TORORO'!K32,'23.08 TORORO-BUSITEMA'!K32,'25.08 TORORO-BUSITEMA'!K32,'26.08 TORORO-BUSITEMA'!K32,'24.08 TORORO-BUSITEMA-24h'!K32,'27.08 BUSITEMA-TORORO-24h'!K32,'28.08 TORORO-BUSITEMA'!K32)</f>
        <v>0.14285714285714285</v>
      </c>
      <c r="L32" s="49">
        <f>AVERAGE('22.08 BUSITEMA-TORORO'!L32,'23.08 TORORO-BUSITEMA'!L32,'25.08 TORORO-BUSITEMA'!L32,'26.08 TORORO-BUSITEMA'!L32,'24.08 TORORO-BUSITEMA-24h'!L32,'27.08 BUSITEMA-TORORO-24h'!L32,'28.08 TORORO-BUSITEMA'!L32)</f>
        <v>10.428571428571429</v>
      </c>
      <c r="M32" s="49">
        <f>AVERAGE('22.08 BUSITEMA-TORORO'!M32,'23.08 TORORO-BUSITEMA'!M32,'25.08 TORORO-BUSITEMA'!M32,'26.08 TORORO-BUSITEMA'!M32,'24.08 TORORO-BUSITEMA-24h'!M32,'27.08 BUSITEMA-TORORO-24h'!M32,'28.08 TORORO-BUSITEMA'!M32)</f>
        <v>4</v>
      </c>
      <c r="N32" s="49">
        <f>AVERAGE('22.08 BUSITEMA-TORORO'!N32,'23.08 TORORO-BUSITEMA'!N32,'25.08 TORORO-BUSITEMA'!N32,'26.08 TORORO-BUSITEMA'!N32,'24.08 TORORO-BUSITEMA-24h'!N32,'27.08 BUSITEMA-TORORO-24h'!N32,'28.08 TORORO-BUSITEMA'!N32)</f>
        <v>0</v>
      </c>
      <c r="O32" s="15">
        <f t="shared" si="0"/>
        <v>23.571428571428573</v>
      </c>
      <c r="P32" s="15">
        <f t="shared" si="1"/>
        <v>27.571428571428573</v>
      </c>
      <c r="R32" s="1" t="s">
        <v>156</v>
      </c>
      <c r="S32" s="34">
        <f>SUM(C98:C101)</f>
        <v>4</v>
      </c>
      <c r="T32" s="34">
        <f t="shared" ref="T32:AF32" si="24">SUM(D98:D101)</f>
        <v>1.5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1.5</v>
      </c>
      <c r="Y32" s="34">
        <f t="shared" si="24"/>
        <v>0.5</v>
      </c>
      <c r="Z32" s="34">
        <f t="shared" si="24"/>
        <v>5</v>
      </c>
      <c r="AA32" s="34">
        <f t="shared" si="24"/>
        <v>1</v>
      </c>
      <c r="AB32" s="34">
        <f t="shared" si="24"/>
        <v>43.5</v>
      </c>
      <c r="AC32" s="34">
        <f t="shared" si="24"/>
        <v>0.5</v>
      </c>
      <c r="AD32" s="34">
        <f t="shared" si="24"/>
        <v>0</v>
      </c>
      <c r="AE32" s="31">
        <f t="shared" si="24"/>
        <v>60</v>
      </c>
      <c r="AF32" s="31">
        <f t="shared" si="24"/>
        <v>60.5</v>
      </c>
    </row>
    <row r="33" spans="2:32" ht="23.1" customHeight="1" x14ac:dyDescent="0.25">
      <c r="B33" s="23" t="s">
        <v>60</v>
      </c>
      <c r="C33" s="49">
        <f>AVERAGE('22.08 BUSITEMA-TORORO'!C33,'23.08 TORORO-BUSITEMA'!C33,'25.08 TORORO-BUSITEMA'!C33,'26.08 TORORO-BUSITEMA'!C33,'24.08 TORORO-BUSITEMA-24h'!C33,'27.08 BUSITEMA-TORORO-24h'!C33,'28.08 TORORO-BUSITEMA'!C33)</f>
        <v>1.5714285714285714</v>
      </c>
      <c r="D33" s="49">
        <f>AVERAGE('22.08 BUSITEMA-TORORO'!D33,'23.08 TORORO-BUSITEMA'!D33,'25.08 TORORO-BUSITEMA'!D33,'26.08 TORORO-BUSITEMA'!D33,'24.08 TORORO-BUSITEMA-24h'!D33,'27.08 BUSITEMA-TORORO-24h'!D33,'28.08 TORORO-BUSITEMA'!D33)</f>
        <v>2.1428571428571428</v>
      </c>
      <c r="E33" s="49">
        <f>AVERAGE('22.08 BUSITEMA-TORORO'!E33,'23.08 TORORO-BUSITEMA'!E33,'25.08 TORORO-BUSITEMA'!E33,'26.08 TORORO-BUSITEMA'!E33,'24.08 TORORO-BUSITEMA-24h'!E33,'27.08 BUSITEMA-TORORO-24h'!E33,'28.08 TORORO-BUSITEMA'!E33)</f>
        <v>1.1428571428571428</v>
      </c>
      <c r="F33" s="49">
        <f>AVERAGE('22.08 BUSITEMA-TORORO'!F33,'23.08 TORORO-BUSITEMA'!F33,'25.08 TORORO-BUSITEMA'!F33,'26.08 TORORO-BUSITEMA'!F33,'24.08 TORORO-BUSITEMA-24h'!F33,'27.08 BUSITEMA-TORORO-24h'!F33,'28.08 TORORO-BUSITEMA'!F33)</f>
        <v>5</v>
      </c>
      <c r="G33" s="49">
        <f>AVERAGE('22.08 BUSITEMA-TORORO'!G33,'23.08 TORORO-BUSITEMA'!G33,'25.08 TORORO-BUSITEMA'!G33,'26.08 TORORO-BUSITEMA'!G33,'24.08 TORORO-BUSITEMA-24h'!G33,'27.08 BUSITEMA-TORORO-24h'!G33,'28.08 TORORO-BUSITEMA'!G33)</f>
        <v>0</v>
      </c>
      <c r="H33" s="49">
        <f>AVERAGE('22.08 BUSITEMA-TORORO'!H33,'23.08 TORORO-BUSITEMA'!H33,'25.08 TORORO-BUSITEMA'!H33,'26.08 TORORO-BUSITEMA'!H33,'24.08 TORORO-BUSITEMA-24h'!H33,'27.08 BUSITEMA-TORORO-24h'!H33,'28.08 TORORO-BUSITEMA'!H33)</f>
        <v>0</v>
      </c>
      <c r="I33" s="49">
        <f>AVERAGE('22.08 BUSITEMA-TORORO'!I33,'23.08 TORORO-BUSITEMA'!I33,'25.08 TORORO-BUSITEMA'!I33,'26.08 TORORO-BUSITEMA'!I33,'24.08 TORORO-BUSITEMA-24h'!I33,'27.08 BUSITEMA-TORORO-24h'!I33,'28.08 TORORO-BUSITEMA'!I33)</f>
        <v>1.2857142857142858</v>
      </c>
      <c r="J33" s="49">
        <f>AVERAGE('22.08 BUSITEMA-TORORO'!J33,'23.08 TORORO-BUSITEMA'!J33,'25.08 TORORO-BUSITEMA'!J33,'26.08 TORORO-BUSITEMA'!J33,'24.08 TORORO-BUSITEMA-24h'!J33,'27.08 BUSITEMA-TORORO-24h'!J33,'28.08 TORORO-BUSITEMA'!J33)</f>
        <v>0.5714285714285714</v>
      </c>
      <c r="K33" s="49">
        <f>AVERAGE('22.08 BUSITEMA-TORORO'!K33,'23.08 TORORO-BUSITEMA'!K33,'25.08 TORORO-BUSITEMA'!K33,'26.08 TORORO-BUSITEMA'!K33,'24.08 TORORO-BUSITEMA-24h'!K33,'27.08 BUSITEMA-TORORO-24h'!K33,'28.08 TORORO-BUSITEMA'!K33)</f>
        <v>0.5714285714285714</v>
      </c>
      <c r="L33" s="49">
        <f>AVERAGE('22.08 BUSITEMA-TORORO'!L33,'23.08 TORORO-BUSITEMA'!L33,'25.08 TORORO-BUSITEMA'!L33,'26.08 TORORO-BUSITEMA'!L33,'24.08 TORORO-BUSITEMA-24h'!L33,'27.08 BUSITEMA-TORORO-24h'!L33,'28.08 TORORO-BUSITEMA'!L33)</f>
        <v>9.7142857142857135</v>
      </c>
      <c r="M33" s="49">
        <f>AVERAGE('22.08 BUSITEMA-TORORO'!M33,'23.08 TORORO-BUSITEMA'!M33,'25.08 TORORO-BUSITEMA'!M33,'26.08 TORORO-BUSITEMA'!M33,'24.08 TORORO-BUSITEMA-24h'!M33,'27.08 BUSITEMA-TORORO-24h'!M33,'28.08 TORORO-BUSITEMA'!M33)</f>
        <v>4.5714285714285712</v>
      </c>
      <c r="N33" s="49">
        <f>AVERAGE('22.08 BUSITEMA-TORORO'!N33,'23.08 TORORO-BUSITEMA'!N33,'25.08 TORORO-BUSITEMA'!N33,'26.08 TORORO-BUSITEMA'!N33,'24.08 TORORO-BUSITEMA-24h'!N33,'27.08 BUSITEMA-TORORO-24h'!N33,'28.08 TORORO-BUSITEMA'!N33)</f>
        <v>0</v>
      </c>
      <c r="O33" s="15">
        <f t="shared" si="0"/>
        <v>22</v>
      </c>
      <c r="P33" s="15">
        <f t="shared" si="1"/>
        <v>26.571428571428569</v>
      </c>
      <c r="R33" s="1" t="s">
        <v>157</v>
      </c>
      <c r="S33" s="34">
        <f>SUM(C102:C105)</f>
        <v>5.5</v>
      </c>
      <c r="T33" s="34">
        <f t="shared" ref="T33:AF33" si="25">SUM(D102:D105)</f>
        <v>3</v>
      </c>
      <c r="U33" s="34">
        <f t="shared" si="25"/>
        <v>2</v>
      </c>
      <c r="V33" s="34">
        <f t="shared" si="25"/>
        <v>8.5</v>
      </c>
      <c r="W33" s="34">
        <f t="shared" si="25"/>
        <v>0</v>
      </c>
      <c r="X33" s="34">
        <f t="shared" si="25"/>
        <v>1</v>
      </c>
      <c r="Y33" s="34">
        <f t="shared" si="25"/>
        <v>2</v>
      </c>
      <c r="Z33" s="34">
        <f t="shared" si="25"/>
        <v>3</v>
      </c>
      <c r="AA33" s="34">
        <f t="shared" si="25"/>
        <v>1.5</v>
      </c>
      <c r="AB33" s="34">
        <f t="shared" si="25"/>
        <v>54.5</v>
      </c>
      <c r="AC33" s="34">
        <f t="shared" si="25"/>
        <v>5.5</v>
      </c>
      <c r="AD33" s="34">
        <f t="shared" si="25"/>
        <v>0</v>
      </c>
      <c r="AE33" s="31">
        <f t="shared" si="25"/>
        <v>81</v>
      </c>
      <c r="AF33" s="31">
        <f t="shared" si="25"/>
        <v>86.5</v>
      </c>
    </row>
    <row r="34" spans="2:32" ht="23.1" customHeight="1" x14ac:dyDescent="0.25">
      <c r="B34" s="24" t="s">
        <v>61</v>
      </c>
      <c r="C34" s="49">
        <f>AVERAGE('22.08 BUSITEMA-TORORO'!C34,'23.08 TORORO-BUSITEMA'!C34,'25.08 TORORO-BUSITEMA'!C34,'26.08 TORORO-BUSITEMA'!C34,'24.08 TORORO-BUSITEMA-24h'!C34,'27.08 BUSITEMA-TORORO-24h'!C34,'28.08 TORORO-BUSITEMA'!C34)</f>
        <v>2.4285714285714284</v>
      </c>
      <c r="D34" s="49">
        <f>AVERAGE('22.08 BUSITEMA-TORORO'!D34,'23.08 TORORO-BUSITEMA'!D34,'25.08 TORORO-BUSITEMA'!D34,'26.08 TORORO-BUSITEMA'!D34,'24.08 TORORO-BUSITEMA-24h'!D34,'27.08 BUSITEMA-TORORO-24h'!D34,'28.08 TORORO-BUSITEMA'!D34)</f>
        <v>1.8571428571428572</v>
      </c>
      <c r="E34" s="49">
        <f>AVERAGE('22.08 BUSITEMA-TORORO'!E34,'23.08 TORORO-BUSITEMA'!E34,'25.08 TORORO-BUSITEMA'!E34,'26.08 TORORO-BUSITEMA'!E34,'24.08 TORORO-BUSITEMA-24h'!E34,'27.08 BUSITEMA-TORORO-24h'!E34,'28.08 TORORO-BUSITEMA'!E34)</f>
        <v>0.8571428571428571</v>
      </c>
      <c r="F34" s="49">
        <f>AVERAGE('22.08 BUSITEMA-TORORO'!F34,'23.08 TORORO-BUSITEMA'!F34,'25.08 TORORO-BUSITEMA'!F34,'26.08 TORORO-BUSITEMA'!F34,'24.08 TORORO-BUSITEMA-24h'!F34,'27.08 BUSITEMA-TORORO-24h'!F34,'28.08 TORORO-BUSITEMA'!F34)</f>
        <v>4.8571428571428568</v>
      </c>
      <c r="G34" s="49">
        <f>AVERAGE('22.08 BUSITEMA-TORORO'!G34,'23.08 TORORO-BUSITEMA'!G34,'25.08 TORORO-BUSITEMA'!G34,'26.08 TORORO-BUSITEMA'!G34,'24.08 TORORO-BUSITEMA-24h'!G34,'27.08 BUSITEMA-TORORO-24h'!G34,'28.08 TORORO-BUSITEMA'!G34)</f>
        <v>0</v>
      </c>
      <c r="H34" s="49">
        <f>AVERAGE('22.08 BUSITEMA-TORORO'!H34,'23.08 TORORO-BUSITEMA'!H34,'25.08 TORORO-BUSITEMA'!H34,'26.08 TORORO-BUSITEMA'!H34,'24.08 TORORO-BUSITEMA-24h'!H34,'27.08 BUSITEMA-TORORO-24h'!H34,'28.08 TORORO-BUSITEMA'!H34)</f>
        <v>0</v>
      </c>
      <c r="I34" s="49">
        <f>AVERAGE('22.08 BUSITEMA-TORORO'!I34,'23.08 TORORO-BUSITEMA'!I34,'25.08 TORORO-BUSITEMA'!I34,'26.08 TORORO-BUSITEMA'!I34,'24.08 TORORO-BUSITEMA-24h'!I34,'27.08 BUSITEMA-TORORO-24h'!I34,'28.08 TORORO-BUSITEMA'!I34)</f>
        <v>1.1428571428571428</v>
      </c>
      <c r="J34" s="49">
        <f>AVERAGE('22.08 BUSITEMA-TORORO'!J34,'23.08 TORORO-BUSITEMA'!J34,'25.08 TORORO-BUSITEMA'!J34,'26.08 TORORO-BUSITEMA'!J34,'24.08 TORORO-BUSITEMA-24h'!J34,'27.08 BUSITEMA-TORORO-24h'!J34,'28.08 TORORO-BUSITEMA'!J34)</f>
        <v>0.42857142857142855</v>
      </c>
      <c r="K34" s="49">
        <f>AVERAGE('22.08 BUSITEMA-TORORO'!K34,'23.08 TORORO-BUSITEMA'!K34,'25.08 TORORO-BUSITEMA'!K34,'26.08 TORORO-BUSITEMA'!K34,'24.08 TORORO-BUSITEMA-24h'!K34,'27.08 BUSITEMA-TORORO-24h'!K34,'28.08 TORORO-BUSITEMA'!K34)</f>
        <v>1.2857142857142858</v>
      </c>
      <c r="L34" s="49">
        <f>AVERAGE('22.08 BUSITEMA-TORORO'!L34,'23.08 TORORO-BUSITEMA'!L34,'25.08 TORORO-BUSITEMA'!L34,'26.08 TORORO-BUSITEMA'!L34,'24.08 TORORO-BUSITEMA-24h'!L34,'27.08 BUSITEMA-TORORO-24h'!L34,'28.08 TORORO-BUSITEMA'!L34)</f>
        <v>8.5714285714285712</v>
      </c>
      <c r="M34" s="49">
        <f>AVERAGE('22.08 BUSITEMA-TORORO'!M34,'23.08 TORORO-BUSITEMA'!M34,'25.08 TORORO-BUSITEMA'!M34,'26.08 TORORO-BUSITEMA'!M34,'24.08 TORORO-BUSITEMA-24h'!M34,'27.08 BUSITEMA-TORORO-24h'!M34,'28.08 TORORO-BUSITEMA'!M34)</f>
        <v>4.1428571428571432</v>
      </c>
      <c r="N34" s="49">
        <f>AVERAGE('22.08 BUSITEMA-TORORO'!N34,'23.08 TORORO-BUSITEMA'!N34,'25.08 TORORO-BUSITEMA'!N34,'26.08 TORORO-BUSITEMA'!N34,'24.08 TORORO-BUSITEMA-24h'!N34,'27.08 BUSITEMA-TORORO-24h'!N34,'28.08 TORORO-BUSITEMA'!N34)</f>
        <v>0</v>
      </c>
      <c r="O34" s="15">
        <f t="shared" si="0"/>
        <v>21.428571428571431</v>
      </c>
      <c r="P34" s="15">
        <f t="shared" si="1"/>
        <v>25.571428571428573</v>
      </c>
      <c r="R34" s="38" t="s">
        <v>90</v>
      </c>
      <c r="S34" s="39">
        <f t="shared" ref="S34:AF34" si="26">MAX(S10:S12)</f>
        <v>4.2857142857142856</v>
      </c>
      <c r="T34" s="39">
        <f t="shared" si="26"/>
        <v>9.5714285714285694</v>
      </c>
      <c r="U34" s="39">
        <f t="shared" si="26"/>
        <v>3.5714285714285716</v>
      </c>
      <c r="V34" s="39">
        <f t="shared" si="26"/>
        <v>12.285714285714286</v>
      </c>
      <c r="W34" s="39">
        <f t="shared" si="26"/>
        <v>0.71428571428571419</v>
      </c>
      <c r="X34" s="39">
        <f t="shared" si="26"/>
        <v>0.5714285714285714</v>
      </c>
      <c r="Y34" s="39">
        <f t="shared" si="26"/>
        <v>2</v>
      </c>
      <c r="Z34" s="39">
        <f t="shared" si="26"/>
        <v>1.857142857142857</v>
      </c>
      <c r="AA34" s="39">
        <f t="shared" si="26"/>
        <v>3.7142857142857144</v>
      </c>
      <c r="AB34" s="39">
        <f t="shared" si="26"/>
        <v>42.285714285714285</v>
      </c>
      <c r="AC34" s="39">
        <f t="shared" si="26"/>
        <v>14.714285714285715</v>
      </c>
      <c r="AD34" s="39">
        <f t="shared" si="26"/>
        <v>0</v>
      </c>
      <c r="AE34" s="40">
        <f t="shared" si="26"/>
        <v>65.857142857142861</v>
      </c>
      <c r="AF34" s="40">
        <f t="shared" si="26"/>
        <v>78.571428571428584</v>
      </c>
    </row>
    <row r="35" spans="2:32" ht="23.1" customHeight="1" x14ac:dyDescent="0.25">
      <c r="B35" s="24" t="s">
        <v>62</v>
      </c>
      <c r="C35" s="49">
        <f>AVERAGE('22.08 BUSITEMA-TORORO'!C35,'23.08 TORORO-BUSITEMA'!C35,'25.08 TORORO-BUSITEMA'!C35,'26.08 TORORO-BUSITEMA'!C35,'24.08 TORORO-BUSITEMA-24h'!C35,'27.08 BUSITEMA-TORORO-24h'!C35,'28.08 TORORO-BUSITEMA'!C35)</f>
        <v>1.5714285714285714</v>
      </c>
      <c r="D35" s="49">
        <f>AVERAGE('22.08 BUSITEMA-TORORO'!D35,'23.08 TORORO-BUSITEMA'!D35,'25.08 TORORO-BUSITEMA'!D35,'26.08 TORORO-BUSITEMA'!D35,'24.08 TORORO-BUSITEMA-24h'!D35,'27.08 BUSITEMA-TORORO-24h'!D35,'28.08 TORORO-BUSITEMA'!D35)</f>
        <v>1.4285714285714286</v>
      </c>
      <c r="E35" s="49">
        <f>AVERAGE('22.08 BUSITEMA-TORORO'!E35,'23.08 TORORO-BUSITEMA'!E35,'25.08 TORORO-BUSITEMA'!E35,'26.08 TORORO-BUSITEMA'!E35,'24.08 TORORO-BUSITEMA-24h'!E35,'27.08 BUSITEMA-TORORO-24h'!E35,'28.08 TORORO-BUSITEMA'!E35)</f>
        <v>1.5714285714285714</v>
      </c>
      <c r="F35" s="49">
        <f>AVERAGE('22.08 BUSITEMA-TORORO'!F35,'23.08 TORORO-BUSITEMA'!F35,'25.08 TORORO-BUSITEMA'!F35,'26.08 TORORO-BUSITEMA'!F35,'24.08 TORORO-BUSITEMA-24h'!F35,'27.08 BUSITEMA-TORORO-24h'!F35,'28.08 TORORO-BUSITEMA'!F35)</f>
        <v>4.1428571428571432</v>
      </c>
      <c r="G35" s="49">
        <f>AVERAGE('22.08 BUSITEMA-TORORO'!G35,'23.08 TORORO-BUSITEMA'!G35,'25.08 TORORO-BUSITEMA'!G35,'26.08 TORORO-BUSITEMA'!G35,'24.08 TORORO-BUSITEMA-24h'!G35,'27.08 BUSITEMA-TORORO-24h'!G35,'28.08 TORORO-BUSITEMA'!G35)</f>
        <v>0.7142857142857143</v>
      </c>
      <c r="H35" s="49">
        <f>AVERAGE('22.08 BUSITEMA-TORORO'!H35,'23.08 TORORO-BUSITEMA'!H35,'25.08 TORORO-BUSITEMA'!H35,'26.08 TORORO-BUSITEMA'!H35,'24.08 TORORO-BUSITEMA-24h'!H35,'27.08 BUSITEMA-TORORO-24h'!H35,'28.08 TORORO-BUSITEMA'!H35)</f>
        <v>0.5714285714285714</v>
      </c>
      <c r="I35" s="49">
        <f>AVERAGE('22.08 BUSITEMA-TORORO'!I35,'23.08 TORORO-BUSITEMA'!I35,'25.08 TORORO-BUSITEMA'!I35,'26.08 TORORO-BUSITEMA'!I35,'24.08 TORORO-BUSITEMA-24h'!I35,'27.08 BUSITEMA-TORORO-24h'!I35,'28.08 TORORO-BUSITEMA'!I35)</f>
        <v>0.7142857142857143</v>
      </c>
      <c r="J35" s="49">
        <f>AVERAGE('22.08 BUSITEMA-TORORO'!J35,'23.08 TORORO-BUSITEMA'!J35,'25.08 TORORO-BUSITEMA'!J35,'26.08 TORORO-BUSITEMA'!J35,'24.08 TORORO-BUSITEMA-24h'!J35,'27.08 BUSITEMA-TORORO-24h'!J35,'28.08 TORORO-BUSITEMA'!J35)</f>
        <v>1.5714285714285714</v>
      </c>
      <c r="K35" s="49">
        <f>AVERAGE('22.08 BUSITEMA-TORORO'!K35,'23.08 TORORO-BUSITEMA'!K35,'25.08 TORORO-BUSITEMA'!K35,'26.08 TORORO-BUSITEMA'!K35,'24.08 TORORO-BUSITEMA-24h'!K35,'27.08 BUSITEMA-TORORO-24h'!K35,'28.08 TORORO-BUSITEMA'!K35)</f>
        <v>0.14285714285714285</v>
      </c>
      <c r="L35" s="49">
        <f>AVERAGE('22.08 BUSITEMA-TORORO'!L35,'23.08 TORORO-BUSITEMA'!L35,'25.08 TORORO-BUSITEMA'!L35,'26.08 TORORO-BUSITEMA'!L35,'24.08 TORORO-BUSITEMA-24h'!L35,'27.08 BUSITEMA-TORORO-24h'!L35,'28.08 TORORO-BUSITEMA'!L35)</f>
        <v>7.1428571428571432</v>
      </c>
      <c r="M35" s="49">
        <f>AVERAGE('22.08 BUSITEMA-TORORO'!M35,'23.08 TORORO-BUSITEMA'!M35,'25.08 TORORO-BUSITEMA'!M35,'26.08 TORORO-BUSITEMA'!M35,'24.08 TORORO-BUSITEMA-24h'!M35,'27.08 BUSITEMA-TORORO-24h'!M35,'28.08 TORORO-BUSITEMA'!M35)</f>
        <v>5</v>
      </c>
      <c r="N35" s="49">
        <f>AVERAGE('22.08 BUSITEMA-TORORO'!N35,'23.08 TORORO-BUSITEMA'!N35,'25.08 TORORO-BUSITEMA'!N35,'26.08 TORORO-BUSITEMA'!N35,'24.08 TORORO-BUSITEMA-24h'!N35,'27.08 BUSITEMA-TORORO-24h'!N35,'28.08 TORORO-BUSITEMA'!N35)</f>
        <v>0</v>
      </c>
      <c r="O35" s="15">
        <f t="shared" si="0"/>
        <v>19.571428571428569</v>
      </c>
      <c r="P35" s="15">
        <f t="shared" si="1"/>
        <v>24.571428571428569</v>
      </c>
      <c r="R35" s="38" t="s">
        <v>91</v>
      </c>
      <c r="S35" s="39">
        <f t="shared" ref="S35:AF35" si="27">MAX(S13:S18)</f>
        <v>10.714285714285715</v>
      </c>
      <c r="T35" s="39">
        <f t="shared" si="27"/>
        <v>13.142857142857142</v>
      </c>
      <c r="U35" s="39">
        <f t="shared" si="27"/>
        <v>5.1428571428571423</v>
      </c>
      <c r="V35" s="39">
        <f t="shared" si="27"/>
        <v>16.571428571428569</v>
      </c>
      <c r="W35" s="39">
        <f t="shared" si="27"/>
        <v>1.4285714285714286</v>
      </c>
      <c r="X35" s="39">
        <f t="shared" si="27"/>
        <v>0.8571428571428571</v>
      </c>
      <c r="Y35" s="39">
        <f t="shared" si="27"/>
        <v>4</v>
      </c>
      <c r="Z35" s="39">
        <f t="shared" si="27"/>
        <v>5.7142857142857144</v>
      </c>
      <c r="AA35" s="39">
        <f t="shared" si="27"/>
        <v>2.7142857142857144</v>
      </c>
      <c r="AB35" s="39">
        <f t="shared" si="27"/>
        <v>38.428571428571431</v>
      </c>
      <c r="AC35" s="39">
        <f t="shared" si="27"/>
        <v>15.857142857142858</v>
      </c>
      <c r="AD35" s="39">
        <f t="shared" si="27"/>
        <v>0.14285714285714285</v>
      </c>
      <c r="AE35" s="40">
        <f t="shared" si="27"/>
        <v>88.857142857142861</v>
      </c>
      <c r="AF35" s="40">
        <f t="shared" si="27"/>
        <v>104.57142857142857</v>
      </c>
    </row>
    <row r="36" spans="2:32" ht="23.1" customHeight="1" x14ac:dyDescent="0.25">
      <c r="B36" s="24" t="s">
        <v>63</v>
      </c>
      <c r="C36" s="49">
        <f>AVERAGE('22.08 BUSITEMA-TORORO'!C36,'23.08 TORORO-BUSITEMA'!C36,'25.08 TORORO-BUSITEMA'!C36,'26.08 TORORO-BUSITEMA'!C36,'24.08 TORORO-BUSITEMA-24h'!C36,'27.08 BUSITEMA-TORORO-24h'!C36,'28.08 TORORO-BUSITEMA'!C36)</f>
        <v>2.5714285714285716</v>
      </c>
      <c r="D36" s="49">
        <f>AVERAGE('22.08 BUSITEMA-TORORO'!D36,'23.08 TORORO-BUSITEMA'!D36,'25.08 TORORO-BUSITEMA'!D36,'26.08 TORORO-BUSITEMA'!D36,'24.08 TORORO-BUSITEMA-24h'!D36,'27.08 BUSITEMA-TORORO-24h'!D36,'28.08 TORORO-BUSITEMA'!D36)</f>
        <v>0.8571428571428571</v>
      </c>
      <c r="E36" s="49">
        <f>AVERAGE('22.08 BUSITEMA-TORORO'!E36,'23.08 TORORO-BUSITEMA'!E36,'25.08 TORORO-BUSITEMA'!E36,'26.08 TORORO-BUSITEMA'!E36,'24.08 TORORO-BUSITEMA-24h'!E36,'27.08 BUSITEMA-TORORO-24h'!E36,'28.08 TORORO-BUSITEMA'!E36)</f>
        <v>0.8571428571428571</v>
      </c>
      <c r="F36" s="49">
        <f>AVERAGE('22.08 BUSITEMA-TORORO'!F36,'23.08 TORORO-BUSITEMA'!F36,'25.08 TORORO-BUSITEMA'!F36,'26.08 TORORO-BUSITEMA'!F36,'24.08 TORORO-BUSITEMA-24h'!F36,'27.08 BUSITEMA-TORORO-24h'!F36,'28.08 TORORO-BUSITEMA'!F36)</f>
        <v>3</v>
      </c>
      <c r="G36" s="49">
        <f>AVERAGE('22.08 BUSITEMA-TORORO'!G36,'23.08 TORORO-BUSITEMA'!G36,'25.08 TORORO-BUSITEMA'!G36,'26.08 TORORO-BUSITEMA'!G36,'24.08 TORORO-BUSITEMA-24h'!G36,'27.08 BUSITEMA-TORORO-24h'!G36,'28.08 TORORO-BUSITEMA'!G36)</f>
        <v>0</v>
      </c>
      <c r="H36" s="49">
        <f>AVERAGE('22.08 BUSITEMA-TORORO'!H36,'23.08 TORORO-BUSITEMA'!H36,'25.08 TORORO-BUSITEMA'!H36,'26.08 TORORO-BUSITEMA'!H36,'24.08 TORORO-BUSITEMA-24h'!H36,'27.08 BUSITEMA-TORORO-24h'!H36,'28.08 TORORO-BUSITEMA'!H36)</f>
        <v>0.2857142857142857</v>
      </c>
      <c r="I36" s="49">
        <f>AVERAGE('22.08 BUSITEMA-TORORO'!I36,'23.08 TORORO-BUSITEMA'!I36,'25.08 TORORO-BUSITEMA'!I36,'26.08 TORORO-BUSITEMA'!I36,'24.08 TORORO-BUSITEMA-24h'!I36,'27.08 BUSITEMA-TORORO-24h'!I36,'28.08 TORORO-BUSITEMA'!I36)</f>
        <v>1.4285714285714286</v>
      </c>
      <c r="J36" s="49">
        <f>AVERAGE('22.08 BUSITEMA-TORORO'!J36,'23.08 TORORO-BUSITEMA'!J36,'25.08 TORORO-BUSITEMA'!J36,'26.08 TORORO-BUSITEMA'!J36,'24.08 TORORO-BUSITEMA-24h'!J36,'27.08 BUSITEMA-TORORO-24h'!J36,'28.08 TORORO-BUSITEMA'!J36)</f>
        <v>1</v>
      </c>
      <c r="K36" s="49">
        <f>AVERAGE('22.08 BUSITEMA-TORORO'!K36,'23.08 TORORO-BUSITEMA'!K36,'25.08 TORORO-BUSITEMA'!K36,'26.08 TORORO-BUSITEMA'!K36,'24.08 TORORO-BUSITEMA-24h'!K36,'27.08 BUSITEMA-TORORO-24h'!K36,'28.08 TORORO-BUSITEMA'!K36)</f>
        <v>0.42857142857142855</v>
      </c>
      <c r="L36" s="49">
        <f>AVERAGE('22.08 BUSITEMA-TORORO'!L36,'23.08 TORORO-BUSITEMA'!L36,'25.08 TORORO-BUSITEMA'!L36,'26.08 TORORO-BUSITEMA'!L36,'24.08 TORORO-BUSITEMA-24h'!L36,'27.08 BUSITEMA-TORORO-24h'!L36,'28.08 TORORO-BUSITEMA'!L36)</f>
        <v>8.2857142857142865</v>
      </c>
      <c r="M36" s="49">
        <f>AVERAGE('22.08 BUSITEMA-TORORO'!M36,'23.08 TORORO-BUSITEMA'!M36,'25.08 TORORO-BUSITEMA'!M36,'26.08 TORORO-BUSITEMA'!M36,'24.08 TORORO-BUSITEMA-24h'!M36,'27.08 BUSITEMA-TORORO-24h'!M36,'28.08 TORORO-BUSITEMA'!M36)</f>
        <v>2.7142857142857144</v>
      </c>
      <c r="N36" s="49">
        <f>AVERAGE('22.08 BUSITEMA-TORORO'!N36,'23.08 TORORO-BUSITEMA'!N36,'25.08 TORORO-BUSITEMA'!N36,'26.08 TORORO-BUSITEMA'!N36,'24.08 TORORO-BUSITEMA-24h'!N36,'27.08 BUSITEMA-TORORO-24h'!N36,'28.08 TORORO-BUSITEMA'!N36)</f>
        <v>0</v>
      </c>
      <c r="O36" s="15">
        <f t="shared" si="0"/>
        <v>18.714285714285715</v>
      </c>
      <c r="P36" s="15">
        <f t="shared" si="1"/>
        <v>21.428571428571431</v>
      </c>
      <c r="R36" s="38" t="s">
        <v>92</v>
      </c>
      <c r="S36" s="39">
        <f t="shared" ref="S36:AF36" si="28">MAX(S19:S21)</f>
        <v>11.857142857142858</v>
      </c>
      <c r="T36" s="39">
        <f t="shared" si="28"/>
        <v>11.857142857142858</v>
      </c>
      <c r="U36" s="39">
        <f t="shared" si="28"/>
        <v>8</v>
      </c>
      <c r="V36" s="39">
        <f t="shared" si="28"/>
        <v>19.428571428571431</v>
      </c>
      <c r="W36" s="39">
        <f t="shared" si="28"/>
        <v>1.1428571428571428</v>
      </c>
      <c r="X36" s="39">
        <f t="shared" si="28"/>
        <v>0.71428571428571419</v>
      </c>
      <c r="Y36" s="39">
        <f t="shared" si="28"/>
        <v>7.2857142857142856</v>
      </c>
      <c r="Z36" s="39">
        <f t="shared" si="28"/>
        <v>6</v>
      </c>
      <c r="AA36" s="39">
        <f t="shared" si="28"/>
        <v>6.8571428571428568</v>
      </c>
      <c r="AB36" s="39">
        <f t="shared" si="28"/>
        <v>48.857142857142854</v>
      </c>
      <c r="AC36" s="39">
        <f t="shared" si="28"/>
        <v>20.571428571428569</v>
      </c>
      <c r="AD36" s="39">
        <f t="shared" si="28"/>
        <v>0</v>
      </c>
      <c r="AE36" s="40">
        <f t="shared" si="28"/>
        <v>120.14285714285714</v>
      </c>
      <c r="AF36" s="40">
        <f t="shared" si="28"/>
        <v>140.71428571428572</v>
      </c>
    </row>
    <row r="37" spans="2:32" ht="23.1" customHeight="1" x14ac:dyDescent="0.25">
      <c r="B37" s="23" t="s">
        <v>64</v>
      </c>
      <c r="C37" s="49">
        <f>AVERAGE('22.08 BUSITEMA-TORORO'!C37,'23.08 TORORO-BUSITEMA'!C37,'25.08 TORORO-BUSITEMA'!C37,'26.08 TORORO-BUSITEMA'!C37,'24.08 TORORO-BUSITEMA-24h'!C37,'27.08 BUSITEMA-TORORO-24h'!C37,'28.08 TORORO-BUSITEMA'!C37)</f>
        <v>2.7142857142857144</v>
      </c>
      <c r="D37" s="49">
        <f>AVERAGE('22.08 BUSITEMA-TORORO'!D37,'23.08 TORORO-BUSITEMA'!D37,'25.08 TORORO-BUSITEMA'!D37,'26.08 TORORO-BUSITEMA'!D37,'24.08 TORORO-BUSITEMA-24h'!D37,'27.08 BUSITEMA-TORORO-24h'!D37,'28.08 TORORO-BUSITEMA'!D37)</f>
        <v>3.8571428571428572</v>
      </c>
      <c r="E37" s="49">
        <f>AVERAGE('22.08 BUSITEMA-TORORO'!E37,'23.08 TORORO-BUSITEMA'!E37,'25.08 TORORO-BUSITEMA'!E37,'26.08 TORORO-BUSITEMA'!E37,'24.08 TORORO-BUSITEMA-24h'!E37,'27.08 BUSITEMA-TORORO-24h'!E37,'28.08 TORORO-BUSITEMA'!E37)</f>
        <v>1.8571428571428572</v>
      </c>
      <c r="F37" s="49">
        <f>AVERAGE('22.08 BUSITEMA-TORORO'!F37,'23.08 TORORO-BUSITEMA'!F37,'25.08 TORORO-BUSITEMA'!F37,'26.08 TORORO-BUSITEMA'!F37,'24.08 TORORO-BUSITEMA-24h'!F37,'27.08 BUSITEMA-TORORO-24h'!F37,'28.08 TORORO-BUSITEMA'!F37)</f>
        <v>4.5714285714285712</v>
      </c>
      <c r="G37" s="49">
        <f>AVERAGE('22.08 BUSITEMA-TORORO'!G37,'23.08 TORORO-BUSITEMA'!G37,'25.08 TORORO-BUSITEMA'!G37,'26.08 TORORO-BUSITEMA'!G37,'24.08 TORORO-BUSITEMA-24h'!G37,'27.08 BUSITEMA-TORORO-24h'!G37,'28.08 TORORO-BUSITEMA'!G37)</f>
        <v>0</v>
      </c>
      <c r="H37" s="49">
        <f>AVERAGE('22.08 BUSITEMA-TORORO'!H37,'23.08 TORORO-BUSITEMA'!H37,'25.08 TORORO-BUSITEMA'!H37,'26.08 TORORO-BUSITEMA'!H37,'24.08 TORORO-BUSITEMA-24h'!H37,'27.08 BUSITEMA-TORORO-24h'!H37,'28.08 TORORO-BUSITEMA'!H37)</f>
        <v>0</v>
      </c>
      <c r="I37" s="49">
        <f>AVERAGE('22.08 BUSITEMA-TORORO'!I37,'23.08 TORORO-BUSITEMA'!I37,'25.08 TORORO-BUSITEMA'!I37,'26.08 TORORO-BUSITEMA'!I37,'24.08 TORORO-BUSITEMA-24h'!I37,'27.08 BUSITEMA-TORORO-24h'!I37,'28.08 TORORO-BUSITEMA'!I37)</f>
        <v>0.7142857142857143</v>
      </c>
      <c r="J37" s="49">
        <f>AVERAGE('22.08 BUSITEMA-TORORO'!J37,'23.08 TORORO-BUSITEMA'!J37,'25.08 TORORO-BUSITEMA'!J37,'26.08 TORORO-BUSITEMA'!J37,'24.08 TORORO-BUSITEMA-24h'!J37,'27.08 BUSITEMA-TORORO-24h'!J37,'28.08 TORORO-BUSITEMA'!J37)</f>
        <v>1.5714285714285714</v>
      </c>
      <c r="K37" s="49">
        <f>AVERAGE('22.08 BUSITEMA-TORORO'!K37,'23.08 TORORO-BUSITEMA'!K37,'25.08 TORORO-BUSITEMA'!K37,'26.08 TORORO-BUSITEMA'!K37,'24.08 TORORO-BUSITEMA-24h'!K37,'27.08 BUSITEMA-TORORO-24h'!K37,'28.08 TORORO-BUSITEMA'!K37)</f>
        <v>0.7142857142857143</v>
      </c>
      <c r="L37" s="49">
        <f>AVERAGE('22.08 BUSITEMA-TORORO'!L37,'23.08 TORORO-BUSITEMA'!L37,'25.08 TORORO-BUSITEMA'!L37,'26.08 TORORO-BUSITEMA'!L37,'24.08 TORORO-BUSITEMA-24h'!L37,'27.08 BUSITEMA-TORORO-24h'!L37,'28.08 TORORO-BUSITEMA'!L37)</f>
        <v>12.714285714285714</v>
      </c>
      <c r="M37" s="49">
        <f>AVERAGE('22.08 BUSITEMA-TORORO'!M37,'23.08 TORORO-BUSITEMA'!M37,'25.08 TORORO-BUSITEMA'!M37,'26.08 TORORO-BUSITEMA'!M37,'24.08 TORORO-BUSITEMA-24h'!M37,'27.08 BUSITEMA-TORORO-24h'!M37,'28.08 TORORO-BUSITEMA'!M37)</f>
        <v>3</v>
      </c>
      <c r="N37" s="49">
        <f>AVERAGE('22.08 BUSITEMA-TORORO'!N37,'23.08 TORORO-BUSITEMA'!N37,'25.08 TORORO-BUSITEMA'!N37,'26.08 TORORO-BUSITEMA'!N37,'24.08 TORORO-BUSITEMA-24h'!N37,'27.08 BUSITEMA-TORORO-24h'!N37,'28.08 TORORO-BUSITEMA'!N37)</f>
        <v>0</v>
      </c>
      <c r="O37" s="15">
        <f t="shared" si="0"/>
        <v>28.714285714285712</v>
      </c>
      <c r="P37" s="15">
        <f t="shared" si="1"/>
        <v>31.714285714285712</v>
      </c>
      <c r="R37" s="37" t="s">
        <v>85</v>
      </c>
      <c r="S37" s="35">
        <f t="shared" ref="S37:AF37" si="29">SUM(S10:S12)</f>
        <v>10.571428571428571</v>
      </c>
      <c r="T37" s="16">
        <f t="shared" si="29"/>
        <v>19</v>
      </c>
      <c r="U37" s="16">
        <f t="shared" si="29"/>
        <v>9</v>
      </c>
      <c r="V37" s="16">
        <f t="shared" si="29"/>
        <v>30.428571428571423</v>
      </c>
      <c r="W37" s="16">
        <f t="shared" si="29"/>
        <v>1.4285714285714284</v>
      </c>
      <c r="X37" s="16">
        <f t="shared" si="29"/>
        <v>1.1428571428571428</v>
      </c>
      <c r="Y37" s="16">
        <f t="shared" si="29"/>
        <v>3.8571428571428568</v>
      </c>
      <c r="Z37" s="16">
        <f t="shared" si="29"/>
        <v>4.1428571428571423</v>
      </c>
      <c r="AA37" s="16">
        <f t="shared" si="29"/>
        <v>7.7142857142857144</v>
      </c>
      <c r="AB37" s="16">
        <f t="shared" si="29"/>
        <v>96.714285714285708</v>
      </c>
      <c r="AC37" s="16">
        <f t="shared" si="29"/>
        <v>33.571428571428569</v>
      </c>
      <c r="AD37" s="16">
        <f t="shared" si="29"/>
        <v>0</v>
      </c>
      <c r="AE37" s="32">
        <f t="shared" si="29"/>
        <v>184</v>
      </c>
      <c r="AF37" s="32">
        <f t="shared" si="29"/>
        <v>217.57142857142858</v>
      </c>
    </row>
    <row r="38" spans="2:32" ht="23.1" customHeight="1" x14ac:dyDescent="0.25">
      <c r="B38" s="24" t="s">
        <v>65</v>
      </c>
      <c r="C38" s="49">
        <f>AVERAGE('22.08 BUSITEMA-TORORO'!C38,'23.08 TORORO-BUSITEMA'!C38,'25.08 TORORO-BUSITEMA'!C38,'26.08 TORORO-BUSITEMA'!C38,'24.08 TORORO-BUSITEMA-24h'!C38,'27.08 BUSITEMA-TORORO-24h'!C38,'28.08 TORORO-BUSITEMA'!C38)</f>
        <v>1.5714285714285714</v>
      </c>
      <c r="D38" s="49">
        <f>AVERAGE('22.08 BUSITEMA-TORORO'!D38,'23.08 TORORO-BUSITEMA'!D38,'25.08 TORORO-BUSITEMA'!D38,'26.08 TORORO-BUSITEMA'!D38,'24.08 TORORO-BUSITEMA-24h'!D38,'27.08 BUSITEMA-TORORO-24h'!D38,'28.08 TORORO-BUSITEMA'!D38)</f>
        <v>2.2857142857142856</v>
      </c>
      <c r="E38" s="49">
        <f>AVERAGE('22.08 BUSITEMA-TORORO'!E38,'23.08 TORORO-BUSITEMA'!E38,'25.08 TORORO-BUSITEMA'!E38,'26.08 TORORO-BUSITEMA'!E38,'24.08 TORORO-BUSITEMA-24h'!E38,'27.08 BUSITEMA-TORORO-24h'!E38,'28.08 TORORO-BUSITEMA'!E38)</f>
        <v>1.2857142857142858</v>
      </c>
      <c r="F38" s="49">
        <f>AVERAGE('22.08 BUSITEMA-TORORO'!F38,'23.08 TORORO-BUSITEMA'!F38,'25.08 TORORO-BUSITEMA'!F38,'26.08 TORORO-BUSITEMA'!F38,'24.08 TORORO-BUSITEMA-24h'!F38,'27.08 BUSITEMA-TORORO-24h'!F38,'28.08 TORORO-BUSITEMA'!F38)</f>
        <v>3.4285714285714284</v>
      </c>
      <c r="G38" s="49">
        <f>AVERAGE('22.08 BUSITEMA-TORORO'!G38,'23.08 TORORO-BUSITEMA'!G38,'25.08 TORORO-BUSITEMA'!G38,'26.08 TORORO-BUSITEMA'!G38,'24.08 TORORO-BUSITEMA-24h'!G38,'27.08 BUSITEMA-TORORO-24h'!G38,'28.08 TORORO-BUSITEMA'!G38)</f>
        <v>0.14285714285714285</v>
      </c>
      <c r="H38" s="49">
        <f>AVERAGE('22.08 BUSITEMA-TORORO'!H38,'23.08 TORORO-BUSITEMA'!H38,'25.08 TORORO-BUSITEMA'!H38,'26.08 TORORO-BUSITEMA'!H38,'24.08 TORORO-BUSITEMA-24h'!H38,'27.08 BUSITEMA-TORORO-24h'!H38,'28.08 TORORO-BUSITEMA'!H38)</f>
        <v>0</v>
      </c>
      <c r="I38" s="49">
        <f>AVERAGE('22.08 BUSITEMA-TORORO'!I38,'23.08 TORORO-BUSITEMA'!I38,'25.08 TORORO-BUSITEMA'!I38,'26.08 TORORO-BUSITEMA'!I38,'24.08 TORORO-BUSITEMA-24h'!I38,'27.08 BUSITEMA-TORORO-24h'!I38,'28.08 TORORO-BUSITEMA'!I38)</f>
        <v>1.2857142857142858</v>
      </c>
      <c r="J38" s="49">
        <f>AVERAGE('22.08 BUSITEMA-TORORO'!J38,'23.08 TORORO-BUSITEMA'!J38,'25.08 TORORO-BUSITEMA'!J38,'26.08 TORORO-BUSITEMA'!J38,'24.08 TORORO-BUSITEMA-24h'!J38,'27.08 BUSITEMA-TORORO-24h'!J38,'28.08 TORORO-BUSITEMA'!J38)</f>
        <v>1.2857142857142858</v>
      </c>
      <c r="K38" s="49">
        <f>AVERAGE('22.08 BUSITEMA-TORORO'!K38,'23.08 TORORO-BUSITEMA'!K38,'25.08 TORORO-BUSITEMA'!K38,'26.08 TORORO-BUSITEMA'!K38,'24.08 TORORO-BUSITEMA-24h'!K38,'27.08 BUSITEMA-TORORO-24h'!K38,'28.08 TORORO-BUSITEMA'!K38)</f>
        <v>0.7142857142857143</v>
      </c>
      <c r="L38" s="49">
        <f>AVERAGE('22.08 BUSITEMA-TORORO'!L38,'23.08 TORORO-BUSITEMA'!L38,'25.08 TORORO-BUSITEMA'!L38,'26.08 TORORO-BUSITEMA'!L38,'24.08 TORORO-BUSITEMA-24h'!L38,'27.08 BUSITEMA-TORORO-24h'!L38,'28.08 TORORO-BUSITEMA'!L38)</f>
        <v>12.857142857142858</v>
      </c>
      <c r="M38" s="49">
        <f>AVERAGE('22.08 BUSITEMA-TORORO'!M38,'23.08 TORORO-BUSITEMA'!M38,'25.08 TORORO-BUSITEMA'!M38,'26.08 TORORO-BUSITEMA'!M38,'24.08 TORORO-BUSITEMA-24h'!M38,'27.08 BUSITEMA-TORORO-24h'!M38,'28.08 TORORO-BUSITEMA'!M38)</f>
        <v>5.4285714285714288</v>
      </c>
      <c r="N38" s="49">
        <f>AVERAGE('22.08 BUSITEMA-TORORO'!N38,'23.08 TORORO-BUSITEMA'!N38,'25.08 TORORO-BUSITEMA'!N38,'26.08 TORORO-BUSITEMA'!N38,'24.08 TORORO-BUSITEMA-24h'!N38,'27.08 BUSITEMA-TORORO-24h'!N38,'28.08 TORORO-BUSITEMA'!N38)</f>
        <v>0</v>
      </c>
      <c r="O38" s="15">
        <f t="shared" si="0"/>
        <v>24.857142857142858</v>
      </c>
      <c r="P38" s="15">
        <f t="shared" si="1"/>
        <v>30.285714285714285</v>
      </c>
      <c r="R38" s="28" t="s">
        <v>86</v>
      </c>
      <c r="S38" s="16">
        <f t="shared" ref="S38:AF38" si="30">SUM(S13:S18)</f>
        <v>56.857142857142854</v>
      </c>
      <c r="T38" s="16">
        <f t="shared" si="30"/>
        <v>52.285714285714285</v>
      </c>
      <c r="U38" s="16">
        <f t="shared" si="30"/>
        <v>24.428571428571427</v>
      </c>
      <c r="V38" s="16">
        <f t="shared" si="30"/>
        <v>93</v>
      </c>
      <c r="W38" s="16">
        <f t="shared" si="30"/>
        <v>3.7142857142857144</v>
      </c>
      <c r="X38" s="16">
        <f t="shared" si="30"/>
        <v>1.9999999999999998</v>
      </c>
      <c r="Y38" s="16">
        <f t="shared" si="30"/>
        <v>20.428571428571427</v>
      </c>
      <c r="Z38" s="16">
        <f t="shared" si="30"/>
        <v>20.857142857142858</v>
      </c>
      <c r="AA38" s="16">
        <f t="shared" si="30"/>
        <v>11.714285714285714</v>
      </c>
      <c r="AB38" s="16">
        <f t="shared" si="30"/>
        <v>203.71428571428572</v>
      </c>
      <c r="AC38" s="16">
        <f t="shared" si="30"/>
        <v>90.142857142857139</v>
      </c>
      <c r="AD38" s="16">
        <f t="shared" si="30"/>
        <v>0.14285714285714285</v>
      </c>
      <c r="AE38" s="32">
        <f t="shared" si="30"/>
        <v>489.14285714285722</v>
      </c>
      <c r="AF38" s="32">
        <f t="shared" si="30"/>
        <v>579.28571428571422</v>
      </c>
    </row>
    <row r="39" spans="2:32" ht="23.1" customHeight="1" x14ac:dyDescent="0.25">
      <c r="B39" s="24" t="s">
        <v>66</v>
      </c>
      <c r="C39" s="49">
        <f>AVERAGE('22.08 BUSITEMA-TORORO'!C39,'23.08 TORORO-BUSITEMA'!C39,'25.08 TORORO-BUSITEMA'!C39,'26.08 TORORO-BUSITEMA'!C39,'24.08 TORORO-BUSITEMA-24h'!C39,'27.08 BUSITEMA-TORORO-24h'!C39,'28.08 TORORO-BUSITEMA'!C39)</f>
        <v>3.8571428571428572</v>
      </c>
      <c r="D39" s="49">
        <f>AVERAGE('22.08 BUSITEMA-TORORO'!D39,'23.08 TORORO-BUSITEMA'!D39,'25.08 TORORO-BUSITEMA'!D39,'26.08 TORORO-BUSITEMA'!D39,'24.08 TORORO-BUSITEMA-24h'!D39,'27.08 BUSITEMA-TORORO-24h'!D39,'28.08 TORORO-BUSITEMA'!D39)</f>
        <v>1.4285714285714286</v>
      </c>
      <c r="E39" s="49">
        <f>AVERAGE('22.08 BUSITEMA-TORORO'!E39,'23.08 TORORO-BUSITEMA'!E39,'25.08 TORORO-BUSITEMA'!E39,'26.08 TORORO-BUSITEMA'!E39,'24.08 TORORO-BUSITEMA-24h'!E39,'27.08 BUSITEMA-TORORO-24h'!E39,'28.08 TORORO-BUSITEMA'!E39)</f>
        <v>1.7142857142857142</v>
      </c>
      <c r="F39" s="49">
        <f>AVERAGE('22.08 BUSITEMA-TORORO'!F39,'23.08 TORORO-BUSITEMA'!F39,'25.08 TORORO-BUSITEMA'!F39,'26.08 TORORO-BUSITEMA'!F39,'24.08 TORORO-BUSITEMA-24h'!F39,'27.08 BUSITEMA-TORORO-24h'!F39,'28.08 TORORO-BUSITEMA'!F39)</f>
        <v>3.5714285714285716</v>
      </c>
      <c r="G39" s="49">
        <f>AVERAGE('22.08 BUSITEMA-TORORO'!G39,'23.08 TORORO-BUSITEMA'!G39,'25.08 TORORO-BUSITEMA'!G39,'26.08 TORORO-BUSITEMA'!G39,'24.08 TORORO-BUSITEMA-24h'!G39,'27.08 BUSITEMA-TORORO-24h'!G39,'28.08 TORORO-BUSITEMA'!G39)</f>
        <v>0</v>
      </c>
      <c r="H39" s="49">
        <f>AVERAGE('22.08 BUSITEMA-TORORO'!H39,'23.08 TORORO-BUSITEMA'!H39,'25.08 TORORO-BUSITEMA'!H39,'26.08 TORORO-BUSITEMA'!H39,'24.08 TORORO-BUSITEMA-24h'!H39,'27.08 BUSITEMA-TORORO-24h'!H39,'28.08 TORORO-BUSITEMA'!H39)</f>
        <v>0.2857142857142857</v>
      </c>
      <c r="I39" s="49">
        <f>AVERAGE('22.08 BUSITEMA-TORORO'!I39,'23.08 TORORO-BUSITEMA'!I39,'25.08 TORORO-BUSITEMA'!I39,'26.08 TORORO-BUSITEMA'!I39,'24.08 TORORO-BUSITEMA-24h'!I39,'27.08 BUSITEMA-TORORO-24h'!I39,'28.08 TORORO-BUSITEMA'!I39)</f>
        <v>0.8571428571428571</v>
      </c>
      <c r="J39" s="49">
        <f>AVERAGE('22.08 BUSITEMA-TORORO'!J39,'23.08 TORORO-BUSITEMA'!J39,'25.08 TORORO-BUSITEMA'!J39,'26.08 TORORO-BUSITEMA'!J39,'24.08 TORORO-BUSITEMA-24h'!J39,'27.08 BUSITEMA-TORORO-24h'!J39,'28.08 TORORO-BUSITEMA'!J39)</f>
        <v>0.14285714285714285</v>
      </c>
      <c r="K39" s="49">
        <f>AVERAGE('22.08 BUSITEMA-TORORO'!K39,'23.08 TORORO-BUSITEMA'!K39,'25.08 TORORO-BUSITEMA'!K39,'26.08 TORORO-BUSITEMA'!K39,'24.08 TORORO-BUSITEMA-24h'!K39,'27.08 BUSITEMA-TORORO-24h'!K39,'28.08 TORORO-BUSITEMA'!K39)</f>
        <v>0</v>
      </c>
      <c r="L39" s="49">
        <f>AVERAGE('22.08 BUSITEMA-TORORO'!L39,'23.08 TORORO-BUSITEMA'!L39,'25.08 TORORO-BUSITEMA'!L39,'26.08 TORORO-BUSITEMA'!L39,'24.08 TORORO-BUSITEMA-24h'!L39,'27.08 BUSITEMA-TORORO-24h'!L39,'28.08 TORORO-BUSITEMA'!L39)</f>
        <v>7.2857142857142856</v>
      </c>
      <c r="M39" s="49">
        <f>AVERAGE('22.08 BUSITEMA-TORORO'!M39,'23.08 TORORO-BUSITEMA'!M39,'25.08 TORORO-BUSITEMA'!M39,'26.08 TORORO-BUSITEMA'!M39,'24.08 TORORO-BUSITEMA-24h'!M39,'27.08 BUSITEMA-TORORO-24h'!M39,'28.08 TORORO-BUSITEMA'!M39)</f>
        <v>3.2857142857142856</v>
      </c>
      <c r="N39" s="49">
        <f>AVERAGE('22.08 BUSITEMA-TORORO'!N39,'23.08 TORORO-BUSITEMA'!N39,'25.08 TORORO-BUSITEMA'!N39,'26.08 TORORO-BUSITEMA'!N39,'24.08 TORORO-BUSITEMA-24h'!N39,'27.08 BUSITEMA-TORORO-24h'!N39,'28.08 TORORO-BUSITEMA'!N39)</f>
        <v>0</v>
      </c>
      <c r="O39" s="15">
        <f t="shared" si="0"/>
        <v>19.142857142857142</v>
      </c>
      <c r="P39" s="15">
        <f t="shared" si="1"/>
        <v>22.428571428571427</v>
      </c>
      <c r="R39" s="29" t="s">
        <v>87</v>
      </c>
      <c r="S39" s="16">
        <f t="shared" ref="S39:AF39" si="31">SUM(S19:S21)</f>
        <v>34.428571428571431</v>
      </c>
      <c r="T39" s="16">
        <f t="shared" si="31"/>
        <v>33.571428571428569</v>
      </c>
      <c r="U39" s="16">
        <f t="shared" si="31"/>
        <v>18</v>
      </c>
      <c r="V39" s="16">
        <f t="shared" si="31"/>
        <v>51.714285714285715</v>
      </c>
      <c r="W39" s="16">
        <f t="shared" si="31"/>
        <v>1.5714285714285714</v>
      </c>
      <c r="X39" s="16">
        <f t="shared" si="31"/>
        <v>1.1428571428571428</v>
      </c>
      <c r="Y39" s="16">
        <f t="shared" si="31"/>
        <v>17.857142857142858</v>
      </c>
      <c r="Z39" s="16">
        <f t="shared" si="31"/>
        <v>14.571428571428571</v>
      </c>
      <c r="AA39" s="16">
        <f t="shared" si="31"/>
        <v>14.142857142857142</v>
      </c>
      <c r="AB39" s="16">
        <f t="shared" si="31"/>
        <v>134.14285714285714</v>
      </c>
      <c r="AC39" s="16">
        <f t="shared" si="31"/>
        <v>55</v>
      </c>
      <c r="AD39" s="16">
        <f t="shared" si="31"/>
        <v>0</v>
      </c>
      <c r="AE39" s="32">
        <f t="shared" si="31"/>
        <v>321.14285714285711</v>
      </c>
      <c r="AF39" s="32">
        <f t="shared" si="31"/>
        <v>376.14285714285717</v>
      </c>
    </row>
    <row r="40" spans="2:32" ht="23.1" customHeight="1" x14ac:dyDescent="0.25">
      <c r="B40" s="24" t="s">
        <v>67</v>
      </c>
      <c r="C40" s="49">
        <f>AVERAGE('22.08 BUSITEMA-TORORO'!C40,'23.08 TORORO-BUSITEMA'!C40,'25.08 TORORO-BUSITEMA'!C40,'26.08 TORORO-BUSITEMA'!C40,'24.08 TORORO-BUSITEMA-24h'!C40,'27.08 BUSITEMA-TORORO-24h'!C40,'28.08 TORORO-BUSITEMA'!C40)</f>
        <v>1.4285714285714286</v>
      </c>
      <c r="D40" s="49">
        <f>AVERAGE('22.08 BUSITEMA-TORORO'!D40,'23.08 TORORO-BUSITEMA'!D40,'25.08 TORORO-BUSITEMA'!D40,'26.08 TORORO-BUSITEMA'!D40,'24.08 TORORO-BUSITEMA-24h'!D40,'27.08 BUSITEMA-TORORO-24h'!D40,'28.08 TORORO-BUSITEMA'!D40)</f>
        <v>1.7142857142857142</v>
      </c>
      <c r="E40" s="49">
        <f>AVERAGE('22.08 BUSITEMA-TORORO'!E40,'23.08 TORORO-BUSITEMA'!E40,'25.08 TORORO-BUSITEMA'!E40,'26.08 TORORO-BUSITEMA'!E40,'24.08 TORORO-BUSITEMA-24h'!E40,'27.08 BUSITEMA-TORORO-24h'!E40,'28.08 TORORO-BUSITEMA'!E40)</f>
        <v>0.14285714285714285</v>
      </c>
      <c r="F40" s="49">
        <f>AVERAGE('22.08 BUSITEMA-TORORO'!F40,'23.08 TORORO-BUSITEMA'!F40,'25.08 TORORO-BUSITEMA'!F40,'26.08 TORORO-BUSITEMA'!F40,'24.08 TORORO-BUSITEMA-24h'!F40,'27.08 BUSITEMA-TORORO-24h'!F40,'28.08 TORORO-BUSITEMA'!F40)</f>
        <v>5.4285714285714288</v>
      </c>
      <c r="G40" s="49">
        <f>AVERAGE('22.08 BUSITEMA-TORORO'!G40,'23.08 TORORO-BUSITEMA'!G40,'25.08 TORORO-BUSITEMA'!G40,'26.08 TORORO-BUSITEMA'!G40,'24.08 TORORO-BUSITEMA-24h'!G40,'27.08 BUSITEMA-TORORO-24h'!G40,'28.08 TORORO-BUSITEMA'!G40)</f>
        <v>0</v>
      </c>
      <c r="H40" s="49">
        <f>AVERAGE('22.08 BUSITEMA-TORORO'!H40,'23.08 TORORO-BUSITEMA'!H40,'25.08 TORORO-BUSITEMA'!H40,'26.08 TORORO-BUSITEMA'!H40,'24.08 TORORO-BUSITEMA-24h'!H40,'27.08 BUSITEMA-TORORO-24h'!H40,'28.08 TORORO-BUSITEMA'!H40)</f>
        <v>0.14285714285714285</v>
      </c>
      <c r="I40" s="49">
        <f>AVERAGE('22.08 BUSITEMA-TORORO'!I40,'23.08 TORORO-BUSITEMA'!I40,'25.08 TORORO-BUSITEMA'!I40,'26.08 TORORO-BUSITEMA'!I40,'24.08 TORORO-BUSITEMA-24h'!I40,'27.08 BUSITEMA-TORORO-24h'!I40,'28.08 TORORO-BUSITEMA'!I40)</f>
        <v>0.42857142857142855</v>
      </c>
      <c r="J40" s="49">
        <f>AVERAGE('22.08 BUSITEMA-TORORO'!J40,'23.08 TORORO-BUSITEMA'!J40,'25.08 TORORO-BUSITEMA'!J40,'26.08 TORORO-BUSITEMA'!J40,'24.08 TORORO-BUSITEMA-24h'!J40,'27.08 BUSITEMA-TORORO-24h'!J40,'28.08 TORORO-BUSITEMA'!J40)</f>
        <v>1.1428571428571428</v>
      </c>
      <c r="K40" s="49">
        <f>AVERAGE('22.08 BUSITEMA-TORORO'!K40,'23.08 TORORO-BUSITEMA'!K40,'25.08 TORORO-BUSITEMA'!K40,'26.08 TORORO-BUSITEMA'!K40,'24.08 TORORO-BUSITEMA-24h'!K40,'27.08 BUSITEMA-TORORO-24h'!K40,'28.08 TORORO-BUSITEMA'!K40)</f>
        <v>0.42857142857142855</v>
      </c>
      <c r="L40" s="49">
        <f>AVERAGE('22.08 BUSITEMA-TORORO'!L40,'23.08 TORORO-BUSITEMA'!L40,'25.08 TORORO-BUSITEMA'!L40,'26.08 TORORO-BUSITEMA'!L40,'24.08 TORORO-BUSITEMA-24h'!L40,'27.08 BUSITEMA-TORORO-24h'!L40,'28.08 TORORO-BUSITEMA'!L40)</f>
        <v>8.8571428571428577</v>
      </c>
      <c r="M40" s="49">
        <f>AVERAGE('22.08 BUSITEMA-TORORO'!M40,'23.08 TORORO-BUSITEMA'!M40,'25.08 TORORO-BUSITEMA'!M40,'26.08 TORORO-BUSITEMA'!M40,'24.08 TORORO-BUSITEMA-24h'!M40,'27.08 BUSITEMA-TORORO-24h'!M40,'28.08 TORORO-BUSITEMA'!M40)</f>
        <v>2.5714285714285716</v>
      </c>
      <c r="N40" s="49">
        <f>AVERAGE('22.08 BUSITEMA-TORORO'!N40,'23.08 TORORO-BUSITEMA'!N40,'25.08 TORORO-BUSITEMA'!N40,'26.08 TORORO-BUSITEMA'!N40,'24.08 TORORO-BUSITEMA-24h'!N40,'27.08 BUSITEMA-TORORO-24h'!N40,'28.08 TORORO-BUSITEMA'!N40)</f>
        <v>0</v>
      </c>
      <c r="O40" s="15">
        <f t="shared" si="0"/>
        <v>19.714285714285715</v>
      </c>
      <c r="P40" s="15">
        <f t="shared" si="1"/>
        <v>22.285714285714288</v>
      </c>
      <c r="R40" s="5" t="s">
        <v>17</v>
      </c>
      <c r="S40" s="16">
        <f t="shared" ref="S40:AF40" si="32">SUM(S10:S21)</f>
        <v>101.85714285714286</v>
      </c>
      <c r="T40" s="16">
        <f t="shared" si="32"/>
        <v>104.85714285714286</v>
      </c>
      <c r="U40" s="16">
        <f t="shared" si="32"/>
        <v>51.428571428571423</v>
      </c>
      <c r="V40" s="16">
        <f t="shared" si="32"/>
        <v>175.14285714285717</v>
      </c>
      <c r="W40" s="16">
        <f t="shared" si="32"/>
        <v>6.7142857142857153</v>
      </c>
      <c r="X40" s="16">
        <f t="shared" si="32"/>
        <v>4.2857142857142856</v>
      </c>
      <c r="Y40" s="16">
        <f t="shared" si="32"/>
        <v>42.142857142857139</v>
      </c>
      <c r="Z40" s="16">
        <f t="shared" si="32"/>
        <v>39.571428571428569</v>
      </c>
      <c r="AA40" s="16">
        <f t="shared" si="32"/>
        <v>33.571428571428569</v>
      </c>
      <c r="AB40" s="16">
        <f t="shared" si="32"/>
        <v>434.57142857142856</v>
      </c>
      <c r="AC40" s="16">
        <f t="shared" si="32"/>
        <v>178.71428571428572</v>
      </c>
      <c r="AD40" s="16">
        <f t="shared" si="32"/>
        <v>0.14285714285714285</v>
      </c>
      <c r="AE40" s="32">
        <f t="shared" si="32"/>
        <v>994.28571428571433</v>
      </c>
      <c r="AF40" s="32">
        <f t="shared" si="32"/>
        <v>1173</v>
      </c>
    </row>
    <row r="41" spans="2:32" ht="23.1" customHeight="1" x14ac:dyDescent="0.25">
      <c r="B41" s="23" t="s">
        <v>68</v>
      </c>
      <c r="C41" s="49">
        <f>AVERAGE('22.08 BUSITEMA-TORORO'!C41,'23.08 TORORO-BUSITEMA'!C41,'25.08 TORORO-BUSITEMA'!C41,'26.08 TORORO-BUSITEMA'!C41,'24.08 TORORO-BUSITEMA-24h'!C41,'27.08 BUSITEMA-TORORO-24h'!C41,'28.08 TORORO-BUSITEMA'!C41)</f>
        <v>2.7142857142857144</v>
      </c>
      <c r="D41" s="49">
        <f>AVERAGE('22.08 BUSITEMA-TORORO'!D41,'23.08 TORORO-BUSITEMA'!D41,'25.08 TORORO-BUSITEMA'!D41,'26.08 TORORO-BUSITEMA'!D41,'24.08 TORORO-BUSITEMA-24h'!D41,'27.08 BUSITEMA-TORORO-24h'!D41,'28.08 TORORO-BUSITEMA'!D41)</f>
        <v>0.8571428571428571</v>
      </c>
      <c r="E41" s="49">
        <f>AVERAGE('22.08 BUSITEMA-TORORO'!E41,'23.08 TORORO-BUSITEMA'!E41,'25.08 TORORO-BUSITEMA'!E41,'26.08 TORORO-BUSITEMA'!E41,'24.08 TORORO-BUSITEMA-24h'!E41,'27.08 BUSITEMA-TORORO-24h'!E41,'28.08 TORORO-BUSITEMA'!E41)</f>
        <v>0.2857142857142857</v>
      </c>
      <c r="F41" s="49">
        <f>AVERAGE('22.08 BUSITEMA-TORORO'!F41,'23.08 TORORO-BUSITEMA'!F41,'25.08 TORORO-BUSITEMA'!F41,'26.08 TORORO-BUSITEMA'!F41,'24.08 TORORO-BUSITEMA-24h'!F41,'27.08 BUSITEMA-TORORO-24h'!F41,'28.08 TORORO-BUSITEMA'!F41)</f>
        <v>3.7142857142857144</v>
      </c>
      <c r="G41" s="49">
        <f>AVERAGE('22.08 BUSITEMA-TORORO'!G41,'23.08 TORORO-BUSITEMA'!G41,'25.08 TORORO-BUSITEMA'!G41,'26.08 TORORO-BUSITEMA'!G41,'24.08 TORORO-BUSITEMA-24h'!G41,'27.08 BUSITEMA-TORORO-24h'!G41,'28.08 TORORO-BUSITEMA'!G41)</f>
        <v>0</v>
      </c>
      <c r="H41" s="49">
        <f>AVERAGE('22.08 BUSITEMA-TORORO'!H41,'23.08 TORORO-BUSITEMA'!H41,'25.08 TORORO-BUSITEMA'!H41,'26.08 TORORO-BUSITEMA'!H41,'24.08 TORORO-BUSITEMA-24h'!H41,'27.08 BUSITEMA-TORORO-24h'!H41,'28.08 TORORO-BUSITEMA'!H41)</f>
        <v>0</v>
      </c>
      <c r="I41" s="49">
        <f>AVERAGE('22.08 BUSITEMA-TORORO'!I41,'23.08 TORORO-BUSITEMA'!I41,'25.08 TORORO-BUSITEMA'!I41,'26.08 TORORO-BUSITEMA'!I41,'24.08 TORORO-BUSITEMA-24h'!I41,'27.08 BUSITEMA-TORORO-24h'!I41,'28.08 TORORO-BUSITEMA'!I41)</f>
        <v>0.8571428571428571</v>
      </c>
      <c r="J41" s="49">
        <f>AVERAGE('22.08 BUSITEMA-TORORO'!J41,'23.08 TORORO-BUSITEMA'!J41,'25.08 TORORO-BUSITEMA'!J41,'26.08 TORORO-BUSITEMA'!J41,'24.08 TORORO-BUSITEMA-24h'!J41,'27.08 BUSITEMA-TORORO-24h'!J41,'28.08 TORORO-BUSITEMA'!J41)</f>
        <v>1.4285714285714286</v>
      </c>
      <c r="K41" s="49">
        <f>AVERAGE('22.08 BUSITEMA-TORORO'!K41,'23.08 TORORO-BUSITEMA'!K41,'25.08 TORORO-BUSITEMA'!K41,'26.08 TORORO-BUSITEMA'!K41,'24.08 TORORO-BUSITEMA-24h'!K41,'27.08 BUSITEMA-TORORO-24h'!K41,'28.08 TORORO-BUSITEMA'!K41)</f>
        <v>0</v>
      </c>
      <c r="L41" s="49">
        <f>AVERAGE('22.08 BUSITEMA-TORORO'!L41,'23.08 TORORO-BUSITEMA'!L41,'25.08 TORORO-BUSITEMA'!L41,'26.08 TORORO-BUSITEMA'!L41,'24.08 TORORO-BUSITEMA-24h'!L41,'27.08 BUSITEMA-TORORO-24h'!L41,'28.08 TORORO-BUSITEMA'!L41)</f>
        <v>8.1428571428571423</v>
      </c>
      <c r="M41" s="49">
        <f>AVERAGE('22.08 BUSITEMA-TORORO'!M41,'23.08 TORORO-BUSITEMA'!M41,'25.08 TORORO-BUSITEMA'!M41,'26.08 TORORO-BUSITEMA'!M41,'24.08 TORORO-BUSITEMA-24h'!M41,'27.08 BUSITEMA-TORORO-24h'!M41,'28.08 TORORO-BUSITEMA'!M41)</f>
        <v>3.8571428571428572</v>
      </c>
      <c r="N41" s="49">
        <f>AVERAGE('22.08 BUSITEMA-TORORO'!N41,'23.08 TORORO-BUSITEMA'!N41,'25.08 TORORO-BUSITEMA'!N41,'26.08 TORORO-BUSITEMA'!N41,'24.08 TORORO-BUSITEMA-24h'!N41,'27.08 BUSITEMA-TORORO-24h'!N41,'28.08 TORORO-BUSITEMA'!N41)</f>
        <v>0</v>
      </c>
      <c r="O41" s="15">
        <f t="shared" si="0"/>
        <v>18</v>
      </c>
      <c r="P41" s="15">
        <f t="shared" si="1"/>
        <v>21.857142857142858</v>
      </c>
      <c r="R41" s="5" t="s">
        <v>177</v>
      </c>
      <c r="S41" s="52">
        <f>SUM(S10:S33)</f>
        <v>136.85714285714286</v>
      </c>
      <c r="T41" s="52">
        <f t="shared" ref="T41:AD41" si="33">SUM(T10:T33)</f>
        <v>131.35714285714286</v>
      </c>
      <c r="U41" s="52">
        <f t="shared" si="33"/>
        <v>67.428571428571416</v>
      </c>
      <c r="V41" s="52">
        <f t="shared" si="33"/>
        <v>215.64285714285717</v>
      </c>
      <c r="W41" s="52">
        <f t="shared" si="33"/>
        <v>7.2142857142857153</v>
      </c>
      <c r="X41" s="52">
        <f t="shared" si="33"/>
        <v>11.785714285714285</v>
      </c>
      <c r="Y41" s="52">
        <f t="shared" si="33"/>
        <v>51.642857142857139</v>
      </c>
      <c r="Z41" s="52">
        <f t="shared" si="33"/>
        <v>86.571428571428569</v>
      </c>
      <c r="AA41" s="52">
        <f t="shared" si="33"/>
        <v>43.571428571428569</v>
      </c>
      <c r="AB41" s="52">
        <f t="shared" si="33"/>
        <v>789.07142857142856</v>
      </c>
      <c r="AC41" s="52">
        <f t="shared" si="33"/>
        <v>210.21428571428572</v>
      </c>
      <c r="AD41" s="52">
        <f t="shared" si="33"/>
        <v>0.14285714285714285</v>
      </c>
      <c r="AE41" s="53">
        <f>SUM(AE10:AE33)</f>
        <v>1541.2857142857142</v>
      </c>
      <c r="AF41" s="53">
        <f>SUM(AF10:AF33)</f>
        <v>1751.5</v>
      </c>
    </row>
    <row r="42" spans="2:32" ht="23.1" customHeight="1" x14ac:dyDescent="0.25">
      <c r="B42" s="24" t="s">
        <v>69</v>
      </c>
      <c r="C42" s="49">
        <f>AVERAGE('22.08 BUSITEMA-TORORO'!C42,'23.08 TORORO-BUSITEMA'!C42,'25.08 TORORO-BUSITEMA'!C42,'26.08 TORORO-BUSITEMA'!C42,'24.08 TORORO-BUSITEMA-24h'!C42,'27.08 BUSITEMA-TORORO-24h'!C42,'28.08 TORORO-BUSITEMA'!C42)</f>
        <v>3.1428571428571428</v>
      </c>
      <c r="D42" s="49">
        <f>AVERAGE('22.08 BUSITEMA-TORORO'!D42,'23.08 TORORO-BUSITEMA'!D42,'25.08 TORORO-BUSITEMA'!D42,'26.08 TORORO-BUSITEMA'!D42,'24.08 TORORO-BUSITEMA-24h'!D42,'27.08 BUSITEMA-TORORO-24h'!D42,'28.08 TORORO-BUSITEMA'!D42)</f>
        <v>1.1428571428571428</v>
      </c>
      <c r="E42" s="49">
        <f>AVERAGE('22.08 BUSITEMA-TORORO'!E42,'23.08 TORORO-BUSITEMA'!E42,'25.08 TORORO-BUSITEMA'!E42,'26.08 TORORO-BUSITEMA'!E42,'24.08 TORORO-BUSITEMA-24h'!E42,'27.08 BUSITEMA-TORORO-24h'!E42,'28.08 TORORO-BUSITEMA'!E42)</f>
        <v>1</v>
      </c>
      <c r="F42" s="49">
        <f>AVERAGE('22.08 BUSITEMA-TORORO'!F42,'23.08 TORORO-BUSITEMA'!F42,'25.08 TORORO-BUSITEMA'!F42,'26.08 TORORO-BUSITEMA'!F42,'24.08 TORORO-BUSITEMA-24h'!F42,'27.08 BUSITEMA-TORORO-24h'!F42,'28.08 TORORO-BUSITEMA'!F42)</f>
        <v>3.2857142857142856</v>
      </c>
      <c r="G42" s="49">
        <f>AVERAGE('22.08 BUSITEMA-TORORO'!G42,'23.08 TORORO-BUSITEMA'!G42,'25.08 TORORO-BUSITEMA'!G42,'26.08 TORORO-BUSITEMA'!G42,'24.08 TORORO-BUSITEMA-24h'!G42,'27.08 BUSITEMA-TORORO-24h'!G42,'28.08 TORORO-BUSITEMA'!G42)</f>
        <v>0</v>
      </c>
      <c r="H42" s="49">
        <f>AVERAGE('22.08 BUSITEMA-TORORO'!H42,'23.08 TORORO-BUSITEMA'!H42,'25.08 TORORO-BUSITEMA'!H42,'26.08 TORORO-BUSITEMA'!H42,'24.08 TORORO-BUSITEMA-24h'!H42,'27.08 BUSITEMA-TORORO-24h'!H42,'28.08 TORORO-BUSITEMA'!H42)</f>
        <v>0.14285714285714285</v>
      </c>
      <c r="I42" s="49">
        <f>AVERAGE('22.08 BUSITEMA-TORORO'!I42,'23.08 TORORO-BUSITEMA'!I42,'25.08 TORORO-BUSITEMA'!I42,'26.08 TORORO-BUSITEMA'!I42,'24.08 TORORO-BUSITEMA-24h'!I42,'27.08 BUSITEMA-TORORO-24h'!I42,'28.08 TORORO-BUSITEMA'!I42)</f>
        <v>0.42857142857142855</v>
      </c>
      <c r="J42" s="49">
        <f>AVERAGE('22.08 BUSITEMA-TORORO'!J42,'23.08 TORORO-BUSITEMA'!J42,'25.08 TORORO-BUSITEMA'!J42,'26.08 TORORO-BUSITEMA'!J42,'24.08 TORORO-BUSITEMA-24h'!J42,'27.08 BUSITEMA-TORORO-24h'!J42,'28.08 TORORO-BUSITEMA'!J42)</f>
        <v>0.7142857142857143</v>
      </c>
      <c r="K42" s="49">
        <f>AVERAGE('22.08 BUSITEMA-TORORO'!K42,'23.08 TORORO-BUSITEMA'!K42,'25.08 TORORO-BUSITEMA'!K42,'26.08 TORORO-BUSITEMA'!K42,'24.08 TORORO-BUSITEMA-24h'!K42,'27.08 BUSITEMA-TORORO-24h'!K42,'28.08 TORORO-BUSITEMA'!K42)</f>
        <v>0.2857142857142857</v>
      </c>
      <c r="L42" s="49">
        <f>AVERAGE('22.08 BUSITEMA-TORORO'!L42,'23.08 TORORO-BUSITEMA'!L42,'25.08 TORORO-BUSITEMA'!L42,'26.08 TORORO-BUSITEMA'!L42,'24.08 TORORO-BUSITEMA-24h'!L42,'27.08 BUSITEMA-TORORO-24h'!L42,'28.08 TORORO-BUSITEMA'!L42)</f>
        <v>7.7142857142857144</v>
      </c>
      <c r="M42" s="49">
        <f>AVERAGE('22.08 BUSITEMA-TORORO'!M42,'23.08 TORORO-BUSITEMA'!M42,'25.08 TORORO-BUSITEMA'!M42,'26.08 TORORO-BUSITEMA'!M42,'24.08 TORORO-BUSITEMA-24h'!M42,'27.08 BUSITEMA-TORORO-24h'!M42,'28.08 TORORO-BUSITEMA'!M42)</f>
        <v>5.1428571428571432</v>
      </c>
      <c r="N42" s="49">
        <f>AVERAGE('22.08 BUSITEMA-TORORO'!N42,'23.08 TORORO-BUSITEMA'!N42,'25.08 TORORO-BUSITEMA'!N42,'26.08 TORORO-BUSITEMA'!N42,'24.08 TORORO-BUSITEMA-24h'!N42,'27.08 BUSITEMA-TORORO-24h'!N42,'28.08 TORORO-BUSITEMA'!N42)</f>
        <v>0</v>
      </c>
      <c r="O42" s="15">
        <f t="shared" si="0"/>
        <v>17.857142857142858</v>
      </c>
      <c r="P42" s="15">
        <f t="shared" si="1"/>
        <v>23</v>
      </c>
      <c r="R42" s="5" t="s">
        <v>160</v>
      </c>
      <c r="S42" s="48">
        <f>S41/S40</f>
        <v>1.3436185133239831</v>
      </c>
      <c r="T42" s="48">
        <f t="shared" ref="T42:AF42" si="34">T41/T40</f>
        <v>1.2527247956403269</v>
      </c>
      <c r="U42" s="48">
        <f t="shared" si="34"/>
        <v>1.3111111111111109</v>
      </c>
      <c r="V42" s="48">
        <f t="shared" si="34"/>
        <v>1.2312398042414354</v>
      </c>
      <c r="W42" s="48">
        <f t="shared" si="34"/>
        <v>1.074468085106383</v>
      </c>
      <c r="X42" s="48">
        <f t="shared" si="34"/>
        <v>2.75</v>
      </c>
      <c r="Y42" s="48">
        <f t="shared" si="34"/>
        <v>1.2254237288135594</v>
      </c>
      <c r="Z42" s="48">
        <f t="shared" si="34"/>
        <v>2.1877256317689531</v>
      </c>
      <c r="AA42" s="48">
        <f t="shared" si="34"/>
        <v>1.2978723404255319</v>
      </c>
      <c r="AB42" s="48">
        <f t="shared" si="34"/>
        <v>1.8157462195923735</v>
      </c>
      <c r="AC42" s="48">
        <f t="shared" si="34"/>
        <v>1.1762589928057554</v>
      </c>
      <c r="AD42" s="48">
        <f t="shared" si="34"/>
        <v>1</v>
      </c>
      <c r="AE42" s="51">
        <f t="shared" si="34"/>
        <v>1.5501436781609195</v>
      </c>
      <c r="AF42" s="51">
        <f t="shared" si="34"/>
        <v>1.4931798806479113</v>
      </c>
    </row>
    <row r="43" spans="2:32" ht="23.1" customHeight="1" x14ac:dyDescent="0.25">
      <c r="B43" s="23" t="s">
        <v>70</v>
      </c>
      <c r="C43" s="49">
        <f>AVERAGE('22.08 BUSITEMA-TORORO'!C43,'23.08 TORORO-BUSITEMA'!C43,'25.08 TORORO-BUSITEMA'!C43,'26.08 TORORO-BUSITEMA'!C43,'24.08 TORORO-BUSITEMA-24h'!C43,'27.08 BUSITEMA-TORORO-24h'!C43,'28.08 TORORO-BUSITEMA'!C43)</f>
        <v>2.1428571428571428</v>
      </c>
      <c r="D43" s="49">
        <f>AVERAGE('22.08 BUSITEMA-TORORO'!D43,'23.08 TORORO-BUSITEMA'!D43,'25.08 TORORO-BUSITEMA'!D43,'26.08 TORORO-BUSITEMA'!D43,'24.08 TORORO-BUSITEMA-24h'!D43,'27.08 BUSITEMA-TORORO-24h'!D43,'28.08 TORORO-BUSITEMA'!D43)</f>
        <v>1.8571428571428572</v>
      </c>
      <c r="E43" s="49">
        <f>AVERAGE('22.08 BUSITEMA-TORORO'!E43,'23.08 TORORO-BUSITEMA'!E43,'25.08 TORORO-BUSITEMA'!E43,'26.08 TORORO-BUSITEMA'!E43,'24.08 TORORO-BUSITEMA-24h'!E43,'27.08 BUSITEMA-TORORO-24h'!E43,'28.08 TORORO-BUSITEMA'!E43)</f>
        <v>1.2857142857142858</v>
      </c>
      <c r="F43" s="49">
        <f>AVERAGE('22.08 BUSITEMA-TORORO'!F43,'23.08 TORORO-BUSITEMA'!F43,'25.08 TORORO-BUSITEMA'!F43,'26.08 TORORO-BUSITEMA'!F43,'24.08 TORORO-BUSITEMA-24h'!F43,'27.08 BUSITEMA-TORORO-24h'!F43,'28.08 TORORO-BUSITEMA'!F43)</f>
        <v>4.2857142857142856</v>
      </c>
      <c r="G43" s="49">
        <f>AVERAGE('22.08 BUSITEMA-TORORO'!G43,'23.08 TORORO-BUSITEMA'!G43,'25.08 TORORO-BUSITEMA'!G43,'26.08 TORORO-BUSITEMA'!G43,'24.08 TORORO-BUSITEMA-24h'!G43,'27.08 BUSITEMA-TORORO-24h'!G43,'28.08 TORORO-BUSITEMA'!G43)</f>
        <v>0</v>
      </c>
      <c r="H43" s="49">
        <f>AVERAGE('22.08 BUSITEMA-TORORO'!H43,'23.08 TORORO-BUSITEMA'!H43,'25.08 TORORO-BUSITEMA'!H43,'26.08 TORORO-BUSITEMA'!H43,'24.08 TORORO-BUSITEMA-24h'!H43,'27.08 BUSITEMA-TORORO-24h'!H43,'28.08 TORORO-BUSITEMA'!H43)</f>
        <v>0</v>
      </c>
      <c r="I43" s="49">
        <f>AVERAGE('22.08 BUSITEMA-TORORO'!I43,'23.08 TORORO-BUSITEMA'!I43,'25.08 TORORO-BUSITEMA'!I43,'26.08 TORORO-BUSITEMA'!I43,'24.08 TORORO-BUSITEMA-24h'!I43,'27.08 BUSITEMA-TORORO-24h'!I43,'28.08 TORORO-BUSITEMA'!I43)</f>
        <v>0.7142857142857143</v>
      </c>
      <c r="J43" s="49">
        <f>AVERAGE('22.08 BUSITEMA-TORORO'!J43,'23.08 TORORO-BUSITEMA'!J43,'25.08 TORORO-BUSITEMA'!J43,'26.08 TORORO-BUSITEMA'!J43,'24.08 TORORO-BUSITEMA-24h'!J43,'27.08 BUSITEMA-TORORO-24h'!J43,'28.08 TORORO-BUSITEMA'!J43)</f>
        <v>1.1428571428571428</v>
      </c>
      <c r="K43" s="49">
        <f>AVERAGE('22.08 BUSITEMA-TORORO'!K43,'23.08 TORORO-BUSITEMA'!K43,'25.08 TORORO-BUSITEMA'!K43,'26.08 TORORO-BUSITEMA'!K43,'24.08 TORORO-BUSITEMA-24h'!K43,'27.08 BUSITEMA-TORORO-24h'!K43,'28.08 TORORO-BUSITEMA'!K43)</f>
        <v>0.14285714285714285</v>
      </c>
      <c r="L43" s="49">
        <f>AVERAGE('22.08 BUSITEMA-TORORO'!L43,'23.08 TORORO-BUSITEMA'!L43,'25.08 TORORO-BUSITEMA'!L43,'26.08 TORORO-BUSITEMA'!L43,'24.08 TORORO-BUSITEMA-24h'!L43,'27.08 BUSITEMA-TORORO-24h'!L43,'28.08 TORORO-BUSITEMA'!L43)</f>
        <v>7.4285714285714288</v>
      </c>
      <c r="M43" s="49">
        <f>AVERAGE('22.08 BUSITEMA-TORORO'!M43,'23.08 TORORO-BUSITEMA'!M43,'25.08 TORORO-BUSITEMA'!M43,'26.08 TORORO-BUSITEMA'!M43,'24.08 TORORO-BUSITEMA-24h'!M43,'27.08 BUSITEMA-TORORO-24h'!M43,'28.08 TORORO-BUSITEMA'!M43)</f>
        <v>3</v>
      </c>
      <c r="N43" s="49">
        <f>AVERAGE('22.08 BUSITEMA-TORORO'!N43,'23.08 TORORO-BUSITEMA'!N43,'25.08 TORORO-BUSITEMA'!N43,'26.08 TORORO-BUSITEMA'!N43,'24.08 TORORO-BUSITEMA-24h'!N43,'27.08 BUSITEMA-TORORO-24h'!N43,'28.08 TORORO-BUSITEMA'!N43)</f>
        <v>0</v>
      </c>
      <c r="O43" s="15">
        <f t="shared" si="0"/>
        <v>19</v>
      </c>
      <c r="P43" s="15">
        <f t="shared" si="1"/>
        <v>22</v>
      </c>
    </row>
    <row r="44" spans="2:32" ht="23.1" customHeight="1" x14ac:dyDescent="0.25">
      <c r="B44" s="25" t="s">
        <v>71</v>
      </c>
      <c r="C44" s="49">
        <f>AVERAGE('22.08 BUSITEMA-TORORO'!C44,'23.08 TORORO-BUSITEMA'!C44,'25.08 TORORO-BUSITEMA'!C44,'26.08 TORORO-BUSITEMA'!C44,'24.08 TORORO-BUSITEMA-24h'!C44,'27.08 BUSITEMA-TORORO-24h'!C44,'28.08 TORORO-BUSITEMA'!C44)</f>
        <v>1.4285714285714286</v>
      </c>
      <c r="D44" s="49">
        <f>AVERAGE('22.08 BUSITEMA-TORORO'!D44,'23.08 TORORO-BUSITEMA'!D44,'25.08 TORORO-BUSITEMA'!D44,'26.08 TORORO-BUSITEMA'!D44,'24.08 TORORO-BUSITEMA-24h'!D44,'27.08 BUSITEMA-TORORO-24h'!D44,'28.08 TORORO-BUSITEMA'!D44)</f>
        <v>2</v>
      </c>
      <c r="E44" s="49">
        <f>AVERAGE('22.08 BUSITEMA-TORORO'!E44,'23.08 TORORO-BUSITEMA'!E44,'25.08 TORORO-BUSITEMA'!E44,'26.08 TORORO-BUSITEMA'!E44,'24.08 TORORO-BUSITEMA-24h'!E44,'27.08 BUSITEMA-TORORO-24h'!E44,'28.08 TORORO-BUSITEMA'!E44)</f>
        <v>1.1428571428571428</v>
      </c>
      <c r="F44" s="49">
        <f>AVERAGE('22.08 BUSITEMA-TORORO'!F44,'23.08 TORORO-BUSITEMA'!F44,'25.08 TORORO-BUSITEMA'!F44,'26.08 TORORO-BUSITEMA'!F44,'24.08 TORORO-BUSITEMA-24h'!F44,'27.08 BUSITEMA-TORORO-24h'!F44,'28.08 TORORO-BUSITEMA'!F44)</f>
        <v>4.2857142857142856</v>
      </c>
      <c r="G44" s="49">
        <f>AVERAGE('22.08 BUSITEMA-TORORO'!G44,'23.08 TORORO-BUSITEMA'!G44,'25.08 TORORO-BUSITEMA'!G44,'26.08 TORORO-BUSITEMA'!G44,'24.08 TORORO-BUSITEMA-24h'!G44,'27.08 BUSITEMA-TORORO-24h'!G44,'28.08 TORORO-BUSITEMA'!G44)</f>
        <v>0</v>
      </c>
      <c r="H44" s="49">
        <f>AVERAGE('22.08 BUSITEMA-TORORO'!H44,'23.08 TORORO-BUSITEMA'!H44,'25.08 TORORO-BUSITEMA'!H44,'26.08 TORORO-BUSITEMA'!H44,'24.08 TORORO-BUSITEMA-24h'!H44,'27.08 BUSITEMA-TORORO-24h'!H44,'28.08 TORORO-BUSITEMA'!H44)</f>
        <v>0</v>
      </c>
      <c r="I44" s="49">
        <f>AVERAGE('22.08 BUSITEMA-TORORO'!I44,'23.08 TORORO-BUSITEMA'!I44,'25.08 TORORO-BUSITEMA'!I44,'26.08 TORORO-BUSITEMA'!I44,'24.08 TORORO-BUSITEMA-24h'!I44,'27.08 BUSITEMA-TORORO-24h'!I44,'28.08 TORORO-BUSITEMA'!I44)</f>
        <v>1.1428571428571428</v>
      </c>
      <c r="J44" s="49">
        <f>AVERAGE('22.08 BUSITEMA-TORORO'!J44,'23.08 TORORO-BUSITEMA'!J44,'25.08 TORORO-BUSITEMA'!J44,'26.08 TORORO-BUSITEMA'!J44,'24.08 TORORO-BUSITEMA-24h'!J44,'27.08 BUSITEMA-TORORO-24h'!J44,'28.08 TORORO-BUSITEMA'!J44)</f>
        <v>1.8571428571428572</v>
      </c>
      <c r="K44" s="49">
        <f>AVERAGE('22.08 BUSITEMA-TORORO'!K44,'23.08 TORORO-BUSITEMA'!K44,'25.08 TORORO-BUSITEMA'!K44,'26.08 TORORO-BUSITEMA'!K44,'24.08 TORORO-BUSITEMA-24h'!K44,'27.08 BUSITEMA-TORORO-24h'!K44,'28.08 TORORO-BUSITEMA'!K44)</f>
        <v>0.7142857142857143</v>
      </c>
      <c r="L44" s="49">
        <f>AVERAGE('22.08 BUSITEMA-TORORO'!L44,'23.08 TORORO-BUSITEMA'!L44,'25.08 TORORO-BUSITEMA'!L44,'26.08 TORORO-BUSITEMA'!L44,'24.08 TORORO-BUSITEMA-24h'!L44,'27.08 BUSITEMA-TORORO-24h'!L44,'28.08 TORORO-BUSITEMA'!L44)</f>
        <v>10.428571428571429</v>
      </c>
      <c r="M44" s="49">
        <f>AVERAGE('22.08 BUSITEMA-TORORO'!M44,'23.08 TORORO-BUSITEMA'!M44,'25.08 TORORO-BUSITEMA'!M44,'26.08 TORORO-BUSITEMA'!M44,'24.08 TORORO-BUSITEMA-24h'!M44,'27.08 BUSITEMA-TORORO-24h'!M44,'28.08 TORORO-BUSITEMA'!M44)</f>
        <v>4.1428571428571432</v>
      </c>
      <c r="N44" s="49">
        <f>AVERAGE('22.08 BUSITEMA-TORORO'!N44,'23.08 TORORO-BUSITEMA'!N44,'25.08 TORORO-BUSITEMA'!N44,'26.08 TORORO-BUSITEMA'!N44,'24.08 TORORO-BUSITEMA-24h'!N44,'27.08 BUSITEMA-TORORO-24h'!N44,'28.08 TORORO-BUSITEMA'!N44)</f>
        <v>0</v>
      </c>
      <c r="O44" s="15">
        <f t="shared" si="0"/>
        <v>23</v>
      </c>
      <c r="P44" s="15">
        <f t="shared" si="1"/>
        <v>27.142857142857142</v>
      </c>
    </row>
    <row r="45" spans="2:32" ht="23.1" customHeight="1" x14ac:dyDescent="0.25">
      <c r="B45" s="23" t="s">
        <v>72</v>
      </c>
      <c r="C45" s="49">
        <f>AVERAGE('22.08 BUSITEMA-TORORO'!C45,'23.08 TORORO-BUSITEMA'!C45,'25.08 TORORO-BUSITEMA'!C45,'26.08 TORORO-BUSITEMA'!C45,'24.08 TORORO-BUSITEMA-24h'!C45,'27.08 BUSITEMA-TORORO-24h'!C45,'28.08 TORORO-BUSITEMA'!C45)</f>
        <v>3.5714285714285716</v>
      </c>
      <c r="D45" s="49">
        <f>AVERAGE('22.08 BUSITEMA-TORORO'!D45,'23.08 TORORO-BUSITEMA'!D45,'25.08 TORORO-BUSITEMA'!D45,'26.08 TORORO-BUSITEMA'!D45,'24.08 TORORO-BUSITEMA-24h'!D45,'27.08 BUSITEMA-TORORO-24h'!D45,'28.08 TORORO-BUSITEMA'!D45)</f>
        <v>3.2857142857142856</v>
      </c>
      <c r="E45" s="49">
        <f>AVERAGE('22.08 BUSITEMA-TORORO'!E45,'23.08 TORORO-BUSITEMA'!E45,'25.08 TORORO-BUSITEMA'!E45,'26.08 TORORO-BUSITEMA'!E45,'24.08 TORORO-BUSITEMA-24h'!E45,'27.08 BUSITEMA-TORORO-24h'!E45,'28.08 TORORO-BUSITEMA'!E45)</f>
        <v>0.42857142857142855</v>
      </c>
      <c r="F45" s="49">
        <f>AVERAGE('22.08 BUSITEMA-TORORO'!F45,'23.08 TORORO-BUSITEMA'!F45,'25.08 TORORO-BUSITEMA'!F45,'26.08 TORORO-BUSITEMA'!F45,'24.08 TORORO-BUSITEMA-24h'!F45,'27.08 BUSITEMA-TORORO-24h'!F45,'28.08 TORORO-BUSITEMA'!F45)</f>
        <v>4.5714285714285712</v>
      </c>
      <c r="G45" s="49">
        <f>AVERAGE('22.08 BUSITEMA-TORORO'!G45,'23.08 TORORO-BUSITEMA'!G45,'25.08 TORORO-BUSITEMA'!G45,'26.08 TORORO-BUSITEMA'!G45,'24.08 TORORO-BUSITEMA-24h'!G45,'27.08 BUSITEMA-TORORO-24h'!G45,'28.08 TORORO-BUSITEMA'!G45)</f>
        <v>0.5714285714285714</v>
      </c>
      <c r="H45" s="49">
        <f>AVERAGE('22.08 BUSITEMA-TORORO'!H45,'23.08 TORORO-BUSITEMA'!H45,'25.08 TORORO-BUSITEMA'!H45,'26.08 TORORO-BUSITEMA'!H45,'24.08 TORORO-BUSITEMA-24h'!H45,'27.08 BUSITEMA-TORORO-24h'!H45,'28.08 TORORO-BUSITEMA'!H45)</f>
        <v>0</v>
      </c>
      <c r="I45" s="49">
        <f>AVERAGE('22.08 BUSITEMA-TORORO'!I45,'23.08 TORORO-BUSITEMA'!I45,'25.08 TORORO-BUSITEMA'!I45,'26.08 TORORO-BUSITEMA'!I45,'24.08 TORORO-BUSITEMA-24h'!I45,'27.08 BUSITEMA-TORORO-24h'!I45,'28.08 TORORO-BUSITEMA'!I45)</f>
        <v>1</v>
      </c>
      <c r="J45" s="49">
        <f>AVERAGE('22.08 BUSITEMA-TORORO'!J45,'23.08 TORORO-BUSITEMA'!J45,'25.08 TORORO-BUSITEMA'!J45,'26.08 TORORO-BUSITEMA'!J45,'24.08 TORORO-BUSITEMA-24h'!J45,'27.08 BUSITEMA-TORORO-24h'!J45,'28.08 TORORO-BUSITEMA'!J45)</f>
        <v>2</v>
      </c>
      <c r="K45" s="49">
        <f>AVERAGE('22.08 BUSITEMA-TORORO'!K45,'23.08 TORORO-BUSITEMA'!K45,'25.08 TORORO-BUSITEMA'!K45,'26.08 TORORO-BUSITEMA'!K45,'24.08 TORORO-BUSITEMA-24h'!K45,'27.08 BUSITEMA-TORORO-24h'!K45,'28.08 TORORO-BUSITEMA'!K45)</f>
        <v>0.7142857142857143</v>
      </c>
      <c r="L45" s="49">
        <f>AVERAGE('22.08 BUSITEMA-TORORO'!L45,'23.08 TORORO-BUSITEMA'!L45,'25.08 TORORO-BUSITEMA'!L45,'26.08 TORORO-BUSITEMA'!L45,'24.08 TORORO-BUSITEMA-24h'!L45,'27.08 BUSITEMA-TORORO-24h'!L45,'28.08 TORORO-BUSITEMA'!L45)</f>
        <v>12.857142857142858</v>
      </c>
      <c r="M45" s="49">
        <f>AVERAGE('22.08 BUSITEMA-TORORO'!M45,'23.08 TORORO-BUSITEMA'!M45,'25.08 TORORO-BUSITEMA'!M45,'26.08 TORORO-BUSITEMA'!M45,'24.08 TORORO-BUSITEMA-24h'!M45,'27.08 BUSITEMA-TORORO-24h'!M45,'28.08 TORORO-BUSITEMA'!M45)</f>
        <v>3.4285714285714284</v>
      </c>
      <c r="N45" s="49">
        <f>AVERAGE('22.08 BUSITEMA-TORORO'!N45,'23.08 TORORO-BUSITEMA'!N45,'25.08 TORORO-BUSITEMA'!N45,'26.08 TORORO-BUSITEMA'!N45,'24.08 TORORO-BUSITEMA-24h'!N45,'27.08 BUSITEMA-TORORO-24h'!N45,'28.08 TORORO-BUSITEMA'!N45)</f>
        <v>0</v>
      </c>
      <c r="O45" s="15">
        <f t="shared" si="0"/>
        <v>29</v>
      </c>
      <c r="P45" s="15">
        <f t="shared" si="1"/>
        <v>32.428571428571431</v>
      </c>
    </row>
    <row r="46" spans="2:32" ht="23.1" customHeight="1" x14ac:dyDescent="0.25">
      <c r="B46" s="24" t="s">
        <v>73</v>
      </c>
      <c r="C46" s="49">
        <f>AVERAGE('22.08 BUSITEMA-TORORO'!C46,'23.08 TORORO-BUSITEMA'!C46,'25.08 TORORO-BUSITEMA'!C46,'26.08 TORORO-BUSITEMA'!C46,'24.08 TORORO-BUSITEMA-24h'!C46,'27.08 BUSITEMA-TORORO-24h'!C46,'28.08 TORORO-BUSITEMA'!C46)</f>
        <v>3.4285714285714284</v>
      </c>
      <c r="D46" s="49">
        <f>AVERAGE('22.08 BUSITEMA-TORORO'!D46,'23.08 TORORO-BUSITEMA'!D46,'25.08 TORORO-BUSITEMA'!D46,'26.08 TORORO-BUSITEMA'!D46,'24.08 TORORO-BUSITEMA-24h'!D46,'27.08 BUSITEMA-TORORO-24h'!D46,'28.08 TORORO-BUSITEMA'!D46)</f>
        <v>2.7142857142857144</v>
      </c>
      <c r="E46" s="49">
        <f>AVERAGE('22.08 BUSITEMA-TORORO'!E46,'23.08 TORORO-BUSITEMA'!E46,'25.08 TORORO-BUSITEMA'!E46,'26.08 TORORO-BUSITEMA'!E46,'24.08 TORORO-BUSITEMA-24h'!E46,'27.08 BUSITEMA-TORORO-24h'!E46,'28.08 TORORO-BUSITEMA'!E46)</f>
        <v>1.5714285714285714</v>
      </c>
      <c r="F46" s="49">
        <f>AVERAGE('22.08 BUSITEMA-TORORO'!F46,'23.08 TORORO-BUSITEMA'!F46,'25.08 TORORO-BUSITEMA'!F46,'26.08 TORORO-BUSITEMA'!F46,'24.08 TORORO-BUSITEMA-24h'!F46,'27.08 BUSITEMA-TORORO-24h'!F46,'28.08 TORORO-BUSITEMA'!F46)</f>
        <v>5.1428571428571432</v>
      </c>
      <c r="G46" s="49">
        <f>AVERAGE('22.08 BUSITEMA-TORORO'!G46,'23.08 TORORO-BUSITEMA'!G46,'25.08 TORORO-BUSITEMA'!G46,'26.08 TORORO-BUSITEMA'!G46,'24.08 TORORO-BUSITEMA-24h'!G46,'27.08 BUSITEMA-TORORO-24h'!G46,'28.08 TORORO-BUSITEMA'!G46)</f>
        <v>0</v>
      </c>
      <c r="H46" s="49">
        <f>AVERAGE('22.08 BUSITEMA-TORORO'!H46,'23.08 TORORO-BUSITEMA'!H46,'25.08 TORORO-BUSITEMA'!H46,'26.08 TORORO-BUSITEMA'!H46,'24.08 TORORO-BUSITEMA-24h'!H46,'27.08 BUSITEMA-TORORO-24h'!H46,'28.08 TORORO-BUSITEMA'!H46)</f>
        <v>0</v>
      </c>
      <c r="I46" s="49">
        <f>AVERAGE('22.08 BUSITEMA-TORORO'!I46,'23.08 TORORO-BUSITEMA'!I46,'25.08 TORORO-BUSITEMA'!I46,'26.08 TORORO-BUSITEMA'!I46,'24.08 TORORO-BUSITEMA-24h'!I46,'27.08 BUSITEMA-TORORO-24h'!I46,'28.08 TORORO-BUSITEMA'!I46)</f>
        <v>0.7142857142857143</v>
      </c>
      <c r="J46" s="49">
        <f>AVERAGE('22.08 BUSITEMA-TORORO'!J46,'23.08 TORORO-BUSITEMA'!J46,'25.08 TORORO-BUSITEMA'!J46,'26.08 TORORO-BUSITEMA'!J46,'24.08 TORORO-BUSITEMA-24h'!J46,'27.08 BUSITEMA-TORORO-24h'!J46,'28.08 TORORO-BUSITEMA'!J46)</f>
        <v>1.4285714285714286</v>
      </c>
      <c r="K46" s="49">
        <f>AVERAGE('22.08 BUSITEMA-TORORO'!K46,'23.08 TORORO-BUSITEMA'!K46,'25.08 TORORO-BUSITEMA'!K46,'26.08 TORORO-BUSITEMA'!K46,'24.08 TORORO-BUSITEMA-24h'!K46,'27.08 BUSITEMA-TORORO-24h'!K46,'28.08 TORORO-BUSITEMA'!K46)</f>
        <v>0.14285714285714285</v>
      </c>
      <c r="L46" s="49">
        <f>AVERAGE('22.08 BUSITEMA-TORORO'!L46,'23.08 TORORO-BUSITEMA'!L46,'25.08 TORORO-BUSITEMA'!L46,'26.08 TORORO-BUSITEMA'!L46,'24.08 TORORO-BUSITEMA-24h'!L46,'27.08 BUSITEMA-TORORO-24h'!L46,'28.08 TORORO-BUSITEMA'!L46)</f>
        <v>11.428571428571429</v>
      </c>
      <c r="M46" s="49">
        <f>AVERAGE('22.08 BUSITEMA-TORORO'!M46,'23.08 TORORO-BUSITEMA'!M46,'25.08 TORORO-BUSITEMA'!M46,'26.08 TORORO-BUSITEMA'!M46,'24.08 TORORO-BUSITEMA-24h'!M46,'27.08 BUSITEMA-TORORO-24h'!M46,'28.08 TORORO-BUSITEMA'!M46)</f>
        <v>3.5714285714285716</v>
      </c>
      <c r="N46" s="49">
        <f>AVERAGE('22.08 BUSITEMA-TORORO'!N46,'23.08 TORORO-BUSITEMA'!N46,'25.08 TORORO-BUSITEMA'!N46,'26.08 TORORO-BUSITEMA'!N46,'24.08 TORORO-BUSITEMA-24h'!N46,'27.08 BUSITEMA-TORORO-24h'!N46,'28.08 TORORO-BUSITEMA'!N46)</f>
        <v>0</v>
      </c>
      <c r="O46" s="15">
        <f t="shared" si="0"/>
        <v>26.571428571428569</v>
      </c>
      <c r="P46" s="15">
        <f t="shared" si="1"/>
        <v>30.142857142857142</v>
      </c>
      <c r="R46" s="8"/>
      <c r="T46"/>
    </row>
    <row r="47" spans="2:32" ht="23.1" customHeight="1" x14ac:dyDescent="0.25">
      <c r="B47" s="24" t="s">
        <v>74</v>
      </c>
      <c r="C47" s="49">
        <f>AVERAGE('22.08 BUSITEMA-TORORO'!C47,'23.08 TORORO-BUSITEMA'!C47,'25.08 TORORO-BUSITEMA'!C47,'26.08 TORORO-BUSITEMA'!C47,'24.08 TORORO-BUSITEMA-24h'!C47,'27.08 BUSITEMA-TORORO-24h'!C47,'28.08 TORORO-BUSITEMA'!C47)</f>
        <v>1.7142857142857142</v>
      </c>
      <c r="D47" s="49">
        <f>AVERAGE('22.08 BUSITEMA-TORORO'!D47,'23.08 TORORO-BUSITEMA'!D47,'25.08 TORORO-BUSITEMA'!D47,'26.08 TORORO-BUSITEMA'!D47,'24.08 TORORO-BUSITEMA-24h'!D47,'27.08 BUSITEMA-TORORO-24h'!D47,'28.08 TORORO-BUSITEMA'!D47)</f>
        <v>2</v>
      </c>
      <c r="E47" s="49">
        <f>AVERAGE('22.08 BUSITEMA-TORORO'!E47,'23.08 TORORO-BUSITEMA'!E47,'25.08 TORORO-BUSITEMA'!E47,'26.08 TORORO-BUSITEMA'!E47,'24.08 TORORO-BUSITEMA-24h'!E47,'27.08 BUSITEMA-TORORO-24h'!E47,'28.08 TORORO-BUSITEMA'!E47)</f>
        <v>0.7142857142857143</v>
      </c>
      <c r="F47" s="49">
        <f>AVERAGE('22.08 BUSITEMA-TORORO'!F47,'23.08 TORORO-BUSITEMA'!F47,'25.08 TORORO-BUSITEMA'!F47,'26.08 TORORO-BUSITEMA'!F47,'24.08 TORORO-BUSITEMA-24h'!F47,'27.08 BUSITEMA-TORORO-24h'!F47,'28.08 TORORO-BUSITEMA'!F47)</f>
        <v>5.1428571428571432</v>
      </c>
      <c r="G47" s="49">
        <f>AVERAGE('22.08 BUSITEMA-TORORO'!G47,'23.08 TORORO-BUSITEMA'!G47,'25.08 TORORO-BUSITEMA'!G47,'26.08 TORORO-BUSITEMA'!G47,'24.08 TORORO-BUSITEMA-24h'!G47,'27.08 BUSITEMA-TORORO-24h'!G47,'28.08 TORORO-BUSITEMA'!G47)</f>
        <v>0</v>
      </c>
      <c r="H47" s="49">
        <f>AVERAGE('22.08 BUSITEMA-TORORO'!H47,'23.08 TORORO-BUSITEMA'!H47,'25.08 TORORO-BUSITEMA'!H47,'26.08 TORORO-BUSITEMA'!H47,'24.08 TORORO-BUSITEMA-24h'!H47,'27.08 BUSITEMA-TORORO-24h'!H47,'28.08 TORORO-BUSITEMA'!H47)</f>
        <v>0.14285714285714285</v>
      </c>
      <c r="I47" s="49">
        <f>AVERAGE('22.08 BUSITEMA-TORORO'!I47,'23.08 TORORO-BUSITEMA'!I47,'25.08 TORORO-BUSITEMA'!I47,'26.08 TORORO-BUSITEMA'!I47,'24.08 TORORO-BUSITEMA-24h'!I47,'27.08 BUSITEMA-TORORO-24h'!I47,'28.08 TORORO-BUSITEMA'!I47)</f>
        <v>1.7142857142857142</v>
      </c>
      <c r="J47" s="49">
        <f>AVERAGE('22.08 BUSITEMA-TORORO'!J47,'23.08 TORORO-BUSITEMA'!J47,'25.08 TORORO-BUSITEMA'!J47,'26.08 TORORO-BUSITEMA'!J47,'24.08 TORORO-BUSITEMA-24h'!J47,'27.08 BUSITEMA-TORORO-24h'!J47,'28.08 TORORO-BUSITEMA'!J47)</f>
        <v>1.2857142857142858</v>
      </c>
      <c r="K47" s="49">
        <f>AVERAGE('22.08 BUSITEMA-TORORO'!K47,'23.08 TORORO-BUSITEMA'!K47,'25.08 TORORO-BUSITEMA'!K47,'26.08 TORORO-BUSITEMA'!K47,'24.08 TORORO-BUSITEMA-24h'!K47,'27.08 BUSITEMA-TORORO-24h'!K47,'28.08 TORORO-BUSITEMA'!K47)</f>
        <v>0.42857142857142855</v>
      </c>
      <c r="L47" s="49">
        <f>AVERAGE('22.08 BUSITEMA-TORORO'!L47,'23.08 TORORO-BUSITEMA'!L47,'25.08 TORORO-BUSITEMA'!L47,'26.08 TORORO-BUSITEMA'!L47,'24.08 TORORO-BUSITEMA-24h'!L47,'27.08 BUSITEMA-TORORO-24h'!L47,'28.08 TORORO-BUSITEMA'!L47)</f>
        <v>8.7142857142857135</v>
      </c>
      <c r="M47" s="49">
        <f>AVERAGE('22.08 BUSITEMA-TORORO'!M47,'23.08 TORORO-BUSITEMA'!M47,'25.08 TORORO-BUSITEMA'!M47,'26.08 TORORO-BUSITEMA'!M47,'24.08 TORORO-BUSITEMA-24h'!M47,'27.08 BUSITEMA-TORORO-24h'!M47,'28.08 TORORO-BUSITEMA'!M47)</f>
        <v>4.4285714285714288</v>
      </c>
      <c r="N47" s="49">
        <f>AVERAGE('22.08 BUSITEMA-TORORO'!N47,'23.08 TORORO-BUSITEMA'!N47,'25.08 TORORO-BUSITEMA'!N47,'26.08 TORORO-BUSITEMA'!N47,'24.08 TORORO-BUSITEMA-24h'!N47,'27.08 BUSITEMA-TORORO-24h'!N47,'28.08 TORORO-BUSITEMA'!N47)</f>
        <v>0</v>
      </c>
      <c r="O47" s="15">
        <f t="shared" si="0"/>
        <v>21.857142857142858</v>
      </c>
      <c r="P47" s="15">
        <f t="shared" si="1"/>
        <v>26.285714285714285</v>
      </c>
      <c r="R47" s="8"/>
      <c r="T47"/>
    </row>
    <row r="48" spans="2:32" ht="23.1" customHeight="1" x14ac:dyDescent="0.25">
      <c r="B48" s="24" t="s">
        <v>75</v>
      </c>
      <c r="C48" s="49">
        <f>AVERAGE('22.08 BUSITEMA-TORORO'!C48,'23.08 TORORO-BUSITEMA'!C48,'25.08 TORORO-BUSITEMA'!C48,'26.08 TORORO-BUSITEMA'!C48,'24.08 TORORO-BUSITEMA-24h'!C48,'27.08 BUSITEMA-TORORO-24h'!C48,'28.08 TORORO-BUSITEMA'!C48)</f>
        <v>4.1428571428571432</v>
      </c>
      <c r="D48" s="49">
        <f>AVERAGE('22.08 BUSITEMA-TORORO'!D48,'23.08 TORORO-BUSITEMA'!D48,'25.08 TORORO-BUSITEMA'!D48,'26.08 TORORO-BUSITEMA'!D48,'24.08 TORORO-BUSITEMA-24h'!D48,'27.08 BUSITEMA-TORORO-24h'!D48,'28.08 TORORO-BUSITEMA'!D48)</f>
        <v>3.2857142857142856</v>
      </c>
      <c r="E48" s="49">
        <f>AVERAGE('22.08 BUSITEMA-TORORO'!E48,'23.08 TORORO-BUSITEMA'!E48,'25.08 TORORO-BUSITEMA'!E48,'26.08 TORORO-BUSITEMA'!E48,'24.08 TORORO-BUSITEMA-24h'!E48,'27.08 BUSITEMA-TORORO-24h'!E48,'28.08 TORORO-BUSITEMA'!E48)</f>
        <v>0.42857142857142855</v>
      </c>
      <c r="F48" s="49">
        <f>AVERAGE('22.08 BUSITEMA-TORORO'!F48,'23.08 TORORO-BUSITEMA'!F48,'25.08 TORORO-BUSITEMA'!F48,'26.08 TORORO-BUSITEMA'!F48,'24.08 TORORO-BUSITEMA-24h'!F48,'27.08 BUSITEMA-TORORO-24h'!F48,'28.08 TORORO-BUSITEMA'!F48)</f>
        <v>4</v>
      </c>
      <c r="G48" s="49">
        <f>AVERAGE('22.08 BUSITEMA-TORORO'!G48,'23.08 TORORO-BUSITEMA'!G48,'25.08 TORORO-BUSITEMA'!G48,'26.08 TORORO-BUSITEMA'!G48,'24.08 TORORO-BUSITEMA-24h'!G48,'27.08 BUSITEMA-TORORO-24h'!G48,'28.08 TORORO-BUSITEMA'!G48)</f>
        <v>0.14285714285714285</v>
      </c>
      <c r="H48" s="49">
        <f>AVERAGE('22.08 BUSITEMA-TORORO'!H48,'23.08 TORORO-BUSITEMA'!H48,'25.08 TORORO-BUSITEMA'!H48,'26.08 TORORO-BUSITEMA'!H48,'24.08 TORORO-BUSITEMA-24h'!H48,'27.08 BUSITEMA-TORORO-24h'!H48,'28.08 TORORO-BUSITEMA'!H48)</f>
        <v>0.5714285714285714</v>
      </c>
      <c r="I48" s="49">
        <f>AVERAGE('22.08 BUSITEMA-TORORO'!I48,'23.08 TORORO-BUSITEMA'!I48,'25.08 TORORO-BUSITEMA'!I48,'26.08 TORORO-BUSITEMA'!I48,'24.08 TORORO-BUSITEMA-24h'!I48,'27.08 BUSITEMA-TORORO-24h'!I48,'28.08 TORORO-BUSITEMA'!I48)</f>
        <v>1.1428571428571428</v>
      </c>
      <c r="J48" s="49">
        <f>AVERAGE('22.08 BUSITEMA-TORORO'!J48,'23.08 TORORO-BUSITEMA'!J48,'25.08 TORORO-BUSITEMA'!J48,'26.08 TORORO-BUSITEMA'!J48,'24.08 TORORO-BUSITEMA-24h'!J48,'27.08 BUSITEMA-TORORO-24h'!J48,'28.08 TORORO-BUSITEMA'!J48)</f>
        <v>2</v>
      </c>
      <c r="K48" s="49">
        <f>AVERAGE('22.08 BUSITEMA-TORORO'!K48,'23.08 TORORO-BUSITEMA'!K48,'25.08 TORORO-BUSITEMA'!K48,'26.08 TORORO-BUSITEMA'!K48,'24.08 TORORO-BUSITEMA-24h'!K48,'27.08 BUSITEMA-TORORO-24h'!K48,'28.08 TORORO-BUSITEMA'!K48)</f>
        <v>0</v>
      </c>
      <c r="L48" s="49">
        <f>AVERAGE('22.08 BUSITEMA-TORORO'!L48,'23.08 TORORO-BUSITEMA'!L48,'25.08 TORORO-BUSITEMA'!L48,'26.08 TORORO-BUSITEMA'!L48,'24.08 TORORO-BUSITEMA-24h'!L48,'27.08 BUSITEMA-TORORO-24h'!L48,'28.08 TORORO-BUSITEMA'!L48)</f>
        <v>7.1428571428571432</v>
      </c>
      <c r="M48" s="49">
        <f>AVERAGE('22.08 BUSITEMA-TORORO'!M48,'23.08 TORORO-BUSITEMA'!M48,'25.08 TORORO-BUSITEMA'!M48,'26.08 TORORO-BUSITEMA'!M48,'24.08 TORORO-BUSITEMA-24h'!M48,'27.08 BUSITEMA-TORORO-24h'!M48,'28.08 TORORO-BUSITEMA'!M48)</f>
        <v>3.5714285714285716</v>
      </c>
      <c r="N48" s="49">
        <f>AVERAGE('22.08 BUSITEMA-TORORO'!N48,'23.08 TORORO-BUSITEMA'!N48,'25.08 TORORO-BUSITEMA'!N48,'26.08 TORORO-BUSITEMA'!N48,'24.08 TORORO-BUSITEMA-24h'!N48,'27.08 BUSITEMA-TORORO-24h'!N48,'28.08 TORORO-BUSITEMA'!N48)</f>
        <v>0</v>
      </c>
      <c r="O48" s="15">
        <f t="shared" si="0"/>
        <v>22.857142857142858</v>
      </c>
      <c r="P48" s="15">
        <f t="shared" si="1"/>
        <v>26.428571428571431</v>
      </c>
      <c r="R48" s="8"/>
      <c r="T48"/>
    </row>
    <row r="49" spans="2:20" ht="23.1" customHeight="1" x14ac:dyDescent="0.25">
      <c r="B49" s="23" t="s">
        <v>76</v>
      </c>
      <c r="C49" s="49">
        <f>AVERAGE('22.08 BUSITEMA-TORORO'!C49,'23.08 TORORO-BUSITEMA'!C49,'25.08 TORORO-BUSITEMA'!C49,'26.08 TORORO-BUSITEMA'!C49,'24.08 TORORO-BUSITEMA-24h'!C49,'27.08 BUSITEMA-TORORO-24h'!C49,'28.08 TORORO-BUSITEMA'!C49)</f>
        <v>1.7142857142857142</v>
      </c>
      <c r="D49" s="49">
        <f>AVERAGE('22.08 BUSITEMA-TORORO'!D49,'23.08 TORORO-BUSITEMA'!D49,'25.08 TORORO-BUSITEMA'!D49,'26.08 TORORO-BUSITEMA'!D49,'24.08 TORORO-BUSITEMA-24h'!D49,'27.08 BUSITEMA-TORORO-24h'!D49,'28.08 TORORO-BUSITEMA'!D49)</f>
        <v>1.8571428571428572</v>
      </c>
      <c r="E49" s="49">
        <f>AVERAGE('22.08 BUSITEMA-TORORO'!E49,'23.08 TORORO-BUSITEMA'!E49,'25.08 TORORO-BUSITEMA'!E49,'26.08 TORORO-BUSITEMA'!E49,'24.08 TORORO-BUSITEMA-24h'!E49,'27.08 BUSITEMA-TORORO-24h'!E49,'28.08 TORORO-BUSITEMA'!E49)</f>
        <v>0.8571428571428571</v>
      </c>
      <c r="F49" s="49">
        <f>AVERAGE('22.08 BUSITEMA-TORORO'!F49,'23.08 TORORO-BUSITEMA'!F49,'25.08 TORORO-BUSITEMA'!F49,'26.08 TORORO-BUSITEMA'!F49,'24.08 TORORO-BUSITEMA-24h'!F49,'27.08 BUSITEMA-TORORO-24h'!F49,'28.08 TORORO-BUSITEMA'!F49)</f>
        <v>3.4285714285714284</v>
      </c>
      <c r="G49" s="49">
        <f>AVERAGE('22.08 BUSITEMA-TORORO'!G49,'23.08 TORORO-BUSITEMA'!G49,'25.08 TORORO-BUSITEMA'!G49,'26.08 TORORO-BUSITEMA'!G49,'24.08 TORORO-BUSITEMA-24h'!G49,'27.08 BUSITEMA-TORORO-24h'!G49,'28.08 TORORO-BUSITEMA'!G49)</f>
        <v>0.14285714285714285</v>
      </c>
      <c r="H49" s="49">
        <f>AVERAGE('22.08 BUSITEMA-TORORO'!H49,'23.08 TORORO-BUSITEMA'!H49,'25.08 TORORO-BUSITEMA'!H49,'26.08 TORORO-BUSITEMA'!H49,'24.08 TORORO-BUSITEMA-24h'!H49,'27.08 BUSITEMA-TORORO-24h'!H49,'28.08 TORORO-BUSITEMA'!H49)</f>
        <v>0</v>
      </c>
      <c r="I49" s="49">
        <f>AVERAGE('22.08 BUSITEMA-TORORO'!I49,'23.08 TORORO-BUSITEMA'!I49,'25.08 TORORO-BUSITEMA'!I49,'26.08 TORORO-BUSITEMA'!I49,'24.08 TORORO-BUSITEMA-24h'!I49,'27.08 BUSITEMA-TORORO-24h'!I49,'28.08 TORORO-BUSITEMA'!I49)</f>
        <v>1.2857142857142858</v>
      </c>
      <c r="J49" s="49">
        <f>AVERAGE('22.08 BUSITEMA-TORORO'!J49,'23.08 TORORO-BUSITEMA'!J49,'25.08 TORORO-BUSITEMA'!J49,'26.08 TORORO-BUSITEMA'!J49,'24.08 TORORO-BUSITEMA-24h'!J49,'27.08 BUSITEMA-TORORO-24h'!J49,'28.08 TORORO-BUSITEMA'!J49)</f>
        <v>1.2857142857142858</v>
      </c>
      <c r="K49" s="49">
        <f>AVERAGE('22.08 BUSITEMA-TORORO'!K49,'23.08 TORORO-BUSITEMA'!K49,'25.08 TORORO-BUSITEMA'!K49,'26.08 TORORO-BUSITEMA'!K49,'24.08 TORORO-BUSITEMA-24h'!K49,'27.08 BUSITEMA-TORORO-24h'!K49,'28.08 TORORO-BUSITEMA'!K49)</f>
        <v>0.7142857142857143</v>
      </c>
      <c r="L49" s="49">
        <f>AVERAGE('22.08 BUSITEMA-TORORO'!L49,'23.08 TORORO-BUSITEMA'!L49,'25.08 TORORO-BUSITEMA'!L49,'26.08 TORORO-BUSITEMA'!L49,'24.08 TORORO-BUSITEMA-24h'!L49,'27.08 BUSITEMA-TORORO-24h'!L49,'28.08 TORORO-BUSITEMA'!L49)</f>
        <v>9.8571428571428577</v>
      </c>
      <c r="M49" s="49">
        <f>AVERAGE('22.08 BUSITEMA-TORORO'!M49,'23.08 TORORO-BUSITEMA'!M49,'25.08 TORORO-BUSITEMA'!M49,'26.08 TORORO-BUSITEMA'!M49,'24.08 TORORO-BUSITEMA-24h'!M49,'27.08 BUSITEMA-TORORO-24h'!M49,'28.08 TORORO-BUSITEMA'!M49)</f>
        <v>3.1428571428571428</v>
      </c>
      <c r="N49" s="49">
        <f>AVERAGE('22.08 BUSITEMA-TORORO'!N49,'23.08 TORORO-BUSITEMA'!N49,'25.08 TORORO-BUSITEMA'!N49,'26.08 TORORO-BUSITEMA'!N49,'24.08 TORORO-BUSITEMA-24h'!N49,'27.08 BUSITEMA-TORORO-24h'!N49,'28.08 TORORO-BUSITEMA'!N49)</f>
        <v>0</v>
      </c>
      <c r="O49" s="15">
        <f t="shared" si="0"/>
        <v>21.142857142857142</v>
      </c>
      <c r="P49" s="15">
        <f t="shared" si="1"/>
        <v>24.285714285714285</v>
      </c>
      <c r="R49" s="8"/>
      <c r="T49"/>
    </row>
    <row r="50" spans="2:20" ht="23.1" customHeight="1" x14ac:dyDescent="0.25">
      <c r="B50" s="24" t="s">
        <v>77</v>
      </c>
      <c r="C50" s="49">
        <f>AVERAGE('22.08 BUSITEMA-TORORO'!C50,'23.08 TORORO-BUSITEMA'!C50,'25.08 TORORO-BUSITEMA'!C50,'26.08 TORORO-BUSITEMA'!C50,'24.08 TORORO-BUSITEMA-24h'!C50,'27.08 BUSITEMA-TORORO-24h'!C50,'28.08 TORORO-BUSITEMA'!C50)</f>
        <v>4.1428571428571432</v>
      </c>
      <c r="D50" s="49">
        <f>AVERAGE('22.08 BUSITEMA-TORORO'!D50,'23.08 TORORO-BUSITEMA'!D50,'25.08 TORORO-BUSITEMA'!D50,'26.08 TORORO-BUSITEMA'!D50,'24.08 TORORO-BUSITEMA-24h'!D50,'27.08 BUSITEMA-TORORO-24h'!D50,'28.08 TORORO-BUSITEMA'!D50)</f>
        <v>4.4285714285714288</v>
      </c>
      <c r="E50" s="49">
        <f>AVERAGE('22.08 BUSITEMA-TORORO'!E50,'23.08 TORORO-BUSITEMA'!E50,'25.08 TORORO-BUSITEMA'!E50,'26.08 TORORO-BUSITEMA'!E50,'24.08 TORORO-BUSITEMA-24h'!E50,'27.08 BUSITEMA-TORORO-24h'!E50,'28.08 TORORO-BUSITEMA'!E50)</f>
        <v>1.4285714285714286</v>
      </c>
      <c r="F50" s="49">
        <f>AVERAGE('22.08 BUSITEMA-TORORO'!F50,'23.08 TORORO-BUSITEMA'!F50,'25.08 TORORO-BUSITEMA'!F50,'26.08 TORORO-BUSITEMA'!F50,'24.08 TORORO-BUSITEMA-24h'!F50,'27.08 BUSITEMA-TORORO-24h'!F50,'28.08 TORORO-BUSITEMA'!F50)</f>
        <v>5.1428571428571432</v>
      </c>
      <c r="G50" s="49">
        <f>AVERAGE('22.08 BUSITEMA-TORORO'!G50,'23.08 TORORO-BUSITEMA'!G50,'25.08 TORORO-BUSITEMA'!G50,'26.08 TORORO-BUSITEMA'!G50,'24.08 TORORO-BUSITEMA-24h'!G50,'27.08 BUSITEMA-TORORO-24h'!G50,'28.08 TORORO-BUSITEMA'!G50)</f>
        <v>0</v>
      </c>
      <c r="H50" s="49">
        <f>AVERAGE('22.08 BUSITEMA-TORORO'!H50,'23.08 TORORO-BUSITEMA'!H50,'25.08 TORORO-BUSITEMA'!H50,'26.08 TORORO-BUSITEMA'!H50,'24.08 TORORO-BUSITEMA-24h'!H50,'27.08 BUSITEMA-TORORO-24h'!H50,'28.08 TORORO-BUSITEMA'!H50)</f>
        <v>0</v>
      </c>
      <c r="I50" s="49">
        <f>AVERAGE('22.08 BUSITEMA-TORORO'!I50,'23.08 TORORO-BUSITEMA'!I50,'25.08 TORORO-BUSITEMA'!I50,'26.08 TORORO-BUSITEMA'!I50,'24.08 TORORO-BUSITEMA-24h'!I50,'27.08 BUSITEMA-TORORO-24h'!I50,'28.08 TORORO-BUSITEMA'!I50)</f>
        <v>1.5714285714285714</v>
      </c>
      <c r="J50" s="49">
        <f>AVERAGE('22.08 BUSITEMA-TORORO'!J50,'23.08 TORORO-BUSITEMA'!J50,'25.08 TORORO-BUSITEMA'!J50,'26.08 TORORO-BUSITEMA'!J50,'24.08 TORORO-BUSITEMA-24h'!J50,'27.08 BUSITEMA-TORORO-24h'!J50,'28.08 TORORO-BUSITEMA'!J50)</f>
        <v>0.5714285714285714</v>
      </c>
      <c r="K50" s="49">
        <f>AVERAGE('22.08 BUSITEMA-TORORO'!K50,'23.08 TORORO-BUSITEMA'!K50,'25.08 TORORO-BUSITEMA'!K50,'26.08 TORORO-BUSITEMA'!K50,'24.08 TORORO-BUSITEMA-24h'!K50,'27.08 BUSITEMA-TORORO-24h'!K50,'28.08 TORORO-BUSITEMA'!K50)</f>
        <v>0.8571428571428571</v>
      </c>
      <c r="L50" s="49">
        <f>AVERAGE('22.08 BUSITEMA-TORORO'!L50,'23.08 TORORO-BUSITEMA'!L50,'25.08 TORORO-BUSITEMA'!L50,'26.08 TORORO-BUSITEMA'!L50,'24.08 TORORO-BUSITEMA-24h'!L50,'27.08 BUSITEMA-TORORO-24h'!L50,'28.08 TORORO-BUSITEMA'!L50)</f>
        <v>10.285714285714286</v>
      </c>
      <c r="M50" s="49">
        <f>AVERAGE('22.08 BUSITEMA-TORORO'!M50,'23.08 TORORO-BUSITEMA'!M50,'25.08 TORORO-BUSITEMA'!M50,'26.08 TORORO-BUSITEMA'!M50,'24.08 TORORO-BUSITEMA-24h'!M50,'27.08 BUSITEMA-TORORO-24h'!M50,'28.08 TORORO-BUSITEMA'!M50)</f>
        <v>3.2857142857142856</v>
      </c>
      <c r="N50" s="49">
        <f>AVERAGE('22.08 BUSITEMA-TORORO'!N50,'23.08 TORORO-BUSITEMA'!N50,'25.08 TORORO-BUSITEMA'!N50,'26.08 TORORO-BUSITEMA'!N50,'24.08 TORORO-BUSITEMA-24h'!N50,'27.08 BUSITEMA-TORORO-24h'!N50,'28.08 TORORO-BUSITEMA'!N50)</f>
        <v>0</v>
      </c>
      <c r="O50" s="15">
        <f t="shared" si="0"/>
        <v>28.428571428571438</v>
      </c>
      <c r="P50" s="15">
        <f t="shared" si="1"/>
        <v>31.714285714285722</v>
      </c>
      <c r="R50" s="8"/>
      <c r="T50"/>
    </row>
    <row r="51" spans="2:20" ht="23.1" customHeight="1" x14ac:dyDescent="0.25">
      <c r="B51" s="24" t="s">
        <v>78</v>
      </c>
      <c r="C51" s="49">
        <f>AVERAGE('22.08 BUSITEMA-TORORO'!C51,'23.08 TORORO-BUSITEMA'!C51,'25.08 TORORO-BUSITEMA'!C51,'26.08 TORORO-BUSITEMA'!C51,'24.08 TORORO-BUSITEMA-24h'!C51,'27.08 BUSITEMA-TORORO-24h'!C51,'28.08 TORORO-BUSITEMA'!C51)</f>
        <v>2.1428571428571428</v>
      </c>
      <c r="D51" s="49">
        <f>AVERAGE('22.08 BUSITEMA-TORORO'!D51,'23.08 TORORO-BUSITEMA'!D51,'25.08 TORORO-BUSITEMA'!D51,'26.08 TORORO-BUSITEMA'!D51,'24.08 TORORO-BUSITEMA-24h'!D51,'27.08 BUSITEMA-TORORO-24h'!D51,'28.08 TORORO-BUSITEMA'!D51)</f>
        <v>2.4285714285714284</v>
      </c>
      <c r="E51" s="49">
        <f>AVERAGE('22.08 BUSITEMA-TORORO'!E51,'23.08 TORORO-BUSITEMA'!E51,'25.08 TORORO-BUSITEMA'!E51,'26.08 TORORO-BUSITEMA'!E51,'24.08 TORORO-BUSITEMA-24h'!E51,'27.08 BUSITEMA-TORORO-24h'!E51,'28.08 TORORO-BUSITEMA'!E51)</f>
        <v>1.5714285714285714</v>
      </c>
      <c r="F51" s="49">
        <f>AVERAGE('22.08 BUSITEMA-TORORO'!F51,'23.08 TORORO-BUSITEMA'!F51,'25.08 TORORO-BUSITEMA'!F51,'26.08 TORORO-BUSITEMA'!F51,'24.08 TORORO-BUSITEMA-24h'!F51,'27.08 BUSITEMA-TORORO-24h'!F51,'28.08 TORORO-BUSITEMA'!F51)</f>
        <v>3.7142857142857144</v>
      </c>
      <c r="G51" s="49">
        <f>AVERAGE('22.08 BUSITEMA-TORORO'!G51,'23.08 TORORO-BUSITEMA'!G51,'25.08 TORORO-BUSITEMA'!G51,'26.08 TORORO-BUSITEMA'!G51,'24.08 TORORO-BUSITEMA-24h'!G51,'27.08 BUSITEMA-TORORO-24h'!G51,'28.08 TORORO-BUSITEMA'!G51)</f>
        <v>0.14285714285714285</v>
      </c>
      <c r="H51" s="49">
        <f>AVERAGE('22.08 BUSITEMA-TORORO'!H51,'23.08 TORORO-BUSITEMA'!H51,'25.08 TORORO-BUSITEMA'!H51,'26.08 TORORO-BUSITEMA'!H51,'24.08 TORORO-BUSITEMA-24h'!H51,'27.08 BUSITEMA-TORORO-24h'!H51,'28.08 TORORO-BUSITEMA'!H51)</f>
        <v>0</v>
      </c>
      <c r="I51" s="49">
        <f>AVERAGE('22.08 BUSITEMA-TORORO'!I51,'23.08 TORORO-BUSITEMA'!I51,'25.08 TORORO-BUSITEMA'!I51,'26.08 TORORO-BUSITEMA'!I51,'24.08 TORORO-BUSITEMA-24h'!I51,'27.08 BUSITEMA-TORORO-24h'!I51,'28.08 TORORO-BUSITEMA'!I51)</f>
        <v>1.8571428571428572</v>
      </c>
      <c r="J51" s="49">
        <f>AVERAGE('22.08 BUSITEMA-TORORO'!J51,'23.08 TORORO-BUSITEMA'!J51,'25.08 TORORO-BUSITEMA'!J51,'26.08 TORORO-BUSITEMA'!J51,'24.08 TORORO-BUSITEMA-24h'!J51,'27.08 BUSITEMA-TORORO-24h'!J51,'28.08 TORORO-BUSITEMA'!J51)</f>
        <v>0.5714285714285714</v>
      </c>
      <c r="K51" s="49">
        <f>AVERAGE('22.08 BUSITEMA-TORORO'!K51,'23.08 TORORO-BUSITEMA'!K51,'25.08 TORORO-BUSITEMA'!K51,'26.08 TORORO-BUSITEMA'!K51,'24.08 TORORO-BUSITEMA-24h'!K51,'27.08 BUSITEMA-TORORO-24h'!K51,'28.08 TORORO-BUSITEMA'!K51)</f>
        <v>1.1428571428571428</v>
      </c>
      <c r="L51" s="49">
        <f>AVERAGE('22.08 BUSITEMA-TORORO'!L51,'23.08 TORORO-BUSITEMA'!L51,'25.08 TORORO-BUSITEMA'!L51,'26.08 TORORO-BUSITEMA'!L51,'24.08 TORORO-BUSITEMA-24h'!L51,'27.08 BUSITEMA-TORORO-24h'!L51,'28.08 TORORO-BUSITEMA'!L51)</f>
        <v>15.428571428571429</v>
      </c>
      <c r="M51" s="49">
        <f>AVERAGE('22.08 BUSITEMA-TORORO'!M51,'23.08 TORORO-BUSITEMA'!M51,'25.08 TORORO-BUSITEMA'!M51,'26.08 TORORO-BUSITEMA'!M51,'24.08 TORORO-BUSITEMA-24h'!M51,'27.08 BUSITEMA-TORORO-24h'!M51,'28.08 TORORO-BUSITEMA'!M51)</f>
        <v>5.8571428571428568</v>
      </c>
      <c r="N51" s="49">
        <f>AVERAGE('22.08 BUSITEMA-TORORO'!N51,'23.08 TORORO-BUSITEMA'!N51,'25.08 TORORO-BUSITEMA'!N51,'26.08 TORORO-BUSITEMA'!N51,'24.08 TORORO-BUSITEMA-24h'!N51,'27.08 BUSITEMA-TORORO-24h'!N51,'28.08 TORORO-BUSITEMA'!N51)</f>
        <v>0</v>
      </c>
      <c r="O51" s="15">
        <f t="shared" si="0"/>
        <v>29</v>
      </c>
      <c r="P51" s="15">
        <f t="shared" si="1"/>
        <v>34.857142857142854</v>
      </c>
      <c r="R51" s="8"/>
      <c r="T51"/>
    </row>
    <row r="52" spans="2:20" ht="23.1" customHeight="1" x14ac:dyDescent="0.25">
      <c r="B52" s="24" t="s">
        <v>79</v>
      </c>
      <c r="C52" s="49">
        <f>AVERAGE('22.08 BUSITEMA-TORORO'!C52,'23.08 TORORO-BUSITEMA'!C52,'25.08 TORORO-BUSITEMA'!C52,'26.08 TORORO-BUSITEMA'!C52,'24.08 TORORO-BUSITEMA-24h'!C52,'27.08 BUSITEMA-TORORO-24h'!C52,'28.08 TORORO-BUSITEMA'!C52)</f>
        <v>2.4285714285714284</v>
      </c>
      <c r="D52" s="49">
        <f>AVERAGE('22.08 BUSITEMA-TORORO'!D52,'23.08 TORORO-BUSITEMA'!D52,'25.08 TORORO-BUSITEMA'!D52,'26.08 TORORO-BUSITEMA'!D52,'24.08 TORORO-BUSITEMA-24h'!D52,'27.08 BUSITEMA-TORORO-24h'!D52,'28.08 TORORO-BUSITEMA'!D52)</f>
        <v>3.1428571428571428</v>
      </c>
      <c r="E52" s="49">
        <f>AVERAGE('22.08 BUSITEMA-TORORO'!E52,'23.08 TORORO-BUSITEMA'!E52,'25.08 TORORO-BUSITEMA'!E52,'26.08 TORORO-BUSITEMA'!E52,'24.08 TORORO-BUSITEMA-24h'!E52,'27.08 BUSITEMA-TORORO-24h'!E52,'28.08 TORORO-BUSITEMA'!E52)</f>
        <v>1.4285714285714286</v>
      </c>
      <c r="F52" s="49">
        <f>AVERAGE('22.08 BUSITEMA-TORORO'!F52,'23.08 TORORO-BUSITEMA'!F52,'25.08 TORORO-BUSITEMA'!F52,'26.08 TORORO-BUSITEMA'!F52,'24.08 TORORO-BUSITEMA-24h'!F52,'27.08 BUSITEMA-TORORO-24h'!F52,'28.08 TORORO-BUSITEMA'!F52)</f>
        <v>3.2857142857142856</v>
      </c>
      <c r="G52" s="49">
        <f>AVERAGE('22.08 BUSITEMA-TORORO'!G52,'23.08 TORORO-BUSITEMA'!G52,'25.08 TORORO-BUSITEMA'!G52,'26.08 TORORO-BUSITEMA'!G52,'24.08 TORORO-BUSITEMA-24h'!G52,'27.08 BUSITEMA-TORORO-24h'!G52,'28.08 TORORO-BUSITEMA'!G52)</f>
        <v>0</v>
      </c>
      <c r="H52" s="49">
        <f>AVERAGE('22.08 BUSITEMA-TORORO'!H52,'23.08 TORORO-BUSITEMA'!H52,'25.08 TORORO-BUSITEMA'!H52,'26.08 TORORO-BUSITEMA'!H52,'24.08 TORORO-BUSITEMA-24h'!H52,'27.08 BUSITEMA-TORORO-24h'!H52,'28.08 TORORO-BUSITEMA'!H52)</f>
        <v>0</v>
      </c>
      <c r="I52" s="49">
        <f>AVERAGE('22.08 BUSITEMA-TORORO'!I52,'23.08 TORORO-BUSITEMA'!I52,'25.08 TORORO-BUSITEMA'!I52,'26.08 TORORO-BUSITEMA'!I52,'24.08 TORORO-BUSITEMA-24h'!I52,'27.08 BUSITEMA-TORORO-24h'!I52,'28.08 TORORO-BUSITEMA'!I52)</f>
        <v>0.7142857142857143</v>
      </c>
      <c r="J52" s="49">
        <f>AVERAGE('22.08 BUSITEMA-TORORO'!J52,'23.08 TORORO-BUSITEMA'!J52,'25.08 TORORO-BUSITEMA'!J52,'26.08 TORORO-BUSITEMA'!J52,'24.08 TORORO-BUSITEMA-24h'!J52,'27.08 BUSITEMA-TORORO-24h'!J52,'28.08 TORORO-BUSITEMA'!J52)</f>
        <v>0.8571428571428571</v>
      </c>
      <c r="K52" s="49">
        <f>AVERAGE('22.08 BUSITEMA-TORORO'!K52,'23.08 TORORO-BUSITEMA'!K52,'25.08 TORORO-BUSITEMA'!K52,'26.08 TORORO-BUSITEMA'!K52,'24.08 TORORO-BUSITEMA-24h'!K52,'27.08 BUSITEMA-TORORO-24h'!K52,'28.08 TORORO-BUSITEMA'!K52)</f>
        <v>0.8571428571428571</v>
      </c>
      <c r="L52" s="49">
        <f>AVERAGE('22.08 BUSITEMA-TORORO'!L52,'23.08 TORORO-BUSITEMA'!L52,'25.08 TORORO-BUSITEMA'!L52,'26.08 TORORO-BUSITEMA'!L52,'24.08 TORORO-BUSITEMA-24h'!L52,'27.08 BUSITEMA-TORORO-24h'!L52,'28.08 TORORO-BUSITEMA'!L52)</f>
        <v>9.8571428571428577</v>
      </c>
      <c r="M52" s="49">
        <f>AVERAGE('22.08 BUSITEMA-TORORO'!M52,'23.08 TORORO-BUSITEMA'!M52,'25.08 TORORO-BUSITEMA'!M52,'26.08 TORORO-BUSITEMA'!M52,'24.08 TORORO-BUSITEMA-24h'!M52,'27.08 BUSITEMA-TORORO-24h'!M52,'28.08 TORORO-BUSITEMA'!M52)</f>
        <v>3.8571428571428572</v>
      </c>
      <c r="N52" s="49">
        <f>AVERAGE('22.08 BUSITEMA-TORORO'!N52,'23.08 TORORO-BUSITEMA'!N52,'25.08 TORORO-BUSITEMA'!N52,'26.08 TORORO-BUSITEMA'!N52,'24.08 TORORO-BUSITEMA-24h'!N52,'27.08 BUSITEMA-TORORO-24h'!N52,'28.08 TORORO-BUSITEMA'!N52)</f>
        <v>0</v>
      </c>
      <c r="O52" s="15">
        <f t="shared" si="0"/>
        <v>22.571428571428569</v>
      </c>
      <c r="P52" s="15">
        <f t="shared" si="1"/>
        <v>26.428571428571427</v>
      </c>
      <c r="R52" s="8"/>
      <c r="T52"/>
    </row>
    <row r="53" spans="2:20" ht="23.1" customHeight="1" x14ac:dyDescent="0.25">
      <c r="B53" s="23" t="s">
        <v>80</v>
      </c>
      <c r="C53" s="49">
        <f>AVERAGE('22.08 BUSITEMA-TORORO'!C53,'23.08 TORORO-BUSITEMA'!C53,'25.08 TORORO-BUSITEMA'!C53,'26.08 TORORO-BUSITEMA'!C53,'24.08 TORORO-BUSITEMA-24h'!C53,'27.08 BUSITEMA-TORORO-24h'!C53,'28.08 TORORO-BUSITEMA'!C53)</f>
        <v>2.8571428571428572</v>
      </c>
      <c r="D53" s="49">
        <f>AVERAGE('22.08 BUSITEMA-TORORO'!D53,'23.08 TORORO-BUSITEMA'!D53,'25.08 TORORO-BUSITEMA'!D53,'26.08 TORORO-BUSITEMA'!D53,'24.08 TORORO-BUSITEMA-24h'!D53,'27.08 BUSITEMA-TORORO-24h'!D53,'28.08 TORORO-BUSITEMA'!D53)</f>
        <v>1.8571428571428572</v>
      </c>
      <c r="E53" s="49">
        <f>AVERAGE('22.08 BUSITEMA-TORORO'!E53,'23.08 TORORO-BUSITEMA'!E53,'25.08 TORORO-BUSITEMA'!E53,'26.08 TORORO-BUSITEMA'!E53,'24.08 TORORO-BUSITEMA-24h'!E53,'27.08 BUSITEMA-TORORO-24h'!E53,'28.08 TORORO-BUSITEMA'!E53)</f>
        <v>2</v>
      </c>
      <c r="F53" s="49">
        <f>AVERAGE('22.08 BUSITEMA-TORORO'!F53,'23.08 TORORO-BUSITEMA'!F53,'25.08 TORORO-BUSITEMA'!F53,'26.08 TORORO-BUSITEMA'!F53,'24.08 TORORO-BUSITEMA-24h'!F53,'27.08 BUSITEMA-TORORO-24h'!F53,'28.08 TORORO-BUSITEMA'!F53)</f>
        <v>2.4285714285714284</v>
      </c>
      <c r="G53" s="49">
        <f>AVERAGE('22.08 BUSITEMA-TORORO'!G53,'23.08 TORORO-BUSITEMA'!G53,'25.08 TORORO-BUSITEMA'!G53,'26.08 TORORO-BUSITEMA'!G53,'24.08 TORORO-BUSITEMA-24h'!G53,'27.08 BUSITEMA-TORORO-24h'!G53,'28.08 TORORO-BUSITEMA'!G53)</f>
        <v>0</v>
      </c>
      <c r="H53" s="49">
        <f>AVERAGE('22.08 BUSITEMA-TORORO'!H53,'23.08 TORORO-BUSITEMA'!H53,'25.08 TORORO-BUSITEMA'!H53,'26.08 TORORO-BUSITEMA'!H53,'24.08 TORORO-BUSITEMA-24h'!H53,'27.08 BUSITEMA-TORORO-24h'!H53,'28.08 TORORO-BUSITEMA'!H53)</f>
        <v>0</v>
      </c>
      <c r="I53" s="49">
        <f>AVERAGE('22.08 BUSITEMA-TORORO'!I53,'23.08 TORORO-BUSITEMA'!I53,'25.08 TORORO-BUSITEMA'!I53,'26.08 TORORO-BUSITEMA'!I53,'24.08 TORORO-BUSITEMA-24h'!I53,'27.08 BUSITEMA-TORORO-24h'!I53,'28.08 TORORO-BUSITEMA'!I53)</f>
        <v>1.5714285714285714</v>
      </c>
      <c r="J53" s="49">
        <f>AVERAGE('22.08 BUSITEMA-TORORO'!J53,'23.08 TORORO-BUSITEMA'!J53,'25.08 TORORO-BUSITEMA'!J53,'26.08 TORORO-BUSITEMA'!J53,'24.08 TORORO-BUSITEMA-24h'!J53,'27.08 BUSITEMA-TORORO-24h'!J53,'28.08 TORORO-BUSITEMA'!J53)</f>
        <v>1.4285714285714286</v>
      </c>
      <c r="K53" s="49">
        <f>AVERAGE('22.08 BUSITEMA-TORORO'!K53,'23.08 TORORO-BUSITEMA'!K53,'25.08 TORORO-BUSITEMA'!K53,'26.08 TORORO-BUSITEMA'!K53,'24.08 TORORO-BUSITEMA-24h'!K53,'27.08 BUSITEMA-TORORO-24h'!K53,'28.08 TORORO-BUSITEMA'!K53)</f>
        <v>3.1428571428571428</v>
      </c>
      <c r="L53" s="49">
        <f>AVERAGE('22.08 BUSITEMA-TORORO'!L53,'23.08 TORORO-BUSITEMA'!L53,'25.08 TORORO-BUSITEMA'!L53,'26.08 TORORO-BUSITEMA'!L53,'24.08 TORORO-BUSITEMA-24h'!L53,'27.08 BUSITEMA-TORORO-24h'!L53,'28.08 TORORO-BUSITEMA'!L53)</f>
        <v>13.285714285714286</v>
      </c>
      <c r="M53" s="49">
        <f>AVERAGE('22.08 BUSITEMA-TORORO'!M53,'23.08 TORORO-BUSITEMA'!M53,'25.08 TORORO-BUSITEMA'!M53,'26.08 TORORO-BUSITEMA'!M53,'24.08 TORORO-BUSITEMA-24h'!M53,'27.08 BUSITEMA-TORORO-24h'!M53,'28.08 TORORO-BUSITEMA'!M53)</f>
        <v>6.7142857142857144</v>
      </c>
      <c r="N53" s="49">
        <f>AVERAGE('22.08 BUSITEMA-TORORO'!N53,'23.08 TORORO-BUSITEMA'!N53,'25.08 TORORO-BUSITEMA'!N53,'26.08 TORORO-BUSITEMA'!N53,'24.08 TORORO-BUSITEMA-24h'!N53,'27.08 BUSITEMA-TORORO-24h'!N53,'28.08 TORORO-BUSITEMA'!N53)</f>
        <v>0</v>
      </c>
      <c r="O53" s="15">
        <f t="shared" si="0"/>
        <v>28.571428571428569</v>
      </c>
      <c r="P53" s="15">
        <f t="shared" si="1"/>
        <v>35.285714285714285</v>
      </c>
      <c r="R53" s="8"/>
      <c r="T53"/>
    </row>
    <row r="54" spans="2:20" ht="23.1" customHeight="1" x14ac:dyDescent="0.25">
      <c r="B54" s="23" t="s">
        <v>81</v>
      </c>
      <c r="C54" s="49">
        <f>AVERAGE('22.08 BUSITEMA-TORORO'!C54,'23.08 TORORO-BUSITEMA'!C54,'25.08 TORORO-BUSITEMA'!C54,'26.08 TORORO-BUSITEMA'!C54,'24.08 TORORO-BUSITEMA-24h'!C54,'27.08 BUSITEMA-TORORO-24h'!C54,'28.08 TORORO-BUSITEMA'!C54)</f>
        <v>2.4285714285714284</v>
      </c>
      <c r="D54" s="49">
        <f>AVERAGE('22.08 BUSITEMA-TORORO'!D54,'23.08 TORORO-BUSITEMA'!D54,'25.08 TORORO-BUSITEMA'!D54,'26.08 TORORO-BUSITEMA'!D54,'24.08 TORORO-BUSITEMA-24h'!D54,'27.08 BUSITEMA-TORORO-24h'!D54,'28.08 TORORO-BUSITEMA'!D54)</f>
        <v>3</v>
      </c>
      <c r="E54" s="49">
        <f>AVERAGE('22.08 BUSITEMA-TORORO'!E54,'23.08 TORORO-BUSITEMA'!E54,'25.08 TORORO-BUSITEMA'!E54,'26.08 TORORO-BUSITEMA'!E54,'24.08 TORORO-BUSITEMA-24h'!E54,'27.08 BUSITEMA-TORORO-24h'!E54,'28.08 TORORO-BUSITEMA'!E54)</f>
        <v>0.8571428571428571</v>
      </c>
      <c r="F54" s="49">
        <f>AVERAGE('22.08 BUSITEMA-TORORO'!F54,'23.08 TORORO-BUSITEMA'!F54,'25.08 TORORO-BUSITEMA'!F54,'26.08 TORORO-BUSITEMA'!F54,'24.08 TORORO-BUSITEMA-24h'!F54,'27.08 BUSITEMA-TORORO-24h'!F54,'28.08 TORORO-BUSITEMA'!F54)</f>
        <v>4.1428571428571432</v>
      </c>
      <c r="G54" s="49">
        <f>AVERAGE('22.08 BUSITEMA-TORORO'!G54,'23.08 TORORO-BUSITEMA'!G54,'25.08 TORORO-BUSITEMA'!G54,'26.08 TORORO-BUSITEMA'!G54,'24.08 TORORO-BUSITEMA-24h'!G54,'27.08 BUSITEMA-TORORO-24h'!G54,'28.08 TORORO-BUSITEMA'!G54)</f>
        <v>0</v>
      </c>
      <c r="H54" s="49">
        <f>AVERAGE('22.08 BUSITEMA-TORORO'!H54,'23.08 TORORO-BUSITEMA'!H54,'25.08 TORORO-BUSITEMA'!H54,'26.08 TORORO-BUSITEMA'!H54,'24.08 TORORO-BUSITEMA-24h'!H54,'27.08 BUSITEMA-TORORO-24h'!H54,'28.08 TORORO-BUSITEMA'!H54)</f>
        <v>0</v>
      </c>
      <c r="I54" s="49">
        <f>AVERAGE('22.08 BUSITEMA-TORORO'!I54,'23.08 TORORO-BUSITEMA'!I54,'25.08 TORORO-BUSITEMA'!I54,'26.08 TORORO-BUSITEMA'!I54,'24.08 TORORO-BUSITEMA-24h'!I54,'27.08 BUSITEMA-TORORO-24h'!I54,'28.08 TORORO-BUSITEMA'!I54)</f>
        <v>2.4285714285714284</v>
      </c>
      <c r="J54" s="49">
        <f>AVERAGE('22.08 BUSITEMA-TORORO'!J54,'23.08 TORORO-BUSITEMA'!J54,'25.08 TORORO-BUSITEMA'!J54,'26.08 TORORO-BUSITEMA'!J54,'24.08 TORORO-BUSITEMA-24h'!J54,'27.08 BUSITEMA-TORORO-24h'!J54,'28.08 TORORO-BUSITEMA'!J54)</f>
        <v>1.2857142857142858</v>
      </c>
      <c r="K54" s="49">
        <f>AVERAGE('22.08 BUSITEMA-TORORO'!K54,'23.08 TORORO-BUSITEMA'!K54,'25.08 TORORO-BUSITEMA'!K54,'26.08 TORORO-BUSITEMA'!K54,'24.08 TORORO-BUSITEMA-24h'!K54,'27.08 BUSITEMA-TORORO-24h'!K54,'28.08 TORORO-BUSITEMA'!K54)</f>
        <v>1.4285714285714286</v>
      </c>
      <c r="L54" s="49">
        <f>AVERAGE('22.08 BUSITEMA-TORORO'!L54,'23.08 TORORO-BUSITEMA'!L54,'25.08 TORORO-BUSITEMA'!L54,'26.08 TORORO-BUSITEMA'!L54,'24.08 TORORO-BUSITEMA-24h'!L54,'27.08 BUSITEMA-TORORO-24h'!L54,'28.08 TORORO-BUSITEMA'!L54)</f>
        <v>14</v>
      </c>
      <c r="M54" s="49">
        <f>AVERAGE('22.08 BUSITEMA-TORORO'!M54,'23.08 TORORO-BUSITEMA'!M54,'25.08 TORORO-BUSITEMA'!M54,'26.08 TORORO-BUSITEMA'!M54,'24.08 TORORO-BUSITEMA-24h'!M54,'27.08 BUSITEMA-TORORO-24h'!M54,'28.08 TORORO-BUSITEMA'!M54)</f>
        <v>4.2857142857142856</v>
      </c>
      <c r="N54" s="49">
        <f>AVERAGE('22.08 BUSITEMA-TORORO'!N54,'23.08 TORORO-BUSITEMA'!N54,'25.08 TORORO-BUSITEMA'!N54,'26.08 TORORO-BUSITEMA'!N54,'24.08 TORORO-BUSITEMA-24h'!N54,'27.08 BUSITEMA-TORORO-24h'!N54,'28.08 TORORO-BUSITEMA'!N54)</f>
        <v>0</v>
      </c>
      <c r="O54" s="15">
        <f t="shared" si="0"/>
        <v>29.571428571428573</v>
      </c>
      <c r="P54" s="15">
        <f t="shared" si="1"/>
        <v>33.857142857142861</v>
      </c>
      <c r="R54" s="8"/>
      <c r="T54"/>
    </row>
    <row r="55" spans="2:20" ht="23.1" customHeight="1" x14ac:dyDescent="0.25">
      <c r="B55" s="23" t="s">
        <v>82</v>
      </c>
      <c r="C55" s="49">
        <f>AVERAGE('22.08 BUSITEMA-TORORO'!C55,'23.08 TORORO-BUSITEMA'!C55,'25.08 TORORO-BUSITEMA'!C55,'26.08 TORORO-BUSITEMA'!C55,'24.08 TORORO-BUSITEMA-24h'!C55,'27.08 BUSITEMA-TORORO-24h'!C55,'28.08 TORORO-BUSITEMA'!C55)</f>
        <v>1.7142857142857142</v>
      </c>
      <c r="D55" s="49">
        <f>AVERAGE('22.08 BUSITEMA-TORORO'!D55,'23.08 TORORO-BUSITEMA'!D55,'25.08 TORORO-BUSITEMA'!D55,'26.08 TORORO-BUSITEMA'!D55,'24.08 TORORO-BUSITEMA-24h'!D55,'27.08 BUSITEMA-TORORO-24h'!D55,'28.08 TORORO-BUSITEMA'!D55)</f>
        <v>3.4285714285714284</v>
      </c>
      <c r="E55" s="49">
        <f>AVERAGE('22.08 BUSITEMA-TORORO'!E55,'23.08 TORORO-BUSITEMA'!E55,'25.08 TORORO-BUSITEMA'!E55,'26.08 TORORO-BUSITEMA'!E55,'24.08 TORORO-BUSITEMA-24h'!E55,'27.08 BUSITEMA-TORORO-24h'!E55,'28.08 TORORO-BUSITEMA'!E55)</f>
        <v>3.1428571428571428</v>
      </c>
      <c r="F55" s="49">
        <f>AVERAGE('22.08 BUSITEMA-TORORO'!F55,'23.08 TORORO-BUSITEMA'!F55,'25.08 TORORO-BUSITEMA'!F55,'26.08 TORORO-BUSITEMA'!F55,'24.08 TORORO-BUSITEMA-24h'!F55,'27.08 BUSITEMA-TORORO-24h'!F55,'28.08 TORORO-BUSITEMA'!F55)</f>
        <v>4.1428571428571432</v>
      </c>
      <c r="G55" s="49">
        <f>AVERAGE('22.08 BUSITEMA-TORORO'!G55,'23.08 TORORO-BUSITEMA'!G55,'25.08 TORORO-BUSITEMA'!G55,'26.08 TORORO-BUSITEMA'!G55,'24.08 TORORO-BUSITEMA-24h'!G55,'27.08 BUSITEMA-TORORO-24h'!G55,'28.08 TORORO-BUSITEMA'!G55)</f>
        <v>0.5714285714285714</v>
      </c>
      <c r="H55" s="49">
        <f>AVERAGE('22.08 BUSITEMA-TORORO'!H55,'23.08 TORORO-BUSITEMA'!H55,'25.08 TORORO-BUSITEMA'!H55,'26.08 TORORO-BUSITEMA'!H55,'24.08 TORORO-BUSITEMA-24h'!H55,'27.08 BUSITEMA-TORORO-24h'!H55,'28.08 TORORO-BUSITEMA'!H55)</f>
        <v>0.14285714285714285</v>
      </c>
      <c r="I55" s="49">
        <f>AVERAGE('22.08 BUSITEMA-TORORO'!I55,'23.08 TORORO-BUSITEMA'!I55,'25.08 TORORO-BUSITEMA'!I55,'26.08 TORORO-BUSITEMA'!I55,'24.08 TORORO-BUSITEMA-24h'!I55,'27.08 BUSITEMA-TORORO-24h'!I55,'28.08 TORORO-BUSITEMA'!I55)</f>
        <v>1.8571428571428572</v>
      </c>
      <c r="J55" s="49">
        <f>AVERAGE('22.08 BUSITEMA-TORORO'!J55,'23.08 TORORO-BUSITEMA'!J55,'25.08 TORORO-BUSITEMA'!J55,'26.08 TORORO-BUSITEMA'!J55,'24.08 TORORO-BUSITEMA-24h'!J55,'27.08 BUSITEMA-TORORO-24h'!J55,'28.08 TORORO-BUSITEMA'!J55)</f>
        <v>1.7142857142857142</v>
      </c>
      <c r="K55" s="49">
        <f>AVERAGE('22.08 BUSITEMA-TORORO'!K55,'23.08 TORORO-BUSITEMA'!K55,'25.08 TORORO-BUSITEMA'!K55,'26.08 TORORO-BUSITEMA'!K55,'24.08 TORORO-BUSITEMA-24h'!K55,'27.08 BUSITEMA-TORORO-24h'!K55,'28.08 TORORO-BUSITEMA'!K55)</f>
        <v>3.2857142857142856</v>
      </c>
      <c r="L55" s="49">
        <f>AVERAGE('22.08 BUSITEMA-TORORO'!L55,'23.08 TORORO-BUSITEMA'!L55,'25.08 TORORO-BUSITEMA'!L55,'26.08 TORORO-BUSITEMA'!L55,'24.08 TORORO-BUSITEMA-24h'!L55,'27.08 BUSITEMA-TORORO-24h'!L55,'28.08 TORORO-BUSITEMA'!L55)</f>
        <v>13.428571428571429</v>
      </c>
      <c r="M55" s="49">
        <f>AVERAGE('22.08 BUSITEMA-TORORO'!M55,'23.08 TORORO-BUSITEMA'!M55,'25.08 TORORO-BUSITEMA'!M55,'26.08 TORORO-BUSITEMA'!M55,'24.08 TORORO-BUSITEMA-24h'!M55,'27.08 BUSITEMA-TORORO-24h'!M55,'28.08 TORORO-BUSITEMA'!M55)</f>
        <v>4.2857142857142856</v>
      </c>
      <c r="N55" s="49">
        <f>AVERAGE('22.08 BUSITEMA-TORORO'!N55,'23.08 TORORO-BUSITEMA'!N55,'25.08 TORORO-BUSITEMA'!N55,'26.08 TORORO-BUSITEMA'!N55,'24.08 TORORO-BUSITEMA-24h'!N55,'27.08 BUSITEMA-TORORO-24h'!N55,'28.08 TORORO-BUSITEMA'!N55)</f>
        <v>0</v>
      </c>
      <c r="O55" s="15">
        <f t="shared" si="0"/>
        <v>33.428571428571423</v>
      </c>
      <c r="P55" s="15">
        <f t="shared" si="1"/>
        <v>37.714285714285708</v>
      </c>
      <c r="R55" s="8"/>
      <c r="T55"/>
    </row>
    <row r="56" spans="2:20" ht="23.1" customHeight="1" x14ac:dyDescent="0.25">
      <c r="B56" s="23" t="s">
        <v>83</v>
      </c>
      <c r="C56" s="49">
        <f>AVERAGE('22.08 BUSITEMA-TORORO'!C56,'23.08 TORORO-BUSITEMA'!C56,'25.08 TORORO-BUSITEMA'!C56,'26.08 TORORO-BUSITEMA'!C56,'24.08 TORORO-BUSITEMA-24h'!C56,'27.08 BUSITEMA-TORORO-24h'!C56,'28.08 TORORO-BUSITEMA'!C56)</f>
        <v>3.4285714285714284</v>
      </c>
      <c r="D56" s="49">
        <f>AVERAGE('22.08 BUSITEMA-TORORO'!D56,'23.08 TORORO-BUSITEMA'!D56,'25.08 TORORO-BUSITEMA'!D56,'26.08 TORORO-BUSITEMA'!D56,'24.08 TORORO-BUSITEMA-24h'!D56,'27.08 BUSITEMA-TORORO-24h'!D56,'28.08 TORORO-BUSITEMA'!D56)</f>
        <v>2.8571428571428572</v>
      </c>
      <c r="E56" s="49">
        <f>AVERAGE('22.08 BUSITEMA-TORORO'!E56,'23.08 TORORO-BUSITEMA'!E56,'25.08 TORORO-BUSITEMA'!E56,'26.08 TORORO-BUSITEMA'!E56,'24.08 TORORO-BUSITEMA-24h'!E56,'27.08 BUSITEMA-TORORO-24h'!E56,'28.08 TORORO-BUSITEMA'!E56)</f>
        <v>0.8571428571428571</v>
      </c>
      <c r="F56" s="49">
        <f>AVERAGE('22.08 BUSITEMA-TORORO'!F56,'23.08 TORORO-BUSITEMA'!F56,'25.08 TORORO-BUSITEMA'!F56,'26.08 TORORO-BUSITEMA'!F56,'24.08 TORORO-BUSITEMA-24h'!F56,'27.08 BUSITEMA-TORORO-24h'!F56,'28.08 TORORO-BUSITEMA'!F56)</f>
        <v>5</v>
      </c>
      <c r="G56" s="49">
        <f>AVERAGE('22.08 BUSITEMA-TORORO'!G56,'23.08 TORORO-BUSITEMA'!G56,'25.08 TORORO-BUSITEMA'!G56,'26.08 TORORO-BUSITEMA'!G56,'24.08 TORORO-BUSITEMA-24h'!G56,'27.08 BUSITEMA-TORORO-24h'!G56,'28.08 TORORO-BUSITEMA'!G56)</f>
        <v>0</v>
      </c>
      <c r="H56" s="49">
        <f>AVERAGE('22.08 BUSITEMA-TORORO'!H56,'23.08 TORORO-BUSITEMA'!H56,'25.08 TORORO-BUSITEMA'!H56,'26.08 TORORO-BUSITEMA'!H56,'24.08 TORORO-BUSITEMA-24h'!H56,'27.08 BUSITEMA-TORORO-24h'!H56,'28.08 TORORO-BUSITEMA'!H56)</f>
        <v>0.2857142857142857</v>
      </c>
      <c r="I56" s="49">
        <f>AVERAGE('22.08 BUSITEMA-TORORO'!I56,'23.08 TORORO-BUSITEMA'!I56,'25.08 TORORO-BUSITEMA'!I56,'26.08 TORORO-BUSITEMA'!I56,'24.08 TORORO-BUSITEMA-24h'!I56,'27.08 BUSITEMA-TORORO-24h'!I56,'28.08 TORORO-BUSITEMA'!I56)</f>
        <v>1.2857142857142858</v>
      </c>
      <c r="J56" s="49">
        <f>AVERAGE('22.08 BUSITEMA-TORORO'!J56,'23.08 TORORO-BUSITEMA'!J56,'25.08 TORORO-BUSITEMA'!J56,'26.08 TORORO-BUSITEMA'!J56,'24.08 TORORO-BUSITEMA-24h'!J56,'27.08 BUSITEMA-TORORO-24h'!J56,'28.08 TORORO-BUSITEMA'!J56)</f>
        <v>0.5714285714285714</v>
      </c>
      <c r="K56" s="49">
        <f>AVERAGE('22.08 BUSITEMA-TORORO'!K56,'23.08 TORORO-BUSITEMA'!K56,'25.08 TORORO-BUSITEMA'!K56,'26.08 TORORO-BUSITEMA'!K56,'24.08 TORORO-BUSITEMA-24h'!K56,'27.08 BUSITEMA-TORORO-24h'!K56,'28.08 TORORO-BUSITEMA'!K56)</f>
        <v>0.8571428571428571</v>
      </c>
      <c r="L56" s="49">
        <f>AVERAGE('22.08 BUSITEMA-TORORO'!L56,'23.08 TORORO-BUSITEMA'!L56,'25.08 TORORO-BUSITEMA'!L56,'26.08 TORORO-BUSITEMA'!L56,'24.08 TORORO-BUSITEMA-24h'!L56,'27.08 BUSITEMA-TORORO-24h'!L56,'28.08 TORORO-BUSITEMA'!L56)</f>
        <v>11.285714285714286</v>
      </c>
      <c r="M56" s="49">
        <f>AVERAGE('22.08 BUSITEMA-TORORO'!M56,'23.08 TORORO-BUSITEMA'!M56,'25.08 TORORO-BUSITEMA'!M56,'26.08 TORORO-BUSITEMA'!M56,'24.08 TORORO-BUSITEMA-24h'!M56,'27.08 BUSITEMA-TORORO-24h'!M56,'28.08 TORORO-BUSITEMA'!M56)</f>
        <v>5.4285714285714288</v>
      </c>
      <c r="N56" s="49">
        <f>AVERAGE('22.08 BUSITEMA-TORORO'!N56,'23.08 TORORO-BUSITEMA'!N56,'25.08 TORORO-BUSITEMA'!N56,'26.08 TORORO-BUSITEMA'!N56,'24.08 TORORO-BUSITEMA-24h'!N56,'27.08 BUSITEMA-TORORO-24h'!N56,'28.08 TORORO-BUSITEMA'!N56)</f>
        <v>0</v>
      </c>
      <c r="O56" s="15">
        <f t="shared" si="0"/>
        <v>26.428571428571431</v>
      </c>
      <c r="P56" s="15">
        <f t="shared" si="1"/>
        <v>31.857142857142861</v>
      </c>
      <c r="R56" s="8"/>
      <c r="T56"/>
    </row>
    <row r="57" spans="2:20" ht="23.1" customHeight="1" x14ac:dyDescent="0.25">
      <c r="B57" s="23" t="s">
        <v>84</v>
      </c>
      <c r="C57" s="49">
        <f>AVERAGE('22.08 BUSITEMA-TORORO'!C57,'23.08 TORORO-BUSITEMA'!C57,'25.08 TORORO-BUSITEMA'!C57,'26.08 TORORO-BUSITEMA'!C57,'24.08 TORORO-BUSITEMA-24h'!C57,'27.08 BUSITEMA-TORORO-24h'!C57,'28.08 TORORO-BUSITEMA'!C57)</f>
        <v>4.2857142857142856</v>
      </c>
      <c r="D57" s="49">
        <f>AVERAGE('22.08 BUSITEMA-TORORO'!D57,'23.08 TORORO-BUSITEMA'!D57,'25.08 TORORO-BUSITEMA'!D57,'26.08 TORORO-BUSITEMA'!D57,'24.08 TORORO-BUSITEMA-24h'!D57,'27.08 BUSITEMA-TORORO-24h'!D57,'28.08 TORORO-BUSITEMA'!D57)</f>
        <v>2.5714285714285716</v>
      </c>
      <c r="E57" s="49">
        <f>AVERAGE('22.08 BUSITEMA-TORORO'!E57,'23.08 TORORO-BUSITEMA'!E57,'25.08 TORORO-BUSITEMA'!E57,'26.08 TORORO-BUSITEMA'!E57,'24.08 TORORO-BUSITEMA-24h'!E57,'27.08 BUSITEMA-TORORO-24h'!E57,'28.08 TORORO-BUSITEMA'!E57)</f>
        <v>3.1428571428571428</v>
      </c>
      <c r="F57" s="49">
        <f>AVERAGE('22.08 BUSITEMA-TORORO'!F57,'23.08 TORORO-BUSITEMA'!F57,'25.08 TORORO-BUSITEMA'!F57,'26.08 TORORO-BUSITEMA'!F57,'24.08 TORORO-BUSITEMA-24h'!F57,'27.08 BUSITEMA-TORORO-24h'!F57,'28.08 TORORO-BUSITEMA'!F57)</f>
        <v>6.1428571428571432</v>
      </c>
      <c r="G57" s="49">
        <f>AVERAGE('22.08 BUSITEMA-TORORO'!G57,'23.08 TORORO-BUSITEMA'!G57,'25.08 TORORO-BUSITEMA'!G57,'26.08 TORORO-BUSITEMA'!G57,'24.08 TORORO-BUSITEMA-24h'!G57,'27.08 BUSITEMA-TORORO-24h'!G57,'28.08 TORORO-BUSITEMA'!G57)</f>
        <v>0.5714285714285714</v>
      </c>
      <c r="H57" s="49">
        <f>AVERAGE('22.08 BUSITEMA-TORORO'!H57,'23.08 TORORO-BUSITEMA'!H57,'25.08 TORORO-BUSITEMA'!H57,'26.08 TORORO-BUSITEMA'!H57,'24.08 TORORO-BUSITEMA-24h'!H57,'27.08 BUSITEMA-TORORO-24h'!H57,'28.08 TORORO-BUSITEMA'!H57)</f>
        <v>0</v>
      </c>
      <c r="I57" s="49">
        <f>AVERAGE('22.08 BUSITEMA-TORORO'!I57,'23.08 TORORO-BUSITEMA'!I57,'25.08 TORORO-BUSITEMA'!I57,'26.08 TORORO-BUSITEMA'!I57,'24.08 TORORO-BUSITEMA-24h'!I57,'27.08 BUSITEMA-TORORO-24h'!I57,'28.08 TORORO-BUSITEMA'!I57)</f>
        <v>1.7142857142857142</v>
      </c>
      <c r="J57" s="49">
        <f>AVERAGE('22.08 BUSITEMA-TORORO'!J57,'23.08 TORORO-BUSITEMA'!J57,'25.08 TORORO-BUSITEMA'!J57,'26.08 TORORO-BUSITEMA'!J57,'24.08 TORORO-BUSITEMA-24h'!J57,'27.08 BUSITEMA-TORORO-24h'!J57,'28.08 TORORO-BUSITEMA'!J57)</f>
        <v>1.5714285714285714</v>
      </c>
      <c r="K57" s="49">
        <f>AVERAGE('22.08 BUSITEMA-TORORO'!K57,'23.08 TORORO-BUSITEMA'!K57,'25.08 TORORO-BUSITEMA'!K57,'26.08 TORORO-BUSITEMA'!K57,'24.08 TORORO-BUSITEMA-24h'!K57,'27.08 BUSITEMA-TORORO-24h'!K57,'28.08 TORORO-BUSITEMA'!K57)</f>
        <v>1.2857142857142858</v>
      </c>
      <c r="L57" s="49">
        <f>AVERAGE('22.08 BUSITEMA-TORORO'!L57,'23.08 TORORO-BUSITEMA'!L57,'25.08 TORORO-BUSITEMA'!L57,'26.08 TORORO-BUSITEMA'!L57,'24.08 TORORO-BUSITEMA-24h'!L57,'27.08 BUSITEMA-TORORO-24h'!L57,'28.08 TORORO-BUSITEMA'!L57)</f>
        <v>9.4285714285714288</v>
      </c>
      <c r="M57" s="49">
        <f>AVERAGE('22.08 BUSITEMA-TORORO'!M57,'23.08 TORORO-BUSITEMA'!M57,'25.08 TORORO-BUSITEMA'!M57,'26.08 TORORO-BUSITEMA'!M57,'24.08 TORORO-BUSITEMA-24h'!M57,'27.08 BUSITEMA-TORORO-24h'!M57,'28.08 TORORO-BUSITEMA'!M57)</f>
        <v>6.5714285714285712</v>
      </c>
      <c r="N57" s="49">
        <f>AVERAGE('22.08 BUSITEMA-TORORO'!N57,'23.08 TORORO-BUSITEMA'!N57,'25.08 TORORO-BUSITEMA'!N57,'26.08 TORORO-BUSITEMA'!N57,'24.08 TORORO-BUSITEMA-24h'!N57,'27.08 BUSITEMA-TORORO-24h'!N57,'28.08 TORORO-BUSITEMA'!N57)</f>
        <v>0</v>
      </c>
      <c r="O57" s="15">
        <f t="shared" si="0"/>
        <v>30.714285714285715</v>
      </c>
      <c r="P57" s="15">
        <f t="shared" si="1"/>
        <v>37.285714285714285</v>
      </c>
      <c r="R57" s="8"/>
      <c r="T57"/>
    </row>
    <row r="58" spans="2:20" ht="23.1" customHeight="1" x14ac:dyDescent="0.25">
      <c r="B58" s="23" t="s">
        <v>99</v>
      </c>
      <c r="C58" s="49">
        <f>AVERAGE('24.08 TORORO-BUSITEMA-24h'!C58,'27.08 TORORO-BUSITEMA-24h'!C58)</f>
        <v>1.5</v>
      </c>
      <c r="D58" s="49">
        <f>AVERAGE('24.08 TORORO-BUSITEMA-24h'!D58,'27.08 TORORO-BUSITEMA-24h'!D58)</f>
        <v>0</v>
      </c>
      <c r="E58" s="49">
        <f>AVERAGE('24.08 TORORO-BUSITEMA-24h'!E58,'27.08 TORORO-BUSITEMA-24h'!E58)</f>
        <v>0.5</v>
      </c>
      <c r="F58" s="49">
        <f>AVERAGE('24.08 TORORO-BUSITEMA-24h'!F58,'27.08 TORORO-BUSITEMA-24h'!F58)</f>
        <v>3</v>
      </c>
      <c r="G58" s="49">
        <f>AVERAGE('24.08 TORORO-BUSITEMA-24h'!G58,'27.08 TORORO-BUSITEMA-24h'!G58)</f>
        <v>0</v>
      </c>
      <c r="H58" s="49">
        <f>AVERAGE('24.08 TORORO-BUSITEMA-24h'!H58,'27.08 TORORO-BUSITEMA-24h'!H58)</f>
        <v>0</v>
      </c>
      <c r="I58" s="49">
        <f>AVERAGE('24.08 TORORO-BUSITEMA-24h'!I58,'27.08 TORORO-BUSITEMA-24h'!I58)</f>
        <v>1</v>
      </c>
      <c r="J58" s="49">
        <f>AVERAGE('24.08 TORORO-BUSITEMA-24h'!J58,'27.08 TORORO-BUSITEMA-24h'!J58)</f>
        <v>1</v>
      </c>
      <c r="K58" s="49">
        <f>AVERAGE('24.08 TORORO-BUSITEMA-24h'!K58,'27.08 TORORO-BUSITEMA-24h'!K58)</f>
        <v>0.5</v>
      </c>
      <c r="L58" s="49">
        <f>AVERAGE('24.08 TORORO-BUSITEMA-24h'!L58,'27.08 TORORO-BUSITEMA-24h'!L58)</f>
        <v>19</v>
      </c>
      <c r="M58" s="49">
        <f>AVERAGE('24.08 TORORO-BUSITEMA-24h'!M58,'27.08 TORORO-BUSITEMA-24h'!M58)</f>
        <v>3.5</v>
      </c>
      <c r="N58" s="49">
        <f>AVERAGE('24.08 TORORO-BUSITEMA-24h'!N58,'27.08 TORORO-BUSITEMA-24h'!N58)</f>
        <v>0</v>
      </c>
      <c r="O58" s="15">
        <f t="shared" si="0"/>
        <v>26.5</v>
      </c>
      <c r="P58" s="15">
        <f t="shared" si="1"/>
        <v>30</v>
      </c>
      <c r="R58" s="8"/>
      <c r="T58"/>
    </row>
    <row r="59" spans="2:20" ht="23.1" customHeight="1" x14ac:dyDescent="0.25">
      <c r="B59" s="23" t="s">
        <v>100</v>
      </c>
      <c r="C59" s="49">
        <f>AVERAGE('24.08 TORORO-BUSITEMA-24h'!C59,'27.08 TORORO-BUSITEMA-24h'!C59)</f>
        <v>2.5</v>
      </c>
      <c r="D59" s="49">
        <f>AVERAGE('24.08 TORORO-BUSITEMA-24h'!D59,'27.08 TORORO-BUSITEMA-24h'!D59)</f>
        <v>3.5</v>
      </c>
      <c r="E59" s="49">
        <f>AVERAGE('24.08 TORORO-BUSITEMA-24h'!E59,'27.08 TORORO-BUSITEMA-24h'!E59)</f>
        <v>1.5</v>
      </c>
      <c r="F59" s="49">
        <f>AVERAGE('24.08 TORORO-BUSITEMA-24h'!F59,'27.08 TORORO-BUSITEMA-24h'!F59)</f>
        <v>4</v>
      </c>
      <c r="G59" s="49">
        <f>AVERAGE('24.08 TORORO-BUSITEMA-24h'!G59,'27.08 TORORO-BUSITEMA-24h'!G59)</f>
        <v>0</v>
      </c>
      <c r="H59" s="49">
        <f>AVERAGE('24.08 TORORO-BUSITEMA-24h'!H59,'27.08 TORORO-BUSITEMA-24h'!H59)</f>
        <v>0</v>
      </c>
      <c r="I59" s="49">
        <f>AVERAGE('24.08 TORORO-BUSITEMA-24h'!I59,'27.08 TORORO-BUSITEMA-24h'!I59)</f>
        <v>0.5</v>
      </c>
      <c r="J59" s="49">
        <f>AVERAGE('24.08 TORORO-BUSITEMA-24h'!J59,'27.08 TORORO-BUSITEMA-24h'!J59)</f>
        <v>0.5</v>
      </c>
      <c r="K59" s="49">
        <f>AVERAGE('24.08 TORORO-BUSITEMA-24h'!K59,'27.08 TORORO-BUSITEMA-24h'!K59)</f>
        <v>0</v>
      </c>
      <c r="L59" s="49">
        <f>AVERAGE('24.08 TORORO-BUSITEMA-24h'!L59,'27.08 TORORO-BUSITEMA-24h'!L59)</f>
        <v>17</v>
      </c>
      <c r="M59" s="49">
        <f>AVERAGE('24.08 TORORO-BUSITEMA-24h'!M59,'27.08 TORORO-BUSITEMA-24h'!M59)</f>
        <v>5</v>
      </c>
      <c r="N59" s="49">
        <f>AVERAGE('24.08 TORORO-BUSITEMA-24h'!N59,'27.08 TORORO-BUSITEMA-24h'!N59)</f>
        <v>0</v>
      </c>
      <c r="O59" s="15">
        <f t="shared" si="0"/>
        <v>29.5</v>
      </c>
      <c r="P59" s="15">
        <f t="shared" si="1"/>
        <v>34.5</v>
      </c>
      <c r="R59" s="8"/>
      <c r="T59"/>
    </row>
    <row r="60" spans="2:20" ht="23.1" customHeight="1" x14ac:dyDescent="0.25">
      <c r="B60" s="23" t="s">
        <v>101</v>
      </c>
      <c r="C60" s="49">
        <f>AVERAGE('24.08 TORORO-BUSITEMA-24h'!C60,'27.08 TORORO-BUSITEMA-24h'!C60)</f>
        <v>2</v>
      </c>
      <c r="D60" s="49">
        <f>AVERAGE('24.08 TORORO-BUSITEMA-24h'!D60,'27.08 TORORO-BUSITEMA-24h'!D60)</f>
        <v>1.5</v>
      </c>
      <c r="E60" s="49">
        <f>AVERAGE('24.08 TORORO-BUSITEMA-24h'!E60,'27.08 TORORO-BUSITEMA-24h'!E60)</f>
        <v>2.5</v>
      </c>
      <c r="F60" s="49">
        <f>AVERAGE('24.08 TORORO-BUSITEMA-24h'!F60,'27.08 TORORO-BUSITEMA-24h'!F60)</f>
        <v>2</v>
      </c>
      <c r="G60" s="49">
        <f>AVERAGE('24.08 TORORO-BUSITEMA-24h'!G60,'27.08 TORORO-BUSITEMA-24h'!G60)</f>
        <v>0</v>
      </c>
      <c r="H60" s="49">
        <f>AVERAGE('24.08 TORORO-BUSITEMA-24h'!H60,'27.08 TORORO-BUSITEMA-24h'!H60)</f>
        <v>0</v>
      </c>
      <c r="I60" s="49">
        <f>AVERAGE('24.08 TORORO-BUSITEMA-24h'!I60,'27.08 TORORO-BUSITEMA-24h'!I60)</f>
        <v>0</v>
      </c>
      <c r="J60" s="49">
        <f>AVERAGE('24.08 TORORO-BUSITEMA-24h'!J60,'27.08 TORORO-BUSITEMA-24h'!J60)</f>
        <v>0.5</v>
      </c>
      <c r="K60" s="49">
        <f>AVERAGE('24.08 TORORO-BUSITEMA-24h'!K60,'27.08 TORORO-BUSITEMA-24h'!K60)</f>
        <v>0.5</v>
      </c>
      <c r="L60" s="49">
        <f>AVERAGE('24.08 TORORO-BUSITEMA-24h'!L60,'27.08 TORORO-BUSITEMA-24h'!L60)</f>
        <v>10</v>
      </c>
      <c r="M60" s="49">
        <f>AVERAGE('24.08 TORORO-BUSITEMA-24h'!M60,'27.08 TORORO-BUSITEMA-24h'!M60)</f>
        <v>4</v>
      </c>
      <c r="N60" s="49">
        <f>AVERAGE('24.08 TORORO-BUSITEMA-24h'!N60,'27.08 TORORO-BUSITEMA-24h'!N60)</f>
        <v>0</v>
      </c>
      <c r="O60" s="15">
        <f t="shared" si="0"/>
        <v>19</v>
      </c>
      <c r="P60" s="15">
        <f t="shared" si="1"/>
        <v>23</v>
      </c>
      <c r="R60" s="8"/>
      <c r="T60"/>
    </row>
    <row r="61" spans="2:20" ht="23.1" customHeight="1" x14ac:dyDescent="0.25">
      <c r="B61" s="23" t="s">
        <v>102</v>
      </c>
      <c r="C61" s="49">
        <f>AVERAGE('24.08 TORORO-BUSITEMA-24h'!C61,'27.08 TORORO-BUSITEMA-24h'!C61)</f>
        <v>2.5</v>
      </c>
      <c r="D61" s="49">
        <f>AVERAGE('24.08 TORORO-BUSITEMA-24h'!D61,'27.08 TORORO-BUSITEMA-24h'!D61)</f>
        <v>0.5</v>
      </c>
      <c r="E61" s="49">
        <f>AVERAGE('24.08 TORORO-BUSITEMA-24h'!E61,'27.08 TORORO-BUSITEMA-24h'!E61)</f>
        <v>2.5</v>
      </c>
      <c r="F61" s="49">
        <f>AVERAGE('24.08 TORORO-BUSITEMA-24h'!F61,'27.08 TORORO-BUSITEMA-24h'!F61)</f>
        <v>2.5</v>
      </c>
      <c r="G61" s="49">
        <f>AVERAGE('24.08 TORORO-BUSITEMA-24h'!G61,'27.08 TORORO-BUSITEMA-24h'!G61)</f>
        <v>0</v>
      </c>
      <c r="H61" s="49">
        <f>AVERAGE('24.08 TORORO-BUSITEMA-24h'!H61,'27.08 TORORO-BUSITEMA-24h'!H61)</f>
        <v>0</v>
      </c>
      <c r="I61" s="49">
        <f>AVERAGE('24.08 TORORO-BUSITEMA-24h'!I61,'27.08 TORORO-BUSITEMA-24h'!I61)</f>
        <v>1</v>
      </c>
      <c r="J61" s="49">
        <f>AVERAGE('24.08 TORORO-BUSITEMA-24h'!J61,'27.08 TORORO-BUSITEMA-24h'!J61)</f>
        <v>3</v>
      </c>
      <c r="K61" s="49">
        <f>AVERAGE('24.08 TORORO-BUSITEMA-24h'!K61,'27.08 TORORO-BUSITEMA-24h'!K61)</f>
        <v>0</v>
      </c>
      <c r="L61" s="49">
        <f>AVERAGE('24.08 TORORO-BUSITEMA-24h'!L61,'27.08 TORORO-BUSITEMA-24h'!L61)</f>
        <v>9</v>
      </c>
      <c r="M61" s="49">
        <f>AVERAGE('24.08 TORORO-BUSITEMA-24h'!M61,'27.08 TORORO-BUSITEMA-24h'!M61)</f>
        <v>1</v>
      </c>
      <c r="N61" s="49">
        <f>AVERAGE('24.08 TORORO-BUSITEMA-24h'!N61,'27.08 TORORO-BUSITEMA-24h'!N61)</f>
        <v>0</v>
      </c>
      <c r="O61" s="15">
        <f t="shared" si="0"/>
        <v>21</v>
      </c>
      <c r="P61" s="15">
        <f t="shared" si="1"/>
        <v>22</v>
      </c>
      <c r="R61" s="8"/>
      <c r="T61"/>
    </row>
    <row r="62" spans="2:20" ht="23.1" customHeight="1" x14ac:dyDescent="0.25">
      <c r="B62" s="23" t="s">
        <v>107</v>
      </c>
      <c r="C62" s="49">
        <f>AVERAGE('24.08 TORORO-BUSITEMA-24h'!C62,'27.08 TORORO-BUSITEMA-24h'!C62)</f>
        <v>1.5</v>
      </c>
      <c r="D62" s="49">
        <f>AVERAGE('24.08 TORORO-BUSITEMA-24h'!D62,'27.08 TORORO-BUSITEMA-24h'!D62)</f>
        <v>1.5</v>
      </c>
      <c r="E62" s="49">
        <f>AVERAGE('24.08 TORORO-BUSITEMA-24h'!E62,'27.08 TORORO-BUSITEMA-24h'!E62)</f>
        <v>0.5</v>
      </c>
      <c r="F62" s="49">
        <f>AVERAGE('24.08 TORORO-BUSITEMA-24h'!F62,'27.08 TORORO-BUSITEMA-24h'!F62)</f>
        <v>1.5</v>
      </c>
      <c r="G62" s="49">
        <f>AVERAGE('24.08 TORORO-BUSITEMA-24h'!G62,'27.08 TORORO-BUSITEMA-24h'!G62)</f>
        <v>0</v>
      </c>
      <c r="H62" s="49">
        <f>AVERAGE('24.08 TORORO-BUSITEMA-24h'!H62,'27.08 TORORO-BUSITEMA-24h'!H62)</f>
        <v>0</v>
      </c>
      <c r="I62" s="49">
        <f>AVERAGE('24.08 TORORO-BUSITEMA-24h'!I62,'27.08 TORORO-BUSITEMA-24h'!I62)</f>
        <v>0.5</v>
      </c>
      <c r="J62" s="49">
        <f>AVERAGE('24.08 TORORO-BUSITEMA-24h'!J62,'27.08 TORORO-BUSITEMA-24h'!J62)</f>
        <v>1</v>
      </c>
      <c r="K62" s="49">
        <f>AVERAGE('24.08 TORORO-BUSITEMA-24h'!K62,'27.08 TORORO-BUSITEMA-24h'!K62)</f>
        <v>0</v>
      </c>
      <c r="L62" s="49">
        <f>AVERAGE('24.08 TORORO-BUSITEMA-24h'!L62,'27.08 TORORO-BUSITEMA-24h'!L62)</f>
        <v>8</v>
      </c>
      <c r="M62" s="49">
        <f>AVERAGE('24.08 TORORO-BUSITEMA-24h'!M62,'27.08 TORORO-BUSITEMA-24h'!M62)</f>
        <v>1</v>
      </c>
      <c r="N62" s="49">
        <f>AVERAGE('24.08 TORORO-BUSITEMA-24h'!N62,'27.08 TORORO-BUSITEMA-24h'!N62)</f>
        <v>0</v>
      </c>
      <c r="O62" s="15">
        <f t="shared" si="0"/>
        <v>14.5</v>
      </c>
      <c r="P62" s="15">
        <f t="shared" si="1"/>
        <v>15.5</v>
      </c>
      <c r="R62" s="8"/>
      <c r="T62"/>
    </row>
    <row r="63" spans="2:20" ht="23.1" customHeight="1" x14ac:dyDescent="0.25">
      <c r="B63" s="23" t="s">
        <v>108</v>
      </c>
      <c r="C63" s="49">
        <f>AVERAGE('24.08 TORORO-BUSITEMA-24h'!C63,'27.08 TORORO-BUSITEMA-24h'!C63)</f>
        <v>2</v>
      </c>
      <c r="D63" s="49">
        <f>AVERAGE('24.08 TORORO-BUSITEMA-24h'!D63,'27.08 TORORO-BUSITEMA-24h'!D63)</f>
        <v>1.5</v>
      </c>
      <c r="E63" s="49">
        <f>AVERAGE('24.08 TORORO-BUSITEMA-24h'!E63,'27.08 TORORO-BUSITEMA-24h'!E63)</f>
        <v>0.5</v>
      </c>
      <c r="F63" s="49">
        <f>AVERAGE('24.08 TORORO-BUSITEMA-24h'!F63,'27.08 TORORO-BUSITEMA-24h'!F63)</f>
        <v>1</v>
      </c>
      <c r="G63" s="49">
        <f>AVERAGE('24.08 TORORO-BUSITEMA-24h'!G63,'27.08 TORORO-BUSITEMA-24h'!G63)</f>
        <v>0</v>
      </c>
      <c r="H63" s="49">
        <f>AVERAGE('24.08 TORORO-BUSITEMA-24h'!H63,'27.08 TORORO-BUSITEMA-24h'!H63)</f>
        <v>0</v>
      </c>
      <c r="I63" s="49">
        <f>AVERAGE('24.08 TORORO-BUSITEMA-24h'!I63,'27.08 TORORO-BUSITEMA-24h'!I63)</f>
        <v>0</v>
      </c>
      <c r="J63" s="49">
        <f>AVERAGE('24.08 TORORO-BUSITEMA-24h'!J63,'27.08 TORORO-BUSITEMA-24h'!J63)</f>
        <v>1.5</v>
      </c>
      <c r="K63" s="49">
        <f>AVERAGE('24.08 TORORO-BUSITEMA-24h'!K63,'27.08 TORORO-BUSITEMA-24h'!K63)</f>
        <v>0</v>
      </c>
      <c r="L63" s="49">
        <f>AVERAGE('24.08 TORORO-BUSITEMA-24h'!L63,'27.08 TORORO-BUSITEMA-24h'!L63)</f>
        <v>7.5</v>
      </c>
      <c r="M63" s="49">
        <f>AVERAGE('24.08 TORORO-BUSITEMA-24h'!M63,'27.08 TORORO-BUSITEMA-24h'!M63)</f>
        <v>1.5</v>
      </c>
      <c r="N63" s="49">
        <f>AVERAGE('24.08 TORORO-BUSITEMA-24h'!N63,'27.08 TORORO-BUSITEMA-24h'!N63)</f>
        <v>0</v>
      </c>
      <c r="O63" s="15">
        <f t="shared" si="0"/>
        <v>14</v>
      </c>
      <c r="P63" s="15">
        <f t="shared" si="1"/>
        <v>15.5</v>
      </c>
      <c r="R63" s="8"/>
      <c r="T63"/>
    </row>
    <row r="64" spans="2:20" ht="23.1" customHeight="1" x14ac:dyDescent="0.25">
      <c r="B64" s="23" t="s">
        <v>109</v>
      </c>
      <c r="C64" s="49">
        <f>AVERAGE('24.08 TORORO-BUSITEMA-24h'!C64,'27.08 TORORO-BUSITEMA-24h'!C64)</f>
        <v>1.5</v>
      </c>
      <c r="D64" s="49">
        <f>AVERAGE('24.08 TORORO-BUSITEMA-24h'!D64,'27.08 TORORO-BUSITEMA-24h'!D64)</f>
        <v>1.5</v>
      </c>
      <c r="E64" s="49">
        <f>AVERAGE('24.08 TORORO-BUSITEMA-24h'!E64,'27.08 TORORO-BUSITEMA-24h'!E64)</f>
        <v>0</v>
      </c>
      <c r="F64" s="49">
        <f>AVERAGE('24.08 TORORO-BUSITEMA-24h'!F64,'27.08 TORORO-BUSITEMA-24h'!F64)</f>
        <v>1</v>
      </c>
      <c r="G64" s="49">
        <f>AVERAGE('24.08 TORORO-BUSITEMA-24h'!G64,'27.08 TORORO-BUSITEMA-24h'!G64)</f>
        <v>0.5</v>
      </c>
      <c r="H64" s="49">
        <f>AVERAGE('24.08 TORORO-BUSITEMA-24h'!H64,'27.08 TORORO-BUSITEMA-24h'!H64)</f>
        <v>0</v>
      </c>
      <c r="I64" s="49">
        <f>AVERAGE('24.08 TORORO-BUSITEMA-24h'!I64,'27.08 TORORO-BUSITEMA-24h'!I64)</f>
        <v>1</v>
      </c>
      <c r="J64" s="49">
        <f>AVERAGE('24.08 TORORO-BUSITEMA-24h'!J64,'27.08 TORORO-BUSITEMA-24h'!J64)</f>
        <v>2</v>
      </c>
      <c r="K64" s="49">
        <f>AVERAGE('24.08 TORORO-BUSITEMA-24h'!K64,'27.08 TORORO-BUSITEMA-24h'!K64)</f>
        <v>0.5</v>
      </c>
      <c r="L64" s="49">
        <f>AVERAGE('24.08 TORORO-BUSITEMA-24h'!L64,'27.08 TORORO-BUSITEMA-24h'!L64)</f>
        <v>10</v>
      </c>
      <c r="M64" s="49">
        <f>AVERAGE('24.08 TORORO-BUSITEMA-24h'!M64,'27.08 TORORO-BUSITEMA-24h'!M64)</f>
        <v>1</v>
      </c>
      <c r="N64" s="49">
        <f>AVERAGE('24.08 TORORO-BUSITEMA-24h'!N64,'27.08 TORORO-BUSITEMA-24h'!N64)</f>
        <v>0</v>
      </c>
      <c r="O64" s="15">
        <f t="shared" si="0"/>
        <v>18</v>
      </c>
      <c r="P64" s="15">
        <f t="shared" si="1"/>
        <v>19</v>
      </c>
      <c r="R64" s="8"/>
      <c r="T64"/>
    </row>
    <row r="65" spans="2:20" ht="23.1" customHeight="1" x14ac:dyDescent="0.25">
      <c r="B65" s="23" t="s">
        <v>158</v>
      </c>
      <c r="C65" s="49">
        <f>AVERAGE('24.08 TORORO-BUSITEMA-24h'!C65,'27.08 TORORO-BUSITEMA-24h'!C65)</f>
        <v>0</v>
      </c>
      <c r="D65" s="49">
        <f>AVERAGE('24.08 TORORO-BUSITEMA-24h'!D65,'27.08 TORORO-BUSITEMA-24h'!D65)</f>
        <v>1</v>
      </c>
      <c r="E65" s="49">
        <f>AVERAGE('24.08 TORORO-BUSITEMA-24h'!E65,'27.08 TORORO-BUSITEMA-24h'!E65)</f>
        <v>1</v>
      </c>
      <c r="F65" s="49">
        <f>AVERAGE('24.08 TORORO-BUSITEMA-24h'!F65,'27.08 TORORO-BUSITEMA-24h'!F65)</f>
        <v>1</v>
      </c>
      <c r="G65" s="49">
        <f>AVERAGE('24.08 TORORO-BUSITEMA-24h'!G65,'27.08 TORORO-BUSITEMA-24h'!G65)</f>
        <v>0</v>
      </c>
      <c r="H65" s="49">
        <f>AVERAGE('24.08 TORORO-BUSITEMA-24h'!H65,'27.08 TORORO-BUSITEMA-24h'!H65)</f>
        <v>0</v>
      </c>
      <c r="I65" s="49">
        <f>AVERAGE('24.08 TORORO-BUSITEMA-24h'!I65,'27.08 TORORO-BUSITEMA-24h'!I65)</f>
        <v>0</v>
      </c>
      <c r="J65" s="49">
        <f>AVERAGE('24.08 TORORO-BUSITEMA-24h'!J65,'27.08 TORORO-BUSITEMA-24h'!J65)</f>
        <v>1</v>
      </c>
      <c r="K65" s="49">
        <f>AVERAGE('24.08 TORORO-BUSITEMA-24h'!K65,'27.08 TORORO-BUSITEMA-24h'!K65)</f>
        <v>0.5</v>
      </c>
      <c r="L65" s="49">
        <f>AVERAGE('24.08 TORORO-BUSITEMA-24h'!L65,'27.08 TORORO-BUSITEMA-24h'!L65)</f>
        <v>7</v>
      </c>
      <c r="M65" s="49">
        <f>AVERAGE('24.08 TORORO-BUSITEMA-24h'!M65,'27.08 TORORO-BUSITEMA-24h'!M65)</f>
        <v>0.5</v>
      </c>
      <c r="N65" s="49">
        <f>AVERAGE('24.08 TORORO-BUSITEMA-24h'!N65,'27.08 TORORO-BUSITEMA-24h'!N65)</f>
        <v>0</v>
      </c>
      <c r="O65" s="15">
        <f t="shared" si="0"/>
        <v>11.5</v>
      </c>
      <c r="P65" s="15">
        <f t="shared" si="1"/>
        <v>12</v>
      </c>
      <c r="R65" s="8"/>
      <c r="T65"/>
    </row>
    <row r="66" spans="2:20" ht="23.1" customHeight="1" x14ac:dyDescent="0.25">
      <c r="B66" s="23" t="s">
        <v>103</v>
      </c>
      <c r="C66" s="49">
        <f>AVERAGE('24.08 TORORO-BUSITEMA-24h'!C66,'27.08 TORORO-BUSITEMA-24h'!C66)</f>
        <v>1</v>
      </c>
      <c r="D66" s="49">
        <f>AVERAGE('24.08 TORORO-BUSITEMA-24h'!D66,'27.08 TORORO-BUSITEMA-24h'!D66)</f>
        <v>0.5</v>
      </c>
      <c r="E66" s="49">
        <f>AVERAGE('24.08 TORORO-BUSITEMA-24h'!E66,'27.08 TORORO-BUSITEMA-24h'!E66)</f>
        <v>1</v>
      </c>
      <c r="F66" s="49">
        <f>AVERAGE('24.08 TORORO-BUSITEMA-24h'!F66,'27.08 TORORO-BUSITEMA-24h'!F66)</f>
        <v>0.5</v>
      </c>
      <c r="G66" s="49">
        <f>AVERAGE('24.08 TORORO-BUSITEMA-24h'!G66,'27.08 TORORO-BUSITEMA-24h'!G66)</f>
        <v>0</v>
      </c>
      <c r="H66" s="49">
        <f>AVERAGE('24.08 TORORO-BUSITEMA-24h'!H66,'27.08 TORORO-BUSITEMA-24h'!H66)</f>
        <v>0</v>
      </c>
      <c r="I66" s="49">
        <f>AVERAGE('24.08 TORORO-BUSITEMA-24h'!I66,'27.08 TORORO-BUSITEMA-24h'!I66)</f>
        <v>0.5</v>
      </c>
      <c r="J66" s="49">
        <f>AVERAGE('24.08 TORORO-BUSITEMA-24h'!J66,'27.08 TORORO-BUSITEMA-24h'!J66)</f>
        <v>2</v>
      </c>
      <c r="K66" s="49">
        <f>AVERAGE('24.08 TORORO-BUSITEMA-24h'!K66,'27.08 TORORO-BUSITEMA-24h'!K66)</f>
        <v>0</v>
      </c>
      <c r="L66" s="49">
        <f>AVERAGE('24.08 TORORO-BUSITEMA-24h'!L66,'27.08 TORORO-BUSITEMA-24h'!L66)</f>
        <v>10</v>
      </c>
      <c r="M66" s="49">
        <f>AVERAGE('24.08 TORORO-BUSITEMA-24h'!M66,'27.08 TORORO-BUSITEMA-24h'!M66)</f>
        <v>2</v>
      </c>
      <c r="N66" s="49">
        <f>AVERAGE('24.08 TORORO-BUSITEMA-24h'!N66,'27.08 TORORO-BUSITEMA-24h'!N66)</f>
        <v>0</v>
      </c>
      <c r="O66" s="15">
        <f t="shared" si="0"/>
        <v>15.5</v>
      </c>
      <c r="P66" s="15">
        <f t="shared" si="1"/>
        <v>17.5</v>
      </c>
      <c r="R66" s="8"/>
      <c r="T66"/>
    </row>
    <row r="67" spans="2:20" ht="23.1" customHeight="1" x14ac:dyDescent="0.25">
      <c r="B67" s="23" t="s">
        <v>104</v>
      </c>
      <c r="C67" s="49">
        <f>AVERAGE('24.08 TORORO-BUSITEMA-24h'!C67,'27.08 TORORO-BUSITEMA-24h'!C67)</f>
        <v>0</v>
      </c>
      <c r="D67" s="49">
        <f>AVERAGE('24.08 TORORO-BUSITEMA-24h'!D67,'27.08 TORORO-BUSITEMA-24h'!D67)</f>
        <v>1.5</v>
      </c>
      <c r="E67" s="49">
        <f>AVERAGE('24.08 TORORO-BUSITEMA-24h'!E67,'27.08 TORORO-BUSITEMA-24h'!E67)</f>
        <v>0.5</v>
      </c>
      <c r="F67" s="49">
        <f>AVERAGE('24.08 TORORO-BUSITEMA-24h'!F67,'27.08 TORORO-BUSITEMA-24h'!F67)</f>
        <v>1.5</v>
      </c>
      <c r="G67" s="49">
        <f>AVERAGE('24.08 TORORO-BUSITEMA-24h'!G67,'27.08 TORORO-BUSITEMA-24h'!G67)</f>
        <v>0</v>
      </c>
      <c r="H67" s="49">
        <f>AVERAGE('24.08 TORORO-BUSITEMA-24h'!H67,'27.08 TORORO-BUSITEMA-24h'!H67)</f>
        <v>0</v>
      </c>
      <c r="I67" s="49">
        <f>AVERAGE('24.08 TORORO-BUSITEMA-24h'!I67,'27.08 TORORO-BUSITEMA-24h'!I67)</f>
        <v>0</v>
      </c>
      <c r="J67" s="49">
        <f>AVERAGE('24.08 TORORO-BUSITEMA-24h'!J67,'27.08 TORORO-BUSITEMA-24h'!J67)</f>
        <v>0.5</v>
      </c>
      <c r="K67" s="49">
        <f>AVERAGE('24.08 TORORO-BUSITEMA-24h'!K67,'27.08 TORORO-BUSITEMA-24h'!K67)</f>
        <v>0</v>
      </c>
      <c r="L67" s="49">
        <f>AVERAGE('24.08 TORORO-BUSITEMA-24h'!L67,'27.08 TORORO-BUSITEMA-24h'!L67)</f>
        <v>5</v>
      </c>
      <c r="M67" s="49">
        <f>AVERAGE('24.08 TORORO-BUSITEMA-24h'!M67,'27.08 TORORO-BUSITEMA-24h'!M67)</f>
        <v>0</v>
      </c>
      <c r="N67" s="49">
        <f>AVERAGE('24.08 TORORO-BUSITEMA-24h'!N67,'27.08 TORORO-BUSITEMA-24h'!N67)</f>
        <v>0</v>
      </c>
      <c r="O67" s="15">
        <f t="shared" si="0"/>
        <v>9</v>
      </c>
      <c r="P67" s="15">
        <f t="shared" si="1"/>
        <v>9</v>
      </c>
      <c r="R67" s="8"/>
      <c r="T67"/>
    </row>
    <row r="68" spans="2:20" ht="23.1" customHeight="1" x14ac:dyDescent="0.25">
      <c r="B68" s="23" t="s">
        <v>105</v>
      </c>
      <c r="C68" s="49">
        <f>AVERAGE('24.08 TORORO-BUSITEMA-24h'!C68,'27.08 TORORO-BUSITEMA-24h'!C68)</f>
        <v>0.5</v>
      </c>
      <c r="D68" s="49">
        <f>AVERAGE('24.08 TORORO-BUSITEMA-24h'!D68,'27.08 TORORO-BUSITEMA-24h'!D68)</f>
        <v>0</v>
      </c>
      <c r="E68" s="49">
        <f>AVERAGE('24.08 TORORO-BUSITEMA-24h'!E68,'27.08 TORORO-BUSITEMA-24h'!E68)</f>
        <v>0</v>
      </c>
      <c r="F68" s="49">
        <f>AVERAGE('24.08 TORORO-BUSITEMA-24h'!F68,'27.08 TORORO-BUSITEMA-24h'!F68)</f>
        <v>0</v>
      </c>
      <c r="G68" s="49">
        <f>AVERAGE('24.08 TORORO-BUSITEMA-24h'!G68,'27.08 TORORO-BUSITEMA-24h'!G68)</f>
        <v>0</v>
      </c>
      <c r="H68" s="49">
        <f>AVERAGE('24.08 TORORO-BUSITEMA-24h'!H68,'27.08 TORORO-BUSITEMA-24h'!H68)</f>
        <v>0</v>
      </c>
      <c r="I68" s="49">
        <f>AVERAGE('24.08 TORORO-BUSITEMA-24h'!I68,'27.08 TORORO-BUSITEMA-24h'!I68)</f>
        <v>0</v>
      </c>
      <c r="J68" s="49">
        <f>AVERAGE('24.08 TORORO-BUSITEMA-24h'!J68,'27.08 TORORO-BUSITEMA-24h'!J68)</f>
        <v>1</v>
      </c>
      <c r="K68" s="49">
        <f>AVERAGE('24.08 TORORO-BUSITEMA-24h'!K68,'27.08 TORORO-BUSITEMA-24h'!K68)</f>
        <v>0</v>
      </c>
      <c r="L68" s="49">
        <f>AVERAGE('24.08 TORORO-BUSITEMA-24h'!L68,'27.08 TORORO-BUSITEMA-24h'!L68)</f>
        <v>5.5</v>
      </c>
      <c r="M68" s="49">
        <f>AVERAGE('24.08 TORORO-BUSITEMA-24h'!M68,'27.08 TORORO-BUSITEMA-24h'!M68)</f>
        <v>0.5</v>
      </c>
      <c r="N68" s="49">
        <f>AVERAGE('24.08 TORORO-BUSITEMA-24h'!N68,'27.08 TORORO-BUSITEMA-24h'!N68)</f>
        <v>0</v>
      </c>
      <c r="O68" s="15">
        <f t="shared" si="0"/>
        <v>7</v>
      </c>
      <c r="P68" s="15">
        <f t="shared" si="1"/>
        <v>7.5</v>
      </c>
      <c r="R68" s="8"/>
      <c r="T68"/>
    </row>
    <row r="69" spans="2:20" ht="23.1" customHeight="1" x14ac:dyDescent="0.25">
      <c r="B69" s="23" t="s">
        <v>106</v>
      </c>
      <c r="C69" s="49">
        <f>AVERAGE('24.08 TORORO-BUSITEMA-24h'!C69,'27.08 TORORO-BUSITEMA-24h'!C69)</f>
        <v>2.5</v>
      </c>
      <c r="D69" s="49">
        <f>AVERAGE('24.08 TORORO-BUSITEMA-24h'!D69,'27.08 TORORO-BUSITEMA-24h'!D69)</f>
        <v>1</v>
      </c>
      <c r="E69" s="49">
        <f>AVERAGE('24.08 TORORO-BUSITEMA-24h'!E69,'27.08 TORORO-BUSITEMA-24h'!E69)</f>
        <v>0</v>
      </c>
      <c r="F69" s="49">
        <f>AVERAGE('24.08 TORORO-BUSITEMA-24h'!F69,'27.08 TORORO-BUSITEMA-24h'!F69)</f>
        <v>0</v>
      </c>
      <c r="G69" s="49">
        <f>AVERAGE('24.08 TORORO-BUSITEMA-24h'!G69,'27.08 TORORO-BUSITEMA-24h'!G69)</f>
        <v>0</v>
      </c>
      <c r="H69" s="49">
        <f>AVERAGE('24.08 TORORO-BUSITEMA-24h'!H69,'27.08 TORORO-BUSITEMA-24h'!H69)</f>
        <v>0.5</v>
      </c>
      <c r="I69" s="49">
        <f>AVERAGE('24.08 TORORO-BUSITEMA-24h'!I69,'27.08 TORORO-BUSITEMA-24h'!I69)</f>
        <v>0</v>
      </c>
      <c r="J69" s="49">
        <f>AVERAGE('24.08 TORORO-BUSITEMA-24h'!J69,'27.08 TORORO-BUSITEMA-24h'!J69)</f>
        <v>0.5</v>
      </c>
      <c r="K69" s="49">
        <f>AVERAGE('24.08 TORORO-BUSITEMA-24h'!K69,'27.08 TORORO-BUSITEMA-24h'!K69)</f>
        <v>4.5</v>
      </c>
      <c r="L69" s="49">
        <f>AVERAGE('24.08 TORORO-BUSITEMA-24h'!L69,'27.08 TORORO-BUSITEMA-24h'!L69)</f>
        <v>2</v>
      </c>
      <c r="M69" s="49">
        <f>AVERAGE('24.08 TORORO-BUSITEMA-24h'!M69,'27.08 TORORO-BUSITEMA-24h'!M69)</f>
        <v>0</v>
      </c>
      <c r="N69" s="49">
        <f>AVERAGE('24.08 TORORO-BUSITEMA-24h'!N69,'27.08 TORORO-BUSITEMA-24h'!N69)</f>
        <v>0</v>
      </c>
      <c r="O69" s="15">
        <f t="shared" si="0"/>
        <v>11</v>
      </c>
      <c r="P69" s="15">
        <f t="shared" si="1"/>
        <v>11</v>
      </c>
      <c r="R69" s="8"/>
      <c r="T69"/>
    </row>
    <row r="70" spans="2:20" ht="23.1" customHeight="1" x14ac:dyDescent="0.25">
      <c r="B70" s="23" t="s">
        <v>110</v>
      </c>
      <c r="C70" s="49">
        <f>AVERAGE('24.08 TORORO-BUSITEMA-24h'!C70,'27.08 TORORO-BUSITEMA-24h'!C70)</f>
        <v>1</v>
      </c>
      <c r="D70" s="49">
        <f>AVERAGE('24.08 TORORO-BUSITEMA-24h'!D70,'27.08 TORORO-BUSITEMA-24h'!D70)</f>
        <v>0.5</v>
      </c>
      <c r="E70" s="49">
        <f>AVERAGE('24.08 TORORO-BUSITEMA-24h'!E70,'27.08 TORORO-BUSITEMA-24h'!E70)</f>
        <v>0.5</v>
      </c>
      <c r="F70" s="49">
        <f>AVERAGE('24.08 TORORO-BUSITEMA-24h'!F70,'27.08 TORORO-BUSITEMA-24h'!F70)</f>
        <v>1.5</v>
      </c>
      <c r="G70" s="49">
        <f>AVERAGE('24.08 TORORO-BUSITEMA-24h'!G70,'27.08 TORORO-BUSITEMA-24h'!G70)</f>
        <v>0</v>
      </c>
      <c r="H70" s="49">
        <f>AVERAGE('24.08 TORORO-BUSITEMA-24h'!H70,'27.08 TORORO-BUSITEMA-24h'!H70)</f>
        <v>0</v>
      </c>
      <c r="I70" s="49">
        <f>AVERAGE('24.08 TORORO-BUSITEMA-24h'!I70,'27.08 TORORO-BUSITEMA-24h'!I70)</f>
        <v>0</v>
      </c>
      <c r="J70" s="49">
        <f>AVERAGE('24.08 TORORO-BUSITEMA-24h'!J70,'27.08 TORORO-BUSITEMA-24h'!J70)</f>
        <v>2</v>
      </c>
      <c r="K70" s="49">
        <f>AVERAGE('24.08 TORORO-BUSITEMA-24h'!K70,'27.08 TORORO-BUSITEMA-24h'!K70)</f>
        <v>0</v>
      </c>
      <c r="L70" s="49">
        <f>AVERAGE('24.08 TORORO-BUSITEMA-24h'!L70,'27.08 TORORO-BUSITEMA-24h'!L70)</f>
        <v>8.5</v>
      </c>
      <c r="M70" s="49">
        <f>AVERAGE('24.08 TORORO-BUSITEMA-24h'!M70,'27.08 TORORO-BUSITEMA-24h'!M70)</f>
        <v>1</v>
      </c>
      <c r="N70" s="49">
        <f>AVERAGE('24.08 TORORO-BUSITEMA-24h'!N70,'27.08 TORORO-BUSITEMA-24h'!N70)</f>
        <v>0</v>
      </c>
      <c r="O70" s="15">
        <f t="shared" si="0"/>
        <v>14</v>
      </c>
      <c r="P70" s="15">
        <f t="shared" si="1"/>
        <v>15</v>
      </c>
      <c r="R70" s="8"/>
      <c r="T70"/>
    </row>
    <row r="71" spans="2:20" ht="23.1" customHeight="1" x14ac:dyDescent="0.25">
      <c r="B71" s="23" t="s">
        <v>111</v>
      </c>
      <c r="C71" s="49">
        <f>AVERAGE('24.08 TORORO-BUSITEMA-24h'!C71,'27.08 TORORO-BUSITEMA-24h'!C71)</f>
        <v>1.5</v>
      </c>
      <c r="D71" s="49">
        <f>AVERAGE('24.08 TORORO-BUSITEMA-24h'!D71,'27.08 TORORO-BUSITEMA-24h'!D71)</f>
        <v>0.5</v>
      </c>
      <c r="E71" s="49">
        <f>AVERAGE('24.08 TORORO-BUSITEMA-24h'!E71,'27.08 TORORO-BUSITEMA-24h'!E71)</f>
        <v>0</v>
      </c>
      <c r="F71" s="49">
        <f>AVERAGE('24.08 TORORO-BUSITEMA-24h'!F71,'27.08 TORORO-BUSITEMA-24h'!F71)</f>
        <v>1.5</v>
      </c>
      <c r="G71" s="49">
        <f>AVERAGE('24.08 TORORO-BUSITEMA-24h'!G71,'27.08 TORORO-BUSITEMA-24h'!G71)</f>
        <v>0</v>
      </c>
      <c r="H71" s="49">
        <f>AVERAGE('24.08 TORORO-BUSITEMA-24h'!H71,'27.08 TORORO-BUSITEMA-24h'!H71)</f>
        <v>0</v>
      </c>
      <c r="I71" s="49">
        <f>AVERAGE('24.08 TORORO-BUSITEMA-24h'!I71,'27.08 TORORO-BUSITEMA-24h'!I71)</f>
        <v>0.5</v>
      </c>
      <c r="J71" s="49">
        <f>AVERAGE('24.08 TORORO-BUSITEMA-24h'!J71,'27.08 TORORO-BUSITEMA-24h'!J71)</f>
        <v>2.5</v>
      </c>
      <c r="K71" s="49">
        <f>AVERAGE('24.08 TORORO-BUSITEMA-24h'!K71,'27.08 TORORO-BUSITEMA-24h'!K71)</f>
        <v>0</v>
      </c>
      <c r="L71" s="49">
        <f>AVERAGE('24.08 TORORO-BUSITEMA-24h'!L71,'27.08 TORORO-BUSITEMA-24h'!L71)</f>
        <v>3.5</v>
      </c>
      <c r="M71" s="49">
        <f>AVERAGE('24.08 TORORO-BUSITEMA-24h'!M71,'27.08 TORORO-BUSITEMA-24h'!M71)</f>
        <v>0.5</v>
      </c>
      <c r="N71" s="49">
        <f>AVERAGE('24.08 TORORO-BUSITEMA-24h'!N71,'27.08 TORORO-BUSITEMA-24h'!N71)</f>
        <v>0</v>
      </c>
      <c r="O71" s="15">
        <f t="shared" si="0"/>
        <v>10</v>
      </c>
      <c r="P71" s="15">
        <f t="shared" si="1"/>
        <v>10.5</v>
      </c>
      <c r="R71" s="8"/>
      <c r="T71"/>
    </row>
    <row r="72" spans="2:20" ht="23.1" customHeight="1" x14ac:dyDescent="0.25">
      <c r="B72" s="23" t="s">
        <v>112</v>
      </c>
      <c r="C72" s="49">
        <f>AVERAGE('24.08 TORORO-BUSITEMA-24h'!C72,'27.08 TORORO-BUSITEMA-24h'!C72)</f>
        <v>0</v>
      </c>
      <c r="D72" s="49">
        <f>AVERAGE('24.08 TORORO-BUSITEMA-24h'!D72,'27.08 TORORO-BUSITEMA-24h'!D72)</f>
        <v>0</v>
      </c>
      <c r="E72" s="49">
        <f>AVERAGE('24.08 TORORO-BUSITEMA-24h'!E72,'27.08 TORORO-BUSITEMA-24h'!E72)</f>
        <v>0</v>
      </c>
      <c r="F72" s="49">
        <f>AVERAGE('24.08 TORORO-BUSITEMA-24h'!F72,'27.08 TORORO-BUSITEMA-24h'!F72)</f>
        <v>2.5</v>
      </c>
      <c r="G72" s="49">
        <f>AVERAGE('24.08 TORORO-BUSITEMA-24h'!G72,'27.08 TORORO-BUSITEMA-24h'!G72)</f>
        <v>0</v>
      </c>
      <c r="H72" s="49">
        <f>AVERAGE('24.08 TORORO-BUSITEMA-24h'!H72,'27.08 TORORO-BUSITEMA-24h'!H72)</f>
        <v>0</v>
      </c>
      <c r="I72" s="49">
        <f>AVERAGE('24.08 TORORO-BUSITEMA-24h'!I72,'27.08 TORORO-BUSITEMA-24h'!I72)</f>
        <v>0.5</v>
      </c>
      <c r="J72" s="49">
        <f>AVERAGE('24.08 TORORO-BUSITEMA-24h'!J72,'27.08 TORORO-BUSITEMA-24h'!J72)</f>
        <v>5</v>
      </c>
      <c r="K72" s="49">
        <f>AVERAGE('24.08 TORORO-BUSITEMA-24h'!K72,'27.08 TORORO-BUSITEMA-24h'!K72)</f>
        <v>0</v>
      </c>
      <c r="L72" s="49">
        <f>AVERAGE('24.08 TORORO-BUSITEMA-24h'!L72,'27.08 TORORO-BUSITEMA-24h'!L72)</f>
        <v>7</v>
      </c>
      <c r="M72" s="49">
        <f>AVERAGE('24.08 TORORO-BUSITEMA-24h'!M72,'27.08 TORORO-BUSITEMA-24h'!M72)</f>
        <v>0.5</v>
      </c>
      <c r="N72" s="49">
        <f>AVERAGE('24.08 TORORO-BUSITEMA-24h'!N72,'27.08 TORORO-BUSITEMA-24h'!N72)</f>
        <v>0</v>
      </c>
      <c r="O72" s="15">
        <f t="shared" si="0"/>
        <v>15</v>
      </c>
      <c r="P72" s="15">
        <f t="shared" si="1"/>
        <v>15.5</v>
      </c>
      <c r="R72" s="8"/>
      <c r="T72"/>
    </row>
    <row r="73" spans="2:20" ht="23.1" customHeight="1" x14ac:dyDescent="0.25">
      <c r="B73" s="23" t="s">
        <v>113</v>
      </c>
      <c r="C73" s="49">
        <f>AVERAGE('24.08 TORORO-BUSITEMA-24h'!C73,'27.08 TORORO-BUSITEMA-24h'!C73)</f>
        <v>0.5</v>
      </c>
      <c r="D73" s="49">
        <f>AVERAGE('24.08 TORORO-BUSITEMA-24h'!D73,'27.08 TORORO-BUSITEMA-24h'!D73)</f>
        <v>0</v>
      </c>
      <c r="E73" s="49">
        <f>AVERAGE('24.08 TORORO-BUSITEMA-24h'!E73,'27.08 TORORO-BUSITEMA-24h'!E73)</f>
        <v>0.5</v>
      </c>
      <c r="F73" s="49">
        <f>AVERAGE('24.08 TORORO-BUSITEMA-24h'!F73,'27.08 TORORO-BUSITEMA-24h'!F73)</f>
        <v>1</v>
      </c>
      <c r="G73" s="49">
        <f>AVERAGE('24.08 TORORO-BUSITEMA-24h'!G73,'27.08 TORORO-BUSITEMA-24h'!G73)</f>
        <v>0</v>
      </c>
      <c r="H73" s="49">
        <f>AVERAGE('24.08 TORORO-BUSITEMA-24h'!H73,'27.08 TORORO-BUSITEMA-24h'!H73)</f>
        <v>0</v>
      </c>
      <c r="I73" s="49">
        <f>AVERAGE('24.08 TORORO-BUSITEMA-24h'!I73,'27.08 TORORO-BUSITEMA-24h'!I73)</f>
        <v>0</v>
      </c>
      <c r="J73" s="49">
        <f>AVERAGE('24.08 TORORO-BUSITEMA-24h'!J73,'27.08 TORORO-BUSITEMA-24h'!J73)</f>
        <v>2</v>
      </c>
      <c r="K73" s="49">
        <f>AVERAGE('24.08 TORORO-BUSITEMA-24h'!K73,'27.08 TORORO-BUSITEMA-24h'!K73)</f>
        <v>0</v>
      </c>
      <c r="L73" s="49">
        <f>AVERAGE('24.08 TORORO-BUSITEMA-24h'!L73,'27.08 TORORO-BUSITEMA-24h'!L73)</f>
        <v>5.5</v>
      </c>
      <c r="M73" s="49">
        <f>AVERAGE('24.08 TORORO-BUSITEMA-24h'!M73,'27.08 TORORO-BUSITEMA-24h'!M73)</f>
        <v>0</v>
      </c>
      <c r="N73" s="49">
        <f>AVERAGE('24.08 TORORO-BUSITEMA-24h'!N73,'27.08 TORORO-BUSITEMA-24h'!N73)</f>
        <v>0</v>
      </c>
      <c r="O73" s="15">
        <f t="shared" si="0"/>
        <v>9.5</v>
      </c>
      <c r="P73" s="15">
        <f t="shared" si="1"/>
        <v>9.5</v>
      </c>
      <c r="R73" s="8"/>
      <c r="T73"/>
    </row>
    <row r="74" spans="2:20" ht="23.1" customHeight="1" x14ac:dyDescent="0.25">
      <c r="B74" s="23" t="s">
        <v>114</v>
      </c>
      <c r="C74" s="49">
        <f>AVERAGE('24.08 TORORO-BUSITEMA-24h'!C74,'27.08 TORORO-BUSITEMA-24h'!C74)</f>
        <v>0.5</v>
      </c>
      <c r="D74" s="49">
        <f>AVERAGE('24.08 TORORO-BUSITEMA-24h'!D74,'27.08 TORORO-BUSITEMA-24h'!D74)</f>
        <v>0.5</v>
      </c>
      <c r="E74" s="49">
        <f>AVERAGE('24.08 TORORO-BUSITEMA-24h'!E74,'27.08 TORORO-BUSITEMA-24h'!E74)</f>
        <v>1</v>
      </c>
      <c r="F74" s="49">
        <f>AVERAGE('24.08 TORORO-BUSITEMA-24h'!F74,'27.08 TORORO-BUSITEMA-24h'!F74)</f>
        <v>0</v>
      </c>
      <c r="G74" s="49">
        <f>AVERAGE('24.08 TORORO-BUSITEMA-24h'!G74,'27.08 TORORO-BUSITEMA-24h'!G74)</f>
        <v>0</v>
      </c>
      <c r="H74" s="49">
        <f>AVERAGE('24.08 TORORO-BUSITEMA-24h'!H74,'27.08 TORORO-BUSITEMA-24h'!H74)</f>
        <v>0</v>
      </c>
      <c r="I74" s="49">
        <f>AVERAGE('24.08 TORORO-BUSITEMA-24h'!I74,'27.08 TORORO-BUSITEMA-24h'!I74)</f>
        <v>0</v>
      </c>
      <c r="J74" s="49">
        <f>AVERAGE('24.08 TORORO-BUSITEMA-24h'!J74,'27.08 TORORO-BUSITEMA-24h'!J74)</f>
        <v>0</v>
      </c>
      <c r="K74" s="49">
        <f>AVERAGE('24.08 TORORO-BUSITEMA-24h'!K74,'27.08 TORORO-BUSITEMA-24h'!K74)</f>
        <v>0</v>
      </c>
      <c r="L74" s="49">
        <f>AVERAGE('24.08 TORORO-BUSITEMA-24h'!L74,'27.08 TORORO-BUSITEMA-24h'!L74)</f>
        <v>5</v>
      </c>
      <c r="M74" s="49">
        <f>AVERAGE('24.08 TORORO-BUSITEMA-24h'!M74,'27.08 TORORO-BUSITEMA-24h'!M74)</f>
        <v>0</v>
      </c>
      <c r="N74" s="49">
        <f>AVERAGE('24.08 TORORO-BUSITEMA-24h'!N74,'27.08 TORORO-BUSITEMA-24h'!N74)</f>
        <v>0</v>
      </c>
      <c r="O74" s="15">
        <f t="shared" ref="O74:O105" si="35">SUM(C74:L74,N74)</f>
        <v>7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23" t="s">
        <v>115</v>
      </c>
      <c r="C75" s="49">
        <f>AVERAGE('24.08 TORORO-BUSITEMA-24h'!C75,'27.08 TORORO-BUSITEMA-24h'!C75)</f>
        <v>0.5</v>
      </c>
      <c r="D75" s="49">
        <f>AVERAGE('24.08 TORORO-BUSITEMA-24h'!D75,'27.08 TORORO-BUSITEMA-24h'!D75)</f>
        <v>1.5</v>
      </c>
      <c r="E75" s="49">
        <f>AVERAGE('24.08 TORORO-BUSITEMA-24h'!E75,'27.08 TORORO-BUSITEMA-24h'!E75)</f>
        <v>0</v>
      </c>
      <c r="F75" s="49">
        <f>AVERAGE('24.08 TORORO-BUSITEMA-24h'!F75,'27.08 TORORO-BUSITEMA-24h'!F75)</f>
        <v>0.5</v>
      </c>
      <c r="G75" s="49">
        <f>AVERAGE('24.08 TORORO-BUSITEMA-24h'!G75,'27.08 TORORO-BUSITEMA-24h'!G75)</f>
        <v>0</v>
      </c>
      <c r="H75" s="49">
        <f>AVERAGE('24.08 TORORO-BUSITEMA-24h'!H75,'27.08 TORORO-BUSITEMA-24h'!H75)</f>
        <v>0</v>
      </c>
      <c r="I75" s="49">
        <f>AVERAGE('24.08 TORORO-BUSITEMA-24h'!I75,'27.08 TORORO-BUSITEMA-24h'!I75)</f>
        <v>0</v>
      </c>
      <c r="J75" s="49">
        <f>AVERAGE('24.08 TORORO-BUSITEMA-24h'!J75,'27.08 TORORO-BUSITEMA-24h'!J75)</f>
        <v>0.5</v>
      </c>
      <c r="K75" s="49">
        <f>AVERAGE('24.08 TORORO-BUSITEMA-24h'!K75,'27.08 TORORO-BUSITEMA-24h'!K75)</f>
        <v>0</v>
      </c>
      <c r="L75" s="49">
        <f>AVERAGE('24.08 TORORO-BUSITEMA-24h'!L75,'27.08 TORORO-BUSITEMA-24h'!L75)</f>
        <v>5.5</v>
      </c>
      <c r="M75" s="49">
        <f>AVERAGE('24.08 TORORO-BUSITEMA-24h'!M75,'27.08 TORORO-BUSITEMA-24h'!M75)</f>
        <v>0</v>
      </c>
      <c r="N75" s="49">
        <f>AVERAGE('24.08 TORORO-BUSITEMA-24h'!N75,'27.08 TORORO-BUSITEMA-24h'!N75)</f>
        <v>0</v>
      </c>
      <c r="O75" s="15">
        <f t="shared" si="35"/>
        <v>8.5</v>
      </c>
      <c r="P75" s="15">
        <f t="shared" si="36"/>
        <v>8.5</v>
      </c>
      <c r="R75" s="8"/>
      <c r="T75"/>
    </row>
    <row r="76" spans="2:20" ht="23.1" customHeight="1" x14ac:dyDescent="0.25">
      <c r="B76" s="23" t="s">
        <v>116</v>
      </c>
      <c r="C76" s="49">
        <f>AVERAGE('24.08 TORORO-BUSITEMA-24h'!C76,'27.08 TORORO-BUSITEMA-24h'!C76)</f>
        <v>0</v>
      </c>
      <c r="D76" s="49">
        <f>AVERAGE('24.08 TORORO-BUSITEMA-24h'!D76,'27.08 TORORO-BUSITEMA-24h'!D76)</f>
        <v>0.5</v>
      </c>
      <c r="E76" s="49">
        <f>AVERAGE('24.08 TORORO-BUSITEMA-24h'!E76,'27.08 TORORO-BUSITEMA-24h'!E76)</f>
        <v>0</v>
      </c>
      <c r="F76" s="49">
        <f>AVERAGE('24.08 TORORO-BUSITEMA-24h'!F76,'27.08 TORORO-BUSITEMA-24h'!F76)</f>
        <v>0</v>
      </c>
      <c r="G76" s="49">
        <f>AVERAGE('24.08 TORORO-BUSITEMA-24h'!G76,'27.08 TORORO-BUSITEMA-24h'!G76)</f>
        <v>0</v>
      </c>
      <c r="H76" s="49">
        <f>AVERAGE('24.08 TORORO-BUSITEMA-24h'!H76,'27.08 TORORO-BUSITEMA-24h'!H76)</f>
        <v>0</v>
      </c>
      <c r="I76" s="49">
        <f>AVERAGE('24.08 TORORO-BUSITEMA-24h'!I76,'27.08 TORORO-BUSITEMA-24h'!I76)</f>
        <v>0</v>
      </c>
      <c r="J76" s="49">
        <f>AVERAGE('24.08 TORORO-BUSITEMA-24h'!J76,'27.08 TORORO-BUSITEMA-24h'!J76)</f>
        <v>0</v>
      </c>
      <c r="K76" s="49">
        <f>AVERAGE('24.08 TORORO-BUSITEMA-24h'!K76,'27.08 TORORO-BUSITEMA-24h'!K76)</f>
        <v>0</v>
      </c>
      <c r="L76" s="49">
        <f>AVERAGE('24.08 TORORO-BUSITEMA-24h'!L76,'27.08 TORORO-BUSITEMA-24h'!L76)</f>
        <v>9.5</v>
      </c>
      <c r="M76" s="49">
        <f>AVERAGE('24.08 TORORO-BUSITEMA-24h'!M76,'27.08 TORORO-BUSITEMA-24h'!M76)</f>
        <v>0</v>
      </c>
      <c r="N76" s="49">
        <f>AVERAGE('24.08 TORORO-BUSITEMA-24h'!N76,'27.08 TORORO-BUSITEMA-24h'!N76)</f>
        <v>0</v>
      </c>
      <c r="O76" s="15">
        <f t="shared" si="35"/>
        <v>10</v>
      </c>
      <c r="P76" s="15">
        <f t="shared" si="36"/>
        <v>10</v>
      </c>
      <c r="R76" s="8"/>
      <c r="T76"/>
    </row>
    <row r="77" spans="2:20" ht="23.1" customHeight="1" x14ac:dyDescent="0.25">
      <c r="B77" s="23" t="s">
        <v>117</v>
      </c>
      <c r="C77" s="49">
        <f>AVERAGE('24.08 TORORO-BUSITEMA-24h'!C77,'27.08 TORORO-BUSITEMA-24h'!C77)</f>
        <v>0.5</v>
      </c>
      <c r="D77" s="49">
        <f>AVERAGE('24.08 TORORO-BUSITEMA-24h'!D77,'27.08 TORORO-BUSITEMA-24h'!D77)</f>
        <v>0.5</v>
      </c>
      <c r="E77" s="49">
        <f>AVERAGE('24.08 TORORO-BUSITEMA-24h'!E77,'27.08 TORORO-BUSITEMA-24h'!E77)</f>
        <v>0.5</v>
      </c>
      <c r="F77" s="49">
        <f>AVERAGE('24.08 TORORO-BUSITEMA-24h'!F77,'27.08 TORORO-BUSITEMA-24h'!F77)</f>
        <v>0.5</v>
      </c>
      <c r="G77" s="49">
        <f>AVERAGE('24.08 TORORO-BUSITEMA-24h'!G77,'27.08 TORORO-BUSITEMA-24h'!G77)</f>
        <v>0</v>
      </c>
      <c r="H77" s="49">
        <f>AVERAGE('24.08 TORORO-BUSITEMA-24h'!H77,'27.08 TORORO-BUSITEMA-24h'!H77)</f>
        <v>0</v>
      </c>
      <c r="I77" s="49">
        <f>AVERAGE('24.08 TORORO-BUSITEMA-24h'!I77,'27.08 TORORO-BUSITEMA-24h'!I77)</f>
        <v>0</v>
      </c>
      <c r="J77" s="49">
        <f>AVERAGE('24.08 TORORO-BUSITEMA-24h'!J77,'27.08 TORORO-BUSITEMA-24h'!J77)</f>
        <v>1</v>
      </c>
      <c r="K77" s="49">
        <f>AVERAGE('24.08 TORORO-BUSITEMA-24h'!K77,'27.08 TORORO-BUSITEMA-24h'!K77)</f>
        <v>0</v>
      </c>
      <c r="L77" s="49">
        <f>AVERAGE('24.08 TORORO-BUSITEMA-24h'!L77,'27.08 TORORO-BUSITEMA-24h'!L77)</f>
        <v>1.5</v>
      </c>
      <c r="M77" s="49">
        <f>AVERAGE('24.08 TORORO-BUSITEMA-24h'!M77,'27.08 TORORO-BUSITEMA-24h'!M77)</f>
        <v>0</v>
      </c>
      <c r="N77" s="49">
        <f>AVERAGE('24.08 TORORO-BUSITEMA-24h'!N77,'27.08 TORORO-BUSITEMA-24h'!N77)</f>
        <v>0</v>
      </c>
      <c r="O77" s="15">
        <f t="shared" si="35"/>
        <v>4.5</v>
      </c>
      <c r="P77" s="15">
        <f t="shared" si="36"/>
        <v>4.5</v>
      </c>
      <c r="R77" s="8"/>
      <c r="T77"/>
    </row>
    <row r="78" spans="2:20" ht="23.1" customHeight="1" x14ac:dyDescent="0.25">
      <c r="B78" s="24" t="s">
        <v>118</v>
      </c>
      <c r="C78" s="49">
        <f>AVERAGE('24.08 TORORO-BUSITEMA-24h'!C78,'27.08 TORORO-BUSITEMA-24h'!C78)</f>
        <v>0</v>
      </c>
      <c r="D78" s="49">
        <f>AVERAGE('24.08 TORORO-BUSITEMA-24h'!D78,'27.08 TORORO-BUSITEMA-24h'!D78)</f>
        <v>0</v>
      </c>
      <c r="E78" s="49">
        <f>AVERAGE('24.08 TORORO-BUSITEMA-24h'!E78,'27.08 TORORO-BUSITEMA-24h'!E78)</f>
        <v>0.5</v>
      </c>
      <c r="F78" s="49">
        <f>AVERAGE('24.08 TORORO-BUSITEMA-24h'!F78,'27.08 TORORO-BUSITEMA-24h'!F78)</f>
        <v>0</v>
      </c>
      <c r="G78" s="49">
        <f>AVERAGE('24.08 TORORO-BUSITEMA-24h'!G78,'27.08 TORORO-BUSITEMA-24h'!G78)</f>
        <v>0</v>
      </c>
      <c r="H78" s="49">
        <f>AVERAGE('24.08 TORORO-BUSITEMA-24h'!H78,'27.08 TORORO-BUSITEMA-24h'!H78)</f>
        <v>0</v>
      </c>
      <c r="I78" s="49">
        <f>AVERAGE('24.08 TORORO-BUSITEMA-24h'!I78,'27.08 TORORO-BUSITEMA-24h'!I78)</f>
        <v>0</v>
      </c>
      <c r="J78" s="49">
        <f>AVERAGE('24.08 TORORO-BUSITEMA-24h'!J78,'27.08 TORORO-BUSITEMA-24h'!J78)</f>
        <v>1.5</v>
      </c>
      <c r="K78" s="49">
        <f>AVERAGE('24.08 TORORO-BUSITEMA-24h'!K78,'27.08 TORORO-BUSITEMA-24h'!K78)</f>
        <v>0</v>
      </c>
      <c r="L78" s="49">
        <f>AVERAGE('24.08 TORORO-BUSITEMA-24h'!L78,'27.08 TORORO-BUSITEMA-24h'!L78)</f>
        <v>2.5</v>
      </c>
      <c r="M78" s="49">
        <f>AVERAGE('24.08 TORORO-BUSITEMA-24h'!M78,'27.08 TORORO-BUSITEMA-24h'!M78)</f>
        <v>0</v>
      </c>
      <c r="N78" s="49">
        <f>AVERAGE('24.08 TORORO-BUSITEMA-24h'!N78,'27.08 TORORO-BUSITEMA-24h'!N78)</f>
        <v>0</v>
      </c>
      <c r="O78" s="15">
        <f t="shared" si="35"/>
        <v>4.5</v>
      </c>
      <c r="P78" s="15">
        <f t="shared" si="36"/>
        <v>4.5</v>
      </c>
      <c r="R78" s="8"/>
      <c r="T78"/>
    </row>
    <row r="79" spans="2:20" ht="23.1" customHeight="1" x14ac:dyDescent="0.25">
      <c r="B79" s="23" t="s">
        <v>119</v>
      </c>
      <c r="C79" s="49">
        <f>AVERAGE('24.08 TORORO-BUSITEMA-24h'!C79,'27.08 TORORO-BUSITEMA-24h'!C79)</f>
        <v>0</v>
      </c>
      <c r="D79" s="49">
        <f>AVERAGE('24.08 TORORO-BUSITEMA-24h'!D79,'27.08 TORORO-BUSITEMA-24h'!D79)</f>
        <v>0.5</v>
      </c>
      <c r="E79" s="49">
        <f>AVERAGE('24.08 TORORO-BUSITEMA-24h'!E79,'27.08 TORORO-BUSITEMA-24h'!E79)</f>
        <v>0</v>
      </c>
      <c r="F79" s="49">
        <f>AVERAGE('24.08 TORORO-BUSITEMA-24h'!F79,'27.08 TORORO-BUSITEMA-24h'!F79)</f>
        <v>0</v>
      </c>
      <c r="G79" s="49">
        <f>AVERAGE('24.08 TORORO-BUSITEMA-24h'!G79,'27.08 TORORO-BUSITEMA-24h'!G79)</f>
        <v>0</v>
      </c>
      <c r="H79" s="49">
        <f>AVERAGE('24.08 TORORO-BUSITEMA-24h'!H79,'27.08 TORORO-BUSITEMA-24h'!H79)</f>
        <v>0.5</v>
      </c>
      <c r="I79" s="49">
        <f>AVERAGE('24.08 TORORO-BUSITEMA-24h'!I79,'27.08 TORORO-BUSITEMA-24h'!I79)</f>
        <v>1</v>
      </c>
      <c r="J79" s="49">
        <f>AVERAGE('24.08 TORORO-BUSITEMA-24h'!J79,'27.08 TORORO-BUSITEMA-24h'!J79)</f>
        <v>0.5</v>
      </c>
      <c r="K79" s="49">
        <f>AVERAGE('24.08 TORORO-BUSITEMA-24h'!K79,'27.08 TORORO-BUSITEMA-24h'!K79)</f>
        <v>0</v>
      </c>
      <c r="L79" s="49">
        <f>AVERAGE('24.08 TORORO-BUSITEMA-24h'!L79,'27.08 TORORO-BUSITEMA-24h'!L79)</f>
        <v>1</v>
      </c>
      <c r="M79" s="49">
        <f>AVERAGE('24.08 TORORO-BUSITEMA-24h'!M79,'27.08 TORORO-BUSITEMA-24h'!M79)</f>
        <v>3</v>
      </c>
      <c r="N79" s="49">
        <f>AVERAGE('24.08 TORORO-BUSITEMA-24h'!N79,'27.08 TORORO-BUSITEMA-24h'!N79)</f>
        <v>0</v>
      </c>
      <c r="O79" s="15">
        <f t="shared" si="35"/>
        <v>3.5</v>
      </c>
      <c r="P79" s="15">
        <f t="shared" si="36"/>
        <v>6.5</v>
      </c>
      <c r="R79" s="8"/>
      <c r="T79"/>
    </row>
    <row r="80" spans="2:20" ht="23.1" customHeight="1" x14ac:dyDescent="0.25">
      <c r="B80" s="25" t="s">
        <v>120</v>
      </c>
      <c r="C80" s="49">
        <f>AVERAGE('24.08 TORORO-BUSITEMA-24h'!C80,'27.08 TORORO-BUSITEMA-24h'!C80)</f>
        <v>0</v>
      </c>
      <c r="D80" s="49">
        <f>AVERAGE('24.08 TORORO-BUSITEMA-24h'!D80,'27.08 TORORO-BUSITEMA-24h'!D80)</f>
        <v>0</v>
      </c>
      <c r="E80" s="49">
        <f>AVERAGE('24.08 TORORO-BUSITEMA-24h'!E80,'27.08 TORORO-BUSITEMA-24h'!E80)</f>
        <v>0</v>
      </c>
      <c r="F80" s="49">
        <f>AVERAGE('24.08 TORORO-BUSITEMA-24h'!F80,'27.08 TORORO-BUSITEMA-24h'!F80)</f>
        <v>0</v>
      </c>
      <c r="G80" s="49">
        <f>AVERAGE('24.08 TORORO-BUSITEMA-24h'!G80,'27.08 TORORO-BUSITEMA-24h'!G80)</f>
        <v>0</v>
      </c>
      <c r="H80" s="49">
        <f>AVERAGE('24.08 TORORO-BUSITEMA-24h'!H80,'27.08 TORORO-BUSITEMA-24h'!H80)</f>
        <v>0</v>
      </c>
      <c r="I80" s="49">
        <f>AVERAGE('24.08 TORORO-BUSITEMA-24h'!I80,'27.08 TORORO-BUSITEMA-24h'!I80)</f>
        <v>0</v>
      </c>
      <c r="J80" s="49">
        <f>AVERAGE('24.08 TORORO-BUSITEMA-24h'!J80,'27.08 TORORO-BUSITEMA-24h'!J80)</f>
        <v>2</v>
      </c>
      <c r="K80" s="49">
        <f>AVERAGE('24.08 TORORO-BUSITEMA-24h'!K80,'27.08 TORORO-BUSITEMA-24h'!K80)</f>
        <v>0</v>
      </c>
      <c r="L80" s="49">
        <f>AVERAGE('24.08 TORORO-BUSITEMA-24h'!L80,'27.08 TORORO-BUSITEMA-24h'!L80)</f>
        <v>3.5</v>
      </c>
      <c r="M80" s="49">
        <f>AVERAGE('24.08 TORORO-BUSITEMA-24h'!M80,'27.08 TORORO-BUSITEMA-24h'!M80)</f>
        <v>0</v>
      </c>
      <c r="N80" s="49">
        <f>AVERAGE('24.08 TORORO-BUSITEMA-24h'!N80,'27.08 TORORO-BUSITEMA-24h'!N80)</f>
        <v>0</v>
      </c>
      <c r="O80" s="15">
        <f t="shared" si="35"/>
        <v>5.5</v>
      </c>
      <c r="P80" s="15">
        <f t="shared" si="36"/>
        <v>5.5</v>
      </c>
      <c r="R80" s="8"/>
      <c r="T80"/>
    </row>
    <row r="81" spans="2:20" ht="23.1" customHeight="1" x14ac:dyDescent="0.25">
      <c r="B81" s="23" t="s">
        <v>121</v>
      </c>
      <c r="C81" s="49">
        <f>AVERAGE('24.08 TORORO-BUSITEMA-24h'!C81,'27.08 TORORO-BUSITEMA-24h'!C81)</f>
        <v>0</v>
      </c>
      <c r="D81" s="49">
        <f>AVERAGE('24.08 TORORO-BUSITEMA-24h'!D81,'27.08 TORORO-BUSITEMA-24h'!D81)</f>
        <v>0.5</v>
      </c>
      <c r="E81" s="49">
        <f>AVERAGE('24.08 TORORO-BUSITEMA-24h'!E81,'27.08 TORORO-BUSITEMA-24h'!E81)</f>
        <v>0</v>
      </c>
      <c r="F81" s="49">
        <f>AVERAGE('24.08 TORORO-BUSITEMA-24h'!F81,'27.08 TORORO-BUSITEMA-24h'!F81)</f>
        <v>0</v>
      </c>
      <c r="G81" s="49">
        <f>AVERAGE('24.08 TORORO-BUSITEMA-24h'!G81,'27.08 TORORO-BUSITEMA-24h'!G81)</f>
        <v>0</v>
      </c>
      <c r="H81" s="49">
        <f>AVERAGE('24.08 TORORO-BUSITEMA-24h'!H81,'27.08 TORORO-BUSITEMA-24h'!H81)</f>
        <v>0</v>
      </c>
      <c r="I81" s="49">
        <f>AVERAGE('24.08 TORORO-BUSITEMA-24h'!I81,'27.08 TORORO-BUSITEMA-24h'!I81)</f>
        <v>0.5</v>
      </c>
      <c r="J81" s="49">
        <f>AVERAGE('24.08 TORORO-BUSITEMA-24h'!J81,'27.08 TORORO-BUSITEMA-24h'!J81)</f>
        <v>0.5</v>
      </c>
      <c r="K81" s="49">
        <f>AVERAGE('24.08 TORORO-BUSITEMA-24h'!K81,'27.08 TORORO-BUSITEMA-24h'!K81)</f>
        <v>0</v>
      </c>
      <c r="L81" s="49">
        <f>AVERAGE('24.08 TORORO-BUSITEMA-24h'!L81,'27.08 TORORO-BUSITEMA-24h'!L81)</f>
        <v>5.5</v>
      </c>
      <c r="M81" s="49">
        <f>AVERAGE('24.08 TORORO-BUSITEMA-24h'!M81,'27.08 TORORO-BUSITEMA-24h'!M81)</f>
        <v>0</v>
      </c>
      <c r="N81" s="49">
        <f>AVERAGE('24.08 TORORO-BUSITEMA-24h'!N81,'27.08 TORORO-BUSITEMA-24h'!N81)</f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AVERAGE('24.08 TORORO-BUSITEMA-24h'!C82,'27.08 TORORO-BUSITEMA-24h'!C82)</f>
        <v>0</v>
      </c>
      <c r="D82" s="49">
        <f>AVERAGE('24.08 TORORO-BUSITEMA-24h'!D82,'27.08 TORORO-BUSITEMA-24h'!D82)</f>
        <v>0</v>
      </c>
      <c r="E82" s="49">
        <f>AVERAGE('24.08 TORORO-BUSITEMA-24h'!E82,'27.08 TORORO-BUSITEMA-24h'!E82)</f>
        <v>0</v>
      </c>
      <c r="F82" s="49">
        <f>AVERAGE('24.08 TORORO-BUSITEMA-24h'!F82,'27.08 TORORO-BUSITEMA-24h'!F82)</f>
        <v>0</v>
      </c>
      <c r="G82" s="49">
        <f>AVERAGE('24.08 TORORO-BUSITEMA-24h'!G82,'27.08 TORORO-BUSITEMA-24h'!G82)</f>
        <v>0</v>
      </c>
      <c r="H82" s="49">
        <f>AVERAGE('24.08 TORORO-BUSITEMA-24h'!H82,'27.08 TORORO-BUSITEMA-24h'!H82)</f>
        <v>0</v>
      </c>
      <c r="I82" s="49">
        <f>AVERAGE('24.08 TORORO-BUSITEMA-24h'!I82,'27.08 TORORO-BUSITEMA-24h'!I82)</f>
        <v>0</v>
      </c>
      <c r="J82" s="49">
        <f>AVERAGE('24.08 TORORO-BUSITEMA-24h'!J82,'27.08 TORORO-BUSITEMA-24h'!J82)</f>
        <v>0</v>
      </c>
      <c r="K82" s="49">
        <f>AVERAGE('24.08 TORORO-BUSITEMA-24h'!K82,'27.08 TORORO-BUSITEMA-24h'!K82)</f>
        <v>0</v>
      </c>
      <c r="L82" s="49">
        <f>AVERAGE('24.08 TORORO-BUSITEMA-24h'!L82,'27.08 TORORO-BUSITEMA-24h'!L82)</f>
        <v>3.5</v>
      </c>
      <c r="M82" s="49">
        <f>AVERAGE('24.08 TORORO-BUSITEMA-24h'!M82,'27.08 TORORO-BUSITEMA-24h'!M82)</f>
        <v>0</v>
      </c>
      <c r="N82" s="49">
        <f>AVERAGE('24.08 TORORO-BUSITEMA-24h'!N82,'27.08 TORORO-BUSITEMA-24h'!N82)</f>
        <v>0</v>
      </c>
      <c r="O82" s="15">
        <f t="shared" si="35"/>
        <v>3.5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AVERAGE('24.08 TORORO-BUSITEMA-24h'!C83,'27.08 TORORO-BUSITEMA-24h'!C83)</f>
        <v>0</v>
      </c>
      <c r="D83" s="49">
        <f>AVERAGE('24.08 TORORO-BUSITEMA-24h'!D83,'27.08 TORORO-BUSITEMA-24h'!D83)</f>
        <v>0</v>
      </c>
      <c r="E83" s="49">
        <f>AVERAGE('24.08 TORORO-BUSITEMA-24h'!E83,'27.08 TORORO-BUSITEMA-24h'!E83)</f>
        <v>0</v>
      </c>
      <c r="F83" s="49">
        <f>AVERAGE('24.08 TORORO-BUSITEMA-24h'!F83,'27.08 TORORO-BUSITEMA-24h'!F83)</f>
        <v>0</v>
      </c>
      <c r="G83" s="49">
        <f>AVERAGE('24.08 TORORO-BUSITEMA-24h'!G83,'27.08 TORORO-BUSITEMA-24h'!G83)</f>
        <v>0</v>
      </c>
      <c r="H83" s="49">
        <f>AVERAGE('24.08 TORORO-BUSITEMA-24h'!H83,'27.08 TORORO-BUSITEMA-24h'!H83)</f>
        <v>0.5</v>
      </c>
      <c r="I83" s="49">
        <f>AVERAGE('24.08 TORORO-BUSITEMA-24h'!I83,'27.08 TORORO-BUSITEMA-24h'!I83)</f>
        <v>0</v>
      </c>
      <c r="J83" s="49">
        <f>AVERAGE('24.08 TORORO-BUSITEMA-24h'!J83,'27.08 TORORO-BUSITEMA-24h'!J83)</f>
        <v>0</v>
      </c>
      <c r="K83" s="49">
        <f>AVERAGE('24.08 TORORO-BUSITEMA-24h'!K83,'27.08 TORORO-BUSITEMA-24h'!K83)</f>
        <v>0</v>
      </c>
      <c r="L83" s="49">
        <f>AVERAGE('24.08 TORORO-BUSITEMA-24h'!L83,'27.08 TORORO-BUSITEMA-24h'!L83)</f>
        <v>3</v>
      </c>
      <c r="M83" s="49">
        <f>AVERAGE('24.08 TORORO-BUSITEMA-24h'!M83,'27.08 TORORO-BUSITEMA-24h'!M83)</f>
        <v>0</v>
      </c>
      <c r="N83" s="49">
        <f>AVERAGE('24.08 TORORO-BUSITEMA-24h'!N83,'27.08 TORORO-BUSITEMA-24h'!N83)</f>
        <v>0</v>
      </c>
      <c r="O83" s="15">
        <f t="shared" si="35"/>
        <v>3.5</v>
      </c>
      <c r="P83" s="15">
        <f t="shared" si="36"/>
        <v>3.5</v>
      </c>
      <c r="R83" s="8"/>
      <c r="T83"/>
    </row>
    <row r="84" spans="2:20" ht="23.1" customHeight="1" x14ac:dyDescent="0.25">
      <c r="B84" s="25" t="s">
        <v>124</v>
      </c>
      <c r="C84" s="49">
        <f>AVERAGE('24.08 TORORO-BUSITEMA-24h'!C84,'27.08 TORORO-BUSITEMA-24h'!C84)</f>
        <v>0</v>
      </c>
      <c r="D84" s="49">
        <f>AVERAGE('24.08 TORORO-BUSITEMA-24h'!D84,'27.08 TORORO-BUSITEMA-24h'!D84)</f>
        <v>0.5</v>
      </c>
      <c r="E84" s="49">
        <f>AVERAGE('24.08 TORORO-BUSITEMA-24h'!E84,'27.08 TORORO-BUSITEMA-24h'!E84)</f>
        <v>0</v>
      </c>
      <c r="F84" s="49">
        <f>AVERAGE('24.08 TORORO-BUSITEMA-24h'!F84,'27.08 TORORO-BUSITEMA-24h'!F84)</f>
        <v>0</v>
      </c>
      <c r="G84" s="49">
        <f>AVERAGE('24.08 TORORO-BUSITEMA-24h'!G84,'27.08 TORORO-BUSITEMA-24h'!G84)</f>
        <v>0</v>
      </c>
      <c r="H84" s="49">
        <f>AVERAGE('24.08 TORORO-BUSITEMA-24h'!H84,'27.08 TORORO-BUSITEMA-24h'!H84)</f>
        <v>0.5</v>
      </c>
      <c r="I84" s="49">
        <f>AVERAGE('24.08 TORORO-BUSITEMA-24h'!I84,'27.08 TORORO-BUSITEMA-24h'!I84)</f>
        <v>0</v>
      </c>
      <c r="J84" s="49">
        <f>AVERAGE('24.08 TORORO-BUSITEMA-24h'!J84,'27.08 TORORO-BUSITEMA-24h'!J84)</f>
        <v>1</v>
      </c>
      <c r="K84" s="49">
        <f>AVERAGE('24.08 TORORO-BUSITEMA-24h'!K84,'27.08 TORORO-BUSITEMA-24h'!K84)</f>
        <v>0</v>
      </c>
      <c r="L84" s="49">
        <f>AVERAGE('24.08 TORORO-BUSITEMA-24h'!L84,'27.08 TORORO-BUSITEMA-24h'!L84)</f>
        <v>3</v>
      </c>
      <c r="M84" s="49">
        <f>AVERAGE('24.08 TORORO-BUSITEMA-24h'!M84,'27.08 TORORO-BUSITEMA-24h'!M84)</f>
        <v>0</v>
      </c>
      <c r="N84" s="49">
        <f>AVERAGE('24.08 TORORO-BUSITEMA-24h'!N84,'27.08 TORORO-BUSITEMA-24h'!N84)</f>
        <v>0</v>
      </c>
      <c r="O84" s="15">
        <f t="shared" si="35"/>
        <v>5</v>
      </c>
      <c r="P84" s="15">
        <f t="shared" si="36"/>
        <v>5</v>
      </c>
      <c r="R84" s="8"/>
      <c r="T84"/>
    </row>
    <row r="85" spans="2:20" ht="23.1" customHeight="1" x14ac:dyDescent="0.25">
      <c r="B85" s="23" t="s">
        <v>125</v>
      </c>
      <c r="C85" s="49">
        <f>AVERAGE('24.08 TORORO-BUSITEMA-24h'!C85,'27.08 TORORO-BUSITEMA-24h'!C85)</f>
        <v>0</v>
      </c>
      <c r="D85" s="49">
        <f>AVERAGE('24.08 TORORO-BUSITEMA-24h'!D85,'27.08 TORORO-BUSITEMA-24h'!D85)</f>
        <v>0</v>
      </c>
      <c r="E85" s="49">
        <f>AVERAGE('24.08 TORORO-BUSITEMA-24h'!E85,'27.08 TORORO-BUSITEMA-24h'!E85)</f>
        <v>0</v>
      </c>
      <c r="F85" s="49">
        <f>AVERAGE('24.08 TORORO-BUSITEMA-24h'!F85,'27.08 TORORO-BUSITEMA-24h'!F85)</f>
        <v>0</v>
      </c>
      <c r="G85" s="49">
        <f>AVERAGE('24.08 TORORO-BUSITEMA-24h'!G85,'27.08 TORORO-BUSITEMA-24h'!G85)</f>
        <v>0</v>
      </c>
      <c r="H85" s="49">
        <f>AVERAGE('24.08 TORORO-BUSITEMA-24h'!H85,'27.08 TORORO-BUSITEMA-24h'!H85)</f>
        <v>0</v>
      </c>
      <c r="I85" s="49">
        <f>AVERAGE('24.08 TORORO-BUSITEMA-24h'!I85,'27.08 TORORO-BUSITEMA-24h'!I85)</f>
        <v>0</v>
      </c>
      <c r="J85" s="49">
        <f>AVERAGE('24.08 TORORO-BUSITEMA-24h'!J85,'27.08 TORORO-BUSITEMA-24h'!J85)</f>
        <v>1</v>
      </c>
      <c r="K85" s="49">
        <f>AVERAGE('24.08 TORORO-BUSITEMA-24h'!K85,'27.08 TORORO-BUSITEMA-24h'!K85)</f>
        <v>0</v>
      </c>
      <c r="L85" s="49">
        <f>AVERAGE('24.08 TORORO-BUSITEMA-24h'!L85,'27.08 TORORO-BUSITEMA-24h'!L85)</f>
        <v>2</v>
      </c>
      <c r="M85" s="49">
        <f>AVERAGE('24.08 TORORO-BUSITEMA-24h'!M85,'27.08 TORORO-BUSITEMA-24h'!M85)</f>
        <v>0</v>
      </c>
      <c r="N85" s="49">
        <f>AVERAGE('24.08 TORORO-BUSITEMA-24h'!N85,'27.08 TORORO-BUSITEMA-24h'!N85)</f>
        <v>0</v>
      </c>
      <c r="O85" s="15">
        <f t="shared" si="35"/>
        <v>3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AVERAGE('24.08 TORORO-BUSITEMA-24h'!C86,'27.08 TORORO-BUSITEMA-24h'!C86)</f>
        <v>0</v>
      </c>
      <c r="D86" s="49">
        <f>AVERAGE('24.08 TORORO-BUSITEMA-24h'!D86,'27.08 TORORO-BUSITEMA-24h'!D86)</f>
        <v>1</v>
      </c>
      <c r="E86" s="49">
        <f>AVERAGE('24.08 TORORO-BUSITEMA-24h'!E86,'27.08 TORORO-BUSITEMA-24h'!E86)</f>
        <v>0</v>
      </c>
      <c r="F86" s="49">
        <f>AVERAGE('24.08 TORORO-BUSITEMA-24h'!F86,'27.08 TORORO-BUSITEMA-24h'!F86)</f>
        <v>0</v>
      </c>
      <c r="G86" s="49">
        <f>AVERAGE('24.08 TORORO-BUSITEMA-24h'!G86,'27.08 TORORO-BUSITEMA-24h'!G86)</f>
        <v>0</v>
      </c>
      <c r="H86" s="49">
        <f>AVERAGE('24.08 TORORO-BUSITEMA-24h'!H86,'27.08 TORORO-BUSITEMA-24h'!H86)</f>
        <v>0.5</v>
      </c>
      <c r="I86" s="49">
        <f>AVERAGE('24.08 TORORO-BUSITEMA-24h'!I86,'27.08 TORORO-BUSITEMA-24h'!I86)</f>
        <v>0</v>
      </c>
      <c r="J86" s="49">
        <f>AVERAGE('24.08 TORORO-BUSITEMA-24h'!J86,'27.08 TORORO-BUSITEMA-24h'!J86)</f>
        <v>0.5</v>
      </c>
      <c r="K86" s="49">
        <f>AVERAGE('24.08 TORORO-BUSITEMA-24h'!K86,'27.08 TORORO-BUSITEMA-24h'!K86)</f>
        <v>0</v>
      </c>
      <c r="L86" s="49">
        <f>AVERAGE('24.08 TORORO-BUSITEMA-24h'!L86,'27.08 TORORO-BUSITEMA-24h'!L86)</f>
        <v>5.5</v>
      </c>
      <c r="M86" s="49">
        <f>AVERAGE('24.08 TORORO-BUSITEMA-24h'!M86,'27.08 TORORO-BUSITEMA-24h'!M86)</f>
        <v>0</v>
      </c>
      <c r="N86" s="49">
        <f>AVERAGE('24.08 TORORO-BUSITEMA-24h'!N86,'27.08 TORORO-BUSITEMA-24h'!N86)</f>
        <v>0</v>
      </c>
      <c r="O86" s="15">
        <f t="shared" si="35"/>
        <v>7.5</v>
      </c>
      <c r="P86" s="15">
        <f t="shared" si="36"/>
        <v>7.5</v>
      </c>
      <c r="R86" s="8"/>
      <c r="T86"/>
    </row>
    <row r="87" spans="2:20" ht="23.1" customHeight="1" x14ac:dyDescent="0.25">
      <c r="B87" s="23" t="s">
        <v>127</v>
      </c>
      <c r="C87" s="49">
        <f>AVERAGE('24.08 TORORO-BUSITEMA-24h'!C87,'27.08 TORORO-BUSITEMA-24h'!C87)</f>
        <v>0.5</v>
      </c>
      <c r="D87" s="49">
        <f>AVERAGE('24.08 TORORO-BUSITEMA-24h'!D87,'27.08 TORORO-BUSITEMA-24h'!D87)</f>
        <v>0</v>
      </c>
      <c r="E87" s="49">
        <f>AVERAGE('24.08 TORORO-BUSITEMA-24h'!E87,'27.08 TORORO-BUSITEMA-24h'!E87)</f>
        <v>0</v>
      </c>
      <c r="F87" s="49">
        <f>AVERAGE('24.08 TORORO-BUSITEMA-24h'!F87,'27.08 TORORO-BUSITEMA-24h'!F87)</f>
        <v>0</v>
      </c>
      <c r="G87" s="49">
        <f>AVERAGE('24.08 TORORO-BUSITEMA-24h'!G87,'27.08 TORORO-BUSITEMA-24h'!G87)</f>
        <v>0</v>
      </c>
      <c r="H87" s="49">
        <f>AVERAGE('24.08 TORORO-BUSITEMA-24h'!H87,'27.08 TORORO-BUSITEMA-24h'!H87)</f>
        <v>0</v>
      </c>
      <c r="I87" s="49">
        <f>AVERAGE('24.08 TORORO-BUSITEMA-24h'!I87,'27.08 TORORO-BUSITEMA-24h'!I87)</f>
        <v>0</v>
      </c>
      <c r="J87" s="49">
        <f>AVERAGE('24.08 TORORO-BUSITEMA-24h'!J87,'27.08 TORORO-BUSITEMA-24h'!J87)</f>
        <v>0.5</v>
      </c>
      <c r="K87" s="49">
        <f>AVERAGE('24.08 TORORO-BUSITEMA-24h'!K87,'27.08 TORORO-BUSITEMA-24h'!K87)</f>
        <v>0</v>
      </c>
      <c r="L87" s="49">
        <f>AVERAGE('24.08 TORORO-BUSITEMA-24h'!L87,'27.08 TORORO-BUSITEMA-24h'!L87)</f>
        <v>6.5</v>
      </c>
      <c r="M87" s="49">
        <f>AVERAGE('24.08 TORORO-BUSITEMA-24h'!M87,'27.08 TORORO-BUSITEMA-24h'!M87)</f>
        <v>0</v>
      </c>
      <c r="N87" s="49">
        <f>AVERAGE('24.08 TORORO-BUSITEMA-24h'!N87,'27.08 TORORO-BUSITEMA-24h'!N87)</f>
        <v>0</v>
      </c>
      <c r="O87" s="15">
        <f t="shared" si="35"/>
        <v>7.5</v>
      </c>
      <c r="P87" s="15">
        <f t="shared" si="36"/>
        <v>7.5</v>
      </c>
      <c r="R87" s="8"/>
      <c r="T87"/>
    </row>
    <row r="88" spans="2:20" ht="23.1" customHeight="1" x14ac:dyDescent="0.25">
      <c r="B88" s="25" t="s">
        <v>128</v>
      </c>
      <c r="C88" s="49">
        <f>AVERAGE('24.08 TORORO-BUSITEMA-24h'!C88,'27.08 TORORO-BUSITEMA-24h'!C88)</f>
        <v>0.5</v>
      </c>
      <c r="D88" s="49">
        <f>AVERAGE('24.08 TORORO-BUSITEMA-24h'!D88,'27.08 TORORO-BUSITEMA-24h'!D88)</f>
        <v>0</v>
      </c>
      <c r="E88" s="49">
        <f>AVERAGE('24.08 TORORO-BUSITEMA-24h'!E88,'27.08 TORORO-BUSITEMA-24h'!E88)</f>
        <v>0</v>
      </c>
      <c r="F88" s="49">
        <f>AVERAGE('24.08 TORORO-BUSITEMA-24h'!F88,'27.08 TORORO-BUSITEMA-24h'!F88)</f>
        <v>0</v>
      </c>
      <c r="G88" s="49">
        <f>AVERAGE('24.08 TORORO-BUSITEMA-24h'!G88,'27.08 TORORO-BUSITEMA-24h'!G88)</f>
        <v>0</v>
      </c>
      <c r="H88" s="49">
        <f>AVERAGE('24.08 TORORO-BUSITEMA-24h'!H88,'27.08 TORORO-BUSITEMA-24h'!H88)</f>
        <v>0</v>
      </c>
      <c r="I88" s="49">
        <f>AVERAGE('24.08 TORORO-BUSITEMA-24h'!I88,'27.08 TORORO-BUSITEMA-24h'!I88)</f>
        <v>0</v>
      </c>
      <c r="J88" s="49">
        <f>AVERAGE('24.08 TORORO-BUSITEMA-24h'!J88,'27.08 TORORO-BUSITEMA-24h'!J88)</f>
        <v>0</v>
      </c>
      <c r="K88" s="49">
        <f>AVERAGE('24.08 TORORO-BUSITEMA-24h'!K88,'27.08 TORORO-BUSITEMA-24h'!K88)</f>
        <v>0</v>
      </c>
      <c r="L88" s="49">
        <f>AVERAGE('24.08 TORORO-BUSITEMA-24h'!L88,'27.08 TORORO-BUSITEMA-24h'!L88)</f>
        <v>7</v>
      </c>
      <c r="M88" s="49">
        <f>AVERAGE('24.08 TORORO-BUSITEMA-24h'!M88,'27.08 TORORO-BUSITEMA-24h'!M88)</f>
        <v>0.5</v>
      </c>
      <c r="N88" s="49">
        <f>AVERAGE('24.08 TORORO-BUSITEMA-24h'!N88,'27.08 TORORO-BUSITEMA-24h'!N88)</f>
        <v>0</v>
      </c>
      <c r="O88" s="15">
        <f t="shared" si="35"/>
        <v>7.5</v>
      </c>
      <c r="P88" s="15">
        <f t="shared" si="36"/>
        <v>8</v>
      </c>
      <c r="R88" s="8"/>
      <c r="T88"/>
    </row>
    <row r="89" spans="2:20" ht="23.1" customHeight="1" x14ac:dyDescent="0.25">
      <c r="B89" s="23" t="s">
        <v>129</v>
      </c>
      <c r="C89" s="49">
        <f>AVERAGE('24.08 TORORO-BUSITEMA-24h'!C89,'27.08 TORORO-BUSITEMA-24h'!C89)</f>
        <v>0</v>
      </c>
      <c r="D89" s="49">
        <f>AVERAGE('24.08 TORORO-BUSITEMA-24h'!D89,'27.08 TORORO-BUSITEMA-24h'!D89)</f>
        <v>0</v>
      </c>
      <c r="E89" s="49">
        <f>AVERAGE('24.08 TORORO-BUSITEMA-24h'!E89,'27.08 TORORO-BUSITEMA-24h'!E89)</f>
        <v>0</v>
      </c>
      <c r="F89" s="49">
        <f>AVERAGE('24.08 TORORO-BUSITEMA-24h'!F89,'27.08 TORORO-BUSITEMA-24h'!F89)</f>
        <v>0</v>
      </c>
      <c r="G89" s="49">
        <f>AVERAGE('24.08 TORORO-BUSITEMA-24h'!G89,'27.08 TORORO-BUSITEMA-24h'!G89)</f>
        <v>0</v>
      </c>
      <c r="H89" s="49">
        <f>AVERAGE('24.08 TORORO-BUSITEMA-24h'!H89,'27.08 TORORO-BUSITEMA-24h'!H89)</f>
        <v>1</v>
      </c>
      <c r="I89" s="49">
        <f>AVERAGE('24.08 TORORO-BUSITEMA-24h'!I89,'27.08 TORORO-BUSITEMA-24h'!I89)</f>
        <v>0</v>
      </c>
      <c r="J89" s="49">
        <f>AVERAGE('24.08 TORORO-BUSITEMA-24h'!J89,'27.08 TORORO-BUSITEMA-24h'!J89)</f>
        <v>0</v>
      </c>
      <c r="K89" s="49">
        <f>AVERAGE('24.08 TORORO-BUSITEMA-24h'!K89,'27.08 TORORO-BUSITEMA-24h'!K89)</f>
        <v>0</v>
      </c>
      <c r="L89" s="49">
        <f>AVERAGE('24.08 TORORO-BUSITEMA-24h'!L89,'27.08 TORORO-BUSITEMA-24h'!L89)</f>
        <v>6.5</v>
      </c>
      <c r="M89" s="49">
        <f>AVERAGE('24.08 TORORO-BUSITEMA-24h'!M89,'27.08 TORORO-BUSITEMA-24h'!M89)</f>
        <v>0</v>
      </c>
      <c r="N89" s="49">
        <f>AVERAGE('24.08 TORORO-BUSITEMA-24h'!N89,'27.08 TORORO-BUSITEMA-24h'!N89)</f>
        <v>0</v>
      </c>
      <c r="O89" s="15">
        <f t="shared" si="35"/>
        <v>7.5</v>
      </c>
      <c r="P89" s="15">
        <f t="shared" si="36"/>
        <v>7.5</v>
      </c>
      <c r="R89" s="8"/>
      <c r="T89"/>
    </row>
    <row r="90" spans="2:20" ht="23.1" customHeight="1" x14ac:dyDescent="0.25">
      <c r="B90" s="24" t="s">
        <v>130</v>
      </c>
      <c r="C90" s="49">
        <f>AVERAGE('24.08 TORORO-BUSITEMA-24h'!C90,'27.08 TORORO-BUSITEMA-24h'!C90)</f>
        <v>0</v>
      </c>
      <c r="D90" s="49">
        <f>AVERAGE('24.08 TORORO-BUSITEMA-24h'!D90,'27.08 TORORO-BUSITEMA-24h'!D90)</f>
        <v>0</v>
      </c>
      <c r="E90" s="49">
        <f>AVERAGE('24.08 TORORO-BUSITEMA-24h'!E90,'27.08 TORORO-BUSITEMA-24h'!E90)</f>
        <v>0</v>
      </c>
      <c r="F90" s="49">
        <f>AVERAGE('24.08 TORORO-BUSITEMA-24h'!F90,'27.08 TORORO-BUSITEMA-24h'!F90)</f>
        <v>0</v>
      </c>
      <c r="G90" s="49">
        <f>AVERAGE('24.08 TORORO-BUSITEMA-24h'!G90,'27.08 TORORO-BUSITEMA-24h'!G90)</f>
        <v>0</v>
      </c>
      <c r="H90" s="49">
        <f>AVERAGE('24.08 TORORO-BUSITEMA-24h'!H90,'27.08 TORORO-BUSITEMA-24h'!H90)</f>
        <v>0.5</v>
      </c>
      <c r="I90" s="49">
        <f>AVERAGE('24.08 TORORO-BUSITEMA-24h'!I90,'27.08 TORORO-BUSITEMA-24h'!I90)</f>
        <v>0</v>
      </c>
      <c r="J90" s="49">
        <f>AVERAGE('24.08 TORORO-BUSITEMA-24h'!J90,'27.08 TORORO-BUSITEMA-24h'!J90)</f>
        <v>0</v>
      </c>
      <c r="K90" s="49">
        <f>AVERAGE('24.08 TORORO-BUSITEMA-24h'!K90,'27.08 TORORO-BUSITEMA-24h'!K90)</f>
        <v>0</v>
      </c>
      <c r="L90" s="49">
        <f>AVERAGE('24.08 TORORO-BUSITEMA-24h'!L90,'27.08 TORORO-BUSITEMA-24h'!L90)</f>
        <v>3.5</v>
      </c>
      <c r="M90" s="49">
        <f>AVERAGE('24.08 TORORO-BUSITEMA-24h'!M90,'27.08 TORORO-BUSITEMA-24h'!M90)</f>
        <v>0</v>
      </c>
      <c r="N90" s="49">
        <f>AVERAGE('24.08 TORORO-BUSITEMA-24h'!N90,'27.08 TORORO-BUSITEMA-24h'!N90)</f>
        <v>0</v>
      </c>
      <c r="O90" s="15">
        <f t="shared" si="35"/>
        <v>4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AVERAGE('24.08 TORORO-BUSITEMA-24h'!C91,'27.08 TORORO-BUSITEMA-24h'!C91)</f>
        <v>1</v>
      </c>
      <c r="D91" s="49">
        <f>AVERAGE('24.08 TORORO-BUSITEMA-24h'!D91,'27.08 TORORO-BUSITEMA-24h'!D91)</f>
        <v>0</v>
      </c>
      <c r="E91" s="49">
        <f>AVERAGE('24.08 TORORO-BUSITEMA-24h'!E91,'27.08 TORORO-BUSITEMA-24h'!E91)</f>
        <v>0</v>
      </c>
      <c r="F91" s="49">
        <f>AVERAGE('24.08 TORORO-BUSITEMA-24h'!F91,'27.08 TORORO-BUSITEMA-24h'!F91)</f>
        <v>1</v>
      </c>
      <c r="G91" s="49">
        <f>AVERAGE('24.08 TORORO-BUSITEMA-24h'!G91,'27.08 TORORO-BUSITEMA-24h'!G91)</f>
        <v>0</v>
      </c>
      <c r="H91" s="49">
        <f>AVERAGE('24.08 TORORO-BUSITEMA-24h'!H91,'27.08 TORORO-BUSITEMA-24h'!H91)</f>
        <v>0</v>
      </c>
      <c r="I91" s="49">
        <f>AVERAGE('24.08 TORORO-BUSITEMA-24h'!I91,'27.08 TORORO-BUSITEMA-24h'!I91)</f>
        <v>0</v>
      </c>
      <c r="J91" s="49">
        <f>AVERAGE('24.08 TORORO-BUSITEMA-24h'!J91,'27.08 TORORO-BUSITEMA-24h'!J91)</f>
        <v>0</v>
      </c>
      <c r="K91" s="49">
        <f>AVERAGE('24.08 TORORO-BUSITEMA-24h'!K91,'27.08 TORORO-BUSITEMA-24h'!K91)</f>
        <v>0</v>
      </c>
      <c r="L91" s="49">
        <f>AVERAGE('24.08 TORORO-BUSITEMA-24h'!L91,'27.08 TORORO-BUSITEMA-24h'!L91)</f>
        <v>5</v>
      </c>
      <c r="M91" s="49">
        <f>AVERAGE('24.08 TORORO-BUSITEMA-24h'!M91,'27.08 TORORO-BUSITEMA-24h'!M91)</f>
        <v>0</v>
      </c>
      <c r="N91" s="49">
        <f>AVERAGE('24.08 TORORO-BUSITEMA-24h'!N91,'27.08 TORORO-BUSITEMA-24h'!N91)</f>
        <v>0</v>
      </c>
      <c r="O91" s="15">
        <f t="shared" si="35"/>
        <v>7</v>
      </c>
      <c r="P91" s="15">
        <f t="shared" si="36"/>
        <v>7</v>
      </c>
      <c r="R91" s="8"/>
      <c r="T91"/>
    </row>
    <row r="92" spans="2:20" ht="23.1" customHeight="1" x14ac:dyDescent="0.25">
      <c r="B92" s="25" t="s">
        <v>132</v>
      </c>
      <c r="C92" s="49">
        <f>AVERAGE('24.08 TORORO-BUSITEMA-24h'!C92,'27.08 TORORO-BUSITEMA-24h'!C92)</f>
        <v>0</v>
      </c>
      <c r="D92" s="49">
        <f>AVERAGE('24.08 TORORO-BUSITEMA-24h'!D92,'27.08 TORORO-BUSITEMA-24h'!D92)</f>
        <v>0</v>
      </c>
      <c r="E92" s="49">
        <f>AVERAGE('24.08 TORORO-BUSITEMA-24h'!E92,'27.08 TORORO-BUSITEMA-24h'!E92)</f>
        <v>0</v>
      </c>
      <c r="F92" s="49">
        <f>AVERAGE('24.08 TORORO-BUSITEMA-24h'!F92,'27.08 TORORO-BUSITEMA-24h'!F92)</f>
        <v>1.5</v>
      </c>
      <c r="G92" s="49">
        <f>AVERAGE('24.08 TORORO-BUSITEMA-24h'!G92,'27.08 TORORO-BUSITEMA-24h'!G92)</f>
        <v>0</v>
      </c>
      <c r="H92" s="49">
        <f>AVERAGE('24.08 TORORO-BUSITEMA-24h'!H92,'27.08 TORORO-BUSITEMA-24h'!H92)</f>
        <v>0</v>
      </c>
      <c r="I92" s="49">
        <f>AVERAGE('24.08 TORORO-BUSITEMA-24h'!I92,'27.08 TORORO-BUSITEMA-24h'!I92)</f>
        <v>0</v>
      </c>
      <c r="J92" s="49">
        <f>AVERAGE('24.08 TORORO-BUSITEMA-24h'!J92,'27.08 TORORO-BUSITEMA-24h'!J92)</f>
        <v>1</v>
      </c>
      <c r="K92" s="49">
        <f>AVERAGE('24.08 TORORO-BUSITEMA-24h'!K92,'27.08 TORORO-BUSITEMA-24h'!K92)</f>
        <v>0</v>
      </c>
      <c r="L92" s="49">
        <f>AVERAGE('24.08 TORORO-BUSITEMA-24h'!L92,'27.08 TORORO-BUSITEMA-24h'!L92)</f>
        <v>9</v>
      </c>
      <c r="M92" s="49">
        <f>AVERAGE('24.08 TORORO-BUSITEMA-24h'!M92,'27.08 TORORO-BUSITEMA-24h'!M92)</f>
        <v>0</v>
      </c>
      <c r="N92" s="49">
        <f>AVERAGE('24.08 TORORO-BUSITEMA-24h'!N92,'27.08 TORORO-BUSITEMA-24h'!N92)</f>
        <v>0</v>
      </c>
      <c r="O92" s="15">
        <f t="shared" si="35"/>
        <v>11.5</v>
      </c>
      <c r="P92" s="15">
        <f t="shared" si="36"/>
        <v>11.5</v>
      </c>
      <c r="R92" s="8"/>
      <c r="T92"/>
    </row>
    <row r="93" spans="2:20" ht="23.1" customHeight="1" x14ac:dyDescent="0.25">
      <c r="B93" s="23" t="s">
        <v>133</v>
      </c>
      <c r="C93" s="49">
        <f>AVERAGE('24.08 TORORO-BUSITEMA-24h'!C93,'27.08 TORORO-BUSITEMA-24h'!C93)</f>
        <v>0</v>
      </c>
      <c r="D93" s="49">
        <f>AVERAGE('24.08 TORORO-BUSITEMA-24h'!D93,'27.08 TORORO-BUSITEMA-24h'!D93)</f>
        <v>0.5</v>
      </c>
      <c r="E93" s="49">
        <f>AVERAGE('24.08 TORORO-BUSITEMA-24h'!E93,'27.08 TORORO-BUSITEMA-24h'!E93)</f>
        <v>0</v>
      </c>
      <c r="F93" s="49">
        <f>AVERAGE('24.08 TORORO-BUSITEMA-24h'!F93,'27.08 TORORO-BUSITEMA-24h'!F93)</f>
        <v>0</v>
      </c>
      <c r="G93" s="49">
        <f>AVERAGE('24.08 TORORO-BUSITEMA-24h'!G93,'27.08 TORORO-BUSITEMA-24h'!G93)</f>
        <v>0</v>
      </c>
      <c r="H93" s="49">
        <f>AVERAGE('24.08 TORORO-BUSITEMA-24h'!H93,'27.08 TORORO-BUSITEMA-24h'!H93)</f>
        <v>0</v>
      </c>
      <c r="I93" s="49">
        <f>AVERAGE('24.08 TORORO-BUSITEMA-24h'!I93,'27.08 TORORO-BUSITEMA-24h'!I93)</f>
        <v>0</v>
      </c>
      <c r="J93" s="49">
        <f>AVERAGE('24.08 TORORO-BUSITEMA-24h'!J93,'27.08 TORORO-BUSITEMA-24h'!J93)</f>
        <v>0</v>
      </c>
      <c r="K93" s="49">
        <f>AVERAGE('24.08 TORORO-BUSITEMA-24h'!K93,'27.08 TORORO-BUSITEMA-24h'!K93)</f>
        <v>0</v>
      </c>
      <c r="L93" s="49">
        <f>AVERAGE('24.08 TORORO-BUSITEMA-24h'!L93,'27.08 TORORO-BUSITEMA-24h'!L93)</f>
        <v>5</v>
      </c>
      <c r="M93" s="49">
        <f>AVERAGE('24.08 TORORO-BUSITEMA-24h'!M93,'27.08 TORORO-BUSITEMA-24h'!M93)</f>
        <v>0</v>
      </c>
      <c r="N93" s="49">
        <f>AVERAGE('24.08 TORORO-BUSITEMA-24h'!N93,'27.08 TORORO-BUSITEMA-24h'!N93)</f>
        <v>0</v>
      </c>
      <c r="O93" s="15">
        <f t="shared" si="35"/>
        <v>5.5</v>
      </c>
      <c r="P93" s="15">
        <f t="shared" si="36"/>
        <v>5.5</v>
      </c>
      <c r="R93" s="8"/>
      <c r="T93"/>
    </row>
    <row r="94" spans="2:20" ht="23.1" customHeight="1" x14ac:dyDescent="0.25">
      <c r="B94" s="24" t="s">
        <v>134</v>
      </c>
      <c r="C94" s="49">
        <f>AVERAGE('24.08 TORORO-BUSITEMA-24h'!C94,'27.08 TORORO-BUSITEMA-24h'!C94)</f>
        <v>0.5</v>
      </c>
      <c r="D94" s="49">
        <f>AVERAGE('24.08 TORORO-BUSITEMA-24h'!D94,'27.08 TORORO-BUSITEMA-24h'!D94)</f>
        <v>0.5</v>
      </c>
      <c r="E94" s="49">
        <f>AVERAGE('24.08 TORORO-BUSITEMA-24h'!E94,'27.08 TORORO-BUSITEMA-24h'!E94)</f>
        <v>0.5</v>
      </c>
      <c r="F94" s="49">
        <f>AVERAGE('24.08 TORORO-BUSITEMA-24h'!F94,'27.08 TORORO-BUSITEMA-24h'!F94)</f>
        <v>0</v>
      </c>
      <c r="G94" s="49">
        <f>AVERAGE('24.08 TORORO-BUSITEMA-24h'!G94,'27.08 TORORO-BUSITEMA-24h'!G94)</f>
        <v>0</v>
      </c>
      <c r="H94" s="49">
        <f>AVERAGE('24.08 TORORO-BUSITEMA-24h'!H94,'27.08 TORORO-BUSITEMA-24h'!H94)</f>
        <v>0</v>
      </c>
      <c r="I94" s="49">
        <f>AVERAGE('24.08 TORORO-BUSITEMA-24h'!I94,'27.08 TORORO-BUSITEMA-24h'!I94)</f>
        <v>0</v>
      </c>
      <c r="J94" s="49">
        <f>AVERAGE('24.08 TORORO-BUSITEMA-24h'!J94,'27.08 TORORO-BUSITEMA-24h'!J94)</f>
        <v>1.5</v>
      </c>
      <c r="K94" s="49">
        <f>AVERAGE('24.08 TORORO-BUSITEMA-24h'!K94,'27.08 TORORO-BUSITEMA-24h'!K94)</f>
        <v>0.5</v>
      </c>
      <c r="L94" s="49">
        <f>AVERAGE('24.08 TORORO-BUSITEMA-24h'!L94,'27.08 TORORO-BUSITEMA-24h'!L94)</f>
        <v>4</v>
      </c>
      <c r="M94" s="49">
        <f>AVERAGE('24.08 TORORO-BUSITEMA-24h'!M94,'27.08 TORORO-BUSITEMA-24h'!M94)</f>
        <v>0</v>
      </c>
      <c r="N94" s="49">
        <f>AVERAGE('24.08 TORORO-BUSITEMA-24h'!N94,'27.08 TORORO-BUSITEMA-24h'!N94)</f>
        <v>0</v>
      </c>
      <c r="O94" s="15">
        <f t="shared" si="35"/>
        <v>7.5</v>
      </c>
      <c r="P94" s="15">
        <f t="shared" si="36"/>
        <v>7.5</v>
      </c>
      <c r="R94" s="8"/>
      <c r="T94"/>
    </row>
    <row r="95" spans="2:20" ht="23.1" customHeight="1" x14ac:dyDescent="0.25">
      <c r="B95" s="23" t="s">
        <v>135</v>
      </c>
      <c r="C95" s="49">
        <f>AVERAGE('24.08 TORORO-BUSITEMA-24h'!C95,'27.08 TORORO-BUSITEMA-24h'!C95)</f>
        <v>0</v>
      </c>
      <c r="D95" s="49">
        <f>AVERAGE('24.08 TORORO-BUSITEMA-24h'!D95,'27.08 TORORO-BUSITEMA-24h'!D95)</f>
        <v>0.5</v>
      </c>
      <c r="E95" s="49">
        <f>AVERAGE('24.08 TORORO-BUSITEMA-24h'!E95,'27.08 TORORO-BUSITEMA-24h'!E95)</f>
        <v>0</v>
      </c>
      <c r="F95" s="49">
        <f>AVERAGE('24.08 TORORO-BUSITEMA-24h'!F95,'27.08 TORORO-BUSITEMA-24h'!F95)</f>
        <v>0</v>
      </c>
      <c r="G95" s="49">
        <f>AVERAGE('24.08 TORORO-BUSITEMA-24h'!G95,'27.08 TORORO-BUSITEMA-24h'!G95)</f>
        <v>0</v>
      </c>
      <c r="H95" s="49">
        <f>AVERAGE('24.08 TORORO-BUSITEMA-24h'!H95,'27.08 TORORO-BUSITEMA-24h'!H95)</f>
        <v>0</v>
      </c>
      <c r="I95" s="49">
        <f>AVERAGE('24.08 TORORO-BUSITEMA-24h'!I95,'27.08 TORORO-BUSITEMA-24h'!I95)</f>
        <v>0</v>
      </c>
      <c r="J95" s="49">
        <f>AVERAGE('24.08 TORORO-BUSITEMA-24h'!J95,'27.08 TORORO-BUSITEMA-24h'!J95)</f>
        <v>0.5</v>
      </c>
      <c r="K95" s="49">
        <f>AVERAGE('24.08 TORORO-BUSITEMA-24h'!K95,'27.08 TORORO-BUSITEMA-24h'!K95)</f>
        <v>0</v>
      </c>
      <c r="L95" s="49">
        <f>AVERAGE('24.08 TORORO-BUSITEMA-24h'!L95,'27.08 TORORO-BUSITEMA-24h'!L95)</f>
        <v>5</v>
      </c>
      <c r="M95" s="49">
        <f>AVERAGE('24.08 TORORO-BUSITEMA-24h'!M95,'27.08 TORORO-BUSITEMA-24h'!M95)</f>
        <v>0</v>
      </c>
      <c r="N95" s="49">
        <f>AVERAGE('24.08 TORORO-BUSITEMA-24h'!N95,'27.08 TORORO-BUSITEMA-24h'!N95)</f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25" t="s">
        <v>136</v>
      </c>
      <c r="C96" s="49">
        <f>AVERAGE('24.08 TORORO-BUSITEMA-24h'!C96,'27.08 TORORO-BUSITEMA-24h'!C96)</f>
        <v>0.5</v>
      </c>
      <c r="D96" s="49">
        <f>AVERAGE('24.08 TORORO-BUSITEMA-24h'!D96,'27.08 TORORO-BUSITEMA-24h'!D96)</f>
        <v>0</v>
      </c>
      <c r="E96" s="49">
        <f>AVERAGE('24.08 TORORO-BUSITEMA-24h'!E96,'27.08 TORORO-BUSITEMA-24h'!E96)</f>
        <v>0</v>
      </c>
      <c r="F96" s="49">
        <f>AVERAGE('24.08 TORORO-BUSITEMA-24h'!F96,'27.08 TORORO-BUSITEMA-24h'!F96)</f>
        <v>1</v>
      </c>
      <c r="G96" s="49">
        <f>AVERAGE('24.08 TORORO-BUSITEMA-24h'!G96,'27.08 TORORO-BUSITEMA-24h'!G96)</f>
        <v>0</v>
      </c>
      <c r="H96" s="49">
        <f>AVERAGE('24.08 TORORO-BUSITEMA-24h'!H96,'27.08 TORORO-BUSITEMA-24h'!H96)</f>
        <v>0.5</v>
      </c>
      <c r="I96" s="49">
        <f>AVERAGE('24.08 TORORO-BUSITEMA-24h'!I96,'27.08 TORORO-BUSITEMA-24h'!I96)</f>
        <v>0</v>
      </c>
      <c r="J96" s="49">
        <f>AVERAGE('24.08 TORORO-BUSITEMA-24h'!J96,'27.08 TORORO-BUSITEMA-24h'!J96)</f>
        <v>0</v>
      </c>
      <c r="K96" s="49">
        <f>AVERAGE('24.08 TORORO-BUSITEMA-24h'!K96,'27.08 TORORO-BUSITEMA-24h'!K96)</f>
        <v>0.5</v>
      </c>
      <c r="L96" s="49">
        <f>AVERAGE('24.08 TORORO-BUSITEMA-24h'!L96,'27.08 TORORO-BUSITEMA-24h'!L96)</f>
        <v>8.5</v>
      </c>
      <c r="M96" s="49">
        <f>AVERAGE('24.08 TORORO-BUSITEMA-24h'!M96,'27.08 TORORO-BUSITEMA-24h'!M96)</f>
        <v>0</v>
      </c>
      <c r="N96" s="49">
        <f>AVERAGE('24.08 TORORO-BUSITEMA-24h'!N96,'27.08 TORORO-BUSITEMA-24h'!N96)</f>
        <v>0</v>
      </c>
      <c r="O96" s="15">
        <f t="shared" si="35"/>
        <v>11</v>
      </c>
      <c r="P96" s="15">
        <f t="shared" si="36"/>
        <v>11</v>
      </c>
      <c r="R96" s="8"/>
      <c r="T96"/>
    </row>
    <row r="97" spans="2:20" ht="23.1" customHeight="1" x14ac:dyDescent="0.25">
      <c r="B97" s="23" t="s">
        <v>137</v>
      </c>
      <c r="C97" s="49">
        <f>AVERAGE('24.08 TORORO-BUSITEMA-24h'!C97,'27.08 TORORO-BUSITEMA-24h'!C97)</f>
        <v>0.5</v>
      </c>
      <c r="D97" s="49">
        <f>AVERAGE('24.08 TORORO-BUSITEMA-24h'!D97,'27.08 TORORO-BUSITEMA-24h'!D97)</f>
        <v>0</v>
      </c>
      <c r="E97" s="49">
        <f>AVERAGE('24.08 TORORO-BUSITEMA-24h'!E97,'27.08 TORORO-BUSITEMA-24h'!E97)</f>
        <v>0</v>
      </c>
      <c r="F97" s="49">
        <f>AVERAGE('24.08 TORORO-BUSITEMA-24h'!F97,'27.08 TORORO-BUSITEMA-24h'!F97)</f>
        <v>0</v>
      </c>
      <c r="G97" s="49">
        <f>AVERAGE('24.08 TORORO-BUSITEMA-24h'!G97,'27.08 TORORO-BUSITEMA-24h'!G97)</f>
        <v>0</v>
      </c>
      <c r="H97" s="49">
        <f>AVERAGE('24.08 TORORO-BUSITEMA-24h'!H97,'27.08 TORORO-BUSITEMA-24h'!H97)</f>
        <v>0.5</v>
      </c>
      <c r="I97" s="49">
        <f>AVERAGE('24.08 TORORO-BUSITEMA-24h'!I97,'27.08 TORORO-BUSITEMA-24h'!I97)</f>
        <v>0</v>
      </c>
      <c r="J97" s="49">
        <f>AVERAGE('24.08 TORORO-BUSITEMA-24h'!J97,'27.08 TORORO-BUSITEMA-24h'!J97)</f>
        <v>1</v>
      </c>
      <c r="K97" s="49">
        <f>AVERAGE('24.08 TORORO-BUSITEMA-24h'!K97,'27.08 TORORO-BUSITEMA-24h'!K97)</f>
        <v>0</v>
      </c>
      <c r="L97" s="49">
        <f>AVERAGE('24.08 TORORO-BUSITEMA-24h'!L97,'27.08 TORORO-BUSITEMA-24h'!L97)</f>
        <v>11</v>
      </c>
      <c r="M97" s="49">
        <f>AVERAGE('24.08 TORORO-BUSITEMA-24h'!M97,'27.08 TORORO-BUSITEMA-24h'!M97)</f>
        <v>0</v>
      </c>
      <c r="N97" s="49">
        <f>AVERAGE('24.08 TORORO-BUSITEMA-24h'!N97,'27.08 TORORO-BUSITEMA-24h'!N97)</f>
        <v>0</v>
      </c>
      <c r="O97" s="15">
        <f t="shared" si="35"/>
        <v>13</v>
      </c>
      <c r="P97" s="15">
        <f t="shared" si="36"/>
        <v>13</v>
      </c>
      <c r="R97" s="8"/>
      <c r="T97"/>
    </row>
    <row r="98" spans="2:20" ht="23.1" customHeight="1" x14ac:dyDescent="0.25">
      <c r="B98" s="24" t="s">
        <v>138</v>
      </c>
      <c r="C98" s="49">
        <f>AVERAGE('24.08 TORORO-BUSITEMA-24h'!C98,'27.08 TORORO-BUSITEMA-24h'!C98)</f>
        <v>2</v>
      </c>
      <c r="D98" s="49">
        <f>AVERAGE('24.08 TORORO-BUSITEMA-24h'!D98,'27.08 TORORO-BUSITEMA-24h'!D98)</f>
        <v>0.5</v>
      </c>
      <c r="E98" s="49">
        <f>AVERAGE('24.08 TORORO-BUSITEMA-24h'!E98,'27.08 TORORO-BUSITEMA-24h'!E98)</f>
        <v>0</v>
      </c>
      <c r="F98" s="49">
        <f>AVERAGE('24.08 TORORO-BUSITEMA-24h'!F98,'27.08 TORORO-BUSITEMA-24h'!F98)</f>
        <v>0</v>
      </c>
      <c r="G98" s="49">
        <f>AVERAGE('24.08 TORORO-BUSITEMA-24h'!G98,'27.08 TORORO-BUSITEMA-24h'!G98)</f>
        <v>0</v>
      </c>
      <c r="H98" s="49">
        <f>AVERAGE('24.08 TORORO-BUSITEMA-24h'!H98,'27.08 TORORO-BUSITEMA-24h'!H98)</f>
        <v>0.5</v>
      </c>
      <c r="I98" s="49">
        <f>AVERAGE('24.08 TORORO-BUSITEMA-24h'!I98,'27.08 TORORO-BUSITEMA-24h'!I98)</f>
        <v>0</v>
      </c>
      <c r="J98" s="49">
        <f>AVERAGE('24.08 TORORO-BUSITEMA-24h'!J98,'27.08 TORORO-BUSITEMA-24h'!J98)</f>
        <v>1.5</v>
      </c>
      <c r="K98" s="49">
        <f>AVERAGE('24.08 TORORO-BUSITEMA-24h'!K98,'27.08 TORORO-BUSITEMA-24h'!K98)</f>
        <v>0</v>
      </c>
      <c r="L98" s="49">
        <f>AVERAGE('24.08 TORORO-BUSITEMA-24h'!L98,'27.08 TORORO-BUSITEMA-24h'!L98)</f>
        <v>11.5</v>
      </c>
      <c r="M98" s="49">
        <f>AVERAGE('24.08 TORORO-BUSITEMA-24h'!M98,'27.08 TORORO-BUSITEMA-24h'!M98)</f>
        <v>0</v>
      </c>
      <c r="N98" s="49">
        <f>AVERAGE('24.08 TORORO-BUSITEMA-24h'!N98,'27.08 TORORO-BUSITEMA-24h'!N98)</f>
        <v>0</v>
      </c>
      <c r="O98" s="15">
        <f t="shared" si="35"/>
        <v>16</v>
      </c>
      <c r="P98" s="15">
        <f t="shared" si="36"/>
        <v>16</v>
      </c>
      <c r="R98" s="8"/>
      <c r="T98"/>
    </row>
    <row r="99" spans="2:20" ht="23.1" customHeight="1" x14ac:dyDescent="0.25">
      <c r="B99" s="23" t="s">
        <v>139</v>
      </c>
      <c r="C99" s="49">
        <f>AVERAGE('24.08 TORORO-BUSITEMA-24h'!C99,'27.08 TORORO-BUSITEMA-24h'!C99)</f>
        <v>0</v>
      </c>
      <c r="D99" s="49">
        <f>AVERAGE('24.08 TORORO-BUSITEMA-24h'!D99,'27.08 TORORO-BUSITEMA-24h'!D99)</f>
        <v>0.5</v>
      </c>
      <c r="E99" s="49">
        <f>AVERAGE('24.08 TORORO-BUSITEMA-24h'!E99,'27.08 TORORO-BUSITEMA-24h'!E99)</f>
        <v>0</v>
      </c>
      <c r="F99" s="49">
        <f>AVERAGE('24.08 TORORO-BUSITEMA-24h'!F99,'27.08 TORORO-BUSITEMA-24h'!F99)</f>
        <v>1</v>
      </c>
      <c r="G99" s="49">
        <f>AVERAGE('24.08 TORORO-BUSITEMA-24h'!G99,'27.08 TORORO-BUSITEMA-24h'!G99)</f>
        <v>0</v>
      </c>
      <c r="H99" s="49">
        <f>AVERAGE('24.08 TORORO-BUSITEMA-24h'!H99,'27.08 TORORO-BUSITEMA-24h'!H99)</f>
        <v>0.5</v>
      </c>
      <c r="I99" s="49">
        <f>AVERAGE('24.08 TORORO-BUSITEMA-24h'!I99,'27.08 TORORO-BUSITEMA-24h'!I99)</f>
        <v>0</v>
      </c>
      <c r="J99" s="49">
        <f>AVERAGE('24.08 TORORO-BUSITEMA-24h'!J99,'27.08 TORORO-BUSITEMA-24h'!J99)</f>
        <v>2</v>
      </c>
      <c r="K99" s="49">
        <f>AVERAGE('24.08 TORORO-BUSITEMA-24h'!K99,'27.08 TORORO-BUSITEMA-24h'!K99)</f>
        <v>0</v>
      </c>
      <c r="L99" s="49">
        <f>AVERAGE('24.08 TORORO-BUSITEMA-24h'!L99,'27.08 TORORO-BUSITEMA-24h'!L99)</f>
        <v>7.5</v>
      </c>
      <c r="M99" s="49">
        <f>AVERAGE('24.08 TORORO-BUSITEMA-24h'!M99,'27.08 TORORO-BUSITEMA-24h'!M99)</f>
        <v>0</v>
      </c>
      <c r="N99" s="49">
        <f>AVERAGE('24.08 TORORO-BUSITEMA-24h'!N99,'27.08 TORORO-BUSITEMA-24h'!N99)</f>
        <v>0</v>
      </c>
      <c r="O99" s="15">
        <f t="shared" si="35"/>
        <v>11.5</v>
      </c>
      <c r="P99" s="15">
        <f t="shared" si="36"/>
        <v>11.5</v>
      </c>
      <c r="R99" s="8"/>
      <c r="T99"/>
    </row>
    <row r="100" spans="2:20" ht="23.1" customHeight="1" x14ac:dyDescent="0.25">
      <c r="B100" s="25" t="s">
        <v>140</v>
      </c>
      <c r="C100" s="49">
        <f>AVERAGE('24.08 TORORO-BUSITEMA-24h'!C100,'27.08 TORORO-BUSITEMA-24h'!C100)</f>
        <v>2</v>
      </c>
      <c r="D100" s="49">
        <f>AVERAGE('24.08 TORORO-BUSITEMA-24h'!D100,'27.08 TORORO-BUSITEMA-24h'!D100)</f>
        <v>0.5</v>
      </c>
      <c r="E100" s="49">
        <f>AVERAGE('24.08 TORORO-BUSITEMA-24h'!E100,'27.08 TORORO-BUSITEMA-24h'!E100)</f>
        <v>0</v>
      </c>
      <c r="F100" s="49">
        <f>AVERAGE('24.08 TORORO-BUSITEMA-24h'!F100,'27.08 TORORO-BUSITEMA-24h'!F100)</f>
        <v>1</v>
      </c>
      <c r="G100" s="49">
        <f>AVERAGE('24.08 TORORO-BUSITEMA-24h'!G100,'27.08 TORORO-BUSITEMA-24h'!G100)</f>
        <v>0</v>
      </c>
      <c r="H100" s="49">
        <f>AVERAGE('24.08 TORORO-BUSITEMA-24h'!H100,'27.08 TORORO-BUSITEMA-24h'!H100)</f>
        <v>0</v>
      </c>
      <c r="I100" s="49">
        <f>AVERAGE('24.08 TORORO-BUSITEMA-24h'!I100,'27.08 TORORO-BUSITEMA-24h'!I100)</f>
        <v>0.5</v>
      </c>
      <c r="J100" s="49">
        <f>AVERAGE('24.08 TORORO-BUSITEMA-24h'!J100,'27.08 TORORO-BUSITEMA-24h'!J100)</f>
        <v>1</v>
      </c>
      <c r="K100" s="49">
        <f>AVERAGE('24.08 TORORO-BUSITEMA-24h'!K100,'27.08 TORORO-BUSITEMA-24h'!K100)</f>
        <v>1</v>
      </c>
      <c r="L100" s="49">
        <f>AVERAGE('24.08 TORORO-BUSITEMA-24h'!L100,'27.08 TORORO-BUSITEMA-24h'!L100)</f>
        <v>10.5</v>
      </c>
      <c r="M100" s="49">
        <f>AVERAGE('24.08 TORORO-BUSITEMA-24h'!M100,'27.08 TORORO-BUSITEMA-24h'!M100)</f>
        <v>0.5</v>
      </c>
      <c r="N100" s="49">
        <f>AVERAGE('24.08 TORORO-BUSITEMA-24h'!N100,'27.08 TORORO-BUSITEMA-24h'!N100)</f>
        <v>0</v>
      </c>
      <c r="O100" s="15">
        <f t="shared" si="35"/>
        <v>16.5</v>
      </c>
      <c r="P100" s="15">
        <f t="shared" si="36"/>
        <v>17</v>
      </c>
      <c r="R100" s="8"/>
      <c r="T100"/>
    </row>
    <row r="101" spans="2:20" ht="23.1" customHeight="1" x14ac:dyDescent="0.25">
      <c r="B101" s="23" t="s">
        <v>141</v>
      </c>
      <c r="C101" s="49">
        <f>AVERAGE('24.08 TORORO-BUSITEMA-24h'!C101,'27.08 TORORO-BUSITEMA-24h'!C101)</f>
        <v>0</v>
      </c>
      <c r="D101" s="49">
        <f>AVERAGE('24.08 TORORO-BUSITEMA-24h'!D101,'27.08 TORORO-BUSITEMA-24h'!D101)</f>
        <v>0</v>
      </c>
      <c r="E101" s="49">
        <f>AVERAGE('24.08 TORORO-BUSITEMA-24h'!E101,'27.08 TORORO-BUSITEMA-24h'!E101)</f>
        <v>0</v>
      </c>
      <c r="F101" s="49">
        <f>AVERAGE('24.08 TORORO-BUSITEMA-24h'!F101,'27.08 TORORO-BUSITEMA-24h'!F101)</f>
        <v>1</v>
      </c>
      <c r="G101" s="49">
        <f>AVERAGE('24.08 TORORO-BUSITEMA-24h'!G101,'27.08 TORORO-BUSITEMA-24h'!G101)</f>
        <v>0</v>
      </c>
      <c r="H101" s="49">
        <f>AVERAGE('24.08 TORORO-BUSITEMA-24h'!H101,'27.08 TORORO-BUSITEMA-24h'!H101)</f>
        <v>0.5</v>
      </c>
      <c r="I101" s="49">
        <f>AVERAGE('24.08 TORORO-BUSITEMA-24h'!I101,'27.08 TORORO-BUSITEMA-24h'!I101)</f>
        <v>0</v>
      </c>
      <c r="J101" s="49">
        <f>AVERAGE('24.08 TORORO-BUSITEMA-24h'!J101,'27.08 TORORO-BUSITEMA-24h'!J101)</f>
        <v>0.5</v>
      </c>
      <c r="K101" s="49">
        <f>AVERAGE('24.08 TORORO-BUSITEMA-24h'!K101,'27.08 TORORO-BUSITEMA-24h'!K101)</f>
        <v>0</v>
      </c>
      <c r="L101" s="49">
        <f>AVERAGE('24.08 TORORO-BUSITEMA-24h'!L101,'27.08 TORORO-BUSITEMA-24h'!L101)</f>
        <v>14</v>
      </c>
      <c r="M101" s="49">
        <f>AVERAGE('24.08 TORORO-BUSITEMA-24h'!M101,'27.08 TORORO-BUSITEMA-24h'!M101)</f>
        <v>0</v>
      </c>
      <c r="N101" s="49">
        <f>AVERAGE('24.08 TORORO-BUSITEMA-24h'!N101,'27.08 TORORO-BUSITEMA-24h'!N101)</f>
        <v>0</v>
      </c>
      <c r="O101" s="15">
        <f t="shared" si="35"/>
        <v>16</v>
      </c>
      <c r="P101" s="15">
        <f t="shared" si="36"/>
        <v>16</v>
      </c>
      <c r="R101" s="8"/>
      <c r="T101"/>
    </row>
    <row r="102" spans="2:20" ht="23.1" customHeight="1" x14ac:dyDescent="0.25">
      <c r="B102" s="24" t="s">
        <v>142</v>
      </c>
      <c r="C102" s="49">
        <f>AVERAGE('24.08 TORORO-BUSITEMA-24h'!C102,'27.08 TORORO-BUSITEMA-24h'!C102)</f>
        <v>0</v>
      </c>
      <c r="D102" s="49">
        <f>AVERAGE('24.08 TORORO-BUSITEMA-24h'!D102,'27.08 TORORO-BUSITEMA-24h'!D102)</f>
        <v>0</v>
      </c>
      <c r="E102" s="49">
        <f>AVERAGE('24.08 TORORO-BUSITEMA-24h'!E102,'27.08 TORORO-BUSITEMA-24h'!E102)</f>
        <v>0</v>
      </c>
      <c r="F102" s="49">
        <f>AVERAGE('24.08 TORORO-BUSITEMA-24h'!F102,'27.08 TORORO-BUSITEMA-24h'!F102)</f>
        <v>0.5</v>
      </c>
      <c r="G102" s="49">
        <f>AVERAGE('24.08 TORORO-BUSITEMA-24h'!G102,'27.08 TORORO-BUSITEMA-24h'!G102)</f>
        <v>0</v>
      </c>
      <c r="H102" s="49">
        <f>AVERAGE('24.08 TORORO-BUSITEMA-24h'!H102,'27.08 TORORO-BUSITEMA-24h'!H102)</f>
        <v>1</v>
      </c>
      <c r="I102" s="49">
        <f>AVERAGE('24.08 TORORO-BUSITEMA-24h'!I102,'27.08 TORORO-BUSITEMA-24h'!I102)</f>
        <v>0.5</v>
      </c>
      <c r="J102" s="49">
        <f>AVERAGE('24.08 TORORO-BUSITEMA-24h'!J102,'27.08 TORORO-BUSITEMA-24h'!J102)</f>
        <v>1.5</v>
      </c>
      <c r="K102" s="49">
        <f>AVERAGE('24.08 TORORO-BUSITEMA-24h'!K102,'27.08 TORORO-BUSITEMA-24h'!K102)</f>
        <v>0</v>
      </c>
      <c r="L102" s="49">
        <f>AVERAGE('24.08 TORORO-BUSITEMA-24h'!L102,'27.08 TORORO-BUSITEMA-24h'!L102)</f>
        <v>18.5</v>
      </c>
      <c r="M102" s="49">
        <f>AVERAGE('24.08 TORORO-BUSITEMA-24h'!M102,'27.08 TORORO-BUSITEMA-24h'!M102)</f>
        <v>0.5</v>
      </c>
      <c r="N102" s="49">
        <f>AVERAGE('24.08 TORORO-BUSITEMA-24h'!N102,'27.08 TORORO-BUSITEMA-24h'!N102)</f>
        <v>0</v>
      </c>
      <c r="O102" s="15">
        <f t="shared" si="35"/>
        <v>22</v>
      </c>
      <c r="P102" s="15">
        <f t="shared" si="36"/>
        <v>22.5</v>
      </c>
      <c r="R102" s="8"/>
      <c r="T102"/>
    </row>
    <row r="103" spans="2:20" ht="23.1" customHeight="1" x14ac:dyDescent="0.25">
      <c r="B103" s="23" t="s">
        <v>143</v>
      </c>
      <c r="C103" s="49">
        <f>AVERAGE('24.08 TORORO-BUSITEMA-24h'!C103,'27.08 TORORO-BUSITEMA-24h'!C103)</f>
        <v>1</v>
      </c>
      <c r="D103" s="49">
        <f>AVERAGE('24.08 TORORO-BUSITEMA-24h'!D103,'27.08 TORORO-BUSITEMA-24h'!D103)</f>
        <v>1.5</v>
      </c>
      <c r="E103" s="49">
        <f>AVERAGE('24.08 TORORO-BUSITEMA-24h'!E103,'27.08 TORORO-BUSITEMA-24h'!E103)</f>
        <v>0.5</v>
      </c>
      <c r="F103" s="49">
        <f>AVERAGE('24.08 TORORO-BUSITEMA-24h'!F103,'27.08 TORORO-BUSITEMA-24h'!F103)</f>
        <v>1.5</v>
      </c>
      <c r="G103" s="49">
        <f>AVERAGE('24.08 TORORO-BUSITEMA-24h'!G103,'27.08 TORORO-BUSITEMA-24h'!G103)</f>
        <v>0</v>
      </c>
      <c r="H103" s="49">
        <f>AVERAGE('24.08 TORORO-BUSITEMA-24h'!H103,'27.08 TORORO-BUSITEMA-24h'!H103)</f>
        <v>0</v>
      </c>
      <c r="I103" s="49">
        <f>AVERAGE('24.08 TORORO-BUSITEMA-24h'!I103,'27.08 TORORO-BUSITEMA-24h'!I103)</f>
        <v>0</v>
      </c>
      <c r="J103" s="49">
        <f>AVERAGE('24.08 TORORO-BUSITEMA-24h'!J103,'27.08 TORORO-BUSITEMA-24h'!J103)</f>
        <v>1</v>
      </c>
      <c r="K103" s="49">
        <f>AVERAGE('24.08 TORORO-BUSITEMA-24h'!K103,'27.08 TORORO-BUSITEMA-24h'!K103)</f>
        <v>0.5</v>
      </c>
      <c r="L103" s="49">
        <f>AVERAGE('24.08 TORORO-BUSITEMA-24h'!L103,'27.08 TORORO-BUSITEMA-24h'!L103)</f>
        <v>14.5</v>
      </c>
      <c r="M103" s="49">
        <f>AVERAGE('24.08 TORORO-BUSITEMA-24h'!M103,'27.08 TORORO-BUSITEMA-24h'!M103)</f>
        <v>0.5</v>
      </c>
      <c r="N103" s="49">
        <f>AVERAGE('24.08 TORORO-BUSITEMA-24h'!N103,'27.08 TORORO-BUSITEMA-24h'!N103)</f>
        <v>0</v>
      </c>
      <c r="O103" s="15">
        <f t="shared" si="35"/>
        <v>20.5</v>
      </c>
      <c r="P103" s="15">
        <f t="shared" si="36"/>
        <v>21</v>
      </c>
      <c r="R103" s="8"/>
      <c r="T103"/>
    </row>
    <row r="104" spans="2:20" ht="23.1" customHeight="1" x14ac:dyDescent="0.25">
      <c r="B104" s="25" t="s">
        <v>144</v>
      </c>
      <c r="C104" s="49">
        <f>AVERAGE('24.08 TORORO-BUSITEMA-24h'!C104,'27.08 TORORO-BUSITEMA-24h'!C104)</f>
        <v>0.5</v>
      </c>
      <c r="D104" s="49">
        <f>AVERAGE('24.08 TORORO-BUSITEMA-24h'!D104,'27.08 TORORO-BUSITEMA-24h'!D104)</f>
        <v>0.5</v>
      </c>
      <c r="E104" s="49">
        <f>AVERAGE('24.08 TORORO-BUSITEMA-24h'!E104,'27.08 TORORO-BUSITEMA-24h'!E104)</f>
        <v>0</v>
      </c>
      <c r="F104" s="49">
        <f>AVERAGE('24.08 TORORO-BUSITEMA-24h'!F104,'27.08 TORORO-BUSITEMA-24h'!F104)</f>
        <v>2</v>
      </c>
      <c r="G104" s="49">
        <f>AVERAGE('24.08 TORORO-BUSITEMA-24h'!G104,'27.08 TORORO-BUSITEMA-24h'!G104)</f>
        <v>0</v>
      </c>
      <c r="H104" s="49">
        <f>AVERAGE('24.08 TORORO-BUSITEMA-24h'!H104,'27.08 TORORO-BUSITEMA-24h'!H104)</f>
        <v>0</v>
      </c>
      <c r="I104" s="49">
        <f>AVERAGE('24.08 TORORO-BUSITEMA-24h'!I104,'27.08 TORORO-BUSITEMA-24h'!I104)</f>
        <v>0.5</v>
      </c>
      <c r="J104" s="49">
        <f>AVERAGE('24.08 TORORO-BUSITEMA-24h'!J104,'27.08 TORORO-BUSITEMA-24h'!J104)</f>
        <v>0</v>
      </c>
      <c r="K104" s="49">
        <f>AVERAGE('24.08 TORORO-BUSITEMA-24h'!K104,'27.08 TORORO-BUSITEMA-24h'!K104)</f>
        <v>1</v>
      </c>
      <c r="L104" s="49">
        <f>AVERAGE('24.08 TORORO-BUSITEMA-24h'!L104,'27.08 TORORO-BUSITEMA-24h'!L104)</f>
        <v>12.5</v>
      </c>
      <c r="M104" s="49">
        <f>AVERAGE('24.08 TORORO-BUSITEMA-24h'!M104,'27.08 TORORO-BUSITEMA-24h'!M104)</f>
        <v>2</v>
      </c>
      <c r="N104" s="49">
        <f>AVERAGE('24.08 TORORO-BUSITEMA-24h'!N104,'27.08 TORORO-BUSITEMA-24h'!N104)</f>
        <v>0</v>
      </c>
      <c r="O104" s="15">
        <f t="shared" si="35"/>
        <v>17</v>
      </c>
      <c r="P104" s="15">
        <f t="shared" si="36"/>
        <v>19</v>
      </c>
      <c r="R104" s="8"/>
      <c r="T104"/>
    </row>
    <row r="105" spans="2:20" ht="23.1" customHeight="1" x14ac:dyDescent="0.25">
      <c r="B105" s="23" t="s">
        <v>145</v>
      </c>
      <c r="C105" s="49">
        <f>AVERAGE('24.08 TORORO-BUSITEMA-24h'!C105,'27.08 TORORO-BUSITEMA-24h'!C105)</f>
        <v>4</v>
      </c>
      <c r="D105" s="49">
        <f>AVERAGE('24.08 TORORO-BUSITEMA-24h'!D105,'27.08 TORORO-BUSITEMA-24h'!D105)</f>
        <v>1</v>
      </c>
      <c r="E105" s="49">
        <f>AVERAGE('24.08 TORORO-BUSITEMA-24h'!E105,'27.08 TORORO-BUSITEMA-24h'!E105)</f>
        <v>1.5</v>
      </c>
      <c r="F105" s="49">
        <f>AVERAGE('24.08 TORORO-BUSITEMA-24h'!F105,'27.08 TORORO-BUSITEMA-24h'!F105)</f>
        <v>4.5</v>
      </c>
      <c r="G105" s="49">
        <f>AVERAGE('24.08 TORORO-BUSITEMA-24h'!G105,'27.08 TORORO-BUSITEMA-24h'!G105)</f>
        <v>0</v>
      </c>
      <c r="H105" s="49">
        <f>AVERAGE('24.08 TORORO-BUSITEMA-24h'!H105,'27.08 TORORO-BUSITEMA-24h'!H105)</f>
        <v>0</v>
      </c>
      <c r="I105" s="49">
        <f>AVERAGE('24.08 TORORO-BUSITEMA-24h'!I105,'27.08 TORORO-BUSITEMA-24h'!I105)</f>
        <v>1</v>
      </c>
      <c r="J105" s="49">
        <f>AVERAGE('24.08 TORORO-BUSITEMA-24h'!J105,'27.08 TORORO-BUSITEMA-24h'!J105)</f>
        <v>0.5</v>
      </c>
      <c r="K105" s="49">
        <f>AVERAGE('24.08 TORORO-BUSITEMA-24h'!K105,'27.08 TORORO-BUSITEMA-24h'!K105)</f>
        <v>0</v>
      </c>
      <c r="L105" s="49">
        <f>AVERAGE('24.08 TORORO-BUSITEMA-24h'!L105,'27.08 TORORO-BUSITEMA-24h'!L105)</f>
        <v>9</v>
      </c>
      <c r="M105" s="49">
        <f>AVERAGE('24.08 TORORO-BUSITEMA-24h'!M105,'27.08 TORORO-BUSITEMA-24h'!M105)</f>
        <v>2.5</v>
      </c>
      <c r="N105" s="49">
        <f>AVERAGE('24.08 TORORO-BUSITEMA-24h'!N105,'27.08 TORORO-BUSITEMA-24h'!N105)</f>
        <v>0</v>
      </c>
      <c r="O105" s="15">
        <f t="shared" si="35"/>
        <v>21.5</v>
      </c>
      <c r="P105" s="15">
        <f t="shared" si="36"/>
        <v>24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136.85714285714283</v>
      </c>
      <c r="D106" s="16">
        <f t="shared" ref="D106:P106" si="37">SUM(D10:D105)</f>
        <v>131.35714285714289</v>
      </c>
      <c r="E106" s="16">
        <f t="shared" si="37"/>
        <v>67.428571428571431</v>
      </c>
      <c r="F106" s="16">
        <f t="shared" si="37"/>
        <v>215.64285714285711</v>
      </c>
      <c r="G106" s="16">
        <f t="shared" si="37"/>
        <v>7.2142857142857153</v>
      </c>
      <c r="H106" s="16">
        <f t="shared" si="37"/>
        <v>11.785714285714285</v>
      </c>
      <c r="I106" s="16">
        <f t="shared" si="37"/>
        <v>51.642857142857139</v>
      </c>
      <c r="J106" s="16">
        <f t="shared" si="37"/>
        <v>86.571428571428555</v>
      </c>
      <c r="K106" s="16">
        <f t="shared" si="37"/>
        <v>43.571428571428569</v>
      </c>
      <c r="L106" s="16">
        <f t="shared" si="37"/>
        <v>789.07142857142867</v>
      </c>
      <c r="M106" s="16">
        <f t="shared" si="37"/>
        <v>210.21428571428569</v>
      </c>
      <c r="N106" s="16">
        <f t="shared" si="37"/>
        <v>0.14285714285714285</v>
      </c>
      <c r="O106" s="16">
        <f t="shared" si="37"/>
        <v>1541.2857142857142</v>
      </c>
      <c r="P106" s="16">
        <f t="shared" si="37"/>
        <v>1751.5000000000002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7.8137106969536296E-2</v>
      </c>
      <c r="D107" s="43">
        <f t="shared" si="38"/>
        <v>7.4996941397169781E-2</v>
      </c>
      <c r="E107" s="43">
        <f t="shared" si="38"/>
        <v>3.8497614289792419E-2</v>
      </c>
      <c r="F107" s="43">
        <f t="shared" si="38"/>
        <v>0.12311895925941027</v>
      </c>
      <c r="G107" s="43">
        <f t="shared" si="38"/>
        <v>4.1189184780392315E-3</v>
      </c>
      <c r="H107" s="43">
        <f t="shared" si="38"/>
        <v>6.7289262264997336E-3</v>
      </c>
      <c r="I107" s="43">
        <f t="shared" si="38"/>
        <v>2.9484931283389741E-2</v>
      </c>
      <c r="J107" s="43">
        <f t="shared" si="38"/>
        <v>4.9427021736470768E-2</v>
      </c>
      <c r="K107" s="43">
        <f t="shared" si="38"/>
        <v>2.4876636352514168E-2</v>
      </c>
      <c r="L107" s="43">
        <f t="shared" si="38"/>
        <v>0.45051180620692466</v>
      </c>
      <c r="M107" s="43">
        <f t="shared" si="38"/>
        <v>0.12001957505811342</v>
      </c>
      <c r="N107" s="43">
        <f t="shared" si="38"/>
        <v>8.1562742139390716E-5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8.8794142181851873E-2</v>
      </c>
      <c r="D108" s="44">
        <f t="shared" ref="D108:N108" si="39">D106/$O$106</f>
        <v>8.5225692835295228E-2</v>
      </c>
      <c r="E108" s="44">
        <f t="shared" si="39"/>
        <v>4.3748262118824731E-2</v>
      </c>
      <c r="F108" s="44">
        <f t="shared" si="39"/>
        <v>0.13991102048382612</v>
      </c>
      <c r="G108" s="44">
        <f t="shared" si="39"/>
        <v>4.6806932987301887E-3</v>
      </c>
      <c r="H108" s="44">
        <f t="shared" si="39"/>
        <v>7.6466771711928812E-3</v>
      </c>
      <c r="I108" s="44">
        <f t="shared" si="39"/>
        <v>3.3506349059226989E-2</v>
      </c>
      <c r="J108" s="44">
        <f t="shared" si="39"/>
        <v>5.6168319584762247E-2</v>
      </c>
      <c r="K108" s="44">
        <f t="shared" si="39"/>
        <v>2.8269533784410047E-2</v>
      </c>
      <c r="L108" s="44">
        <f t="shared" si="39"/>
        <v>0.51195662248586526</v>
      </c>
      <c r="M108" s="44"/>
      <c r="N108" s="44">
        <f t="shared" si="39"/>
        <v>9.2686996014459169E-5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AE58" sqref="AE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'28.08 TORORO-BUSITEMA'!C3:G3</f>
        <v>TORORO TO BUSITEMA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TORORO-BUSITEMA'!G5:H5</f>
        <v>STATION 98</v>
      </c>
      <c r="H5" s="64"/>
      <c r="I5" s="14"/>
      <c r="J5" s="2" t="s">
        <v>5</v>
      </c>
      <c r="K5" s="63" t="str">
        <f>'Avg Week TORORO-BUSITEMA'!K5:L5</f>
        <v>RWOTHOMIYO NORMAN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TORORO-BUSITEMA'!K6:L6</f>
        <v>IVAN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BUSITEMA-TORORO'!C10+'Avg Week TORORO-BUSITEMA'!C10</f>
        <v>1.2857142857142856</v>
      </c>
      <c r="D10" s="49">
        <f>'Avg Week BUSITEMA-TORORO'!D10+'Avg Week TORORO-BUSITEMA'!D10</f>
        <v>1.2857142857142856</v>
      </c>
      <c r="E10" s="49">
        <f>'Avg Week BUSITEMA-TORORO'!E10+'Avg Week TORORO-BUSITEMA'!E10</f>
        <v>0.42857142857142855</v>
      </c>
      <c r="F10" s="49">
        <f>'Avg Week BUSITEMA-TORORO'!F10+'Avg Week TORORO-BUSITEMA'!F10</f>
        <v>4.4285714285714288</v>
      </c>
      <c r="G10" s="49">
        <f>'Avg Week BUSITEMA-TORORO'!G10+'Avg Week TORORO-BUSITEMA'!G10</f>
        <v>0.42857142857142855</v>
      </c>
      <c r="H10" s="49">
        <f>'Avg Week BUSITEMA-TORORO'!H10+'Avg Week TORORO-BUSITEMA'!H10</f>
        <v>0.2857142857142857</v>
      </c>
      <c r="I10" s="49">
        <f>'Avg Week BUSITEMA-TORORO'!I10+'Avg Week TORORO-BUSITEMA'!I10</f>
        <v>0.71428571428571419</v>
      </c>
      <c r="J10" s="49">
        <f>'Avg Week BUSITEMA-TORORO'!J10+'Avg Week TORORO-BUSITEMA'!J10</f>
        <v>0.8571428571428571</v>
      </c>
      <c r="K10" s="49">
        <f>'Avg Week BUSITEMA-TORORO'!K10+'Avg Week TORORO-BUSITEMA'!K10</f>
        <v>2.5714285714285716</v>
      </c>
      <c r="L10" s="49">
        <f>'Avg Week BUSITEMA-TORORO'!L10+'Avg Week TORORO-BUSITEMA'!L10</f>
        <v>20.714285714285715</v>
      </c>
      <c r="M10" s="49">
        <f>'Avg Week BUSITEMA-TORORO'!M10+'Avg Week TORORO-BUSITEMA'!M10</f>
        <v>6.4285714285714288</v>
      </c>
      <c r="N10" s="49">
        <f>'Avg Week BUSITEMA-TORORO'!N10+'Avg Week TORORO-BUSITEMA'!N10</f>
        <v>0.14285714285714285</v>
      </c>
      <c r="O10" s="15">
        <f t="shared" ref="O10:O73" si="0">SUM(C10:L10,N10)</f>
        <v>33.142857142857146</v>
      </c>
      <c r="P10" s="15">
        <f t="shared" ref="P10:P73" si="1">SUM(C10:N10)</f>
        <v>39.571428571428577</v>
      </c>
      <c r="R10" s="1" t="s">
        <v>6</v>
      </c>
      <c r="S10" s="17">
        <f t="shared" ref="S10:AF10" si="2">SUM(C10:C13)</f>
        <v>5.5714285714285712</v>
      </c>
      <c r="T10" s="17">
        <f t="shared" si="2"/>
        <v>5.5714285714285712</v>
      </c>
      <c r="U10" s="17">
        <f t="shared" si="2"/>
        <v>5.1428571428571423</v>
      </c>
      <c r="V10" s="17">
        <f t="shared" si="2"/>
        <v>16.428571428571431</v>
      </c>
      <c r="W10" s="17">
        <f t="shared" si="2"/>
        <v>0.8571428571428571</v>
      </c>
      <c r="X10" s="17">
        <f t="shared" si="2"/>
        <v>0.71428571428571419</v>
      </c>
      <c r="Y10" s="17">
        <f t="shared" si="2"/>
        <v>2.2857142857142856</v>
      </c>
      <c r="Z10" s="17">
        <f t="shared" si="2"/>
        <v>1.8571428571428572</v>
      </c>
      <c r="AA10" s="17">
        <f t="shared" si="2"/>
        <v>5.5714285714285721</v>
      </c>
      <c r="AB10" s="17">
        <f t="shared" si="2"/>
        <v>74.428571428571431</v>
      </c>
      <c r="AC10" s="17">
        <f t="shared" si="2"/>
        <v>21.857142857142858</v>
      </c>
      <c r="AD10" s="17">
        <f t="shared" si="2"/>
        <v>0.14285714285714285</v>
      </c>
      <c r="AE10" s="31">
        <f t="shared" si="2"/>
        <v>118.57142857142856</v>
      </c>
      <c r="AF10" s="31">
        <f t="shared" si="2"/>
        <v>140.42857142857144</v>
      </c>
    </row>
    <row r="11" spans="2:32" s="6" customFormat="1" ht="23.1" customHeight="1" x14ac:dyDescent="0.25">
      <c r="B11" s="23" t="s">
        <v>38</v>
      </c>
      <c r="C11" s="49">
        <f>'Avg Week BUSITEMA-TORORO'!C11+'Avg Week TORORO-BUSITEMA'!C11</f>
        <v>1</v>
      </c>
      <c r="D11" s="49">
        <f>'Avg Week BUSITEMA-TORORO'!D11+'Avg Week TORORO-BUSITEMA'!D11</f>
        <v>1</v>
      </c>
      <c r="E11" s="49">
        <f>'Avg Week BUSITEMA-TORORO'!E11+'Avg Week TORORO-BUSITEMA'!E11</f>
        <v>2</v>
      </c>
      <c r="F11" s="49">
        <f>'Avg Week BUSITEMA-TORORO'!F11+'Avg Week TORORO-BUSITEMA'!F11</f>
        <v>3.8571428571428572</v>
      </c>
      <c r="G11" s="49">
        <f>'Avg Week BUSITEMA-TORORO'!G11+'Avg Week TORORO-BUSITEMA'!G11</f>
        <v>0</v>
      </c>
      <c r="H11" s="49">
        <f>'Avg Week BUSITEMA-TORORO'!H11+'Avg Week TORORO-BUSITEMA'!H11</f>
        <v>0.42857142857142855</v>
      </c>
      <c r="I11" s="49">
        <f>'Avg Week BUSITEMA-TORORO'!I11+'Avg Week TORORO-BUSITEMA'!I11</f>
        <v>0.2857142857142857</v>
      </c>
      <c r="J11" s="49">
        <f>'Avg Week BUSITEMA-TORORO'!J11+'Avg Week TORORO-BUSITEMA'!J11</f>
        <v>0.14285714285714285</v>
      </c>
      <c r="K11" s="49">
        <f>'Avg Week BUSITEMA-TORORO'!K11+'Avg Week TORORO-BUSITEMA'!K11</f>
        <v>1.5714285714285714</v>
      </c>
      <c r="L11" s="49">
        <f>'Avg Week BUSITEMA-TORORO'!L11+'Avg Week TORORO-BUSITEMA'!L11</f>
        <v>18.285714285714285</v>
      </c>
      <c r="M11" s="49">
        <f>'Avg Week BUSITEMA-TORORO'!M11+'Avg Week TORORO-BUSITEMA'!M11</f>
        <v>5.4285714285714288</v>
      </c>
      <c r="N11" s="49">
        <f>'Avg Week BUSITEMA-TORORO'!N11+'Avg Week TORORO-BUSITEMA'!N11</f>
        <v>0</v>
      </c>
      <c r="O11" s="15">
        <f t="shared" si="0"/>
        <v>28.571428571428569</v>
      </c>
      <c r="P11" s="15">
        <f t="shared" si="1"/>
        <v>34</v>
      </c>
      <c r="R11" s="1" t="s">
        <v>7</v>
      </c>
      <c r="S11" s="17">
        <f t="shared" ref="S11:AF11" si="3">SUM(C14:C17)</f>
        <v>9.7142857142857135</v>
      </c>
      <c r="T11" s="17">
        <f t="shared" si="3"/>
        <v>15.428571428571431</v>
      </c>
      <c r="U11" s="17">
        <f t="shared" si="3"/>
        <v>5.5714285714285712</v>
      </c>
      <c r="V11" s="17">
        <f t="shared" si="3"/>
        <v>22.714285714285715</v>
      </c>
      <c r="W11" s="17">
        <f t="shared" si="3"/>
        <v>0.71428571428571419</v>
      </c>
      <c r="X11" s="17">
        <f t="shared" si="3"/>
        <v>0.42857142857142855</v>
      </c>
      <c r="Y11" s="17">
        <f t="shared" si="3"/>
        <v>1.2857142857142856</v>
      </c>
      <c r="Z11" s="17">
        <f t="shared" si="3"/>
        <v>2.8571428571428568</v>
      </c>
      <c r="AA11" s="17">
        <f t="shared" si="3"/>
        <v>3.5714285714285712</v>
      </c>
      <c r="AB11" s="17">
        <f t="shared" si="3"/>
        <v>50</v>
      </c>
      <c r="AC11" s="17">
        <f t="shared" si="3"/>
        <v>26</v>
      </c>
      <c r="AD11" s="17">
        <f t="shared" si="3"/>
        <v>0.2857142857142857</v>
      </c>
      <c r="AE11" s="31">
        <f t="shared" si="3"/>
        <v>112.57142857142858</v>
      </c>
      <c r="AF11" s="31">
        <f t="shared" si="3"/>
        <v>138.57142857142858</v>
      </c>
    </row>
    <row r="12" spans="2:32" ht="23.1" customHeight="1" x14ac:dyDescent="0.25">
      <c r="B12" s="23" t="s">
        <v>39</v>
      </c>
      <c r="C12" s="49">
        <f>'Avg Week BUSITEMA-TORORO'!C12+'Avg Week TORORO-BUSITEMA'!C12</f>
        <v>1.5714285714285714</v>
      </c>
      <c r="D12" s="49">
        <f>'Avg Week BUSITEMA-TORORO'!D12+'Avg Week TORORO-BUSITEMA'!D12</f>
        <v>2</v>
      </c>
      <c r="E12" s="49">
        <f>'Avg Week BUSITEMA-TORORO'!E12+'Avg Week TORORO-BUSITEMA'!E12</f>
        <v>1.5714285714285714</v>
      </c>
      <c r="F12" s="49">
        <f>'Avg Week BUSITEMA-TORORO'!F12+'Avg Week TORORO-BUSITEMA'!F12</f>
        <v>5</v>
      </c>
      <c r="G12" s="49">
        <f>'Avg Week BUSITEMA-TORORO'!G12+'Avg Week TORORO-BUSITEMA'!G12</f>
        <v>0</v>
      </c>
      <c r="H12" s="49">
        <f>'Avg Week BUSITEMA-TORORO'!H12+'Avg Week TORORO-BUSITEMA'!H12</f>
        <v>0</v>
      </c>
      <c r="I12" s="49">
        <f>'Avg Week BUSITEMA-TORORO'!I12+'Avg Week TORORO-BUSITEMA'!I12</f>
        <v>0.42857142857142855</v>
      </c>
      <c r="J12" s="49">
        <f>'Avg Week BUSITEMA-TORORO'!J12+'Avg Week TORORO-BUSITEMA'!J12</f>
        <v>0.5714285714285714</v>
      </c>
      <c r="K12" s="49">
        <f>'Avg Week BUSITEMA-TORORO'!K12+'Avg Week TORORO-BUSITEMA'!K12</f>
        <v>1</v>
      </c>
      <c r="L12" s="49">
        <f>'Avg Week BUSITEMA-TORORO'!L12+'Avg Week TORORO-BUSITEMA'!L12</f>
        <v>22.428571428571431</v>
      </c>
      <c r="M12" s="49">
        <f>'Avg Week BUSITEMA-TORORO'!M12+'Avg Week TORORO-BUSITEMA'!M12</f>
        <v>3.2857142857142856</v>
      </c>
      <c r="N12" s="49">
        <f>'Avg Week BUSITEMA-TORORO'!N12+'Avg Week TORORO-BUSITEMA'!N12</f>
        <v>0</v>
      </c>
      <c r="O12" s="15">
        <f t="shared" si="0"/>
        <v>34.571428571428569</v>
      </c>
      <c r="P12" s="15">
        <f t="shared" si="1"/>
        <v>37.857142857142854</v>
      </c>
      <c r="R12" s="1" t="s">
        <v>8</v>
      </c>
      <c r="S12" s="17">
        <f t="shared" ref="S12:AF12" si="4">SUM(C18:C21)</f>
        <v>7.8571428571428577</v>
      </c>
      <c r="T12" s="17">
        <f t="shared" si="4"/>
        <v>19</v>
      </c>
      <c r="U12" s="17">
        <f t="shared" si="4"/>
        <v>6.5714285714285712</v>
      </c>
      <c r="V12" s="17">
        <f t="shared" si="4"/>
        <v>25.714285714285715</v>
      </c>
      <c r="W12" s="17">
        <f t="shared" si="4"/>
        <v>0.99999999999999989</v>
      </c>
      <c r="X12" s="17">
        <f t="shared" si="4"/>
        <v>0.5714285714285714</v>
      </c>
      <c r="Y12" s="17">
        <f t="shared" si="4"/>
        <v>5.1428571428571432</v>
      </c>
      <c r="Z12" s="17">
        <f t="shared" si="4"/>
        <v>2.4285714285714284</v>
      </c>
      <c r="AA12" s="17">
        <f t="shared" si="4"/>
        <v>3</v>
      </c>
      <c r="AB12" s="17">
        <f t="shared" si="4"/>
        <v>51.571428571428569</v>
      </c>
      <c r="AC12" s="17">
        <f t="shared" si="4"/>
        <v>32</v>
      </c>
      <c r="AD12" s="17">
        <f t="shared" si="4"/>
        <v>0</v>
      </c>
      <c r="AE12" s="31">
        <f t="shared" si="4"/>
        <v>122.85714285714286</v>
      </c>
      <c r="AF12" s="31">
        <f t="shared" si="4"/>
        <v>154.85714285714286</v>
      </c>
    </row>
    <row r="13" spans="2:32" ht="23.1" customHeight="1" x14ac:dyDescent="0.25">
      <c r="B13" s="23" t="s">
        <v>40</v>
      </c>
      <c r="C13" s="49">
        <f>'Avg Week BUSITEMA-TORORO'!C13+'Avg Week TORORO-BUSITEMA'!C13</f>
        <v>1.7142857142857142</v>
      </c>
      <c r="D13" s="49">
        <f>'Avg Week BUSITEMA-TORORO'!D13+'Avg Week TORORO-BUSITEMA'!D13</f>
        <v>1.2857142857142856</v>
      </c>
      <c r="E13" s="49">
        <f>'Avg Week BUSITEMA-TORORO'!E13+'Avg Week TORORO-BUSITEMA'!E13</f>
        <v>1.1428571428571428</v>
      </c>
      <c r="F13" s="49">
        <f>'Avg Week BUSITEMA-TORORO'!F13+'Avg Week TORORO-BUSITEMA'!F13</f>
        <v>3.1428571428571428</v>
      </c>
      <c r="G13" s="49">
        <f>'Avg Week BUSITEMA-TORORO'!G13+'Avg Week TORORO-BUSITEMA'!G13</f>
        <v>0.42857142857142855</v>
      </c>
      <c r="H13" s="49">
        <f>'Avg Week BUSITEMA-TORORO'!H13+'Avg Week TORORO-BUSITEMA'!H13</f>
        <v>0</v>
      </c>
      <c r="I13" s="49">
        <f>'Avg Week BUSITEMA-TORORO'!I13+'Avg Week TORORO-BUSITEMA'!I13</f>
        <v>0.8571428571428571</v>
      </c>
      <c r="J13" s="49">
        <f>'Avg Week BUSITEMA-TORORO'!J13+'Avg Week TORORO-BUSITEMA'!J13</f>
        <v>0.2857142857142857</v>
      </c>
      <c r="K13" s="49">
        <f>'Avg Week BUSITEMA-TORORO'!K13+'Avg Week TORORO-BUSITEMA'!K13</f>
        <v>0.42857142857142855</v>
      </c>
      <c r="L13" s="49">
        <f>'Avg Week BUSITEMA-TORORO'!L13+'Avg Week TORORO-BUSITEMA'!L13</f>
        <v>13</v>
      </c>
      <c r="M13" s="49">
        <f>'Avg Week BUSITEMA-TORORO'!M13+'Avg Week TORORO-BUSITEMA'!M13</f>
        <v>6.7142857142857144</v>
      </c>
      <c r="N13" s="49">
        <f>'Avg Week BUSITEMA-TORORO'!N13+'Avg Week TORORO-BUSITEMA'!N13</f>
        <v>0</v>
      </c>
      <c r="O13" s="15">
        <f t="shared" si="0"/>
        <v>22.285714285714285</v>
      </c>
      <c r="P13" s="15">
        <f t="shared" si="1"/>
        <v>29</v>
      </c>
      <c r="R13" s="1" t="s">
        <v>9</v>
      </c>
      <c r="S13" s="17">
        <f t="shared" ref="S13:AF13" si="5">SUM(C22:C25)</f>
        <v>17</v>
      </c>
      <c r="T13" s="17">
        <f t="shared" si="5"/>
        <v>18.571428571428573</v>
      </c>
      <c r="U13" s="17">
        <f t="shared" si="5"/>
        <v>7.4285714285714288</v>
      </c>
      <c r="V13" s="17">
        <f t="shared" si="5"/>
        <v>30.428571428571431</v>
      </c>
      <c r="W13" s="17">
        <f t="shared" si="5"/>
        <v>0.42857142857142855</v>
      </c>
      <c r="X13" s="17">
        <f t="shared" si="5"/>
        <v>0.71428571428571419</v>
      </c>
      <c r="Y13" s="17">
        <f t="shared" si="5"/>
        <v>5.5714285714285712</v>
      </c>
      <c r="Z13" s="17">
        <f t="shared" si="5"/>
        <v>2.5714285714285712</v>
      </c>
      <c r="AA13" s="17">
        <f t="shared" si="5"/>
        <v>4</v>
      </c>
      <c r="AB13" s="17">
        <f t="shared" si="5"/>
        <v>52.857142857142854</v>
      </c>
      <c r="AC13" s="17">
        <f t="shared" si="5"/>
        <v>33.285714285714285</v>
      </c>
      <c r="AD13" s="17">
        <f t="shared" si="5"/>
        <v>0.14285714285714285</v>
      </c>
      <c r="AE13" s="31">
        <f t="shared" si="5"/>
        <v>139.71428571428572</v>
      </c>
      <c r="AF13" s="31">
        <f t="shared" si="5"/>
        <v>173.00000000000003</v>
      </c>
    </row>
    <row r="14" spans="2:32" ht="23.1" customHeight="1" x14ac:dyDescent="0.25">
      <c r="B14" s="23" t="s">
        <v>41</v>
      </c>
      <c r="C14" s="49">
        <f>'Avg Week BUSITEMA-TORORO'!C14+'Avg Week TORORO-BUSITEMA'!C14</f>
        <v>2.8571428571428572</v>
      </c>
      <c r="D14" s="49">
        <f>'Avg Week BUSITEMA-TORORO'!D14+'Avg Week TORORO-BUSITEMA'!D14</f>
        <v>3</v>
      </c>
      <c r="E14" s="49">
        <f>'Avg Week BUSITEMA-TORORO'!E14+'Avg Week TORORO-BUSITEMA'!E14</f>
        <v>1.5714285714285714</v>
      </c>
      <c r="F14" s="49">
        <f>'Avg Week BUSITEMA-TORORO'!F14+'Avg Week TORORO-BUSITEMA'!F14</f>
        <v>4.1428571428571432</v>
      </c>
      <c r="G14" s="49">
        <f>'Avg Week BUSITEMA-TORORO'!G14+'Avg Week TORORO-BUSITEMA'!G14</f>
        <v>0.2857142857142857</v>
      </c>
      <c r="H14" s="49">
        <f>'Avg Week BUSITEMA-TORORO'!H14+'Avg Week TORORO-BUSITEMA'!H14</f>
        <v>0.2857142857142857</v>
      </c>
      <c r="I14" s="49">
        <f>'Avg Week BUSITEMA-TORORO'!I14+'Avg Week TORORO-BUSITEMA'!I14</f>
        <v>0.2857142857142857</v>
      </c>
      <c r="J14" s="49">
        <f>'Avg Week BUSITEMA-TORORO'!J14+'Avg Week TORORO-BUSITEMA'!J14</f>
        <v>0.2857142857142857</v>
      </c>
      <c r="K14" s="49">
        <f>'Avg Week BUSITEMA-TORORO'!K14+'Avg Week TORORO-BUSITEMA'!K14</f>
        <v>0.42857142857142855</v>
      </c>
      <c r="L14" s="49">
        <f>'Avg Week BUSITEMA-TORORO'!L14+'Avg Week TORORO-BUSITEMA'!L14</f>
        <v>11.142857142857142</v>
      </c>
      <c r="M14" s="49">
        <f>'Avg Week BUSITEMA-TORORO'!M14+'Avg Week TORORO-BUSITEMA'!M14</f>
        <v>3.4285714285714288</v>
      </c>
      <c r="N14" s="49">
        <f>'Avg Week BUSITEMA-TORORO'!N14+'Avg Week TORORO-BUSITEMA'!N14</f>
        <v>0.14285714285714285</v>
      </c>
      <c r="O14" s="15">
        <f t="shared" si="0"/>
        <v>24.428571428571434</v>
      </c>
      <c r="P14" s="15">
        <f t="shared" si="1"/>
        <v>27.857142857142865</v>
      </c>
      <c r="R14" s="1" t="s">
        <v>10</v>
      </c>
      <c r="S14" s="17">
        <f t="shared" ref="S14:AF14" si="6">SUM(C26:C29)</f>
        <v>15.285714285714285</v>
      </c>
      <c r="T14" s="17">
        <f t="shared" si="6"/>
        <v>24</v>
      </c>
      <c r="U14" s="17">
        <f t="shared" si="6"/>
        <v>7.9999999999999991</v>
      </c>
      <c r="V14" s="17">
        <f t="shared" si="6"/>
        <v>30.142857142857146</v>
      </c>
      <c r="W14" s="17">
        <f t="shared" si="6"/>
        <v>1.2857142857142856</v>
      </c>
      <c r="X14" s="17">
        <f t="shared" si="6"/>
        <v>0.2857142857142857</v>
      </c>
      <c r="Y14" s="17">
        <f t="shared" si="6"/>
        <v>4.8571428571428568</v>
      </c>
      <c r="Z14" s="17">
        <f t="shared" si="6"/>
        <v>2.7142857142857144</v>
      </c>
      <c r="AA14" s="17">
        <f t="shared" si="6"/>
        <v>3.4285714285714284</v>
      </c>
      <c r="AB14" s="17">
        <f t="shared" si="6"/>
        <v>55.428571428571431</v>
      </c>
      <c r="AC14" s="17">
        <f t="shared" si="6"/>
        <v>34.285714285714292</v>
      </c>
      <c r="AD14" s="17">
        <f t="shared" si="6"/>
        <v>0</v>
      </c>
      <c r="AE14" s="31">
        <f t="shared" si="6"/>
        <v>145.42857142857144</v>
      </c>
      <c r="AF14" s="31">
        <f t="shared" si="6"/>
        <v>179.71428571428572</v>
      </c>
    </row>
    <row r="15" spans="2:32" ht="23.1" customHeight="1" x14ac:dyDescent="0.25">
      <c r="B15" s="23" t="s">
        <v>42</v>
      </c>
      <c r="C15" s="49">
        <f>'Avg Week BUSITEMA-TORORO'!C15+'Avg Week TORORO-BUSITEMA'!C15</f>
        <v>2.1428571428571428</v>
      </c>
      <c r="D15" s="49">
        <f>'Avg Week BUSITEMA-TORORO'!D15+'Avg Week TORORO-BUSITEMA'!D15</f>
        <v>4</v>
      </c>
      <c r="E15" s="49">
        <f>'Avg Week BUSITEMA-TORORO'!E15+'Avg Week TORORO-BUSITEMA'!E15</f>
        <v>0.7142857142857143</v>
      </c>
      <c r="F15" s="49">
        <f>'Avg Week BUSITEMA-TORORO'!F15+'Avg Week TORORO-BUSITEMA'!F15</f>
        <v>5.8571428571428577</v>
      </c>
      <c r="G15" s="49">
        <f>'Avg Week BUSITEMA-TORORO'!G15+'Avg Week TORORO-BUSITEMA'!G15</f>
        <v>0</v>
      </c>
      <c r="H15" s="49">
        <f>'Avg Week BUSITEMA-TORORO'!H15+'Avg Week TORORO-BUSITEMA'!H15</f>
        <v>0.14285714285714285</v>
      </c>
      <c r="I15" s="49">
        <f>'Avg Week BUSITEMA-TORORO'!I15+'Avg Week TORORO-BUSITEMA'!I15</f>
        <v>0.42857142857142855</v>
      </c>
      <c r="J15" s="49">
        <f>'Avg Week BUSITEMA-TORORO'!J15+'Avg Week TORORO-BUSITEMA'!J15</f>
        <v>0.5714285714285714</v>
      </c>
      <c r="K15" s="49">
        <f>'Avg Week BUSITEMA-TORORO'!K15+'Avg Week TORORO-BUSITEMA'!K15</f>
        <v>0.14285714285714285</v>
      </c>
      <c r="L15" s="49">
        <f>'Avg Week BUSITEMA-TORORO'!L15+'Avg Week TORORO-BUSITEMA'!L15</f>
        <v>11.428571428571429</v>
      </c>
      <c r="M15" s="49">
        <f>'Avg Week BUSITEMA-TORORO'!M15+'Avg Week TORORO-BUSITEMA'!M15</f>
        <v>7</v>
      </c>
      <c r="N15" s="49">
        <f>'Avg Week BUSITEMA-TORORO'!N15+'Avg Week TORORO-BUSITEMA'!N15</f>
        <v>0.14285714285714285</v>
      </c>
      <c r="O15" s="15">
        <f t="shared" si="0"/>
        <v>25.571428571428573</v>
      </c>
      <c r="P15" s="15">
        <f t="shared" si="1"/>
        <v>32.571428571428577</v>
      </c>
      <c r="R15" s="1" t="s">
        <v>11</v>
      </c>
      <c r="S15" s="17">
        <f t="shared" ref="S15:AF15" si="7">SUM(C30:C33)</f>
        <v>13.714285714285715</v>
      </c>
      <c r="T15" s="17">
        <f t="shared" si="7"/>
        <v>21.571428571428569</v>
      </c>
      <c r="U15" s="17">
        <f t="shared" si="7"/>
        <v>9.5714285714285712</v>
      </c>
      <c r="V15" s="17">
        <f t="shared" si="7"/>
        <v>30.714285714285715</v>
      </c>
      <c r="W15" s="17">
        <f t="shared" si="7"/>
        <v>1.8571428571428572</v>
      </c>
      <c r="X15" s="17">
        <f t="shared" si="7"/>
        <v>0.2857142857142857</v>
      </c>
      <c r="Y15" s="17">
        <f t="shared" si="7"/>
        <v>6.2857142857142865</v>
      </c>
      <c r="Z15" s="17">
        <f t="shared" si="7"/>
        <v>4.2857142857142847</v>
      </c>
      <c r="AA15" s="17">
        <f t="shared" si="7"/>
        <v>7</v>
      </c>
      <c r="AB15" s="17">
        <f t="shared" si="7"/>
        <v>62.428571428571431</v>
      </c>
      <c r="AC15" s="17">
        <f t="shared" si="7"/>
        <v>28.714285714285715</v>
      </c>
      <c r="AD15" s="17">
        <f t="shared" si="7"/>
        <v>0</v>
      </c>
      <c r="AE15" s="31">
        <f t="shared" si="7"/>
        <v>157.71428571428569</v>
      </c>
      <c r="AF15" s="31">
        <f t="shared" si="7"/>
        <v>186.42857142857144</v>
      </c>
    </row>
    <row r="16" spans="2:32" ht="23.1" customHeight="1" x14ac:dyDescent="0.25">
      <c r="B16" s="23" t="s">
        <v>43</v>
      </c>
      <c r="C16" s="49">
        <f>'Avg Week BUSITEMA-TORORO'!C16+'Avg Week TORORO-BUSITEMA'!C16</f>
        <v>2.5714285714285712</v>
      </c>
      <c r="D16" s="49">
        <f>'Avg Week BUSITEMA-TORORO'!D16+'Avg Week TORORO-BUSITEMA'!D16</f>
        <v>3.7142857142857144</v>
      </c>
      <c r="E16" s="49">
        <f>'Avg Week BUSITEMA-TORORO'!E16+'Avg Week TORORO-BUSITEMA'!E16</f>
        <v>1.4285714285714284</v>
      </c>
      <c r="F16" s="49">
        <f>'Avg Week BUSITEMA-TORORO'!F16+'Avg Week TORORO-BUSITEMA'!F16</f>
        <v>6.2857142857142865</v>
      </c>
      <c r="G16" s="49">
        <f>'Avg Week BUSITEMA-TORORO'!G16+'Avg Week TORORO-BUSITEMA'!G16</f>
        <v>0.14285714285714285</v>
      </c>
      <c r="H16" s="49">
        <f>'Avg Week BUSITEMA-TORORO'!H16+'Avg Week TORORO-BUSITEMA'!H16</f>
        <v>0</v>
      </c>
      <c r="I16" s="49">
        <f>'Avg Week BUSITEMA-TORORO'!I16+'Avg Week TORORO-BUSITEMA'!I16</f>
        <v>0.42857142857142855</v>
      </c>
      <c r="J16" s="49">
        <f>'Avg Week BUSITEMA-TORORO'!J16+'Avg Week TORORO-BUSITEMA'!J16</f>
        <v>1.2857142857142856</v>
      </c>
      <c r="K16" s="49">
        <f>'Avg Week BUSITEMA-TORORO'!K16+'Avg Week TORORO-BUSITEMA'!K16</f>
        <v>2</v>
      </c>
      <c r="L16" s="49">
        <f>'Avg Week BUSITEMA-TORORO'!L16+'Avg Week TORORO-BUSITEMA'!L16</f>
        <v>10.571428571428571</v>
      </c>
      <c r="M16" s="49">
        <f>'Avg Week BUSITEMA-TORORO'!M16+'Avg Week TORORO-BUSITEMA'!M16</f>
        <v>8.1428571428571423</v>
      </c>
      <c r="N16" s="49">
        <f>'Avg Week BUSITEMA-TORORO'!N16+'Avg Week TORORO-BUSITEMA'!N16</f>
        <v>0</v>
      </c>
      <c r="O16" s="15">
        <f t="shared" si="0"/>
        <v>28.428571428571431</v>
      </c>
      <c r="P16" s="15">
        <f t="shared" si="1"/>
        <v>36.571428571428569</v>
      </c>
      <c r="R16" s="1" t="s">
        <v>12</v>
      </c>
      <c r="S16" s="17">
        <f t="shared" ref="S16:AF16" si="8">SUM(C34:C37)</f>
        <v>15.142857142857142</v>
      </c>
      <c r="T16" s="17">
        <f t="shared" si="8"/>
        <v>15</v>
      </c>
      <c r="U16" s="17">
        <f t="shared" si="8"/>
        <v>8.8571428571428577</v>
      </c>
      <c r="V16" s="17">
        <f t="shared" si="8"/>
        <v>26.857142857142854</v>
      </c>
      <c r="W16" s="17">
        <f t="shared" si="8"/>
        <v>0.85714285714285721</v>
      </c>
      <c r="X16" s="17">
        <f t="shared" si="8"/>
        <v>0.8571428571428571</v>
      </c>
      <c r="Y16" s="17">
        <f t="shared" si="8"/>
        <v>7.1428571428571432</v>
      </c>
      <c r="Z16" s="17">
        <f t="shared" si="8"/>
        <v>6.1428571428571423</v>
      </c>
      <c r="AA16" s="17">
        <f t="shared" si="8"/>
        <v>8.7142857142857153</v>
      </c>
      <c r="AB16" s="17">
        <f t="shared" si="8"/>
        <v>58.142857142857146</v>
      </c>
      <c r="AC16" s="17">
        <f t="shared" si="8"/>
        <v>33</v>
      </c>
      <c r="AD16" s="17">
        <f t="shared" si="8"/>
        <v>0</v>
      </c>
      <c r="AE16" s="31">
        <f t="shared" si="8"/>
        <v>147.71428571428572</v>
      </c>
      <c r="AF16" s="31">
        <f t="shared" si="8"/>
        <v>180.71428571428572</v>
      </c>
    </row>
    <row r="17" spans="2:32" ht="23.1" customHeight="1" x14ac:dyDescent="0.25">
      <c r="B17" s="23" t="s">
        <v>44</v>
      </c>
      <c r="C17" s="49">
        <f>'Avg Week BUSITEMA-TORORO'!C17+'Avg Week TORORO-BUSITEMA'!C17</f>
        <v>2.1428571428571428</v>
      </c>
      <c r="D17" s="49">
        <f>'Avg Week BUSITEMA-TORORO'!D17+'Avg Week TORORO-BUSITEMA'!D17</f>
        <v>4.7142857142857144</v>
      </c>
      <c r="E17" s="49">
        <f>'Avg Week BUSITEMA-TORORO'!E17+'Avg Week TORORO-BUSITEMA'!E17</f>
        <v>1.8571428571428572</v>
      </c>
      <c r="F17" s="49">
        <f>'Avg Week BUSITEMA-TORORO'!F17+'Avg Week TORORO-BUSITEMA'!F17</f>
        <v>6.4285714285714288</v>
      </c>
      <c r="G17" s="49">
        <f>'Avg Week BUSITEMA-TORORO'!G17+'Avg Week TORORO-BUSITEMA'!G17</f>
        <v>0.2857142857142857</v>
      </c>
      <c r="H17" s="49">
        <f>'Avg Week BUSITEMA-TORORO'!H17+'Avg Week TORORO-BUSITEMA'!H17</f>
        <v>0</v>
      </c>
      <c r="I17" s="49">
        <f>'Avg Week BUSITEMA-TORORO'!I17+'Avg Week TORORO-BUSITEMA'!I17</f>
        <v>0.14285714285714285</v>
      </c>
      <c r="J17" s="49">
        <f>'Avg Week BUSITEMA-TORORO'!J17+'Avg Week TORORO-BUSITEMA'!J17</f>
        <v>0.71428571428571419</v>
      </c>
      <c r="K17" s="49">
        <f>'Avg Week BUSITEMA-TORORO'!K17+'Avg Week TORORO-BUSITEMA'!K17</f>
        <v>1</v>
      </c>
      <c r="L17" s="49">
        <f>'Avg Week BUSITEMA-TORORO'!L17+'Avg Week TORORO-BUSITEMA'!L17</f>
        <v>16.857142857142858</v>
      </c>
      <c r="M17" s="49">
        <f>'Avg Week BUSITEMA-TORORO'!M17+'Avg Week TORORO-BUSITEMA'!M17</f>
        <v>7.4285714285714288</v>
      </c>
      <c r="N17" s="49">
        <f>'Avg Week BUSITEMA-TORORO'!N17+'Avg Week TORORO-BUSITEMA'!N17</f>
        <v>0</v>
      </c>
      <c r="O17" s="15">
        <f t="shared" si="0"/>
        <v>34.142857142857146</v>
      </c>
      <c r="P17" s="15">
        <f t="shared" si="1"/>
        <v>41.571428571428577</v>
      </c>
      <c r="R17" s="1" t="s">
        <v>13</v>
      </c>
      <c r="S17" s="17">
        <f t="shared" ref="S17:AF17" si="9">SUM(C38:C41)</f>
        <v>14.285714285714285</v>
      </c>
      <c r="T17" s="17">
        <f t="shared" si="9"/>
        <v>13</v>
      </c>
      <c r="U17" s="17">
        <f t="shared" si="9"/>
        <v>6.8571428571428568</v>
      </c>
      <c r="V17" s="17">
        <f t="shared" si="9"/>
        <v>34.857142857142861</v>
      </c>
      <c r="W17" s="17">
        <f t="shared" si="9"/>
        <v>0.42857142857142855</v>
      </c>
      <c r="X17" s="17">
        <f t="shared" si="9"/>
        <v>1.8571428571428572</v>
      </c>
      <c r="Y17" s="17">
        <f t="shared" si="9"/>
        <v>7.7142857142857153</v>
      </c>
      <c r="Z17" s="17">
        <f t="shared" si="9"/>
        <v>6.5714285714285712</v>
      </c>
      <c r="AA17" s="17">
        <f t="shared" si="9"/>
        <v>7</v>
      </c>
      <c r="AB17" s="17">
        <f t="shared" si="9"/>
        <v>59.571428571428569</v>
      </c>
      <c r="AC17" s="17">
        <f t="shared" si="9"/>
        <v>32.857142857142854</v>
      </c>
      <c r="AD17" s="17">
        <f t="shared" si="9"/>
        <v>0</v>
      </c>
      <c r="AE17" s="31">
        <f t="shared" si="9"/>
        <v>152.14285714285714</v>
      </c>
      <c r="AF17" s="31">
        <f t="shared" si="9"/>
        <v>185</v>
      </c>
    </row>
    <row r="18" spans="2:32" ht="23.1" customHeight="1" x14ac:dyDescent="0.25">
      <c r="B18" s="23" t="s">
        <v>45</v>
      </c>
      <c r="C18" s="49">
        <f>'Avg Week BUSITEMA-TORORO'!C18+'Avg Week TORORO-BUSITEMA'!C18</f>
        <v>2</v>
      </c>
      <c r="D18" s="49">
        <f>'Avg Week BUSITEMA-TORORO'!D18+'Avg Week TORORO-BUSITEMA'!D18</f>
        <v>3.4285714285714288</v>
      </c>
      <c r="E18" s="49">
        <f>'Avg Week BUSITEMA-TORORO'!E18+'Avg Week TORORO-BUSITEMA'!E18</f>
        <v>1.1428571428571428</v>
      </c>
      <c r="F18" s="49">
        <f>'Avg Week BUSITEMA-TORORO'!F18+'Avg Week TORORO-BUSITEMA'!F18</f>
        <v>3.8571428571428568</v>
      </c>
      <c r="G18" s="49">
        <f>'Avg Week BUSITEMA-TORORO'!G18+'Avg Week TORORO-BUSITEMA'!G18</f>
        <v>0.71428571428571419</v>
      </c>
      <c r="H18" s="49">
        <f>'Avg Week BUSITEMA-TORORO'!H18+'Avg Week TORORO-BUSITEMA'!H18</f>
        <v>0</v>
      </c>
      <c r="I18" s="49">
        <f>'Avg Week BUSITEMA-TORORO'!I18+'Avg Week TORORO-BUSITEMA'!I18</f>
        <v>0.8571428571428571</v>
      </c>
      <c r="J18" s="49">
        <f>'Avg Week BUSITEMA-TORORO'!J18+'Avg Week TORORO-BUSITEMA'!J18</f>
        <v>0.5714285714285714</v>
      </c>
      <c r="K18" s="49">
        <f>'Avg Week BUSITEMA-TORORO'!K18+'Avg Week TORORO-BUSITEMA'!K18</f>
        <v>0.42857142857142855</v>
      </c>
      <c r="L18" s="49">
        <f>'Avg Week BUSITEMA-TORORO'!L18+'Avg Week TORORO-BUSITEMA'!L18</f>
        <v>10.285714285714285</v>
      </c>
      <c r="M18" s="49">
        <f>'Avg Week BUSITEMA-TORORO'!M18+'Avg Week TORORO-BUSITEMA'!M18</f>
        <v>8.4285714285714288</v>
      </c>
      <c r="N18" s="49">
        <f>'Avg Week BUSITEMA-TORORO'!N18+'Avg Week TORORO-BUSITEMA'!N18</f>
        <v>0</v>
      </c>
      <c r="O18" s="15">
        <f t="shared" si="0"/>
        <v>23.285714285714285</v>
      </c>
      <c r="P18" s="15">
        <f t="shared" si="1"/>
        <v>31.714285714285715</v>
      </c>
      <c r="R18" s="1" t="s">
        <v>14</v>
      </c>
      <c r="S18" s="17">
        <f t="shared" ref="S18:AF18" si="10">SUM(C42:C45)</f>
        <v>16.428571428571431</v>
      </c>
      <c r="T18" s="17">
        <f t="shared" si="10"/>
        <v>16.571428571428569</v>
      </c>
      <c r="U18" s="17">
        <f t="shared" si="10"/>
        <v>8</v>
      </c>
      <c r="V18" s="17">
        <f t="shared" si="10"/>
        <v>35.285714285714292</v>
      </c>
      <c r="W18" s="17">
        <f t="shared" si="10"/>
        <v>0.8571428571428571</v>
      </c>
      <c r="X18" s="17">
        <f t="shared" si="10"/>
        <v>0.5714285714285714</v>
      </c>
      <c r="Y18" s="17">
        <f t="shared" si="10"/>
        <v>8.7142857142857135</v>
      </c>
      <c r="Z18" s="17">
        <f t="shared" si="10"/>
        <v>8.5714285714285712</v>
      </c>
      <c r="AA18" s="17">
        <f t="shared" si="10"/>
        <v>5.1428571428571423</v>
      </c>
      <c r="AB18" s="17">
        <f t="shared" si="10"/>
        <v>77.571428571428569</v>
      </c>
      <c r="AC18" s="17">
        <f t="shared" si="10"/>
        <v>35.285714285714285</v>
      </c>
      <c r="AD18" s="17">
        <f t="shared" si="10"/>
        <v>0</v>
      </c>
      <c r="AE18" s="31">
        <f t="shared" si="10"/>
        <v>177.71428571428572</v>
      </c>
      <c r="AF18" s="31">
        <f t="shared" si="10"/>
        <v>213</v>
      </c>
    </row>
    <row r="19" spans="2:32" ht="23.1" customHeight="1" x14ac:dyDescent="0.25">
      <c r="B19" s="23" t="s">
        <v>46</v>
      </c>
      <c r="C19" s="49">
        <f>'Avg Week BUSITEMA-TORORO'!C19+'Avg Week TORORO-BUSITEMA'!C19</f>
        <v>2.8571428571428572</v>
      </c>
      <c r="D19" s="49">
        <f>'Avg Week BUSITEMA-TORORO'!D19+'Avg Week TORORO-BUSITEMA'!D19</f>
        <v>6.1428571428571423</v>
      </c>
      <c r="E19" s="49">
        <f>'Avg Week BUSITEMA-TORORO'!E19+'Avg Week TORORO-BUSITEMA'!E19</f>
        <v>2.5714285714285712</v>
      </c>
      <c r="F19" s="49">
        <f>'Avg Week BUSITEMA-TORORO'!F19+'Avg Week TORORO-BUSITEMA'!F19</f>
        <v>6.7142857142857144</v>
      </c>
      <c r="G19" s="49">
        <f>'Avg Week BUSITEMA-TORORO'!G19+'Avg Week TORORO-BUSITEMA'!G19</f>
        <v>0</v>
      </c>
      <c r="H19" s="49">
        <f>'Avg Week BUSITEMA-TORORO'!H19+'Avg Week TORORO-BUSITEMA'!H19</f>
        <v>0.2857142857142857</v>
      </c>
      <c r="I19" s="49">
        <f>'Avg Week BUSITEMA-TORORO'!I19+'Avg Week TORORO-BUSITEMA'!I19</f>
        <v>1.8571428571428572</v>
      </c>
      <c r="J19" s="49">
        <f>'Avg Week BUSITEMA-TORORO'!J19+'Avg Week TORORO-BUSITEMA'!J19</f>
        <v>1.1428571428571428</v>
      </c>
      <c r="K19" s="49">
        <f>'Avg Week BUSITEMA-TORORO'!K19+'Avg Week TORORO-BUSITEMA'!K19</f>
        <v>0.71428571428571419</v>
      </c>
      <c r="L19" s="49">
        <f>'Avg Week BUSITEMA-TORORO'!L19+'Avg Week TORORO-BUSITEMA'!L19</f>
        <v>14.714285714285715</v>
      </c>
      <c r="M19" s="49">
        <f>'Avg Week BUSITEMA-TORORO'!M19+'Avg Week TORORO-BUSITEMA'!M19</f>
        <v>7</v>
      </c>
      <c r="N19" s="49">
        <f>'Avg Week BUSITEMA-TORORO'!N19+'Avg Week TORORO-BUSITEMA'!N19</f>
        <v>0</v>
      </c>
      <c r="O19" s="15">
        <f t="shared" si="0"/>
        <v>37</v>
      </c>
      <c r="P19" s="15">
        <f t="shared" si="1"/>
        <v>44</v>
      </c>
      <c r="R19" s="1" t="s">
        <v>15</v>
      </c>
      <c r="S19" s="17">
        <f t="shared" ref="S19:AF19" si="11">SUM(C46:C49)</f>
        <v>17.142857142857142</v>
      </c>
      <c r="T19" s="17">
        <f t="shared" si="11"/>
        <v>18.571428571428569</v>
      </c>
      <c r="U19" s="17">
        <f t="shared" si="11"/>
        <v>7</v>
      </c>
      <c r="V19" s="17">
        <f t="shared" si="11"/>
        <v>29.857142857142854</v>
      </c>
      <c r="W19" s="17">
        <f t="shared" si="11"/>
        <v>0.2857142857142857</v>
      </c>
      <c r="X19" s="17">
        <f t="shared" si="11"/>
        <v>0.85714285714285698</v>
      </c>
      <c r="Y19" s="17">
        <f t="shared" si="11"/>
        <v>7.7142857142857135</v>
      </c>
      <c r="Z19" s="17">
        <f t="shared" si="11"/>
        <v>7.1428571428571423</v>
      </c>
      <c r="AA19" s="17">
        <f t="shared" si="11"/>
        <v>3</v>
      </c>
      <c r="AB19" s="17">
        <f t="shared" si="11"/>
        <v>73</v>
      </c>
      <c r="AC19" s="17">
        <f t="shared" si="11"/>
        <v>28.714285714285712</v>
      </c>
      <c r="AD19" s="17">
        <f t="shared" si="11"/>
        <v>0</v>
      </c>
      <c r="AE19" s="31">
        <f t="shared" si="11"/>
        <v>164.57142857142856</v>
      </c>
      <c r="AF19" s="31">
        <f t="shared" si="11"/>
        <v>193.28571428571428</v>
      </c>
    </row>
    <row r="20" spans="2:32" ht="23.1" customHeight="1" x14ac:dyDescent="0.25">
      <c r="B20" s="23" t="s">
        <v>47</v>
      </c>
      <c r="C20" s="49">
        <f>'Avg Week BUSITEMA-TORORO'!C20+'Avg Week TORORO-BUSITEMA'!C20</f>
        <v>2</v>
      </c>
      <c r="D20" s="49">
        <f>'Avg Week BUSITEMA-TORORO'!D20+'Avg Week TORORO-BUSITEMA'!D20</f>
        <v>5.4285714285714288</v>
      </c>
      <c r="E20" s="49">
        <f>'Avg Week BUSITEMA-TORORO'!E20+'Avg Week TORORO-BUSITEMA'!E20</f>
        <v>1.5714285714285714</v>
      </c>
      <c r="F20" s="49">
        <f>'Avg Week BUSITEMA-TORORO'!F20+'Avg Week TORORO-BUSITEMA'!F20</f>
        <v>8.5714285714285712</v>
      </c>
      <c r="G20" s="49">
        <f>'Avg Week BUSITEMA-TORORO'!G20+'Avg Week TORORO-BUSITEMA'!G20</f>
        <v>0</v>
      </c>
      <c r="H20" s="49">
        <f>'Avg Week BUSITEMA-TORORO'!H20+'Avg Week TORORO-BUSITEMA'!H20</f>
        <v>0.14285714285714285</v>
      </c>
      <c r="I20" s="49">
        <f>'Avg Week BUSITEMA-TORORO'!I20+'Avg Week TORORO-BUSITEMA'!I20</f>
        <v>1.7142857142857144</v>
      </c>
      <c r="J20" s="49">
        <f>'Avg Week BUSITEMA-TORORO'!J20+'Avg Week TORORO-BUSITEMA'!J20</f>
        <v>0.5714285714285714</v>
      </c>
      <c r="K20" s="49">
        <f>'Avg Week BUSITEMA-TORORO'!K20+'Avg Week TORORO-BUSITEMA'!K20</f>
        <v>1.2857142857142856</v>
      </c>
      <c r="L20" s="49">
        <f>'Avg Week BUSITEMA-TORORO'!L20+'Avg Week TORORO-BUSITEMA'!L20</f>
        <v>17.142857142857142</v>
      </c>
      <c r="M20" s="49">
        <f>'Avg Week BUSITEMA-TORORO'!M20+'Avg Week TORORO-BUSITEMA'!M20</f>
        <v>7.7142857142857153</v>
      </c>
      <c r="N20" s="49">
        <f>'Avg Week BUSITEMA-TORORO'!N20+'Avg Week TORORO-BUSITEMA'!N20</f>
        <v>0</v>
      </c>
      <c r="O20" s="15">
        <f t="shared" si="0"/>
        <v>38.428571428571431</v>
      </c>
      <c r="P20" s="15">
        <f t="shared" si="1"/>
        <v>46.142857142857146</v>
      </c>
      <c r="R20" s="1" t="s">
        <v>16</v>
      </c>
      <c r="S20" s="17">
        <f t="shared" ref="S20:AF20" si="12">SUM(C50:C53)</f>
        <v>21</v>
      </c>
      <c r="T20" s="17">
        <f t="shared" si="12"/>
        <v>23.857142857142858</v>
      </c>
      <c r="U20" s="17">
        <f t="shared" si="12"/>
        <v>11.714285714285714</v>
      </c>
      <c r="V20" s="17">
        <f t="shared" si="12"/>
        <v>29.857142857142854</v>
      </c>
      <c r="W20" s="17">
        <f t="shared" si="12"/>
        <v>0.5714285714285714</v>
      </c>
      <c r="X20" s="17">
        <f t="shared" si="12"/>
        <v>0.2857142857142857</v>
      </c>
      <c r="Y20" s="17">
        <f t="shared" si="12"/>
        <v>12.285714285714285</v>
      </c>
      <c r="Z20" s="17">
        <f t="shared" si="12"/>
        <v>7.4285714285714288</v>
      </c>
      <c r="AA20" s="17">
        <f t="shared" si="12"/>
        <v>10.714285714285715</v>
      </c>
      <c r="AB20" s="17">
        <f t="shared" si="12"/>
        <v>94.428571428571431</v>
      </c>
      <c r="AC20" s="17">
        <f t="shared" si="12"/>
        <v>42</v>
      </c>
      <c r="AD20" s="17">
        <f t="shared" si="12"/>
        <v>0</v>
      </c>
      <c r="AE20" s="31">
        <f t="shared" si="12"/>
        <v>212.14285714285714</v>
      </c>
      <c r="AF20" s="31">
        <f t="shared" si="12"/>
        <v>254.14285714285714</v>
      </c>
    </row>
    <row r="21" spans="2:32" ht="23.1" customHeight="1" x14ac:dyDescent="0.25">
      <c r="B21" s="23" t="s">
        <v>48</v>
      </c>
      <c r="C21" s="49">
        <f>'Avg Week BUSITEMA-TORORO'!C21+'Avg Week TORORO-BUSITEMA'!C21</f>
        <v>1</v>
      </c>
      <c r="D21" s="49">
        <f>'Avg Week BUSITEMA-TORORO'!D21+'Avg Week TORORO-BUSITEMA'!D21</f>
        <v>4</v>
      </c>
      <c r="E21" s="49">
        <f>'Avg Week BUSITEMA-TORORO'!E21+'Avg Week TORORO-BUSITEMA'!E21</f>
        <v>1.2857142857142856</v>
      </c>
      <c r="F21" s="49">
        <f>'Avg Week BUSITEMA-TORORO'!F21+'Avg Week TORORO-BUSITEMA'!F21</f>
        <v>6.5714285714285712</v>
      </c>
      <c r="G21" s="49">
        <f>'Avg Week BUSITEMA-TORORO'!G21+'Avg Week TORORO-BUSITEMA'!G21</f>
        <v>0.2857142857142857</v>
      </c>
      <c r="H21" s="49">
        <f>'Avg Week BUSITEMA-TORORO'!H21+'Avg Week TORORO-BUSITEMA'!H21</f>
        <v>0.14285714285714285</v>
      </c>
      <c r="I21" s="49">
        <f>'Avg Week BUSITEMA-TORORO'!I21+'Avg Week TORORO-BUSITEMA'!I21</f>
        <v>0.71428571428571419</v>
      </c>
      <c r="J21" s="49">
        <f>'Avg Week BUSITEMA-TORORO'!J21+'Avg Week TORORO-BUSITEMA'!J21</f>
        <v>0.14285714285714285</v>
      </c>
      <c r="K21" s="49">
        <f>'Avg Week BUSITEMA-TORORO'!K21+'Avg Week TORORO-BUSITEMA'!K21</f>
        <v>0.5714285714285714</v>
      </c>
      <c r="L21" s="49">
        <f>'Avg Week BUSITEMA-TORORO'!L21+'Avg Week TORORO-BUSITEMA'!L21</f>
        <v>9.4285714285714288</v>
      </c>
      <c r="M21" s="49">
        <f>'Avg Week BUSITEMA-TORORO'!M21+'Avg Week TORORO-BUSITEMA'!M21</f>
        <v>8.8571428571428577</v>
      </c>
      <c r="N21" s="49">
        <f>'Avg Week BUSITEMA-TORORO'!N21+'Avg Week TORORO-BUSITEMA'!N21</f>
        <v>0</v>
      </c>
      <c r="O21" s="15">
        <f t="shared" si="0"/>
        <v>24.142857142857142</v>
      </c>
      <c r="P21" s="15">
        <f t="shared" si="1"/>
        <v>33</v>
      </c>
      <c r="R21" s="36" t="s">
        <v>20</v>
      </c>
      <c r="S21" s="34">
        <f t="shared" ref="S21:AF21" si="13">SUM(C54:C57)</f>
        <v>20.428571428571427</v>
      </c>
      <c r="T21" s="17">
        <f t="shared" si="13"/>
        <v>21.857142857142861</v>
      </c>
      <c r="U21" s="17">
        <f t="shared" si="13"/>
        <v>16.571428571428573</v>
      </c>
      <c r="V21" s="17">
        <f t="shared" si="13"/>
        <v>41</v>
      </c>
      <c r="W21" s="17">
        <f t="shared" si="13"/>
        <v>1.2857142857142856</v>
      </c>
      <c r="X21" s="17">
        <f t="shared" si="13"/>
        <v>1.1428571428571428</v>
      </c>
      <c r="Y21" s="17">
        <f t="shared" si="13"/>
        <v>15</v>
      </c>
      <c r="Z21" s="17">
        <f t="shared" si="13"/>
        <v>9.8571428571428577</v>
      </c>
      <c r="AA21" s="17">
        <f t="shared" si="13"/>
        <v>12.571428571428571</v>
      </c>
      <c r="AB21" s="17">
        <f t="shared" si="13"/>
        <v>104.14285714285714</v>
      </c>
      <c r="AC21" s="17">
        <f t="shared" si="13"/>
        <v>43.714285714285708</v>
      </c>
      <c r="AD21" s="17">
        <f t="shared" si="13"/>
        <v>0</v>
      </c>
      <c r="AE21" s="31">
        <f t="shared" si="13"/>
        <v>243.85714285714289</v>
      </c>
      <c r="AF21" s="31">
        <f t="shared" si="13"/>
        <v>287.57142857142856</v>
      </c>
    </row>
    <row r="22" spans="2:32" ht="23.1" customHeight="1" x14ac:dyDescent="0.25">
      <c r="B22" s="23" t="s">
        <v>49</v>
      </c>
      <c r="C22" s="49">
        <f>'Avg Week BUSITEMA-TORORO'!C22+'Avg Week TORORO-BUSITEMA'!C22</f>
        <v>3.1428571428571428</v>
      </c>
      <c r="D22" s="49">
        <f>'Avg Week BUSITEMA-TORORO'!D22+'Avg Week TORORO-BUSITEMA'!D22</f>
        <v>3.1428571428571428</v>
      </c>
      <c r="E22" s="49">
        <f>'Avg Week BUSITEMA-TORORO'!E22+'Avg Week TORORO-BUSITEMA'!E22</f>
        <v>2</v>
      </c>
      <c r="F22" s="49">
        <f>'Avg Week BUSITEMA-TORORO'!F22+'Avg Week TORORO-BUSITEMA'!F22</f>
        <v>6.7142857142857144</v>
      </c>
      <c r="G22" s="49">
        <f>'Avg Week BUSITEMA-TORORO'!G22+'Avg Week TORORO-BUSITEMA'!G22</f>
        <v>0.14285714285714285</v>
      </c>
      <c r="H22" s="49">
        <f>'Avg Week BUSITEMA-TORORO'!H22+'Avg Week TORORO-BUSITEMA'!H22</f>
        <v>0</v>
      </c>
      <c r="I22" s="49">
        <f>'Avg Week BUSITEMA-TORORO'!I22+'Avg Week TORORO-BUSITEMA'!I22</f>
        <v>1.5714285714285714</v>
      </c>
      <c r="J22" s="49">
        <f>'Avg Week BUSITEMA-TORORO'!J22+'Avg Week TORORO-BUSITEMA'!J22</f>
        <v>0.42857142857142855</v>
      </c>
      <c r="K22" s="49">
        <f>'Avg Week BUSITEMA-TORORO'!K22+'Avg Week TORORO-BUSITEMA'!K22</f>
        <v>1.8571428571428572</v>
      </c>
      <c r="L22" s="49">
        <f>'Avg Week BUSITEMA-TORORO'!L22+'Avg Week TORORO-BUSITEMA'!L22</f>
        <v>11.714285714285715</v>
      </c>
      <c r="M22" s="49">
        <f>'Avg Week BUSITEMA-TORORO'!M22+'Avg Week TORORO-BUSITEMA'!M22</f>
        <v>5.4285714285714288</v>
      </c>
      <c r="N22" s="49">
        <f>'Avg Week BUSITEMA-TORORO'!N22+'Avg Week TORORO-BUSITEMA'!N22</f>
        <v>0</v>
      </c>
      <c r="O22" s="15">
        <f t="shared" si="0"/>
        <v>30.714285714285715</v>
      </c>
      <c r="P22" s="15">
        <f t="shared" si="1"/>
        <v>36.142857142857146</v>
      </c>
      <c r="R22" s="1" t="s">
        <v>146</v>
      </c>
      <c r="S22" s="34">
        <f>SUM(C58:C61)</f>
        <v>14</v>
      </c>
      <c r="T22" s="34">
        <f t="shared" ref="T22:AF22" si="14">SUM(D58:D61)</f>
        <v>12</v>
      </c>
      <c r="U22" s="34">
        <f t="shared" si="14"/>
        <v>9.5</v>
      </c>
      <c r="V22" s="34">
        <f t="shared" si="14"/>
        <v>26</v>
      </c>
      <c r="W22" s="34">
        <f t="shared" si="14"/>
        <v>0.5</v>
      </c>
      <c r="X22" s="34">
        <f t="shared" si="14"/>
        <v>0</v>
      </c>
      <c r="Y22" s="34">
        <f t="shared" si="14"/>
        <v>8</v>
      </c>
      <c r="Z22" s="34">
        <f t="shared" si="14"/>
        <v>7.5</v>
      </c>
      <c r="AA22" s="34">
        <f t="shared" si="14"/>
        <v>12</v>
      </c>
      <c r="AB22" s="34">
        <f t="shared" si="14"/>
        <v>121.5</v>
      </c>
      <c r="AC22" s="34">
        <f t="shared" si="14"/>
        <v>26</v>
      </c>
      <c r="AD22" s="34">
        <f t="shared" si="14"/>
        <v>0</v>
      </c>
      <c r="AE22" s="31">
        <f t="shared" si="14"/>
        <v>211</v>
      </c>
      <c r="AF22" s="31">
        <f t="shared" si="14"/>
        <v>237</v>
      </c>
    </row>
    <row r="23" spans="2:32" ht="23.1" customHeight="1" x14ac:dyDescent="0.25">
      <c r="B23" s="23" t="s">
        <v>50</v>
      </c>
      <c r="C23" s="49">
        <f>'Avg Week BUSITEMA-TORORO'!C23+'Avg Week TORORO-BUSITEMA'!C23</f>
        <v>3.2857142857142856</v>
      </c>
      <c r="D23" s="49">
        <f>'Avg Week BUSITEMA-TORORO'!D23+'Avg Week TORORO-BUSITEMA'!D23</f>
        <v>3.1428571428571428</v>
      </c>
      <c r="E23" s="49">
        <f>'Avg Week BUSITEMA-TORORO'!E23+'Avg Week TORORO-BUSITEMA'!E23</f>
        <v>1.8571428571428572</v>
      </c>
      <c r="F23" s="49">
        <f>'Avg Week BUSITEMA-TORORO'!F23+'Avg Week TORORO-BUSITEMA'!F23</f>
        <v>7.2857142857142856</v>
      </c>
      <c r="G23" s="49">
        <f>'Avg Week BUSITEMA-TORORO'!G23+'Avg Week TORORO-BUSITEMA'!G23</f>
        <v>0</v>
      </c>
      <c r="H23" s="49">
        <f>'Avg Week BUSITEMA-TORORO'!H23+'Avg Week TORORO-BUSITEMA'!H23</f>
        <v>0.71428571428571419</v>
      </c>
      <c r="I23" s="49">
        <f>'Avg Week BUSITEMA-TORORO'!I23+'Avg Week TORORO-BUSITEMA'!I23</f>
        <v>0.8571428571428571</v>
      </c>
      <c r="J23" s="49">
        <f>'Avg Week BUSITEMA-TORORO'!J23+'Avg Week TORORO-BUSITEMA'!J23</f>
        <v>0.71428571428571419</v>
      </c>
      <c r="K23" s="49">
        <f>'Avg Week BUSITEMA-TORORO'!K23+'Avg Week TORORO-BUSITEMA'!K23</f>
        <v>0.5714285714285714</v>
      </c>
      <c r="L23" s="49">
        <f>'Avg Week BUSITEMA-TORORO'!L23+'Avg Week TORORO-BUSITEMA'!L23</f>
        <v>14.285714285714285</v>
      </c>
      <c r="M23" s="49">
        <f>'Avg Week BUSITEMA-TORORO'!M23+'Avg Week TORORO-BUSITEMA'!M23</f>
        <v>9.4285714285714288</v>
      </c>
      <c r="N23" s="49">
        <f>'Avg Week BUSITEMA-TORORO'!N23+'Avg Week TORORO-BUSITEMA'!N23</f>
        <v>0</v>
      </c>
      <c r="O23" s="15">
        <f t="shared" si="0"/>
        <v>32.714285714285722</v>
      </c>
      <c r="P23" s="15">
        <f t="shared" si="1"/>
        <v>42.142857142857153</v>
      </c>
      <c r="R23" s="1" t="s">
        <v>147</v>
      </c>
      <c r="S23" s="34">
        <f>SUM(C62:C65)</f>
        <v>7.5</v>
      </c>
      <c r="T23" s="34">
        <f t="shared" ref="T23:AF23" si="15">SUM(D62:D65)</f>
        <v>10</v>
      </c>
      <c r="U23" s="34">
        <f t="shared" si="15"/>
        <v>4</v>
      </c>
      <c r="V23" s="34">
        <f t="shared" si="15"/>
        <v>9.5</v>
      </c>
      <c r="W23" s="34">
        <f t="shared" si="15"/>
        <v>0.5</v>
      </c>
      <c r="X23" s="34">
        <f t="shared" si="15"/>
        <v>2</v>
      </c>
      <c r="Y23" s="34">
        <f t="shared" si="15"/>
        <v>1.5</v>
      </c>
      <c r="Z23" s="34">
        <f t="shared" si="15"/>
        <v>10</v>
      </c>
      <c r="AA23" s="34">
        <f t="shared" si="15"/>
        <v>2</v>
      </c>
      <c r="AB23" s="34">
        <f t="shared" si="15"/>
        <v>95</v>
      </c>
      <c r="AC23" s="34">
        <f t="shared" si="15"/>
        <v>7</v>
      </c>
      <c r="AD23" s="34">
        <f t="shared" si="15"/>
        <v>0</v>
      </c>
      <c r="AE23" s="31">
        <f t="shared" si="15"/>
        <v>142</v>
      </c>
      <c r="AF23" s="31">
        <f t="shared" si="15"/>
        <v>149</v>
      </c>
    </row>
    <row r="24" spans="2:32" ht="23.1" customHeight="1" x14ac:dyDescent="0.25">
      <c r="B24" s="23" t="s">
        <v>51</v>
      </c>
      <c r="C24" s="49">
        <f>'Avg Week BUSITEMA-TORORO'!C24+'Avg Week TORORO-BUSITEMA'!C24</f>
        <v>5.7142857142857144</v>
      </c>
      <c r="D24" s="49">
        <f>'Avg Week BUSITEMA-TORORO'!D24+'Avg Week TORORO-BUSITEMA'!D24</f>
        <v>4.5714285714285712</v>
      </c>
      <c r="E24" s="49">
        <f>'Avg Week BUSITEMA-TORORO'!E24+'Avg Week TORORO-BUSITEMA'!E24</f>
        <v>1.5714285714285714</v>
      </c>
      <c r="F24" s="49">
        <f>'Avg Week BUSITEMA-TORORO'!F24+'Avg Week TORORO-BUSITEMA'!F24</f>
        <v>7.8571428571428568</v>
      </c>
      <c r="G24" s="49">
        <f>'Avg Week BUSITEMA-TORORO'!G24+'Avg Week TORORO-BUSITEMA'!G24</f>
        <v>0.2857142857142857</v>
      </c>
      <c r="H24" s="49">
        <f>'Avg Week BUSITEMA-TORORO'!H24+'Avg Week TORORO-BUSITEMA'!H24</f>
        <v>0</v>
      </c>
      <c r="I24" s="49">
        <f>'Avg Week BUSITEMA-TORORO'!I24+'Avg Week TORORO-BUSITEMA'!I24</f>
        <v>2</v>
      </c>
      <c r="J24" s="49">
        <f>'Avg Week BUSITEMA-TORORO'!J24+'Avg Week TORORO-BUSITEMA'!J24</f>
        <v>0.71428571428571419</v>
      </c>
      <c r="K24" s="49">
        <f>'Avg Week BUSITEMA-TORORO'!K24+'Avg Week TORORO-BUSITEMA'!K24</f>
        <v>0.8571428571428571</v>
      </c>
      <c r="L24" s="49">
        <f>'Avg Week BUSITEMA-TORORO'!L24+'Avg Week TORORO-BUSITEMA'!L24</f>
        <v>14.142857142857142</v>
      </c>
      <c r="M24" s="49">
        <f>'Avg Week BUSITEMA-TORORO'!M24+'Avg Week TORORO-BUSITEMA'!M24</f>
        <v>11</v>
      </c>
      <c r="N24" s="49">
        <f>'Avg Week BUSITEMA-TORORO'!N24+'Avg Week TORORO-BUSITEMA'!N24</f>
        <v>0</v>
      </c>
      <c r="O24" s="15">
        <f t="shared" si="0"/>
        <v>37.714285714285708</v>
      </c>
      <c r="P24" s="15">
        <f t="shared" si="1"/>
        <v>48.714285714285708</v>
      </c>
      <c r="R24" s="1" t="s">
        <v>148</v>
      </c>
      <c r="S24" s="34">
        <f>SUM(C66:C69)</f>
        <v>8.5</v>
      </c>
      <c r="T24" s="34">
        <f t="shared" ref="T24:AF24" si="16">SUM(D66:D69)</f>
        <v>10</v>
      </c>
      <c r="U24" s="34">
        <f t="shared" si="16"/>
        <v>2.5</v>
      </c>
      <c r="V24" s="34">
        <f t="shared" si="16"/>
        <v>5.5</v>
      </c>
      <c r="W24" s="34">
        <f t="shared" si="16"/>
        <v>0</v>
      </c>
      <c r="X24" s="34">
        <f t="shared" si="16"/>
        <v>0.5</v>
      </c>
      <c r="Y24" s="34">
        <f t="shared" si="16"/>
        <v>4.5</v>
      </c>
      <c r="Z24" s="34">
        <f t="shared" si="16"/>
        <v>6.5</v>
      </c>
      <c r="AA24" s="34">
        <f t="shared" si="16"/>
        <v>8</v>
      </c>
      <c r="AB24" s="34">
        <f t="shared" si="16"/>
        <v>95.5</v>
      </c>
      <c r="AC24" s="34">
        <f t="shared" si="16"/>
        <v>6.5</v>
      </c>
      <c r="AD24" s="34">
        <f t="shared" si="16"/>
        <v>0</v>
      </c>
      <c r="AE24" s="31">
        <f t="shared" si="16"/>
        <v>141.5</v>
      </c>
      <c r="AF24" s="31">
        <f t="shared" si="16"/>
        <v>148</v>
      </c>
    </row>
    <row r="25" spans="2:32" ht="23.1" customHeight="1" x14ac:dyDescent="0.25">
      <c r="B25" s="23" t="s">
        <v>52</v>
      </c>
      <c r="C25" s="49">
        <f>'Avg Week BUSITEMA-TORORO'!C25+'Avg Week TORORO-BUSITEMA'!C25</f>
        <v>4.8571428571428568</v>
      </c>
      <c r="D25" s="49">
        <f>'Avg Week BUSITEMA-TORORO'!D25+'Avg Week TORORO-BUSITEMA'!D25</f>
        <v>7.7142857142857153</v>
      </c>
      <c r="E25" s="49">
        <f>'Avg Week BUSITEMA-TORORO'!E25+'Avg Week TORORO-BUSITEMA'!E25</f>
        <v>2</v>
      </c>
      <c r="F25" s="49">
        <f>'Avg Week BUSITEMA-TORORO'!F25+'Avg Week TORORO-BUSITEMA'!F25</f>
        <v>8.5714285714285712</v>
      </c>
      <c r="G25" s="49">
        <f>'Avg Week BUSITEMA-TORORO'!G25+'Avg Week TORORO-BUSITEMA'!G25</f>
        <v>0</v>
      </c>
      <c r="H25" s="49">
        <f>'Avg Week BUSITEMA-TORORO'!H25+'Avg Week TORORO-BUSITEMA'!H25</f>
        <v>0</v>
      </c>
      <c r="I25" s="49">
        <f>'Avg Week BUSITEMA-TORORO'!I25+'Avg Week TORORO-BUSITEMA'!I25</f>
        <v>1.1428571428571428</v>
      </c>
      <c r="J25" s="49">
        <f>'Avg Week BUSITEMA-TORORO'!J25+'Avg Week TORORO-BUSITEMA'!J25</f>
        <v>0.71428571428571419</v>
      </c>
      <c r="K25" s="49">
        <f>'Avg Week BUSITEMA-TORORO'!K25+'Avg Week TORORO-BUSITEMA'!K25</f>
        <v>0.71428571428571419</v>
      </c>
      <c r="L25" s="49">
        <f>'Avg Week BUSITEMA-TORORO'!L25+'Avg Week TORORO-BUSITEMA'!L25</f>
        <v>12.714285714285714</v>
      </c>
      <c r="M25" s="49">
        <f>'Avg Week BUSITEMA-TORORO'!M25+'Avg Week TORORO-BUSITEMA'!M25</f>
        <v>7.4285714285714288</v>
      </c>
      <c r="N25" s="49">
        <f>'Avg Week BUSITEMA-TORORO'!N25+'Avg Week TORORO-BUSITEMA'!N25</f>
        <v>0.14285714285714285</v>
      </c>
      <c r="O25" s="15">
        <f t="shared" si="0"/>
        <v>38.571428571428577</v>
      </c>
      <c r="P25" s="15">
        <f t="shared" si="1"/>
        <v>46.000000000000007</v>
      </c>
      <c r="R25" s="1" t="s">
        <v>149</v>
      </c>
      <c r="S25" s="34">
        <f>SUM(C70:C73)</f>
        <v>4.5</v>
      </c>
      <c r="T25" s="34">
        <f t="shared" ref="T25:AF25" si="17">SUM(D70:D73)</f>
        <v>3</v>
      </c>
      <c r="U25" s="34">
        <f t="shared" si="17"/>
        <v>1</v>
      </c>
      <c r="V25" s="34">
        <f t="shared" si="17"/>
        <v>10</v>
      </c>
      <c r="W25" s="34">
        <f t="shared" si="17"/>
        <v>0</v>
      </c>
      <c r="X25" s="34">
        <f t="shared" si="17"/>
        <v>0.5</v>
      </c>
      <c r="Y25" s="34">
        <f t="shared" si="17"/>
        <v>1</v>
      </c>
      <c r="Z25" s="34">
        <f t="shared" si="17"/>
        <v>11.5</v>
      </c>
      <c r="AA25" s="34">
        <f t="shared" si="17"/>
        <v>0.5</v>
      </c>
      <c r="AB25" s="34">
        <f t="shared" si="17"/>
        <v>49.5</v>
      </c>
      <c r="AC25" s="34">
        <f t="shared" si="17"/>
        <v>25.5</v>
      </c>
      <c r="AD25" s="34">
        <f t="shared" si="17"/>
        <v>0</v>
      </c>
      <c r="AE25" s="31">
        <f t="shared" si="17"/>
        <v>81.5</v>
      </c>
      <c r="AF25" s="31">
        <f t="shared" si="17"/>
        <v>107</v>
      </c>
    </row>
    <row r="26" spans="2:32" ht="23.1" customHeight="1" x14ac:dyDescent="0.25">
      <c r="B26" s="23" t="s">
        <v>53</v>
      </c>
      <c r="C26" s="49">
        <f>'Avg Week BUSITEMA-TORORO'!C26+'Avg Week TORORO-BUSITEMA'!C26</f>
        <v>4.2857142857142856</v>
      </c>
      <c r="D26" s="49">
        <f>'Avg Week BUSITEMA-TORORO'!D26+'Avg Week TORORO-BUSITEMA'!D26</f>
        <v>5.8571428571428577</v>
      </c>
      <c r="E26" s="49">
        <f>'Avg Week BUSITEMA-TORORO'!E26+'Avg Week TORORO-BUSITEMA'!E26</f>
        <v>2.2857142857142856</v>
      </c>
      <c r="F26" s="49">
        <f>'Avg Week BUSITEMA-TORORO'!F26+'Avg Week TORORO-BUSITEMA'!F26</f>
        <v>7.4285714285714288</v>
      </c>
      <c r="G26" s="49">
        <f>'Avg Week BUSITEMA-TORORO'!G26+'Avg Week TORORO-BUSITEMA'!G26</f>
        <v>0.14285714285714285</v>
      </c>
      <c r="H26" s="49">
        <f>'Avg Week BUSITEMA-TORORO'!H26+'Avg Week TORORO-BUSITEMA'!H26</f>
        <v>0.14285714285714285</v>
      </c>
      <c r="I26" s="49">
        <f>'Avg Week BUSITEMA-TORORO'!I26+'Avg Week TORORO-BUSITEMA'!I26</f>
        <v>2</v>
      </c>
      <c r="J26" s="49">
        <f>'Avg Week BUSITEMA-TORORO'!J26+'Avg Week TORORO-BUSITEMA'!J26</f>
        <v>0.71428571428571419</v>
      </c>
      <c r="K26" s="49">
        <f>'Avg Week BUSITEMA-TORORO'!K26+'Avg Week TORORO-BUSITEMA'!K26</f>
        <v>0.5714285714285714</v>
      </c>
      <c r="L26" s="49">
        <f>'Avg Week BUSITEMA-TORORO'!L26+'Avg Week TORORO-BUSITEMA'!L26</f>
        <v>17.142857142857142</v>
      </c>
      <c r="M26" s="49">
        <f>'Avg Week BUSITEMA-TORORO'!M26+'Avg Week TORORO-BUSITEMA'!M26</f>
        <v>9.4285714285714288</v>
      </c>
      <c r="N26" s="49">
        <f>'Avg Week BUSITEMA-TORORO'!N26+'Avg Week TORORO-BUSITEMA'!N26</f>
        <v>0</v>
      </c>
      <c r="O26" s="15">
        <f t="shared" si="0"/>
        <v>40.571428571428569</v>
      </c>
      <c r="P26" s="15">
        <f t="shared" si="1"/>
        <v>50</v>
      </c>
      <c r="R26" s="1" t="s">
        <v>150</v>
      </c>
      <c r="S26" s="34">
        <f>SUM(C74:C77)</f>
        <v>1.5</v>
      </c>
      <c r="T26" s="34">
        <f t="shared" ref="T26:AF26" si="18">SUM(D74:D77)</f>
        <v>5.5</v>
      </c>
      <c r="U26" s="34">
        <f t="shared" si="18"/>
        <v>2.5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1.5</v>
      </c>
      <c r="AA26" s="34">
        <f t="shared" si="18"/>
        <v>0.5</v>
      </c>
      <c r="AB26" s="34">
        <f t="shared" si="18"/>
        <v>55</v>
      </c>
      <c r="AC26" s="34">
        <f t="shared" si="18"/>
        <v>17.5</v>
      </c>
      <c r="AD26" s="34">
        <f t="shared" si="18"/>
        <v>0</v>
      </c>
      <c r="AE26" s="31">
        <f t="shared" si="18"/>
        <v>67.5</v>
      </c>
      <c r="AF26" s="31">
        <f t="shared" si="18"/>
        <v>85</v>
      </c>
    </row>
    <row r="27" spans="2:32" ht="23.1" customHeight="1" x14ac:dyDescent="0.25">
      <c r="B27" s="23" t="s">
        <v>54</v>
      </c>
      <c r="C27" s="49">
        <f>'Avg Week BUSITEMA-TORORO'!C27+'Avg Week TORORO-BUSITEMA'!C27</f>
        <v>2.8571428571428572</v>
      </c>
      <c r="D27" s="49">
        <f>'Avg Week BUSITEMA-TORORO'!D27+'Avg Week TORORO-BUSITEMA'!D27</f>
        <v>5.1428571428571423</v>
      </c>
      <c r="E27" s="49">
        <f>'Avg Week BUSITEMA-TORORO'!E27+'Avg Week TORORO-BUSITEMA'!E27</f>
        <v>1.8571428571428572</v>
      </c>
      <c r="F27" s="49">
        <f>'Avg Week BUSITEMA-TORORO'!F27+'Avg Week TORORO-BUSITEMA'!F27</f>
        <v>7.1428571428571423</v>
      </c>
      <c r="G27" s="49">
        <f>'Avg Week BUSITEMA-TORORO'!G27+'Avg Week TORORO-BUSITEMA'!G27</f>
        <v>0.42857142857142855</v>
      </c>
      <c r="H27" s="49">
        <f>'Avg Week BUSITEMA-TORORO'!H27+'Avg Week TORORO-BUSITEMA'!H27</f>
        <v>0</v>
      </c>
      <c r="I27" s="49">
        <f>'Avg Week BUSITEMA-TORORO'!I27+'Avg Week TORORO-BUSITEMA'!I27</f>
        <v>1.1428571428571428</v>
      </c>
      <c r="J27" s="49">
        <f>'Avg Week BUSITEMA-TORORO'!J27+'Avg Week TORORO-BUSITEMA'!J27</f>
        <v>0.5714285714285714</v>
      </c>
      <c r="K27" s="49">
        <f>'Avg Week BUSITEMA-TORORO'!K27+'Avg Week TORORO-BUSITEMA'!K27</f>
        <v>0.42857142857142855</v>
      </c>
      <c r="L27" s="49">
        <f>'Avg Week BUSITEMA-TORORO'!L27+'Avg Week TORORO-BUSITEMA'!L27</f>
        <v>11.571428571428573</v>
      </c>
      <c r="M27" s="49">
        <f>'Avg Week BUSITEMA-TORORO'!M27+'Avg Week TORORO-BUSITEMA'!M27</f>
        <v>8.4285714285714288</v>
      </c>
      <c r="N27" s="49">
        <f>'Avg Week BUSITEMA-TORORO'!N27+'Avg Week TORORO-BUSITEMA'!N27</f>
        <v>0</v>
      </c>
      <c r="O27" s="15">
        <f t="shared" si="0"/>
        <v>31.142857142857142</v>
      </c>
      <c r="P27" s="15">
        <f t="shared" si="1"/>
        <v>39.571428571428569</v>
      </c>
      <c r="R27" s="1" t="s">
        <v>151</v>
      </c>
      <c r="S27" s="34">
        <f>SUM(C78:C81)</f>
        <v>0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1.5</v>
      </c>
      <c r="W27" s="34">
        <f t="shared" si="19"/>
        <v>0</v>
      </c>
      <c r="X27" s="34">
        <f t="shared" si="19"/>
        <v>0.5</v>
      </c>
      <c r="Y27" s="34">
        <f t="shared" si="19"/>
        <v>1.5</v>
      </c>
      <c r="Z27" s="34">
        <f t="shared" si="19"/>
        <v>4.5</v>
      </c>
      <c r="AA27" s="34">
        <f t="shared" si="19"/>
        <v>0</v>
      </c>
      <c r="AB27" s="34">
        <f t="shared" si="19"/>
        <v>28</v>
      </c>
      <c r="AC27" s="34">
        <f t="shared" si="19"/>
        <v>43</v>
      </c>
      <c r="AD27" s="34">
        <f t="shared" si="19"/>
        <v>0</v>
      </c>
      <c r="AE27" s="31">
        <f t="shared" si="19"/>
        <v>39</v>
      </c>
      <c r="AF27" s="31">
        <f t="shared" si="19"/>
        <v>82</v>
      </c>
    </row>
    <row r="28" spans="2:32" ht="23.1" customHeight="1" x14ac:dyDescent="0.25">
      <c r="B28" s="23" t="s">
        <v>55</v>
      </c>
      <c r="C28" s="49">
        <f>'Avg Week BUSITEMA-TORORO'!C28+'Avg Week TORORO-BUSITEMA'!C28</f>
        <v>4.2857142857142856</v>
      </c>
      <c r="D28" s="49">
        <f>'Avg Week BUSITEMA-TORORO'!D28+'Avg Week TORORO-BUSITEMA'!D28</f>
        <v>7.7142857142857153</v>
      </c>
      <c r="E28" s="49">
        <f>'Avg Week BUSITEMA-TORORO'!E28+'Avg Week TORORO-BUSITEMA'!E28</f>
        <v>2.1428571428571428</v>
      </c>
      <c r="F28" s="49">
        <f>'Avg Week BUSITEMA-TORORO'!F28+'Avg Week TORORO-BUSITEMA'!F28</f>
        <v>7.8571428571428577</v>
      </c>
      <c r="G28" s="49">
        <f>'Avg Week BUSITEMA-TORORO'!G28+'Avg Week TORORO-BUSITEMA'!G28</f>
        <v>0.14285714285714285</v>
      </c>
      <c r="H28" s="49">
        <f>'Avg Week BUSITEMA-TORORO'!H28+'Avg Week TORORO-BUSITEMA'!H28</f>
        <v>0.14285714285714285</v>
      </c>
      <c r="I28" s="49">
        <f>'Avg Week BUSITEMA-TORORO'!I28+'Avg Week TORORO-BUSITEMA'!I28</f>
        <v>0.8571428571428571</v>
      </c>
      <c r="J28" s="49">
        <f>'Avg Week BUSITEMA-TORORO'!J28+'Avg Week TORORO-BUSITEMA'!J28</f>
        <v>0.42857142857142855</v>
      </c>
      <c r="K28" s="49">
        <f>'Avg Week BUSITEMA-TORORO'!K28+'Avg Week TORORO-BUSITEMA'!K28</f>
        <v>1.2857142857142856</v>
      </c>
      <c r="L28" s="49">
        <f>'Avg Week BUSITEMA-TORORO'!L28+'Avg Week TORORO-BUSITEMA'!L28</f>
        <v>14.571428571428571</v>
      </c>
      <c r="M28" s="49">
        <f>'Avg Week BUSITEMA-TORORO'!M28+'Avg Week TORORO-BUSITEMA'!M28</f>
        <v>9.5714285714285712</v>
      </c>
      <c r="N28" s="49">
        <f>'Avg Week BUSITEMA-TORORO'!N28+'Avg Week TORORO-BUSITEMA'!N28</f>
        <v>0</v>
      </c>
      <c r="O28" s="15">
        <f t="shared" si="0"/>
        <v>39.428571428571423</v>
      </c>
      <c r="P28" s="15">
        <f t="shared" si="1"/>
        <v>48.999999999999993</v>
      </c>
      <c r="R28" s="1" t="s">
        <v>152</v>
      </c>
      <c r="S28" s="34">
        <f>SUM(C82:C85)</f>
        <v>1.5</v>
      </c>
      <c r="T28" s="34">
        <f t="shared" ref="T28:AF28" si="20">SUM(D82:D85)</f>
        <v>2</v>
      </c>
      <c r="U28" s="34">
        <f t="shared" si="20"/>
        <v>0.5</v>
      </c>
      <c r="V28" s="34">
        <f t="shared" si="20"/>
        <v>1</v>
      </c>
      <c r="W28" s="34">
        <f t="shared" si="20"/>
        <v>0</v>
      </c>
      <c r="X28" s="34">
        <f t="shared" si="20"/>
        <v>1.5</v>
      </c>
      <c r="Y28" s="34">
        <f t="shared" si="20"/>
        <v>0.5</v>
      </c>
      <c r="Z28" s="34">
        <f t="shared" si="20"/>
        <v>3</v>
      </c>
      <c r="AA28" s="34">
        <f t="shared" si="20"/>
        <v>0.5</v>
      </c>
      <c r="AB28" s="34">
        <f t="shared" si="20"/>
        <v>29</v>
      </c>
      <c r="AC28" s="34">
        <f t="shared" si="20"/>
        <v>11.5</v>
      </c>
      <c r="AD28" s="34">
        <f t="shared" si="20"/>
        <v>0</v>
      </c>
      <c r="AE28" s="31">
        <f t="shared" si="20"/>
        <v>39.5</v>
      </c>
      <c r="AF28" s="31">
        <f t="shared" si="20"/>
        <v>51</v>
      </c>
    </row>
    <row r="29" spans="2:32" ht="23.1" customHeight="1" x14ac:dyDescent="0.25">
      <c r="B29" s="23" t="s">
        <v>56</v>
      </c>
      <c r="C29" s="49">
        <f>'Avg Week BUSITEMA-TORORO'!C29+'Avg Week TORORO-BUSITEMA'!C29</f>
        <v>3.8571428571428572</v>
      </c>
      <c r="D29" s="49">
        <f>'Avg Week BUSITEMA-TORORO'!D29+'Avg Week TORORO-BUSITEMA'!D29</f>
        <v>5.2857142857142856</v>
      </c>
      <c r="E29" s="49">
        <f>'Avg Week BUSITEMA-TORORO'!E29+'Avg Week TORORO-BUSITEMA'!E29</f>
        <v>1.7142857142857144</v>
      </c>
      <c r="F29" s="49">
        <f>'Avg Week BUSITEMA-TORORO'!F29+'Avg Week TORORO-BUSITEMA'!F29</f>
        <v>7.7142857142857153</v>
      </c>
      <c r="G29" s="49">
        <f>'Avg Week BUSITEMA-TORORO'!G29+'Avg Week TORORO-BUSITEMA'!G29</f>
        <v>0.5714285714285714</v>
      </c>
      <c r="H29" s="49">
        <f>'Avg Week BUSITEMA-TORORO'!H29+'Avg Week TORORO-BUSITEMA'!H29</f>
        <v>0</v>
      </c>
      <c r="I29" s="49">
        <f>'Avg Week BUSITEMA-TORORO'!I29+'Avg Week TORORO-BUSITEMA'!I29</f>
        <v>0.8571428571428571</v>
      </c>
      <c r="J29" s="49">
        <f>'Avg Week BUSITEMA-TORORO'!J29+'Avg Week TORORO-BUSITEMA'!J29</f>
        <v>1</v>
      </c>
      <c r="K29" s="49">
        <f>'Avg Week BUSITEMA-TORORO'!K29+'Avg Week TORORO-BUSITEMA'!K29</f>
        <v>1.1428571428571428</v>
      </c>
      <c r="L29" s="49">
        <f>'Avg Week BUSITEMA-TORORO'!L29+'Avg Week TORORO-BUSITEMA'!L29</f>
        <v>12.142857142857142</v>
      </c>
      <c r="M29" s="49">
        <f>'Avg Week BUSITEMA-TORORO'!M29+'Avg Week TORORO-BUSITEMA'!M29</f>
        <v>6.8571428571428577</v>
      </c>
      <c r="N29" s="49">
        <f>'Avg Week BUSITEMA-TORORO'!N29+'Avg Week TORORO-BUSITEMA'!N29</f>
        <v>0</v>
      </c>
      <c r="O29" s="15">
        <f t="shared" si="0"/>
        <v>34.285714285714292</v>
      </c>
      <c r="P29" s="15">
        <f t="shared" si="1"/>
        <v>41.142857142857153</v>
      </c>
      <c r="R29" s="1" t="s">
        <v>153</v>
      </c>
      <c r="S29" s="34">
        <f>SUM(C86:C89)</f>
        <v>1.5</v>
      </c>
      <c r="T29" s="34">
        <f t="shared" ref="T29:AF29" si="21">SUM(D86:D89)</f>
        <v>3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1.5</v>
      </c>
      <c r="Y29" s="34">
        <f t="shared" si="21"/>
        <v>1.5</v>
      </c>
      <c r="Z29" s="34">
        <f t="shared" si="21"/>
        <v>2</v>
      </c>
      <c r="AA29" s="34">
        <f t="shared" si="21"/>
        <v>0</v>
      </c>
      <c r="AB29" s="34">
        <f t="shared" si="21"/>
        <v>40.5</v>
      </c>
      <c r="AC29" s="34">
        <f t="shared" si="21"/>
        <v>0.5</v>
      </c>
      <c r="AD29" s="34">
        <f t="shared" si="21"/>
        <v>0</v>
      </c>
      <c r="AE29" s="31">
        <f t="shared" si="21"/>
        <v>52</v>
      </c>
      <c r="AF29" s="31">
        <f t="shared" si="21"/>
        <v>52.5</v>
      </c>
    </row>
    <row r="30" spans="2:32" ht="23.1" customHeight="1" x14ac:dyDescent="0.25">
      <c r="B30" s="23" t="s">
        <v>57</v>
      </c>
      <c r="C30" s="49">
        <f>'Avg Week BUSITEMA-TORORO'!C30+'Avg Week TORORO-BUSITEMA'!C30</f>
        <v>3.5714285714285712</v>
      </c>
      <c r="D30" s="49">
        <f>'Avg Week BUSITEMA-TORORO'!D30+'Avg Week TORORO-BUSITEMA'!D30</f>
        <v>4.2857142857142856</v>
      </c>
      <c r="E30" s="49">
        <f>'Avg Week BUSITEMA-TORORO'!E30+'Avg Week TORORO-BUSITEMA'!E30</f>
        <v>2.2857142857142856</v>
      </c>
      <c r="F30" s="49">
        <f>'Avg Week BUSITEMA-TORORO'!F30+'Avg Week TORORO-BUSITEMA'!F30</f>
        <v>6.7142857142857144</v>
      </c>
      <c r="G30" s="49">
        <f>'Avg Week BUSITEMA-TORORO'!G30+'Avg Week TORORO-BUSITEMA'!G30</f>
        <v>0</v>
      </c>
      <c r="H30" s="49">
        <f>'Avg Week BUSITEMA-TORORO'!H30+'Avg Week TORORO-BUSITEMA'!H30</f>
        <v>0</v>
      </c>
      <c r="I30" s="49">
        <f>'Avg Week BUSITEMA-TORORO'!I30+'Avg Week TORORO-BUSITEMA'!I30</f>
        <v>1.8571428571428572</v>
      </c>
      <c r="J30" s="49">
        <f>'Avg Week BUSITEMA-TORORO'!J30+'Avg Week TORORO-BUSITEMA'!J30</f>
        <v>1.1428571428571428</v>
      </c>
      <c r="K30" s="49">
        <f>'Avg Week BUSITEMA-TORORO'!K30+'Avg Week TORORO-BUSITEMA'!K30</f>
        <v>1</v>
      </c>
      <c r="L30" s="49">
        <f>'Avg Week BUSITEMA-TORORO'!L30+'Avg Week TORORO-BUSITEMA'!L30</f>
        <v>12.857142857142858</v>
      </c>
      <c r="M30" s="49">
        <f>'Avg Week BUSITEMA-TORORO'!M30+'Avg Week TORORO-BUSITEMA'!M30</f>
        <v>6.7142857142857144</v>
      </c>
      <c r="N30" s="49">
        <f>'Avg Week BUSITEMA-TORORO'!N30+'Avg Week TORORO-BUSITEMA'!N30</f>
        <v>0</v>
      </c>
      <c r="O30" s="15">
        <f t="shared" si="0"/>
        <v>33.714285714285715</v>
      </c>
      <c r="P30" s="15">
        <f t="shared" si="1"/>
        <v>40.428571428571431</v>
      </c>
      <c r="R30" s="1" t="s">
        <v>154</v>
      </c>
      <c r="S30" s="34">
        <f>SUM(C90:C93)</f>
        <v>2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3</v>
      </c>
      <c r="W30" s="34">
        <f t="shared" si="22"/>
        <v>0.5</v>
      </c>
      <c r="X30" s="34">
        <f t="shared" si="22"/>
        <v>1</v>
      </c>
      <c r="Y30" s="34">
        <f t="shared" si="22"/>
        <v>0</v>
      </c>
      <c r="Z30" s="34">
        <f t="shared" si="22"/>
        <v>1</v>
      </c>
      <c r="AA30" s="34">
        <f t="shared" si="22"/>
        <v>0.5</v>
      </c>
      <c r="AB30" s="34">
        <f t="shared" si="22"/>
        <v>41</v>
      </c>
      <c r="AC30" s="34">
        <f t="shared" si="22"/>
        <v>0</v>
      </c>
      <c r="AD30" s="34">
        <f t="shared" si="22"/>
        <v>0</v>
      </c>
      <c r="AE30" s="31">
        <f t="shared" si="22"/>
        <v>51</v>
      </c>
      <c r="AF30" s="31">
        <f t="shared" si="22"/>
        <v>51</v>
      </c>
    </row>
    <row r="31" spans="2:32" ht="23.1" customHeight="1" x14ac:dyDescent="0.25">
      <c r="B31" s="24" t="s">
        <v>58</v>
      </c>
      <c r="C31" s="49">
        <f>'Avg Week BUSITEMA-TORORO'!C31+'Avg Week TORORO-BUSITEMA'!C31</f>
        <v>3.7142857142857144</v>
      </c>
      <c r="D31" s="49">
        <f>'Avg Week BUSITEMA-TORORO'!D31+'Avg Week TORORO-BUSITEMA'!D31</f>
        <v>4.8571428571428568</v>
      </c>
      <c r="E31" s="49">
        <f>'Avg Week BUSITEMA-TORORO'!E31+'Avg Week TORORO-BUSITEMA'!E31</f>
        <v>2</v>
      </c>
      <c r="F31" s="49">
        <f>'Avg Week BUSITEMA-TORORO'!F31+'Avg Week TORORO-BUSITEMA'!F31</f>
        <v>8.2857142857142847</v>
      </c>
      <c r="G31" s="49">
        <f>'Avg Week BUSITEMA-TORORO'!G31+'Avg Week TORORO-BUSITEMA'!G31</f>
        <v>0.14285714285714285</v>
      </c>
      <c r="H31" s="49">
        <f>'Avg Week BUSITEMA-TORORO'!H31+'Avg Week TORORO-BUSITEMA'!H31</f>
        <v>0</v>
      </c>
      <c r="I31" s="49">
        <f>'Avg Week BUSITEMA-TORORO'!I31+'Avg Week TORORO-BUSITEMA'!I31</f>
        <v>0.85714285714285721</v>
      </c>
      <c r="J31" s="49">
        <f>'Avg Week BUSITEMA-TORORO'!J31+'Avg Week TORORO-BUSITEMA'!J31</f>
        <v>1.4285714285714286</v>
      </c>
      <c r="K31" s="49">
        <f>'Avg Week BUSITEMA-TORORO'!K31+'Avg Week TORORO-BUSITEMA'!K31</f>
        <v>1.4285714285714286</v>
      </c>
      <c r="L31" s="49">
        <f>'Avg Week BUSITEMA-TORORO'!L31+'Avg Week TORORO-BUSITEMA'!L31</f>
        <v>15.142857142857142</v>
      </c>
      <c r="M31" s="49">
        <f>'Avg Week BUSITEMA-TORORO'!M31+'Avg Week TORORO-BUSITEMA'!M31</f>
        <v>5</v>
      </c>
      <c r="N31" s="49">
        <f>'Avg Week BUSITEMA-TORORO'!N31+'Avg Week TORORO-BUSITEMA'!N31</f>
        <v>0</v>
      </c>
      <c r="O31" s="15">
        <f t="shared" si="0"/>
        <v>37.857142857142847</v>
      </c>
      <c r="P31" s="15">
        <f t="shared" si="1"/>
        <v>42.857142857142847</v>
      </c>
      <c r="R31" s="1" t="s">
        <v>155</v>
      </c>
      <c r="S31" s="34">
        <f>SUM(C94:C97)</f>
        <v>1.5</v>
      </c>
      <c r="T31" s="34">
        <f t="shared" ref="T31:AF31" si="23">SUM(D94:D97)</f>
        <v>1.5</v>
      </c>
      <c r="U31" s="34">
        <f t="shared" si="23"/>
        <v>0.5</v>
      </c>
      <c r="V31" s="34">
        <f t="shared" si="23"/>
        <v>1</v>
      </c>
      <c r="W31" s="34">
        <f t="shared" si="23"/>
        <v>0</v>
      </c>
      <c r="X31" s="34">
        <f t="shared" si="23"/>
        <v>1</v>
      </c>
      <c r="Y31" s="34">
        <f t="shared" si="23"/>
        <v>0.5</v>
      </c>
      <c r="Z31" s="34">
        <f t="shared" si="23"/>
        <v>3.5</v>
      </c>
      <c r="AA31" s="34">
        <f t="shared" si="23"/>
        <v>1</v>
      </c>
      <c r="AB31" s="34">
        <f t="shared" si="23"/>
        <v>43</v>
      </c>
      <c r="AC31" s="34">
        <f t="shared" si="23"/>
        <v>0</v>
      </c>
      <c r="AD31" s="34">
        <f t="shared" si="23"/>
        <v>0</v>
      </c>
      <c r="AE31" s="31">
        <f t="shared" si="23"/>
        <v>53.5</v>
      </c>
      <c r="AF31" s="31">
        <f t="shared" si="23"/>
        <v>53.5</v>
      </c>
    </row>
    <row r="32" spans="2:32" ht="23.1" customHeight="1" x14ac:dyDescent="0.25">
      <c r="B32" s="24" t="s">
        <v>59</v>
      </c>
      <c r="C32" s="49">
        <f>'Avg Week BUSITEMA-TORORO'!C32+'Avg Week TORORO-BUSITEMA'!C32</f>
        <v>4.5714285714285712</v>
      </c>
      <c r="D32" s="49">
        <f>'Avg Week BUSITEMA-TORORO'!D32+'Avg Week TORORO-BUSITEMA'!D32</f>
        <v>9</v>
      </c>
      <c r="E32" s="49">
        <f>'Avg Week BUSITEMA-TORORO'!E32+'Avg Week TORORO-BUSITEMA'!E32</f>
        <v>3</v>
      </c>
      <c r="F32" s="49">
        <f>'Avg Week BUSITEMA-TORORO'!F32+'Avg Week TORORO-BUSITEMA'!F32</f>
        <v>7.7142857142857144</v>
      </c>
      <c r="G32" s="49">
        <f>'Avg Week BUSITEMA-TORORO'!G32+'Avg Week TORORO-BUSITEMA'!G32</f>
        <v>1.5714285714285716</v>
      </c>
      <c r="H32" s="49">
        <f>'Avg Week BUSITEMA-TORORO'!H32+'Avg Week TORORO-BUSITEMA'!H32</f>
        <v>0.2857142857142857</v>
      </c>
      <c r="I32" s="49">
        <f>'Avg Week BUSITEMA-TORORO'!I32+'Avg Week TORORO-BUSITEMA'!I32</f>
        <v>1.7142857142857144</v>
      </c>
      <c r="J32" s="49">
        <f>'Avg Week BUSITEMA-TORORO'!J32+'Avg Week TORORO-BUSITEMA'!J32</f>
        <v>0.5714285714285714</v>
      </c>
      <c r="K32" s="49">
        <f>'Avg Week BUSITEMA-TORORO'!K32+'Avg Week TORORO-BUSITEMA'!K32</f>
        <v>1.2857142857142856</v>
      </c>
      <c r="L32" s="49">
        <f>'Avg Week BUSITEMA-TORORO'!L32+'Avg Week TORORO-BUSITEMA'!L32</f>
        <v>19.571428571428569</v>
      </c>
      <c r="M32" s="49">
        <f>'Avg Week BUSITEMA-TORORO'!M32+'Avg Week TORORO-BUSITEMA'!M32</f>
        <v>9.5714285714285712</v>
      </c>
      <c r="N32" s="49">
        <f>'Avg Week BUSITEMA-TORORO'!N32+'Avg Week TORORO-BUSITEMA'!N32</f>
        <v>0</v>
      </c>
      <c r="O32" s="15">
        <f t="shared" si="0"/>
        <v>49.285714285714285</v>
      </c>
      <c r="P32" s="15">
        <f t="shared" si="1"/>
        <v>58.857142857142854</v>
      </c>
      <c r="R32" s="1" t="s">
        <v>156</v>
      </c>
      <c r="S32" s="34">
        <f>SUM(C98:C101)</f>
        <v>4.5</v>
      </c>
      <c r="T32" s="34">
        <f t="shared" ref="T32:AF32" si="24">SUM(D98:D101)</f>
        <v>2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2.5</v>
      </c>
      <c r="Y32" s="34">
        <f t="shared" si="24"/>
        <v>0.5</v>
      </c>
      <c r="Z32" s="34">
        <f t="shared" si="24"/>
        <v>6</v>
      </c>
      <c r="AA32" s="34">
        <f t="shared" si="24"/>
        <v>1.5</v>
      </c>
      <c r="AB32" s="34">
        <f t="shared" si="24"/>
        <v>73</v>
      </c>
      <c r="AC32" s="34">
        <f t="shared" si="24"/>
        <v>2</v>
      </c>
      <c r="AD32" s="34">
        <f t="shared" si="24"/>
        <v>0</v>
      </c>
      <c r="AE32" s="31">
        <f t="shared" si="24"/>
        <v>93</v>
      </c>
      <c r="AF32" s="31">
        <f t="shared" si="24"/>
        <v>95</v>
      </c>
    </row>
    <row r="33" spans="2:32" ht="23.1" customHeight="1" x14ac:dyDescent="0.25">
      <c r="B33" s="23" t="s">
        <v>60</v>
      </c>
      <c r="C33" s="49">
        <f>'Avg Week BUSITEMA-TORORO'!C33+'Avg Week TORORO-BUSITEMA'!C33</f>
        <v>1.8571428571428572</v>
      </c>
      <c r="D33" s="49">
        <f>'Avg Week BUSITEMA-TORORO'!D33+'Avg Week TORORO-BUSITEMA'!D33</f>
        <v>3.4285714285714288</v>
      </c>
      <c r="E33" s="49">
        <f>'Avg Week BUSITEMA-TORORO'!E33+'Avg Week TORORO-BUSITEMA'!E33</f>
        <v>2.2857142857142856</v>
      </c>
      <c r="F33" s="49">
        <f>'Avg Week BUSITEMA-TORORO'!F33+'Avg Week TORORO-BUSITEMA'!F33</f>
        <v>8</v>
      </c>
      <c r="G33" s="49">
        <f>'Avg Week BUSITEMA-TORORO'!G33+'Avg Week TORORO-BUSITEMA'!G33</f>
        <v>0.14285714285714285</v>
      </c>
      <c r="H33" s="49">
        <f>'Avg Week BUSITEMA-TORORO'!H33+'Avg Week TORORO-BUSITEMA'!H33</f>
        <v>0</v>
      </c>
      <c r="I33" s="49">
        <f>'Avg Week BUSITEMA-TORORO'!I33+'Avg Week TORORO-BUSITEMA'!I33</f>
        <v>1.8571428571428572</v>
      </c>
      <c r="J33" s="49">
        <f>'Avg Week BUSITEMA-TORORO'!J33+'Avg Week TORORO-BUSITEMA'!J33</f>
        <v>1.1428571428571428</v>
      </c>
      <c r="K33" s="49">
        <f>'Avg Week BUSITEMA-TORORO'!K33+'Avg Week TORORO-BUSITEMA'!K33</f>
        <v>3.2857142857142856</v>
      </c>
      <c r="L33" s="49">
        <f>'Avg Week BUSITEMA-TORORO'!L33+'Avg Week TORORO-BUSITEMA'!L33</f>
        <v>14.857142857142858</v>
      </c>
      <c r="M33" s="49">
        <f>'Avg Week BUSITEMA-TORORO'!M33+'Avg Week TORORO-BUSITEMA'!M33</f>
        <v>7.4285714285714288</v>
      </c>
      <c r="N33" s="49">
        <f>'Avg Week BUSITEMA-TORORO'!N33+'Avg Week TORORO-BUSITEMA'!N33</f>
        <v>0</v>
      </c>
      <c r="O33" s="15">
        <f t="shared" si="0"/>
        <v>36.857142857142861</v>
      </c>
      <c r="P33" s="15">
        <f t="shared" si="1"/>
        <v>44.285714285714292</v>
      </c>
      <c r="R33" s="1" t="s">
        <v>157</v>
      </c>
      <c r="S33" s="34">
        <f>SUM(C102:C105)</f>
        <v>6</v>
      </c>
      <c r="T33" s="34">
        <f t="shared" ref="T33:AF33" si="25">SUM(D102:D105)</f>
        <v>4</v>
      </c>
      <c r="U33" s="34">
        <f t="shared" si="25"/>
        <v>3</v>
      </c>
      <c r="V33" s="34">
        <f t="shared" si="25"/>
        <v>11.5</v>
      </c>
      <c r="W33" s="34">
        <f t="shared" si="25"/>
        <v>0</v>
      </c>
      <c r="X33" s="34">
        <f t="shared" si="25"/>
        <v>2</v>
      </c>
      <c r="Y33" s="34">
        <f t="shared" si="25"/>
        <v>2.5</v>
      </c>
      <c r="Z33" s="34">
        <f t="shared" si="25"/>
        <v>3.5</v>
      </c>
      <c r="AA33" s="34">
        <f t="shared" si="25"/>
        <v>10</v>
      </c>
      <c r="AB33" s="34">
        <f t="shared" si="25"/>
        <v>78</v>
      </c>
      <c r="AC33" s="34">
        <f t="shared" si="25"/>
        <v>11.5</v>
      </c>
      <c r="AD33" s="34">
        <f t="shared" si="25"/>
        <v>0</v>
      </c>
      <c r="AE33" s="31">
        <f t="shared" si="25"/>
        <v>120.5</v>
      </c>
      <c r="AF33" s="31">
        <f t="shared" si="25"/>
        <v>132</v>
      </c>
    </row>
    <row r="34" spans="2:32" ht="23.1" customHeight="1" x14ac:dyDescent="0.25">
      <c r="B34" s="24" t="s">
        <v>61</v>
      </c>
      <c r="C34" s="49">
        <f>'Avg Week BUSITEMA-TORORO'!C34+'Avg Week TORORO-BUSITEMA'!C34</f>
        <v>4.7142857142857135</v>
      </c>
      <c r="D34" s="49">
        <f>'Avg Week BUSITEMA-TORORO'!D34+'Avg Week TORORO-BUSITEMA'!D34</f>
        <v>4.8571428571428577</v>
      </c>
      <c r="E34" s="49">
        <f>'Avg Week BUSITEMA-TORORO'!E34+'Avg Week TORORO-BUSITEMA'!E34</f>
        <v>1.8571428571428572</v>
      </c>
      <c r="F34" s="49">
        <f>'Avg Week BUSITEMA-TORORO'!F34+'Avg Week TORORO-BUSITEMA'!F34</f>
        <v>7.2857142857142847</v>
      </c>
      <c r="G34" s="49">
        <f>'Avg Week BUSITEMA-TORORO'!G34+'Avg Week TORORO-BUSITEMA'!G34</f>
        <v>0</v>
      </c>
      <c r="H34" s="49">
        <f>'Avg Week BUSITEMA-TORORO'!H34+'Avg Week TORORO-BUSITEMA'!H34</f>
        <v>0</v>
      </c>
      <c r="I34" s="49">
        <f>'Avg Week BUSITEMA-TORORO'!I34+'Avg Week TORORO-BUSITEMA'!I34</f>
        <v>2</v>
      </c>
      <c r="J34" s="49">
        <f>'Avg Week BUSITEMA-TORORO'!J34+'Avg Week TORORO-BUSITEMA'!J34</f>
        <v>0.5714285714285714</v>
      </c>
      <c r="K34" s="49">
        <f>'Avg Week BUSITEMA-TORORO'!K34+'Avg Week TORORO-BUSITEMA'!K34</f>
        <v>1.8571428571428572</v>
      </c>
      <c r="L34" s="49">
        <f>'Avg Week BUSITEMA-TORORO'!L34+'Avg Week TORORO-BUSITEMA'!L34</f>
        <v>13</v>
      </c>
      <c r="M34" s="49">
        <f>'Avg Week BUSITEMA-TORORO'!M34+'Avg Week TORORO-BUSITEMA'!M34</f>
        <v>9.1428571428571423</v>
      </c>
      <c r="N34" s="49">
        <f>'Avg Week BUSITEMA-TORORO'!N34+'Avg Week TORORO-BUSITEMA'!N34</f>
        <v>0</v>
      </c>
      <c r="O34" s="15">
        <f t="shared" si="0"/>
        <v>36.142857142857146</v>
      </c>
      <c r="P34" s="15">
        <f t="shared" si="1"/>
        <v>45.285714285714292</v>
      </c>
      <c r="R34" s="38" t="s">
        <v>90</v>
      </c>
      <c r="S34" s="39">
        <f t="shared" ref="S34:AF34" si="26">MAX(S10:S12)</f>
        <v>9.7142857142857135</v>
      </c>
      <c r="T34" s="39">
        <f t="shared" si="26"/>
        <v>19</v>
      </c>
      <c r="U34" s="39">
        <f t="shared" si="26"/>
        <v>6.5714285714285712</v>
      </c>
      <c r="V34" s="39">
        <f t="shared" si="26"/>
        <v>25.714285714285715</v>
      </c>
      <c r="W34" s="39">
        <f t="shared" si="26"/>
        <v>0.99999999999999989</v>
      </c>
      <c r="X34" s="39">
        <f t="shared" si="26"/>
        <v>0.71428571428571419</v>
      </c>
      <c r="Y34" s="39">
        <f t="shared" si="26"/>
        <v>5.1428571428571432</v>
      </c>
      <c r="Z34" s="39">
        <f t="shared" si="26"/>
        <v>2.8571428571428568</v>
      </c>
      <c r="AA34" s="39">
        <f t="shared" si="26"/>
        <v>5.5714285714285721</v>
      </c>
      <c r="AB34" s="39">
        <f t="shared" si="26"/>
        <v>74.428571428571431</v>
      </c>
      <c r="AC34" s="39">
        <f t="shared" si="26"/>
        <v>32</v>
      </c>
      <c r="AD34" s="39">
        <f t="shared" si="26"/>
        <v>0.2857142857142857</v>
      </c>
      <c r="AE34" s="40">
        <f t="shared" si="26"/>
        <v>122.85714285714286</v>
      </c>
      <c r="AF34" s="40">
        <f t="shared" si="26"/>
        <v>154.85714285714286</v>
      </c>
    </row>
    <row r="35" spans="2:32" ht="23.1" customHeight="1" x14ac:dyDescent="0.25">
      <c r="B35" s="24" t="s">
        <v>62</v>
      </c>
      <c r="C35" s="49">
        <f>'Avg Week BUSITEMA-TORORO'!C35+'Avg Week TORORO-BUSITEMA'!C35</f>
        <v>2.5714285714285712</v>
      </c>
      <c r="D35" s="49">
        <f>'Avg Week BUSITEMA-TORORO'!D35+'Avg Week TORORO-BUSITEMA'!D35</f>
        <v>2.8571428571428572</v>
      </c>
      <c r="E35" s="49">
        <f>'Avg Week BUSITEMA-TORORO'!E35+'Avg Week TORORO-BUSITEMA'!E35</f>
        <v>2.2857142857142856</v>
      </c>
      <c r="F35" s="49">
        <f>'Avg Week BUSITEMA-TORORO'!F35+'Avg Week TORORO-BUSITEMA'!F35</f>
        <v>6.5714285714285712</v>
      </c>
      <c r="G35" s="49">
        <f>'Avg Week BUSITEMA-TORORO'!G35+'Avg Week TORORO-BUSITEMA'!G35</f>
        <v>0.7142857142857143</v>
      </c>
      <c r="H35" s="49">
        <f>'Avg Week BUSITEMA-TORORO'!H35+'Avg Week TORORO-BUSITEMA'!H35</f>
        <v>0.5714285714285714</v>
      </c>
      <c r="I35" s="49">
        <f>'Avg Week BUSITEMA-TORORO'!I35+'Avg Week TORORO-BUSITEMA'!I35</f>
        <v>1.4285714285714286</v>
      </c>
      <c r="J35" s="49">
        <f>'Avg Week BUSITEMA-TORORO'!J35+'Avg Week TORORO-BUSITEMA'!J35</f>
        <v>1.5714285714285714</v>
      </c>
      <c r="K35" s="49">
        <f>'Avg Week BUSITEMA-TORORO'!K35+'Avg Week TORORO-BUSITEMA'!K35</f>
        <v>1.1428571428571428</v>
      </c>
      <c r="L35" s="49">
        <f>'Avg Week BUSITEMA-TORORO'!L35+'Avg Week TORORO-BUSITEMA'!L35</f>
        <v>11.428571428571429</v>
      </c>
      <c r="M35" s="49">
        <f>'Avg Week BUSITEMA-TORORO'!M35+'Avg Week TORORO-BUSITEMA'!M35</f>
        <v>8.4285714285714288</v>
      </c>
      <c r="N35" s="49">
        <f>'Avg Week BUSITEMA-TORORO'!N35+'Avg Week TORORO-BUSITEMA'!N35</f>
        <v>0</v>
      </c>
      <c r="O35" s="15">
        <f t="shared" si="0"/>
        <v>31.142857142857139</v>
      </c>
      <c r="P35" s="15">
        <f t="shared" si="1"/>
        <v>39.571428571428569</v>
      </c>
      <c r="R35" s="38" t="s">
        <v>91</v>
      </c>
      <c r="S35" s="39">
        <f t="shared" ref="S35:AF35" si="27">MAX(S13:S18)</f>
        <v>17</v>
      </c>
      <c r="T35" s="39">
        <f t="shared" si="27"/>
        <v>24</v>
      </c>
      <c r="U35" s="39">
        <f t="shared" si="27"/>
        <v>9.5714285714285712</v>
      </c>
      <c r="V35" s="39">
        <f t="shared" si="27"/>
        <v>35.285714285714292</v>
      </c>
      <c r="W35" s="39">
        <f t="shared" si="27"/>
        <v>1.8571428571428572</v>
      </c>
      <c r="X35" s="39">
        <f t="shared" si="27"/>
        <v>1.8571428571428572</v>
      </c>
      <c r="Y35" s="39">
        <f t="shared" si="27"/>
        <v>8.7142857142857135</v>
      </c>
      <c r="Z35" s="39">
        <f t="shared" si="27"/>
        <v>8.5714285714285712</v>
      </c>
      <c r="AA35" s="39">
        <f t="shared" si="27"/>
        <v>8.7142857142857153</v>
      </c>
      <c r="AB35" s="39">
        <f t="shared" si="27"/>
        <v>77.571428571428569</v>
      </c>
      <c r="AC35" s="39">
        <f t="shared" si="27"/>
        <v>35.285714285714285</v>
      </c>
      <c r="AD35" s="39">
        <f t="shared" si="27"/>
        <v>0.14285714285714285</v>
      </c>
      <c r="AE35" s="40">
        <f t="shared" si="27"/>
        <v>177.71428571428572</v>
      </c>
      <c r="AF35" s="40">
        <f t="shared" si="27"/>
        <v>213</v>
      </c>
    </row>
    <row r="36" spans="2:32" ht="23.1" customHeight="1" x14ac:dyDescent="0.25">
      <c r="B36" s="24" t="s">
        <v>63</v>
      </c>
      <c r="C36" s="49">
        <f>'Avg Week BUSITEMA-TORORO'!C36+'Avg Week TORORO-BUSITEMA'!C36</f>
        <v>3.8571428571428577</v>
      </c>
      <c r="D36" s="49">
        <f>'Avg Week BUSITEMA-TORORO'!D36+'Avg Week TORORO-BUSITEMA'!D36</f>
        <v>1.5714285714285714</v>
      </c>
      <c r="E36" s="49">
        <f>'Avg Week BUSITEMA-TORORO'!E36+'Avg Week TORORO-BUSITEMA'!E36</f>
        <v>1.7142857142857142</v>
      </c>
      <c r="F36" s="49">
        <f>'Avg Week BUSITEMA-TORORO'!F36+'Avg Week TORORO-BUSITEMA'!F36</f>
        <v>4.7142857142857144</v>
      </c>
      <c r="G36" s="49">
        <f>'Avg Week BUSITEMA-TORORO'!G36+'Avg Week TORORO-BUSITEMA'!G36</f>
        <v>0</v>
      </c>
      <c r="H36" s="49">
        <f>'Avg Week BUSITEMA-TORORO'!H36+'Avg Week TORORO-BUSITEMA'!H36</f>
        <v>0.2857142857142857</v>
      </c>
      <c r="I36" s="49">
        <f>'Avg Week BUSITEMA-TORORO'!I36+'Avg Week TORORO-BUSITEMA'!I36</f>
        <v>1.7142857142857144</v>
      </c>
      <c r="J36" s="49">
        <f>'Avg Week BUSITEMA-TORORO'!J36+'Avg Week TORORO-BUSITEMA'!J36</f>
        <v>1.8571428571428572</v>
      </c>
      <c r="K36" s="49">
        <f>'Avg Week BUSITEMA-TORORO'!K36+'Avg Week TORORO-BUSITEMA'!K36</f>
        <v>2.4285714285714284</v>
      </c>
      <c r="L36" s="49">
        <f>'Avg Week BUSITEMA-TORORO'!L36+'Avg Week TORORO-BUSITEMA'!L36</f>
        <v>13.714285714285715</v>
      </c>
      <c r="M36" s="49">
        <f>'Avg Week BUSITEMA-TORORO'!M36+'Avg Week TORORO-BUSITEMA'!M36</f>
        <v>6.2857142857142865</v>
      </c>
      <c r="N36" s="49">
        <f>'Avg Week BUSITEMA-TORORO'!N36+'Avg Week TORORO-BUSITEMA'!N36</f>
        <v>0</v>
      </c>
      <c r="O36" s="15">
        <f t="shared" si="0"/>
        <v>31.857142857142858</v>
      </c>
      <c r="P36" s="15">
        <f t="shared" si="1"/>
        <v>38.142857142857146</v>
      </c>
      <c r="R36" s="38" t="s">
        <v>92</v>
      </c>
      <c r="S36" s="39">
        <f t="shared" ref="S36:AF36" si="28">MAX(S19:S21)</f>
        <v>21</v>
      </c>
      <c r="T36" s="39">
        <f t="shared" si="28"/>
        <v>23.857142857142858</v>
      </c>
      <c r="U36" s="39">
        <f t="shared" si="28"/>
        <v>16.571428571428573</v>
      </c>
      <c r="V36" s="39">
        <f t="shared" si="28"/>
        <v>41</v>
      </c>
      <c r="W36" s="39">
        <f t="shared" si="28"/>
        <v>1.2857142857142856</v>
      </c>
      <c r="X36" s="39">
        <f t="shared" si="28"/>
        <v>1.1428571428571428</v>
      </c>
      <c r="Y36" s="39">
        <f t="shared" si="28"/>
        <v>15</v>
      </c>
      <c r="Z36" s="39">
        <f t="shared" si="28"/>
        <v>9.8571428571428577</v>
      </c>
      <c r="AA36" s="39">
        <f t="shared" si="28"/>
        <v>12.571428571428571</v>
      </c>
      <c r="AB36" s="39">
        <f t="shared" si="28"/>
        <v>104.14285714285714</v>
      </c>
      <c r="AC36" s="39">
        <f t="shared" si="28"/>
        <v>43.714285714285708</v>
      </c>
      <c r="AD36" s="39">
        <f t="shared" si="28"/>
        <v>0</v>
      </c>
      <c r="AE36" s="40">
        <f t="shared" si="28"/>
        <v>243.85714285714289</v>
      </c>
      <c r="AF36" s="40">
        <f t="shared" si="28"/>
        <v>287.57142857142856</v>
      </c>
    </row>
    <row r="37" spans="2:32" ht="23.1" customHeight="1" x14ac:dyDescent="0.25">
      <c r="B37" s="23" t="s">
        <v>64</v>
      </c>
      <c r="C37" s="49">
        <f>'Avg Week BUSITEMA-TORORO'!C37+'Avg Week TORORO-BUSITEMA'!C37</f>
        <v>4</v>
      </c>
      <c r="D37" s="49">
        <f>'Avg Week BUSITEMA-TORORO'!D37+'Avg Week TORORO-BUSITEMA'!D37</f>
        <v>5.7142857142857144</v>
      </c>
      <c r="E37" s="49">
        <f>'Avg Week BUSITEMA-TORORO'!E37+'Avg Week TORORO-BUSITEMA'!E37</f>
        <v>3</v>
      </c>
      <c r="F37" s="49">
        <f>'Avg Week BUSITEMA-TORORO'!F37+'Avg Week TORORO-BUSITEMA'!F37</f>
        <v>8.2857142857142847</v>
      </c>
      <c r="G37" s="49">
        <f>'Avg Week BUSITEMA-TORORO'!G37+'Avg Week TORORO-BUSITEMA'!G37</f>
        <v>0.14285714285714285</v>
      </c>
      <c r="H37" s="49">
        <f>'Avg Week BUSITEMA-TORORO'!H37+'Avg Week TORORO-BUSITEMA'!H37</f>
        <v>0</v>
      </c>
      <c r="I37" s="49">
        <f>'Avg Week BUSITEMA-TORORO'!I37+'Avg Week TORORO-BUSITEMA'!I37</f>
        <v>2</v>
      </c>
      <c r="J37" s="49">
        <f>'Avg Week BUSITEMA-TORORO'!J37+'Avg Week TORORO-BUSITEMA'!J37</f>
        <v>2.1428571428571428</v>
      </c>
      <c r="K37" s="49">
        <f>'Avg Week BUSITEMA-TORORO'!K37+'Avg Week TORORO-BUSITEMA'!K37</f>
        <v>3.285714285714286</v>
      </c>
      <c r="L37" s="49">
        <f>'Avg Week BUSITEMA-TORORO'!L37+'Avg Week TORORO-BUSITEMA'!L37</f>
        <v>20</v>
      </c>
      <c r="M37" s="49">
        <f>'Avg Week BUSITEMA-TORORO'!M37+'Avg Week TORORO-BUSITEMA'!M37</f>
        <v>9.1428571428571423</v>
      </c>
      <c r="N37" s="49">
        <f>'Avg Week BUSITEMA-TORORO'!N37+'Avg Week TORORO-BUSITEMA'!N37</f>
        <v>0</v>
      </c>
      <c r="O37" s="15">
        <f t="shared" si="0"/>
        <v>48.571428571428569</v>
      </c>
      <c r="P37" s="15">
        <f t="shared" si="1"/>
        <v>57.714285714285708</v>
      </c>
      <c r="R37" s="37" t="s">
        <v>85</v>
      </c>
      <c r="S37" s="35">
        <f t="shared" ref="S37:AF37" si="29">SUM(S10:S12)</f>
        <v>23.142857142857142</v>
      </c>
      <c r="T37" s="16">
        <f t="shared" si="29"/>
        <v>40</v>
      </c>
      <c r="U37" s="16">
        <f t="shared" si="29"/>
        <v>17.285714285714285</v>
      </c>
      <c r="V37" s="16">
        <f t="shared" si="29"/>
        <v>64.857142857142861</v>
      </c>
      <c r="W37" s="16">
        <f t="shared" si="29"/>
        <v>2.5714285714285712</v>
      </c>
      <c r="X37" s="16">
        <f t="shared" si="29"/>
        <v>1.7142857142857142</v>
      </c>
      <c r="Y37" s="16">
        <f t="shared" si="29"/>
        <v>8.7142857142857153</v>
      </c>
      <c r="Z37" s="16">
        <f t="shared" si="29"/>
        <v>7.1428571428571423</v>
      </c>
      <c r="AA37" s="16">
        <f t="shared" si="29"/>
        <v>12.142857142857142</v>
      </c>
      <c r="AB37" s="16">
        <f t="shared" si="29"/>
        <v>176</v>
      </c>
      <c r="AC37" s="16">
        <f t="shared" si="29"/>
        <v>79.857142857142861</v>
      </c>
      <c r="AD37" s="16">
        <f t="shared" si="29"/>
        <v>0.42857142857142855</v>
      </c>
      <c r="AE37" s="32">
        <f t="shared" si="29"/>
        <v>354</v>
      </c>
      <c r="AF37" s="32">
        <f t="shared" si="29"/>
        <v>433.85714285714289</v>
      </c>
    </row>
    <row r="38" spans="2:32" ht="23.1" customHeight="1" x14ac:dyDescent="0.25">
      <c r="B38" s="24" t="s">
        <v>65</v>
      </c>
      <c r="C38" s="49">
        <f>'Avg Week BUSITEMA-TORORO'!C38+'Avg Week TORORO-BUSITEMA'!C38</f>
        <v>2.4285714285714284</v>
      </c>
      <c r="D38" s="49">
        <f>'Avg Week BUSITEMA-TORORO'!D38+'Avg Week TORORO-BUSITEMA'!D38</f>
        <v>4.2857142857142856</v>
      </c>
      <c r="E38" s="49">
        <f>'Avg Week BUSITEMA-TORORO'!E38+'Avg Week TORORO-BUSITEMA'!E38</f>
        <v>2.4285714285714288</v>
      </c>
      <c r="F38" s="49">
        <f>'Avg Week BUSITEMA-TORORO'!F38+'Avg Week TORORO-BUSITEMA'!F38</f>
        <v>8.7142857142857135</v>
      </c>
      <c r="G38" s="49">
        <f>'Avg Week BUSITEMA-TORORO'!G38+'Avg Week TORORO-BUSITEMA'!G38</f>
        <v>0.42857142857142855</v>
      </c>
      <c r="H38" s="49">
        <f>'Avg Week BUSITEMA-TORORO'!H38+'Avg Week TORORO-BUSITEMA'!H38</f>
        <v>0</v>
      </c>
      <c r="I38" s="49">
        <f>'Avg Week BUSITEMA-TORORO'!I38+'Avg Week TORORO-BUSITEMA'!I38</f>
        <v>3</v>
      </c>
      <c r="J38" s="49">
        <f>'Avg Week BUSITEMA-TORORO'!J38+'Avg Week TORORO-BUSITEMA'!J38</f>
        <v>2.1428571428571428</v>
      </c>
      <c r="K38" s="49">
        <f>'Avg Week BUSITEMA-TORORO'!K38+'Avg Week TORORO-BUSITEMA'!K38</f>
        <v>4</v>
      </c>
      <c r="L38" s="49">
        <f>'Avg Week BUSITEMA-TORORO'!L38+'Avg Week TORORO-BUSITEMA'!L38</f>
        <v>19.571428571428573</v>
      </c>
      <c r="M38" s="49">
        <f>'Avg Week BUSITEMA-TORORO'!M38+'Avg Week TORORO-BUSITEMA'!M38</f>
        <v>9.1428571428571423</v>
      </c>
      <c r="N38" s="49">
        <f>'Avg Week BUSITEMA-TORORO'!N38+'Avg Week TORORO-BUSITEMA'!N38</f>
        <v>0</v>
      </c>
      <c r="O38" s="15">
        <f t="shared" si="0"/>
        <v>47</v>
      </c>
      <c r="P38" s="15">
        <f t="shared" si="1"/>
        <v>56.142857142857139</v>
      </c>
      <c r="R38" s="28" t="s">
        <v>86</v>
      </c>
      <c r="S38" s="16">
        <f t="shared" ref="S38:AF38" si="30">SUM(S13:S18)</f>
        <v>91.857142857142847</v>
      </c>
      <c r="T38" s="16">
        <f t="shared" si="30"/>
        <v>108.71428571428571</v>
      </c>
      <c r="U38" s="16">
        <f t="shared" si="30"/>
        <v>48.714285714285715</v>
      </c>
      <c r="V38" s="16">
        <f t="shared" si="30"/>
        <v>188.28571428571428</v>
      </c>
      <c r="W38" s="16">
        <f t="shared" si="30"/>
        <v>5.7142857142857144</v>
      </c>
      <c r="X38" s="16">
        <f t="shared" si="30"/>
        <v>4.5714285714285712</v>
      </c>
      <c r="Y38" s="16">
        <f t="shared" si="30"/>
        <v>40.285714285714285</v>
      </c>
      <c r="Z38" s="16">
        <f t="shared" si="30"/>
        <v>30.857142857142854</v>
      </c>
      <c r="AA38" s="16">
        <f t="shared" si="30"/>
        <v>35.285714285714292</v>
      </c>
      <c r="AB38" s="16">
        <f t="shared" si="30"/>
        <v>366</v>
      </c>
      <c r="AC38" s="16">
        <f t="shared" si="30"/>
        <v>197.42857142857144</v>
      </c>
      <c r="AD38" s="16">
        <f t="shared" si="30"/>
        <v>0.14285714285714285</v>
      </c>
      <c r="AE38" s="32">
        <f t="shared" si="30"/>
        <v>920.42857142857156</v>
      </c>
      <c r="AF38" s="32">
        <f t="shared" si="30"/>
        <v>1117.8571428571429</v>
      </c>
    </row>
    <row r="39" spans="2:32" ht="23.1" customHeight="1" x14ac:dyDescent="0.25">
      <c r="B39" s="24" t="s">
        <v>66</v>
      </c>
      <c r="C39" s="49">
        <f>'Avg Week BUSITEMA-TORORO'!C39+'Avg Week TORORO-BUSITEMA'!C39</f>
        <v>5.7142857142857144</v>
      </c>
      <c r="D39" s="49">
        <f>'Avg Week BUSITEMA-TORORO'!D39+'Avg Week TORORO-BUSITEMA'!D39</f>
        <v>3.2857142857142856</v>
      </c>
      <c r="E39" s="49">
        <f>'Avg Week BUSITEMA-TORORO'!E39+'Avg Week TORORO-BUSITEMA'!E39</f>
        <v>2.2857142857142856</v>
      </c>
      <c r="F39" s="49">
        <f>'Avg Week BUSITEMA-TORORO'!F39+'Avg Week TORORO-BUSITEMA'!F39</f>
        <v>8.5714285714285712</v>
      </c>
      <c r="G39" s="49">
        <f>'Avg Week BUSITEMA-TORORO'!G39+'Avg Week TORORO-BUSITEMA'!G39</f>
        <v>0</v>
      </c>
      <c r="H39" s="49">
        <f>'Avg Week BUSITEMA-TORORO'!H39+'Avg Week TORORO-BUSITEMA'!H39</f>
        <v>1</v>
      </c>
      <c r="I39" s="49">
        <f>'Avg Week BUSITEMA-TORORO'!I39+'Avg Week TORORO-BUSITEMA'!I39</f>
        <v>1.7142857142857142</v>
      </c>
      <c r="J39" s="49">
        <f>'Avg Week BUSITEMA-TORORO'!J39+'Avg Week TORORO-BUSITEMA'!J39</f>
        <v>1.2857142857142856</v>
      </c>
      <c r="K39" s="49">
        <f>'Avg Week BUSITEMA-TORORO'!K39+'Avg Week TORORO-BUSITEMA'!K39</f>
        <v>1.5714285714285714</v>
      </c>
      <c r="L39" s="49">
        <f>'Avg Week BUSITEMA-TORORO'!L39+'Avg Week TORORO-BUSITEMA'!L39</f>
        <v>14.285714285714285</v>
      </c>
      <c r="M39" s="49">
        <f>'Avg Week BUSITEMA-TORORO'!M39+'Avg Week TORORO-BUSITEMA'!M39</f>
        <v>7.4285714285714288</v>
      </c>
      <c r="N39" s="49">
        <f>'Avg Week BUSITEMA-TORORO'!N39+'Avg Week TORORO-BUSITEMA'!N39</f>
        <v>0</v>
      </c>
      <c r="O39" s="15">
        <f t="shared" si="0"/>
        <v>39.714285714285708</v>
      </c>
      <c r="P39" s="15">
        <f t="shared" si="1"/>
        <v>47.142857142857139</v>
      </c>
      <c r="R39" s="29" t="s">
        <v>87</v>
      </c>
      <c r="S39" s="16">
        <f t="shared" ref="S39:AF39" si="31">SUM(S19:S21)</f>
        <v>58.571428571428569</v>
      </c>
      <c r="T39" s="16">
        <f t="shared" si="31"/>
        <v>64.285714285714292</v>
      </c>
      <c r="U39" s="16">
        <f t="shared" si="31"/>
        <v>35.285714285714292</v>
      </c>
      <c r="V39" s="16">
        <f t="shared" si="31"/>
        <v>100.71428571428571</v>
      </c>
      <c r="W39" s="16">
        <f t="shared" si="31"/>
        <v>2.1428571428571428</v>
      </c>
      <c r="X39" s="16">
        <f t="shared" si="31"/>
        <v>2.2857142857142856</v>
      </c>
      <c r="Y39" s="16">
        <f t="shared" si="31"/>
        <v>35</v>
      </c>
      <c r="Z39" s="16">
        <f t="shared" si="31"/>
        <v>24.428571428571431</v>
      </c>
      <c r="AA39" s="16">
        <f t="shared" si="31"/>
        <v>26.285714285714285</v>
      </c>
      <c r="AB39" s="16">
        <f t="shared" si="31"/>
        <v>271.57142857142856</v>
      </c>
      <c r="AC39" s="16">
        <f t="shared" si="31"/>
        <v>114.42857142857142</v>
      </c>
      <c r="AD39" s="16">
        <f t="shared" si="31"/>
        <v>0</v>
      </c>
      <c r="AE39" s="32">
        <f t="shared" si="31"/>
        <v>620.57142857142856</v>
      </c>
      <c r="AF39" s="32">
        <f t="shared" si="31"/>
        <v>735</v>
      </c>
    </row>
    <row r="40" spans="2:32" ht="23.1" customHeight="1" x14ac:dyDescent="0.25">
      <c r="B40" s="24" t="s">
        <v>67</v>
      </c>
      <c r="C40" s="49">
        <f>'Avg Week BUSITEMA-TORORO'!C40+'Avg Week TORORO-BUSITEMA'!C40</f>
        <v>2.4285714285714288</v>
      </c>
      <c r="D40" s="49">
        <f>'Avg Week BUSITEMA-TORORO'!D40+'Avg Week TORORO-BUSITEMA'!D40</f>
        <v>3.2857142857142856</v>
      </c>
      <c r="E40" s="49">
        <f>'Avg Week BUSITEMA-TORORO'!E40+'Avg Week TORORO-BUSITEMA'!E40</f>
        <v>1.2857142857142856</v>
      </c>
      <c r="F40" s="49">
        <f>'Avg Week BUSITEMA-TORORO'!F40+'Avg Week TORORO-BUSITEMA'!F40</f>
        <v>9.7142857142857153</v>
      </c>
      <c r="G40" s="49">
        <f>'Avg Week BUSITEMA-TORORO'!G40+'Avg Week TORORO-BUSITEMA'!G40</f>
        <v>0</v>
      </c>
      <c r="H40" s="49">
        <f>'Avg Week BUSITEMA-TORORO'!H40+'Avg Week TORORO-BUSITEMA'!H40</f>
        <v>0.85714285714285721</v>
      </c>
      <c r="I40" s="49">
        <f>'Avg Week BUSITEMA-TORORO'!I40+'Avg Week TORORO-BUSITEMA'!I40</f>
        <v>1.1428571428571428</v>
      </c>
      <c r="J40" s="49">
        <f>'Avg Week BUSITEMA-TORORO'!J40+'Avg Week TORORO-BUSITEMA'!J40</f>
        <v>1.2857142857142856</v>
      </c>
      <c r="K40" s="49">
        <f>'Avg Week BUSITEMA-TORORO'!K40+'Avg Week TORORO-BUSITEMA'!K40</f>
        <v>0.71428571428571419</v>
      </c>
      <c r="L40" s="49">
        <f>'Avg Week BUSITEMA-TORORO'!L40+'Avg Week TORORO-BUSITEMA'!L40</f>
        <v>12.285714285714286</v>
      </c>
      <c r="M40" s="49">
        <f>'Avg Week BUSITEMA-TORORO'!M40+'Avg Week TORORO-BUSITEMA'!M40</f>
        <v>7</v>
      </c>
      <c r="N40" s="49">
        <f>'Avg Week BUSITEMA-TORORO'!N40+'Avg Week TORORO-BUSITEMA'!N40</f>
        <v>0</v>
      </c>
      <c r="O40" s="15">
        <f t="shared" si="0"/>
        <v>33</v>
      </c>
      <c r="P40" s="15">
        <f t="shared" si="1"/>
        <v>40</v>
      </c>
      <c r="R40" s="5" t="s">
        <v>17</v>
      </c>
      <c r="S40" s="16">
        <f t="shared" ref="S40:AF40" si="32">SUM(S10:S21)</f>
        <v>173.57142857142856</v>
      </c>
      <c r="T40" s="16">
        <f t="shared" si="32"/>
        <v>213</v>
      </c>
      <c r="U40" s="16">
        <f t="shared" si="32"/>
        <v>101.28571428571428</v>
      </c>
      <c r="V40" s="16">
        <f t="shared" si="32"/>
        <v>353.85714285714283</v>
      </c>
      <c r="W40" s="16">
        <f t="shared" si="32"/>
        <v>10.428571428571431</v>
      </c>
      <c r="X40" s="16">
        <f t="shared" si="32"/>
        <v>8.5714285714285694</v>
      </c>
      <c r="Y40" s="16">
        <f t="shared" si="32"/>
        <v>84</v>
      </c>
      <c r="Z40" s="16">
        <f t="shared" si="32"/>
        <v>62.428571428571431</v>
      </c>
      <c r="AA40" s="16">
        <f t="shared" si="32"/>
        <v>73.714285714285722</v>
      </c>
      <c r="AB40" s="16">
        <f t="shared" si="32"/>
        <v>813.57142857142856</v>
      </c>
      <c r="AC40" s="16">
        <f t="shared" si="32"/>
        <v>391.71428571428578</v>
      </c>
      <c r="AD40" s="16">
        <f t="shared" si="32"/>
        <v>0.5714285714285714</v>
      </c>
      <c r="AE40" s="32">
        <f t="shared" si="32"/>
        <v>1895</v>
      </c>
      <c r="AF40" s="32">
        <f t="shared" si="32"/>
        <v>2286.7142857142858</v>
      </c>
    </row>
    <row r="41" spans="2:32" ht="23.1" customHeight="1" x14ac:dyDescent="0.25">
      <c r="B41" s="23" t="s">
        <v>68</v>
      </c>
      <c r="C41" s="49">
        <f>'Avg Week BUSITEMA-TORORO'!C41+'Avg Week TORORO-BUSITEMA'!C41</f>
        <v>3.7142857142857144</v>
      </c>
      <c r="D41" s="49">
        <f>'Avg Week BUSITEMA-TORORO'!D41+'Avg Week TORORO-BUSITEMA'!D41</f>
        <v>2.1428571428571428</v>
      </c>
      <c r="E41" s="49">
        <f>'Avg Week BUSITEMA-TORORO'!E41+'Avg Week TORORO-BUSITEMA'!E41</f>
        <v>0.8571428571428571</v>
      </c>
      <c r="F41" s="49">
        <f>'Avg Week BUSITEMA-TORORO'!F41+'Avg Week TORORO-BUSITEMA'!F41</f>
        <v>7.8571428571428577</v>
      </c>
      <c r="G41" s="49">
        <f>'Avg Week BUSITEMA-TORORO'!G41+'Avg Week TORORO-BUSITEMA'!G41</f>
        <v>0</v>
      </c>
      <c r="H41" s="49">
        <f>'Avg Week BUSITEMA-TORORO'!H41+'Avg Week TORORO-BUSITEMA'!H41</f>
        <v>0</v>
      </c>
      <c r="I41" s="49">
        <f>'Avg Week BUSITEMA-TORORO'!I41+'Avg Week TORORO-BUSITEMA'!I41</f>
        <v>1.8571428571428572</v>
      </c>
      <c r="J41" s="49">
        <f>'Avg Week BUSITEMA-TORORO'!J41+'Avg Week TORORO-BUSITEMA'!J41</f>
        <v>1.8571428571428572</v>
      </c>
      <c r="K41" s="49">
        <f>'Avg Week BUSITEMA-TORORO'!K41+'Avg Week TORORO-BUSITEMA'!K41</f>
        <v>0.7142857142857143</v>
      </c>
      <c r="L41" s="49">
        <f>'Avg Week BUSITEMA-TORORO'!L41+'Avg Week TORORO-BUSITEMA'!L41</f>
        <v>13.428571428571427</v>
      </c>
      <c r="M41" s="49">
        <f>'Avg Week BUSITEMA-TORORO'!M41+'Avg Week TORORO-BUSITEMA'!M41</f>
        <v>9.2857142857142865</v>
      </c>
      <c r="N41" s="49">
        <f>'Avg Week BUSITEMA-TORORO'!N41+'Avg Week TORORO-BUSITEMA'!N41</f>
        <v>0</v>
      </c>
      <c r="O41" s="15">
        <f t="shared" si="0"/>
        <v>32.428571428571431</v>
      </c>
      <c r="P41" s="15">
        <f t="shared" si="1"/>
        <v>41.714285714285715</v>
      </c>
      <c r="R41" s="5" t="s">
        <v>177</v>
      </c>
      <c r="S41" s="52">
        <f>SUM(S10:S33)</f>
        <v>226.57142857142856</v>
      </c>
      <c r="T41" s="52">
        <f t="shared" ref="T41:AD41" si="33">SUM(T10:T33)</f>
        <v>270</v>
      </c>
      <c r="U41" s="52">
        <f t="shared" si="33"/>
        <v>126.78571428571428</v>
      </c>
      <c r="V41" s="52">
        <f t="shared" si="33"/>
        <v>427.85714285714283</v>
      </c>
      <c r="W41" s="52">
        <f t="shared" si="33"/>
        <v>11.928571428571431</v>
      </c>
      <c r="X41" s="52">
        <f t="shared" si="33"/>
        <v>21.571428571428569</v>
      </c>
      <c r="Y41" s="52">
        <f t="shared" si="33"/>
        <v>106</v>
      </c>
      <c r="Z41" s="52">
        <f t="shared" si="33"/>
        <v>122.92857142857143</v>
      </c>
      <c r="AA41" s="52">
        <f t="shared" si="33"/>
        <v>110.21428571428572</v>
      </c>
      <c r="AB41" s="52">
        <f t="shared" si="33"/>
        <v>1562.5714285714284</v>
      </c>
      <c r="AC41" s="52">
        <f t="shared" si="33"/>
        <v>542.71428571428578</v>
      </c>
      <c r="AD41" s="52">
        <f t="shared" si="33"/>
        <v>0.5714285714285714</v>
      </c>
      <c r="AE41" s="53">
        <f>SUM(AE10:AE33)</f>
        <v>2987</v>
      </c>
      <c r="AF41" s="53">
        <f>SUM(AF10:AF33)</f>
        <v>3529.7142857142858</v>
      </c>
    </row>
    <row r="42" spans="2:32" ht="23.1" customHeight="1" x14ac:dyDescent="0.25">
      <c r="B42" s="24" t="s">
        <v>69</v>
      </c>
      <c r="C42" s="49">
        <f>'Avg Week BUSITEMA-TORORO'!C42+'Avg Week TORORO-BUSITEMA'!C42</f>
        <v>4.4285714285714288</v>
      </c>
      <c r="D42" s="49">
        <f>'Avg Week BUSITEMA-TORORO'!D42+'Avg Week TORORO-BUSITEMA'!D42</f>
        <v>3.1428571428571428</v>
      </c>
      <c r="E42" s="49">
        <f>'Avg Week BUSITEMA-TORORO'!E42+'Avg Week TORORO-BUSITEMA'!E42</f>
        <v>1.5714285714285714</v>
      </c>
      <c r="F42" s="49">
        <f>'Avg Week BUSITEMA-TORORO'!F42+'Avg Week TORORO-BUSITEMA'!F42</f>
        <v>6</v>
      </c>
      <c r="G42" s="49">
        <f>'Avg Week BUSITEMA-TORORO'!G42+'Avg Week TORORO-BUSITEMA'!G42</f>
        <v>0</v>
      </c>
      <c r="H42" s="49">
        <f>'Avg Week BUSITEMA-TORORO'!H42+'Avg Week TORORO-BUSITEMA'!H42</f>
        <v>0.5714285714285714</v>
      </c>
      <c r="I42" s="49">
        <f>'Avg Week BUSITEMA-TORORO'!I42+'Avg Week TORORO-BUSITEMA'!I42</f>
        <v>1</v>
      </c>
      <c r="J42" s="49">
        <f>'Avg Week BUSITEMA-TORORO'!J42+'Avg Week TORORO-BUSITEMA'!J42</f>
        <v>1.1428571428571428</v>
      </c>
      <c r="K42" s="49">
        <f>'Avg Week BUSITEMA-TORORO'!K42+'Avg Week TORORO-BUSITEMA'!K42</f>
        <v>0.2857142857142857</v>
      </c>
      <c r="L42" s="49">
        <f>'Avg Week BUSITEMA-TORORO'!L42+'Avg Week TORORO-BUSITEMA'!L42</f>
        <v>17.142857142857142</v>
      </c>
      <c r="M42" s="49">
        <f>'Avg Week BUSITEMA-TORORO'!M42+'Avg Week TORORO-BUSITEMA'!M42</f>
        <v>9.2857142857142865</v>
      </c>
      <c r="N42" s="49">
        <f>'Avg Week BUSITEMA-TORORO'!N42+'Avg Week TORORO-BUSITEMA'!N42</f>
        <v>0</v>
      </c>
      <c r="O42" s="15">
        <f t="shared" si="0"/>
        <v>35.285714285714285</v>
      </c>
      <c r="P42" s="15">
        <f t="shared" si="1"/>
        <v>44.571428571428569</v>
      </c>
      <c r="R42" s="5" t="s">
        <v>160</v>
      </c>
      <c r="S42" s="48">
        <f>S41/S40</f>
        <v>1.3053497942386831</v>
      </c>
      <c r="T42" s="48">
        <f t="shared" ref="T42:AF42" si="34">T41/T40</f>
        <v>1.267605633802817</v>
      </c>
      <c r="U42" s="48">
        <f t="shared" si="34"/>
        <v>1.2517630465444287</v>
      </c>
      <c r="V42" s="48">
        <f t="shared" si="34"/>
        <v>1.2091239402503029</v>
      </c>
      <c r="W42" s="48">
        <f t="shared" si="34"/>
        <v>1.1438356164383561</v>
      </c>
      <c r="X42" s="48">
        <f t="shared" si="34"/>
        <v>2.5166666666666671</v>
      </c>
      <c r="Y42" s="48">
        <f t="shared" si="34"/>
        <v>1.2619047619047619</v>
      </c>
      <c r="Z42" s="48">
        <f t="shared" si="34"/>
        <v>1.9691075514874141</v>
      </c>
      <c r="AA42" s="48">
        <f t="shared" si="34"/>
        <v>1.4951550387596899</v>
      </c>
      <c r="AB42" s="48">
        <f t="shared" si="34"/>
        <v>1.9206321334503949</v>
      </c>
      <c r="AC42" s="48">
        <f t="shared" si="34"/>
        <v>1.385485047410649</v>
      </c>
      <c r="AD42" s="48">
        <f t="shared" si="34"/>
        <v>1</v>
      </c>
      <c r="AE42" s="51">
        <f t="shared" si="34"/>
        <v>1.5762532981530344</v>
      </c>
      <c r="AF42" s="51">
        <f t="shared" si="34"/>
        <v>1.5435746860748423</v>
      </c>
    </row>
    <row r="43" spans="2:32" ht="23.1" customHeight="1" x14ac:dyDescent="0.25">
      <c r="B43" s="23" t="s">
        <v>70</v>
      </c>
      <c r="C43" s="49">
        <f>'Avg Week BUSITEMA-TORORO'!C43+'Avg Week TORORO-BUSITEMA'!C43</f>
        <v>3.4285714285714288</v>
      </c>
      <c r="D43" s="49">
        <f>'Avg Week BUSITEMA-TORORO'!D43+'Avg Week TORORO-BUSITEMA'!D43</f>
        <v>5.7142857142857144</v>
      </c>
      <c r="E43" s="49">
        <f>'Avg Week BUSITEMA-TORORO'!E43+'Avg Week TORORO-BUSITEMA'!E43</f>
        <v>2.5714285714285716</v>
      </c>
      <c r="F43" s="49">
        <f>'Avg Week BUSITEMA-TORORO'!F43+'Avg Week TORORO-BUSITEMA'!F43</f>
        <v>9.8571428571428577</v>
      </c>
      <c r="G43" s="49">
        <f>'Avg Week BUSITEMA-TORORO'!G43+'Avg Week TORORO-BUSITEMA'!G43</f>
        <v>0</v>
      </c>
      <c r="H43" s="49">
        <f>'Avg Week BUSITEMA-TORORO'!H43+'Avg Week TORORO-BUSITEMA'!H43</f>
        <v>0</v>
      </c>
      <c r="I43" s="49">
        <f>'Avg Week BUSITEMA-TORORO'!I43+'Avg Week TORORO-BUSITEMA'!I43</f>
        <v>2.1428571428571428</v>
      </c>
      <c r="J43" s="49">
        <f>'Avg Week BUSITEMA-TORORO'!J43+'Avg Week TORORO-BUSITEMA'!J43</f>
        <v>1.7142857142857142</v>
      </c>
      <c r="K43" s="49">
        <f>'Avg Week BUSITEMA-TORORO'!K43+'Avg Week TORORO-BUSITEMA'!K43</f>
        <v>1</v>
      </c>
      <c r="L43" s="49">
        <f>'Avg Week BUSITEMA-TORORO'!L43+'Avg Week TORORO-BUSITEMA'!L43</f>
        <v>18.142857142857142</v>
      </c>
      <c r="M43" s="49">
        <f>'Avg Week BUSITEMA-TORORO'!M43+'Avg Week TORORO-BUSITEMA'!M43</f>
        <v>6.1428571428571423</v>
      </c>
      <c r="N43" s="49">
        <f>'Avg Week BUSITEMA-TORORO'!N43+'Avg Week TORORO-BUSITEMA'!N43</f>
        <v>0</v>
      </c>
      <c r="O43" s="15">
        <f t="shared" si="0"/>
        <v>44.571428571428569</v>
      </c>
      <c r="P43" s="15">
        <f t="shared" si="1"/>
        <v>50.714285714285708</v>
      </c>
    </row>
    <row r="44" spans="2:32" ht="23.1" customHeight="1" x14ac:dyDescent="0.25">
      <c r="B44" s="25" t="s">
        <v>71</v>
      </c>
      <c r="C44" s="49">
        <f>'Avg Week BUSITEMA-TORORO'!C44+'Avg Week TORORO-BUSITEMA'!C44</f>
        <v>3.4285714285714288</v>
      </c>
      <c r="D44" s="49">
        <f>'Avg Week BUSITEMA-TORORO'!D44+'Avg Week TORORO-BUSITEMA'!D44</f>
        <v>3.1428571428571428</v>
      </c>
      <c r="E44" s="49">
        <f>'Avg Week BUSITEMA-TORORO'!E44+'Avg Week TORORO-BUSITEMA'!E44</f>
        <v>3</v>
      </c>
      <c r="F44" s="49">
        <f>'Avg Week BUSITEMA-TORORO'!F44+'Avg Week TORORO-BUSITEMA'!F44</f>
        <v>9.7142857142857153</v>
      </c>
      <c r="G44" s="49">
        <f>'Avg Week BUSITEMA-TORORO'!G44+'Avg Week TORORO-BUSITEMA'!G44</f>
        <v>0</v>
      </c>
      <c r="H44" s="49">
        <f>'Avg Week BUSITEMA-TORORO'!H44+'Avg Week TORORO-BUSITEMA'!H44</f>
        <v>0</v>
      </c>
      <c r="I44" s="49">
        <f>'Avg Week BUSITEMA-TORORO'!I44+'Avg Week TORORO-BUSITEMA'!I44</f>
        <v>2.1428571428571428</v>
      </c>
      <c r="J44" s="49">
        <f>'Avg Week BUSITEMA-TORORO'!J44+'Avg Week TORORO-BUSITEMA'!J44</f>
        <v>3</v>
      </c>
      <c r="K44" s="49">
        <f>'Avg Week BUSITEMA-TORORO'!K44+'Avg Week TORORO-BUSITEMA'!K44</f>
        <v>1.5714285714285714</v>
      </c>
      <c r="L44" s="49">
        <f>'Avg Week BUSITEMA-TORORO'!L44+'Avg Week TORORO-BUSITEMA'!L44</f>
        <v>20.428571428571431</v>
      </c>
      <c r="M44" s="49">
        <f>'Avg Week BUSITEMA-TORORO'!M44+'Avg Week TORORO-BUSITEMA'!M44</f>
        <v>11.571428571428573</v>
      </c>
      <c r="N44" s="49">
        <f>'Avg Week BUSITEMA-TORORO'!N44+'Avg Week TORORO-BUSITEMA'!N44</f>
        <v>0</v>
      </c>
      <c r="O44" s="15">
        <f t="shared" si="0"/>
        <v>46.428571428571431</v>
      </c>
      <c r="P44" s="15">
        <f t="shared" si="1"/>
        <v>58</v>
      </c>
    </row>
    <row r="45" spans="2:32" ht="23.1" customHeight="1" x14ac:dyDescent="0.25">
      <c r="B45" s="23" t="s">
        <v>72</v>
      </c>
      <c r="C45" s="49">
        <f>'Avg Week BUSITEMA-TORORO'!C45+'Avg Week TORORO-BUSITEMA'!C45</f>
        <v>5.1428571428571432</v>
      </c>
      <c r="D45" s="49">
        <f>'Avg Week BUSITEMA-TORORO'!D45+'Avg Week TORORO-BUSITEMA'!D45</f>
        <v>4.5714285714285712</v>
      </c>
      <c r="E45" s="49">
        <f>'Avg Week BUSITEMA-TORORO'!E45+'Avg Week TORORO-BUSITEMA'!E45</f>
        <v>0.8571428571428571</v>
      </c>
      <c r="F45" s="49">
        <f>'Avg Week BUSITEMA-TORORO'!F45+'Avg Week TORORO-BUSITEMA'!F45</f>
        <v>9.7142857142857153</v>
      </c>
      <c r="G45" s="49">
        <f>'Avg Week BUSITEMA-TORORO'!G45+'Avg Week TORORO-BUSITEMA'!G45</f>
        <v>0.8571428571428571</v>
      </c>
      <c r="H45" s="49">
        <f>'Avg Week BUSITEMA-TORORO'!H45+'Avg Week TORORO-BUSITEMA'!H45</f>
        <v>0</v>
      </c>
      <c r="I45" s="49">
        <f>'Avg Week BUSITEMA-TORORO'!I45+'Avg Week TORORO-BUSITEMA'!I45</f>
        <v>3.4285714285714284</v>
      </c>
      <c r="J45" s="49">
        <f>'Avg Week BUSITEMA-TORORO'!J45+'Avg Week TORORO-BUSITEMA'!J45</f>
        <v>2.7142857142857144</v>
      </c>
      <c r="K45" s="49">
        <f>'Avg Week BUSITEMA-TORORO'!K45+'Avg Week TORORO-BUSITEMA'!K45</f>
        <v>2.2857142857142856</v>
      </c>
      <c r="L45" s="49">
        <f>'Avg Week BUSITEMA-TORORO'!L45+'Avg Week TORORO-BUSITEMA'!L45</f>
        <v>21.857142857142858</v>
      </c>
      <c r="M45" s="49">
        <f>'Avg Week BUSITEMA-TORORO'!M45+'Avg Week TORORO-BUSITEMA'!M45</f>
        <v>8.2857142857142847</v>
      </c>
      <c r="N45" s="49">
        <f>'Avg Week BUSITEMA-TORORO'!N45+'Avg Week TORORO-BUSITEMA'!N45</f>
        <v>0</v>
      </c>
      <c r="O45" s="15">
        <f t="shared" si="0"/>
        <v>51.428571428571431</v>
      </c>
      <c r="P45" s="15">
        <f t="shared" si="1"/>
        <v>59.714285714285715</v>
      </c>
    </row>
    <row r="46" spans="2:32" ht="23.1" customHeight="1" x14ac:dyDescent="0.25">
      <c r="B46" s="24" t="s">
        <v>73</v>
      </c>
      <c r="C46" s="49">
        <f>'Avg Week BUSITEMA-TORORO'!C46+'Avg Week TORORO-BUSITEMA'!C46</f>
        <v>4.5714285714285712</v>
      </c>
      <c r="D46" s="49">
        <f>'Avg Week BUSITEMA-TORORO'!D46+'Avg Week TORORO-BUSITEMA'!D46</f>
        <v>5</v>
      </c>
      <c r="E46" s="49">
        <f>'Avg Week BUSITEMA-TORORO'!E46+'Avg Week TORORO-BUSITEMA'!E46</f>
        <v>2.5714285714285712</v>
      </c>
      <c r="F46" s="49">
        <f>'Avg Week BUSITEMA-TORORO'!F46+'Avg Week TORORO-BUSITEMA'!F46</f>
        <v>10.285714285714286</v>
      </c>
      <c r="G46" s="49">
        <f>'Avg Week BUSITEMA-TORORO'!G46+'Avg Week TORORO-BUSITEMA'!G46</f>
        <v>0</v>
      </c>
      <c r="H46" s="49">
        <f>'Avg Week BUSITEMA-TORORO'!H46+'Avg Week TORORO-BUSITEMA'!H46</f>
        <v>0</v>
      </c>
      <c r="I46" s="49">
        <f>'Avg Week BUSITEMA-TORORO'!I46+'Avg Week TORORO-BUSITEMA'!I46</f>
        <v>1</v>
      </c>
      <c r="J46" s="49">
        <f>'Avg Week BUSITEMA-TORORO'!J46+'Avg Week TORORO-BUSITEMA'!J46</f>
        <v>1.7142857142857144</v>
      </c>
      <c r="K46" s="49">
        <f>'Avg Week BUSITEMA-TORORO'!K46+'Avg Week TORORO-BUSITEMA'!K46</f>
        <v>0.2857142857142857</v>
      </c>
      <c r="L46" s="49">
        <f>'Avg Week BUSITEMA-TORORO'!L46+'Avg Week TORORO-BUSITEMA'!L46</f>
        <v>19.857142857142858</v>
      </c>
      <c r="M46" s="49">
        <f>'Avg Week BUSITEMA-TORORO'!M46+'Avg Week TORORO-BUSITEMA'!M46</f>
        <v>7.5714285714285712</v>
      </c>
      <c r="N46" s="49">
        <f>'Avg Week BUSITEMA-TORORO'!N46+'Avg Week TORORO-BUSITEMA'!N46</f>
        <v>0</v>
      </c>
      <c r="O46" s="15">
        <f t="shared" si="0"/>
        <v>45.285714285714292</v>
      </c>
      <c r="P46" s="15">
        <f t="shared" si="1"/>
        <v>52.857142857142861</v>
      </c>
      <c r="R46" s="8"/>
      <c r="T46"/>
    </row>
    <row r="47" spans="2:32" ht="23.1" customHeight="1" x14ac:dyDescent="0.25">
      <c r="B47" s="24" t="s">
        <v>74</v>
      </c>
      <c r="C47" s="49">
        <f>'Avg Week BUSITEMA-TORORO'!C47+'Avg Week TORORO-BUSITEMA'!C47</f>
        <v>3.4285714285714284</v>
      </c>
      <c r="D47" s="49">
        <f>'Avg Week BUSITEMA-TORORO'!D47+'Avg Week TORORO-BUSITEMA'!D47</f>
        <v>3.5714285714285712</v>
      </c>
      <c r="E47" s="49">
        <f>'Avg Week BUSITEMA-TORORO'!E47+'Avg Week TORORO-BUSITEMA'!E47</f>
        <v>1.2857142857142856</v>
      </c>
      <c r="F47" s="49">
        <f>'Avg Week BUSITEMA-TORORO'!F47+'Avg Week TORORO-BUSITEMA'!F47</f>
        <v>7.5714285714285712</v>
      </c>
      <c r="G47" s="49">
        <f>'Avg Week BUSITEMA-TORORO'!G47+'Avg Week TORORO-BUSITEMA'!G47</f>
        <v>0</v>
      </c>
      <c r="H47" s="49">
        <f>'Avg Week BUSITEMA-TORORO'!H47+'Avg Week TORORO-BUSITEMA'!H47</f>
        <v>0.14285714285714285</v>
      </c>
      <c r="I47" s="49">
        <f>'Avg Week BUSITEMA-TORORO'!I47+'Avg Week TORORO-BUSITEMA'!I47</f>
        <v>2.2857142857142856</v>
      </c>
      <c r="J47" s="49">
        <f>'Avg Week BUSITEMA-TORORO'!J47+'Avg Week TORORO-BUSITEMA'!J47</f>
        <v>1.4285714285714286</v>
      </c>
      <c r="K47" s="49">
        <f>'Avg Week BUSITEMA-TORORO'!K47+'Avg Week TORORO-BUSITEMA'!K47</f>
        <v>1</v>
      </c>
      <c r="L47" s="49">
        <f>'Avg Week BUSITEMA-TORORO'!L47+'Avg Week TORORO-BUSITEMA'!L47</f>
        <v>18.571428571428569</v>
      </c>
      <c r="M47" s="49">
        <f>'Avg Week BUSITEMA-TORORO'!M47+'Avg Week TORORO-BUSITEMA'!M47</f>
        <v>8.7142857142857153</v>
      </c>
      <c r="N47" s="49">
        <f>'Avg Week BUSITEMA-TORORO'!N47+'Avg Week TORORO-BUSITEMA'!N47</f>
        <v>0</v>
      </c>
      <c r="O47" s="15">
        <f t="shared" si="0"/>
        <v>39.285714285714278</v>
      </c>
      <c r="P47" s="15">
        <f t="shared" si="1"/>
        <v>47.999999999999993</v>
      </c>
      <c r="R47" s="8"/>
      <c r="T47"/>
    </row>
    <row r="48" spans="2:32" ht="23.1" customHeight="1" x14ac:dyDescent="0.25">
      <c r="B48" s="24" t="s">
        <v>75</v>
      </c>
      <c r="C48" s="49">
        <f>'Avg Week BUSITEMA-TORORO'!C48+'Avg Week TORORO-BUSITEMA'!C48</f>
        <v>6</v>
      </c>
      <c r="D48" s="49">
        <f>'Avg Week BUSITEMA-TORORO'!D48+'Avg Week TORORO-BUSITEMA'!D48</f>
        <v>6.1428571428571423</v>
      </c>
      <c r="E48" s="49">
        <f>'Avg Week BUSITEMA-TORORO'!E48+'Avg Week TORORO-BUSITEMA'!E48</f>
        <v>1.2857142857142856</v>
      </c>
      <c r="F48" s="49">
        <f>'Avg Week BUSITEMA-TORORO'!F48+'Avg Week TORORO-BUSITEMA'!F48</f>
        <v>6.4285714285714288</v>
      </c>
      <c r="G48" s="49">
        <f>'Avg Week BUSITEMA-TORORO'!G48+'Avg Week TORORO-BUSITEMA'!G48</f>
        <v>0.14285714285714285</v>
      </c>
      <c r="H48" s="49">
        <f>'Avg Week BUSITEMA-TORORO'!H48+'Avg Week TORORO-BUSITEMA'!H48</f>
        <v>0.71428571428571419</v>
      </c>
      <c r="I48" s="49">
        <f>'Avg Week BUSITEMA-TORORO'!I48+'Avg Week TORORO-BUSITEMA'!I48</f>
        <v>1.8571428571428572</v>
      </c>
      <c r="J48" s="49">
        <f>'Avg Week BUSITEMA-TORORO'!J48+'Avg Week TORORO-BUSITEMA'!J48</f>
        <v>2.4285714285714284</v>
      </c>
      <c r="K48" s="49">
        <f>'Avg Week BUSITEMA-TORORO'!K48+'Avg Week TORORO-BUSITEMA'!K48</f>
        <v>0.42857142857142855</v>
      </c>
      <c r="L48" s="49">
        <f>'Avg Week BUSITEMA-TORORO'!L48+'Avg Week TORORO-BUSITEMA'!L48</f>
        <v>16.857142857142858</v>
      </c>
      <c r="M48" s="49">
        <f>'Avg Week BUSITEMA-TORORO'!M48+'Avg Week TORORO-BUSITEMA'!M48</f>
        <v>6.1428571428571432</v>
      </c>
      <c r="N48" s="49">
        <f>'Avg Week BUSITEMA-TORORO'!N48+'Avg Week TORORO-BUSITEMA'!N48</f>
        <v>0</v>
      </c>
      <c r="O48" s="15">
        <f t="shared" si="0"/>
        <v>42.285714285714278</v>
      </c>
      <c r="P48" s="15">
        <f t="shared" si="1"/>
        <v>48.428571428571423</v>
      </c>
      <c r="R48" s="8"/>
      <c r="T48"/>
    </row>
    <row r="49" spans="2:20" ht="23.1" customHeight="1" x14ac:dyDescent="0.25">
      <c r="B49" s="23" t="s">
        <v>76</v>
      </c>
      <c r="C49" s="49">
        <f>'Avg Week BUSITEMA-TORORO'!C49+'Avg Week TORORO-BUSITEMA'!C49</f>
        <v>3.1428571428571428</v>
      </c>
      <c r="D49" s="49">
        <f>'Avg Week BUSITEMA-TORORO'!D49+'Avg Week TORORO-BUSITEMA'!D49</f>
        <v>3.8571428571428572</v>
      </c>
      <c r="E49" s="49">
        <f>'Avg Week BUSITEMA-TORORO'!E49+'Avg Week TORORO-BUSITEMA'!E49</f>
        <v>1.8571428571428572</v>
      </c>
      <c r="F49" s="49">
        <f>'Avg Week BUSITEMA-TORORO'!F49+'Avg Week TORORO-BUSITEMA'!F49</f>
        <v>5.5714285714285712</v>
      </c>
      <c r="G49" s="49">
        <f>'Avg Week BUSITEMA-TORORO'!G49+'Avg Week TORORO-BUSITEMA'!G49</f>
        <v>0.14285714285714285</v>
      </c>
      <c r="H49" s="49">
        <f>'Avg Week BUSITEMA-TORORO'!H49+'Avg Week TORORO-BUSITEMA'!H49</f>
        <v>0</v>
      </c>
      <c r="I49" s="49">
        <f>'Avg Week BUSITEMA-TORORO'!I49+'Avg Week TORORO-BUSITEMA'!I49</f>
        <v>2.5714285714285716</v>
      </c>
      <c r="J49" s="49">
        <f>'Avg Week BUSITEMA-TORORO'!J49+'Avg Week TORORO-BUSITEMA'!J49</f>
        <v>1.5714285714285716</v>
      </c>
      <c r="K49" s="49">
        <f>'Avg Week BUSITEMA-TORORO'!K49+'Avg Week TORORO-BUSITEMA'!K49</f>
        <v>1.2857142857142856</v>
      </c>
      <c r="L49" s="49">
        <f>'Avg Week BUSITEMA-TORORO'!L49+'Avg Week TORORO-BUSITEMA'!L49</f>
        <v>17.714285714285715</v>
      </c>
      <c r="M49" s="49">
        <f>'Avg Week BUSITEMA-TORORO'!M49+'Avg Week TORORO-BUSITEMA'!M49</f>
        <v>6.2857142857142856</v>
      </c>
      <c r="N49" s="49">
        <f>'Avg Week BUSITEMA-TORORO'!N49+'Avg Week TORORO-BUSITEMA'!N49</f>
        <v>0</v>
      </c>
      <c r="O49" s="15">
        <f t="shared" si="0"/>
        <v>37.714285714285715</v>
      </c>
      <c r="P49" s="15">
        <f t="shared" si="1"/>
        <v>44</v>
      </c>
      <c r="R49" s="8"/>
      <c r="T49"/>
    </row>
    <row r="50" spans="2:20" ht="23.1" customHeight="1" x14ac:dyDescent="0.25">
      <c r="B50" s="24" t="s">
        <v>77</v>
      </c>
      <c r="C50" s="49">
        <f>'Avg Week BUSITEMA-TORORO'!C50+'Avg Week TORORO-BUSITEMA'!C50</f>
        <v>6</v>
      </c>
      <c r="D50" s="49">
        <f>'Avg Week BUSITEMA-TORORO'!D50+'Avg Week TORORO-BUSITEMA'!D50</f>
        <v>6.7142857142857144</v>
      </c>
      <c r="E50" s="49">
        <f>'Avg Week BUSITEMA-TORORO'!E50+'Avg Week TORORO-BUSITEMA'!E50</f>
        <v>2</v>
      </c>
      <c r="F50" s="49">
        <f>'Avg Week BUSITEMA-TORORO'!F50+'Avg Week TORORO-BUSITEMA'!F50</f>
        <v>9.1428571428571423</v>
      </c>
      <c r="G50" s="49">
        <f>'Avg Week BUSITEMA-TORORO'!G50+'Avg Week TORORO-BUSITEMA'!G50</f>
        <v>0.42857142857142855</v>
      </c>
      <c r="H50" s="49">
        <f>'Avg Week BUSITEMA-TORORO'!H50+'Avg Week TORORO-BUSITEMA'!H50</f>
        <v>0.14285714285714285</v>
      </c>
      <c r="I50" s="49">
        <f>'Avg Week BUSITEMA-TORORO'!I50+'Avg Week TORORO-BUSITEMA'!I50</f>
        <v>2.5714285714285712</v>
      </c>
      <c r="J50" s="49">
        <f>'Avg Week BUSITEMA-TORORO'!J50+'Avg Week TORORO-BUSITEMA'!J50</f>
        <v>2.1428571428571428</v>
      </c>
      <c r="K50" s="49">
        <f>'Avg Week BUSITEMA-TORORO'!K50+'Avg Week TORORO-BUSITEMA'!K50</f>
        <v>1.1428571428571428</v>
      </c>
      <c r="L50" s="49">
        <f>'Avg Week BUSITEMA-TORORO'!L50+'Avg Week TORORO-BUSITEMA'!L50</f>
        <v>21.285714285714285</v>
      </c>
      <c r="M50" s="49">
        <f>'Avg Week BUSITEMA-TORORO'!M50+'Avg Week TORORO-BUSITEMA'!M50</f>
        <v>7.7142857142857144</v>
      </c>
      <c r="N50" s="49">
        <f>'Avg Week BUSITEMA-TORORO'!N50+'Avg Week TORORO-BUSITEMA'!N50</f>
        <v>0</v>
      </c>
      <c r="O50" s="15">
        <f t="shared" si="0"/>
        <v>51.571428571428569</v>
      </c>
      <c r="P50" s="15">
        <f t="shared" si="1"/>
        <v>59.285714285714285</v>
      </c>
      <c r="R50" s="8"/>
      <c r="T50"/>
    </row>
    <row r="51" spans="2:20" ht="23.1" customHeight="1" x14ac:dyDescent="0.25">
      <c r="B51" s="24" t="s">
        <v>78</v>
      </c>
      <c r="C51" s="49">
        <f>'Avg Week BUSITEMA-TORORO'!C51+'Avg Week TORORO-BUSITEMA'!C51</f>
        <v>4.7142857142857144</v>
      </c>
      <c r="D51" s="49">
        <f>'Avg Week BUSITEMA-TORORO'!D51+'Avg Week TORORO-BUSITEMA'!D51</f>
        <v>6.1428571428571423</v>
      </c>
      <c r="E51" s="49">
        <f>'Avg Week BUSITEMA-TORORO'!E51+'Avg Week TORORO-BUSITEMA'!E51</f>
        <v>2.2857142857142856</v>
      </c>
      <c r="F51" s="49">
        <f>'Avg Week BUSITEMA-TORORO'!F51+'Avg Week TORORO-BUSITEMA'!F51</f>
        <v>7.4285714285714288</v>
      </c>
      <c r="G51" s="49">
        <f>'Avg Week BUSITEMA-TORORO'!G51+'Avg Week TORORO-BUSITEMA'!G51</f>
        <v>0.14285714285714285</v>
      </c>
      <c r="H51" s="49">
        <f>'Avg Week BUSITEMA-TORORO'!H51+'Avg Week TORORO-BUSITEMA'!H51</f>
        <v>0</v>
      </c>
      <c r="I51" s="49">
        <f>'Avg Week BUSITEMA-TORORO'!I51+'Avg Week TORORO-BUSITEMA'!I51</f>
        <v>3</v>
      </c>
      <c r="J51" s="49">
        <f>'Avg Week BUSITEMA-TORORO'!J51+'Avg Week TORORO-BUSITEMA'!J51</f>
        <v>1.1428571428571428</v>
      </c>
      <c r="K51" s="49">
        <f>'Avg Week BUSITEMA-TORORO'!K51+'Avg Week TORORO-BUSITEMA'!K51</f>
        <v>1.2857142857142856</v>
      </c>
      <c r="L51" s="49">
        <f>'Avg Week BUSITEMA-TORORO'!L51+'Avg Week TORORO-BUSITEMA'!L51</f>
        <v>25.714285714285715</v>
      </c>
      <c r="M51" s="49">
        <f>'Avg Week BUSITEMA-TORORO'!M51+'Avg Week TORORO-BUSITEMA'!M51</f>
        <v>12.142857142857142</v>
      </c>
      <c r="N51" s="49">
        <f>'Avg Week BUSITEMA-TORORO'!N51+'Avg Week TORORO-BUSITEMA'!N51</f>
        <v>0</v>
      </c>
      <c r="O51" s="15">
        <f t="shared" si="0"/>
        <v>51.857142857142854</v>
      </c>
      <c r="P51" s="15">
        <f t="shared" si="1"/>
        <v>64</v>
      </c>
      <c r="R51" s="8"/>
      <c r="T51"/>
    </row>
    <row r="52" spans="2:20" ht="23.1" customHeight="1" x14ac:dyDescent="0.25">
      <c r="B52" s="24" t="s">
        <v>79</v>
      </c>
      <c r="C52" s="49">
        <f>'Avg Week BUSITEMA-TORORO'!C52+'Avg Week TORORO-BUSITEMA'!C52</f>
        <v>4.5714285714285712</v>
      </c>
      <c r="D52" s="49">
        <f>'Avg Week BUSITEMA-TORORO'!D52+'Avg Week TORORO-BUSITEMA'!D52</f>
        <v>5.8571428571428577</v>
      </c>
      <c r="E52" s="49">
        <f>'Avg Week BUSITEMA-TORORO'!E52+'Avg Week TORORO-BUSITEMA'!E52</f>
        <v>3.5714285714285712</v>
      </c>
      <c r="F52" s="49">
        <f>'Avg Week BUSITEMA-TORORO'!F52+'Avg Week TORORO-BUSITEMA'!F52</f>
        <v>5.8571428571428577</v>
      </c>
      <c r="G52" s="49">
        <f>'Avg Week BUSITEMA-TORORO'!G52+'Avg Week TORORO-BUSITEMA'!G52</f>
        <v>0</v>
      </c>
      <c r="H52" s="49">
        <f>'Avg Week BUSITEMA-TORORO'!H52+'Avg Week TORORO-BUSITEMA'!H52</f>
        <v>0</v>
      </c>
      <c r="I52" s="49">
        <f>'Avg Week BUSITEMA-TORORO'!I52+'Avg Week TORORO-BUSITEMA'!I52</f>
        <v>2.8571428571428572</v>
      </c>
      <c r="J52" s="49">
        <f>'Avg Week BUSITEMA-TORORO'!J52+'Avg Week TORORO-BUSITEMA'!J52</f>
        <v>1.2857142857142856</v>
      </c>
      <c r="K52" s="49">
        <f>'Avg Week BUSITEMA-TORORO'!K52+'Avg Week TORORO-BUSITEMA'!K52</f>
        <v>2.4285714285714284</v>
      </c>
      <c r="L52" s="49">
        <f>'Avg Week BUSITEMA-TORORO'!L52+'Avg Week TORORO-BUSITEMA'!L52</f>
        <v>21.571428571428569</v>
      </c>
      <c r="M52" s="49">
        <f>'Avg Week BUSITEMA-TORORO'!M52+'Avg Week TORORO-BUSITEMA'!M52</f>
        <v>9.8571428571428577</v>
      </c>
      <c r="N52" s="49">
        <f>'Avg Week BUSITEMA-TORORO'!N52+'Avg Week TORORO-BUSITEMA'!N52</f>
        <v>0</v>
      </c>
      <c r="O52" s="15">
        <f t="shared" si="0"/>
        <v>48</v>
      </c>
      <c r="P52" s="15">
        <f t="shared" si="1"/>
        <v>57.857142857142861</v>
      </c>
      <c r="R52" s="8"/>
      <c r="T52"/>
    </row>
    <row r="53" spans="2:20" ht="23.1" customHeight="1" x14ac:dyDescent="0.25">
      <c r="B53" s="23" t="s">
        <v>80</v>
      </c>
      <c r="C53" s="49">
        <f>'Avg Week BUSITEMA-TORORO'!C53+'Avg Week TORORO-BUSITEMA'!C53</f>
        <v>5.7142857142857144</v>
      </c>
      <c r="D53" s="49">
        <f>'Avg Week BUSITEMA-TORORO'!D53+'Avg Week TORORO-BUSITEMA'!D53</f>
        <v>5.1428571428571423</v>
      </c>
      <c r="E53" s="49">
        <f>'Avg Week BUSITEMA-TORORO'!E53+'Avg Week TORORO-BUSITEMA'!E53</f>
        <v>3.8571428571428572</v>
      </c>
      <c r="F53" s="49">
        <f>'Avg Week BUSITEMA-TORORO'!F53+'Avg Week TORORO-BUSITEMA'!F53</f>
        <v>7.4285714285714288</v>
      </c>
      <c r="G53" s="49">
        <f>'Avg Week BUSITEMA-TORORO'!G53+'Avg Week TORORO-BUSITEMA'!G53</f>
        <v>0</v>
      </c>
      <c r="H53" s="49">
        <f>'Avg Week BUSITEMA-TORORO'!H53+'Avg Week TORORO-BUSITEMA'!H53</f>
        <v>0.14285714285714285</v>
      </c>
      <c r="I53" s="49">
        <f>'Avg Week BUSITEMA-TORORO'!I53+'Avg Week TORORO-BUSITEMA'!I53</f>
        <v>3.8571428571428568</v>
      </c>
      <c r="J53" s="49">
        <f>'Avg Week BUSITEMA-TORORO'!J53+'Avg Week TORORO-BUSITEMA'!J53</f>
        <v>2.8571428571428572</v>
      </c>
      <c r="K53" s="49">
        <f>'Avg Week BUSITEMA-TORORO'!K53+'Avg Week TORORO-BUSITEMA'!K53</f>
        <v>5.8571428571428577</v>
      </c>
      <c r="L53" s="49">
        <f>'Avg Week BUSITEMA-TORORO'!L53+'Avg Week TORORO-BUSITEMA'!L53</f>
        <v>25.857142857142858</v>
      </c>
      <c r="M53" s="49">
        <f>'Avg Week BUSITEMA-TORORO'!M53+'Avg Week TORORO-BUSITEMA'!M53</f>
        <v>12.285714285714285</v>
      </c>
      <c r="N53" s="49">
        <f>'Avg Week BUSITEMA-TORORO'!N53+'Avg Week TORORO-BUSITEMA'!N53</f>
        <v>0</v>
      </c>
      <c r="O53" s="15">
        <f t="shared" si="0"/>
        <v>60.714285714285722</v>
      </c>
      <c r="P53" s="15">
        <f t="shared" si="1"/>
        <v>73</v>
      </c>
      <c r="R53" s="8"/>
      <c r="T53"/>
    </row>
    <row r="54" spans="2:20" ht="23.1" customHeight="1" x14ac:dyDescent="0.25">
      <c r="B54" s="23" t="s">
        <v>81</v>
      </c>
      <c r="C54" s="49">
        <f>'Avg Week BUSITEMA-TORORO'!C54+'Avg Week TORORO-BUSITEMA'!C54</f>
        <v>3.7142857142857144</v>
      </c>
      <c r="D54" s="49">
        <f>'Avg Week BUSITEMA-TORORO'!D54+'Avg Week TORORO-BUSITEMA'!D54</f>
        <v>4.4285714285714288</v>
      </c>
      <c r="E54" s="49">
        <f>'Avg Week BUSITEMA-TORORO'!E54+'Avg Week TORORO-BUSITEMA'!E54</f>
        <v>4.2857142857142856</v>
      </c>
      <c r="F54" s="49">
        <f>'Avg Week BUSITEMA-TORORO'!F54+'Avg Week TORORO-BUSITEMA'!F54</f>
        <v>9.8571428571428577</v>
      </c>
      <c r="G54" s="49">
        <f>'Avg Week BUSITEMA-TORORO'!G54+'Avg Week TORORO-BUSITEMA'!G54</f>
        <v>0</v>
      </c>
      <c r="H54" s="49">
        <f>'Avg Week BUSITEMA-TORORO'!H54+'Avg Week TORORO-BUSITEMA'!H54</f>
        <v>0.42857142857142855</v>
      </c>
      <c r="I54" s="49">
        <f>'Avg Week BUSITEMA-TORORO'!I54+'Avg Week TORORO-BUSITEMA'!I54</f>
        <v>5.1428571428571423</v>
      </c>
      <c r="J54" s="49">
        <f>'Avg Week BUSITEMA-TORORO'!J54+'Avg Week TORORO-BUSITEMA'!J54</f>
        <v>3.1428571428571432</v>
      </c>
      <c r="K54" s="49">
        <f>'Avg Week BUSITEMA-TORORO'!K54+'Avg Week TORORO-BUSITEMA'!K54</f>
        <v>2.5714285714285712</v>
      </c>
      <c r="L54" s="49">
        <f>'Avg Week BUSITEMA-TORORO'!L54+'Avg Week TORORO-BUSITEMA'!L54</f>
        <v>29.142857142857142</v>
      </c>
      <c r="M54" s="49">
        <f>'Avg Week BUSITEMA-TORORO'!M54+'Avg Week TORORO-BUSITEMA'!M54</f>
        <v>11.142857142857142</v>
      </c>
      <c r="N54" s="49">
        <f>'Avg Week BUSITEMA-TORORO'!N54+'Avg Week TORORO-BUSITEMA'!N54</f>
        <v>0</v>
      </c>
      <c r="O54" s="15">
        <f t="shared" si="0"/>
        <v>62.714285714285708</v>
      </c>
      <c r="P54" s="15">
        <f t="shared" si="1"/>
        <v>73.857142857142847</v>
      </c>
      <c r="R54" s="8"/>
      <c r="T54"/>
    </row>
    <row r="55" spans="2:20" ht="23.1" customHeight="1" x14ac:dyDescent="0.25">
      <c r="B55" s="23" t="s">
        <v>82</v>
      </c>
      <c r="C55" s="49">
        <f>'Avg Week BUSITEMA-TORORO'!C55+'Avg Week TORORO-BUSITEMA'!C55</f>
        <v>4.4285714285714288</v>
      </c>
      <c r="D55" s="49">
        <f>'Avg Week BUSITEMA-TORORO'!D55+'Avg Week TORORO-BUSITEMA'!D55</f>
        <v>5.2857142857142856</v>
      </c>
      <c r="E55" s="49">
        <f>'Avg Week BUSITEMA-TORORO'!E55+'Avg Week TORORO-BUSITEMA'!E55</f>
        <v>4.4285714285714288</v>
      </c>
      <c r="F55" s="49">
        <f>'Avg Week BUSITEMA-TORORO'!F55+'Avg Week TORORO-BUSITEMA'!F55</f>
        <v>11.571428571428573</v>
      </c>
      <c r="G55" s="49">
        <f>'Avg Week BUSITEMA-TORORO'!G55+'Avg Week TORORO-BUSITEMA'!G55</f>
        <v>0.5714285714285714</v>
      </c>
      <c r="H55" s="49">
        <f>'Avg Week BUSITEMA-TORORO'!H55+'Avg Week TORORO-BUSITEMA'!H55</f>
        <v>0.14285714285714285</v>
      </c>
      <c r="I55" s="49">
        <f>'Avg Week BUSITEMA-TORORO'!I55+'Avg Week TORORO-BUSITEMA'!I55</f>
        <v>4.8571428571428577</v>
      </c>
      <c r="J55" s="49">
        <f>'Avg Week BUSITEMA-TORORO'!J55+'Avg Week TORORO-BUSITEMA'!J55</f>
        <v>1.857142857142857</v>
      </c>
      <c r="K55" s="49">
        <f>'Avg Week BUSITEMA-TORORO'!K55+'Avg Week TORORO-BUSITEMA'!K55</f>
        <v>5.5714285714285712</v>
      </c>
      <c r="L55" s="49">
        <f>'Avg Week BUSITEMA-TORORO'!L55+'Avg Week TORORO-BUSITEMA'!L55</f>
        <v>31</v>
      </c>
      <c r="M55" s="49">
        <f>'Avg Week BUSITEMA-TORORO'!M55+'Avg Week TORORO-BUSITEMA'!M55</f>
        <v>6.7142857142857135</v>
      </c>
      <c r="N55" s="49">
        <f>'Avg Week BUSITEMA-TORORO'!N55+'Avg Week TORORO-BUSITEMA'!N55</f>
        <v>0</v>
      </c>
      <c r="O55" s="15">
        <f t="shared" si="0"/>
        <v>69.714285714285722</v>
      </c>
      <c r="P55" s="15">
        <f t="shared" si="1"/>
        <v>76.428571428571431</v>
      </c>
      <c r="R55" s="8"/>
      <c r="T55"/>
    </row>
    <row r="56" spans="2:20" ht="23.1" customHeight="1" x14ac:dyDescent="0.25">
      <c r="B56" s="23" t="s">
        <v>83</v>
      </c>
      <c r="C56" s="49">
        <f>'Avg Week BUSITEMA-TORORO'!C56+'Avg Week TORORO-BUSITEMA'!C56</f>
        <v>6.4285714285714288</v>
      </c>
      <c r="D56" s="49">
        <f>'Avg Week BUSITEMA-TORORO'!D56+'Avg Week TORORO-BUSITEMA'!D56</f>
        <v>5.4285714285714288</v>
      </c>
      <c r="E56" s="49">
        <f>'Avg Week BUSITEMA-TORORO'!E56+'Avg Week TORORO-BUSITEMA'!E56</f>
        <v>2.5714285714285712</v>
      </c>
      <c r="F56" s="49">
        <f>'Avg Week BUSITEMA-TORORO'!F56+'Avg Week TORORO-BUSITEMA'!F56</f>
        <v>10.571428571428571</v>
      </c>
      <c r="G56" s="49">
        <f>'Avg Week BUSITEMA-TORORO'!G56+'Avg Week TORORO-BUSITEMA'!G56</f>
        <v>0.14285714285714285</v>
      </c>
      <c r="H56" s="49">
        <f>'Avg Week BUSITEMA-TORORO'!H56+'Avg Week TORORO-BUSITEMA'!H56</f>
        <v>0.5714285714285714</v>
      </c>
      <c r="I56" s="49">
        <f>'Avg Week BUSITEMA-TORORO'!I56+'Avg Week TORORO-BUSITEMA'!I56</f>
        <v>2.5714285714285716</v>
      </c>
      <c r="J56" s="49">
        <f>'Avg Week BUSITEMA-TORORO'!J56+'Avg Week TORORO-BUSITEMA'!J56</f>
        <v>2.2857142857142856</v>
      </c>
      <c r="K56" s="49">
        <f>'Avg Week BUSITEMA-TORORO'!K56+'Avg Week TORORO-BUSITEMA'!K56</f>
        <v>2.4285714285714284</v>
      </c>
      <c r="L56" s="49">
        <f>'Avg Week BUSITEMA-TORORO'!L56+'Avg Week TORORO-BUSITEMA'!L56</f>
        <v>23.714285714285715</v>
      </c>
      <c r="M56" s="49">
        <f>'Avg Week BUSITEMA-TORORO'!M56+'Avg Week TORORO-BUSITEMA'!M56</f>
        <v>12.428571428571429</v>
      </c>
      <c r="N56" s="49">
        <f>'Avg Week BUSITEMA-TORORO'!N56+'Avg Week TORORO-BUSITEMA'!N56</f>
        <v>0</v>
      </c>
      <c r="O56" s="15">
        <f t="shared" si="0"/>
        <v>56.714285714285715</v>
      </c>
      <c r="P56" s="15">
        <f t="shared" si="1"/>
        <v>69.142857142857139</v>
      </c>
      <c r="R56" s="8"/>
      <c r="T56"/>
    </row>
    <row r="57" spans="2:20" ht="23.1" customHeight="1" x14ac:dyDescent="0.25">
      <c r="B57" s="23" t="s">
        <v>84</v>
      </c>
      <c r="C57" s="49">
        <f>'Avg Week BUSITEMA-TORORO'!C57+'Avg Week TORORO-BUSITEMA'!C57</f>
        <v>5.8571428571428568</v>
      </c>
      <c r="D57" s="49">
        <f>'Avg Week BUSITEMA-TORORO'!D57+'Avg Week TORORO-BUSITEMA'!D57</f>
        <v>6.7142857142857153</v>
      </c>
      <c r="E57" s="49">
        <f>'Avg Week BUSITEMA-TORORO'!E57+'Avg Week TORORO-BUSITEMA'!E57</f>
        <v>5.2857142857142856</v>
      </c>
      <c r="F57" s="49">
        <f>'Avg Week BUSITEMA-TORORO'!F57+'Avg Week TORORO-BUSITEMA'!F57</f>
        <v>9</v>
      </c>
      <c r="G57" s="49">
        <f>'Avg Week BUSITEMA-TORORO'!G57+'Avg Week TORORO-BUSITEMA'!G57</f>
        <v>0.5714285714285714</v>
      </c>
      <c r="H57" s="49">
        <f>'Avg Week BUSITEMA-TORORO'!H57+'Avg Week TORORO-BUSITEMA'!H57</f>
        <v>0</v>
      </c>
      <c r="I57" s="49">
        <f>'Avg Week BUSITEMA-TORORO'!I57+'Avg Week TORORO-BUSITEMA'!I57</f>
        <v>2.4285714285714284</v>
      </c>
      <c r="J57" s="49">
        <f>'Avg Week BUSITEMA-TORORO'!J57+'Avg Week TORORO-BUSITEMA'!J57</f>
        <v>2.5714285714285712</v>
      </c>
      <c r="K57" s="49">
        <f>'Avg Week BUSITEMA-TORORO'!K57+'Avg Week TORORO-BUSITEMA'!K57</f>
        <v>2</v>
      </c>
      <c r="L57" s="49">
        <f>'Avg Week BUSITEMA-TORORO'!L57+'Avg Week TORORO-BUSITEMA'!L57</f>
        <v>20.285714285714285</v>
      </c>
      <c r="M57" s="49">
        <f>'Avg Week BUSITEMA-TORORO'!M57+'Avg Week TORORO-BUSITEMA'!M57</f>
        <v>13.428571428571427</v>
      </c>
      <c r="N57" s="49">
        <f>'Avg Week BUSITEMA-TORORO'!N57+'Avg Week TORORO-BUSITEMA'!N57</f>
        <v>0</v>
      </c>
      <c r="O57" s="15">
        <f t="shared" si="0"/>
        <v>54.714285714285715</v>
      </c>
      <c r="P57" s="15">
        <f t="shared" si="1"/>
        <v>68.142857142857139</v>
      </c>
      <c r="R57" s="8"/>
      <c r="T57"/>
    </row>
    <row r="58" spans="2:20" ht="23.1" customHeight="1" x14ac:dyDescent="0.25">
      <c r="B58" s="23" t="s">
        <v>99</v>
      </c>
      <c r="C58" s="49">
        <f>'Avg Week BUSITEMA-TORORO'!C58+'Avg Week TORORO-BUSITEMA'!C58</f>
        <v>2.5</v>
      </c>
      <c r="D58" s="49">
        <f>'Avg Week BUSITEMA-TORORO'!D58+'Avg Week TORORO-BUSITEMA'!D58</f>
        <v>2.5</v>
      </c>
      <c r="E58" s="49">
        <f>'Avg Week BUSITEMA-TORORO'!E58+'Avg Week TORORO-BUSITEMA'!E58</f>
        <v>2</v>
      </c>
      <c r="F58" s="49">
        <f>'Avg Week BUSITEMA-TORORO'!F58+'Avg Week TORORO-BUSITEMA'!F58</f>
        <v>4.5</v>
      </c>
      <c r="G58" s="49">
        <f>'Avg Week BUSITEMA-TORORO'!G58+'Avg Week TORORO-BUSITEMA'!G58</f>
        <v>0</v>
      </c>
      <c r="H58" s="49">
        <f>'Avg Week BUSITEMA-TORORO'!H58+'Avg Week TORORO-BUSITEMA'!H58</f>
        <v>0</v>
      </c>
      <c r="I58" s="49">
        <f>'Avg Week BUSITEMA-TORORO'!I58+'Avg Week TORORO-BUSITEMA'!I58</f>
        <v>1</v>
      </c>
      <c r="J58" s="49">
        <f>'Avg Week BUSITEMA-TORORO'!J58+'Avg Week TORORO-BUSITEMA'!J58</f>
        <v>2</v>
      </c>
      <c r="K58" s="49">
        <f>'Avg Week BUSITEMA-TORORO'!K58+'Avg Week TORORO-BUSITEMA'!K58</f>
        <v>0.5</v>
      </c>
      <c r="L58" s="49">
        <f>'Avg Week BUSITEMA-TORORO'!L58+'Avg Week TORORO-BUSITEMA'!L58</f>
        <v>27.5</v>
      </c>
      <c r="M58" s="49">
        <f>'Avg Week BUSITEMA-TORORO'!M58+'Avg Week TORORO-BUSITEMA'!M58</f>
        <v>10</v>
      </c>
      <c r="N58" s="49">
        <f>'Avg Week BUSITEMA-TORORO'!N58+'Avg Week TORORO-BUSITEMA'!N58</f>
        <v>0</v>
      </c>
      <c r="O58" s="15">
        <f t="shared" si="0"/>
        <v>42.5</v>
      </c>
      <c r="P58" s="15">
        <f t="shared" si="1"/>
        <v>52.5</v>
      </c>
      <c r="R58" s="8"/>
      <c r="T58"/>
    </row>
    <row r="59" spans="2:20" ht="23.1" customHeight="1" x14ac:dyDescent="0.25">
      <c r="B59" s="23" t="s">
        <v>100</v>
      </c>
      <c r="C59" s="49">
        <f>'Avg Week BUSITEMA-TORORO'!C59+'Avg Week TORORO-BUSITEMA'!C59</f>
        <v>4</v>
      </c>
      <c r="D59" s="49">
        <f>'Avg Week BUSITEMA-TORORO'!D59+'Avg Week TORORO-BUSITEMA'!D59</f>
        <v>4.5</v>
      </c>
      <c r="E59" s="49">
        <f>'Avg Week BUSITEMA-TORORO'!E59+'Avg Week TORORO-BUSITEMA'!E59</f>
        <v>1.5</v>
      </c>
      <c r="F59" s="49">
        <f>'Avg Week BUSITEMA-TORORO'!F59+'Avg Week TORORO-BUSITEMA'!F59</f>
        <v>8.5</v>
      </c>
      <c r="G59" s="49">
        <f>'Avg Week BUSITEMA-TORORO'!G59+'Avg Week TORORO-BUSITEMA'!G59</f>
        <v>0.5</v>
      </c>
      <c r="H59" s="49">
        <f>'Avg Week BUSITEMA-TORORO'!H59+'Avg Week TORORO-BUSITEMA'!H59</f>
        <v>0</v>
      </c>
      <c r="I59" s="49">
        <f>'Avg Week BUSITEMA-TORORO'!I59+'Avg Week TORORO-BUSITEMA'!I59</f>
        <v>3.5</v>
      </c>
      <c r="J59" s="49">
        <f>'Avg Week BUSITEMA-TORORO'!J59+'Avg Week TORORO-BUSITEMA'!J59</f>
        <v>1</v>
      </c>
      <c r="K59" s="49">
        <f>'Avg Week BUSITEMA-TORORO'!K59+'Avg Week TORORO-BUSITEMA'!K59</f>
        <v>2</v>
      </c>
      <c r="L59" s="49">
        <f>'Avg Week BUSITEMA-TORORO'!L59+'Avg Week TORORO-BUSITEMA'!L59</f>
        <v>29.5</v>
      </c>
      <c r="M59" s="49">
        <f>'Avg Week BUSITEMA-TORORO'!M59+'Avg Week TORORO-BUSITEMA'!M59</f>
        <v>7</v>
      </c>
      <c r="N59" s="49">
        <f>'Avg Week BUSITEMA-TORORO'!N59+'Avg Week TORORO-BUSITEMA'!N59</f>
        <v>0</v>
      </c>
      <c r="O59" s="15">
        <f t="shared" si="0"/>
        <v>55</v>
      </c>
      <c r="P59" s="15">
        <f t="shared" si="1"/>
        <v>62</v>
      </c>
      <c r="R59" s="8"/>
      <c r="T59"/>
    </row>
    <row r="60" spans="2:20" ht="23.1" customHeight="1" x14ac:dyDescent="0.25">
      <c r="B60" s="23" t="s">
        <v>101</v>
      </c>
      <c r="C60" s="49">
        <f>'Avg Week BUSITEMA-TORORO'!C60+'Avg Week TORORO-BUSITEMA'!C60</f>
        <v>3</v>
      </c>
      <c r="D60" s="49">
        <f>'Avg Week BUSITEMA-TORORO'!D60+'Avg Week TORORO-BUSITEMA'!D60</f>
        <v>3</v>
      </c>
      <c r="E60" s="49">
        <f>'Avg Week BUSITEMA-TORORO'!E60+'Avg Week TORORO-BUSITEMA'!E60</f>
        <v>3.5</v>
      </c>
      <c r="F60" s="49">
        <f>'Avg Week BUSITEMA-TORORO'!F60+'Avg Week TORORO-BUSITEMA'!F60</f>
        <v>3.5</v>
      </c>
      <c r="G60" s="49">
        <f>'Avg Week BUSITEMA-TORORO'!G60+'Avg Week TORORO-BUSITEMA'!G60</f>
        <v>0</v>
      </c>
      <c r="H60" s="49">
        <f>'Avg Week BUSITEMA-TORORO'!H60+'Avg Week TORORO-BUSITEMA'!H60</f>
        <v>0</v>
      </c>
      <c r="I60" s="49">
        <f>'Avg Week BUSITEMA-TORORO'!I60+'Avg Week TORORO-BUSITEMA'!I60</f>
        <v>1.5</v>
      </c>
      <c r="J60" s="49">
        <f>'Avg Week BUSITEMA-TORORO'!J60+'Avg Week TORORO-BUSITEMA'!J60</f>
        <v>1.5</v>
      </c>
      <c r="K60" s="49">
        <f>'Avg Week BUSITEMA-TORORO'!K60+'Avg Week TORORO-BUSITEMA'!K60</f>
        <v>3.5</v>
      </c>
      <c r="L60" s="49">
        <f>'Avg Week BUSITEMA-TORORO'!L60+'Avg Week TORORO-BUSITEMA'!L60</f>
        <v>23</v>
      </c>
      <c r="M60" s="49">
        <f>'Avg Week BUSITEMA-TORORO'!M60+'Avg Week TORORO-BUSITEMA'!M60</f>
        <v>6.5</v>
      </c>
      <c r="N60" s="49">
        <f>'Avg Week BUSITEMA-TORORO'!N60+'Avg Week TORORO-BUSITEMA'!N60</f>
        <v>0</v>
      </c>
      <c r="O60" s="15">
        <f t="shared" si="0"/>
        <v>42.5</v>
      </c>
      <c r="P60" s="15">
        <f t="shared" si="1"/>
        <v>49</v>
      </c>
      <c r="R60" s="8"/>
      <c r="T60"/>
    </row>
    <row r="61" spans="2:20" ht="23.1" customHeight="1" x14ac:dyDescent="0.25">
      <c r="B61" s="23" t="s">
        <v>102</v>
      </c>
      <c r="C61" s="49">
        <f>'Avg Week BUSITEMA-TORORO'!C61+'Avg Week TORORO-BUSITEMA'!C61</f>
        <v>4.5</v>
      </c>
      <c r="D61" s="49">
        <f>'Avg Week BUSITEMA-TORORO'!D61+'Avg Week TORORO-BUSITEMA'!D61</f>
        <v>2</v>
      </c>
      <c r="E61" s="49">
        <f>'Avg Week BUSITEMA-TORORO'!E61+'Avg Week TORORO-BUSITEMA'!E61</f>
        <v>2.5</v>
      </c>
      <c r="F61" s="49">
        <f>'Avg Week BUSITEMA-TORORO'!F61+'Avg Week TORORO-BUSITEMA'!F61</f>
        <v>9.5</v>
      </c>
      <c r="G61" s="49">
        <f>'Avg Week BUSITEMA-TORORO'!G61+'Avg Week TORORO-BUSITEMA'!G61</f>
        <v>0</v>
      </c>
      <c r="H61" s="49">
        <f>'Avg Week BUSITEMA-TORORO'!H61+'Avg Week TORORO-BUSITEMA'!H61</f>
        <v>0</v>
      </c>
      <c r="I61" s="49">
        <f>'Avg Week BUSITEMA-TORORO'!I61+'Avg Week TORORO-BUSITEMA'!I61</f>
        <v>2</v>
      </c>
      <c r="J61" s="49">
        <f>'Avg Week BUSITEMA-TORORO'!J61+'Avg Week TORORO-BUSITEMA'!J61</f>
        <v>3</v>
      </c>
      <c r="K61" s="49">
        <f>'Avg Week BUSITEMA-TORORO'!K61+'Avg Week TORORO-BUSITEMA'!K61</f>
        <v>6</v>
      </c>
      <c r="L61" s="49">
        <f>'Avg Week BUSITEMA-TORORO'!L61+'Avg Week TORORO-BUSITEMA'!L61</f>
        <v>41.5</v>
      </c>
      <c r="M61" s="49">
        <f>'Avg Week BUSITEMA-TORORO'!M61+'Avg Week TORORO-BUSITEMA'!M61</f>
        <v>2.5</v>
      </c>
      <c r="N61" s="49">
        <f>'Avg Week BUSITEMA-TORORO'!N61+'Avg Week TORORO-BUSITEMA'!N61</f>
        <v>0</v>
      </c>
      <c r="O61" s="15">
        <f t="shared" si="0"/>
        <v>71</v>
      </c>
      <c r="P61" s="15">
        <f t="shared" si="1"/>
        <v>73.5</v>
      </c>
      <c r="R61" s="8"/>
      <c r="T61"/>
    </row>
    <row r="62" spans="2:20" ht="23.1" customHeight="1" x14ac:dyDescent="0.25">
      <c r="B62" s="23" t="s">
        <v>107</v>
      </c>
      <c r="C62" s="49">
        <f>'Avg Week BUSITEMA-TORORO'!C62+'Avg Week TORORO-BUSITEMA'!C62</f>
        <v>2</v>
      </c>
      <c r="D62" s="49">
        <f>'Avg Week BUSITEMA-TORORO'!D62+'Avg Week TORORO-BUSITEMA'!D62</f>
        <v>2.5</v>
      </c>
      <c r="E62" s="49">
        <f>'Avg Week BUSITEMA-TORORO'!E62+'Avg Week TORORO-BUSITEMA'!E62</f>
        <v>1.5</v>
      </c>
      <c r="F62" s="49">
        <f>'Avg Week BUSITEMA-TORORO'!F62+'Avg Week TORORO-BUSITEMA'!F62</f>
        <v>2.5</v>
      </c>
      <c r="G62" s="49">
        <f>'Avg Week BUSITEMA-TORORO'!G62+'Avg Week TORORO-BUSITEMA'!G62</f>
        <v>0</v>
      </c>
      <c r="H62" s="49">
        <f>'Avg Week BUSITEMA-TORORO'!H62+'Avg Week TORORO-BUSITEMA'!H62</f>
        <v>1.5</v>
      </c>
      <c r="I62" s="49">
        <f>'Avg Week BUSITEMA-TORORO'!I62+'Avg Week TORORO-BUSITEMA'!I62</f>
        <v>0.5</v>
      </c>
      <c r="J62" s="49">
        <f>'Avg Week BUSITEMA-TORORO'!J62+'Avg Week TORORO-BUSITEMA'!J62</f>
        <v>1.5</v>
      </c>
      <c r="K62" s="49">
        <f>'Avg Week BUSITEMA-TORORO'!K62+'Avg Week TORORO-BUSITEMA'!K62</f>
        <v>0.5</v>
      </c>
      <c r="L62" s="49">
        <f>'Avg Week BUSITEMA-TORORO'!L62+'Avg Week TORORO-BUSITEMA'!L62</f>
        <v>19</v>
      </c>
      <c r="M62" s="49">
        <f>'Avg Week BUSITEMA-TORORO'!M62+'Avg Week TORORO-BUSITEMA'!M62</f>
        <v>2</v>
      </c>
      <c r="N62" s="49">
        <f>'Avg Week BUSITEMA-TORORO'!N62+'Avg Week TORORO-BUSITEMA'!N62</f>
        <v>0</v>
      </c>
      <c r="O62" s="15">
        <f t="shared" si="0"/>
        <v>31.5</v>
      </c>
      <c r="P62" s="15">
        <f t="shared" si="1"/>
        <v>33.5</v>
      </c>
      <c r="R62" s="8"/>
      <c r="T62"/>
    </row>
    <row r="63" spans="2:20" ht="23.1" customHeight="1" x14ac:dyDescent="0.25">
      <c r="B63" s="23" t="s">
        <v>108</v>
      </c>
      <c r="C63" s="49">
        <f>'Avg Week BUSITEMA-TORORO'!C63+'Avg Week TORORO-BUSITEMA'!C63</f>
        <v>2</v>
      </c>
      <c r="D63" s="49">
        <f>'Avg Week BUSITEMA-TORORO'!D63+'Avg Week TORORO-BUSITEMA'!D63</f>
        <v>3</v>
      </c>
      <c r="E63" s="49">
        <f>'Avg Week BUSITEMA-TORORO'!E63+'Avg Week TORORO-BUSITEMA'!E63</f>
        <v>0.5</v>
      </c>
      <c r="F63" s="49">
        <f>'Avg Week BUSITEMA-TORORO'!F63+'Avg Week TORORO-BUSITEMA'!F63</f>
        <v>2.5</v>
      </c>
      <c r="G63" s="49">
        <f>'Avg Week BUSITEMA-TORORO'!G63+'Avg Week TORORO-BUSITEMA'!G63</f>
        <v>0</v>
      </c>
      <c r="H63" s="49">
        <f>'Avg Week BUSITEMA-TORORO'!H63+'Avg Week TORORO-BUSITEMA'!H63</f>
        <v>0.5</v>
      </c>
      <c r="I63" s="49">
        <f>'Avg Week BUSITEMA-TORORO'!I63+'Avg Week TORORO-BUSITEMA'!I63</f>
        <v>0</v>
      </c>
      <c r="J63" s="49">
        <f>'Avg Week BUSITEMA-TORORO'!J63+'Avg Week TORORO-BUSITEMA'!J63</f>
        <v>3</v>
      </c>
      <c r="K63" s="49">
        <f>'Avg Week BUSITEMA-TORORO'!K63+'Avg Week TORORO-BUSITEMA'!K63</f>
        <v>0</v>
      </c>
      <c r="L63" s="49">
        <f>'Avg Week BUSITEMA-TORORO'!L63+'Avg Week TORORO-BUSITEMA'!L63</f>
        <v>32</v>
      </c>
      <c r="M63" s="49">
        <f>'Avg Week BUSITEMA-TORORO'!M63+'Avg Week TORORO-BUSITEMA'!M63</f>
        <v>2.5</v>
      </c>
      <c r="N63" s="49">
        <f>'Avg Week BUSITEMA-TORORO'!N63+'Avg Week TORORO-BUSITEMA'!N63</f>
        <v>0</v>
      </c>
      <c r="O63" s="15">
        <f t="shared" si="0"/>
        <v>43.5</v>
      </c>
      <c r="P63" s="15">
        <f t="shared" si="1"/>
        <v>46</v>
      </c>
      <c r="R63" s="8"/>
      <c r="T63"/>
    </row>
    <row r="64" spans="2:20" ht="23.1" customHeight="1" x14ac:dyDescent="0.25">
      <c r="B64" s="23" t="s">
        <v>109</v>
      </c>
      <c r="C64" s="49">
        <f>'Avg Week BUSITEMA-TORORO'!C64+'Avg Week TORORO-BUSITEMA'!C64</f>
        <v>3.5</v>
      </c>
      <c r="D64" s="49">
        <f>'Avg Week BUSITEMA-TORORO'!D64+'Avg Week TORORO-BUSITEMA'!D64</f>
        <v>3.5</v>
      </c>
      <c r="E64" s="49">
        <f>'Avg Week BUSITEMA-TORORO'!E64+'Avg Week TORORO-BUSITEMA'!E64</f>
        <v>0</v>
      </c>
      <c r="F64" s="49">
        <f>'Avg Week BUSITEMA-TORORO'!F64+'Avg Week TORORO-BUSITEMA'!F64</f>
        <v>3</v>
      </c>
      <c r="G64" s="49">
        <f>'Avg Week BUSITEMA-TORORO'!G64+'Avg Week TORORO-BUSITEMA'!G64</f>
        <v>0.5</v>
      </c>
      <c r="H64" s="49">
        <f>'Avg Week BUSITEMA-TORORO'!H64+'Avg Week TORORO-BUSITEMA'!H64</f>
        <v>0</v>
      </c>
      <c r="I64" s="49">
        <f>'Avg Week BUSITEMA-TORORO'!I64+'Avg Week TORORO-BUSITEMA'!I64</f>
        <v>1</v>
      </c>
      <c r="J64" s="49">
        <f>'Avg Week BUSITEMA-TORORO'!J64+'Avg Week TORORO-BUSITEMA'!J64</f>
        <v>4</v>
      </c>
      <c r="K64" s="49">
        <f>'Avg Week BUSITEMA-TORORO'!K64+'Avg Week TORORO-BUSITEMA'!K64</f>
        <v>1</v>
      </c>
      <c r="L64" s="49">
        <f>'Avg Week BUSITEMA-TORORO'!L64+'Avg Week TORORO-BUSITEMA'!L64</f>
        <v>28</v>
      </c>
      <c r="M64" s="49">
        <f>'Avg Week BUSITEMA-TORORO'!M64+'Avg Week TORORO-BUSITEMA'!M64</f>
        <v>1.5</v>
      </c>
      <c r="N64" s="49">
        <f>'Avg Week BUSITEMA-TORORO'!N64+'Avg Week TORORO-BUSITEMA'!N64</f>
        <v>0</v>
      </c>
      <c r="O64" s="15">
        <f t="shared" si="0"/>
        <v>44.5</v>
      </c>
      <c r="P64" s="15">
        <f t="shared" si="1"/>
        <v>46</v>
      </c>
      <c r="R64" s="8"/>
      <c r="T64"/>
    </row>
    <row r="65" spans="2:20" ht="23.1" customHeight="1" x14ac:dyDescent="0.25">
      <c r="B65" s="23" t="s">
        <v>158</v>
      </c>
      <c r="C65" s="49">
        <f>'Avg Week BUSITEMA-TORORO'!C65+'Avg Week TORORO-BUSITEMA'!C65</f>
        <v>0</v>
      </c>
      <c r="D65" s="49">
        <f>'Avg Week BUSITEMA-TORORO'!D65+'Avg Week TORORO-BUSITEMA'!D65</f>
        <v>1</v>
      </c>
      <c r="E65" s="49">
        <f>'Avg Week BUSITEMA-TORORO'!E65+'Avg Week TORORO-BUSITEMA'!E65</f>
        <v>2</v>
      </c>
      <c r="F65" s="49">
        <f>'Avg Week BUSITEMA-TORORO'!F65+'Avg Week TORORO-BUSITEMA'!F65</f>
        <v>1.5</v>
      </c>
      <c r="G65" s="49">
        <f>'Avg Week BUSITEMA-TORORO'!G65+'Avg Week TORORO-BUSITEMA'!G65</f>
        <v>0</v>
      </c>
      <c r="H65" s="49">
        <f>'Avg Week BUSITEMA-TORORO'!H65+'Avg Week TORORO-BUSITEMA'!H65</f>
        <v>0</v>
      </c>
      <c r="I65" s="49">
        <f>'Avg Week BUSITEMA-TORORO'!I65+'Avg Week TORORO-BUSITEMA'!I65</f>
        <v>0</v>
      </c>
      <c r="J65" s="49">
        <f>'Avg Week BUSITEMA-TORORO'!J65+'Avg Week TORORO-BUSITEMA'!J65</f>
        <v>1.5</v>
      </c>
      <c r="K65" s="49">
        <f>'Avg Week BUSITEMA-TORORO'!K65+'Avg Week TORORO-BUSITEMA'!K65</f>
        <v>0.5</v>
      </c>
      <c r="L65" s="49">
        <f>'Avg Week BUSITEMA-TORORO'!L65+'Avg Week TORORO-BUSITEMA'!L65</f>
        <v>16</v>
      </c>
      <c r="M65" s="49">
        <f>'Avg Week BUSITEMA-TORORO'!M65+'Avg Week TORORO-BUSITEMA'!M65</f>
        <v>1</v>
      </c>
      <c r="N65" s="49">
        <f>'Avg Week BUSITEMA-TORORO'!N65+'Avg Week TORORO-BUSITEMA'!N65</f>
        <v>0</v>
      </c>
      <c r="O65" s="15">
        <f t="shared" si="0"/>
        <v>22.5</v>
      </c>
      <c r="P65" s="15">
        <f t="shared" si="1"/>
        <v>23.5</v>
      </c>
      <c r="R65" s="8"/>
      <c r="T65"/>
    </row>
    <row r="66" spans="2:20" ht="23.1" customHeight="1" x14ac:dyDescent="0.25">
      <c r="B66" s="23" t="s">
        <v>103</v>
      </c>
      <c r="C66" s="49">
        <f>'Avg Week BUSITEMA-TORORO'!C66+'Avg Week TORORO-BUSITEMA'!C66</f>
        <v>3.5</v>
      </c>
      <c r="D66" s="49">
        <f>'Avg Week BUSITEMA-TORORO'!D66+'Avg Week TORORO-BUSITEMA'!D66</f>
        <v>3.5</v>
      </c>
      <c r="E66" s="49">
        <f>'Avg Week BUSITEMA-TORORO'!E66+'Avg Week TORORO-BUSITEMA'!E66</f>
        <v>1</v>
      </c>
      <c r="F66" s="49">
        <f>'Avg Week BUSITEMA-TORORO'!F66+'Avg Week TORORO-BUSITEMA'!F66</f>
        <v>2.5</v>
      </c>
      <c r="G66" s="49">
        <f>'Avg Week BUSITEMA-TORORO'!G66+'Avg Week TORORO-BUSITEMA'!G66</f>
        <v>0</v>
      </c>
      <c r="H66" s="49">
        <f>'Avg Week BUSITEMA-TORORO'!H66+'Avg Week TORORO-BUSITEMA'!H66</f>
        <v>0</v>
      </c>
      <c r="I66" s="49">
        <f>'Avg Week BUSITEMA-TORORO'!I66+'Avg Week TORORO-BUSITEMA'!I66</f>
        <v>1.5</v>
      </c>
      <c r="J66" s="49">
        <f>'Avg Week BUSITEMA-TORORO'!J66+'Avg Week TORORO-BUSITEMA'!J66</f>
        <v>3</v>
      </c>
      <c r="K66" s="49">
        <f>'Avg Week BUSITEMA-TORORO'!K66+'Avg Week TORORO-BUSITEMA'!K66</f>
        <v>0</v>
      </c>
      <c r="L66" s="49">
        <f>'Avg Week BUSITEMA-TORORO'!L66+'Avg Week TORORO-BUSITEMA'!L66</f>
        <v>30.5</v>
      </c>
      <c r="M66" s="49">
        <f>'Avg Week BUSITEMA-TORORO'!M66+'Avg Week TORORO-BUSITEMA'!M66</f>
        <v>3</v>
      </c>
      <c r="N66" s="49">
        <f>'Avg Week BUSITEMA-TORORO'!N66+'Avg Week TORORO-BUSITEMA'!N66</f>
        <v>0</v>
      </c>
      <c r="O66" s="15">
        <f t="shared" si="0"/>
        <v>45.5</v>
      </c>
      <c r="P66" s="15">
        <f t="shared" si="1"/>
        <v>48.5</v>
      </c>
      <c r="R66" s="8"/>
      <c r="T66"/>
    </row>
    <row r="67" spans="2:20" ht="23.1" customHeight="1" x14ac:dyDescent="0.25">
      <c r="B67" s="23" t="s">
        <v>104</v>
      </c>
      <c r="C67" s="49">
        <f>'Avg Week BUSITEMA-TORORO'!C67+'Avg Week TORORO-BUSITEMA'!C67</f>
        <v>1.5</v>
      </c>
      <c r="D67" s="49">
        <f>'Avg Week BUSITEMA-TORORO'!D67+'Avg Week TORORO-BUSITEMA'!D67</f>
        <v>4</v>
      </c>
      <c r="E67" s="49">
        <f>'Avg Week BUSITEMA-TORORO'!E67+'Avg Week TORORO-BUSITEMA'!E67</f>
        <v>0.5</v>
      </c>
      <c r="F67" s="49">
        <f>'Avg Week BUSITEMA-TORORO'!F67+'Avg Week TORORO-BUSITEMA'!F67</f>
        <v>1.5</v>
      </c>
      <c r="G67" s="49">
        <f>'Avg Week BUSITEMA-TORORO'!G67+'Avg Week TORORO-BUSITEMA'!G67</f>
        <v>0</v>
      </c>
      <c r="H67" s="49">
        <f>'Avg Week BUSITEMA-TORORO'!H67+'Avg Week TORORO-BUSITEMA'!H67</f>
        <v>0</v>
      </c>
      <c r="I67" s="49">
        <f>'Avg Week BUSITEMA-TORORO'!I67+'Avg Week TORORO-BUSITEMA'!I67</f>
        <v>0.5</v>
      </c>
      <c r="J67" s="49">
        <f>'Avg Week BUSITEMA-TORORO'!J67+'Avg Week TORORO-BUSITEMA'!J67</f>
        <v>2</v>
      </c>
      <c r="K67" s="49">
        <f>'Avg Week BUSITEMA-TORORO'!K67+'Avg Week TORORO-BUSITEMA'!K67</f>
        <v>0</v>
      </c>
      <c r="L67" s="49">
        <f>'Avg Week BUSITEMA-TORORO'!L67+'Avg Week TORORO-BUSITEMA'!L67</f>
        <v>14.5</v>
      </c>
      <c r="M67" s="49">
        <f>'Avg Week BUSITEMA-TORORO'!M67+'Avg Week TORORO-BUSITEMA'!M67</f>
        <v>2</v>
      </c>
      <c r="N67" s="49">
        <f>'Avg Week BUSITEMA-TORORO'!N67+'Avg Week TORORO-BUSITEMA'!N67</f>
        <v>0</v>
      </c>
      <c r="O67" s="15">
        <f t="shared" si="0"/>
        <v>24.5</v>
      </c>
      <c r="P67" s="15">
        <f t="shared" si="1"/>
        <v>26.5</v>
      </c>
      <c r="R67" s="8"/>
      <c r="T67"/>
    </row>
    <row r="68" spans="2:20" ht="23.1" customHeight="1" x14ac:dyDescent="0.25">
      <c r="B68" s="23" t="s">
        <v>105</v>
      </c>
      <c r="C68" s="49">
        <f>'Avg Week BUSITEMA-TORORO'!C68+'Avg Week TORORO-BUSITEMA'!C68</f>
        <v>0.5</v>
      </c>
      <c r="D68" s="49">
        <f>'Avg Week BUSITEMA-TORORO'!D68+'Avg Week TORORO-BUSITEMA'!D68</f>
        <v>1.5</v>
      </c>
      <c r="E68" s="49">
        <f>'Avg Week BUSITEMA-TORORO'!E68+'Avg Week TORORO-BUSITEMA'!E68</f>
        <v>0</v>
      </c>
      <c r="F68" s="49">
        <f>'Avg Week BUSITEMA-TORORO'!F68+'Avg Week TORORO-BUSITEMA'!F68</f>
        <v>0.5</v>
      </c>
      <c r="G68" s="49">
        <f>'Avg Week BUSITEMA-TORORO'!G68+'Avg Week TORORO-BUSITEMA'!G68</f>
        <v>0</v>
      </c>
      <c r="H68" s="49">
        <f>'Avg Week BUSITEMA-TORORO'!H68+'Avg Week TORORO-BUSITEMA'!H68</f>
        <v>0</v>
      </c>
      <c r="I68" s="49">
        <f>'Avg Week BUSITEMA-TORORO'!I68+'Avg Week TORORO-BUSITEMA'!I68</f>
        <v>0</v>
      </c>
      <c r="J68" s="49">
        <f>'Avg Week BUSITEMA-TORORO'!J68+'Avg Week TORORO-BUSITEMA'!J68</f>
        <v>1</v>
      </c>
      <c r="K68" s="49">
        <f>'Avg Week BUSITEMA-TORORO'!K68+'Avg Week TORORO-BUSITEMA'!K68</f>
        <v>0</v>
      </c>
      <c r="L68" s="49">
        <f>'Avg Week BUSITEMA-TORORO'!L68+'Avg Week TORORO-BUSITEMA'!L68</f>
        <v>13.5</v>
      </c>
      <c r="M68" s="49">
        <f>'Avg Week BUSITEMA-TORORO'!M68+'Avg Week TORORO-BUSITEMA'!M68</f>
        <v>0.5</v>
      </c>
      <c r="N68" s="49">
        <f>'Avg Week BUSITEMA-TORORO'!N68+'Avg Week TORORO-BUSITEMA'!N68</f>
        <v>0</v>
      </c>
      <c r="O68" s="15">
        <f t="shared" si="0"/>
        <v>17</v>
      </c>
      <c r="P68" s="15">
        <f t="shared" si="1"/>
        <v>17.5</v>
      </c>
      <c r="R68" s="8"/>
      <c r="T68"/>
    </row>
    <row r="69" spans="2:20" ht="23.1" customHeight="1" x14ac:dyDescent="0.25">
      <c r="B69" s="23" t="s">
        <v>106</v>
      </c>
      <c r="C69" s="49">
        <f>'Avg Week BUSITEMA-TORORO'!C69+'Avg Week TORORO-BUSITEMA'!C69</f>
        <v>3</v>
      </c>
      <c r="D69" s="49">
        <f>'Avg Week BUSITEMA-TORORO'!D69+'Avg Week TORORO-BUSITEMA'!D69</f>
        <v>1</v>
      </c>
      <c r="E69" s="49">
        <f>'Avg Week BUSITEMA-TORORO'!E69+'Avg Week TORORO-BUSITEMA'!E69</f>
        <v>1</v>
      </c>
      <c r="F69" s="49">
        <f>'Avg Week BUSITEMA-TORORO'!F69+'Avg Week TORORO-BUSITEMA'!F69</f>
        <v>1</v>
      </c>
      <c r="G69" s="49">
        <f>'Avg Week BUSITEMA-TORORO'!G69+'Avg Week TORORO-BUSITEMA'!G69</f>
        <v>0</v>
      </c>
      <c r="H69" s="49">
        <f>'Avg Week BUSITEMA-TORORO'!H69+'Avg Week TORORO-BUSITEMA'!H69</f>
        <v>0.5</v>
      </c>
      <c r="I69" s="49">
        <f>'Avg Week BUSITEMA-TORORO'!I69+'Avg Week TORORO-BUSITEMA'!I69</f>
        <v>2.5</v>
      </c>
      <c r="J69" s="49">
        <f>'Avg Week BUSITEMA-TORORO'!J69+'Avg Week TORORO-BUSITEMA'!J69</f>
        <v>0.5</v>
      </c>
      <c r="K69" s="49">
        <f>'Avg Week BUSITEMA-TORORO'!K69+'Avg Week TORORO-BUSITEMA'!K69</f>
        <v>8</v>
      </c>
      <c r="L69" s="49">
        <f>'Avg Week BUSITEMA-TORORO'!L69+'Avg Week TORORO-BUSITEMA'!L69</f>
        <v>37</v>
      </c>
      <c r="M69" s="49">
        <f>'Avg Week BUSITEMA-TORORO'!M69+'Avg Week TORORO-BUSITEMA'!M69</f>
        <v>1</v>
      </c>
      <c r="N69" s="49">
        <f>'Avg Week BUSITEMA-TORORO'!N69+'Avg Week TORORO-BUSITEMA'!N69</f>
        <v>0</v>
      </c>
      <c r="O69" s="15">
        <f t="shared" si="0"/>
        <v>54.5</v>
      </c>
      <c r="P69" s="15">
        <f t="shared" si="1"/>
        <v>55.5</v>
      </c>
      <c r="R69" s="8"/>
      <c r="T69"/>
    </row>
    <row r="70" spans="2:20" ht="23.1" customHeight="1" x14ac:dyDescent="0.25">
      <c r="B70" s="23" t="s">
        <v>110</v>
      </c>
      <c r="C70" s="49">
        <f>'Avg Week BUSITEMA-TORORO'!C70+'Avg Week TORORO-BUSITEMA'!C70</f>
        <v>2.5</v>
      </c>
      <c r="D70" s="49">
        <f>'Avg Week BUSITEMA-TORORO'!D70+'Avg Week TORORO-BUSITEMA'!D70</f>
        <v>0.5</v>
      </c>
      <c r="E70" s="49">
        <f>'Avg Week BUSITEMA-TORORO'!E70+'Avg Week TORORO-BUSITEMA'!E70</f>
        <v>0.5</v>
      </c>
      <c r="F70" s="49">
        <f>'Avg Week BUSITEMA-TORORO'!F70+'Avg Week TORORO-BUSITEMA'!F70</f>
        <v>3</v>
      </c>
      <c r="G70" s="49">
        <f>'Avg Week BUSITEMA-TORORO'!G70+'Avg Week TORORO-BUSITEMA'!G70</f>
        <v>0</v>
      </c>
      <c r="H70" s="49">
        <f>'Avg Week BUSITEMA-TORORO'!H70+'Avg Week TORORO-BUSITEMA'!H70</f>
        <v>0</v>
      </c>
      <c r="I70" s="49">
        <f>'Avg Week BUSITEMA-TORORO'!I70+'Avg Week TORORO-BUSITEMA'!I70</f>
        <v>0</v>
      </c>
      <c r="J70" s="49">
        <f>'Avg Week BUSITEMA-TORORO'!J70+'Avg Week TORORO-BUSITEMA'!J70</f>
        <v>2</v>
      </c>
      <c r="K70" s="49">
        <f>'Avg Week BUSITEMA-TORORO'!K70+'Avg Week TORORO-BUSITEMA'!K70</f>
        <v>0.5</v>
      </c>
      <c r="L70" s="49">
        <f>'Avg Week BUSITEMA-TORORO'!L70+'Avg Week TORORO-BUSITEMA'!L70</f>
        <v>17</v>
      </c>
      <c r="M70" s="49">
        <f>'Avg Week BUSITEMA-TORORO'!M70+'Avg Week TORORO-BUSITEMA'!M70</f>
        <v>1</v>
      </c>
      <c r="N70" s="49">
        <f>'Avg Week BUSITEMA-TORORO'!N70+'Avg Week TORORO-BUSITEMA'!N70</f>
        <v>0</v>
      </c>
      <c r="O70" s="15">
        <f t="shared" si="0"/>
        <v>26</v>
      </c>
      <c r="P70" s="15">
        <f t="shared" si="1"/>
        <v>27</v>
      </c>
      <c r="R70" s="8"/>
      <c r="T70"/>
    </row>
    <row r="71" spans="2:20" ht="23.1" customHeight="1" x14ac:dyDescent="0.25">
      <c r="B71" s="23" t="s">
        <v>111</v>
      </c>
      <c r="C71" s="49">
        <f>'Avg Week BUSITEMA-TORORO'!C71+'Avg Week TORORO-BUSITEMA'!C71</f>
        <v>1.5</v>
      </c>
      <c r="D71" s="49">
        <f>'Avg Week BUSITEMA-TORORO'!D71+'Avg Week TORORO-BUSITEMA'!D71</f>
        <v>2</v>
      </c>
      <c r="E71" s="49">
        <f>'Avg Week BUSITEMA-TORORO'!E71+'Avg Week TORORO-BUSITEMA'!E71</f>
        <v>0</v>
      </c>
      <c r="F71" s="49">
        <f>'Avg Week BUSITEMA-TORORO'!F71+'Avg Week TORORO-BUSITEMA'!F71</f>
        <v>1.5</v>
      </c>
      <c r="G71" s="49">
        <f>'Avg Week BUSITEMA-TORORO'!G71+'Avg Week TORORO-BUSITEMA'!G71</f>
        <v>0</v>
      </c>
      <c r="H71" s="49">
        <f>'Avg Week BUSITEMA-TORORO'!H71+'Avg Week TORORO-BUSITEMA'!H71</f>
        <v>0.5</v>
      </c>
      <c r="I71" s="49">
        <f>'Avg Week BUSITEMA-TORORO'!I71+'Avg Week TORORO-BUSITEMA'!I71</f>
        <v>0.5</v>
      </c>
      <c r="J71" s="49">
        <f>'Avg Week BUSITEMA-TORORO'!J71+'Avg Week TORORO-BUSITEMA'!J71</f>
        <v>2.5</v>
      </c>
      <c r="K71" s="49">
        <f>'Avg Week BUSITEMA-TORORO'!K71+'Avg Week TORORO-BUSITEMA'!K71</f>
        <v>0</v>
      </c>
      <c r="L71" s="49">
        <f>'Avg Week BUSITEMA-TORORO'!L71+'Avg Week TORORO-BUSITEMA'!L71</f>
        <v>11</v>
      </c>
      <c r="M71" s="49">
        <f>'Avg Week BUSITEMA-TORORO'!M71+'Avg Week TORORO-BUSITEMA'!M71</f>
        <v>8</v>
      </c>
      <c r="N71" s="49">
        <f>'Avg Week BUSITEMA-TORORO'!N71+'Avg Week TORORO-BUSITEMA'!N71</f>
        <v>0</v>
      </c>
      <c r="O71" s="15">
        <f t="shared" si="0"/>
        <v>19.5</v>
      </c>
      <c r="P71" s="15">
        <f t="shared" si="1"/>
        <v>27.5</v>
      </c>
      <c r="R71" s="8"/>
      <c r="T71"/>
    </row>
    <row r="72" spans="2:20" ht="23.1" customHeight="1" x14ac:dyDescent="0.25">
      <c r="B72" s="23" t="s">
        <v>112</v>
      </c>
      <c r="C72" s="49">
        <f>'Avg Week BUSITEMA-TORORO'!C72+'Avg Week TORORO-BUSITEMA'!C72</f>
        <v>0</v>
      </c>
      <c r="D72" s="49">
        <f>'Avg Week BUSITEMA-TORORO'!D72+'Avg Week TORORO-BUSITEMA'!D72</f>
        <v>0.5</v>
      </c>
      <c r="E72" s="49">
        <f>'Avg Week BUSITEMA-TORORO'!E72+'Avg Week TORORO-BUSITEMA'!E72</f>
        <v>0</v>
      </c>
      <c r="F72" s="49">
        <f>'Avg Week BUSITEMA-TORORO'!F72+'Avg Week TORORO-BUSITEMA'!F72</f>
        <v>4.5</v>
      </c>
      <c r="G72" s="49">
        <f>'Avg Week BUSITEMA-TORORO'!G72+'Avg Week TORORO-BUSITEMA'!G72</f>
        <v>0</v>
      </c>
      <c r="H72" s="49">
        <f>'Avg Week BUSITEMA-TORORO'!H72+'Avg Week TORORO-BUSITEMA'!H72</f>
        <v>0</v>
      </c>
      <c r="I72" s="49">
        <f>'Avg Week BUSITEMA-TORORO'!I72+'Avg Week TORORO-BUSITEMA'!I72</f>
        <v>0.5</v>
      </c>
      <c r="J72" s="49">
        <f>'Avg Week BUSITEMA-TORORO'!J72+'Avg Week TORORO-BUSITEMA'!J72</f>
        <v>5</v>
      </c>
      <c r="K72" s="49">
        <f>'Avg Week BUSITEMA-TORORO'!K72+'Avg Week TORORO-BUSITEMA'!K72</f>
        <v>0</v>
      </c>
      <c r="L72" s="49">
        <f>'Avg Week BUSITEMA-TORORO'!L72+'Avg Week TORORO-BUSITEMA'!L72</f>
        <v>12.5</v>
      </c>
      <c r="M72" s="49">
        <f>'Avg Week BUSITEMA-TORORO'!M72+'Avg Week TORORO-BUSITEMA'!M72</f>
        <v>5.5</v>
      </c>
      <c r="N72" s="49">
        <f>'Avg Week BUSITEMA-TORORO'!N72+'Avg Week TORORO-BUSITEMA'!N72</f>
        <v>0</v>
      </c>
      <c r="O72" s="15">
        <f t="shared" si="0"/>
        <v>23</v>
      </c>
      <c r="P72" s="15">
        <f t="shared" si="1"/>
        <v>28.5</v>
      </c>
      <c r="R72" s="8"/>
      <c r="T72"/>
    </row>
    <row r="73" spans="2:20" ht="23.1" customHeight="1" x14ac:dyDescent="0.25">
      <c r="B73" s="23" t="s">
        <v>113</v>
      </c>
      <c r="C73" s="49">
        <f>'Avg Week BUSITEMA-TORORO'!C73+'Avg Week TORORO-BUSITEMA'!C73</f>
        <v>0.5</v>
      </c>
      <c r="D73" s="49">
        <f>'Avg Week BUSITEMA-TORORO'!D73+'Avg Week TORORO-BUSITEMA'!D73</f>
        <v>0</v>
      </c>
      <c r="E73" s="49">
        <f>'Avg Week BUSITEMA-TORORO'!E73+'Avg Week TORORO-BUSITEMA'!E73</f>
        <v>0.5</v>
      </c>
      <c r="F73" s="49">
        <f>'Avg Week BUSITEMA-TORORO'!F73+'Avg Week TORORO-BUSITEMA'!F73</f>
        <v>1</v>
      </c>
      <c r="G73" s="49">
        <f>'Avg Week BUSITEMA-TORORO'!G73+'Avg Week TORORO-BUSITEMA'!G73</f>
        <v>0</v>
      </c>
      <c r="H73" s="49">
        <f>'Avg Week BUSITEMA-TORORO'!H73+'Avg Week TORORO-BUSITEMA'!H73</f>
        <v>0</v>
      </c>
      <c r="I73" s="49">
        <f>'Avg Week BUSITEMA-TORORO'!I73+'Avg Week TORORO-BUSITEMA'!I73</f>
        <v>0</v>
      </c>
      <c r="J73" s="49">
        <f>'Avg Week BUSITEMA-TORORO'!J73+'Avg Week TORORO-BUSITEMA'!J73</f>
        <v>2</v>
      </c>
      <c r="K73" s="49">
        <f>'Avg Week BUSITEMA-TORORO'!K73+'Avg Week TORORO-BUSITEMA'!K73</f>
        <v>0</v>
      </c>
      <c r="L73" s="49">
        <f>'Avg Week BUSITEMA-TORORO'!L73+'Avg Week TORORO-BUSITEMA'!L73</f>
        <v>9</v>
      </c>
      <c r="M73" s="49">
        <f>'Avg Week BUSITEMA-TORORO'!M73+'Avg Week TORORO-BUSITEMA'!M73</f>
        <v>11</v>
      </c>
      <c r="N73" s="49">
        <f>'Avg Week BUSITEMA-TORORO'!N73+'Avg Week TORORO-BUSITEMA'!N73</f>
        <v>0</v>
      </c>
      <c r="O73" s="15">
        <f t="shared" si="0"/>
        <v>13</v>
      </c>
      <c r="P73" s="15">
        <f t="shared" si="1"/>
        <v>24</v>
      </c>
      <c r="R73" s="8"/>
      <c r="T73"/>
    </row>
    <row r="74" spans="2:20" ht="23.1" customHeight="1" x14ac:dyDescent="0.25">
      <c r="B74" s="23" t="s">
        <v>114</v>
      </c>
      <c r="C74" s="49">
        <f>'Avg Week BUSITEMA-TORORO'!C74+'Avg Week TORORO-BUSITEMA'!C74</f>
        <v>0.5</v>
      </c>
      <c r="D74" s="49">
        <f>'Avg Week BUSITEMA-TORORO'!D74+'Avg Week TORORO-BUSITEMA'!D74</f>
        <v>3</v>
      </c>
      <c r="E74" s="49">
        <f>'Avg Week BUSITEMA-TORORO'!E74+'Avg Week TORORO-BUSITEMA'!E74</f>
        <v>2</v>
      </c>
      <c r="F74" s="49">
        <f>'Avg Week BUSITEMA-TORORO'!F74+'Avg Week TORORO-BUSITEMA'!F74</f>
        <v>0</v>
      </c>
      <c r="G74" s="49">
        <f>'Avg Week BUSITEMA-TORORO'!G74+'Avg Week TORORO-BUSITEMA'!G74</f>
        <v>0</v>
      </c>
      <c r="H74" s="49">
        <f>'Avg Week BUSITEMA-TORORO'!H74+'Avg Week TORORO-BUSITEMA'!H74</f>
        <v>0</v>
      </c>
      <c r="I74" s="49">
        <f>'Avg Week BUSITEMA-TORORO'!I74+'Avg Week TORORO-BUSITEMA'!I74</f>
        <v>0</v>
      </c>
      <c r="J74" s="49">
        <f>'Avg Week BUSITEMA-TORORO'!J74+'Avg Week TORORO-BUSITEMA'!J74</f>
        <v>0</v>
      </c>
      <c r="K74" s="49">
        <f>'Avg Week BUSITEMA-TORORO'!K74+'Avg Week TORORO-BUSITEMA'!K74</f>
        <v>0.5</v>
      </c>
      <c r="L74" s="49">
        <f>'Avg Week BUSITEMA-TORORO'!L74+'Avg Week TORORO-BUSITEMA'!L74</f>
        <v>26.5</v>
      </c>
      <c r="M74" s="49">
        <f>'Avg Week BUSITEMA-TORORO'!M74+'Avg Week TORORO-BUSITEMA'!M74</f>
        <v>0</v>
      </c>
      <c r="N74" s="49">
        <f>'Avg Week BUSITEMA-TORORO'!N74+'Avg Week TORORO-BUSITEMA'!N74</f>
        <v>0</v>
      </c>
      <c r="O74" s="15">
        <f t="shared" ref="O74:O105" si="35">SUM(C74:L74,N74)</f>
        <v>32.5</v>
      </c>
      <c r="P74" s="15">
        <f t="shared" ref="P74:P105" si="36">SUM(C74:N74)</f>
        <v>32.5</v>
      </c>
      <c r="R74" s="8"/>
      <c r="T74"/>
    </row>
    <row r="75" spans="2:20" ht="23.1" customHeight="1" x14ac:dyDescent="0.25">
      <c r="B75" s="23" t="s">
        <v>115</v>
      </c>
      <c r="C75" s="49">
        <f>'Avg Week BUSITEMA-TORORO'!C75+'Avg Week TORORO-BUSITEMA'!C75</f>
        <v>0.5</v>
      </c>
      <c r="D75" s="49">
        <f>'Avg Week BUSITEMA-TORORO'!D75+'Avg Week TORORO-BUSITEMA'!D75</f>
        <v>1.5</v>
      </c>
      <c r="E75" s="49">
        <f>'Avg Week BUSITEMA-TORORO'!E75+'Avg Week TORORO-BUSITEMA'!E75</f>
        <v>0</v>
      </c>
      <c r="F75" s="49">
        <f>'Avg Week BUSITEMA-TORORO'!F75+'Avg Week TORORO-BUSITEMA'!F75</f>
        <v>0.5</v>
      </c>
      <c r="G75" s="49">
        <f>'Avg Week BUSITEMA-TORORO'!G75+'Avg Week TORORO-BUSITEMA'!G75</f>
        <v>0</v>
      </c>
      <c r="H75" s="49">
        <f>'Avg Week BUSITEMA-TORORO'!H75+'Avg Week TORORO-BUSITEMA'!H75</f>
        <v>0</v>
      </c>
      <c r="I75" s="49">
        <f>'Avg Week BUSITEMA-TORORO'!I75+'Avg Week TORORO-BUSITEMA'!I75</f>
        <v>0</v>
      </c>
      <c r="J75" s="49">
        <f>'Avg Week BUSITEMA-TORORO'!J75+'Avg Week TORORO-BUSITEMA'!J75</f>
        <v>0.5</v>
      </c>
      <c r="K75" s="49">
        <f>'Avg Week BUSITEMA-TORORO'!K75+'Avg Week TORORO-BUSITEMA'!K75</f>
        <v>0</v>
      </c>
      <c r="L75" s="49">
        <f>'Avg Week BUSITEMA-TORORO'!L75+'Avg Week TORORO-BUSITEMA'!L75</f>
        <v>11.5</v>
      </c>
      <c r="M75" s="49">
        <f>'Avg Week BUSITEMA-TORORO'!M75+'Avg Week TORORO-BUSITEMA'!M75</f>
        <v>2</v>
      </c>
      <c r="N75" s="49">
        <f>'Avg Week BUSITEMA-TORORO'!N75+'Avg Week TORORO-BUSITEMA'!N75</f>
        <v>0</v>
      </c>
      <c r="O75" s="15">
        <f t="shared" si="35"/>
        <v>14.5</v>
      </c>
      <c r="P75" s="15">
        <f t="shared" si="36"/>
        <v>16.5</v>
      </c>
      <c r="R75" s="8"/>
      <c r="T75"/>
    </row>
    <row r="76" spans="2:20" ht="23.1" customHeight="1" x14ac:dyDescent="0.25">
      <c r="B76" s="23" t="s">
        <v>116</v>
      </c>
      <c r="C76" s="49">
        <f>'Avg Week BUSITEMA-TORORO'!C76+'Avg Week TORORO-BUSITEMA'!C76</f>
        <v>0</v>
      </c>
      <c r="D76" s="49">
        <f>'Avg Week BUSITEMA-TORORO'!D76+'Avg Week TORORO-BUSITEMA'!D76</f>
        <v>0.5</v>
      </c>
      <c r="E76" s="49">
        <f>'Avg Week BUSITEMA-TORORO'!E76+'Avg Week TORORO-BUSITEMA'!E76</f>
        <v>0</v>
      </c>
      <c r="F76" s="49">
        <f>'Avg Week BUSITEMA-TORORO'!F76+'Avg Week TORORO-BUSITEMA'!F76</f>
        <v>0</v>
      </c>
      <c r="G76" s="49">
        <f>'Avg Week BUSITEMA-TORORO'!G76+'Avg Week TORORO-BUSITEMA'!G76</f>
        <v>0</v>
      </c>
      <c r="H76" s="49">
        <f>'Avg Week BUSITEMA-TORORO'!H76+'Avg Week TORORO-BUSITEMA'!H76</f>
        <v>0</v>
      </c>
      <c r="I76" s="49">
        <f>'Avg Week BUSITEMA-TORORO'!I76+'Avg Week TORORO-BUSITEMA'!I76</f>
        <v>0</v>
      </c>
      <c r="J76" s="49">
        <f>'Avg Week BUSITEMA-TORORO'!J76+'Avg Week TORORO-BUSITEMA'!J76</f>
        <v>0</v>
      </c>
      <c r="K76" s="49">
        <f>'Avg Week BUSITEMA-TORORO'!K76+'Avg Week TORORO-BUSITEMA'!K76</f>
        <v>0</v>
      </c>
      <c r="L76" s="49">
        <f>'Avg Week BUSITEMA-TORORO'!L76+'Avg Week TORORO-BUSITEMA'!L76</f>
        <v>12</v>
      </c>
      <c r="M76" s="49">
        <f>'Avg Week BUSITEMA-TORORO'!M76+'Avg Week TORORO-BUSITEMA'!M76</f>
        <v>1</v>
      </c>
      <c r="N76" s="49">
        <f>'Avg Week BUSITEMA-TORORO'!N76+'Avg Week TORORO-BUSITEMA'!N76</f>
        <v>0</v>
      </c>
      <c r="O76" s="15">
        <f t="shared" si="35"/>
        <v>12.5</v>
      </c>
      <c r="P76" s="15">
        <f t="shared" si="36"/>
        <v>13.5</v>
      </c>
      <c r="R76" s="8"/>
      <c r="T76"/>
    </row>
    <row r="77" spans="2:20" ht="23.1" customHeight="1" x14ac:dyDescent="0.25">
      <c r="B77" s="23" t="s">
        <v>117</v>
      </c>
      <c r="C77" s="49">
        <f>'Avg Week BUSITEMA-TORORO'!C77+'Avg Week TORORO-BUSITEMA'!C77</f>
        <v>0.5</v>
      </c>
      <c r="D77" s="49">
        <f>'Avg Week BUSITEMA-TORORO'!D77+'Avg Week TORORO-BUSITEMA'!D77</f>
        <v>0.5</v>
      </c>
      <c r="E77" s="49">
        <f>'Avg Week BUSITEMA-TORORO'!E77+'Avg Week TORORO-BUSITEMA'!E77</f>
        <v>0.5</v>
      </c>
      <c r="F77" s="49">
        <f>'Avg Week BUSITEMA-TORORO'!F77+'Avg Week TORORO-BUSITEMA'!F77</f>
        <v>0.5</v>
      </c>
      <c r="G77" s="49">
        <f>'Avg Week BUSITEMA-TORORO'!G77+'Avg Week TORORO-BUSITEMA'!G77</f>
        <v>0</v>
      </c>
      <c r="H77" s="49">
        <f>'Avg Week BUSITEMA-TORORO'!H77+'Avg Week TORORO-BUSITEMA'!H77</f>
        <v>0</v>
      </c>
      <c r="I77" s="49">
        <f>'Avg Week BUSITEMA-TORORO'!I77+'Avg Week TORORO-BUSITEMA'!I77</f>
        <v>0</v>
      </c>
      <c r="J77" s="49">
        <f>'Avg Week BUSITEMA-TORORO'!J77+'Avg Week TORORO-BUSITEMA'!J77</f>
        <v>1</v>
      </c>
      <c r="K77" s="49">
        <f>'Avg Week BUSITEMA-TORORO'!K77+'Avg Week TORORO-BUSITEMA'!K77</f>
        <v>0</v>
      </c>
      <c r="L77" s="49">
        <f>'Avg Week BUSITEMA-TORORO'!L77+'Avg Week TORORO-BUSITEMA'!L77</f>
        <v>5</v>
      </c>
      <c r="M77" s="49">
        <f>'Avg Week BUSITEMA-TORORO'!M77+'Avg Week TORORO-BUSITEMA'!M77</f>
        <v>14.5</v>
      </c>
      <c r="N77" s="49">
        <f>'Avg Week BUSITEMA-TORORO'!N77+'Avg Week TORORO-BUSITEMA'!N77</f>
        <v>0</v>
      </c>
      <c r="O77" s="15">
        <f t="shared" si="35"/>
        <v>8</v>
      </c>
      <c r="P77" s="15">
        <f t="shared" si="36"/>
        <v>22.5</v>
      </c>
      <c r="R77" s="8"/>
      <c r="T77"/>
    </row>
    <row r="78" spans="2:20" ht="23.1" customHeight="1" x14ac:dyDescent="0.25">
      <c r="B78" s="24" t="s">
        <v>118</v>
      </c>
      <c r="C78" s="49">
        <f>'Avg Week BUSITEMA-TORORO'!C78+'Avg Week TORORO-BUSITEMA'!C78</f>
        <v>0</v>
      </c>
      <c r="D78" s="49">
        <f>'Avg Week BUSITEMA-TORORO'!D78+'Avg Week TORORO-BUSITEMA'!D78</f>
        <v>0.5</v>
      </c>
      <c r="E78" s="49">
        <f>'Avg Week BUSITEMA-TORORO'!E78+'Avg Week TORORO-BUSITEMA'!E78</f>
        <v>1</v>
      </c>
      <c r="F78" s="49">
        <f>'Avg Week BUSITEMA-TORORO'!F78+'Avg Week TORORO-BUSITEMA'!F78</f>
        <v>1</v>
      </c>
      <c r="G78" s="49">
        <f>'Avg Week BUSITEMA-TORORO'!G78+'Avg Week TORORO-BUSITEMA'!G78</f>
        <v>0</v>
      </c>
      <c r="H78" s="49">
        <f>'Avg Week BUSITEMA-TORORO'!H78+'Avg Week TORORO-BUSITEMA'!H78</f>
        <v>0</v>
      </c>
      <c r="I78" s="49">
        <f>'Avg Week BUSITEMA-TORORO'!I78+'Avg Week TORORO-BUSITEMA'!I78</f>
        <v>0</v>
      </c>
      <c r="J78" s="49">
        <f>'Avg Week BUSITEMA-TORORO'!J78+'Avg Week TORORO-BUSITEMA'!J78</f>
        <v>1.5</v>
      </c>
      <c r="K78" s="49">
        <f>'Avg Week BUSITEMA-TORORO'!K78+'Avg Week TORORO-BUSITEMA'!K78</f>
        <v>0</v>
      </c>
      <c r="L78" s="49">
        <f>'Avg Week BUSITEMA-TORORO'!L78+'Avg Week TORORO-BUSITEMA'!L78</f>
        <v>6</v>
      </c>
      <c r="M78" s="49">
        <f>'Avg Week BUSITEMA-TORORO'!M78+'Avg Week TORORO-BUSITEMA'!M78</f>
        <v>11.5</v>
      </c>
      <c r="N78" s="49">
        <f>'Avg Week BUSITEMA-TORORO'!N78+'Avg Week TORORO-BUSITEMA'!N78</f>
        <v>0</v>
      </c>
      <c r="O78" s="15">
        <f t="shared" si="35"/>
        <v>10</v>
      </c>
      <c r="P78" s="15">
        <f t="shared" si="36"/>
        <v>21.5</v>
      </c>
      <c r="R78" s="8"/>
      <c r="T78"/>
    </row>
    <row r="79" spans="2:20" ht="23.1" customHeight="1" x14ac:dyDescent="0.25">
      <c r="B79" s="23" t="s">
        <v>119</v>
      </c>
      <c r="C79" s="49">
        <f>'Avg Week BUSITEMA-TORORO'!C79+'Avg Week TORORO-BUSITEMA'!C79</f>
        <v>0</v>
      </c>
      <c r="D79" s="49">
        <f>'Avg Week BUSITEMA-TORORO'!D79+'Avg Week TORORO-BUSITEMA'!D79</f>
        <v>0.5</v>
      </c>
      <c r="E79" s="49">
        <f>'Avg Week BUSITEMA-TORORO'!E79+'Avg Week TORORO-BUSITEMA'!E79</f>
        <v>0</v>
      </c>
      <c r="F79" s="49">
        <f>'Avg Week BUSITEMA-TORORO'!F79+'Avg Week TORORO-BUSITEMA'!F79</f>
        <v>0</v>
      </c>
      <c r="G79" s="49">
        <f>'Avg Week BUSITEMA-TORORO'!G79+'Avg Week TORORO-BUSITEMA'!G79</f>
        <v>0</v>
      </c>
      <c r="H79" s="49">
        <f>'Avg Week BUSITEMA-TORORO'!H79+'Avg Week TORORO-BUSITEMA'!H79</f>
        <v>0.5</v>
      </c>
      <c r="I79" s="49">
        <f>'Avg Week BUSITEMA-TORORO'!I79+'Avg Week TORORO-BUSITEMA'!I79</f>
        <v>1</v>
      </c>
      <c r="J79" s="49">
        <f>'Avg Week BUSITEMA-TORORO'!J79+'Avg Week TORORO-BUSITEMA'!J79</f>
        <v>0.5</v>
      </c>
      <c r="K79" s="49">
        <f>'Avg Week BUSITEMA-TORORO'!K79+'Avg Week TORORO-BUSITEMA'!K79</f>
        <v>0</v>
      </c>
      <c r="L79" s="49">
        <f>'Avg Week BUSITEMA-TORORO'!L79+'Avg Week TORORO-BUSITEMA'!L79</f>
        <v>5</v>
      </c>
      <c r="M79" s="49">
        <f>'Avg Week BUSITEMA-TORORO'!M79+'Avg Week TORORO-BUSITEMA'!M79</f>
        <v>17</v>
      </c>
      <c r="N79" s="49">
        <f>'Avg Week BUSITEMA-TORORO'!N79+'Avg Week TORORO-BUSITEMA'!N79</f>
        <v>0</v>
      </c>
      <c r="O79" s="15">
        <f t="shared" si="35"/>
        <v>7.5</v>
      </c>
      <c r="P79" s="15">
        <f t="shared" si="36"/>
        <v>24.5</v>
      </c>
      <c r="R79" s="8"/>
      <c r="T79"/>
    </row>
    <row r="80" spans="2:20" ht="23.1" customHeight="1" x14ac:dyDescent="0.25">
      <c r="B80" s="25" t="s">
        <v>120</v>
      </c>
      <c r="C80" s="49">
        <f>'Avg Week BUSITEMA-TORORO'!C80+'Avg Week TORORO-BUSITEMA'!C80</f>
        <v>0</v>
      </c>
      <c r="D80" s="49">
        <f>'Avg Week BUSITEMA-TORORO'!D80+'Avg Week TORORO-BUSITEMA'!D80</f>
        <v>0.5</v>
      </c>
      <c r="E80" s="49">
        <f>'Avg Week BUSITEMA-TORORO'!E80+'Avg Week TORORO-BUSITEMA'!E80</f>
        <v>0</v>
      </c>
      <c r="F80" s="49">
        <f>'Avg Week BUSITEMA-TORORO'!F80+'Avg Week TORORO-BUSITEMA'!F80</f>
        <v>0</v>
      </c>
      <c r="G80" s="49">
        <f>'Avg Week BUSITEMA-TORORO'!G80+'Avg Week TORORO-BUSITEMA'!G80</f>
        <v>0</v>
      </c>
      <c r="H80" s="49">
        <f>'Avg Week BUSITEMA-TORORO'!H80+'Avg Week TORORO-BUSITEMA'!H80</f>
        <v>0</v>
      </c>
      <c r="I80" s="49">
        <f>'Avg Week BUSITEMA-TORORO'!I80+'Avg Week TORORO-BUSITEMA'!I80</f>
        <v>0</v>
      </c>
      <c r="J80" s="49">
        <f>'Avg Week BUSITEMA-TORORO'!J80+'Avg Week TORORO-BUSITEMA'!J80</f>
        <v>2</v>
      </c>
      <c r="K80" s="49">
        <f>'Avg Week BUSITEMA-TORORO'!K80+'Avg Week TORORO-BUSITEMA'!K80</f>
        <v>0</v>
      </c>
      <c r="L80" s="49">
        <f>'Avg Week BUSITEMA-TORORO'!L80+'Avg Week TORORO-BUSITEMA'!L80</f>
        <v>8.5</v>
      </c>
      <c r="M80" s="49">
        <f>'Avg Week BUSITEMA-TORORO'!M80+'Avg Week TORORO-BUSITEMA'!M80</f>
        <v>10.5</v>
      </c>
      <c r="N80" s="49">
        <f>'Avg Week BUSITEMA-TORORO'!N80+'Avg Week TORORO-BUSITEMA'!N80</f>
        <v>0</v>
      </c>
      <c r="O80" s="15">
        <f t="shared" si="35"/>
        <v>11</v>
      </c>
      <c r="P80" s="15">
        <f t="shared" si="36"/>
        <v>21.5</v>
      </c>
      <c r="R80" s="8"/>
      <c r="T80"/>
    </row>
    <row r="81" spans="2:20" ht="23.1" customHeight="1" x14ac:dyDescent="0.25">
      <c r="B81" s="23" t="s">
        <v>121</v>
      </c>
      <c r="C81" s="49">
        <f>'Avg Week BUSITEMA-TORORO'!C81+'Avg Week TORORO-BUSITEMA'!C81</f>
        <v>0</v>
      </c>
      <c r="D81" s="49">
        <f>'Avg Week BUSITEMA-TORORO'!D81+'Avg Week TORORO-BUSITEMA'!D81</f>
        <v>0.5</v>
      </c>
      <c r="E81" s="49">
        <f>'Avg Week BUSITEMA-TORORO'!E81+'Avg Week TORORO-BUSITEMA'!E81</f>
        <v>0</v>
      </c>
      <c r="F81" s="49">
        <f>'Avg Week BUSITEMA-TORORO'!F81+'Avg Week TORORO-BUSITEMA'!F81</f>
        <v>0.5</v>
      </c>
      <c r="G81" s="49">
        <f>'Avg Week BUSITEMA-TORORO'!G81+'Avg Week TORORO-BUSITEMA'!G81</f>
        <v>0</v>
      </c>
      <c r="H81" s="49">
        <f>'Avg Week BUSITEMA-TORORO'!H81+'Avg Week TORORO-BUSITEMA'!H81</f>
        <v>0</v>
      </c>
      <c r="I81" s="49">
        <f>'Avg Week BUSITEMA-TORORO'!I81+'Avg Week TORORO-BUSITEMA'!I81</f>
        <v>0.5</v>
      </c>
      <c r="J81" s="49">
        <f>'Avg Week BUSITEMA-TORORO'!J81+'Avg Week TORORO-BUSITEMA'!J81</f>
        <v>0.5</v>
      </c>
      <c r="K81" s="49">
        <f>'Avg Week BUSITEMA-TORORO'!K81+'Avg Week TORORO-BUSITEMA'!K81</f>
        <v>0</v>
      </c>
      <c r="L81" s="49">
        <f>'Avg Week BUSITEMA-TORORO'!L81+'Avg Week TORORO-BUSITEMA'!L81</f>
        <v>8.5</v>
      </c>
      <c r="M81" s="49">
        <f>'Avg Week BUSITEMA-TORORO'!M81+'Avg Week TORORO-BUSITEMA'!M81</f>
        <v>4</v>
      </c>
      <c r="N81" s="49">
        <f>'Avg Week BUSITEMA-TORORO'!N81+'Avg Week TORORO-BUSITEMA'!N81</f>
        <v>0</v>
      </c>
      <c r="O81" s="15">
        <f t="shared" si="35"/>
        <v>10.5</v>
      </c>
      <c r="P81" s="15">
        <f t="shared" si="36"/>
        <v>14.5</v>
      </c>
      <c r="R81" s="8"/>
      <c r="T81"/>
    </row>
    <row r="82" spans="2:20" ht="23.1" customHeight="1" x14ac:dyDescent="0.25">
      <c r="B82" s="24" t="s">
        <v>122</v>
      </c>
      <c r="C82" s="49">
        <f>'Avg Week BUSITEMA-TORORO'!C82+'Avg Week TORORO-BUSITEMA'!C82</f>
        <v>0</v>
      </c>
      <c r="D82" s="49">
        <f>'Avg Week BUSITEMA-TORORO'!D82+'Avg Week TORORO-BUSITEMA'!D82</f>
        <v>0.5</v>
      </c>
      <c r="E82" s="49">
        <f>'Avg Week BUSITEMA-TORORO'!E82+'Avg Week TORORO-BUSITEMA'!E82</f>
        <v>0</v>
      </c>
      <c r="F82" s="49">
        <f>'Avg Week BUSITEMA-TORORO'!F82+'Avg Week TORORO-BUSITEMA'!F82</f>
        <v>0</v>
      </c>
      <c r="G82" s="49">
        <f>'Avg Week BUSITEMA-TORORO'!G82+'Avg Week TORORO-BUSITEMA'!G82</f>
        <v>0</v>
      </c>
      <c r="H82" s="49">
        <f>'Avg Week BUSITEMA-TORORO'!H82+'Avg Week TORORO-BUSITEMA'!H82</f>
        <v>0</v>
      </c>
      <c r="I82" s="49">
        <f>'Avg Week BUSITEMA-TORORO'!I82+'Avg Week TORORO-BUSITEMA'!I82</f>
        <v>0</v>
      </c>
      <c r="J82" s="49">
        <f>'Avg Week BUSITEMA-TORORO'!J82+'Avg Week TORORO-BUSITEMA'!J82</f>
        <v>0</v>
      </c>
      <c r="K82" s="49">
        <f>'Avg Week BUSITEMA-TORORO'!K82+'Avg Week TORORO-BUSITEMA'!K82</f>
        <v>0</v>
      </c>
      <c r="L82" s="49">
        <f>'Avg Week BUSITEMA-TORORO'!L82+'Avg Week TORORO-BUSITEMA'!L82</f>
        <v>8.5</v>
      </c>
      <c r="M82" s="49">
        <f>'Avg Week BUSITEMA-TORORO'!M82+'Avg Week TORORO-BUSITEMA'!M82</f>
        <v>3</v>
      </c>
      <c r="N82" s="49">
        <f>'Avg Week BUSITEMA-TORORO'!N82+'Avg Week TORORO-BUSITEMA'!N82</f>
        <v>0</v>
      </c>
      <c r="O82" s="15">
        <f t="shared" si="35"/>
        <v>9</v>
      </c>
      <c r="P82" s="15">
        <f t="shared" si="36"/>
        <v>12</v>
      </c>
      <c r="R82" s="8"/>
      <c r="T82"/>
    </row>
    <row r="83" spans="2:20" ht="23.1" customHeight="1" x14ac:dyDescent="0.25">
      <c r="B83" s="23" t="s">
        <v>123</v>
      </c>
      <c r="C83" s="49">
        <f>'Avg Week BUSITEMA-TORORO'!C83+'Avg Week TORORO-BUSITEMA'!C83</f>
        <v>0.5</v>
      </c>
      <c r="D83" s="49">
        <f>'Avg Week BUSITEMA-TORORO'!D83+'Avg Week TORORO-BUSITEMA'!D83</f>
        <v>0.5</v>
      </c>
      <c r="E83" s="49">
        <f>'Avg Week BUSITEMA-TORORO'!E83+'Avg Week TORORO-BUSITEMA'!E83</f>
        <v>0</v>
      </c>
      <c r="F83" s="49">
        <f>'Avg Week BUSITEMA-TORORO'!F83+'Avg Week TORORO-BUSITEMA'!F83</f>
        <v>1</v>
      </c>
      <c r="G83" s="49">
        <f>'Avg Week BUSITEMA-TORORO'!G83+'Avg Week TORORO-BUSITEMA'!G83</f>
        <v>0</v>
      </c>
      <c r="H83" s="49">
        <f>'Avg Week BUSITEMA-TORORO'!H83+'Avg Week TORORO-BUSITEMA'!H83</f>
        <v>0.5</v>
      </c>
      <c r="I83" s="49">
        <f>'Avg Week BUSITEMA-TORORO'!I83+'Avg Week TORORO-BUSITEMA'!I83</f>
        <v>0</v>
      </c>
      <c r="J83" s="49">
        <f>'Avg Week BUSITEMA-TORORO'!J83+'Avg Week TORORO-BUSITEMA'!J83</f>
        <v>0</v>
      </c>
      <c r="K83" s="49">
        <f>'Avg Week BUSITEMA-TORORO'!K83+'Avg Week TORORO-BUSITEMA'!K83</f>
        <v>0.5</v>
      </c>
      <c r="L83" s="49">
        <f>'Avg Week BUSITEMA-TORORO'!L83+'Avg Week TORORO-BUSITEMA'!L83</f>
        <v>7</v>
      </c>
      <c r="M83" s="49">
        <f>'Avg Week BUSITEMA-TORORO'!M83+'Avg Week TORORO-BUSITEMA'!M83</f>
        <v>2.5</v>
      </c>
      <c r="N83" s="49">
        <f>'Avg Week BUSITEMA-TORORO'!N83+'Avg Week TORORO-BUSITEMA'!N83</f>
        <v>0</v>
      </c>
      <c r="O83" s="15">
        <f t="shared" si="35"/>
        <v>10</v>
      </c>
      <c r="P83" s="15">
        <f t="shared" si="36"/>
        <v>12.5</v>
      </c>
      <c r="R83" s="8"/>
      <c r="T83"/>
    </row>
    <row r="84" spans="2:20" ht="23.1" customHeight="1" x14ac:dyDescent="0.25">
      <c r="B84" s="25" t="s">
        <v>124</v>
      </c>
      <c r="C84" s="49">
        <f>'Avg Week BUSITEMA-TORORO'!C84+'Avg Week TORORO-BUSITEMA'!C84</f>
        <v>0</v>
      </c>
      <c r="D84" s="49">
        <f>'Avg Week BUSITEMA-TORORO'!D84+'Avg Week TORORO-BUSITEMA'!D84</f>
        <v>1</v>
      </c>
      <c r="E84" s="49">
        <f>'Avg Week BUSITEMA-TORORO'!E84+'Avg Week TORORO-BUSITEMA'!E84</f>
        <v>0.5</v>
      </c>
      <c r="F84" s="49">
        <f>'Avg Week BUSITEMA-TORORO'!F84+'Avg Week TORORO-BUSITEMA'!F84</f>
        <v>0</v>
      </c>
      <c r="G84" s="49">
        <f>'Avg Week BUSITEMA-TORORO'!G84+'Avg Week TORORO-BUSITEMA'!G84</f>
        <v>0</v>
      </c>
      <c r="H84" s="49">
        <f>'Avg Week BUSITEMA-TORORO'!H84+'Avg Week TORORO-BUSITEMA'!H84</f>
        <v>0.5</v>
      </c>
      <c r="I84" s="49">
        <f>'Avg Week BUSITEMA-TORORO'!I84+'Avg Week TORORO-BUSITEMA'!I84</f>
        <v>0</v>
      </c>
      <c r="J84" s="49">
        <f>'Avg Week BUSITEMA-TORORO'!J84+'Avg Week TORORO-BUSITEMA'!J84</f>
        <v>1</v>
      </c>
      <c r="K84" s="49">
        <f>'Avg Week BUSITEMA-TORORO'!K84+'Avg Week TORORO-BUSITEMA'!K84</f>
        <v>0</v>
      </c>
      <c r="L84" s="49">
        <f>'Avg Week BUSITEMA-TORORO'!L84+'Avg Week TORORO-BUSITEMA'!L84</f>
        <v>5.5</v>
      </c>
      <c r="M84" s="49">
        <f>'Avg Week BUSITEMA-TORORO'!M84+'Avg Week TORORO-BUSITEMA'!M84</f>
        <v>2.5</v>
      </c>
      <c r="N84" s="49">
        <f>'Avg Week BUSITEMA-TORORO'!N84+'Avg Week TORORO-BUSITEMA'!N84</f>
        <v>0</v>
      </c>
      <c r="O84" s="15">
        <f t="shared" si="35"/>
        <v>8.5</v>
      </c>
      <c r="P84" s="15">
        <f t="shared" si="36"/>
        <v>11</v>
      </c>
      <c r="R84" s="8"/>
      <c r="T84"/>
    </row>
    <row r="85" spans="2:20" ht="23.1" customHeight="1" x14ac:dyDescent="0.25">
      <c r="B85" s="23" t="s">
        <v>125</v>
      </c>
      <c r="C85" s="49">
        <f>'Avg Week BUSITEMA-TORORO'!C85+'Avg Week TORORO-BUSITEMA'!C85</f>
        <v>1</v>
      </c>
      <c r="D85" s="49">
        <f>'Avg Week BUSITEMA-TORORO'!D85+'Avg Week TORORO-BUSITEMA'!D85</f>
        <v>0</v>
      </c>
      <c r="E85" s="49">
        <f>'Avg Week BUSITEMA-TORORO'!E85+'Avg Week TORORO-BUSITEMA'!E85</f>
        <v>0</v>
      </c>
      <c r="F85" s="49">
        <f>'Avg Week BUSITEMA-TORORO'!F85+'Avg Week TORORO-BUSITEMA'!F85</f>
        <v>0</v>
      </c>
      <c r="G85" s="49">
        <f>'Avg Week BUSITEMA-TORORO'!G85+'Avg Week TORORO-BUSITEMA'!G85</f>
        <v>0</v>
      </c>
      <c r="H85" s="49">
        <f>'Avg Week BUSITEMA-TORORO'!H85+'Avg Week TORORO-BUSITEMA'!H85</f>
        <v>0.5</v>
      </c>
      <c r="I85" s="49">
        <f>'Avg Week BUSITEMA-TORORO'!I85+'Avg Week TORORO-BUSITEMA'!I85</f>
        <v>0.5</v>
      </c>
      <c r="J85" s="49">
        <f>'Avg Week BUSITEMA-TORORO'!J85+'Avg Week TORORO-BUSITEMA'!J85</f>
        <v>2</v>
      </c>
      <c r="K85" s="49">
        <f>'Avg Week BUSITEMA-TORORO'!K85+'Avg Week TORORO-BUSITEMA'!K85</f>
        <v>0</v>
      </c>
      <c r="L85" s="49">
        <f>'Avg Week BUSITEMA-TORORO'!L85+'Avg Week TORORO-BUSITEMA'!L85</f>
        <v>8</v>
      </c>
      <c r="M85" s="49">
        <f>'Avg Week BUSITEMA-TORORO'!M85+'Avg Week TORORO-BUSITEMA'!M85</f>
        <v>3.5</v>
      </c>
      <c r="N85" s="49">
        <f>'Avg Week BUSITEMA-TORORO'!N85+'Avg Week TORORO-BUSITEMA'!N85</f>
        <v>0</v>
      </c>
      <c r="O85" s="15">
        <f t="shared" si="35"/>
        <v>12</v>
      </c>
      <c r="P85" s="15">
        <f t="shared" si="36"/>
        <v>15.5</v>
      </c>
      <c r="R85" s="8"/>
      <c r="T85"/>
    </row>
    <row r="86" spans="2:20" ht="23.1" customHeight="1" x14ac:dyDescent="0.25">
      <c r="B86" s="24" t="s">
        <v>126</v>
      </c>
      <c r="C86" s="49">
        <f>'Avg Week BUSITEMA-TORORO'!C86+'Avg Week TORORO-BUSITEMA'!C86</f>
        <v>0.5</v>
      </c>
      <c r="D86" s="49">
        <f>'Avg Week BUSITEMA-TORORO'!D86+'Avg Week TORORO-BUSITEMA'!D86</f>
        <v>1</v>
      </c>
      <c r="E86" s="49">
        <f>'Avg Week BUSITEMA-TORORO'!E86+'Avg Week TORORO-BUSITEMA'!E86</f>
        <v>0.5</v>
      </c>
      <c r="F86" s="49">
        <f>'Avg Week BUSITEMA-TORORO'!F86+'Avg Week TORORO-BUSITEMA'!F86</f>
        <v>0</v>
      </c>
      <c r="G86" s="49">
        <f>'Avg Week BUSITEMA-TORORO'!G86+'Avg Week TORORO-BUSITEMA'!G86</f>
        <v>0</v>
      </c>
      <c r="H86" s="49">
        <f>'Avg Week BUSITEMA-TORORO'!H86+'Avg Week TORORO-BUSITEMA'!H86</f>
        <v>0.5</v>
      </c>
      <c r="I86" s="49">
        <f>'Avg Week BUSITEMA-TORORO'!I86+'Avg Week TORORO-BUSITEMA'!I86</f>
        <v>0.5</v>
      </c>
      <c r="J86" s="49">
        <f>'Avg Week BUSITEMA-TORORO'!J86+'Avg Week TORORO-BUSITEMA'!J86</f>
        <v>0.5</v>
      </c>
      <c r="K86" s="49">
        <f>'Avg Week BUSITEMA-TORORO'!K86+'Avg Week TORORO-BUSITEMA'!K86</f>
        <v>0</v>
      </c>
      <c r="L86" s="49">
        <f>'Avg Week BUSITEMA-TORORO'!L86+'Avg Week TORORO-BUSITEMA'!L86</f>
        <v>9</v>
      </c>
      <c r="M86" s="49">
        <f>'Avg Week BUSITEMA-TORORO'!M86+'Avg Week TORORO-BUSITEMA'!M86</f>
        <v>0</v>
      </c>
      <c r="N86" s="49">
        <f>'Avg Week BUSITEMA-TORORO'!N86+'Avg Week TORORO-BUSITEMA'!N86</f>
        <v>0</v>
      </c>
      <c r="O86" s="15">
        <f t="shared" si="35"/>
        <v>12.5</v>
      </c>
      <c r="P86" s="15">
        <f t="shared" si="36"/>
        <v>12.5</v>
      </c>
      <c r="R86" s="8"/>
      <c r="T86"/>
    </row>
    <row r="87" spans="2:20" ht="23.1" customHeight="1" x14ac:dyDescent="0.25">
      <c r="B87" s="23" t="s">
        <v>127</v>
      </c>
      <c r="C87" s="49">
        <f>'Avg Week BUSITEMA-TORORO'!C87+'Avg Week TORORO-BUSITEMA'!C87</f>
        <v>0.5</v>
      </c>
      <c r="D87" s="49">
        <f>'Avg Week BUSITEMA-TORORO'!D87+'Avg Week TORORO-BUSITEMA'!D87</f>
        <v>0.5</v>
      </c>
      <c r="E87" s="49">
        <f>'Avg Week BUSITEMA-TORORO'!E87+'Avg Week TORORO-BUSITEMA'!E87</f>
        <v>0.5</v>
      </c>
      <c r="F87" s="49">
        <f>'Avg Week BUSITEMA-TORORO'!F87+'Avg Week TORORO-BUSITEMA'!F87</f>
        <v>0.5</v>
      </c>
      <c r="G87" s="49">
        <f>'Avg Week BUSITEMA-TORORO'!G87+'Avg Week TORORO-BUSITEMA'!G87</f>
        <v>0</v>
      </c>
      <c r="H87" s="49">
        <f>'Avg Week BUSITEMA-TORORO'!H87+'Avg Week TORORO-BUSITEMA'!H87</f>
        <v>0</v>
      </c>
      <c r="I87" s="49">
        <f>'Avg Week BUSITEMA-TORORO'!I87+'Avg Week TORORO-BUSITEMA'!I87</f>
        <v>0</v>
      </c>
      <c r="J87" s="49">
        <f>'Avg Week BUSITEMA-TORORO'!J87+'Avg Week TORORO-BUSITEMA'!J87</f>
        <v>0.5</v>
      </c>
      <c r="K87" s="49">
        <f>'Avg Week BUSITEMA-TORORO'!K87+'Avg Week TORORO-BUSITEMA'!K87</f>
        <v>0</v>
      </c>
      <c r="L87" s="49">
        <f>'Avg Week BUSITEMA-TORORO'!L87+'Avg Week TORORO-BUSITEMA'!L87</f>
        <v>9.5</v>
      </c>
      <c r="M87" s="49">
        <f>'Avg Week BUSITEMA-TORORO'!M87+'Avg Week TORORO-BUSITEMA'!M87</f>
        <v>0</v>
      </c>
      <c r="N87" s="49">
        <f>'Avg Week BUSITEMA-TORORO'!N87+'Avg Week TORORO-BUSITEMA'!N87</f>
        <v>0</v>
      </c>
      <c r="O87" s="15">
        <f t="shared" si="35"/>
        <v>12</v>
      </c>
      <c r="P87" s="15">
        <f t="shared" si="36"/>
        <v>12</v>
      </c>
      <c r="R87" s="8"/>
      <c r="T87"/>
    </row>
    <row r="88" spans="2:20" ht="23.1" customHeight="1" x14ac:dyDescent="0.25">
      <c r="B88" s="25" t="s">
        <v>128</v>
      </c>
      <c r="C88" s="49">
        <f>'Avg Week BUSITEMA-TORORO'!C88+'Avg Week TORORO-BUSITEMA'!C88</f>
        <v>0.5</v>
      </c>
      <c r="D88" s="49">
        <f>'Avg Week BUSITEMA-TORORO'!D88+'Avg Week TORORO-BUSITEMA'!D88</f>
        <v>0.5</v>
      </c>
      <c r="E88" s="49">
        <f>'Avg Week BUSITEMA-TORORO'!E88+'Avg Week TORORO-BUSITEMA'!E88</f>
        <v>0</v>
      </c>
      <c r="F88" s="49">
        <f>'Avg Week BUSITEMA-TORORO'!F88+'Avg Week TORORO-BUSITEMA'!F88</f>
        <v>0.5</v>
      </c>
      <c r="G88" s="49">
        <f>'Avg Week BUSITEMA-TORORO'!G88+'Avg Week TORORO-BUSITEMA'!G88</f>
        <v>0</v>
      </c>
      <c r="H88" s="49">
        <f>'Avg Week BUSITEMA-TORORO'!H88+'Avg Week TORORO-BUSITEMA'!H88</f>
        <v>0</v>
      </c>
      <c r="I88" s="49">
        <f>'Avg Week BUSITEMA-TORORO'!I88+'Avg Week TORORO-BUSITEMA'!I88</f>
        <v>0.5</v>
      </c>
      <c r="J88" s="49">
        <f>'Avg Week BUSITEMA-TORORO'!J88+'Avg Week TORORO-BUSITEMA'!J88</f>
        <v>0.5</v>
      </c>
      <c r="K88" s="49">
        <f>'Avg Week BUSITEMA-TORORO'!K88+'Avg Week TORORO-BUSITEMA'!K88</f>
        <v>0</v>
      </c>
      <c r="L88" s="49">
        <f>'Avg Week BUSITEMA-TORORO'!L88+'Avg Week TORORO-BUSITEMA'!L88</f>
        <v>11</v>
      </c>
      <c r="M88" s="49">
        <f>'Avg Week BUSITEMA-TORORO'!M88+'Avg Week TORORO-BUSITEMA'!M88</f>
        <v>0.5</v>
      </c>
      <c r="N88" s="49">
        <f>'Avg Week BUSITEMA-TORORO'!N88+'Avg Week TORORO-BUSITEMA'!N88</f>
        <v>0</v>
      </c>
      <c r="O88" s="15">
        <f t="shared" si="35"/>
        <v>13.5</v>
      </c>
      <c r="P88" s="15">
        <f t="shared" si="36"/>
        <v>14</v>
      </c>
      <c r="R88" s="8"/>
      <c r="T88"/>
    </row>
    <row r="89" spans="2:20" ht="23.1" customHeight="1" x14ac:dyDescent="0.25">
      <c r="B89" s="23" t="s">
        <v>129</v>
      </c>
      <c r="C89" s="49">
        <f>'Avg Week BUSITEMA-TORORO'!C89+'Avg Week TORORO-BUSITEMA'!C89</f>
        <v>0</v>
      </c>
      <c r="D89" s="49">
        <f>'Avg Week BUSITEMA-TORORO'!D89+'Avg Week TORORO-BUSITEMA'!D89</f>
        <v>1</v>
      </c>
      <c r="E89" s="49">
        <f>'Avg Week BUSITEMA-TORORO'!E89+'Avg Week TORORO-BUSITEMA'!E89</f>
        <v>0</v>
      </c>
      <c r="F89" s="49">
        <f>'Avg Week BUSITEMA-TORORO'!F89+'Avg Week TORORO-BUSITEMA'!F89</f>
        <v>0</v>
      </c>
      <c r="G89" s="49">
        <f>'Avg Week BUSITEMA-TORORO'!G89+'Avg Week TORORO-BUSITEMA'!G89</f>
        <v>0</v>
      </c>
      <c r="H89" s="49">
        <f>'Avg Week BUSITEMA-TORORO'!H89+'Avg Week TORORO-BUSITEMA'!H89</f>
        <v>1</v>
      </c>
      <c r="I89" s="49">
        <f>'Avg Week BUSITEMA-TORORO'!I89+'Avg Week TORORO-BUSITEMA'!I89</f>
        <v>0.5</v>
      </c>
      <c r="J89" s="49">
        <f>'Avg Week BUSITEMA-TORORO'!J89+'Avg Week TORORO-BUSITEMA'!J89</f>
        <v>0.5</v>
      </c>
      <c r="K89" s="49">
        <f>'Avg Week BUSITEMA-TORORO'!K89+'Avg Week TORORO-BUSITEMA'!K89</f>
        <v>0</v>
      </c>
      <c r="L89" s="49">
        <f>'Avg Week BUSITEMA-TORORO'!L89+'Avg Week TORORO-BUSITEMA'!L89</f>
        <v>11</v>
      </c>
      <c r="M89" s="49">
        <f>'Avg Week BUSITEMA-TORORO'!M89+'Avg Week TORORO-BUSITEMA'!M89</f>
        <v>0</v>
      </c>
      <c r="N89" s="49">
        <f>'Avg Week BUSITEMA-TORORO'!N89+'Avg Week TORORO-BUSITEMA'!N89</f>
        <v>0</v>
      </c>
      <c r="O89" s="15">
        <f t="shared" si="35"/>
        <v>14</v>
      </c>
      <c r="P89" s="15">
        <f t="shared" si="36"/>
        <v>14</v>
      </c>
      <c r="R89" s="8"/>
      <c r="T89"/>
    </row>
    <row r="90" spans="2:20" ht="23.1" customHeight="1" x14ac:dyDescent="0.25">
      <c r="B90" s="24" t="s">
        <v>130</v>
      </c>
      <c r="C90" s="49">
        <f>'Avg Week BUSITEMA-TORORO'!C90+'Avg Week TORORO-BUSITEMA'!C90</f>
        <v>0.5</v>
      </c>
      <c r="D90" s="49">
        <f>'Avg Week BUSITEMA-TORORO'!D90+'Avg Week TORORO-BUSITEMA'!D90</f>
        <v>0</v>
      </c>
      <c r="E90" s="49">
        <f>'Avg Week BUSITEMA-TORORO'!E90+'Avg Week TORORO-BUSITEMA'!E90</f>
        <v>0</v>
      </c>
      <c r="F90" s="49">
        <f>'Avg Week BUSITEMA-TORORO'!F90+'Avg Week TORORO-BUSITEMA'!F90</f>
        <v>0.5</v>
      </c>
      <c r="G90" s="49">
        <f>'Avg Week BUSITEMA-TORORO'!G90+'Avg Week TORORO-BUSITEMA'!G90</f>
        <v>0.5</v>
      </c>
      <c r="H90" s="49">
        <f>'Avg Week BUSITEMA-TORORO'!H90+'Avg Week TORORO-BUSITEMA'!H90</f>
        <v>1</v>
      </c>
      <c r="I90" s="49">
        <f>'Avg Week BUSITEMA-TORORO'!I90+'Avg Week TORORO-BUSITEMA'!I90</f>
        <v>0</v>
      </c>
      <c r="J90" s="49">
        <f>'Avg Week BUSITEMA-TORORO'!J90+'Avg Week TORORO-BUSITEMA'!J90</f>
        <v>0</v>
      </c>
      <c r="K90" s="49">
        <f>'Avg Week BUSITEMA-TORORO'!K90+'Avg Week TORORO-BUSITEMA'!K90</f>
        <v>0.5</v>
      </c>
      <c r="L90" s="49">
        <f>'Avg Week BUSITEMA-TORORO'!L90+'Avg Week TORORO-BUSITEMA'!L90</f>
        <v>6</v>
      </c>
      <c r="M90" s="49">
        <f>'Avg Week BUSITEMA-TORORO'!M90+'Avg Week TORORO-BUSITEMA'!M90</f>
        <v>0</v>
      </c>
      <c r="N90" s="49">
        <f>'Avg Week BUSITEMA-TORORO'!N90+'Avg Week TORORO-BUSITEMA'!N90</f>
        <v>0</v>
      </c>
      <c r="O90" s="15">
        <f t="shared" si="35"/>
        <v>9</v>
      </c>
      <c r="P90" s="15">
        <f t="shared" si="36"/>
        <v>9</v>
      </c>
      <c r="R90" s="8"/>
      <c r="T90"/>
    </row>
    <row r="91" spans="2:20" ht="23.1" customHeight="1" x14ac:dyDescent="0.25">
      <c r="B91" s="23" t="s">
        <v>131</v>
      </c>
      <c r="C91" s="49">
        <f>'Avg Week BUSITEMA-TORORO'!C91+'Avg Week TORORO-BUSITEMA'!C91</f>
        <v>1.5</v>
      </c>
      <c r="D91" s="49">
        <f>'Avg Week BUSITEMA-TORORO'!D91+'Avg Week TORORO-BUSITEMA'!D91</f>
        <v>1</v>
      </c>
      <c r="E91" s="49">
        <f>'Avg Week BUSITEMA-TORORO'!E91+'Avg Week TORORO-BUSITEMA'!E91</f>
        <v>0</v>
      </c>
      <c r="F91" s="49">
        <f>'Avg Week BUSITEMA-TORORO'!F91+'Avg Week TORORO-BUSITEMA'!F91</f>
        <v>1</v>
      </c>
      <c r="G91" s="49">
        <f>'Avg Week BUSITEMA-TORORO'!G91+'Avg Week TORORO-BUSITEMA'!G91</f>
        <v>0</v>
      </c>
      <c r="H91" s="49">
        <f>'Avg Week BUSITEMA-TORORO'!H91+'Avg Week TORORO-BUSITEMA'!H91</f>
        <v>0</v>
      </c>
      <c r="I91" s="49">
        <f>'Avg Week BUSITEMA-TORORO'!I91+'Avg Week TORORO-BUSITEMA'!I91</f>
        <v>0</v>
      </c>
      <c r="J91" s="49">
        <f>'Avg Week BUSITEMA-TORORO'!J91+'Avg Week TORORO-BUSITEMA'!J91</f>
        <v>0</v>
      </c>
      <c r="K91" s="49">
        <f>'Avg Week BUSITEMA-TORORO'!K91+'Avg Week TORORO-BUSITEMA'!K91</f>
        <v>0</v>
      </c>
      <c r="L91" s="49">
        <f>'Avg Week BUSITEMA-TORORO'!L91+'Avg Week TORORO-BUSITEMA'!L91</f>
        <v>9</v>
      </c>
      <c r="M91" s="49">
        <f>'Avg Week BUSITEMA-TORORO'!M91+'Avg Week TORORO-BUSITEMA'!M91</f>
        <v>0</v>
      </c>
      <c r="N91" s="49">
        <f>'Avg Week BUSITEMA-TORORO'!N91+'Avg Week TORORO-BUSITEMA'!N91</f>
        <v>0</v>
      </c>
      <c r="O91" s="15">
        <f t="shared" si="35"/>
        <v>12.5</v>
      </c>
      <c r="P91" s="15">
        <f t="shared" si="36"/>
        <v>12.5</v>
      </c>
      <c r="R91" s="8"/>
      <c r="T91"/>
    </row>
    <row r="92" spans="2:20" ht="23.1" customHeight="1" x14ac:dyDescent="0.25">
      <c r="B92" s="25" t="s">
        <v>132</v>
      </c>
      <c r="C92" s="49">
        <f>'Avg Week BUSITEMA-TORORO'!C92+'Avg Week TORORO-BUSITEMA'!C92</f>
        <v>0</v>
      </c>
      <c r="D92" s="49">
        <f>'Avg Week BUSITEMA-TORORO'!D92+'Avg Week TORORO-BUSITEMA'!D92</f>
        <v>0</v>
      </c>
      <c r="E92" s="49">
        <f>'Avg Week BUSITEMA-TORORO'!E92+'Avg Week TORORO-BUSITEMA'!E92</f>
        <v>0</v>
      </c>
      <c r="F92" s="49">
        <f>'Avg Week BUSITEMA-TORORO'!F92+'Avg Week TORORO-BUSITEMA'!F92</f>
        <v>1.5</v>
      </c>
      <c r="G92" s="49">
        <f>'Avg Week BUSITEMA-TORORO'!G92+'Avg Week TORORO-BUSITEMA'!G92</f>
        <v>0</v>
      </c>
      <c r="H92" s="49">
        <f>'Avg Week BUSITEMA-TORORO'!H92+'Avg Week TORORO-BUSITEMA'!H92</f>
        <v>0</v>
      </c>
      <c r="I92" s="49">
        <f>'Avg Week BUSITEMA-TORORO'!I92+'Avg Week TORORO-BUSITEMA'!I92</f>
        <v>0</v>
      </c>
      <c r="J92" s="49">
        <f>'Avg Week BUSITEMA-TORORO'!J92+'Avg Week TORORO-BUSITEMA'!J92</f>
        <v>1</v>
      </c>
      <c r="K92" s="49">
        <f>'Avg Week BUSITEMA-TORORO'!K92+'Avg Week TORORO-BUSITEMA'!K92</f>
        <v>0</v>
      </c>
      <c r="L92" s="49">
        <f>'Avg Week BUSITEMA-TORORO'!L92+'Avg Week TORORO-BUSITEMA'!L92</f>
        <v>14.5</v>
      </c>
      <c r="M92" s="49">
        <f>'Avg Week BUSITEMA-TORORO'!M92+'Avg Week TORORO-BUSITEMA'!M92</f>
        <v>0</v>
      </c>
      <c r="N92" s="49">
        <f>'Avg Week BUSITEMA-TORORO'!N92+'Avg Week TORORO-BUSITEMA'!N92</f>
        <v>0</v>
      </c>
      <c r="O92" s="15">
        <f t="shared" si="35"/>
        <v>17</v>
      </c>
      <c r="P92" s="15">
        <f t="shared" si="36"/>
        <v>17</v>
      </c>
      <c r="R92" s="8"/>
      <c r="T92"/>
    </row>
    <row r="93" spans="2:20" ht="23.1" customHeight="1" x14ac:dyDescent="0.25">
      <c r="B93" s="23" t="s">
        <v>133</v>
      </c>
      <c r="C93" s="49">
        <f>'Avg Week BUSITEMA-TORORO'!C93+'Avg Week TORORO-BUSITEMA'!C93</f>
        <v>0</v>
      </c>
      <c r="D93" s="49">
        <f>'Avg Week BUSITEMA-TORORO'!D93+'Avg Week TORORO-BUSITEMA'!D93</f>
        <v>1</v>
      </c>
      <c r="E93" s="49">
        <f>'Avg Week BUSITEMA-TORORO'!E93+'Avg Week TORORO-BUSITEMA'!E93</f>
        <v>0</v>
      </c>
      <c r="F93" s="49">
        <f>'Avg Week BUSITEMA-TORORO'!F93+'Avg Week TORORO-BUSITEMA'!F93</f>
        <v>0</v>
      </c>
      <c r="G93" s="49">
        <f>'Avg Week BUSITEMA-TORORO'!G93+'Avg Week TORORO-BUSITEMA'!G93</f>
        <v>0</v>
      </c>
      <c r="H93" s="49">
        <f>'Avg Week BUSITEMA-TORORO'!H93+'Avg Week TORORO-BUSITEMA'!H93</f>
        <v>0</v>
      </c>
      <c r="I93" s="49">
        <f>'Avg Week BUSITEMA-TORORO'!I93+'Avg Week TORORO-BUSITEMA'!I93</f>
        <v>0</v>
      </c>
      <c r="J93" s="49">
        <f>'Avg Week BUSITEMA-TORORO'!J93+'Avg Week TORORO-BUSITEMA'!J93</f>
        <v>0</v>
      </c>
      <c r="K93" s="49">
        <f>'Avg Week BUSITEMA-TORORO'!K93+'Avg Week TORORO-BUSITEMA'!K93</f>
        <v>0</v>
      </c>
      <c r="L93" s="49">
        <f>'Avg Week BUSITEMA-TORORO'!L93+'Avg Week TORORO-BUSITEMA'!L93</f>
        <v>11.5</v>
      </c>
      <c r="M93" s="49">
        <f>'Avg Week BUSITEMA-TORORO'!M93+'Avg Week TORORO-BUSITEMA'!M93</f>
        <v>0</v>
      </c>
      <c r="N93" s="49">
        <f>'Avg Week BUSITEMA-TORORO'!N93+'Avg Week TORORO-BUSITEMA'!N93</f>
        <v>0</v>
      </c>
      <c r="O93" s="15">
        <f t="shared" si="35"/>
        <v>12.5</v>
      </c>
      <c r="P93" s="15">
        <f t="shared" si="36"/>
        <v>12.5</v>
      </c>
      <c r="R93" s="8"/>
      <c r="T93"/>
    </row>
    <row r="94" spans="2:20" ht="23.1" customHeight="1" x14ac:dyDescent="0.25">
      <c r="B94" s="24" t="s">
        <v>134</v>
      </c>
      <c r="C94" s="49">
        <f>'Avg Week BUSITEMA-TORORO'!C94+'Avg Week TORORO-BUSITEMA'!C94</f>
        <v>0.5</v>
      </c>
      <c r="D94" s="49">
        <f>'Avg Week BUSITEMA-TORORO'!D94+'Avg Week TORORO-BUSITEMA'!D94</f>
        <v>0.5</v>
      </c>
      <c r="E94" s="49">
        <f>'Avg Week BUSITEMA-TORORO'!E94+'Avg Week TORORO-BUSITEMA'!E94</f>
        <v>0.5</v>
      </c>
      <c r="F94" s="49">
        <f>'Avg Week BUSITEMA-TORORO'!F94+'Avg Week TORORO-BUSITEMA'!F94</f>
        <v>0</v>
      </c>
      <c r="G94" s="49">
        <f>'Avg Week BUSITEMA-TORORO'!G94+'Avg Week TORORO-BUSITEMA'!G94</f>
        <v>0</v>
      </c>
      <c r="H94" s="49">
        <f>'Avg Week BUSITEMA-TORORO'!H94+'Avg Week TORORO-BUSITEMA'!H94</f>
        <v>0</v>
      </c>
      <c r="I94" s="49">
        <f>'Avg Week BUSITEMA-TORORO'!I94+'Avg Week TORORO-BUSITEMA'!I94</f>
        <v>0</v>
      </c>
      <c r="J94" s="49">
        <f>'Avg Week BUSITEMA-TORORO'!J94+'Avg Week TORORO-BUSITEMA'!J94</f>
        <v>1.5</v>
      </c>
      <c r="K94" s="49">
        <f>'Avg Week BUSITEMA-TORORO'!K94+'Avg Week TORORO-BUSITEMA'!K94</f>
        <v>0.5</v>
      </c>
      <c r="L94" s="49">
        <f>'Avg Week BUSITEMA-TORORO'!L94+'Avg Week TORORO-BUSITEMA'!L94</f>
        <v>6</v>
      </c>
      <c r="M94" s="49">
        <f>'Avg Week BUSITEMA-TORORO'!M94+'Avg Week TORORO-BUSITEMA'!M94</f>
        <v>0</v>
      </c>
      <c r="N94" s="49">
        <f>'Avg Week BUSITEMA-TORORO'!N94+'Avg Week TORORO-BUSITEMA'!N94</f>
        <v>0</v>
      </c>
      <c r="O94" s="15">
        <f t="shared" si="35"/>
        <v>9.5</v>
      </c>
      <c r="P94" s="15">
        <f t="shared" si="36"/>
        <v>9.5</v>
      </c>
      <c r="R94" s="8"/>
      <c r="T94"/>
    </row>
    <row r="95" spans="2:20" ht="23.1" customHeight="1" x14ac:dyDescent="0.25">
      <c r="B95" s="23" t="s">
        <v>135</v>
      </c>
      <c r="C95" s="49">
        <f>'Avg Week BUSITEMA-TORORO'!C95+'Avg Week TORORO-BUSITEMA'!C95</f>
        <v>0</v>
      </c>
      <c r="D95" s="49">
        <f>'Avg Week BUSITEMA-TORORO'!D95+'Avg Week TORORO-BUSITEMA'!D95</f>
        <v>1</v>
      </c>
      <c r="E95" s="49">
        <f>'Avg Week BUSITEMA-TORORO'!E95+'Avg Week TORORO-BUSITEMA'!E95</f>
        <v>0</v>
      </c>
      <c r="F95" s="49">
        <f>'Avg Week BUSITEMA-TORORO'!F95+'Avg Week TORORO-BUSITEMA'!F95</f>
        <v>0</v>
      </c>
      <c r="G95" s="49">
        <f>'Avg Week BUSITEMA-TORORO'!G95+'Avg Week TORORO-BUSITEMA'!G95</f>
        <v>0</v>
      </c>
      <c r="H95" s="49">
        <f>'Avg Week BUSITEMA-TORORO'!H95+'Avg Week TORORO-BUSITEMA'!H95</f>
        <v>0</v>
      </c>
      <c r="I95" s="49">
        <f>'Avg Week BUSITEMA-TORORO'!I95+'Avg Week TORORO-BUSITEMA'!I95</f>
        <v>0</v>
      </c>
      <c r="J95" s="49">
        <f>'Avg Week BUSITEMA-TORORO'!J95+'Avg Week TORORO-BUSITEMA'!J95</f>
        <v>1</v>
      </c>
      <c r="K95" s="49">
        <f>'Avg Week BUSITEMA-TORORO'!K95+'Avg Week TORORO-BUSITEMA'!K95</f>
        <v>0</v>
      </c>
      <c r="L95" s="49">
        <f>'Avg Week BUSITEMA-TORORO'!L95+'Avg Week TORORO-BUSITEMA'!L95</f>
        <v>10</v>
      </c>
      <c r="M95" s="49">
        <f>'Avg Week BUSITEMA-TORORO'!M95+'Avg Week TORORO-BUSITEMA'!M95</f>
        <v>0</v>
      </c>
      <c r="N95" s="49">
        <f>'Avg Week BUSITEMA-TORORO'!N95+'Avg Week TORORO-BUSITEMA'!N95</f>
        <v>0</v>
      </c>
      <c r="O95" s="15">
        <f t="shared" si="35"/>
        <v>12</v>
      </c>
      <c r="P95" s="15">
        <f t="shared" si="36"/>
        <v>12</v>
      </c>
      <c r="R95" s="8"/>
      <c r="T95"/>
    </row>
    <row r="96" spans="2:20" ht="23.1" customHeight="1" x14ac:dyDescent="0.25">
      <c r="B96" s="25" t="s">
        <v>136</v>
      </c>
      <c r="C96" s="49">
        <f>'Avg Week BUSITEMA-TORORO'!C96+'Avg Week TORORO-BUSITEMA'!C96</f>
        <v>0.5</v>
      </c>
      <c r="D96" s="49">
        <f>'Avg Week BUSITEMA-TORORO'!D96+'Avg Week TORORO-BUSITEMA'!D96</f>
        <v>0</v>
      </c>
      <c r="E96" s="49">
        <f>'Avg Week BUSITEMA-TORORO'!E96+'Avg Week TORORO-BUSITEMA'!E96</f>
        <v>0</v>
      </c>
      <c r="F96" s="49">
        <f>'Avg Week BUSITEMA-TORORO'!F96+'Avg Week TORORO-BUSITEMA'!F96</f>
        <v>1</v>
      </c>
      <c r="G96" s="49">
        <f>'Avg Week BUSITEMA-TORORO'!G96+'Avg Week TORORO-BUSITEMA'!G96</f>
        <v>0</v>
      </c>
      <c r="H96" s="49">
        <f>'Avg Week BUSITEMA-TORORO'!H96+'Avg Week TORORO-BUSITEMA'!H96</f>
        <v>0.5</v>
      </c>
      <c r="I96" s="49">
        <f>'Avg Week BUSITEMA-TORORO'!I96+'Avg Week TORORO-BUSITEMA'!I96</f>
        <v>0.5</v>
      </c>
      <c r="J96" s="49">
        <f>'Avg Week BUSITEMA-TORORO'!J96+'Avg Week TORORO-BUSITEMA'!J96</f>
        <v>0</v>
      </c>
      <c r="K96" s="49">
        <f>'Avg Week BUSITEMA-TORORO'!K96+'Avg Week TORORO-BUSITEMA'!K96</f>
        <v>0.5</v>
      </c>
      <c r="L96" s="49">
        <f>'Avg Week BUSITEMA-TORORO'!L96+'Avg Week TORORO-BUSITEMA'!L96</f>
        <v>12.5</v>
      </c>
      <c r="M96" s="49">
        <f>'Avg Week BUSITEMA-TORORO'!M96+'Avg Week TORORO-BUSITEMA'!M96</f>
        <v>0</v>
      </c>
      <c r="N96" s="49">
        <f>'Avg Week BUSITEMA-TORORO'!N96+'Avg Week TORORO-BUSITEMA'!N96</f>
        <v>0</v>
      </c>
      <c r="O96" s="15">
        <f t="shared" si="35"/>
        <v>15.5</v>
      </c>
      <c r="P96" s="15">
        <f t="shared" si="36"/>
        <v>15.5</v>
      </c>
      <c r="R96" s="8"/>
      <c r="T96"/>
    </row>
    <row r="97" spans="2:20" ht="23.1" customHeight="1" x14ac:dyDescent="0.25">
      <c r="B97" s="23" t="s">
        <v>137</v>
      </c>
      <c r="C97" s="49">
        <f>'Avg Week BUSITEMA-TORORO'!C97+'Avg Week TORORO-BUSITEMA'!C97</f>
        <v>0.5</v>
      </c>
      <c r="D97" s="49">
        <f>'Avg Week BUSITEMA-TORORO'!D97+'Avg Week TORORO-BUSITEMA'!D97</f>
        <v>0</v>
      </c>
      <c r="E97" s="49">
        <f>'Avg Week BUSITEMA-TORORO'!E97+'Avg Week TORORO-BUSITEMA'!E97</f>
        <v>0</v>
      </c>
      <c r="F97" s="49">
        <f>'Avg Week BUSITEMA-TORORO'!F97+'Avg Week TORORO-BUSITEMA'!F97</f>
        <v>0</v>
      </c>
      <c r="G97" s="49">
        <f>'Avg Week BUSITEMA-TORORO'!G97+'Avg Week TORORO-BUSITEMA'!G97</f>
        <v>0</v>
      </c>
      <c r="H97" s="49">
        <f>'Avg Week BUSITEMA-TORORO'!H97+'Avg Week TORORO-BUSITEMA'!H97</f>
        <v>0.5</v>
      </c>
      <c r="I97" s="49">
        <f>'Avg Week BUSITEMA-TORORO'!I97+'Avg Week TORORO-BUSITEMA'!I97</f>
        <v>0</v>
      </c>
      <c r="J97" s="49">
        <f>'Avg Week BUSITEMA-TORORO'!J97+'Avg Week TORORO-BUSITEMA'!J97</f>
        <v>1</v>
      </c>
      <c r="K97" s="49">
        <f>'Avg Week BUSITEMA-TORORO'!K97+'Avg Week TORORO-BUSITEMA'!K97</f>
        <v>0</v>
      </c>
      <c r="L97" s="49">
        <f>'Avg Week BUSITEMA-TORORO'!L97+'Avg Week TORORO-BUSITEMA'!L97</f>
        <v>14.5</v>
      </c>
      <c r="M97" s="49">
        <f>'Avg Week BUSITEMA-TORORO'!M97+'Avg Week TORORO-BUSITEMA'!M97</f>
        <v>0</v>
      </c>
      <c r="N97" s="49">
        <f>'Avg Week BUSITEMA-TORORO'!N97+'Avg Week TORORO-BUSITEMA'!N97</f>
        <v>0</v>
      </c>
      <c r="O97" s="15">
        <f t="shared" si="35"/>
        <v>16.5</v>
      </c>
      <c r="P97" s="15">
        <f t="shared" si="36"/>
        <v>16.5</v>
      </c>
      <c r="R97" s="8"/>
      <c r="T97"/>
    </row>
    <row r="98" spans="2:20" ht="23.1" customHeight="1" x14ac:dyDescent="0.25">
      <c r="B98" s="24" t="s">
        <v>138</v>
      </c>
      <c r="C98" s="49">
        <f>'Avg Week BUSITEMA-TORORO'!C98+'Avg Week TORORO-BUSITEMA'!C98</f>
        <v>2</v>
      </c>
      <c r="D98" s="49">
        <f>'Avg Week BUSITEMA-TORORO'!D98+'Avg Week TORORO-BUSITEMA'!D98</f>
        <v>1</v>
      </c>
      <c r="E98" s="49">
        <f>'Avg Week BUSITEMA-TORORO'!E98+'Avg Week TORORO-BUSITEMA'!E98</f>
        <v>0</v>
      </c>
      <c r="F98" s="49">
        <f>'Avg Week BUSITEMA-TORORO'!F98+'Avg Week TORORO-BUSITEMA'!F98</f>
        <v>0</v>
      </c>
      <c r="G98" s="49">
        <f>'Avg Week BUSITEMA-TORORO'!G98+'Avg Week TORORO-BUSITEMA'!G98</f>
        <v>0</v>
      </c>
      <c r="H98" s="49">
        <f>'Avg Week BUSITEMA-TORORO'!H98+'Avg Week TORORO-BUSITEMA'!H98</f>
        <v>0.5</v>
      </c>
      <c r="I98" s="49">
        <f>'Avg Week BUSITEMA-TORORO'!I98+'Avg Week TORORO-BUSITEMA'!I98</f>
        <v>0</v>
      </c>
      <c r="J98" s="49">
        <f>'Avg Week BUSITEMA-TORORO'!J98+'Avg Week TORORO-BUSITEMA'!J98</f>
        <v>2</v>
      </c>
      <c r="K98" s="49">
        <f>'Avg Week BUSITEMA-TORORO'!K98+'Avg Week TORORO-BUSITEMA'!K98</f>
        <v>0</v>
      </c>
      <c r="L98" s="49">
        <f>'Avg Week BUSITEMA-TORORO'!L98+'Avg Week TORORO-BUSITEMA'!L98</f>
        <v>16.5</v>
      </c>
      <c r="M98" s="49">
        <f>'Avg Week BUSITEMA-TORORO'!M98+'Avg Week TORORO-BUSITEMA'!M98</f>
        <v>0</v>
      </c>
      <c r="N98" s="49">
        <f>'Avg Week BUSITEMA-TORORO'!N98+'Avg Week TORORO-BUSITEMA'!N98</f>
        <v>0</v>
      </c>
      <c r="O98" s="15">
        <f t="shared" si="35"/>
        <v>22</v>
      </c>
      <c r="P98" s="15">
        <f t="shared" si="36"/>
        <v>22</v>
      </c>
      <c r="R98" s="8"/>
      <c r="T98"/>
    </row>
    <row r="99" spans="2:20" ht="23.1" customHeight="1" x14ac:dyDescent="0.25">
      <c r="B99" s="23" t="s">
        <v>139</v>
      </c>
      <c r="C99" s="49">
        <f>'Avg Week BUSITEMA-TORORO'!C99+'Avg Week TORORO-BUSITEMA'!C99</f>
        <v>0</v>
      </c>
      <c r="D99" s="49">
        <f>'Avg Week BUSITEMA-TORORO'!D99+'Avg Week TORORO-BUSITEMA'!D99</f>
        <v>0.5</v>
      </c>
      <c r="E99" s="49">
        <f>'Avg Week BUSITEMA-TORORO'!E99+'Avg Week TORORO-BUSITEMA'!E99</f>
        <v>0</v>
      </c>
      <c r="F99" s="49">
        <f>'Avg Week BUSITEMA-TORORO'!F99+'Avg Week TORORO-BUSITEMA'!F99</f>
        <v>1</v>
      </c>
      <c r="G99" s="49">
        <f>'Avg Week BUSITEMA-TORORO'!G99+'Avg Week TORORO-BUSITEMA'!G99</f>
        <v>0</v>
      </c>
      <c r="H99" s="49">
        <f>'Avg Week BUSITEMA-TORORO'!H99+'Avg Week TORORO-BUSITEMA'!H99</f>
        <v>0.5</v>
      </c>
      <c r="I99" s="49">
        <f>'Avg Week BUSITEMA-TORORO'!I99+'Avg Week TORORO-BUSITEMA'!I99</f>
        <v>0</v>
      </c>
      <c r="J99" s="49">
        <f>'Avg Week BUSITEMA-TORORO'!J99+'Avg Week TORORO-BUSITEMA'!J99</f>
        <v>2</v>
      </c>
      <c r="K99" s="49">
        <f>'Avg Week BUSITEMA-TORORO'!K99+'Avg Week TORORO-BUSITEMA'!K99</f>
        <v>0</v>
      </c>
      <c r="L99" s="49">
        <f>'Avg Week BUSITEMA-TORORO'!L99+'Avg Week TORORO-BUSITEMA'!L99</f>
        <v>12.5</v>
      </c>
      <c r="M99" s="49">
        <f>'Avg Week BUSITEMA-TORORO'!M99+'Avg Week TORORO-BUSITEMA'!M99</f>
        <v>0</v>
      </c>
      <c r="N99" s="49">
        <f>'Avg Week BUSITEMA-TORORO'!N99+'Avg Week TORORO-BUSITEMA'!N99</f>
        <v>0</v>
      </c>
      <c r="O99" s="15">
        <f t="shared" si="35"/>
        <v>16.5</v>
      </c>
      <c r="P99" s="15">
        <f t="shared" si="36"/>
        <v>16.5</v>
      </c>
      <c r="R99" s="8"/>
      <c r="T99"/>
    </row>
    <row r="100" spans="2:20" ht="23.1" customHeight="1" x14ac:dyDescent="0.25">
      <c r="B100" s="25" t="s">
        <v>140</v>
      </c>
      <c r="C100" s="49">
        <f>'Avg Week BUSITEMA-TORORO'!C100+'Avg Week TORORO-BUSITEMA'!C100</f>
        <v>2</v>
      </c>
      <c r="D100" s="49">
        <f>'Avg Week BUSITEMA-TORORO'!D100+'Avg Week TORORO-BUSITEMA'!D100</f>
        <v>0.5</v>
      </c>
      <c r="E100" s="49">
        <f>'Avg Week BUSITEMA-TORORO'!E100+'Avg Week TORORO-BUSITEMA'!E100</f>
        <v>0</v>
      </c>
      <c r="F100" s="49">
        <f>'Avg Week BUSITEMA-TORORO'!F100+'Avg Week TORORO-BUSITEMA'!F100</f>
        <v>1</v>
      </c>
      <c r="G100" s="49">
        <f>'Avg Week BUSITEMA-TORORO'!G100+'Avg Week TORORO-BUSITEMA'!G100</f>
        <v>0</v>
      </c>
      <c r="H100" s="49">
        <f>'Avg Week BUSITEMA-TORORO'!H100+'Avg Week TORORO-BUSITEMA'!H100</f>
        <v>0.5</v>
      </c>
      <c r="I100" s="49">
        <f>'Avg Week BUSITEMA-TORORO'!I100+'Avg Week TORORO-BUSITEMA'!I100</f>
        <v>0.5</v>
      </c>
      <c r="J100" s="49">
        <f>'Avg Week BUSITEMA-TORORO'!J100+'Avg Week TORORO-BUSITEMA'!J100</f>
        <v>1.5</v>
      </c>
      <c r="K100" s="49">
        <f>'Avg Week BUSITEMA-TORORO'!K100+'Avg Week TORORO-BUSITEMA'!K100</f>
        <v>1.5</v>
      </c>
      <c r="L100" s="49">
        <f>'Avg Week BUSITEMA-TORORO'!L100+'Avg Week TORORO-BUSITEMA'!L100</f>
        <v>19</v>
      </c>
      <c r="M100" s="49">
        <f>'Avg Week BUSITEMA-TORORO'!M100+'Avg Week TORORO-BUSITEMA'!M100</f>
        <v>0.5</v>
      </c>
      <c r="N100" s="49">
        <f>'Avg Week BUSITEMA-TORORO'!N100+'Avg Week TORORO-BUSITEMA'!N100</f>
        <v>0</v>
      </c>
      <c r="O100" s="15">
        <f t="shared" si="35"/>
        <v>26.5</v>
      </c>
      <c r="P100" s="15">
        <f t="shared" si="36"/>
        <v>27</v>
      </c>
      <c r="R100" s="8"/>
      <c r="T100"/>
    </row>
    <row r="101" spans="2:20" ht="23.1" customHeight="1" x14ac:dyDescent="0.25">
      <c r="B101" s="23" t="s">
        <v>141</v>
      </c>
      <c r="C101" s="49">
        <f>'Avg Week BUSITEMA-TORORO'!C101+'Avg Week TORORO-BUSITEMA'!C101</f>
        <v>0.5</v>
      </c>
      <c r="D101" s="49">
        <f>'Avg Week BUSITEMA-TORORO'!D101+'Avg Week TORORO-BUSITEMA'!D101</f>
        <v>0</v>
      </c>
      <c r="E101" s="49">
        <f>'Avg Week BUSITEMA-TORORO'!E101+'Avg Week TORORO-BUSITEMA'!E101</f>
        <v>0</v>
      </c>
      <c r="F101" s="49">
        <f>'Avg Week BUSITEMA-TORORO'!F101+'Avg Week TORORO-BUSITEMA'!F101</f>
        <v>1</v>
      </c>
      <c r="G101" s="49">
        <f>'Avg Week BUSITEMA-TORORO'!G101+'Avg Week TORORO-BUSITEMA'!G101</f>
        <v>0</v>
      </c>
      <c r="H101" s="49">
        <f>'Avg Week BUSITEMA-TORORO'!H101+'Avg Week TORORO-BUSITEMA'!H101</f>
        <v>1</v>
      </c>
      <c r="I101" s="49">
        <f>'Avg Week BUSITEMA-TORORO'!I101+'Avg Week TORORO-BUSITEMA'!I101</f>
        <v>0</v>
      </c>
      <c r="J101" s="49">
        <f>'Avg Week BUSITEMA-TORORO'!J101+'Avg Week TORORO-BUSITEMA'!J101</f>
        <v>0.5</v>
      </c>
      <c r="K101" s="49">
        <f>'Avg Week BUSITEMA-TORORO'!K101+'Avg Week TORORO-BUSITEMA'!K101</f>
        <v>0</v>
      </c>
      <c r="L101" s="49">
        <f>'Avg Week BUSITEMA-TORORO'!L101+'Avg Week TORORO-BUSITEMA'!L101</f>
        <v>25</v>
      </c>
      <c r="M101" s="49">
        <f>'Avg Week BUSITEMA-TORORO'!M101+'Avg Week TORORO-BUSITEMA'!M101</f>
        <v>1.5</v>
      </c>
      <c r="N101" s="49">
        <f>'Avg Week BUSITEMA-TORORO'!N101+'Avg Week TORORO-BUSITEMA'!N101</f>
        <v>0</v>
      </c>
      <c r="O101" s="15">
        <f t="shared" si="35"/>
        <v>28</v>
      </c>
      <c r="P101" s="15">
        <f t="shared" si="36"/>
        <v>29.5</v>
      </c>
      <c r="R101" s="8"/>
      <c r="T101"/>
    </row>
    <row r="102" spans="2:20" ht="23.1" customHeight="1" x14ac:dyDescent="0.25">
      <c r="B102" s="24" t="s">
        <v>142</v>
      </c>
      <c r="C102" s="49">
        <f>'Avg Week BUSITEMA-TORORO'!C102+'Avg Week TORORO-BUSITEMA'!C102</f>
        <v>0</v>
      </c>
      <c r="D102" s="49">
        <f>'Avg Week BUSITEMA-TORORO'!D102+'Avg Week TORORO-BUSITEMA'!D102</f>
        <v>1</v>
      </c>
      <c r="E102" s="49">
        <f>'Avg Week BUSITEMA-TORORO'!E102+'Avg Week TORORO-BUSITEMA'!E102</f>
        <v>0.5</v>
      </c>
      <c r="F102" s="49">
        <f>'Avg Week BUSITEMA-TORORO'!F102+'Avg Week TORORO-BUSITEMA'!F102</f>
        <v>1</v>
      </c>
      <c r="G102" s="49">
        <f>'Avg Week BUSITEMA-TORORO'!G102+'Avg Week TORORO-BUSITEMA'!G102</f>
        <v>0</v>
      </c>
      <c r="H102" s="49">
        <f>'Avg Week BUSITEMA-TORORO'!H102+'Avg Week TORORO-BUSITEMA'!H102</f>
        <v>1</v>
      </c>
      <c r="I102" s="49">
        <f>'Avg Week BUSITEMA-TORORO'!I102+'Avg Week TORORO-BUSITEMA'!I102</f>
        <v>1</v>
      </c>
      <c r="J102" s="49">
        <f>'Avg Week BUSITEMA-TORORO'!J102+'Avg Week TORORO-BUSITEMA'!J102</f>
        <v>2</v>
      </c>
      <c r="K102" s="49">
        <f>'Avg Week BUSITEMA-TORORO'!K102+'Avg Week TORORO-BUSITEMA'!K102</f>
        <v>0</v>
      </c>
      <c r="L102" s="49">
        <f>'Avg Week BUSITEMA-TORORO'!L102+'Avg Week TORORO-BUSITEMA'!L102</f>
        <v>29</v>
      </c>
      <c r="M102" s="49">
        <f>'Avg Week BUSITEMA-TORORO'!M102+'Avg Week TORORO-BUSITEMA'!M102</f>
        <v>1.5</v>
      </c>
      <c r="N102" s="49">
        <f>'Avg Week BUSITEMA-TORORO'!N102+'Avg Week TORORO-BUSITEMA'!N102</f>
        <v>0</v>
      </c>
      <c r="O102" s="15">
        <f t="shared" si="35"/>
        <v>35.5</v>
      </c>
      <c r="P102" s="15">
        <f t="shared" si="36"/>
        <v>37</v>
      </c>
      <c r="R102" s="8"/>
      <c r="T102"/>
    </row>
    <row r="103" spans="2:20" ht="23.1" customHeight="1" x14ac:dyDescent="0.25">
      <c r="B103" s="23" t="s">
        <v>143</v>
      </c>
      <c r="C103" s="49">
        <f>'Avg Week BUSITEMA-TORORO'!C103+'Avg Week TORORO-BUSITEMA'!C103</f>
        <v>1.5</v>
      </c>
      <c r="D103" s="49">
        <f>'Avg Week BUSITEMA-TORORO'!D103+'Avg Week TORORO-BUSITEMA'!D103</f>
        <v>1.5</v>
      </c>
      <c r="E103" s="49">
        <f>'Avg Week BUSITEMA-TORORO'!E103+'Avg Week TORORO-BUSITEMA'!E103</f>
        <v>0.5</v>
      </c>
      <c r="F103" s="49">
        <f>'Avg Week BUSITEMA-TORORO'!F103+'Avg Week TORORO-BUSITEMA'!F103</f>
        <v>1.5</v>
      </c>
      <c r="G103" s="49">
        <f>'Avg Week BUSITEMA-TORORO'!G103+'Avg Week TORORO-BUSITEMA'!G103</f>
        <v>0</v>
      </c>
      <c r="H103" s="49">
        <f>'Avg Week BUSITEMA-TORORO'!H103+'Avg Week TORORO-BUSITEMA'!H103</f>
        <v>1</v>
      </c>
      <c r="I103" s="49">
        <f>'Avg Week BUSITEMA-TORORO'!I103+'Avg Week TORORO-BUSITEMA'!I103</f>
        <v>0</v>
      </c>
      <c r="J103" s="49">
        <f>'Avg Week BUSITEMA-TORORO'!J103+'Avg Week TORORO-BUSITEMA'!J103</f>
        <v>1</v>
      </c>
      <c r="K103" s="49">
        <f>'Avg Week BUSITEMA-TORORO'!K103+'Avg Week TORORO-BUSITEMA'!K103</f>
        <v>0.5</v>
      </c>
      <c r="L103" s="49">
        <f>'Avg Week BUSITEMA-TORORO'!L103+'Avg Week TORORO-BUSITEMA'!L103</f>
        <v>20.5</v>
      </c>
      <c r="M103" s="49">
        <f>'Avg Week BUSITEMA-TORORO'!M103+'Avg Week TORORO-BUSITEMA'!M103</f>
        <v>3</v>
      </c>
      <c r="N103" s="49">
        <f>'Avg Week BUSITEMA-TORORO'!N103+'Avg Week TORORO-BUSITEMA'!N103</f>
        <v>0</v>
      </c>
      <c r="O103" s="15">
        <f t="shared" si="35"/>
        <v>28</v>
      </c>
      <c r="P103" s="15">
        <f t="shared" si="36"/>
        <v>31</v>
      </c>
      <c r="R103" s="8"/>
      <c r="T103"/>
    </row>
    <row r="104" spans="2:20" ht="23.1" customHeight="1" x14ac:dyDescent="0.25">
      <c r="B104" s="25" t="s">
        <v>144</v>
      </c>
      <c r="C104" s="49">
        <f>'Avg Week BUSITEMA-TORORO'!C104+'Avg Week TORORO-BUSITEMA'!C104</f>
        <v>0.5</v>
      </c>
      <c r="D104" s="49">
        <f>'Avg Week BUSITEMA-TORORO'!D104+'Avg Week TORORO-BUSITEMA'!D104</f>
        <v>0.5</v>
      </c>
      <c r="E104" s="49">
        <f>'Avg Week BUSITEMA-TORORO'!E104+'Avg Week TORORO-BUSITEMA'!E104</f>
        <v>0.5</v>
      </c>
      <c r="F104" s="49">
        <f>'Avg Week BUSITEMA-TORORO'!F104+'Avg Week TORORO-BUSITEMA'!F104</f>
        <v>3</v>
      </c>
      <c r="G104" s="49">
        <f>'Avg Week BUSITEMA-TORORO'!G104+'Avg Week TORORO-BUSITEMA'!G104</f>
        <v>0</v>
      </c>
      <c r="H104" s="49">
        <f>'Avg Week BUSITEMA-TORORO'!H104+'Avg Week TORORO-BUSITEMA'!H104</f>
        <v>0</v>
      </c>
      <c r="I104" s="49">
        <f>'Avg Week BUSITEMA-TORORO'!I104+'Avg Week TORORO-BUSITEMA'!I104</f>
        <v>0.5</v>
      </c>
      <c r="J104" s="49">
        <f>'Avg Week BUSITEMA-TORORO'!J104+'Avg Week TORORO-BUSITEMA'!J104</f>
        <v>0</v>
      </c>
      <c r="K104" s="49">
        <f>'Avg Week BUSITEMA-TORORO'!K104+'Avg Week TORORO-BUSITEMA'!K104</f>
        <v>2.5</v>
      </c>
      <c r="L104" s="49">
        <f>'Avg Week BUSITEMA-TORORO'!L104+'Avg Week TORORO-BUSITEMA'!L104</f>
        <v>18</v>
      </c>
      <c r="M104" s="49">
        <f>'Avg Week BUSITEMA-TORORO'!M104+'Avg Week TORORO-BUSITEMA'!M104</f>
        <v>2</v>
      </c>
      <c r="N104" s="49">
        <f>'Avg Week BUSITEMA-TORORO'!N104+'Avg Week TORORO-BUSITEMA'!N104</f>
        <v>0</v>
      </c>
      <c r="O104" s="15">
        <f t="shared" si="35"/>
        <v>25.5</v>
      </c>
      <c r="P104" s="15">
        <f t="shared" si="36"/>
        <v>27.5</v>
      </c>
      <c r="R104" s="8"/>
      <c r="T104"/>
    </row>
    <row r="105" spans="2:20" ht="23.1" customHeight="1" x14ac:dyDescent="0.25">
      <c r="B105" s="23" t="s">
        <v>145</v>
      </c>
      <c r="C105" s="49">
        <f>'Avg Week BUSITEMA-TORORO'!C105+'Avg Week TORORO-BUSITEMA'!C105</f>
        <v>4</v>
      </c>
      <c r="D105" s="49">
        <f>'Avg Week BUSITEMA-TORORO'!D105+'Avg Week TORORO-BUSITEMA'!D105</f>
        <v>1</v>
      </c>
      <c r="E105" s="49">
        <f>'Avg Week BUSITEMA-TORORO'!E105+'Avg Week TORORO-BUSITEMA'!E105</f>
        <v>1.5</v>
      </c>
      <c r="F105" s="49">
        <f>'Avg Week BUSITEMA-TORORO'!F105+'Avg Week TORORO-BUSITEMA'!F105</f>
        <v>6</v>
      </c>
      <c r="G105" s="49">
        <f>'Avg Week BUSITEMA-TORORO'!G105+'Avg Week TORORO-BUSITEMA'!G105</f>
        <v>0</v>
      </c>
      <c r="H105" s="49">
        <f>'Avg Week BUSITEMA-TORORO'!H105+'Avg Week TORORO-BUSITEMA'!H105</f>
        <v>0</v>
      </c>
      <c r="I105" s="49">
        <f>'Avg Week BUSITEMA-TORORO'!I105+'Avg Week TORORO-BUSITEMA'!I105</f>
        <v>1</v>
      </c>
      <c r="J105" s="49">
        <f>'Avg Week BUSITEMA-TORORO'!J105+'Avg Week TORORO-BUSITEMA'!J105</f>
        <v>0.5</v>
      </c>
      <c r="K105" s="49">
        <f>'Avg Week BUSITEMA-TORORO'!K105+'Avg Week TORORO-BUSITEMA'!K105</f>
        <v>7</v>
      </c>
      <c r="L105" s="49">
        <f>'Avg Week BUSITEMA-TORORO'!L105+'Avg Week TORORO-BUSITEMA'!L105</f>
        <v>10.5</v>
      </c>
      <c r="M105" s="49">
        <f>'Avg Week BUSITEMA-TORORO'!M105+'Avg Week TORORO-BUSITEMA'!M105</f>
        <v>5</v>
      </c>
      <c r="N105" s="49">
        <f>'Avg Week BUSITEMA-TORORO'!N105+'Avg Week TORORO-BUSITEMA'!N105</f>
        <v>0</v>
      </c>
      <c r="O105" s="15">
        <f t="shared" si="35"/>
        <v>31.5</v>
      </c>
      <c r="P105" s="15">
        <f t="shared" si="36"/>
        <v>36.5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226.57142857142858</v>
      </c>
      <c r="D106" s="16">
        <f t="shared" ref="D106:P106" si="37">SUM(D10:D105)</f>
        <v>270</v>
      </c>
      <c r="E106" s="16">
        <f t="shared" si="37"/>
        <v>126.78571428571432</v>
      </c>
      <c r="F106" s="16">
        <f t="shared" si="37"/>
        <v>427.85714285714289</v>
      </c>
      <c r="G106" s="16">
        <f t="shared" si="37"/>
        <v>11.928571428571427</v>
      </c>
      <c r="H106" s="16">
        <f t="shared" si="37"/>
        <v>21.571428571428569</v>
      </c>
      <c r="I106" s="16">
        <f t="shared" si="37"/>
        <v>106</v>
      </c>
      <c r="J106" s="16">
        <f t="shared" si="37"/>
        <v>122.92857142857143</v>
      </c>
      <c r="K106" s="16">
        <f t="shared" si="37"/>
        <v>110.21428571428571</v>
      </c>
      <c r="L106" s="16">
        <f t="shared" si="37"/>
        <v>1562.5714285714284</v>
      </c>
      <c r="M106" s="16">
        <f t="shared" si="37"/>
        <v>542.71428571428578</v>
      </c>
      <c r="N106" s="16">
        <f t="shared" si="37"/>
        <v>0.5714285714285714</v>
      </c>
      <c r="O106" s="16">
        <f t="shared" si="37"/>
        <v>2987</v>
      </c>
      <c r="P106" s="16">
        <f t="shared" si="37"/>
        <v>3529.7142857142867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6.4189736117856555E-2</v>
      </c>
      <c r="D107" s="43">
        <f t="shared" si="38"/>
        <v>7.6493443419135485E-2</v>
      </c>
      <c r="E107" s="43">
        <f t="shared" si="38"/>
        <v>3.5919540229885055E-2</v>
      </c>
      <c r="F107" s="43">
        <f t="shared" si="38"/>
        <v>0.12121580055042899</v>
      </c>
      <c r="G107" s="43">
        <f t="shared" si="38"/>
        <v>3.379472235713128E-3</v>
      </c>
      <c r="H107" s="43">
        <f t="shared" si="38"/>
        <v>6.1113809292536805E-3</v>
      </c>
      <c r="I107" s="43">
        <f t="shared" si="38"/>
        <v>3.0030759268253188E-2</v>
      </c>
      <c r="J107" s="43">
        <f t="shared" si="38"/>
        <v>3.4826776752468827E-2</v>
      </c>
      <c r="K107" s="43">
        <f t="shared" si="38"/>
        <v>3.1224704549133873E-2</v>
      </c>
      <c r="L107" s="43">
        <f t="shared" si="38"/>
        <v>0.44269062651772689</v>
      </c>
      <c r="M107" s="43">
        <f t="shared" si="38"/>
        <v>0.15375586854460091</v>
      </c>
      <c r="N107" s="43">
        <f t="shared" si="38"/>
        <v>1.6189088554314387E-4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7.5852503706537858E-2</v>
      </c>
      <c r="D108" s="44">
        <f t="shared" ref="D108:N108" si="39">D106/$O$106</f>
        <v>9.0391697355205886E-2</v>
      </c>
      <c r="E108" s="44">
        <f t="shared" si="39"/>
        <v>4.244583672102923E-2</v>
      </c>
      <c r="F108" s="44">
        <f t="shared" si="39"/>
        <v>0.14323975321631835</v>
      </c>
      <c r="G108" s="44">
        <f t="shared" si="39"/>
        <v>3.993495623894016E-3</v>
      </c>
      <c r="H108" s="44">
        <f t="shared" si="39"/>
        <v>7.2217705294370842E-3</v>
      </c>
      <c r="I108" s="44">
        <f t="shared" si="39"/>
        <v>3.5487110813525277E-2</v>
      </c>
      <c r="J108" s="44">
        <f t="shared" si="39"/>
        <v>4.1154526758811996E-2</v>
      </c>
      <c r="K108" s="44">
        <f t="shared" si="39"/>
        <v>3.6897986512984836E-2</v>
      </c>
      <c r="L108" s="44">
        <f t="shared" si="39"/>
        <v>0.52312401358266769</v>
      </c>
      <c r="M108" s="44"/>
      <c r="N108" s="44">
        <f t="shared" si="39"/>
        <v>1.9130517958773733E-4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22.08 TORORO-BUSITEMA</vt:lpstr>
      <vt:lpstr>22.08 BUSITEMA-TORORO</vt:lpstr>
      <vt:lpstr>23.08 BUSITEMA-TORORO</vt:lpstr>
      <vt:lpstr>23.08 TORORO-BUSITEMA</vt:lpstr>
      <vt:lpstr>24.08 BUSITEMA-TORORO-24h</vt:lpstr>
      <vt:lpstr>24.08 TORORO-BUSITEMA-24h</vt:lpstr>
      <vt:lpstr>25.08 BUSITEMA-TORORO</vt:lpstr>
      <vt:lpstr>25.08 TORORO-BUSITEMA</vt:lpstr>
      <vt:lpstr>26.08 BUSITEMA-TORORO</vt:lpstr>
      <vt:lpstr>26.08 TORORO-BUSITEMA</vt:lpstr>
      <vt:lpstr>27.08 BUSITEMA-TORORO-24h</vt:lpstr>
      <vt:lpstr>27.08 TORORO-BUSITEMA-24h</vt:lpstr>
      <vt:lpstr>28.08 BUSITEMA-TORORO</vt:lpstr>
      <vt:lpstr>28.08 TORORO-BUSITEMA</vt:lpstr>
      <vt:lpstr>Avg Week BUSITEMA-TORORO</vt:lpstr>
      <vt:lpstr>Avg Week TORORO-BUSITEMA</vt:lpstr>
      <vt:lpstr>Avg Week BUSITEMA-TORORO-2Dir</vt:lpstr>
      <vt:lpstr>'22.08 BUSITEMA-TORORO'!Print_Area</vt:lpstr>
      <vt:lpstr>'22.08 TORORO-BUSITEMA'!Print_Area</vt:lpstr>
      <vt:lpstr>'23.08 BUSITEMA-TORORO'!Print_Area</vt:lpstr>
      <vt:lpstr>'23.08 TORORO-BUSITEMA'!Print_Area</vt:lpstr>
      <vt:lpstr>'24.08 BUSITEMA-TORORO-24h'!Print_Area</vt:lpstr>
      <vt:lpstr>'24.08 TORORO-BUSITEMA-24h'!Print_Area</vt:lpstr>
      <vt:lpstr>'25.08 BUSITEMA-TORORO'!Print_Area</vt:lpstr>
      <vt:lpstr>'25.08 TORORO-BUSITEMA'!Print_Area</vt:lpstr>
      <vt:lpstr>'26.08 BUSITEMA-TORORO'!Print_Area</vt:lpstr>
      <vt:lpstr>'26.08 TORORO-BUSITEMA'!Print_Area</vt:lpstr>
      <vt:lpstr>'27.08 BUSITEMA-TORORO-24h'!Print_Area</vt:lpstr>
      <vt:lpstr>'27.08 TORORO-BUSITEMA-24h'!Print_Area</vt:lpstr>
      <vt:lpstr>'28.08 BUSITEMA-TORORO'!Print_Area</vt:lpstr>
      <vt:lpstr>'28.08 TORORO-BUSITEMA'!Print_Area</vt:lpstr>
      <vt:lpstr>'Avg Week BUSITEMA-TORORO'!Print_Area</vt:lpstr>
      <vt:lpstr>'Avg Week BUSITEMA-TORORO-2Dir'!Print_Area</vt:lpstr>
      <vt:lpstr>'Avg Week TORORO-BUSITEMA'!Print_Area</vt:lpstr>
      <vt:lpstr>'22.08 BUSITEMA-TORORO'!Print_Titles</vt:lpstr>
      <vt:lpstr>'22.08 TORORO-BUSITEMA'!Print_Titles</vt:lpstr>
      <vt:lpstr>'23.08 BUSITEMA-TORORO'!Print_Titles</vt:lpstr>
      <vt:lpstr>'23.08 TORORO-BUSITEMA'!Print_Titles</vt:lpstr>
      <vt:lpstr>'24.08 BUSITEMA-TORORO-24h'!Print_Titles</vt:lpstr>
      <vt:lpstr>'24.08 TORORO-BUSITEMA-24h'!Print_Titles</vt:lpstr>
      <vt:lpstr>'25.08 BUSITEMA-TORORO'!Print_Titles</vt:lpstr>
      <vt:lpstr>'25.08 TORORO-BUSITEMA'!Print_Titles</vt:lpstr>
      <vt:lpstr>'26.08 BUSITEMA-TORORO'!Print_Titles</vt:lpstr>
      <vt:lpstr>'26.08 TORORO-BUSITEMA'!Print_Titles</vt:lpstr>
      <vt:lpstr>'27.08 BUSITEMA-TORORO-24h'!Print_Titles</vt:lpstr>
      <vt:lpstr>'27.08 TORORO-BUSITEMA-24h'!Print_Titles</vt:lpstr>
      <vt:lpstr>'28.08 BUSITEMA-TORORO'!Print_Titles</vt:lpstr>
      <vt:lpstr>'28.08 TORORO-BUSITEMA'!Print_Titles</vt:lpstr>
      <vt:lpstr>'Avg Week BUSITEMA-TORORO'!Print_Titles</vt:lpstr>
      <vt:lpstr>'Avg Week BUSITEMA-TORORO-2Dir'!Print_Titles</vt:lpstr>
      <vt:lpstr>'Avg Week TORORO-BUSITEMA'!Print_Titles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2019-11-29T07:02:11Z</dcterms:modified>
</cp:coreProperties>
</file>